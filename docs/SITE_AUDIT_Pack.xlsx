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PLAN" sheetId="2" state="visible" r:id="rId2"/>
    <sheet xmlns:r="http://schemas.openxmlformats.org/officeDocument/2006/relationships" name="DC_INTERVIEW" sheetId="3" state="visible" r:id="rId3"/>
    <sheet xmlns:r="http://schemas.openxmlformats.org/officeDocument/2006/relationships" name="SITE_WALK" sheetId="4" state="visible" r:id="rId4"/>
    <sheet xmlns:r="http://schemas.openxmlformats.org/officeDocument/2006/relationships" name="FOLDER_SAMPLE" sheetId="5" state="visible" r:id="rId5"/>
    <sheet xmlns:r="http://schemas.openxmlformats.org/officeDocument/2006/relationships" name="FINDINGS" sheetId="6" state="visible" r:id="rId6"/>
  </sheets>
  <definedNames>
    <definedName name="_xlnm._FilterDatabase" localSheetId="4" hidden="1">'FOLDER_SAMPLE'!$A$5:$L$81</definedName>
    <definedName name="_xlnm._FilterDatabase" localSheetId="5" hidden="1">'FINDINGS'!$A$5:$R$105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F3864"/>
      <sz val="16"/>
    </font>
    <font>
      <name val="Arial"/>
      <i val="1"/>
      <color rgb="00595959"/>
      <sz val="8"/>
    </font>
    <font>
      <name val="Arial"/>
      <b val="1"/>
      <color rgb="00FFFFFF"/>
      <sz val="9"/>
    </font>
    <font>
      <name val="Arial"/>
      <b val="1"/>
      <color rgb="001F3864"/>
      <sz val="11"/>
    </font>
    <font>
      <name val="Arial"/>
      <sz val="9"/>
    </font>
    <font>
      <name val="Arial"/>
      <b val="1"/>
      <color rgb="00808080"/>
      <sz val="9"/>
    </font>
    <font>
      <name val="Arial"/>
      <b val="1"/>
      <sz val="9"/>
    </font>
    <font>
      <name val="Arial"/>
      <sz val="10"/>
    </font>
    <font>
      <name val="Arial"/>
      <i val="1"/>
      <color rgb="000000FF"/>
      <sz val="9"/>
    </font>
    <font>
      <name val="Arial"/>
      <b val="1"/>
      <color rgb="001F3864"/>
      <sz val="18"/>
    </font>
    <font>
      <name val="Arial"/>
      <b val="1"/>
      <color rgb="00595959"/>
      <sz val="8"/>
    </font>
    <font>
      <name val="Arial"/>
      <b val="1"/>
      <color rgb="001F3864"/>
      <sz val="22"/>
    </font>
    <font>
      <name val="Arial"/>
      <b val="1"/>
      <color rgb="001F3864"/>
      <sz val="14"/>
    </font>
  </fonts>
  <fills count="8">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F2F2F2"/>
      </patternFill>
    </fill>
    <fill>
      <patternFill patternType="solid">
        <fgColor rgb="00FCE4D6"/>
      </patternFill>
    </fill>
    <fill>
      <patternFill patternType="solid">
        <fgColor rgb="00E2EFDA"/>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bottom style="medium">
        <color rgb="001F3864"/>
      </bottom>
    </border>
  </borders>
  <cellStyleXfs count="1">
    <xf numFmtId="0" fontId="0" fillId="0" borderId="0"/>
  </cellStyleXfs>
  <cellXfs count="32">
    <xf numFmtId="0" fontId="0" fillId="0" borderId="0" pivotButton="0" quotePrefix="0" xfId="0"/>
    <xf numFmtId="0" fontId="10" fillId="0" borderId="0" pivotButton="0" quotePrefix="0" xfId="0"/>
    <xf numFmtId="0" fontId="6" fillId="0" borderId="0" pivotButton="0" quotePrefix="0" xfId="0"/>
    <xf numFmtId="0" fontId="2" fillId="0" borderId="0" pivotButton="0" quotePrefix="0" xfId="0"/>
    <xf numFmtId="0" fontId="11" fillId="5" borderId="0" applyAlignment="1" pivotButton="0" quotePrefix="0" xfId="0">
      <alignment horizontal="center" vertical="center" wrapText="1"/>
    </xf>
    <xf numFmtId="1" fontId="12" fillId="3" borderId="1" applyAlignment="1" pivotButton="0" quotePrefix="0" xfId="0">
      <alignment horizontal="center" vertical="center" wrapText="1"/>
    </xf>
    <xf numFmtId="0" fontId="0" fillId="0" borderId="5" pivotButton="0" quotePrefix="0" xfId="0"/>
    <xf numFmtId="1" fontId="12" fillId="6" borderId="1" applyAlignment="1" pivotButton="0" quotePrefix="0" xfId="0">
      <alignment horizontal="center" vertical="center" wrapText="1"/>
    </xf>
    <xf numFmtId="9" fontId="12" fillId="7" borderId="1" applyAlignment="1" pivotButton="0" quotePrefix="0" xfId="0">
      <alignment horizontal="center" vertical="center" wrapText="1"/>
    </xf>
    <xf numFmtId="1" fontId="12" fillId="4" borderId="1" applyAlignment="1" pivotButton="0" quotePrefix="0" xfId="0">
      <alignment horizontal="center" vertical="center" wrapText="1"/>
    </xf>
    <xf numFmtId="49" fontId="13" fillId="5" borderId="1" applyAlignment="1" pivotButton="0" quotePrefix="0" xfId="0">
      <alignment horizontal="center" vertical="center" wrapText="1"/>
    </xf>
    <xf numFmtId="0" fontId="0" fillId="0" borderId="4" pivotButton="0" quotePrefix="0" xfId="0"/>
    <xf numFmtId="0" fontId="4" fillId="0" borderId="0" pivotButton="0" quotePrefix="0" xfId="0"/>
    <xf numFmtId="0" fontId="3" fillId="2" borderId="1" applyAlignment="1" pivotButton="0" quotePrefix="0" xfId="0">
      <alignment horizontal="center" vertical="center" wrapText="1"/>
    </xf>
    <xf numFmtId="0" fontId="5" fillId="0" borderId="1" applyAlignment="1" pivotButton="0" quotePrefix="0" xfId="0">
      <alignment vertical="top" wrapText="1"/>
    </xf>
    <xf numFmtId="0" fontId="7" fillId="0" borderId="1" applyAlignment="1" pivotButton="0" quotePrefix="0" xfId="0">
      <alignment horizontal="center" vertical="center" wrapText="1"/>
    </xf>
    <xf numFmtId="0" fontId="7" fillId="6" borderId="1" applyAlignment="1" pivotButton="0" quotePrefix="0" xfId="0">
      <alignment horizontal="center" vertical="center" wrapText="1"/>
    </xf>
    <xf numFmtId="9" fontId="7" fillId="0" borderId="1" applyAlignment="1" pivotButton="0" quotePrefix="0" xfId="0">
      <alignment horizontal="center" vertical="center" wrapText="1"/>
    </xf>
    <xf numFmtId="0" fontId="7" fillId="0" borderId="1" pivotButton="0" quotePrefix="0" xfId="0"/>
    <xf numFmtId="0" fontId="1" fillId="0" borderId="0" pivotButton="0" quotePrefix="0" xfId="0"/>
    <xf numFmtId="0" fontId="7" fillId="3" borderId="1" pivotButton="0" quotePrefix="0" xfId="0"/>
    <xf numFmtId="0" fontId="0" fillId="4" borderId="1" pivotButton="0" quotePrefix="0" xfId="0"/>
    <xf numFmtId="0" fontId="4" fillId="0" borderId="6" pivotButton="0" quotePrefix="0" xfId="0"/>
    <xf numFmtId="0" fontId="0" fillId="0" borderId="6" pivotButton="0" quotePrefix="0" xfId="0"/>
    <xf numFmtId="0" fontId="0" fillId="0" borderId="0" applyAlignment="1" pivotButton="0" quotePrefix="0" xfId="0">
      <alignment horizontal="right"/>
    </xf>
    <xf numFmtId="0" fontId="8" fillId="0" borderId="0" applyAlignment="1" pivotButton="0" quotePrefix="0" xfId="0">
      <alignment horizontal="left" vertical="top" wrapText="1"/>
    </xf>
    <xf numFmtId="0" fontId="4" fillId="3" borderId="1" pivotButton="0" quotePrefix="0" xfId="0"/>
    <xf numFmtId="0" fontId="5" fillId="4" borderId="1" applyAlignment="1" pivotButton="0" quotePrefix="0" xfId="0">
      <alignment vertical="top" wrapText="1"/>
    </xf>
    <xf numFmtId="0" fontId="5"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9" fillId="0" borderId="1" applyAlignment="1" pivotButton="0" quotePrefix="0" xfId="0">
      <alignment vertical="top" wrapText="1"/>
    </xf>
    <xf numFmtId="0" fontId="5" fillId="5" borderId="1" applyAlignment="1" pivotButton="0" quotePrefix="0" xfId="0">
      <alignment horizontal="center" vertical="center" wrapText="1"/>
    </xf>
  </cellXfs>
  <cellStyles count="1">
    <cellStyle name="Normal" xfId="0" builtinId="0" hidden="0"/>
  </cellStyles>
  <dxfs count="3">
    <dxf>
      <fill>
        <patternFill patternType="solid">
          <fgColor rgb="00F8CBAD"/>
        </patternFill>
      </fill>
    </dxf>
    <dxf>
      <fill>
        <patternFill patternType="solid">
          <fgColor rgb="00FFF2CC"/>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
  <sheetViews>
    <sheetView showGridLines="0"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SITE DOCUMENT AUDIT — SCORE</t>
        </is>
      </c>
    </row>
    <row r="2">
      <c r="A2" s="2" t="inlineStr">
        <is>
          <t>Calculates from FOLDER_SAMPLE and SITE_WALK. Nothing to maintain on this tab.</t>
        </is>
      </c>
    </row>
    <row r="3">
      <c r="A3" s="3" t="inlineStr">
        <is>
          <t>Project: ______________  Audit ref: __________  Date: __________  Auditor: ______________</t>
        </is>
      </c>
    </row>
    <row r="5">
      <c r="A5" s="4" t="inlineStr">
        <is>
          <t>FOLDERS</t>
        </is>
      </c>
      <c r="C5" s="4" t="inlineStr">
        <is>
          <t>WALK CHECKS</t>
        </is>
      </c>
      <c r="E5" s="4" t="inlineStr">
        <is>
          <t>SCORED</t>
        </is>
      </c>
      <c r="G5" s="4" t="inlineStr">
        <is>
          <t>NOT MET</t>
        </is>
      </c>
      <c r="I5" s="4" t="inlineStr">
        <is>
          <t>OVERALL SCORE</t>
        </is>
      </c>
      <c r="K5" s="4" t="inlineStr">
        <is>
          <t>CRITICAL FINDINGS</t>
        </is>
      </c>
    </row>
    <row r="6" ht="34" customHeight="1">
      <c r="A6" s="5">
        <f>66</f>
        <v/>
      </c>
      <c r="B6" s="6" t="n"/>
      <c r="C6" s="5">
        <f>44</f>
        <v/>
      </c>
      <c r="D6" s="6" t="n"/>
      <c r="E6" s="5">
        <f>((COUNTIF(FOLDER_SAMPLE!$K$6:$K$81,"2")+COUNTIF(FOLDER_SAMPLE!$K$6:$K$81,"1")+COUNTIF(FOLDER_SAMPLE!$K$6:$K$81,"0"))+(COUNTIF(SITE_WALK!$E$6:$E$66,"2")+COUNTIF(SITE_WALK!$E$6:$E$66,"1")+COUNTIF(SITE_WALK!$E$6:$E$66,"0")))</f>
        <v/>
      </c>
      <c r="F6" s="6" t="n"/>
      <c r="G6" s="7">
        <f>COUNTIF(FOLDER_SAMPLE!$K$6:$K$81,"0")+COUNTIF(SITE_WALK!$E$6:$E$66,"0")</f>
        <v/>
      </c>
      <c r="H6" s="6" t="n"/>
      <c r="I6" s="8">
        <f>IFERROR(((COUNTIF(FOLDER_SAMPLE!$K$6:$K$81,"2")*2+COUNTIF(FOLDER_SAMPLE!$K$6:$K$81,"1"))+(COUNTIF(SITE_WALK!$E$6:$E$66,"2")*2+COUNTIF(SITE_WALK!$E$6:$E$66,"1")))/(((COUNTIF(FOLDER_SAMPLE!$K$6:$K$81,"2")+COUNTIF(FOLDER_SAMPLE!$K$6:$K$81,"1")+COUNTIF(FOLDER_SAMPLE!$K$6:$K$81,"0"))+(COUNTIF(SITE_WALK!$E$6:$E$66,"2")+COUNTIF(SITE_WALK!$E$6:$E$66,"1")+COUNTIF(SITE_WALK!$E$6:$E$66,"0")))*2),0)</f>
        <v/>
      </c>
      <c r="J6" s="6" t="n"/>
      <c r="K6" s="7">
        <f>COUNTIF(FINDINGS!$H$7:$H$105,"Critical")</f>
        <v/>
      </c>
      <c r="L6" s="6" t="n"/>
    </row>
    <row r="8">
      <c r="A8" s="4" t="inlineStr">
        <is>
          <t>FOLDER SCORE</t>
        </is>
      </c>
      <c r="C8" s="4" t="inlineStr">
        <is>
          <t>SITE WALK SCORE</t>
        </is>
      </c>
      <c r="E8" s="4" t="inlineStr">
        <is>
          <t>FINDINGS RAISED</t>
        </is>
      </c>
      <c r="G8" s="4" t="inlineStr">
        <is>
          <t>FINDINGS OPEN</t>
        </is>
      </c>
      <c r="I8" s="4" t="inlineStr">
        <is>
          <t>VERDICT</t>
        </is>
      </c>
    </row>
    <row r="9" ht="34" customHeight="1">
      <c r="A9" s="8">
        <f>IFERROR((COUNTIF(FOLDER_SAMPLE!$K$6:$K$81,"2")*2+COUNTIF(FOLDER_SAMPLE!$K$6:$K$81,"1"))/((COUNTIF(FOLDER_SAMPLE!$K$6:$K$81,"2")+COUNTIF(FOLDER_SAMPLE!$K$6:$K$81,"1")+COUNTIF(FOLDER_SAMPLE!$K$6:$K$81,"0"))*2),0)</f>
        <v/>
      </c>
      <c r="B9" s="6" t="n"/>
      <c r="C9" s="8">
        <f>IFERROR((COUNTIF(SITE_WALK!$E$6:$E$66,"2")*2+COUNTIF(SITE_WALK!$E$6:$E$66,"1"))/((COUNTIF(SITE_WALK!$E$6:$E$66,"2")+COUNTIF(SITE_WALK!$E$6:$E$66,"1")+COUNTIF(SITE_WALK!$E$6:$E$66,"0"))*2),0)</f>
        <v/>
      </c>
      <c r="D9" s="6" t="n"/>
      <c r="E9" s="5">
        <f>COUNTA(FINDINGS!$B$7:$B$105)</f>
        <v/>
      </c>
      <c r="F9" s="6" t="n"/>
      <c r="G9" s="9">
        <f>COUNTIF(FINDINGS!$R$7:$R$105,"Open")+COUNTIF(FINDINGS!$R$7:$R$105,"Under Rectification")</f>
        <v/>
      </c>
      <c r="H9" s="6" t="n"/>
      <c r="I9" s="10">
        <f>IF(COUNTIF(FINDINGS!$H$7:$H$105,"Critical")&gt;0,"FAIL",IF(IFERROR(((COUNTIF(FOLDER_SAMPLE!$K$6:$K$81,"2")*2+COUNTIF(FOLDER_SAMPLE!$K$6:$K$81,"1"))+(COUNTIF(SITE_WALK!$E$6:$E$66,"2")*2+COUNTIF(SITE_WALK!$E$6:$E$66,"1")))/(((COUNTIF(FOLDER_SAMPLE!$K$6:$K$81,"2")+COUNTIF(FOLDER_SAMPLE!$K$6:$K$81,"1")+COUNTIF(FOLDER_SAMPLE!$K$6:$K$81,"0"))+(COUNTIF(SITE_WALK!$E$6:$E$66,"2")+COUNTIF(SITE_WALK!$E$6:$E$66,"1")+COUNTIF(SITE_WALK!$E$6:$E$66,"0")))*2),0)&gt;=0.9,"PASS",IF(IFERROR(((COUNTIF(FOLDER_SAMPLE!$K$6:$K$81,"2")*2+COUNTIF(FOLDER_SAMPLE!$K$6:$K$81,"1"))+(COUNTIF(SITE_WALK!$E$6:$E$66,"2")*2+COUNTIF(SITE_WALK!$E$6:$E$66,"1")))/(((COUNTIF(FOLDER_SAMPLE!$K$6:$K$81,"2")+COUNTIF(FOLDER_SAMPLE!$K$6:$K$81,"1")+COUNTIF(FOLDER_SAMPLE!$K$6:$K$81,"0"))+(COUNTIF(SITE_WALK!$E$6:$E$66,"2")+COUNTIF(SITE_WALK!$E$6:$E$66,"1")+COUNTIF(SITE_WALK!$E$6:$E$66,"0")))*2),0)&gt;=0.75,"PASS WITH ACTIONS","FAIL")))</f>
        <v/>
      </c>
      <c r="J9" s="11" t="n"/>
      <c r="K9" s="6" t="n"/>
    </row>
    <row r="12">
      <c r="A12" s="12" t="inlineStr">
        <is>
          <t>SITE WALK — SCORE BY SECTION</t>
        </is>
      </c>
    </row>
    <row r="13">
      <c r="A13" s="13" t="inlineStr">
        <is>
          <t>Section</t>
        </is>
      </c>
      <c r="B13" s="13" t="inlineStr">
        <is>
          <t>Checks</t>
        </is>
      </c>
      <c r="C13" s="13" t="inlineStr">
        <is>
          <t>Met</t>
        </is>
      </c>
      <c r="D13" s="13" t="inlineStr">
        <is>
          <t>Not met</t>
        </is>
      </c>
      <c r="E13" s="13" t="inlineStr">
        <is>
          <t>Score</t>
        </is>
      </c>
    </row>
    <row r="14">
      <c r="A14" s="14" t="inlineStr">
        <is>
          <t>1.  SITE OFFICE — DRAWING CONTROL</t>
        </is>
      </c>
      <c r="B14" s="15" t="n">
        <v>5</v>
      </c>
      <c r="C14" s="15">
        <f>COUNTIF(SITE_WALK!$E$7:$E$11,2)</f>
        <v/>
      </c>
      <c r="D14" s="16">
        <f>COUNTIF(SITE_WALK!$E$7:$E$11,0)</f>
        <v/>
      </c>
      <c r="E14" s="17">
        <f>IFERROR((COUNTIF(SITE_WALK!$E$7:$E$11,2)*2+COUNTIF(SITE_WALK!$E$7:$E$11,1))/((COUNTIF(SITE_WALK!$E$7:$E$11,2)+COUNTIF(SITE_WALK!$E$7:$E$11,1)+COUNTIF(SITE_WALK!$E$7:$E$11,0))*2),0)</f>
        <v/>
      </c>
    </row>
    <row r="15">
      <c r="A15" s="14" t="inlineStr">
        <is>
          <t>2.  WORKFACE — DRAWINGS AND METHOD</t>
        </is>
      </c>
      <c r="B15" s="15" t="n">
        <v>5</v>
      </c>
      <c r="C15" s="15">
        <f>COUNTIF(SITE_WALK!$E$13:$E$17,2)</f>
        <v/>
      </c>
      <c r="D15" s="16">
        <f>COUNTIF(SITE_WALK!$E$13:$E$17,0)</f>
        <v/>
      </c>
      <c r="E15" s="17">
        <f>IFERROR((COUNTIF(SITE_WALK!$E$13:$E$17,2)*2+COUNTIF(SITE_WALK!$E$13:$E$17,1))/((COUNTIF(SITE_WALK!$E$13:$E$17,2)+COUNTIF(SITE_WALK!$E$13:$E$17,1)+COUNTIF(SITE_WALK!$E$13:$E$17,0))*2),0)</f>
        <v/>
      </c>
    </row>
    <row r="16">
      <c r="A16" s="14" t="inlineStr">
        <is>
          <t>3.  WORKFACE — PERMITS AND SAFETY</t>
        </is>
      </c>
      <c r="B16" s="15" t="n">
        <v>6</v>
      </c>
      <c r="C16" s="15">
        <f>COUNTIF(SITE_WALK!$E$19:$E$24,2)</f>
        <v/>
      </c>
      <c r="D16" s="16">
        <f>COUNTIF(SITE_WALK!$E$19:$E$24,0)</f>
        <v/>
      </c>
      <c r="E16" s="17">
        <f>IFERROR((COUNTIF(SITE_WALK!$E$19:$E$24,2)*2+COUNTIF(SITE_WALK!$E$19:$E$24,1))/((COUNTIF(SITE_WALK!$E$19:$E$24,2)+COUNTIF(SITE_WALK!$E$19:$E$24,1)+COUNTIF(SITE_WALK!$E$19:$E$24,0))*2),0)</f>
        <v/>
      </c>
    </row>
    <row r="17">
      <c r="A17" s="14" t="inlineStr">
        <is>
          <t>4.  QUALITY AT THE WORKFACE</t>
        </is>
      </c>
      <c r="B17" s="15" t="n">
        <v>6</v>
      </c>
      <c r="C17" s="15">
        <f>COUNTIF(SITE_WALK!$E$26:$E$31,2)</f>
        <v/>
      </c>
      <c r="D17" s="16">
        <f>COUNTIF(SITE_WALK!$E$26:$E$31,0)</f>
        <v/>
      </c>
      <c r="E17" s="17">
        <f>IFERROR((COUNTIF(SITE_WALK!$E$26:$E$31,2)*2+COUNTIF(SITE_WALK!$E$26:$E$31,1))/((COUNTIF(SITE_WALK!$E$26:$E$31,2)+COUNTIF(SITE_WALK!$E$26:$E$31,1)+COUNTIF(SITE_WALK!$E$26:$E$31,0))*2),0)</f>
        <v/>
      </c>
    </row>
    <row r="18">
      <c r="A18" s="14" t="inlineStr">
        <is>
          <t>5.  INDUSTRIAL WORKFACE</t>
        </is>
      </c>
      <c r="B18" s="15" t="n">
        <v>6</v>
      </c>
      <c r="C18" s="15">
        <f>COUNTIF(SITE_WALK!$E$33:$E$38,2)</f>
        <v/>
      </c>
      <c r="D18" s="16">
        <f>COUNTIF(SITE_WALK!$E$33:$E$38,0)</f>
        <v/>
      </c>
      <c r="E18" s="17">
        <f>IFERROR((COUNTIF(SITE_WALK!$E$33:$E$38,2)*2+COUNTIF(SITE_WALK!$E$33:$E$38,1))/((COUNTIF(SITE_WALK!$E$33:$E$38,2)+COUNTIF(SITE_WALK!$E$33:$E$38,1)+COUNTIF(SITE_WALK!$E$33:$E$38,0))*2),0)</f>
        <v/>
      </c>
    </row>
    <row r="19">
      <c r="A19" s="14" t="inlineStr">
        <is>
          <t>6.  STORES AND MATERIAL</t>
        </is>
      </c>
      <c r="B19" s="15" t="n">
        <v>6</v>
      </c>
      <c r="C19" s="15">
        <f>COUNTIF(SITE_WALK!$E$40:$E$45,2)</f>
        <v/>
      </c>
      <c r="D19" s="16">
        <f>COUNTIF(SITE_WALK!$E$40:$E$45,0)</f>
        <v/>
      </c>
      <c r="E19" s="17">
        <f>IFERROR((COUNTIF(SITE_WALK!$E$40:$E$45,2)*2+COUNTIF(SITE_WALK!$E$40:$E$45,1))/((COUNTIF(SITE_WALK!$E$40:$E$45,2)+COUNTIF(SITE_WALK!$E$40:$E$45,1)+COUNTIF(SITE_WALK!$E$40:$E$45,0))*2),0)</f>
        <v/>
      </c>
    </row>
    <row r="20">
      <c r="A20" s="14" t="inlineStr">
        <is>
          <t>7.  HSE AND WELFARE</t>
        </is>
      </c>
      <c r="B20" s="15" t="n">
        <v>5</v>
      </c>
      <c r="C20" s="15">
        <f>COUNTIF(SITE_WALK!$E$47:$E$51,2)</f>
        <v/>
      </c>
      <c r="D20" s="16">
        <f>COUNTIF(SITE_WALK!$E$47:$E$51,0)</f>
        <v/>
      </c>
      <c r="E20" s="17">
        <f>IFERROR((COUNTIF(SITE_WALK!$E$47:$E$51,2)*2+COUNTIF(SITE_WALK!$E$47:$E$51,1))/((COUNTIF(SITE_WALK!$E$47:$E$51,2)+COUNTIF(SITE_WALK!$E$47:$E$51,1)+COUNTIF(SITE_WALK!$E$47:$E$51,0))*2),0)</f>
        <v/>
      </c>
    </row>
    <row r="21">
      <c r="A21" s="14" t="inlineStr">
        <is>
          <t>8.  DOCUMENT CONTROL PHYSICAL</t>
        </is>
      </c>
      <c r="B21" s="15" t="n">
        <v>5</v>
      </c>
      <c r="C21" s="15">
        <f>COUNTIF(SITE_WALK!$E$53:$E$57,2)</f>
        <v/>
      </c>
      <c r="D21" s="16">
        <f>COUNTIF(SITE_WALK!$E$53:$E$57,0)</f>
        <v/>
      </c>
      <c r="E21" s="17">
        <f>IFERROR((COUNTIF(SITE_WALK!$E$53:$E$57,2)*2+COUNTIF(SITE_WALK!$E$53:$E$57,1))/((COUNTIF(SITE_WALK!$E$53:$E$57,2)+COUNTIF(SITE_WALK!$E$53:$E$57,1)+COUNTIF(SITE_WALK!$E$53:$E$57,0))*2),0)</f>
        <v/>
      </c>
    </row>
    <row r="23">
      <c r="A23" s="12" t="inlineStr">
        <is>
          <t>VERDICT RULE</t>
        </is>
      </c>
    </row>
    <row r="24">
      <c r="A24" s="18" t="inlineStr">
        <is>
          <t>PASS</t>
        </is>
      </c>
      <c r="B24" s="14" t="inlineStr">
        <is>
          <t>90% or above, and no Critical finding raised</t>
        </is>
      </c>
      <c r="C24" s="11" t="n"/>
      <c r="D24" s="11" t="n"/>
      <c r="E24" s="6" t="n"/>
    </row>
    <row r="25">
      <c r="A25" s="18" t="inlineStr">
        <is>
          <t>PASS WITH ACTIONS</t>
        </is>
      </c>
      <c r="B25" s="14" t="inlineStr">
        <is>
          <t>75% to 89%, and no Critical finding raised</t>
        </is>
      </c>
      <c r="C25" s="11" t="n"/>
      <c r="D25" s="11" t="n"/>
      <c r="E25" s="6" t="n"/>
    </row>
    <row r="26">
      <c r="A26" s="18" t="inlineStr">
        <is>
          <t>FAIL</t>
        </is>
      </c>
      <c r="B26" s="14" t="inlineStr">
        <is>
          <t>Below 75%, or any Critical finding raised</t>
        </is>
      </c>
      <c r="C26" s="11" t="n"/>
      <c r="D26" s="11" t="n"/>
      <c r="E26" s="6" t="n"/>
    </row>
    <row r="29">
      <c r="A29" s="3" t="inlineStr">
        <is>
          <t>A superseded print in use, a pour without written permission, or a permit issued without workface verification is a Critical finding on its own. One of those fails the audit.</t>
        </is>
      </c>
    </row>
  </sheetData>
  <mergeCells count="25">
    <mergeCell ref="C6:D6"/>
    <mergeCell ref="I6:J6"/>
    <mergeCell ref="C5:D5"/>
    <mergeCell ref="E5:F5"/>
    <mergeCell ref="K5:L5"/>
    <mergeCell ref="B24:E24"/>
    <mergeCell ref="G8:H8"/>
    <mergeCell ref="E8:F8"/>
    <mergeCell ref="A6:B6"/>
    <mergeCell ref="B26:E26"/>
    <mergeCell ref="I8:K8"/>
    <mergeCell ref="B25:E25"/>
    <mergeCell ref="G6:H6"/>
    <mergeCell ref="C9:D9"/>
    <mergeCell ref="E9:F9"/>
    <mergeCell ref="E6:F6"/>
    <mergeCell ref="I9:K9"/>
    <mergeCell ref="A5:B5"/>
    <mergeCell ref="G5:H5"/>
    <mergeCell ref="K6:L6"/>
    <mergeCell ref="I5:J5"/>
    <mergeCell ref="A8:B8"/>
    <mergeCell ref="C8:D8"/>
    <mergeCell ref="A9:B9"/>
    <mergeCell ref="G9:H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
  <sheetViews>
    <sheetView showGridLines="0" workbookViewId="0">
      <selection activeCell="A1" sqref="A1"/>
    </sheetView>
  </sheetViews>
  <sheetFormatPr baseColWidth="8" defaultRowHeight="15"/>
  <cols>
    <col width="16" customWidth="1" min="1" max="1"/>
    <col width="46" customWidth="1" min="2" max="2"/>
    <col width="62" customWidth="1" min="3" max="3"/>
    <col width="18" customWidth="1" min="4" max="4"/>
    <col width="16" customWidth="1" min="5" max="5"/>
  </cols>
  <sheetData>
    <row r="1">
      <c r="A1" s="19" t="inlineStr">
        <is>
          <t>SITE DOCUMENT AUDIT — PLAN AND METHOD</t>
        </is>
      </c>
    </row>
    <row r="2">
      <c r="A2" s="2" t="inlineStr">
        <is>
          <t>SHARANAM PROJECT DEVELOPMENT CONSULTANTS &amp; CO.   |   One full day on a live industrial site</t>
        </is>
      </c>
    </row>
    <row r="4">
      <c r="A4" s="20" t="inlineStr">
        <is>
          <t>Audit ref.</t>
        </is>
      </c>
      <c r="B4" s="21" t="inlineStr"/>
    </row>
    <row r="5">
      <c r="A5" s="20" t="inlineStr">
        <is>
          <t>Project</t>
        </is>
      </c>
      <c r="B5" s="21" t="inlineStr"/>
    </row>
    <row r="6">
      <c r="A6" s="20" t="inlineStr">
        <is>
          <t>Date</t>
        </is>
      </c>
      <c r="B6" s="21" t="inlineStr"/>
    </row>
    <row r="7">
      <c r="A7" s="20" t="inlineStr">
        <is>
          <t>Auditor</t>
        </is>
      </c>
      <c r="B7" s="21" t="inlineStr"/>
    </row>
    <row r="8">
      <c r="A8" s="20" t="inlineStr">
        <is>
          <t>Independent of this project</t>
        </is>
      </c>
      <c r="B8" s="21" t="inlineStr"/>
    </row>
    <row r="9">
      <c r="A9" s="20" t="inlineStr">
        <is>
          <t>Document Controller</t>
        </is>
      </c>
      <c r="B9" s="21" t="inlineStr"/>
    </row>
    <row r="10">
      <c r="A10" s="20" t="inlineStr">
        <is>
          <t>Project Manager</t>
        </is>
      </c>
      <c r="B10" s="21" t="inlineStr"/>
    </row>
    <row r="12">
      <c r="A12" s="22" t="inlineStr">
        <is>
          <t>BEFORE YOU GO — the desk review</t>
        </is>
      </c>
      <c r="B12" s="23" t="n"/>
      <c r="C12" s="23" t="n"/>
      <c r="D12" s="23" t="n"/>
      <c r="E12" s="23" t="n"/>
    </row>
    <row r="13">
      <c r="A13" s="13" t="inlineStr">
        <is>
          <t>When</t>
        </is>
      </c>
      <c r="B13" s="13" t="inlineStr">
        <is>
          <t>Do this</t>
        </is>
      </c>
      <c r="C13" s="13" t="inlineStr">
        <is>
          <t>Why it matters</t>
        </is>
      </c>
      <c r="D13" s="13" t="inlineStr">
        <is>
          <t>Done</t>
        </is>
      </c>
      <c r="E13" s="13" t="inlineStr">
        <is>
          <t>Notes</t>
        </is>
      </c>
    </row>
    <row r="14" ht="20" customHeight="1">
      <c r="A14" s="14" t="inlineStr">
        <is>
          <t>7 days before</t>
        </is>
      </c>
      <c r="B14" s="14" t="inlineStr">
        <is>
          <t>Notify the audit WINDOW, not the exact day</t>
        </is>
      </c>
      <c r="C14" s="14" t="inlineStr">
        <is>
          <t>An announced date produces a tidied site office for one day, not a true picture</t>
        </is>
      </c>
      <c r="D14" s="14" t="inlineStr"/>
      <c r="E14" s="14" t="inlineStr"/>
    </row>
    <row r="15" ht="22" customHeight="1">
      <c r="A15" s="14" t="inlineStr">
        <is>
          <t>2 days before</t>
        </is>
      </c>
      <c r="B15" s="14" t="inlineStr">
        <is>
          <t>Run the KPI refresh yourself on the master workbook</t>
        </is>
      </c>
      <c r="C15" s="14" t="inlineStr">
        <is>
          <t>You see the real numbers, not the ones prepared for you</t>
        </is>
      </c>
      <c r="D15" s="14" t="inlineStr"/>
      <c r="E15" s="14" t="inlineStr"/>
    </row>
    <row r="16" ht="22" customHeight="1">
      <c r="A16" s="14" t="inlineStr">
        <is>
          <t>2 days before</t>
        </is>
      </c>
      <c r="B16" s="14" t="inlineStr">
        <is>
          <t>Read the last six weekly reports and the last MPR</t>
        </is>
      </c>
      <c r="C16" s="14" t="inlineStr">
        <is>
          <t>Most findings are visible in the data before you reach site</t>
        </is>
      </c>
      <c r="D16" s="14" t="inlineStr"/>
      <c r="E16" s="14" t="inlineStr"/>
    </row>
    <row r="17" ht="22" customHeight="1">
      <c r="A17" s="14" t="inlineStr">
        <is>
          <t>2 days before</t>
        </is>
      </c>
      <c r="B17" s="14" t="inlineStr">
        <is>
          <t>Filter 03_SUBJECT_DATA by RAG = RED and by overdue</t>
        </is>
      </c>
      <c r="C17" s="14" t="inlineStr">
        <is>
          <t>This is your priority sampling list — go where the system is already failing</t>
        </is>
      </c>
      <c r="D17" s="14" t="inlineStr"/>
      <c r="E17" s="14" t="inlineStr"/>
    </row>
    <row r="18" ht="22" customHeight="1">
      <c r="A18" s="14" t="inlineStr">
        <is>
          <t>2 days before</t>
        </is>
      </c>
      <c r="B18" s="14" t="inlineStr">
        <is>
          <t>Check the refresh timestamps for the last six weeks</t>
        </is>
      </c>
      <c r="C18" s="14" t="inlineStr">
        <is>
          <t>Gaps tell you the weekly routine is not being run</t>
        </is>
      </c>
      <c r="D18" s="14" t="inlineStr"/>
      <c r="E18" s="14" t="inlineStr"/>
    </row>
    <row r="19" ht="20" customHeight="1">
      <c r="A19" s="14" t="inlineStr">
        <is>
          <t>1 day before</t>
        </is>
      </c>
      <c r="B19" s="14" t="inlineStr">
        <is>
          <t>Note which registers are above 80% capacity</t>
        </is>
      </c>
      <c r="C19" s="14" t="inlineStr">
        <is>
          <t>A register about to overflow will stop counting silently</t>
        </is>
      </c>
      <c r="D19" s="14" t="inlineStr"/>
      <c r="E19" s="14" t="inlineStr"/>
    </row>
    <row r="20" ht="20" customHeight="1">
      <c r="A20" s="14" t="inlineStr">
        <is>
          <t>1 day before</t>
        </is>
      </c>
      <c r="B20" s="14" t="inlineStr">
        <is>
          <t>Print the SITE_WALK and FOLDER_SAMPLE tabs</t>
        </is>
      </c>
      <c r="C20" s="14" t="inlineStr">
        <is>
          <t>Do not audit from a laptop while walking the site</t>
        </is>
      </c>
      <c r="D20" s="14" t="inlineStr"/>
      <c r="E20" s="14" t="inlineStr"/>
    </row>
    <row r="23">
      <c r="A23" s="22" t="inlineStr">
        <is>
          <t>WHAT TO TAKE</t>
        </is>
      </c>
      <c r="B23" s="23" t="n"/>
      <c r="C23" s="23" t="n"/>
      <c r="D23" s="23" t="n"/>
      <c r="E23" s="23" t="n"/>
    </row>
    <row r="24">
      <c r="A24" s="24" t="inlineStr">
        <is>
          <t>•</t>
        </is>
      </c>
      <c r="B24" s="25" t="inlineStr">
        <is>
          <t>Printed SITE_WALK and FOLDER_SAMPLE sheets</t>
        </is>
      </c>
    </row>
    <row r="25">
      <c r="A25" s="24" t="inlineStr">
        <is>
          <t>•</t>
        </is>
      </c>
      <c r="B25" s="25" t="inlineStr">
        <is>
          <t>The RED and overdue list from the desk review</t>
        </is>
      </c>
    </row>
    <row r="26">
      <c r="A26" s="24" t="inlineStr">
        <is>
          <t>•</t>
        </is>
      </c>
      <c r="B26" s="25" t="inlineStr">
        <is>
          <t>Camera or phone — every finding needs a photograph</t>
        </is>
      </c>
    </row>
    <row r="27">
      <c r="A27" s="24" t="inlineStr">
        <is>
          <t>•</t>
        </is>
      </c>
      <c r="B27" s="25" t="inlineStr">
        <is>
          <t>Safety boots, helmet, hi-vis, glasses. You will be at the workface, not in the office</t>
        </is>
      </c>
    </row>
    <row r="28">
      <c r="A28" s="24" t="inlineStr">
        <is>
          <t>•</t>
        </is>
      </c>
      <c r="B28" s="25" t="inlineStr">
        <is>
          <t>A copy of the current drawing register, so you can check boards against it independently</t>
        </is>
      </c>
    </row>
    <row r="31">
      <c r="A31" s="22" t="inlineStr">
        <is>
          <t>THE DAY — timetable</t>
        </is>
      </c>
      <c r="B31" s="23" t="n"/>
      <c r="C31" s="23" t="n"/>
      <c r="D31" s="23" t="n"/>
      <c r="E31" s="23" t="n"/>
    </row>
    <row r="32">
      <c r="A32" s="13" t="inlineStr">
        <is>
          <t>Time</t>
        </is>
      </c>
      <c r="B32" s="13" t="inlineStr">
        <is>
          <t>Activity</t>
        </is>
      </c>
      <c r="C32" s="13" t="inlineStr">
        <is>
          <t>What you are actually testing</t>
        </is>
      </c>
      <c r="D32" s="13" t="inlineStr">
        <is>
          <t>Sheet</t>
        </is>
      </c>
      <c r="E32" s="13" t="inlineStr">
        <is>
          <t>Done</t>
        </is>
      </c>
    </row>
    <row r="33" ht="22" customHeight="1">
      <c r="A33" s="14" t="inlineStr">
        <is>
          <t>08:30</t>
        </is>
      </c>
      <c r="B33" s="14" t="inlineStr">
        <is>
          <t>Opening meeting with PM and Document Controller</t>
        </is>
      </c>
      <c r="C33" s="14" t="inlineStr">
        <is>
          <t>State scope, criteria and finish time. Ask for nothing in advance — you have already pulled the data</t>
        </is>
      </c>
      <c r="D33" s="14" t="inlineStr">
        <is>
          <t>PLAN</t>
        </is>
      </c>
      <c r="E33" s="14" t="inlineStr"/>
    </row>
    <row r="34" ht="20" customHeight="1">
      <c r="A34" s="14" t="inlineStr">
        <is>
          <t>08:45</t>
        </is>
      </c>
      <c r="B34" s="14" t="inlineStr">
        <is>
          <t>Document Controller interview</t>
        </is>
      </c>
      <c r="C34" s="14" t="inlineStr">
        <is>
          <t>How the system runs in practice, and what slips under pressure. The answers direct your sampling</t>
        </is>
      </c>
      <c r="D34" s="14" t="inlineStr">
        <is>
          <t>DC_INTERVIEW</t>
        </is>
      </c>
      <c r="E34" s="14" t="inlineStr"/>
    </row>
    <row r="35" ht="22" customHeight="1">
      <c r="A35" s="14" t="inlineStr">
        <is>
          <t>09:30</t>
        </is>
      </c>
      <c r="B35" s="14" t="inlineStr">
        <is>
          <t>Site office inspection — drawing boards and registers</t>
        </is>
      </c>
      <c r="C35" s="14" t="inlineStr">
        <is>
          <t>Superseded prints, uncontrolled copies, registers maintained daily or in bursts</t>
        </is>
      </c>
      <c r="D35" s="14" t="inlineStr">
        <is>
          <t>SITE_WALK 1, 8</t>
        </is>
      </c>
      <c r="E35" s="14" t="inlineStr"/>
    </row>
    <row r="36" ht="20" customHeight="1">
      <c r="A36" s="14" t="inlineStr">
        <is>
          <t>10:15</t>
        </is>
      </c>
      <c r="B36" s="14" t="inlineStr">
        <is>
          <t>Workface walk — drawings, method, permits</t>
        </is>
      </c>
      <c r="C36" s="14" t="inlineStr">
        <is>
          <t>Current revisions at the workface, live permits verified, method briefed</t>
        </is>
      </c>
      <c r="D36" s="14" t="inlineStr">
        <is>
          <t>SITE_WALK 2, 3</t>
        </is>
      </c>
      <c r="E36" s="14" t="inlineStr"/>
    </row>
    <row r="37" ht="22" customHeight="1">
      <c r="A37" s="14" t="inlineStr">
        <is>
          <t>11:15</t>
        </is>
      </c>
      <c r="B37" s="14" t="inlineStr">
        <is>
          <t>Workface walk — quality and industrial controls</t>
        </is>
      </c>
      <c r="C37" s="14" t="inlineStr">
        <is>
          <t>Pour cards signed before pour, weld IDs against the log, NDT markings, permits to load</t>
        </is>
      </c>
      <c r="D37" s="14" t="inlineStr">
        <is>
          <t>SITE_WALK 4, 5</t>
        </is>
      </c>
      <c r="E37" s="14" t="inlineStr"/>
    </row>
    <row r="38" ht="20" customHeight="1">
      <c r="A38" s="14" t="inlineStr">
        <is>
          <t>12:15</t>
        </is>
      </c>
      <c r="B38" s="14" t="inlineStr">
        <is>
          <t>Stores and material</t>
        </is>
      </c>
      <c r="C38" s="14" t="inlineStr">
        <is>
          <t>Approved brands, GRNs, test certificates, segregation of rejected material</t>
        </is>
      </c>
      <c r="D38" s="14" t="inlineStr">
        <is>
          <t>SITE_WALK 6</t>
        </is>
      </c>
      <c r="E38" s="14" t="inlineStr"/>
    </row>
    <row r="39" ht="20" customHeight="1">
      <c r="A39" s="14" t="inlineStr">
        <is>
          <t>12:45</t>
        </is>
      </c>
      <c r="B39" s="14" t="inlineStr">
        <is>
          <t>HSE and welfare walk</t>
        </is>
      </c>
      <c r="C39" s="14" t="inlineStr">
        <is>
          <t>Assembly points, first aid, welfare actually functioning, statutory display</t>
        </is>
      </c>
      <c r="D39" s="14" t="inlineStr">
        <is>
          <t>SITE_WALK 7</t>
        </is>
      </c>
      <c r="E39" s="14" t="inlineStr"/>
    </row>
    <row r="40" ht="20" customHeight="1">
      <c r="A40" s="14" t="inlineStr">
        <is>
          <t>13:15</t>
        </is>
      </c>
      <c r="B40" s="14" t="inlineStr">
        <is>
          <t>Break</t>
        </is>
      </c>
      <c r="C40" s="14" t="inlineStr"/>
      <c r="D40" s="14" t="inlineStr"/>
      <c r="E40" s="14" t="inlineStr"/>
    </row>
    <row r="41" ht="22" customHeight="1">
      <c r="A41" s="14" t="inlineStr">
        <is>
          <t>14:00</t>
        </is>
      </c>
      <c r="B41" s="14" t="inlineStr">
        <is>
          <t>Folder sampling — the RED and overdue list first</t>
        </is>
      </c>
      <c r="C41" s="14" t="inlineStr">
        <is>
          <t>Go where the data already says the system is failing</t>
        </is>
      </c>
      <c r="D41" s="14" t="inlineStr">
        <is>
          <t>FOLDER_SAMPLE</t>
        </is>
      </c>
      <c r="E41" s="14" t="inlineStr"/>
    </row>
    <row r="42" ht="20" customHeight="1">
      <c r="A42" s="14" t="inlineStr">
        <is>
          <t>15:00</t>
        </is>
      </c>
      <c r="B42" s="14" t="inlineStr">
        <is>
          <t>Folder sampling — the rest, by area</t>
        </is>
      </c>
      <c r="C42" s="14" t="inlineStr">
        <is>
          <t>Work down the sheet. Choose the sample yourself, never let it be selected for you</t>
        </is>
      </c>
      <c r="D42" s="14" t="inlineStr">
        <is>
          <t>FOLDER_SAMPLE</t>
        </is>
      </c>
      <c r="E42" s="14" t="inlineStr"/>
    </row>
    <row r="43" ht="20" customHeight="1">
      <c r="A43" s="14" t="inlineStr">
        <is>
          <t>16:30</t>
        </is>
      </c>
      <c r="B43" s="14" t="inlineStr">
        <is>
          <t>Draft findings and agree corrective actions</t>
        </is>
      </c>
      <c r="C43" s="14" t="inlineStr">
        <is>
          <t>Agree owner and date with the project before you leave. Findings agreed later are resisted</t>
        </is>
      </c>
      <c r="D43" s="14" t="inlineStr">
        <is>
          <t>FINDINGS</t>
        </is>
      </c>
      <c r="E43" s="14" t="inlineStr"/>
    </row>
    <row r="44" ht="22" customHeight="1">
      <c r="A44" s="14" t="inlineStr">
        <is>
          <t>17:15</t>
        </is>
      </c>
      <c r="B44" s="14" t="inlineStr">
        <is>
          <t>Closing meeting — verbal score and critical findings</t>
        </is>
      </c>
      <c r="C44" s="14" t="inlineStr">
        <is>
          <t>No surprises in the written report</t>
        </is>
      </c>
      <c r="D44" s="14" t="inlineStr">
        <is>
          <t>DASHBOARD</t>
        </is>
      </c>
      <c r="E44" s="14" t="inlineStr"/>
    </row>
    <row r="47">
      <c r="A47" s="22" t="inlineStr">
        <is>
          <t>AFTER THE AUDIT</t>
        </is>
      </c>
      <c r="B47" s="23" t="n"/>
      <c r="C47" s="23" t="n"/>
      <c r="D47" s="23" t="n"/>
      <c r="E47" s="23" t="n"/>
    </row>
    <row r="48">
      <c r="A48" s="13" t="inlineStr">
        <is>
          <t>When</t>
        </is>
      </c>
      <c r="B48" s="13" t="inlineStr">
        <is>
          <t>Do this</t>
        </is>
      </c>
      <c r="C48" s="13" t="inlineStr">
        <is>
          <t>Why</t>
        </is>
      </c>
      <c r="D48" s="13" t="inlineStr">
        <is>
          <t>Done</t>
        </is>
      </c>
      <c r="E48" s="13" t="inlineStr">
        <is>
          <t>Notes</t>
        </is>
      </c>
    </row>
    <row r="49" ht="22" customHeight="1">
      <c r="A49" s="14" t="inlineStr">
        <is>
          <t>Within 3 working days</t>
        </is>
      </c>
      <c r="B49" s="14" t="inlineStr">
        <is>
          <t>Issue the written report with the score and all findings</t>
        </is>
      </c>
      <c r="C49" s="14" t="inlineStr">
        <is>
          <t>A report issued a fortnight later is a historical document</t>
        </is>
      </c>
      <c r="D49" s="14" t="inlineStr"/>
      <c r="E49" s="14" t="inlineStr"/>
    </row>
    <row r="50" ht="20" customHeight="1">
      <c r="A50" s="14" t="inlineStr">
        <is>
          <t>At the target date</t>
        </is>
      </c>
      <c r="B50" s="14" t="inlineStr">
        <is>
          <t>Verify closure physically, not on an email</t>
        </is>
      </c>
      <c r="C50" s="14" t="inlineStr">
        <is>
          <t>A finding closed on assurance will recur at the next audit</t>
        </is>
      </c>
      <c r="D50" s="14" t="inlineStr"/>
      <c r="E50" s="14" t="inlineStr"/>
    </row>
    <row r="51" ht="20" customHeight="1">
      <c r="A51" s="14" t="inlineStr">
        <is>
          <t>Same month</t>
        </is>
      </c>
      <c r="B51" s="14" t="inlineStr">
        <is>
          <t>Log the findings in 10.18 audit programme</t>
        </is>
      </c>
      <c r="C51" s="14" t="inlineStr">
        <is>
          <t>Feeds the internal audit programme required by ISO 9001 cl.9.2</t>
        </is>
      </c>
      <c r="D51" s="14" t="inlineStr"/>
      <c r="E51" s="14" t="inlineStr"/>
    </row>
    <row r="52" ht="20" customHeight="1">
      <c r="A52" s="14" t="inlineStr">
        <is>
          <t>Next review</t>
        </is>
      </c>
      <c r="B52" s="14" t="inlineStr">
        <is>
          <t>Present results at the management review</t>
        </is>
      </c>
      <c r="C52" s="14" t="inlineStr">
        <is>
          <t>Required input under cl.9.3.2. Audits that never reach management review change nothing</t>
        </is>
      </c>
      <c r="D52" s="14" t="inlineStr"/>
      <c r="E52" s="14" t="inlineStr"/>
    </row>
    <row r="55">
      <c r="A55" s="22" t="inlineStr">
        <is>
          <t>RULES FOR THE AUDITOR</t>
        </is>
      </c>
      <c r="B55" s="23" t="n"/>
      <c r="C55" s="23" t="n"/>
      <c r="D55" s="23" t="n"/>
      <c r="E55" s="23" t="n"/>
    </row>
    <row r="56" ht="26" customHeight="1">
      <c r="A56" s="24" t="inlineStr">
        <is>
          <t>•</t>
        </is>
      </c>
      <c r="B56" s="25" t="inlineStr">
        <is>
          <t>You must be independent of the project you are auditing. A Document Controller never audits their own site.</t>
        </is>
      </c>
    </row>
    <row r="57" ht="15" customHeight="1">
      <c r="A57" s="24" t="inlineStr">
        <is>
          <t>•</t>
        </is>
      </c>
      <c r="B57" s="25" t="inlineStr">
        <is>
          <t>Choose the sample yourself. Never accept a sample selected by the auditee.</t>
        </is>
      </c>
    </row>
    <row r="58" ht="15" customHeight="1">
      <c r="A58" s="24" t="inlineStr">
        <is>
          <t>•</t>
        </is>
      </c>
      <c r="B58" s="25" t="inlineStr">
        <is>
          <t>Test by inspection, not by asking. 'Do you do this?' is not an audit question.</t>
        </is>
      </c>
    </row>
    <row r="59" ht="15" customHeight="1">
      <c r="A59" s="24" t="inlineStr">
        <is>
          <t>•</t>
        </is>
      </c>
      <c r="B59" s="25" t="inlineStr">
        <is>
          <t>Absence of evidence scores zero. It is not a maybe.</t>
        </is>
      </c>
    </row>
    <row r="60" ht="15" customHeight="1">
      <c r="A60" s="24" t="inlineStr">
        <is>
          <t>•</t>
        </is>
      </c>
      <c r="B60" s="25" t="inlineStr">
        <is>
          <t>Photograph every finding. A finding without evidence will be argued.</t>
        </is>
      </c>
    </row>
    <row r="61" ht="15" customHeight="1">
      <c r="A61" s="24" t="inlineStr">
        <is>
          <t>•</t>
        </is>
      </c>
      <c r="B61" s="25" t="inlineStr">
        <is>
          <t>Score honestly. A generous score helps nobody the day a claim arrives.</t>
        </is>
      </c>
    </row>
  </sheetData>
  <mergeCells count="11">
    <mergeCell ref="B26:E26"/>
    <mergeCell ref="B27:E27"/>
    <mergeCell ref="B56:E56"/>
    <mergeCell ref="B57:E57"/>
    <mergeCell ref="B61:E61"/>
    <mergeCell ref="B58:E58"/>
    <mergeCell ref="B25:E25"/>
    <mergeCell ref="B24:E24"/>
    <mergeCell ref="B59:E59"/>
    <mergeCell ref="B28:E28"/>
    <mergeCell ref="B60:E6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showGridLines="0" workbookViewId="0">
      <pane ySplit="5" topLeftCell="A6" activePane="bottomLeft" state="frozen"/>
      <selection pane="bottomLeft" activeCell="A1" sqref="A1"/>
    </sheetView>
  </sheetViews>
  <sheetFormatPr baseColWidth="8" defaultRowHeight="15"/>
  <cols>
    <col width="5" customWidth="1" min="1" max="1"/>
    <col width="62" customWidth="1" min="2" max="2"/>
    <col width="48" customWidth="1" min="3" max="3"/>
    <col width="30" customWidth="1" min="4" max="4"/>
    <col width="26" customWidth="1" min="5" max="5"/>
  </cols>
  <sheetData>
    <row r="1">
      <c r="A1" s="19" t="inlineStr">
        <is>
          <t>DOCUMENT CONTROLLER INTERVIEW</t>
        </is>
      </c>
    </row>
    <row r="2">
      <c r="A2" s="3" t="inlineStr">
        <is>
          <t>Ask these before sampling. The answers tell you where to look. Ask for evidence on every answer — 'we always do that' is not evidence. Record what they actually said.</t>
        </is>
      </c>
    </row>
    <row r="3">
      <c r="A3" s="3" t="inlineStr">
        <is>
          <t>Interviewee: ______________  Role: ______________  Date: __________  Interviewer: ____________</t>
        </is>
      </c>
    </row>
    <row r="5" ht="24" customHeight="1">
      <c r="A5" s="13" t="inlineStr">
        <is>
          <t>#</t>
        </is>
      </c>
      <c r="B5" s="13" t="inlineStr">
        <is>
          <t>Question</t>
        </is>
      </c>
      <c r="C5" s="13" t="inlineStr">
        <is>
          <t>Answer given</t>
        </is>
      </c>
      <c r="D5" s="13" t="inlineStr">
        <is>
          <t>Evidence shown</t>
        </is>
      </c>
      <c r="E5" s="13" t="inlineStr">
        <is>
          <t>Follow up</t>
        </is>
      </c>
    </row>
    <row r="6">
      <c r="A6" s="26" t="inlineStr">
        <is>
          <t>Set-up and authority</t>
        </is>
      </c>
      <c r="B6" s="11" t="n"/>
      <c r="C6" s="11" t="n"/>
      <c r="D6" s="11" t="n"/>
      <c r="E6" s="6" t="n"/>
    </row>
    <row r="7" ht="30" customHeight="1">
      <c r="A7" s="14" t="n">
        <v>1</v>
      </c>
      <c r="B7" s="14" t="inlineStr">
        <is>
          <t>Who nominated you as Document Controller, and can you show me that in writing?</t>
        </is>
      </c>
      <c r="C7" s="27" t="inlineStr"/>
      <c r="D7" s="27" t="inlineStr"/>
      <c r="E7" s="27" t="inlineStr"/>
    </row>
    <row r="8" ht="30" customHeight="1">
      <c r="A8" s="14" t="n">
        <v>2</v>
      </c>
      <c r="B8" s="14" t="inlineStr">
        <is>
          <t>When was the numbering protocol issued to the contractors, and can you show me the transmittal?</t>
        </is>
      </c>
      <c r="C8" s="27" t="inlineStr"/>
      <c r="D8" s="27" t="inlineStr"/>
      <c r="E8" s="27" t="inlineStr"/>
    </row>
    <row r="9" ht="30" customHeight="1">
      <c r="A9" s="14" t="n">
        <v>3</v>
      </c>
      <c r="B9" s="14" t="inlineStr">
        <is>
          <t>Who else can edit the registers?</t>
        </is>
      </c>
      <c r="C9" s="27" t="inlineStr"/>
      <c r="D9" s="27" t="inlineStr"/>
      <c r="E9" s="27" t="inlineStr"/>
    </row>
    <row r="10" ht="30" customHeight="1">
      <c r="A10" s="14" t="n">
        <v>4</v>
      </c>
      <c r="B10" s="14" t="inlineStr">
        <is>
          <t>What do you do when a document arrives with a non-compliant number?</t>
        </is>
      </c>
      <c r="C10" s="27" t="inlineStr"/>
      <c r="D10" s="27" t="inlineStr"/>
      <c r="E10" s="27" t="inlineStr"/>
    </row>
    <row r="12">
      <c r="A12" s="26" t="inlineStr">
        <is>
          <t>Daily working</t>
        </is>
      </c>
      <c r="B12" s="11" t="n"/>
      <c r="C12" s="11" t="n"/>
      <c r="D12" s="11" t="n"/>
      <c r="E12" s="6" t="n"/>
    </row>
    <row r="13" ht="30" customHeight="1">
      <c r="A13" s="14" t="n">
        <v>5</v>
      </c>
      <c r="B13" s="14" t="inlineStr">
        <is>
          <t>Walk me through what happens between a drawing arriving and it reaching the workface.</t>
        </is>
      </c>
      <c r="C13" s="27" t="inlineStr"/>
      <c r="D13" s="27" t="inlineStr"/>
      <c r="E13" s="27" t="inlineStr"/>
    </row>
    <row r="14" ht="30" customHeight="1">
      <c r="A14" s="14" t="n">
        <v>6</v>
      </c>
      <c r="B14" s="14" t="inlineStr">
        <is>
          <t>How long does registration usually take? Show me the last five entries and their receipt dates.</t>
        </is>
      </c>
      <c r="C14" s="27" t="inlineStr"/>
      <c r="D14" s="27" t="inlineStr"/>
      <c r="E14" s="27" t="inlineStr"/>
    </row>
    <row r="15" ht="30" customHeight="1">
      <c r="A15" s="14" t="n">
        <v>7</v>
      </c>
      <c r="B15" s="14" t="inlineStr">
        <is>
          <t>When did you last return a submission for a bad number?</t>
        </is>
      </c>
      <c r="C15" s="27" t="inlineStr"/>
      <c r="D15" s="27" t="inlineStr"/>
      <c r="E15" s="27" t="inlineStr"/>
    </row>
    <row r="16" ht="30" customHeight="1">
      <c r="A16" s="14" t="n">
        <v>8</v>
      </c>
      <c r="B16" s="14" t="inlineStr">
        <is>
          <t>How do you know a reviewer has not overrun the SLA?</t>
        </is>
      </c>
      <c r="C16" s="27" t="inlineStr"/>
      <c r="D16" s="27" t="inlineStr"/>
      <c r="E16" s="27" t="inlineStr"/>
    </row>
    <row r="18">
      <c r="A18" s="26" t="inlineStr">
        <is>
          <t>Revision control</t>
        </is>
      </c>
      <c r="B18" s="11" t="n"/>
      <c r="C18" s="11" t="n"/>
      <c r="D18" s="11" t="n"/>
      <c r="E18" s="6" t="n"/>
    </row>
    <row r="19" ht="30" customHeight="1">
      <c r="A19" s="14" t="n">
        <v>9</v>
      </c>
      <c r="B19" s="14" t="inlineStr">
        <is>
          <t>Show me the last revision that superseded a drawing. Where is the old one now?</t>
        </is>
      </c>
      <c r="C19" s="27" t="inlineStr"/>
      <c r="D19" s="27" t="inlineStr"/>
      <c r="E19" s="27" t="inlineStr"/>
    </row>
    <row r="20" ht="30" customHeight="1">
      <c r="A20" s="14" t="n">
        <v>10</v>
      </c>
      <c r="B20" s="14" t="inlineStr">
        <is>
          <t>How do you get prints back from the workface, and what happens if one is missing?</t>
        </is>
      </c>
      <c r="C20" s="27" t="inlineStr"/>
      <c r="D20" s="27" t="inlineStr"/>
      <c r="E20" s="27" t="inlineStr"/>
    </row>
    <row r="21" ht="30" customHeight="1">
      <c r="A21" s="14" t="n">
        <v>11</v>
      </c>
      <c r="B21" s="14" t="inlineStr">
        <is>
          <t>When did you last audit the drawing boards?</t>
        </is>
      </c>
      <c r="C21" s="27" t="inlineStr"/>
      <c r="D21" s="27" t="inlineStr"/>
      <c r="E21" s="27" t="inlineStr"/>
    </row>
    <row r="23">
      <c r="A23" s="26" t="inlineStr">
        <is>
          <t>Under pressure</t>
        </is>
      </c>
      <c r="B23" s="11" t="n"/>
      <c r="C23" s="11" t="n"/>
      <c r="D23" s="11" t="n"/>
      <c r="E23" s="6" t="n"/>
    </row>
    <row r="24" ht="30" customHeight="1">
      <c r="A24" s="14" t="n">
        <v>12</v>
      </c>
      <c r="B24" s="14" t="inlineStr">
        <is>
          <t>In the busiest week of this project, what slipped?</t>
        </is>
      </c>
      <c r="C24" s="27" t="inlineStr"/>
      <c r="D24" s="27" t="inlineStr"/>
      <c r="E24" s="27" t="inlineStr"/>
    </row>
    <row r="25" ht="30" customHeight="1">
      <c r="A25" s="14" t="n">
        <v>13</v>
      </c>
      <c r="B25" s="14" t="inlineStr">
        <is>
          <t>Has anyone ever asked you to backdate or amend a record? What did you do?</t>
        </is>
      </c>
      <c r="C25" s="27" t="inlineStr"/>
      <c r="D25" s="27" t="inlineStr"/>
      <c r="E25" s="27" t="inlineStr"/>
    </row>
    <row r="26" ht="30" customHeight="1">
      <c r="A26" s="14" t="n">
        <v>14</v>
      </c>
      <c r="B26" s="14" t="inlineStr">
        <is>
          <t>Has a pour ever gone ahead without written permission? What happened?</t>
        </is>
      </c>
      <c r="C26" s="27" t="inlineStr"/>
      <c r="D26" s="27" t="inlineStr"/>
      <c r="E26" s="27" t="inlineStr"/>
    </row>
    <row r="28">
      <c r="A28" s="26" t="inlineStr">
        <is>
          <t>KPI and reporting</t>
        </is>
      </c>
      <c r="B28" s="11" t="n"/>
      <c r="C28" s="11" t="n"/>
      <c r="D28" s="11" t="n"/>
      <c r="E28" s="6" t="n"/>
    </row>
    <row r="29" ht="30" customHeight="1">
      <c r="A29" s="14" t="n">
        <v>15</v>
      </c>
      <c r="B29" s="14" t="inlineStr">
        <is>
          <t>Show me the last KPI refresh timestamp.</t>
        </is>
      </c>
      <c r="C29" s="27" t="inlineStr"/>
      <c r="D29" s="27" t="inlineStr"/>
      <c r="E29" s="27" t="inlineStr"/>
    </row>
    <row r="30" ht="30" customHeight="1">
      <c r="A30" s="14" t="n">
        <v>16</v>
      </c>
      <c r="B30" s="14" t="inlineStr">
        <is>
          <t>Which subjects were red last month, and what was done about them?</t>
        </is>
      </c>
      <c r="C30" s="27" t="inlineStr"/>
      <c r="D30" s="27" t="inlineStr"/>
      <c r="E30" s="27" t="inlineStr"/>
    </row>
    <row r="31" ht="30" customHeight="1">
      <c r="A31" s="14" t="n">
        <v>17</v>
      </c>
      <c r="B31" s="14" t="inlineStr">
        <is>
          <t>Which register is closest to its capacity?</t>
        </is>
      </c>
      <c r="C31" s="27" t="inlineStr"/>
      <c r="D31" s="27" t="inlineStr"/>
      <c r="E31" s="27" t="inlineStr"/>
    </row>
    <row r="33">
      <c r="A33" s="26" t="inlineStr">
        <is>
          <t>Support and resource</t>
        </is>
      </c>
      <c r="B33" s="11" t="n"/>
      <c r="C33" s="11" t="n"/>
      <c r="D33" s="11" t="n"/>
      <c r="E33" s="6" t="n"/>
    </row>
    <row r="34" ht="30" customHeight="1">
      <c r="A34" s="14" t="n">
        <v>18</v>
      </c>
      <c r="B34" s="14" t="inlineStr">
        <is>
          <t>Do you have enough time to do this properly? If not, what gets dropped first?</t>
        </is>
      </c>
      <c r="C34" s="27" t="inlineStr"/>
      <c r="D34" s="27" t="inlineStr"/>
      <c r="E34" s="27" t="inlineStr"/>
    </row>
    <row r="35" ht="30" customHeight="1">
      <c r="A35" s="14" t="n">
        <v>19</v>
      </c>
      <c r="B35" s="14" t="inlineStr">
        <is>
          <t>What would you change about the system if you could?</t>
        </is>
      </c>
      <c r="C35" s="27" t="inlineStr"/>
      <c r="D35" s="27" t="inlineStr"/>
      <c r="E35" s="27" t="inlineStr"/>
    </row>
    <row r="36" ht="30" customHeight="1">
      <c r="A36" s="14" t="n">
        <v>20</v>
      </c>
      <c r="B36" s="14" t="inlineStr">
        <is>
          <t>What do people most often get wrong when filing?</t>
        </is>
      </c>
      <c r="C36" s="27" t="inlineStr"/>
      <c r="D36" s="27" t="inlineStr"/>
      <c r="E36" s="27" t="inlineStr"/>
    </row>
  </sheetData>
  <mergeCells count="6">
    <mergeCell ref="A12:E12"/>
    <mergeCell ref="A28:E28"/>
    <mergeCell ref="A33:E33"/>
    <mergeCell ref="A23:E23"/>
    <mergeCell ref="A6:E6"/>
    <mergeCell ref="A18:E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4"/>
  <sheetViews>
    <sheetView showGridLines="0" workbookViewId="0">
      <pane ySplit="5" topLeftCell="A6" activePane="bottomLeft" state="frozen"/>
      <selection pane="bottomLeft" activeCell="A1" sqref="A1"/>
    </sheetView>
  </sheetViews>
  <sheetFormatPr baseColWidth="8" defaultRowHeight="15"/>
  <cols>
    <col width="5" customWidth="1" min="1" max="1"/>
    <col width="62" customWidth="1" min="2" max="2"/>
    <col width="26" customWidth="1" min="3" max="3"/>
    <col width="40" customWidth="1" min="4" max="4"/>
    <col width="8" customWidth="1" min="5" max="5"/>
    <col width="12" customWidth="1" min="6" max="6"/>
    <col width="12" customWidth="1" min="7" max="7"/>
  </cols>
  <sheetData>
    <row r="1">
      <c r="A1" s="19" t="inlineStr">
        <is>
          <t>SITE WALK INSPECTION SHEET</t>
        </is>
      </c>
    </row>
    <row r="2">
      <c r="A2" s="3" t="inlineStr">
        <is>
          <t>Physical inspection. Roughly half the critical findings on any document audit are found here, not in a folder. Do this before you sit down with the registers.</t>
        </is>
      </c>
    </row>
    <row r="3">
      <c r="A3" s="3" t="inlineStr">
        <is>
          <t>Project: ______________  Date: __________  Areas walked: ______________________  Accompanied by: ____________</t>
        </is>
      </c>
    </row>
    <row r="5" ht="26" customHeight="1">
      <c r="A5" s="13" t="inlineStr">
        <is>
          <t>#</t>
        </is>
      </c>
      <c r="B5" s="13" t="inlineStr">
        <is>
          <t>What to look at</t>
        </is>
      </c>
      <c r="C5" s="13" t="inlineStr">
        <is>
          <t>Location checked</t>
        </is>
      </c>
      <c r="D5" s="13" t="inlineStr">
        <is>
          <t>Observed</t>
        </is>
      </c>
      <c r="E5" s="13" t="inlineStr">
        <is>
          <t>Score</t>
        </is>
      </c>
      <c r="F5" s="13" t="inlineStr">
        <is>
          <t>Photo ref.</t>
        </is>
      </c>
      <c r="G5" s="13" t="inlineStr">
        <is>
          <t>Finding ref.</t>
        </is>
      </c>
    </row>
    <row r="6">
      <c r="A6" s="26" t="inlineStr">
        <is>
          <t>1.  SITE OFFICE — DRAWING CONTROL</t>
        </is>
      </c>
      <c r="B6" s="11" t="n"/>
      <c r="C6" s="11" t="n"/>
      <c r="D6" s="11" t="n"/>
      <c r="E6" s="11" t="n"/>
      <c r="F6" s="11" t="n"/>
      <c r="G6" s="6" t="n"/>
    </row>
    <row r="7" ht="22" customHeight="1">
      <c r="A7" s="28" t="n">
        <v>1</v>
      </c>
      <c r="B7" s="14" t="inlineStr">
        <is>
          <t>Every drawing on the board carries an A-code suitability</t>
        </is>
      </c>
      <c r="C7" s="29" t="inlineStr"/>
      <c r="D7" s="29" t="inlineStr"/>
      <c r="E7" s="29" t="inlineStr"/>
      <c r="F7" s="29" t="inlineStr"/>
      <c r="G7" s="29" t="inlineStr"/>
    </row>
    <row r="8" ht="22" customHeight="1">
      <c r="A8" s="28" t="n">
        <v>2</v>
      </c>
      <c r="B8" s="14" t="inlineStr">
        <is>
          <t>No superseded revision anywhere in the site office</t>
        </is>
      </c>
      <c r="C8" s="29" t="inlineStr"/>
      <c r="D8" s="29" t="inlineStr"/>
      <c r="E8" s="29" t="inlineStr"/>
      <c r="F8" s="29" t="inlineStr"/>
      <c r="G8" s="29" t="inlineStr"/>
    </row>
    <row r="9" ht="22" customHeight="1">
      <c r="A9" s="28" t="n">
        <v>3</v>
      </c>
      <c r="B9" s="14" t="inlineStr">
        <is>
          <t>Drawing register on display matches what is on the board</t>
        </is>
      </c>
      <c r="C9" s="29" t="inlineStr"/>
      <c r="D9" s="29" t="inlineStr"/>
      <c r="E9" s="29" t="inlineStr"/>
      <c r="F9" s="29" t="inlineStr"/>
      <c r="G9" s="29" t="inlineStr"/>
    </row>
    <row r="10" ht="22" customHeight="1">
      <c r="A10" s="28" t="n">
        <v>4</v>
      </c>
      <c r="B10" s="14" t="inlineStr">
        <is>
          <t>Superseded prints held for withdrawal are stamped and segregated</t>
        </is>
      </c>
      <c r="C10" s="29" t="inlineStr"/>
      <c r="D10" s="29" t="inlineStr"/>
      <c r="E10" s="29" t="inlineStr"/>
      <c r="F10" s="29" t="inlineStr"/>
      <c r="G10" s="29" t="inlineStr"/>
    </row>
    <row r="11" ht="22" customHeight="1">
      <c r="A11" s="28" t="n">
        <v>5</v>
      </c>
      <c r="B11" s="14" t="inlineStr">
        <is>
          <t>No uncontrolled photocopies or marked-up prints in use</t>
        </is>
      </c>
      <c r="C11" s="29" t="inlineStr"/>
      <c r="D11" s="29" t="inlineStr"/>
      <c r="E11" s="29" t="inlineStr"/>
      <c r="F11" s="29" t="inlineStr"/>
      <c r="G11" s="29" t="inlineStr"/>
    </row>
    <row r="13">
      <c r="A13" s="26" t="inlineStr">
        <is>
          <t>2.  WORKFACE — DRAWINGS AND METHOD</t>
        </is>
      </c>
      <c r="B13" s="11" t="n"/>
      <c r="C13" s="11" t="n"/>
      <c r="D13" s="11" t="n"/>
      <c r="E13" s="11" t="n"/>
      <c r="F13" s="11" t="n"/>
      <c r="G13" s="6" t="n"/>
    </row>
    <row r="14" ht="22" customHeight="1">
      <c r="A14" s="28" t="n">
        <v>6</v>
      </c>
      <c r="B14" s="14" t="inlineStr">
        <is>
          <t>Prints held by foremen are current revision</t>
        </is>
      </c>
      <c r="C14" s="29" t="inlineStr"/>
      <c r="D14" s="29" t="inlineStr"/>
      <c r="E14" s="29" t="inlineStr"/>
      <c r="F14" s="29" t="inlineStr"/>
      <c r="G14" s="29" t="inlineStr"/>
    </row>
    <row r="15" ht="22" customHeight="1">
      <c r="A15" s="28" t="n">
        <v>7</v>
      </c>
      <c r="B15" s="14" t="inlineStr">
        <is>
          <t>Approved method statement available at the activity</t>
        </is>
      </c>
      <c r="C15" s="29" t="inlineStr"/>
      <c r="D15" s="29" t="inlineStr"/>
      <c r="E15" s="29" t="inlineStr"/>
      <c r="F15" s="29" t="inlineStr"/>
      <c r="G15" s="29" t="inlineStr"/>
    </row>
    <row r="16" ht="22" customHeight="1">
      <c r="A16" s="28" t="n">
        <v>8</v>
      </c>
      <c r="B16" s="14" t="inlineStr">
        <is>
          <t>Workforce can describe the method they were briefed on</t>
        </is>
      </c>
      <c r="C16" s="29" t="inlineStr"/>
      <c r="D16" s="29" t="inlineStr"/>
      <c r="E16" s="29" t="inlineStr"/>
      <c r="F16" s="29" t="inlineStr"/>
      <c r="G16" s="29" t="inlineStr"/>
    </row>
    <row r="17" ht="22" customHeight="1">
      <c r="A17" s="28" t="n">
        <v>9</v>
      </c>
      <c r="B17" s="14" t="inlineStr">
        <is>
          <t>Approved mock-up or benchmark accessible for the finishing trade</t>
        </is>
      </c>
      <c r="C17" s="29" t="inlineStr"/>
      <c r="D17" s="29" t="inlineStr"/>
      <c r="E17" s="29" t="inlineStr"/>
      <c r="F17" s="29" t="inlineStr"/>
      <c r="G17" s="29" t="inlineStr"/>
    </row>
    <row r="18" ht="22" customHeight="1">
      <c r="A18" s="28" t="n">
        <v>10</v>
      </c>
      <c r="B18" s="14" t="inlineStr">
        <is>
          <t>No work proceeding on a drawing marked for review or information</t>
        </is>
      </c>
      <c r="C18" s="29" t="inlineStr"/>
      <c r="D18" s="29" t="inlineStr"/>
      <c r="E18" s="29" t="inlineStr"/>
      <c r="F18" s="29" t="inlineStr"/>
      <c r="G18" s="29" t="inlineStr"/>
    </row>
    <row r="20">
      <c r="A20" s="26" t="inlineStr">
        <is>
          <t>3.  WORKFACE — PERMITS AND SAFETY</t>
        </is>
      </c>
      <c r="B20" s="11" t="n"/>
      <c r="C20" s="11" t="n"/>
      <c r="D20" s="11" t="n"/>
      <c r="E20" s="11" t="n"/>
      <c r="F20" s="11" t="n"/>
      <c r="G20" s="6" t="n"/>
    </row>
    <row r="21" ht="22" customHeight="1">
      <c r="A21" s="28" t="n">
        <v>11</v>
      </c>
      <c r="B21" s="14" t="inlineStr">
        <is>
          <t>Live permits displayed at the activity, not held in the office</t>
        </is>
      </c>
      <c r="C21" s="29" t="inlineStr"/>
      <c r="D21" s="29" t="inlineStr"/>
      <c r="E21" s="29" t="inlineStr"/>
      <c r="F21" s="29" t="inlineStr"/>
      <c r="G21" s="29" t="inlineStr"/>
    </row>
    <row r="22" ht="22" customHeight="1">
      <c r="A22" s="28" t="n">
        <v>12</v>
      </c>
      <c r="B22" s="14" t="inlineStr">
        <is>
          <t>Permit precautions actually in place as described on the permit</t>
        </is>
      </c>
      <c r="C22" s="29" t="inlineStr"/>
      <c r="D22" s="29" t="inlineStr"/>
      <c r="E22" s="29" t="inlineStr"/>
      <c r="F22" s="29" t="inlineStr"/>
      <c r="G22" s="29" t="inlineStr"/>
    </row>
    <row r="23" ht="22" customHeight="1">
      <c r="A23" s="28" t="n">
        <v>13</v>
      </c>
      <c r="B23" s="14" t="inlineStr">
        <is>
          <t>Permit within its stated validity period and location</t>
        </is>
      </c>
      <c r="C23" s="29" t="inlineStr"/>
      <c r="D23" s="29" t="inlineStr"/>
      <c r="E23" s="29" t="inlineStr"/>
      <c r="F23" s="29" t="inlineStr"/>
      <c r="G23" s="29" t="inlineStr"/>
    </row>
    <row r="24" ht="22" customHeight="1">
      <c r="A24" s="28" t="n">
        <v>14</v>
      </c>
      <c r="B24" s="14" t="inlineStr">
        <is>
          <t>Gas test and isolation records attached where applicable</t>
        </is>
      </c>
      <c r="C24" s="29" t="inlineStr"/>
      <c r="D24" s="29" t="inlineStr"/>
      <c r="E24" s="29" t="inlineStr"/>
      <c r="F24" s="29" t="inlineStr"/>
      <c r="G24" s="29" t="inlineStr"/>
    </row>
    <row r="25" ht="22" customHeight="1">
      <c r="A25" s="28" t="n">
        <v>15</v>
      </c>
      <c r="B25" s="14" t="inlineStr">
        <is>
          <t>Today's toolbox talk topic matches today's actual work</t>
        </is>
      </c>
      <c r="C25" s="29" t="inlineStr"/>
      <c r="D25" s="29" t="inlineStr"/>
      <c r="E25" s="29" t="inlineStr"/>
      <c r="F25" s="29" t="inlineStr"/>
      <c r="G25" s="29" t="inlineStr"/>
    </row>
    <row r="26" ht="22" customHeight="1">
      <c r="A26" s="28" t="n">
        <v>16</v>
      </c>
      <c r="B26" s="14" t="inlineStr">
        <is>
          <t>Everyone at the workface has a valid induction and gate pass</t>
        </is>
      </c>
      <c r="C26" s="29" t="inlineStr"/>
      <c r="D26" s="29" t="inlineStr"/>
      <c r="E26" s="29" t="inlineStr"/>
      <c r="F26" s="29" t="inlineStr"/>
      <c r="G26" s="29" t="inlineStr"/>
    </row>
    <row r="28">
      <c r="A28" s="26" t="inlineStr">
        <is>
          <t>4.  QUALITY AT THE WORKFACE</t>
        </is>
      </c>
      <c r="B28" s="11" t="n"/>
      <c r="C28" s="11" t="n"/>
      <c r="D28" s="11" t="n"/>
      <c r="E28" s="11" t="n"/>
      <c r="F28" s="11" t="n"/>
      <c r="G28" s="6" t="n"/>
    </row>
    <row r="29" ht="22" customHeight="1">
      <c r="A29" s="28" t="n">
        <v>17</v>
      </c>
      <c r="B29" s="14" t="inlineStr">
        <is>
          <t>Pour card signed before the pour, with permission time recorded</t>
        </is>
      </c>
      <c r="C29" s="29" t="inlineStr"/>
      <c r="D29" s="29" t="inlineStr"/>
      <c r="E29" s="29" t="inlineStr"/>
      <c r="F29" s="29" t="inlineStr"/>
      <c r="G29" s="29" t="inlineStr"/>
    </row>
    <row r="30" ht="22" customHeight="1">
      <c r="A30" s="28" t="n">
        <v>18</v>
      </c>
      <c r="B30" s="14" t="inlineStr">
        <is>
          <t>Cover blocks, spacers and reinforcement match the checklist entry</t>
        </is>
      </c>
      <c r="C30" s="29" t="inlineStr"/>
      <c r="D30" s="29" t="inlineStr"/>
      <c r="E30" s="29" t="inlineStr"/>
      <c r="F30" s="29" t="inlineStr"/>
      <c r="G30" s="29" t="inlineStr"/>
    </row>
    <row r="31" ht="22" customHeight="1">
      <c r="A31" s="28" t="n">
        <v>19</v>
      </c>
      <c r="B31" s="14" t="inlineStr">
        <is>
          <t>Concealed work photographed before covering</t>
        </is>
      </c>
      <c r="C31" s="29" t="inlineStr"/>
      <c r="D31" s="29" t="inlineStr"/>
      <c r="E31" s="29" t="inlineStr"/>
      <c r="F31" s="29" t="inlineStr"/>
      <c r="G31" s="29" t="inlineStr"/>
    </row>
    <row r="32" ht="22" customHeight="1">
      <c r="A32" s="28" t="n">
        <v>20</v>
      </c>
      <c r="B32" s="14" t="inlineStr">
        <is>
          <t>Test cubes marked and stored correctly</t>
        </is>
      </c>
      <c r="C32" s="29" t="inlineStr"/>
      <c r="D32" s="29" t="inlineStr"/>
      <c r="E32" s="29" t="inlineStr"/>
      <c r="F32" s="29" t="inlineStr"/>
      <c r="G32" s="29" t="inlineStr"/>
    </row>
    <row r="33" ht="22" customHeight="1">
      <c r="A33" s="28" t="n">
        <v>21</v>
      </c>
      <c r="B33" s="14" t="inlineStr">
        <is>
          <t>Open NCR areas are physically quarantined or marked</t>
        </is>
      </c>
      <c r="C33" s="29" t="inlineStr"/>
      <c r="D33" s="29" t="inlineStr"/>
      <c r="E33" s="29" t="inlineStr"/>
      <c r="F33" s="29" t="inlineStr"/>
      <c r="G33" s="29" t="inlineStr"/>
    </row>
    <row r="34" ht="22" customHeight="1">
      <c r="A34" s="28" t="n">
        <v>22</v>
      </c>
      <c r="B34" s="14" t="inlineStr">
        <is>
          <t>Calibration stickers current on instruments in use</t>
        </is>
      </c>
      <c r="C34" s="29" t="inlineStr"/>
      <c r="D34" s="29" t="inlineStr"/>
      <c r="E34" s="29" t="inlineStr"/>
      <c r="F34" s="29" t="inlineStr"/>
      <c r="G34" s="29" t="inlineStr"/>
    </row>
    <row r="36">
      <c r="A36" s="26" t="inlineStr">
        <is>
          <t>5.  INDUSTRIAL WORKFACE</t>
        </is>
      </c>
      <c r="B36" s="11" t="n"/>
      <c r="C36" s="11" t="n"/>
      <c r="D36" s="11" t="n"/>
      <c r="E36" s="11" t="n"/>
      <c r="F36" s="11" t="n"/>
      <c r="G36" s="6" t="n"/>
    </row>
    <row r="37" ht="22" customHeight="1">
      <c r="A37" s="28" t="n">
        <v>23</v>
      </c>
      <c r="B37" s="14" t="inlineStr">
        <is>
          <t>Welder ID on the weld matches the weld log and a current WPQ</t>
        </is>
      </c>
      <c r="C37" s="29" t="inlineStr"/>
      <c r="D37" s="29" t="inlineStr"/>
      <c r="E37" s="29" t="inlineStr"/>
      <c r="F37" s="29" t="inlineStr"/>
      <c r="G37" s="29" t="inlineStr"/>
    </row>
    <row r="38" ht="22" customHeight="1">
      <c r="A38" s="28" t="n">
        <v>24</v>
      </c>
      <c r="B38" s="14" t="inlineStr">
        <is>
          <t>NDT markings present at the specified frequency</t>
        </is>
      </c>
      <c r="C38" s="29" t="inlineStr"/>
      <c r="D38" s="29" t="inlineStr"/>
      <c r="E38" s="29" t="inlineStr"/>
      <c r="F38" s="29" t="inlineStr"/>
      <c r="G38" s="29" t="inlineStr"/>
    </row>
    <row r="39" ht="22" customHeight="1">
      <c r="A39" s="28" t="n">
        <v>25</v>
      </c>
      <c r="B39" s="14" t="inlineStr">
        <is>
          <t>Hydrotested lines tagged and reinstatement recorded</t>
        </is>
      </c>
      <c r="C39" s="29" t="inlineStr"/>
      <c r="D39" s="29" t="inlineStr"/>
      <c r="E39" s="29" t="inlineStr"/>
      <c r="F39" s="29" t="inlineStr"/>
      <c r="G39" s="29" t="inlineStr"/>
    </row>
    <row r="40" ht="22" customHeight="1">
      <c r="A40" s="28" t="n">
        <v>26</v>
      </c>
      <c r="B40" s="14" t="inlineStr">
        <is>
          <t>Equipment alignment records available at the machine</t>
        </is>
      </c>
      <c r="C40" s="29" t="inlineStr"/>
      <c r="D40" s="29" t="inlineStr"/>
      <c r="E40" s="29" t="inlineStr"/>
      <c r="F40" s="29" t="inlineStr"/>
      <c r="G40" s="29" t="inlineStr"/>
    </row>
    <row r="41" ht="22" customHeight="1">
      <c r="A41" s="28" t="n">
        <v>27</v>
      </c>
      <c r="B41" s="14" t="inlineStr">
        <is>
          <t>Temporary works carry a valid permit to load</t>
        </is>
      </c>
      <c r="C41" s="29" t="inlineStr"/>
      <c r="D41" s="29" t="inlineStr"/>
      <c r="E41" s="29" t="inlineStr"/>
      <c r="F41" s="29" t="inlineStr"/>
      <c r="G41" s="29" t="inlineStr"/>
    </row>
    <row r="42" ht="22" customHeight="1">
      <c r="A42" s="28" t="n">
        <v>28</v>
      </c>
      <c r="B42" s="14" t="inlineStr">
        <is>
          <t>Coating DFT gauge readings available for the area inspected</t>
        </is>
      </c>
      <c r="C42" s="29" t="inlineStr"/>
      <c r="D42" s="29" t="inlineStr"/>
      <c r="E42" s="29" t="inlineStr"/>
      <c r="F42" s="29" t="inlineStr"/>
      <c r="G42" s="29" t="inlineStr"/>
    </row>
    <row r="44">
      <c r="A44" s="26" t="inlineStr">
        <is>
          <t>6.  STORES AND MATERIAL</t>
        </is>
      </c>
      <c r="B44" s="11" t="n"/>
      <c r="C44" s="11" t="n"/>
      <c r="D44" s="11" t="n"/>
      <c r="E44" s="11" t="n"/>
      <c r="F44" s="11" t="n"/>
      <c r="G44" s="6" t="n"/>
    </row>
    <row r="45" ht="22" customHeight="1">
      <c r="A45" s="28" t="n">
        <v>29</v>
      </c>
      <c r="B45" s="14" t="inlineStr">
        <is>
          <t>Material received matches the approved submittal brand and grade</t>
        </is>
      </c>
      <c r="C45" s="29" t="inlineStr"/>
      <c r="D45" s="29" t="inlineStr"/>
      <c r="E45" s="29" t="inlineStr"/>
      <c r="F45" s="29" t="inlineStr"/>
      <c r="G45" s="29" t="inlineStr"/>
    </row>
    <row r="46" ht="22" customHeight="1">
      <c r="A46" s="28" t="n">
        <v>30</v>
      </c>
      <c r="B46" s="14" t="inlineStr">
        <is>
          <t>GRN raised for everything on the rack</t>
        </is>
      </c>
      <c r="C46" s="29" t="inlineStr"/>
      <c r="D46" s="29" t="inlineStr"/>
      <c r="E46" s="29" t="inlineStr"/>
      <c r="F46" s="29" t="inlineStr"/>
      <c r="G46" s="29" t="inlineStr"/>
    </row>
    <row r="47" ht="22" customHeight="1">
      <c r="A47" s="28" t="n">
        <v>31</v>
      </c>
      <c r="B47" s="14" t="inlineStr">
        <is>
          <t>Test certificates held for material issued to the works</t>
        </is>
      </c>
      <c r="C47" s="29" t="inlineStr"/>
      <c r="D47" s="29" t="inlineStr"/>
      <c r="E47" s="29" t="inlineStr"/>
      <c r="F47" s="29" t="inlineStr"/>
      <c r="G47" s="29" t="inlineStr"/>
    </row>
    <row r="48" ht="22" customHeight="1">
      <c r="A48" s="28" t="n">
        <v>32</v>
      </c>
      <c r="B48" s="14" t="inlineStr">
        <is>
          <t>Unapproved or rejected material segregated and marked</t>
        </is>
      </c>
      <c r="C48" s="29" t="inlineStr"/>
      <c r="D48" s="29" t="inlineStr"/>
      <c r="E48" s="29" t="inlineStr"/>
      <c r="F48" s="29" t="inlineStr"/>
      <c r="G48" s="29" t="inlineStr"/>
    </row>
    <row r="49" ht="22" customHeight="1">
      <c r="A49" s="28" t="n">
        <v>33</v>
      </c>
      <c r="B49" s="14" t="inlineStr">
        <is>
          <t>Client-supplied material custody records available</t>
        </is>
      </c>
      <c r="C49" s="29" t="inlineStr"/>
      <c r="D49" s="29" t="inlineStr"/>
      <c r="E49" s="29" t="inlineStr"/>
      <c r="F49" s="29" t="inlineStr"/>
      <c r="G49" s="29" t="inlineStr"/>
    </row>
    <row r="50" ht="22" customHeight="1">
      <c r="A50" s="28" t="n">
        <v>34</v>
      </c>
      <c r="B50" s="14" t="inlineStr">
        <is>
          <t>Storage conditions suit the material — cement, consumables, coatings</t>
        </is>
      </c>
      <c r="C50" s="29" t="inlineStr"/>
      <c r="D50" s="29" t="inlineStr"/>
      <c r="E50" s="29" t="inlineStr"/>
      <c r="F50" s="29" t="inlineStr"/>
      <c r="G50" s="29" t="inlineStr"/>
    </row>
    <row r="52">
      <c r="A52" s="26" t="inlineStr">
        <is>
          <t>7.  HSE AND WELFARE</t>
        </is>
      </c>
      <c r="B52" s="11" t="n"/>
      <c r="C52" s="11" t="n"/>
      <c r="D52" s="11" t="n"/>
      <c r="E52" s="11" t="n"/>
      <c r="F52" s="11" t="n"/>
      <c r="G52" s="6" t="n"/>
    </row>
    <row r="53" ht="22" customHeight="1">
      <c r="A53" s="28" t="n">
        <v>35</v>
      </c>
      <c r="B53" s="14" t="inlineStr">
        <is>
          <t>Emergency assembly points signed and visible in the site languages</t>
        </is>
      </c>
      <c r="C53" s="29" t="inlineStr"/>
      <c r="D53" s="29" t="inlineStr"/>
      <c r="E53" s="29" t="inlineStr"/>
      <c r="F53" s="29" t="inlineStr"/>
      <c r="G53" s="29" t="inlineStr"/>
    </row>
    <row r="54" ht="22" customHeight="1">
      <c r="A54" s="28" t="n">
        <v>36</v>
      </c>
      <c r="B54" s="14" t="inlineStr">
        <is>
          <t>First aid and firefighting provision in place and in date</t>
        </is>
      </c>
      <c r="C54" s="29" t="inlineStr"/>
      <c r="D54" s="29" t="inlineStr"/>
      <c r="E54" s="29" t="inlineStr"/>
      <c r="F54" s="29" t="inlineStr"/>
      <c r="G54" s="29" t="inlineStr"/>
    </row>
    <row r="55" ht="22" customHeight="1">
      <c r="A55" s="28" t="n">
        <v>37</v>
      </c>
      <c r="B55" s="14" t="inlineStr">
        <is>
          <t>Welfare facilities present and functioning, not provided for the day</t>
        </is>
      </c>
      <c r="C55" s="29" t="inlineStr"/>
      <c r="D55" s="29" t="inlineStr"/>
      <c r="E55" s="29" t="inlineStr"/>
      <c r="F55" s="29" t="inlineStr"/>
      <c r="G55" s="29" t="inlineStr"/>
    </row>
    <row r="56" ht="22" customHeight="1">
      <c r="A56" s="28" t="n">
        <v>38</v>
      </c>
      <c r="B56" s="14" t="inlineStr">
        <is>
          <t>Statutory display board complete and current</t>
        </is>
      </c>
      <c r="C56" s="29" t="inlineStr"/>
      <c r="D56" s="29" t="inlineStr"/>
      <c r="E56" s="29" t="inlineStr"/>
      <c r="F56" s="29" t="inlineStr"/>
      <c r="G56" s="29" t="inlineStr"/>
    </row>
    <row r="57" ht="22" customHeight="1">
      <c r="A57" s="28" t="n">
        <v>39</v>
      </c>
      <c r="B57" s="14" t="inlineStr">
        <is>
          <t>Waste segregated and disposal receipts available</t>
        </is>
      </c>
      <c r="C57" s="29" t="inlineStr"/>
      <c r="D57" s="29" t="inlineStr"/>
      <c r="E57" s="29" t="inlineStr"/>
      <c r="F57" s="29" t="inlineStr"/>
      <c r="G57" s="29" t="inlineStr"/>
    </row>
    <row r="59">
      <c r="A59" s="26" t="inlineStr">
        <is>
          <t>8.  DOCUMENT CONTROL PHYSICAL</t>
        </is>
      </c>
      <c r="B59" s="11" t="n"/>
      <c r="C59" s="11" t="n"/>
      <c r="D59" s="11" t="n"/>
      <c r="E59" s="11" t="n"/>
      <c r="F59" s="11" t="n"/>
      <c r="G59" s="6" t="n"/>
    </row>
    <row r="60" ht="22" customHeight="1">
      <c r="A60" s="28" t="n">
        <v>40</v>
      </c>
      <c r="B60" s="14" t="inlineStr">
        <is>
          <t>Registers being maintained daily, not in weekly bursts</t>
        </is>
      </c>
      <c r="C60" s="29" t="inlineStr"/>
      <c r="D60" s="29" t="inlineStr"/>
      <c r="E60" s="29" t="inlineStr"/>
      <c r="F60" s="29" t="inlineStr"/>
      <c r="G60" s="29" t="inlineStr"/>
    </row>
    <row r="61" ht="22" customHeight="1">
      <c r="A61" s="28" t="n">
        <v>41</v>
      </c>
      <c r="B61" s="14" t="inlineStr">
        <is>
          <t>Filing matches the approved folder structure</t>
        </is>
      </c>
      <c r="C61" s="29" t="inlineStr"/>
      <c r="D61" s="29" t="inlineStr"/>
      <c r="E61" s="29" t="inlineStr"/>
      <c r="F61" s="29" t="inlineStr"/>
      <c r="G61" s="29" t="inlineStr"/>
    </row>
    <row r="62" ht="22" customHeight="1">
      <c r="A62" s="28" t="n">
        <v>42</v>
      </c>
      <c r="B62" s="14" t="inlineStr">
        <is>
          <t>No project documents held only on personal laptops or phones</t>
        </is>
      </c>
      <c r="C62" s="29" t="inlineStr"/>
      <c r="D62" s="29" t="inlineStr"/>
      <c r="E62" s="29" t="inlineStr"/>
      <c r="F62" s="29" t="inlineStr"/>
      <c r="G62" s="29" t="inlineStr"/>
    </row>
    <row r="63" ht="22" customHeight="1">
      <c r="A63" s="28" t="n">
        <v>43</v>
      </c>
      <c r="B63" s="14" t="inlineStr">
        <is>
          <t>Backup to the cloud DMS is current</t>
        </is>
      </c>
      <c r="C63" s="29" t="inlineStr"/>
      <c r="D63" s="29" t="inlineStr"/>
      <c r="E63" s="29" t="inlineStr"/>
      <c r="F63" s="29" t="inlineStr"/>
      <c r="G63" s="29" t="inlineStr"/>
    </row>
    <row r="64" ht="22" customHeight="1">
      <c r="A64" s="28" t="n">
        <v>44</v>
      </c>
      <c r="B64" s="14" t="inlineStr">
        <is>
          <t>Access revoked for demobilised parties</t>
        </is>
      </c>
      <c r="C64" s="29" t="inlineStr"/>
      <c r="D64" s="29" t="inlineStr"/>
      <c r="E64" s="29" t="inlineStr"/>
      <c r="F64" s="29" t="inlineStr"/>
      <c r="G64" s="29" t="inlineStr"/>
    </row>
  </sheetData>
  <mergeCells count="8">
    <mergeCell ref="A13:G13"/>
    <mergeCell ref="A36:G36"/>
    <mergeCell ref="A44:G44"/>
    <mergeCell ref="A6:G6"/>
    <mergeCell ref="A20:G20"/>
    <mergeCell ref="A52:G52"/>
    <mergeCell ref="A59:G59"/>
    <mergeCell ref="A28:G28"/>
  </mergeCells>
  <conditionalFormatting sqref="E6:E66">
    <cfRule type="cellIs" priority="1" operator="equal" dxfId="0">
      <formula>0</formula>
    </cfRule>
    <cfRule type="cellIs" priority="2" operator="equal" dxfId="1">
      <formula>1</formula>
    </cfRule>
    <cfRule type="cellIs" priority="3" operator="equal" dxfId="2">
      <formula>2</formula>
    </cfRule>
  </conditionalFormatting>
  <dataValidations count="1">
    <dataValidation sqref="E7 E8 E9 E10 E11 E14 E15 E16 E17 E18 E21 E22 E23 E24 E25 E26 E29 E30 E31 E32 E33 E34 E37 E38 E39 E40 E41 E42 E45 E46 E47 E48 E49 E50 E53 E54 E55 E56 E57 E60 E61 E62 E63 E64" showDropDown="0" showInputMessage="0" showErrorMessage="0" allowBlank="1" type="list">
      <formula1>"2,1,0,N/A"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1"/>
  <sheetViews>
    <sheetView showGridLines="0" workbookViewId="0">
      <pane ySplit="5" topLeftCell="A6" activePane="bottomLeft" state="frozen"/>
      <selection pane="bottomLeft" activeCell="A1" sqref="A1"/>
    </sheetView>
  </sheetViews>
  <sheetFormatPr baseColWidth="8" defaultRowHeight="15"/>
  <cols>
    <col width="4" customWidth="1" min="1" max="1"/>
    <col width="8" customWidth="1" min="2" max="2"/>
    <col width="40" customWidth="1" min="3" max="3"/>
    <col width="7" customWidth="1" min="4" max="4"/>
    <col width="34" customWidth="1" min="5" max="5"/>
    <col width="26" customWidth="1" min="6" max="6"/>
    <col width="62" customWidth="1" min="7" max="7"/>
    <col width="11" customWidth="1" min="8" max="8"/>
    <col width="9" customWidth="1" min="9" max="9"/>
    <col width="10" customWidth="1" min="10" max="10"/>
    <col width="7" customWidth="1" min="11" max="11"/>
    <col width="11" customWidth="1" min="12" max="12"/>
  </cols>
  <sheetData>
    <row r="1">
      <c r="A1" s="19" t="inlineStr">
        <is>
          <t>FOLDER-BY-FOLDER SAMPLING SHEET</t>
        </is>
      </c>
    </row>
    <row r="2">
      <c r="A2" s="3" t="inlineStr">
        <is>
          <t>55 folders held at site or mirrored. Work down the list with the Document Controller. Score 2 fully met, 1 partly, 0 not met, N/A not applicable.</t>
        </is>
      </c>
    </row>
    <row r="3">
      <c r="A3" s="3" t="inlineStr">
        <is>
          <t>Project: ______________  Audit ref: __________  Date: __________  Auditor: ______________</t>
        </is>
      </c>
    </row>
    <row r="5" ht="30" customHeight="1">
      <c r="A5" s="13" t="inlineStr">
        <is>
          <t>#</t>
        </is>
      </c>
      <c r="B5" s="13" t="inlineStr">
        <is>
          <t>Area</t>
        </is>
      </c>
      <c r="C5" s="13" t="inlineStr">
        <is>
          <t>Folder</t>
        </is>
      </c>
      <c r="D5" s="13" t="inlineStr">
        <is>
          <t>Cust.</t>
        </is>
      </c>
      <c r="E5" s="13" t="inlineStr">
        <is>
          <t>Subject</t>
        </is>
      </c>
      <c r="F5" s="13" t="inlineStr">
        <is>
          <t>Sample to take</t>
        </is>
      </c>
      <c r="G5" s="13" t="inlineStr">
        <is>
          <t>What must be true</t>
        </is>
      </c>
      <c r="H5" s="13" t="inlineStr">
        <is>
          <t>Records in LOG</t>
        </is>
      </c>
      <c r="I5" s="13" t="inlineStr">
        <is>
          <t>Sampled</t>
        </is>
      </c>
      <c r="J5" s="13" t="inlineStr">
        <is>
          <t>Defects found</t>
        </is>
      </c>
      <c r="K5" s="13" t="inlineStr">
        <is>
          <t>Score</t>
        </is>
      </c>
      <c r="L5" s="13" t="inlineStr">
        <is>
          <t>Finding ref.</t>
        </is>
      </c>
    </row>
    <row r="6">
      <c r="A6" s="26" t="inlineStr">
        <is>
          <t>01_CONTEXT_AND_GOVERNANCE</t>
        </is>
      </c>
      <c r="B6" s="11" t="n"/>
      <c r="C6" s="11" t="n"/>
      <c r="D6" s="11" t="n"/>
      <c r="E6" s="11" t="n"/>
      <c r="F6" s="11" t="n"/>
      <c r="G6" s="11" t="n"/>
      <c r="H6" s="11" t="n"/>
      <c r="I6" s="11" t="n"/>
      <c r="J6" s="11" t="n"/>
      <c r="K6" s="11" t="n"/>
      <c r="L6" s="6" t="n"/>
    </row>
    <row r="7" ht="26" customHeight="1">
      <c r="A7" s="28" t="n">
        <v>1</v>
      </c>
      <c r="B7" s="28" t="inlineStr">
        <is>
          <t>01</t>
        </is>
      </c>
      <c r="C7" s="14" t="inlineStr">
        <is>
          <t>01.02_Stakeholders_and_Communication</t>
        </is>
      </c>
      <c r="D7" s="28" t="inlineStr">
        <is>
          <t>BOTH</t>
        </is>
      </c>
      <c r="E7" s="14" t="inlineStr">
        <is>
          <t>Stakeholder Register and Communication Plan</t>
        </is>
      </c>
      <c r="F7" s="14" t="inlineStr">
        <is>
          <t>Stakeholder register</t>
        </is>
      </c>
      <c r="G7" s="14" t="inlineStr">
        <is>
          <t>Statutory and neighbouring stakeholders identified · each has a named owner and frequency · none overdue for engagement</t>
        </is>
      </c>
      <c r="H7" s="29" t="inlineStr"/>
      <c r="I7" s="29" t="inlineStr"/>
      <c r="J7" s="29" t="inlineStr"/>
      <c r="K7" s="29" t="inlineStr"/>
      <c r="L7" s="29" t="inlineStr"/>
    </row>
    <row r="8">
      <c r="A8" s="26" t="inlineStr">
        <is>
          <t>02_PLANNING</t>
        </is>
      </c>
      <c r="B8" s="11" t="n"/>
      <c r="C8" s="11" t="n"/>
      <c r="D8" s="11" t="n"/>
      <c r="E8" s="11" t="n"/>
      <c r="F8" s="11" t="n"/>
      <c r="G8" s="11" t="n"/>
      <c r="H8" s="11" t="n"/>
      <c r="I8" s="11" t="n"/>
      <c r="J8" s="11" t="n"/>
      <c r="K8" s="11" t="n"/>
      <c r="L8" s="6" t="n"/>
    </row>
    <row r="9" ht="30" customHeight="1">
      <c r="A9" s="28" t="n">
        <v>2</v>
      </c>
      <c r="B9" s="28" t="inlineStr">
        <is>
          <t>02</t>
        </is>
      </c>
      <c r="C9" s="14" t="inlineStr">
        <is>
          <t>02.02_Project_Programme_Schedule_Control</t>
        </is>
      </c>
      <c r="D9" s="28" t="inlineStr">
        <is>
          <t>BOTH</t>
        </is>
      </c>
      <c r="E9" s="14" t="inlineStr">
        <is>
          <t>Project Programme and Schedule Control</t>
        </is>
      </c>
      <c r="F9" s="14" t="inlineStr">
        <is>
          <t>Current programme</t>
        </is>
      </c>
      <c r="G9" s="14" t="inlineStr">
        <is>
          <t>Logic-linked with no open ends · resource assumptions verified · baseline frozen with recorded approval · re-baselines justified</t>
        </is>
      </c>
      <c r="H9" s="29" t="inlineStr"/>
      <c r="I9" s="29" t="inlineStr"/>
      <c r="J9" s="29" t="inlineStr"/>
      <c r="K9" s="29" t="inlineStr"/>
      <c r="L9" s="29" t="inlineStr"/>
    </row>
    <row r="10" ht="30" customHeight="1">
      <c r="A10" s="28" t="n">
        <v>3</v>
      </c>
      <c r="B10" s="28" t="inlineStr">
        <is>
          <t>02</t>
        </is>
      </c>
      <c r="C10" s="14" t="inlineStr">
        <is>
          <t>02.03_Milestone_Register_Payment_Linkage</t>
        </is>
      </c>
      <c r="D10" s="28" t="inlineStr">
        <is>
          <t>BOTH</t>
        </is>
      </c>
      <c r="E10" s="14" t="inlineStr">
        <is>
          <t>Milestone Register and Payment Linkage</t>
        </is>
      </c>
      <c r="F10" s="14" t="inlineStr">
        <is>
          <t>Milestone register</t>
        </is>
      </c>
      <c r="G10" s="14" t="inlineStr">
        <is>
          <t>Each milestone defined by verifiable criteria · payment certified only on demonstrated achievement · LD position assessed on every miss</t>
        </is>
      </c>
      <c r="H10" s="29" t="inlineStr"/>
      <c r="I10" s="29" t="inlineStr"/>
      <c r="J10" s="29" t="inlineStr"/>
      <c r="K10" s="29" t="inlineStr"/>
      <c r="L10" s="29" t="inlineStr"/>
    </row>
    <row r="11" ht="30" customHeight="1">
      <c r="A11" s="28" t="n">
        <v>4</v>
      </c>
      <c r="B11" s="28" t="inlineStr">
        <is>
          <t>02</t>
        </is>
      </c>
      <c r="C11" s="14" t="inlineStr">
        <is>
          <t>02.04_LookAhead_Planning_Constraint_Management</t>
        </is>
      </c>
      <c r="D11" s="28" t="inlineStr">
        <is>
          <t>BOTH</t>
        </is>
      </c>
      <c r="E11" s="14" t="inlineStr">
        <is>
          <t>Look-Ahead Planning and Constraint Management</t>
        </is>
      </c>
      <c r="F11" s="14" t="inlineStr">
        <is>
          <t>Last 4 look-aheads</t>
        </is>
      </c>
      <c r="G11" s="14" t="inlineStr">
        <is>
          <t>Submitted weekly and derived from the approved programme · every constraint has a named owner and a date · PPC measured and trended</t>
        </is>
      </c>
      <c r="H11" s="29" t="inlineStr"/>
      <c r="I11" s="29" t="inlineStr"/>
      <c r="J11" s="29" t="inlineStr"/>
      <c r="K11" s="29" t="inlineStr"/>
      <c r="L11" s="29" t="inlineStr"/>
    </row>
    <row r="12">
      <c r="A12" s="26" t="inlineStr">
        <is>
          <t>03_SUPPORT_AND_RESOURCES</t>
        </is>
      </c>
      <c r="B12" s="11" t="n"/>
      <c r="C12" s="11" t="n"/>
      <c r="D12" s="11" t="n"/>
      <c r="E12" s="11" t="n"/>
      <c r="F12" s="11" t="n"/>
      <c r="G12" s="11" t="n"/>
      <c r="H12" s="11" t="n"/>
      <c r="I12" s="11" t="n"/>
      <c r="J12" s="11" t="n"/>
      <c r="K12" s="11" t="n"/>
      <c r="L12" s="6" t="n"/>
    </row>
    <row r="13" ht="30" customHeight="1">
      <c r="A13" s="28" t="n">
        <v>5</v>
      </c>
      <c r="B13" s="28" t="inlineStr">
        <is>
          <t>03</t>
        </is>
      </c>
      <c r="C13" s="14" t="inlineStr">
        <is>
          <t>03.01_Competence_and_Training</t>
        </is>
      </c>
      <c r="D13" s="28" t="inlineStr">
        <is>
          <t>SITE</t>
        </is>
      </c>
      <c r="E13" s="14" t="inlineStr">
        <is>
          <t>Induction, Training and Competency</t>
        </is>
      </c>
      <c r="F13" s="14" t="inlineStr">
        <is>
          <t>10 names from today's gate register</t>
        </is>
      </c>
      <c r="G13" s="14" t="inlineStr">
        <is>
          <t>Induction recorded before first entry · competence certificates current for high-risk tasks · validity tracked with refresher before expiry</t>
        </is>
      </c>
      <c r="H13" s="29" t="inlineStr"/>
      <c r="I13" s="29" t="inlineStr"/>
      <c r="J13" s="29" t="inlineStr"/>
      <c r="K13" s="29" t="inlineStr"/>
      <c r="L13" s="29" t="inlineStr"/>
    </row>
    <row r="14" ht="30" customHeight="1">
      <c r="A14" s="28" t="n">
        <v>6</v>
      </c>
      <c r="B14" s="28" t="inlineStr">
        <is>
          <t>03</t>
        </is>
      </c>
      <c r="C14" s="14" t="inlineStr">
        <is>
          <t>03.02_Resources_and_Productivity</t>
        </is>
      </c>
      <c r="D14" s="28" t="inlineStr">
        <is>
          <t>SITE</t>
        </is>
      </c>
      <c r="E14" s="14" t="inlineStr">
        <is>
          <t>Resource Deployment and Productivity</t>
        </is>
      </c>
      <c r="F14" s="14" t="inlineStr">
        <is>
          <t>Last 4 weeks of returns</t>
        </is>
      </c>
      <c r="G14" s="14" t="inlineStr">
        <is>
          <t>Deployment verified by physical count · compared against the histogram weekly · shortfall notified in writing when it occurred</t>
        </is>
      </c>
      <c r="H14" s="29" t="inlineStr"/>
      <c r="I14" s="29" t="inlineStr"/>
      <c r="J14" s="29" t="inlineStr"/>
      <c r="K14" s="29" t="inlineStr"/>
      <c r="L14" s="29" t="inlineStr"/>
    </row>
    <row r="15" ht="26" customHeight="1">
      <c r="A15" s="28" t="n">
        <v>7</v>
      </c>
      <c r="B15" s="28" t="inlineStr">
        <is>
          <t>03</t>
        </is>
      </c>
      <c r="C15" s="14" t="inlineStr">
        <is>
          <t>03.06_Correspondence_Control</t>
        </is>
      </c>
      <c r="D15" s="28" t="inlineStr">
        <is>
          <t>BOTH</t>
        </is>
      </c>
      <c r="E15" s="14" t="inlineStr">
        <is>
          <t>Correspondence Control</t>
        </is>
      </c>
      <c r="F15" s="14" t="inlineStr">
        <is>
          <t>15 inward letters</t>
        </is>
      </c>
      <c r="G15" s="14" t="inlineStr">
        <is>
          <t>Registered day of receipt · contractual ones flagged with a reply deadline · none overdue · reply reference recorded</t>
        </is>
      </c>
      <c r="H15" s="29" t="inlineStr"/>
      <c r="I15" s="29" t="inlineStr"/>
      <c r="J15" s="29" t="inlineStr"/>
      <c r="K15" s="29" t="inlineStr"/>
      <c r="L15" s="29" t="inlineStr"/>
    </row>
    <row r="16" ht="30" customHeight="1">
      <c r="A16" s="28" t="n">
        <v>8</v>
      </c>
      <c r="B16" s="28" t="inlineStr">
        <is>
          <t>03</t>
        </is>
      </c>
      <c r="C16" s="14" t="inlineStr">
        <is>
          <t>03.07_Transmittal_Control</t>
        </is>
      </c>
      <c r="D16" s="28" t="inlineStr">
        <is>
          <t>BOTH</t>
        </is>
      </c>
      <c r="E16" s="14" t="inlineStr">
        <is>
          <t>Transmittal Control</t>
        </is>
      </c>
      <c r="F16" s="14" t="inlineStr">
        <is>
          <t>10 transmittals out</t>
        </is>
      </c>
      <c r="G16" s="14" t="inlineStr">
        <is>
          <t>Numbered sequentially without gaps · purpose of issue stated · acknowledgement obtained or chased within 2 days · supersession recorded</t>
        </is>
      </c>
      <c r="H16" s="29" t="inlineStr"/>
      <c r="I16" s="29" t="inlineStr"/>
      <c r="J16" s="29" t="inlineStr"/>
      <c r="K16" s="29" t="inlineStr"/>
      <c r="L16" s="29" t="inlineStr"/>
    </row>
    <row r="17" ht="26" customHeight="1">
      <c r="A17" s="28" t="n">
        <v>9</v>
      </c>
      <c r="B17" s="28" t="inlineStr">
        <is>
          <t>03</t>
        </is>
      </c>
      <c r="C17" s="14" t="inlineStr">
        <is>
          <t>03.08_Meetings_Minutes_Action_Tracking</t>
        </is>
      </c>
      <c r="D17" s="28" t="inlineStr">
        <is>
          <t>BOTH</t>
        </is>
      </c>
      <c r="E17" s="14" t="inlineStr">
        <is>
          <t>Meetings, Minutes and Action Tracking</t>
        </is>
      </c>
      <c r="F17" s="14" t="inlineStr">
        <is>
          <t>5 MOMs</t>
        </is>
      </c>
      <c r="G17" s="14" t="inlineStr">
        <is>
          <t>Issued within 2 working days · actions numbered · single named owner each · open actions carried forward</t>
        </is>
      </c>
      <c r="H17" s="29" t="inlineStr"/>
      <c r="I17" s="29" t="inlineStr"/>
      <c r="J17" s="29" t="inlineStr"/>
      <c r="K17" s="29" t="inlineStr"/>
      <c r="L17" s="29" t="inlineStr"/>
    </row>
    <row r="18" ht="30" customHeight="1">
      <c r="A18" s="28" t="n">
        <v>10</v>
      </c>
      <c r="B18" s="28" t="inlineStr">
        <is>
          <t>03</t>
        </is>
      </c>
      <c r="C18" s="14" t="inlineStr">
        <is>
          <t>03.09_Monitoring_and_Measuring_Equipment</t>
        </is>
      </c>
      <c r="D18" s="28" t="inlineStr">
        <is>
          <t>SITE</t>
        </is>
      </c>
      <c r="E18" s="14" t="inlineStr">
        <is>
          <t>Instrument Calibration Control</t>
        </is>
      </c>
      <c r="F18" s="14" t="inlineStr">
        <is>
          <t>All instruments in use</t>
        </is>
      </c>
      <c r="G18" s="14" t="inlineStr">
        <is>
          <t>Every acceptance instrument registered · calibration valid at the date of use · out-of-calibration triggers review of past measurements</t>
        </is>
      </c>
      <c r="H18" s="29" t="inlineStr"/>
      <c r="I18" s="29" t="inlineStr"/>
      <c r="J18" s="29" t="inlineStr"/>
      <c r="K18" s="29" t="inlineStr"/>
      <c r="L18" s="29" t="inlineStr"/>
    </row>
    <row r="19">
      <c r="A19" s="26" t="inlineStr">
        <is>
          <t>04_DESIGN_AND_INFORMATION_MANAGEMENT</t>
        </is>
      </c>
      <c r="B19" s="11" t="n"/>
      <c r="C19" s="11" t="n"/>
      <c r="D19" s="11" t="n"/>
      <c r="E19" s="11" t="n"/>
      <c r="F19" s="11" t="n"/>
      <c r="G19" s="11" t="n"/>
      <c r="H19" s="11" t="n"/>
      <c r="I19" s="11" t="n"/>
      <c r="J19" s="11" t="n"/>
      <c r="K19" s="11" t="n"/>
      <c r="L19" s="6" t="n"/>
    </row>
    <row r="20" ht="30" customHeight="1">
      <c r="A20" s="28" t="n">
        <v>11</v>
      </c>
      <c r="B20" s="28" t="inlineStr">
        <is>
          <t>04</t>
        </is>
      </c>
      <c r="C20" s="14" t="inlineStr">
        <is>
          <t>04.02_Drawings_and_Specifications</t>
        </is>
      </c>
      <c r="D20" s="28" t="inlineStr">
        <is>
          <t>BOTH</t>
        </is>
      </c>
      <c r="E20" s="14" t="inlineStr">
        <is>
          <t>Drawing Control and Issue</t>
        </is>
      </c>
      <c r="F20" s="14" t="inlineStr">
        <is>
          <t>15 drawings from the live GFC folder</t>
        </is>
      </c>
      <c r="G20" s="14" t="inlineStr">
        <is>
          <t>Suitability is an A-code · registered within 24 hrs of receipt · transmittal exists for issue · superseded revision archived same day · withdrawal receipt on file</t>
        </is>
      </c>
      <c r="H20" s="29" t="inlineStr"/>
      <c r="I20" s="29" t="inlineStr"/>
      <c r="J20" s="29" t="inlineStr"/>
      <c r="K20" s="29" t="inlineStr"/>
      <c r="L20" s="29" t="inlineStr"/>
    </row>
    <row r="21" ht="26" customHeight="1">
      <c r="A21" s="28" t="n">
        <v>12</v>
      </c>
      <c r="B21" s="28" t="inlineStr">
        <is>
          <t>04</t>
        </is>
      </c>
      <c r="C21" s="14" t="inlineStr">
        <is>
          <t>04.02_Drawings_and_Specifications</t>
        </is>
      </c>
      <c r="D21" s="28" t="inlineStr">
        <is>
          <t>BOTH</t>
        </is>
      </c>
      <c r="E21" s="14" t="inlineStr">
        <is>
          <t>Specifications and Technical Datasheets</t>
        </is>
      </c>
      <c r="F21" s="14" t="inlineStr">
        <is>
          <t>5 sections</t>
        </is>
      </c>
      <c r="G21" s="14" t="inlineStr">
        <is>
          <t>Requirements measurable or testable · cited standards current · reconciled against BOQ</t>
        </is>
      </c>
      <c r="H21" s="29" t="inlineStr"/>
      <c r="I21" s="29" t="inlineStr"/>
      <c r="J21" s="29" t="inlineStr"/>
      <c r="K21" s="29" t="inlineStr"/>
      <c r="L21" s="29" t="inlineStr"/>
    </row>
    <row r="22" ht="26" customHeight="1">
      <c r="A22" s="28" t="n">
        <v>13</v>
      </c>
      <c r="B22" s="28" t="inlineStr">
        <is>
          <t>04</t>
        </is>
      </c>
      <c r="C22" s="14" t="inlineStr">
        <is>
          <t>04.08_Shop_Drawings_and_Material_Submittals</t>
        </is>
      </c>
      <c r="D22" s="28" t="inlineStr">
        <is>
          <t>BOTH</t>
        </is>
      </c>
      <c r="E22" s="14" t="inlineStr">
        <is>
          <t>Material and Vendor Approval</t>
        </is>
      </c>
      <c r="F22" s="14" t="inlineStr">
        <is>
          <t>10 submittals</t>
        </is>
      </c>
      <c r="G22" s="14" t="inlineStr">
        <is>
          <t>Reviewed within 7 days · checked against every specified parameter · sample retained at site · deviations formally accepted</t>
        </is>
      </c>
      <c r="H22" s="29" t="inlineStr"/>
      <c r="I22" s="29" t="inlineStr"/>
      <c r="J22" s="29" t="inlineStr"/>
      <c r="K22" s="29" t="inlineStr"/>
      <c r="L22" s="29" t="inlineStr"/>
    </row>
    <row r="23" ht="30" customHeight="1">
      <c r="A23" s="28" t="n">
        <v>14</v>
      </c>
      <c r="B23" s="28" t="inlineStr">
        <is>
          <t>04</t>
        </is>
      </c>
      <c r="C23" s="14" t="inlineStr">
        <is>
          <t>04.08_Shop_Drawings_and_Material_Submittals</t>
        </is>
      </c>
      <c r="D23" s="28" t="inlineStr">
        <is>
          <t>BOTH</t>
        </is>
      </c>
      <c r="E23" s="14" t="inlineStr">
        <is>
          <t>Shop Drawing Review and Approval</t>
        </is>
      </c>
      <c r="F23" s="14" t="inlineStr">
        <is>
          <t>10 submissions</t>
        </is>
      </c>
      <c r="G23" s="14" t="inlineStr">
        <is>
          <t>Reviewed within 7 working days · single clear status returned · no fabrication started before approval · resubmission count tracked</t>
        </is>
      </c>
      <c r="H23" s="29" t="inlineStr"/>
      <c r="I23" s="29" t="inlineStr"/>
      <c r="J23" s="29" t="inlineStr"/>
      <c r="K23" s="29" t="inlineStr"/>
      <c r="L23" s="29" t="inlineStr"/>
    </row>
    <row r="24">
      <c r="A24" s="26" t="inlineStr">
        <is>
          <t>05_PROCUREMENT_AND_CONTRACTS</t>
        </is>
      </c>
      <c r="B24" s="11" t="n"/>
      <c r="C24" s="11" t="n"/>
      <c r="D24" s="11" t="n"/>
      <c r="E24" s="11" t="n"/>
      <c r="F24" s="11" t="n"/>
      <c r="G24" s="11" t="n"/>
      <c r="H24" s="11" t="n"/>
      <c r="I24" s="11" t="n"/>
      <c r="J24" s="11" t="n"/>
      <c r="K24" s="11" t="n"/>
      <c r="L24" s="6" t="n"/>
    </row>
    <row r="25" ht="26" customHeight="1">
      <c r="A25" s="28" t="n">
        <v>15</v>
      </c>
      <c r="B25" s="28" t="inlineStr">
        <is>
          <t>05</t>
        </is>
      </c>
      <c r="C25" s="14" t="inlineStr">
        <is>
          <t>05.10_Customer_Supplied_Property</t>
        </is>
      </c>
      <c r="D25" s="28" t="inlineStr">
        <is>
          <t>BOTH</t>
        </is>
      </c>
      <c r="E25" s="14" t="inlineStr">
        <is>
          <t>Client Direct Purchase and FFE</t>
        </is>
      </c>
      <c r="F25" s="14" t="inlineStr">
        <is>
          <t>5 client-supplied items</t>
        </is>
      </c>
      <c r="G25" s="14" t="inlineStr">
        <is>
          <t>Supply dates in the contract · inspected on delivery · custody transferred in writing · quantities reconciled</t>
        </is>
      </c>
      <c r="H25" s="29" t="inlineStr"/>
      <c r="I25" s="29" t="inlineStr"/>
      <c r="J25" s="29" t="inlineStr"/>
      <c r="K25" s="29" t="inlineStr"/>
      <c r="L25" s="29" t="inlineStr"/>
    </row>
    <row r="26">
      <c r="A26" s="26" t="inlineStr">
        <is>
          <t>06_STATUTORY_AND_LAND</t>
        </is>
      </c>
      <c r="B26" s="11" t="n"/>
      <c r="C26" s="11" t="n"/>
      <c r="D26" s="11" t="n"/>
      <c r="E26" s="11" t="n"/>
      <c r="F26" s="11" t="n"/>
      <c r="G26" s="11" t="n"/>
      <c r="H26" s="11" t="n"/>
      <c r="I26" s="11" t="n"/>
      <c r="J26" s="11" t="n"/>
      <c r="K26" s="11" t="n"/>
      <c r="L26" s="6" t="n"/>
    </row>
    <row r="27" ht="30" customHeight="1">
      <c r="A27" s="28" t="n">
        <v>16</v>
      </c>
      <c r="B27" s="28" t="inlineStr">
        <is>
          <t>06</t>
        </is>
      </c>
      <c r="C27" s="14" t="inlineStr">
        <is>
          <t>06.02_Statutory_Approvals_and_Permits</t>
        </is>
      </c>
      <c r="D27" s="28" t="inlineStr">
        <is>
          <t>BOTH</t>
        </is>
      </c>
      <c r="E27" s="14" t="inlineStr">
        <is>
          <t>Statutory Approvals and Permits</t>
        </is>
      </c>
      <c r="F27" s="14" t="inlineStr">
        <is>
          <t>All approvals</t>
        </is>
      </c>
      <c r="G27" s="14" t="inlineStr">
        <is>
          <t>All identified at inception and on the programme · queries answered within the authority's limit · nothing expiring within 60 days unactioned · conditions verified in the works</t>
        </is>
      </c>
      <c r="H27" s="29" t="inlineStr"/>
      <c r="I27" s="29" t="inlineStr"/>
      <c r="J27" s="29" t="inlineStr"/>
      <c r="K27" s="29" t="inlineStr"/>
      <c r="L27" s="29" t="inlineStr"/>
    </row>
    <row r="28" ht="30" customHeight="1">
      <c r="A28" s="28" t="n">
        <v>17</v>
      </c>
      <c r="B28" s="28" t="inlineStr">
        <is>
          <t>06</t>
        </is>
      </c>
      <c r="C28" s="14" t="inlineStr">
        <is>
          <t>06.03_Labour_and_Statutory_Compliance</t>
        </is>
      </c>
      <c r="D28" s="28" t="inlineStr">
        <is>
          <t>SITE</t>
        </is>
      </c>
      <c r="E28" s="14" t="inlineStr">
        <is>
          <t>Labour Welfare and Statutory Compliance</t>
        </is>
      </c>
      <c r="F28" s="14" t="inlineStr">
        <is>
          <t>All contractors on site</t>
        </is>
      </c>
      <c r="G28" s="14" t="inlineStr">
        <is>
          <t>Registrations valid and re-checked not just verified once · PF and ESIC verified as remitted not merely deducted · welfare facilities physically inspected</t>
        </is>
      </c>
      <c r="H28" s="29" t="inlineStr"/>
      <c r="I28" s="29" t="inlineStr"/>
      <c r="J28" s="29" t="inlineStr"/>
      <c r="K28" s="29" t="inlineStr"/>
      <c r="L28" s="29" t="inlineStr"/>
    </row>
    <row r="29" ht="30" customHeight="1">
      <c r="A29" s="28" t="n">
        <v>18</v>
      </c>
      <c r="B29" s="28" t="inlineStr">
        <is>
          <t>06</t>
        </is>
      </c>
      <c r="C29" s="14" t="inlineStr">
        <is>
          <t>06.04_Industrial_Statutory_Approvals</t>
        </is>
      </c>
      <c r="D29" s="28" t="inlineStr">
        <is>
          <t>BOTH</t>
        </is>
      </c>
      <c r="E29" s="14" t="inlineStr">
        <is>
          <t>Industrial Statutory Approvals and Licences</t>
        </is>
      </c>
      <c r="F29" s="14" t="inlineStr">
        <is>
          <t>All industrial approvals</t>
        </is>
      </c>
      <c r="G29" s="14" t="inlineStr">
        <is>
          <t>Factory plan approval BEFORE construction started · electrical inspectorate approval BEFORE energisation · conditions assigned and verified · full set before trial production</t>
        </is>
      </c>
      <c r="H29" s="29" t="inlineStr"/>
      <c r="I29" s="29" t="inlineStr"/>
      <c r="J29" s="29" t="inlineStr"/>
      <c r="K29" s="29" t="inlineStr"/>
      <c r="L29" s="29" t="inlineStr"/>
    </row>
    <row r="30">
      <c r="A30" s="26" t="inlineStr">
        <is>
          <t>07_EXECUTION_AND_DELIVERY</t>
        </is>
      </c>
      <c r="B30" s="11" t="n"/>
      <c r="C30" s="11" t="n"/>
      <c r="D30" s="11" t="n"/>
      <c r="E30" s="11" t="n"/>
      <c r="F30" s="11" t="n"/>
      <c r="G30" s="11" t="n"/>
      <c r="H30" s="11" t="n"/>
      <c r="I30" s="11" t="n"/>
      <c r="J30" s="11" t="n"/>
      <c r="K30" s="11" t="n"/>
      <c r="L30" s="6" t="n"/>
    </row>
    <row r="31" ht="26" customHeight="1">
      <c r="A31" s="28" t="n">
        <v>19</v>
      </c>
      <c r="B31" s="28" t="inlineStr">
        <is>
          <t>07</t>
        </is>
      </c>
      <c r="C31" s="14" t="inlineStr">
        <is>
          <t>07.01_Mobilisation_and_Site_Logistics</t>
        </is>
      </c>
      <c r="D31" s="28" t="inlineStr">
        <is>
          <t>SITE</t>
        </is>
      </c>
      <c r="E31" s="14" t="inlineStr">
        <is>
          <t>Site Logistics and Traffic Management</t>
        </is>
      </c>
      <c r="F31" s="14" t="inlineStr">
        <is>
          <t>Current logistics plan</t>
        </is>
      </c>
      <c r="G31" s="14" t="inlineStr">
        <is>
          <t>Planned by phase · lifting capacity verified against the heaviest lift · oversail consent in writing before erection</t>
        </is>
      </c>
      <c r="H31" s="29" t="inlineStr"/>
      <c r="I31" s="29" t="inlineStr"/>
      <c r="J31" s="29" t="inlineStr"/>
      <c r="K31" s="29" t="inlineStr"/>
      <c r="L31" s="29" t="inlineStr"/>
    </row>
    <row r="32" ht="26" customHeight="1">
      <c r="A32" s="28" t="n">
        <v>20</v>
      </c>
      <c r="B32" s="28" t="inlineStr">
        <is>
          <t>07</t>
        </is>
      </c>
      <c r="C32" s="14" t="inlineStr">
        <is>
          <t>07.01_Mobilisation_and_Site_Logistics</t>
        </is>
      </c>
      <c r="D32" s="28" t="inlineStr">
        <is>
          <t>SITE</t>
        </is>
      </c>
      <c r="E32" s="14" t="inlineStr">
        <is>
          <t>Site Mobilisation and Establishment</t>
        </is>
      </c>
      <c r="F32" s="14" t="inlineStr">
        <is>
          <t>Mobilisation records</t>
        </is>
      </c>
      <c r="G32" s="14" t="inlineStr">
        <is>
          <t>Conditions precedent satisfied before entry · site layout approved before establishment · handover date formally recorded</t>
        </is>
      </c>
      <c r="H32" s="29" t="inlineStr"/>
      <c r="I32" s="29" t="inlineStr"/>
      <c r="J32" s="29" t="inlineStr"/>
      <c r="K32" s="29" t="inlineStr"/>
      <c r="L32" s="29" t="inlineStr"/>
    </row>
    <row r="33" ht="30" customHeight="1">
      <c r="A33" s="28" t="n">
        <v>21</v>
      </c>
      <c r="B33" s="28" t="inlineStr">
        <is>
          <t>07</t>
        </is>
      </c>
      <c r="C33" s="14" t="inlineStr">
        <is>
          <t>07.02_Daily_Site_Records</t>
        </is>
      </c>
      <c r="D33" s="28" t="inlineStr">
        <is>
          <t>SITE</t>
        </is>
      </c>
      <c r="E33" s="14" t="inlineStr">
        <is>
          <t>Daily Progress Report</t>
        </is>
      </c>
      <c r="F33" s="14" t="inlineStr">
        <is>
          <t>20 days across the period, including the busiest week</t>
        </is>
      </c>
      <c r="G33" s="14" t="inlineStr">
        <is>
          <t>Submitted by 10:00 next morning · labour verified by PMC not transcribed · quantities tied to WBS or BOQ · stoppages recorded with times · both signatures · no gaps in the date sequence</t>
        </is>
      </c>
      <c r="H33" s="29" t="inlineStr"/>
      <c r="I33" s="29" t="inlineStr"/>
      <c r="J33" s="29" t="inlineStr"/>
      <c r="K33" s="29" t="inlineStr"/>
      <c r="L33" s="29" t="inlineStr"/>
    </row>
    <row r="34" ht="30" customHeight="1">
      <c r="A34" s="28" t="n">
        <v>22</v>
      </c>
      <c r="B34" s="28" t="inlineStr">
        <is>
          <t>07</t>
        </is>
      </c>
      <c r="C34" s="14" t="inlineStr">
        <is>
          <t>07.02_Daily_Site_Records</t>
        </is>
      </c>
      <c r="D34" s="28" t="inlineStr">
        <is>
          <t>SITE</t>
        </is>
      </c>
      <c r="E34" s="14" t="inlineStr">
        <is>
          <t>Progress Photography and Visual Record</t>
        </is>
      </c>
      <c r="F34" s="14" t="inlineStr">
        <is>
          <t>Photo archive</t>
        </is>
      </c>
      <c r="G34" s="14" t="inlineStr">
        <is>
          <t>Fixed vantage points at a set frequency · every image dated, located and labelled · all concealed work photographed before covering · backed up off-site</t>
        </is>
      </c>
      <c r="H34" s="29" t="inlineStr"/>
      <c r="I34" s="29" t="inlineStr"/>
      <c r="J34" s="29" t="inlineStr"/>
      <c r="K34" s="29" t="inlineStr"/>
      <c r="L34" s="29" t="inlineStr"/>
    </row>
    <row r="35" ht="30" customHeight="1">
      <c r="A35" s="28" t="n">
        <v>23</v>
      </c>
      <c r="B35" s="28" t="inlineStr">
        <is>
          <t>07</t>
        </is>
      </c>
      <c r="C35" s="14" t="inlineStr">
        <is>
          <t>07.03_Site_Instructions_Client_Instructions</t>
        </is>
      </c>
      <c r="D35" s="28" t="inlineStr">
        <is>
          <t>SITE</t>
        </is>
      </c>
      <c r="E35" s="14" t="inlineStr">
        <is>
          <t>Site Instructions and Client Instructions</t>
        </is>
      </c>
      <c r="F35" s="14" t="inlineStr">
        <is>
          <t>10 instructions</t>
        </is>
      </c>
      <c r="G35" s="14" t="inlineStr">
        <is>
          <t>Numbered · contract clause cited · cost and time impact recorded or expressly reserved · acknowledged · linked to a VO or CCR</t>
        </is>
      </c>
      <c r="H35" s="29" t="inlineStr"/>
      <c r="I35" s="29" t="inlineStr"/>
      <c r="J35" s="29" t="inlineStr"/>
      <c r="K35" s="29" t="inlineStr"/>
      <c r="L35" s="29" t="inlineStr"/>
    </row>
    <row r="36" ht="30" customHeight="1">
      <c r="A36" s="28" t="n">
        <v>24</v>
      </c>
      <c r="B36" s="28" t="inlineStr">
        <is>
          <t>07</t>
        </is>
      </c>
      <c r="C36" s="14" t="inlineStr">
        <is>
          <t>07.04_Interface_Management_Between_Packages</t>
        </is>
      </c>
      <c r="D36" s="28" t="inlineStr">
        <is>
          <t>SITE</t>
        </is>
      </c>
      <c r="E36" s="14" t="inlineStr">
        <is>
          <t>Interface Management Between Packages</t>
        </is>
      </c>
      <c r="F36" s="14" t="inlineStr">
        <is>
          <t>5 interfaces</t>
        </is>
      </c>
      <c r="G36" s="14" t="inlineStr">
        <is>
          <t>Identified at procurement not at site · single named owner · agreement converted to a drawing or schedule · verified physically before concealment</t>
        </is>
      </c>
      <c r="H36" s="29" t="inlineStr"/>
      <c r="I36" s="29" t="inlineStr"/>
      <c r="J36" s="29" t="inlineStr"/>
      <c r="K36" s="29" t="inlineStr"/>
      <c r="L36" s="29" t="inlineStr"/>
    </row>
    <row r="37" ht="30" customHeight="1">
      <c r="A37" s="28" t="n">
        <v>25</v>
      </c>
      <c r="B37" s="28" t="inlineStr">
        <is>
          <t>07</t>
        </is>
      </c>
      <c r="C37" s="14" t="inlineStr">
        <is>
          <t>07.05_Work_Front_Release_Between_Trades</t>
        </is>
      </c>
      <c r="D37" s="28" t="inlineStr">
        <is>
          <t>SITE</t>
        </is>
      </c>
      <c r="E37" s="14" t="inlineStr">
        <is>
          <t>Work Front Release Between Trades</t>
        </is>
      </c>
      <c r="F37" s="14" t="inlineStr">
        <is>
          <t>5 front releases</t>
        </is>
      </c>
      <c r="G37" s="14" t="inlineStr">
        <is>
          <t>Readiness criteria defined in advance · joint inspection with both trades · signed acceptance with snags listed · late release recorded against the handing trade</t>
        </is>
      </c>
      <c r="H37" s="29" t="inlineStr"/>
      <c r="I37" s="29" t="inlineStr"/>
      <c r="J37" s="29" t="inlineStr"/>
      <c r="K37" s="29" t="inlineStr"/>
      <c r="L37" s="29" t="inlineStr"/>
    </row>
    <row r="38" ht="30" customHeight="1">
      <c r="A38" s="28" t="n">
        <v>26</v>
      </c>
      <c r="B38" s="28" t="inlineStr">
        <is>
          <t>07</t>
        </is>
      </c>
      <c r="C38" s="14" t="inlineStr">
        <is>
          <t>07.06_Method_Statements_and_Temporary_Works</t>
        </is>
      </c>
      <c r="D38" s="28" t="inlineStr">
        <is>
          <t>SITE</t>
        </is>
      </c>
      <c r="E38" s="14" t="inlineStr">
        <is>
          <t>Method Statement Review and Approval</t>
        </is>
      </c>
      <c r="F38" s="14" t="inlineStr">
        <is>
          <t>10 method statements</t>
        </is>
      </c>
      <c r="G38" s="14" t="inlineStr">
        <is>
          <t>Reviewed within 5 working days · consistent with the JSA and ITP · briefed to the workforce before work started · re-approved on any method change</t>
        </is>
      </c>
      <c r="H38" s="29" t="inlineStr"/>
      <c r="I38" s="29" t="inlineStr"/>
      <c r="J38" s="29" t="inlineStr"/>
      <c r="K38" s="29" t="inlineStr"/>
      <c r="L38" s="29" t="inlineStr"/>
    </row>
    <row r="39" ht="30" customHeight="1">
      <c r="A39" s="28" t="n">
        <v>27</v>
      </c>
      <c r="B39" s="28" t="inlineStr">
        <is>
          <t>07</t>
        </is>
      </c>
      <c r="C39" s="14" t="inlineStr">
        <is>
          <t>07.06_Method_Statements_and_Temporary_Works</t>
        </is>
      </c>
      <c r="D39" s="28" t="inlineStr">
        <is>
          <t>SITE</t>
        </is>
      </c>
      <c r="E39" s="14" t="inlineStr">
        <is>
          <t>Temporary Works Design and Control</t>
        </is>
      </c>
      <c r="F39" s="14" t="inlineStr">
        <is>
          <t>5 temporary works</t>
        </is>
      </c>
      <c r="G39" s="14" t="inlineStr">
        <is>
          <t>Design independently checked to its category · permit to load issued after inspection · dismantling authorised in writing after strength verified</t>
        </is>
      </c>
      <c r="H39" s="29" t="inlineStr"/>
      <c r="I39" s="29" t="inlineStr"/>
      <c r="J39" s="29" t="inlineStr"/>
      <c r="K39" s="29" t="inlineStr"/>
      <c r="L39" s="29" t="inlineStr"/>
    </row>
    <row r="40" ht="30" customHeight="1">
      <c r="A40" s="28" t="n">
        <v>28</v>
      </c>
      <c r="B40" s="28" t="inlineStr">
        <is>
          <t>07</t>
        </is>
      </c>
      <c r="C40" s="14" t="inlineStr">
        <is>
          <t>07.07_Material_Receipt_and_Traceability</t>
        </is>
      </c>
      <c r="D40" s="28" t="inlineStr">
        <is>
          <t>SITE</t>
        </is>
      </c>
      <c r="E40" s="14" t="inlineStr">
        <is>
          <t>Material Receipt, Inspection and Inventory</t>
        </is>
      </c>
      <c r="F40" s="14" t="inlineStr">
        <is>
          <t>10 GRNs</t>
        </is>
      </c>
      <c r="G40" s="14" t="inlineStr">
        <is>
          <t>Checked against the approved submittal before acceptance · shortfall or damage noted on the challan at receipt · test certificate collected at receipt not at bill stage</t>
        </is>
      </c>
      <c r="H40" s="29" t="inlineStr"/>
      <c r="I40" s="29" t="inlineStr"/>
      <c r="J40" s="29" t="inlineStr"/>
      <c r="K40" s="29" t="inlineStr"/>
      <c r="L40" s="29" t="inlineStr"/>
    </row>
    <row r="41" ht="30" customHeight="1">
      <c r="A41" s="28" t="n">
        <v>29</v>
      </c>
      <c r="B41" s="28" t="inlineStr">
        <is>
          <t>07</t>
        </is>
      </c>
      <c r="C41" s="14" t="inlineStr">
        <is>
          <t>07.08_Progress_Measurement_SCurve</t>
        </is>
      </c>
      <c r="D41" s="28" t="inlineStr">
        <is>
          <t>BOTH</t>
        </is>
      </c>
      <c r="E41" s="14" t="inlineStr">
        <is>
          <t>Progress Measurement and S-Curve</t>
        </is>
      </c>
      <c r="F41" s="14" t="inlineStr">
        <is>
          <t>Last 3 measurement rounds</t>
        </is>
      </c>
      <c r="G41" s="14" t="inlineStr">
        <is>
          <t>Measured physically against defined weightages · consistent rules of credit · same cut-off date each period · reconciled against certified value</t>
        </is>
      </c>
      <c r="H41" s="29" t="inlineStr"/>
      <c r="I41" s="29" t="inlineStr"/>
      <c r="J41" s="29" t="inlineStr"/>
      <c r="K41" s="29" t="inlineStr"/>
      <c r="L41" s="29" t="inlineStr"/>
    </row>
    <row r="42" ht="30" customHeight="1">
      <c r="A42" s="28" t="n">
        <v>30</v>
      </c>
      <c r="B42" s="28" t="inlineStr">
        <is>
          <t>07</t>
        </is>
      </c>
      <c r="C42" s="14" t="inlineStr">
        <is>
          <t>07.09_Delay_Analysis</t>
        </is>
      </c>
      <c r="D42" s="28" t="inlineStr">
        <is>
          <t>BOTH</t>
        </is>
      </c>
      <c r="E42" s="14" t="inlineStr">
        <is>
          <t>Delay Analysis</t>
        </is>
      </c>
      <c r="F42" s="14" t="inlineStr">
        <is>
          <t>All recorded delay events</t>
        </is>
      </c>
      <c r="G42" s="14" t="inlineStr">
        <is>
          <t>Recorded contemporaneously with cause and times · criticality tested against the then-current programme · concurrency assessed</t>
        </is>
      </c>
      <c r="H42" s="29" t="inlineStr"/>
      <c r="I42" s="29" t="inlineStr"/>
      <c r="J42" s="29" t="inlineStr"/>
      <c r="K42" s="29" t="inlineStr"/>
      <c r="L42" s="29" t="inlineStr"/>
    </row>
    <row r="43" ht="26" customHeight="1">
      <c r="A43" s="28" t="n">
        <v>31</v>
      </c>
      <c r="B43" s="28" t="inlineStr">
        <is>
          <t>07</t>
        </is>
      </c>
      <c r="C43" s="14" t="inlineStr">
        <is>
          <t>07.10_Recovery_Acceleration_Planning</t>
        </is>
      </c>
      <c r="D43" s="28" t="inlineStr">
        <is>
          <t>BOTH</t>
        </is>
      </c>
      <c r="E43" s="14" t="inlineStr">
        <is>
          <t>Recovery and Acceleration Planning</t>
        </is>
      </c>
      <c r="F43" s="14" t="inlineStr">
        <is>
          <t>Any recovery plans</t>
        </is>
      </c>
      <c r="G43" s="14" t="inlineStr">
        <is>
          <t>Responsibility established before cost agreed · measures specific and physically tested · tracked weekly against the plan</t>
        </is>
      </c>
      <c r="H43" s="29" t="inlineStr"/>
      <c r="I43" s="29" t="inlineStr"/>
      <c r="J43" s="29" t="inlineStr"/>
      <c r="K43" s="29" t="inlineStr"/>
      <c r="L43" s="29" t="inlineStr"/>
    </row>
    <row r="44" ht="30" customHeight="1">
      <c r="A44" s="28" t="n">
        <v>32</v>
      </c>
      <c r="B44" s="28" t="inlineStr">
        <is>
          <t>07</t>
        </is>
      </c>
      <c r="C44" s="14" t="inlineStr">
        <is>
          <t>07.11_PEB_Structural_Steel_and_Surface_Protection</t>
        </is>
      </c>
      <c r="D44" s="28" t="inlineStr">
        <is>
          <t>SITE</t>
        </is>
      </c>
      <c r="E44" s="14" t="inlineStr">
        <is>
          <t>PEB and Structural Steel Fabrication and Erection</t>
        </is>
      </c>
      <c r="F44" s="14" t="inlineStr">
        <is>
          <t>5 fabrication lots</t>
        </is>
      </c>
      <c r="G44" s="14" t="inlineStr">
        <is>
          <t>Fabrication drawings approved before cutting · dimensional inspection at works · coating DFT verified before dispatch · bolt torque recorded · frame surveyed before cladding</t>
        </is>
      </c>
      <c r="H44" s="29" t="inlineStr"/>
      <c r="I44" s="29" t="inlineStr"/>
      <c r="J44" s="29" t="inlineStr"/>
      <c r="K44" s="29" t="inlineStr"/>
      <c r="L44" s="29" t="inlineStr"/>
    </row>
    <row r="45" ht="30" customHeight="1">
      <c r="A45" s="28" t="n">
        <v>33</v>
      </c>
      <c r="B45" s="28" t="inlineStr">
        <is>
          <t>07</t>
        </is>
      </c>
      <c r="C45" s="14" t="inlineStr">
        <is>
          <t>07.11_PEB_Structural_Steel_and_Surface_Protection</t>
        </is>
      </c>
      <c r="D45" s="28" t="inlineStr">
        <is>
          <t>SITE</t>
        </is>
      </c>
      <c r="E45" s="14" t="inlineStr">
        <is>
          <t>Surface Preparation, Painting and Insulation</t>
        </is>
      </c>
      <c r="F45" s="14" t="inlineStr">
        <is>
          <t>5 areas</t>
        </is>
      </c>
      <c r="G45" s="14" t="inlineStr">
        <is>
          <t>Preparation verified against a comparator · ambient, substrate temp, RH and dew point recorded before every coat · individual DFT readings recorded not an average alone</t>
        </is>
      </c>
      <c r="H45" s="29" t="inlineStr"/>
      <c r="I45" s="29" t="inlineStr"/>
      <c r="J45" s="29" t="inlineStr"/>
      <c r="K45" s="29" t="inlineStr"/>
      <c r="L45" s="29" t="inlineStr"/>
    </row>
    <row r="46" ht="30" customHeight="1">
      <c r="A46" s="28" t="n">
        <v>34</v>
      </c>
      <c r="B46" s="28" t="inlineStr">
        <is>
          <t>07</t>
        </is>
      </c>
      <c r="C46" s="14" t="inlineStr">
        <is>
          <t>07.12_Mechanical_Erection_Piping_and_Equipment</t>
        </is>
      </c>
      <c r="D46" s="28" t="inlineStr">
        <is>
          <t>SITE</t>
        </is>
      </c>
      <c r="E46" s="14" t="inlineStr">
        <is>
          <t>Equipment Erection, Alignment and Grouting</t>
        </is>
      </c>
      <c r="F46" s="14" t="inlineStr">
        <is>
          <t>5 equipment items</t>
        </is>
      </c>
      <c r="G46" s="14" t="inlineStr">
        <is>
          <t>Foundation formally released · measured level and alignment values recorded not pass marks · re-checked after grouting and after piping · vendor written confirmation before first run</t>
        </is>
      </c>
      <c r="H46" s="29" t="inlineStr"/>
      <c r="I46" s="29" t="inlineStr"/>
      <c r="J46" s="29" t="inlineStr"/>
      <c r="K46" s="29" t="inlineStr"/>
      <c r="L46" s="29" t="inlineStr"/>
    </row>
    <row r="47" ht="30" customHeight="1">
      <c r="A47" s="28" t="n">
        <v>35</v>
      </c>
      <c r="B47" s="28" t="inlineStr">
        <is>
          <t>07</t>
        </is>
      </c>
      <c r="C47" s="14" t="inlineStr">
        <is>
          <t>07.12_Mechanical_Erection_Piping_and_Equipment</t>
        </is>
      </c>
      <c r="D47" s="28" t="inlineStr">
        <is>
          <t>SITE</t>
        </is>
      </c>
      <c r="E47" s="14" t="inlineStr">
        <is>
          <t>Piping Fabrication, Erection and Hydrotest</t>
        </is>
      </c>
      <c r="F47" s="14" t="inlineStr">
        <is>
          <t>5 test packs</t>
        </is>
      </c>
      <c r="G47" s="14" t="inlineStr">
        <is>
          <t>Test pack complete before pressurisation · supports installed before testing · full hold period achieved · gauge calibration valid · joints broken for test recorded as reinstated</t>
        </is>
      </c>
      <c r="H47" s="29" t="inlineStr"/>
      <c r="I47" s="29" t="inlineStr"/>
      <c r="J47" s="29" t="inlineStr"/>
      <c r="K47" s="29" t="inlineStr"/>
      <c r="L47" s="29" t="inlineStr"/>
    </row>
    <row r="48">
      <c r="A48" s="26" t="inlineStr">
        <is>
          <t>08_QUALITY_HSE_AND_ENVIRONMENT</t>
        </is>
      </c>
      <c r="B48" s="11" t="n"/>
      <c r="C48" s="11" t="n"/>
      <c r="D48" s="11" t="n"/>
      <c r="E48" s="11" t="n"/>
      <c r="F48" s="11" t="n"/>
      <c r="G48" s="11" t="n"/>
      <c r="H48" s="11" t="n"/>
      <c r="I48" s="11" t="n"/>
      <c r="J48" s="11" t="n"/>
      <c r="K48" s="11" t="n"/>
      <c r="L48" s="6" t="n"/>
    </row>
    <row r="49" ht="26" customHeight="1">
      <c r="A49" s="28" t="n">
        <v>36</v>
      </c>
      <c r="B49" s="28" t="inlineStr">
        <is>
          <t>08</t>
        </is>
      </c>
      <c r="C49" s="14" t="inlineStr">
        <is>
          <t>08.01_Quality_Plans_and_Inspection_Test_Plans</t>
        </is>
      </c>
      <c r="D49" s="28" t="inlineStr">
        <is>
          <t>BOTH</t>
        </is>
      </c>
      <c r="E49" s="14" t="inlineStr">
        <is>
          <t>Inspection and Test Plans</t>
        </is>
      </c>
      <c r="F49" s="14" t="inlineStr">
        <is>
          <t>5 ITPs</t>
        </is>
      </c>
      <c r="G49" s="14" t="inlineStr">
        <is>
          <t>Approved before the activity started · every point has a criterion, a standard and a record · hold points marked as such</t>
        </is>
      </c>
      <c r="H49" s="29" t="inlineStr"/>
      <c r="I49" s="29" t="inlineStr"/>
      <c r="J49" s="29" t="inlineStr"/>
      <c r="K49" s="29" t="inlineStr"/>
      <c r="L49" s="29" t="inlineStr"/>
    </row>
    <row r="50" ht="30" customHeight="1">
      <c r="A50" s="28" t="n">
        <v>37</v>
      </c>
      <c r="B50" s="28" t="inlineStr">
        <is>
          <t>08</t>
        </is>
      </c>
      <c r="C50" s="14" t="inlineStr">
        <is>
          <t>08.02_Inspection_Checklists_Pour_Cards</t>
        </is>
      </c>
      <c r="D50" s="28" t="inlineStr">
        <is>
          <t>SITE</t>
        </is>
      </c>
      <c r="E50" s="14" t="inlineStr">
        <is>
          <t>Inspection Checklists and Pour Cards</t>
        </is>
      </c>
      <c r="F50" s="14" t="inlineStr">
        <is>
          <t>10 pour cards</t>
        </is>
      </c>
      <c r="G50" s="14" t="inlineStr">
        <is>
          <t>Inspected against ITP and drawing · measured values recorded not ticks · written permission before the pour · cover values recorded · photos linked</t>
        </is>
      </c>
      <c r="H50" s="29" t="inlineStr"/>
      <c r="I50" s="29" t="inlineStr"/>
      <c r="J50" s="29" t="inlineStr"/>
      <c r="K50" s="29" t="inlineStr"/>
      <c r="L50" s="29" t="inlineStr"/>
    </row>
    <row r="51" ht="30" customHeight="1">
      <c r="A51" s="28" t="n">
        <v>38</v>
      </c>
      <c r="B51" s="28" t="inlineStr">
        <is>
          <t>08</t>
        </is>
      </c>
      <c r="C51" s="14" t="inlineStr">
        <is>
          <t>08.03_Testing_Test_Report_Control</t>
        </is>
      </c>
      <c r="D51" s="28" t="inlineStr">
        <is>
          <t>SITE</t>
        </is>
      </c>
      <c r="E51" s="14" t="inlineStr">
        <is>
          <t>Testing and Test Report Control</t>
        </is>
      </c>
      <c r="F51" s="14" t="inlineStr">
        <is>
          <t>15 test reports</t>
        </is>
      </c>
      <c r="G51" s="14" t="inlineStr">
        <is>
          <t>Traceable to a specific element and location · sampling witnessed · specified vs achieved recorded · failures raised as NCRs · frequency per specification</t>
        </is>
      </c>
      <c r="H51" s="29" t="inlineStr"/>
      <c r="I51" s="29" t="inlineStr"/>
      <c r="J51" s="29" t="inlineStr"/>
      <c r="K51" s="29" t="inlineStr"/>
      <c r="L51" s="29" t="inlineStr"/>
    </row>
    <row r="52" ht="30" customHeight="1">
      <c r="A52" s="28" t="n">
        <v>39</v>
      </c>
      <c r="B52" s="28" t="inlineStr">
        <is>
          <t>08</t>
        </is>
      </c>
      <c r="C52" s="14" t="inlineStr">
        <is>
          <t>08.04_Third_Party_Inspection</t>
        </is>
      </c>
      <c r="D52" s="28" t="inlineStr">
        <is>
          <t>SITE</t>
        </is>
      </c>
      <c r="E52" s="14" t="inlineStr">
        <is>
          <t>Third Party Inspection</t>
        </is>
      </c>
      <c r="F52" s="14" t="inlineStr">
        <is>
          <t>3 TPI reports</t>
        </is>
      </c>
      <c r="G52" s="14" t="inlineStr">
        <is>
          <t>Agency accredited and independent of the contractor · findings closed with re-inspection · certificate filed against the element</t>
        </is>
      </c>
      <c r="H52" s="29" t="inlineStr"/>
      <c r="I52" s="29" t="inlineStr"/>
      <c r="J52" s="29" t="inlineStr"/>
      <c r="K52" s="29" t="inlineStr"/>
      <c r="L52" s="29" t="inlineStr"/>
    </row>
    <row r="53" ht="30" customHeight="1">
      <c r="A53" s="28" t="n">
        <v>40</v>
      </c>
      <c r="B53" s="28" t="inlineStr">
        <is>
          <t>08</t>
        </is>
      </c>
      <c r="C53" s="14" t="inlineStr">
        <is>
          <t>08.05_MockUps_Benchmark_Approvals</t>
        </is>
      </c>
      <c r="D53" s="28" t="inlineStr">
        <is>
          <t>SITE</t>
        </is>
      </c>
      <c r="E53" s="14" t="inlineStr">
        <is>
          <t>Mock-Ups and Benchmark Approvals</t>
        </is>
      </c>
      <c r="F53" s="14" t="inlineStr">
        <is>
          <t>3 mock-ups</t>
        </is>
      </c>
      <c r="G53" s="14" t="inlineStr">
        <is>
          <t>Built with actual materials, workforce and method · approved with client present · photographed · retained on site as benchmark</t>
        </is>
      </c>
      <c r="H53" s="29" t="inlineStr"/>
      <c r="I53" s="29" t="inlineStr"/>
      <c r="J53" s="29" t="inlineStr"/>
      <c r="K53" s="29" t="inlineStr"/>
      <c r="L53" s="29" t="inlineStr"/>
    </row>
    <row r="54" ht="30" customHeight="1">
      <c r="A54" s="28" t="n">
        <v>41</v>
      </c>
      <c r="B54" s="28" t="inlineStr">
        <is>
          <t>08</t>
        </is>
      </c>
      <c r="C54" s="14" t="inlineStr">
        <is>
          <t>08.06_Control_of_Nonconforming_Output</t>
        </is>
      </c>
      <c r="D54" s="28" t="inlineStr">
        <is>
          <t>SITE</t>
        </is>
      </c>
      <c r="E54" s="14" t="inlineStr">
        <is>
          <t>Non-Conformance Reporting</t>
        </is>
      </c>
      <c r="F54" s="14" t="inlineStr">
        <is>
          <t>10 NCRs</t>
        </is>
      </c>
      <c r="G54" s="14" t="inlineStr">
        <is>
          <t>Clause or specification cited · root cause beyond individual behaviour · corrective AND preventive action · closed against objective evidence</t>
        </is>
      </c>
      <c r="H54" s="29" t="inlineStr"/>
      <c r="I54" s="29" t="inlineStr"/>
      <c r="J54" s="29" t="inlineStr"/>
      <c r="K54" s="29" t="inlineStr"/>
      <c r="L54" s="29" t="inlineStr"/>
    </row>
    <row r="55" ht="30" customHeight="1">
      <c r="A55" s="28" t="n">
        <v>42</v>
      </c>
      <c r="B55" s="28" t="inlineStr">
        <is>
          <t>08</t>
        </is>
      </c>
      <c r="C55" s="14" t="inlineStr">
        <is>
          <t>08.07_Hazard_Identification_Risk_Assessment</t>
        </is>
      </c>
      <c r="D55" s="28" t="inlineStr">
        <is>
          <t>SITE</t>
        </is>
      </c>
      <c r="E55" s="14" t="inlineStr">
        <is>
          <t>Hazard Identification and Risk Assessment</t>
        </is>
      </c>
      <c r="F55" s="14" t="inlineStr">
        <is>
          <t>5 assessments</t>
        </is>
      </c>
      <c r="G55" s="14" t="inlineStr">
        <is>
          <t>Assessed before the activity started with the workforce involved · hierarchy of control applied not PPE alone · briefed in a language the workforce understands</t>
        </is>
      </c>
      <c r="H55" s="29" t="inlineStr"/>
      <c r="I55" s="29" t="inlineStr"/>
      <c r="J55" s="29" t="inlineStr"/>
      <c r="K55" s="29" t="inlineStr"/>
      <c r="L55" s="29" t="inlineStr"/>
    </row>
    <row r="56" ht="30" customHeight="1">
      <c r="A56" s="28" t="n">
        <v>43</v>
      </c>
      <c r="B56" s="28" t="inlineStr">
        <is>
          <t>08</t>
        </is>
      </c>
      <c r="C56" s="14" t="inlineStr">
        <is>
          <t>08.08_Permit_Work</t>
        </is>
      </c>
      <c r="D56" s="28" t="inlineStr">
        <is>
          <t>SITE</t>
        </is>
      </c>
      <c r="E56" s="14" t="inlineStr">
        <is>
          <t>Permit to Work</t>
        </is>
      </c>
      <c r="F56" s="14" t="inlineStr">
        <is>
          <t>3 live permits at the workface</t>
        </is>
      </c>
      <c r="G56" s="14" t="inlineStr">
        <is>
          <t>Precautions verified physically before issue · limited to a defined location and period · gas test and isolation recorded where applicable · closed formally with the area confirmed safe</t>
        </is>
      </c>
      <c r="H56" s="29" t="inlineStr"/>
      <c r="I56" s="29" t="inlineStr"/>
      <c r="J56" s="29" t="inlineStr"/>
      <c r="K56" s="29" t="inlineStr"/>
      <c r="L56" s="29" t="inlineStr"/>
    </row>
    <row r="57" ht="30" customHeight="1">
      <c r="A57" s="28" t="n">
        <v>44</v>
      </c>
      <c r="B57" s="28" t="inlineStr">
        <is>
          <t>08</t>
        </is>
      </c>
      <c r="C57" s="14" t="inlineStr">
        <is>
          <t>08.09_Toolbox_Talks</t>
        </is>
      </c>
      <c r="D57" s="28" t="inlineStr">
        <is>
          <t>SITE</t>
        </is>
      </c>
      <c r="E57" s="14" t="inlineStr">
        <is>
          <t>Toolbox Talks</t>
        </is>
      </c>
      <c r="F57" s="14" t="inlineStr">
        <is>
          <t>5 attendance sheets</t>
        </is>
      </c>
      <c r="G57" s="14" t="inlineStr">
        <is>
          <t>Held at the workface before the shift · topic drawn from today's actual work · attendance signed individually not in bulk by a supervisor</t>
        </is>
      </c>
      <c r="H57" s="29" t="inlineStr"/>
      <c r="I57" s="29" t="inlineStr"/>
      <c r="J57" s="29" t="inlineStr"/>
      <c r="K57" s="29" t="inlineStr"/>
      <c r="L57" s="29" t="inlineStr"/>
    </row>
    <row r="58" ht="26" customHeight="1">
      <c r="A58" s="28" t="n">
        <v>45</v>
      </c>
      <c r="B58" s="28" t="inlineStr">
        <is>
          <t>08</t>
        </is>
      </c>
      <c r="C58" s="14" t="inlineStr">
        <is>
          <t>08.10_Incidents_and_Emergency_Preparedness</t>
        </is>
      </c>
      <c r="D58" s="28" t="inlineStr">
        <is>
          <t>SITE</t>
        </is>
      </c>
      <c r="E58" s="14" t="inlineStr">
        <is>
          <t>Emergency Preparedness and Drills</t>
        </is>
      </c>
      <c r="F58" s="14" t="inlineStr">
        <is>
          <t>Last 2 drills</t>
        </is>
      </c>
      <c r="G58" s="14" t="inlineStr">
        <is>
          <t>Held at planned frequency · evacuation timed and headcount reconciled · observations converted into closed actions</t>
        </is>
      </c>
      <c r="H58" s="29" t="inlineStr"/>
      <c r="I58" s="29" t="inlineStr"/>
      <c r="J58" s="29" t="inlineStr"/>
      <c r="K58" s="29" t="inlineStr"/>
      <c r="L58" s="29" t="inlineStr"/>
    </row>
    <row r="59" ht="30" customHeight="1">
      <c r="A59" s="28" t="n">
        <v>46</v>
      </c>
      <c r="B59" s="28" t="inlineStr">
        <is>
          <t>08</t>
        </is>
      </c>
      <c r="C59" s="14" t="inlineStr">
        <is>
          <t>08.10_Incidents_and_Emergency_Preparedness</t>
        </is>
      </c>
      <c r="D59" s="28" t="inlineStr">
        <is>
          <t>SITE</t>
        </is>
      </c>
      <c r="E59" s="14" t="inlineStr">
        <is>
          <t>Incident and Near Miss Reporting</t>
        </is>
      </c>
      <c r="F59" s="14" t="inlineStr">
        <is>
          <t>Last 5 incidents and near misses</t>
        </is>
      </c>
      <c r="G59" s="14" t="inlineStr">
        <is>
          <t>All reported including near misses · scene preserved · statutory notification within the period · root cause reaches system failure not 'worker error'</t>
        </is>
      </c>
      <c r="H59" s="29" t="inlineStr"/>
      <c r="I59" s="29" t="inlineStr"/>
      <c r="J59" s="29" t="inlineStr"/>
      <c r="K59" s="29" t="inlineStr"/>
      <c r="L59" s="29" t="inlineStr"/>
    </row>
    <row r="60" ht="30" customHeight="1">
      <c r="A60" s="28" t="n">
        <v>47</v>
      </c>
      <c r="B60" s="28" t="inlineStr">
        <is>
          <t>08</t>
        </is>
      </c>
      <c r="C60" s="14" t="inlineStr">
        <is>
          <t>08.11_Environmental_and_Sustainability</t>
        </is>
      </c>
      <c r="D60" s="28" t="inlineStr">
        <is>
          <t>SITE</t>
        </is>
      </c>
      <c r="E60" s="14" t="inlineStr">
        <is>
          <t>Environmental Monitoring and Waste Control</t>
        </is>
      </c>
      <c r="F60" s="14" t="inlineStr">
        <is>
          <t>Last 3 monitoring rounds</t>
        </is>
      </c>
      <c r="G60" s="14" t="inlineStr">
        <is>
          <t>Monitored at boundary and nearest receptor · exceedances recorded and mitigated with confirming re-monitoring · waste disposal receipts from authorised handlers</t>
        </is>
      </c>
      <c r="H60" s="29" t="inlineStr"/>
      <c r="I60" s="29" t="inlineStr"/>
      <c r="J60" s="29" t="inlineStr"/>
      <c r="K60" s="29" t="inlineStr"/>
      <c r="L60" s="29" t="inlineStr"/>
    </row>
    <row r="61" ht="30" customHeight="1">
      <c r="A61" s="28" t="n">
        <v>48</v>
      </c>
      <c r="B61" s="28" t="inlineStr">
        <is>
          <t>08</t>
        </is>
      </c>
      <c r="C61" s="14" t="inlineStr">
        <is>
          <t>08.11_Environmental_and_Sustainability</t>
        </is>
      </c>
      <c r="D61" s="28" t="inlineStr">
        <is>
          <t>SITE</t>
        </is>
      </c>
      <c r="E61" s="14" t="inlineStr">
        <is>
          <t>Green Building and Sustainability Documentation</t>
        </is>
      </c>
      <c r="F61" s="14" t="inlineStr">
        <is>
          <t>Credit evidence</t>
        </is>
      </c>
      <c r="G61" s="14" t="inlineStr">
        <is>
          <t>Credits mapped to evidence and owner · evidence built as work proceeds not retrospectively · margin held above the threshold</t>
        </is>
      </c>
      <c r="H61" s="29" t="inlineStr"/>
      <c r="I61" s="29" t="inlineStr"/>
      <c r="J61" s="29" t="inlineStr"/>
      <c r="K61" s="29" t="inlineStr"/>
      <c r="L61" s="29" t="inlineStr"/>
    </row>
    <row r="62" ht="30" customHeight="1">
      <c r="A62" s="28" t="n">
        <v>49</v>
      </c>
      <c r="B62" s="28" t="inlineStr">
        <is>
          <t>08</t>
        </is>
      </c>
      <c r="C62" s="14" t="inlineStr">
        <is>
          <t>08.12_Welding_and_NDT_Control</t>
        </is>
      </c>
      <c r="D62" s="28" t="inlineStr">
        <is>
          <t>SITE</t>
        </is>
      </c>
      <c r="E62" s="14" t="inlineStr">
        <is>
          <t>Welding and NDT Control</t>
        </is>
      </c>
      <c r="F62" s="14" t="inlineStr">
        <is>
          <t>10 welds</t>
        </is>
      </c>
      <c r="G62" s="14" t="inlineStr">
        <is>
          <t>WPS supported by a PQR · welder qualified for the actual position, process and thickness · qualification current · NDT at specified extent · rejects triggered increased coverage</t>
        </is>
      </c>
      <c r="H62" s="29" t="inlineStr"/>
      <c r="I62" s="29" t="inlineStr"/>
      <c r="J62" s="29" t="inlineStr"/>
      <c r="K62" s="29" t="inlineStr"/>
      <c r="L62" s="29" t="inlineStr"/>
    </row>
    <row r="63">
      <c r="A63" s="26" t="inlineStr">
        <is>
          <t>09_COMMERCIAL_AND_CHANGE</t>
        </is>
      </c>
      <c r="B63" s="11" t="n"/>
      <c r="C63" s="11" t="n"/>
      <c r="D63" s="11" t="n"/>
      <c r="E63" s="11" t="n"/>
      <c r="F63" s="11" t="n"/>
      <c r="G63" s="11" t="n"/>
      <c r="H63" s="11" t="n"/>
      <c r="I63" s="11" t="n"/>
      <c r="J63" s="11" t="n"/>
      <c r="K63" s="11" t="n"/>
      <c r="L63" s="6" t="n"/>
    </row>
    <row r="64" ht="40" customHeight="1">
      <c r="A64" s="28" t="n">
        <v>50</v>
      </c>
      <c r="B64" s="28" t="inlineStr">
        <is>
          <t>09</t>
        </is>
      </c>
      <c r="C64" s="14" t="inlineStr">
        <is>
          <t>09.01_Interim_Bill_Verification_Certification</t>
        </is>
      </c>
      <c r="D64" s="28" t="inlineStr">
        <is>
          <t>BOTH</t>
        </is>
      </c>
      <c r="E64" s="14" t="inlineStr">
        <is>
          <t>Interim Bill Verification and Certification</t>
        </is>
      </c>
      <c r="F64" s="14" t="inlineStr">
        <is>
          <t>Last 3 certificates</t>
        </is>
      </c>
      <c r="G64" s="14" t="inlineStr">
        <is>
          <t>Certified within 10 days of a complete submission · quantities from joint measurement not the contractor's abstract · no certification against open NCRs · deductions carry a stated reason</t>
        </is>
      </c>
      <c r="H64" s="29" t="inlineStr"/>
      <c r="I64" s="29" t="inlineStr"/>
      <c r="J64" s="29" t="inlineStr"/>
      <c r="K64" s="29" t="inlineStr"/>
      <c r="L64" s="29" t="inlineStr"/>
    </row>
    <row r="65" ht="26" customHeight="1">
      <c r="A65" s="28" t="n">
        <v>51</v>
      </c>
      <c r="B65" s="28" t="inlineStr">
        <is>
          <t>09</t>
        </is>
      </c>
      <c r="C65" s="14" t="inlineStr">
        <is>
          <t>09.02_Joint_Measurement</t>
        </is>
      </c>
      <c r="D65" s="28" t="inlineStr">
        <is>
          <t>BOTH</t>
        </is>
      </c>
      <c r="E65" s="14" t="inlineStr">
        <is>
          <t>Joint Measurement</t>
        </is>
      </c>
      <c r="F65" s="14" t="inlineStr">
        <is>
          <t>10 measurement sheets</t>
        </is>
      </c>
      <c r="G65" s="14" t="inlineStr">
        <is>
          <t>Measured before concealment · signed by both parties at the time · location traceable · linked to a bill</t>
        </is>
      </c>
      <c r="H65" s="29" t="inlineStr"/>
      <c r="I65" s="29" t="inlineStr"/>
      <c r="J65" s="29" t="inlineStr"/>
      <c r="K65" s="29" t="inlineStr"/>
      <c r="L65" s="29" t="inlineStr"/>
    </row>
    <row r="66" ht="26" customHeight="1">
      <c r="A66" s="28" t="n">
        <v>52</v>
      </c>
      <c r="B66" s="28" t="inlineStr">
        <is>
          <t>09</t>
        </is>
      </c>
      <c r="C66" s="14" t="inlineStr">
        <is>
          <t>09.03_Commitment_Expenditure_Register</t>
        </is>
      </c>
      <c r="D66" s="28" t="inlineStr">
        <is>
          <t>BOTH</t>
        </is>
      </c>
      <c r="E66" s="14" t="inlineStr">
        <is>
          <t>Commitment and Expenditure Register</t>
        </is>
      </c>
      <c r="F66" s="14" t="inlineStr">
        <is>
          <t>Commitment register</t>
        </is>
      </c>
      <c r="G66" s="14" t="inlineStr">
        <is>
          <t>Commitments recorded at award not at first invoice · compared to budget monthly · reconciled to client accounts</t>
        </is>
      </c>
      <c r="H66" s="29" t="inlineStr"/>
      <c r="I66" s="29" t="inlineStr"/>
      <c r="J66" s="29" t="inlineStr"/>
      <c r="K66" s="29" t="inlineStr"/>
      <c r="L66" s="29" t="inlineStr"/>
    </row>
    <row r="67">
      <c r="A67" s="26" t="inlineStr">
        <is>
          <t>10_PERFORMANCE_HANDOVER_AND_IMPROVEMENT</t>
        </is>
      </c>
      <c r="B67" s="11" t="n"/>
      <c r="C67" s="11" t="n"/>
      <c r="D67" s="11" t="n"/>
      <c r="E67" s="11" t="n"/>
      <c r="F67" s="11" t="n"/>
      <c r="G67" s="11" t="n"/>
      <c r="H67" s="11" t="n"/>
      <c r="I67" s="11" t="n"/>
      <c r="J67" s="11" t="n"/>
      <c r="K67" s="11" t="n"/>
      <c r="L67" s="6" t="n"/>
    </row>
    <row r="68" ht="26" customHeight="1">
      <c r="A68" s="28" t="n">
        <v>53</v>
      </c>
      <c r="B68" s="28" t="inlineStr">
        <is>
          <t>10</t>
        </is>
      </c>
      <c r="C68" s="14" t="inlineStr">
        <is>
          <t>10.01_Progress_Reporting_MIS</t>
        </is>
      </c>
      <c r="D68" s="28" t="inlineStr">
        <is>
          <t>BOTH</t>
        </is>
      </c>
      <c r="E68" s="14" t="inlineStr">
        <is>
          <t>Progress Reporting and MIS</t>
        </is>
      </c>
      <c r="F68" s="14" t="inlineStr">
        <is>
          <t>Last 6 weekly reports</t>
        </is>
      </c>
      <c r="G68" s="14" t="inlineStr">
        <is>
          <t>Constant cut-off and issue dates · progress verified by measurement · all six areas covered · issued on the due date</t>
        </is>
      </c>
      <c r="H68" s="29" t="inlineStr"/>
      <c r="I68" s="29" t="inlineStr"/>
      <c r="J68" s="29" t="inlineStr"/>
      <c r="K68" s="29" t="inlineStr"/>
      <c r="L68" s="29" t="inlineStr"/>
    </row>
    <row r="69" ht="30" customHeight="1">
      <c r="A69" s="28" t="n">
        <v>54</v>
      </c>
      <c r="B69" s="28" t="inlineStr">
        <is>
          <t>10</t>
        </is>
      </c>
      <c r="C69" s="14" t="inlineStr">
        <is>
          <t>10.02_Project_KPIs_Performance_Measurement</t>
        </is>
      </c>
      <c r="D69" s="28" t="inlineStr">
        <is>
          <t>BOTH</t>
        </is>
      </c>
      <c r="E69" s="14" t="inlineStr">
        <is>
          <t>Project KPIs and Performance Measurement</t>
        </is>
      </c>
      <c r="F69" s="14" t="inlineStr">
        <is>
          <t>KPI records</t>
        </is>
      </c>
      <c r="G69" s="14" t="inlineStr">
        <is>
          <t>Every KPI has a formula, a source and a named measurer · baseline set at gate close · out-of-target KPIs carry a recorded cause</t>
        </is>
      </c>
      <c r="H69" s="29" t="inlineStr"/>
      <c r="I69" s="29" t="inlineStr"/>
      <c r="J69" s="29" t="inlineStr"/>
      <c r="K69" s="29" t="inlineStr"/>
      <c r="L69" s="29" t="inlineStr"/>
    </row>
    <row r="70" ht="26" customHeight="1">
      <c r="A70" s="28" t="n">
        <v>55</v>
      </c>
      <c r="B70" s="28" t="inlineStr">
        <is>
          <t>10</t>
        </is>
      </c>
      <c r="C70" s="14" t="inlineStr">
        <is>
          <t>10.03_Presentations_Site_Visits_Reviews</t>
        </is>
      </c>
      <c r="D70" s="28" t="inlineStr">
        <is>
          <t>BOTH</t>
        </is>
      </c>
      <c r="E70" s="14" t="inlineStr">
        <is>
          <t>Presentations, Site Visits and Reviews</t>
        </is>
      </c>
      <c r="F70" s="14" t="inlineStr">
        <is>
          <t>Last 3 reviews</t>
        </is>
      </c>
      <c r="G70" s="14" t="inlineStr">
        <is>
          <t>Material circulated in advance and retained as delivered · decisions and client commitments minuted · actions tracked</t>
        </is>
      </c>
      <c r="H70" s="29" t="inlineStr"/>
      <c r="I70" s="29" t="inlineStr"/>
      <c r="J70" s="29" t="inlineStr"/>
      <c r="K70" s="29" t="inlineStr"/>
      <c r="L70" s="29" t="inlineStr"/>
    </row>
    <row r="71" ht="30" customHeight="1">
      <c r="A71" s="28" t="n">
        <v>56</v>
      </c>
      <c r="B71" s="28" t="inlineStr">
        <is>
          <t>10</t>
        </is>
      </c>
      <c r="C71" s="14" t="inlineStr">
        <is>
          <t>10.04_Commissioning_and_Testing</t>
        </is>
      </c>
      <c r="D71" s="28" t="inlineStr">
        <is>
          <t>SITE</t>
        </is>
      </c>
      <c r="E71" s="14" t="inlineStr">
        <is>
          <t>Pre-Commissioning Checks</t>
        </is>
      </c>
      <c r="F71" s="14" t="inlineStr">
        <is>
          <t>5 checklists</t>
        </is>
      </c>
      <c r="G71" s="14" t="inlineStr">
        <is>
          <t>Complete system list confirmed · checked against drawings and manufacturer requirements · punch items closed before energisation</t>
        </is>
      </c>
      <c r="H71" s="29" t="inlineStr"/>
      <c r="I71" s="29" t="inlineStr"/>
      <c r="J71" s="29" t="inlineStr"/>
      <c r="K71" s="29" t="inlineStr"/>
      <c r="L71" s="29" t="inlineStr"/>
    </row>
    <row r="72" ht="30" customHeight="1">
      <c r="A72" s="28" t="n">
        <v>57</v>
      </c>
      <c r="B72" s="28" t="inlineStr">
        <is>
          <t>10</t>
        </is>
      </c>
      <c r="C72" s="14" t="inlineStr">
        <is>
          <t>10.04_Commissioning_and_Testing</t>
        </is>
      </c>
      <c r="D72" s="28" t="inlineStr">
        <is>
          <t>SITE</t>
        </is>
      </c>
      <c r="E72" s="14" t="inlineStr">
        <is>
          <t>Testing and Commissioning</t>
        </is>
      </c>
      <c r="F72" s="14" t="inlineStr">
        <is>
          <t>5 test records</t>
        </is>
      </c>
      <c r="G72" s="14" t="inlineStr">
        <is>
          <t>Protocol and criteria agreed before testing · measured values recorded not pass ticks · integrated testing against a cause-and-effect matrix · full retest after modification</t>
        </is>
      </c>
      <c r="H72" s="29" t="inlineStr"/>
      <c r="I72" s="29" t="inlineStr"/>
      <c r="J72" s="29" t="inlineStr"/>
      <c r="K72" s="29" t="inlineStr"/>
      <c r="L72" s="29" t="inlineStr"/>
    </row>
    <row r="73" ht="30" customHeight="1">
      <c r="A73" s="28" t="n">
        <v>58</v>
      </c>
      <c r="B73" s="28" t="inlineStr">
        <is>
          <t>10</t>
        </is>
      </c>
      <c r="C73" s="14" t="inlineStr">
        <is>
          <t>10.05_Snagging_and_Acceptance</t>
        </is>
      </c>
      <c r="D73" s="28" t="inlineStr">
        <is>
          <t>SITE</t>
        </is>
      </c>
      <c r="E73" s="14" t="inlineStr">
        <is>
          <t>Snagging and De-snagging</t>
        </is>
      </c>
      <c r="F73" s="14" t="inlineStr">
        <is>
          <t>2 zones</t>
        </is>
      </c>
      <c r="G73" s="14" t="inlineStr">
        <is>
          <t>Snagging progressive not a single end exercise · every snag located and photographed · closure only after physical re-inspection</t>
        </is>
      </c>
      <c r="H73" s="29" t="inlineStr"/>
      <c r="I73" s="29" t="inlineStr"/>
      <c r="J73" s="29" t="inlineStr"/>
      <c r="K73" s="29" t="inlineStr"/>
      <c r="L73" s="29" t="inlineStr"/>
    </row>
    <row r="74" ht="26" customHeight="1">
      <c r="A74" s="28" t="n">
        <v>59</v>
      </c>
      <c r="B74" s="28" t="inlineStr">
        <is>
          <t>10</t>
        </is>
      </c>
      <c r="C74" s="14" t="inlineStr">
        <is>
          <t>10.06_Handover_Dossier_Practical_Completion</t>
        </is>
      </c>
      <c r="D74" s="28" t="inlineStr">
        <is>
          <t>BOTH</t>
        </is>
      </c>
      <c r="E74" s="14" t="inlineStr">
        <is>
          <t>Handover Dossier and Practical Completion</t>
        </is>
      </c>
      <c r="F74" s="14" t="inlineStr">
        <is>
          <t>Dossier index</t>
        </is>
      </c>
      <c r="G74" s="14" t="inlineStr">
        <is>
          <t>Built continuously from project start · completeness tracked monthly · sections verified against the index</t>
        </is>
      </c>
      <c r="H74" s="29" t="inlineStr"/>
      <c r="I74" s="29" t="inlineStr"/>
      <c r="J74" s="29" t="inlineStr"/>
      <c r="K74" s="29" t="inlineStr"/>
      <c r="L74" s="29" t="inlineStr"/>
    </row>
    <row r="75" ht="26" customHeight="1">
      <c r="A75" s="28" t="n">
        <v>60</v>
      </c>
      <c r="B75" s="28" t="inlineStr">
        <is>
          <t>10</t>
        </is>
      </c>
      <c r="C75" s="14" t="inlineStr">
        <is>
          <t>10.07_Operation_Maintenance_Manuals</t>
        </is>
      </c>
      <c r="D75" s="28" t="inlineStr">
        <is>
          <t>BOTH</t>
        </is>
      </c>
      <c r="E75" s="14" t="inlineStr">
        <is>
          <t>Operation and Maintenance Manuals</t>
        </is>
      </c>
      <c r="F75" s="14" t="inlineStr">
        <is>
          <t>3 manuals</t>
        </is>
      </c>
      <c r="G75" s="14" t="inlineStr">
        <is>
          <t>Content and format specified in the contract · drafts before commissioning · reviewed by the FM team who will use them</t>
        </is>
      </c>
      <c r="H75" s="29" t="inlineStr"/>
      <c r="I75" s="29" t="inlineStr"/>
      <c r="J75" s="29" t="inlineStr"/>
      <c r="K75" s="29" t="inlineStr"/>
      <c r="L75" s="29" t="inlineStr"/>
    </row>
    <row r="76" ht="30" customHeight="1">
      <c r="A76" s="28" t="n">
        <v>61</v>
      </c>
      <c r="B76" s="28" t="inlineStr">
        <is>
          <t>10</t>
        </is>
      </c>
      <c r="C76" s="14" t="inlineStr">
        <is>
          <t>10.08_Warranties_Guarantees</t>
        </is>
      </c>
      <c r="D76" s="28" t="inlineStr">
        <is>
          <t>BOTH</t>
        </is>
      </c>
      <c r="E76" s="14" t="inlineStr">
        <is>
          <t>Warranties and Guarantees</t>
        </is>
      </c>
      <c r="F76" s="14" t="inlineStr">
        <is>
          <t>Warranty register</t>
        </is>
      </c>
      <c r="G76" s="14" t="inlineStr">
        <is>
          <t>Collected through construction not at handover · start date, conditions and exclusions recorded · issued in the client's name</t>
        </is>
      </c>
      <c r="H76" s="29" t="inlineStr"/>
      <c r="I76" s="29" t="inlineStr"/>
      <c r="J76" s="29" t="inlineStr"/>
      <c r="K76" s="29" t="inlineStr"/>
      <c r="L76" s="29" t="inlineStr"/>
    </row>
    <row r="77" ht="26" customHeight="1">
      <c r="A77" s="28" t="n">
        <v>62</v>
      </c>
      <c r="B77" s="28" t="inlineStr">
        <is>
          <t>10</t>
        </is>
      </c>
      <c r="C77" s="14" t="inlineStr">
        <is>
          <t>10.09_Mandatory_Spares_Consumables</t>
        </is>
      </c>
      <c r="D77" s="28" t="inlineStr">
        <is>
          <t>BOTH</t>
        </is>
      </c>
      <c r="E77" s="14" t="inlineStr">
        <is>
          <t>Mandatory Spares and Consumables</t>
        </is>
      </c>
      <c r="F77" s="14" t="inlineStr">
        <is>
          <t>Spares schedule</t>
        </is>
      </c>
      <c r="G77" s="14" t="inlineStr">
        <is>
          <t>Consolidated list from all contracts · verified against installed models · handed over against receipt before final payment</t>
        </is>
      </c>
      <c r="H77" s="29" t="inlineStr"/>
      <c r="I77" s="29" t="inlineStr"/>
      <c r="J77" s="29" t="inlineStr"/>
      <c r="K77" s="29" t="inlineStr"/>
      <c r="L77" s="29" t="inlineStr"/>
    </row>
    <row r="78" ht="30" customHeight="1">
      <c r="A78" s="28" t="n">
        <v>63</v>
      </c>
      <c r="B78" s="28" t="inlineStr">
        <is>
          <t>10</t>
        </is>
      </c>
      <c r="C78" s="14" t="inlineStr">
        <is>
          <t>10.10_FM_Training_Soft_Landings</t>
        </is>
      </c>
      <c r="D78" s="28" t="inlineStr">
        <is>
          <t>BOTH</t>
        </is>
      </c>
      <c r="E78" s="14" t="inlineStr">
        <is>
          <t>FM Training and Soft Landings</t>
        </is>
      </c>
      <c r="F78" s="14" t="inlineStr">
        <is>
          <t>Training records</t>
        </is>
      </c>
      <c r="G78" s="14" t="inlineStr">
        <is>
          <t>Delivered on installed equipment before handover · attendance recorded and understanding verified · aftercare arrangement documented</t>
        </is>
      </c>
      <c r="H78" s="29" t="inlineStr"/>
      <c r="I78" s="29" t="inlineStr"/>
      <c r="J78" s="29" t="inlineStr"/>
      <c r="K78" s="29" t="inlineStr"/>
      <c r="L78" s="29" t="inlineStr"/>
    </row>
    <row r="79" ht="26" customHeight="1">
      <c r="A79" s="28" t="n">
        <v>64</v>
      </c>
      <c r="B79" s="28" t="inlineStr">
        <is>
          <t>10</t>
        </is>
      </c>
      <c r="C79" s="14" t="inlineStr">
        <is>
          <t>10.11_Key_Access_Handover</t>
        </is>
      </c>
      <c r="D79" s="28" t="inlineStr">
        <is>
          <t>BOTH</t>
        </is>
      </c>
      <c r="E79" s="14" t="inlineStr">
        <is>
          <t>Key and Access Handover</t>
        </is>
      </c>
      <c r="F79" s="14" t="inlineStr">
        <is>
          <t>Key schedule</t>
        </is>
      </c>
      <c r="G79" s="14" t="inlineStr">
        <is>
          <t>Every construction key accounted for · locks re-keyed where unaccounted · handover against signed receipt</t>
        </is>
      </c>
      <c r="H79" s="29" t="inlineStr"/>
      <c r="I79" s="29" t="inlineStr"/>
      <c r="J79" s="29" t="inlineStr"/>
      <c r="K79" s="29" t="inlineStr"/>
      <c r="L79" s="29" t="inlineStr"/>
    </row>
    <row r="80" ht="30" customHeight="1">
      <c r="A80" s="28" t="n">
        <v>65</v>
      </c>
      <c r="B80" s="28" t="inlineStr">
        <is>
          <t>10</t>
        </is>
      </c>
      <c r="C80" s="14" t="inlineStr">
        <is>
          <t>10.17_FAT_SAT_and_Performance_Test_Run</t>
        </is>
      </c>
      <c r="D80" s="28" t="inlineStr">
        <is>
          <t>BOTH</t>
        </is>
      </c>
      <c r="E80" s="14" t="inlineStr">
        <is>
          <t>Factory and Site Acceptance Testing</t>
        </is>
      </c>
      <c r="F80" s="14" t="inlineStr">
        <is>
          <t>5 test records</t>
        </is>
      </c>
      <c r="G80" s="14" t="inlineStr">
        <is>
          <t>Protocol agreed at PO stage · every guaranteed parameter demonstrated with values · punch items categorised A or B · critical parameters repeated at SAT</t>
        </is>
      </c>
      <c r="H80" s="29" t="inlineStr"/>
      <c r="I80" s="29" t="inlineStr"/>
      <c r="J80" s="29" t="inlineStr"/>
      <c r="K80" s="29" t="inlineStr"/>
      <c r="L80" s="29" t="inlineStr"/>
    </row>
    <row r="81" ht="30" customHeight="1">
      <c r="A81" s="28" t="n">
        <v>66</v>
      </c>
      <c r="B81" s="28" t="inlineStr">
        <is>
          <t>10</t>
        </is>
      </c>
      <c r="C81" s="14" t="inlineStr">
        <is>
          <t>10.17_FAT_SAT_and_Performance_Test_Run</t>
        </is>
      </c>
      <c r="D81" s="28" t="inlineStr">
        <is>
          <t>BOTH</t>
        </is>
      </c>
      <c r="E81" s="14" t="inlineStr">
        <is>
          <t>Performance Guarantee Test Run and Trial Production</t>
        </is>
      </c>
      <c r="F81" s="14" t="inlineStr">
        <is>
          <t>Test run records</t>
        </is>
      </c>
      <c r="G81" s="14" t="inlineStr">
        <is>
          <t>Parameters, duration and method fixed in the contract · prerequisites verified before start · full duration without interruption · logs signed during the run</t>
        </is>
      </c>
      <c r="H81" s="29" t="inlineStr"/>
      <c r="I81" s="29" t="inlineStr"/>
      <c r="J81" s="29" t="inlineStr"/>
      <c r="K81" s="29" t="inlineStr"/>
      <c r="L81" s="29" t="inlineStr"/>
    </row>
  </sheetData>
  <autoFilter ref="A5:L81"/>
  <mergeCells count="10">
    <mergeCell ref="A26:L26"/>
    <mergeCell ref="A24:L24"/>
    <mergeCell ref="A30:L30"/>
    <mergeCell ref="A19:L19"/>
    <mergeCell ref="A63:L63"/>
    <mergeCell ref="A8:L8"/>
    <mergeCell ref="A6:L6"/>
    <mergeCell ref="A67:L67"/>
    <mergeCell ref="A12:L12"/>
    <mergeCell ref="A48:L48"/>
  </mergeCells>
  <conditionalFormatting sqref="K6:K81">
    <cfRule type="cellIs" priority="1" operator="equal" dxfId="0">
      <formula>0</formula>
    </cfRule>
    <cfRule type="cellIs" priority="2" operator="equal" dxfId="1">
      <formula>1</formula>
    </cfRule>
    <cfRule type="cellIs" priority="3" operator="equal" dxfId="2">
      <formula>2</formula>
    </cfRule>
  </conditionalFormatting>
  <dataValidations count="1">
    <dataValidation sqref="K7 K9 K10 K11 K13 K14 K15 K16 K17 K18 K20 K21 K22 K23 K25 K27 K28 K29 K31 K32 K33 K34 K35 K36 K37 K38 K39 K40 K41 K42 K43 K44 K45 K46 K47 K49 K50 K51 K52 K53 K54 K55 K56 K57 K58 K59 K60 K61 K62 K64 K65 K66 K68 K69 K70 K71 K72 K73 K74 K75 K76 K77 K78 K79 K80 K81" showDropDown="0" showInputMessage="0" showErrorMessage="0" allowBlank="1" type="list">
      <formula1>"2,1,0,N/A"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05"/>
  <sheetViews>
    <sheetView showGridLines="0" workbookViewId="0">
      <pane ySplit="5" topLeftCell="A6" activePane="bottomLeft" state="frozen"/>
      <selection pane="bottomLeft" activeCell="A1" sqref="A1"/>
    </sheetView>
  </sheetViews>
  <sheetFormatPr baseColWidth="8" defaultRowHeight="15"/>
  <cols>
    <col width="4" customWidth="1" min="1" max="1"/>
    <col width="12" customWidth="1" min="2" max="2"/>
    <col width="14" customWidth="1" min="3" max="3"/>
    <col width="10" customWidth="1" min="4" max="4"/>
    <col width="30" customWidth="1" min="5" max="5"/>
    <col width="46" customWidth="1" min="6" max="6"/>
    <col width="11" customWidth="1" min="7" max="7"/>
    <col width="11" customWidth="1" min="8" max="8"/>
    <col width="30" customWidth="1" min="9" max="9"/>
    <col width="38" customWidth="1" min="10" max="10"/>
    <col width="30" customWidth="1" min="11" max="11"/>
    <col width="16" customWidth="1" min="12" max="12"/>
    <col width="12" customWidth="1" min="13" max="13"/>
    <col width="12" customWidth="1" min="14" max="14"/>
    <col width="11" customWidth="1" min="15" max="15"/>
    <col width="10" customWidth="1" min="16" max="16"/>
    <col width="14" customWidth="1" min="17" max="17"/>
    <col width="14" customWidth="1" min="18" max="18"/>
  </cols>
  <sheetData>
    <row r="1">
      <c r="A1" s="19" t="inlineStr">
        <is>
          <t>SITE AUDIT FINDINGS AND CORRECTIVE ACTION</t>
        </is>
      </c>
    </row>
    <row r="2">
      <c r="A2" s="3" t="inlineStr">
        <is>
          <t>One finding for every score below 2, from either the folder sampling or the site walk.</t>
        </is>
      </c>
    </row>
    <row r="5" ht="30" customHeight="1">
      <c r="A5" s="13" t="inlineStr">
        <is>
          <t>#</t>
        </is>
      </c>
      <c r="B5" s="13" t="inlineStr">
        <is>
          <t>Finding ref.</t>
        </is>
      </c>
      <c r="C5" s="13" t="inlineStr">
        <is>
          <t>Source</t>
        </is>
      </c>
      <c r="D5" s="13" t="inlineStr">
        <is>
          <t>Ref. no.</t>
        </is>
      </c>
      <c r="E5" s="13" t="inlineStr">
        <is>
          <t>Folder / location</t>
        </is>
      </c>
      <c r="F5" s="13" t="inlineStr">
        <is>
          <t>Finding — what was actually found</t>
        </is>
      </c>
      <c r="G5" s="13" t="inlineStr">
        <is>
          <t>Photo ref.</t>
        </is>
      </c>
      <c r="H5" s="13" t="inlineStr">
        <is>
          <t>Severity</t>
        </is>
      </c>
      <c r="I5" s="13" t="inlineStr">
        <is>
          <t>Root cause</t>
        </is>
      </c>
      <c r="J5" s="13" t="inlineStr">
        <is>
          <t>Corrective action</t>
        </is>
      </c>
      <c r="K5" s="13" t="inlineStr">
        <is>
          <t>Preventive action</t>
        </is>
      </c>
      <c r="L5" s="13" t="inlineStr">
        <is>
          <t>Owner</t>
        </is>
      </c>
      <c r="M5" s="13" t="inlineStr">
        <is>
          <t>Target date</t>
        </is>
      </c>
      <c r="N5" s="13" t="inlineStr">
        <is>
          <t>Closed on</t>
        </is>
      </c>
      <c r="O5" s="13" t="inlineStr">
        <is>
          <t>Days open</t>
        </is>
      </c>
      <c r="P5" s="13" t="inlineStr">
        <is>
          <t>Overdue?</t>
        </is>
      </c>
      <c r="Q5" s="13" t="inlineStr">
        <is>
          <t>Verified by</t>
        </is>
      </c>
      <c r="R5" s="13" t="inlineStr">
        <is>
          <t>Status</t>
        </is>
      </c>
    </row>
    <row r="6">
      <c r="A6" s="30" t="n">
        <v>1</v>
      </c>
      <c r="B6" s="30" t="inlineStr">
        <is>
          <t>SF-001</t>
        </is>
      </c>
      <c r="C6" s="30" t="inlineStr">
        <is>
          <t>Site walk</t>
        </is>
      </c>
      <c r="D6" s="30" t="inlineStr">
        <is>
          <t>W-07</t>
        </is>
      </c>
      <c r="E6" s="30" t="inlineStr">
        <is>
          <t>L3 workface, grid D4</t>
        </is>
      </c>
      <c r="F6" s="30" t="inlineStr">
        <is>
          <t>Two prints of DR-ST-0142 rev C01 in use by the shuttering foreman. C02 issued 11 days earlier</t>
        </is>
      </c>
      <c r="G6" s="30" t="inlineStr">
        <is>
          <t>IMG-0412</t>
        </is>
      </c>
      <c r="H6" s="30" t="inlineStr">
        <is>
          <t>Critical</t>
        </is>
      </c>
      <c r="I6" s="30" t="inlineStr">
        <is>
          <t>Withdrawal not enforced when C02 issued; no receipt taken</t>
        </is>
      </c>
      <c r="J6" s="30" t="inlineStr">
        <is>
          <t>All C01 prints recovered against receipt same day; boards audited</t>
        </is>
      </c>
      <c r="K6" s="30" t="inlineStr">
        <is>
          <t>Withdrawal receipt made a precondition of issuing the next revision</t>
        </is>
      </c>
      <c r="L6" s="30" t="inlineStr">
        <is>
          <t>Document Controller</t>
        </is>
      </c>
      <c r="M6" s="30" t="inlineStr">
        <is>
          <t>2027-08-15</t>
        </is>
      </c>
      <c r="N6" s="30" t="inlineStr"/>
      <c r="O6" s="30" t="inlineStr"/>
      <c r="P6" s="30" t="inlineStr"/>
      <c r="Q6" s="30" t="inlineStr"/>
      <c r="R6" s="30" t="inlineStr">
        <is>
          <t>Open</t>
        </is>
      </c>
    </row>
    <row r="7">
      <c r="A7" s="14" t="n"/>
      <c r="B7" s="14" t="n"/>
      <c r="C7" s="14" t="n"/>
      <c r="D7" s="14" t="n"/>
      <c r="E7" s="14" t="n"/>
      <c r="F7" s="14" t="n"/>
      <c r="G7" s="14" t="n"/>
      <c r="H7" s="14" t="n"/>
      <c r="I7" s="14" t="n"/>
      <c r="J7" s="14" t="n"/>
      <c r="K7" s="14" t="n"/>
      <c r="L7" s="14" t="n"/>
      <c r="M7" s="14" t="n"/>
      <c r="N7" s="14" t="n"/>
      <c r="O7" s="31">
        <f>IFERROR(IF(M7="","",IF(N7="",TODAY()-M7,N7-M7)),"")</f>
        <v/>
      </c>
      <c r="P7" s="31">
        <f>IFERROR(IF(OR(M7="",R7="Closed"),"",IF(TODAY()&gt;M7,"Yes","No")),"")</f>
        <v/>
      </c>
      <c r="Q7" s="14" t="n"/>
      <c r="R7" s="14" t="n"/>
    </row>
    <row r="8">
      <c r="A8" s="14" t="n"/>
      <c r="B8" s="14" t="n"/>
      <c r="C8" s="14" t="n"/>
      <c r="D8" s="14" t="n"/>
      <c r="E8" s="14" t="n"/>
      <c r="F8" s="14" t="n"/>
      <c r="G8" s="14" t="n"/>
      <c r="H8" s="14" t="n"/>
      <c r="I8" s="14" t="n"/>
      <c r="J8" s="14" t="n"/>
      <c r="K8" s="14" t="n"/>
      <c r="L8" s="14" t="n"/>
      <c r="M8" s="14" t="n"/>
      <c r="N8" s="14" t="n"/>
      <c r="O8" s="31">
        <f>IFERROR(IF(M8="","",IF(N8="",TODAY()-M8,N8-M8)),"")</f>
        <v/>
      </c>
      <c r="P8" s="31">
        <f>IFERROR(IF(OR(M8="",R8="Closed"),"",IF(TODAY()&gt;M8,"Yes","No")),"")</f>
        <v/>
      </c>
      <c r="Q8" s="14" t="n"/>
      <c r="R8" s="14" t="n"/>
    </row>
    <row r="9">
      <c r="A9" s="14" t="n"/>
      <c r="B9" s="14" t="n"/>
      <c r="C9" s="14" t="n"/>
      <c r="D9" s="14" t="n"/>
      <c r="E9" s="14" t="n"/>
      <c r="F9" s="14" t="n"/>
      <c r="G9" s="14" t="n"/>
      <c r="H9" s="14" t="n"/>
      <c r="I9" s="14" t="n"/>
      <c r="J9" s="14" t="n"/>
      <c r="K9" s="14" t="n"/>
      <c r="L9" s="14" t="n"/>
      <c r="M9" s="14" t="n"/>
      <c r="N9" s="14" t="n"/>
      <c r="O9" s="31">
        <f>IFERROR(IF(M9="","",IF(N9="",TODAY()-M9,N9-M9)),"")</f>
        <v/>
      </c>
      <c r="P9" s="31">
        <f>IFERROR(IF(OR(M9="",R9="Closed"),"",IF(TODAY()&gt;M9,"Yes","No")),"")</f>
        <v/>
      </c>
      <c r="Q9" s="14" t="n"/>
      <c r="R9" s="14" t="n"/>
    </row>
    <row r="10">
      <c r="A10" s="14" t="n"/>
      <c r="B10" s="14" t="n"/>
      <c r="C10" s="14" t="n"/>
      <c r="D10" s="14" t="n"/>
      <c r="E10" s="14" t="n"/>
      <c r="F10" s="14" t="n"/>
      <c r="G10" s="14" t="n"/>
      <c r="H10" s="14" t="n"/>
      <c r="I10" s="14" t="n"/>
      <c r="J10" s="14" t="n"/>
      <c r="K10" s="14" t="n"/>
      <c r="L10" s="14" t="n"/>
      <c r="M10" s="14" t="n"/>
      <c r="N10" s="14" t="n"/>
      <c r="O10" s="31">
        <f>IFERROR(IF(M10="","",IF(N10="",TODAY()-M10,N10-M10)),"")</f>
        <v/>
      </c>
      <c r="P10" s="31">
        <f>IFERROR(IF(OR(M10="",R10="Closed"),"",IF(TODAY()&gt;M10,"Yes","No")),"")</f>
        <v/>
      </c>
      <c r="Q10" s="14" t="n"/>
      <c r="R10" s="14" t="n"/>
    </row>
    <row r="11">
      <c r="A11" s="14" t="n"/>
      <c r="B11" s="14" t="n"/>
      <c r="C11" s="14" t="n"/>
      <c r="D11" s="14" t="n"/>
      <c r="E11" s="14" t="n"/>
      <c r="F11" s="14" t="n"/>
      <c r="G11" s="14" t="n"/>
      <c r="H11" s="14" t="n"/>
      <c r="I11" s="14" t="n"/>
      <c r="J11" s="14" t="n"/>
      <c r="K11" s="14" t="n"/>
      <c r="L11" s="14" t="n"/>
      <c r="M11" s="14" t="n"/>
      <c r="N11" s="14" t="n"/>
      <c r="O11" s="31">
        <f>IFERROR(IF(M11="","",IF(N11="",TODAY()-M11,N11-M11)),"")</f>
        <v/>
      </c>
      <c r="P11" s="31">
        <f>IFERROR(IF(OR(M11="",R11="Closed"),"",IF(TODAY()&gt;M11,"Yes","No")),"")</f>
        <v/>
      </c>
      <c r="Q11" s="14" t="n"/>
      <c r="R11" s="14" t="n"/>
    </row>
    <row r="12">
      <c r="A12" s="14" t="n"/>
      <c r="B12" s="14" t="n"/>
      <c r="C12" s="14" t="n"/>
      <c r="D12" s="14" t="n"/>
      <c r="E12" s="14" t="n"/>
      <c r="F12" s="14" t="n"/>
      <c r="G12" s="14" t="n"/>
      <c r="H12" s="14" t="n"/>
      <c r="I12" s="14" t="n"/>
      <c r="J12" s="14" t="n"/>
      <c r="K12" s="14" t="n"/>
      <c r="L12" s="14" t="n"/>
      <c r="M12" s="14" t="n"/>
      <c r="N12" s="14" t="n"/>
      <c r="O12" s="31">
        <f>IFERROR(IF(M12="","",IF(N12="",TODAY()-M12,N12-M12)),"")</f>
        <v/>
      </c>
      <c r="P12" s="31">
        <f>IFERROR(IF(OR(M12="",R12="Closed"),"",IF(TODAY()&gt;M12,"Yes","No")),"")</f>
        <v/>
      </c>
      <c r="Q12" s="14" t="n"/>
      <c r="R12" s="14" t="n"/>
    </row>
    <row r="13">
      <c r="A13" s="14" t="n"/>
      <c r="B13" s="14" t="n"/>
      <c r="C13" s="14" t="n"/>
      <c r="D13" s="14" t="n"/>
      <c r="E13" s="14" t="n"/>
      <c r="F13" s="14" t="n"/>
      <c r="G13" s="14" t="n"/>
      <c r="H13" s="14" t="n"/>
      <c r="I13" s="14" t="n"/>
      <c r="J13" s="14" t="n"/>
      <c r="K13" s="14" t="n"/>
      <c r="L13" s="14" t="n"/>
      <c r="M13" s="14" t="n"/>
      <c r="N13" s="14" t="n"/>
      <c r="O13" s="31">
        <f>IFERROR(IF(M13="","",IF(N13="",TODAY()-M13,N13-M13)),"")</f>
        <v/>
      </c>
      <c r="P13" s="31">
        <f>IFERROR(IF(OR(M13="",R13="Closed"),"",IF(TODAY()&gt;M13,"Yes","No")),"")</f>
        <v/>
      </c>
      <c r="Q13" s="14" t="n"/>
      <c r="R13" s="14" t="n"/>
    </row>
    <row r="14">
      <c r="A14" s="14" t="n"/>
      <c r="B14" s="14" t="n"/>
      <c r="C14" s="14" t="n"/>
      <c r="D14" s="14" t="n"/>
      <c r="E14" s="14" t="n"/>
      <c r="F14" s="14" t="n"/>
      <c r="G14" s="14" t="n"/>
      <c r="H14" s="14" t="n"/>
      <c r="I14" s="14" t="n"/>
      <c r="J14" s="14" t="n"/>
      <c r="K14" s="14" t="n"/>
      <c r="L14" s="14" t="n"/>
      <c r="M14" s="14" t="n"/>
      <c r="N14" s="14" t="n"/>
      <c r="O14" s="31">
        <f>IFERROR(IF(M14="","",IF(N14="",TODAY()-M14,N14-M14)),"")</f>
        <v/>
      </c>
      <c r="P14" s="31">
        <f>IFERROR(IF(OR(M14="",R14="Closed"),"",IF(TODAY()&gt;M14,"Yes","No")),"")</f>
        <v/>
      </c>
      <c r="Q14" s="14" t="n"/>
      <c r="R14" s="14" t="n"/>
    </row>
    <row r="15">
      <c r="A15" s="14" t="n"/>
      <c r="B15" s="14" t="n"/>
      <c r="C15" s="14" t="n"/>
      <c r="D15" s="14" t="n"/>
      <c r="E15" s="14" t="n"/>
      <c r="F15" s="14" t="n"/>
      <c r="G15" s="14" t="n"/>
      <c r="H15" s="14" t="n"/>
      <c r="I15" s="14" t="n"/>
      <c r="J15" s="14" t="n"/>
      <c r="K15" s="14" t="n"/>
      <c r="L15" s="14" t="n"/>
      <c r="M15" s="14" t="n"/>
      <c r="N15" s="14" t="n"/>
      <c r="O15" s="31">
        <f>IFERROR(IF(M15="","",IF(N15="",TODAY()-M15,N15-M15)),"")</f>
        <v/>
      </c>
      <c r="P15" s="31">
        <f>IFERROR(IF(OR(M15="",R15="Closed"),"",IF(TODAY()&gt;M15,"Yes","No")),"")</f>
        <v/>
      </c>
      <c r="Q15" s="14" t="n"/>
      <c r="R15" s="14" t="n"/>
    </row>
    <row r="16">
      <c r="A16" s="14" t="n"/>
      <c r="B16" s="14" t="n"/>
      <c r="C16" s="14" t="n"/>
      <c r="D16" s="14" t="n"/>
      <c r="E16" s="14" t="n"/>
      <c r="F16" s="14" t="n"/>
      <c r="G16" s="14" t="n"/>
      <c r="H16" s="14" t="n"/>
      <c r="I16" s="14" t="n"/>
      <c r="J16" s="14" t="n"/>
      <c r="K16" s="14" t="n"/>
      <c r="L16" s="14" t="n"/>
      <c r="M16" s="14" t="n"/>
      <c r="N16" s="14" t="n"/>
      <c r="O16" s="31">
        <f>IFERROR(IF(M16="","",IF(N16="",TODAY()-M16,N16-M16)),"")</f>
        <v/>
      </c>
      <c r="P16" s="31">
        <f>IFERROR(IF(OR(M16="",R16="Closed"),"",IF(TODAY()&gt;M16,"Yes","No")),"")</f>
        <v/>
      </c>
      <c r="Q16" s="14" t="n"/>
      <c r="R16" s="14" t="n"/>
    </row>
    <row r="17">
      <c r="A17" s="14" t="n"/>
      <c r="B17" s="14" t="n"/>
      <c r="C17" s="14" t="n"/>
      <c r="D17" s="14" t="n"/>
      <c r="E17" s="14" t="n"/>
      <c r="F17" s="14" t="n"/>
      <c r="G17" s="14" t="n"/>
      <c r="H17" s="14" t="n"/>
      <c r="I17" s="14" t="n"/>
      <c r="J17" s="14" t="n"/>
      <c r="K17" s="14" t="n"/>
      <c r="L17" s="14" t="n"/>
      <c r="M17" s="14" t="n"/>
      <c r="N17" s="14" t="n"/>
      <c r="O17" s="31">
        <f>IFERROR(IF(M17="","",IF(N17="",TODAY()-M17,N17-M17)),"")</f>
        <v/>
      </c>
      <c r="P17" s="31">
        <f>IFERROR(IF(OR(M17="",R17="Closed"),"",IF(TODAY()&gt;M17,"Yes","No")),"")</f>
        <v/>
      </c>
      <c r="Q17" s="14" t="n"/>
      <c r="R17" s="14" t="n"/>
    </row>
    <row r="18">
      <c r="A18" s="14" t="n"/>
      <c r="B18" s="14" t="n"/>
      <c r="C18" s="14" t="n"/>
      <c r="D18" s="14" t="n"/>
      <c r="E18" s="14" t="n"/>
      <c r="F18" s="14" t="n"/>
      <c r="G18" s="14" t="n"/>
      <c r="H18" s="14" t="n"/>
      <c r="I18" s="14" t="n"/>
      <c r="J18" s="14" t="n"/>
      <c r="K18" s="14" t="n"/>
      <c r="L18" s="14" t="n"/>
      <c r="M18" s="14" t="n"/>
      <c r="N18" s="14" t="n"/>
      <c r="O18" s="31">
        <f>IFERROR(IF(M18="","",IF(N18="",TODAY()-M18,N18-M18)),"")</f>
        <v/>
      </c>
      <c r="P18" s="31">
        <f>IFERROR(IF(OR(M18="",R18="Closed"),"",IF(TODAY()&gt;M18,"Yes","No")),"")</f>
        <v/>
      </c>
      <c r="Q18" s="14" t="n"/>
      <c r="R18" s="14" t="n"/>
    </row>
    <row r="19">
      <c r="A19" s="14" t="n"/>
      <c r="B19" s="14" t="n"/>
      <c r="C19" s="14" t="n"/>
      <c r="D19" s="14" t="n"/>
      <c r="E19" s="14" t="n"/>
      <c r="F19" s="14" t="n"/>
      <c r="G19" s="14" t="n"/>
      <c r="H19" s="14" t="n"/>
      <c r="I19" s="14" t="n"/>
      <c r="J19" s="14" t="n"/>
      <c r="K19" s="14" t="n"/>
      <c r="L19" s="14" t="n"/>
      <c r="M19" s="14" t="n"/>
      <c r="N19" s="14" t="n"/>
      <c r="O19" s="31">
        <f>IFERROR(IF(M19="","",IF(N19="",TODAY()-M19,N19-M19)),"")</f>
        <v/>
      </c>
      <c r="P19" s="31">
        <f>IFERROR(IF(OR(M19="",R19="Closed"),"",IF(TODAY()&gt;M19,"Yes","No")),"")</f>
        <v/>
      </c>
      <c r="Q19" s="14" t="n"/>
      <c r="R19" s="14" t="n"/>
    </row>
    <row r="20">
      <c r="A20" s="14" t="n"/>
      <c r="B20" s="14" t="n"/>
      <c r="C20" s="14" t="n"/>
      <c r="D20" s="14" t="n"/>
      <c r="E20" s="14" t="n"/>
      <c r="F20" s="14" t="n"/>
      <c r="G20" s="14" t="n"/>
      <c r="H20" s="14" t="n"/>
      <c r="I20" s="14" t="n"/>
      <c r="J20" s="14" t="n"/>
      <c r="K20" s="14" t="n"/>
      <c r="L20" s="14" t="n"/>
      <c r="M20" s="14" t="n"/>
      <c r="N20" s="14" t="n"/>
      <c r="O20" s="31">
        <f>IFERROR(IF(M20="","",IF(N20="",TODAY()-M20,N20-M20)),"")</f>
        <v/>
      </c>
      <c r="P20" s="31">
        <f>IFERROR(IF(OR(M20="",R20="Closed"),"",IF(TODAY()&gt;M20,"Yes","No")),"")</f>
        <v/>
      </c>
      <c r="Q20" s="14" t="n"/>
      <c r="R20" s="14" t="n"/>
    </row>
    <row r="21">
      <c r="A21" s="14" t="n"/>
      <c r="B21" s="14" t="n"/>
      <c r="C21" s="14" t="n"/>
      <c r="D21" s="14" t="n"/>
      <c r="E21" s="14" t="n"/>
      <c r="F21" s="14" t="n"/>
      <c r="G21" s="14" t="n"/>
      <c r="H21" s="14" t="n"/>
      <c r="I21" s="14" t="n"/>
      <c r="J21" s="14" t="n"/>
      <c r="K21" s="14" t="n"/>
      <c r="L21" s="14" t="n"/>
      <c r="M21" s="14" t="n"/>
      <c r="N21" s="14" t="n"/>
      <c r="O21" s="31">
        <f>IFERROR(IF(M21="","",IF(N21="",TODAY()-M21,N21-M21)),"")</f>
        <v/>
      </c>
      <c r="P21" s="31">
        <f>IFERROR(IF(OR(M21="",R21="Closed"),"",IF(TODAY()&gt;M21,"Yes","No")),"")</f>
        <v/>
      </c>
      <c r="Q21" s="14" t="n"/>
      <c r="R21" s="14" t="n"/>
    </row>
    <row r="22">
      <c r="A22" s="14" t="n"/>
      <c r="B22" s="14" t="n"/>
      <c r="C22" s="14" t="n"/>
      <c r="D22" s="14" t="n"/>
      <c r="E22" s="14" t="n"/>
      <c r="F22" s="14" t="n"/>
      <c r="G22" s="14" t="n"/>
      <c r="H22" s="14" t="n"/>
      <c r="I22" s="14" t="n"/>
      <c r="J22" s="14" t="n"/>
      <c r="K22" s="14" t="n"/>
      <c r="L22" s="14" t="n"/>
      <c r="M22" s="14" t="n"/>
      <c r="N22" s="14" t="n"/>
      <c r="O22" s="31">
        <f>IFERROR(IF(M22="","",IF(N22="",TODAY()-M22,N22-M22)),"")</f>
        <v/>
      </c>
      <c r="P22" s="31">
        <f>IFERROR(IF(OR(M22="",R22="Closed"),"",IF(TODAY()&gt;M22,"Yes","No")),"")</f>
        <v/>
      </c>
      <c r="Q22" s="14" t="n"/>
      <c r="R22" s="14" t="n"/>
    </row>
    <row r="23">
      <c r="A23" s="14" t="n"/>
      <c r="B23" s="14" t="n"/>
      <c r="C23" s="14" t="n"/>
      <c r="D23" s="14" t="n"/>
      <c r="E23" s="14" t="n"/>
      <c r="F23" s="14" t="n"/>
      <c r="G23" s="14" t="n"/>
      <c r="H23" s="14" t="n"/>
      <c r="I23" s="14" t="n"/>
      <c r="J23" s="14" t="n"/>
      <c r="K23" s="14" t="n"/>
      <c r="L23" s="14" t="n"/>
      <c r="M23" s="14" t="n"/>
      <c r="N23" s="14" t="n"/>
      <c r="O23" s="31">
        <f>IFERROR(IF(M23="","",IF(N23="",TODAY()-M23,N23-M23)),"")</f>
        <v/>
      </c>
      <c r="P23" s="31">
        <f>IFERROR(IF(OR(M23="",R23="Closed"),"",IF(TODAY()&gt;M23,"Yes","No")),"")</f>
        <v/>
      </c>
      <c r="Q23" s="14" t="n"/>
      <c r="R23" s="14" t="n"/>
    </row>
    <row r="24">
      <c r="A24" s="14" t="n"/>
      <c r="B24" s="14" t="n"/>
      <c r="C24" s="14" t="n"/>
      <c r="D24" s="14" t="n"/>
      <c r="E24" s="14" t="n"/>
      <c r="F24" s="14" t="n"/>
      <c r="G24" s="14" t="n"/>
      <c r="H24" s="14" t="n"/>
      <c r="I24" s="14" t="n"/>
      <c r="J24" s="14" t="n"/>
      <c r="K24" s="14" t="n"/>
      <c r="L24" s="14" t="n"/>
      <c r="M24" s="14" t="n"/>
      <c r="N24" s="14" t="n"/>
      <c r="O24" s="31">
        <f>IFERROR(IF(M24="","",IF(N24="",TODAY()-M24,N24-M24)),"")</f>
        <v/>
      </c>
      <c r="P24" s="31">
        <f>IFERROR(IF(OR(M24="",R24="Closed"),"",IF(TODAY()&gt;M24,"Yes","No")),"")</f>
        <v/>
      </c>
      <c r="Q24" s="14" t="n"/>
      <c r="R24" s="14" t="n"/>
    </row>
    <row r="25">
      <c r="A25" s="14" t="n"/>
      <c r="B25" s="14" t="n"/>
      <c r="C25" s="14" t="n"/>
      <c r="D25" s="14" t="n"/>
      <c r="E25" s="14" t="n"/>
      <c r="F25" s="14" t="n"/>
      <c r="G25" s="14" t="n"/>
      <c r="H25" s="14" t="n"/>
      <c r="I25" s="14" t="n"/>
      <c r="J25" s="14" t="n"/>
      <c r="K25" s="14" t="n"/>
      <c r="L25" s="14" t="n"/>
      <c r="M25" s="14" t="n"/>
      <c r="N25" s="14" t="n"/>
      <c r="O25" s="31">
        <f>IFERROR(IF(M25="","",IF(N25="",TODAY()-M25,N25-M25)),"")</f>
        <v/>
      </c>
      <c r="P25" s="31">
        <f>IFERROR(IF(OR(M25="",R25="Closed"),"",IF(TODAY()&gt;M25,"Yes","No")),"")</f>
        <v/>
      </c>
      <c r="Q25" s="14" t="n"/>
      <c r="R25" s="14" t="n"/>
    </row>
    <row r="26">
      <c r="A26" s="14" t="n"/>
      <c r="B26" s="14" t="n"/>
      <c r="C26" s="14" t="n"/>
      <c r="D26" s="14" t="n"/>
      <c r="E26" s="14" t="n"/>
      <c r="F26" s="14" t="n"/>
      <c r="G26" s="14" t="n"/>
      <c r="H26" s="14" t="n"/>
      <c r="I26" s="14" t="n"/>
      <c r="J26" s="14" t="n"/>
      <c r="K26" s="14" t="n"/>
      <c r="L26" s="14" t="n"/>
      <c r="M26" s="14" t="n"/>
      <c r="N26" s="14" t="n"/>
      <c r="O26" s="31">
        <f>IFERROR(IF(M26="","",IF(N26="",TODAY()-M26,N26-M26)),"")</f>
        <v/>
      </c>
      <c r="P26" s="31">
        <f>IFERROR(IF(OR(M26="",R26="Closed"),"",IF(TODAY()&gt;M26,"Yes","No")),"")</f>
        <v/>
      </c>
      <c r="Q26" s="14" t="n"/>
      <c r="R26" s="14" t="n"/>
    </row>
    <row r="27">
      <c r="A27" s="14" t="n"/>
      <c r="B27" s="14" t="n"/>
      <c r="C27" s="14" t="n"/>
      <c r="D27" s="14" t="n"/>
      <c r="E27" s="14" t="n"/>
      <c r="F27" s="14" t="n"/>
      <c r="G27" s="14" t="n"/>
      <c r="H27" s="14" t="n"/>
      <c r="I27" s="14" t="n"/>
      <c r="J27" s="14" t="n"/>
      <c r="K27" s="14" t="n"/>
      <c r="L27" s="14" t="n"/>
      <c r="M27" s="14" t="n"/>
      <c r="N27" s="14" t="n"/>
      <c r="O27" s="31">
        <f>IFERROR(IF(M27="","",IF(N27="",TODAY()-M27,N27-M27)),"")</f>
        <v/>
      </c>
      <c r="P27" s="31">
        <f>IFERROR(IF(OR(M27="",R27="Closed"),"",IF(TODAY()&gt;M27,"Yes","No")),"")</f>
        <v/>
      </c>
      <c r="Q27" s="14" t="n"/>
      <c r="R27" s="14" t="n"/>
    </row>
    <row r="28">
      <c r="A28" s="14" t="n"/>
      <c r="B28" s="14" t="n"/>
      <c r="C28" s="14" t="n"/>
      <c r="D28" s="14" t="n"/>
      <c r="E28" s="14" t="n"/>
      <c r="F28" s="14" t="n"/>
      <c r="G28" s="14" t="n"/>
      <c r="H28" s="14" t="n"/>
      <c r="I28" s="14" t="n"/>
      <c r="J28" s="14" t="n"/>
      <c r="K28" s="14" t="n"/>
      <c r="L28" s="14" t="n"/>
      <c r="M28" s="14" t="n"/>
      <c r="N28" s="14" t="n"/>
      <c r="O28" s="31">
        <f>IFERROR(IF(M28="","",IF(N28="",TODAY()-M28,N28-M28)),"")</f>
        <v/>
      </c>
      <c r="P28" s="31">
        <f>IFERROR(IF(OR(M28="",R28="Closed"),"",IF(TODAY()&gt;M28,"Yes","No")),"")</f>
        <v/>
      </c>
      <c r="Q28" s="14" t="n"/>
      <c r="R28" s="14" t="n"/>
    </row>
    <row r="29">
      <c r="A29" s="14" t="n"/>
      <c r="B29" s="14" t="n"/>
      <c r="C29" s="14" t="n"/>
      <c r="D29" s="14" t="n"/>
      <c r="E29" s="14" t="n"/>
      <c r="F29" s="14" t="n"/>
      <c r="G29" s="14" t="n"/>
      <c r="H29" s="14" t="n"/>
      <c r="I29" s="14" t="n"/>
      <c r="J29" s="14" t="n"/>
      <c r="K29" s="14" t="n"/>
      <c r="L29" s="14" t="n"/>
      <c r="M29" s="14" t="n"/>
      <c r="N29" s="14" t="n"/>
      <c r="O29" s="31">
        <f>IFERROR(IF(M29="","",IF(N29="",TODAY()-M29,N29-M29)),"")</f>
        <v/>
      </c>
      <c r="P29" s="31">
        <f>IFERROR(IF(OR(M29="",R29="Closed"),"",IF(TODAY()&gt;M29,"Yes","No")),"")</f>
        <v/>
      </c>
      <c r="Q29" s="14" t="n"/>
      <c r="R29" s="14" t="n"/>
    </row>
    <row r="30">
      <c r="A30" s="14" t="n"/>
      <c r="B30" s="14" t="n"/>
      <c r="C30" s="14" t="n"/>
      <c r="D30" s="14" t="n"/>
      <c r="E30" s="14" t="n"/>
      <c r="F30" s="14" t="n"/>
      <c r="G30" s="14" t="n"/>
      <c r="H30" s="14" t="n"/>
      <c r="I30" s="14" t="n"/>
      <c r="J30" s="14" t="n"/>
      <c r="K30" s="14" t="n"/>
      <c r="L30" s="14" t="n"/>
      <c r="M30" s="14" t="n"/>
      <c r="N30" s="14" t="n"/>
      <c r="O30" s="31">
        <f>IFERROR(IF(M30="","",IF(N30="",TODAY()-M30,N30-M30)),"")</f>
        <v/>
      </c>
      <c r="P30" s="31">
        <f>IFERROR(IF(OR(M30="",R30="Closed"),"",IF(TODAY()&gt;M30,"Yes","No")),"")</f>
        <v/>
      </c>
      <c r="Q30" s="14" t="n"/>
      <c r="R30" s="14" t="n"/>
    </row>
    <row r="31">
      <c r="A31" s="14" t="n"/>
      <c r="B31" s="14" t="n"/>
      <c r="C31" s="14" t="n"/>
      <c r="D31" s="14" t="n"/>
      <c r="E31" s="14" t="n"/>
      <c r="F31" s="14" t="n"/>
      <c r="G31" s="14" t="n"/>
      <c r="H31" s="14" t="n"/>
      <c r="I31" s="14" t="n"/>
      <c r="J31" s="14" t="n"/>
      <c r="K31" s="14" t="n"/>
      <c r="L31" s="14" t="n"/>
      <c r="M31" s="14" t="n"/>
      <c r="N31" s="14" t="n"/>
      <c r="O31" s="31">
        <f>IFERROR(IF(M31="","",IF(N31="",TODAY()-M31,N31-M31)),"")</f>
        <v/>
      </c>
      <c r="P31" s="31">
        <f>IFERROR(IF(OR(M31="",R31="Closed"),"",IF(TODAY()&gt;M31,"Yes","No")),"")</f>
        <v/>
      </c>
      <c r="Q31" s="14" t="n"/>
      <c r="R31" s="14" t="n"/>
    </row>
    <row r="32">
      <c r="A32" s="14" t="n"/>
      <c r="B32" s="14" t="n"/>
      <c r="C32" s="14" t="n"/>
      <c r="D32" s="14" t="n"/>
      <c r="E32" s="14" t="n"/>
      <c r="F32" s="14" t="n"/>
      <c r="G32" s="14" t="n"/>
      <c r="H32" s="14" t="n"/>
      <c r="I32" s="14" t="n"/>
      <c r="J32" s="14" t="n"/>
      <c r="K32" s="14" t="n"/>
      <c r="L32" s="14" t="n"/>
      <c r="M32" s="14" t="n"/>
      <c r="N32" s="14" t="n"/>
      <c r="O32" s="31">
        <f>IFERROR(IF(M32="","",IF(N32="",TODAY()-M32,N32-M32)),"")</f>
        <v/>
      </c>
      <c r="P32" s="31">
        <f>IFERROR(IF(OR(M32="",R32="Closed"),"",IF(TODAY()&gt;M32,"Yes","No")),"")</f>
        <v/>
      </c>
      <c r="Q32" s="14" t="n"/>
      <c r="R32" s="14" t="n"/>
    </row>
    <row r="33">
      <c r="A33" s="14" t="n"/>
      <c r="B33" s="14" t="n"/>
      <c r="C33" s="14" t="n"/>
      <c r="D33" s="14" t="n"/>
      <c r="E33" s="14" t="n"/>
      <c r="F33" s="14" t="n"/>
      <c r="G33" s="14" t="n"/>
      <c r="H33" s="14" t="n"/>
      <c r="I33" s="14" t="n"/>
      <c r="J33" s="14" t="n"/>
      <c r="K33" s="14" t="n"/>
      <c r="L33" s="14" t="n"/>
      <c r="M33" s="14" t="n"/>
      <c r="N33" s="14" t="n"/>
      <c r="O33" s="31">
        <f>IFERROR(IF(M33="","",IF(N33="",TODAY()-M33,N33-M33)),"")</f>
        <v/>
      </c>
      <c r="P33" s="31">
        <f>IFERROR(IF(OR(M33="",R33="Closed"),"",IF(TODAY()&gt;M33,"Yes","No")),"")</f>
        <v/>
      </c>
      <c r="Q33" s="14" t="n"/>
      <c r="R33" s="14" t="n"/>
    </row>
    <row r="34">
      <c r="A34" s="14" t="n"/>
      <c r="B34" s="14" t="n"/>
      <c r="C34" s="14" t="n"/>
      <c r="D34" s="14" t="n"/>
      <c r="E34" s="14" t="n"/>
      <c r="F34" s="14" t="n"/>
      <c r="G34" s="14" t="n"/>
      <c r="H34" s="14" t="n"/>
      <c r="I34" s="14" t="n"/>
      <c r="J34" s="14" t="n"/>
      <c r="K34" s="14" t="n"/>
      <c r="L34" s="14" t="n"/>
      <c r="M34" s="14" t="n"/>
      <c r="N34" s="14" t="n"/>
      <c r="O34" s="31">
        <f>IFERROR(IF(M34="","",IF(N34="",TODAY()-M34,N34-M34)),"")</f>
        <v/>
      </c>
      <c r="P34" s="31">
        <f>IFERROR(IF(OR(M34="",R34="Closed"),"",IF(TODAY()&gt;M34,"Yes","No")),"")</f>
        <v/>
      </c>
      <c r="Q34" s="14" t="n"/>
      <c r="R34" s="14" t="n"/>
    </row>
    <row r="35">
      <c r="A35" s="14" t="n"/>
      <c r="B35" s="14" t="n"/>
      <c r="C35" s="14" t="n"/>
      <c r="D35" s="14" t="n"/>
      <c r="E35" s="14" t="n"/>
      <c r="F35" s="14" t="n"/>
      <c r="G35" s="14" t="n"/>
      <c r="H35" s="14" t="n"/>
      <c r="I35" s="14" t="n"/>
      <c r="J35" s="14" t="n"/>
      <c r="K35" s="14" t="n"/>
      <c r="L35" s="14" t="n"/>
      <c r="M35" s="14" t="n"/>
      <c r="N35" s="14" t="n"/>
      <c r="O35" s="31">
        <f>IFERROR(IF(M35="","",IF(N35="",TODAY()-M35,N35-M35)),"")</f>
        <v/>
      </c>
      <c r="P35" s="31">
        <f>IFERROR(IF(OR(M35="",R35="Closed"),"",IF(TODAY()&gt;M35,"Yes","No")),"")</f>
        <v/>
      </c>
      <c r="Q35" s="14" t="n"/>
      <c r="R35" s="14" t="n"/>
    </row>
    <row r="36">
      <c r="A36" s="14" t="n"/>
      <c r="B36" s="14" t="n"/>
      <c r="C36" s="14" t="n"/>
      <c r="D36" s="14" t="n"/>
      <c r="E36" s="14" t="n"/>
      <c r="F36" s="14" t="n"/>
      <c r="G36" s="14" t="n"/>
      <c r="H36" s="14" t="n"/>
      <c r="I36" s="14" t="n"/>
      <c r="J36" s="14" t="n"/>
      <c r="K36" s="14" t="n"/>
      <c r="L36" s="14" t="n"/>
      <c r="M36" s="14" t="n"/>
      <c r="N36" s="14" t="n"/>
      <c r="O36" s="31">
        <f>IFERROR(IF(M36="","",IF(N36="",TODAY()-M36,N36-M36)),"")</f>
        <v/>
      </c>
      <c r="P36" s="31">
        <f>IFERROR(IF(OR(M36="",R36="Closed"),"",IF(TODAY()&gt;M36,"Yes","No")),"")</f>
        <v/>
      </c>
      <c r="Q36" s="14" t="n"/>
      <c r="R36" s="14" t="n"/>
    </row>
    <row r="37">
      <c r="A37" s="14" t="n"/>
      <c r="B37" s="14" t="n"/>
      <c r="C37" s="14" t="n"/>
      <c r="D37" s="14" t="n"/>
      <c r="E37" s="14" t="n"/>
      <c r="F37" s="14" t="n"/>
      <c r="G37" s="14" t="n"/>
      <c r="H37" s="14" t="n"/>
      <c r="I37" s="14" t="n"/>
      <c r="J37" s="14" t="n"/>
      <c r="K37" s="14" t="n"/>
      <c r="L37" s="14" t="n"/>
      <c r="M37" s="14" t="n"/>
      <c r="N37" s="14" t="n"/>
      <c r="O37" s="31">
        <f>IFERROR(IF(M37="","",IF(N37="",TODAY()-M37,N37-M37)),"")</f>
        <v/>
      </c>
      <c r="P37" s="31">
        <f>IFERROR(IF(OR(M37="",R37="Closed"),"",IF(TODAY()&gt;M37,"Yes","No")),"")</f>
        <v/>
      </c>
      <c r="Q37" s="14" t="n"/>
      <c r="R37" s="14" t="n"/>
    </row>
    <row r="38">
      <c r="A38" s="14" t="n"/>
      <c r="B38" s="14" t="n"/>
      <c r="C38" s="14" t="n"/>
      <c r="D38" s="14" t="n"/>
      <c r="E38" s="14" t="n"/>
      <c r="F38" s="14" t="n"/>
      <c r="G38" s="14" t="n"/>
      <c r="H38" s="14" t="n"/>
      <c r="I38" s="14" t="n"/>
      <c r="J38" s="14" t="n"/>
      <c r="K38" s="14" t="n"/>
      <c r="L38" s="14" t="n"/>
      <c r="M38" s="14" t="n"/>
      <c r="N38" s="14" t="n"/>
      <c r="O38" s="31">
        <f>IFERROR(IF(M38="","",IF(N38="",TODAY()-M38,N38-M38)),"")</f>
        <v/>
      </c>
      <c r="P38" s="31">
        <f>IFERROR(IF(OR(M38="",R38="Closed"),"",IF(TODAY()&gt;M38,"Yes","No")),"")</f>
        <v/>
      </c>
      <c r="Q38" s="14" t="n"/>
      <c r="R38" s="14" t="n"/>
    </row>
    <row r="39">
      <c r="A39" s="14" t="n"/>
      <c r="B39" s="14" t="n"/>
      <c r="C39" s="14" t="n"/>
      <c r="D39" s="14" t="n"/>
      <c r="E39" s="14" t="n"/>
      <c r="F39" s="14" t="n"/>
      <c r="G39" s="14" t="n"/>
      <c r="H39" s="14" t="n"/>
      <c r="I39" s="14" t="n"/>
      <c r="J39" s="14" t="n"/>
      <c r="K39" s="14" t="n"/>
      <c r="L39" s="14" t="n"/>
      <c r="M39" s="14" t="n"/>
      <c r="N39" s="14" t="n"/>
      <c r="O39" s="31">
        <f>IFERROR(IF(M39="","",IF(N39="",TODAY()-M39,N39-M39)),"")</f>
        <v/>
      </c>
      <c r="P39" s="31">
        <f>IFERROR(IF(OR(M39="",R39="Closed"),"",IF(TODAY()&gt;M39,"Yes","No")),"")</f>
        <v/>
      </c>
      <c r="Q39" s="14" t="n"/>
      <c r="R39" s="14" t="n"/>
    </row>
    <row r="40">
      <c r="A40" s="14" t="n"/>
      <c r="B40" s="14" t="n"/>
      <c r="C40" s="14" t="n"/>
      <c r="D40" s="14" t="n"/>
      <c r="E40" s="14" t="n"/>
      <c r="F40" s="14" t="n"/>
      <c r="G40" s="14" t="n"/>
      <c r="H40" s="14" t="n"/>
      <c r="I40" s="14" t="n"/>
      <c r="J40" s="14" t="n"/>
      <c r="K40" s="14" t="n"/>
      <c r="L40" s="14" t="n"/>
      <c r="M40" s="14" t="n"/>
      <c r="N40" s="14" t="n"/>
      <c r="O40" s="31">
        <f>IFERROR(IF(M40="","",IF(N40="",TODAY()-M40,N40-M40)),"")</f>
        <v/>
      </c>
      <c r="P40" s="31">
        <f>IFERROR(IF(OR(M40="",R40="Closed"),"",IF(TODAY()&gt;M40,"Yes","No")),"")</f>
        <v/>
      </c>
      <c r="Q40" s="14" t="n"/>
      <c r="R40" s="14" t="n"/>
    </row>
    <row r="41">
      <c r="A41" s="14" t="n"/>
      <c r="B41" s="14" t="n"/>
      <c r="C41" s="14" t="n"/>
      <c r="D41" s="14" t="n"/>
      <c r="E41" s="14" t="n"/>
      <c r="F41" s="14" t="n"/>
      <c r="G41" s="14" t="n"/>
      <c r="H41" s="14" t="n"/>
      <c r="I41" s="14" t="n"/>
      <c r="J41" s="14" t="n"/>
      <c r="K41" s="14" t="n"/>
      <c r="L41" s="14" t="n"/>
      <c r="M41" s="14" t="n"/>
      <c r="N41" s="14" t="n"/>
      <c r="O41" s="31">
        <f>IFERROR(IF(M41="","",IF(N41="",TODAY()-M41,N41-M41)),"")</f>
        <v/>
      </c>
      <c r="P41" s="31">
        <f>IFERROR(IF(OR(M41="",R41="Closed"),"",IF(TODAY()&gt;M41,"Yes","No")),"")</f>
        <v/>
      </c>
      <c r="Q41" s="14" t="n"/>
      <c r="R41" s="14" t="n"/>
    </row>
    <row r="42">
      <c r="A42" s="14" t="n"/>
      <c r="B42" s="14" t="n"/>
      <c r="C42" s="14" t="n"/>
      <c r="D42" s="14" t="n"/>
      <c r="E42" s="14" t="n"/>
      <c r="F42" s="14" t="n"/>
      <c r="G42" s="14" t="n"/>
      <c r="H42" s="14" t="n"/>
      <c r="I42" s="14" t="n"/>
      <c r="J42" s="14" t="n"/>
      <c r="K42" s="14" t="n"/>
      <c r="L42" s="14" t="n"/>
      <c r="M42" s="14" t="n"/>
      <c r="N42" s="14" t="n"/>
      <c r="O42" s="31">
        <f>IFERROR(IF(M42="","",IF(N42="",TODAY()-M42,N42-M42)),"")</f>
        <v/>
      </c>
      <c r="P42" s="31">
        <f>IFERROR(IF(OR(M42="",R42="Closed"),"",IF(TODAY()&gt;M42,"Yes","No")),"")</f>
        <v/>
      </c>
      <c r="Q42" s="14" t="n"/>
      <c r="R42" s="14" t="n"/>
    </row>
    <row r="43">
      <c r="A43" s="14" t="n"/>
      <c r="B43" s="14" t="n"/>
      <c r="C43" s="14" t="n"/>
      <c r="D43" s="14" t="n"/>
      <c r="E43" s="14" t="n"/>
      <c r="F43" s="14" t="n"/>
      <c r="G43" s="14" t="n"/>
      <c r="H43" s="14" t="n"/>
      <c r="I43" s="14" t="n"/>
      <c r="J43" s="14" t="n"/>
      <c r="K43" s="14" t="n"/>
      <c r="L43" s="14" t="n"/>
      <c r="M43" s="14" t="n"/>
      <c r="N43" s="14" t="n"/>
      <c r="O43" s="31">
        <f>IFERROR(IF(M43="","",IF(N43="",TODAY()-M43,N43-M43)),"")</f>
        <v/>
      </c>
      <c r="P43" s="31">
        <f>IFERROR(IF(OR(M43="",R43="Closed"),"",IF(TODAY()&gt;M43,"Yes","No")),"")</f>
        <v/>
      </c>
      <c r="Q43" s="14" t="n"/>
      <c r="R43" s="14" t="n"/>
    </row>
    <row r="44">
      <c r="A44" s="14" t="n"/>
      <c r="B44" s="14" t="n"/>
      <c r="C44" s="14" t="n"/>
      <c r="D44" s="14" t="n"/>
      <c r="E44" s="14" t="n"/>
      <c r="F44" s="14" t="n"/>
      <c r="G44" s="14" t="n"/>
      <c r="H44" s="14" t="n"/>
      <c r="I44" s="14" t="n"/>
      <c r="J44" s="14" t="n"/>
      <c r="K44" s="14" t="n"/>
      <c r="L44" s="14" t="n"/>
      <c r="M44" s="14" t="n"/>
      <c r="N44" s="14" t="n"/>
      <c r="O44" s="31">
        <f>IFERROR(IF(M44="","",IF(N44="",TODAY()-M44,N44-M44)),"")</f>
        <v/>
      </c>
      <c r="P44" s="31">
        <f>IFERROR(IF(OR(M44="",R44="Closed"),"",IF(TODAY()&gt;M44,"Yes","No")),"")</f>
        <v/>
      </c>
      <c r="Q44" s="14" t="n"/>
      <c r="R44" s="14" t="n"/>
    </row>
    <row r="45">
      <c r="A45" s="14" t="n"/>
      <c r="B45" s="14" t="n"/>
      <c r="C45" s="14" t="n"/>
      <c r="D45" s="14" t="n"/>
      <c r="E45" s="14" t="n"/>
      <c r="F45" s="14" t="n"/>
      <c r="G45" s="14" t="n"/>
      <c r="H45" s="14" t="n"/>
      <c r="I45" s="14" t="n"/>
      <c r="J45" s="14" t="n"/>
      <c r="K45" s="14" t="n"/>
      <c r="L45" s="14" t="n"/>
      <c r="M45" s="14" t="n"/>
      <c r="N45" s="14" t="n"/>
      <c r="O45" s="31">
        <f>IFERROR(IF(M45="","",IF(N45="",TODAY()-M45,N45-M45)),"")</f>
        <v/>
      </c>
      <c r="P45" s="31">
        <f>IFERROR(IF(OR(M45="",R45="Closed"),"",IF(TODAY()&gt;M45,"Yes","No")),"")</f>
        <v/>
      </c>
      <c r="Q45" s="14" t="n"/>
      <c r="R45" s="14" t="n"/>
    </row>
    <row r="46">
      <c r="A46" s="14" t="n"/>
      <c r="B46" s="14" t="n"/>
      <c r="C46" s="14" t="n"/>
      <c r="D46" s="14" t="n"/>
      <c r="E46" s="14" t="n"/>
      <c r="F46" s="14" t="n"/>
      <c r="G46" s="14" t="n"/>
      <c r="H46" s="14" t="n"/>
      <c r="I46" s="14" t="n"/>
      <c r="J46" s="14" t="n"/>
      <c r="K46" s="14" t="n"/>
      <c r="L46" s="14" t="n"/>
      <c r="M46" s="14" t="n"/>
      <c r="N46" s="14" t="n"/>
      <c r="O46" s="31">
        <f>IFERROR(IF(M46="","",IF(N46="",TODAY()-M46,N46-M46)),"")</f>
        <v/>
      </c>
      <c r="P46" s="31">
        <f>IFERROR(IF(OR(M46="",R46="Closed"),"",IF(TODAY()&gt;M46,"Yes","No")),"")</f>
        <v/>
      </c>
      <c r="Q46" s="14" t="n"/>
      <c r="R46" s="14" t="n"/>
    </row>
    <row r="47">
      <c r="A47" s="14" t="n"/>
      <c r="B47" s="14" t="n"/>
      <c r="C47" s="14" t="n"/>
      <c r="D47" s="14" t="n"/>
      <c r="E47" s="14" t="n"/>
      <c r="F47" s="14" t="n"/>
      <c r="G47" s="14" t="n"/>
      <c r="H47" s="14" t="n"/>
      <c r="I47" s="14" t="n"/>
      <c r="J47" s="14" t="n"/>
      <c r="K47" s="14" t="n"/>
      <c r="L47" s="14" t="n"/>
      <c r="M47" s="14" t="n"/>
      <c r="N47" s="14" t="n"/>
      <c r="O47" s="31">
        <f>IFERROR(IF(M47="","",IF(N47="",TODAY()-M47,N47-M47)),"")</f>
        <v/>
      </c>
      <c r="P47" s="31">
        <f>IFERROR(IF(OR(M47="",R47="Closed"),"",IF(TODAY()&gt;M47,"Yes","No")),"")</f>
        <v/>
      </c>
      <c r="Q47" s="14" t="n"/>
      <c r="R47" s="14" t="n"/>
    </row>
    <row r="48">
      <c r="A48" s="14" t="n"/>
      <c r="B48" s="14" t="n"/>
      <c r="C48" s="14" t="n"/>
      <c r="D48" s="14" t="n"/>
      <c r="E48" s="14" t="n"/>
      <c r="F48" s="14" t="n"/>
      <c r="G48" s="14" t="n"/>
      <c r="H48" s="14" t="n"/>
      <c r="I48" s="14" t="n"/>
      <c r="J48" s="14" t="n"/>
      <c r="K48" s="14" t="n"/>
      <c r="L48" s="14" t="n"/>
      <c r="M48" s="14" t="n"/>
      <c r="N48" s="14" t="n"/>
      <c r="O48" s="31">
        <f>IFERROR(IF(M48="","",IF(N48="",TODAY()-M48,N48-M48)),"")</f>
        <v/>
      </c>
      <c r="P48" s="31">
        <f>IFERROR(IF(OR(M48="",R48="Closed"),"",IF(TODAY()&gt;M48,"Yes","No")),"")</f>
        <v/>
      </c>
      <c r="Q48" s="14" t="n"/>
      <c r="R48" s="14" t="n"/>
    </row>
    <row r="49">
      <c r="A49" s="14" t="n"/>
      <c r="B49" s="14" t="n"/>
      <c r="C49" s="14" t="n"/>
      <c r="D49" s="14" t="n"/>
      <c r="E49" s="14" t="n"/>
      <c r="F49" s="14" t="n"/>
      <c r="G49" s="14" t="n"/>
      <c r="H49" s="14" t="n"/>
      <c r="I49" s="14" t="n"/>
      <c r="J49" s="14" t="n"/>
      <c r="K49" s="14" t="n"/>
      <c r="L49" s="14" t="n"/>
      <c r="M49" s="14" t="n"/>
      <c r="N49" s="14" t="n"/>
      <c r="O49" s="31">
        <f>IFERROR(IF(M49="","",IF(N49="",TODAY()-M49,N49-M49)),"")</f>
        <v/>
      </c>
      <c r="P49" s="31">
        <f>IFERROR(IF(OR(M49="",R49="Closed"),"",IF(TODAY()&gt;M49,"Yes","No")),"")</f>
        <v/>
      </c>
      <c r="Q49" s="14" t="n"/>
      <c r="R49" s="14" t="n"/>
    </row>
    <row r="50">
      <c r="A50" s="14" t="n"/>
      <c r="B50" s="14" t="n"/>
      <c r="C50" s="14" t="n"/>
      <c r="D50" s="14" t="n"/>
      <c r="E50" s="14" t="n"/>
      <c r="F50" s="14" t="n"/>
      <c r="G50" s="14" t="n"/>
      <c r="H50" s="14" t="n"/>
      <c r="I50" s="14" t="n"/>
      <c r="J50" s="14" t="n"/>
      <c r="K50" s="14" t="n"/>
      <c r="L50" s="14" t="n"/>
      <c r="M50" s="14" t="n"/>
      <c r="N50" s="14" t="n"/>
      <c r="O50" s="31">
        <f>IFERROR(IF(M50="","",IF(N50="",TODAY()-M50,N50-M50)),"")</f>
        <v/>
      </c>
      <c r="P50" s="31">
        <f>IFERROR(IF(OR(M50="",R50="Closed"),"",IF(TODAY()&gt;M50,"Yes","No")),"")</f>
        <v/>
      </c>
      <c r="Q50" s="14" t="n"/>
      <c r="R50" s="14" t="n"/>
    </row>
    <row r="51">
      <c r="A51" s="14" t="n"/>
      <c r="B51" s="14" t="n"/>
      <c r="C51" s="14" t="n"/>
      <c r="D51" s="14" t="n"/>
      <c r="E51" s="14" t="n"/>
      <c r="F51" s="14" t="n"/>
      <c r="G51" s="14" t="n"/>
      <c r="H51" s="14" t="n"/>
      <c r="I51" s="14" t="n"/>
      <c r="J51" s="14" t="n"/>
      <c r="K51" s="14" t="n"/>
      <c r="L51" s="14" t="n"/>
      <c r="M51" s="14" t="n"/>
      <c r="N51" s="14" t="n"/>
      <c r="O51" s="31">
        <f>IFERROR(IF(M51="","",IF(N51="",TODAY()-M51,N51-M51)),"")</f>
        <v/>
      </c>
      <c r="P51" s="31">
        <f>IFERROR(IF(OR(M51="",R51="Closed"),"",IF(TODAY()&gt;M51,"Yes","No")),"")</f>
        <v/>
      </c>
      <c r="Q51" s="14" t="n"/>
      <c r="R51" s="14" t="n"/>
    </row>
    <row r="52">
      <c r="A52" s="14" t="n"/>
      <c r="B52" s="14" t="n"/>
      <c r="C52" s="14" t="n"/>
      <c r="D52" s="14" t="n"/>
      <c r="E52" s="14" t="n"/>
      <c r="F52" s="14" t="n"/>
      <c r="G52" s="14" t="n"/>
      <c r="H52" s="14" t="n"/>
      <c r="I52" s="14" t="n"/>
      <c r="J52" s="14" t="n"/>
      <c r="K52" s="14" t="n"/>
      <c r="L52" s="14" t="n"/>
      <c r="M52" s="14" t="n"/>
      <c r="N52" s="14" t="n"/>
      <c r="O52" s="31">
        <f>IFERROR(IF(M52="","",IF(N52="",TODAY()-M52,N52-M52)),"")</f>
        <v/>
      </c>
      <c r="P52" s="31">
        <f>IFERROR(IF(OR(M52="",R52="Closed"),"",IF(TODAY()&gt;M52,"Yes","No")),"")</f>
        <v/>
      </c>
      <c r="Q52" s="14" t="n"/>
      <c r="R52" s="14" t="n"/>
    </row>
    <row r="53">
      <c r="A53" s="14" t="n"/>
      <c r="B53" s="14" t="n"/>
      <c r="C53" s="14" t="n"/>
      <c r="D53" s="14" t="n"/>
      <c r="E53" s="14" t="n"/>
      <c r="F53" s="14" t="n"/>
      <c r="G53" s="14" t="n"/>
      <c r="H53" s="14" t="n"/>
      <c r="I53" s="14" t="n"/>
      <c r="J53" s="14" t="n"/>
      <c r="K53" s="14" t="n"/>
      <c r="L53" s="14" t="n"/>
      <c r="M53" s="14" t="n"/>
      <c r="N53" s="14" t="n"/>
      <c r="O53" s="31">
        <f>IFERROR(IF(M53="","",IF(N53="",TODAY()-M53,N53-M53)),"")</f>
        <v/>
      </c>
      <c r="P53" s="31">
        <f>IFERROR(IF(OR(M53="",R53="Closed"),"",IF(TODAY()&gt;M53,"Yes","No")),"")</f>
        <v/>
      </c>
      <c r="Q53" s="14" t="n"/>
      <c r="R53" s="14" t="n"/>
    </row>
    <row r="54">
      <c r="A54" s="14" t="n"/>
      <c r="B54" s="14" t="n"/>
      <c r="C54" s="14" t="n"/>
      <c r="D54" s="14" t="n"/>
      <c r="E54" s="14" t="n"/>
      <c r="F54" s="14" t="n"/>
      <c r="G54" s="14" t="n"/>
      <c r="H54" s="14" t="n"/>
      <c r="I54" s="14" t="n"/>
      <c r="J54" s="14" t="n"/>
      <c r="K54" s="14" t="n"/>
      <c r="L54" s="14" t="n"/>
      <c r="M54" s="14" t="n"/>
      <c r="N54" s="14" t="n"/>
      <c r="O54" s="31">
        <f>IFERROR(IF(M54="","",IF(N54="",TODAY()-M54,N54-M54)),"")</f>
        <v/>
      </c>
      <c r="P54" s="31">
        <f>IFERROR(IF(OR(M54="",R54="Closed"),"",IF(TODAY()&gt;M54,"Yes","No")),"")</f>
        <v/>
      </c>
      <c r="Q54" s="14" t="n"/>
      <c r="R54" s="14" t="n"/>
    </row>
    <row r="55">
      <c r="A55" s="14" t="n"/>
      <c r="B55" s="14" t="n"/>
      <c r="C55" s="14" t="n"/>
      <c r="D55" s="14" t="n"/>
      <c r="E55" s="14" t="n"/>
      <c r="F55" s="14" t="n"/>
      <c r="G55" s="14" t="n"/>
      <c r="H55" s="14" t="n"/>
      <c r="I55" s="14" t="n"/>
      <c r="J55" s="14" t="n"/>
      <c r="K55" s="14" t="n"/>
      <c r="L55" s="14" t="n"/>
      <c r="M55" s="14" t="n"/>
      <c r="N55" s="14" t="n"/>
      <c r="O55" s="31">
        <f>IFERROR(IF(M55="","",IF(N55="",TODAY()-M55,N55-M55)),"")</f>
        <v/>
      </c>
      <c r="P55" s="31">
        <f>IFERROR(IF(OR(M55="",R55="Closed"),"",IF(TODAY()&gt;M55,"Yes","No")),"")</f>
        <v/>
      </c>
      <c r="Q55" s="14" t="n"/>
      <c r="R55" s="14" t="n"/>
    </row>
    <row r="56">
      <c r="A56" s="14" t="n"/>
      <c r="B56" s="14" t="n"/>
      <c r="C56" s="14" t="n"/>
      <c r="D56" s="14" t="n"/>
      <c r="E56" s="14" t="n"/>
      <c r="F56" s="14" t="n"/>
      <c r="G56" s="14" t="n"/>
      <c r="H56" s="14" t="n"/>
      <c r="I56" s="14" t="n"/>
      <c r="J56" s="14" t="n"/>
      <c r="K56" s="14" t="n"/>
      <c r="L56" s="14" t="n"/>
      <c r="M56" s="14" t="n"/>
      <c r="N56" s="14" t="n"/>
      <c r="O56" s="31">
        <f>IFERROR(IF(M56="","",IF(N56="",TODAY()-M56,N56-M56)),"")</f>
        <v/>
      </c>
      <c r="P56" s="31">
        <f>IFERROR(IF(OR(M56="",R56="Closed"),"",IF(TODAY()&gt;M56,"Yes","No")),"")</f>
        <v/>
      </c>
      <c r="Q56" s="14" t="n"/>
      <c r="R56" s="14" t="n"/>
    </row>
    <row r="57">
      <c r="A57" s="14" t="n"/>
      <c r="B57" s="14" t="n"/>
      <c r="C57" s="14" t="n"/>
      <c r="D57" s="14" t="n"/>
      <c r="E57" s="14" t="n"/>
      <c r="F57" s="14" t="n"/>
      <c r="G57" s="14" t="n"/>
      <c r="H57" s="14" t="n"/>
      <c r="I57" s="14" t="n"/>
      <c r="J57" s="14" t="n"/>
      <c r="K57" s="14" t="n"/>
      <c r="L57" s="14" t="n"/>
      <c r="M57" s="14" t="n"/>
      <c r="N57" s="14" t="n"/>
      <c r="O57" s="31">
        <f>IFERROR(IF(M57="","",IF(N57="",TODAY()-M57,N57-M57)),"")</f>
        <v/>
      </c>
      <c r="P57" s="31">
        <f>IFERROR(IF(OR(M57="",R57="Closed"),"",IF(TODAY()&gt;M57,"Yes","No")),"")</f>
        <v/>
      </c>
      <c r="Q57" s="14" t="n"/>
      <c r="R57" s="14" t="n"/>
    </row>
    <row r="58">
      <c r="A58" s="14" t="n"/>
      <c r="B58" s="14" t="n"/>
      <c r="C58" s="14" t="n"/>
      <c r="D58" s="14" t="n"/>
      <c r="E58" s="14" t="n"/>
      <c r="F58" s="14" t="n"/>
      <c r="G58" s="14" t="n"/>
      <c r="H58" s="14" t="n"/>
      <c r="I58" s="14" t="n"/>
      <c r="J58" s="14" t="n"/>
      <c r="K58" s="14" t="n"/>
      <c r="L58" s="14" t="n"/>
      <c r="M58" s="14" t="n"/>
      <c r="N58" s="14" t="n"/>
      <c r="O58" s="31">
        <f>IFERROR(IF(M58="","",IF(N58="",TODAY()-M58,N58-M58)),"")</f>
        <v/>
      </c>
      <c r="P58" s="31">
        <f>IFERROR(IF(OR(M58="",R58="Closed"),"",IF(TODAY()&gt;M58,"Yes","No")),"")</f>
        <v/>
      </c>
      <c r="Q58" s="14" t="n"/>
      <c r="R58" s="14" t="n"/>
    </row>
    <row r="59">
      <c r="A59" s="14" t="n"/>
      <c r="B59" s="14" t="n"/>
      <c r="C59" s="14" t="n"/>
      <c r="D59" s="14" t="n"/>
      <c r="E59" s="14" t="n"/>
      <c r="F59" s="14" t="n"/>
      <c r="G59" s="14" t="n"/>
      <c r="H59" s="14" t="n"/>
      <c r="I59" s="14" t="n"/>
      <c r="J59" s="14" t="n"/>
      <c r="K59" s="14" t="n"/>
      <c r="L59" s="14" t="n"/>
      <c r="M59" s="14" t="n"/>
      <c r="N59" s="14" t="n"/>
      <c r="O59" s="31">
        <f>IFERROR(IF(M59="","",IF(N59="",TODAY()-M59,N59-M59)),"")</f>
        <v/>
      </c>
      <c r="P59" s="31">
        <f>IFERROR(IF(OR(M59="",R59="Closed"),"",IF(TODAY()&gt;M59,"Yes","No")),"")</f>
        <v/>
      </c>
      <c r="Q59" s="14" t="n"/>
      <c r="R59" s="14" t="n"/>
    </row>
    <row r="60">
      <c r="A60" s="14" t="n"/>
      <c r="B60" s="14" t="n"/>
      <c r="C60" s="14" t="n"/>
      <c r="D60" s="14" t="n"/>
      <c r="E60" s="14" t="n"/>
      <c r="F60" s="14" t="n"/>
      <c r="G60" s="14" t="n"/>
      <c r="H60" s="14" t="n"/>
      <c r="I60" s="14" t="n"/>
      <c r="J60" s="14" t="n"/>
      <c r="K60" s="14" t="n"/>
      <c r="L60" s="14" t="n"/>
      <c r="M60" s="14" t="n"/>
      <c r="N60" s="14" t="n"/>
      <c r="O60" s="31">
        <f>IFERROR(IF(M60="","",IF(N60="",TODAY()-M60,N60-M60)),"")</f>
        <v/>
      </c>
      <c r="P60" s="31">
        <f>IFERROR(IF(OR(M60="",R60="Closed"),"",IF(TODAY()&gt;M60,"Yes","No")),"")</f>
        <v/>
      </c>
      <c r="Q60" s="14" t="n"/>
      <c r="R60" s="14" t="n"/>
    </row>
    <row r="61">
      <c r="A61" s="14" t="n"/>
      <c r="B61" s="14" t="n"/>
      <c r="C61" s="14" t="n"/>
      <c r="D61" s="14" t="n"/>
      <c r="E61" s="14" t="n"/>
      <c r="F61" s="14" t="n"/>
      <c r="G61" s="14" t="n"/>
      <c r="H61" s="14" t="n"/>
      <c r="I61" s="14" t="n"/>
      <c r="J61" s="14" t="n"/>
      <c r="K61" s="14" t="n"/>
      <c r="L61" s="14" t="n"/>
      <c r="M61" s="14" t="n"/>
      <c r="N61" s="14" t="n"/>
      <c r="O61" s="31">
        <f>IFERROR(IF(M61="","",IF(N61="",TODAY()-M61,N61-M61)),"")</f>
        <v/>
      </c>
      <c r="P61" s="31">
        <f>IFERROR(IF(OR(M61="",R61="Closed"),"",IF(TODAY()&gt;M61,"Yes","No")),"")</f>
        <v/>
      </c>
      <c r="Q61" s="14" t="n"/>
      <c r="R61" s="14" t="n"/>
    </row>
    <row r="62">
      <c r="A62" s="14" t="n"/>
      <c r="B62" s="14" t="n"/>
      <c r="C62" s="14" t="n"/>
      <c r="D62" s="14" t="n"/>
      <c r="E62" s="14" t="n"/>
      <c r="F62" s="14" t="n"/>
      <c r="G62" s="14" t="n"/>
      <c r="H62" s="14" t="n"/>
      <c r="I62" s="14" t="n"/>
      <c r="J62" s="14" t="n"/>
      <c r="K62" s="14" t="n"/>
      <c r="L62" s="14" t="n"/>
      <c r="M62" s="14" t="n"/>
      <c r="N62" s="14" t="n"/>
      <c r="O62" s="31">
        <f>IFERROR(IF(M62="","",IF(N62="",TODAY()-M62,N62-M62)),"")</f>
        <v/>
      </c>
      <c r="P62" s="31">
        <f>IFERROR(IF(OR(M62="",R62="Closed"),"",IF(TODAY()&gt;M62,"Yes","No")),"")</f>
        <v/>
      </c>
      <c r="Q62" s="14" t="n"/>
      <c r="R62" s="14" t="n"/>
    </row>
    <row r="63">
      <c r="A63" s="14" t="n"/>
      <c r="B63" s="14" t="n"/>
      <c r="C63" s="14" t="n"/>
      <c r="D63" s="14" t="n"/>
      <c r="E63" s="14" t="n"/>
      <c r="F63" s="14" t="n"/>
      <c r="G63" s="14" t="n"/>
      <c r="H63" s="14" t="n"/>
      <c r="I63" s="14" t="n"/>
      <c r="J63" s="14" t="n"/>
      <c r="K63" s="14" t="n"/>
      <c r="L63" s="14" t="n"/>
      <c r="M63" s="14" t="n"/>
      <c r="N63" s="14" t="n"/>
      <c r="O63" s="31">
        <f>IFERROR(IF(M63="","",IF(N63="",TODAY()-M63,N63-M63)),"")</f>
        <v/>
      </c>
      <c r="P63" s="31">
        <f>IFERROR(IF(OR(M63="",R63="Closed"),"",IF(TODAY()&gt;M63,"Yes","No")),"")</f>
        <v/>
      </c>
      <c r="Q63" s="14" t="n"/>
      <c r="R63" s="14" t="n"/>
    </row>
    <row r="64">
      <c r="A64" s="14" t="n"/>
      <c r="B64" s="14" t="n"/>
      <c r="C64" s="14" t="n"/>
      <c r="D64" s="14" t="n"/>
      <c r="E64" s="14" t="n"/>
      <c r="F64" s="14" t="n"/>
      <c r="G64" s="14" t="n"/>
      <c r="H64" s="14" t="n"/>
      <c r="I64" s="14" t="n"/>
      <c r="J64" s="14" t="n"/>
      <c r="K64" s="14" t="n"/>
      <c r="L64" s="14" t="n"/>
      <c r="M64" s="14" t="n"/>
      <c r="N64" s="14" t="n"/>
      <c r="O64" s="31">
        <f>IFERROR(IF(M64="","",IF(N64="",TODAY()-M64,N64-M64)),"")</f>
        <v/>
      </c>
      <c r="P64" s="31">
        <f>IFERROR(IF(OR(M64="",R64="Closed"),"",IF(TODAY()&gt;M64,"Yes","No")),"")</f>
        <v/>
      </c>
      <c r="Q64" s="14" t="n"/>
      <c r="R64" s="14" t="n"/>
    </row>
    <row r="65">
      <c r="A65" s="14" t="n"/>
      <c r="B65" s="14" t="n"/>
      <c r="C65" s="14" t="n"/>
      <c r="D65" s="14" t="n"/>
      <c r="E65" s="14" t="n"/>
      <c r="F65" s="14" t="n"/>
      <c r="G65" s="14" t="n"/>
      <c r="H65" s="14" t="n"/>
      <c r="I65" s="14" t="n"/>
      <c r="J65" s="14" t="n"/>
      <c r="K65" s="14" t="n"/>
      <c r="L65" s="14" t="n"/>
      <c r="M65" s="14" t="n"/>
      <c r="N65" s="14" t="n"/>
      <c r="O65" s="31">
        <f>IFERROR(IF(M65="","",IF(N65="",TODAY()-M65,N65-M65)),"")</f>
        <v/>
      </c>
      <c r="P65" s="31">
        <f>IFERROR(IF(OR(M65="",R65="Closed"),"",IF(TODAY()&gt;M65,"Yes","No")),"")</f>
        <v/>
      </c>
      <c r="Q65" s="14" t="n"/>
      <c r="R65" s="14" t="n"/>
    </row>
    <row r="66">
      <c r="A66" s="14" t="n"/>
      <c r="B66" s="14" t="n"/>
      <c r="C66" s="14" t="n"/>
      <c r="D66" s="14" t="n"/>
      <c r="E66" s="14" t="n"/>
      <c r="F66" s="14" t="n"/>
      <c r="G66" s="14" t="n"/>
      <c r="H66" s="14" t="n"/>
      <c r="I66" s="14" t="n"/>
      <c r="J66" s="14" t="n"/>
      <c r="K66" s="14" t="n"/>
      <c r="L66" s="14" t="n"/>
      <c r="M66" s="14" t="n"/>
      <c r="N66" s="14" t="n"/>
      <c r="O66" s="31">
        <f>IFERROR(IF(M66="","",IF(N66="",TODAY()-M66,N66-M66)),"")</f>
        <v/>
      </c>
      <c r="P66" s="31">
        <f>IFERROR(IF(OR(M66="",R66="Closed"),"",IF(TODAY()&gt;M66,"Yes","No")),"")</f>
        <v/>
      </c>
      <c r="Q66" s="14" t="n"/>
      <c r="R66" s="14" t="n"/>
    </row>
    <row r="67">
      <c r="A67" s="14" t="n"/>
      <c r="B67" s="14" t="n"/>
      <c r="C67" s="14" t="n"/>
      <c r="D67" s="14" t="n"/>
      <c r="E67" s="14" t="n"/>
      <c r="F67" s="14" t="n"/>
      <c r="G67" s="14" t="n"/>
      <c r="H67" s="14" t="n"/>
      <c r="I67" s="14" t="n"/>
      <c r="J67" s="14" t="n"/>
      <c r="K67" s="14" t="n"/>
      <c r="L67" s="14" t="n"/>
      <c r="M67" s="14" t="n"/>
      <c r="N67" s="14" t="n"/>
      <c r="O67" s="31">
        <f>IFERROR(IF(M67="","",IF(N67="",TODAY()-M67,N67-M67)),"")</f>
        <v/>
      </c>
      <c r="P67" s="31">
        <f>IFERROR(IF(OR(M67="",R67="Closed"),"",IF(TODAY()&gt;M67,"Yes","No")),"")</f>
        <v/>
      </c>
      <c r="Q67" s="14" t="n"/>
      <c r="R67" s="14" t="n"/>
    </row>
    <row r="68">
      <c r="A68" s="14" t="n"/>
      <c r="B68" s="14" t="n"/>
      <c r="C68" s="14" t="n"/>
      <c r="D68" s="14" t="n"/>
      <c r="E68" s="14" t="n"/>
      <c r="F68" s="14" t="n"/>
      <c r="G68" s="14" t="n"/>
      <c r="H68" s="14" t="n"/>
      <c r="I68" s="14" t="n"/>
      <c r="J68" s="14" t="n"/>
      <c r="K68" s="14" t="n"/>
      <c r="L68" s="14" t="n"/>
      <c r="M68" s="14" t="n"/>
      <c r="N68" s="14" t="n"/>
      <c r="O68" s="31">
        <f>IFERROR(IF(M68="","",IF(N68="",TODAY()-M68,N68-M68)),"")</f>
        <v/>
      </c>
      <c r="P68" s="31">
        <f>IFERROR(IF(OR(M68="",R68="Closed"),"",IF(TODAY()&gt;M68,"Yes","No")),"")</f>
        <v/>
      </c>
      <c r="Q68" s="14" t="n"/>
      <c r="R68" s="14" t="n"/>
    </row>
    <row r="69">
      <c r="A69" s="14" t="n"/>
      <c r="B69" s="14" t="n"/>
      <c r="C69" s="14" t="n"/>
      <c r="D69" s="14" t="n"/>
      <c r="E69" s="14" t="n"/>
      <c r="F69" s="14" t="n"/>
      <c r="G69" s="14" t="n"/>
      <c r="H69" s="14" t="n"/>
      <c r="I69" s="14" t="n"/>
      <c r="J69" s="14" t="n"/>
      <c r="K69" s="14" t="n"/>
      <c r="L69" s="14" t="n"/>
      <c r="M69" s="14" t="n"/>
      <c r="N69" s="14" t="n"/>
      <c r="O69" s="31">
        <f>IFERROR(IF(M69="","",IF(N69="",TODAY()-M69,N69-M69)),"")</f>
        <v/>
      </c>
      <c r="P69" s="31">
        <f>IFERROR(IF(OR(M69="",R69="Closed"),"",IF(TODAY()&gt;M69,"Yes","No")),"")</f>
        <v/>
      </c>
      <c r="Q69" s="14" t="n"/>
      <c r="R69" s="14" t="n"/>
    </row>
    <row r="70">
      <c r="A70" s="14" t="n"/>
      <c r="B70" s="14" t="n"/>
      <c r="C70" s="14" t="n"/>
      <c r="D70" s="14" t="n"/>
      <c r="E70" s="14" t="n"/>
      <c r="F70" s="14" t="n"/>
      <c r="G70" s="14" t="n"/>
      <c r="H70" s="14" t="n"/>
      <c r="I70" s="14" t="n"/>
      <c r="J70" s="14" t="n"/>
      <c r="K70" s="14" t="n"/>
      <c r="L70" s="14" t="n"/>
      <c r="M70" s="14" t="n"/>
      <c r="N70" s="14" t="n"/>
      <c r="O70" s="31">
        <f>IFERROR(IF(M70="","",IF(N70="",TODAY()-M70,N70-M70)),"")</f>
        <v/>
      </c>
      <c r="P70" s="31">
        <f>IFERROR(IF(OR(M70="",R70="Closed"),"",IF(TODAY()&gt;M70,"Yes","No")),"")</f>
        <v/>
      </c>
      <c r="Q70" s="14" t="n"/>
      <c r="R70" s="14" t="n"/>
    </row>
    <row r="71">
      <c r="A71" s="14" t="n"/>
      <c r="B71" s="14" t="n"/>
      <c r="C71" s="14" t="n"/>
      <c r="D71" s="14" t="n"/>
      <c r="E71" s="14" t="n"/>
      <c r="F71" s="14" t="n"/>
      <c r="G71" s="14" t="n"/>
      <c r="H71" s="14" t="n"/>
      <c r="I71" s="14" t="n"/>
      <c r="J71" s="14" t="n"/>
      <c r="K71" s="14" t="n"/>
      <c r="L71" s="14" t="n"/>
      <c r="M71" s="14" t="n"/>
      <c r="N71" s="14" t="n"/>
      <c r="O71" s="31">
        <f>IFERROR(IF(M71="","",IF(N71="",TODAY()-M71,N71-M71)),"")</f>
        <v/>
      </c>
      <c r="P71" s="31">
        <f>IFERROR(IF(OR(M71="",R71="Closed"),"",IF(TODAY()&gt;M71,"Yes","No")),"")</f>
        <v/>
      </c>
      <c r="Q71" s="14" t="n"/>
      <c r="R71" s="14" t="n"/>
    </row>
    <row r="72">
      <c r="A72" s="14" t="n"/>
      <c r="B72" s="14" t="n"/>
      <c r="C72" s="14" t="n"/>
      <c r="D72" s="14" t="n"/>
      <c r="E72" s="14" t="n"/>
      <c r="F72" s="14" t="n"/>
      <c r="G72" s="14" t="n"/>
      <c r="H72" s="14" t="n"/>
      <c r="I72" s="14" t="n"/>
      <c r="J72" s="14" t="n"/>
      <c r="K72" s="14" t="n"/>
      <c r="L72" s="14" t="n"/>
      <c r="M72" s="14" t="n"/>
      <c r="N72" s="14" t="n"/>
      <c r="O72" s="31">
        <f>IFERROR(IF(M72="","",IF(N72="",TODAY()-M72,N72-M72)),"")</f>
        <v/>
      </c>
      <c r="P72" s="31">
        <f>IFERROR(IF(OR(M72="",R72="Closed"),"",IF(TODAY()&gt;M72,"Yes","No")),"")</f>
        <v/>
      </c>
      <c r="Q72" s="14" t="n"/>
      <c r="R72" s="14" t="n"/>
    </row>
    <row r="73">
      <c r="A73" s="14" t="n"/>
      <c r="B73" s="14" t="n"/>
      <c r="C73" s="14" t="n"/>
      <c r="D73" s="14" t="n"/>
      <c r="E73" s="14" t="n"/>
      <c r="F73" s="14" t="n"/>
      <c r="G73" s="14" t="n"/>
      <c r="H73" s="14" t="n"/>
      <c r="I73" s="14" t="n"/>
      <c r="J73" s="14" t="n"/>
      <c r="K73" s="14" t="n"/>
      <c r="L73" s="14" t="n"/>
      <c r="M73" s="14" t="n"/>
      <c r="N73" s="14" t="n"/>
      <c r="O73" s="31">
        <f>IFERROR(IF(M73="","",IF(N73="",TODAY()-M73,N73-M73)),"")</f>
        <v/>
      </c>
      <c r="P73" s="31">
        <f>IFERROR(IF(OR(M73="",R73="Closed"),"",IF(TODAY()&gt;M73,"Yes","No")),"")</f>
        <v/>
      </c>
      <c r="Q73" s="14" t="n"/>
      <c r="R73" s="14" t="n"/>
    </row>
    <row r="74">
      <c r="A74" s="14" t="n"/>
      <c r="B74" s="14" t="n"/>
      <c r="C74" s="14" t="n"/>
      <c r="D74" s="14" t="n"/>
      <c r="E74" s="14" t="n"/>
      <c r="F74" s="14" t="n"/>
      <c r="G74" s="14" t="n"/>
      <c r="H74" s="14" t="n"/>
      <c r="I74" s="14" t="n"/>
      <c r="J74" s="14" t="n"/>
      <c r="K74" s="14" t="n"/>
      <c r="L74" s="14" t="n"/>
      <c r="M74" s="14" t="n"/>
      <c r="N74" s="14" t="n"/>
      <c r="O74" s="31">
        <f>IFERROR(IF(M74="","",IF(N74="",TODAY()-M74,N74-M74)),"")</f>
        <v/>
      </c>
      <c r="P74" s="31">
        <f>IFERROR(IF(OR(M74="",R74="Closed"),"",IF(TODAY()&gt;M74,"Yes","No")),"")</f>
        <v/>
      </c>
      <c r="Q74" s="14" t="n"/>
      <c r="R74" s="14" t="n"/>
    </row>
    <row r="75">
      <c r="A75" s="14" t="n"/>
      <c r="B75" s="14" t="n"/>
      <c r="C75" s="14" t="n"/>
      <c r="D75" s="14" t="n"/>
      <c r="E75" s="14" t="n"/>
      <c r="F75" s="14" t="n"/>
      <c r="G75" s="14" t="n"/>
      <c r="H75" s="14" t="n"/>
      <c r="I75" s="14" t="n"/>
      <c r="J75" s="14" t="n"/>
      <c r="K75" s="14" t="n"/>
      <c r="L75" s="14" t="n"/>
      <c r="M75" s="14" t="n"/>
      <c r="N75" s="14" t="n"/>
      <c r="O75" s="31">
        <f>IFERROR(IF(M75="","",IF(N75="",TODAY()-M75,N75-M75)),"")</f>
        <v/>
      </c>
      <c r="P75" s="31">
        <f>IFERROR(IF(OR(M75="",R75="Closed"),"",IF(TODAY()&gt;M75,"Yes","No")),"")</f>
        <v/>
      </c>
      <c r="Q75" s="14" t="n"/>
      <c r="R75" s="14" t="n"/>
    </row>
    <row r="76">
      <c r="A76" s="14" t="n"/>
      <c r="B76" s="14" t="n"/>
      <c r="C76" s="14" t="n"/>
      <c r="D76" s="14" t="n"/>
      <c r="E76" s="14" t="n"/>
      <c r="F76" s="14" t="n"/>
      <c r="G76" s="14" t="n"/>
      <c r="H76" s="14" t="n"/>
      <c r="I76" s="14" t="n"/>
      <c r="J76" s="14" t="n"/>
      <c r="K76" s="14" t="n"/>
      <c r="L76" s="14" t="n"/>
      <c r="M76" s="14" t="n"/>
      <c r="N76" s="14" t="n"/>
      <c r="O76" s="31">
        <f>IFERROR(IF(M76="","",IF(N76="",TODAY()-M76,N76-M76)),"")</f>
        <v/>
      </c>
      <c r="P76" s="31">
        <f>IFERROR(IF(OR(M76="",R76="Closed"),"",IF(TODAY()&gt;M76,"Yes","No")),"")</f>
        <v/>
      </c>
      <c r="Q76" s="14" t="n"/>
      <c r="R76" s="14" t="n"/>
    </row>
    <row r="77">
      <c r="A77" s="14" t="n"/>
      <c r="B77" s="14" t="n"/>
      <c r="C77" s="14" t="n"/>
      <c r="D77" s="14" t="n"/>
      <c r="E77" s="14" t="n"/>
      <c r="F77" s="14" t="n"/>
      <c r="G77" s="14" t="n"/>
      <c r="H77" s="14" t="n"/>
      <c r="I77" s="14" t="n"/>
      <c r="J77" s="14" t="n"/>
      <c r="K77" s="14" t="n"/>
      <c r="L77" s="14" t="n"/>
      <c r="M77" s="14" t="n"/>
      <c r="N77" s="14" t="n"/>
      <c r="O77" s="31">
        <f>IFERROR(IF(M77="","",IF(N77="",TODAY()-M77,N77-M77)),"")</f>
        <v/>
      </c>
      <c r="P77" s="31">
        <f>IFERROR(IF(OR(M77="",R77="Closed"),"",IF(TODAY()&gt;M77,"Yes","No")),"")</f>
        <v/>
      </c>
      <c r="Q77" s="14" t="n"/>
      <c r="R77" s="14" t="n"/>
    </row>
    <row r="78">
      <c r="A78" s="14" t="n"/>
      <c r="B78" s="14" t="n"/>
      <c r="C78" s="14" t="n"/>
      <c r="D78" s="14" t="n"/>
      <c r="E78" s="14" t="n"/>
      <c r="F78" s="14" t="n"/>
      <c r="G78" s="14" t="n"/>
      <c r="H78" s="14" t="n"/>
      <c r="I78" s="14" t="n"/>
      <c r="J78" s="14" t="n"/>
      <c r="K78" s="14" t="n"/>
      <c r="L78" s="14" t="n"/>
      <c r="M78" s="14" t="n"/>
      <c r="N78" s="14" t="n"/>
      <c r="O78" s="31">
        <f>IFERROR(IF(M78="","",IF(N78="",TODAY()-M78,N78-M78)),"")</f>
        <v/>
      </c>
      <c r="P78" s="31">
        <f>IFERROR(IF(OR(M78="",R78="Closed"),"",IF(TODAY()&gt;M78,"Yes","No")),"")</f>
        <v/>
      </c>
      <c r="Q78" s="14" t="n"/>
      <c r="R78" s="14" t="n"/>
    </row>
    <row r="79">
      <c r="A79" s="14" t="n"/>
      <c r="B79" s="14" t="n"/>
      <c r="C79" s="14" t="n"/>
      <c r="D79" s="14" t="n"/>
      <c r="E79" s="14" t="n"/>
      <c r="F79" s="14" t="n"/>
      <c r="G79" s="14" t="n"/>
      <c r="H79" s="14" t="n"/>
      <c r="I79" s="14" t="n"/>
      <c r="J79" s="14" t="n"/>
      <c r="K79" s="14" t="n"/>
      <c r="L79" s="14" t="n"/>
      <c r="M79" s="14" t="n"/>
      <c r="N79" s="14" t="n"/>
      <c r="O79" s="31">
        <f>IFERROR(IF(M79="","",IF(N79="",TODAY()-M79,N79-M79)),"")</f>
        <v/>
      </c>
      <c r="P79" s="31">
        <f>IFERROR(IF(OR(M79="",R79="Closed"),"",IF(TODAY()&gt;M79,"Yes","No")),"")</f>
        <v/>
      </c>
      <c r="Q79" s="14" t="n"/>
      <c r="R79" s="14" t="n"/>
    </row>
    <row r="80">
      <c r="A80" s="14" t="n"/>
      <c r="B80" s="14" t="n"/>
      <c r="C80" s="14" t="n"/>
      <c r="D80" s="14" t="n"/>
      <c r="E80" s="14" t="n"/>
      <c r="F80" s="14" t="n"/>
      <c r="G80" s="14" t="n"/>
      <c r="H80" s="14" t="n"/>
      <c r="I80" s="14" t="n"/>
      <c r="J80" s="14" t="n"/>
      <c r="K80" s="14" t="n"/>
      <c r="L80" s="14" t="n"/>
      <c r="M80" s="14" t="n"/>
      <c r="N80" s="14" t="n"/>
      <c r="O80" s="31">
        <f>IFERROR(IF(M80="","",IF(N80="",TODAY()-M80,N80-M80)),"")</f>
        <v/>
      </c>
      <c r="P80" s="31">
        <f>IFERROR(IF(OR(M80="",R80="Closed"),"",IF(TODAY()&gt;M80,"Yes","No")),"")</f>
        <v/>
      </c>
      <c r="Q80" s="14" t="n"/>
      <c r="R80" s="14" t="n"/>
    </row>
    <row r="81">
      <c r="A81" s="14" t="n"/>
      <c r="B81" s="14" t="n"/>
      <c r="C81" s="14" t="n"/>
      <c r="D81" s="14" t="n"/>
      <c r="E81" s="14" t="n"/>
      <c r="F81" s="14" t="n"/>
      <c r="G81" s="14" t="n"/>
      <c r="H81" s="14" t="n"/>
      <c r="I81" s="14" t="n"/>
      <c r="J81" s="14" t="n"/>
      <c r="K81" s="14" t="n"/>
      <c r="L81" s="14" t="n"/>
      <c r="M81" s="14" t="n"/>
      <c r="N81" s="14" t="n"/>
      <c r="O81" s="31">
        <f>IFERROR(IF(M81="","",IF(N81="",TODAY()-M81,N81-M81)),"")</f>
        <v/>
      </c>
      <c r="P81" s="31">
        <f>IFERROR(IF(OR(M81="",R81="Closed"),"",IF(TODAY()&gt;M81,"Yes","No")),"")</f>
        <v/>
      </c>
      <c r="Q81" s="14" t="n"/>
      <c r="R81" s="14" t="n"/>
    </row>
    <row r="82">
      <c r="A82" s="14" t="n"/>
      <c r="B82" s="14" t="n"/>
      <c r="C82" s="14" t="n"/>
      <c r="D82" s="14" t="n"/>
      <c r="E82" s="14" t="n"/>
      <c r="F82" s="14" t="n"/>
      <c r="G82" s="14" t="n"/>
      <c r="H82" s="14" t="n"/>
      <c r="I82" s="14" t="n"/>
      <c r="J82" s="14" t="n"/>
      <c r="K82" s="14" t="n"/>
      <c r="L82" s="14" t="n"/>
      <c r="M82" s="14" t="n"/>
      <c r="N82" s="14" t="n"/>
      <c r="O82" s="31">
        <f>IFERROR(IF(M82="","",IF(N82="",TODAY()-M82,N82-M82)),"")</f>
        <v/>
      </c>
      <c r="P82" s="31">
        <f>IFERROR(IF(OR(M82="",R82="Closed"),"",IF(TODAY()&gt;M82,"Yes","No")),"")</f>
        <v/>
      </c>
      <c r="Q82" s="14" t="n"/>
      <c r="R82" s="14" t="n"/>
    </row>
    <row r="83">
      <c r="A83" s="14" t="n"/>
      <c r="B83" s="14" t="n"/>
      <c r="C83" s="14" t="n"/>
      <c r="D83" s="14" t="n"/>
      <c r="E83" s="14" t="n"/>
      <c r="F83" s="14" t="n"/>
      <c r="G83" s="14" t="n"/>
      <c r="H83" s="14" t="n"/>
      <c r="I83" s="14" t="n"/>
      <c r="J83" s="14" t="n"/>
      <c r="K83" s="14" t="n"/>
      <c r="L83" s="14" t="n"/>
      <c r="M83" s="14" t="n"/>
      <c r="N83" s="14" t="n"/>
      <c r="O83" s="31">
        <f>IFERROR(IF(M83="","",IF(N83="",TODAY()-M83,N83-M83)),"")</f>
        <v/>
      </c>
      <c r="P83" s="31">
        <f>IFERROR(IF(OR(M83="",R83="Closed"),"",IF(TODAY()&gt;M83,"Yes","No")),"")</f>
        <v/>
      </c>
      <c r="Q83" s="14" t="n"/>
      <c r="R83" s="14" t="n"/>
    </row>
    <row r="84">
      <c r="A84" s="14" t="n"/>
      <c r="B84" s="14" t="n"/>
      <c r="C84" s="14" t="n"/>
      <c r="D84" s="14" t="n"/>
      <c r="E84" s="14" t="n"/>
      <c r="F84" s="14" t="n"/>
      <c r="G84" s="14" t="n"/>
      <c r="H84" s="14" t="n"/>
      <c r="I84" s="14" t="n"/>
      <c r="J84" s="14" t="n"/>
      <c r="K84" s="14" t="n"/>
      <c r="L84" s="14" t="n"/>
      <c r="M84" s="14" t="n"/>
      <c r="N84" s="14" t="n"/>
      <c r="O84" s="31">
        <f>IFERROR(IF(M84="","",IF(N84="",TODAY()-M84,N84-M84)),"")</f>
        <v/>
      </c>
      <c r="P84" s="31">
        <f>IFERROR(IF(OR(M84="",R84="Closed"),"",IF(TODAY()&gt;M84,"Yes","No")),"")</f>
        <v/>
      </c>
      <c r="Q84" s="14" t="n"/>
      <c r="R84" s="14" t="n"/>
    </row>
    <row r="85">
      <c r="A85" s="14" t="n"/>
      <c r="B85" s="14" t="n"/>
      <c r="C85" s="14" t="n"/>
      <c r="D85" s="14" t="n"/>
      <c r="E85" s="14" t="n"/>
      <c r="F85" s="14" t="n"/>
      <c r="G85" s="14" t="n"/>
      <c r="H85" s="14" t="n"/>
      <c r="I85" s="14" t="n"/>
      <c r="J85" s="14" t="n"/>
      <c r="K85" s="14" t="n"/>
      <c r="L85" s="14" t="n"/>
      <c r="M85" s="14" t="n"/>
      <c r="N85" s="14" t="n"/>
      <c r="O85" s="31">
        <f>IFERROR(IF(M85="","",IF(N85="",TODAY()-M85,N85-M85)),"")</f>
        <v/>
      </c>
      <c r="P85" s="31">
        <f>IFERROR(IF(OR(M85="",R85="Closed"),"",IF(TODAY()&gt;M85,"Yes","No")),"")</f>
        <v/>
      </c>
      <c r="Q85" s="14" t="n"/>
      <c r="R85" s="14" t="n"/>
    </row>
    <row r="86">
      <c r="A86" s="14" t="n"/>
      <c r="B86" s="14" t="n"/>
      <c r="C86" s="14" t="n"/>
      <c r="D86" s="14" t="n"/>
      <c r="E86" s="14" t="n"/>
      <c r="F86" s="14" t="n"/>
      <c r="G86" s="14" t="n"/>
      <c r="H86" s="14" t="n"/>
      <c r="I86" s="14" t="n"/>
      <c r="J86" s="14" t="n"/>
      <c r="K86" s="14" t="n"/>
      <c r="L86" s="14" t="n"/>
      <c r="M86" s="14" t="n"/>
      <c r="N86" s="14" t="n"/>
      <c r="O86" s="31">
        <f>IFERROR(IF(M86="","",IF(N86="",TODAY()-M86,N86-M86)),"")</f>
        <v/>
      </c>
      <c r="P86" s="31">
        <f>IFERROR(IF(OR(M86="",R86="Closed"),"",IF(TODAY()&gt;M86,"Yes","No")),"")</f>
        <v/>
      </c>
      <c r="Q86" s="14" t="n"/>
      <c r="R86" s="14" t="n"/>
    </row>
    <row r="87">
      <c r="A87" s="14" t="n"/>
      <c r="B87" s="14" t="n"/>
      <c r="C87" s="14" t="n"/>
      <c r="D87" s="14" t="n"/>
      <c r="E87" s="14" t="n"/>
      <c r="F87" s="14" t="n"/>
      <c r="G87" s="14" t="n"/>
      <c r="H87" s="14" t="n"/>
      <c r="I87" s="14" t="n"/>
      <c r="J87" s="14" t="n"/>
      <c r="K87" s="14" t="n"/>
      <c r="L87" s="14" t="n"/>
      <c r="M87" s="14" t="n"/>
      <c r="N87" s="14" t="n"/>
      <c r="O87" s="31">
        <f>IFERROR(IF(M87="","",IF(N87="",TODAY()-M87,N87-M87)),"")</f>
        <v/>
      </c>
      <c r="P87" s="31">
        <f>IFERROR(IF(OR(M87="",R87="Closed"),"",IF(TODAY()&gt;M87,"Yes","No")),"")</f>
        <v/>
      </c>
      <c r="Q87" s="14" t="n"/>
      <c r="R87" s="14" t="n"/>
    </row>
    <row r="88">
      <c r="A88" s="14" t="n"/>
      <c r="B88" s="14" t="n"/>
      <c r="C88" s="14" t="n"/>
      <c r="D88" s="14" t="n"/>
      <c r="E88" s="14" t="n"/>
      <c r="F88" s="14" t="n"/>
      <c r="G88" s="14" t="n"/>
      <c r="H88" s="14" t="n"/>
      <c r="I88" s="14" t="n"/>
      <c r="J88" s="14" t="n"/>
      <c r="K88" s="14" t="n"/>
      <c r="L88" s="14" t="n"/>
      <c r="M88" s="14" t="n"/>
      <c r="N88" s="14" t="n"/>
      <c r="O88" s="31">
        <f>IFERROR(IF(M88="","",IF(N88="",TODAY()-M88,N88-M88)),"")</f>
        <v/>
      </c>
      <c r="P88" s="31">
        <f>IFERROR(IF(OR(M88="",R88="Closed"),"",IF(TODAY()&gt;M88,"Yes","No")),"")</f>
        <v/>
      </c>
      <c r="Q88" s="14" t="n"/>
      <c r="R88" s="14" t="n"/>
    </row>
    <row r="89">
      <c r="A89" s="14" t="n"/>
      <c r="B89" s="14" t="n"/>
      <c r="C89" s="14" t="n"/>
      <c r="D89" s="14" t="n"/>
      <c r="E89" s="14" t="n"/>
      <c r="F89" s="14" t="n"/>
      <c r="G89" s="14" t="n"/>
      <c r="H89" s="14" t="n"/>
      <c r="I89" s="14" t="n"/>
      <c r="J89" s="14" t="n"/>
      <c r="K89" s="14" t="n"/>
      <c r="L89" s="14" t="n"/>
      <c r="M89" s="14" t="n"/>
      <c r="N89" s="14" t="n"/>
      <c r="O89" s="31">
        <f>IFERROR(IF(M89="","",IF(N89="",TODAY()-M89,N89-M89)),"")</f>
        <v/>
      </c>
      <c r="P89" s="31">
        <f>IFERROR(IF(OR(M89="",R89="Closed"),"",IF(TODAY()&gt;M89,"Yes","No")),"")</f>
        <v/>
      </c>
      <c r="Q89" s="14" t="n"/>
      <c r="R89" s="14" t="n"/>
    </row>
    <row r="90">
      <c r="A90" s="14" t="n"/>
      <c r="B90" s="14" t="n"/>
      <c r="C90" s="14" t="n"/>
      <c r="D90" s="14" t="n"/>
      <c r="E90" s="14" t="n"/>
      <c r="F90" s="14" t="n"/>
      <c r="G90" s="14" t="n"/>
      <c r="H90" s="14" t="n"/>
      <c r="I90" s="14" t="n"/>
      <c r="J90" s="14" t="n"/>
      <c r="K90" s="14" t="n"/>
      <c r="L90" s="14" t="n"/>
      <c r="M90" s="14" t="n"/>
      <c r="N90" s="14" t="n"/>
      <c r="O90" s="31">
        <f>IFERROR(IF(M90="","",IF(N90="",TODAY()-M90,N90-M90)),"")</f>
        <v/>
      </c>
      <c r="P90" s="31">
        <f>IFERROR(IF(OR(M90="",R90="Closed"),"",IF(TODAY()&gt;M90,"Yes","No")),"")</f>
        <v/>
      </c>
      <c r="Q90" s="14" t="n"/>
      <c r="R90" s="14" t="n"/>
    </row>
    <row r="91">
      <c r="A91" s="14" t="n"/>
      <c r="B91" s="14" t="n"/>
      <c r="C91" s="14" t="n"/>
      <c r="D91" s="14" t="n"/>
      <c r="E91" s="14" t="n"/>
      <c r="F91" s="14" t="n"/>
      <c r="G91" s="14" t="n"/>
      <c r="H91" s="14" t="n"/>
      <c r="I91" s="14" t="n"/>
      <c r="J91" s="14" t="n"/>
      <c r="K91" s="14" t="n"/>
      <c r="L91" s="14" t="n"/>
      <c r="M91" s="14" t="n"/>
      <c r="N91" s="14" t="n"/>
      <c r="O91" s="31">
        <f>IFERROR(IF(M91="","",IF(N91="",TODAY()-M91,N91-M91)),"")</f>
        <v/>
      </c>
      <c r="P91" s="31">
        <f>IFERROR(IF(OR(M91="",R91="Closed"),"",IF(TODAY()&gt;M91,"Yes","No")),"")</f>
        <v/>
      </c>
      <c r="Q91" s="14" t="n"/>
      <c r="R91" s="14" t="n"/>
    </row>
    <row r="92">
      <c r="A92" s="14" t="n"/>
      <c r="B92" s="14" t="n"/>
      <c r="C92" s="14" t="n"/>
      <c r="D92" s="14" t="n"/>
      <c r="E92" s="14" t="n"/>
      <c r="F92" s="14" t="n"/>
      <c r="G92" s="14" t="n"/>
      <c r="H92" s="14" t="n"/>
      <c r="I92" s="14" t="n"/>
      <c r="J92" s="14" t="n"/>
      <c r="K92" s="14" t="n"/>
      <c r="L92" s="14" t="n"/>
      <c r="M92" s="14" t="n"/>
      <c r="N92" s="14" t="n"/>
      <c r="O92" s="31">
        <f>IFERROR(IF(M92="","",IF(N92="",TODAY()-M92,N92-M92)),"")</f>
        <v/>
      </c>
      <c r="P92" s="31">
        <f>IFERROR(IF(OR(M92="",R92="Closed"),"",IF(TODAY()&gt;M92,"Yes","No")),"")</f>
        <v/>
      </c>
      <c r="Q92" s="14" t="n"/>
      <c r="R92" s="14" t="n"/>
    </row>
    <row r="93">
      <c r="A93" s="14" t="n"/>
      <c r="B93" s="14" t="n"/>
      <c r="C93" s="14" t="n"/>
      <c r="D93" s="14" t="n"/>
      <c r="E93" s="14" t="n"/>
      <c r="F93" s="14" t="n"/>
      <c r="G93" s="14" t="n"/>
      <c r="H93" s="14" t="n"/>
      <c r="I93" s="14" t="n"/>
      <c r="J93" s="14" t="n"/>
      <c r="K93" s="14" t="n"/>
      <c r="L93" s="14" t="n"/>
      <c r="M93" s="14" t="n"/>
      <c r="N93" s="14" t="n"/>
      <c r="O93" s="31">
        <f>IFERROR(IF(M93="","",IF(N93="",TODAY()-M93,N93-M93)),"")</f>
        <v/>
      </c>
      <c r="P93" s="31">
        <f>IFERROR(IF(OR(M93="",R93="Closed"),"",IF(TODAY()&gt;M93,"Yes","No")),"")</f>
        <v/>
      </c>
      <c r="Q93" s="14" t="n"/>
      <c r="R93" s="14" t="n"/>
    </row>
    <row r="94">
      <c r="A94" s="14" t="n"/>
      <c r="B94" s="14" t="n"/>
      <c r="C94" s="14" t="n"/>
      <c r="D94" s="14" t="n"/>
      <c r="E94" s="14" t="n"/>
      <c r="F94" s="14" t="n"/>
      <c r="G94" s="14" t="n"/>
      <c r="H94" s="14" t="n"/>
      <c r="I94" s="14" t="n"/>
      <c r="J94" s="14" t="n"/>
      <c r="K94" s="14" t="n"/>
      <c r="L94" s="14" t="n"/>
      <c r="M94" s="14" t="n"/>
      <c r="N94" s="14" t="n"/>
      <c r="O94" s="31">
        <f>IFERROR(IF(M94="","",IF(N94="",TODAY()-M94,N94-M94)),"")</f>
        <v/>
      </c>
      <c r="P94" s="31">
        <f>IFERROR(IF(OR(M94="",R94="Closed"),"",IF(TODAY()&gt;M94,"Yes","No")),"")</f>
        <v/>
      </c>
      <c r="Q94" s="14" t="n"/>
      <c r="R94" s="14" t="n"/>
    </row>
    <row r="95">
      <c r="A95" s="14" t="n"/>
      <c r="B95" s="14" t="n"/>
      <c r="C95" s="14" t="n"/>
      <c r="D95" s="14" t="n"/>
      <c r="E95" s="14" t="n"/>
      <c r="F95" s="14" t="n"/>
      <c r="G95" s="14" t="n"/>
      <c r="H95" s="14" t="n"/>
      <c r="I95" s="14" t="n"/>
      <c r="J95" s="14" t="n"/>
      <c r="K95" s="14" t="n"/>
      <c r="L95" s="14" t="n"/>
      <c r="M95" s="14" t="n"/>
      <c r="N95" s="14" t="n"/>
      <c r="O95" s="31">
        <f>IFERROR(IF(M95="","",IF(N95="",TODAY()-M95,N95-M95)),"")</f>
        <v/>
      </c>
      <c r="P95" s="31">
        <f>IFERROR(IF(OR(M95="",R95="Closed"),"",IF(TODAY()&gt;M95,"Yes","No")),"")</f>
        <v/>
      </c>
      <c r="Q95" s="14" t="n"/>
      <c r="R95" s="14" t="n"/>
    </row>
    <row r="96">
      <c r="A96" s="14" t="n"/>
      <c r="B96" s="14" t="n"/>
      <c r="C96" s="14" t="n"/>
      <c r="D96" s="14" t="n"/>
      <c r="E96" s="14" t="n"/>
      <c r="F96" s="14" t="n"/>
      <c r="G96" s="14" t="n"/>
      <c r="H96" s="14" t="n"/>
      <c r="I96" s="14" t="n"/>
      <c r="J96" s="14" t="n"/>
      <c r="K96" s="14" t="n"/>
      <c r="L96" s="14" t="n"/>
      <c r="M96" s="14" t="n"/>
      <c r="N96" s="14" t="n"/>
      <c r="O96" s="31">
        <f>IFERROR(IF(M96="","",IF(N96="",TODAY()-M96,N96-M96)),"")</f>
        <v/>
      </c>
      <c r="P96" s="31">
        <f>IFERROR(IF(OR(M96="",R96="Closed"),"",IF(TODAY()&gt;M96,"Yes","No")),"")</f>
        <v/>
      </c>
      <c r="Q96" s="14" t="n"/>
      <c r="R96" s="14" t="n"/>
    </row>
    <row r="97">
      <c r="A97" s="14" t="n"/>
      <c r="B97" s="14" t="n"/>
      <c r="C97" s="14" t="n"/>
      <c r="D97" s="14" t="n"/>
      <c r="E97" s="14" t="n"/>
      <c r="F97" s="14" t="n"/>
      <c r="G97" s="14" t="n"/>
      <c r="H97" s="14" t="n"/>
      <c r="I97" s="14" t="n"/>
      <c r="J97" s="14" t="n"/>
      <c r="K97" s="14" t="n"/>
      <c r="L97" s="14" t="n"/>
      <c r="M97" s="14" t="n"/>
      <c r="N97" s="14" t="n"/>
      <c r="O97" s="31">
        <f>IFERROR(IF(M97="","",IF(N97="",TODAY()-M97,N97-M97)),"")</f>
        <v/>
      </c>
      <c r="P97" s="31">
        <f>IFERROR(IF(OR(M97="",R97="Closed"),"",IF(TODAY()&gt;M97,"Yes","No")),"")</f>
        <v/>
      </c>
      <c r="Q97" s="14" t="n"/>
      <c r="R97" s="14" t="n"/>
    </row>
    <row r="98">
      <c r="A98" s="14" t="n"/>
      <c r="B98" s="14" t="n"/>
      <c r="C98" s="14" t="n"/>
      <c r="D98" s="14" t="n"/>
      <c r="E98" s="14" t="n"/>
      <c r="F98" s="14" t="n"/>
      <c r="G98" s="14" t="n"/>
      <c r="H98" s="14" t="n"/>
      <c r="I98" s="14" t="n"/>
      <c r="J98" s="14" t="n"/>
      <c r="K98" s="14" t="n"/>
      <c r="L98" s="14" t="n"/>
      <c r="M98" s="14" t="n"/>
      <c r="N98" s="14" t="n"/>
      <c r="O98" s="31">
        <f>IFERROR(IF(M98="","",IF(N98="",TODAY()-M98,N98-M98)),"")</f>
        <v/>
      </c>
      <c r="P98" s="31">
        <f>IFERROR(IF(OR(M98="",R98="Closed"),"",IF(TODAY()&gt;M98,"Yes","No")),"")</f>
        <v/>
      </c>
      <c r="Q98" s="14" t="n"/>
      <c r="R98" s="14" t="n"/>
    </row>
    <row r="99">
      <c r="A99" s="14" t="n"/>
      <c r="B99" s="14" t="n"/>
      <c r="C99" s="14" t="n"/>
      <c r="D99" s="14" t="n"/>
      <c r="E99" s="14" t="n"/>
      <c r="F99" s="14" t="n"/>
      <c r="G99" s="14" t="n"/>
      <c r="H99" s="14" t="n"/>
      <c r="I99" s="14" t="n"/>
      <c r="J99" s="14" t="n"/>
      <c r="K99" s="14" t="n"/>
      <c r="L99" s="14" t="n"/>
      <c r="M99" s="14" t="n"/>
      <c r="N99" s="14" t="n"/>
      <c r="O99" s="31">
        <f>IFERROR(IF(M99="","",IF(N99="",TODAY()-M99,N99-M99)),"")</f>
        <v/>
      </c>
      <c r="P99" s="31">
        <f>IFERROR(IF(OR(M99="",R99="Closed"),"",IF(TODAY()&gt;M99,"Yes","No")),"")</f>
        <v/>
      </c>
      <c r="Q99" s="14" t="n"/>
      <c r="R99" s="14" t="n"/>
    </row>
    <row r="100">
      <c r="A100" s="14" t="n"/>
      <c r="B100" s="14" t="n"/>
      <c r="C100" s="14" t="n"/>
      <c r="D100" s="14" t="n"/>
      <c r="E100" s="14" t="n"/>
      <c r="F100" s="14" t="n"/>
      <c r="G100" s="14" t="n"/>
      <c r="H100" s="14" t="n"/>
      <c r="I100" s="14" t="n"/>
      <c r="J100" s="14" t="n"/>
      <c r="K100" s="14" t="n"/>
      <c r="L100" s="14" t="n"/>
      <c r="M100" s="14" t="n"/>
      <c r="N100" s="14" t="n"/>
      <c r="O100" s="31">
        <f>IFERROR(IF(M100="","",IF(N100="",TODAY()-M100,N100-M100)),"")</f>
        <v/>
      </c>
      <c r="P100" s="31">
        <f>IFERROR(IF(OR(M100="",R100="Closed"),"",IF(TODAY()&gt;M100,"Yes","No")),"")</f>
        <v/>
      </c>
      <c r="Q100" s="14" t="n"/>
      <c r="R100" s="14" t="n"/>
    </row>
    <row r="101">
      <c r="A101" s="14" t="n"/>
      <c r="B101" s="14" t="n"/>
      <c r="C101" s="14" t="n"/>
      <c r="D101" s="14" t="n"/>
      <c r="E101" s="14" t="n"/>
      <c r="F101" s="14" t="n"/>
      <c r="G101" s="14" t="n"/>
      <c r="H101" s="14" t="n"/>
      <c r="I101" s="14" t="n"/>
      <c r="J101" s="14" t="n"/>
      <c r="K101" s="14" t="n"/>
      <c r="L101" s="14" t="n"/>
      <c r="M101" s="14" t="n"/>
      <c r="N101" s="14" t="n"/>
      <c r="O101" s="31">
        <f>IFERROR(IF(M101="","",IF(N101="",TODAY()-M101,N101-M101)),"")</f>
        <v/>
      </c>
      <c r="P101" s="31">
        <f>IFERROR(IF(OR(M101="",R101="Closed"),"",IF(TODAY()&gt;M101,"Yes","No")),"")</f>
        <v/>
      </c>
      <c r="Q101" s="14" t="n"/>
      <c r="R101" s="14" t="n"/>
    </row>
    <row r="102">
      <c r="A102" s="14" t="n"/>
      <c r="B102" s="14" t="n"/>
      <c r="C102" s="14" t="n"/>
      <c r="D102" s="14" t="n"/>
      <c r="E102" s="14" t="n"/>
      <c r="F102" s="14" t="n"/>
      <c r="G102" s="14" t="n"/>
      <c r="H102" s="14" t="n"/>
      <c r="I102" s="14" t="n"/>
      <c r="J102" s="14" t="n"/>
      <c r="K102" s="14" t="n"/>
      <c r="L102" s="14" t="n"/>
      <c r="M102" s="14" t="n"/>
      <c r="N102" s="14" t="n"/>
      <c r="O102" s="31">
        <f>IFERROR(IF(M102="","",IF(N102="",TODAY()-M102,N102-M102)),"")</f>
        <v/>
      </c>
      <c r="P102" s="31">
        <f>IFERROR(IF(OR(M102="",R102="Closed"),"",IF(TODAY()&gt;M102,"Yes","No")),"")</f>
        <v/>
      </c>
      <c r="Q102" s="14" t="n"/>
      <c r="R102" s="14" t="n"/>
    </row>
    <row r="103">
      <c r="A103" s="14" t="n"/>
      <c r="B103" s="14" t="n"/>
      <c r="C103" s="14" t="n"/>
      <c r="D103" s="14" t="n"/>
      <c r="E103" s="14" t="n"/>
      <c r="F103" s="14" t="n"/>
      <c r="G103" s="14" t="n"/>
      <c r="H103" s="14" t="n"/>
      <c r="I103" s="14" t="n"/>
      <c r="J103" s="14" t="n"/>
      <c r="K103" s="14" t="n"/>
      <c r="L103" s="14" t="n"/>
      <c r="M103" s="14" t="n"/>
      <c r="N103" s="14" t="n"/>
      <c r="O103" s="31">
        <f>IFERROR(IF(M103="","",IF(N103="",TODAY()-M103,N103-M103)),"")</f>
        <v/>
      </c>
      <c r="P103" s="31">
        <f>IFERROR(IF(OR(M103="",R103="Closed"),"",IF(TODAY()&gt;M103,"Yes","No")),"")</f>
        <v/>
      </c>
      <c r="Q103" s="14" t="n"/>
      <c r="R103" s="14" t="n"/>
    </row>
    <row r="104">
      <c r="A104" s="14" t="n"/>
      <c r="B104" s="14" t="n"/>
      <c r="C104" s="14" t="n"/>
      <c r="D104" s="14" t="n"/>
      <c r="E104" s="14" t="n"/>
      <c r="F104" s="14" t="n"/>
      <c r="G104" s="14" t="n"/>
      <c r="H104" s="14" t="n"/>
      <c r="I104" s="14" t="n"/>
      <c r="J104" s="14" t="n"/>
      <c r="K104" s="14" t="n"/>
      <c r="L104" s="14" t="n"/>
      <c r="M104" s="14" t="n"/>
      <c r="N104" s="14" t="n"/>
      <c r="O104" s="31">
        <f>IFERROR(IF(M104="","",IF(N104="",TODAY()-M104,N104-M104)),"")</f>
        <v/>
      </c>
      <c r="P104" s="31">
        <f>IFERROR(IF(OR(M104="",R104="Closed"),"",IF(TODAY()&gt;M104,"Yes","No")),"")</f>
        <v/>
      </c>
      <c r="Q104" s="14" t="n"/>
      <c r="R104" s="14" t="n"/>
    </row>
    <row r="105">
      <c r="A105" s="14" t="n"/>
      <c r="B105" s="14" t="n"/>
      <c r="C105" s="14" t="n"/>
      <c r="D105" s="14" t="n"/>
      <c r="E105" s="14" t="n"/>
      <c r="F105" s="14" t="n"/>
      <c r="G105" s="14" t="n"/>
      <c r="H105" s="14" t="n"/>
      <c r="I105" s="14" t="n"/>
      <c r="J105" s="14" t="n"/>
      <c r="K105" s="14" t="n"/>
      <c r="L105" s="14" t="n"/>
      <c r="M105" s="14" t="n"/>
      <c r="N105" s="14" t="n"/>
      <c r="O105" s="31">
        <f>IFERROR(IF(M105="","",IF(N105="",TODAY()-M105,N105-M105)),"")</f>
        <v/>
      </c>
      <c r="P105" s="31">
        <f>IFERROR(IF(OR(M105="",R105="Closed"),"",IF(TODAY()&gt;M105,"Yes","No")),"")</f>
        <v/>
      </c>
      <c r="Q105" s="14" t="n"/>
      <c r="R105" s="14" t="n"/>
    </row>
  </sheetData>
  <autoFilter ref="A5:R105"/>
  <dataValidations count="3">
    <dataValidation sqref="R6:R105" showDropDown="0" showInputMessage="0" showErrorMessage="0" allowBlank="1" type="list">
      <formula1>"Open,Under Rectification,Verification Pending,Closed,Disputed"</formula1>
    </dataValidation>
    <dataValidation sqref="H6:H105" showDropDown="0" showInputMessage="0" showErrorMessage="0" allowBlank="1" type="list">
      <formula1>"Critical,Major,Minor,Observation"</formula1>
    </dataValidation>
    <dataValidation sqref="C6:C105" showDropDown="0" showInputMessage="0" showErrorMessage="0" allowBlank="1" type="list">
      <formula1>"Site walk,Folder sample,Interview,Desk review"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2026-07-28T10:52:38Z</dcterms:created>
  <dcterms:modified xmlns:dcterms="http://purl.org/dc/terms/" xmlns:xsi="http://www.w3.org/2001/XMLSchema-instance" xsi:type="dcterms:W3CDTF">2026-07-28T10:52:38Z</dcterms:modified>
</cp:coreProperties>
</file>