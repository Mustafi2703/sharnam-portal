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KPI_DASHBOARD" sheetId="1" state="visible" r:id="rId3"/>
    <sheet name="01_ISO_FOLDER_MAP" sheetId="2" state="visible" r:id="rId4"/>
    <sheet name="02_ISO_AREA_ROLLUP" sheetId="3" state="visible" r:id="rId5"/>
    <sheet name="06_ROLE_KRA" sheetId="4" state="visible" r:id="rId6"/>
    <sheet name="03_SUBJECT_DATA" sheetId="5" state="visible" r:id="rId7"/>
    <sheet name="04_TREND" sheetId="6" state="visible" r:id="rId8"/>
    <sheet name="05_HOW_TO_REFRESH" sheetId="7" state="visible" r:id="rId9"/>
  </sheets>
  <definedNames>
    <definedName function="false" hidden="true" localSheetId="1" name="_xlnm._FilterDatabase" vbProcedure="false">01_ISO_FOLDER_MAP!$A$4:$F$104</definedName>
    <definedName function="false" hidden="true" localSheetId="4" name="_xlnm._FilterDatabase" vbProcedure="false">03_SUBJECT_DATA!$A$5:$Q$132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<sst xmlns="http://schemas.openxmlformats.org/spreadsheetml/2006/main" count="1966" uniqueCount="796">
  <si>
    <t xml:space="preserve">PROJECT KPI DASHBOARD</t>
  </si>
  <si>
    <t xml:space="preserve">SHARANAM PROJECT DEVELOPMENT CONSULTANTS &amp; CO.    |    Consolidated from 127 subject workbooks across 10 ISO areas</t>
  </si>
  <si>
    <t xml:space="preserve">Project: ______________________      Refreshed: see 03_SUBJECT_DATA cell D3      Run the refresh every Friday.</t>
  </si>
  <si>
    <t xml:space="preserve">SUBJECTS</t>
  </si>
  <si>
    <t xml:space="preserve">RECORDS</t>
  </si>
  <si>
    <t xml:space="preserve">OPEN</t>
  </si>
  <si>
    <t xml:space="preserve">CLOSED</t>
  </si>
  <si>
    <t xml:space="preserve">% CLOSED</t>
  </si>
  <si>
    <t xml:space="preserve">AVG KRA SCORE</t>
  </si>
  <si>
    <t xml:space="preserve">OVERDUE ITEMS</t>
  </si>
  <si>
    <t xml:space="preserve">SUBJECTS RED</t>
  </si>
  <si>
    <t xml:space="preserve">SUBJECTS AMBER</t>
  </si>
  <si>
    <t xml:space="preserve">SUBJECTS GREEN</t>
  </si>
  <si>
    <t xml:space="preserve">IN USE</t>
  </si>
  <si>
    <t xml:space="preserve">NOT YET USED</t>
  </si>
  <si>
    <t xml:space="preserve">PERFORMANCE BY ISO AREA</t>
  </si>
  <si>
    <t xml:space="preserve">ISO area</t>
  </si>
  <si>
    <t xml:space="preserve">Folders</t>
  </si>
  <si>
    <t xml:space="preserve">Subjects</t>
  </si>
  <si>
    <t xml:space="preserve">Records</t>
  </si>
  <si>
    <t xml:space="preserve">Open</t>
  </si>
  <si>
    <t xml:space="preserve">Overdue</t>
  </si>
  <si>
    <t xml:space="preserve">% Closed</t>
  </si>
  <si>
    <t xml:space="preserve">KRA</t>
  </si>
  <si>
    <t xml:space="preserve">RAG</t>
  </si>
  <si>
    <t xml:space="preserve">DOCUMENT CONTROL HEALTH — issued with the weekly report</t>
  </si>
  <si>
    <t xml:space="preserve">Indicator</t>
  </si>
  <si>
    <t xml:space="preserve">Value</t>
  </si>
  <si>
    <t xml:space="preserve">Target</t>
  </si>
  <si>
    <t xml:space="preserve">Source</t>
  </si>
  <si>
    <t xml:space="preserve">Subjects with any overdue item</t>
  </si>
  <si>
    <t xml:space="preserve">0</t>
  </si>
  <si>
    <t xml:space="preserve">All subjects</t>
  </si>
  <si>
    <t xml:space="preserve">Total overdue items on the project</t>
  </si>
  <si>
    <t xml:space="preserve">Oldest open item (days)</t>
  </si>
  <si>
    <t xml:space="preserve">&lt;= 14</t>
  </si>
  <si>
    <t xml:space="preserve">Overall closure rate</t>
  </si>
  <si>
    <t xml:space="preserve">&gt;= 90%</t>
  </si>
  <si>
    <t xml:space="preserve">Average KRA score</t>
  </si>
  <si>
    <t xml:space="preserve">KRA_KPI tabs</t>
  </si>
  <si>
    <t xml:space="preserve">Subjects red-rated</t>
  </si>
  <si>
    <t xml:space="preserve">SITE subjects with overdue</t>
  </si>
  <si>
    <t xml:space="preserve">Site custodian</t>
  </si>
  <si>
    <t xml:space="preserve">HO subjects with overdue</t>
  </si>
  <si>
    <t xml:space="preserve">Head office</t>
  </si>
  <si>
    <t xml:space="preserve">Subjects never used</t>
  </si>
  <si>
    <t xml:space="preserve">Falling</t>
  </si>
  <si>
    <t xml:space="preserve">Adoption measure</t>
  </si>
  <si>
    <t xml:space="preserve">Everything here is calculated. To update, run the refresh (see 05_HOW_TO_REFRESH) or type the seven figures per subject into 03_SUBJECT_DATA.</t>
  </si>
  <si>
    <t xml:space="preserve">ISO FOLDER MAP</t>
  </si>
  <si>
    <t xml:space="preserve">10 ISO areas · 100 folders · 127 subject workbooks</t>
  </si>
  <si>
    <t xml:space="preserve">ISO reference</t>
  </si>
  <si>
    <t xml:space="preserve">Folder</t>
  </si>
  <si>
    <t xml:space="preserve">ISO clause</t>
  </si>
  <si>
    <t xml:space="preserve">Custodian</t>
  </si>
  <si>
    <t xml:space="preserve">Subjects in this folder</t>
  </si>
  <si>
    <t xml:space="preserve">01_CONTEXT_AND_GOVERNANCE</t>
  </si>
  <si>
    <t xml:space="preserve">ISO 9001:2015 cl.4-5 | ISO 21502:2020 cl.4.3, 6</t>
  </si>
  <si>
    <t xml:space="preserve">01.01_Project_Charter_and_Context</t>
  </si>
  <si>
    <t xml:space="preserve">9001 cl.4.1, 4.3</t>
  </si>
  <si>
    <t xml:space="preserve">HO</t>
  </si>
  <si>
    <t xml:space="preserve">Project Directory and Contact Matrix · Project Plans and Controlled Procedures</t>
  </si>
  <si>
    <t xml:space="preserve">01.02_Stakeholders_and_Communication</t>
  </si>
  <si>
    <t xml:space="preserve">9001 cl.4.2 | 21502 cl.7.13</t>
  </si>
  <si>
    <t xml:space="preserve">BOTH</t>
  </si>
  <si>
    <t xml:space="preserve">Stakeholder Register and Communication Plan</t>
  </si>
  <si>
    <t xml:space="preserve">01.03_Organisation_and_Authority</t>
  </si>
  <si>
    <t xml:space="preserve">9001 cl.5.3 | 21502 cl.6.3</t>
  </si>
  <si>
    <t xml:space="preserve">Authority and Delegation Matrix · Project Organisation and Role Definition</t>
  </si>
  <si>
    <t xml:space="preserve">01.04_Stage_Gates_and_Assurance</t>
  </si>
  <si>
    <t xml:space="preserve">9001 cl.9.2 | 21502 cl.6.6</t>
  </si>
  <si>
    <t xml:space="preserve">Audits, Inspections and Corrective Action · Stage Gate Reviews</t>
  </si>
  <si>
    <t xml:space="preserve">01.05_Agreements_Bonds_and_Insurance</t>
  </si>
  <si>
    <t xml:space="preserve">9001 cl.8.4.3</t>
  </si>
  <si>
    <t xml:space="preserve">Agreements, Contracts and Executed Documents · Insurance Policies, Bonds and Guarantees</t>
  </si>
  <si>
    <t xml:space="preserve">02_PLANNING</t>
  </si>
  <si>
    <t xml:space="preserve">ISO 9001:2015 cl.6 | ISO 21502:2020 cl.7.2-7.6</t>
  </si>
  <si>
    <t xml:space="preserve">02.01_Scope_and_Work_Breakdown</t>
  </si>
  <si>
    <t xml:space="preserve">21502 cl.7.3</t>
  </si>
  <si>
    <t xml:space="preserve">Design Brief and Requirements Management · Work Breakdown Structure and Coding</t>
  </si>
  <si>
    <t xml:space="preserve">02.02_Project_Programme_Schedule_Control</t>
  </si>
  <si>
    <t xml:space="preserve">21502 cl.7.5</t>
  </si>
  <si>
    <t xml:space="preserve">Project Programme and Schedule Control</t>
  </si>
  <si>
    <t xml:space="preserve">02.03_Milestone_Register_Payment_Linkage</t>
  </si>
  <si>
    <t xml:space="preserve">Milestone Register and Payment Linkage</t>
  </si>
  <si>
    <t xml:space="preserve">02.04_LookAhead_Planning_Constraint_Management</t>
  </si>
  <si>
    <t xml:space="preserve">Look-Ahead Planning and Constraint Management</t>
  </si>
  <si>
    <t xml:space="preserve">02.05_Cost_Estimates_Budget_Development</t>
  </si>
  <si>
    <t xml:space="preserve">21502 cl.7.6</t>
  </si>
  <si>
    <t xml:space="preserve">Cost Estimates and Budget Development</t>
  </si>
  <si>
    <t xml:space="preserve">02.06_Cost_Baseline_Cost_Breakdown_Structure</t>
  </si>
  <si>
    <t xml:space="preserve">Cost Baseline and Cost Breakdown Structure</t>
  </si>
  <si>
    <t xml:space="preserve">02.07_Cash_Flow_Forecast_Monitoring</t>
  </si>
  <si>
    <t xml:space="preserve">Cash Flow Forecast and Monitoring</t>
  </si>
  <si>
    <t xml:space="preserve">02.08_Risk_and_Issue_Management</t>
  </si>
  <si>
    <t xml:space="preserve">9001 cl.6.1 | 21502 cl.7.8, 7.9</t>
  </si>
  <si>
    <t xml:space="preserve">Issue Log and Escalation · Risk and Opportunity Management</t>
  </si>
  <si>
    <t xml:space="preserve">02.09_Studies_Investigations_Technical_Reports</t>
  </si>
  <si>
    <t xml:space="preserve">21502 cl.4.4</t>
  </si>
  <si>
    <t xml:space="preserve">Studies, Investigations and Technical Reports</t>
  </si>
  <si>
    <t xml:space="preserve">02.10_Topographical_SettingOut_Survey</t>
  </si>
  <si>
    <t xml:space="preserve">Topographical and Setting-Out Survey</t>
  </si>
  <si>
    <t xml:space="preserve">02.11_Geotechnical_Investigation</t>
  </si>
  <si>
    <t xml:space="preserve">Geotechnical Investigation</t>
  </si>
  <si>
    <t xml:space="preserve">03_SUPPORT_AND_RESOURCES</t>
  </si>
  <si>
    <t xml:space="preserve">ISO 9001:2015 cl.7</t>
  </si>
  <si>
    <t xml:space="preserve">03.01_Competence_and_Training</t>
  </si>
  <si>
    <t xml:space="preserve">9001 cl.7.2</t>
  </si>
  <si>
    <t xml:space="preserve">SITE</t>
  </si>
  <si>
    <t xml:space="preserve">Induction, Training and Competency</t>
  </si>
  <si>
    <t xml:space="preserve">03.02_Resources_and_Productivity</t>
  </si>
  <si>
    <t xml:space="preserve">9001 cl.7.1 | 21502 cl.7.4</t>
  </si>
  <si>
    <t xml:space="preserve">Resource Deployment and Productivity</t>
  </si>
  <si>
    <t xml:space="preserve">03.03_Master_Register_Index_Update_Control</t>
  </si>
  <si>
    <t xml:space="preserve">9001 cl.7.5 | ISO 30301</t>
  </si>
  <si>
    <t xml:space="preserve">Master Register Index and Update Control</t>
  </si>
  <si>
    <t xml:space="preserve">03.04_Controlled_Templates_Forms</t>
  </si>
  <si>
    <t xml:space="preserve">Controlled Templates and Forms</t>
  </si>
  <si>
    <t xml:space="preserve">03.05_Superseded_Document_Control</t>
  </si>
  <si>
    <t xml:space="preserve">Superseded Document Control</t>
  </si>
  <si>
    <t xml:space="preserve">03.06_Correspondence_Control</t>
  </si>
  <si>
    <t xml:space="preserve">9001 cl.7.4 | 21502 cl.7.13</t>
  </si>
  <si>
    <t xml:space="preserve">Correspondence Control</t>
  </si>
  <si>
    <t xml:space="preserve">03.07_Transmittal_Control</t>
  </si>
  <si>
    <t xml:space="preserve">Transmittal Control</t>
  </si>
  <si>
    <t xml:space="preserve">03.08_Meetings_Minutes_Action_Tracking</t>
  </si>
  <si>
    <t xml:space="preserve">Meetings, Minutes and Action Tracking</t>
  </si>
  <si>
    <t xml:space="preserve">03.09_Monitoring_and_Measuring_Equipment</t>
  </si>
  <si>
    <t xml:space="preserve">9001 cl.7.1.5</t>
  </si>
  <si>
    <t xml:space="preserve">Instrument Calibration Control</t>
  </si>
  <si>
    <t xml:space="preserve">04_DESIGN_AND_INFORMATION_MANAGEMENT</t>
  </si>
  <si>
    <t xml:space="preserve">ISO 9001:2015 cl.8.3 | ISO 19650-1/2</t>
  </si>
  <si>
    <t xml:space="preserve">04.01_Design_Programme_and_Deliverables</t>
  </si>
  <si>
    <t xml:space="preserve">9001 cl.8.3.2</t>
  </si>
  <si>
    <t xml:space="preserve">Design Programme and Deliverable Tracking</t>
  </si>
  <si>
    <t xml:space="preserve">04.02_Drawings_and_Specifications</t>
  </si>
  <si>
    <t xml:space="preserve">9001 cl.8.3.5 | 19650-2 cl.5.6</t>
  </si>
  <si>
    <t xml:space="preserve">Drawing Control and Issue · Specifications and Technical Datasheets</t>
  </si>
  <si>
    <t xml:space="preserve">04.03_Design_Review_and_Verification</t>
  </si>
  <si>
    <t xml:space="preserve">9001 cl.8.3.4</t>
  </si>
  <si>
    <t xml:space="preserve">Statutory and Code Compliance Verification · Design Review and Comment Control</t>
  </si>
  <si>
    <t xml:space="preserve">04.04_Clash_Detection_Design_Coordination</t>
  </si>
  <si>
    <t xml:space="preserve">19650-2 cl.5.4-5.7</t>
  </si>
  <si>
    <t xml:space="preserve">Clash Detection and Design Coordination</t>
  </si>
  <si>
    <t xml:space="preserve">04.05_BIM_Model_Management_CDE</t>
  </si>
  <si>
    <t xml:space="preserve">BIM Model Management and the CDE</t>
  </si>
  <si>
    <t xml:space="preserve">04.06_Asset_Register_Structured_Asset_Data</t>
  </si>
  <si>
    <t xml:space="preserve">Asset Register and Structured Asset Data</t>
  </si>
  <si>
    <t xml:space="preserve">04.07_Design_Change_and_Value_Engineering</t>
  </si>
  <si>
    <t xml:space="preserve">9001 cl.8.3.6</t>
  </si>
  <si>
    <t xml:space="preserve">Design Change Notes · Value Engineering</t>
  </si>
  <si>
    <t xml:space="preserve">04.08_Shop_Drawings_and_Material_Submittals</t>
  </si>
  <si>
    <t xml:space="preserve">9001 cl.8.5.1</t>
  </si>
  <si>
    <t xml:space="preserve">Material and Vendor Approval · Shop Drawing Review and Approval</t>
  </si>
  <si>
    <t xml:space="preserve">05_PROCUREMENT_AND_CONTRACTS</t>
  </si>
  <si>
    <t xml:space="preserve">ISO 9001:2015 cl.8.4 | ISO 21502:2020 cl.7.18</t>
  </si>
  <si>
    <t xml:space="preserve">05.01_Procurement_Strategy_and_Packages</t>
  </si>
  <si>
    <t xml:space="preserve">21502 cl.7.18.2</t>
  </si>
  <si>
    <t xml:space="preserve">Procurement Strategy and Package Planning</t>
  </si>
  <si>
    <t xml:space="preserve">05.02_Prequalification_Vendor_Database</t>
  </si>
  <si>
    <t xml:space="preserve">9001 cl.8.4.1</t>
  </si>
  <si>
    <t xml:space="preserve">Prequalification and Vendor Database</t>
  </si>
  <si>
    <t xml:space="preserve">05.03_Tender_Documents_Issue</t>
  </si>
  <si>
    <t xml:space="preserve">Tender Documents and Issue</t>
  </si>
  <si>
    <t xml:space="preserve">05.04_PreBid_Queries_Addenda</t>
  </si>
  <si>
    <t xml:space="preserve">Pre-Bid Queries and Addenda</t>
  </si>
  <si>
    <t xml:space="preserve">05.05_Bid_Receipt_Opening</t>
  </si>
  <si>
    <t xml:space="preserve">9001 cl.8.4.2 | 21502 cl.7.18.3</t>
  </si>
  <si>
    <t xml:space="preserve">Bid Receipt and Opening</t>
  </si>
  <si>
    <t xml:space="preserve">05.06_Bid_Evaluation_Recommendation</t>
  </si>
  <si>
    <t xml:space="preserve">Bid Evaluation and Recommendation</t>
  </si>
  <si>
    <t xml:space="preserve">05.07_Negotiation_Records</t>
  </si>
  <si>
    <t xml:space="preserve">Negotiation Records</t>
  </si>
  <si>
    <t xml:space="preserve">05.08_Award_Recommendation_Letter_Intent</t>
  </si>
  <si>
    <t xml:space="preserve">Award Recommendation and Letter of Intent</t>
  </si>
  <si>
    <t xml:space="preserve">05.09_Contract_Administration_and_Supplier_Performance</t>
  </si>
  <si>
    <t xml:space="preserve">9001 cl.8.4.2</t>
  </si>
  <si>
    <t xml:space="preserve">Contract Administration and Notices · Vendor Performance Assessment</t>
  </si>
  <si>
    <t xml:space="preserve">05.10_Customer_Supplied_Property</t>
  </si>
  <si>
    <t xml:space="preserve">9001 cl.8.5.3</t>
  </si>
  <si>
    <t xml:space="preserve">Client Direct Purchase and FFE</t>
  </si>
  <si>
    <t xml:space="preserve">05.11_Vendor_Works_Inspection_and_Long_Lead</t>
  </si>
  <si>
    <t xml:space="preserve">9001 cl.8.4.2 / 8.4.3</t>
  </si>
  <si>
    <t xml:space="preserve">Long-Lead Equipment and Import Tracking · Vendor Works Inspection and Pre-Dispatch Inspection</t>
  </si>
  <si>
    <t xml:space="preserve">06_STATUTORY_AND_LAND</t>
  </si>
  <si>
    <t xml:space="preserve">ISO 9001:2015 cl.8.2 | statutory and regulatory requirements</t>
  </si>
  <si>
    <t xml:space="preserve">06.01_Land_Title_and_Revenue_Records</t>
  </si>
  <si>
    <t xml:space="preserve">9001 cl.8.2.2</t>
  </si>
  <si>
    <t xml:space="preserve">Land Title and Revenue Records</t>
  </si>
  <si>
    <t xml:space="preserve">06.02_Statutory_Approvals_and_Permits</t>
  </si>
  <si>
    <t xml:space="preserve">9001 cl.8.2.3</t>
  </si>
  <si>
    <t xml:space="preserve">Statutory Approvals and Permits</t>
  </si>
  <si>
    <t xml:space="preserve">06.03_Labour_and_Statutory_Compliance</t>
  </si>
  <si>
    <t xml:space="preserve">45001 cl.6.1.3</t>
  </si>
  <si>
    <t xml:space="preserve">Labour Welfare and Statutory Compliance</t>
  </si>
  <si>
    <t xml:space="preserve">06.04_Industrial_Statutory_Approvals</t>
  </si>
  <si>
    <t xml:space="preserve">9001 cl.8.2.2 / Factories Act</t>
  </si>
  <si>
    <t xml:space="preserve">Industrial Statutory Approvals and Licences</t>
  </si>
  <si>
    <t xml:space="preserve">07_EXECUTION_AND_DELIVERY</t>
  </si>
  <si>
    <t xml:space="preserve">ISO 9001:2015 cl.8.5 | ISO 21502:2020 cl.7.7</t>
  </si>
  <si>
    <t xml:space="preserve">07.01_Mobilisation_and_Site_Logistics</t>
  </si>
  <si>
    <t xml:space="preserve">Site Logistics and Traffic Management · Site Mobilisation and Establishment</t>
  </si>
  <si>
    <t xml:space="preserve">07.02_Daily_Site_Records</t>
  </si>
  <si>
    <t xml:space="preserve">9001 cl.8.5.1 e)</t>
  </si>
  <si>
    <t xml:space="preserve">Daily Progress Report · Progress Photography and Visual Record</t>
  </si>
  <si>
    <t xml:space="preserve">07.03_Site_Instructions_Client_Instructions</t>
  </si>
  <si>
    <t xml:space="preserve">Site Instructions and Client Instructions</t>
  </si>
  <si>
    <t xml:space="preserve">07.04_Interface_Management_Between_Packages</t>
  </si>
  <si>
    <t xml:space="preserve">Interface Management Between Packages</t>
  </si>
  <si>
    <t xml:space="preserve">07.05_Work_Front_Release_Between_Trades</t>
  </si>
  <si>
    <t xml:space="preserve">Work Front Release Between Trades</t>
  </si>
  <si>
    <t xml:space="preserve">07.06_Method_Statements_and_Temporary_Works</t>
  </si>
  <si>
    <t xml:space="preserve">9001 cl.8.5.1 | 45001 cl.8.1.2</t>
  </si>
  <si>
    <t xml:space="preserve">Method Statement Review and Approval · Temporary Works Design and Control</t>
  </si>
  <si>
    <t xml:space="preserve">07.07_Material_Receipt_and_Traceability</t>
  </si>
  <si>
    <t xml:space="preserve">9001 cl.8.5.2</t>
  </si>
  <si>
    <t xml:space="preserve">Material Receipt, Inspection and Inventory</t>
  </si>
  <si>
    <t xml:space="preserve">07.08_Progress_Measurement_SCurve</t>
  </si>
  <si>
    <t xml:space="preserve">21502 cl.7.5.4</t>
  </si>
  <si>
    <t xml:space="preserve">Progress Measurement and S-Curve</t>
  </si>
  <si>
    <t xml:space="preserve">07.09_Delay_Analysis</t>
  </si>
  <si>
    <t xml:space="preserve">Delay Analysis</t>
  </si>
  <si>
    <t xml:space="preserve">07.10_Recovery_Acceleration_Planning</t>
  </si>
  <si>
    <t xml:space="preserve">Recovery and Acceleration Planning</t>
  </si>
  <si>
    <t xml:space="preserve">07.11_PEB_Structural_Steel_and_Surface_Protection</t>
  </si>
  <si>
    <t xml:space="preserve">9001 cl.8.5.1 / 8.5.2</t>
  </si>
  <si>
    <t xml:space="preserve">PEB and Structural Steel Fabrication and Erection · Surface Preparation, Painting and Insulation</t>
  </si>
  <si>
    <t xml:space="preserve">07.12_Mechanical_Erection_Piping_and_Equipment</t>
  </si>
  <si>
    <t xml:space="preserve">Equipment Erection, Alignment and Grouting · Piping Fabrication, Erection and Hydrotest</t>
  </si>
  <si>
    <t xml:space="preserve">08_QUALITY_HSE_AND_ENVIRONMENT</t>
  </si>
  <si>
    <t xml:space="preserve">ISO 9001:2015 cl.8.5-8.7 | ISO 45001 | ISO 14001</t>
  </si>
  <si>
    <t xml:space="preserve">08.01_Quality_Plans_and_Inspection_Test_Plans</t>
  </si>
  <si>
    <t xml:space="preserve">10005 | 9001 cl.8.1</t>
  </si>
  <si>
    <t xml:space="preserve">Inspection and Test Plans</t>
  </si>
  <si>
    <t xml:space="preserve">08.02_Inspection_Checklists_Pour_Cards</t>
  </si>
  <si>
    <t xml:space="preserve">9001 cl.8.6, 9.1.1</t>
  </si>
  <si>
    <t xml:space="preserve">Inspection Checklists and Pour Cards</t>
  </si>
  <si>
    <t xml:space="preserve">08.03_Testing_Test_Report_Control</t>
  </si>
  <si>
    <t xml:space="preserve">Testing and Test Report Control</t>
  </si>
  <si>
    <t xml:space="preserve">08.04_Third_Party_Inspection</t>
  </si>
  <si>
    <t xml:space="preserve">Third Party Inspection</t>
  </si>
  <si>
    <t xml:space="preserve">08.05_MockUps_Benchmark_Approvals</t>
  </si>
  <si>
    <t xml:space="preserve">Mock-Ups and Benchmark Approvals</t>
  </si>
  <si>
    <t xml:space="preserve">08.06_Control_of_Nonconforming_Output</t>
  </si>
  <si>
    <t xml:space="preserve">9001 cl.8.7, 10.2</t>
  </si>
  <si>
    <t xml:space="preserve">Non-Conformance Reporting</t>
  </si>
  <si>
    <t xml:space="preserve">08.07_Hazard_Identification_Risk_Assessment</t>
  </si>
  <si>
    <t xml:space="preserve">45001 cl.6.1.2, 8.1</t>
  </si>
  <si>
    <t xml:space="preserve">Hazard Identification and Risk Assessment</t>
  </si>
  <si>
    <t xml:space="preserve">08.08_Permit_Work</t>
  </si>
  <si>
    <t xml:space="preserve">Permit to Work</t>
  </si>
  <si>
    <t xml:space="preserve">08.09_Toolbox_Talks</t>
  </si>
  <si>
    <t xml:space="preserve">Toolbox Talks</t>
  </si>
  <si>
    <t xml:space="preserve">08.10_Incidents_and_Emergency_Preparedness</t>
  </si>
  <si>
    <t xml:space="preserve">45001 cl.8.2, 10.2</t>
  </si>
  <si>
    <t xml:space="preserve">Emergency Preparedness and Drills · Incident and Near Miss Reporting</t>
  </si>
  <si>
    <t xml:space="preserve">08.11_Environmental_and_Sustainability</t>
  </si>
  <si>
    <t xml:space="preserve">14001 cl.8.1, 9.1</t>
  </si>
  <si>
    <t xml:space="preserve">Environmental Monitoring and Waste Control · Green Building and Sustainability Documentation</t>
  </si>
  <si>
    <t xml:space="preserve">08.12_Welding_and_NDT_Control</t>
  </si>
  <si>
    <t xml:space="preserve">9001 cl.8.5.1 f) / 8.6</t>
  </si>
  <si>
    <t xml:space="preserve">Welding and NDT Control</t>
  </si>
  <si>
    <t xml:space="preserve">09_COMMERCIAL_AND_CHANGE</t>
  </si>
  <si>
    <t xml:space="preserve">ISO 21502:2020 cl.7.6, 7.10, 7.11</t>
  </si>
  <si>
    <t xml:space="preserve">09.01_Interim_Bill_Verification_Certification</t>
  </si>
  <si>
    <t xml:space="preserve">21502 cl.7.6.4</t>
  </si>
  <si>
    <t xml:space="preserve">Interim Bill Verification and Certification</t>
  </si>
  <si>
    <t xml:space="preserve">09.02_Joint_Measurement</t>
  </si>
  <si>
    <t xml:space="preserve">Joint Measurement</t>
  </si>
  <si>
    <t xml:space="preserve">09.03_Commitment_Expenditure_Register</t>
  </si>
  <si>
    <t xml:space="preserve">Commitment and Expenditure Register</t>
  </si>
  <si>
    <t xml:space="preserve">09.04_Change_Control</t>
  </si>
  <si>
    <t xml:space="preserve">9001 cl.8.5.6 | 21502 cl.7.11</t>
  </si>
  <si>
    <t xml:space="preserve">Change Control</t>
  </si>
  <si>
    <t xml:space="preserve">09.05_Variation_Extra_Item_Evaluation</t>
  </si>
  <si>
    <t xml:space="preserve">Variation and Extra Item Evaluation</t>
  </si>
  <si>
    <t xml:space="preserve">09.06_Rate_Analysis_Market_Rate_Evidence</t>
  </si>
  <si>
    <t xml:space="preserve">Rate Analysis and Market Rate Evidence</t>
  </si>
  <si>
    <t xml:space="preserve">09.07_Claims_and_Disputes</t>
  </si>
  <si>
    <t xml:space="preserve">21502 cl.7.18.4</t>
  </si>
  <si>
    <t xml:space="preserve">Extension of Time Claims · Contractual Notices, Disputes and Legal</t>
  </si>
  <si>
    <t xml:space="preserve">09.08_Cost_Reporting_and_Reconciliation</t>
  </si>
  <si>
    <t xml:space="preserve">Cost Report and Forecast to Complete · Material Reconciliation</t>
  </si>
  <si>
    <t xml:space="preserve">09.09_Final_Account_and_Retention</t>
  </si>
  <si>
    <t xml:space="preserve">21502 cl.7.6.5</t>
  </si>
  <si>
    <t xml:space="preserve">Final Account and Settlement · Retention and Release</t>
  </si>
  <si>
    <t xml:space="preserve">10_PERFORMANCE_HANDOVER_AND_IMPROVEMENT</t>
  </si>
  <si>
    <t xml:space="preserve">ISO 9001:2015 cl.9-10, 8.6 | ISO 21502 cl.4.6</t>
  </si>
  <si>
    <t xml:space="preserve">10.01_Progress_Reporting_MIS</t>
  </si>
  <si>
    <t xml:space="preserve">9001 cl.9.1 | 21502 cl.7.14</t>
  </si>
  <si>
    <t xml:space="preserve">Progress Reporting and MIS</t>
  </si>
  <si>
    <t xml:space="preserve">10.02_Project_KPIs_Performance_Measurement</t>
  </si>
  <si>
    <t xml:space="preserve">Project KPIs and Performance Measurement</t>
  </si>
  <si>
    <t xml:space="preserve">10.03_Presentations_Site_Visits_Reviews</t>
  </si>
  <si>
    <t xml:space="preserve">Presentations, Site Visits and Reviews</t>
  </si>
  <si>
    <t xml:space="preserve">10.04_Commissioning_and_Testing</t>
  </si>
  <si>
    <t xml:space="preserve">9001 cl.8.6</t>
  </si>
  <si>
    <t xml:space="preserve">Pre-Commissioning Checks · Testing and Commissioning</t>
  </si>
  <si>
    <t xml:space="preserve">10.05_Snagging_and_Acceptance</t>
  </si>
  <si>
    <t xml:space="preserve">Snagging and De-snagging</t>
  </si>
  <si>
    <t xml:space="preserve">10.06_Handover_Dossier_Practical_Completion</t>
  </si>
  <si>
    <t xml:space="preserve">9001 cl.8.5.5 | 19650-3</t>
  </si>
  <si>
    <t xml:space="preserve">Handover Dossier and Practical Completion</t>
  </si>
  <si>
    <t xml:space="preserve">10.07_Operation_Maintenance_Manuals</t>
  </si>
  <si>
    <t xml:space="preserve">Operation and Maintenance Manuals</t>
  </si>
  <si>
    <t xml:space="preserve">10.08_Warranties_Guarantees</t>
  </si>
  <si>
    <t xml:space="preserve">Warranties and Guarantees</t>
  </si>
  <si>
    <t xml:space="preserve">10.09_Mandatory_Spares_Consumables</t>
  </si>
  <si>
    <t xml:space="preserve">Mandatory Spares and Consumables</t>
  </si>
  <si>
    <t xml:space="preserve">10.10_FM_Training_Soft_Landings</t>
  </si>
  <si>
    <t xml:space="preserve">FM Training and Soft Landings</t>
  </si>
  <si>
    <t xml:space="preserve">10.11_Key_Access_Handover</t>
  </si>
  <si>
    <t xml:space="preserve">Key and Access Handover</t>
  </si>
  <si>
    <t xml:space="preserve">10.12_Defect_Liability_and_Warranty</t>
  </si>
  <si>
    <t xml:space="preserve">9001 cl.8.5.5</t>
  </si>
  <si>
    <t xml:space="preserve">Defect Liability Management · Warranty Claims</t>
  </si>
  <si>
    <t xml:space="preserve">10.13_Contract_Project_Closeout</t>
  </si>
  <si>
    <t xml:space="preserve">9001 cl.10.3 | ISO 30301</t>
  </si>
  <si>
    <t xml:space="preserve">Contract and Project Closeout</t>
  </si>
  <si>
    <t xml:space="preserve">10.14_Lessons_Learned</t>
  </si>
  <si>
    <t xml:space="preserve">Lessons Learned</t>
  </si>
  <si>
    <t xml:space="preserve">10.15_Records_Archival_Transfer_Client</t>
  </si>
  <si>
    <t xml:space="preserve">Records Archival and Transfer to Client</t>
  </si>
  <si>
    <t xml:space="preserve">10.16_Closed_Correspondence_Archive</t>
  </si>
  <si>
    <t xml:space="preserve">Closed Correspondence Archive</t>
  </si>
  <si>
    <t xml:space="preserve">10.17_FAT_SAT_and_Performance_Test_Run</t>
  </si>
  <si>
    <t xml:space="preserve">Factory and Site Acceptance Testing · Performance Guarantee Test Run and Trial Production</t>
  </si>
  <si>
    <t xml:space="preserve">10.18_Management_Review_and_Audit_Programme</t>
  </si>
  <si>
    <t xml:space="preserve">9001 cl.9.2 / 9.3</t>
  </si>
  <si>
    <t xml:space="preserve">Internal Audit Programme · Management Review</t>
  </si>
  <si>
    <t xml:space="preserve">10.19_Client_Satisfaction_and_QMS_Context</t>
  </si>
  <si>
    <t xml:space="preserve">9001 cl.4.1-4.3 / 9.1.2</t>
  </si>
  <si>
    <t xml:space="preserve">Client Satisfaction Monitoring · QMS Scope, Context and Interested Parties</t>
  </si>
  <si>
    <t xml:space="preserve">Live totals. Calculated from 03_SUBJECT_DATA — always current, no refresh needed.</t>
  </si>
  <si>
    <t xml:space="preserve">#</t>
  </si>
  <si>
    <t xml:space="preserve">Closed</t>
  </si>
  <si>
    <t xml:space="preserve">KRA score</t>
  </si>
  <si>
    <t xml:space="preserve">Red</t>
  </si>
  <si>
    <t xml:space="preserve">PROJECT TOTAL</t>
  </si>
  <si>
    <t xml:space="preserve">ROLE KRA AND KPI SCORECARD</t>
  </si>
  <si>
    <t xml:space="preserve">Key Result Areas by role, for appraisal and accountability. The subject counts and RAG figures calculate live from 03_SUBJECT_DATA.</t>
  </si>
  <si>
    <t xml:space="preserve">Project: ______________________     Review period: ____________     Reviewed by: ____________</t>
  </si>
  <si>
    <t xml:space="preserve">Project Manager</t>
  </si>
  <si>
    <t xml:space="preserve">Holder:</t>
  </si>
  <si>
    <t xml:space="preserve">Owns</t>
  </si>
  <si>
    <t xml:space="preserve">All areas</t>
  </si>
  <si>
    <t xml:space="preserve">Subjects owned</t>
  </si>
  <si>
    <t xml:space="preserve">Red-rated</t>
  </si>
  <si>
    <t xml:space="preserve">Avg KRA score</t>
  </si>
  <si>
    <t xml:space="preserve">Key result area — what good looks like</t>
  </si>
  <si>
    <t xml:space="preserve">Consequence if not achieved</t>
  </si>
  <si>
    <t xml:space="preserve">Evidence / where measured</t>
  </si>
  <si>
    <t xml:space="preserve">Self</t>
  </si>
  <si>
    <t xml:space="preserve">Reviewer</t>
  </si>
  <si>
    <t xml:space="preserve">Score</t>
  </si>
  <si>
    <t xml:space="preserve">KRA1</t>
  </si>
  <si>
    <t xml:space="preserve">Gates closed on evidence, not assurance — no stage starts on an open gate</t>
  </si>
  <si>
    <t xml:space="preserve">Rework discovered late, at construction cost rather than drawing cost</t>
  </si>
  <si>
    <t xml:space="preserve">KRA2</t>
  </si>
  <si>
    <t xml:space="preserve">Client decisions obtained inside the contractual period on every change and claim</t>
  </si>
  <si>
    <t xml:space="preserve">Entitlement deemed, or the contractor funds the change and claims later</t>
  </si>
  <si>
    <t xml:space="preserve">KRA3</t>
  </si>
  <si>
    <t xml:space="preserve">Every risk scoring 12 or above has a named owner and a dated mitigation</t>
  </si>
  <si>
    <t xml:space="preserve">Risks materialise as issues with no response prepared</t>
  </si>
  <si>
    <t xml:space="preserve">KRA4</t>
  </si>
  <si>
    <t xml:space="preserve">Weekly and monthly reports issued on time with bad news stated early</t>
  </si>
  <si>
    <t xml:space="preserve">Credibility lost with the client at the moment it is most needed</t>
  </si>
  <si>
    <t xml:space="preserve">Key performance indicator</t>
  </si>
  <si>
    <t xml:space="preserve">Actual this period</t>
  </si>
  <si>
    <t xml:space="preserve">K1</t>
  </si>
  <si>
    <t xml:space="preserve">Gates closed with full evidence pack</t>
  </si>
  <si>
    <t xml:space="preserve">&gt;= 100%</t>
  </si>
  <si>
    <t xml:space="preserve">K2</t>
  </si>
  <si>
    <t xml:space="preserve">Client decisions within contractual period</t>
  </si>
  <si>
    <t xml:space="preserve">&gt;= 95%</t>
  </si>
  <si>
    <t xml:space="preserve">K3</t>
  </si>
  <si>
    <t xml:space="preserve">High/critical risks with owner and date</t>
  </si>
  <si>
    <t xml:space="preserve">100%</t>
  </si>
  <si>
    <t xml:space="preserve">K4</t>
  </si>
  <si>
    <t xml:space="preserve">Reports issued on the due date</t>
  </si>
  <si>
    <t xml:space="preserve">Document Controller</t>
  </si>
  <si>
    <t xml:space="preserve">Every document registered within 24 hours of receipt, before it goes for review</t>
  </si>
  <si>
    <t xml:space="preserve">The review clock starts late and the register stops matching reality</t>
  </si>
  <si>
    <t xml:space="preserve">Only the current revision in the live folder; superseded prints withdrawn against receipt the same day</t>
  </si>
  <si>
    <t xml:space="preserve">Site builds from a superseded drawing — the most expensive category of rework</t>
  </si>
  <si>
    <t xml:space="preserve">Nothing issued without a numbered transmittal and a chased acknowledgement</t>
  </si>
  <si>
    <t xml:space="preserve">No evidential chain in a delay, variation or defect dispute</t>
  </si>
  <si>
    <t xml:space="preserve">Registers reconciled against folder contents every Friday, KPI refreshed and issued</t>
  </si>
  <si>
    <t xml:space="preserve">Registers and folders diverge quietly until an audit finds it</t>
  </si>
  <si>
    <t xml:space="preserve">Documents registered within 24 hrs</t>
  </si>
  <si>
    <t xml:space="preserve">Superseded prints found in monthly site audit</t>
  </si>
  <si>
    <t xml:space="preserve">Transmittals unacknowledged after 2 days</t>
  </si>
  <si>
    <t xml:space="preserve">Weekly KPI refresh completed and issued</t>
  </si>
  <si>
    <t xml:space="preserve">Planning Lead</t>
  </si>
  <si>
    <t xml:space="preserve">Programme logic reviewed, not just dates — no open ends or unexplained constraints</t>
  </si>
  <si>
    <t xml:space="preserve">A programme that cannot be relied on for delay analysis when it matters</t>
  </si>
  <si>
    <t xml:space="preserve">Progress measured physically against defined weightages, never accepted on assertion</t>
  </si>
  <si>
    <t xml:space="preserve">Optimistic reporting until the slippage is undeniable</t>
  </si>
  <si>
    <t xml:space="preserve">Every delay event recorded contemporaneously with cause and criticality</t>
  </si>
  <si>
    <t xml:space="preserve">Claims decided against the client for want of records</t>
  </si>
  <si>
    <t xml:space="preserve">Constraints in the look-ahead carry a named owner and a clearance date</t>
  </si>
  <si>
    <t xml:space="preserve">The same constraints recur weekly and nothing is cleared</t>
  </si>
  <si>
    <t xml:space="preserve">Programme updated by the agreed data date</t>
  </si>
  <si>
    <t xml:space="preserve">Progress verified physically vs certified value</t>
  </si>
  <si>
    <t xml:space="preserve">Divergence &lt; 5%</t>
  </si>
  <si>
    <t xml:space="preserve">Delay events recorded within 48 hrs</t>
  </si>
  <si>
    <t xml:space="preserve">Percent plan complete (PPC)</t>
  </si>
  <si>
    <t xml:space="preserve">&gt;= 80%</t>
  </si>
  <si>
    <t xml:space="preserve">QS / Commercial Lead</t>
  </si>
  <si>
    <t xml:space="preserve">Certification only against joint measurement taken before concealment</t>
  </si>
  <si>
    <t xml:space="preserve">Over-certification that cannot be recovered once the money has gone out</t>
  </si>
  <si>
    <t xml:space="preserve">No certification against work with an open NCR or a missing test result</t>
  </si>
  <si>
    <t xml:space="preserve">The quality gate is lost and leverage disappears</t>
  </si>
  <si>
    <t xml:space="preserve">Every change assessed for cost AND time before it is instructed</t>
  </si>
  <si>
    <t xml:space="preserve">Cost agreed, time left open, and a second claim follows</t>
  </si>
  <si>
    <t xml:space="preserve">Bonds, guarantees and insurances tracked and renewed 30 days before expiry</t>
  </si>
  <si>
    <t xml:space="preserve">The project runs uninsured or unsecured without anyone noticing</t>
  </si>
  <si>
    <t xml:space="preserve">RA bills certified within 10 days</t>
  </si>
  <si>
    <t xml:space="preserve">Variations evaluated within 14 days</t>
  </si>
  <si>
    <t xml:space="preserve">Instruments expired or expiring &lt;= 60 days unactioned</t>
  </si>
  <si>
    <t xml:space="preserve">Forecast final cost vs approved budget</t>
  </si>
  <si>
    <t xml:space="preserve">Within contingency</t>
  </si>
  <si>
    <t xml:space="preserve">QA/QC Lead</t>
  </si>
  <si>
    <t xml:space="preserve">Hold points enforced absolutely — no pour or concealment without written permission</t>
  </si>
  <si>
    <t xml:space="preserve">One bypassed hold point and the control is never respected again</t>
  </si>
  <si>
    <t xml:space="preserve">Sampling witnessed and every result traceable to a specific element and location</t>
  </si>
  <si>
    <t xml:space="preserve">Only good concrete is ever tested and results prove nothing</t>
  </si>
  <si>
    <t xml:space="preserve">NCRs closed only against objective evidence — photograph, retest or third-party check</t>
  </si>
  <si>
    <t xml:space="preserve">Non-conformances close on paper and recur</t>
  </si>
  <si>
    <t xml:space="preserve">Root cause reached beyond individual behaviour on every NCR</t>
  </si>
  <si>
    <t xml:space="preserve">'Worker error' is recorded and the same NCR appears every month</t>
  </si>
  <si>
    <t xml:space="preserve">Pours proceeding without written permission</t>
  </si>
  <si>
    <t xml:space="preserve">NCR closure rate</t>
  </si>
  <si>
    <t xml:space="preserve">Test results traceable to element</t>
  </si>
  <si>
    <t xml:space="preserve">Repeat NCRs of the same type</t>
  </si>
  <si>
    <t xml:space="preserve">HSE Lead</t>
  </si>
  <si>
    <t xml:space="preserve">No entry to site without induction; competence verified by certificate for high-risk tasks</t>
  </si>
  <si>
    <t xml:space="preserve">Untrained people doing work that can kill them</t>
  </si>
  <si>
    <t xml:space="preserve">Permits issued only after the precautions are verified physically at the workface</t>
  </si>
  <si>
    <t xml:space="preserve">A permit issued from the office controls nothing</t>
  </si>
  <si>
    <t xml:space="preserve">Every incident and near miss reported and investigated to system cause</t>
  </si>
  <si>
    <t xml:space="preserve">Under-reporting hides the pattern that predicts a serious injury</t>
  </si>
  <si>
    <t xml:space="preserve">Temporary works loaded only after inspection against the checked design</t>
  </si>
  <si>
    <t xml:space="preserve">Falsework failure — among the most common causes of serious site accidents</t>
  </si>
  <si>
    <t xml:space="preserve">Personnel inducted before first entry</t>
  </si>
  <si>
    <t xml:space="preserve">Lost time injury frequency rate</t>
  </si>
  <si>
    <t xml:space="preserve">Near misses reported per month</t>
  </si>
  <si>
    <t xml:space="preserve">Rising then stable</t>
  </si>
  <si>
    <t xml:space="preserve">Permits audited live against actual conditions</t>
  </si>
  <si>
    <t xml:space="preserve">Weekly</t>
  </si>
  <si>
    <t xml:space="preserve">Design Manager</t>
  </si>
  <si>
    <t xml:space="preserve">Only A-coded drawings released for construction</t>
  </si>
  <si>
    <t xml:space="preserve">Site builds from a coordination or review issue</t>
  </si>
  <si>
    <t xml:space="preserve">Design deliverables tracked against construction need dates, not design convenience</t>
  </si>
  <si>
    <t xml:space="preserve">Late design becomes the single largest cause of construction delay</t>
  </si>
  <si>
    <t xml:space="preserve">Review comments raised individually and closed against the revised drawing</t>
  </si>
  <si>
    <t xml:space="preserve">Comments answered but never actually incorporated</t>
  </si>
  <si>
    <t xml:space="preserve">Clashes assigned to one discipline owner and verified closed in the next federation run</t>
  </si>
  <si>
    <t xml:space="preserve">Clashes reappear and surface at site as rework</t>
  </si>
  <si>
    <t xml:space="preserve">Drawings issued for construction carrying A-code</t>
  </si>
  <si>
    <t xml:space="preserve">Design deliverables issued on planned date</t>
  </si>
  <si>
    <t xml:space="preserve">Shop drawings reviewed within 7 days</t>
  </si>
  <si>
    <t xml:space="preserve">Open critical design comments</t>
  </si>
  <si>
    <t xml:space="preserve">Yellow cells are completed at each review. Blue and green cells calculate from 03_SUBJECT_DATA and update when the KPI refresh is run. Score each KRA 1 to 5; the role passes at an average of 3.5.</t>
  </si>
  <si>
    <t xml:space="preserve">SUBJECT DATA — populated by the refresh</t>
  </si>
  <si>
    <t xml:space="preserve">One row per subject workbook. Columns I to L, N and O are written by the refresh; the rest is fixed or calculated. Do not sort, insert or delete rows.</t>
  </si>
  <si>
    <t xml:space="preserve">Project: ______________________     Last refresh:</t>
  </si>
  <si>
    <t xml:space="preserve">Subject</t>
  </si>
  <si>
    <t xml:space="preserve">Relative path</t>
  </si>
  <si>
    <t xml:space="preserve">Workbook file name</t>
  </si>
  <si>
    <t xml:space="preserve">Oldest open (d)</t>
  </si>
  <si>
    <t xml:space="preserve">Refreshed on</t>
  </si>
  <si>
    <t xml:space="preserve">Project Directory and Contact Matrix</t>
  </si>
  <si>
    <t xml:space="preserve">01_CONTEXT_AND_GOVERNANCE\01.01_Project_Charter_and_Context</t>
  </si>
  <si>
    <t xml:space="preserve">01.01_CONTACTS — Project Directory and Contact Matrix.xlsx</t>
  </si>
  <si>
    <t xml:space="preserve">Project Plans and Controlled Procedures</t>
  </si>
  <si>
    <t xml:space="preserve">01.01_PROCEDURE_DOC — Project Plans and Controlled Procedures.xlsx</t>
  </si>
  <si>
    <t xml:space="preserve">01_CONTEXT_AND_GOVERNANCE\01.02_Stakeholders_and_Communication</t>
  </si>
  <si>
    <t xml:space="preserve">01.02_STAKEHOLDER — Stakeholder Register and Communication Plan.xlsx</t>
  </si>
  <si>
    <t xml:space="preserve">Authority and Delegation Matrix</t>
  </si>
  <si>
    <t xml:space="preserve">01_CONTEXT_AND_GOVERNANCE\01.03_Organisation_and_Authority</t>
  </si>
  <si>
    <t xml:space="preserve">01.03_AUTHORITY — Authority and Delegation Matrix.xlsx</t>
  </si>
  <si>
    <t xml:space="preserve">Project Organisation and Role Definition</t>
  </si>
  <si>
    <t xml:space="preserve">01.03_ORG_ROLE — Project Organisation and Role Definition.xlsx</t>
  </si>
  <si>
    <t xml:space="preserve">Audits, Inspections and Corrective Action</t>
  </si>
  <si>
    <t xml:space="preserve">01_CONTEXT_AND_GOVERNANCE\01.04_Stage_Gates_and_Assurance</t>
  </si>
  <si>
    <t xml:space="preserve">01.04_AUDIT — Audits, Inspections and Corrective Action.xlsx</t>
  </si>
  <si>
    <t xml:space="preserve">Stage Gate Reviews</t>
  </si>
  <si>
    <t xml:space="preserve">01.04_GATE — Stage Gate Reviews.xlsx</t>
  </si>
  <si>
    <t xml:space="preserve">Agreements, Contracts and Executed Documents</t>
  </si>
  <si>
    <t xml:space="preserve">01_CONTEXT_AND_GOVERNANCE\01.05_Agreements_Bonds_and_Insurance</t>
  </si>
  <si>
    <t xml:space="preserve">01.05_AGREEMENT — Agreements, Contracts and Executed Documents.xlsx</t>
  </si>
  <si>
    <t xml:space="preserve">Insurance Policies, Bonds and Guarantees</t>
  </si>
  <si>
    <t xml:space="preserve">01.05_BOND_INSURANCE — Insurance Policies, Bonds and Guarantees.xlsx</t>
  </si>
  <si>
    <t xml:space="preserve">Design Brief and Requirements Management</t>
  </si>
  <si>
    <t xml:space="preserve">02_PLANNING\02.01_Scope_and_Work_Breakdown</t>
  </si>
  <si>
    <t xml:space="preserve">02.01_DESIGN_BRIEF — Design Brief and Requirements Management.xlsx</t>
  </si>
  <si>
    <t xml:space="preserve">Work Breakdown Structure and Coding</t>
  </si>
  <si>
    <t xml:space="preserve">02.01_WBS — Work Breakdown Structure and Coding.xlsx</t>
  </si>
  <si>
    <t xml:space="preserve">02_PLANNING\02.02_Project_Programme_Schedule_Control</t>
  </si>
  <si>
    <t xml:space="preserve">02.02_PROGRAMME — Project Programme and Schedule Control.xlsx</t>
  </si>
  <si>
    <t xml:space="preserve">02_PLANNING\02.03_Milestone_Register_Payment_Linkage</t>
  </si>
  <si>
    <t xml:space="preserve">02.03_MILESTONE — Milestone Register and Payment Linkage.xlsx</t>
  </si>
  <si>
    <t xml:space="preserve">02_PLANNING\02.04_LookAhead_Planning_Constraint_Management</t>
  </si>
  <si>
    <t xml:space="preserve">02.04_LOOKAHEAD — Look-Ahead Planning and Constraint Management.xlsx</t>
  </si>
  <si>
    <t xml:space="preserve">02_PLANNING\02.05_Cost_Estimates_Budget_Development</t>
  </si>
  <si>
    <t xml:space="preserve">02.05_ESTIMATE — Cost Estimates and Budget Development.xlsx</t>
  </si>
  <si>
    <t xml:space="preserve">02_PLANNING\02.06_Cost_Baseline_Cost_Breakdown_Structure</t>
  </si>
  <si>
    <t xml:space="preserve">02.06_COST_BASELINE — Cost Baseline and Cost Breakdown Structure.xlsx</t>
  </si>
  <si>
    <t xml:space="preserve">02_PLANNING\02.07_Cash_Flow_Forecast_Monitoring</t>
  </si>
  <si>
    <t xml:space="preserve">02.07_CASHFLOW — Cash Flow Forecast and Monitoring.xlsx</t>
  </si>
  <si>
    <t xml:space="preserve">Issue Log and Escalation</t>
  </si>
  <si>
    <t xml:space="preserve">02_PLANNING\02.08_Risk_and_Issue_Management</t>
  </si>
  <si>
    <t xml:space="preserve">02.08_ISSUE — Issue Log and Escalation.xlsx</t>
  </si>
  <si>
    <t xml:space="preserve">Risk and Opportunity Management</t>
  </si>
  <si>
    <t xml:space="preserve">02.08_RISK — Risk and Opportunity Management.xlsx</t>
  </si>
  <si>
    <t xml:space="preserve">02_PLANNING\02.09_Studies_Investigations_Technical_Reports</t>
  </si>
  <si>
    <t xml:space="preserve">02.09_STUDY_REPORT — Studies, Investigations and Technical Reports.xlsx</t>
  </si>
  <si>
    <t xml:space="preserve">02_PLANNING\02.10_Topographical_SettingOut_Survey</t>
  </si>
  <si>
    <t xml:space="preserve">02.10_SURVEY — Topographical and Setting-Out Survey.xlsx</t>
  </si>
  <si>
    <t xml:space="preserve">02_PLANNING\02.11_Geotechnical_Investigation</t>
  </si>
  <si>
    <t xml:space="preserve">02.11_GEOTECH — Geotechnical Investigation.xlsx</t>
  </si>
  <si>
    <t xml:space="preserve">03_SUPPORT_AND_RESOURCES\03.01_Competence_and_Training</t>
  </si>
  <si>
    <t xml:space="preserve">03.01_TRAINING — Induction, Training and Competency.xlsx</t>
  </si>
  <si>
    <t xml:space="preserve">03_SUPPORT_AND_RESOURCES\03.02_Resources_and_Productivity</t>
  </si>
  <si>
    <t xml:space="preserve">03.02_RESOURCE — Resource Deployment and Productivity.xlsx</t>
  </si>
  <si>
    <t xml:space="preserve">03_SUPPORT_AND_RESOURCES\03.03_Master_Register_Index_Update_Control</t>
  </si>
  <si>
    <t xml:space="preserve">03.03_REGISTER_INDEX — Master Register Index and Update Control.xlsx</t>
  </si>
  <si>
    <t xml:space="preserve">03_SUPPORT_AND_RESOURCES\03.04_Controlled_Templates_Forms</t>
  </si>
  <si>
    <t xml:space="preserve">03.04_TEMPLATE_FORM — Controlled Templates and Forms.xlsx</t>
  </si>
  <si>
    <t xml:space="preserve">03_SUPPORT_AND_RESOURCES\03.05_Superseded_Document_Control</t>
  </si>
  <si>
    <t xml:space="preserve">03.05_SUPERSEDED — Superseded Document Control.xlsx</t>
  </si>
  <si>
    <t xml:space="preserve">03_SUPPORT_AND_RESOURCES\03.06_Correspondence_Control</t>
  </si>
  <si>
    <t xml:space="preserve">03.06_CORRESPONDENCE — Correspondence Control.xlsx</t>
  </si>
  <si>
    <t xml:space="preserve">03_SUPPORT_AND_RESOURCES\03.07_Transmittal_Control</t>
  </si>
  <si>
    <t xml:space="preserve">03.07_TRANSMITTAL — Transmittal Control.xlsx</t>
  </si>
  <si>
    <t xml:space="preserve">03_SUPPORT_AND_RESOURCES\03.08_Meetings_Minutes_Action_Tracking</t>
  </si>
  <si>
    <t xml:space="preserve">03.08_MEETING — Meetings, Minutes and Action Tracking.xlsx</t>
  </si>
  <si>
    <t xml:space="preserve">03_SUPPORT_AND_RESOURCES\03.09_Monitoring_and_Measuring_Equipment</t>
  </si>
  <si>
    <t xml:space="preserve">03.09_CALIBRATION — Instrument Calibration Control.xlsx</t>
  </si>
  <si>
    <t xml:space="preserve">04_DESIGN_AND_INFORMATION_MANAGEMENT\04.01_Design_Programme_and_Deliverables</t>
  </si>
  <si>
    <t xml:space="preserve">04.01_DESIGN_DELIVERABLE — Design Programme and Deliverable Tracking.xlsx</t>
  </si>
  <si>
    <t xml:space="preserve">Drawing Control and Issue</t>
  </si>
  <si>
    <t xml:space="preserve">04_DESIGN_AND_INFORMATION_MANAGEMENT\04.02_Drawings_and_Specifications</t>
  </si>
  <si>
    <t xml:space="preserve">04.02_DRAWING — Drawing Control and Issue.xlsx</t>
  </si>
  <si>
    <t xml:space="preserve">Specifications and Technical Datasheets</t>
  </si>
  <si>
    <t xml:space="preserve">04.02_SPEC — Specifications and Technical Datasheets.xlsx</t>
  </si>
  <si>
    <t xml:space="preserve">Statutory and Code Compliance Verification</t>
  </si>
  <si>
    <t xml:space="preserve">04_DESIGN_AND_INFORMATION_MANAGEMENT\04.03_Design_Review_and_Verification</t>
  </si>
  <si>
    <t xml:space="preserve">04.03_CODE_COMPLIANCE — Statutory and Code Compliance Verification.xlsx</t>
  </si>
  <si>
    <t xml:space="preserve">Design Review and Comment Control</t>
  </si>
  <si>
    <t xml:space="preserve">04.03_DESIGN_REVIEW — Design Review and Comment Control.xlsx</t>
  </si>
  <si>
    <t xml:space="preserve">04_DESIGN_AND_INFORMATION_MANAGEMENT\04.04_Clash_Detection_Design_Coordination</t>
  </si>
  <si>
    <t xml:space="preserve">04.04_CLASH — Clash Detection and Design Coordination.xlsx</t>
  </si>
  <si>
    <t xml:space="preserve">04_DESIGN_AND_INFORMATION_MANAGEMENT\04.05_BIM_Model_Management_CDE</t>
  </si>
  <si>
    <t xml:space="preserve">04.05_BIM_MODEL — BIM Model Management and the CDE.xlsx</t>
  </si>
  <si>
    <t xml:space="preserve">04_DESIGN_AND_INFORMATION_MANAGEMENT\04.06_Asset_Register_Structured_Asset_Data</t>
  </si>
  <si>
    <t xml:space="preserve">04.06_COBIE_ASSET — Asset Register and Structured Asset Data.xlsx</t>
  </si>
  <si>
    <t xml:space="preserve">Design Change Notes</t>
  </si>
  <si>
    <t xml:space="preserve">04_DESIGN_AND_INFORMATION_MANAGEMENT\04.07_Design_Change_and_Value_Engineering</t>
  </si>
  <si>
    <t xml:space="preserve">04.07_DCN — Design Change Notes.xlsx</t>
  </si>
  <si>
    <t xml:space="preserve">Value Engineering</t>
  </si>
  <si>
    <t xml:space="preserve">04.07_VE — Value Engineering.xlsx</t>
  </si>
  <si>
    <t xml:space="preserve">Material and Vendor Approval</t>
  </si>
  <si>
    <t xml:space="preserve">04_DESIGN_AND_INFORMATION_MANAGEMENT\04.08_Shop_Drawings_and_Material_Submittals</t>
  </si>
  <si>
    <t xml:space="preserve">04.08_MATERIAL_APPROVAL — Material and Vendor Approval.xlsx</t>
  </si>
  <si>
    <t xml:space="preserve">Shop Drawing Review and Approval</t>
  </si>
  <si>
    <t xml:space="preserve">04.08_SHOP_DRAWING — Shop Drawing Review and Approval.xlsx</t>
  </si>
  <si>
    <t xml:space="preserve">05_PROCUREMENT_AND_CONTRACTS\05.01_Procurement_Strategy_and_Packages</t>
  </si>
  <si>
    <t xml:space="preserve">05.01_PROCUREMENT_PKG — Procurement Strategy and Package Planning.xlsx</t>
  </si>
  <si>
    <t xml:space="preserve">05_PROCUREMENT_AND_CONTRACTS\05.02_Prequalification_Vendor_Database</t>
  </si>
  <si>
    <t xml:space="preserve">05.02_PQ_VENDOR — Prequalification and Vendor Database.xlsx</t>
  </si>
  <si>
    <t xml:space="preserve">05_PROCUREMENT_AND_CONTRACTS\05.03_Tender_Documents_Issue</t>
  </si>
  <si>
    <t xml:space="preserve">05.03_TENDER_DOC — Tender Documents and Issue.xlsx</t>
  </si>
  <si>
    <t xml:space="preserve">05_PROCUREMENT_AND_CONTRACTS\05.04_PreBid_Queries_Addenda</t>
  </si>
  <si>
    <t xml:space="preserve">05.04_PREBID_QUERY — Pre-Bid Queries and Addenda.xlsx</t>
  </si>
  <si>
    <t xml:space="preserve">05_PROCUREMENT_AND_CONTRACTS\05.05_Bid_Receipt_Opening</t>
  </si>
  <si>
    <t xml:space="preserve">05.05_BID_RECEIPT — Bid Receipt and Opening.xlsx</t>
  </si>
  <si>
    <t xml:space="preserve">05_PROCUREMENT_AND_CONTRACTS\05.06_Bid_Evaluation_Recommendation</t>
  </si>
  <si>
    <t xml:space="preserve">05.06_BID_EVAL — Bid Evaluation and Recommendation.xlsx</t>
  </si>
  <si>
    <t xml:space="preserve">05_PROCUREMENT_AND_CONTRACTS\05.07_Negotiation_Records</t>
  </si>
  <si>
    <t xml:space="preserve">05.07_NEGOTIATION — Negotiation Records.xlsx</t>
  </si>
  <si>
    <t xml:space="preserve">05_PROCUREMENT_AND_CONTRACTS\05.08_Award_Recommendation_Letter_Intent</t>
  </si>
  <si>
    <t xml:space="preserve">05.08_AWARD — Award Recommendation and Letter of Intent.xlsx</t>
  </si>
  <si>
    <t xml:space="preserve">Contract Administration and Notices</t>
  </si>
  <si>
    <t xml:space="preserve">05_PROCUREMENT_AND_CONTRACTS\05.09_Contract_Administration_and_Supplier_Performance</t>
  </si>
  <si>
    <t xml:space="preserve">05.09_CONTRACT_NOTICE — Contract Administration and Notices.xlsx</t>
  </si>
  <si>
    <t xml:space="preserve">Vendor Performance Assessment</t>
  </si>
  <si>
    <t xml:space="preserve">05.09_VENDOR_SCORE — Vendor Performance Assessment.xlsx</t>
  </si>
  <si>
    <t xml:space="preserve">05_PROCUREMENT_AND_CONTRACTS\05.10_Customer_Supplied_Property</t>
  </si>
  <si>
    <t xml:space="preserve">05.10_CLIENT_PURCHASE — Client Direct Purchase and FFE.xlsx</t>
  </si>
  <si>
    <t xml:space="preserve">Long-Lead Equipment and Import Tracking</t>
  </si>
  <si>
    <t xml:space="preserve">05_PROCUREMENT_AND_CONTRACTS\05.11_Vendor_Works_Inspection_and_Long_Lead</t>
  </si>
  <si>
    <t xml:space="preserve">05.11_LONG_LEAD — Long-Lead Equipment and Import Tracking.xlsx</t>
  </si>
  <si>
    <t xml:space="preserve">Vendor Works Inspection and Pre-Dispatch Inspection</t>
  </si>
  <si>
    <t xml:space="preserve">05.11_PDI — Vendor Works Inspection and Pre-Dispatch Inspection.xlsx</t>
  </si>
  <si>
    <t xml:space="preserve">06_STATUTORY_AND_LAND\06.01_Land_Title_and_Revenue_Records</t>
  </si>
  <si>
    <t xml:space="preserve">06.01_LAND_TITLE — Land Title and Revenue Records.xlsx</t>
  </si>
  <si>
    <t xml:space="preserve">06_STATUTORY_AND_LAND\06.02_Statutory_Approvals_and_Permits</t>
  </si>
  <si>
    <t xml:space="preserve">06.02_APPROVAL_STATUTORY — Statutory Approvals and Permits.xlsx</t>
  </si>
  <si>
    <t xml:space="preserve">06_STATUTORY_AND_LAND\06.03_Labour_and_Statutory_Compliance</t>
  </si>
  <si>
    <t xml:space="preserve">06.03_LABOUR_COMPLIANCE — Labour Welfare and Statutory Compliance.xlsx</t>
  </si>
  <si>
    <t xml:space="preserve">06_STATUTORY_AND_LAND\06.04_Industrial_Statutory_Approvals</t>
  </si>
  <si>
    <t xml:space="preserve">06.04_INDUSTRIAL_STATUTORY — Industrial Statutory Approvals and Licences.xlsx</t>
  </si>
  <si>
    <t xml:space="preserve">Site Logistics and Traffic Management</t>
  </si>
  <si>
    <t xml:space="preserve">07_EXECUTION_AND_DELIVERY\07.01_Mobilisation_and_Site_Logistics</t>
  </si>
  <si>
    <t xml:space="preserve">07.01_LOGISTICS — Site Logistics and Traffic Management.xlsx</t>
  </si>
  <si>
    <t xml:space="preserve">Site Mobilisation and Establishment</t>
  </si>
  <si>
    <t xml:space="preserve">07.01_MOBILISATION — Site Mobilisation and Establishment.xlsx</t>
  </si>
  <si>
    <t xml:space="preserve">Daily Progress Report</t>
  </si>
  <si>
    <t xml:space="preserve">07_EXECUTION_AND_DELIVERY\07.02_Daily_Site_Records</t>
  </si>
  <si>
    <t xml:space="preserve">07.02_DPR — Daily Progress Report.xlsx</t>
  </si>
  <si>
    <t xml:space="preserve">Progress Photography and Visual Record</t>
  </si>
  <si>
    <t xml:space="preserve">07.02_PHOTO — Progress Photography and Visual Record.xlsx</t>
  </si>
  <si>
    <t xml:space="preserve">07_EXECUTION_AND_DELIVERY\07.03_Site_Instructions_Client_Instructions</t>
  </si>
  <si>
    <t xml:space="preserve">07.03_INSTRUCTION — Site Instructions and Client Instructions.xlsx</t>
  </si>
  <si>
    <t xml:space="preserve">07_EXECUTION_AND_DELIVERY\07.04_Interface_Management_Between_Packages</t>
  </si>
  <si>
    <t xml:space="preserve">07.04_INTERFACE — Interface Management Between Packages.xlsx</t>
  </si>
  <si>
    <t xml:space="preserve">07_EXECUTION_AND_DELIVERY\07.05_Work_Front_Release_Between_Trades</t>
  </si>
  <si>
    <t xml:space="preserve">07.05_WORK_FRONT — Work Front Release Between Trades.xlsx</t>
  </si>
  <si>
    <t xml:space="preserve">Method Statement Review and Approval</t>
  </si>
  <si>
    <t xml:space="preserve">07_EXECUTION_AND_DELIVERY\07.06_Method_Statements_and_Temporary_Works</t>
  </si>
  <si>
    <t xml:space="preserve">07.06_METHOD_STATEMENT — Method Statement Review and Approval.xlsx</t>
  </si>
  <si>
    <t xml:space="preserve">Temporary Works Design and Control</t>
  </si>
  <si>
    <t xml:space="preserve">07.06_TEMP_WORKS — Temporary Works Design and Control.xlsx</t>
  </si>
  <si>
    <t xml:space="preserve">07_EXECUTION_AND_DELIVERY\07.07_Material_Receipt_and_Traceability</t>
  </si>
  <si>
    <t xml:space="preserve">07.07_GRN_MATERIAL — Material Receipt, Inspection and Inventory.xlsx</t>
  </si>
  <si>
    <t xml:space="preserve">07_EXECUTION_AND_DELIVERY\07.08_Progress_Measurement_SCurve</t>
  </si>
  <si>
    <t xml:space="preserve">07.08_PROGRESS_MEAS — Progress Measurement and S-Curve.xlsx</t>
  </si>
  <si>
    <t xml:space="preserve">07_EXECUTION_AND_DELIVERY\07.09_Delay_Analysis</t>
  </si>
  <si>
    <t xml:space="preserve">07.09_DELAY — Delay Analysis.xlsx</t>
  </si>
  <si>
    <t xml:space="preserve">07_EXECUTION_AND_DELIVERY\07.10_Recovery_Acceleration_Planning</t>
  </si>
  <si>
    <t xml:space="preserve">07.10_RECOVERY — Recovery and Acceleration Planning.xlsx</t>
  </si>
  <si>
    <t xml:space="preserve">PEB and Structural Steel Fabrication and Erection</t>
  </si>
  <si>
    <t xml:space="preserve">07_EXECUTION_AND_DELIVERY\07.11_PEB_Structural_Steel_and_Surface_Protection</t>
  </si>
  <si>
    <t xml:space="preserve">07.11_PEB_STEEL — PEB and Structural Steel Fabrication and Erection.xlsx</t>
  </si>
  <si>
    <t xml:space="preserve">Surface Preparation, Painting and Insulation</t>
  </si>
  <si>
    <t xml:space="preserve">07.11_SURFACE_PROTECTION — Surface Preparation, Painting and Insulation.xlsx</t>
  </si>
  <si>
    <t xml:space="preserve">Equipment Erection, Alignment and Grouting</t>
  </si>
  <si>
    <t xml:space="preserve">07_EXECUTION_AND_DELIVERY\07.12_Mechanical_Erection_Piping_and_Equipment</t>
  </si>
  <si>
    <t xml:space="preserve">07.12_EQUIPMENT_ERECTION — Equipment Erection, Alignment and Grouting.xlsx</t>
  </si>
  <si>
    <t xml:space="preserve">Piping Fabrication, Erection and Hydrotest</t>
  </si>
  <si>
    <t xml:space="preserve">07.12_PIPING — Piping Fabrication, Erection and Hydrotest.xlsx</t>
  </si>
  <si>
    <t xml:space="preserve">08_QUALITY_HSE_AND_ENVIRONMENT\08.01_Quality_Plans_and_Inspection_Test_Plans</t>
  </si>
  <si>
    <t xml:space="preserve">08.01_ITP — Inspection and Test Plans.xlsx</t>
  </si>
  <si>
    <t xml:space="preserve">08_QUALITY_HSE_AND_ENVIRONMENT\08.02_Inspection_Checklists_Pour_Cards</t>
  </si>
  <si>
    <t xml:space="preserve">08.02_CHECKLIST_POUR — Inspection Checklists and Pour Cards.xlsx</t>
  </si>
  <si>
    <t xml:space="preserve">08_QUALITY_HSE_AND_ENVIRONMENT\08.03_Testing_Test_Report_Control</t>
  </si>
  <si>
    <t xml:space="preserve">08.03_TEST_REPORT — Testing and Test Report Control.xlsx</t>
  </si>
  <si>
    <t xml:space="preserve">08_QUALITY_HSE_AND_ENVIRONMENT\08.04_Third_Party_Inspection</t>
  </si>
  <si>
    <t xml:space="preserve">08.04_TPI — Third Party Inspection.xlsx</t>
  </si>
  <si>
    <t xml:space="preserve">08_QUALITY_HSE_AND_ENVIRONMENT\08.05_MockUps_Benchmark_Approvals</t>
  </si>
  <si>
    <t xml:space="preserve">08.05_MOCKUP — Mock-Ups and Benchmark Approvals.xlsx</t>
  </si>
  <si>
    <t xml:space="preserve">08_QUALITY_HSE_AND_ENVIRONMENT\08.06_Control_of_Nonconforming_Output</t>
  </si>
  <si>
    <t xml:space="preserve">08.06_NCR — Non-Conformance Reporting.xlsx</t>
  </si>
  <si>
    <t xml:space="preserve">08_QUALITY_HSE_AND_ENVIRONMENT\08.07_Hazard_Identification_Risk_Assessment</t>
  </si>
  <si>
    <t xml:space="preserve">08.07_HIRA — Hazard Identification and Risk Assessment.xlsx</t>
  </si>
  <si>
    <t xml:space="preserve">08_QUALITY_HSE_AND_ENVIRONMENT\08.08_Permit_Work</t>
  </si>
  <si>
    <t xml:space="preserve">08.08_PTW — Permit to Work.xlsx</t>
  </si>
  <si>
    <t xml:space="preserve">08_QUALITY_HSE_AND_ENVIRONMENT\08.09_Toolbox_Talks</t>
  </si>
  <si>
    <t xml:space="preserve">08.09_TBT — Toolbox Talks.xlsx</t>
  </si>
  <si>
    <t xml:space="preserve">Emergency Preparedness and Drills</t>
  </si>
  <si>
    <t xml:space="preserve">08_QUALITY_HSE_AND_ENVIRONMENT\08.10_Incidents_and_Emergency_Preparedness</t>
  </si>
  <si>
    <t xml:space="preserve">08.10_EMERGENCY_DRILL — Emergency Preparedness and Drills.xlsx</t>
  </si>
  <si>
    <t xml:space="preserve">Incident and Near Miss Reporting</t>
  </si>
  <si>
    <t xml:space="preserve">08.10_INCIDENT — Incident and Near Miss Reporting.xlsx</t>
  </si>
  <si>
    <t xml:space="preserve">Environmental Monitoring and Waste Control</t>
  </si>
  <si>
    <t xml:space="preserve">08_QUALITY_HSE_AND_ENVIRONMENT\08.11_Environmental_and_Sustainability</t>
  </si>
  <si>
    <t xml:space="preserve">08.11_ENV_MONITOR — Environmental Monitoring and Waste Control.xlsx</t>
  </si>
  <si>
    <t xml:space="preserve">Green Building and Sustainability Documentation</t>
  </si>
  <si>
    <t xml:space="preserve">08.11_IGBC — Green Building and Sustainability Documentation.xlsx</t>
  </si>
  <si>
    <t xml:space="preserve">08_QUALITY_HSE_AND_ENVIRONMENT\08.12_Welding_and_NDT_Control</t>
  </si>
  <si>
    <t xml:space="preserve">08.12_WELDING — Welding and NDT Control.xlsx</t>
  </si>
  <si>
    <t xml:space="preserve">09_COMMERCIAL_AND_CHANGE\09.01_Interim_Bill_Verification_Certification</t>
  </si>
  <si>
    <t xml:space="preserve">09.01_RA_BILL — Interim Bill Verification and Certification.xlsx</t>
  </si>
  <si>
    <t xml:space="preserve">09_COMMERCIAL_AND_CHANGE\09.02_Joint_Measurement</t>
  </si>
  <si>
    <t xml:space="preserve">09.02_JMS — Joint Measurement.xlsx</t>
  </si>
  <si>
    <t xml:space="preserve">09_COMMERCIAL_AND_CHANGE\09.03_Commitment_Expenditure_Register</t>
  </si>
  <si>
    <t xml:space="preserve">09.03_COMMITMENT — Commitment and Expenditure Register.xlsx</t>
  </si>
  <si>
    <t xml:space="preserve">09_COMMERCIAL_AND_CHANGE\09.04_Change_Control</t>
  </si>
  <si>
    <t xml:space="preserve">09.04_CCR — Change Control.xlsx</t>
  </si>
  <si>
    <t xml:space="preserve">09_COMMERCIAL_AND_CHANGE\09.05_Variation_Extra_Item_Evaluation</t>
  </si>
  <si>
    <t xml:space="preserve">09.05_VARIATION — Variation and Extra Item Evaluation.xlsx</t>
  </si>
  <si>
    <t xml:space="preserve">09_COMMERCIAL_AND_CHANGE\09.06_Rate_Analysis_Market_Rate_Evidence</t>
  </si>
  <si>
    <t xml:space="preserve">09.06_RATE_ANALYSIS — Rate Analysis and Market Rate Evidence.xlsx</t>
  </si>
  <si>
    <t xml:space="preserve">Extension of Time Claims</t>
  </si>
  <si>
    <t xml:space="preserve">09_COMMERCIAL_AND_CHANGE\09.07_Claims_and_Disputes</t>
  </si>
  <si>
    <t xml:space="preserve">09.07_EOT — Extension of Time Claims.xlsx</t>
  </si>
  <si>
    <t xml:space="preserve">Contractual Notices, Disputes and Legal</t>
  </si>
  <si>
    <t xml:space="preserve">09.07_LEGAL_NOTICE — Contractual Notices, Disputes and Legal.xlsx</t>
  </si>
  <si>
    <t xml:space="preserve">Cost Report and Forecast to Complete</t>
  </si>
  <si>
    <t xml:space="preserve">09_COMMERCIAL_AND_CHANGE\09.08_Cost_Reporting_and_Reconciliation</t>
  </si>
  <si>
    <t xml:space="preserve">09.08_COST_REPORT — Cost Report and Forecast to Complete.xlsx</t>
  </si>
  <si>
    <t xml:space="preserve">Material Reconciliation</t>
  </si>
  <si>
    <t xml:space="preserve">09.08_MATERIAL_RECON — Material Reconciliation.xlsx</t>
  </si>
  <si>
    <t xml:space="preserve">Final Account and Settlement</t>
  </si>
  <si>
    <t xml:space="preserve">09_COMMERCIAL_AND_CHANGE\09.09_Final_Account_and_Retention</t>
  </si>
  <si>
    <t xml:space="preserve">09.09_FINAL_ACCOUNT — Final Account and Settlement.xlsx</t>
  </si>
  <si>
    <t xml:space="preserve">Retention and Release</t>
  </si>
  <si>
    <t xml:space="preserve">09.09_RETENTION — Retention and Release.xlsx</t>
  </si>
  <si>
    <t xml:space="preserve">10_PERFORMANCE_HANDOVER_AND_IMPROVEMENT\10.01_Progress_Reporting_MIS</t>
  </si>
  <si>
    <t xml:space="preserve">10.01_REPORT_ISSUE — Progress Reporting and MIS.xlsx</t>
  </si>
  <si>
    <t xml:space="preserve">10_PERFORMANCE_HANDOVER_AND_IMPROVEMENT\10.02_Project_KPIs_Performance_Measurement</t>
  </si>
  <si>
    <t xml:space="preserve">10.02_KPI_DEF — Project KPIs and Performance Measurement.xlsx</t>
  </si>
  <si>
    <t xml:space="preserve">10_PERFORMANCE_HANDOVER_AND_IMPROVEMENT\10.03_Presentations_Site_Visits_Reviews</t>
  </si>
  <si>
    <t xml:space="preserve">10.03_PRESENTATION — Presentations, Site Visits and Reviews.xlsx</t>
  </si>
  <si>
    <t xml:space="preserve">Pre-Commissioning Checks</t>
  </si>
  <si>
    <t xml:space="preserve">10_PERFORMANCE_HANDOVER_AND_IMPROVEMENT\10.04_Commissioning_and_Testing</t>
  </si>
  <si>
    <t xml:space="preserve">10.04_PRECOM — Pre-Commissioning Checks.xlsx</t>
  </si>
  <si>
    <t xml:space="preserve">Testing and Commissioning</t>
  </si>
  <si>
    <t xml:space="preserve">10.04_TC_RECORD — Testing and Commissioning.xlsx</t>
  </si>
  <si>
    <t xml:space="preserve">10_PERFORMANCE_HANDOVER_AND_IMPROVEMENT\10.05_Snagging_and_Acceptance</t>
  </si>
  <si>
    <t xml:space="preserve">10.05_SNAG — Snagging and De-snagging.xlsx</t>
  </si>
  <si>
    <t xml:space="preserve">10_PERFORMANCE_HANDOVER_AND_IMPROVEMENT\10.06_Handover_Dossier_Practical_Completion</t>
  </si>
  <si>
    <t xml:space="preserve">10.06_HANDOVER — Handover Dossier and Practical Completion.xlsx</t>
  </si>
  <si>
    <t xml:space="preserve">10_PERFORMANCE_HANDOVER_AND_IMPROVEMENT\10.07_Operation_Maintenance_Manuals</t>
  </si>
  <si>
    <t xml:space="preserve">10.07_OM_MANUAL — Operation and Maintenance Manuals.xlsx</t>
  </si>
  <si>
    <t xml:space="preserve">10_PERFORMANCE_HANDOVER_AND_IMPROVEMENT\10.08_Warranties_Guarantees</t>
  </si>
  <si>
    <t xml:space="preserve">10.08_WARRANTY — Warranties and Guarantees.xlsx</t>
  </si>
  <si>
    <t xml:space="preserve">10_PERFORMANCE_HANDOVER_AND_IMPROVEMENT\10.09_Mandatory_Spares_Consumables</t>
  </si>
  <si>
    <t xml:space="preserve">10.09_SPARES — Mandatory Spares and Consumables.xlsx</t>
  </si>
  <si>
    <t xml:space="preserve">10_PERFORMANCE_HANDOVER_AND_IMPROVEMENT\10.10_FM_Training_Soft_Landings</t>
  </si>
  <si>
    <t xml:space="preserve">10.10_FM_TRAINING — FM Training and Soft Landings.xlsx</t>
  </si>
  <si>
    <t xml:space="preserve">10_PERFORMANCE_HANDOVER_AND_IMPROVEMENT\10.11_Key_Access_Handover</t>
  </si>
  <si>
    <t xml:space="preserve">10.11_KEY_HANDOVER — Key and Access Handover.xlsx</t>
  </si>
  <si>
    <t xml:space="preserve">Defect Liability Management</t>
  </si>
  <si>
    <t xml:space="preserve">10_PERFORMANCE_HANDOVER_AND_IMPROVEMENT\10.12_Defect_Liability_and_Warranty</t>
  </si>
  <si>
    <t xml:space="preserve">10.12_DEFECT — Defect Liability Management.xlsx</t>
  </si>
  <si>
    <t xml:space="preserve">Warranty Claims</t>
  </si>
  <si>
    <t xml:space="preserve">10.12_WARRANTY_CLAIM — Warranty Claims.xlsx</t>
  </si>
  <si>
    <t xml:space="preserve">10_PERFORMANCE_HANDOVER_AND_IMPROVEMENT\10.13_Contract_Project_Closeout</t>
  </si>
  <si>
    <t xml:space="preserve">10.13_CLOSEOUT — Contract and Project Closeout.xlsx</t>
  </si>
  <si>
    <t xml:space="preserve">10_PERFORMANCE_HANDOVER_AND_IMPROVEMENT\10.14_Lessons_Learned</t>
  </si>
  <si>
    <t xml:space="preserve">10.14_LESSONS — Lessons Learned.xlsx</t>
  </si>
  <si>
    <t xml:space="preserve">10_PERFORMANCE_HANDOVER_AND_IMPROVEMENT\10.15_Records_Archival_Transfer_Client</t>
  </si>
  <si>
    <t xml:space="preserve">10.15_ARCHIVE_TRANSFER — Records Archival and Transfer to Client.xlsx</t>
  </si>
  <si>
    <t xml:space="preserve">10_PERFORMANCE_HANDOVER_AND_IMPROVEMENT\10.16_Closed_Correspondence_Archive</t>
  </si>
  <si>
    <t xml:space="preserve">10.16_CLOSED_CORR — Closed Correspondence Archive.xlsx</t>
  </si>
  <si>
    <t xml:space="preserve">Factory and Site Acceptance Testing</t>
  </si>
  <si>
    <t xml:space="preserve">10_PERFORMANCE_HANDOVER_AND_IMPROVEMENT\10.17_FAT_SAT_and_Performance_Test_Run</t>
  </si>
  <si>
    <t xml:space="preserve">10.17_FAT_SAT — Factory and Site Acceptance Testing.xlsx</t>
  </si>
  <si>
    <t xml:space="preserve">Performance Guarantee Test Run and Trial Production</t>
  </si>
  <si>
    <t xml:space="preserve">10.17_PGTR — Performance Guarantee Test Run and Trial Production.xlsx</t>
  </si>
  <si>
    <t xml:space="preserve">Internal Audit Programme</t>
  </si>
  <si>
    <t xml:space="preserve">10_PERFORMANCE_HANDOVER_AND_IMPROVEMENT\10.18_Management_Review_and_Audit_Programme</t>
  </si>
  <si>
    <t xml:space="preserve">10.18_AUDIT_PROGRAMME — Internal Audit Programme.xlsx</t>
  </si>
  <si>
    <t xml:space="preserve">Management Review</t>
  </si>
  <si>
    <t xml:space="preserve">10.18_MGMT_REVIEW — Management Review.xlsx</t>
  </si>
  <si>
    <t xml:space="preserve">Client Satisfaction Monitoring</t>
  </si>
  <si>
    <t xml:space="preserve">10_PERFORMANCE_HANDOVER_AND_IMPROVEMENT\10.19_Client_Satisfaction_and_QMS_Context</t>
  </si>
  <si>
    <t xml:space="preserve">10.19_CLIENT_SATISFACTION — Client Satisfaction Monitoring.xlsx</t>
  </si>
  <si>
    <t xml:space="preserve">QMS Scope, Context and Interested Parties</t>
  </si>
  <si>
    <t xml:space="preserve">10.19_QMS_SCOPE — QMS Scope, Context and Interested Parties.xlsx</t>
  </si>
  <si>
    <t xml:space="preserve">WEEKLY TREND LOG</t>
  </si>
  <si>
    <t xml:space="preserve">Paste the dashboard figures here every Friday after refreshing. Trend matters more than any single week — a rising overdue count is the earliest warning the system is slipping.</t>
  </si>
  <si>
    <t xml:space="preserve">Week ending</t>
  </si>
  <si>
    <t xml:space="preserve">Subjects red</t>
  </si>
  <si>
    <t xml:space="preserve">Not yet used</t>
  </si>
  <si>
    <t xml:space="preserve">Movement in overdue</t>
  </si>
  <si>
    <t xml:space="preserve">Comment</t>
  </si>
  <si>
    <t xml:space="preserve">HOW TO REFRESH THIS KPI WORKBOOK</t>
  </si>
  <si>
    <t xml:space="preserve">WHAT REFRESHING DOES</t>
  </si>
  <si>
    <t xml:space="preserve">Each subject workbook holds its KPI figures on its DASHBOARD tab at fixed cells B41 to B47 — records, open, closed, overdue, percent closed, oldest open and KRA score. Refreshing copies those figures from all 127 workbooks into 03_SUBJECT_DATA. Everything else calculates itself.</t>
  </si>
  <si>
    <t xml:space="preserve">OPTION 1 — ONE-CLICK MACRO (recommended)</t>
  </si>
  <si>
    <t xml:space="preserve">Step 1</t>
  </si>
  <si>
    <t xml:space="preserve">Save this file as Excel Macro-Enabled Workbook (*.xlsm).</t>
  </si>
  <si>
    <t xml:space="preserve">Step 2</t>
  </si>
  <si>
    <t xml:space="preserve">Alt + F11 to open the Visual Basic editor.</t>
  </si>
  <si>
    <t xml:space="preserve">Step 3</t>
  </si>
  <si>
    <t xml:space="preserve">File &gt; Import File, and select REFRESH_KPI_MACRO.bas from the project root.</t>
  </si>
  <si>
    <t xml:space="preserve">Step 4</t>
  </si>
  <si>
    <t xml:space="preserve">Close the editor. Alt + F8, select RefreshAllKPI, click Run.</t>
  </si>
  <si>
    <t xml:space="preserve">Step 5</t>
  </si>
  <si>
    <t xml:space="preserve">The macro reads all 127 workbooks without opening them, in about a minute. The timestamp is written to 03_SUBJECT_DATA cell D3.</t>
  </si>
  <si>
    <t xml:space="preserve">Note</t>
  </si>
  <si>
    <t xml:space="preserve">This workbook must sit in the project root, alongside the numbered ISO areas. Paths are built from its own location, so the tree can be moved or renamed freely.</t>
  </si>
  <si>
    <t xml:space="preserve">OPTION 2 — PYTHON SCRIPT</t>
  </si>
  <si>
    <t xml:space="preserve">Run  python REFRESH_KPI.py  from the project root. Same job, same cells.</t>
  </si>
  <si>
    <t xml:space="preserve">OPTION 3 — MANUAL</t>
  </si>
  <si>
    <t xml:space="preserve">Open a subject workbook, read the seven figures from its DASHBOARD tab, type them into that subject's row on 03_SUBJECT_DATA.</t>
  </si>
  <si>
    <t xml:space="preserve">WEEKLY ROUTINE</t>
  </si>
  <si>
    <t xml:space="preserve">Friday</t>
  </si>
  <si>
    <t xml:space="preserve">1. Run the refresh.  2. Open 00_KPI_DASHBOARD.  3. Copy the headline figures into 04_TREND.  4. Filter 03_SUBJECT_DATA by RAG = RED and act on those subjects.  5. Issue with the weekly report.</t>
  </si>
  <si>
    <t xml:space="preserve">HOW THE RAG IS DECIDED</t>
  </si>
  <si>
    <t xml:space="preserve">UNUSED</t>
  </si>
  <si>
    <t xml:space="preserve">No records logged yet.</t>
  </si>
  <si>
    <t xml:space="preserve">RED</t>
  </si>
  <si>
    <t xml:space="preserve">Any overdue item, or the oldest open item exceeds 30 days.</t>
  </si>
  <si>
    <t xml:space="preserve">AMBER</t>
  </si>
  <si>
    <t xml:space="preserve">Oldest open item exceeds 14 days, or closure rate below 75%.</t>
  </si>
  <si>
    <t xml:space="preserve">GREEN</t>
  </si>
  <si>
    <t xml:space="preserve">Everything within target.</t>
  </si>
  <si>
    <t xml:space="preserve">WHY THE FIGURES ARE COPIED RATHER THAN LINKED</t>
  </si>
  <si>
    <t xml:space="preserve">Excel can link across files, but those links break when a folder is moved, renamed or synced by a cloud client — and they fail silently, showing stale numbers that look correct. Copying on a controlled refresh is one extra click and far safer. It also forces the Document Controller to run the refresh deliberately, which is the weekly audit.</t>
  </si>
  <si>
    <t xml:space="preserve">IF A SUBJECT SHOWS AN ERROR</t>
  </si>
  <si>
    <t xml:space="preserve">The workbook has been renamed, moved or deleted. Check column H of 03_SUBJECT_DATA against the actual file name, correct it, and refresh again.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</si>
</sst>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%"/>
    <numFmt numFmtId="167" formatCode="General"/>
    <numFmt numFmtId="168" formatCode="dd\-mmm\-yy\ hh:mm"/>
    <numFmt numFmtId="169" formatCode="dd\-mmm\-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b val="true"/>
      <sz val="9"/>
      <color rgb="FF80808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8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2"/>
    <col collapsed="false" customWidth="true" hidden="false" outlineLevel="0" max="12" min="10" style="0" width="14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  <c r="B5" s="4"/>
      <c r="C5" s="4" t="s">
        <v>4</v>
      </c>
      <c r="D5" s="4"/>
      <c r="E5" s="4" t="s">
        <v>5</v>
      </c>
      <c r="F5" s="4"/>
      <c r="G5" s="4" t="s">
        <v>6</v>
      </c>
      <c r="H5" s="4"/>
      <c r="I5" s="4" t="s">
        <v>7</v>
      </c>
      <c r="J5" s="4"/>
      <c r="K5" s="4" t="s">
        <v>8</v>
      </c>
      <c r="L5" s="4"/>
    </row>
    <row r="6" customFormat="false" ht="33.75" hidden="false" customHeight="true" outlineLevel="0" collapsed="false">
      <c r="A6" s="5" t="n">
        <f aca="false">02_ISO_AREA_ROLLUP!$E$15</f>
        <v>127</v>
      </c>
      <c r="B6" s="5"/>
      <c r="C6" s="5" t="n">
        <f aca="false">02_ISO_AREA_ROLLUP!$F$15</f>
        <v>0</v>
      </c>
      <c r="D6" s="5"/>
      <c r="E6" s="6" t="n">
        <f aca="false">02_ISO_AREA_ROLLUP!$G$15</f>
        <v>0</v>
      </c>
      <c r="F6" s="6"/>
      <c r="G6" s="7" t="n">
        <f aca="false">02_ISO_AREA_ROLLUP!$H$15</f>
        <v>0</v>
      </c>
      <c r="H6" s="7"/>
      <c r="I6" s="8" t="n">
        <f aca="false">02_ISO_AREA_ROLLUP!$J$15</f>
        <v>0</v>
      </c>
      <c r="J6" s="8"/>
      <c r="K6" s="8" t="n">
        <f aca="false">02_ISO_AREA_ROLLUP!$K$15</f>
        <v>0</v>
      </c>
      <c r="L6" s="8"/>
    </row>
    <row r="8" customFormat="false" ht="15" hidden="false" customHeight="true" outlineLevel="0" collapsed="false">
      <c r="A8" s="4" t="s">
        <v>9</v>
      </c>
      <c r="B8" s="4"/>
      <c r="C8" s="4" t="s">
        <v>10</v>
      </c>
      <c r="D8" s="4"/>
      <c r="E8" s="4" t="s">
        <v>11</v>
      </c>
      <c r="F8" s="4"/>
      <c r="G8" s="4" t="s">
        <v>12</v>
      </c>
      <c r="H8" s="4"/>
      <c r="I8" s="4" t="s">
        <v>13</v>
      </c>
      <c r="J8" s="4"/>
      <c r="K8" s="4" t="s">
        <v>14</v>
      </c>
      <c r="L8" s="4"/>
    </row>
    <row r="9" customFormat="false" ht="33.75" hidden="false" customHeight="true" outlineLevel="0" collapsed="false">
      <c r="A9" s="9" t="n">
        <f aca="false">02_ISO_AREA_ROLLUP!$I$15</f>
        <v>0</v>
      </c>
      <c r="B9" s="9"/>
      <c r="C9" s="9" t="n">
        <f aca="false">COUNTIF(03_SUBJECT_DATA!$P$6:$P$132,"RED")</f>
        <v>0</v>
      </c>
      <c r="D9" s="9"/>
      <c r="E9" s="6" t="n">
        <f aca="false">COUNTIF(03_SUBJECT_DATA!$P$6:$P$132,"AMBER")</f>
        <v>0</v>
      </c>
      <c r="F9" s="6"/>
      <c r="G9" s="7" t="n">
        <f aca="false">COUNTIF(03_SUBJECT_DATA!$P$6:$P$132,"GREEN")</f>
        <v>0</v>
      </c>
      <c r="H9" s="7"/>
      <c r="I9" s="5" t="n">
        <f aca="false">127-COUNTIF(03_SUBJECT_DATA!$P$6:$P$132,"UNUSED")</f>
        <v>0</v>
      </c>
      <c r="J9" s="5"/>
      <c r="K9" s="5" t="n">
        <f aca="false">COUNTIF(03_SUBJECT_DATA!$P$6:$P$132,"UNUSED")</f>
        <v>127</v>
      </c>
      <c r="L9" s="5"/>
    </row>
    <row r="12" customFormat="false" ht="15" hidden="false" customHeight="false" outlineLevel="0" collapsed="false">
      <c r="A12" s="10" t="s">
        <v>15</v>
      </c>
    </row>
    <row r="13" customFormat="false" ht="25.5" hidden="false" customHeight="true" outlineLevel="0" collapsed="false">
      <c r="A13" s="11" t="s">
        <v>16</v>
      </c>
      <c r="B13" s="11" t="s">
        <v>17</v>
      </c>
      <c r="C13" s="11" t="s">
        <v>18</v>
      </c>
      <c r="D13" s="11" t="s">
        <v>19</v>
      </c>
      <c r="E13" s="11" t="s">
        <v>20</v>
      </c>
      <c r="F13" s="11" t="s">
        <v>21</v>
      </c>
      <c r="G13" s="11" t="s">
        <v>22</v>
      </c>
      <c r="H13" s="11" t="s">
        <v>23</v>
      </c>
      <c r="I13" s="11" t="s">
        <v>24</v>
      </c>
    </row>
    <row r="14" customFormat="false" ht="15" hidden="false" customHeight="false" outlineLevel="0" collapsed="false">
      <c r="A14" s="12" t="str">
        <f aca="false">02_ISO_AREA_ROLLUP!$B$5</f>
        <v>01_CONTEXT_AND_GOVERNANCE</v>
      </c>
      <c r="B14" s="13" t="n">
        <f aca="false">02_ISO_AREA_ROLLUP!$D$5</f>
        <v>5</v>
      </c>
      <c r="C14" s="13" t="n">
        <f aca="false">02_ISO_AREA_ROLLUP!$E$5</f>
        <v>9</v>
      </c>
      <c r="D14" s="13" t="n">
        <f aca="false">02_ISO_AREA_ROLLUP!$F$5</f>
        <v>0</v>
      </c>
      <c r="E14" s="13" t="n">
        <f aca="false">02_ISO_AREA_ROLLUP!$G$5</f>
        <v>0</v>
      </c>
      <c r="F14" s="14" t="n">
        <f aca="false">02_ISO_AREA_ROLLUP!$I$5</f>
        <v>0</v>
      </c>
      <c r="G14" s="15" t="n">
        <f aca="false">02_ISO_AREA_ROLLUP!$J$5</f>
        <v>0</v>
      </c>
      <c r="H14" s="15" t="n">
        <f aca="false">02_ISO_AREA_ROLLUP!$K$5</f>
        <v>0</v>
      </c>
      <c r="I14" s="16" t="str">
        <f aca="false">02_ISO_AREA_ROLLUP!$M$5</f>
        <v>AMBER</v>
      </c>
    </row>
    <row r="15" customFormat="false" ht="15" hidden="false" customHeight="false" outlineLevel="0" collapsed="false">
      <c r="A15" s="12" t="str">
        <f aca="false">02_ISO_AREA_ROLLUP!$B$6</f>
        <v>02_PLANNING</v>
      </c>
      <c r="B15" s="13" t="n">
        <f aca="false">02_ISO_AREA_ROLLUP!$D$6</f>
        <v>11</v>
      </c>
      <c r="C15" s="13" t="n">
        <f aca="false">02_ISO_AREA_ROLLUP!$E$6</f>
        <v>13</v>
      </c>
      <c r="D15" s="13" t="n">
        <f aca="false">02_ISO_AREA_ROLLUP!$F$6</f>
        <v>0</v>
      </c>
      <c r="E15" s="13" t="n">
        <f aca="false">02_ISO_AREA_ROLLUP!$G$6</f>
        <v>0</v>
      </c>
      <c r="F15" s="14" t="n">
        <f aca="false">02_ISO_AREA_ROLLUP!$I$6</f>
        <v>0</v>
      </c>
      <c r="G15" s="15" t="n">
        <f aca="false">02_ISO_AREA_ROLLUP!$J$6</f>
        <v>0</v>
      </c>
      <c r="H15" s="15" t="n">
        <f aca="false">02_ISO_AREA_ROLLUP!$K$6</f>
        <v>0</v>
      </c>
      <c r="I15" s="16" t="str">
        <f aca="false">02_ISO_AREA_ROLLUP!$M$6</f>
        <v>AMBER</v>
      </c>
    </row>
    <row r="16" customFormat="false" ht="15" hidden="false" customHeight="false" outlineLevel="0" collapsed="false">
      <c r="A16" s="12" t="str">
        <f aca="false">02_ISO_AREA_ROLLUP!$B$7</f>
        <v>03_SUPPORT_AND_RESOURCES</v>
      </c>
      <c r="B16" s="13" t="n">
        <f aca="false">02_ISO_AREA_ROLLUP!$D$7</f>
        <v>9</v>
      </c>
      <c r="C16" s="13" t="n">
        <f aca="false">02_ISO_AREA_ROLLUP!$E$7</f>
        <v>9</v>
      </c>
      <c r="D16" s="13" t="n">
        <f aca="false">02_ISO_AREA_ROLLUP!$F$7</f>
        <v>0</v>
      </c>
      <c r="E16" s="13" t="n">
        <f aca="false">02_ISO_AREA_ROLLUP!$G$7</f>
        <v>0</v>
      </c>
      <c r="F16" s="14" t="n">
        <f aca="false">02_ISO_AREA_ROLLUP!$I$7</f>
        <v>0</v>
      </c>
      <c r="G16" s="15" t="n">
        <f aca="false">02_ISO_AREA_ROLLUP!$J$7</f>
        <v>0</v>
      </c>
      <c r="H16" s="15" t="n">
        <f aca="false">02_ISO_AREA_ROLLUP!$K$7</f>
        <v>0</v>
      </c>
      <c r="I16" s="16" t="str">
        <f aca="false">02_ISO_AREA_ROLLUP!$M$7</f>
        <v>AMBER</v>
      </c>
    </row>
    <row r="17" customFormat="false" ht="22.35" hidden="false" customHeight="false" outlineLevel="0" collapsed="false">
      <c r="A17" s="12" t="str">
        <f aca="false">02_ISO_AREA_ROLLUP!$B$8</f>
        <v>04_DESIGN_AND_INFORMATION_MANAGEMENT</v>
      </c>
      <c r="B17" s="13" t="n">
        <f aca="false">02_ISO_AREA_ROLLUP!$D$8</f>
        <v>8</v>
      </c>
      <c r="C17" s="13" t="n">
        <f aca="false">02_ISO_AREA_ROLLUP!$E$8</f>
        <v>12</v>
      </c>
      <c r="D17" s="13" t="n">
        <f aca="false">02_ISO_AREA_ROLLUP!$F$8</f>
        <v>0</v>
      </c>
      <c r="E17" s="13" t="n">
        <f aca="false">02_ISO_AREA_ROLLUP!$G$8</f>
        <v>0</v>
      </c>
      <c r="F17" s="14" t="n">
        <f aca="false">02_ISO_AREA_ROLLUP!$I$8</f>
        <v>0</v>
      </c>
      <c r="G17" s="15" t="n">
        <f aca="false">02_ISO_AREA_ROLLUP!$J$8</f>
        <v>0</v>
      </c>
      <c r="H17" s="15" t="n">
        <f aca="false">02_ISO_AREA_ROLLUP!$K$8</f>
        <v>0</v>
      </c>
      <c r="I17" s="16" t="str">
        <f aca="false">02_ISO_AREA_ROLLUP!$M$8</f>
        <v>AMBER</v>
      </c>
    </row>
    <row r="18" customFormat="false" ht="15" hidden="false" customHeight="false" outlineLevel="0" collapsed="false">
      <c r="A18" s="12" t="str">
        <f aca="false">02_ISO_AREA_ROLLUP!$B$9</f>
        <v>05_PROCUREMENT_AND_CONTRACTS</v>
      </c>
      <c r="B18" s="13" t="n">
        <f aca="false">02_ISO_AREA_ROLLUP!$D$9</f>
        <v>11</v>
      </c>
      <c r="C18" s="13" t="n">
        <f aca="false">02_ISO_AREA_ROLLUP!$E$9</f>
        <v>13</v>
      </c>
      <c r="D18" s="13" t="n">
        <f aca="false">02_ISO_AREA_ROLLUP!$F$9</f>
        <v>0</v>
      </c>
      <c r="E18" s="13" t="n">
        <f aca="false">02_ISO_AREA_ROLLUP!$G$9</f>
        <v>0</v>
      </c>
      <c r="F18" s="14" t="n">
        <f aca="false">02_ISO_AREA_ROLLUP!$I$9</f>
        <v>0</v>
      </c>
      <c r="G18" s="15" t="n">
        <f aca="false">02_ISO_AREA_ROLLUP!$J$9</f>
        <v>0</v>
      </c>
      <c r="H18" s="15" t="n">
        <f aca="false">02_ISO_AREA_ROLLUP!$K$9</f>
        <v>0</v>
      </c>
      <c r="I18" s="16" t="str">
        <f aca="false">02_ISO_AREA_ROLLUP!$M$9</f>
        <v>AMBER</v>
      </c>
    </row>
    <row r="19" customFormat="false" ht="15" hidden="false" customHeight="false" outlineLevel="0" collapsed="false">
      <c r="A19" s="12" t="str">
        <f aca="false">02_ISO_AREA_ROLLUP!$B$10</f>
        <v>06_STATUTORY_AND_LAND</v>
      </c>
      <c r="B19" s="13" t="n">
        <f aca="false">02_ISO_AREA_ROLLUP!$D$10</f>
        <v>4</v>
      </c>
      <c r="C19" s="13" t="n">
        <f aca="false">02_ISO_AREA_ROLLUP!$E$10</f>
        <v>4</v>
      </c>
      <c r="D19" s="13" t="n">
        <f aca="false">02_ISO_AREA_ROLLUP!$F$10</f>
        <v>0</v>
      </c>
      <c r="E19" s="13" t="n">
        <f aca="false">02_ISO_AREA_ROLLUP!$G$10</f>
        <v>0</v>
      </c>
      <c r="F19" s="14" t="n">
        <f aca="false">02_ISO_AREA_ROLLUP!$I$10</f>
        <v>0</v>
      </c>
      <c r="G19" s="15" t="n">
        <f aca="false">02_ISO_AREA_ROLLUP!$J$10</f>
        <v>0</v>
      </c>
      <c r="H19" s="15" t="n">
        <f aca="false">02_ISO_AREA_ROLLUP!$K$10</f>
        <v>0</v>
      </c>
      <c r="I19" s="16" t="str">
        <f aca="false">02_ISO_AREA_ROLLUP!$M$10</f>
        <v>AMBER</v>
      </c>
    </row>
    <row r="20" customFormat="false" ht="15" hidden="false" customHeight="false" outlineLevel="0" collapsed="false">
      <c r="A20" s="12" t="str">
        <f aca="false">02_ISO_AREA_ROLLUP!$B$11</f>
        <v>07_EXECUTION_AND_DELIVERY</v>
      </c>
      <c r="B20" s="13" t="n">
        <f aca="false">02_ISO_AREA_ROLLUP!$D$11</f>
        <v>12</v>
      </c>
      <c r="C20" s="13" t="n">
        <f aca="false">02_ISO_AREA_ROLLUP!$E$11</f>
        <v>17</v>
      </c>
      <c r="D20" s="13" t="n">
        <f aca="false">02_ISO_AREA_ROLLUP!$F$11</f>
        <v>0</v>
      </c>
      <c r="E20" s="13" t="n">
        <f aca="false">02_ISO_AREA_ROLLUP!$G$11</f>
        <v>0</v>
      </c>
      <c r="F20" s="14" t="n">
        <f aca="false">02_ISO_AREA_ROLLUP!$I$11</f>
        <v>0</v>
      </c>
      <c r="G20" s="15" t="n">
        <f aca="false">02_ISO_AREA_ROLLUP!$J$11</f>
        <v>0</v>
      </c>
      <c r="H20" s="15" t="n">
        <f aca="false">02_ISO_AREA_ROLLUP!$K$11</f>
        <v>0</v>
      </c>
      <c r="I20" s="16" t="str">
        <f aca="false">02_ISO_AREA_ROLLUP!$M$11</f>
        <v>AMBER</v>
      </c>
    </row>
    <row r="21" customFormat="false" ht="15" hidden="false" customHeight="false" outlineLevel="0" collapsed="false">
      <c r="A21" s="12" t="str">
        <f aca="false">02_ISO_AREA_ROLLUP!$B$12</f>
        <v>08_QUALITY_HSE_AND_ENVIRONMENT</v>
      </c>
      <c r="B21" s="13" t="n">
        <f aca="false">02_ISO_AREA_ROLLUP!$D$12</f>
        <v>12</v>
      </c>
      <c r="C21" s="13" t="n">
        <f aca="false">02_ISO_AREA_ROLLUP!$E$12</f>
        <v>14</v>
      </c>
      <c r="D21" s="13" t="n">
        <f aca="false">02_ISO_AREA_ROLLUP!$F$12</f>
        <v>0</v>
      </c>
      <c r="E21" s="13" t="n">
        <f aca="false">02_ISO_AREA_ROLLUP!$G$12</f>
        <v>0</v>
      </c>
      <c r="F21" s="14" t="n">
        <f aca="false">02_ISO_AREA_ROLLUP!$I$12</f>
        <v>0</v>
      </c>
      <c r="G21" s="15" t="n">
        <f aca="false">02_ISO_AREA_ROLLUP!$J$12</f>
        <v>0</v>
      </c>
      <c r="H21" s="15" t="n">
        <f aca="false">02_ISO_AREA_ROLLUP!$K$12</f>
        <v>0</v>
      </c>
      <c r="I21" s="16" t="str">
        <f aca="false">02_ISO_AREA_ROLLUP!$M$12</f>
        <v>AMBER</v>
      </c>
    </row>
    <row r="22" customFormat="false" ht="15" hidden="false" customHeight="false" outlineLevel="0" collapsed="false">
      <c r="A22" s="12" t="str">
        <f aca="false">02_ISO_AREA_ROLLUP!$B$13</f>
        <v>09_COMMERCIAL_AND_CHANGE</v>
      </c>
      <c r="B22" s="13" t="n">
        <f aca="false">02_ISO_AREA_ROLLUP!$D$13</f>
        <v>9</v>
      </c>
      <c r="C22" s="13" t="n">
        <f aca="false">02_ISO_AREA_ROLLUP!$E$13</f>
        <v>12</v>
      </c>
      <c r="D22" s="13" t="n">
        <f aca="false">02_ISO_AREA_ROLLUP!$F$13</f>
        <v>0</v>
      </c>
      <c r="E22" s="13" t="n">
        <f aca="false">02_ISO_AREA_ROLLUP!$G$13</f>
        <v>0</v>
      </c>
      <c r="F22" s="14" t="n">
        <f aca="false">02_ISO_AREA_ROLLUP!$I$13</f>
        <v>0</v>
      </c>
      <c r="G22" s="15" t="n">
        <f aca="false">02_ISO_AREA_ROLLUP!$J$13</f>
        <v>0</v>
      </c>
      <c r="H22" s="15" t="n">
        <f aca="false">02_ISO_AREA_ROLLUP!$K$13</f>
        <v>0</v>
      </c>
      <c r="I22" s="16" t="str">
        <f aca="false">02_ISO_AREA_ROLLUP!$M$13</f>
        <v>AMBER</v>
      </c>
    </row>
    <row r="23" customFormat="false" ht="22.35" hidden="false" customHeight="false" outlineLevel="0" collapsed="false">
      <c r="A23" s="12" t="str">
        <f aca="false">02_ISO_AREA_ROLLUP!$B$14</f>
        <v>10_PERFORMANCE_HANDOVER_AND_IMPROVEMENT</v>
      </c>
      <c r="B23" s="13" t="n">
        <f aca="false">02_ISO_AREA_ROLLUP!$D$14</f>
        <v>19</v>
      </c>
      <c r="C23" s="13" t="n">
        <f aca="false">02_ISO_AREA_ROLLUP!$E$14</f>
        <v>24</v>
      </c>
      <c r="D23" s="13" t="n">
        <f aca="false">02_ISO_AREA_ROLLUP!$F$14</f>
        <v>0</v>
      </c>
      <c r="E23" s="13" t="n">
        <f aca="false">02_ISO_AREA_ROLLUP!$G$14</f>
        <v>0</v>
      </c>
      <c r="F23" s="14" t="n">
        <f aca="false">02_ISO_AREA_ROLLUP!$I$14</f>
        <v>0</v>
      </c>
      <c r="G23" s="15" t="n">
        <f aca="false">02_ISO_AREA_ROLLUP!$J$14</f>
        <v>0</v>
      </c>
      <c r="H23" s="15" t="n">
        <f aca="false">02_ISO_AREA_ROLLUP!$K$14</f>
        <v>0</v>
      </c>
      <c r="I23" s="16" t="str">
        <f aca="false">02_ISO_AREA_ROLLUP!$M$14</f>
        <v>AMBER</v>
      </c>
    </row>
    <row r="25" customFormat="false" ht="15" hidden="false" customHeight="false" outlineLevel="0" collapsed="false">
      <c r="A25" s="10" t="s">
        <v>25</v>
      </c>
    </row>
    <row r="26" customFormat="false" ht="15" hidden="false" customHeight="false" outlineLevel="0" collapsed="false">
      <c r="A26" s="11" t="s">
        <v>26</v>
      </c>
      <c r="B26" s="11" t="s">
        <v>27</v>
      </c>
      <c r="C26" s="11" t="s">
        <v>28</v>
      </c>
      <c r="D26" s="11" t="s">
        <v>29</v>
      </c>
    </row>
    <row r="27" customFormat="false" ht="15" hidden="false" customHeight="false" outlineLevel="0" collapsed="false">
      <c r="A27" s="17" t="s">
        <v>30</v>
      </c>
      <c r="B27" s="18" t="n">
        <f aca="false">COUNTIF(03_SUBJECT_DATA!$L$6:$L$132,"&gt;0")</f>
        <v>0</v>
      </c>
      <c r="C27" s="19" t="s">
        <v>31</v>
      </c>
      <c r="D27" s="20" t="s">
        <v>32</v>
      </c>
    </row>
    <row r="28" customFormat="false" ht="15" hidden="false" customHeight="false" outlineLevel="0" collapsed="false">
      <c r="A28" s="17" t="s">
        <v>33</v>
      </c>
      <c r="B28" s="18" t="n">
        <f aca="false">02_ISO_AREA_ROLLUP!$I$15</f>
        <v>0</v>
      </c>
      <c r="C28" s="19" t="s">
        <v>31</v>
      </c>
      <c r="D28" s="20" t="s">
        <v>32</v>
      </c>
    </row>
    <row r="29" customFormat="false" ht="15" hidden="false" customHeight="false" outlineLevel="0" collapsed="false">
      <c r="A29" s="17" t="s">
        <v>34</v>
      </c>
      <c r="B29" s="18" t="n">
        <f aca="false">IFERROR(MAX(03_SUBJECT_DATA!$N$6:$N$132),0)</f>
        <v>0</v>
      </c>
      <c r="C29" s="19" t="s">
        <v>35</v>
      </c>
      <c r="D29" s="20" t="s">
        <v>32</v>
      </c>
    </row>
    <row r="30" customFormat="false" ht="15" hidden="false" customHeight="false" outlineLevel="0" collapsed="false">
      <c r="A30" s="17" t="s">
        <v>36</v>
      </c>
      <c r="B30" s="21" t="n">
        <f aca="false">02_ISO_AREA_ROLLUP!$J$15</f>
        <v>0</v>
      </c>
      <c r="C30" s="19" t="s">
        <v>37</v>
      </c>
      <c r="D30" s="20" t="s">
        <v>32</v>
      </c>
    </row>
    <row r="31" customFormat="false" ht="15" hidden="false" customHeight="false" outlineLevel="0" collapsed="false">
      <c r="A31" s="17" t="s">
        <v>38</v>
      </c>
      <c r="B31" s="21" t="n">
        <f aca="false">02_ISO_AREA_ROLLUP!$K$15</f>
        <v>0</v>
      </c>
      <c r="C31" s="19" t="s">
        <v>37</v>
      </c>
      <c r="D31" s="20" t="s">
        <v>39</v>
      </c>
    </row>
    <row r="32" customFormat="false" ht="15" hidden="false" customHeight="false" outlineLevel="0" collapsed="false">
      <c r="A32" s="17" t="s">
        <v>40</v>
      </c>
      <c r="B32" s="21" t="n">
        <f aca="false">COUNTIF(03_SUBJECT_DATA!$P$6:$P$132,"RED")</f>
        <v>0</v>
      </c>
      <c r="C32" s="19" t="s">
        <v>31</v>
      </c>
      <c r="D32" s="20" t="s">
        <v>24</v>
      </c>
    </row>
    <row r="33" customFormat="false" ht="15" hidden="false" customHeight="false" outlineLevel="0" collapsed="false">
      <c r="A33" s="17" t="s">
        <v>41</v>
      </c>
      <c r="B33" s="18" t="n">
        <f aca="false">COUNTIFS(03_SUBJECT_DATA!$F$6:$F$132,"SITE",03_SUBJECT_DATA!$L$6:$L$132,"&gt;0")</f>
        <v>0</v>
      </c>
      <c r="C33" s="19" t="s">
        <v>31</v>
      </c>
      <c r="D33" s="20" t="s">
        <v>42</v>
      </c>
    </row>
    <row r="34" customFormat="false" ht="15" hidden="false" customHeight="false" outlineLevel="0" collapsed="false">
      <c r="A34" s="17" t="s">
        <v>43</v>
      </c>
      <c r="B34" s="18" t="n">
        <f aca="false">COUNTIFS(03_SUBJECT_DATA!$F$6:$F$132,"HO",03_SUBJECT_DATA!$L$6:$L$132,"&gt;0")</f>
        <v>0</v>
      </c>
      <c r="C34" s="19" t="s">
        <v>31</v>
      </c>
      <c r="D34" s="20" t="s">
        <v>44</v>
      </c>
    </row>
    <row r="35" customFormat="false" ht="19.4" hidden="false" customHeight="false" outlineLevel="0" collapsed="false">
      <c r="A35" s="17" t="s">
        <v>45</v>
      </c>
      <c r="B35" s="18" t="n">
        <f aca="false">COUNTIF(03_SUBJECT_DATA!$P$6:$P$132,"UNUSED")</f>
        <v>127</v>
      </c>
      <c r="C35" s="19" t="s">
        <v>46</v>
      </c>
      <c r="D35" s="20" t="s">
        <v>47</v>
      </c>
    </row>
    <row r="38" customFormat="false" ht="15" hidden="false" customHeight="false" outlineLevel="0" collapsed="false">
      <c r="A38" s="3" t="s">
        <v>48</v>
      </c>
    </row>
  </sheetData>
  <mergeCells count="24"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8:B8"/>
    <mergeCell ref="C8:D8"/>
    <mergeCell ref="E8:F8"/>
    <mergeCell ref="G8:H8"/>
    <mergeCell ref="I8:J8"/>
    <mergeCell ref="K8:L8"/>
    <mergeCell ref="A9:B9"/>
    <mergeCell ref="C9:D9"/>
    <mergeCell ref="E9:F9"/>
    <mergeCell ref="G9:H9"/>
    <mergeCell ref="I9:J9"/>
    <mergeCell ref="K9:L9"/>
  </mergeCells>
  <conditionalFormatting sqref="I14:I23">
    <cfRule type="cellIs" priority="2" operator="equal" aboveAverage="0" equalAverage="0" bottom="0" percent="0" rank="0" text="" dxfId="0">
      <formula>"RED"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52"/>
  </cols>
  <sheetData>
    <row r="1" customFormat="false" ht="19.7" hidden="false" customHeight="false" outlineLevel="0" collapsed="false">
      <c r="A1" s="22" t="s">
        <v>49</v>
      </c>
    </row>
    <row r="2" customFormat="false" ht="15" hidden="false" customHeight="false" outlineLevel="0" collapsed="false">
      <c r="A2" s="3" t="s">
        <v>50</v>
      </c>
    </row>
    <row r="4" customFormat="false" ht="27.75" hidden="false" customHeight="true" outlineLevel="0" collapsed="false">
      <c r="A4" s="11" t="s">
        <v>16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</row>
    <row r="5" customFormat="false" ht="22.35" hidden="false" customHeight="false" outlineLevel="0" collapsed="false">
      <c r="A5" s="12" t="s">
        <v>56</v>
      </c>
      <c r="B5" s="12" t="s">
        <v>57</v>
      </c>
      <c r="C5" s="12" t="s">
        <v>58</v>
      </c>
      <c r="D5" s="12" t="s">
        <v>59</v>
      </c>
      <c r="E5" s="19" t="s">
        <v>60</v>
      </c>
      <c r="F5" s="12" t="s">
        <v>61</v>
      </c>
    </row>
    <row r="6" customFormat="false" ht="15" hidden="false" customHeight="false" outlineLevel="0" collapsed="false">
      <c r="A6" s="12" t="s">
        <v>56</v>
      </c>
      <c r="B6" s="12" t="s">
        <v>57</v>
      </c>
      <c r="C6" s="12" t="s">
        <v>62</v>
      </c>
      <c r="D6" s="12" t="s">
        <v>63</v>
      </c>
      <c r="E6" s="19" t="s">
        <v>64</v>
      </c>
      <c r="F6" s="12" t="s">
        <v>65</v>
      </c>
    </row>
    <row r="7" customFormat="false" ht="22.35" hidden="false" customHeight="false" outlineLevel="0" collapsed="false">
      <c r="A7" s="12" t="s">
        <v>56</v>
      </c>
      <c r="B7" s="12" t="s">
        <v>57</v>
      </c>
      <c r="C7" s="12" t="s">
        <v>66</v>
      </c>
      <c r="D7" s="12" t="s">
        <v>67</v>
      </c>
      <c r="E7" s="19" t="s">
        <v>60</v>
      </c>
      <c r="F7" s="12" t="s">
        <v>68</v>
      </c>
    </row>
    <row r="8" customFormat="false" ht="15" hidden="false" customHeight="false" outlineLevel="0" collapsed="false">
      <c r="A8" s="12" t="s">
        <v>56</v>
      </c>
      <c r="B8" s="12" t="s">
        <v>57</v>
      </c>
      <c r="C8" s="12" t="s">
        <v>69</v>
      </c>
      <c r="D8" s="12" t="s">
        <v>70</v>
      </c>
      <c r="E8" s="19" t="s">
        <v>60</v>
      </c>
      <c r="F8" s="12" t="s">
        <v>71</v>
      </c>
    </row>
    <row r="9" customFormat="false" ht="22.35" hidden="false" customHeight="false" outlineLevel="0" collapsed="false">
      <c r="A9" s="12" t="s">
        <v>56</v>
      </c>
      <c r="B9" s="12" t="s">
        <v>57</v>
      </c>
      <c r="C9" s="12" t="s">
        <v>72</v>
      </c>
      <c r="D9" s="12" t="s">
        <v>73</v>
      </c>
      <c r="E9" s="19" t="s">
        <v>60</v>
      </c>
      <c r="F9" s="12" t="s">
        <v>74</v>
      </c>
    </row>
    <row r="10" customFormat="false" ht="22.35" hidden="false" customHeight="false" outlineLevel="0" collapsed="false">
      <c r="A10" s="12" t="s">
        <v>75</v>
      </c>
      <c r="B10" s="12" t="s">
        <v>76</v>
      </c>
      <c r="C10" s="12" t="s">
        <v>77</v>
      </c>
      <c r="D10" s="12" t="s">
        <v>78</v>
      </c>
      <c r="E10" s="19" t="s">
        <v>60</v>
      </c>
      <c r="F10" s="12" t="s">
        <v>79</v>
      </c>
    </row>
    <row r="11" customFormat="false" ht="15" hidden="false" customHeight="false" outlineLevel="0" collapsed="false">
      <c r="A11" s="12" t="s">
        <v>75</v>
      </c>
      <c r="B11" s="12" t="s">
        <v>76</v>
      </c>
      <c r="C11" s="12" t="s">
        <v>80</v>
      </c>
      <c r="D11" s="12" t="s">
        <v>81</v>
      </c>
      <c r="E11" s="19" t="s">
        <v>64</v>
      </c>
      <c r="F11" s="12" t="s">
        <v>82</v>
      </c>
    </row>
    <row r="12" customFormat="false" ht="15" hidden="false" customHeight="false" outlineLevel="0" collapsed="false">
      <c r="A12" s="12" t="s">
        <v>75</v>
      </c>
      <c r="B12" s="12" t="s">
        <v>76</v>
      </c>
      <c r="C12" s="12" t="s">
        <v>83</v>
      </c>
      <c r="D12" s="12" t="s">
        <v>81</v>
      </c>
      <c r="E12" s="19" t="s">
        <v>64</v>
      </c>
      <c r="F12" s="12" t="s">
        <v>84</v>
      </c>
    </row>
    <row r="13" customFormat="false" ht="22.35" hidden="false" customHeight="false" outlineLevel="0" collapsed="false">
      <c r="A13" s="12" t="s">
        <v>75</v>
      </c>
      <c r="B13" s="12" t="s">
        <v>76</v>
      </c>
      <c r="C13" s="12" t="s">
        <v>85</v>
      </c>
      <c r="D13" s="12" t="s">
        <v>81</v>
      </c>
      <c r="E13" s="19" t="s">
        <v>64</v>
      </c>
      <c r="F13" s="12" t="s">
        <v>86</v>
      </c>
    </row>
    <row r="14" customFormat="false" ht="15" hidden="false" customHeight="false" outlineLevel="0" collapsed="false">
      <c r="A14" s="12" t="s">
        <v>75</v>
      </c>
      <c r="B14" s="12" t="s">
        <v>76</v>
      </c>
      <c r="C14" s="12" t="s">
        <v>87</v>
      </c>
      <c r="D14" s="12" t="s">
        <v>88</v>
      </c>
      <c r="E14" s="19" t="s">
        <v>60</v>
      </c>
      <c r="F14" s="12" t="s">
        <v>89</v>
      </c>
    </row>
    <row r="15" customFormat="false" ht="15" hidden="false" customHeight="false" outlineLevel="0" collapsed="false">
      <c r="A15" s="12" t="s">
        <v>75</v>
      </c>
      <c r="B15" s="12" t="s">
        <v>76</v>
      </c>
      <c r="C15" s="12" t="s">
        <v>90</v>
      </c>
      <c r="D15" s="12" t="s">
        <v>88</v>
      </c>
      <c r="E15" s="19" t="s">
        <v>60</v>
      </c>
      <c r="F15" s="12" t="s">
        <v>91</v>
      </c>
    </row>
    <row r="16" customFormat="false" ht="15" hidden="false" customHeight="false" outlineLevel="0" collapsed="false">
      <c r="A16" s="12" t="s">
        <v>75</v>
      </c>
      <c r="B16" s="12" t="s">
        <v>76</v>
      </c>
      <c r="C16" s="12" t="s">
        <v>92</v>
      </c>
      <c r="D16" s="12" t="s">
        <v>88</v>
      </c>
      <c r="E16" s="19" t="s">
        <v>60</v>
      </c>
      <c r="F16" s="12" t="s">
        <v>93</v>
      </c>
    </row>
    <row r="17" customFormat="false" ht="15" hidden="false" customHeight="false" outlineLevel="0" collapsed="false">
      <c r="A17" s="12" t="s">
        <v>75</v>
      </c>
      <c r="B17" s="12" t="s">
        <v>76</v>
      </c>
      <c r="C17" s="12" t="s">
        <v>94</v>
      </c>
      <c r="D17" s="12" t="s">
        <v>95</v>
      </c>
      <c r="E17" s="19" t="s">
        <v>60</v>
      </c>
      <c r="F17" s="12" t="s">
        <v>96</v>
      </c>
    </row>
    <row r="18" customFormat="false" ht="15" hidden="false" customHeight="false" outlineLevel="0" collapsed="false">
      <c r="A18" s="12" t="s">
        <v>75</v>
      </c>
      <c r="B18" s="12" t="s">
        <v>76</v>
      </c>
      <c r="C18" s="12" t="s">
        <v>97</v>
      </c>
      <c r="D18" s="12" t="s">
        <v>98</v>
      </c>
      <c r="E18" s="19" t="s">
        <v>60</v>
      </c>
      <c r="F18" s="12" t="s">
        <v>99</v>
      </c>
    </row>
    <row r="19" customFormat="false" ht="15" hidden="false" customHeight="false" outlineLevel="0" collapsed="false">
      <c r="A19" s="12" t="s">
        <v>75</v>
      </c>
      <c r="B19" s="12" t="s">
        <v>76</v>
      </c>
      <c r="C19" s="12" t="s">
        <v>100</v>
      </c>
      <c r="D19" s="12" t="s">
        <v>98</v>
      </c>
      <c r="E19" s="19" t="s">
        <v>60</v>
      </c>
      <c r="F19" s="12" t="s">
        <v>101</v>
      </c>
    </row>
    <row r="20" customFormat="false" ht="15" hidden="false" customHeight="false" outlineLevel="0" collapsed="false">
      <c r="A20" s="12" t="s">
        <v>75</v>
      </c>
      <c r="B20" s="12" t="s">
        <v>76</v>
      </c>
      <c r="C20" s="12" t="s">
        <v>102</v>
      </c>
      <c r="D20" s="12" t="s">
        <v>98</v>
      </c>
      <c r="E20" s="19" t="s">
        <v>60</v>
      </c>
      <c r="F20" s="12" t="s">
        <v>103</v>
      </c>
    </row>
    <row r="21" customFormat="false" ht="15" hidden="false" customHeight="false" outlineLevel="0" collapsed="false">
      <c r="A21" s="12" t="s">
        <v>104</v>
      </c>
      <c r="B21" s="12" t="s">
        <v>105</v>
      </c>
      <c r="C21" s="12" t="s">
        <v>106</v>
      </c>
      <c r="D21" s="12" t="s">
        <v>107</v>
      </c>
      <c r="E21" s="19" t="s">
        <v>108</v>
      </c>
      <c r="F21" s="12" t="s">
        <v>109</v>
      </c>
    </row>
    <row r="22" customFormat="false" ht="15" hidden="false" customHeight="false" outlineLevel="0" collapsed="false">
      <c r="A22" s="12" t="s">
        <v>104</v>
      </c>
      <c r="B22" s="12" t="s">
        <v>105</v>
      </c>
      <c r="C22" s="12" t="s">
        <v>110</v>
      </c>
      <c r="D22" s="12" t="s">
        <v>111</v>
      </c>
      <c r="E22" s="19" t="s">
        <v>108</v>
      </c>
      <c r="F22" s="12" t="s">
        <v>112</v>
      </c>
    </row>
    <row r="23" customFormat="false" ht="15" hidden="false" customHeight="false" outlineLevel="0" collapsed="false">
      <c r="A23" s="12" t="s">
        <v>104</v>
      </c>
      <c r="B23" s="12" t="s">
        <v>105</v>
      </c>
      <c r="C23" s="12" t="s">
        <v>113</v>
      </c>
      <c r="D23" s="12" t="s">
        <v>114</v>
      </c>
      <c r="E23" s="19" t="s">
        <v>60</v>
      </c>
      <c r="F23" s="12" t="s">
        <v>115</v>
      </c>
    </row>
    <row r="24" customFormat="false" ht="15" hidden="false" customHeight="false" outlineLevel="0" collapsed="false">
      <c r="A24" s="12" t="s">
        <v>104</v>
      </c>
      <c r="B24" s="12" t="s">
        <v>105</v>
      </c>
      <c r="C24" s="12" t="s">
        <v>116</v>
      </c>
      <c r="D24" s="12" t="s">
        <v>114</v>
      </c>
      <c r="E24" s="19" t="s">
        <v>60</v>
      </c>
      <c r="F24" s="12" t="s">
        <v>117</v>
      </c>
    </row>
    <row r="25" customFormat="false" ht="15" hidden="false" customHeight="false" outlineLevel="0" collapsed="false">
      <c r="A25" s="12" t="s">
        <v>104</v>
      </c>
      <c r="B25" s="12" t="s">
        <v>105</v>
      </c>
      <c r="C25" s="12" t="s">
        <v>118</v>
      </c>
      <c r="D25" s="12" t="s">
        <v>114</v>
      </c>
      <c r="E25" s="19" t="s">
        <v>60</v>
      </c>
      <c r="F25" s="12" t="s">
        <v>119</v>
      </c>
    </row>
    <row r="26" customFormat="false" ht="15" hidden="false" customHeight="false" outlineLevel="0" collapsed="false">
      <c r="A26" s="12" t="s">
        <v>104</v>
      </c>
      <c r="B26" s="12" t="s">
        <v>105</v>
      </c>
      <c r="C26" s="12" t="s">
        <v>120</v>
      </c>
      <c r="D26" s="12" t="s">
        <v>121</v>
      </c>
      <c r="E26" s="19" t="s">
        <v>64</v>
      </c>
      <c r="F26" s="12" t="s">
        <v>122</v>
      </c>
    </row>
    <row r="27" customFormat="false" ht="15" hidden="false" customHeight="false" outlineLevel="0" collapsed="false">
      <c r="A27" s="12" t="s">
        <v>104</v>
      </c>
      <c r="B27" s="12" t="s">
        <v>105</v>
      </c>
      <c r="C27" s="12" t="s">
        <v>123</v>
      </c>
      <c r="D27" s="12" t="s">
        <v>121</v>
      </c>
      <c r="E27" s="19" t="s">
        <v>64</v>
      </c>
      <c r="F27" s="12" t="s">
        <v>124</v>
      </c>
    </row>
    <row r="28" customFormat="false" ht="15" hidden="false" customHeight="false" outlineLevel="0" collapsed="false">
      <c r="A28" s="12" t="s">
        <v>104</v>
      </c>
      <c r="B28" s="12" t="s">
        <v>105</v>
      </c>
      <c r="C28" s="12" t="s">
        <v>125</v>
      </c>
      <c r="D28" s="12" t="s">
        <v>121</v>
      </c>
      <c r="E28" s="19" t="s">
        <v>64</v>
      </c>
      <c r="F28" s="12" t="s">
        <v>126</v>
      </c>
    </row>
    <row r="29" customFormat="false" ht="15" hidden="false" customHeight="false" outlineLevel="0" collapsed="false">
      <c r="A29" s="12" t="s">
        <v>104</v>
      </c>
      <c r="B29" s="12" t="s">
        <v>105</v>
      </c>
      <c r="C29" s="12" t="s">
        <v>127</v>
      </c>
      <c r="D29" s="12" t="s">
        <v>128</v>
      </c>
      <c r="E29" s="19" t="s">
        <v>108</v>
      </c>
      <c r="F29" s="12" t="s">
        <v>129</v>
      </c>
    </row>
    <row r="30" customFormat="false" ht="22.35" hidden="false" customHeight="false" outlineLevel="0" collapsed="false">
      <c r="A30" s="12" t="s">
        <v>130</v>
      </c>
      <c r="B30" s="12" t="s">
        <v>131</v>
      </c>
      <c r="C30" s="12" t="s">
        <v>132</v>
      </c>
      <c r="D30" s="12" t="s">
        <v>133</v>
      </c>
      <c r="E30" s="19" t="s">
        <v>60</v>
      </c>
      <c r="F30" s="12" t="s">
        <v>134</v>
      </c>
    </row>
    <row r="31" customFormat="false" ht="22.35" hidden="false" customHeight="false" outlineLevel="0" collapsed="false">
      <c r="A31" s="12" t="s">
        <v>130</v>
      </c>
      <c r="B31" s="12" t="s">
        <v>131</v>
      </c>
      <c r="C31" s="12" t="s">
        <v>135</v>
      </c>
      <c r="D31" s="12" t="s">
        <v>136</v>
      </c>
      <c r="E31" s="19" t="s">
        <v>64</v>
      </c>
      <c r="F31" s="12" t="s">
        <v>137</v>
      </c>
    </row>
    <row r="32" customFormat="false" ht="22.35" hidden="false" customHeight="false" outlineLevel="0" collapsed="false">
      <c r="A32" s="12" t="s">
        <v>130</v>
      </c>
      <c r="B32" s="12" t="s">
        <v>131</v>
      </c>
      <c r="C32" s="12" t="s">
        <v>138</v>
      </c>
      <c r="D32" s="12" t="s">
        <v>139</v>
      </c>
      <c r="E32" s="19" t="s">
        <v>60</v>
      </c>
      <c r="F32" s="12" t="s">
        <v>140</v>
      </c>
    </row>
    <row r="33" customFormat="false" ht="22.35" hidden="false" customHeight="false" outlineLevel="0" collapsed="false">
      <c r="A33" s="12" t="s">
        <v>130</v>
      </c>
      <c r="B33" s="12" t="s">
        <v>131</v>
      </c>
      <c r="C33" s="12" t="s">
        <v>141</v>
      </c>
      <c r="D33" s="12" t="s">
        <v>142</v>
      </c>
      <c r="E33" s="19" t="s">
        <v>60</v>
      </c>
      <c r="F33" s="12" t="s">
        <v>143</v>
      </c>
    </row>
    <row r="34" customFormat="false" ht="22.35" hidden="false" customHeight="false" outlineLevel="0" collapsed="false">
      <c r="A34" s="12" t="s">
        <v>130</v>
      </c>
      <c r="B34" s="12" t="s">
        <v>131</v>
      </c>
      <c r="C34" s="12" t="s">
        <v>144</v>
      </c>
      <c r="D34" s="12" t="s">
        <v>142</v>
      </c>
      <c r="E34" s="19" t="s">
        <v>60</v>
      </c>
      <c r="F34" s="12" t="s">
        <v>145</v>
      </c>
    </row>
    <row r="35" customFormat="false" ht="22.35" hidden="false" customHeight="false" outlineLevel="0" collapsed="false">
      <c r="A35" s="12" t="s">
        <v>130</v>
      </c>
      <c r="B35" s="12" t="s">
        <v>131</v>
      </c>
      <c r="C35" s="12" t="s">
        <v>146</v>
      </c>
      <c r="D35" s="12" t="s">
        <v>142</v>
      </c>
      <c r="E35" s="19" t="s">
        <v>60</v>
      </c>
      <c r="F35" s="12" t="s">
        <v>147</v>
      </c>
    </row>
    <row r="36" customFormat="false" ht="22.35" hidden="false" customHeight="false" outlineLevel="0" collapsed="false">
      <c r="A36" s="12" t="s">
        <v>130</v>
      </c>
      <c r="B36" s="12" t="s">
        <v>131</v>
      </c>
      <c r="C36" s="12" t="s">
        <v>148</v>
      </c>
      <c r="D36" s="12" t="s">
        <v>149</v>
      </c>
      <c r="E36" s="19" t="s">
        <v>60</v>
      </c>
      <c r="F36" s="12" t="s">
        <v>150</v>
      </c>
    </row>
    <row r="37" customFormat="false" ht="22.35" hidden="false" customHeight="false" outlineLevel="0" collapsed="false">
      <c r="A37" s="12" t="s">
        <v>130</v>
      </c>
      <c r="B37" s="12" t="s">
        <v>131</v>
      </c>
      <c r="C37" s="12" t="s">
        <v>151</v>
      </c>
      <c r="D37" s="12" t="s">
        <v>152</v>
      </c>
      <c r="E37" s="19" t="s">
        <v>64</v>
      </c>
      <c r="F37" s="12" t="s">
        <v>153</v>
      </c>
    </row>
    <row r="38" customFormat="false" ht="15" hidden="false" customHeight="false" outlineLevel="0" collapsed="false">
      <c r="A38" s="12" t="s">
        <v>154</v>
      </c>
      <c r="B38" s="12" t="s">
        <v>155</v>
      </c>
      <c r="C38" s="12" t="s">
        <v>156</v>
      </c>
      <c r="D38" s="12" t="s">
        <v>157</v>
      </c>
      <c r="E38" s="19" t="s">
        <v>60</v>
      </c>
      <c r="F38" s="12" t="s">
        <v>158</v>
      </c>
    </row>
    <row r="39" customFormat="false" ht="15" hidden="false" customHeight="false" outlineLevel="0" collapsed="false">
      <c r="A39" s="12" t="s">
        <v>154</v>
      </c>
      <c r="B39" s="12" t="s">
        <v>155</v>
      </c>
      <c r="C39" s="12" t="s">
        <v>159</v>
      </c>
      <c r="D39" s="12" t="s">
        <v>160</v>
      </c>
      <c r="E39" s="19" t="s">
        <v>60</v>
      </c>
      <c r="F39" s="12" t="s">
        <v>161</v>
      </c>
    </row>
    <row r="40" customFormat="false" ht="15" hidden="false" customHeight="false" outlineLevel="0" collapsed="false">
      <c r="A40" s="12" t="s">
        <v>154</v>
      </c>
      <c r="B40" s="12" t="s">
        <v>155</v>
      </c>
      <c r="C40" s="12" t="s">
        <v>162</v>
      </c>
      <c r="D40" s="12" t="s">
        <v>160</v>
      </c>
      <c r="E40" s="19" t="s">
        <v>60</v>
      </c>
      <c r="F40" s="12" t="s">
        <v>163</v>
      </c>
    </row>
    <row r="41" customFormat="false" ht="15" hidden="false" customHeight="false" outlineLevel="0" collapsed="false">
      <c r="A41" s="12" t="s">
        <v>154</v>
      </c>
      <c r="B41" s="12" t="s">
        <v>155</v>
      </c>
      <c r="C41" s="12" t="s">
        <v>164</v>
      </c>
      <c r="D41" s="12" t="s">
        <v>160</v>
      </c>
      <c r="E41" s="19" t="s">
        <v>60</v>
      </c>
      <c r="F41" s="12" t="s">
        <v>165</v>
      </c>
    </row>
    <row r="42" customFormat="false" ht="15" hidden="false" customHeight="false" outlineLevel="0" collapsed="false">
      <c r="A42" s="12" t="s">
        <v>154</v>
      </c>
      <c r="B42" s="12" t="s">
        <v>155</v>
      </c>
      <c r="C42" s="12" t="s">
        <v>166</v>
      </c>
      <c r="D42" s="12" t="s">
        <v>167</v>
      </c>
      <c r="E42" s="19" t="s">
        <v>60</v>
      </c>
      <c r="F42" s="12" t="s">
        <v>168</v>
      </c>
    </row>
    <row r="43" customFormat="false" ht="15" hidden="false" customHeight="false" outlineLevel="0" collapsed="false">
      <c r="A43" s="12" t="s">
        <v>154</v>
      </c>
      <c r="B43" s="12" t="s">
        <v>155</v>
      </c>
      <c r="C43" s="12" t="s">
        <v>169</v>
      </c>
      <c r="D43" s="12" t="s">
        <v>167</v>
      </c>
      <c r="E43" s="19" t="s">
        <v>60</v>
      </c>
      <c r="F43" s="12" t="s">
        <v>170</v>
      </c>
    </row>
    <row r="44" customFormat="false" ht="15" hidden="false" customHeight="false" outlineLevel="0" collapsed="false">
      <c r="A44" s="12" t="s">
        <v>154</v>
      </c>
      <c r="B44" s="12" t="s">
        <v>155</v>
      </c>
      <c r="C44" s="12" t="s">
        <v>171</v>
      </c>
      <c r="D44" s="12" t="s">
        <v>167</v>
      </c>
      <c r="E44" s="19" t="s">
        <v>60</v>
      </c>
      <c r="F44" s="12" t="s">
        <v>172</v>
      </c>
    </row>
    <row r="45" customFormat="false" ht="15" hidden="false" customHeight="false" outlineLevel="0" collapsed="false">
      <c r="A45" s="12" t="s">
        <v>154</v>
      </c>
      <c r="B45" s="12" t="s">
        <v>155</v>
      </c>
      <c r="C45" s="12" t="s">
        <v>173</v>
      </c>
      <c r="D45" s="12" t="s">
        <v>167</v>
      </c>
      <c r="E45" s="19" t="s">
        <v>60</v>
      </c>
      <c r="F45" s="12" t="s">
        <v>174</v>
      </c>
    </row>
    <row r="46" customFormat="false" ht="22.35" hidden="false" customHeight="false" outlineLevel="0" collapsed="false">
      <c r="A46" s="12" t="s">
        <v>154</v>
      </c>
      <c r="B46" s="12" t="s">
        <v>155</v>
      </c>
      <c r="C46" s="12" t="s">
        <v>175</v>
      </c>
      <c r="D46" s="12" t="s">
        <v>176</v>
      </c>
      <c r="E46" s="19" t="s">
        <v>60</v>
      </c>
      <c r="F46" s="12" t="s">
        <v>177</v>
      </c>
    </row>
    <row r="47" customFormat="false" ht="15" hidden="false" customHeight="false" outlineLevel="0" collapsed="false">
      <c r="A47" s="12" t="s">
        <v>154</v>
      </c>
      <c r="B47" s="12" t="s">
        <v>155</v>
      </c>
      <c r="C47" s="12" t="s">
        <v>178</v>
      </c>
      <c r="D47" s="12" t="s">
        <v>179</v>
      </c>
      <c r="E47" s="19" t="s">
        <v>64</v>
      </c>
      <c r="F47" s="12" t="s">
        <v>180</v>
      </c>
    </row>
    <row r="48" customFormat="false" ht="22.35" hidden="false" customHeight="false" outlineLevel="0" collapsed="false">
      <c r="A48" s="12" t="s">
        <v>154</v>
      </c>
      <c r="B48" s="12" t="s">
        <v>155</v>
      </c>
      <c r="C48" s="12" t="s">
        <v>181</v>
      </c>
      <c r="D48" s="12" t="s">
        <v>182</v>
      </c>
      <c r="E48" s="19" t="s">
        <v>60</v>
      </c>
      <c r="F48" s="12" t="s">
        <v>183</v>
      </c>
    </row>
    <row r="49" customFormat="false" ht="22.35" hidden="false" customHeight="false" outlineLevel="0" collapsed="false">
      <c r="A49" s="12" t="s">
        <v>184</v>
      </c>
      <c r="B49" s="12" t="s">
        <v>185</v>
      </c>
      <c r="C49" s="12" t="s">
        <v>186</v>
      </c>
      <c r="D49" s="12" t="s">
        <v>187</v>
      </c>
      <c r="E49" s="19" t="s">
        <v>60</v>
      </c>
      <c r="F49" s="12" t="s">
        <v>188</v>
      </c>
    </row>
    <row r="50" customFormat="false" ht="22.35" hidden="false" customHeight="false" outlineLevel="0" collapsed="false">
      <c r="A50" s="12" t="s">
        <v>184</v>
      </c>
      <c r="B50" s="12" t="s">
        <v>185</v>
      </c>
      <c r="C50" s="12" t="s">
        <v>189</v>
      </c>
      <c r="D50" s="12" t="s">
        <v>190</v>
      </c>
      <c r="E50" s="19" t="s">
        <v>64</v>
      </c>
      <c r="F50" s="12" t="s">
        <v>191</v>
      </c>
    </row>
    <row r="51" customFormat="false" ht="22.35" hidden="false" customHeight="false" outlineLevel="0" collapsed="false">
      <c r="A51" s="12" t="s">
        <v>184</v>
      </c>
      <c r="B51" s="12" t="s">
        <v>185</v>
      </c>
      <c r="C51" s="12" t="s">
        <v>192</v>
      </c>
      <c r="D51" s="12" t="s">
        <v>193</v>
      </c>
      <c r="E51" s="19" t="s">
        <v>108</v>
      </c>
      <c r="F51" s="12" t="s">
        <v>194</v>
      </c>
    </row>
    <row r="52" customFormat="false" ht="22.35" hidden="false" customHeight="false" outlineLevel="0" collapsed="false">
      <c r="A52" s="12" t="s">
        <v>184</v>
      </c>
      <c r="B52" s="12" t="s">
        <v>185</v>
      </c>
      <c r="C52" s="12" t="s">
        <v>195</v>
      </c>
      <c r="D52" s="12" t="s">
        <v>196</v>
      </c>
      <c r="E52" s="19" t="s">
        <v>64</v>
      </c>
      <c r="F52" s="12" t="s">
        <v>197</v>
      </c>
    </row>
    <row r="53" customFormat="false" ht="22.35" hidden="false" customHeight="false" outlineLevel="0" collapsed="false">
      <c r="A53" s="12" t="s">
        <v>198</v>
      </c>
      <c r="B53" s="12" t="s">
        <v>199</v>
      </c>
      <c r="C53" s="12" t="s">
        <v>200</v>
      </c>
      <c r="D53" s="12" t="s">
        <v>152</v>
      </c>
      <c r="E53" s="19" t="s">
        <v>108</v>
      </c>
      <c r="F53" s="12" t="s">
        <v>201</v>
      </c>
    </row>
    <row r="54" customFormat="false" ht="15" hidden="false" customHeight="false" outlineLevel="0" collapsed="false">
      <c r="A54" s="12" t="s">
        <v>198</v>
      </c>
      <c r="B54" s="12" t="s">
        <v>199</v>
      </c>
      <c r="C54" s="12" t="s">
        <v>202</v>
      </c>
      <c r="D54" s="12" t="s">
        <v>203</v>
      </c>
      <c r="E54" s="19" t="s">
        <v>108</v>
      </c>
      <c r="F54" s="12" t="s">
        <v>204</v>
      </c>
    </row>
    <row r="55" customFormat="false" ht="15" hidden="false" customHeight="false" outlineLevel="0" collapsed="false">
      <c r="A55" s="12" t="s">
        <v>198</v>
      </c>
      <c r="B55" s="12" t="s">
        <v>199</v>
      </c>
      <c r="C55" s="12" t="s">
        <v>205</v>
      </c>
      <c r="D55" s="12" t="s">
        <v>152</v>
      </c>
      <c r="E55" s="19" t="s">
        <v>108</v>
      </c>
      <c r="F55" s="12" t="s">
        <v>206</v>
      </c>
    </row>
    <row r="56" customFormat="false" ht="15" hidden="false" customHeight="false" outlineLevel="0" collapsed="false">
      <c r="A56" s="12" t="s">
        <v>198</v>
      </c>
      <c r="B56" s="12" t="s">
        <v>199</v>
      </c>
      <c r="C56" s="12" t="s">
        <v>207</v>
      </c>
      <c r="D56" s="12" t="s">
        <v>152</v>
      </c>
      <c r="E56" s="19" t="s">
        <v>108</v>
      </c>
      <c r="F56" s="12" t="s">
        <v>208</v>
      </c>
    </row>
    <row r="57" customFormat="false" ht="15" hidden="false" customHeight="false" outlineLevel="0" collapsed="false">
      <c r="A57" s="12" t="s">
        <v>198</v>
      </c>
      <c r="B57" s="12" t="s">
        <v>199</v>
      </c>
      <c r="C57" s="12" t="s">
        <v>209</v>
      </c>
      <c r="D57" s="12" t="s">
        <v>152</v>
      </c>
      <c r="E57" s="19" t="s">
        <v>108</v>
      </c>
      <c r="F57" s="12" t="s">
        <v>210</v>
      </c>
    </row>
    <row r="58" customFormat="false" ht="22.35" hidden="false" customHeight="false" outlineLevel="0" collapsed="false">
      <c r="A58" s="12" t="s">
        <v>198</v>
      </c>
      <c r="B58" s="12" t="s">
        <v>199</v>
      </c>
      <c r="C58" s="12" t="s">
        <v>211</v>
      </c>
      <c r="D58" s="12" t="s">
        <v>212</v>
      </c>
      <c r="E58" s="19" t="s">
        <v>108</v>
      </c>
      <c r="F58" s="12" t="s">
        <v>213</v>
      </c>
    </row>
    <row r="59" customFormat="false" ht="15" hidden="false" customHeight="false" outlineLevel="0" collapsed="false">
      <c r="A59" s="12" t="s">
        <v>198</v>
      </c>
      <c r="B59" s="12" t="s">
        <v>199</v>
      </c>
      <c r="C59" s="12" t="s">
        <v>214</v>
      </c>
      <c r="D59" s="12" t="s">
        <v>215</v>
      </c>
      <c r="E59" s="19" t="s">
        <v>108</v>
      </c>
      <c r="F59" s="12" t="s">
        <v>216</v>
      </c>
    </row>
    <row r="60" customFormat="false" ht="15" hidden="false" customHeight="false" outlineLevel="0" collapsed="false">
      <c r="A60" s="12" t="s">
        <v>198</v>
      </c>
      <c r="B60" s="12" t="s">
        <v>199</v>
      </c>
      <c r="C60" s="12" t="s">
        <v>217</v>
      </c>
      <c r="D60" s="12" t="s">
        <v>218</v>
      </c>
      <c r="E60" s="19" t="s">
        <v>64</v>
      </c>
      <c r="F60" s="12" t="s">
        <v>219</v>
      </c>
    </row>
    <row r="61" customFormat="false" ht="15" hidden="false" customHeight="false" outlineLevel="0" collapsed="false">
      <c r="A61" s="12" t="s">
        <v>198</v>
      </c>
      <c r="B61" s="12" t="s">
        <v>199</v>
      </c>
      <c r="C61" s="12" t="s">
        <v>220</v>
      </c>
      <c r="D61" s="12" t="s">
        <v>218</v>
      </c>
      <c r="E61" s="19" t="s">
        <v>64</v>
      </c>
      <c r="F61" s="12" t="s">
        <v>221</v>
      </c>
    </row>
    <row r="62" customFormat="false" ht="15" hidden="false" customHeight="false" outlineLevel="0" collapsed="false">
      <c r="A62" s="12" t="s">
        <v>198</v>
      </c>
      <c r="B62" s="12" t="s">
        <v>199</v>
      </c>
      <c r="C62" s="12" t="s">
        <v>222</v>
      </c>
      <c r="D62" s="12" t="s">
        <v>218</v>
      </c>
      <c r="E62" s="19" t="s">
        <v>64</v>
      </c>
      <c r="F62" s="12" t="s">
        <v>223</v>
      </c>
    </row>
    <row r="63" customFormat="false" ht="22.35" hidden="false" customHeight="false" outlineLevel="0" collapsed="false">
      <c r="A63" s="12" t="s">
        <v>198</v>
      </c>
      <c r="B63" s="12" t="s">
        <v>199</v>
      </c>
      <c r="C63" s="12" t="s">
        <v>224</v>
      </c>
      <c r="D63" s="12" t="s">
        <v>225</v>
      </c>
      <c r="E63" s="19" t="s">
        <v>108</v>
      </c>
      <c r="F63" s="12" t="s">
        <v>226</v>
      </c>
    </row>
    <row r="64" customFormat="false" ht="22.35" hidden="false" customHeight="false" outlineLevel="0" collapsed="false">
      <c r="A64" s="12" t="s">
        <v>198</v>
      </c>
      <c r="B64" s="12" t="s">
        <v>199</v>
      </c>
      <c r="C64" s="12" t="s">
        <v>227</v>
      </c>
      <c r="D64" s="12" t="s">
        <v>152</v>
      </c>
      <c r="E64" s="19" t="s">
        <v>108</v>
      </c>
      <c r="F64" s="12" t="s">
        <v>228</v>
      </c>
    </row>
    <row r="65" customFormat="false" ht="15" hidden="false" customHeight="false" outlineLevel="0" collapsed="false">
      <c r="A65" s="12" t="s">
        <v>229</v>
      </c>
      <c r="B65" s="12" t="s">
        <v>230</v>
      </c>
      <c r="C65" s="12" t="s">
        <v>231</v>
      </c>
      <c r="D65" s="12" t="s">
        <v>232</v>
      </c>
      <c r="E65" s="19" t="s">
        <v>64</v>
      </c>
      <c r="F65" s="12" t="s">
        <v>233</v>
      </c>
    </row>
    <row r="66" customFormat="false" ht="15" hidden="false" customHeight="false" outlineLevel="0" collapsed="false">
      <c r="A66" s="12" t="s">
        <v>229</v>
      </c>
      <c r="B66" s="12" t="s">
        <v>230</v>
      </c>
      <c r="C66" s="12" t="s">
        <v>234</v>
      </c>
      <c r="D66" s="12" t="s">
        <v>235</v>
      </c>
      <c r="E66" s="19" t="s">
        <v>108</v>
      </c>
      <c r="F66" s="12" t="s">
        <v>236</v>
      </c>
    </row>
    <row r="67" customFormat="false" ht="15" hidden="false" customHeight="false" outlineLevel="0" collapsed="false">
      <c r="A67" s="12" t="s">
        <v>229</v>
      </c>
      <c r="B67" s="12" t="s">
        <v>230</v>
      </c>
      <c r="C67" s="12" t="s">
        <v>237</v>
      </c>
      <c r="D67" s="12" t="s">
        <v>235</v>
      </c>
      <c r="E67" s="19" t="s">
        <v>108</v>
      </c>
      <c r="F67" s="12" t="s">
        <v>238</v>
      </c>
    </row>
    <row r="68" customFormat="false" ht="15" hidden="false" customHeight="false" outlineLevel="0" collapsed="false">
      <c r="A68" s="12" t="s">
        <v>229</v>
      </c>
      <c r="B68" s="12" t="s">
        <v>230</v>
      </c>
      <c r="C68" s="12" t="s">
        <v>239</v>
      </c>
      <c r="D68" s="12" t="s">
        <v>235</v>
      </c>
      <c r="E68" s="19" t="s">
        <v>108</v>
      </c>
      <c r="F68" s="12" t="s">
        <v>240</v>
      </c>
    </row>
    <row r="69" customFormat="false" ht="15" hidden="false" customHeight="false" outlineLevel="0" collapsed="false">
      <c r="A69" s="12" t="s">
        <v>229</v>
      </c>
      <c r="B69" s="12" t="s">
        <v>230</v>
      </c>
      <c r="C69" s="12" t="s">
        <v>241</v>
      </c>
      <c r="D69" s="12" t="s">
        <v>235</v>
      </c>
      <c r="E69" s="19" t="s">
        <v>108</v>
      </c>
      <c r="F69" s="12" t="s">
        <v>242</v>
      </c>
    </row>
    <row r="70" customFormat="false" ht="15" hidden="false" customHeight="false" outlineLevel="0" collapsed="false">
      <c r="A70" s="12" t="s">
        <v>229</v>
      </c>
      <c r="B70" s="12" t="s">
        <v>230</v>
      </c>
      <c r="C70" s="12" t="s">
        <v>243</v>
      </c>
      <c r="D70" s="12" t="s">
        <v>244</v>
      </c>
      <c r="E70" s="19" t="s">
        <v>108</v>
      </c>
      <c r="F70" s="12" t="s">
        <v>245</v>
      </c>
    </row>
    <row r="71" customFormat="false" ht="15" hidden="false" customHeight="false" outlineLevel="0" collapsed="false">
      <c r="A71" s="12" t="s">
        <v>229</v>
      </c>
      <c r="B71" s="12" t="s">
        <v>230</v>
      </c>
      <c r="C71" s="12" t="s">
        <v>246</v>
      </c>
      <c r="D71" s="12" t="s">
        <v>247</v>
      </c>
      <c r="E71" s="19" t="s">
        <v>108</v>
      </c>
      <c r="F71" s="12" t="s">
        <v>248</v>
      </c>
    </row>
    <row r="72" customFormat="false" ht="15" hidden="false" customHeight="false" outlineLevel="0" collapsed="false">
      <c r="A72" s="12" t="s">
        <v>229</v>
      </c>
      <c r="B72" s="12" t="s">
        <v>230</v>
      </c>
      <c r="C72" s="12" t="s">
        <v>249</v>
      </c>
      <c r="D72" s="12" t="s">
        <v>247</v>
      </c>
      <c r="E72" s="19" t="s">
        <v>108</v>
      </c>
      <c r="F72" s="12" t="s">
        <v>250</v>
      </c>
    </row>
    <row r="73" customFormat="false" ht="15" hidden="false" customHeight="false" outlineLevel="0" collapsed="false">
      <c r="A73" s="12" t="s">
        <v>229</v>
      </c>
      <c r="B73" s="12" t="s">
        <v>230</v>
      </c>
      <c r="C73" s="12" t="s">
        <v>251</v>
      </c>
      <c r="D73" s="12" t="s">
        <v>247</v>
      </c>
      <c r="E73" s="19" t="s">
        <v>108</v>
      </c>
      <c r="F73" s="12" t="s">
        <v>252</v>
      </c>
    </row>
    <row r="74" customFormat="false" ht="22.35" hidden="false" customHeight="false" outlineLevel="0" collapsed="false">
      <c r="A74" s="12" t="s">
        <v>229</v>
      </c>
      <c r="B74" s="12" t="s">
        <v>230</v>
      </c>
      <c r="C74" s="12" t="s">
        <v>253</v>
      </c>
      <c r="D74" s="12" t="s">
        <v>254</v>
      </c>
      <c r="E74" s="19" t="s">
        <v>108</v>
      </c>
      <c r="F74" s="12" t="s">
        <v>255</v>
      </c>
    </row>
    <row r="75" customFormat="false" ht="22.35" hidden="false" customHeight="false" outlineLevel="0" collapsed="false">
      <c r="A75" s="12" t="s">
        <v>229</v>
      </c>
      <c r="B75" s="12" t="s">
        <v>230</v>
      </c>
      <c r="C75" s="12" t="s">
        <v>256</v>
      </c>
      <c r="D75" s="12" t="s">
        <v>257</v>
      </c>
      <c r="E75" s="19" t="s">
        <v>108</v>
      </c>
      <c r="F75" s="12" t="s">
        <v>258</v>
      </c>
    </row>
    <row r="76" customFormat="false" ht="15" hidden="false" customHeight="false" outlineLevel="0" collapsed="false">
      <c r="A76" s="12" t="s">
        <v>229</v>
      </c>
      <c r="B76" s="12" t="s">
        <v>230</v>
      </c>
      <c r="C76" s="12" t="s">
        <v>259</v>
      </c>
      <c r="D76" s="12" t="s">
        <v>260</v>
      </c>
      <c r="E76" s="19" t="s">
        <v>108</v>
      </c>
      <c r="F76" s="12" t="s">
        <v>261</v>
      </c>
    </row>
    <row r="77" customFormat="false" ht="15" hidden="false" customHeight="false" outlineLevel="0" collapsed="false">
      <c r="A77" s="12" t="s">
        <v>262</v>
      </c>
      <c r="B77" s="12" t="s">
        <v>263</v>
      </c>
      <c r="C77" s="12" t="s">
        <v>264</v>
      </c>
      <c r="D77" s="12" t="s">
        <v>265</v>
      </c>
      <c r="E77" s="19" t="s">
        <v>64</v>
      </c>
      <c r="F77" s="12" t="s">
        <v>266</v>
      </c>
    </row>
    <row r="78" customFormat="false" ht="15" hidden="false" customHeight="false" outlineLevel="0" collapsed="false">
      <c r="A78" s="12" t="s">
        <v>262</v>
      </c>
      <c r="B78" s="12" t="s">
        <v>263</v>
      </c>
      <c r="C78" s="12" t="s">
        <v>267</v>
      </c>
      <c r="D78" s="12" t="s">
        <v>265</v>
      </c>
      <c r="E78" s="19" t="s">
        <v>64</v>
      </c>
      <c r="F78" s="12" t="s">
        <v>268</v>
      </c>
    </row>
    <row r="79" customFormat="false" ht="15" hidden="false" customHeight="false" outlineLevel="0" collapsed="false">
      <c r="A79" s="12" t="s">
        <v>262</v>
      </c>
      <c r="B79" s="12" t="s">
        <v>263</v>
      </c>
      <c r="C79" s="12" t="s">
        <v>269</v>
      </c>
      <c r="D79" s="12" t="s">
        <v>265</v>
      </c>
      <c r="E79" s="19" t="s">
        <v>64</v>
      </c>
      <c r="F79" s="12" t="s">
        <v>270</v>
      </c>
    </row>
    <row r="80" customFormat="false" ht="15" hidden="false" customHeight="false" outlineLevel="0" collapsed="false">
      <c r="A80" s="12" t="s">
        <v>262</v>
      </c>
      <c r="B80" s="12" t="s">
        <v>263</v>
      </c>
      <c r="C80" s="12" t="s">
        <v>271</v>
      </c>
      <c r="D80" s="12" t="s">
        <v>272</v>
      </c>
      <c r="E80" s="19" t="s">
        <v>60</v>
      </c>
      <c r="F80" s="12" t="s">
        <v>273</v>
      </c>
    </row>
    <row r="81" customFormat="false" ht="15" hidden="false" customHeight="false" outlineLevel="0" collapsed="false">
      <c r="A81" s="12" t="s">
        <v>262</v>
      </c>
      <c r="B81" s="12" t="s">
        <v>263</v>
      </c>
      <c r="C81" s="12" t="s">
        <v>274</v>
      </c>
      <c r="D81" s="12" t="s">
        <v>272</v>
      </c>
      <c r="E81" s="19" t="s">
        <v>60</v>
      </c>
      <c r="F81" s="12" t="s">
        <v>275</v>
      </c>
    </row>
    <row r="82" customFormat="false" ht="15" hidden="false" customHeight="false" outlineLevel="0" collapsed="false">
      <c r="A82" s="12" t="s">
        <v>262</v>
      </c>
      <c r="B82" s="12" t="s">
        <v>263</v>
      </c>
      <c r="C82" s="12" t="s">
        <v>276</v>
      </c>
      <c r="D82" s="12" t="s">
        <v>272</v>
      </c>
      <c r="E82" s="19" t="s">
        <v>60</v>
      </c>
      <c r="F82" s="12" t="s">
        <v>277</v>
      </c>
    </row>
    <row r="83" customFormat="false" ht="15" hidden="false" customHeight="false" outlineLevel="0" collapsed="false">
      <c r="A83" s="12" t="s">
        <v>262</v>
      </c>
      <c r="B83" s="12" t="s">
        <v>263</v>
      </c>
      <c r="C83" s="12" t="s">
        <v>278</v>
      </c>
      <c r="D83" s="12" t="s">
        <v>279</v>
      </c>
      <c r="E83" s="19" t="s">
        <v>60</v>
      </c>
      <c r="F83" s="12" t="s">
        <v>280</v>
      </c>
    </row>
    <row r="84" customFormat="false" ht="15" hidden="false" customHeight="false" outlineLevel="0" collapsed="false">
      <c r="A84" s="12" t="s">
        <v>262</v>
      </c>
      <c r="B84" s="12" t="s">
        <v>263</v>
      </c>
      <c r="C84" s="12" t="s">
        <v>281</v>
      </c>
      <c r="D84" s="12" t="s">
        <v>265</v>
      </c>
      <c r="E84" s="19" t="s">
        <v>60</v>
      </c>
      <c r="F84" s="12" t="s">
        <v>282</v>
      </c>
    </row>
    <row r="85" customFormat="false" ht="15" hidden="false" customHeight="false" outlineLevel="0" collapsed="false">
      <c r="A85" s="12" t="s">
        <v>262</v>
      </c>
      <c r="B85" s="12" t="s">
        <v>263</v>
      </c>
      <c r="C85" s="12" t="s">
        <v>283</v>
      </c>
      <c r="D85" s="12" t="s">
        <v>284</v>
      </c>
      <c r="E85" s="19" t="s">
        <v>60</v>
      </c>
      <c r="F85" s="12" t="s">
        <v>285</v>
      </c>
    </row>
    <row r="86" customFormat="false" ht="22.35" hidden="false" customHeight="false" outlineLevel="0" collapsed="false">
      <c r="A86" s="12" t="s">
        <v>286</v>
      </c>
      <c r="B86" s="12" t="s">
        <v>287</v>
      </c>
      <c r="C86" s="12" t="s">
        <v>288</v>
      </c>
      <c r="D86" s="12" t="s">
        <v>289</v>
      </c>
      <c r="E86" s="19" t="s">
        <v>64</v>
      </c>
      <c r="F86" s="12" t="s">
        <v>290</v>
      </c>
    </row>
    <row r="87" customFormat="false" ht="22.35" hidden="false" customHeight="false" outlineLevel="0" collapsed="false">
      <c r="A87" s="12" t="s">
        <v>286</v>
      </c>
      <c r="B87" s="12" t="s">
        <v>287</v>
      </c>
      <c r="C87" s="12" t="s">
        <v>291</v>
      </c>
      <c r="D87" s="12" t="s">
        <v>289</v>
      </c>
      <c r="E87" s="19" t="s">
        <v>64</v>
      </c>
      <c r="F87" s="12" t="s">
        <v>292</v>
      </c>
    </row>
    <row r="88" customFormat="false" ht="22.35" hidden="false" customHeight="false" outlineLevel="0" collapsed="false">
      <c r="A88" s="12" t="s">
        <v>286</v>
      </c>
      <c r="B88" s="12" t="s">
        <v>287</v>
      </c>
      <c r="C88" s="12" t="s">
        <v>293</v>
      </c>
      <c r="D88" s="12" t="s">
        <v>289</v>
      </c>
      <c r="E88" s="19" t="s">
        <v>64</v>
      </c>
      <c r="F88" s="12" t="s">
        <v>294</v>
      </c>
    </row>
    <row r="89" customFormat="false" ht="22.35" hidden="false" customHeight="false" outlineLevel="0" collapsed="false">
      <c r="A89" s="12" t="s">
        <v>286</v>
      </c>
      <c r="B89" s="12" t="s">
        <v>287</v>
      </c>
      <c r="C89" s="12" t="s">
        <v>295</v>
      </c>
      <c r="D89" s="12" t="s">
        <v>296</v>
      </c>
      <c r="E89" s="19" t="s">
        <v>108</v>
      </c>
      <c r="F89" s="12" t="s">
        <v>297</v>
      </c>
    </row>
    <row r="90" customFormat="false" ht="22.35" hidden="false" customHeight="false" outlineLevel="0" collapsed="false">
      <c r="A90" s="12" t="s">
        <v>286</v>
      </c>
      <c r="B90" s="12" t="s">
        <v>287</v>
      </c>
      <c r="C90" s="12" t="s">
        <v>298</v>
      </c>
      <c r="D90" s="12" t="s">
        <v>296</v>
      </c>
      <c r="E90" s="19" t="s">
        <v>108</v>
      </c>
      <c r="F90" s="12" t="s">
        <v>299</v>
      </c>
    </row>
    <row r="91" customFormat="false" ht="22.35" hidden="false" customHeight="false" outlineLevel="0" collapsed="false">
      <c r="A91" s="12" t="s">
        <v>286</v>
      </c>
      <c r="B91" s="12" t="s">
        <v>287</v>
      </c>
      <c r="C91" s="12" t="s">
        <v>300</v>
      </c>
      <c r="D91" s="12" t="s">
        <v>301</v>
      </c>
      <c r="E91" s="19" t="s">
        <v>64</v>
      </c>
      <c r="F91" s="12" t="s">
        <v>302</v>
      </c>
    </row>
    <row r="92" customFormat="false" ht="22.35" hidden="false" customHeight="false" outlineLevel="0" collapsed="false">
      <c r="A92" s="12" t="s">
        <v>286</v>
      </c>
      <c r="B92" s="12" t="s">
        <v>287</v>
      </c>
      <c r="C92" s="12" t="s">
        <v>303</v>
      </c>
      <c r="D92" s="12" t="s">
        <v>301</v>
      </c>
      <c r="E92" s="19" t="s">
        <v>64</v>
      </c>
      <c r="F92" s="12" t="s">
        <v>304</v>
      </c>
    </row>
    <row r="93" customFormat="false" ht="22.35" hidden="false" customHeight="false" outlineLevel="0" collapsed="false">
      <c r="A93" s="12" t="s">
        <v>286</v>
      </c>
      <c r="B93" s="12" t="s">
        <v>287</v>
      </c>
      <c r="C93" s="12" t="s">
        <v>305</v>
      </c>
      <c r="D93" s="12" t="s">
        <v>301</v>
      </c>
      <c r="E93" s="19" t="s">
        <v>64</v>
      </c>
      <c r="F93" s="12" t="s">
        <v>306</v>
      </c>
    </row>
    <row r="94" customFormat="false" ht="22.35" hidden="false" customHeight="false" outlineLevel="0" collapsed="false">
      <c r="A94" s="12" t="s">
        <v>286</v>
      </c>
      <c r="B94" s="12" t="s">
        <v>287</v>
      </c>
      <c r="C94" s="12" t="s">
        <v>307</v>
      </c>
      <c r="D94" s="12" t="s">
        <v>301</v>
      </c>
      <c r="E94" s="19" t="s">
        <v>64</v>
      </c>
      <c r="F94" s="12" t="s">
        <v>308</v>
      </c>
    </row>
    <row r="95" customFormat="false" ht="22.35" hidden="false" customHeight="false" outlineLevel="0" collapsed="false">
      <c r="A95" s="12" t="s">
        <v>286</v>
      </c>
      <c r="B95" s="12" t="s">
        <v>287</v>
      </c>
      <c r="C95" s="12" t="s">
        <v>309</v>
      </c>
      <c r="D95" s="12" t="s">
        <v>301</v>
      </c>
      <c r="E95" s="19" t="s">
        <v>64</v>
      </c>
      <c r="F95" s="12" t="s">
        <v>310</v>
      </c>
    </row>
    <row r="96" customFormat="false" ht="22.35" hidden="false" customHeight="false" outlineLevel="0" collapsed="false">
      <c r="A96" s="12" t="s">
        <v>286</v>
      </c>
      <c r="B96" s="12" t="s">
        <v>287</v>
      </c>
      <c r="C96" s="12" t="s">
        <v>311</v>
      </c>
      <c r="D96" s="12" t="s">
        <v>301</v>
      </c>
      <c r="E96" s="19" t="s">
        <v>64</v>
      </c>
      <c r="F96" s="12" t="s">
        <v>312</v>
      </c>
    </row>
    <row r="97" customFormat="false" ht="22.35" hidden="false" customHeight="false" outlineLevel="0" collapsed="false">
      <c r="A97" s="12" t="s">
        <v>286</v>
      </c>
      <c r="B97" s="12" t="s">
        <v>287</v>
      </c>
      <c r="C97" s="12" t="s">
        <v>313</v>
      </c>
      <c r="D97" s="12" t="s">
        <v>314</v>
      </c>
      <c r="E97" s="19" t="s">
        <v>60</v>
      </c>
      <c r="F97" s="12" t="s">
        <v>315</v>
      </c>
    </row>
    <row r="98" customFormat="false" ht="22.35" hidden="false" customHeight="false" outlineLevel="0" collapsed="false">
      <c r="A98" s="12" t="s">
        <v>286</v>
      </c>
      <c r="B98" s="12" t="s">
        <v>287</v>
      </c>
      <c r="C98" s="12" t="s">
        <v>316</v>
      </c>
      <c r="D98" s="12" t="s">
        <v>317</v>
      </c>
      <c r="E98" s="19" t="s">
        <v>60</v>
      </c>
      <c r="F98" s="12" t="s">
        <v>318</v>
      </c>
    </row>
    <row r="99" customFormat="false" ht="22.35" hidden="false" customHeight="false" outlineLevel="0" collapsed="false">
      <c r="A99" s="12" t="s">
        <v>286</v>
      </c>
      <c r="B99" s="12" t="s">
        <v>287</v>
      </c>
      <c r="C99" s="12" t="s">
        <v>319</v>
      </c>
      <c r="D99" s="12" t="s">
        <v>317</v>
      </c>
      <c r="E99" s="19" t="s">
        <v>60</v>
      </c>
      <c r="F99" s="12" t="s">
        <v>320</v>
      </c>
    </row>
    <row r="100" customFormat="false" ht="22.35" hidden="false" customHeight="false" outlineLevel="0" collapsed="false">
      <c r="A100" s="12" t="s">
        <v>286</v>
      </c>
      <c r="B100" s="12" t="s">
        <v>287</v>
      </c>
      <c r="C100" s="12" t="s">
        <v>321</v>
      </c>
      <c r="D100" s="12" t="s">
        <v>317</v>
      </c>
      <c r="E100" s="19" t="s">
        <v>60</v>
      </c>
      <c r="F100" s="12" t="s">
        <v>322</v>
      </c>
    </row>
    <row r="101" customFormat="false" ht="22.35" hidden="false" customHeight="false" outlineLevel="0" collapsed="false">
      <c r="A101" s="12" t="s">
        <v>286</v>
      </c>
      <c r="B101" s="12" t="s">
        <v>287</v>
      </c>
      <c r="C101" s="12" t="s">
        <v>323</v>
      </c>
      <c r="D101" s="12" t="s">
        <v>317</v>
      </c>
      <c r="E101" s="19" t="s">
        <v>60</v>
      </c>
      <c r="F101" s="12" t="s">
        <v>324</v>
      </c>
    </row>
    <row r="102" customFormat="false" ht="22.35" hidden="false" customHeight="false" outlineLevel="0" collapsed="false">
      <c r="A102" s="12" t="s">
        <v>286</v>
      </c>
      <c r="B102" s="12" t="s">
        <v>287</v>
      </c>
      <c r="C102" s="12" t="s">
        <v>325</v>
      </c>
      <c r="D102" s="12" t="s">
        <v>296</v>
      </c>
      <c r="E102" s="19" t="s">
        <v>64</v>
      </c>
      <c r="F102" s="12" t="s">
        <v>326</v>
      </c>
    </row>
    <row r="103" customFormat="false" ht="22.35" hidden="false" customHeight="false" outlineLevel="0" collapsed="false">
      <c r="A103" s="12" t="s">
        <v>286</v>
      </c>
      <c r="B103" s="12" t="s">
        <v>287</v>
      </c>
      <c r="C103" s="12" t="s">
        <v>327</v>
      </c>
      <c r="D103" s="12" t="s">
        <v>328</v>
      </c>
      <c r="E103" s="19" t="s">
        <v>60</v>
      </c>
      <c r="F103" s="12" t="s">
        <v>329</v>
      </c>
    </row>
    <row r="104" customFormat="false" ht="22.35" hidden="false" customHeight="false" outlineLevel="0" collapsed="false">
      <c r="A104" s="12" t="s">
        <v>286</v>
      </c>
      <c r="B104" s="12" t="s">
        <v>287</v>
      </c>
      <c r="C104" s="12" t="s">
        <v>330</v>
      </c>
      <c r="D104" s="12" t="s">
        <v>331</v>
      </c>
      <c r="E104" s="19" t="s">
        <v>60</v>
      </c>
      <c r="F104" s="12" t="s">
        <v>332</v>
      </c>
    </row>
  </sheetData>
  <autoFilter ref="A4:F1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8" min="7" style="0" width="9"/>
    <col collapsed="false" customWidth="true" hidden="false" outlineLevel="0" max="10" min="9" style="0" width="10"/>
    <col collapsed="false" customWidth="true" hidden="false" outlineLevel="0" max="11" min="11" style="0" width="11"/>
    <col collapsed="false" customWidth="true" hidden="false" outlineLevel="0" max="12" min="12" style="0" width="8"/>
    <col collapsed="false" customWidth="true" hidden="false" outlineLevel="0" max="13" min="13" style="0" width="9"/>
  </cols>
  <sheetData>
    <row r="1" customFormat="false" ht="19.7" hidden="false" customHeight="false" outlineLevel="0" collapsed="false">
      <c r="A1" s="22" t="s">
        <v>15</v>
      </c>
    </row>
    <row r="2" customFormat="false" ht="15" hidden="false" customHeight="false" outlineLevel="0" collapsed="false">
      <c r="A2" s="3" t="s">
        <v>333</v>
      </c>
    </row>
    <row r="4" customFormat="false" ht="27.75" hidden="false" customHeight="true" outlineLevel="0" collapsed="false">
      <c r="A4" s="11" t="s">
        <v>334</v>
      </c>
      <c r="B4" s="11" t="s">
        <v>16</v>
      </c>
      <c r="C4" s="11" t="s">
        <v>51</v>
      </c>
      <c r="D4" s="11" t="s">
        <v>17</v>
      </c>
      <c r="E4" s="11" t="s">
        <v>18</v>
      </c>
      <c r="F4" s="11" t="s">
        <v>19</v>
      </c>
      <c r="G4" s="11" t="s">
        <v>20</v>
      </c>
      <c r="H4" s="11" t="s">
        <v>335</v>
      </c>
      <c r="I4" s="11" t="s">
        <v>21</v>
      </c>
      <c r="J4" s="11" t="s">
        <v>22</v>
      </c>
      <c r="K4" s="11" t="s">
        <v>336</v>
      </c>
      <c r="L4" s="11" t="s">
        <v>337</v>
      </c>
      <c r="M4" s="11" t="s">
        <v>24</v>
      </c>
    </row>
    <row r="5" customFormat="false" ht="15" hidden="false" customHeight="false" outlineLevel="0" collapsed="false">
      <c r="A5" s="19" t="n">
        <v>1</v>
      </c>
      <c r="B5" s="12" t="s">
        <v>56</v>
      </c>
      <c r="C5" s="12" t="s">
        <v>57</v>
      </c>
      <c r="D5" s="13" t="n">
        <v>5</v>
      </c>
      <c r="E5" s="13" t="n">
        <f aca="false">COUNTIF(03_SUBJECT_DATA!$B$6:$B$132,$B5)</f>
        <v>9</v>
      </c>
      <c r="F5" s="13" t="n">
        <f aca="false">SUMIF(03_SUBJECT_DATA!$B$6:$B$132,$B5,03_SUBJECT_DATA!$I$6:$I$132)</f>
        <v>0</v>
      </c>
      <c r="G5" s="13" t="n">
        <f aca="false">SUMIF(03_SUBJECT_DATA!$B$6:$B$132,$B5,03_SUBJECT_DATA!$J$6:$J$132)</f>
        <v>0</v>
      </c>
      <c r="H5" s="13" t="n">
        <f aca="false">SUMIF(03_SUBJECT_DATA!$B$6:$B$132,$B5,03_SUBJECT_DATA!$K$6:$K$132)</f>
        <v>0</v>
      </c>
      <c r="I5" s="14" t="n">
        <f aca="false">SUMIF(03_SUBJECT_DATA!$B$6:$B$132,$B5,03_SUBJECT_DATA!$L$6:$L$132)</f>
        <v>0</v>
      </c>
      <c r="J5" s="15" t="n">
        <f aca="false">IFERROR(H5/F5,0)</f>
        <v>0</v>
      </c>
      <c r="K5" s="15" t="n">
        <f aca="false">IFERROR(AVERAGEIF(03_SUBJECT_DATA!$B$6:$B$132,$B5,03_SUBJECT_DATA!$O$6:$O$132),0)</f>
        <v>0</v>
      </c>
      <c r="L5" s="13" t="n">
        <f aca="false">COUNTIFS(03_SUBJECT_DATA!$B$6:$B$132,$B5,03_SUBJECT_DATA!$P$6:$P$132,"RED")</f>
        <v>0</v>
      </c>
      <c r="M5" s="23" t="str">
        <f aca="false">IF(L5&gt;0,"RED",IF(OR(I5&gt;0,J5&lt;0.75),"AMBER","GREEN"))</f>
        <v>AMBER</v>
      </c>
    </row>
    <row r="6" customFormat="false" ht="15" hidden="false" customHeight="false" outlineLevel="0" collapsed="false">
      <c r="A6" s="19" t="n">
        <v>2</v>
      </c>
      <c r="B6" s="12" t="s">
        <v>75</v>
      </c>
      <c r="C6" s="12" t="s">
        <v>76</v>
      </c>
      <c r="D6" s="13" t="n">
        <v>11</v>
      </c>
      <c r="E6" s="13" t="n">
        <f aca="false">COUNTIF(03_SUBJECT_DATA!$B$6:$B$132,$B6)</f>
        <v>13</v>
      </c>
      <c r="F6" s="13" t="n">
        <f aca="false">SUMIF(03_SUBJECT_DATA!$B$6:$B$132,$B6,03_SUBJECT_DATA!$I$6:$I$132)</f>
        <v>0</v>
      </c>
      <c r="G6" s="13" t="n">
        <f aca="false">SUMIF(03_SUBJECT_DATA!$B$6:$B$132,$B6,03_SUBJECT_DATA!$J$6:$J$132)</f>
        <v>0</v>
      </c>
      <c r="H6" s="13" t="n">
        <f aca="false">SUMIF(03_SUBJECT_DATA!$B$6:$B$132,$B6,03_SUBJECT_DATA!$K$6:$K$132)</f>
        <v>0</v>
      </c>
      <c r="I6" s="14" t="n">
        <f aca="false">SUMIF(03_SUBJECT_DATA!$B$6:$B$132,$B6,03_SUBJECT_DATA!$L$6:$L$132)</f>
        <v>0</v>
      </c>
      <c r="J6" s="15" t="n">
        <f aca="false">IFERROR(H6/F6,0)</f>
        <v>0</v>
      </c>
      <c r="K6" s="15" t="n">
        <f aca="false">IFERROR(AVERAGEIF(03_SUBJECT_DATA!$B$6:$B$132,$B6,03_SUBJECT_DATA!$O$6:$O$132),0)</f>
        <v>0</v>
      </c>
      <c r="L6" s="13" t="n">
        <f aca="false">COUNTIFS(03_SUBJECT_DATA!$B$6:$B$132,$B6,03_SUBJECT_DATA!$P$6:$P$132,"RED")</f>
        <v>0</v>
      </c>
      <c r="M6" s="23" t="str">
        <f aca="false">IF(L6&gt;0,"RED",IF(OR(I6&gt;0,J6&lt;0.75),"AMBER","GREEN"))</f>
        <v>AMBER</v>
      </c>
    </row>
    <row r="7" customFormat="false" ht="15" hidden="false" customHeight="false" outlineLevel="0" collapsed="false">
      <c r="A7" s="19" t="n">
        <v>3</v>
      </c>
      <c r="B7" s="12" t="s">
        <v>104</v>
      </c>
      <c r="C7" s="12" t="s">
        <v>105</v>
      </c>
      <c r="D7" s="13" t="n">
        <v>9</v>
      </c>
      <c r="E7" s="13" t="n">
        <f aca="false">COUNTIF(03_SUBJECT_DATA!$B$6:$B$132,$B7)</f>
        <v>9</v>
      </c>
      <c r="F7" s="13" t="n">
        <f aca="false">SUMIF(03_SUBJECT_DATA!$B$6:$B$132,$B7,03_SUBJECT_DATA!$I$6:$I$132)</f>
        <v>0</v>
      </c>
      <c r="G7" s="13" t="n">
        <f aca="false">SUMIF(03_SUBJECT_DATA!$B$6:$B$132,$B7,03_SUBJECT_DATA!$J$6:$J$132)</f>
        <v>0</v>
      </c>
      <c r="H7" s="13" t="n">
        <f aca="false">SUMIF(03_SUBJECT_DATA!$B$6:$B$132,$B7,03_SUBJECT_DATA!$K$6:$K$132)</f>
        <v>0</v>
      </c>
      <c r="I7" s="14" t="n">
        <f aca="false">SUMIF(03_SUBJECT_DATA!$B$6:$B$132,$B7,03_SUBJECT_DATA!$L$6:$L$132)</f>
        <v>0</v>
      </c>
      <c r="J7" s="15" t="n">
        <f aca="false">IFERROR(H7/F7,0)</f>
        <v>0</v>
      </c>
      <c r="K7" s="15" t="n">
        <f aca="false">IFERROR(AVERAGEIF(03_SUBJECT_DATA!$B$6:$B$132,$B7,03_SUBJECT_DATA!$O$6:$O$132),0)</f>
        <v>0</v>
      </c>
      <c r="L7" s="13" t="n">
        <f aca="false">COUNTIFS(03_SUBJECT_DATA!$B$6:$B$132,$B7,03_SUBJECT_DATA!$P$6:$P$132,"RED")</f>
        <v>0</v>
      </c>
      <c r="M7" s="23" t="str">
        <f aca="false">IF(L7&gt;0,"RED",IF(OR(I7&gt;0,J7&lt;0.75),"AMBER","GREEN"))</f>
        <v>AMBER</v>
      </c>
    </row>
    <row r="8" customFormat="false" ht="22.35" hidden="false" customHeight="false" outlineLevel="0" collapsed="false">
      <c r="A8" s="19" t="n">
        <v>4</v>
      </c>
      <c r="B8" s="12" t="s">
        <v>130</v>
      </c>
      <c r="C8" s="12" t="s">
        <v>131</v>
      </c>
      <c r="D8" s="13" t="n">
        <v>8</v>
      </c>
      <c r="E8" s="13" t="n">
        <f aca="false">COUNTIF(03_SUBJECT_DATA!$B$6:$B$132,$B8)</f>
        <v>12</v>
      </c>
      <c r="F8" s="13" t="n">
        <f aca="false">SUMIF(03_SUBJECT_DATA!$B$6:$B$132,$B8,03_SUBJECT_DATA!$I$6:$I$132)</f>
        <v>0</v>
      </c>
      <c r="G8" s="13" t="n">
        <f aca="false">SUMIF(03_SUBJECT_DATA!$B$6:$B$132,$B8,03_SUBJECT_DATA!$J$6:$J$132)</f>
        <v>0</v>
      </c>
      <c r="H8" s="13" t="n">
        <f aca="false">SUMIF(03_SUBJECT_DATA!$B$6:$B$132,$B8,03_SUBJECT_DATA!$K$6:$K$132)</f>
        <v>0</v>
      </c>
      <c r="I8" s="14" t="n">
        <f aca="false">SUMIF(03_SUBJECT_DATA!$B$6:$B$132,$B8,03_SUBJECT_DATA!$L$6:$L$132)</f>
        <v>0</v>
      </c>
      <c r="J8" s="15" t="n">
        <f aca="false">IFERROR(H8/F8,0)</f>
        <v>0</v>
      </c>
      <c r="K8" s="15" t="n">
        <f aca="false">IFERROR(AVERAGEIF(03_SUBJECT_DATA!$B$6:$B$132,$B8,03_SUBJECT_DATA!$O$6:$O$132),0)</f>
        <v>0</v>
      </c>
      <c r="L8" s="13" t="n">
        <f aca="false">COUNTIFS(03_SUBJECT_DATA!$B$6:$B$132,$B8,03_SUBJECT_DATA!$P$6:$P$132,"RED")</f>
        <v>0</v>
      </c>
      <c r="M8" s="23" t="str">
        <f aca="false">IF(L8&gt;0,"RED",IF(OR(I8&gt;0,J8&lt;0.75),"AMBER","GREEN"))</f>
        <v>AMBER</v>
      </c>
    </row>
    <row r="9" customFormat="false" ht="15" hidden="false" customHeight="false" outlineLevel="0" collapsed="false">
      <c r="A9" s="19" t="n">
        <v>5</v>
      </c>
      <c r="B9" s="12" t="s">
        <v>154</v>
      </c>
      <c r="C9" s="12" t="s">
        <v>155</v>
      </c>
      <c r="D9" s="13" t="n">
        <v>11</v>
      </c>
      <c r="E9" s="13" t="n">
        <f aca="false">COUNTIF(03_SUBJECT_DATA!$B$6:$B$132,$B9)</f>
        <v>13</v>
      </c>
      <c r="F9" s="13" t="n">
        <f aca="false">SUMIF(03_SUBJECT_DATA!$B$6:$B$132,$B9,03_SUBJECT_DATA!$I$6:$I$132)</f>
        <v>0</v>
      </c>
      <c r="G9" s="13" t="n">
        <f aca="false">SUMIF(03_SUBJECT_DATA!$B$6:$B$132,$B9,03_SUBJECT_DATA!$J$6:$J$132)</f>
        <v>0</v>
      </c>
      <c r="H9" s="13" t="n">
        <f aca="false">SUMIF(03_SUBJECT_DATA!$B$6:$B$132,$B9,03_SUBJECT_DATA!$K$6:$K$132)</f>
        <v>0</v>
      </c>
      <c r="I9" s="14" t="n">
        <f aca="false">SUMIF(03_SUBJECT_DATA!$B$6:$B$132,$B9,03_SUBJECT_DATA!$L$6:$L$132)</f>
        <v>0</v>
      </c>
      <c r="J9" s="15" t="n">
        <f aca="false">IFERROR(H9/F9,0)</f>
        <v>0</v>
      </c>
      <c r="K9" s="15" t="n">
        <f aca="false">IFERROR(AVERAGEIF(03_SUBJECT_DATA!$B$6:$B$132,$B9,03_SUBJECT_DATA!$O$6:$O$132),0)</f>
        <v>0</v>
      </c>
      <c r="L9" s="13" t="n">
        <f aca="false">COUNTIFS(03_SUBJECT_DATA!$B$6:$B$132,$B9,03_SUBJECT_DATA!$P$6:$P$132,"RED")</f>
        <v>0</v>
      </c>
      <c r="M9" s="23" t="str">
        <f aca="false">IF(L9&gt;0,"RED",IF(OR(I9&gt;0,J9&lt;0.75),"AMBER","GREEN"))</f>
        <v>AMBER</v>
      </c>
    </row>
    <row r="10" customFormat="false" ht="22.35" hidden="false" customHeight="false" outlineLevel="0" collapsed="false">
      <c r="A10" s="19" t="n">
        <v>6</v>
      </c>
      <c r="B10" s="12" t="s">
        <v>184</v>
      </c>
      <c r="C10" s="12" t="s">
        <v>185</v>
      </c>
      <c r="D10" s="13" t="n">
        <v>4</v>
      </c>
      <c r="E10" s="13" t="n">
        <f aca="false">COUNTIF(03_SUBJECT_DATA!$B$6:$B$132,$B10)</f>
        <v>4</v>
      </c>
      <c r="F10" s="13" t="n">
        <f aca="false">SUMIF(03_SUBJECT_DATA!$B$6:$B$132,$B10,03_SUBJECT_DATA!$I$6:$I$132)</f>
        <v>0</v>
      </c>
      <c r="G10" s="13" t="n">
        <f aca="false">SUMIF(03_SUBJECT_DATA!$B$6:$B$132,$B10,03_SUBJECT_DATA!$J$6:$J$132)</f>
        <v>0</v>
      </c>
      <c r="H10" s="13" t="n">
        <f aca="false">SUMIF(03_SUBJECT_DATA!$B$6:$B$132,$B10,03_SUBJECT_DATA!$K$6:$K$132)</f>
        <v>0</v>
      </c>
      <c r="I10" s="14" t="n">
        <f aca="false">SUMIF(03_SUBJECT_DATA!$B$6:$B$132,$B10,03_SUBJECT_DATA!$L$6:$L$132)</f>
        <v>0</v>
      </c>
      <c r="J10" s="15" t="n">
        <f aca="false">IFERROR(H10/F10,0)</f>
        <v>0</v>
      </c>
      <c r="K10" s="15" t="n">
        <f aca="false">IFERROR(AVERAGEIF(03_SUBJECT_DATA!$B$6:$B$132,$B10,03_SUBJECT_DATA!$O$6:$O$132),0)</f>
        <v>0</v>
      </c>
      <c r="L10" s="13" t="n">
        <f aca="false">COUNTIFS(03_SUBJECT_DATA!$B$6:$B$132,$B10,03_SUBJECT_DATA!$P$6:$P$132,"RED")</f>
        <v>0</v>
      </c>
      <c r="M10" s="23" t="str">
        <f aca="false">IF(L10&gt;0,"RED",IF(OR(I10&gt;0,J10&lt;0.75),"AMBER","GREEN"))</f>
        <v>AMBER</v>
      </c>
    </row>
    <row r="11" customFormat="false" ht="15" hidden="false" customHeight="false" outlineLevel="0" collapsed="false">
      <c r="A11" s="19" t="n">
        <v>7</v>
      </c>
      <c r="B11" s="12" t="s">
        <v>198</v>
      </c>
      <c r="C11" s="12" t="s">
        <v>199</v>
      </c>
      <c r="D11" s="13" t="n">
        <v>12</v>
      </c>
      <c r="E11" s="13" t="n">
        <f aca="false">COUNTIF(03_SUBJECT_DATA!$B$6:$B$132,$B11)</f>
        <v>17</v>
      </c>
      <c r="F11" s="13" t="n">
        <f aca="false">SUMIF(03_SUBJECT_DATA!$B$6:$B$132,$B11,03_SUBJECT_DATA!$I$6:$I$132)</f>
        <v>0</v>
      </c>
      <c r="G11" s="13" t="n">
        <f aca="false">SUMIF(03_SUBJECT_DATA!$B$6:$B$132,$B11,03_SUBJECT_DATA!$J$6:$J$132)</f>
        <v>0</v>
      </c>
      <c r="H11" s="13" t="n">
        <f aca="false">SUMIF(03_SUBJECT_DATA!$B$6:$B$132,$B11,03_SUBJECT_DATA!$K$6:$K$132)</f>
        <v>0</v>
      </c>
      <c r="I11" s="14" t="n">
        <f aca="false">SUMIF(03_SUBJECT_DATA!$B$6:$B$132,$B11,03_SUBJECT_DATA!$L$6:$L$132)</f>
        <v>0</v>
      </c>
      <c r="J11" s="15" t="n">
        <f aca="false">IFERROR(H11/F11,0)</f>
        <v>0</v>
      </c>
      <c r="K11" s="15" t="n">
        <f aca="false">IFERROR(AVERAGEIF(03_SUBJECT_DATA!$B$6:$B$132,$B11,03_SUBJECT_DATA!$O$6:$O$132),0)</f>
        <v>0</v>
      </c>
      <c r="L11" s="13" t="n">
        <f aca="false">COUNTIFS(03_SUBJECT_DATA!$B$6:$B$132,$B11,03_SUBJECT_DATA!$P$6:$P$132,"RED")</f>
        <v>0</v>
      </c>
      <c r="M11" s="23" t="str">
        <f aca="false">IF(L11&gt;0,"RED",IF(OR(I11&gt;0,J11&lt;0.75),"AMBER","GREEN"))</f>
        <v>AMBER</v>
      </c>
    </row>
    <row r="12" customFormat="false" ht="15" hidden="false" customHeight="false" outlineLevel="0" collapsed="false">
      <c r="A12" s="19" t="n">
        <v>8</v>
      </c>
      <c r="B12" s="12" t="s">
        <v>229</v>
      </c>
      <c r="C12" s="12" t="s">
        <v>230</v>
      </c>
      <c r="D12" s="13" t="n">
        <v>12</v>
      </c>
      <c r="E12" s="13" t="n">
        <f aca="false">COUNTIF(03_SUBJECT_DATA!$B$6:$B$132,$B12)</f>
        <v>14</v>
      </c>
      <c r="F12" s="13" t="n">
        <f aca="false">SUMIF(03_SUBJECT_DATA!$B$6:$B$132,$B12,03_SUBJECT_DATA!$I$6:$I$132)</f>
        <v>0</v>
      </c>
      <c r="G12" s="13" t="n">
        <f aca="false">SUMIF(03_SUBJECT_DATA!$B$6:$B$132,$B12,03_SUBJECT_DATA!$J$6:$J$132)</f>
        <v>0</v>
      </c>
      <c r="H12" s="13" t="n">
        <f aca="false">SUMIF(03_SUBJECT_DATA!$B$6:$B$132,$B12,03_SUBJECT_DATA!$K$6:$K$132)</f>
        <v>0</v>
      </c>
      <c r="I12" s="14" t="n">
        <f aca="false">SUMIF(03_SUBJECT_DATA!$B$6:$B$132,$B12,03_SUBJECT_DATA!$L$6:$L$132)</f>
        <v>0</v>
      </c>
      <c r="J12" s="15" t="n">
        <f aca="false">IFERROR(H12/F12,0)</f>
        <v>0</v>
      </c>
      <c r="K12" s="15" t="n">
        <f aca="false">IFERROR(AVERAGEIF(03_SUBJECT_DATA!$B$6:$B$132,$B12,03_SUBJECT_DATA!$O$6:$O$132),0)</f>
        <v>0</v>
      </c>
      <c r="L12" s="13" t="n">
        <f aca="false">COUNTIFS(03_SUBJECT_DATA!$B$6:$B$132,$B12,03_SUBJECT_DATA!$P$6:$P$132,"RED")</f>
        <v>0</v>
      </c>
      <c r="M12" s="23" t="str">
        <f aca="false">IF(L12&gt;0,"RED",IF(OR(I12&gt;0,J12&lt;0.75),"AMBER","GREEN"))</f>
        <v>AMBER</v>
      </c>
    </row>
    <row r="13" customFormat="false" ht="15" hidden="false" customHeight="false" outlineLevel="0" collapsed="false">
      <c r="A13" s="19" t="n">
        <v>9</v>
      </c>
      <c r="B13" s="12" t="s">
        <v>262</v>
      </c>
      <c r="C13" s="12" t="s">
        <v>263</v>
      </c>
      <c r="D13" s="13" t="n">
        <v>9</v>
      </c>
      <c r="E13" s="13" t="n">
        <f aca="false">COUNTIF(03_SUBJECT_DATA!$B$6:$B$132,$B13)</f>
        <v>12</v>
      </c>
      <c r="F13" s="13" t="n">
        <f aca="false">SUMIF(03_SUBJECT_DATA!$B$6:$B$132,$B13,03_SUBJECT_DATA!$I$6:$I$132)</f>
        <v>0</v>
      </c>
      <c r="G13" s="13" t="n">
        <f aca="false">SUMIF(03_SUBJECT_DATA!$B$6:$B$132,$B13,03_SUBJECT_DATA!$J$6:$J$132)</f>
        <v>0</v>
      </c>
      <c r="H13" s="13" t="n">
        <f aca="false">SUMIF(03_SUBJECT_DATA!$B$6:$B$132,$B13,03_SUBJECT_DATA!$K$6:$K$132)</f>
        <v>0</v>
      </c>
      <c r="I13" s="14" t="n">
        <f aca="false">SUMIF(03_SUBJECT_DATA!$B$6:$B$132,$B13,03_SUBJECT_DATA!$L$6:$L$132)</f>
        <v>0</v>
      </c>
      <c r="J13" s="15" t="n">
        <f aca="false">IFERROR(H13/F13,0)</f>
        <v>0</v>
      </c>
      <c r="K13" s="15" t="n">
        <f aca="false">IFERROR(AVERAGEIF(03_SUBJECT_DATA!$B$6:$B$132,$B13,03_SUBJECT_DATA!$O$6:$O$132),0)</f>
        <v>0</v>
      </c>
      <c r="L13" s="13" t="n">
        <f aca="false">COUNTIFS(03_SUBJECT_DATA!$B$6:$B$132,$B13,03_SUBJECT_DATA!$P$6:$P$132,"RED")</f>
        <v>0</v>
      </c>
      <c r="M13" s="23" t="str">
        <f aca="false">IF(L13&gt;0,"RED",IF(OR(I13&gt;0,J13&lt;0.75),"AMBER","GREEN"))</f>
        <v>AMBER</v>
      </c>
    </row>
    <row r="14" customFormat="false" ht="22.35" hidden="false" customHeight="false" outlineLevel="0" collapsed="false">
      <c r="A14" s="19" t="n">
        <v>10</v>
      </c>
      <c r="B14" s="12" t="s">
        <v>286</v>
      </c>
      <c r="C14" s="12" t="s">
        <v>287</v>
      </c>
      <c r="D14" s="13" t="n">
        <v>19</v>
      </c>
      <c r="E14" s="13" t="n">
        <f aca="false">COUNTIF(03_SUBJECT_DATA!$B$6:$B$132,$B14)</f>
        <v>24</v>
      </c>
      <c r="F14" s="13" t="n">
        <f aca="false">SUMIF(03_SUBJECT_DATA!$B$6:$B$132,$B14,03_SUBJECT_DATA!$I$6:$I$132)</f>
        <v>0</v>
      </c>
      <c r="G14" s="13" t="n">
        <f aca="false">SUMIF(03_SUBJECT_DATA!$B$6:$B$132,$B14,03_SUBJECT_DATA!$J$6:$J$132)</f>
        <v>0</v>
      </c>
      <c r="H14" s="13" t="n">
        <f aca="false">SUMIF(03_SUBJECT_DATA!$B$6:$B$132,$B14,03_SUBJECT_DATA!$K$6:$K$132)</f>
        <v>0</v>
      </c>
      <c r="I14" s="14" t="n">
        <f aca="false">SUMIF(03_SUBJECT_DATA!$B$6:$B$132,$B14,03_SUBJECT_DATA!$L$6:$L$132)</f>
        <v>0</v>
      </c>
      <c r="J14" s="15" t="n">
        <f aca="false">IFERROR(H14/F14,0)</f>
        <v>0</v>
      </c>
      <c r="K14" s="15" t="n">
        <f aca="false">IFERROR(AVERAGEIF(03_SUBJECT_DATA!$B$6:$B$132,$B14,03_SUBJECT_DATA!$O$6:$O$132),0)</f>
        <v>0</v>
      </c>
      <c r="L14" s="13" t="n">
        <f aca="false">COUNTIFS(03_SUBJECT_DATA!$B$6:$B$132,$B14,03_SUBJECT_DATA!$P$6:$P$132,"RED")</f>
        <v>0</v>
      </c>
      <c r="M14" s="23" t="str">
        <f aca="false">IF(L14&gt;0,"RED",IF(OR(I14&gt;0,J14&lt;0.75),"AMBER","GREEN"))</f>
        <v>AMBER</v>
      </c>
    </row>
    <row r="15" customFormat="false" ht="15" hidden="false" customHeight="false" outlineLevel="0" collapsed="false">
      <c r="B15" s="24" t="s">
        <v>338</v>
      </c>
      <c r="C15" s="25"/>
      <c r="D15" s="26" t="n">
        <f aca="false">SUM(D5:D14)</f>
        <v>100</v>
      </c>
      <c r="E15" s="26" t="n">
        <f aca="false">SUM(E5:E14)</f>
        <v>127</v>
      </c>
      <c r="F15" s="26" t="n">
        <f aca="false">SUM(F5:F14)</f>
        <v>0</v>
      </c>
      <c r="G15" s="26" t="n">
        <f aca="false">SUM(G5:G14)</f>
        <v>0</v>
      </c>
      <c r="H15" s="26" t="n">
        <f aca="false">SUM(H5:H14)</f>
        <v>0</v>
      </c>
      <c r="I15" s="26" t="n">
        <f aca="false">SUM(I5:I14)</f>
        <v>0</v>
      </c>
      <c r="J15" s="27" t="n">
        <f aca="false">IFERROR(H15/F15,0)</f>
        <v>0</v>
      </c>
      <c r="K15" s="27" t="n">
        <f aca="false">IFERROR(AVERAGE(03_SUBJECT_DATA!$O$6:$O$132),0)</f>
        <v>0</v>
      </c>
      <c r="L15" s="26" t="n">
        <f aca="false">SUM(L5:L14)</f>
        <v>0</v>
      </c>
    </row>
  </sheetData>
  <conditionalFormatting sqref="M5:M14">
    <cfRule type="cellIs" priority="2" operator="equal" aboveAverage="0" equalAverage="0" bottom="0" percent="0" rank="0" text="" dxfId="0">
      <formula>"RED"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0"/>
    <col collapsed="false" customWidth="true" hidden="false" outlineLevel="0" max="7" min="5" style="0" width="13"/>
  </cols>
  <sheetData>
    <row r="1" customFormat="false" ht="19.7" hidden="false" customHeight="false" outlineLevel="0" collapsed="false">
      <c r="A1" s="22" t="s">
        <v>339</v>
      </c>
    </row>
    <row r="2" customFormat="false" ht="15" hidden="false" customHeight="false" outlineLevel="0" collapsed="false">
      <c r="A2" s="3" t="s">
        <v>340</v>
      </c>
    </row>
    <row r="3" customFormat="false" ht="15" hidden="false" customHeight="false" outlineLevel="0" collapsed="false">
      <c r="A3" s="3" t="s">
        <v>341</v>
      </c>
    </row>
    <row r="5" customFormat="false" ht="19.5" hidden="false" customHeight="true" outlineLevel="0" collapsed="false">
      <c r="A5" s="28" t="s">
        <v>342</v>
      </c>
      <c r="B5" s="28"/>
      <c r="C5" s="28"/>
      <c r="D5" s="28"/>
      <c r="E5" s="11" t="s">
        <v>343</v>
      </c>
      <c r="F5" s="29"/>
      <c r="G5" s="29"/>
    </row>
    <row r="6" customFormat="false" ht="15" hidden="false" customHeight="true" outlineLevel="0" collapsed="false">
      <c r="A6" s="30" t="s">
        <v>344</v>
      </c>
      <c r="B6" s="31" t="s">
        <v>345</v>
      </c>
      <c r="C6" s="31"/>
      <c r="D6" s="31"/>
      <c r="E6" s="18" t="n">
        <f aca="false">COUNTA(03_SUBJECT_DATA!$E$6:$E$132)</f>
        <v>127</v>
      </c>
      <c r="F6" s="14" t="n">
        <f aca="false">COUNTIF(03_SUBJECT_DATA!$P$6:$P$132,"RED")</f>
        <v>0</v>
      </c>
      <c r="G6" s="32" t="n">
        <f aca="false">IFERROR(AVERAGE(03_SUBJECT_DATA!$O$6:$O$132),0)</f>
        <v>0</v>
      </c>
    </row>
    <row r="7" customFormat="false" ht="15" hidden="false" customHeight="false" outlineLevel="0" collapsed="false">
      <c r="E7" s="33" t="s">
        <v>346</v>
      </c>
      <c r="F7" s="33" t="s">
        <v>347</v>
      </c>
      <c r="G7" s="33" t="s">
        <v>348</v>
      </c>
    </row>
    <row r="8" customFormat="false" ht="25.5" hidden="false" customHeight="true" outlineLevel="0" collapsed="false">
      <c r="A8" s="11" t="s">
        <v>334</v>
      </c>
      <c r="B8" s="11" t="s">
        <v>349</v>
      </c>
      <c r="C8" s="11" t="s">
        <v>350</v>
      </c>
      <c r="D8" s="11" t="s">
        <v>351</v>
      </c>
      <c r="E8" s="11" t="s">
        <v>352</v>
      </c>
      <c r="F8" s="11" t="s">
        <v>353</v>
      </c>
      <c r="G8" s="11" t="s">
        <v>354</v>
      </c>
    </row>
    <row r="9" customFormat="false" ht="27.75" hidden="false" customHeight="true" outlineLevel="0" collapsed="false">
      <c r="A9" s="34" t="s">
        <v>355</v>
      </c>
      <c r="B9" s="12" t="s">
        <v>356</v>
      </c>
      <c r="C9" s="12" t="s">
        <v>357</v>
      </c>
      <c r="D9" s="35"/>
      <c r="E9" s="29"/>
      <c r="F9" s="29"/>
      <c r="G9" s="29"/>
    </row>
    <row r="10" customFormat="false" ht="27.75" hidden="false" customHeight="true" outlineLevel="0" collapsed="false">
      <c r="A10" s="34" t="s">
        <v>358</v>
      </c>
      <c r="B10" s="12" t="s">
        <v>359</v>
      </c>
      <c r="C10" s="12" t="s">
        <v>360</v>
      </c>
      <c r="D10" s="35"/>
      <c r="E10" s="29"/>
      <c r="F10" s="29"/>
      <c r="G10" s="29"/>
    </row>
    <row r="11" customFormat="false" ht="27.75" hidden="false" customHeight="true" outlineLevel="0" collapsed="false">
      <c r="A11" s="34" t="s">
        <v>361</v>
      </c>
      <c r="B11" s="12" t="s">
        <v>362</v>
      </c>
      <c r="C11" s="12" t="s">
        <v>363</v>
      </c>
      <c r="D11" s="35"/>
      <c r="E11" s="29"/>
      <c r="F11" s="29"/>
      <c r="G11" s="29"/>
    </row>
    <row r="12" customFormat="false" ht="27.75" hidden="false" customHeight="true" outlineLevel="0" collapsed="false">
      <c r="A12" s="34" t="s">
        <v>364</v>
      </c>
      <c r="B12" s="12" t="s">
        <v>365</v>
      </c>
      <c r="C12" s="12" t="s">
        <v>366</v>
      </c>
      <c r="D12" s="35"/>
      <c r="E12" s="29"/>
      <c r="F12" s="29"/>
      <c r="G12" s="29"/>
    </row>
    <row r="13" customFormat="false" ht="15" hidden="false" customHeight="false" outlineLevel="0" collapsed="false">
      <c r="A13" s="11" t="s">
        <v>334</v>
      </c>
      <c r="B13" s="11" t="s">
        <v>367</v>
      </c>
      <c r="C13" s="11" t="s">
        <v>28</v>
      </c>
      <c r="D13" s="11" t="s">
        <v>368</v>
      </c>
      <c r="E13" s="11" t="s">
        <v>24</v>
      </c>
      <c r="F13" s="11"/>
      <c r="G13" s="11"/>
    </row>
    <row r="14" customFormat="false" ht="15" hidden="false" customHeight="false" outlineLevel="0" collapsed="false">
      <c r="A14" s="34" t="s">
        <v>369</v>
      </c>
      <c r="B14" s="12" t="s">
        <v>370</v>
      </c>
      <c r="C14" s="18" t="s">
        <v>371</v>
      </c>
      <c r="D14" s="29"/>
      <c r="E14" s="29"/>
      <c r="F14" s="25"/>
      <c r="G14" s="25"/>
    </row>
    <row r="15" customFormat="false" ht="15" hidden="false" customHeight="false" outlineLevel="0" collapsed="false">
      <c r="A15" s="34" t="s">
        <v>372</v>
      </c>
      <c r="B15" s="12" t="s">
        <v>373</v>
      </c>
      <c r="C15" s="18" t="s">
        <v>374</v>
      </c>
      <c r="D15" s="29"/>
      <c r="E15" s="29"/>
      <c r="F15" s="25"/>
      <c r="G15" s="25"/>
    </row>
    <row r="16" customFormat="false" ht="15" hidden="false" customHeight="false" outlineLevel="0" collapsed="false">
      <c r="A16" s="34" t="s">
        <v>375</v>
      </c>
      <c r="B16" s="12" t="s">
        <v>376</v>
      </c>
      <c r="C16" s="18" t="s">
        <v>377</v>
      </c>
      <c r="D16" s="29"/>
      <c r="E16" s="29"/>
      <c r="F16" s="25"/>
      <c r="G16" s="25"/>
    </row>
    <row r="17" customFormat="false" ht="15" hidden="false" customHeight="false" outlineLevel="0" collapsed="false">
      <c r="A17" s="34" t="s">
        <v>378</v>
      </c>
      <c r="B17" s="12" t="s">
        <v>379</v>
      </c>
      <c r="C17" s="18" t="s">
        <v>377</v>
      </c>
      <c r="D17" s="29"/>
      <c r="E17" s="29"/>
      <c r="F17" s="25"/>
      <c r="G17" s="25"/>
    </row>
    <row r="20" customFormat="false" ht="19.5" hidden="false" customHeight="true" outlineLevel="0" collapsed="false">
      <c r="A20" s="28" t="s">
        <v>380</v>
      </c>
      <c r="B20" s="28"/>
      <c r="C20" s="28"/>
      <c r="D20" s="28"/>
      <c r="E20" s="11" t="s">
        <v>343</v>
      </c>
      <c r="F20" s="29"/>
      <c r="G20" s="29"/>
    </row>
    <row r="21" customFormat="false" ht="15" hidden="false" customHeight="true" outlineLevel="0" collapsed="false">
      <c r="A21" s="30" t="s">
        <v>344</v>
      </c>
      <c r="B21" s="31" t="s">
        <v>104</v>
      </c>
      <c r="C21" s="31"/>
      <c r="D21" s="31"/>
      <c r="E21" s="18" t="n">
        <f aca="false">COUNTIF(03_SUBJECT_DATA!$B$6:$B$132,"03_SUPPORT_AND_RESOURCES")</f>
        <v>9</v>
      </c>
      <c r="F21" s="14" t="n">
        <f aca="false">COUNTIFS(03_SUBJECT_DATA!$B$6:$B$132,"03_SUPPORT_AND_RESOURCES",03_SUBJECT_DATA!$P$6:$P$132,"RED")</f>
        <v>0</v>
      </c>
      <c r="G21" s="32" t="n">
        <f aca="false">IFERROR(AVERAGEIF(03_SUBJECT_DATA!$B$6:$B$132,"03_SUPPORT_AND_RESOURCES",03_SUBJECT_DATA!$O$6:$O$132),0)</f>
        <v>0</v>
      </c>
    </row>
    <row r="22" customFormat="false" ht="15" hidden="false" customHeight="false" outlineLevel="0" collapsed="false">
      <c r="E22" s="33" t="s">
        <v>346</v>
      </c>
      <c r="F22" s="33" t="s">
        <v>347</v>
      </c>
      <c r="G22" s="33" t="s">
        <v>348</v>
      </c>
    </row>
    <row r="23" customFormat="false" ht="25.5" hidden="false" customHeight="true" outlineLevel="0" collapsed="false">
      <c r="A23" s="11" t="s">
        <v>334</v>
      </c>
      <c r="B23" s="11" t="s">
        <v>349</v>
      </c>
      <c r="C23" s="11" t="s">
        <v>350</v>
      </c>
      <c r="D23" s="11" t="s">
        <v>351</v>
      </c>
      <c r="E23" s="11" t="s">
        <v>352</v>
      </c>
      <c r="F23" s="11" t="s">
        <v>353</v>
      </c>
      <c r="G23" s="11" t="s">
        <v>354</v>
      </c>
    </row>
    <row r="24" customFormat="false" ht="27.75" hidden="false" customHeight="true" outlineLevel="0" collapsed="false">
      <c r="A24" s="34" t="s">
        <v>355</v>
      </c>
      <c r="B24" s="12" t="s">
        <v>381</v>
      </c>
      <c r="C24" s="12" t="s">
        <v>382</v>
      </c>
      <c r="D24" s="35"/>
      <c r="E24" s="29"/>
      <c r="F24" s="29"/>
      <c r="G24" s="29"/>
    </row>
    <row r="25" customFormat="false" ht="36" hidden="false" customHeight="true" outlineLevel="0" collapsed="false">
      <c r="A25" s="34" t="s">
        <v>358</v>
      </c>
      <c r="B25" s="12" t="s">
        <v>383</v>
      </c>
      <c r="C25" s="12" t="s">
        <v>384</v>
      </c>
      <c r="D25" s="35"/>
      <c r="E25" s="29"/>
      <c r="F25" s="29"/>
      <c r="G25" s="29"/>
    </row>
    <row r="26" customFormat="false" ht="27.75" hidden="false" customHeight="true" outlineLevel="0" collapsed="false">
      <c r="A26" s="34" t="s">
        <v>361</v>
      </c>
      <c r="B26" s="12" t="s">
        <v>385</v>
      </c>
      <c r="C26" s="12" t="s">
        <v>386</v>
      </c>
      <c r="D26" s="35"/>
      <c r="E26" s="29"/>
      <c r="F26" s="29"/>
      <c r="G26" s="29"/>
    </row>
    <row r="27" customFormat="false" ht="27.75" hidden="false" customHeight="true" outlineLevel="0" collapsed="false">
      <c r="A27" s="34" t="s">
        <v>364</v>
      </c>
      <c r="B27" s="12" t="s">
        <v>387</v>
      </c>
      <c r="C27" s="12" t="s">
        <v>388</v>
      </c>
      <c r="D27" s="35"/>
      <c r="E27" s="29"/>
      <c r="F27" s="29"/>
      <c r="G27" s="29"/>
    </row>
    <row r="28" customFormat="false" ht="15" hidden="false" customHeight="false" outlineLevel="0" collapsed="false">
      <c r="A28" s="11" t="s">
        <v>334</v>
      </c>
      <c r="B28" s="11" t="s">
        <v>367</v>
      </c>
      <c r="C28" s="11" t="s">
        <v>28</v>
      </c>
      <c r="D28" s="11" t="s">
        <v>368</v>
      </c>
      <c r="E28" s="11" t="s">
        <v>24</v>
      </c>
      <c r="F28" s="11"/>
      <c r="G28" s="11"/>
    </row>
    <row r="29" customFormat="false" ht="15" hidden="false" customHeight="false" outlineLevel="0" collapsed="false">
      <c r="A29" s="34" t="s">
        <v>369</v>
      </c>
      <c r="B29" s="12" t="s">
        <v>389</v>
      </c>
      <c r="C29" s="18" t="s">
        <v>377</v>
      </c>
      <c r="D29" s="29"/>
      <c r="E29" s="29"/>
      <c r="F29" s="25"/>
      <c r="G29" s="25"/>
    </row>
    <row r="30" customFormat="false" ht="15" hidden="false" customHeight="false" outlineLevel="0" collapsed="false">
      <c r="A30" s="34" t="s">
        <v>372</v>
      </c>
      <c r="B30" s="12" t="s">
        <v>390</v>
      </c>
      <c r="C30" s="18" t="s">
        <v>31</v>
      </c>
      <c r="D30" s="29"/>
      <c r="E30" s="29"/>
      <c r="F30" s="25"/>
      <c r="G30" s="25"/>
    </row>
    <row r="31" customFormat="false" ht="15" hidden="false" customHeight="false" outlineLevel="0" collapsed="false">
      <c r="A31" s="34" t="s">
        <v>375</v>
      </c>
      <c r="B31" s="12" t="s">
        <v>391</v>
      </c>
      <c r="C31" s="18" t="s">
        <v>31</v>
      </c>
      <c r="D31" s="29"/>
      <c r="E31" s="29"/>
      <c r="F31" s="25"/>
      <c r="G31" s="25"/>
    </row>
    <row r="32" customFormat="false" ht="15" hidden="false" customHeight="false" outlineLevel="0" collapsed="false">
      <c r="A32" s="34" t="s">
        <v>378</v>
      </c>
      <c r="B32" s="12" t="s">
        <v>392</v>
      </c>
      <c r="C32" s="18" t="s">
        <v>377</v>
      </c>
      <c r="D32" s="29"/>
      <c r="E32" s="29"/>
      <c r="F32" s="25"/>
      <c r="G32" s="25"/>
    </row>
    <row r="35" customFormat="false" ht="19.5" hidden="false" customHeight="true" outlineLevel="0" collapsed="false">
      <c r="A35" s="28" t="s">
        <v>393</v>
      </c>
      <c r="B35" s="28"/>
      <c r="C35" s="28"/>
      <c r="D35" s="28"/>
      <c r="E35" s="11" t="s">
        <v>343</v>
      </c>
      <c r="F35" s="29"/>
      <c r="G35" s="29"/>
    </row>
    <row r="36" customFormat="false" ht="15" hidden="false" customHeight="true" outlineLevel="0" collapsed="false">
      <c r="A36" s="30" t="s">
        <v>344</v>
      </c>
      <c r="B36" s="31" t="s">
        <v>75</v>
      </c>
      <c r="C36" s="31"/>
      <c r="D36" s="31"/>
      <c r="E36" s="18" t="n">
        <f aca="false">COUNTIF(03_SUBJECT_DATA!$B$6:$B$132,"02_PLANNING")</f>
        <v>13</v>
      </c>
      <c r="F36" s="14" t="n">
        <f aca="false">COUNTIFS(03_SUBJECT_DATA!$B$6:$B$132,"02_PLANNING",03_SUBJECT_DATA!$P$6:$P$132,"RED")</f>
        <v>0</v>
      </c>
      <c r="G36" s="32" t="n">
        <f aca="false">IFERROR(AVERAGEIF(03_SUBJECT_DATA!$B$6:$B$132,"02_PLANNING",03_SUBJECT_DATA!$O$6:$O$132),0)</f>
        <v>0</v>
      </c>
    </row>
    <row r="37" customFormat="false" ht="15" hidden="false" customHeight="false" outlineLevel="0" collapsed="false">
      <c r="E37" s="33" t="s">
        <v>346</v>
      </c>
      <c r="F37" s="33" t="s">
        <v>347</v>
      </c>
      <c r="G37" s="33" t="s">
        <v>348</v>
      </c>
    </row>
    <row r="38" customFormat="false" ht="25.5" hidden="false" customHeight="true" outlineLevel="0" collapsed="false">
      <c r="A38" s="11" t="s">
        <v>334</v>
      </c>
      <c r="B38" s="11" t="s">
        <v>349</v>
      </c>
      <c r="C38" s="11" t="s">
        <v>350</v>
      </c>
      <c r="D38" s="11" t="s">
        <v>351</v>
      </c>
      <c r="E38" s="11" t="s">
        <v>352</v>
      </c>
      <c r="F38" s="11" t="s">
        <v>353</v>
      </c>
      <c r="G38" s="11" t="s">
        <v>354</v>
      </c>
    </row>
    <row r="39" customFormat="false" ht="27.75" hidden="false" customHeight="true" outlineLevel="0" collapsed="false">
      <c r="A39" s="34" t="s">
        <v>355</v>
      </c>
      <c r="B39" s="12" t="s">
        <v>394</v>
      </c>
      <c r="C39" s="12" t="s">
        <v>395</v>
      </c>
      <c r="D39" s="35"/>
      <c r="E39" s="29"/>
      <c r="F39" s="29"/>
      <c r="G39" s="29"/>
    </row>
    <row r="40" customFormat="false" ht="27.75" hidden="false" customHeight="true" outlineLevel="0" collapsed="false">
      <c r="A40" s="34" t="s">
        <v>358</v>
      </c>
      <c r="B40" s="12" t="s">
        <v>396</v>
      </c>
      <c r="C40" s="12" t="s">
        <v>397</v>
      </c>
      <c r="D40" s="35"/>
      <c r="E40" s="29"/>
      <c r="F40" s="29"/>
      <c r="G40" s="29"/>
    </row>
    <row r="41" customFormat="false" ht="27.75" hidden="false" customHeight="true" outlineLevel="0" collapsed="false">
      <c r="A41" s="34" t="s">
        <v>361</v>
      </c>
      <c r="B41" s="12" t="s">
        <v>398</v>
      </c>
      <c r="C41" s="12" t="s">
        <v>399</v>
      </c>
      <c r="D41" s="35"/>
      <c r="E41" s="29"/>
      <c r="F41" s="29"/>
      <c r="G41" s="29"/>
    </row>
    <row r="42" customFormat="false" ht="27.75" hidden="false" customHeight="true" outlineLevel="0" collapsed="false">
      <c r="A42" s="34" t="s">
        <v>364</v>
      </c>
      <c r="B42" s="12" t="s">
        <v>400</v>
      </c>
      <c r="C42" s="12" t="s">
        <v>401</v>
      </c>
      <c r="D42" s="35"/>
      <c r="E42" s="29"/>
      <c r="F42" s="29"/>
      <c r="G42" s="29"/>
    </row>
    <row r="43" customFormat="false" ht="15" hidden="false" customHeight="false" outlineLevel="0" collapsed="false">
      <c r="A43" s="11" t="s">
        <v>334</v>
      </c>
      <c r="B43" s="11" t="s">
        <v>367</v>
      </c>
      <c r="C43" s="11" t="s">
        <v>28</v>
      </c>
      <c r="D43" s="11" t="s">
        <v>368</v>
      </c>
      <c r="E43" s="11" t="s">
        <v>24</v>
      </c>
      <c r="F43" s="11"/>
      <c r="G43" s="11"/>
    </row>
    <row r="44" customFormat="false" ht="15" hidden="false" customHeight="false" outlineLevel="0" collapsed="false">
      <c r="A44" s="34" t="s">
        <v>369</v>
      </c>
      <c r="B44" s="12" t="s">
        <v>402</v>
      </c>
      <c r="C44" s="18" t="s">
        <v>377</v>
      </c>
      <c r="D44" s="29"/>
      <c r="E44" s="29"/>
      <c r="F44" s="25"/>
      <c r="G44" s="25"/>
    </row>
    <row r="45" customFormat="false" ht="15" hidden="false" customHeight="false" outlineLevel="0" collapsed="false">
      <c r="A45" s="34" t="s">
        <v>372</v>
      </c>
      <c r="B45" s="12" t="s">
        <v>403</v>
      </c>
      <c r="C45" s="18" t="s">
        <v>404</v>
      </c>
      <c r="D45" s="29"/>
      <c r="E45" s="29"/>
      <c r="F45" s="25"/>
      <c r="G45" s="25"/>
    </row>
    <row r="46" customFormat="false" ht="15" hidden="false" customHeight="false" outlineLevel="0" collapsed="false">
      <c r="A46" s="34" t="s">
        <v>375</v>
      </c>
      <c r="B46" s="12" t="s">
        <v>405</v>
      </c>
      <c r="C46" s="18" t="s">
        <v>377</v>
      </c>
      <c r="D46" s="29"/>
      <c r="E46" s="29"/>
      <c r="F46" s="25"/>
      <c r="G46" s="25"/>
    </row>
    <row r="47" customFormat="false" ht="15" hidden="false" customHeight="false" outlineLevel="0" collapsed="false">
      <c r="A47" s="34" t="s">
        <v>378</v>
      </c>
      <c r="B47" s="12" t="s">
        <v>406</v>
      </c>
      <c r="C47" s="18" t="s">
        <v>407</v>
      </c>
      <c r="D47" s="29"/>
      <c r="E47" s="29"/>
      <c r="F47" s="25"/>
      <c r="G47" s="25"/>
    </row>
    <row r="50" customFormat="false" ht="19.5" hidden="false" customHeight="true" outlineLevel="0" collapsed="false">
      <c r="A50" s="28" t="s">
        <v>408</v>
      </c>
      <c r="B50" s="28"/>
      <c r="C50" s="28"/>
      <c r="D50" s="28"/>
      <c r="E50" s="11" t="s">
        <v>343</v>
      </c>
      <c r="F50" s="29"/>
      <c r="G50" s="29"/>
    </row>
    <row r="51" customFormat="false" ht="15" hidden="false" customHeight="true" outlineLevel="0" collapsed="false">
      <c r="A51" s="30" t="s">
        <v>344</v>
      </c>
      <c r="B51" s="31" t="s">
        <v>262</v>
      </c>
      <c r="C51" s="31"/>
      <c r="D51" s="31"/>
      <c r="E51" s="18" t="n">
        <f aca="false">COUNTIF(03_SUBJECT_DATA!$B$6:$B$132,"09_COMMERCIAL_AND_CHANGE")</f>
        <v>12</v>
      </c>
      <c r="F51" s="14" t="n">
        <f aca="false">COUNTIFS(03_SUBJECT_DATA!$B$6:$B$132,"09_COMMERCIAL_AND_CHANGE",03_SUBJECT_DATA!$P$6:$P$132,"RED")</f>
        <v>0</v>
      </c>
      <c r="G51" s="32" t="n">
        <f aca="false">IFERROR(AVERAGEIF(03_SUBJECT_DATA!$B$6:$B$132,"09_COMMERCIAL_AND_CHANGE",03_SUBJECT_DATA!$O$6:$O$132),0)</f>
        <v>0</v>
      </c>
    </row>
    <row r="52" customFormat="false" ht="15" hidden="false" customHeight="false" outlineLevel="0" collapsed="false">
      <c r="E52" s="33" t="s">
        <v>346</v>
      </c>
      <c r="F52" s="33" t="s">
        <v>347</v>
      </c>
      <c r="G52" s="33" t="s">
        <v>348</v>
      </c>
    </row>
    <row r="53" customFormat="false" ht="25.5" hidden="false" customHeight="true" outlineLevel="0" collapsed="false">
      <c r="A53" s="11" t="s">
        <v>334</v>
      </c>
      <c r="B53" s="11" t="s">
        <v>349</v>
      </c>
      <c r="C53" s="11" t="s">
        <v>350</v>
      </c>
      <c r="D53" s="11" t="s">
        <v>351</v>
      </c>
      <c r="E53" s="11" t="s">
        <v>352</v>
      </c>
      <c r="F53" s="11" t="s">
        <v>353</v>
      </c>
      <c r="G53" s="11" t="s">
        <v>354</v>
      </c>
    </row>
    <row r="54" customFormat="false" ht="27.75" hidden="false" customHeight="true" outlineLevel="0" collapsed="false">
      <c r="A54" s="34" t="s">
        <v>355</v>
      </c>
      <c r="B54" s="12" t="s">
        <v>409</v>
      </c>
      <c r="C54" s="12" t="s">
        <v>410</v>
      </c>
      <c r="D54" s="35"/>
      <c r="E54" s="29"/>
      <c r="F54" s="29"/>
      <c r="G54" s="29"/>
    </row>
    <row r="55" customFormat="false" ht="27.75" hidden="false" customHeight="true" outlineLevel="0" collapsed="false">
      <c r="A55" s="34" t="s">
        <v>358</v>
      </c>
      <c r="B55" s="12" t="s">
        <v>411</v>
      </c>
      <c r="C55" s="12" t="s">
        <v>412</v>
      </c>
      <c r="D55" s="35"/>
      <c r="E55" s="29"/>
      <c r="F55" s="29"/>
      <c r="G55" s="29"/>
    </row>
    <row r="56" customFormat="false" ht="27.75" hidden="false" customHeight="true" outlineLevel="0" collapsed="false">
      <c r="A56" s="34" t="s">
        <v>361</v>
      </c>
      <c r="B56" s="12" t="s">
        <v>413</v>
      </c>
      <c r="C56" s="12" t="s">
        <v>414</v>
      </c>
      <c r="D56" s="35"/>
      <c r="E56" s="29"/>
      <c r="F56" s="29"/>
      <c r="G56" s="29"/>
    </row>
    <row r="57" customFormat="false" ht="27.75" hidden="false" customHeight="true" outlineLevel="0" collapsed="false">
      <c r="A57" s="34" t="s">
        <v>364</v>
      </c>
      <c r="B57" s="12" t="s">
        <v>415</v>
      </c>
      <c r="C57" s="12" t="s">
        <v>416</v>
      </c>
      <c r="D57" s="35"/>
      <c r="E57" s="29"/>
      <c r="F57" s="29"/>
      <c r="G57" s="29"/>
    </row>
    <row r="58" customFormat="false" ht="15" hidden="false" customHeight="false" outlineLevel="0" collapsed="false">
      <c r="A58" s="11" t="s">
        <v>334</v>
      </c>
      <c r="B58" s="11" t="s">
        <v>367</v>
      </c>
      <c r="C58" s="11" t="s">
        <v>28</v>
      </c>
      <c r="D58" s="11" t="s">
        <v>368</v>
      </c>
      <c r="E58" s="11" t="s">
        <v>24</v>
      </c>
      <c r="F58" s="11"/>
      <c r="G58" s="11"/>
    </row>
    <row r="59" customFormat="false" ht="15" hidden="false" customHeight="false" outlineLevel="0" collapsed="false">
      <c r="A59" s="34" t="s">
        <v>369</v>
      </c>
      <c r="B59" s="12" t="s">
        <v>417</v>
      </c>
      <c r="C59" s="18" t="s">
        <v>374</v>
      </c>
      <c r="D59" s="29"/>
      <c r="E59" s="29"/>
      <c r="F59" s="25"/>
      <c r="G59" s="25"/>
    </row>
    <row r="60" customFormat="false" ht="15" hidden="false" customHeight="false" outlineLevel="0" collapsed="false">
      <c r="A60" s="34" t="s">
        <v>372</v>
      </c>
      <c r="B60" s="12" t="s">
        <v>418</v>
      </c>
      <c r="C60" s="18" t="s">
        <v>374</v>
      </c>
      <c r="D60" s="29"/>
      <c r="E60" s="29"/>
      <c r="F60" s="25"/>
      <c r="G60" s="25"/>
    </row>
    <row r="61" customFormat="false" ht="15" hidden="false" customHeight="false" outlineLevel="0" collapsed="false">
      <c r="A61" s="34" t="s">
        <v>375</v>
      </c>
      <c r="B61" s="12" t="s">
        <v>419</v>
      </c>
      <c r="C61" s="18" t="s">
        <v>31</v>
      </c>
      <c r="D61" s="29"/>
      <c r="E61" s="29"/>
      <c r="F61" s="25"/>
      <c r="G61" s="25"/>
    </row>
    <row r="62" customFormat="false" ht="15" hidden="false" customHeight="false" outlineLevel="0" collapsed="false">
      <c r="A62" s="34" t="s">
        <v>378</v>
      </c>
      <c r="B62" s="12" t="s">
        <v>420</v>
      </c>
      <c r="C62" s="18" t="s">
        <v>421</v>
      </c>
      <c r="D62" s="29"/>
      <c r="E62" s="29"/>
      <c r="F62" s="25"/>
      <c r="G62" s="25"/>
    </row>
    <row r="65" customFormat="false" ht="19.5" hidden="false" customHeight="true" outlineLevel="0" collapsed="false">
      <c r="A65" s="28" t="s">
        <v>422</v>
      </c>
      <c r="B65" s="28"/>
      <c r="C65" s="28"/>
      <c r="D65" s="28"/>
      <c r="E65" s="11" t="s">
        <v>343</v>
      </c>
      <c r="F65" s="29"/>
      <c r="G65" s="29"/>
    </row>
    <row r="66" customFormat="false" ht="15" hidden="false" customHeight="true" outlineLevel="0" collapsed="false">
      <c r="A66" s="30" t="s">
        <v>344</v>
      </c>
      <c r="B66" s="31" t="s">
        <v>229</v>
      </c>
      <c r="C66" s="31"/>
      <c r="D66" s="31"/>
      <c r="E66" s="18" t="n">
        <f aca="false">COUNTIF(03_SUBJECT_DATA!$B$6:$B$132,"08_QUALITY_HSE_AND_ENVIRONMENT")</f>
        <v>14</v>
      </c>
      <c r="F66" s="14" t="n">
        <f aca="false">COUNTIFS(03_SUBJECT_DATA!$B$6:$B$132,"08_QUALITY_HSE_AND_ENVIRONMENT",03_SUBJECT_DATA!$P$6:$P$132,"RED")</f>
        <v>0</v>
      </c>
      <c r="G66" s="32" t="n">
        <f aca="false">IFERROR(AVERAGEIF(03_SUBJECT_DATA!$B$6:$B$132,"08_QUALITY_HSE_AND_ENVIRONMENT",03_SUBJECT_DATA!$O$6:$O$132),0)</f>
        <v>0</v>
      </c>
    </row>
    <row r="67" customFormat="false" ht="15" hidden="false" customHeight="false" outlineLevel="0" collapsed="false">
      <c r="E67" s="33" t="s">
        <v>346</v>
      </c>
      <c r="F67" s="33" t="s">
        <v>347</v>
      </c>
      <c r="G67" s="33" t="s">
        <v>348</v>
      </c>
    </row>
    <row r="68" customFormat="false" ht="25.5" hidden="false" customHeight="true" outlineLevel="0" collapsed="false">
      <c r="A68" s="11" t="s">
        <v>334</v>
      </c>
      <c r="B68" s="11" t="s">
        <v>349</v>
      </c>
      <c r="C68" s="11" t="s">
        <v>350</v>
      </c>
      <c r="D68" s="11" t="s">
        <v>351</v>
      </c>
      <c r="E68" s="11" t="s">
        <v>352</v>
      </c>
      <c r="F68" s="11" t="s">
        <v>353</v>
      </c>
      <c r="G68" s="11" t="s">
        <v>354</v>
      </c>
    </row>
    <row r="69" customFormat="false" ht="27.75" hidden="false" customHeight="true" outlineLevel="0" collapsed="false">
      <c r="A69" s="34" t="s">
        <v>355</v>
      </c>
      <c r="B69" s="12" t="s">
        <v>423</v>
      </c>
      <c r="C69" s="12" t="s">
        <v>424</v>
      </c>
      <c r="D69" s="35"/>
      <c r="E69" s="29"/>
      <c r="F69" s="29"/>
      <c r="G69" s="29"/>
    </row>
    <row r="70" customFormat="false" ht="27.75" hidden="false" customHeight="true" outlineLevel="0" collapsed="false">
      <c r="A70" s="34" t="s">
        <v>358</v>
      </c>
      <c r="B70" s="12" t="s">
        <v>425</v>
      </c>
      <c r="C70" s="12" t="s">
        <v>426</v>
      </c>
      <c r="D70" s="35"/>
      <c r="E70" s="29"/>
      <c r="F70" s="29"/>
      <c r="G70" s="29"/>
    </row>
    <row r="71" customFormat="false" ht="27.75" hidden="false" customHeight="true" outlineLevel="0" collapsed="false">
      <c r="A71" s="34" t="s">
        <v>361</v>
      </c>
      <c r="B71" s="12" t="s">
        <v>427</v>
      </c>
      <c r="C71" s="12" t="s">
        <v>428</v>
      </c>
      <c r="D71" s="35"/>
      <c r="E71" s="29"/>
      <c r="F71" s="29"/>
      <c r="G71" s="29"/>
    </row>
    <row r="72" customFormat="false" ht="27.75" hidden="false" customHeight="true" outlineLevel="0" collapsed="false">
      <c r="A72" s="34" t="s">
        <v>364</v>
      </c>
      <c r="B72" s="12" t="s">
        <v>429</v>
      </c>
      <c r="C72" s="12" t="s">
        <v>430</v>
      </c>
      <c r="D72" s="35"/>
      <c r="E72" s="29"/>
      <c r="F72" s="29"/>
      <c r="G72" s="29"/>
    </row>
    <row r="73" customFormat="false" ht="15" hidden="false" customHeight="false" outlineLevel="0" collapsed="false">
      <c r="A73" s="11" t="s">
        <v>334</v>
      </c>
      <c r="B73" s="11" t="s">
        <v>367</v>
      </c>
      <c r="C73" s="11" t="s">
        <v>28</v>
      </c>
      <c r="D73" s="11" t="s">
        <v>368</v>
      </c>
      <c r="E73" s="11" t="s">
        <v>24</v>
      </c>
      <c r="F73" s="11"/>
      <c r="G73" s="11"/>
    </row>
    <row r="74" customFormat="false" ht="15" hidden="false" customHeight="false" outlineLevel="0" collapsed="false">
      <c r="A74" s="34" t="s">
        <v>369</v>
      </c>
      <c r="B74" s="12" t="s">
        <v>431</v>
      </c>
      <c r="C74" s="18" t="s">
        <v>31</v>
      </c>
      <c r="D74" s="29"/>
      <c r="E74" s="29"/>
      <c r="F74" s="25"/>
      <c r="G74" s="25"/>
    </row>
    <row r="75" customFormat="false" ht="15" hidden="false" customHeight="false" outlineLevel="0" collapsed="false">
      <c r="A75" s="34" t="s">
        <v>372</v>
      </c>
      <c r="B75" s="12" t="s">
        <v>432</v>
      </c>
      <c r="C75" s="18" t="s">
        <v>37</v>
      </c>
      <c r="D75" s="29"/>
      <c r="E75" s="29"/>
      <c r="F75" s="25"/>
      <c r="G75" s="25"/>
    </row>
    <row r="76" customFormat="false" ht="15" hidden="false" customHeight="false" outlineLevel="0" collapsed="false">
      <c r="A76" s="34" t="s">
        <v>375</v>
      </c>
      <c r="B76" s="12" t="s">
        <v>433</v>
      </c>
      <c r="C76" s="18" t="s">
        <v>377</v>
      </c>
      <c r="D76" s="29"/>
      <c r="E76" s="29"/>
      <c r="F76" s="25"/>
      <c r="G76" s="25"/>
    </row>
    <row r="77" customFormat="false" ht="15" hidden="false" customHeight="false" outlineLevel="0" collapsed="false">
      <c r="A77" s="34" t="s">
        <v>378</v>
      </c>
      <c r="B77" s="12" t="s">
        <v>434</v>
      </c>
      <c r="C77" s="18" t="s">
        <v>46</v>
      </c>
      <c r="D77" s="29"/>
      <c r="E77" s="29"/>
      <c r="F77" s="25"/>
      <c r="G77" s="25"/>
    </row>
    <row r="80" customFormat="false" ht="19.5" hidden="false" customHeight="true" outlineLevel="0" collapsed="false">
      <c r="A80" s="28" t="s">
        <v>435</v>
      </c>
      <c r="B80" s="28"/>
      <c r="C80" s="28"/>
      <c r="D80" s="28"/>
      <c r="E80" s="11" t="s">
        <v>343</v>
      </c>
      <c r="F80" s="29"/>
      <c r="G80" s="29"/>
    </row>
    <row r="81" customFormat="false" ht="15" hidden="false" customHeight="true" outlineLevel="0" collapsed="false">
      <c r="A81" s="30" t="s">
        <v>344</v>
      </c>
      <c r="B81" s="31" t="s">
        <v>229</v>
      </c>
      <c r="C81" s="31"/>
      <c r="D81" s="31"/>
      <c r="E81" s="18" t="n">
        <f aca="false">COUNTIF(03_SUBJECT_DATA!$B$6:$B$132,"08_QUALITY_HSE_AND_ENVIRONMENT")</f>
        <v>14</v>
      </c>
      <c r="F81" s="14" t="n">
        <f aca="false">COUNTIFS(03_SUBJECT_DATA!$B$6:$B$132,"08_QUALITY_HSE_AND_ENVIRONMENT",03_SUBJECT_DATA!$P$6:$P$132,"RED")</f>
        <v>0</v>
      </c>
      <c r="G81" s="32" t="n">
        <f aca="false">IFERROR(AVERAGEIF(03_SUBJECT_DATA!$B$6:$B$132,"08_QUALITY_HSE_AND_ENVIRONMENT",03_SUBJECT_DATA!$O$6:$O$132),0)</f>
        <v>0</v>
      </c>
    </row>
    <row r="82" customFormat="false" ht="15" hidden="false" customHeight="false" outlineLevel="0" collapsed="false">
      <c r="E82" s="33" t="s">
        <v>346</v>
      </c>
      <c r="F82" s="33" t="s">
        <v>347</v>
      </c>
      <c r="G82" s="33" t="s">
        <v>348</v>
      </c>
    </row>
    <row r="83" customFormat="false" ht="25.5" hidden="false" customHeight="true" outlineLevel="0" collapsed="false">
      <c r="A83" s="11" t="s">
        <v>334</v>
      </c>
      <c r="B83" s="11" t="s">
        <v>349</v>
      </c>
      <c r="C83" s="11" t="s">
        <v>350</v>
      </c>
      <c r="D83" s="11" t="s">
        <v>351</v>
      </c>
      <c r="E83" s="11" t="s">
        <v>352</v>
      </c>
      <c r="F83" s="11" t="s">
        <v>353</v>
      </c>
      <c r="G83" s="11" t="s">
        <v>354</v>
      </c>
    </row>
    <row r="84" customFormat="false" ht="27.75" hidden="false" customHeight="true" outlineLevel="0" collapsed="false">
      <c r="A84" s="34" t="s">
        <v>355</v>
      </c>
      <c r="B84" s="12" t="s">
        <v>436</v>
      </c>
      <c r="C84" s="12" t="s">
        <v>437</v>
      </c>
      <c r="D84" s="35"/>
      <c r="E84" s="29"/>
      <c r="F84" s="29"/>
      <c r="G84" s="29"/>
    </row>
    <row r="85" customFormat="false" ht="27.75" hidden="false" customHeight="true" outlineLevel="0" collapsed="false">
      <c r="A85" s="34" t="s">
        <v>358</v>
      </c>
      <c r="B85" s="12" t="s">
        <v>438</v>
      </c>
      <c r="C85" s="12" t="s">
        <v>439</v>
      </c>
      <c r="D85" s="35"/>
      <c r="E85" s="29"/>
      <c r="F85" s="29"/>
      <c r="G85" s="29"/>
    </row>
    <row r="86" customFormat="false" ht="27.75" hidden="false" customHeight="true" outlineLevel="0" collapsed="false">
      <c r="A86" s="34" t="s">
        <v>361</v>
      </c>
      <c r="B86" s="12" t="s">
        <v>440</v>
      </c>
      <c r="C86" s="12" t="s">
        <v>441</v>
      </c>
      <c r="D86" s="35"/>
      <c r="E86" s="29"/>
      <c r="F86" s="29"/>
      <c r="G86" s="29"/>
    </row>
    <row r="87" customFormat="false" ht="27.75" hidden="false" customHeight="true" outlineLevel="0" collapsed="false">
      <c r="A87" s="34" t="s">
        <v>364</v>
      </c>
      <c r="B87" s="12" t="s">
        <v>442</v>
      </c>
      <c r="C87" s="12" t="s">
        <v>443</v>
      </c>
      <c r="D87" s="35"/>
      <c r="E87" s="29"/>
      <c r="F87" s="29"/>
      <c r="G87" s="29"/>
    </row>
    <row r="88" customFormat="false" ht="15" hidden="false" customHeight="false" outlineLevel="0" collapsed="false">
      <c r="A88" s="11" t="s">
        <v>334</v>
      </c>
      <c r="B88" s="11" t="s">
        <v>367</v>
      </c>
      <c r="C88" s="11" t="s">
        <v>28</v>
      </c>
      <c r="D88" s="11" t="s">
        <v>368</v>
      </c>
      <c r="E88" s="11" t="s">
        <v>24</v>
      </c>
      <c r="F88" s="11"/>
      <c r="G88" s="11"/>
    </row>
    <row r="89" customFormat="false" ht="15" hidden="false" customHeight="false" outlineLevel="0" collapsed="false">
      <c r="A89" s="34" t="s">
        <v>369</v>
      </c>
      <c r="B89" s="12" t="s">
        <v>444</v>
      </c>
      <c r="C89" s="18" t="s">
        <v>377</v>
      </c>
      <c r="D89" s="29"/>
      <c r="E89" s="29"/>
      <c r="F89" s="25"/>
      <c r="G89" s="25"/>
    </row>
    <row r="90" customFormat="false" ht="15" hidden="false" customHeight="false" outlineLevel="0" collapsed="false">
      <c r="A90" s="34" t="s">
        <v>372</v>
      </c>
      <c r="B90" s="12" t="s">
        <v>445</v>
      </c>
      <c r="C90" s="18" t="s">
        <v>31</v>
      </c>
      <c r="D90" s="29"/>
      <c r="E90" s="29"/>
      <c r="F90" s="25"/>
      <c r="G90" s="25"/>
    </row>
    <row r="91" customFormat="false" ht="15" hidden="false" customHeight="false" outlineLevel="0" collapsed="false">
      <c r="A91" s="34" t="s">
        <v>375</v>
      </c>
      <c r="B91" s="12" t="s">
        <v>446</v>
      </c>
      <c r="C91" s="18" t="s">
        <v>447</v>
      </c>
      <c r="D91" s="29"/>
      <c r="E91" s="29"/>
      <c r="F91" s="25"/>
      <c r="G91" s="25"/>
    </row>
    <row r="92" customFormat="false" ht="15" hidden="false" customHeight="false" outlineLevel="0" collapsed="false">
      <c r="A92" s="34" t="s">
        <v>378</v>
      </c>
      <c r="B92" s="12" t="s">
        <v>448</v>
      </c>
      <c r="C92" s="18" t="s">
        <v>449</v>
      </c>
      <c r="D92" s="29"/>
      <c r="E92" s="29"/>
      <c r="F92" s="25"/>
      <c r="G92" s="25"/>
    </row>
    <row r="95" customFormat="false" ht="19.5" hidden="false" customHeight="true" outlineLevel="0" collapsed="false">
      <c r="A95" s="28" t="s">
        <v>450</v>
      </c>
      <c r="B95" s="28"/>
      <c r="C95" s="28"/>
      <c r="D95" s="28"/>
      <c r="E95" s="11" t="s">
        <v>343</v>
      </c>
      <c r="F95" s="29"/>
      <c r="G95" s="29"/>
    </row>
    <row r="96" customFormat="false" ht="15" hidden="false" customHeight="true" outlineLevel="0" collapsed="false">
      <c r="A96" s="30" t="s">
        <v>344</v>
      </c>
      <c r="B96" s="31" t="s">
        <v>130</v>
      </c>
      <c r="C96" s="31"/>
      <c r="D96" s="31"/>
      <c r="E96" s="18" t="n">
        <f aca="false">COUNTIF(03_SUBJECT_DATA!$B$6:$B$132,"04_DESIGN_AND_INFORMATION_MANAGEMENT")</f>
        <v>12</v>
      </c>
      <c r="F96" s="14" t="n">
        <f aca="false">COUNTIFS(03_SUBJECT_DATA!$B$6:$B$132,"04_DESIGN_AND_INFORMATION_MANAGEMENT",03_SUBJECT_DATA!$P$6:$P$132,"RED")</f>
        <v>0</v>
      </c>
      <c r="G96" s="32" t="n">
        <f aca="false">IFERROR(AVERAGEIF(03_SUBJECT_DATA!$B$6:$B$132,"04_DESIGN_AND_INFORMATION_MANAGEMENT",03_SUBJECT_DATA!$O$6:$O$132),0)</f>
        <v>0</v>
      </c>
    </row>
    <row r="97" customFormat="false" ht="15" hidden="false" customHeight="false" outlineLevel="0" collapsed="false">
      <c r="E97" s="33" t="s">
        <v>346</v>
      </c>
      <c r="F97" s="33" t="s">
        <v>347</v>
      </c>
      <c r="G97" s="33" t="s">
        <v>348</v>
      </c>
    </row>
    <row r="98" customFormat="false" ht="25.5" hidden="false" customHeight="true" outlineLevel="0" collapsed="false">
      <c r="A98" s="11" t="s">
        <v>334</v>
      </c>
      <c r="B98" s="11" t="s">
        <v>349</v>
      </c>
      <c r="C98" s="11" t="s">
        <v>350</v>
      </c>
      <c r="D98" s="11" t="s">
        <v>351</v>
      </c>
      <c r="E98" s="11" t="s">
        <v>352</v>
      </c>
      <c r="F98" s="11" t="s">
        <v>353</v>
      </c>
      <c r="G98" s="11" t="s">
        <v>354</v>
      </c>
    </row>
    <row r="99" customFormat="false" ht="27.75" hidden="false" customHeight="true" outlineLevel="0" collapsed="false">
      <c r="A99" s="34" t="s">
        <v>355</v>
      </c>
      <c r="B99" s="12" t="s">
        <v>451</v>
      </c>
      <c r="C99" s="12" t="s">
        <v>452</v>
      </c>
      <c r="D99" s="35"/>
      <c r="E99" s="29"/>
      <c r="F99" s="29"/>
      <c r="G99" s="29"/>
    </row>
    <row r="100" customFormat="false" ht="27.75" hidden="false" customHeight="true" outlineLevel="0" collapsed="false">
      <c r="A100" s="34" t="s">
        <v>358</v>
      </c>
      <c r="B100" s="12" t="s">
        <v>453</v>
      </c>
      <c r="C100" s="12" t="s">
        <v>454</v>
      </c>
      <c r="D100" s="35"/>
      <c r="E100" s="29"/>
      <c r="F100" s="29"/>
      <c r="G100" s="29"/>
    </row>
    <row r="101" customFormat="false" ht="27.75" hidden="false" customHeight="true" outlineLevel="0" collapsed="false">
      <c r="A101" s="34" t="s">
        <v>361</v>
      </c>
      <c r="B101" s="12" t="s">
        <v>455</v>
      </c>
      <c r="C101" s="12" t="s">
        <v>456</v>
      </c>
      <c r="D101" s="35"/>
      <c r="E101" s="29"/>
      <c r="F101" s="29"/>
      <c r="G101" s="29"/>
    </row>
    <row r="102" customFormat="false" ht="27.75" hidden="false" customHeight="true" outlineLevel="0" collapsed="false">
      <c r="A102" s="34" t="s">
        <v>364</v>
      </c>
      <c r="B102" s="12" t="s">
        <v>457</v>
      </c>
      <c r="C102" s="12" t="s">
        <v>458</v>
      </c>
      <c r="D102" s="35"/>
      <c r="E102" s="29"/>
      <c r="F102" s="29"/>
      <c r="G102" s="29"/>
    </row>
    <row r="103" customFormat="false" ht="15" hidden="false" customHeight="false" outlineLevel="0" collapsed="false">
      <c r="A103" s="11" t="s">
        <v>334</v>
      </c>
      <c r="B103" s="11" t="s">
        <v>367</v>
      </c>
      <c r="C103" s="11" t="s">
        <v>28</v>
      </c>
      <c r="D103" s="11" t="s">
        <v>368</v>
      </c>
      <c r="E103" s="11" t="s">
        <v>24</v>
      </c>
      <c r="F103" s="11"/>
      <c r="G103" s="11"/>
    </row>
    <row r="104" customFormat="false" ht="15" hidden="false" customHeight="false" outlineLevel="0" collapsed="false">
      <c r="A104" s="34" t="s">
        <v>369</v>
      </c>
      <c r="B104" s="12" t="s">
        <v>459</v>
      </c>
      <c r="C104" s="18" t="s">
        <v>377</v>
      </c>
      <c r="D104" s="29"/>
      <c r="E104" s="29"/>
      <c r="F104" s="25"/>
      <c r="G104" s="25"/>
    </row>
    <row r="105" customFormat="false" ht="15" hidden="false" customHeight="false" outlineLevel="0" collapsed="false">
      <c r="A105" s="34" t="s">
        <v>372</v>
      </c>
      <c r="B105" s="12" t="s">
        <v>460</v>
      </c>
      <c r="C105" s="18" t="s">
        <v>37</v>
      </c>
      <c r="D105" s="29"/>
      <c r="E105" s="29"/>
      <c r="F105" s="25"/>
      <c r="G105" s="25"/>
    </row>
    <row r="106" customFormat="false" ht="15" hidden="false" customHeight="false" outlineLevel="0" collapsed="false">
      <c r="A106" s="34" t="s">
        <v>375</v>
      </c>
      <c r="B106" s="12" t="s">
        <v>461</v>
      </c>
      <c r="C106" s="18" t="s">
        <v>374</v>
      </c>
      <c r="D106" s="29"/>
      <c r="E106" s="29"/>
      <c r="F106" s="25"/>
      <c r="G106" s="25"/>
    </row>
    <row r="107" customFormat="false" ht="15" hidden="false" customHeight="false" outlineLevel="0" collapsed="false">
      <c r="A107" s="34" t="s">
        <v>378</v>
      </c>
      <c r="B107" s="12" t="s">
        <v>462</v>
      </c>
      <c r="C107" s="18" t="s">
        <v>31</v>
      </c>
      <c r="D107" s="29"/>
      <c r="E107" s="29"/>
      <c r="F107" s="25"/>
      <c r="G107" s="25"/>
    </row>
    <row r="110" customFormat="false" ht="15" hidden="false" customHeight="false" outlineLevel="0" collapsed="false">
      <c r="A110" s="3" t="s">
        <v>463</v>
      </c>
    </row>
  </sheetData>
  <mergeCells count="21">
    <mergeCell ref="A5:D5"/>
    <mergeCell ref="F5:G5"/>
    <mergeCell ref="B6:D6"/>
    <mergeCell ref="A20:D20"/>
    <mergeCell ref="F20:G20"/>
    <mergeCell ref="B21:D21"/>
    <mergeCell ref="A35:D35"/>
    <mergeCell ref="F35:G35"/>
    <mergeCell ref="B36:D36"/>
    <mergeCell ref="A50:D50"/>
    <mergeCell ref="F50:G50"/>
    <mergeCell ref="B51:D51"/>
    <mergeCell ref="A65:D65"/>
    <mergeCell ref="F65:G65"/>
    <mergeCell ref="B66:D66"/>
    <mergeCell ref="A80:D80"/>
    <mergeCell ref="F80:G80"/>
    <mergeCell ref="B81:D81"/>
    <mergeCell ref="A95:D95"/>
    <mergeCell ref="F95:G95"/>
    <mergeCell ref="B96:D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44"/>
    <col collapsed="false" customWidth="true" hidden="false" outlineLevel="0" max="8" min="8" style="0" width="50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4"/>
  </cols>
  <sheetData>
    <row r="1" customFormat="false" ht="19.7" hidden="false" customHeight="false" outlineLevel="0" collapsed="false">
      <c r="A1" s="22" t="s">
        <v>464</v>
      </c>
    </row>
    <row r="2" customFormat="false" ht="15" hidden="false" customHeight="false" outlineLevel="0" collapsed="false">
      <c r="A2" s="3" t="s">
        <v>465</v>
      </c>
    </row>
    <row r="3" customFormat="false" ht="15" hidden="false" customHeight="false" outlineLevel="0" collapsed="false">
      <c r="A3" s="3" t="s">
        <v>466</v>
      </c>
      <c r="D3" s="36"/>
    </row>
    <row r="5" customFormat="false" ht="30" hidden="false" customHeight="true" outlineLevel="0" collapsed="false">
      <c r="A5" s="11" t="s">
        <v>334</v>
      </c>
      <c r="B5" s="11" t="s">
        <v>16</v>
      </c>
      <c r="C5" s="11" t="s">
        <v>52</v>
      </c>
      <c r="D5" s="11" t="s">
        <v>53</v>
      </c>
      <c r="E5" s="11" t="s">
        <v>467</v>
      </c>
      <c r="F5" s="11" t="s">
        <v>54</v>
      </c>
      <c r="G5" s="11" t="s">
        <v>468</v>
      </c>
      <c r="H5" s="11" t="s">
        <v>469</v>
      </c>
      <c r="I5" s="11" t="s">
        <v>19</v>
      </c>
      <c r="J5" s="11" t="s">
        <v>20</v>
      </c>
      <c r="K5" s="11" t="s">
        <v>335</v>
      </c>
      <c r="L5" s="11" t="s">
        <v>21</v>
      </c>
      <c r="M5" s="11" t="s">
        <v>22</v>
      </c>
      <c r="N5" s="11" t="s">
        <v>470</v>
      </c>
      <c r="O5" s="11" t="s">
        <v>336</v>
      </c>
      <c r="P5" s="11" t="s">
        <v>24</v>
      </c>
      <c r="Q5" s="11" t="s">
        <v>471</v>
      </c>
    </row>
    <row r="6" customFormat="false" ht="22.35" hidden="false" customHeight="false" outlineLevel="0" collapsed="false">
      <c r="A6" s="19" t="n">
        <v>1</v>
      </c>
      <c r="B6" s="12" t="s">
        <v>56</v>
      </c>
      <c r="C6" s="12" t="s">
        <v>58</v>
      </c>
      <c r="D6" s="12" t="s">
        <v>59</v>
      </c>
      <c r="E6" s="12" t="s">
        <v>472</v>
      </c>
      <c r="F6" s="19" t="s">
        <v>60</v>
      </c>
      <c r="G6" s="12" t="s">
        <v>473</v>
      </c>
      <c r="H6" s="12" t="s">
        <v>474</v>
      </c>
      <c r="I6" s="37"/>
      <c r="J6" s="37"/>
      <c r="K6" s="37"/>
      <c r="L6" s="37"/>
      <c r="M6" s="38" t="str">
        <f aca="false">IFERROR(K6/I6,"")</f>
        <v/>
      </c>
      <c r="N6" s="37"/>
      <c r="O6" s="39"/>
      <c r="P6" s="23" t="str">
        <f aca="false">IF(N(I6)=0,"UNUSED",IF(L6&gt;0,"RED",IF(N6&gt;30,"RED",IF(OR(N6&gt;14,O6&lt;0.75),"AMBER","GREEN"))))</f>
        <v>UNUSED</v>
      </c>
      <c r="Q6" s="40"/>
    </row>
    <row r="7" customFormat="false" ht="22.35" hidden="false" customHeight="false" outlineLevel="0" collapsed="false">
      <c r="A7" s="19" t="n">
        <v>2</v>
      </c>
      <c r="B7" s="12" t="s">
        <v>56</v>
      </c>
      <c r="C7" s="12" t="s">
        <v>58</v>
      </c>
      <c r="D7" s="12" t="s">
        <v>59</v>
      </c>
      <c r="E7" s="12" t="s">
        <v>475</v>
      </c>
      <c r="F7" s="19" t="s">
        <v>60</v>
      </c>
      <c r="G7" s="12" t="s">
        <v>473</v>
      </c>
      <c r="H7" s="12" t="s">
        <v>476</v>
      </c>
      <c r="I7" s="37"/>
      <c r="J7" s="37"/>
      <c r="K7" s="37"/>
      <c r="L7" s="37"/>
      <c r="M7" s="38" t="str">
        <f aca="false">IFERROR(K7/I7,"")</f>
        <v/>
      </c>
      <c r="N7" s="37"/>
      <c r="O7" s="39"/>
      <c r="P7" s="23" t="str">
        <f aca="false">IF(N(I7)=0,"UNUSED",IF(L7&gt;0,"RED",IF(N7&gt;30,"RED",IF(OR(N7&gt;14,O7&lt;0.75),"AMBER","GREEN"))))</f>
        <v>UNUSED</v>
      </c>
      <c r="Q7" s="40"/>
    </row>
    <row r="8" customFormat="false" ht="22.35" hidden="false" customHeight="false" outlineLevel="0" collapsed="false">
      <c r="A8" s="19" t="n">
        <v>3</v>
      </c>
      <c r="B8" s="12" t="s">
        <v>56</v>
      </c>
      <c r="C8" s="12" t="s">
        <v>62</v>
      </c>
      <c r="D8" s="12" t="s">
        <v>63</v>
      </c>
      <c r="E8" s="12" t="s">
        <v>65</v>
      </c>
      <c r="F8" s="19" t="s">
        <v>64</v>
      </c>
      <c r="G8" s="12" t="s">
        <v>477</v>
      </c>
      <c r="H8" s="12" t="s">
        <v>478</v>
      </c>
      <c r="I8" s="37"/>
      <c r="J8" s="37"/>
      <c r="K8" s="37"/>
      <c r="L8" s="37"/>
      <c r="M8" s="38" t="str">
        <f aca="false">IFERROR(K8/I8,"")</f>
        <v/>
      </c>
      <c r="N8" s="37"/>
      <c r="O8" s="39"/>
      <c r="P8" s="23" t="str">
        <f aca="false">IF(N(I8)=0,"UNUSED",IF(L8&gt;0,"RED",IF(N8&gt;30,"RED",IF(OR(N8&gt;14,O8&lt;0.75),"AMBER","GREEN"))))</f>
        <v>UNUSED</v>
      </c>
      <c r="Q8" s="40"/>
    </row>
    <row r="9" customFormat="false" ht="22.35" hidden="false" customHeight="false" outlineLevel="0" collapsed="false">
      <c r="A9" s="19" t="n">
        <v>4</v>
      </c>
      <c r="B9" s="12" t="s">
        <v>56</v>
      </c>
      <c r="C9" s="12" t="s">
        <v>66</v>
      </c>
      <c r="D9" s="12" t="s">
        <v>67</v>
      </c>
      <c r="E9" s="12" t="s">
        <v>479</v>
      </c>
      <c r="F9" s="19" t="s">
        <v>60</v>
      </c>
      <c r="G9" s="12" t="s">
        <v>480</v>
      </c>
      <c r="H9" s="12" t="s">
        <v>481</v>
      </c>
      <c r="I9" s="37"/>
      <c r="J9" s="37"/>
      <c r="K9" s="37"/>
      <c r="L9" s="37"/>
      <c r="M9" s="38" t="str">
        <f aca="false">IFERROR(K9/I9,"")</f>
        <v/>
      </c>
      <c r="N9" s="37"/>
      <c r="O9" s="39"/>
      <c r="P9" s="23" t="str">
        <f aca="false">IF(N(I9)=0,"UNUSED",IF(L9&gt;0,"RED",IF(N9&gt;30,"RED",IF(OR(N9&gt;14,O9&lt;0.75),"AMBER","GREEN"))))</f>
        <v>UNUSED</v>
      </c>
      <c r="Q9" s="40"/>
    </row>
    <row r="10" customFormat="false" ht="22.35" hidden="false" customHeight="false" outlineLevel="0" collapsed="false">
      <c r="A10" s="19" t="n">
        <v>5</v>
      </c>
      <c r="B10" s="12" t="s">
        <v>56</v>
      </c>
      <c r="C10" s="12" t="s">
        <v>66</v>
      </c>
      <c r="D10" s="12" t="s">
        <v>67</v>
      </c>
      <c r="E10" s="12" t="s">
        <v>482</v>
      </c>
      <c r="F10" s="19" t="s">
        <v>60</v>
      </c>
      <c r="G10" s="12" t="s">
        <v>480</v>
      </c>
      <c r="H10" s="12" t="s">
        <v>483</v>
      </c>
      <c r="I10" s="37"/>
      <c r="J10" s="37"/>
      <c r="K10" s="37"/>
      <c r="L10" s="37"/>
      <c r="M10" s="38" t="str">
        <f aca="false">IFERROR(K10/I10,"")</f>
        <v/>
      </c>
      <c r="N10" s="37"/>
      <c r="O10" s="39"/>
      <c r="P10" s="23" t="str">
        <f aca="false">IF(N(I10)=0,"UNUSED",IF(L10&gt;0,"RED",IF(N10&gt;30,"RED",IF(OR(N10&gt;14,O10&lt;0.75),"AMBER","GREEN"))))</f>
        <v>UNUSED</v>
      </c>
      <c r="Q10" s="40"/>
    </row>
    <row r="11" customFormat="false" ht="22.35" hidden="false" customHeight="false" outlineLevel="0" collapsed="false">
      <c r="A11" s="19" t="n">
        <v>6</v>
      </c>
      <c r="B11" s="12" t="s">
        <v>56</v>
      </c>
      <c r="C11" s="12" t="s">
        <v>69</v>
      </c>
      <c r="D11" s="12" t="s">
        <v>70</v>
      </c>
      <c r="E11" s="12" t="s">
        <v>484</v>
      </c>
      <c r="F11" s="19" t="s">
        <v>60</v>
      </c>
      <c r="G11" s="12" t="s">
        <v>485</v>
      </c>
      <c r="H11" s="12" t="s">
        <v>486</v>
      </c>
      <c r="I11" s="37"/>
      <c r="J11" s="37"/>
      <c r="K11" s="37"/>
      <c r="L11" s="37"/>
      <c r="M11" s="38" t="str">
        <f aca="false">IFERROR(K11/I11,"")</f>
        <v/>
      </c>
      <c r="N11" s="37"/>
      <c r="O11" s="39"/>
      <c r="P11" s="23" t="str">
        <f aca="false">IF(N(I11)=0,"UNUSED",IF(L11&gt;0,"RED",IF(N11&gt;30,"RED",IF(OR(N11&gt;14,O11&lt;0.75),"AMBER","GREEN"))))</f>
        <v>UNUSED</v>
      </c>
      <c r="Q11" s="40"/>
    </row>
    <row r="12" customFormat="false" ht="22.35" hidden="false" customHeight="false" outlineLevel="0" collapsed="false">
      <c r="A12" s="19" t="n">
        <v>7</v>
      </c>
      <c r="B12" s="12" t="s">
        <v>56</v>
      </c>
      <c r="C12" s="12" t="s">
        <v>69</v>
      </c>
      <c r="D12" s="12" t="s">
        <v>70</v>
      </c>
      <c r="E12" s="12" t="s">
        <v>487</v>
      </c>
      <c r="F12" s="19" t="s">
        <v>60</v>
      </c>
      <c r="G12" s="12" t="s">
        <v>485</v>
      </c>
      <c r="H12" s="12" t="s">
        <v>488</v>
      </c>
      <c r="I12" s="37"/>
      <c r="J12" s="37"/>
      <c r="K12" s="37"/>
      <c r="L12" s="37"/>
      <c r="M12" s="38" t="str">
        <f aca="false">IFERROR(K12/I12,"")</f>
        <v/>
      </c>
      <c r="N12" s="37"/>
      <c r="O12" s="39"/>
      <c r="P12" s="23" t="str">
        <f aca="false">IF(N(I12)=0,"UNUSED",IF(L12&gt;0,"RED",IF(N12&gt;30,"RED",IF(OR(N12&gt;14,O12&lt;0.75),"AMBER","GREEN"))))</f>
        <v>UNUSED</v>
      </c>
      <c r="Q12" s="40"/>
    </row>
    <row r="13" customFormat="false" ht="22.35" hidden="false" customHeight="false" outlineLevel="0" collapsed="false">
      <c r="A13" s="19" t="n">
        <v>8</v>
      </c>
      <c r="B13" s="12" t="s">
        <v>56</v>
      </c>
      <c r="C13" s="12" t="s">
        <v>72</v>
      </c>
      <c r="D13" s="12" t="s">
        <v>73</v>
      </c>
      <c r="E13" s="12" t="s">
        <v>489</v>
      </c>
      <c r="F13" s="19" t="s">
        <v>60</v>
      </c>
      <c r="G13" s="12" t="s">
        <v>490</v>
      </c>
      <c r="H13" s="12" t="s">
        <v>491</v>
      </c>
      <c r="I13" s="37"/>
      <c r="J13" s="37"/>
      <c r="K13" s="37"/>
      <c r="L13" s="37"/>
      <c r="M13" s="38" t="str">
        <f aca="false">IFERROR(K13/I13,"")</f>
        <v/>
      </c>
      <c r="N13" s="37"/>
      <c r="O13" s="39"/>
      <c r="P13" s="23" t="str">
        <f aca="false">IF(N(I13)=0,"UNUSED",IF(L13&gt;0,"RED",IF(N13&gt;30,"RED",IF(OR(N13&gt;14,O13&lt;0.75),"AMBER","GREEN"))))</f>
        <v>UNUSED</v>
      </c>
      <c r="Q13" s="40"/>
    </row>
    <row r="14" customFormat="false" ht="22.35" hidden="false" customHeight="false" outlineLevel="0" collapsed="false">
      <c r="A14" s="19" t="n">
        <v>9</v>
      </c>
      <c r="B14" s="12" t="s">
        <v>56</v>
      </c>
      <c r="C14" s="12" t="s">
        <v>72</v>
      </c>
      <c r="D14" s="12" t="s">
        <v>73</v>
      </c>
      <c r="E14" s="12" t="s">
        <v>492</v>
      </c>
      <c r="F14" s="19" t="s">
        <v>60</v>
      </c>
      <c r="G14" s="12" t="s">
        <v>490</v>
      </c>
      <c r="H14" s="12" t="s">
        <v>493</v>
      </c>
      <c r="I14" s="37"/>
      <c r="J14" s="37"/>
      <c r="K14" s="37"/>
      <c r="L14" s="37"/>
      <c r="M14" s="38" t="str">
        <f aca="false">IFERROR(K14/I14,"")</f>
        <v/>
      </c>
      <c r="N14" s="37"/>
      <c r="O14" s="39"/>
      <c r="P14" s="23" t="str">
        <f aca="false">IF(N(I14)=0,"UNUSED",IF(L14&gt;0,"RED",IF(N14&gt;30,"RED",IF(OR(N14&gt;14,O14&lt;0.75),"AMBER","GREEN"))))</f>
        <v>UNUSED</v>
      </c>
      <c r="Q14" s="40"/>
    </row>
    <row r="15" customFormat="false" ht="22.35" hidden="false" customHeight="false" outlineLevel="0" collapsed="false">
      <c r="A15" s="19" t="n">
        <v>10</v>
      </c>
      <c r="B15" s="12" t="s">
        <v>75</v>
      </c>
      <c r="C15" s="12" t="s">
        <v>77</v>
      </c>
      <c r="D15" s="12" t="s">
        <v>78</v>
      </c>
      <c r="E15" s="12" t="s">
        <v>494</v>
      </c>
      <c r="F15" s="19" t="s">
        <v>60</v>
      </c>
      <c r="G15" s="12" t="s">
        <v>495</v>
      </c>
      <c r="H15" s="12" t="s">
        <v>496</v>
      </c>
      <c r="I15" s="37"/>
      <c r="J15" s="37"/>
      <c r="K15" s="37"/>
      <c r="L15" s="37"/>
      <c r="M15" s="38" t="str">
        <f aca="false">IFERROR(K15/I15,"")</f>
        <v/>
      </c>
      <c r="N15" s="37"/>
      <c r="O15" s="39"/>
      <c r="P15" s="23" t="str">
        <f aca="false">IF(N(I15)=0,"UNUSED",IF(L15&gt;0,"RED",IF(N15&gt;30,"RED",IF(OR(N15&gt;14,O15&lt;0.75),"AMBER","GREEN"))))</f>
        <v>UNUSED</v>
      </c>
      <c r="Q15" s="40"/>
    </row>
    <row r="16" customFormat="false" ht="15" hidden="false" customHeight="false" outlineLevel="0" collapsed="false">
      <c r="A16" s="19" t="n">
        <v>11</v>
      </c>
      <c r="B16" s="12" t="s">
        <v>75</v>
      </c>
      <c r="C16" s="12" t="s">
        <v>77</v>
      </c>
      <c r="D16" s="12" t="s">
        <v>78</v>
      </c>
      <c r="E16" s="12" t="s">
        <v>497</v>
      </c>
      <c r="F16" s="19" t="s">
        <v>60</v>
      </c>
      <c r="G16" s="12" t="s">
        <v>495</v>
      </c>
      <c r="H16" s="12" t="s">
        <v>498</v>
      </c>
      <c r="I16" s="37"/>
      <c r="J16" s="37"/>
      <c r="K16" s="37"/>
      <c r="L16" s="37"/>
      <c r="M16" s="38" t="str">
        <f aca="false">IFERROR(K16/I16,"")</f>
        <v/>
      </c>
      <c r="N16" s="37"/>
      <c r="O16" s="39"/>
      <c r="P16" s="23" t="str">
        <f aca="false">IF(N(I16)=0,"UNUSED",IF(L16&gt;0,"RED",IF(N16&gt;30,"RED",IF(OR(N16&gt;14,O16&lt;0.75),"AMBER","GREEN"))))</f>
        <v>UNUSED</v>
      </c>
      <c r="Q16" s="40"/>
    </row>
    <row r="17" customFormat="false" ht="22.35" hidden="false" customHeight="false" outlineLevel="0" collapsed="false">
      <c r="A17" s="19" t="n">
        <v>12</v>
      </c>
      <c r="B17" s="12" t="s">
        <v>75</v>
      </c>
      <c r="C17" s="12" t="s">
        <v>80</v>
      </c>
      <c r="D17" s="12" t="s">
        <v>81</v>
      </c>
      <c r="E17" s="12" t="s">
        <v>82</v>
      </c>
      <c r="F17" s="19" t="s">
        <v>64</v>
      </c>
      <c r="G17" s="12" t="s">
        <v>499</v>
      </c>
      <c r="H17" s="12" t="s">
        <v>500</v>
      </c>
      <c r="I17" s="37"/>
      <c r="J17" s="37"/>
      <c r="K17" s="37"/>
      <c r="L17" s="37"/>
      <c r="M17" s="38" t="str">
        <f aca="false">IFERROR(K17/I17,"")</f>
        <v/>
      </c>
      <c r="N17" s="37"/>
      <c r="O17" s="39"/>
      <c r="P17" s="23" t="str">
        <f aca="false">IF(N(I17)=0,"UNUSED",IF(L17&gt;0,"RED",IF(N17&gt;30,"RED",IF(OR(N17&gt;14,O17&lt;0.75),"AMBER","GREEN"))))</f>
        <v>UNUSED</v>
      </c>
      <c r="Q17" s="40"/>
    </row>
    <row r="18" customFormat="false" ht="22.35" hidden="false" customHeight="false" outlineLevel="0" collapsed="false">
      <c r="A18" s="19" t="n">
        <v>13</v>
      </c>
      <c r="B18" s="12" t="s">
        <v>75</v>
      </c>
      <c r="C18" s="12" t="s">
        <v>83</v>
      </c>
      <c r="D18" s="12" t="s">
        <v>81</v>
      </c>
      <c r="E18" s="12" t="s">
        <v>84</v>
      </c>
      <c r="F18" s="19" t="s">
        <v>64</v>
      </c>
      <c r="G18" s="12" t="s">
        <v>501</v>
      </c>
      <c r="H18" s="12" t="s">
        <v>502</v>
      </c>
      <c r="I18" s="37"/>
      <c r="J18" s="37"/>
      <c r="K18" s="37"/>
      <c r="L18" s="37"/>
      <c r="M18" s="38" t="str">
        <f aca="false">IFERROR(K18/I18,"")</f>
        <v/>
      </c>
      <c r="N18" s="37"/>
      <c r="O18" s="39"/>
      <c r="P18" s="23" t="str">
        <f aca="false">IF(N(I18)=0,"UNUSED",IF(L18&gt;0,"RED",IF(N18&gt;30,"RED",IF(OR(N18&gt;14,O18&lt;0.75),"AMBER","GREEN"))))</f>
        <v>UNUSED</v>
      </c>
      <c r="Q18" s="40"/>
    </row>
    <row r="19" customFormat="false" ht="22.35" hidden="false" customHeight="false" outlineLevel="0" collapsed="false">
      <c r="A19" s="19" t="n">
        <v>14</v>
      </c>
      <c r="B19" s="12" t="s">
        <v>75</v>
      </c>
      <c r="C19" s="12" t="s">
        <v>85</v>
      </c>
      <c r="D19" s="12" t="s">
        <v>81</v>
      </c>
      <c r="E19" s="12" t="s">
        <v>86</v>
      </c>
      <c r="F19" s="19" t="s">
        <v>64</v>
      </c>
      <c r="G19" s="12" t="s">
        <v>503</v>
      </c>
      <c r="H19" s="12" t="s">
        <v>504</v>
      </c>
      <c r="I19" s="37"/>
      <c r="J19" s="37"/>
      <c r="K19" s="37"/>
      <c r="L19" s="37"/>
      <c r="M19" s="38" t="str">
        <f aca="false">IFERROR(K19/I19,"")</f>
        <v/>
      </c>
      <c r="N19" s="37"/>
      <c r="O19" s="39"/>
      <c r="P19" s="23" t="str">
        <f aca="false">IF(N(I19)=0,"UNUSED",IF(L19&gt;0,"RED",IF(N19&gt;30,"RED",IF(OR(N19&gt;14,O19&lt;0.75),"AMBER","GREEN"))))</f>
        <v>UNUSED</v>
      </c>
      <c r="Q19" s="40"/>
    </row>
    <row r="20" customFormat="false" ht="22.35" hidden="false" customHeight="false" outlineLevel="0" collapsed="false">
      <c r="A20" s="19" t="n">
        <v>15</v>
      </c>
      <c r="B20" s="12" t="s">
        <v>75</v>
      </c>
      <c r="C20" s="12" t="s">
        <v>87</v>
      </c>
      <c r="D20" s="12" t="s">
        <v>88</v>
      </c>
      <c r="E20" s="12" t="s">
        <v>89</v>
      </c>
      <c r="F20" s="19" t="s">
        <v>60</v>
      </c>
      <c r="G20" s="12" t="s">
        <v>505</v>
      </c>
      <c r="H20" s="12" t="s">
        <v>506</v>
      </c>
      <c r="I20" s="37"/>
      <c r="J20" s="37"/>
      <c r="K20" s="37"/>
      <c r="L20" s="37"/>
      <c r="M20" s="38" t="str">
        <f aca="false">IFERROR(K20/I20,"")</f>
        <v/>
      </c>
      <c r="N20" s="37"/>
      <c r="O20" s="39"/>
      <c r="P20" s="23" t="str">
        <f aca="false">IF(N(I20)=0,"UNUSED",IF(L20&gt;0,"RED",IF(N20&gt;30,"RED",IF(OR(N20&gt;14,O20&lt;0.75),"AMBER","GREEN"))))</f>
        <v>UNUSED</v>
      </c>
      <c r="Q20" s="40"/>
    </row>
    <row r="21" customFormat="false" ht="22.35" hidden="false" customHeight="false" outlineLevel="0" collapsed="false">
      <c r="A21" s="19" t="n">
        <v>16</v>
      </c>
      <c r="B21" s="12" t="s">
        <v>75</v>
      </c>
      <c r="C21" s="12" t="s">
        <v>90</v>
      </c>
      <c r="D21" s="12" t="s">
        <v>88</v>
      </c>
      <c r="E21" s="12" t="s">
        <v>91</v>
      </c>
      <c r="F21" s="19" t="s">
        <v>60</v>
      </c>
      <c r="G21" s="12" t="s">
        <v>507</v>
      </c>
      <c r="H21" s="12" t="s">
        <v>508</v>
      </c>
      <c r="I21" s="37"/>
      <c r="J21" s="37"/>
      <c r="K21" s="37"/>
      <c r="L21" s="37"/>
      <c r="M21" s="38" t="str">
        <f aca="false">IFERROR(K21/I21,"")</f>
        <v/>
      </c>
      <c r="N21" s="37"/>
      <c r="O21" s="39"/>
      <c r="P21" s="23" t="str">
        <f aca="false">IF(N(I21)=0,"UNUSED",IF(L21&gt;0,"RED",IF(N21&gt;30,"RED",IF(OR(N21&gt;14,O21&lt;0.75),"AMBER","GREEN"))))</f>
        <v>UNUSED</v>
      </c>
      <c r="Q21" s="40"/>
    </row>
    <row r="22" customFormat="false" ht="15" hidden="false" customHeight="false" outlineLevel="0" collapsed="false">
      <c r="A22" s="19" t="n">
        <v>17</v>
      </c>
      <c r="B22" s="12" t="s">
        <v>75</v>
      </c>
      <c r="C22" s="12" t="s">
        <v>92</v>
      </c>
      <c r="D22" s="12" t="s">
        <v>88</v>
      </c>
      <c r="E22" s="12" t="s">
        <v>93</v>
      </c>
      <c r="F22" s="19" t="s">
        <v>60</v>
      </c>
      <c r="G22" s="12" t="s">
        <v>509</v>
      </c>
      <c r="H22" s="12" t="s">
        <v>510</v>
      </c>
      <c r="I22" s="37"/>
      <c r="J22" s="37"/>
      <c r="K22" s="37"/>
      <c r="L22" s="37"/>
      <c r="M22" s="38" t="str">
        <f aca="false">IFERROR(K22/I22,"")</f>
        <v/>
      </c>
      <c r="N22" s="37"/>
      <c r="O22" s="39"/>
      <c r="P22" s="23" t="str">
        <f aca="false">IF(N(I22)=0,"UNUSED",IF(L22&gt;0,"RED",IF(N22&gt;30,"RED",IF(OR(N22&gt;14,O22&lt;0.75),"AMBER","GREEN"))))</f>
        <v>UNUSED</v>
      </c>
      <c r="Q22" s="40"/>
    </row>
    <row r="23" customFormat="false" ht="15" hidden="false" customHeight="false" outlineLevel="0" collapsed="false">
      <c r="A23" s="19" t="n">
        <v>18</v>
      </c>
      <c r="B23" s="12" t="s">
        <v>75</v>
      </c>
      <c r="C23" s="12" t="s">
        <v>94</v>
      </c>
      <c r="D23" s="12" t="s">
        <v>95</v>
      </c>
      <c r="E23" s="12" t="s">
        <v>511</v>
      </c>
      <c r="F23" s="19" t="s">
        <v>60</v>
      </c>
      <c r="G23" s="12" t="s">
        <v>512</v>
      </c>
      <c r="H23" s="12" t="s">
        <v>513</v>
      </c>
      <c r="I23" s="37"/>
      <c r="J23" s="37"/>
      <c r="K23" s="37"/>
      <c r="L23" s="37"/>
      <c r="M23" s="38" t="str">
        <f aca="false">IFERROR(K23/I23,"")</f>
        <v/>
      </c>
      <c r="N23" s="37"/>
      <c r="O23" s="39"/>
      <c r="P23" s="23" t="str">
        <f aca="false">IF(N(I23)=0,"UNUSED",IF(L23&gt;0,"RED",IF(N23&gt;30,"RED",IF(OR(N23&gt;14,O23&lt;0.75),"AMBER","GREEN"))))</f>
        <v>UNUSED</v>
      </c>
      <c r="Q23" s="40"/>
    </row>
    <row r="24" customFormat="false" ht="15" hidden="false" customHeight="false" outlineLevel="0" collapsed="false">
      <c r="A24" s="19" t="n">
        <v>19</v>
      </c>
      <c r="B24" s="12" t="s">
        <v>75</v>
      </c>
      <c r="C24" s="12" t="s">
        <v>94</v>
      </c>
      <c r="D24" s="12" t="s">
        <v>95</v>
      </c>
      <c r="E24" s="12" t="s">
        <v>514</v>
      </c>
      <c r="F24" s="19" t="s">
        <v>60</v>
      </c>
      <c r="G24" s="12" t="s">
        <v>512</v>
      </c>
      <c r="H24" s="12" t="s">
        <v>515</v>
      </c>
      <c r="I24" s="37"/>
      <c r="J24" s="37"/>
      <c r="K24" s="37"/>
      <c r="L24" s="37"/>
      <c r="M24" s="38" t="str">
        <f aca="false">IFERROR(K24/I24,"")</f>
        <v/>
      </c>
      <c r="N24" s="37"/>
      <c r="O24" s="39"/>
      <c r="P24" s="23" t="str">
        <f aca="false">IF(N(I24)=0,"UNUSED",IF(L24&gt;0,"RED",IF(N24&gt;30,"RED",IF(OR(N24&gt;14,O24&lt;0.75),"AMBER","GREEN"))))</f>
        <v>UNUSED</v>
      </c>
      <c r="Q24" s="40"/>
    </row>
    <row r="25" customFormat="false" ht="22.35" hidden="false" customHeight="false" outlineLevel="0" collapsed="false">
      <c r="A25" s="19" t="n">
        <v>20</v>
      </c>
      <c r="B25" s="12" t="s">
        <v>75</v>
      </c>
      <c r="C25" s="12" t="s">
        <v>97</v>
      </c>
      <c r="D25" s="12" t="s">
        <v>98</v>
      </c>
      <c r="E25" s="12" t="s">
        <v>99</v>
      </c>
      <c r="F25" s="19" t="s">
        <v>60</v>
      </c>
      <c r="G25" s="12" t="s">
        <v>516</v>
      </c>
      <c r="H25" s="12" t="s">
        <v>517</v>
      </c>
      <c r="I25" s="37"/>
      <c r="J25" s="37"/>
      <c r="K25" s="37"/>
      <c r="L25" s="37"/>
      <c r="M25" s="38" t="str">
        <f aca="false">IFERROR(K25/I25,"")</f>
        <v/>
      </c>
      <c r="N25" s="37"/>
      <c r="O25" s="39"/>
      <c r="P25" s="23" t="str">
        <f aca="false">IF(N(I25)=0,"UNUSED",IF(L25&gt;0,"RED",IF(N25&gt;30,"RED",IF(OR(N25&gt;14,O25&lt;0.75),"AMBER","GREEN"))))</f>
        <v>UNUSED</v>
      </c>
      <c r="Q25" s="40"/>
    </row>
    <row r="26" customFormat="false" ht="15" hidden="false" customHeight="false" outlineLevel="0" collapsed="false">
      <c r="A26" s="19" t="n">
        <v>21</v>
      </c>
      <c r="B26" s="12" t="s">
        <v>75</v>
      </c>
      <c r="C26" s="12" t="s">
        <v>100</v>
      </c>
      <c r="D26" s="12" t="s">
        <v>98</v>
      </c>
      <c r="E26" s="12" t="s">
        <v>101</v>
      </c>
      <c r="F26" s="19" t="s">
        <v>60</v>
      </c>
      <c r="G26" s="12" t="s">
        <v>518</v>
      </c>
      <c r="H26" s="12" t="s">
        <v>519</v>
      </c>
      <c r="I26" s="37"/>
      <c r="J26" s="37"/>
      <c r="K26" s="37"/>
      <c r="L26" s="37"/>
      <c r="M26" s="38" t="str">
        <f aca="false">IFERROR(K26/I26,"")</f>
        <v/>
      </c>
      <c r="N26" s="37"/>
      <c r="O26" s="39"/>
      <c r="P26" s="23" t="str">
        <f aca="false">IF(N(I26)=0,"UNUSED",IF(L26&gt;0,"RED",IF(N26&gt;30,"RED",IF(OR(N26&gt;14,O26&lt;0.75),"AMBER","GREEN"))))</f>
        <v>UNUSED</v>
      </c>
      <c r="Q26" s="40"/>
    </row>
    <row r="27" customFormat="false" ht="15" hidden="false" customHeight="false" outlineLevel="0" collapsed="false">
      <c r="A27" s="19" t="n">
        <v>22</v>
      </c>
      <c r="B27" s="12" t="s">
        <v>75</v>
      </c>
      <c r="C27" s="12" t="s">
        <v>102</v>
      </c>
      <c r="D27" s="12" t="s">
        <v>98</v>
      </c>
      <c r="E27" s="12" t="s">
        <v>103</v>
      </c>
      <c r="F27" s="19" t="s">
        <v>60</v>
      </c>
      <c r="G27" s="12" t="s">
        <v>520</v>
      </c>
      <c r="H27" s="12" t="s">
        <v>521</v>
      </c>
      <c r="I27" s="37"/>
      <c r="J27" s="37"/>
      <c r="K27" s="37"/>
      <c r="L27" s="37"/>
      <c r="M27" s="38" t="str">
        <f aca="false">IFERROR(K27/I27,"")</f>
        <v/>
      </c>
      <c r="N27" s="37"/>
      <c r="O27" s="39"/>
      <c r="P27" s="23" t="str">
        <f aca="false">IF(N(I27)=0,"UNUSED",IF(L27&gt;0,"RED",IF(N27&gt;30,"RED",IF(OR(N27&gt;14,O27&lt;0.75),"AMBER","GREEN"))))</f>
        <v>UNUSED</v>
      </c>
      <c r="Q27" s="40"/>
    </row>
    <row r="28" customFormat="false" ht="22.35" hidden="false" customHeight="false" outlineLevel="0" collapsed="false">
      <c r="A28" s="19" t="n">
        <v>23</v>
      </c>
      <c r="B28" s="12" t="s">
        <v>104</v>
      </c>
      <c r="C28" s="12" t="s">
        <v>106</v>
      </c>
      <c r="D28" s="12" t="s">
        <v>107</v>
      </c>
      <c r="E28" s="12" t="s">
        <v>109</v>
      </c>
      <c r="F28" s="19" t="s">
        <v>108</v>
      </c>
      <c r="G28" s="12" t="s">
        <v>522</v>
      </c>
      <c r="H28" s="12" t="s">
        <v>523</v>
      </c>
      <c r="I28" s="37"/>
      <c r="J28" s="37"/>
      <c r="K28" s="37"/>
      <c r="L28" s="37"/>
      <c r="M28" s="38" t="str">
        <f aca="false">IFERROR(K28/I28,"")</f>
        <v/>
      </c>
      <c r="N28" s="37"/>
      <c r="O28" s="39"/>
      <c r="P28" s="23" t="str">
        <f aca="false">IF(N(I28)=0,"UNUSED",IF(L28&gt;0,"RED",IF(N28&gt;30,"RED",IF(OR(N28&gt;14,O28&lt;0.75),"AMBER","GREEN"))))</f>
        <v>UNUSED</v>
      </c>
      <c r="Q28" s="40"/>
    </row>
    <row r="29" customFormat="false" ht="22.35" hidden="false" customHeight="false" outlineLevel="0" collapsed="false">
      <c r="A29" s="19" t="n">
        <v>24</v>
      </c>
      <c r="B29" s="12" t="s">
        <v>104</v>
      </c>
      <c r="C29" s="12" t="s">
        <v>110</v>
      </c>
      <c r="D29" s="12" t="s">
        <v>111</v>
      </c>
      <c r="E29" s="12" t="s">
        <v>112</v>
      </c>
      <c r="F29" s="19" t="s">
        <v>108</v>
      </c>
      <c r="G29" s="12" t="s">
        <v>524</v>
      </c>
      <c r="H29" s="12" t="s">
        <v>525</v>
      </c>
      <c r="I29" s="37"/>
      <c r="J29" s="37"/>
      <c r="K29" s="37"/>
      <c r="L29" s="37"/>
      <c r="M29" s="38" t="str">
        <f aca="false">IFERROR(K29/I29,"")</f>
        <v/>
      </c>
      <c r="N29" s="37"/>
      <c r="O29" s="39"/>
      <c r="P29" s="23" t="str">
        <f aca="false">IF(N(I29)=0,"UNUSED",IF(L29&gt;0,"RED",IF(N29&gt;30,"RED",IF(OR(N29&gt;14,O29&lt;0.75),"AMBER","GREEN"))))</f>
        <v>UNUSED</v>
      </c>
      <c r="Q29" s="40"/>
    </row>
    <row r="30" customFormat="false" ht="22.35" hidden="false" customHeight="false" outlineLevel="0" collapsed="false">
      <c r="A30" s="19" t="n">
        <v>25</v>
      </c>
      <c r="B30" s="12" t="s">
        <v>104</v>
      </c>
      <c r="C30" s="12" t="s">
        <v>113</v>
      </c>
      <c r="D30" s="12" t="s">
        <v>114</v>
      </c>
      <c r="E30" s="12" t="s">
        <v>115</v>
      </c>
      <c r="F30" s="19" t="s">
        <v>60</v>
      </c>
      <c r="G30" s="12" t="s">
        <v>526</v>
      </c>
      <c r="H30" s="12" t="s">
        <v>527</v>
      </c>
      <c r="I30" s="37"/>
      <c r="J30" s="37"/>
      <c r="K30" s="37"/>
      <c r="L30" s="37"/>
      <c r="M30" s="38" t="str">
        <f aca="false">IFERROR(K30/I30,"")</f>
        <v/>
      </c>
      <c r="N30" s="37"/>
      <c r="O30" s="39"/>
      <c r="P30" s="23" t="str">
        <f aca="false">IF(N(I30)=0,"UNUSED",IF(L30&gt;0,"RED",IF(N30&gt;30,"RED",IF(OR(N30&gt;14,O30&lt;0.75),"AMBER","GREEN"))))</f>
        <v>UNUSED</v>
      </c>
      <c r="Q30" s="40"/>
    </row>
    <row r="31" customFormat="false" ht="22.35" hidden="false" customHeight="false" outlineLevel="0" collapsed="false">
      <c r="A31" s="19" t="n">
        <v>26</v>
      </c>
      <c r="B31" s="12" t="s">
        <v>104</v>
      </c>
      <c r="C31" s="12" t="s">
        <v>116</v>
      </c>
      <c r="D31" s="12" t="s">
        <v>114</v>
      </c>
      <c r="E31" s="12" t="s">
        <v>117</v>
      </c>
      <c r="F31" s="19" t="s">
        <v>60</v>
      </c>
      <c r="G31" s="12" t="s">
        <v>528</v>
      </c>
      <c r="H31" s="12" t="s">
        <v>529</v>
      </c>
      <c r="I31" s="37"/>
      <c r="J31" s="37"/>
      <c r="K31" s="37"/>
      <c r="L31" s="37"/>
      <c r="M31" s="38" t="str">
        <f aca="false">IFERROR(K31/I31,"")</f>
        <v/>
      </c>
      <c r="N31" s="37"/>
      <c r="O31" s="39"/>
      <c r="P31" s="23" t="str">
        <f aca="false">IF(N(I31)=0,"UNUSED",IF(L31&gt;0,"RED",IF(N31&gt;30,"RED",IF(OR(N31&gt;14,O31&lt;0.75),"AMBER","GREEN"))))</f>
        <v>UNUSED</v>
      </c>
      <c r="Q31" s="40"/>
    </row>
    <row r="32" customFormat="false" ht="22.35" hidden="false" customHeight="false" outlineLevel="0" collapsed="false">
      <c r="A32" s="19" t="n">
        <v>27</v>
      </c>
      <c r="B32" s="12" t="s">
        <v>104</v>
      </c>
      <c r="C32" s="12" t="s">
        <v>118</v>
      </c>
      <c r="D32" s="12" t="s">
        <v>114</v>
      </c>
      <c r="E32" s="12" t="s">
        <v>119</v>
      </c>
      <c r="F32" s="19" t="s">
        <v>60</v>
      </c>
      <c r="G32" s="12" t="s">
        <v>530</v>
      </c>
      <c r="H32" s="12" t="s">
        <v>531</v>
      </c>
      <c r="I32" s="37"/>
      <c r="J32" s="37"/>
      <c r="K32" s="37"/>
      <c r="L32" s="37"/>
      <c r="M32" s="38" t="str">
        <f aca="false">IFERROR(K32/I32,"")</f>
        <v/>
      </c>
      <c r="N32" s="37"/>
      <c r="O32" s="39"/>
      <c r="P32" s="23" t="str">
        <f aca="false">IF(N(I32)=0,"UNUSED",IF(L32&gt;0,"RED",IF(N32&gt;30,"RED",IF(OR(N32&gt;14,O32&lt;0.75),"AMBER","GREEN"))))</f>
        <v>UNUSED</v>
      </c>
      <c r="Q32" s="40"/>
    </row>
    <row r="33" customFormat="false" ht="22.35" hidden="false" customHeight="false" outlineLevel="0" collapsed="false">
      <c r="A33" s="19" t="n">
        <v>28</v>
      </c>
      <c r="B33" s="12" t="s">
        <v>104</v>
      </c>
      <c r="C33" s="12" t="s">
        <v>120</v>
      </c>
      <c r="D33" s="12" t="s">
        <v>121</v>
      </c>
      <c r="E33" s="12" t="s">
        <v>122</v>
      </c>
      <c r="F33" s="19" t="s">
        <v>64</v>
      </c>
      <c r="G33" s="12" t="s">
        <v>532</v>
      </c>
      <c r="H33" s="12" t="s">
        <v>533</v>
      </c>
      <c r="I33" s="37"/>
      <c r="J33" s="37"/>
      <c r="K33" s="37"/>
      <c r="L33" s="37"/>
      <c r="M33" s="38" t="str">
        <f aca="false">IFERROR(K33/I33,"")</f>
        <v/>
      </c>
      <c r="N33" s="37"/>
      <c r="O33" s="39"/>
      <c r="P33" s="23" t="str">
        <f aca="false">IF(N(I33)=0,"UNUSED",IF(L33&gt;0,"RED",IF(N33&gt;30,"RED",IF(OR(N33&gt;14,O33&lt;0.75),"AMBER","GREEN"))))</f>
        <v>UNUSED</v>
      </c>
      <c r="Q33" s="40"/>
    </row>
    <row r="34" customFormat="false" ht="22.35" hidden="false" customHeight="false" outlineLevel="0" collapsed="false">
      <c r="A34" s="19" t="n">
        <v>29</v>
      </c>
      <c r="B34" s="12" t="s">
        <v>104</v>
      </c>
      <c r="C34" s="12" t="s">
        <v>123</v>
      </c>
      <c r="D34" s="12" t="s">
        <v>121</v>
      </c>
      <c r="E34" s="12" t="s">
        <v>124</v>
      </c>
      <c r="F34" s="19" t="s">
        <v>64</v>
      </c>
      <c r="G34" s="12" t="s">
        <v>534</v>
      </c>
      <c r="H34" s="12" t="s">
        <v>535</v>
      </c>
      <c r="I34" s="37"/>
      <c r="J34" s="37"/>
      <c r="K34" s="37"/>
      <c r="L34" s="37"/>
      <c r="M34" s="38" t="str">
        <f aca="false">IFERROR(K34/I34,"")</f>
        <v/>
      </c>
      <c r="N34" s="37"/>
      <c r="O34" s="39"/>
      <c r="P34" s="23" t="str">
        <f aca="false">IF(N(I34)=0,"UNUSED",IF(L34&gt;0,"RED",IF(N34&gt;30,"RED",IF(OR(N34&gt;14,O34&lt;0.75),"AMBER","GREEN"))))</f>
        <v>UNUSED</v>
      </c>
      <c r="Q34" s="40"/>
    </row>
    <row r="35" customFormat="false" ht="22.35" hidden="false" customHeight="false" outlineLevel="0" collapsed="false">
      <c r="A35" s="19" t="n">
        <v>30</v>
      </c>
      <c r="B35" s="12" t="s">
        <v>104</v>
      </c>
      <c r="C35" s="12" t="s">
        <v>125</v>
      </c>
      <c r="D35" s="12" t="s">
        <v>121</v>
      </c>
      <c r="E35" s="12" t="s">
        <v>126</v>
      </c>
      <c r="F35" s="19" t="s">
        <v>64</v>
      </c>
      <c r="G35" s="12" t="s">
        <v>536</v>
      </c>
      <c r="H35" s="12" t="s">
        <v>537</v>
      </c>
      <c r="I35" s="37"/>
      <c r="J35" s="37"/>
      <c r="K35" s="37"/>
      <c r="L35" s="37"/>
      <c r="M35" s="38" t="str">
        <f aca="false">IFERROR(K35/I35,"")</f>
        <v/>
      </c>
      <c r="N35" s="37"/>
      <c r="O35" s="39"/>
      <c r="P35" s="23" t="str">
        <f aca="false">IF(N(I35)=0,"UNUSED",IF(L35&gt;0,"RED",IF(N35&gt;30,"RED",IF(OR(N35&gt;14,O35&lt;0.75),"AMBER","GREEN"))))</f>
        <v>UNUSED</v>
      </c>
      <c r="Q35" s="40"/>
    </row>
    <row r="36" customFormat="false" ht="22.35" hidden="false" customHeight="false" outlineLevel="0" collapsed="false">
      <c r="A36" s="19" t="n">
        <v>31</v>
      </c>
      <c r="B36" s="12" t="s">
        <v>104</v>
      </c>
      <c r="C36" s="12" t="s">
        <v>127</v>
      </c>
      <c r="D36" s="12" t="s">
        <v>128</v>
      </c>
      <c r="E36" s="12" t="s">
        <v>129</v>
      </c>
      <c r="F36" s="19" t="s">
        <v>108</v>
      </c>
      <c r="G36" s="12" t="s">
        <v>538</v>
      </c>
      <c r="H36" s="12" t="s">
        <v>539</v>
      </c>
      <c r="I36" s="37"/>
      <c r="J36" s="37"/>
      <c r="K36" s="37"/>
      <c r="L36" s="37"/>
      <c r="M36" s="38" t="str">
        <f aca="false">IFERROR(K36/I36,"")</f>
        <v/>
      </c>
      <c r="N36" s="37"/>
      <c r="O36" s="39"/>
      <c r="P36" s="23" t="str">
        <f aca="false">IF(N(I36)=0,"UNUSED",IF(L36&gt;0,"RED",IF(N36&gt;30,"RED",IF(OR(N36&gt;14,O36&lt;0.75),"AMBER","GREEN"))))</f>
        <v>UNUSED</v>
      </c>
      <c r="Q36" s="40"/>
    </row>
    <row r="37" customFormat="false" ht="22.35" hidden="false" customHeight="false" outlineLevel="0" collapsed="false">
      <c r="A37" s="19" t="n">
        <v>32</v>
      </c>
      <c r="B37" s="12" t="s">
        <v>130</v>
      </c>
      <c r="C37" s="12" t="s">
        <v>132</v>
      </c>
      <c r="D37" s="12" t="s">
        <v>133</v>
      </c>
      <c r="E37" s="12" t="s">
        <v>134</v>
      </c>
      <c r="F37" s="19" t="s">
        <v>60</v>
      </c>
      <c r="G37" s="12" t="s">
        <v>540</v>
      </c>
      <c r="H37" s="12" t="s">
        <v>541</v>
      </c>
      <c r="I37" s="37"/>
      <c r="J37" s="37"/>
      <c r="K37" s="37"/>
      <c r="L37" s="37"/>
      <c r="M37" s="38" t="str">
        <f aca="false">IFERROR(K37/I37,"")</f>
        <v/>
      </c>
      <c r="N37" s="37"/>
      <c r="O37" s="39"/>
      <c r="P37" s="23" t="str">
        <f aca="false">IF(N(I37)=0,"UNUSED",IF(L37&gt;0,"RED",IF(N37&gt;30,"RED",IF(OR(N37&gt;14,O37&lt;0.75),"AMBER","GREEN"))))</f>
        <v>UNUSED</v>
      </c>
      <c r="Q37" s="40"/>
    </row>
    <row r="38" customFormat="false" ht="22.35" hidden="false" customHeight="false" outlineLevel="0" collapsed="false">
      <c r="A38" s="19" t="n">
        <v>33</v>
      </c>
      <c r="B38" s="12" t="s">
        <v>130</v>
      </c>
      <c r="C38" s="12" t="s">
        <v>135</v>
      </c>
      <c r="D38" s="12" t="s">
        <v>136</v>
      </c>
      <c r="E38" s="12" t="s">
        <v>542</v>
      </c>
      <c r="F38" s="19" t="s">
        <v>64</v>
      </c>
      <c r="G38" s="12" t="s">
        <v>543</v>
      </c>
      <c r="H38" s="12" t="s">
        <v>544</v>
      </c>
      <c r="I38" s="37"/>
      <c r="J38" s="37"/>
      <c r="K38" s="37"/>
      <c r="L38" s="37"/>
      <c r="M38" s="38" t="str">
        <f aca="false">IFERROR(K38/I38,"")</f>
        <v/>
      </c>
      <c r="N38" s="37"/>
      <c r="O38" s="39"/>
      <c r="P38" s="23" t="str">
        <f aca="false">IF(N(I38)=0,"UNUSED",IF(L38&gt;0,"RED",IF(N38&gt;30,"RED",IF(OR(N38&gt;14,O38&lt;0.75),"AMBER","GREEN"))))</f>
        <v>UNUSED</v>
      </c>
      <c r="Q38" s="40"/>
    </row>
    <row r="39" customFormat="false" ht="22.35" hidden="false" customHeight="false" outlineLevel="0" collapsed="false">
      <c r="A39" s="19" t="n">
        <v>34</v>
      </c>
      <c r="B39" s="12" t="s">
        <v>130</v>
      </c>
      <c r="C39" s="12" t="s">
        <v>135</v>
      </c>
      <c r="D39" s="12" t="s">
        <v>136</v>
      </c>
      <c r="E39" s="12" t="s">
        <v>545</v>
      </c>
      <c r="F39" s="19" t="s">
        <v>64</v>
      </c>
      <c r="G39" s="12" t="s">
        <v>543</v>
      </c>
      <c r="H39" s="12" t="s">
        <v>546</v>
      </c>
      <c r="I39" s="37"/>
      <c r="J39" s="37"/>
      <c r="K39" s="37"/>
      <c r="L39" s="37"/>
      <c r="M39" s="38" t="str">
        <f aca="false">IFERROR(K39/I39,"")</f>
        <v/>
      </c>
      <c r="N39" s="37"/>
      <c r="O39" s="39"/>
      <c r="P39" s="23" t="str">
        <f aca="false">IF(N(I39)=0,"UNUSED",IF(L39&gt;0,"RED",IF(N39&gt;30,"RED",IF(OR(N39&gt;14,O39&lt;0.75),"AMBER","GREEN"))))</f>
        <v>UNUSED</v>
      </c>
      <c r="Q39" s="40"/>
    </row>
    <row r="40" customFormat="false" ht="22.35" hidden="false" customHeight="false" outlineLevel="0" collapsed="false">
      <c r="A40" s="19" t="n">
        <v>35</v>
      </c>
      <c r="B40" s="12" t="s">
        <v>130</v>
      </c>
      <c r="C40" s="12" t="s">
        <v>138</v>
      </c>
      <c r="D40" s="12" t="s">
        <v>139</v>
      </c>
      <c r="E40" s="12" t="s">
        <v>547</v>
      </c>
      <c r="F40" s="19" t="s">
        <v>60</v>
      </c>
      <c r="G40" s="12" t="s">
        <v>548</v>
      </c>
      <c r="H40" s="12" t="s">
        <v>549</v>
      </c>
      <c r="I40" s="37"/>
      <c r="J40" s="37"/>
      <c r="K40" s="37"/>
      <c r="L40" s="37"/>
      <c r="M40" s="38" t="str">
        <f aca="false">IFERROR(K40/I40,"")</f>
        <v/>
      </c>
      <c r="N40" s="37"/>
      <c r="O40" s="39"/>
      <c r="P40" s="23" t="str">
        <f aca="false">IF(N(I40)=0,"UNUSED",IF(L40&gt;0,"RED",IF(N40&gt;30,"RED",IF(OR(N40&gt;14,O40&lt;0.75),"AMBER","GREEN"))))</f>
        <v>UNUSED</v>
      </c>
      <c r="Q40" s="40"/>
    </row>
    <row r="41" customFormat="false" ht="22.35" hidden="false" customHeight="false" outlineLevel="0" collapsed="false">
      <c r="A41" s="19" t="n">
        <v>36</v>
      </c>
      <c r="B41" s="12" t="s">
        <v>130</v>
      </c>
      <c r="C41" s="12" t="s">
        <v>138</v>
      </c>
      <c r="D41" s="12" t="s">
        <v>139</v>
      </c>
      <c r="E41" s="12" t="s">
        <v>550</v>
      </c>
      <c r="F41" s="19" t="s">
        <v>60</v>
      </c>
      <c r="G41" s="12" t="s">
        <v>548</v>
      </c>
      <c r="H41" s="12" t="s">
        <v>551</v>
      </c>
      <c r="I41" s="37"/>
      <c r="J41" s="37"/>
      <c r="K41" s="37"/>
      <c r="L41" s="37"/>
      <c r="M41" s="38" t="str">
        <f aca="false">IFERROR(K41/I41,"")</f>
        <v/>
      </c>
      <c r="N41" s="37"/>
      <c r="O41" s="39"/>
      <c r="P41" s="23" t="str">
        <f aca="false">IF(N(I41)=0,"UNUSED",IF(L41&gt;0,"RED",IF(N41&gt;30,"RED",IF(OR(N41&gt;14,O41&lt;0.75),"AMBER","GREEN"))))</f>
        <v>UNUSED</v>
      </c>
      <c r="Q41" s="40"/>
    </row>
    <row r="42" customFormat="false" ht="22.35" hidden="false" customHeight="false" outlineLevel="0" collapsed="false">
      <c r="A42" s="19" t="n">
        <v>37</v>
      </c>
      <c r="B42" s="12" t="s">
        <v>130</v>
      </c>
      <c r="C42" s="12" t="s">
        <v>141</v>
      </c>
      <c r="D42" s="12" t="s">
        <v>142</v>
      </c>
      <c r="E42" s="12" t="s">
        <v>143</v>
      </c>
      <c r="F42" s="19" t="s">
        <v>60</v>
      </c>
      <c r="G42" s="12" t="s">
        <v>552</v>
      </c>
      <c r="H42" s="12" t="s">
        <v>553</v>
      </c>
      <c r="I42" s="37"/>
      <c r="J42" s="37"/>
      <c r="K42" s="37"/>
      <c r="L42" s="37"/>
      <c r="M42" s="38" t="str">
        <f aca="false">IFERROR(K42/I42,"")</f>
        <v/>
      </c>
      <c r="N42" s="37"/>
      <c r="O42" s="39"/>
      <c r="P42" s="23" t="str">
        <f aca="false">IF(N(I42)=0,"UNUSED",IF(L42&gt;0,"RED",IF(N42&gt;30,"RED",IF(OR(N42&gt;14,O42&lt;0.75),"AMBER","GREEN"))))</f>
        <v>UNUSED</v>
      </c>
      <c r="Q42" s="40"/>
    </row>
    <row r="43" customFormat="false" ht="22.35" hidden="false" customHeight="false" outlineLevel="0" collapsed="false">
      <c r="A43" s="19" t="n">
        <v>38</v>
      </c>
      <c r="B43" s="12" t="s">
        <v>130</v>
      </c>
      <c r="C43" s="12" t="s">
        <v>144</v>
      </c>
      <c r="D43" s="12" t="s">
        <v>142</v>
      </c>
      <c r="E43" s="12" t="s">
        <v>145</v>
      </c>
      <c r="F43" s="19" t="s">
        <v>60</v>
      </c>
      <c r="G43" s="12" t="s">
        <v>554</v>
      </c>
      <c r="H43" s="12" t="s">
        <v>555</v>
      </c>
      <c r="I43" s="37"/>
      <c r="J43" s="37"/>
      <c r="K43" s="37"/>
      <c r="L43" s="37"/>
      <c r="M43" s="38" t="str">
        <f aca="false">IFERROR(K43/I43,"")</f>
        <v/>
      </c>
      <c r="N43" s="37"/>
      <c r="O43" s="39"/>
      <c r="P43" s="23" t="str">
        <f aca="false">IF(N(I43)=0,"UNUSED",IF(L43&gt;0,"RED",IF(N43&gt;30,"RED",IF(OR(N43&gt;14,O43&lt;0.75),"AMBER","GREEN"))))</f>
        <v>UNUSED</v>
      </c>
      <c r="Q43" s="40"/>
    </row>
    <row r="44" customFormat="false" ht="22.35" hidden="false" customHeight="false" outlineLevel="0" collapsed="false">
      <c r="A44" s="19" t="n">
        <v>39</v>
      </c>
      <c r="B44" s="12" t="s">
        <v>130</v>
      </c>
      <c r="C44" s="12" t="s">
        <v>146</v>
      </c>
      <c r="D44" s="12" t="s">
        <v>142</v>
      </c>
      <c r="E44" s="12" t="s">
        <v>147</v>
      </c>
      <c r="F44" s="19" t="s">
        <v>60</v>
      </c>
      <c r="G44" s="12" t="s">
        <v>556</v>
      </c>
      <c r="H44" s="12" t="s">
        <v>557</v>
      </c>
      <c r="I44" s="37"/>
      <c r="J44" s="37"/>
      <c r="K44" s="37"/>
      <c r="L44" s="37"/>
      <c r="M44" s="38" t="str">
        <f aca="false">IFERROR(K44/I44,"")</f>
        <v/>
      </c>
      <c r="N44" s="37"/>
      <c r="O44" s="39"/>
      <c r="P44" s="23" t="str">
        <f aca="false">IF(N(I44)=0,"UNUSED",IF(L44&gt;0,"RED",IF(N44&gt;30,"RED",IF(OR(N44&gt;14,O44&lt;0.75),"AMBER","GREEN"))))</f>
        <v>UNUSED</v>
      </c>
      <c r="Q44" s="40"/>
    </row>
    <row r="45" customFormat="false" ht="22.35" hidden="false" customHeight="false" outlineLevel="0" collapsed="false">
      <c r="A45" s="19" t="n">
        <v>40</v>
      </c>
      <c r="B45" s="12" t="s">
        <v>130</v>
      </c>
      <c r="C45" s="12" t="s">
        <v>148</v>
      </c>
      <c r="D45" s="12" t="s">
        <v>149</v>
      </c>
      <c r="E45" s="12" t="s">
        <v>558</v>
      </c>
      <c r="F45" s="19" t="s">
        <v>60</v>
      </c>
      <c r="G45" s="12" t="s">
        <v>559</v>
      </c>
      <c r="H45" s="12" t="s">
        <v>560</v>
      </c>
      <c r="I45" s="37"/>
      <c r="J45" s="37"/>
      <c r="K45" s="37"/>
      <c r="L45" s="37"/>
      <c r="M45" s="38" t="str">
        <f aca="false">IFERROR(K45/I45,"")</f>
        <v/>
      </c>
      <c r="N45" s="37"/>
      <c r="O45" s="39"/>
      <c r="P45" s="23" t="str">
        <f aca="false">IF(N(I45)=0,"UNUSED",IF(L45&gt;0,"RED",IF(N45&gt;30,"RED",IF(OR(N45&gt;14,O45&lt;0.75),"AMBER","GREEN"))))</f>
        <v>UNUSED</v>
      </c>
      <c r="Q45" s="40"/>
    </row>
    <row r="46" customFormat="false" ht="22.35" hidden="false" customHeight="false" outlineLevel="0" collapsed="false">
      <c r="A46" s="19" t="n">
        <v>41</v>
      </c>
      <c r="B46" s="12" t="s">
        <v>130</v>
      </c>
      <c r="C46" s="12" t="s">
        <v>148</v>
      </c>
      <c r="D46" s="12" t="s">
        <v>149</v>
      </c>
      <c r="E46" s="12" t="s">
        <v>561</v>
      </c>
      <c r="F46" s="19" t="s">
        <v>60</v>
      </c>
      <c r="G46" s="12" t="s">
        <v>559</v>
      </c>
      <c r="H46" s="12" t="s">
        <v>562</v>
      </c>
      <c r="I46" s="37"/>
      <c r="J46" s="37"/>
      <c r="K46" s="37"/>
      <c r="L46" s="37"/>
      <c r="M46" s="38" t="str">
        <f aca="false">IFERROR(K46/I46,"")</f>
        <v/>
      </c>
      <c r="N46" s="37"/>
      <c r="O46" s="39"/>
      <c r="P46" s="23" t="str">
        <f aca="false">IF(N(I46)=0,"UNUSED",IF(L46&gt;0,"RED",IF(N46&gt;30,"RED",IF(OR(N46&gt;14,O46&lt;0.75),"AMBER","GREEN"))))</f>
        <v>UNUSED</v>
      </c>
      <c r="Q46" s="40"/>
    </row>
    <row r="47" customFormat="false" ht="22.35" hidden="false" customHeight="false" outlineLevel="0" collapsed="false">
      <c r="A47" s="19" t="n">
        <v>42</v>
      </c>
      <c r="B47" s="12" t="s">
        <v>130</v>
      </c>
      <c r="C47" s="12" t="s">
        <v>151</v>
      </c>
      <c r="D47" s="12" t="s">
        <v>152</v>
      </c>
      <c r="E47" s="12" t="s">
        <v>563</v>
      </c>
      <c r="F47" s="19" t="s">
        <v>64</v>
      </c>
      <c r="G47" s="12" t="s">
        <v>564</v>
      </c>
      <c r="H47" s="12" t="s">
        <v>565</v>
      </c>
      <c r="I47" s="37"/>
      <c r="J47" s="37"/>
      <c r="K47" s="37"/>
      <c r="L47" s="37"/>
      <c r="M47" s="38" t="str">
        <f aca="false">IFERROR(K47/I47,"")</f>
        <v/>
      </c>
      <c r="N47" s="37"/>
      <c r="O47" s="39"/>
      <c r="P47" s="23" t="str">
        <f aca="false">IF(N(I47)=0,"UNUSED",IF(L47&gt;0,"RED",IF(N47&gt;30,"RED",IF(OR(N47&gt;14,O47&lt;0.75),"AMBER","GREEN"))))</f>
        <v>UNUSED</v>
      </c>
      <c r="Q47" s="40"/>
    </row>
    <row r="48" customFormat="false" ht="22.35" hidden="false" customHeight="false" outlineLevel="0" collapsed="false">
      <c r="A48" s="19" t="n">
        <v>43</v>
      </c>
      <c r="B48" s="12" t="s">
        <v>130</v>
      </c>
      <c r="C48" s="12" t="s">
        <v>151</v>
      </c>
      <c r="D48" s="12" t="s">
        <v>152</v>
      </c>
      <c r="E48" s="12" t="s">
        <v>566</v>
      </c>
      <c r="F48" s="19" t="s">
        <v>64</v>
      </c>
      <c r="G48" s="12" t="s">
        <v>564</v>
      </c>
      <c r="H48" s="12" t="s">
        <v>567</v>
      </c>
      <c r="I48" s="37"/>
      <c r="J48" s="37"/>
      <c r="K48" s="37"/>
      <c r="L48" s="37"/>
      <c r="M48" s="38" t="str">
        <f aca="false">IFERROR(K48/I48,"")</f>
        <v/>
      </c>
      <c r="N48" s="37"/>
      <c r="O48" s="39"/>
      <c r="P48" s="23" t="str">
        <f aca="false">IF(N(I48)=0,"UNUSED",IF(L48&gt;0,"RED",IF(N48&gt;30,"RED",IF(OR(N48&gt;14,O48&lt;0.75),"AMBER","GREEN"))))</f>
        <v>UNUSED</v>
      </c>
      <c r="Q48" s="40"/>
    </row>
    <row r="49" customFormat="false" ht="22.35" hidden="false" customHeight="false" outlineLevel="0" collapsed="false">
      <c r="A49" s="19" t="n">
        <v>44</v>
      </c>
      <c r="B49" s="12" t="s">
        <v>154</v>
      </c>
      <c r="C49" s="12" t="s">
        <v>156</v>
      </c>
      <c r="D49" s="12" t="s">
        <v>157</v>
      </c>
      <c r="E49" s="12" t="s">
        <v>158</v>
      </c>
      <c r="F49" s="19" t="s">
        <v>60</v>
      </c>
      <c r="G49" s="12" t="s">
        <v>568</v>
      </c>
      <c r="H49" s="12" t="s">
        <v>569</v>
      </c>
      <c r="I49" s="37"/>
      <c r="J49" s="37"/>
      <c r="K49" s="37"/>
      <c r="L49" s="37"/>
      <c r="M49" s="38" t="str">
        <f aca="false">IFERROR(K49/I49,"")</f>
        <v/>
      </c>
      <c r="N49" s="37"/>
      <c r="O49" s="39"/>
      <c r="P49" s="23" t="str">
        <f aca="false">IF(N(I49)=0,"UNUSED",IF(L49&gt;0,"RED",IF(N49&gt;30,"RED",IF(OR(N49&gt;14,O49&lt;0.75),"AMBER","GREEN"))))</f>
        <v>UNUSED</v>
      </c>
      <c r="Q49" s="40"/>
    </row>
    <row r="50" customFormat="false" ht="22.35" hidden="false" customHeight="false" outlineLevel="0" collapsed="false">
      <c r="A50" s="19" t="n">
        <v>45</v>
      </c>
      <c r="B50" s="12" t="s">
        <v>154</v>
      </c>
      <c r="C50" s="12" t="s">
        <v>159</v>
      </c>
      <c r="D50" s="12" t="s">
        <v>160</v>
      </c>
      <c r="E50" s="12" t="s">
        <v>161</v>
      </c>
      <c r="F50" s="19" t="s">
        <v>60</v>
      </c>
      <c r="G50" s="12" t="s">
        <v>570</v>
      </c>
      <c r="H50" s="12" t="s">
        <v>571</v>
      </c>
      <c r="I50" s="37"/>
      <c r="J50" s="37"/>
      <c r="K50" s="37"/>
      <c r="L50" s="37"/>
      <c r="M50" s="38" t="str">
        <f aca="false">IFERROR(K50/I50,"")</f>
        <v/>
      </c>
      <c r="N50" s="37"/>
      <c r="O50" s="39"/>
      <c r="P50" s="23" t="str">
        <f aca="false">IF(N(I50)=0,"UNUSED",IF(L50&gt;0,"RED",IF(N50&gt;30,"RED",IF(OR(N50&gt;14,O50&lt;0.75),"AMBER","GREEN"))))</f>
        <v>UNUSED</v>
      </c>
      <c r="Q50" s="40"/>
    </row>
    <row r="51" customFormat="false" ht="22.35" hidden="false" customHeight="false" outlineLevel="0" collapsed="false">
      <c r="A51" s="19" t="n">
        <v>46</v>
      </c>
      <c r="B51" s="12" t="s">
        <v>154</v>
      </c>
      <c r="C51" s="12" t="s">
        <v>162</v>
      </c>
      <c r="D51" s="12" t="s">
        <v>160</v>
      </c>
      <c r="E51" s="12" t="s">
        <v>163</v>
      </c>
      <c r="F51" s="19" t="s">
        <v>60</v>
      </c>
      <c r="G51" s="12" t="s">
        <v>572</v>
      </c>
      <c r="H51" s="12" t="s">
        <v>573</v>
      </c>
      <c r="I51" s="37"/>
      <c r="J51" s="37"/>
      <c r="K51" s="37"/>
      <c r="L51" s="37"/>
      <c r="M51" s="38" t="str">
        <f aca="false">IFERROR(K51/I51,"")</f>
        <v/>
      </c>
      <c r="N51" s="37"/>
      <c r="O51" s="39"/>
      <c r="P51" s="23" t="str">
        <f aca="false">IF(N(I51)=0,"UNUSED",IF(L51&gt;0,"RED",IF(N51&gt;30,"RED",IF(OR(N51&gt;14,O51&lt;0.75),"AMBER","GREEN"))))</f>
        <v>UNUSED</v>
      </c>
      <c r="Q51" s="40"/>
    </row>
    <row r="52" customFormat="false" ht="22.35" hidden="false" customHeight="false" outlineLevel="0" collapsed="false">
      <c r="A52" s="19" t="n">
        <v>47</v>
      </c>
      <c r="B52" s="12" t="s">
        <v>154</v>
      </c>
      <c r="C52" s="12" t="s">
        <v>164</v>
      </c>
      <c r="D52" s="12" t="s">
        <v>160</v>
      </c>
      <c r="E52" s="12" t="s">
        <v>165</v>
      </c>
      <c r="F52" s="19" t="s">
        <v>60</v>
      </c>
      <c r="G52" s="12" t="s">
        <v>574</v>
      </c>
      <c r="H52" s="12" t="s">
        <v>575</v>
      </c>
      <c r="I52" s="37"/>
      <c r="J52" s="37"/>
      <c r="K52" s="37"/>
      <c r="L52" s="37"/>
      <c r="M52" s="38" t="str">
        <f aca="false">IFERROR(K52/I52,"")</f>
        <v/>
      </c>
      <c r="N52" s="37"/>
      <c r="O52" s="39"/>
      <c r="P52" s="23" t="str">
        <f aca="false">IF(N(I52)=0,"UNUSED",IF(L52&gt;0,"RED",IF(N52&gt;30,"RED",IF(OR(N52&gt;14,O52&lt;0.75),"AMBER","GREEN"))))</f>
        <v>UNUSED</v>
      </c>
      <c r="Q52" s="40"/>
    </row>
    <row r="53" customFormat="false" ht="22.35" hidden="false" customHeight="false" outlineLevel="0" collapsed="false">
      <c r="A53" s="19" t="n">
        <v>48</v>
      </c>
      <c r="B53" s="12" t="s">
        <v>154</v>
      </c>
      <c r="C53" s="12" t="s">
        <v>166</v>
      </c>
      <c r="D53" s="12" t="s">
        <v>167</v>
      </c>
      <c r="E53" s="12" t="s">
        <v>168</v>
      </c>
      <c r="F53" s="19" t="s">
        <v>60</v>
      </c>
      <c r="G53" s="12" t="s">
        <v>576</v>
      </c>
      <c r="H53" s="12" t="s">
        <v>577</v>
      </c>
      <c r="I53" s="37"/>
      <c r="J53" s="37"/>
      <c r="K53" s="37"/>
      <c r="L53" s="37"/>
      <c r="M53" s="38" t="str">
        <f aca="false">IFERROR(K53/I53,"")</f>
        <v/>
      </c>
      <c r="N53" s="37"/>
      <c r="O53" s="39"/>
      <c r="P53" s="23" t="str">
        <f aca="false">IF(N(I53)=0,"UNUSED",IF(L53&gt;0,"RED",IF(N53&gt;30,"RED",IF(OR(N53&gt;14,O53&lt;0.75),"AMBER","GREEN"))))</f>
        <v>UNUSED</v>
      </c>
      <c r="Q53" s="40"/>
    </row>
    <row r="54" customFormat="false" ht="22.35" hidden="false" customHeight="false" outlineLevel="0" collapsed="false">
      <c r="A54" s="19" t="n">
        <v>49</v>
      </c>
      <c r="B54" s="12" t="s">
        <v>154</v>
      </c>
      <c r="C54" s="12" t="s">
        <v>169</v>
      </c>
      <c r="D54" s="12" t="s">
        <v>167</v>
      </c>
      <c r="E54" s="12" t="s">
        <v>170</v>
      </c>
      <c r="F54" s="19" t="s">
        <v>60</v>
      </c>
      <c r="G54" s="12" t="s">
        <v>578</v>
      </c>
      <c r="H54" s="12" t="s">
        <v>579</v>
      </c>
      <c r="I54" s="37"/>
      <c r="J54" s="37"/>
      <c r="K54" s="37"/>
      <c r="L54" s="37"/>
      <c r="M54" s="38" t="str">
        <f aca="false">IFERROR(K54/I54,"")</f>
        <v/>
      </c>
      <c r="N54" s="37"/>
      <c r="O54" s="39"/>
      <c r="P54" s="23" t="str">
        <f aca="false">IF(N(I54)=0,"UNUSED",IF(L54&gt;0,"RED",IF(N54&gt;30,"RED",IF(OR(N54&gt;14,O54&lt;0.75),"AMBER","GREEN"))))</f>
        <v>UNUSED</v>
      </c>
      <c r="Q54" s="40"/>
    </row>
    <row r="55" customFormat="false" ht="22.35" hidden="false" customHeight="false" outlineLevel="0" collapsed="false">
      <c r="A55" s="19" t="n">
        <v>50</v>
      </c>
      <c r="B55" s="12" t="s">
        <v>154</v>
      </c>
      <c r="C55" s="12" t="s">
        <v>171</v>
      </c>
      <c r="D55" s="12" t="s">
        <v>167</v>
      </c>
      <c r="E55" s="12" t="s">
        <v>172</v>
      </c>
      <c r="F55" s="19" t="s">
        <v>60</v>
      </c>
      <c r="G55" s="12" t="s">
        <v>580</v>
      </c>
      <c r="H55" s="12" t="s">
        <v>581</v>
      </c>
      <c r="I55" s="37"/>
      <c r="J55" s="37"/>
      <c r="K55" s="37"/>
      <c r="L55" s="37"/>
      <c r="M55" s="38" t="str">
        <f aca="false">IFERROR(K55/I55,"")</f>
        <v/>
      </c>
      <c r="N55" s="37"/>
      <c r="O55" s="39"/>
      <c r="P55" s="23" t="str">
        <f aca="false">IF(N(I55)=0,"UNUSED",IF(L55&gt;0,"RED",IF(N55&gt;30,"RED",IF(OR(N55&gt;14,O55&lt;0.75),"AMBER","GREEN"))))</f>
        <v>UNUSED</v>
      </c>
      <c r="Q55" s="40"/>
    </row>
    <row r="56" customFormat="false" ht="22.35" hidden="false" customHeight="false" outlineLevel="0" collapsed="false">
      <c r="A56" s="19" t="n">
        <v>51</v>
      </c>
      <c r="B56" s="12" t="s">
        <v>154</v>
      </c>
      <c r="C56" s="12" t="s">
        <v>173</v>
      </c>
      <c r="D56" s="12" t="s">
        <v>167</v>
      </c>
      <c r="E56" s="12" t="s">
        <v>174</v>
      </c>
      <c r="F56" s="19" t="s">
        <v>60</v>
      </c>
      <c r="G56" s="12" t="s">
        <v>582</v>
      </c>
      <c r="H56" s="12" t="s">
        <v>583</v>
      </c>
      <c r="I56" s="37"/>
      <c r="J56" s="37"/>
      <c r="K56" s="37"/>
      <c r="L56" s="37"/>
      <c r="M56" s="38" t="str">
        <f aca="false">IFERROR(K56/I56,"")</f>
        <v/>
      </c>
      <c r="N56" s="37"/>
      <c r="O56" s="39"/>
      <c r="P56" s="23" t="str">
        <f aca="false">IF(N(I56)=0,"UNUSED",IF(L56&gt;0,"RED",IF(N56&gt;30,"RED",IF(OR(N56&gt;14,O56&lt;0.75),"AMBER","GREEN"))))</f>
        <v>UNUSED</v>
      </c>
      <c r="Q56" s="40"/>
    </row>
    <row r="57" customFormat="false" ht="32.8" hidden="false" customHeight="false" outlineLevel="0" collapsed="false">
      <c r="A57" s="19" t="n">
        <v>52</v>
      </c>
      <c r="B57" s="12" t="s">
        <v>154</v>
      </c>
      <c r="C57" s="12" t="s">
        <v>175</v>
      </c>
      <c r="D57" s="12" t="s">
        <v>176</v>
      </c>
      <c r="E57" s="12" t="s">
        <v>584</v>
      </c>
      <c r="F57" s="19" t="s">
        <v>60</v>
      </c>
      <c r="G57" s="12" t="s">
        <v>585</v>
      </c>
      <c r="H57" s="12" t="s">
        <v>586</v>
      </c>
      <c r="I57" s="37"/>
      <c r="J57" s="37"/>
      <c r="K57" s="37"/>
      <c r="L57" s="37"/>
      <c r="M57" s="38" t="str">
        <f aca="false">IFERROR(K57/I57,"")</f>
        <v/>
      </c>
      <c r="N57" s="37"/>
      <c r="O57" s="39"/>
      <c r="P57" s="23" t="str">
        <f aca="false">IF(N(I57)=0,"UNUSED",IF(L57&gt;0,"RED",IF(N57&gt;30,"RED",IF(OR(N57&gt;14,O57&lt;0.75),"AMBER","GREEN"))))</f>
        <v>UNUSED</v>
      </c>
      <c r="Q57" s="40"/>
    </row>
    <row r="58" customFormat="false" ht="32.8" hidden="false" customHeight="false" outlineLevel="0" collapsed="false">
      <c r="A58" s="19" t="n">
        <v>53</v>
      </c>
      <c r="B58" s="12" t="s">
        <v>154</v>
      </c>
      <c r="C58" s="12" t="s">
        <v>175</v>
      </c>
      <c r="D58" s="12" t="s">
        <v>176</v>
      </c>
      <c r="E58" s="12" t="s">
        <v>587</v>
      </c>
      <c r="F58" s="19" t="s">
        <v>60</v>
      </c>
      <c r="G58" s="12" t="s">
        <v>585</v>
      </c>
      <c r="H58" s="12" t="s">
        <v>588</v>
      </c>
      <c r="I58" s="37"/>
      <c r="J58" s="37"/>
      <c r="K58" s="37"/>
      <c r="L58" s="37"/>
      <c r="M58" s="38" t="str">
        <f aca="false">IFERROR(K58/I58,"")</f>
        <v/>
      </c>
      <c r="N58" s="37"/>
      <c r="O58" s="39"/>
      <c r="P58" s="23" t="str">
        <f aca="false">IF(N(I58)=0,"UNUSED",IF(L58&gt;0,"RED",IF(N58&gt;30,"RED",IF(OR(N58&gt;14,O58&lt;0.75),"AMBER","GREEN"))))</f>
        <v>UNUSED</v>
      </c>
      <c r="Q58" s="40"/>
    </row>
    <row r="59" customFormat="false" ht="22.35" hidden="false" customHeight="false" outlineLevel="0" collapsed="false">
      <c r="A59" s="19" t="n">
        <v>54</v>
      </c>
      <c r="B59" s="12" t="s">
        <v>154</v>
      </c>
      <c r="C59" s="12" t="s">
        <v>178</v>
      </c>
      <c r="D59" s="12" t="s">
        <v>179</v>
      </c>
      <c r="E59" s="12" t="s">
        <v>180</v>
      </c>
      <c r="F59" s="19" t="s">
        <v>64</v>
      </c>
      <c r="G59" s="12" t="s">
        <v>589</v>
      </c>
      <c r="H59" s="12" t="s">
        <v>590</v>
      </c>
      <c r="I59" s="37"/>
      <c r="J59" s="37"/>
      <c r="K59" s="37"/>
      <c r="L59" s="37"/>
      <c r="M59" s="38" t="str">
        <f aca="false">IFERROR(K59/I59,"")</f>
        <v/>
      </c>
      <c r="N59" s="37"/>
      <c r="O59" s="39"/>
      <c r="P59" s="23" t="str">
        <f aca="false">IF(N(I59)=0,"UNUSED",IF(L59&gt;0,"RED",IF(N59&gt;30,"RED",IF(OR(N59&gt;14,O59&lt;0.75),"AMBER","GREEN"))))</f>
        <v>UNUSED</v>
      </c>
      <c r="Q59" s="40"/>
    </row>
    <row r="60" customFormat="false" ht="22.35" hidden="false" customHeight="false" outlineLevel="0" collapsed="false">
      <c r="A60" s="19" t="n">
        <v>55</v>
      </c>
      <c r="B60" s="12" t="s">
        <v>154</v>
      </c>
      <c r="C60" s="12" t="s">
        <v>181</v>
      </c>
      <c r="D60" s="12" t="s">
        <v>182</v>
      </c>
      <c r="E60" s="12" t="s">
        <v>591</v>
      </c>
      <c r="F60" s="19" t="s">
        <v>60</v>
      </c>
      <c r="G60" s="12" t="s">
        <v>592</v>
      </c>
      <c r="H60" s="12" t="s">
        <v>593</v>
      </c>
      <c r="I60" s="37"/>
      <c r="J60" s="37"/>
      <c r="K60" s="37"/>
      <c r="L60" s="37"/>
      <c r="M60" s="38" t="str">
        <f aca="false">IFERROR(K60/I60,"")</f>
        <v/>
      </c>
      <c r="N60" s="37"/>
      <c r="O60" s="39"/>
      <c r="P60" s="23" t="str">
        <f aca="false">IF(N(I60)=0,"UNUSED",IF(L60&gt;0,"RED",IF(N60&gt;30,"RED",IF(OR(N60&gt;14,O60&lt;0.75),"AMBER","GREEN"))))</f>
        <v>UNUSED</v>
      </c>
      <c r="Q60" s="40"/>
    </row>
    <row r="61" customFormat="false" ht="22.35" hidden="false" customHeight="false" outlineLevel="0" collapsed="false">
      <c r="A61" s="19" t="n">
        <v>56</v>
      </c>
      <c r="B61" s="12" t="s">
        <v>154</v>
      </c>
      <c r="C61" s="12" t="s">
        <v>181</v>
      </c>
      <c r="D61" s="12" t="s">
        <v>182</v>
      </c>
      <c r="E61" s="12" t="s">
        <v>594</v>
      </c>
      <c r="F61" s="19" t="s">
        <v>60</v>
      </c>
      <c r="G61" s="12" t="s">
        <v>592</v>
      </c>
      <c r="H61" s="12" t="s">
        <v>595</v>
      </c>
      <c r="I61" s="37"/>
      <c r="J61" s="37"/>
      <c r="K61" s="37"/>
      <c r="L61" s="37"/>
      <c r="M61" s="38" t="str">
        <f aca="false">IFERROR(K61/I61,"")</f>
        <v/>
      </c>
      <c r="N61" s="37"/>
      <c r="O61" s="39"/>
      <c r="P61" s="23" t="str">
        <f aca="false">IF(N(I61)=0,"UNUSED",IF(L61&gt;0,"RED",IF(N61&gt;30,"RED",IF(OR(N61&gt;14,O61&lt;0.75),"AMBER","GREEN"))))</f>
        <v>UNUSED</v>
      </c>
      <c r="Q61" s="40"/>
    </row>
    <row r="62" customFormat="false" ht="22.35" hidden="false" customHeight="false" outlineLevel="0" collapsed="false">
      <c r="A62" s="19" t="n">
        <v>57</v>
      </c>
      <c r="B62" s="12" t="s">
        <v>184</v>
      </c>
      <c r="C62" s="12" t="s">
        <v>186</v>
      </c>
      <c r="D62" s="12" t="s">
        <v>187</v>
      </c>
      <c r="E62" s="12" t="s">
        <v>188</v>
      </c>
      <c r="F62" s="19" t="s">
        <v>60</v>
      </c>
      <c r="G62" s="12" t="s">
        <v>596</v>
      </c>
      <c r="H62" s="12" t="s">
        <v>597</v>
      </c>
      <c r="I62" s="37"/>
      <c r="J62" s="37"/>
      <c r="K62" s="37"/>
      <c r="L62" s="37"/>
      <c r="M62" s="38" t="str">
        <f aca="false">IFERROR(K62/I62,"")</f>
        <v/>
      </c>
      <c r="N62" s="37"/>
      <c r="O62" s="39"/>
      <c r="P62" s="23" t="str">
        <f aca="false">IF(N(I62)=0,"UNUSED",IF(L62&gt;0,"RED",IF(N62&gt;30,"RED",IF(OR(N62&gt;14,O62&lt;0.75),"AMBER","GREEN"))))</f>
        <v>UNUSED</v>
      </c>
      <c r="Q62" s="40"/>
    </row>
    <row r="63" customFormat="false" ht="22.35" hidden="false" customHeight="false" outlineLevel="0" collapsed="false">
      <c r="A63" s="19" t="n">
        <v>58</v>
      </c>
      <c r="B63" s="12" t="s">
        <v>184</v>
      </c>
      <c r="C63" s="12" t="s">
        <v>189</v>
      </c>
      <c r="D63" s="12" t="s">
        <v>190</v>
      </c>
      <c r="E63" s="12" t="s">
        <v>191</v>
      </c>
      <c r="F63" s="19" t="s">
        <v>64</v>
      </c>
      <c r="G63" s="12" t="s">
        <v>598</v>
      </c>
      <c r="H63" s="12" t="s">
        <v>599</v>
      </c>
      <c r="I63" s="37"/>
      <c r="J63" s="37"/>
      <c r="K63" s="37"/>
      <c r="L63" s="37"/>
      <c r="M63" s="38" t="str">
        <f aca="false">IFERROR(K63/I63,"")</f>
        <v/>
      </c>
      <c r="N63" s="37"/>
      <c r="O63" s="39"/>
      <c r="P63" s="23" t="str">
        <f aca="false">IF(N(I63)=0,"UNUSED",IF(L63&gt;0,"RED",IF(N63&gt;30,"RED",IF(OR(N63&gt;14,O63&lt;0.75),"AMBER","GREEN"))))</f>
        <v>UNUSED</v>
      </c>
      <c r="Q63" s="40"/>
    </row>
    <row r="64" customFormat="false" ht="22.35" hidden="false" customHeight="false" outlineLevel="0" collapsed="false">
      <c r="A64" s="19" t="n">
        <v>59</v>
      </c>
      <c r="B64" s="12" t="s">
        <v>184</v>
      </c>
      <c r="C64" s="12" t="s">
        <v>192</v>
      </c>
      <c r="D64" s="12" t="s">
        <v>193</v>
      </c>
      <c r="E64" s="12" t="s">
        <v>194</v>
      </c>
      <c r="F64" s="19" t="s">
        <v>108</v>
      </c>
      <c r="G64" s="12" t="s">
        <v>600</v>
      </c>
      <c r="H64" s="12" t="s">
        <v>601</v>
      </c>
      <c r="I64" s="37"/>
      <c r="J64" s="37"/>
      <c r="K64" s="37"/>
      <c r="L64" s="37"/>
      <c r="M64" s="38" t="str">
        <f aca="false">IFERROR(K64/I64,"")</f>
        <v/>
      </c>
      <c r="N64" s="37"/>
      <c r="O64" s="39"/>
      <c r="P64" s="23" t="str">
        <f aca="false">IF(N(I64)=0,"UNUSED",IF(L64&gt;0,"RED",IF(N64&gt;30,"RED",IF(OR(N64&gt;14,O64&lt;0.75),"AMBER","GREEN"))))</f>
        <v>UNUSED</v>
      </c>
      <c r="Q64" s="40"/>
    </row>
    <row r="65" customFormat="false" ht="22.35" hidden="false" customHeight="false" outlineLevel="0" collapsed="false">
      <c r="A65" s="19" t="n">
        <v>60</v>
      </c>
      <c r="B65" s="12" t="s">
        <v>184</v>
      </c>
      <c r="C65" s="12" t="s">
        <v>195</v>
      </c>
      <c r="D65" s="12" t="s">
        <v>196</v>
      </c>
      <c r="E65" s="12" t="s">
        <v>197</v>
      </c>
      <c r="F65" s="19" t="s">
        <v>64</v>
      </c>
      <c r="G65" s="12" t="s">
        <v>602</v>
      </c>
      <c r="H65" s="12" t="s">
        <v>603</v>
      </c>
      <c r="I65" s="37"/>
      <c r="J65" s="37"/>
      <c r="K65" s="37"/>
      <c r="L65" s="37"/>
      <c r="M65" s="38" t="str">
        <f aca="false">IFERROR(K65/I65,"")</f>
        <v/>
      </c>
      <c r="N65" s="37"/>
      <c r="O65" s="39"/>
      <c r="P65" s="23" t="str">
        <f aca="false">IF(N(I65)=0,"UNUSED",IF(L65&gt;0,"RED",IF(N65&gt;30,"RED",IF(OR(N65&gt;14,O65&lt;0.75),"AMBER","GREEN"))))</f>
        <v>UNUSED</v>
      </c>
      <c r="Q65" s="40"/>
    </row>
    <row r="66" customFormat="false" ht="22.35" hidden="false" customHeight="false" outlineLevel="0" collapsed="false">
      <c r="A66" s="19" t="n">
        <v>61</v>
      </c>
      <c r="B66" s="12" t="s">
        <v>198</v>
      </c>
      <c r="C66" s="12" t="s">
        <v>200</v>
      </c>
      <c r="D66" s="12" t="s">
        <v>152</v>
      </c>
      <c r="E66" s="12" t="s">
        <v>604</v>
      </c>
      <c r="F66" s="19" t="s">
        <v>108</v>
      </c>
      <c r="G66" s="12" t="s">
        <v>605</v>
      </c>
      <c r="H66" s="12" t="s">
        <v>606</v>
      </c>
      <c r="I66" s="37"/>
      <c r="J66" s="37"/>
      <c r="K66" s="37"/>
      <c r="L66" s="37"/>
      <c r="M66" s="38" t="str">
        <f aca="false">IFERROR(K66/I66,"")</f>
        <v/>
      </c>
      <c r="N66" s="37"/>
      <c r="O66" s="39"/>
      <c r="P66" s="23" t="str">
        <f aca="false">IF(N(I66)=0,"UNUSED",IF(L66&gt;0,"RED",IF(N66&gt;30,"RED",IF(OR(N66&gt;14,O66&lt;0.75),"AMBER","GREEN"))))</f>
        <v>UNUSED</v>
      </c>
      <c r="Q66" s="40"/>
    </row>
    <row r="67" customFormat="false" ht="22.35" hidden="false" customHeight="false" outlineLevel="0" collapsed="false">
      <c r="A67" s="19" t="n">
        <v>62</v>
      </c>
      <c r="B67" s="12" t="s">
        <v>198</v>
      </c>
      <c r="C67" s="12" t="s">
        <v>200</v>
      </c>
      <c r="D67" s="12" t="s">
        <v>152</v>
      </c>
      <c r="E67" s="12" t="s">
        <v>607</v>
      </c>
      <c r="F67" s="19" t="s">
        <v>108</v>
      </c>
      <c r="G67" s="12" t="s">
        <v>605</v>
      </c>
      <c r="H67" s="12" t="s">
        <v>608</v>
      </c>
      <c r="I67" s="37"/>
      <c r="J67" s="37"/>
      <c r="K67" s="37"/>
      <c r="L67" s="37"/>
      <c r="M67" s="38" t="str">
        <f aca="false">IFERROR(K67/I67,"")</f>
        <v/>
      </c>
      <c r="N67" s="37"/>
      <c r="O67" s="39"/>
      <c r="P67" s="23" t="str">
        <f aca="false">IF(N(I67)=0,"UNUSED",IF(L67&gt;0,"RED",IF(N67&gt;30,"RED",IF(OR(N67&gt;14,O67&lt;0.75),"AMBER","GREEN"))))</f>
        <v>UNUSED</v>
      </c>
      <c r="Q67" s="40"/>
    </row>
    <row r="68" customFormat="false" ht="22.35" hidden="false" customHeight="false" outlineLevel="0" collapsed="false">
      <c r="A68" s="19" t="n">
        <v>63</v>
      </c>
      <c r="B68" s="12" t="s">
        <v>198</v>
      </c>
      <c r="C68" s="12" t="s">
        <v>202</v>
      </c>
      <c r="D68" s="12" t="s">
        <v>203</v>
      </c>
      <c r="E68" s="12" t="s">
        <v>609</v>
      </c>
      <c r="F68" s="19" t="s">
        <v>108</v>
      </c>
      <c r="G68" s="12" t="s">
        <v>610</v>
      </c>
      <c r="H68" s="12" t="s">
        <v>611</v>
      </c>
      <c r="I68" s="37"/>
      <c r="J68" s="37"/>
      <c r="K68" s="37"/>
      <c r="L68" s="37"/>
      <c r="M68" s="38" t="str">
        <f aca="false">IFERROR(K68/I68,"")</f>
        <v/>
      </c>
      <c r="N68" s="37"/>
      <c r="O68" s="39"/>
      <c r="P68" s="23" t="str">
        <f aca="false">IF(N(I68)=0,"UNUSED",IF(L68&gt;0,"RED",IF(N68&gt;30,"RED",IF(OR(N68&gt;14,O68&lt;0.75),"AMBER","GREEN"))))</f>
        <v>UNUSED</v>
      </c>
      <c r="Q68" s="40"/>
    </row>
    <row r="69" customFormat="false" ht="22.35" hidden="false" customHeight="false" outlineLevel="0" collapsed="false">
      <c r="A69" s="19" t="n">
        <v>64</v>
      </c>
      <c r="B69" s="12" t="s">
        <v>198</v>
      </c>
      <c r="C69" s="12" t="s">
        <v>202</v>
      </c>
      <c r="D69" s="12" t="s">
        <v>203</v>
      </c>
      <c r="E69" s="12" t="s">
        <v>612</v>
      </c>
      <c r="F69" s="19" t="s">
        <v>108</v>
      </c>
      <c r="G69" s="12" t="s">
        <v>610</v>
      </c>
      <c r="H69" s="12" t="s">
        <v>613</v>
      </c>
      <c r="I69" s="37"/>
      <c r="J69" s="37"/>
      <c r="K69" s="37"/>
      <c r="L69" s="37"/>
      <c r="M69" s="38" t="str">
        <f aca="false">IFERROR(K69/I69,"")</f>
        <v/>
      </c>
      <c r="N69" s="37"/>
      <c r="O69" s="39"/>
      <c r="P69" s="23" t="str">
        <f aca="false">IF(N(I69)=0,"UNUSED",IF(L69&gt;0,"RED",IF(N69&gt;30,"RED",IF(OR(N69&gt;14,O69&lt;0.75),"AMBER","GREEN"))))</f>
        <v>UNUSED</v>
      </c>
      <c r="Q69" s="40"/>
    </row>
    <row r="70" customFormat="false" ht="22.35" hidden="false" customHeight="false" outlineLevel="0" collapsed="false">
      <c r="A70" s="19" t="n">
        <v>65</v>
      </c>
      <c r="B70" s="12" t="s">
        <v>198</v>
      </c>
      <c r="C70" s="12" t="s">
        <v>205</v>
      </c>
      <c r="D70" s="12" t="s">
        <v>152</v>
      </c>
      <c r="E70" s="12" t="s">
        <v>206</v>
      </c>
      <c r="F70" s="19" t="s">
        <v>108</v>
      </c>
      <c r="G70" s="12" t="s">
        <v>614</v>
      </c>
      <c r="H70" s="12" t="s">
        <v>615</v>
      </c>
      <c r="I70" s="37"/>
      <c r="J70" s="37"/>
      <c r="K70" s="37"/>
      <c r="L70" s="37"/>
      <c r="M70" s="38" t="str">
        <f aca="false">IFERROR(K70/I70,"")</f>
        <v/>
      </c>
      <c r="N70" s="37"/>
      <c r="O70" s="39"/>
      <c r="P70" s="23" t="str">
        <f aca="false">IF(N(I70)=0,"UNUSED",IF(L70&gt;0,"RED",IF(N70&gt;30,"RED",IF(OR(N70&gt;14,O70&lt;0.75),"AMBER","GREEN"))))</f>
        <v>UNUSED</v>
      </c>
      <c r="Q70" s="40"/>
    </row>
    <row r="71" customFormat="false" ht="22.35" hidden="false" customHeight="false" outlineLevel="0" collapsed="false">
      <c r="A71" s="19" t="n">
        <v>66</v>
      </c>
      <c r="B71" s="12" t="s">
        <v>198</v>
      </c>
      <c r="C71" s="12" t="s">
        <v>207</v>
      </c>
      <c r="D71" s="12" t="s">
        <v>152</v>
      </c>
      <c r="E71" s="12" t="s">
        <v>208</v>
      </c>
      <c r="F71" s="19" t="s">
        <v>108</v>
      </c>
      <c r="G71" s="12" t="s">
        <v>616</v>
      </c>
      <c r="H71" s="12" t="s">
        <v>617</v>
      </c>
      <c r="I71" s="37"/>
      <c r="J71" s="37"/>
      <c r="K71" s="37"/>
      <c r="L71" s="37"/>
      <c r="M71" s="38" t="str">
        <f aca="false">IFERROR(K71/I71,"")</f>
        <v/>
      </c>
      <c r="N71" s="37"/>
      <c r="O71" s="39"/>
      <c r="P71" s="23" t="str">
        <f aca="false">IF(N(I71)=0,"UNUSED",IF(L71&gt;0,"RED",IF(N71&gt;30,"RED",IF(OR(N71&gt;14,O71&lt;0.75),"AMBER","GREEN"))))</f>
        <v>UNUSED</v>
      </c>
      <c r="Q71" s="40"/>
    </row>
    <row r="72" customFormat="false" ht="22.35" hidden="false" customHeight="false" outlineLevel="0" collapsed="false">
      <c r="A72" s="19" t="n">
        <v>67</v>
      </c>
      <c r="B72" s="12" t="s">
        <v>198</v>
      </c>
      <c r="C72" s="12" t="s">
        <v>209</v>
      </c>
      <c r="D72" s="12" t="s">
        <v>152</v>
      </c>
      <c r="E72" s="12" t="s">
        <v>210</v>
      </c>
      <c r="F72" s="19" t="s">
        <v>108</v>
      </c>
      <c r="G72" s="12" t="s">
        <v>618</v>
      </c>
      <c r="H72" s="12" t="s">
        <v>619</v>
      </c>
      <c r="I72" s="37"/>
      <c r="J72" s="37"/>
      <c r="K72" s="37"/>
      <c r="L72" s="37"/>
      <c r="M72" s="38" t="str">
        <f aca="false">IFERROR(K72/I72,"")</f>
        <v/>
      </c>
      <c r="N72" s="37"/>
      <c r="O72" s="39"/>
      <c r="P72" s="23" t="str">
        <f aca="false">IF(N(I72)=0,"UNUSED",IF(L72&gt;0,"RED",IF(N72&gt;30,"RED",IF(OR(N72&gt;14,O72&lt;0.75),"AMBER","GREEN"))))</f>
        <v>UNUSED</v>
      </c>
      <c r="Q72" s="40"/>
    </row>
    <row r="73" customFormat="false" ht="22.35" hidden="false" customHeight="false" outlineLevel="0" collapsed="false">
      <c r="A73" s="19" t="n">
        <v>68</v>
      </c>
      <c r="B73" s="12" t="s">
        <v>198</v>
      </c>
      <c r="C73" s="12" t="s">
        <v>211</v>
      </c>
      <c r="D73" s="12" t="s">
        <v>212</v>
      </c>
      <c r="E73" s="12" t="s">
        <v>620</v>
      </c>
      <c r="F73" s="19" t="s">
        <v>108</v>
      </c>
      <c r="G73" s="12" t="s">
        <v>621</v>
      </c>
      <c r="H73" s="12" t="s">
        <v>622</v>
      </c>
      <c r="I73" s="37"/>
      <c r="J73" s="37"/>
      <c r="K73" s="37"/>
      <c r="L73" s="37"/>
      <c r="M73" s="38" t="str">
        <f aca="false">IFERROR(K73/I73,"")</f>
        <v/>
      </c>
      <c r="N73" s="37"/>
      <c r="O73" s="39"/>
      <c r="P73" s="23" t="str">
        <f aca="false">IF(N(I73)=0,"UNUSED",IF(L73&gt;0,"RED",IF(N73&gt;30,"RED",IF(OR(N73&gt;14,O73&lt;0.75),"AMBER","GREEN"))))</f>
        <v>UNUSED</v>
      </c>
      <c r="Q73" s="40"/>
    </row>
    <row r="74" customFormat="false" ht="22.35" hidden="false" customHeight="false" outlineLevel="0" collapsed="false">
      <c r="A74" s="19" t="n">
        <v>69</v>
      </c>
      <c r="B74" s="12" t="s">
        <v>198</v>
      </c>
      <c r="C74" s="12" t="s">
        <v>211</v>
      </c>
      <c r="D74" s="12" t="s">
        <v>212</v>
      </c>
      <c r="E74" s="12" t="s">
        <v>623</v>
      </c>
      <c r="F74" s="19" t="s">
        <v>108</v>
      </c>
      <c r="G74" s="12" t="s">
        <v>621</v>
      </c>
      <c r="H74" s="12" t="s">
        <v>624</v>
      </c>
      <c r="I74" s="37"/>
      <c r="J74" s="37"/>
      <c r="K74" s="37"/>
      <c r="L74" s="37"/>
      <c r="M74" s="38" t="str">
        <f aca="false">IFERROR(K74/I74,"")</f>
        <v/>
      </c>
      <c r="N74" s="37"/>
      <c r="O74" s="39"/>
      <c r="P74" s="23" t="str">
        <f aca="false">IF(N(I74)=0,"UNUSED",IF(L74&gt;0,"RED",IF(N74&gt;30,"RED",IF(OR(N74&gt;14,O74&lt;0.75),"AMBER","GREEN"))))</f>
        <v>UNUSED</v>
      </c>
      <c r="Q74" s="40"/>
    </row>
    <row r="75" customFormat="false" ht="22.35" hidden="false" customHeight="false" outlineLevel="0" collapsed="false">
      <c r="A75" s="19" t="n">
        <v>70</v>
      </c>
      <c r="B75" s="12" t="s">
        <v>198</v>
      </c>
      <c r="C75" s="12" t="s">
        <v>214</v>
      </c>
      <c r="D75" s="12" t="s">
        <v>215</v>
      </c>
      <c r="E75" s="12" t="s">
        <v>216</v>
      </c>
      <c r="F75" s="19" t="s">
        <v>108</v>
      </c>
      <c r="G75" s="12" t="s">
        <v>625</v>
      </c>
      <c r="H75" s="12" t="s">
        <v>626</v>
      </c>
      <c r="I75" s="37"/>
      <c r="J75" s="37"/>
      <c r="K75" s="37"/>
      <c r="L75" s="37"/>
      <c r="M75" s="38" t="str">
        <f aca="false">IFERROR(K75/I75,"")</f>
        <v/>
      </c>
      <c r="N75" s="37"/>
      <c r="O75" s="39"/>
      <c r="P75" s="23" t="str">
        <f aca="false">IF(N(I75)=0,"UNUSED",IF(L75&gt;0,"RED",IF(N75&gt;30,"RED",IF(OR(N75&gt;14,O75&lt;0.75),"AMBER","GREEN"))))</f>
        <v>UNUSED</v>
      </c>
      <c r="Q75" s="40"/>
    </row>
    <row r="76" customFormat="false" ht="22.35" hidden="false" customHeight="false" outlineLevel="0" collapsed="false">
      <c r="A76" s="19" t="n">
        <v>71</v>
      </c>
      <c r="B76" s="12" t="s">
        <v>198</v>
      </c>
      <c r="C76" s="12" t="s">
        <v>217</v>
      </c>
      <c r="D76" s="12" t="s">
        <v>218</v>
      </c>
      <c r="E76" s="12" t="s">
        <v>219</v>
      </c>
      <c r="F76" s="19" t="s">
        <v>64</v>
      </c>
      <c r="G76" s="12" t="s">
        <v>627</v>
      </c>
      <c r="H76" s="12" t="s">
        <v>628</v>
      </c>
      <c r="I76" s="37"/>
      <c r="J76" s="37"/>
      <c r="K76" s="37"/>
      <c r="L76" s="37"/>
      <c r="M76" s="38" t="str">
        <f aca="false">IFERROR(K76/I76,"")</f>
        <v/>
      </c>
      <c r="N76" s="37"/>
      <c r="O76" s="39"/>
      <c r="P76" s="23" t="str">
        <f aca="false">IF(N(I76)=0,"UNUSED",IF(L76&gt;0,"RED",IF(N76&gt;30,"RED",IF(OR(N76&gt;14,O76&lt;0.75),"AMBER","GREEN"))))</f>
        <v>UNUSED</v>
      </c>
      <c r="Q76" s="40"/>
    </row>
    <row r="77" customFormat="false" ht="15" hidden="false" customHeight="false" outlineLevel="0" collapsed="false">
      <c r="A77" s="19" t="n">
        <v>72</v>
      </c>
      <c r="B77" s="12" t="s">
        <v>198</v>
      </c>
      <c r="C77" s="12" t="s">
        <v>220</v>
      </c>
      <c r="D77" s="12" t="s">
        <v>218</v>
      </c>
      <c r="E77" s="12" t="s">
        <v>221</v>
      </c>
      <c r="F77" s="19" t="s">
        <v>64</v>
      </c>
      <c r="G77" s="12" t="s">
        <v>629</v>
      </c>
      <c r="H77" s="12" t="s">
        <v>630</v>
      </c>
      <c r="I77" s="37"/>
      <c r="J77" s="37"/>
      <c r="K77" s="37"/>
      <c r="L77" s="37"/>
      <c r="M77" s="38" t="str">
        <f aca="false">IFERROR(K77/I77,"")</f>
        <v/>
      </c>
      <c r="N77" s="37"/>
      <c r="O77" s="39"/>
      <c r="P77" s="23" t="str">
        <f aca="false">IF(N(I77)=0,"UNUSED",IF(L77&gt;0,"RED",IF(N77&gt;30,"RED",IF(OR(N77&gt;14,O77&lt;0.75),"AMBER","GREEN"))))</f>
        <v>UNUSED</v>
      </c>
      <c r="Q77" s="40"/>
    </row>
    <row r="78" customFormat="false" ht="22.35" hidden="false" customHeight="false" outlineLevel="0" collapsed="false">
      <c r="A78" s="19" t="n">
        <v>73</v>
      </c>
      <c r="B78" s="12" t="s">
        <v>198</v>
      </c>
      <c r="C78" s="12" t="s">
        <v>222</v>
      </c>
      <c r="D78" s="12" t="s">
        <v>218</v>
      </c>
      <c r="E78" s="12" t="s">
        <v>223</v>
      </c>
      <c r="F78" s="19" t="s">
        <v>64</v>
      </c>
      <c r="G78" s="12" t="s">
        <v>631</v>
      </c>
      <c r="H78" s="12" t="s">
        <v>632</v>
      </c>
      <c r="I78" s="37"/>
      <c r="J78" s="37"/>
      <c r="K78" s="37"/>
      <c r="L78" s="37"/>
      <c r="M78" s="38" t="str">
        <f aca="false">IFERROR(K78/I78,"")</f>
        <v/>
      </c>
      <c r="N78" s="37"/>
      <c r="O78" s="39"/>
      <c r="P78" s="23" t="str">
        <f aca="false">IF(N(I78)=0,"UNUSED",IF(L78&gt;0,"RED",IF(N78&gt;30,"RED",IF(OR(N78&gt;14,O78&lt;0.75),"AMBER","GREEN"))))</f>
        <v>UNUSED</v>
      </c>
      <c r="Q78" s="40"/>
    </row>
    <row r="79" customFormat="false" ht="22.35" hidden="false" customHeight="false" outlineLevel="0" collapsed="false">
      <c r="A79" s="19" t="n">
        <v>74</v>
      </c>
      <c r="B79" s="12" t="s">
        <v>198</v>
      </c>
      <c r="C79" s="12" t="s">
        <v>224</v>
      </c>
      <c r="D79" s="12" t="s">
        <v>225</v>
      </c>
      <c r="E79" s="12" t="s">
        <v>633</v>
      </c>
      <c r="F79" s="19" t="s">
        <v>108</v>
      </c>
      <c r="G79" s="12" t="s">
        <v>634</v>
      </c>
      <c r="H79" s="12" t="s">
        <v>635</v>
      </c>
      <c r="I79" s="37"/>
      <c r="J79" s="37"/>
      <c r="K79" s="37"/>
      <c r="L79" s="37"/>
      <c r="M79" s="38" t="str">
        <f aca="false">IFERROR(K79/I79,"")</f>
        <v/>
      </c>
      <c r="N79" s="37"/>
      <c r="O79" s="39"/>
      <c r="P79" s="23" t="str">
        <f aca="false">IF(N(I79)=0,"UNUSED",IF(L79&gt;0,"RED",IF(N79&gt;30,"RED",IF(OR(N79&gt;14,O79&lt;0.75),"AMBER","GREEN"))))</f>
        <v>UNUSED</v>
      </c>
      <c r="Q79" s="40"/>
    </row>
    <row r="80" customFormat="false" ht="22.35" hidden="false" customHeight="false" outlineLevel="0" collapsed="false">
      <c r="A80" s="19" t="n">
        <v>75</v>
      </c>
      <c r="B80" s="12" t="s">
        <v>198</v>
      </c>
      <c r="C80" s="12" t="s">
        <v>224</v>
      </c>
      <c r="D80" s="12" t="s">
        <v>225</v>
      </c>
      <c r="E80" s="12" t="s">
        <v>636</v>
      </c>
      <c r="F80" s="19" t="s">
        <v>108</v>
      </c>
      <c r="G80" s="12" t="s">
        <v>634</v>
      </c>
      <c r="H80" s="12" t="s">
        <v>637</v>
      </c>
      <c r="I80" s="37"/>
      <c r="J80" s="37"/>
      <c r="K80" s="37"/>
      <c r="L80" s="37"/>
      <c r="M80" s="38" t="str">
        <f aca="false">IFERROR(K80/I80,"")</f>
        <v/>
      </c>
      <c r="N80" s="37"/>
      <c r="O80" s="39"/>
      <c r="P80" s="23" t="str">
        <f aca="false">IF(N(I80)=0,"UNUSED",IF(L80&gt;0,"RED",IF(N80&gt;30,"RED",IF(OR(N80&gt;14,O80&lt;0.75),"AMBER","GREEN"))))</f>
        <v>UNUSED</v>
      </c>
      <c r="Q80" s="40"/>
    </row>
    <row r="81" customFormat="false" ht="22.35" hidden="false" customHeight="false" outlineLevel="0" collapsed="false">
      <c r="A81" s="19" t="n">
        <v>76</v>
      </c>
      <c r="B81" s="12" t="s">
        <v>198</v>
      </c>
      <c r="C81" s="12" t="s">
        <v>227</v>
      </c>
      <c r="D81" s="12" t="s">
        <v>152</v>
      </c>
      <c r="E81" s="12" t="s">
        <v>638</v>
      </c>
      <c r="F81" s="19" t="s">
        <v>108</v>
      </c>
      <c r="G81" s="12" t="s">
        <v>639</v>
      </c>
      <c r="H81" s="12" t="s">
        <v>640</v>
      </c>
      <c r="I81" s="37"/>
      <c r="J81" s="37"/>
      <c r="K81" s="37"/>
      <c r="L81" s="37"/>
      <c r="M81" s="38" t="str">
        <f aca="false">IFERROR(K81/I81,"")</f>
        <v/>
      </c>
      <c r="N81" s="37"/>
      <c r="O81" s="39"/>
      <c r="P81" s="23" t="str">
        <f aca="false">IF(N(I81)=0,"UNUSED",IF(L81&gt;0,"RED",IF(N81&gt;30,"RED",IF(OR(N81&gt;14,O81&lt;0.75),"AMBER","GREEN"))))</f>
        <v>UNUSED</v>
      </c>
      <c r="Q81" s="40"/>
    </row>
    <row r="82" customFormat="false" ht="22.35" hidden="false" customHeight="false" outlineLevel="0" collapsed="false">
      <c r="A82" s="19" t="n">
        <v>77</v>
      </c>
      <c r="B82" s="12" t="s">
        <v>198</v>
      </c>
      <c r="C82" s="12" t="s">
        <v>227</v>
      </c>
      <c r="D82" s="12" t="s">
        <v>152</v>
      </c>
      <c r="E82" s="12" t="s">
        <v>641</v>
      </c>
      <c r="F82" s="19" t="s">
        <v>108</v>
      </c>
      <c r="G82" s="12" t="s">
        <v>639</v>
      </c>
      <c r="H82" s="12" t="s">
        <v>642</v>
      </c>
      <c r="I82" s="37"/>
      <c r="J82" s="37"/>
      <c r="K82" s="37"/>
      <c r="L82" s="37"/>
      <c r="M82" s="38" t="str">
        <f aca="false">IFERROR(K82/I82,"")</f>
        <v/>
      </c>
      <c r="N82" s="37"/>
      <c r="O82" s="39"/>
      <c r="P82" s="23" t="str">
        <f aca="false">IF(N(I82)=0,"UNUSED",IF(L82&gt;0,"RED",IF(N82&gt;30,"RED",IF(OR(N82&gt;14,O82&lt;0.75),"AMBER","GREEN"))))</f>
        <v>UNUSED</v>
      </c>
      <c r="Q82" s="40"/>
    </row>
    <row r="83" customFormat="false" ht="22.35" hidden="false" customHeight="false" outlineLevel="0" collapsed="false">
      <c r="A83" s="19" t="n">
        <v>78</v>
      </c>
      <c r="B83" s="12" t="s">
        <v>229</v>
      </c>
      <c r="C83" s="12" t="s">
        <v>231</v>
      </c>
      <c r="D83" s="12" t="s">
        <v>232</v>
      </c>
      <c r="E83" s="12" t="s">
        <v>233</v>
      </c>
      <c r="F83" s="19" t="s">
        <v>64</v>
      </c>
      <c r="G83" s="12" t="s">
        <v>643</v>
      </c>
      <c r="H83" s="12" t="s">
        <v>644</v>
      </c>
      <c r="I83" s="37"/>
      <c r="J83" s="37"/>
      <c r="K83" s="37"/>
      <c r="L83" s="37"/>
      <c r="M83" s="38" t="str">
        <f aca="false">IFERROR(K83/I83,"")</f>
        <v/>
      </c>
      <c r="N83" s="37"/>
      <c r="O83" s="39"/>
      <c r="P83" s="23" t="str">
        <f aca="false">IF(N(I83)=0,"UNUSED",IF(L83&gt;0,"RED",IF(N83&gt;30,"RED",IF(OR(N83&gt;14,O83&lt;0.75),"AMBER","GREEN"))))</f>
        <v>UNUSED</v>
      </c>
      <c r="Q83" s="40"/>
    </row>
    <row r="84" customFormat="false" ht="22.35" hidden="false" customHeight="false" outlineLevel="0" collapsed="false">
      <c r="A84" s="19" t="n">
        <v>79</v>
      </c>
      <c r="B84" s="12" t="s">
        <v>229</v>
      </c>
      <c r="C84" s="12" t="s">
        <v>234</v>
      </c>
      <c r="D84" s="12" t="s">
        <v>235</v>
      </c>
      <c r="E84" s="12" t="s">
        <v>236</v>
      </c>
      <c r="F84" s="19" t="s">
        <v>108</v>
      </c>
      <c r="G84" s="12" t="s">
        <v>645</v>
      </c>
      <c r="H84" s="12" t="s">
        <v>646</v>
      </c>
      <c r="I84" s="37"/>
      <c r="J84" s="37"/>
      <c r="K84" s="37"/>
      <c r="L84" s="37"/>
      <c r="M84" s="38" t="str">
        <f aca="false">IFERROR(K84/I84,"")</f>
        <v/>
      </c>
      <c r="N84" s="37"/>
      <c r="O84" s="39"/>
      <c r="P84" s="23" t="str">
        <f aca="false">IF(N(I84)=0,"UNUSED",IF(L84&gt;0,"RED",IF(N84&gt;30,"RED",IF(OR(N84&gt;14,O84&lt;0.75),"AMBER","GREEN"))))</f>
        <v>UNUSED</v>
      </c>
      <c r="Q84" s="40"/>
    </row>
    <row r="85" customFormat="false" ht="22.35" hidden="false" customHeight="false" outlineLevel="0" collapsed="false">
      <c r="A85" s="19" t="n">
        <v>80</v>
      </c>
      <c r="B85" s="12" t="s">
        <v>229</v>
      </c>
      <c r="C85" s="12" t="s">
        <v>237</v>
      </c>
      <c r="D85" s="12" t="s">
        <v>235</v>
      </c>
      <c r="E85" s="12" t="s">
        <v>238</v>
      </c>
      <c r="F85" s="19" t="s">
        <v>108</v>
      </c>
      <c r="G85" s="12" t="s">
        <v>647</v>
      </c>
      <c r="H85" s="12" t="s">
        <v>648</v>
      </c>
      <c r="I85" s="37"/>
      <c r="J85" s="37"/>
      <c r="K85" s="37"/>
      <c r="L85" s="37"/>
      <c r="M85" s="38" t="str">
        <f aca="false">IFERROR(K85/I85,"")</f>
        <v/>
      </c>
      <c r="N85" s="37"/>
      <c r="O85" s="39"/>
      <c r="P85" s="23" t="str">
        <f aca="false">IF(N(I85)=0,"UNUSED",IF(L85&gt;0,"RED",IF(N85&gt;30,"RED",IF(OR(N85&gt;14,O85&lt;0.75),"AMBER","GREEN"))))</f>
        <v>UNUSED</v>
      </c>
      <c r="Q85" s="40"/>
    </row>
    <row r="86" customFormat="false" ht="22.35" hidden="false" customHeight="false" outlineLevel="0" collapsed="false">
      <c r="A86" s="19" t="n">
        <v>81</v>
      </c>
      <c r="B86" s="12" t="s">
        <v>229</v>
      </c>
      <c r="C86" s="12" t="s">
        <v>239</v>
      </c>
      <c r="D86" s="12" t="s">
        <v>235</v>
      </c>
      <c r="E86" s="12" t="s">
        <v>240</v>
      </c>
      <c r="F86" s="19" t="s">
        <v>108</v>
      </c>
      <c r="G86" s="12" t="s">
        <v>649</v>
      </c>
      <c r="H86" s="12" t="s">
        <v>650</v>
      </c>
      <c r="I86" s="37"/>
      <c r="J86" s="37"/>
      <c r="K86" s="37"/>
      <c r="L86" s="37"/>
      <c r="M86" s="38" t="str">
        <f aca="false">IFERROR(K86/I86,"")</f>
        <v/>
      </c>
      <c r="N86" s="37"/>
      <c r="O86" s="39"/>
      <c r="P86" s="23" t="str">
        <f aca="false">IF(N(I86)=0,"UNUSED",IF(L86&gt;0,"RED",IF(N86&gt;30,"RED",IF(OR(N86&gt;14,O86&lt;0.75),"AMBER","GREEN"))))</f>
        <v>UNUSED</v>
      </c>
      <c r="Q86" s="40"/>
    </row>
    <row r="87" customFormat="false" ht="22.35" hidden="false" customHeight="false" outlineLevel="0" collapsed="false">
      <c r="A87" s="19" t="n">
        <v>82</v>
      </c>
      <c r="B87" s="12" t="s">
        <v>229</v>
      </c>
      <c r="C87" s="12" t="s">
        <v>241</v>
      </c>
      <c r="D87" s="12" t="s">
        <v>235</v>
      </c>
      <c r="E87" s="12" t="s">
        <v>242</v>
      </c>
      <c r="F87" s="19" t="s">
        <v>108</v>
      </c>
      <c r="G87" s="12" t="s">
        <v>651</v>
      </c>
      <c r="H87" s="12" t="s">
        <v>652</v>
      </c>
      <c r="I87" s="37"/>
      <c r="J87" s="37"/>
      <c r="K87" s="37"/>
      <c r="L87" s="37"/>
      <c r="M87" s="38" t="str">
        <f aca="false">IFERROR(K87/I87,"")</f>
        <v/>
      </c>
      <c r="N87" s="37"/>
      <c r="O87" s="39"/>
      <c r="P87" s="23" t="str">
        <f aca="false">IF(N(I87)=0,"UNUSED",IF(L87&gt;0,"RED",IF(N87&gt;30,"RED",IF(OR(N87&gt;14,O87&lt;0.75),"AMBER","GREEN"))))</f>
        <v>UNUSED</v>
      </c>
      <c r="Q87" s="40"/>
    </row>
    <row r="88" customFormat="false" ht="22.35" hidden="false" customHeight="false" outlineLevel="0" collapsed="false">
      <c r="A88" s="19" t="n">
        <v>83</v>
      </c>
      <c r="B88" s="12" t="s">
        <v>229</v>
      </c>
      <c r="C88" s="12" t="s">
        <v>243</v>
      </c>
      <c r="D88" s="12" t="s">
        <v>244</v>
      </c>
      <c r="E88" s="12" t="s">
        <v>245</v>
      </c>
      <c r="F88" s="19" t="s">
        <v>108</v>
      </c>
      <c r="G88" s="12" t="s">
        <v>653</v>
      </c>
      <c r="H88" s="12" t="s">
        <v>654</v>
      </c>
      <c r="I88" s="37"/>
      <c r="J88" s="37"/>
      <c r="K88" s="37"/>
      <c r="L88" s="37"/>
      <c r="M88" s="38" t="str">
        <f aca="false">IFERROR(K88/I88,"")</f>
        <v/>
      </c>
      <c r="N88" s="37"/>
      <c r="O88" s="39"/>
      <c r="P88" s="23" t="str">
        <f aca="false">IF(N(I88)=0,"UNUSED",IF(L88&gt;0,"RED",IF(N88&gt;30,"RED",IF(OR(N88&gt;14,O88&lt;0.75),"AMBER","GREEN"))))</f>
        <v>UNUSED</v>
      </c>
      <c r="Q88" s="40"/>
    </row>
    <row r="89" customFormat="false" ht="22.35" hidden="false" customHeight="false" outlineLevel="0" collapsed="false">
      <c r="A89" s="19" t="n">
        <v>84</v>
      </c>
      <c r="B89" s="12" t="s">
        <v>229</v>
      </c>
      <c r="C89" s="12" t="s">
        <v>246</v>
      </c>
      <c r="D89" s="12" t="s">
        <v>247</v>
      </c>
      <c r="E89" s="12" t="s">
        <v>248</v>
      </c>
      <c r="F89" s="19" t="s">
        <v>108</v>
      </c>
      <c r="G89" s="12" t="s">
        <v>655</v>
      </c>
      <c r="H89" s="12" t="s">
        <v>656</v>
      </c>
      <c r="I89" s="37"/>
      <c r="J89" s="37"/>
      <c r="K89" s="37"/>
      <c r="L89" s="37"/>
      <c r="M89" s="38" t="str">
        <f aca="false">IFERROR(K89/I89,"")</f>
        <v/>
      </c>
      <c r="N89" s="37"/>
      <c r="O89" s="39"/>
      <c r="P89" s="23" t="str">
        <f aca="false">IF(N(I89)=0,"UNUSED",IF(L89&gt;0,"RED",IF(N89&gt;30,"RED",IF(OR(N89&gt;14,O89&lt;0.75),"AMBER","GREEN"))))</f>
        <v>UNUSED</v>
      </c>
      <c r="Q89" s="40"/>
    </row>
    <row r="90" customFormat="false" ht="22.35" hidden="false" customHeight="false" outlineLevel="0" collapsed="false">
      <c r="A90" s="19" t="n">
        <v>85</v>
      </c>
      <c r="B90" s="12" t="s">
        <v>229</v>
      </c>
      <c r="C90" s="12" t="s">
        <v>249</v>
      </c>
      <c r="D90" s="12" t="s">
        <v>247</v>
      </c>
      <c r="E90" s="12" t="s">
        <v>250</v>
      </c>
      <c r="F90" s="19" t="s">
        <v>108</v>
      </c>
      <c r="G90" s="12" t="s">
        <v>657</v>
      </c>
      <c r="H90" s="12" t="s">
        <v>658</v>
      </c>
      <c r="I90" s="37"/>
      <c r="J90" s="37"/>
      <c r="K90" s="37"/>
      <c r="L90" s="37"/>
      <c r="M90" s="38" t="str">
        <f aca="false">IFERROR(K90/I90,"")</f>
        <v/>
      </c>
      <c r="N90" s="37"/>
      <c r="O90" s="39"/>
      <c r="P90" s="23" t="str">
        <f aca="false">IF(N(I90)=0,"UNUSED",IF(L90&gt;0,"RED",IF(N90&gt;30,"RED",IF(OR(N90&gt;14,O90&lt;0.75),"AMBER","GREEN"))))</f>
        <v>UNUSED</v>
      </c>
      <c r="Q90" s="40"/>
    </row>
    <row r="91" customFormat="false" ht="22.35" hidden="false" customHeight="false" outlineLevel="0" collapsed="false">
      <c r="A91" s="19" t="n">
        <v>86</v>
      </c>
      <c r="B91" s="12" t="s">
        <v>229</v>
      </c>
      <c r="C91" s="12" t="s">
        <v>251</v>
      </c>
      <c r="D91" s="12" t="s">
        <v>247</v>
      </c>
      <c r="E91" s="12" t="s">
        <v>252</v>
      </c>
      <c r="F91" s="19" t="s">
        <v>108</v>
      </c>
      <c r="G91" s="12" t="s">
        <v>659</v>
      </c>
      <c r="H91" s="12" t="s">
        <v>660</v>
      </c>
      <c r="I91" s="37"/>
      <c r="J91" s="37"/>
      <c r="K91" s="37"/>
      <c r="L91" s="37"/>
      <c r="M91" s="38" t="str">
        <f aca="false">IFERROR(K91/I91,"")</f>
        <v/>
      </c>
      <c r="N91" s="37"/>
      <c r="O91" s="39"/>
      <c r="P91" s="23" t="str">
        <f aca="false">IF(N(I91)=0,"UNUSED",IF(L91&gt;0,"RED",IF(N91&gt;30,"RED",IF(OR(N91&gt;14,O91&lt;0.75),"AMBER","GREEN"))))</f>
        <v>UNUSED</v>
      </c>
      <c r="Q91" s="40"/>
    </row>
    <row r="92" customFormat="false" ht="22.35" hidden="false" customHeight="false" outlineLevel="0" collapsed="false">
      <c r="A92" s="19" t="n">
        <v>87</v>
      </c>
      <c r="B92" s="12" t="s">
        <v>229</v>
      </c>
      <c r="C92" s="12" t="s">
        <v>253</v>
      </c>
      <c r="D92" s="12" t="s">
        <v>254</v>
      </c>
      <c r="E92" s="12" t="s">
        <v>661</v>
      </c>
      <c r="F92" s="19" t="s">
        <v>108</v>
      </c>
      <c r="G92" s="12" t="s">
        <v>662</v>
      </c>
      <c r="H92" s="12" t="s">
        <v>663</v>
      </c>
      <c r="I92" s="37"/>
      <c r="J92" s="37"/>
      <c r="K92" s="37"/>
      <c r="L92" s="37"/>
      <c r="M92" s="38" t="str">
        <f aca="false">IFERROR(K92/I92,"")</f>
        <v/>
      </c>
      <c r="N92" s="37"/>
      <c r="O92" s="39"/>
      <c r="P92" s="23" t="str">
        <f aca="false">IF(N(I92)=0,"UNUSED",IF(L92&gt;0,"RED",IF(N92&gt;30,"RED",IF(OR(N92&gt;14,O92&lt;0.75),"AMBER","GREEN"))))</f>
        <v>UNUSED</v>
      </c>
      <c r="Q92" s="40"/>
    </row>
    <row r="93" customFormat="false" ht="22.35" hidden="false" customHeight="false" outlineLevel="0" collapsed="false">
      <c r="A93" s="19" t="n">
        <v>88</v>
      </c>
      <c r="B93" s="12" t="s">
        <v>229</v>
      </c>
      <c r="C93" s="12" t="s">
        <v>253</v>
      </c>
      <c r="D93" s="12" t="s">
        <v>254</v>
      </c>
      <c r="E93" s="12" t="s">
        <v>664</v>
      </c>
      <c r="F93" s="19" t="s">
        <v>108</v>
      </c>
      <c r="G93" s="12" t="s">
        <v>662</v>
      </c>
      <c r="H93" s="12" t="s">
        <v>665</v>
      </c>
      <c r="I93" s="37"/>
      <c r="J93" s="37"/>
      <c r="K93" s="37"/>
      <c r="L93" s="37"/>
      <c r="M93" s="38" t="str">
        <f aca="false">IFERROR(K93/I93,"")</f>
        <v/>
      </c>
      <c r="N93" s="37"/>
      <c r="O93" s="39"/>
      <c r="P93" s="23" t="str">
        <f aca="false">IF(N(I93)=0,"UNUSED",IF(L93&gt;0,"RED",IF(N93&gt;30,"RED",IF(OR(N93&gt;14,O93&lt;0.75),"AMBER","GREEN"))))</f>
        <v>UNUSED</v>
      </c>
      <c r="Q93" s="40"/>
    </row>
    <row r="94" customFormat="false" ht="22.35" hidden="false" customHeight="false" outlineLevel="0" collapsed="false">
      <c r="A94" s="19" t="n">
        <v>89</v>
      </c>
      <c r="B94" s="12" t="s">
        <v>229</v>
      </c>
      <c r="C94" s="12" t="s">
        <v>256</v>
      </c>
      <c r="D94" s="12" t="s">
        <v>257</v>
      </c>
      <c r="E94" s="12" t="s">
        <v>666</v>
      </c>
      <c r="F94" s="19" t="s">
        <v>108</v>
      </c>
      <c r="G94" s="12" t="s">
        <v>667</v>
      </c>
      <c r="H94" s="12" t="s">
        <v>668</v>
      </c>
      <c r="I94" s="37"/>
      <c r="J94" s="37"/>
      <c r="K94" s="37"/>
      <c r="L94" s="37"/>
      <c r="M94" s="38" t="str">
        <f aca="false">IFERROR(K94/I94,"")</f>
        <v/>
      </c>
      <c r="N94" s="37"/>
      <c r="O94" s="39"/>
      <c r="P94" s="23" t="str">
        <f aca="false">IF(N(I94)=0,"UNUSED",IF(L94&gt;0,"RED",IF(N94&gt;30,"RED",IF(OR(N94&gt;14,O94&lt;0.75),"AMBER","GREEN"))))</f>
        <v>UNUSED</v>
      </c>
      <c r="Q94" s="40"/>
    </row>
    <row r="95" customFormat="false" ht="22.35" hidden="false" customHeight="false" outlineLevel="0" collapsed="false">
      <c r="A95" s="19" t="n">
        <v>90</v>
      </c>
      <c r="B95" s="12" t="s">
        <v>229</v>
      </c>
      <c r="C95" s="12" t="s">
        <v>256</v>
      </c>
      <c r="D95" s="12" t="s">
        <v>257</v>
      </c>
      <c r="E95" s="12" t="s">
        <v>669</v>
      </c>
      <c r="F95" s="19" t="s">
        <v>108</v>
      </c>
      <c r="G95" s="12" t="s">
        <v>667</v>
      </c>
      <c r="H95" s="12" t="s">
        <v>670</v>
      </c>
      <c r="I95" s="37"/>
      <c r="J95" s="37"/>
      <c r="K95" s="37"/>
      <c r="L95" s="37"/>
      <c r="M95" s="38" t="str">
        <f aca="false">IFERROR(K95/I95,"")</f>
        <v/>
      </c>
      <c r="N95" s="37"/>
      <c r="O95" s="39"/>
      <c r="P95" s="23" t="str">
        <f aca="false">IF(N(I95)=0,"UNUSED",IF(L95&gt;0,"RED",IF(N95&gt;30,"RED",IF(OR(N95&gt;14,O95&lt;0.75),"AMBER","GREEN"))))</f>
        <v>UNUSED</v>
      </c>
      <c r="Q95" s="40"/>
    </row>
    <row r="96" customFormat="false" ht="22.35" hidden="false" customHeight="false" outlineLevel="0" collapsed="false">
      <c r="A96" s="19" t="n">
        <v>91</v>
      </c>
      <c r="B96" s="12" t="s">
        <v>229</v>
      </c>
      <c r="C96" s="12" t="s">
        <v>259</v>
      </c>
      <c r="D96" s="12" t="s">
        <v>260</v>
      </c>
      <c r="E96" s="12" t="s">
        <v>261</v>
      </c>
      <c r="F96" s="19" t="s">
        <v>108</v>
      </c>
      <c r="G96" s="12" t="s">
        <v>671</v>
      </c>
      <c r="H96" s="12" t="s">
        <v>672</v>
      </c>
      <c r="I96" s="37"/>
      <c r="J96" s="37"/>
      <c r="K96" s="37"/>
      <c r="L96" s="37"/>
      <c r="M96" s="38" t="str">
        <f aca="false">IFERROR(K96/I96,"")</f>
        <v/>
      </c>
      <c r="N96" s="37"/>
      <c r="O96" s="39"/>
      <c r="P96" s="23" t="str">
        <f aca="false">IF(N(I96)=0,"UNUSED",IF(L96&gt;0,"RED",IF(N96&gt;30,"RED",IF(OR(N96&gt;14,O96&lt;0.75),"AMBER","GREEN"))))</f>
        <v>UNUSED</v>
      </c>
      <c r="Q96" s="40"/>
    </row>
    <row r="97" customFormat="false" ht="22.35" hidden="false" customHeight="false" outlineLevel="0" collapsed="false">
      <c r="A97" s="19" t="n">
        <v>92</v>
      </c>
      <c r="B97" s="12" t="s">
        <v>262</v>
      </c>
      <c r="C97" s="12" t="s">
        <v>264</v>
      </c>
      <c r="D97" s="12" t="s">
        <v>265</v>
      </c>
      <c r="E97" s="12" t="s">
        <v>266</v>
      </c>
      <c r="F97" s="19" t="s">
        <v>64</v>
      </c>
      <c r="G97" s="12" t="s">
        <v>673</v>
      </c>
      <c r="H97" s="12" t="s">
        <v>674</v>
      </c>
      <c r="I97" s="37"/>
      <c r="J97" s="37"/>
      <c r="K97" s="37"/>
      <c r="L97" s="37"/>
      <c r="M97" s="38" t="str">
        <f aca="false">IFERROR(K97/I97,"")</f>
        <v/>
      </c>
      <c r="N97" s="37"/>
      <c r="O97" s="39"/>
      <c r="P97" s="23" t="str">
        <f aca="false">IF(N(I97)=0,"UNUSED",IF(L97&gt;0,"RED",IF(N97&gt;30,"RED",IF(OR(N97&gt;14,O97&lt;0.75),"AMBER","GREEN"))))</f>
        <v>UNUSED</v>
      </c>
      <c r="Q97" s="40"/>
    </row>
    <row r="98" customFormat="false" ht="22.35" hidden="false" customHeight="false" outlineLevel="0" collapsed="false">
      <c r="A98" s="19" t="n">
        <v>93</v>
      </c>
      <c r="B98" s="12" t="s">
        <v>262</v>
      </c>
      <c r="C98" s="12" t="s">
        <v>267</v>
      </c>
      <c r="D98" s="12" t="s">
        <v>265</v>
      </c>
      <c r="E98" s="12" t="s">
        <v>268</v>
      </c>
      <c r="F98" s="19" t="s">
        <v>64</v>
      </c>
      <c r="G98" s="12" t="s">
        <v>675</v>
      </c>
      <c r="H98" s="12" t="s">
        <v>676</v>
      </c>
      <c r="I98" s="37"/>
      <c r="J98" s="37"/>
      <c r="K98" s="37"/>
      <c r="L98" s="37"/>
      <c r="M98" s="38" t="str">
        <f aca="false">IFERROR(K98/I98,"")</f>
        <v/>
      </c>
      <c r="N98" s="37"/>
      <c r="O98" s="39"/>
      <c r="P98" s="23" t="str">
        <f aca="false">IF(N(I98)=0,"UNUSED",IF(L98&gt;0,"RED",IF(N98&gt;30,"RED",IF(OR(N98&gt;14,O98&lt;0.75),"AMBER","GREEN"))))</f>
        <v>UNUSED</v>
      </c>
      <c r="Q98" s="40"/>
    </row>
    <row r="99" customFormat="false" ht="22.35" hidden="false" customHeight="false" outlineLevel="0" collapsed="false">
      <c r="A99" s="19" t="n">
        <v>94</v>
      </c>
      <c r="B99" s="12" t="s">
        <v>262</v>
      </c>
      <c r="C99" s="12" t="s">
        <v>269</v>
      </c>
      <c r="D99" s="12" t="s">
        <v>265</v>
      </c>
      <c r="E99" s="12" t="s">
        <v>270</v>
      </c>
      <c r="F99" s="19" t="s">
        <v>64</v>
      </c>
      <c r="G99" s="12" t="s">
        <v>677</v>
      </c>
      <c r="H99" s="12" t="s">
        <v>678</v>
      </c>
      <c r="I99" s="37"/>
      <c r="J99" s="37"/>
      <c r="K99" s="37"/>
      <c r="L99" s="37"/>
      <c r="M99" s="38" t="str">
        <f aca="false">IFERROR(K99/I99,"")</f>
        <v/>
      </c>
      <c r="N99" s="37"/>
      <c r="O99" s="39"/>
      <c r="P99" s="23" t="str">
        <f aca="false">IF(N(I99)=0,"UNUSED",IF(L99&gt;0,"RED",IF(N99&gt;30,"RED",IF(OR(N99&gt;14,O99&lt;0.75),"AMBER","GREEN"))))</f>
        <v>UNUSED</v>
      </c>
      <c r="Q99" s="40"/>
    </row>
    <row r="100" customFormat="false" ht="22.35" hidden="false" customHeight="false" outlineLevel="0" collapsed="false">
      <c r="A100" s="19" t="n">
        <v>95</v>
      </c>
      <c r="B100" s="12" t="s">
        <v>262</v>
      </c>
      <c r="C100" s="12" t="s">
        <v>271</v>
      </c>
      <c r="D100" s="12" t="s">
        <v>272</v>
      </c>
      <c r="E100" s="12" t="s">
        <v>273</v>
      </c>
      <c r="F100" s="19" t="s">
        <v>60</v>
      </c>
      <c r="G100" s="12" t="s">
        <v>679</v>
      </c>
      <c r="H100" s="12" t="s">
        <v>680</v>
      </c>
      <c r="I100" s="37"/>
      <c r="J100" s="37"/>
      <c r="K100" s="37"/>
      <c r="L100" s="37"/>
      <c r="M100" s="38" t="str">
        <f aca="false">IFERROR(K100/I100,"")</f>
        <v/>
      </c>
      <c r="N100" s="37"/>
      <c r="O100" s="39"/>
      <c r="P100" s="23" t="str">
        <f aca="false">IF(N(I100)=0,"UNUSED",IF(L100&gt;0,"RED",IF(N100&gt;30,"RED",IF(OR(N100&gt;14,O100&lt;0.75),"AMBER","GREEN"))))</f>
        <v>UNUSED</v>
      </c>
      <c r="Q100" s="40"/>
    </row>
    <row r="101" customFormat="false" ht="22.35" hidden="false" customHeight="false" outlineLevel="0" collapsed="false">
      <c r="A101" s="19" t="n">
        <v>96</v>
      </c>
      <c r="B101" s="12" t="s">
        <v>262</v>
      </c>
      <c r="C101" s="12" t="s">
        <v>274</v>
      </c>
      <c r="D101" s="12" t="s">
        <v>272</v>
      </c>
      <c r="E101" s="12" t="s">
        <v>275</v>
      </c>
      <c r="F101" s="19" t="s">
        <v>60</v>
      </c>
      <c r="G101" s="12" t="s">
        <v>681</v>
      </c>
      <c r="H101" s="12" t="s">
        <v>682</v>
      </c>
      <c r="I101" s="37"/>
      <c r="J101" s="37"/>
      <c r="K101" s="37"/>
      <c r="L101" s="37"/>
      <c r="M101" s="38" t="str">
        <f aca="false">IFERROR(K101/I101,"")</f>
        <v/>
      </c>
      <c r="N101" s="37"/>
      <c r="O101" s="39"/>
      <c r="P101" s="23" t="str">
        <f aca="false">IF(N(I101)=0,"UNUSED",IF(L101&gt;0,"RED",IF(N101&gt;30,"RED",IF(OR(N101&gt;14,O101&lt;0.75),"AMBER","GREEN"))))</f>
        <v>UNUSED</v>
      </c>
      <c r="Q101" s="40"/>
    </row>
    <row r="102" customFormat="false" ht="22.35" hidden="false" customHeight="false" outlineLevel="0" collapsed="false">
      <c r="A102" s="19" t="n">
        <v>97</v>
      </c>
      <c r="B102" s="12" t="s">
        <v>262</v>
      </c>
      <c r="C102" s="12" t="s">
        <v>276</v>
      </c>
      <c r="D102" s="12" t="s">
        <v>272</v>
      </c>
      <c r="E102" s="12" t="s">
        <v>277</v>
      </c>
      <c r="F102" s="19" t="s">
        <v>60</v>
      </c>
      <c r="G102" s="12" t="s">
        <v>683</v>
      </c>
      <c r="H102" s="12" t="s">
        <v>684</v>
      </c>
      <c r="I102" s="37"/>
      <c r="J102" s="37"/>
      <c r="K102" s="37"/>
      <c r="L102" s="37"/>
      <c r="M102" s="38" t="str">
        <f aca="false">IFERROR(K102/I102,"")</f>
        <v/>
      </c>
      <c r="N102" s="37"/>
      <c r="O102" s="39"/>
      <c r="P102" s="23" t="str">
        <f aca="false">IF(N(I102)=0,"UNUSED",IF(L102&gt;0,"RED",IF(N102&gt;30,"RED",IF(OR(N102&gt;14,O102&lt;0.75),"AMBER","GREEN"))))</f>
        <v>UNUSED</v>
      </c>
      <c r="Q102" s="40"/>
    </row>
    <row r="103" customFormat="false" ht="22.35" hidden="false" customHeight="false" outlineLevel="0" collapsed="false">
      <c r="A103" s="19" t="n">
        <v>98</v>
      </c>
      <c r="B103" s="12" t="s">
        <v>262</v>
      </c>
      <c r="C103" s="12" t="s">
        <v>278</v>
      </c>
      <c r="D103" s="12" t="s">
        <v>279</v>
      </c>
      <c r="E103" s="12" t="s">
        <v>685</v>
      </c>
      <c r="F103" s="19" t="s">
        <v>60</v>
      </c>
      <c r="G103" s="12" t="s">
        <v>686</v>
      </c>
      <c r="H103" s="12" t="s">
        <v>687</v>
      </c>
      <c r="I103" s="37"/>
      <c r="J103" s="37"/>
      <c r="K103" s="37"/>
      <c r="L103" s="37"/>
      <c r="M103" s="38" t="str">
        <f aca="false">IFERROR(K103/I103,"")</f>
        <v/>
      </c>
      <c r="N103" s="37"/>
      <c r="O103" s="39"/>
      <c r="P103" s="23" t="str">
        <f aca="false">IF(N(I103)=0,"UNUSED",IF(L103&gt;0,"RED",IF(N103&gt;30,"RED",IF(OR(N103&gt;14,O103&lt;0.75),"AMBER","GREEN"))))</f>
        <v>UNUSED</v>
      </c>
      <c r="Q103" s="40"/>
    </row>
    <row r="104" customFormat="false" ht="22.35" hidden="false" customHeight="false" outlineLevel="0" collapsed="false">
      <c r="A104" s="19" t="n">
        <v>99</v>
      </c>
      <c r="B104" s="12" t="s">
        <v>262</v>
      </c>
      <c r="C104" s="12" t="s">
        <v>278</v>
      </c>
      <c r="D104" s="12" t="s">
        <v>279</v>
      </c>
      <c r="E104" s="12" t="s">
        <v>688</v>
      </c>
      <c r="F104" s="19" t="s">
        <v>60</v>
      </c>
      <c r="G104" s="12" t="s">
        <v>686</v>
      </c>
      <c r="H104" s="12" t="s">
        <v>689</v>
      </c>
      <c r="I104" s="37"/>
      <c r="J104" s="37"/>
      <c r="K104" s="37"/>
      <c r="L104" s="37"/>
      <c r="M104" s="38" t="str">
        <f aca="false">IFERROR(K104/I104,"")</f>
        <v/>
      </c>
      <c r="N104" s="37"/>
      <c r="O104" s="39"/>
      <c r="P104" s="23" t="str">
        <f aca="false">IF(N(I104)=0,"UNUSED",IF(L104&gt;0,"RED",IF(N104&gt;30,"RED",IF(OR(N104&gt;14,O104&lt;0.75),"AMBER","GREEN"))))</f>
        <v>UNUSED</v>
      </c>
      <c r="Q104" s="40"/>
    </row>
    <row r="105" customFormat="false" ht="22.35" hidden="false" customHeight="false" outlineLevel="0" collapsed="false">
      <c r="A105" s="19" t="n">
        <v>100</v>
      </c>
      <c r="B105" s="12" t="s">
        <v>262</v>
      </c>
      <c r="C105" s="12" t="s">
        <v>281</v>
      </c>
      <c r="D105" s="12" t="s">
        <v>265</v>
      </c>
      <c r="E105" s="12" t="s">
        <v>690</v>
      </c>
      <c r="F105" s="19" t="s">
        <v>60</v>
      </c>
      <c r="G105" s="12" t="s">
        <v>691</v>
      </c>
      <c r="H105" s="12" t="s">
        <v>692</v>
      </c>
      <c r="I105" s="37"/>
      <c r="J105" s="37"/>
      <c r="K105" s="37"/>
      <c r="L105" s="37"/>
      <c r="M105" s="38" t="str">
        <f aca="false">IFERROR(K105/I105,"")</f>
        <v/>
      </c>
      <c r="N105" s="37"/>
      <c r="O105" s="39"/>
      <c r="P105" s="23" t="str">
        <f aca="false">IF(N(I105)=0,"UNUSED",IF(L105&gt;0,"RED",IF(N105&gt;30,"RED",IF(OR(N105&gt;14,O105&lt;0.75),"AMBER","GREEN"))))</f>
        <v>UNUSED</v>
      </c>
      <c r="Q105" s="40"/>
    </row>
    <row r="106" customFormat="false" ht="22.35" hidden="false" customHeight="false" outlineLevel="0" collapsed="false">
      <c r="A106" s="19" t="n">
        <v>101</v>
      </c>
      <c r="B106" s="12" t="s">
        <v>262</v>
      </c>
      <c r="C106" s="12" t="s">
        <v>281</v>
      </c>
      <c r="D106" s="12" t="s">
        <v>265</v>
      </c>
      <c r="E106" s="12" t="s">
        <v>693</v>
      </c>
      <c r="F106" s="19" t="s">
        <v>60</v>
      </c>
      <c r="G106" s="12" t="s">
        <v>691</v>
      </c>
      <c r="H106" s="12" t="s">
        <v>694</v>
      </c>
      <c r="I106" s="37"/>
      <c r="J106" s="37"/>
      <c r="K106" s="37"/>
      <c r="L106" s="37"/>
      <c r="M106" s="38" t="str">
        <f aca="false">IFERROR(K106/I106,"")</f>
        <v/>
      </c>
      <c r="N106" s="37"/>
      <c r="O106" s="39"/>
      <c r="P106" s="23" t="str">
        <f aca="false">IF(N(I106)=0,"UNUSED",IF(L106&gt;0,"RED",IF(N106&gt;30,"RED",IF(OR(N106&gt;14,O106&lt;0.75),"AMBER","GREEN"))))</f>
        <v>UNUSED</v>
      </c>
      <c r="Q106" s="40"/>
    </row>
    <row r="107" customFormat="false" ht="22.35" hidden="false" customHeight="false" outlineLevel="0" collapsed="false">
      <c r="A107" s="19" t="n">
        <v>102</v>
      </c>
      <c r="B107" s="12" t="s">
        <v>262</v>
      </c>
      <c r="C107" s="12" t="s">
        <v>283</v>
      </c>
      <c r="D107" s="12" t="s">
        <v>284</v>
      </c>
      <c r="E107" s="12" t="s">
        <v>695</v>
      </c>
      <c r="F107" s="19" t="s">
        <v>60</v>
      </c>
      <c r="G107" s="12" t="s">
        <v>696</v>
      </c>
      <c r="H107" s="12" t="s">
        <v>697</v>
      </c>
      <c r="I107" s="37"/>
      <c r="J107" s="37"/>
      <c r="K107" s="37"/>
      <c r="L107" s="37"/>
      <c r="M107" s="38" t="str">
        <f aca="false">IFERROR(K107/I107,"")</f>
        <v/>
      </c>
      <c r="N107" s="37"/>
      <c r="O107" s="39"/>
      <c r="P107" s="23" t="str">
        <f aca="false">IF(N(I107)=0,"UNUSED",IF(L107&gt;0,"RED",IF(N107&gt;30,"RED",IF(OR(N107&gt;14,O107&lt;0.75),"AMBER","GREEN"))))</f>
        <v>UNUSED</v>
      </c>
      <c r="Q107" s="40"/>
    </row>
    <row r="108" customFormat="false" ht="22.35" hidden="false" customHeight="false" outlineLevel="0" collapsed="false">
      <c r="A108" s="19" t="n">
        <v>103</v>
      </c>
      <c r="B108" s="12" t="s">
        <v>262</v>
      </c>
      <c r="C108" s="12" t="s">
        <v>283</v>
      </c>
      <c r="D108" s="12" t="s">
        <v>284</v>
      </c>
      <c r="E108" s="12" t="s">
        <v>698</v>
      </c>
      <c r="F108" s="19" t="s">
        <v>60</v>
      </c>
      <c r="G108" s="12" t="s">
        <v>696</v>
      </c>
      <c r="H108" s="12" t="s">
        <v>699</v>
      </c>
      <c r="I108" s="37"/>
      <c r="J108" s="37"/>
      <c r="K108" s="37"/>
      <c r="L108" s="37"/>
      <c r="M108" s="38" t="str">
        <f aca="false">IFERROR(K108/I108,"")</f>
        <v/>
      </c>
      <c r="N108" s="37"/>
      <c r="O108" s="39"/>
      <c r="P108" s="23" t="str">
        <f aca="false">IF(N(I108)=0,"UNUSED",IF(L108&gt;0,"RED",IF(N108&gt;30,"RED",IF(OR(N108&gt;14,O108&lt;0.75),"AMBER","GREEN"))))</f>
        <v>UNUSED</v>
      </c>
      <c r="Q108" s="40"/>
    </row>
    <row r="109" customFormat="false" ht="22.35" hidden="false" customHeight="false" outlineLevel="0" collapsed="false">
      <c r="A109" s="19" t="n">
        <v>104</v>
      </c>
      <c r="B109" s="12" t="s">
        <v>286</v>
      </c>
      <c r="C109" s="12" t="s">
        <v>288</v>
      </c>
      <c r="D109" s="12" t="s">
        <v>289</v>
      </c>
      <c r="E109" s="12" t="s">
        <v>290</v>
      </c>
      <c r="F109" s="19" t="s">
        <v>64</v>
      </c>
      <c r="G109" s="12" t="s">
        <v>700</v>
      </c>
      <c r="H109" s="12" t="s">
        <v>701</v>
      </c>
      <c r="I109" s="37"/>
      <c r="J109" s="37"/>
      <c r="K109" s="37"/>
      <c r="L109" s="37"/>
      <c r="M109" s="38" t="str">
        <f aca="false">IFERROR(K109/I109,"")</f>
        <v/>
      </c>
      <c r="N109" s="37"/>
      <c r="O109" s="39"/>
      <c r="P109" s="23" t="str">
        <f aca="false">IF(N(I109)=0,"UNUSED",IF(L109&gt;0,"RED",IF(N109&gt;30,"RED",IF(OR(N109&gt;14,O109&lt;0.75),"AMBER","GREEN"))))</f>
        <v>UNUSED</v>
      </c>
      <c r="Q109" s="40"/>
    </row>
    <row r="110" customFormat="false" ht="22.35" hidden="false" customHeight="false" outlineLevel="0" collapsed="false">
      <c r="A110" s="19" t="n">
        <v>105</v>
      </c>
      <c r="B110" s="12" t="s">
        <v>286</v>
      </c>
      <c r="C110" s="12" t="s">
        <v>291</v>
      </c>
      <c r="D110" s="12" t="s">
        <v>289</v>
      </c>
      <c r="E110" s="12" t="s">
        <v>292</v>
      </c>
      <c r="F110" s="19" t="s">
        <v>64</v>
      </c>
      <c r="G110" s="12" t="s">
        <v>702</v>
      </c>
      <c r="H110" s="12" t="s">
        <v>703</v>
      </c>
      <c r="I110" s="37"/>
      <c r="J110" s="37"/>
      <c r="K110" s="37"/>
      <c r="L110" s="37"/>
      <c r="M110" s="38" t="str">
        <f aca="false">IFERROR(K110/I110,"")</f>
        <v/>
      </c>
      <c r="N110" s="37"/>
      <c r="O110" s="39"/>
      <c r="P110" s="23" t="str">
        <f aca="false">IF(N(I110)=0,"UNUSED",IF(L110&gt;0,"RED",IF(N110&gt;30,"RED",IF(OR(N110&gt;14,O110&lt;0.75),"AMBER","GREEN"))))</f>
        <v>UNUSED</v>
      </c>
      <c r="Q110" s="40"/>
    </row>
    <row r="111" customFormat="false" ht="22.35" hidden="false" customHeight="false" outlineLevel="0" collapsed="false">
      <c r="A111" s="19" t="n">
        <v>106</v>
      </c>
      <c r="B111" s="12" t="s">
        <v>286</v>
      </c>
      <c r="C111" s="12" t="s">
        <v>293</v>
      </c>
      <c r="D111" s="12" t="s">
        <v>289</v>
      </c>
      <c r="E111" s="12" t="s">
        <v>294</v>
      </c>
      <c r="F111" s="19" t="s">
        <v>64</v>
      </c>
      <c r="G111" s="12" t="s">
        <v>704</v>
      </c>
      <c r="H111" s="12" t="s">
        <v>705</v>
      </c>
      <c r="I111" s="37"/>
      <c r="J111" s="37"/>
      <c r="K111" s="37"/>
      <c r="L111" s="37"/>
      <c r="M111" s="38" t="str">
        <f aca="false">IFERROR(K111/I111,"")</f>
        <v/>
      </c>
      <c r="N111" s="37"/>
      <c r="O111" s="39"/>
      <c r="P111" s="23" t="str">
        <f aca="false">IF(N(I111)=0,"UNUSED",IF(L111&gt;0,"RED",IF(N111&gt;30,"RED",IF(OR(N111&gt;14,O111&lt;0.75),"AMBER","GREEN"))))</f>
        <v>UNUSED</v>
      </c>
      <c r="Q111" s="40"/>
    </row>
    <row r="112" customFormat="false" ht="22.35" hidden="false" customHeight="false" outlineLevel="0" collapsed="false">
      <c r="A112" s="19" t="n">
        <v>107</v>
      </c>
      <c r="B112" s="12" t="s">
        <v>286</v>
      </c>
      <c r="C112" s="12" t="s">
        <v>295</v>
      </c>
      <c r="D112" s="12" t="s">
        <v>296</v>
      </c>
      <c r="E112" s="12" t="s">
        <v>706</v>
      </c>
      <c r="F112" s="19" t="s">
        <v>108</v>
      </c>
      <c r="G112" s="12" t="s">
        <v>707</v>
      </c>
      <c r="H112" s="12" t="s">
        <v>708</v>
      </c>
      <c r="I112" s="37"/>
      <c r="J112" s="37"/>
      <c r="K112" s="37"/>
      <c r="L112" s="37"/>
      <c r="M112" s="38" t="str">
        <f aca="false">IFERROR(K112/I112,"")</f>
        <v/>
      </c>
      <c r="N112" s="37"/>
      <c r="O112" s="39"/>
      <c r="P112" s="23" t="str">
        <f aca="false">IF(N(I112)=0,"UNUSED",IF(L112&gt;0,"RED",IF(N112&gt;30,"RED",IF(OR(N112&gt;14,O112&lt;0.75),"AMBER","GREEN"))))</f>
        <v>UNUSED</v>
      </c>
      <c r="Q112" s="40"/>
    </row>
    <row r="113" customFormat="false" ht="22.35" hidden="false" customHeight="false" outlineLevel="0" collapsed="false">
      <c r="A113" s="19" t="n">
        <v>108</v>
      </c>
      <c r="B113" s="12" t="s">
        <v>286</v>
      </c>
      <c r="C113" s="12" t="s">
        <v>295</v>
      </c>
      <c r="D113" s="12" t="s">
        <v>296</v>
      </c>
      <c r="E113" s="12" t="s">
        <v>709</v>
      </c>
      <c r="F113" s="19" t="s">
        <v>108</v>
      </c>
      <c r="G113" s="12" t="s">
        <v>707</v>
      </c>
      <c r="H113" s="12" t="s">
        <v>710</v>
      </c>
      <c r="I113" s="37"/>
      <c r="J113" s="37"/>
      <c r="K113" s="37"/>
      <c r="L113" s="37"/>
      <c r="M113" s="38" t="str">
        <f aca="false">IFERROR(K113/I113,"")</f>
        <v/>
      </c>
      <c r="N113" s="37"/>
      <c r="O113" s="39"/>
      <c r="P113" s="23" t="str">
        <f aca="false">IF(N(I113)=0,"UNUSED",IF(L113&gt;0,"RED",IF(N113&gt;30,"RED",IF(OR(N113&gt;14,O113&lt;0.75),"AMBER","GREEN"))))</f>
        <v>UNUSED</v>
      </c>
      <c r="Q113" s="40"/>
    </row>
    <row r="114" customFormat="false" ht="22.35" hidden="false" customHeight="false" outlineLevel="0" collapsed="false">
      <c r="A114" s="19" t="n">
        <v>109</v>
      </c>
      <c r="B114" s="12" t="s">
        <v>286</v>
      </c>
      <c r="C114" s="12" t="s">
        <v>298</v>
      </c>
      <c r="D114" s="12" t="s">
        <v>296</v>
      </c>
      <c r="E114" s="12" t="s">
        <v>299</v>
      </c>
      <c r="F114" s="19" t="s">
        <v>108</v>
      </c>
      <c r="G114" s="12" t="s">
        <v>711</v>
      </c>
      <c r="H114" s="12" t="s">
        <v>712</v>
      </c>
      <c r="I114" s="37"/>
      <c r="J114" s="37"/>
      <c r="K114" s="37"/>
      <c r="L114" s="37"/>
      <c r="M114" s="38" t="str">
        <f aca="false">IFERROR(K114/I114,"")</f>
        <v/>
      </c>
      <c r="N114" s="37"/>
      <c r="O114" s="39"/>
      <c r="P114" s="23" t="str">
        <f aca="false">IF(N(I114)=0,"UNUSED",IF(L114&gt;0,"RED",IF(N114&gt;30,"RED",IF(OR(N114&gt;14,O114&lt;0.75),"AMBER","GREEN"))))</f>
        <v>UNUSED</v>
      </c>
      <c r="Q114" s="40"/>
    </row>
    <row r="115" customFormat="false" ht="22.35" hidden="false" customHeight="false" outlineLevel="0" collapsed="false">
      <c r="A115" s="19" t="n">
        <v>110</v>
      </c>
      <c r="B115" s="12" t="s">
        <v>286</v>
      </c>
      <c r="C115" s="12" t="s">
        <v>300</v>
      </c>
      <c r="D115" s="12" t="s">
        <v>301</v>
      </c>
      <c r="E115" s="12" t="s">
        <v>302</v>
      </c>
      <c r="F115" s="19" t="s">
        <v>64</v>
      </c>
      <c r="G115" s="12" t="s">
        <v>713</v>
      </c>
      <c r="H115" s="12" t="s">
        <v>714</v>
      </c>
      <c r="I115" s="37"/>
      <c r="J115" s="37"/>
      <c r="K115" s="37"/>
      <c r="L115" s="37"/>
      <c r="M115" s="38" t="str">
        <f aca="false">IFERROR(K115/I115,"")</f>
        <v/>
      </c>
      <c r="N115" s="37"/>
      <c r="O115" s="39"/>
      <c r="P115" s="23" t="str">
        <f aca="false">IF(N(I115)=0,"UNUSED",IF(L115&gt;0,"RED",IF(N115&gt;30,"RED",IF(OR(N115&gt;14,O115&lt;0.75),"AMBER","GREEN"))))</f>
        <v>UNUSED</v>
      </c>
      <c r="Q115" s="40"/>
    </row>
    <row r="116" customFormat="false" ht="22.35" hidden="false" customHeight="false" outlineLevel="0" collapsed="false">
      <c r="A116" s="19" t="n">
        <v>111</v>
      </c>
      <c r="B116" s="12" t="s">
        <v>286</v>
      </c>
      <c r="C116" s="12" t="s">
        <v>303</v>
      </c>
      <c r="D116" s="12" t="s">
        <v>301</v>
      </c>
      <c r="E116" s="12" t="s">
        <v>304</v>
      </c>
      <c r="F116" s="19" t="s">
        <v>64</v>
      </c>
      <c r="G116" s="12" t="s">
        <v>715</v>
      </c>
      <c r="H116" s="12" t="s">
        <v>716</v>
      </c>
      <c r="I116" s="37"/>
      <c r="J116" s="37"/>
      <c r="K116" s="37"/>
      <c r="L116" s="37"/>
      <c r="M116" s="38" t="str">
        <f aca="false">IFERROR(K116/I116,"")</f>
        <v/>
      </c>
      <c r="N116" s="37"/>
      <c r="O116" s="39"/>
      <c r="P116" s="23" t="str">
        <f aca="false">IF(N(I116)=0,"UNUSED",IF(L116&gt;0,"RED",IF(N116&gt;30,"RED",IF(OR(N116&gt;14,O116&lt;0.75),"AMBER","GREEN"))))</f>
        <v>UNUSED</v>
      </c>
      <c r="Q116" s="40"/>
    </row>
    <row r="117" customFormat="false" ht="22.35" hidden="false" customHeight="false" outlineLevel="0" collapsed="false">
      <c r="A117" s="19" t="n">
        <v>112</v>
      </c>
      <c r="B117" s="12" t="s">
        <v>286</v>
      </c>
      <c r="C117" s="12" t="s">
        <v>305</v>
      </c>
      <c r="D117" s="12" t="s">
        <v>301</v>
      </c>
      <c r="E117" s="12" t="s">
        <v>306</v>
      </c>
      <c r="F117" s="19" t="s">
        <v>64</v>
      </c>
      <c r="G117" s="12" t="s">
        <v>717</v>
      </c>
      <c r="H117" s="12" t="s">
        <v>718</v>
      </c>
      <c r="I117" s="37"/>
      <c r="J117" s="37"/>
      <c r="K117" s="37"/>
      <c r="L117" s="37"/>
      <c r="M117" s="38" t="str">
        <f aca="false">IFERROR(K117/I117,"")</f>
        <v/>
      </c>
      <c r="N117" s="37"/>
      <c r="O117" s="39"/>
      <c r="P117" s="23" t="str">
        <f aca="false">IF(N(I117)=0,"UNUSED",IF(L117&gt;0,"RED",IF(N117&gt;30,"RED",IF(OR(N117&gt;14,O117&lt;0.75),"AMBER","GREEN"))))</f>
        <v>UNUSED</v>
      </c>
      <c r="Q117" s="40"/>
    </row>
    <row r="118" customFormat="false" ht="22.35" hidden="false" customHeight="false" outlineLevel="0" collapsed="false">
      <c r="A118" s="19" t="n">
        <v>113</v>
      </c>
      <c r="B118" s="12" t="s">
        <v>286</v>
      </c>
      <c r="C118" s="12" t="s">
        <v>307</v>
      </c>
      <c r="D118" s="12" t="s">
        <v>301</v>
      </c>
      <c r="E118" s="12" t="s">
        <v>308</v>
      </c>
      <c r="F118" s="19" t="s">
        <v>64</v>
      </c>
      <c r="G118" s="12" t="s">
        <v>719</v>
      </c>
      <c r="H118" s="12" t="s">
        <v>720</v>
      </c>
      <c r="I118" s="37"/>
      <c r="J118" s="37"/>
      <c r="K118" s="37"/>
      <c r="L118" s="37"/>
      <c r="M118" s="38" t="str">
        <f aca="false">IFERROR(K118/I118,"")</f>
        <v/>
      </c>
      <c r="N118" s="37"/>
      <c r="O118" s="39"/>
      <c r="P118" s="23" t="str">
        <f aca="false">IF(N(I118)=0,"UNUSED",IF(L118&gt;0,"RED",IF(N118&gt;30,"RED",IF(OR(N118&gt;14,O118&lt;0.75),"AMBER","GREEN"))))</f>
        <v>UNUSED</v>
      </c>
      <c r="Q118" s="40"/>
    </row>
    <row r="119" customFormat="false" ht="22.35" hidden="false" customHeight="false" outlineLevel="0" collapsed="false">
      <c r="A119" s="19" t="n">
        <v>114</v>
      </c>
      <c r="B119" s="12" t="s">
        <v>286</v>
      </c>
      <c r="C119" s="12" t="s">
        <v>309</v>
      </c>
      <c r="D119" s="12" t="s">
        <v>301</v>
      </c>
      <c r="E119" s="12" t="s">
        <v>310</v>
      </c>
      <c r="F119" s="19" t="s">
        <v>64</v>
      </c>
      <c r="G119" s="12" t="s">
        <v>721</v>
      </c>
      <c r="H119" s="12" t="s">
        <v>722</v>
      </c>
      <c r="I119" s="37"/>
      <c r="J119" s="37"/>
      <c r="K119" s="37"/>
      <c r="L119" s="37"/>
      <c r="M119" s="38" t="str">
        <f aca="false">IFERROR(K119/I119,"")</f>
        <v/>
      </c>
      <c r="N119" s="37"/>
      <c r="O119" s="39"/>
      <c r="P119" s="23" t="str">
        <f aca="false">IF(N(I119)=0,"UNUSED",IF(L119&gt;0,"RED",IF(N119&gt;30,"RED",IF(OR(N119&gt;14,O119&lt;0.75),"AMBER","GREEN"))))</f>
        <v>UNUSED</v>
      </c>
      <c r="Q119" s="40"/>
    </row>
    <row r="120" customFormat="false" ht="22.35" hidden="false" customHeight="false" outlineLevel="0" collapsed="false">
      <c r="A120" s="19" t="n">
        <v>115</v>
      </c>
      <c r="B120" s="12" t="s">
        <v>286</v>
      </c>
      <c r="C120" s="12" t="s">
        <v>311</v>
      </c>
      <c r="D120" s="12" t="s">
        <v>301</v>
      </c>
      <c r="E120" s="12" t="s">
        <v>312</v>
      </c>
      <c r="F120" s="19" t="s">
        <v>64</v>
      </c>
      <c r="G120" s="12" t="s">
        <v>723</v>
      </c>
      <c r="H120" s="12" t="s">
        <v>724</v>
      </c>
      <c r="I120" s="37"/>
      <c r="J120" s="37"/>
      <c r="K120" s="37"/>
      <c r="L120" s="37"/>
      <c r="M120" s="38" t="str">
        <f aca="false">IFERROR(K120/I120,"")</f>
        <v/>
      </c>
      <c r="N120" s="37"/>
      <c r="O120" s="39"/>
      <c r="P120" s="23" t="str">
        <f aca="false">IF(N(I120)=0,"UNUSED",IF(L120&gt;0,"RED",IF(N120&gt;30,"RED",IF(OR(N120&gt;14,O120&lt;0.75),"AMBER","GREEN"))))</f>
        <v>UNUSED</v>
      </c>
      <c r="Q120" s="40"/>
    </row>
    <row r="121" customFormat="false" ht="22.35" hidden="false" customHeight="false" outlineLevel="0" collapsed="false">
      <c r="A121" s="19" t="n">
        <v>116</v>
      </c>
      <c r="B121" s="12" t="s">
        <v>286</v>
      </c>
      <c r="C121" s="12" t="s">
        <v>313</v>
      </c>
      <c r="D121" s="12" t="s">
        <v>314</v>
      </c>
      <c r="E121" s="12" t="s">
        <v>725</v>
      </c>
      <c r="F121" s="19" t="s">
        <v>60</v>
      </c>
      <c r="G121" s="12" t="s">
        <v>726</v>
      </c>
      <c r="H121" s="12" t="s">
        <v>727</v>
      </c>
      <c r="I121" s="37"/>
      <c r="J121" s="37"/>
      <c r="K121" s="37"/>
      <c r="L121" s="37"/>
      <c r="M121" s="38" t="str">
        <f aca="false">IFERROR(K121/I121,"")</f>
        <v/>
      </c>
      <c r="N121" s="37"/>
      <c r="O121" s="39"/>
      <c r="P121" s="23" t="str">
        <f aca="false">IF(N(I121)=0,"UNUSED",IF(L121&gt;0,"RED",IF(N121&gt;30,"RED",IF(OR(N121&gt;14,O121&lt;0.75),"AMBER","GREEN"))))</f>
        <v>UNUSED</v>
      </c>
      <c r="Q121" s="40"/>
    </row>
    <row r="122" customFormat="false" ht="22.35" hidden="false" customHeight="false" outlineLevel="0" collapsed="false">
      <c r="A122" s="19" t="n">
        <v>117</v>
      </c>
      <c r="B122" s="12" t="s">
        <v>286</v>
      </c>
      <c r="C122" s="12" t="s">
        <v>313</v>
      </c>
      <c r="D122" s="12" t="s">
        <v>314</v>
      </c>
      <c r="E122" s="12" t="s">
        <v>728</v>
      </c>
      <c r="F122" s="19" t="s">
        <v>60</v>
      </c>
      <c r="G122" s="12" t="s">
        <v>726</v>
      </c>
      <c r="H122" s="12" t="s">
        <v>729</v>
      </c>
      <c r="I122" s="37"/>
      <c r="J122" s="37"/>
      <c r="K122" s="37"/>
      <c r="L122" s="37"/>
      <c r="M122" s="38" t="str">
        <f aca="false">IFERROR(K122/I122,"")</f>
        <v/>
      </c>
      <c r="N122" s="37"/>
      <c r="O122" s="39"/>
      <c r="P122" s="23" t="str">
        <f aca="false">IF(N(I122)=0,"UNUSED",IF(L122&gt;0,"RED",IF(N122&gt;30,"RED",IF(OR(N122&gt;14,O122&lt;0.75),"AMBER","GREEN"))))</f>
        <v>UNUSED</v>
      </c>
      <c r="Q122" s="40"/>
    </row>
    <row r="123" customFormat="false" ht="22.35" hidden="false" customHeight="false" outlineLevel="0" collapsed="false">
      <c r="A123" s="19" t="n">
        <v>118</v>
      </c>
      <c r="B123" s="12" t="s">
        <v>286</v>
      </c>
      <c r="C123" s="12" t="s">
        <v>316</v>
      </c>
      <c r="D123" s="12" t="s">
        <v>317</v>
      </c>
      <c r="E123" s="12" t="s">
        <v>318</v>
      </c>
      <c r="F123" s="19" t="s">
        <v>60</v>
      </c>
      <c r="G123" s="12" t="s">
        <v>730</v>
      </c>
      <c r="H123" s="12" t="s">
        <v>731</v>
      </c>
      <c r="I123" s="37"/>
      <c r="J123" s="37"/>
      <c r="K123" s="37"/>
      <c r="L123" s="37"/>
      <c r="M123" s="38" t="str">
        <f aca="false">IFERROR(K123/I123,"")</f>
        <v/>
      </c>
      <c r="N123" s="37"/>
      <c r="O123" s="39"/>
      <c r="P123" s="23" t="str">
        <f aca="false">IF(N(I123)=0,"UNUSED",IF(L123&gt;0,"RED",IF(N123&gt;30,"RED",IF(OR(N123&gt;14,O123&lt;0.75),"AMBER","GREEN"))))</f>
        <v>UNUSED</v>
      </c>
      <c r="Q123" s="40"/>
    </row>
    <row r="124" customFormat="false" ht="22.35" hidden="false" customHeight="false" outlineLevel="0" collapsed="false">
      <c r="A124" s="19" t="n">
        <v>119</v>
      </c>
      <c r="B124" s="12" t="s">
        <v>286</v>
      </c>
      <c r="C124" s="12" t="s">
        <v>319</v>
      </c>
      <c r="D124" s="12" t="s">
        <v>317</v>
      </c>
      <c r="E124" s="12" t="s">
        <v>320</v>
      </c>
      <c r="F124" s="19" t="s">
        <v>60</v>
      </c>
      <c r="G124" s="12" t="s">
        <v>732</v>
      </c>
      <c r="H124" s="12" t="s">
        <v>733</v>
      </c>
      <c r="I124" s="37"/>
      <c r="J124" s="37"/>
      <c r="K124" s="37"/>
      <c r="L124" s="37"/>
      <c r="M124" s="38" t="str">
        <f aca="false">IFERROR(K124/I124,"")</f>
        <v/>
      </c>
      <c r="N124" s="37"/>
      <c r="O124" s="39"/>
      <c r="P124" s="23" t="str">
        <f aca="false">IF(N(I124)=0,"UNUSED",IF(L124&gt;0,"RED",IF(N124&gt;30,"RED",IF(OR(N124&gt;14,O124&lt;0.75),"AMBER","GREEN"))))</f>
        <v>UNUSED</v>
      </c>
      <c r="Q124" s="40"/>
    </row>
    <row r="125" customFormat="false" ht="22.35" hidden="false" customHeight="false" outlineLevel="0" collapsed="false">
      <c r="A125" s="19" t="n">
        <v>120</v>
      </c>
      <c r="B125" s="12" t="s">
        <v>286</v>
      </c>
      <c r="C125" s="12" t="s">
        <v>321</v>
      </c>
      <c r="D125" s="12" t="s">
        <v>317</v>
      </c>
      <c r="E125" s="12" t="s">
        <v>322</v>
      </c>
      <c r="F125" s="19" t="s">
        <v>60</v>
      </c>
      <c r="G125" s="12" t="s">
        <v>734</v>
      </c>
      <c r="H125" s="12" t="s">
        <v>735</v>
      </c>
      <c r="I125" s="37"/>
      <c r="J125" s="37"/>
      <c r="K125" s="37"/>
      <c r="L125" s="37"/>
      <c r="M125" s="38" t="str">
        <f aca="false">IFERROR(K125/I125,"")</f>
        <v/>
      </c>
      <c r="N125" s="37"/>
      <c r="O125" s="39"/>
      <c r="P125" s="23" t="str">
        <f aca="false">IF(N(I125)=0,"UNUSED",IF(L125&gt;0,"RED",IF(N125&gt;30,"RED",IF(OR(N125&gt;14,O125&lt;0.75),"AMBER","GREEN"))))</f>
        <v>UNUSED</v>
      </c>
      <c r="Q125" s="40"/>
    </row>
    <row r="126" customFormat="false" ht="22.35" hidden="false" customHeight="false" outlineLevel="0" collapsed="false">
      <c r="A126" s="19" t="n">
        <v>121</v>
      </c>
      <c r="B126" s="12" t="s">
        <v>286</v>
      </c>
      <c r="C126" s="12" t="s">
        <v>323</v>
      </c>
      <c r="D126" s="12" t="s">
        <v>317</v>
      </c>
      <c r="E126" s="12" t="s">
        <v>324</v>
      </c>
      <c r="F126" s="19" t="s">
        <v>60</v>
      </c>
      <c r="G126" s="12" t="s">
        <v>736</v>
      </c>
      <c r="H126" s="12" t="s">
        <v>737</v>
      </c>
      <c r="I126" s="37"/>
      <c r="J126" s="37"/>
      <c r="K126" s="37"/>
      <c r="L126" s="37"/>
      <c r="M126" s="38" t="str">
        <f aca="false">IFERROR(K126/I126,"")</f>
        <v/>
      </c>
      <c r="N126" s="37"/>
      <c r="O126" s="39"/>
      <c r="P126" s="23" t="str">
        <f aca="false">IF(N(I126)=0,"UNUSED",IF(L126&gt;0,"RED",IF(N126&gt;30,"RED",IF(OR(N126&gt;14,O126&lt;0.75),"AMBER","GREEN"))))</f>
        <v>UNUSED</v>
      </c>
      <c r="Q126" s="40"/>
    </row>
    <row r="127" customFormat="false" ht="22.35" hidden="false" customHeight="false" outlineLevel="0" collapsed="false">
      <c r="A127" s="19" t="n">
        <v>122</v>
      </c>
      <c r="B127" s="12" t="s">
        <v>286</v>
      </c>
      <c r="C127" s="12" t="s">
        <v>325</v>
      </c>
      <c r="D127" s="12" t="s">
        <v>296</v>
      </c>
      <c r="E127" s="12" t="s">
        <v>738</v>
      </c>
      <c r="F127" s="19" t="s">
        <v>64</v>
      </c>
      <c r="G127" s="12" t="s">
        <v>739</v>
      </c>
      <c r="H127" s="12" t="s">
        <v>740</v>
      </c>
      <c r="I127" s="37"/>
      <c r="J127" s="37"/>
      <c r="K127" s="37"/>
      <c r="L127" s="37"/>
      <c r="M127" s="38" t="str">
        <f aca="false">IFERROR(K127/I127,"")</f>
        <v/>
      </c>
      <c r="N127" s="37"/>
      <c r="O127" s="39"/>
      <c r="P127" s="23" t="str">
        <f aca="false">IF(N(I127)=0,"UNUSED",IF(L127&gt;0,"RED",IF(N127&gt;30,"RED",IF(OR(N127&gt;14,O127&lt;0.75),"AMBER","GREEN"))))</f>
        <v>UNUSED</v>
      </c>
      <c r="Q127" s="40"/>
    </row>
    <row r="128" customFormat="false" ht="22.35" hidden="false" customHeight="false" outlineLevel="0" collapsed="false">
      <c r="A128" s="19" t="n">
        <v>123</v>
      </c>
      <c r="B128" s="12" t="s">
        <v>286</v>
      </c>
      <c r="C128" s="12" t="s">
        <v>325</v>
      </c>
      <c r="D128" s="12" t="s">
        <v>296</v>
      </c>
      <c r="E128" s="12" t="s">
        <v>741</v>
      </c>
      <c r="F128" s="19" t="s">
        <v>64</v>
      </c>
      <c r="G128" s="12" t="s">
        <v>739</v>
      </c>
      <c r="H128" s="12" t="s">
        <v>742</v>
      </c>
      <c r="I128" s="37"/>
      <c r="J128" s="37"/>
      <c r="K128" s="37"/>
      <c r="L128" s="37"/>
      <c r="M128" s="38" t="str">
        <f aca="false">IFERROR(K128/I128,"")</f>
        <v/>
      </c>
      <c r="N128" s="37"/>
      <c r="O128" s="39"/>
      <c r="P128" s="23" t="str">
        <f aca="false">IF(N(I128)=0,"UNUSED",IF(L128&gt;0,"RED",IF(N128&gt;30,"RED",IF(OR(N128&gt;14,O128&lt;0.75),"AMBER","GREEN"))))</f>
        <v>UNUSED</v>
      </c>
      <c r="Q128" s="40"/>
    </row>
    <row r="129" customFormat="false" ht="22.35" hidden="false" customHeight="false" outlineLevel="0" collapsed="false">
      <c r="A129" s="19" t="n">
        <v>124</v>
      </c>
      <c r="B129" s="12" t="s">
        <v>286</v>
      </c>
      <c r="C129" s="12" t="s">
        <v>327</v>
      </c>
      <c r="D129" s="12" t="s">
        <v>328</v>
      </c>
      <c r="E129" s="12" t="s">
        <v>743</v>
      </c>
      <c r="F129" s="19" t="s">
        <v>60</v>
      </c>
      <c r="G129" s="12" t="s">
        <v>744</v>
      </c>
      <c r="H129" s="12" t="s">
        <v>745</v>
      </c>
      <c r="I129" s="37"/>
      <c r="J129" s="37"/>
      <c r="K129" s="37"/>
      <c r="L129" s="37"/>
      <c r="M129" s="38" t="str">
        <f aca="false">IFERROR(K129/I129,"")</f>
        <v/>
      </c>
      <c r="N129" s="37"/>
      <c r="O129" s="39"/>
      <c r="P129" s="23" t="str">
        <f aca="false">IF(N(I129)=0,"UNUSED",IF(L129&gt;0,"RED",IF(N129&gt;30,"RED",IF(OR(N129&gt;14,O129&lt;0.75),"AMBER","GREEN"))))</f>
        <v>UNUSED</v>
      </c>
      <c r="Q129" s="40"/>
    </row>
    <row r="130" customFormat="false" ht="22.35" hidden="false" customHeight="false" outlineLevel="0" collapsed="false">
      <c r="A130" s="19" t="n">
        <v>125</v>
      </c>
      <c r="B130" s="12" t="s">
        <v>286</v>
      </c>
      <c r="C130" s="12" t="s">
        <v>327</v>
      </c>
      <c r="D130" s="12" t="s">
        <v>328</v>
      </c>
      <c r="E130" s="12" t="s">
        <v>746</v>
      </c>
      <c r="F130" s="19" t="s">
        <v>60</v>
      </c>
      <c r="G130" s="12" t="s">
        <v>744</v>
      </c>
      <c r="H130" s="12" t="s">
        <v>747</v>
      </c>
      <c r="I130" s="37"/>
      <c r="J130" s="37"/>
      <c r="K130" s="37"/>
      <c r="L130" s="37"/>
      <c r="M130" s="38" t="str">
        <f aca="false">IFERROR(K130/I130,"")</f>
        <v/>
      </c>
      <c r="N130" s="37"/>
      <c r="O130" s="39"/>
      <c r="P130" s="23" t="str">
        <f aca="false">IF(N(I130)=0,"UNUSED",IF(L130&gt;0,"RED",IF(N130&gt;30,"RED",IF(OR(N130&gt;14,O130&lt;0.75),"AMBER","GREEN"))))</f>
        <v>UNUSED</v>
      </c>
      <c r="Q130" s="40"/>
    </row>
    <row r="131" customFormat="false" ht="22.35" hidden="false" customHeight="false" outlineLevel="0" collapsed="false">
      <c r="A131" s="19" t="n">
        <v>126</v>
      </c>
      <c r="B131" s="12" t="s">
        <v>286</v>
      </c>
      <c r="C131" s="12" t="s">
        <v>330</v>
      </c>
      <c r="D131" s="12" t="s">
        <v>331</v>
      </c>
      <c r="E131" s="12" t="s">
        <v>748</v>
      </c>
      <c r="F131" s="19" t="s">
        <v>60</v>
      </c>
      <c r="G131" s="12" t="s">
        <v>749</v>
      </c>
      <c r="H131" s="12" t="s">
        <v>750</v>
      </c>
      <c r="I131" s="37"/>
      <c r="J131" s="37"/>
      <c r="K131" s="37"/>
      <c r="L131" s="37"/>
      <c r="M131" s="38" t="str">
        <f aca="false">IFERROR(K131/I131,"")</f>
        <v/>
      </c>
      <c r="N131" s="37"/>
      <c r="O131" s="39"/>
      <c r="P131" s="23" t="str">
        <f aca="false">IF(N(I131)=0,"UNUSED",IF(L131&gt;0,"RED",IF(N131&gt;30,"RED",IF(OR(N131&gt;14,O131&lt;0.75),"AMBER","GREEN"))))</f>
        <v>UNUSED</v>
      </c>
      <c r="Q131" s="40"/>
    </row>
    <row r="132" customFormat="false" ht="22.35" hidden="false" customHeight="false" outlineLevel="0" collapsed="false">
      <c r="A132" s="19" t="n">
        <v>127</v>
      </c>
      <c r="B132" s="12" t="s">
        <v>286</v>
      </c>
      <c r="C132" s="12" t="s">
        <v>330</v>
      </c>
      <c r="D132" s="12" t="s">
        <v>331</v>
      </c>
      <c r="E132" s="12" t="s">
        <v>751</v>
      </c>
      <c r="F132" s="19" t="s">
        <v>60</v>
      </c>
      <c r="G132" s="12" t="s">
        <v>749</v>
      </c>
      <c r="H132" s="12" t="s">
        <v>752</v>
      </c>
      <c r="I132" s="37"/>
      <c r="J132" s="37"/>
      <c r="K132" s="37"/>
      <c r="L132" s="37"/>
      <c r="M132" s="38" t="str">
        <f aca="false">IFERROR(K132/I132,"")</f>
        <v/>
      </c>
      <c r="N132" s="37"/>
      <c r="O132" s="39"/>
      <c r="P132" s="23" t="str">
        <f aca="false">IF(N(I132)=0,"UNUSED",IF(L132&gt;0,"RED",IF(N132&gt;30,"RED",IF(OR(N132&gt;14,O132&lt;0.75),"AMBER","GREEN"))))</f>
        <v>UNUSED</v>
      </c>
      <c r="Q132" s="40"/>
    </row>
  </sheetData>
  <autoFilter ref="A5:Q132"/>
  <conditionalFormatting sqref="P6:P132">
    <cfRule type="cellIs" priority="2" operator="equal" aboveAverage="0" equalAverage="0" bottom="0" percent="0" rank="0" text="" dxfId="0">
      <formula>"RED"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"GREEN"</formula>
    </cfRule>
    <cfRule type="cellIs" priority="5" operator="equal" aboveAverage="0" equalAverage="0" bottom="0" percent="0" rank="0" text="" dxfId="8">
      <formula>"UNUSED"</formula>
    </cfRule>
  </conditionalFormatting>
  <conditionalFormatting sqref="L6:L132">
    <cfRule type="cellIs" priority="6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7"/>
    <col collapsed="false" customWidth="true" hidden="false" outlineLevel="0" max="12" min="12" style="0" width="40"/>
  </cols>
  <sheetData>
    <row r="1" customFormat="false" ht="19.7" hidden="false" customHeight="false" outlineLevel="0" collapsed="false">
      <c r="A1" s="22" t="s">
        <v>753</v>
      </c>
    </row>
    <row r="2" customFormat="false" ht="15" hidden="false" customHeight="false" outlineLevel="0" collapsed="false">
      <c r="A2" s="3" t="s">
        <v>754</v>
      </c>
    </row>
    <row r="4" customFormat="false" ht="30" hidden="false" customHeight="true" outlineLevel="0" collapsed="false">
      <c r="A4" s="11" t="s">
        <v>755</v>
      </c>
      <c r="B4" s="11" t="s">
        <v>19</v>
      </c>
      <c r="C4" s="11" t="s">
        <v>20</v>
      </c>
      <c r="D4" s="11" t="s">
        <v>335</v>
      </c>
      <c r="E4" s="11" t="s">
        <v>22</v>
      </c>
      <c r="F4" s="11" t="s">
        <v>21</v>
      </c>
      <c r="G4" s="11" t="s">
        <v>756</v>
      </c>
      <c r="H4" s="11" t="s">
        <v>336</v>
      </c>
      <c r="I4" s="11" t="s">
        <v>470</v>
      </c>
      <c r="J4" s="11" t="s">
        <v>757</v>
      </c>
      <c r="K4" s="11" t="s">
        <v>758</v>
      </c>
      <c r="L4" s="11" t="s">
        <v>759</v>
      </c>
    </row>
    <row r="5" customFormat="false" ht="15" hidden="false" customHeight="false" outlineLevel="0" collapsed="false">
      <c r="A5" s="41"/>
      <c r="B5" s="37"/>
      <c r="C5" s="37"/>
      <c r="D5" s="37"/>
      <c r="E5" s="39"/>
      <c r="F5" s="37"/>
      <c r="G5" s="37"/>
      <c r="H5" s="39"/>
      <c r="I5" s="37"/>
      <c r="J5" s="37"/>
      <c r="K5" s="23" t="str">
        <f aca="false">IF(OR(F5="",F4=""),"",F5-F4)</f>
        <v/>
      </c>
      <c r="L5" s="35"/>
    </row>
    <row r="6" customFormat="false" ht="15" hidden="false" customHeight="false" outlineLevel="0" collapsed="false">
      <c r="A6" s="41"/>
      <c r="B6" s="37"/>
      <c r="C6" s="37"/>
      <c r="D6" s="37"/>
      <c r="E6" s="39"/>
      <c r="F6" s="37"/>
      <c r="G6" s="37"/>
      <c r="H6" s="39"/>
      <c r="I6" s="37"/>
      <c r="J6" s="37"/>
      <c r="K6" s="23" t="str">
        <f aca="false">IF(OR(F6="",F5=""),"",F6-F5)</f>
        <v/>
      </c>
      <c r="L6" s="35"/>
    </row>
    <row r="7" customFormat="false" ht="15" hidden="false" customHeight="false" outlineLevel="0" collapsed="false">
      <c r="A7" s="41"/>
      <c r="B7" s="37"/>
      <c r="C7" s="37"/>
      <c r="D7" s="37"/>
      <c r="E7" s="39"/>
      <c r="F7" s="37"/>
      <c r="G7" s="37"/>
      <c r="H7" s="39"/>
      <c r="I7" s="37"/>
      <c r="J7" s="37"/>
      <c r="K7" s="23" t="str">
        <f aca="false">IF(OR(F7="",F6=""),"",F7-F6)</f>
        <v/>
      </c>
      <c r="L7" s="35"/>
    </row>
    <row r="8" customFormat="false" ht="15" hidden="false" customHeight="false" outlineLevel="0" collapsed="false">
      <c r="A8" s="41"/>
      <c r="B8" s="37"/>
      <c r="C8" s="37"/>
      <c r="D8" s="37"/>
      <c r="E8" s="39"/>
      <c r="F8" s="37"/>
      <c r="G8" s="37"/>
      <c r="H8" s="39"/>
      <c r="I8" s="37"/>
      <c r="J8" s="37"/>
      <c r="K8" s="23" t="str">
        <f aca="false">IF(OR(F8="",F7=""),"",F8-F7)</f>
        <v/>
      </c>
      <c r="L8" s="35"/>
    </row>
    <row r="9" customFormat="false" ht="15" hidden="false" customHeight="false" outlineLevel="0" collapsed="false">
      <c r="A9" s="41"/>
      <c r="B9" s="37"/>
      <c r="C9" s="37"/>
      <c r="D9" s="37"/>
      <c r="E9" s="39"/>
      <c r="F9" s="37"/>
      <c r="G9" s="37"/>
      <c r="H9" s="39"/>
      <c r="I9" s="37"/>
      <c r="J9" s="37"/>
      <c r="K9" s="23" t="str">
        <f aca="false">IF(OR(F9="",F8=""),"",F9-F8)</f>
        <v/>
      </c>
      <c r="L9" s="35"/>
    </row>
    <row r="10" customFormat="false" ht="15" hidden="false" customHeight="false" outlineLevel="0" collapsed="false">
      <c r="A10" s="41"/>
      <c r="B10" s="37"/>
      <c r="C10" s="37"/>
      <c r="D10" s="37"/>
      <c r="E10" s="39"/>
      <c r="F10" s="37"/>
      <c r="G10" s="37"/>
      <c r="H10" s="39"/>
      <c r="I10" s="37"/>
      <c r="J10" s="37"/>
      <c r="K10" s="23" t="str">
        <f aca="false">IF(OR(F10="",F9=""),"",F10-F9)</f>
        <v/>
      </c>
      <c r="L10" s="35"/>
    </row>
    <row r="11" customFormat="false" ht="15" hidden="false" customHeight="false" outlineLevel="0" collapsed="false">
      <c r="A11" s="41"/>
      <c r="B11" s="37"/>
      <c r="C11" s="37"/>
      <c r="D11" s="37"/>
      <c r="E11" s="39"/>
      <c r="F11" s="37"/>
      <c r="G11" s="37"/>
      <c r="H11" s="39"/>
      <c r="I11" s="37"/>
      <c r="J11" s="37"/>
      <c r="K11" s="23" t="str">
        <f aca="false">IF(OR(F11="",F10=""),"",F11-F10)</f>
        <v/>
      </c>
      <c r="L11" s="35"/>
    </row>
    <row r="12" customFormat="false" ht="15" hidden="false" customHeight="false" outlineLevel="0" collapsed="false">
      <c r="A12" s="41"/>
      <c r="B12" s="37"/>
      <c r="C12" s="37"/>
      <c r="D12" s="37"/>
      <c r="E12" s="39"/>
      <c r="F12" s="37"/>
      <c r="G12" s="37"/>
      <c r="H12" s="39"/>
      <c r="I12" s="37"/>
      <c r="J12" s="37"/>
      <c r="K12" s="23" t="str">
        <f aca="false">IF(OR(F12="",F11=""),"",F12-F11)</f>
        <v/>
      </c>
      <c r="L12" s="35"/>
    </row>
    <row r="13" customFormat="false" ht="15" hidden="false" customHeight="false" outlineLevel="0" collapsed="false">
      <c r="A13" s="41"/>
      <c r="B13" s="37"/>
      <c r="C13" s="37"/>
      <c r="D13" s="37"/>
      <c r="E13" s="39"/>
      <c r="F13" s="37"/>
      <c r="G13" s="37"/>
      <c r="H13" s="39"/>
      <c r="I13" s="37"/>
      <c r="J13" s="37"/>
      <c r="K13" s="23" t="str">
        <f aca="false">IF(OR(F13="",F12=""),"",F13-F12)</f>
        <v/>
      </c>
      <c r="L13" s="35"/>
    </row>
    <row r="14" customFormat="false" ht="15" hidden="false" customHeight="false" outlineLevel="0" collapsed="false">
      <c r="A14" s="41"/>
      <c r="B14" s="37"/>
      <c r="C14" s="37"/>
      <c r="D14" s="37"/>
      <c r="E14" s="39"/>
      <c r="F14" s="37"/>
      <c r="G14" s="37"/>
      <c r="H14" s="39"/>
      <c r="I14" s="37"/>
      <c r="J14" s="37"/>
      <c r="K14" s="23" t="str">
        <f aca="false">IF(OR(F14="",F13=""),"",F14-F13)</f>
        <v/>
      </c>
      <c r="L14" s="35"/>
    </row>
    <row r="15" customFormat="false" ht="15" hidden="false" customHeight="false" outlineLevel="0" collapsed="false">
      <c r="A15" s="41"/>
      <c r="B15" s="37"/>
      <c r="C15" s="37"/>
      <c r="D15" s="37"/>
      <c r="E15" s="39"/>
      <c r="F15" s="37"/>
      <c r="G15" s="37"/>
      <c r="H15" s="39"/>
      <c r="I15" s="37"/>
      <c r="J15" s="37"/>
      <c r="K15" s="23" t="str">
        <f aca="false">IF(OR(F15="",F14=""),"",F15-F14)</f>
        <v/>
      </c>
      <c r="L15" s="35"/>
    </row>
    <row r="16" customFormat="false" ht="15" hidden="false" customHeight="false" outlineLevel="0" collapsed="false">
      <c r="A16" s="41"/>
      <c r="B16" s="37"/>
      <c r="C16" s="37"/>
      <c r="D16" s="37"/>
      <c r="E16" s="39"/>
      <c r="F16" s="37"/>
      <c r="G16" s="37"/>
      <c r="H16" s="39"/>
      <c r="I16" s="37"/>
      <c r="J16" s="37"/>
      <c r="K16" s="23" t="str">
        <f aca="false">IF(OR(F16="",F15=""),"",F16-F15)</f>
        <v/>
      </c>
      <c r="L16" s="35"/>
    </row>
    <row r="17" customFormat="false" ht="15" hidden="false" customHeight="false" outlineLevel="0" collapsed="false">
      <c r="A17" s="41"/>
      <c r="B17" s="37"/>
      <c r="C17" s="37"/>
      <c r="D17" s="37"/>
      <c r="E17" s="39"/>
      <c r="F17" s="37"/>
      <c r="G17" s="37"/>
      <c r="H17" s="39"/>
      <c r="I17" s="37"/>
      <c r="J17" s="37"/>
      <c r="K17" s="23" t="str">
        <f aca="false">IF(OR(F17="",F16=""),"",F17-F16)</f>
        <v/>
      </c>
      <c r="L17" s="35"/>
    </row>
    <row r="18" customFormat="false" ht="15" hidden="false" customHeight="false" outlineLevel="0" collapsed="false">
      <c r="A18" s="41"/>
      <c r="B18" s="37"/>
      <c r="C18" s="37"/>
      <c r="D18" s="37"/>
      <c r="E18" s="39"/>
      <c r="F18" s="37"/>
      <c r="G18" s="37"/>
      <c r="H18" s="39"/>
      <c r="I18" s="37"/>
      <c r="J18" s="37"/>
      <c r="K18" s="23" t="str">
        <f aca="false">IF(OR(F18="",F17=""),"",F18-F17)</f>
        <v/>
      </c>
      <c r="L18" s="35"/>
    </row>
    <row r="19" customFormat="false" ht="15" hidden="false" customHeight="false" outlineLevel="0" collapsed="false">
      <c r="A19" s="41"/>
      <c r="B19" s="37"/>
      <c r="C19" s="37"/>
      <c r="D19" s="37"/>
      <c r="E19" s="39"/>
      <c r="F19" s="37"/>
      <c r="G19" s="37"/>
      <c r="H19" s="39"/>
      <c r="I19" s="37"/>
      <c r="J19" s="37"/>
      <c r="K19" s="23" t="str">
        <f aca="false">IF(OR(F19="",F18=""),"",F19-F18)</f>
        <v/>
      </c>
      <c r="L19" s="35"/>
    </row>
    <row r="20" customFormat="false" ht="15" hidden="false" customHeight="false" outlineLevel="0" collapsed="false">
      <c r="A20" s="41"/>
      <c r="B20" s="37"/>
      <c r="C20" s="37"/>
      <c r="D20" s="37"/>
      <c r="E20" s="39"/>
      <c r="F20" s="37"/>
      <c r="G20" s="37"/>
      <c r="H20" s="39"/>
      <c r="I20" s="37"/>
      <c r="J20" s="37"/>
      <c r="K20" s="23" t="str">
        <f aca="false">IF(OR(F20="",F19=""),"",F20-F19)</f>
        <v/>
      </c>
      <c r="L20" s="35"/>
    </row>
    <row r="21" customFormat="false" ht="15" hidden="false" customHeight="false" outlineLevel="0" collapsed="false">
      <c r="A21" s="41"/>
      <c r="B21" s="37"/>
      <c r="C21" s="37"/>
      <c r="D21" s="37"/>
      <c r="E21" s="39"/>
      <c r="F21" s="37"/>
      <c r="G21" s="37"/>
      <c r="H21" s="39"/>
      <c r="I21" s="37"/>
      <c r="J21" s="37"/>
      <c r="K21" s="23" t="str">
        <f aca="false">IF(OR(F21="",F20=""),"",F21-F20)</f>
        <v/>
      </c>
      <c r="L21" s="35"/>
    </row>
    <row r="22" customFormat="false" ht="15" hidden="false" customHeight="false" outlineLevel="0" collapsed="false">
      <c r="A22" s="41"/>
      <c r="B22" s="37"/>
      <c r="C22" s="37"/>
      <c r="D22" s="37"/>
      <c r="E22" s="39"/>
      <c r="F22" s="37"/>
      <c r="G22" s="37"/>
      <c r="H22" s="39"/>
      <c r="I22" s="37"/>
      <c r="J22" s="37"/>
      <c r="K22" s="23" t="str">
        <f aca="false">IF(OR(F22="",F21=""),"",F22-F21)</f>
        <v/>
      </c>
      <c r="L22" s="35"/>
    </row>
    <row r="23" customFormat="false" ht="15" hidden="false" customHeight="false" outlineLevel="0" collapsed="false">
      <c r="A23" s="41"/>
      <c r="B23" s="37"/>
      <c r="C23" s="37"/>
      <c r="D23" s="37"/>
      <c r="E23" s="39"/>
      <c r="F23" s="37"/>
      <c r="G23" s="37"/>
      <c r="H23" s="39"/>
      <c r="I23" s="37"/>
      <c r="J23" s="37"/>
      <c r="K23" s="23" t="str">
        <f aca="false">IF(OR(F23="",F22=""),"",F23-F22)</f>
        <v/>
      </c>
      <c r="L23" s="35"/>
    </row>
    <row r="24" customFormat="false" ht="15" hidden="false" customHeight="false" outlineLevel="0" collapsed="false">
      <c r="A24" s="41"/>
      <c r="B24" s="37"/>
      <c r="C24" s="37"/>
      <c r="D24" s="37"/>
      <c r="E24" s="39"/>
      <c r="F24" s="37"/>
      <c r="G24" s="37"/>
      <c r="H24" s="39"/>
      <c r="I24" s="37"/>
      <c r="J24" s="37"/>
      <c r="K24" s="23" t="str">
        <f aca="false">IF(OR(F24="",F23=""),"",F24-F23)</f>
        <v/>
      </c>
      <c r="L24" s="35"/>
    </row>
    <row r="25" customFormat="false" ht="15" hidden="false" customHeight="false" outlineLevel="0" collapsed="false">
      <c r="A25" s="41"/>
      <c r="B25" s="37"/>
      <c r="C25" s="37"/>
      <c r="D25" s="37"/>
      <c r="E25" s="39"/>
      <c r="F25" s="37"/>
      <c r="G25" s="37"/>
      <c r="H25" s="39"/>
      <c r="I25" s="37"/>
      <c r="J25" s="37"/>
      <c r="K25" s="23" t="str">
        <f aca="false">IF(OR(F25="",F24=""),"",F25-F24)</f>
        <v/>
      </c>
      <c r="L25" s="35"/>
    </row>
    <row r="26" customFormat="false" ht="15" hidden="false" customHeight="false" outlineLevel="0" collapsed="false">
      <c r="A26" s="41"/>
      <c r="B26" s="37"/>
      <c r="C26" s="37"/>
      <c r="D26" s="37"/>
      <c r="E26" s="39"/>
      <c r="F26" s="37"/>
      <c r="G26" s="37"/>
      <c r="H26" s="39"/>
      <c r="I26" s="37"/>
      <c r="J26" s="37"/>
      <c r="K26" s="23" t="str">
        <f aca="false">IF(OR(F26="",F25=""),"",F26-F25)</f>
        <v/>
      </c>
      <c r="L26" s="35"/>
    </row>
    <row r="27" customFormat="false" ht="15" hidden="false" customHeight="false" outlineLevel="0" collapsed="false">
      <c r="A27" s="41"/>
      <c r="B27" s="37"/>
      <c r="C27" s="37"/>
      <c r="D27" s="37"/>
      <c r="E27" s="39"/>
      <c r="F27" s="37"/>
      <c r="G27" s="37"/>
      <c r="H27" s="39"/>
      <c r="I27" s="37"/>
      <c r="J27" s="37"/>
      <c r="K27" s="23" t="str">
        <f aca="false">IF(OR(F27="",F26=""),"",F27-F26)</f>
        <v/>
      </c>
      <c r="L27" s="35"/>
    </row>
    <row r="28" customFormat="false" ht="15" hidden="false" customHeight="false" outlineLevel="0" collapsed="false">
      <c r="A28" s="41"/>
      <c r="B28" s="37"/>
      <c r="C28" s="37"/>
      <c r="D28" s="37"/>
      <c r="E28" s="39"/>
      <c r="F28" s="37"/>
      <c r="G28" s="37"/>
      <c r="H28" s="39"/>
      <c r="I28" s="37"/>
      <c r="J28" s="37"/>
      <c r="K28" s="23" t="str">
        <f aca="false">IF(OR(F28="",F27=""),"",F28-F27)</f>
        <v/>
      </c>
      <c r="L28" s="35"/>
    </row>
    <row r="29" customFormat="false" ht="15" hidden="false" customHeight="false" outlineLevel="0" collapsed="false">
      <c r="A29" s="41"/>
      <c r="B29" s="37"/>
      <c r="C29" s="37"/>
      <c r="D29" s="37"/>
      <c r="E29" s="39"/>
      <c r="F29" s="37"/>
      <c r="G29" s="37"/>
      <c r="H29" s="39"/>
      <c r="I29" s="37"/>
      <c r="J29" s="37"/>
      <c r="K29" s="23" t="str">
        <f aca="false">IF(OR(F29="",F28=""),"",F29-F28)</f>
        <v/>
      </c>
      <c r="L29" s="35"/>
    </row>
    <row r="30" customFormat="false" ht="15" hidden="false" customHeight="false" outlineLevel="0" collapsed="false">
      <c r="A30" s="41"/>
      <c r="B30" s="37"/>
      <c r="C30" s="37"/>
      <c r="D30" s="37"/>
      <c r="E30" s="39"/>
      <c r="F30" s="37"/>
      <c r="G30" s="37"/>
      <c r="H30" s="39"/>
      <c r="I30" s="37"/>
      <c r="J30" s="37"/>
      <c r="K30" s="23" t="str">
        <f aca="false">IF(OR(F30="",F29=""),"",F30-F29)</f>
        <v/>
      </c>
      <c r="L30" s="35"/>
    </row>
    <row r="31" customFormat="false" ht="15" hidden="false" customHeight="false" outlineLevel="0" collapsed="false">
      <c r="A31" s="41"/>
      <c r="B31" s="37"/>
      <c r="C31" s="37"/>
      <c r="D31" s="37"/>
      <c r="E31" s="39"/>
      <c r="F31" s="37"/>
      <c r="G31" s="37"/>
      <c r="H31" s="39"/>
      <c r="I31" s="37"/>
      <c r="J31" s="37"/>
      <c r="K31" s="23" t="str">
        <f aca="false">IF(OR(F31="",F30=""),"",F31-F30)</f>
        <v/>
      </c>
      <c r="L31" s="35"/>
    </row>
    <row r="32" customFormat="false" ht="15" hidden="false" customHeight="false" outlineLevel="0" collapsed="false">
      <c r="A32" s="41"/>
      <c r="B32" s="37"/>
      <c r="C32" s="37"/>
      <c r="D32" s="37"/>
      <c r="E32" s="39"/>
      <c r="F32" s="37"/>
      <c r="G32" s="37"/>
      <c r="H32" s="39"/>
      <c r="I32" s="37"/>
      <c r="J32" s="37"/>
      <c r="K32" s="23" t="str">
        <f aca="false">IF(OR(F32="",F31=""),"",F32-F31)</f>
        <v/>
      </c>
      <c r="L32" s="35"/>
    </row>
    <row r="33" customFormat="false" ht="15" hidden="false" customHeight="false" outlineLevel="0" collapsed="false">
      <c r="A33" s="41"/>
      <c r="B33" s="37"/>
      <c r="C33" s="37"/>
      <c r="D33" s="37"/>
      <c r="E33" s="39"/>
      <c r="F33" s="37"/>
      <c r="G33" s="37"/>
      <c r="H33" s="39"/>
      <c r="I33" s="37"/>
      <c r="J33" s="37"/>
      <c r="K33" s="23" t="str">
        <f aca="false">IF(OR(F33="",F32=""),"",F33-F32)</f>
        <v/>
      </c>
      <c r="L33" s="35"/>
    </row>
    <row r="34" customFormat="false" ht="15" hidden="false" customHeight="false" outlineLevel="0" collapsed="false">
      <c r="A34" s="41"/>
      <c r="B34" s="37"/>
      <c r="C34" s="37"/>
      <c r="D34" s="37"/>
      <c r="E34" s="39"/>
      <c r="F34" s="37"/>
      <c r="G34" s="37"/>
      <c r="H34" s="39"/>
      <c r="I34" s="37"/>
      <c r="J34" s="37"/>
      <c r="K34" s="23" t="str">
        <f aca="false">IF(OR(F34="",F33=""),"",F34-F33)</f>
        <v/>
      </c>
      <c r="L34" s="35"/>
    </row>
    <row r="35" customFormat="false" ht="15" hidden="false" customHeight="false" outlineLevel="0" collapsed="false">
      <c r="A35" s="41"/>
      <c r="B35" s="37"/>
      <c r="C35" s="37"/>
      <c r="D35" s="37"/>
      <c r="E35" s="39"/>
      <c r="F35" s="37"/>
      <c r="G35" s="37"/>
      <c r="H35" s="39"/>
      <c r="I35" s="37"/>
      <c r="J35" s="37"/>
      <c r="K35" s="23" t="str">
        <f aca="false">IF(OR(F35="",F34=""),"",F35-F34)</f>
        <v/>
      </c>
      <c r="L35" s="35"/>
    </row>
    <row r="36" customFormat="false" ht="15" hidden="false" customHeight="false" outlineLevel="0" collapsed="false">
      <c r="A36" s="41"/>
      <c r="B36" s="37"/>
      <c r="C36" s="37"/>
      <c r="D36" s="37"/>
      <c r="E36" s="39"/>
      <c r="F36" s="37"/>
      <c r="G36" s="37"/>
      <c r="H36" s="39"/>
      <c r="I36" s="37"/>
      <c r="J36" s="37"/>
      <c r="K36" s="23" t="str">
        <f aca="false">IF(OR(F36="",F35=""),"",F36-F35)</f>
        <v/>
      </c>
      <c r="L36" s="35"/>
    </row>
    <row r="37" customFormat="false" ht="15" hidden="false" customHeight="false" outlineLevel="0" collapsed="false">
      <c r="A37" s="41"/>
      <c r="B37" s="37"/>
      <c r="C37" s="37"/>
      <c r="D37" s="37"/>
      <c r="E37" s="39"/>
      <c r="F37" s="37"/>
      <c r="G37" s="37"/>
      <c r="H37" s="39"/>
      <c r="I37" s="37"/>
      <c r="J37" s="37"/>
      <c r="K37" s="23" t="str">
        <f aca="false">IF(OR(F37="",F36=""),"",F37-F36)</f>
        <v/>
      </c>
      <c r="L37" s="35"/>
    </row>
    <row r="38" customFormat="false" ht="15" hidden="false" customHeight="false" outlineLevel="0" collapsed="false">
      <c r="A38" s="41"/>
      <c r="B38" s="37"/>
      <c r="C38" s="37"/>
      <c r="D38" s="37"/>
      <c r="E38" s="39"/>
      <c r="F38" s="37"/>
      <c r="G38" s="37"/>
      <c r="H38" s="39"/>
      <c r="I38" s="37"/>
      <c r="J38" s="37"/>
      <c r="K38" s="23" t="str">
        <f aca="false">IF(OR(F38="",F37=""),"",F38-F37)</f>
        <v/>
      </c>
      <c r="L38" s="35"/>
    </row>
    <row r="39" customFormat="false" ht="15" hidden="false" customHeight="false" outlineLevel="0" collapsed="false">
      <c r="A39" s="41"/>
      <c r="B39" s="37"/>
      <c r="C39" s="37"/>
      <c r="D39" s="37"/>
      <c r="E39" s="39"/>
      <c r="F39" s="37"/>
      <c r="G39" s="37"/>
      <c r="H39" s="39"/>
      <c r="I39" s="37"/>
      <c r="J39" s="37"/>
      <c r="K39" s="23" t="str">
        <f aca="false">IF(OR(F39="",F38=""),"",F39-F38)</f>
        <v/>
      </c>
      <c r="L39" s="35"/>
    </row>
    <row r="40" customFormat="false" ht="15" hidden="false" customHeight="false" outlineLevel="0" collapsed="false">
      <c r="A40" s="41"/>
      <c r="B40" s="37"/>
      <c r="C40" s="37"/>
      <c r="D40" s="37"/>
      <c r="E40" s="39"/>
      <c r="F40" s="37"/>
      <c r="G40" s="37"/>
      <c r="H40" s="39"/>
      <c r="I40" s="37"/>
      <c r="J40" s="37"/>
      <c r="K40" s="23" t="str">
        <f aca="false">IF(OR(F40="",F39=""),"",F40-F39)</f>
        <v/>
      </c>
      <c r="L40" s="35"/>
    </row>
    <row r="41" customFormat="false" ht="15" hidden="false" customHeight="false" outlineLevel="0" collapsed="false">
      <c r="A41" s="41"/>
      <c r="B41" s="37"/>
      <c r="C41" s="37"/>
      <c r="D41" s="37"/>
      <c r="E41" s="39"/>
      <c r="F41" s="37"/>
      <c r="G41" s="37"/>
      <c r="H41" s="39"/>
      <c r="I41" s="37"/>
      <c r="J41" s="37"/>
      <c r="K41" s="23" t="str">
        <f aca="false">IF(OR(F41="",F40=""),"",F41-F40)</f>
        <v/>
      </c>
      <c r="L41" s="35"/>
    </row>
    <row r="42" customFormat="false" ht="15" hidden="false" customHeight="false" outlineLevel="0" collapsed="false">
      <c r="A42" s="41"/>
      <c r="B42" s="37"/>
      <c r="C42" s="37"/>
      <c r="D42" s="37"/>
      <c r="E42" s="39"/>
      <c r="F42" s="37"/>
      <c r="G42" s="37"/>
      <c r="H42" s="39"/>
      <c r="I42" s="37"/>
      <c r="J42" s="37"/>
      <c r="K42" s="23" t="str">
        <f aca="false">IF(OR(F42="",F41=""),"",F42-F41)</f>
        <v/>
      </c>
      <c r="L42" s="35"/>
    </row>
    <row r="43" customFormat="false" ht="15" hidden="false" customHeight="false" outlineLevel="0" collapsed="false">
      <c r="A43" s="41"/>
      <c r="B43" s="37"/>
      <c r="C43" s="37"/>
      <c r="D43" s="37"/>
      <c r="E43" s="39"/>
      <c r="F43" s="37"/>
      <c r="G43" s="37"/>
      <c r="H43" s="39"/>
      <c r="I43" s="37"/>
      <c r="J43" s="37"/>
      <c r="K43" s="23" t="str">
        <f aca="false">IF(OR(F43="",F42=""),"",F43-F42)</f>
        <v/>
      </c>
      <c r="L43" s="35"/>
    </row>
    <row r="44" customFormat="false" ht="15" hidden="false" customHeight="false" outlineLevel="0" collapsed="false">
      <c r="A44" s="41"/>
      <c r="B44" s="37"/>
      <c r="C44" s="37"/>
      <c r="D44" s="37"/>
      <c r="E44" s="39"/>
      <c r="F44" s="37"/>
      <c r="G44" s="37"/>
      <c r="H44" s="39"/>
      <c r="I44" s="37"/>
      <c r="J44" s="37"/>
      <c r="K44" s="23" t="str">
        <f aca="false">IF(OR(F44="",F43=""),"",F44-F43)</f>
        <v/>
      </c>
      <c r="L44" s="35"/>
    </row>
    <row r="45" customFormat="false" ht="15" hidden="false" customHeight="false" outlineLevel="0" collapsed="false">
      <c r="A45" s="41"/>
      <c r="B45" s="37"/>
      <c r="C45" s="37"/>
      <c r="D45" s="37"/>
      <c r="E45" s="39"/>
      <c r="F45" s="37"/>
      <c r="G45" s="37"/>
      <c r="H45" s="39"/>
      <c r="I45" s="37"/>
      <c r="J45" s="37"/>
      <c r="K45" s="23" t="str">
        <f aca="false">IF(OR(F45="",F44=""),"",F45-F44)</f>
        <v/>
      </c>
      <c r="L45" s="35"/>
    </row>
    <row r="46" customFormat="false" ht="15" hidden="false" customHeight="false" outlineLevel="0" collapsed="false">
      <c r="A46" s="41"/>
      <c r="B46" s="37"/>
      <c r="C46" s="37"/>
      <c r="D46" s="37"/>
      <c r="E46" s="39"/>
      <c r="F46" s="37"/>
      <c r="G46" s="37"/>
      <c r="H46" s="39"/>
      <c r="I46" s="37"/>
      <c r="J46" s="37"/>
      <c r="K46" s="23" t="str">
        <f aca="false">IF(OR(F46="",F45=""),"",F46-F45)</f>
        <v/>
      </c>
      <c r="L46" s="35"/>
    </row>
    <row r="47" customFormat="false" ht="15" hidden="false" customHeight="false" outlineLevel="0" collapsed="false">
      <c r="A47" s="41"/>
      <c r="B47" s="37"/>
      <c r="C47" s="37"/>
      <c r="D47" s="37"/>
      <c r="E47" s="39"/>
      <c r="F47" s="37"/>
      <c r="G47" s="37"/>
      <c r="H47" s="39"/>
      <c r="I47" s="37"/>
      <c r="J47" s="37"/>
      <c r="K47" s="23" t="str">
        <f aca="false">IF(OR(F47="",F46=""),"",F47-F46)</f>
        <v/>
      </c>
      <c r="L47" s="35"/>
    </row>
    <row r="48" customFormat="false" ht="15" hidden="false" customHeight="false" outlineLevel="0" collapsed="false">
      <c r="A48" s="41"/>
      <c r="B48" s="37"/>
      <c r="C48" s="37"/>
      <c r="D48" s="37"/>
      <c r="E48" s="39"/>
      <c r="F48" s="37"/>
      <c r="G48" s="37"/>
      <c r="H48" s="39"/>
      <c r="I48" s="37"/>
      <c r="J48" s="37"/>
      <c r="K48" s="23" t="str">
        <f aca="false">IF(OR(F48="",F47=""),"",F48-F47)</f>
        <v/>
      </c>
      <c r="L48" s="35"/>
    </row>
    <row r="49" customFormat="false" ht="15" hidden="false" customHeight="false" outlineLevel="0" collapsed="false">
      <c r="A49" s="41"/>
      <c r="B49" s="37"/>
      <c r="C49" s="37"/>
      <c r="D49" s="37"/>
      <c r="E49" s="39"/>
      <c r="F49" s="37"/>
      <c r="G49" s="37"/>
      <c r="H49" s="39"/>
      <c r="I49" s="37"/>
      <c r="J49" s="37"/>
      <c r="K49" s="23" t="str">
        <f aca="false">IF(OR(F49="",F48=""),"",F49-F48)</f>
        <v/>
      </c>
      <c r="L49" s="35"/>
    </row>
    <row r="50" customFormat="false" ht="15" hidden="false" customHeight="false" outlineLevel="0" collapsed="false">
      <c r="A50" s="41"/>
      <c r="B50" s="37"/>
      <c r="C50" s="37"/>
      <c r="D50" s="37"/>
      <c r="E50" s="39"/>
      <c r="F50" s="37"/>
      <c r="G50" s="37"/>
      <c r="H50" s="39"/>
      <c r="I50" s="37"/>
      <c r="J50" s="37"/>
      <c r="K50" s="23" t="str">
        <f aca="false">IF(OR(F50="",F49=""),"",F50-F49)</f>
        <v/>
      </c>
      <c r="L50" s="35"/>
    </row>
    <row r="51" customFormat="false" ht="15" hidden="false" customHeight="false" outlineLevel="0" collapsed="false">
      <c r="A51" s="41"/>
      <c r="B51" s="37"/>
      <c r="C51" s="37"/>
      <c r="D51" s="37"/>
      <c r="E51" s="39"/>
      <c r="F51" s="37"/>
      <c r="G51" s="37"/>
      <c r="H51" s="39"/>
      <c r="I51" s="37"/>
      <c r="J51" s="37"/>
      <c r="K51" s="23" t="str">
        <f aca="false">IF(OR(F51="",F50=""),"",F51-F50)</f>
        <v/>
      </c>
      <c r="L51" s="35"/>
    </row>
    <row r="52" customFormat="false" ht="15" hidden="false" customHeight="false" outlineLevel="0" collapsed="false">
      <c r="A52" s="41"/>
      <c r="B52" s="37"/>
      <c r="C52" s="37"/>
      <c r="D52" s="37"/>
      <c r="E52" s="39"/>
      <c r="F52" s="37"/>
      <c r="G52" s="37"/>
      <c r="H52" s="39"/>
      <c r="I52" s="37"/>
      <c r="J52" s="37"/>
      <c r="K52" s="23" t="str">
        <f aca="false">IF(OR(F52="",F51=""),"",F52-F51)</f>
        <v/>
      </c>
      <c r="L52" s="35"/>
    </row>
    <row r="53" customFormat="false" ht="15" hidden="false" customHeight="false" outlineLevel="0" collapsed="false">
      <c r="A53" s="41"/>
      <c r="B53" s="37"/>
      <c r="C53" s="37"/>
      <c r="D53" s="37"/>
      <c r="E53" s="39"/>
      <c r="F53" s="37"/>
      <c r="G53" s="37"/>
      <c r="H53" s="39"/>
      <c r="I53" s="37"/>
      <c r="J53" s="37"/>
      <c r="K53" s="23" t="str">
        <f aca="false">IF(OR(F53="",F52=""),"",F53-F52)</f>
        <v/>
      </c>
      <c r="L53" s="35"/>
    </row>
    <row r="54" customFormat="false" ht="15" hidden="false" customHeight="false" outlineLevel="0" collapsed="false">
      <c r="A54" s="41"/>
      <c r="B54" s="37"/>
      <c r="C54" s="37"/>
      <c r="D54" s="37"/>
      <c r="E54" s="39"/>
      <c r="F54" s="37"/>
      <c r="G54" s="37"/>
      <c r="H54" s="39"/>
      <c r="I54" s="37"/>
      <c r="J54" s="37"/>
      <c r="K54" s="23" t="str">
        <f aca="false">IF(OR(F54="",F53=""),"",F54-F53)</f>
        <v/>
      </c>
      <c r="L54" s="35"/>
    </row>
    <row r="55" customFormat="false" ht="15" hidden="false" customHeight="false" outlineLevel="0" collapsed="false">
      <c r="A55" s="41"/>
      <c r="B55" s="37"/>
      <c r="C55" s="37"/>
      <c r="D55" s="37"/>
      <c r="E55" s="39"/>
      <c r="F55" s="37"/>
      <c r="G55" s="37"/>
      <c r="H55" s="39"/>
      <c r="I55" s="37"/>
      <c r="J55" s="37"/>
      <c r="K55" s="23" t="str">
        <f aca="false">IF(OR(F55="",F54=""),"",F55-F54)</f>
        <v/>
      </c>
      <c r="L55" s="35"/>
    </row>
    <row r="56" customFormat="false" ht="15" hidden="false" customHeight="false" outlineLevel="0" collapsed="false">
      <c r="A56" s="41"/>
      <c r="B56" s="37"/>
      <c r="C56" s="37"/>
      <c r="D56" s="37"/>
      <c r="E56" s="39"/>
      <c r="F56" s="37"/>
      <c r="G56" s="37"/>
      <c r="H56" s="39"/>
      <c r="I56" s="37"/>
      <c r="J56" s="37"/>
      <c r="K56" s="23" t="str">
        <f aca="false">IF(OR(F56="",F55=""),"",F56-F55)</f>
        <v/>
      </c>
      <c r="L56" s="35"/>
    </row>
    <row r="57" customFormat="false" ht="15" hidden="false" customHeight="false" outlineLevel="0" collapsed="false">
      <c r="A57" s="41"/>
      <c r="B57" s="37"/>
      <c r="C57" s="37"/>
      <c r="D57" s="37"/>
      <c r="E57" s="39"/>
      <c r="F57" s="37"/>
      <c r="G57" s="37"/>
      <c r="H57" s="39"/>
      <c r="I57" s="37"/>
      <c r="J57" s="37"/>
      <c r="K57" s="23" t="str">
        <f aca="false">IF(OR(F57="",F56=""),"",F57-F56)</f>
        <v/>
      </c>
      <c r="L57" s="35"/>
    </row>
    <row r="58" customFormat="false" ht="15" hidden="false" customHeight="false" outlineLevel="0" collapsed="false">
      <c r="A58" s="41"/>
      <c r="B58" s="37"/>
      <c r="C58" s="37"/>
      <c r="D58" s="37"/>
      <c r="E58" s="39"/>
      <c r="F58" s="37"/>
      <c r="G58" s="37"/>
      <c r="H58" s="39"/>
      <c r="I58" s="37"/>
      <c r="J58" s="37"/>
      <c r="K58" s="23" t="str">
        <f aca="false">IF(OR(F58="",F57=""),"",F58-F57)</f>
        <v/>
      </c>
      <c r="L58" s="35"/>
    </row>
    <row r="59" customFormat="false" ht="15" hidden="false" customHeight="false" outlineLevel="0" collapsed="false">
      <c r="A59" s="41"/>
      <c r="B59" s="37"/>
      <c r="C59" s="37"/>
      <c r="D59" s="37"/>
      <c r="E59" s="39"/>
      <c r="F59" s="37"/>
      <c r="G59" s="37"/>
      <c r="H59" s="39"/>
      <c r="I59" s="37"/>
      <c r="J59" s="37"/>
      <c r="K59" s="23" t="str">
        <f aca="false">IF(OR(F59="",F58=""),"",F59-F58)</f>
        <v/>
      </c>
      <c r="L59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6"/>
  </cols>
  <sheetData>
    <row r="1" customFormat="false" ht="19.7" hidden="false" customHeight="false" outlineLevel="0" collapsed="false">
      <c r="A1" s="22" t="s">
        <v>760</v>
      </c>
    </row>
    <row r="4" customFormat="false" ht="15" hidden="false" customHeight="false" outlineLevel="0" collapsed="false">
      <c r="A4" s="42" t="s">
        <v>761</v>
      </c>
      <c r="B4" s="43"/>
    </row>
    <row r="5" customFormat="false" ht="36" hidden="false" customHeight="true" outlineLevel="0" collapsed="false">
      <c r="A5" s="30"/>
      <c r="B5" s="44" t="s">
        <v>762</v>
      </c>
    </row>
    <row r="6" customFormat="false" ht="15" hidden="false" customHeight="false" outlineLevel="0" collapsed="false">
      <c r="A6" s="42" t="s">
        <v>763</v>
      </c>
      <c r="B6" s="43"/>
    </row>
    <row r="7" customFormat="false" ht="15" hidden="false" customHeight="true" outlineLevel="0" collapsed="false">
      <c r="A7" s="30" t="s">
        <v>764</v>
      </c>
      <c r="B7" s="44" t="s">
        <v>765</v>
      </c>
    </row>
    <row r="8" customFormat="false" ht="15" hidden="false" customHeight="true" outlineLevel="0" collapsed="false">
      <c r="A8" s="30" t="s">
        <v>766</v>
      </c>
      <c r="B8" s="44" t="s">
        <v>767</v>
      </c>
    </row>
    <row r="9" customFormat="false" ht="15" hidden="false" customHeight="true" outlineLevel="0" collapsed="false">
      <c r="A9" s="30" t="s">
        <v>768</v>
      </c>
      <c r="B9" s="44" t="s">
        <v>769</v>
      </c>
    </row>
    <row r="10" customFormat="false" ht="15" hidden="false" customHeight="true" outlineLevel="0" collapsed="false">
      <c r="A10" s="30" t="s">
        <v>770</v>
      </c>
      <c r="B10" s="44" t="s">
        <v>771</v>
      </c>
    </row>
    <row r="11" customFormat="false" ht="24" hidden="false" customHeight="true" outlineLevel="0" collapsed="false">
      <c r="A11" s="30" t="s">
        <v>772</v>
      </c>
      <c r="B11" s="44" t="s">
        <v>773</v>
      </c>
    </row>
    <row r="12" customFormat="false" ht="24" hidden="false" customHeight="true" outlineLevel="0" collapsed="false">
      <c r="A12" s="30" t="s">
        <v>774</v>
      </c>
      <c r="B12" s="44" t="s">
        <v>775</v>
      </c>
    </row>
    <row r="13" customFormat="false" ht="15" hidden="false" customHeight="false" outlineLevel="0" collapsed="false">
      <c r="A13" s="42" t="s">
        <v>776</v>
      </c>
      <c r="B13" s="43"/>
    </row>
    <row r="14" customFormat="false" ht="15" hidden="false" customHeight="true" outlineLevel="0" collapsed="false">
      <c r="A14" s="30"/>
      <c r="B14" s="44" t="s">
        <v>777</v>
      </c>
    </row>
    <row r="15" customFormat="false" ht="15" hidden="false" customHeight="false" outlineLevel="0" collapsed="false">
      <c r="A15" s="42" t="s">
        <v>778</v>
      </c>
      <c r="B15" s="43"/>
    </row>
    <row r="16" customFormat="false" ht="24" hidden="false" customHeight="true" outlineLevel="0" collapsed="false">
      <c r="A16" s="30"/>
      <c r="B16" s="44" t="s">
        <v>779</v>
      </c>
    </row>
    <row r="17" customFormat="false" ht="15" hidden="false" customHeight="false" outlineLevel="0" collapsed="false">
      <c r="A17" s="42" t="s">
        <v>780</v>
      </c>
      <c r="B17" s="43"/>
    </row>
    <row r="18" customFormat="false" ht="24" hidden="false" customHeight="true" outlineLevel="0" collapsed="false">
      <c r="A18" s="30" t="s">
        <v>781</v>
      </c>
      <c r="B18" s="44" t="s">
        <v>782</v>
      </c>
    </row>
    <row r="19" customFormat="false" ht="15" hidden="false" customHeight="false" outlineLevel="0" collapsed="false">
      <c r="A19" s="42" t="s">
        <v>783</v>
      </c>
      <c r="B19" s="43"/>
    </row>
    <row r="20" customFormat="false" ht="15" hidden="false" customHeight="true" outlineLevel="0" collapsed="false">
      <c r="A20" s="30" t="s">
        <v>784</v>
      </c>
      <c r="B20" s="44" t="s">
        <v>785</v>
      </c>
    </row>
    <row r="21" customFormat="false" ht="15" hidden="false" customHeight="true" outlineLevel="0" collapsed="false">
      <c r="A21" s="30" t="s">
        <v>786</v>
      </c>
      <c r="B21" s="44" t="s">
        <v>787</v>
      </c>
    </row>
    <row r="22" customFormat="false" ht="15" hidden="false" customHeight="true" outlineLevel="0" collapsed="false">
      <c r="A22" s="30" t="s">
        <v>788</v>
      </c>
      <c r="B22" s="44" t="s">
        <v>789</v>
      </c>
    </row>
    <row r="23" customFormat="false" ht="15" hidden="false" customHeight="true" outlineLevel="0" collapsed="false">
      <c r="A23" s="30" t="s">
        <v>790</v>
      </c>
      <c r="B23" s="44" t="s">
        <v>791</v>
      </c>
    </row>
    <row r="24" customFormat="false" ht="15" hidden="false" customHeight="false" outlineLevel="0" collapsed="false">
      <c r="A24" s="42" t="s">
        <v>792</v>
      </c>
      <c r="B24" s="43"/>
    </row>
    <row r="25" customFormat="false" ht="36" hidden="false" customHeight="true" outlineLevel="0" collapsed="false">
      <c r="A25" s="30"/>
      <c r="B25" s="44" t="s">
        <v>793</v>
      </c>
    </row>
    <row r="26" customFormat="false" ht="15" hidden="false" customHeight="false" outlineLevel="0" collapsed="false">
      <c r="A26" s="42" t="s">
        <v>794</v>
      </c>
      <c r="B26" s="43"/>
    </row>
    <row r="27" customFormat="false" ht="24" hidden="false" customHeight="true" outlineLevel="0" collapsed="false">
      <c r="A27" s="30"/>
      <c r="B27" s="44" t="s">
        <v>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2026-07-28T03:59:13Z</dcterms:created>
  <dc:creator>openpyxl</dc:creator>
  <dc:description/>
  <dc:language>en-US</dc:language>
  <cp:lastModifiedBy/>
  <dcterms:modified xsi:type="dcterms:W3CDTF">2026-07-28T03:59:18Z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