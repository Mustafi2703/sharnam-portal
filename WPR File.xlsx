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3-Projects\dashboard\"/>
    </mc:Choice>
  </mc:AlternateContent>
  <xr:revisionPtr revIDLastSave="0" documentId="13_ncr:1_{39B06A57-968F-440C-825A-ED48DDCFD965}" xr6:coauthVersionLast="47" xr6:coauthVersionMax="47" xr10:uidLastSave="{00000000-0000-0000-0000-000000000000}"/>
  <bookViews>
    <workbookView xWindow="-108" yWindow="-108" windowWidth="23256" windowHeight="12456" tabRatio="897" firstSheet="12" activeTab="20" xr2:uid="{42A59041-9FCD-4A06-96A0-55BD730F6B1E}"/>
  </bookViews>
  <sheets>
    <sheet name="Master Drawing Register " sheetId="1" r:id="rId1"/>
    <sheet name="Site Drawing Register " sheetId="2" r:id="rId2"/>
    <sheet name="Hinderance Register" sheetId="3" r:id="rId3"/>
    <sheet name="Legal Approval Tracker" sheetId="4" r:id="rId4"/>
    <sheet name="Milestone Dashboard" sheetId="5" r:id="rId5"/>
    <sheet name="SOR Log" sheetId="6" r:id="rId6"/>
    <sheet name="Cube Test" sheetId="7" r:id="rId7"/>
    <sheet name="CAR register" sheetId="8" r:id="rId8"/>
    <sheet name="Weekly Manpower" sheetId="9" r:id="rId9"/>
    <sheet name="Project Cashflow " sheetId="10" r:id="rId10"/>
    <sheet name="Planned Vs Actual " sheetId="11" r:id="rId11"/>
    <sheet name="As per drawing status" sheetId="12" r:id="rId12"/>
    <sheet name="Quality SOR Log" sheetId="13" r:id="rId13"/>
    <sheet name="Risk Register" sheetId="14" r:id="rId14"/>
    <sheet name="Site Instruction" sheetId="15" r:id="rId15"/>
    <sheet name="Unsafe Act Summary" sheetId="16" r:id="rId16"/>
    <sheet name="NCR Summary" sheetId="17" r:id="rId17"/>
    <sheet name="Safety Hours" sheetId="18" r:id="rId18"/>
    <sheet name="NCR" sheetId="19" r:id="rId19"/>
    <sheet name="Observation - Unsafe Act" sheetId="20" r:id="rId20"/>
    <sheet name="HIRA " sheetId="21" r:id="rId21"/>
  </sheets>
  <externalReferences>
    <externalReference r:id="rId22"/>
    <externalReference r:id="rId23"/>
    <externalReference r:id="rId24"/>
  </externalReferences>
  <calcPr calcId="191029"/>
  <pivotCaches>
    <pivotCache cacheId="6" r:id="rId25"/>
    <pivotCache cacheId="7" r:id="rId26"/>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39" i="21" l="1"/>
  <c r="I39" i="21"/>
  <c r="M38" i="21"/>
  <c r="I38" i="21"/>
  <c r="M37" i="21"/>
  <c r="I37" i="21"/>
  <c r="M36" i="21"/>
  <c r="I36" i="21"/>
  <c r="M35" i="21"/>
  <c r="I35" i="21"/>
  <c r="M34" i="21"/>
  <c r="I34" i="21"/>
  <c r="M33" i="21"/>
  <c r="I33" i="21"/>
  <c r="M32" i="21"/>
  <c r="I32" i="21"/>
  <c r="M31" i="21"/>
  <c r="I31" i="21"/>
  <c r="M30" i="21"/>
  <c r="I30" i="21"/>
  <c r="M29" i="21"/>
  <c r="I29" i="21"/>
  <c r="M28" i="21"/>
  <c r="I28" i="21"/>
  <c r="M27" i="21"/>
  <c r="I27" i="21"/>
  <c r="M26" i="21"/>
  <c r="I26" i="21"/>
  <c r="M25" i="21"/>
  <c r="I25" i="21"/>
  <c r="M24" i="21"/>
  <c r="I24" i="21"/>
  <c r="M23" i="21"/>
  <c r="I23" i="21"/>
  <c r="M22" i="21"/>
  <c r="I22" i="21"/>
  <c r="M21" i="21"/>
  <c r="I21" i="21"/>
  <c r="M20" i="21"/>
  <c r="I20" i="21"/>
  <c r="M19" i="21"/>
  <c r="I19" i="21"/>
  <c r="M18" i="21"/>
  <c r="I18" i="21"/>
  <c r="M17" i="21"/>
  <c r="I17" i="21"/>
  <c r="M16" i="21"/>
  <c r="I16" i="21"/>
  <c r="M15" i="21"/>
  <c r="I15" i="21"/>
  <c r="M14" i="21"/>
  <c r="I14" i="21"/>
  <c r="M13" i="21"/>
  <c r="I13" i="21"/>
  <c r="M12" i="21"/>
  <c r="I12" i="21"/>
  <c r="M11" i="21"/>
  <c r="I11" i="21"/>
  <c r="M10" i="21"/>
  <c r="I10" i="21"/>
  <c r="M9" i="21"/>
  <c r="I9" i="21"/>
  <c r="M8" i="21"/>
  <c r="I8" i="21"/>
  <c r="M7" i="21"/>
  <c r="I7" i="21"/>
  <c r="E39" i="18"/>
  <c r="E38" i="18"/>
  <c r="E37" i="18"/>
  <c r="E36" i="18"/>
  <c r="E35" i="18"/>
  <c r="E34" i="18"/>
  <c r="E33" i="18"/>
  <c r="E32" i="18"/>
  <c r="E31" i="18"/>
  <c r="E30" i="18"/>
  <c r="E29" i="18"/>
  <c r="D29" i="18"/>
  <c r="E19" i="18"/>
  <c r="E18" i="18"/>
  <c r="E17" i="18"/>
  <c r="E16" i="18"/>
  <c r="E15" i="18"/>
  <c r="E14" i="18"/>
  <c r="E13" i="18"/>
  <c r="E12" i="18"/>
  <c r="E11" i="18"/>
  <c r="E10" i="18"/>
  <c r="E9" i="18"/>
  <c r="D9" i="18"/>
  <c r="J7" i="18"/>
  <c r="L7" i="17"/>
  <c r="J7" i="17"/>
  <c r="L7" i="16"/>
  <c r="J7" i="16"/>
  <c r="R32" i="14" l="1"/>
  <c r="H32" i="14"/>
  <c r="R31" i="14"/>
  <c r="H31" i="14"/>
  <c r="R30" i="14"/>
  <c r="H30" i="14"/>
  <c r="R29" i="14"/>
  <c r="H29" i="14"/>
  <c r="R28" i="14"/>
  <c r="H28" i="14"/>
  <c r="R27" i="14"/>
  <c r="H27" i="14"/>
  <c r="R26" i="14"/>
  <c r="H26" i="14"/>
  <c r="R25" i="14"/>
  <c r="H25" i="14"/>
  <c r="R24" i="14"/>
  <c r="H24" i="14"/>
  <c r="R23" i="14"/>
  <c r="H23" i="14"/>
  <c r="R22" i="14"/>
  <c r="H22" i="14"/>
  <c r="R21" i="14"/>
  <c r="H21" i="14"/>
  <c r="R20" i="14"/>
  <c r="H20" i="14"/>
  <c r="R19" i="14"/>
  <c r="H19" i="14"/>
  <c r="R18" i="14"/>
  <c r="H18" i="14"/>
  <c r="R17" i="14"/>
  <c r="H17" i="14"/>
  <c r="R16" i="14"/>
  <c r="H16" i="14"/>
  <c r="R15" i="14"/>
  <c r="H15" i="14"/>
  <c r="R14" i="14"/>
  <c r="H14" i="14"/>
  <c r="R13" i="14"/>
  <c r="H13" i="14"/>
  <c r="R12" i="14"/>
  <c r="H12" i="14"/>
  <c r="R11" i="14"/>
  <c r="H11" i="14"/>
  <c r="R10" i="14"/>
  <c r="H10" i="14"/>
  <c r="R9" i="14"/>
  <c r="H9" i="14"/>
  <c r="R8" i="14"/>
  <c r="H8" i="14"/>
  <c r="R7" i="14"/>
  <c r="H7" i="14"/>
  <c r="R6" i="14"/>
  <c r="H6" i="14"/>
  <c r="R5" i="14"/>
  <c r="H5" i="14"/>
  <c r="R4" i="14"/>
  <c r="H4" i="14"/>
  <c r="R3" i="14"/>
  <c r="H3" i="14"/>
  <c r="C113" i="12" l="1"/>
  <c r="C105" i="12"/>
  <c r="C101" i="12" a="1"/>
  <c r="C112" i="12" s="1"/>
  <c r="D112" i="12" s="1"/>
  <c r="B112" i="12"/>
  <c r="B107" i="12"/>
  <c r="B104" i="12"/>
  <c r="B101" i="12" a="1"/>
  <c r="B111" i="12" s="1"/>
  <c r="A111" i="12"/>
  <c r="A103" i="12"/>
  <c r="A101" i="12" a="1"/>
  <c r="A110" i="12" s="1"/>
  <c r="I70" i="12"/>
  <c r="H70" i="12"/>
  <c r="G70" i="12"/>
  <c r="F70" i="12"/>
  <c r="D70" i="12"/>
  <c r="C70" i="12"/>
  <c r="I69" i="12"/>
  <c r="H69" i="12"/>
  <c r="G69" i="12"/>
  <c r="F69" i="12"/>
  <c r="D69" i="12"/>
  <c r="C69" i="12"/>
  <c r="I68" i="12"/>
  <c r="H68" i="12"/>
  <c r="G68" i="12"/>
  <c r="F68" i="12"/>
  <c r="D68" i="12"/>
  <c r="C68" i="12"/>
  <c r="I67" i="12"/>
  <c r="H67" i="12"/>
  <c r="G67" i="12"/>
  <c r="F67" i="12"/>
  <c r="D67" i="12"/>
  <c r="C67" i="12"/>
  <c r="I66" i="12"/>
  <c r="H66" i="12"/>
  <c r="G66" i="12"/>
  <c r="F66" i="12"/>
  <c r="D66" i="12"/>
  <c r="C66" i="12"/>
  <c r="I65" i="12"/>
  <c r="H65" i="12"/>
  <c r="G65" i="12"/>
  <c r="F65" i="12"/>
  <c r="D65" i="12"/>
  <c r="C65" i="12"/>
  <c r="I64" i="12"/>
  <c r="H64" i="12"/>
  <c r="G64" i="12"/>
  <c r="F64" i="12"/>
  <c r="D64" i="12"/>
  <c r="C64" i="12"/>
  <c r="I63" i="12"/>
  <c r="H63" i="12"/>
  <c r="G63" i="12"/>
  <c r="F63" i="12"/>
  <c r="D63" i="12"/>
  <c r="C63" i="12"/>
  <c r="I62" i="12"/>
  <c r="H62" i="12"/>
  <c r="G62" i="12"/>
  <c r="F62" i="12"/>
  <c r="D62" i="12"/>
  <c r="C62" i="12"/>
  <c r="I61" i="12"/>
  <c r="H61" i="12"/>
  <c r="G61" i="12"/>
  <c r="F61" i="12"/>
  <c r="D61" i="12"/>
  <c r="C61" i="12"/>
  <c r="I60" i="12"/>
  <c r="H60" i="12"/>
  <c r="G60" i="12"/>
  <c r="F60" i="12"/>
  <c r="D60" i="12"/>
  <c r="C60" i="12"/>
  <c r="I59" i="12"/>
  <c r="H59" i="12"/>
  <c r="G59" i="12"/>
  <c r="F59" i="12"/>
  <c r="E59" i="12"/>
  <c r="D59" i="12"/>
  <c r="C59" i="12"/>
  <c r="I58" i="12"/>
  <c r="H58" i="12"/>
  <c r="G58" i="12"/>
  <c r="F58" i="12"/>
  <c r="D58" i="12"/>
  <c r="C58" i="12"/>
  <c r="I57" i="12"/>
  <c r="H57" i="12"/>
  <c r="G57" i="12"/>
  <c r="F57" i="12"/>
  <c r="D57" i="12"/>
  <c r="C57" i="12"/>
  <c r="I56" i="12"/>
  <c r="H56" i="12"/>
  <c r="G56" i="12"/>
  <c r="F56" i="12"/>
  <c r="D56" i="12"/>
  <c r="C56" i="12"/>
  <c r="I55" i="12"/>
  <c r="H55" i="12"/>
  <c r="G55" i="12"/>
  <c r="F55" i="12"/>
  <c r="E55" i="12"/>
  <c r="D55" i="12"/>
  <c r="C55" i="12"/>
  <c r="I54" i="12"/>
  <c r="H54" i="12"/>
  <c r="G54" i="12"/>
  <c r="F54" i="12"/>
  <c r="E54" i="12"/>
  <c r="D54" i="12"/>
  <c r="C54" i="12"/>
  <c r="I53" i="12"/>
  <c r="H53" i="12"/>
  <c r="G53" i="12"/>
  <c r="F53" i="12"/>
  <c r="E53" i="12"/>
  <c r="D53" i="12"/>
  <c r="C53" i="12"/>
  <c r="I52" i="12"/>
  <c r="H52" i="12"/>
  <c r="G52" i="12"/>
  <c r="F52" i="12"/>
  <c r="E52" i="12"/>
  <c r="D52" i="12"/>
  <c r="C52" i="12"/>
  <c r="I51" i="12"/>
  <c r="H51" i="12"/>
  <c r="G51" i="12"/>
  <c r="F51" i="12"/>
  <c r="E51" i="12"/>
  <c r="D51" i="12"/>
  <c r="C51" i="12"/>
  <c r="I50" i="12"/>
  <c r="H50" i="12"/>
  <c r="G50" i="12"/>
  <c r="F50" i="12"/>
  <c r="E50" i="12"/>
  <c r="D50" i="12"/>
  <c r="C50" i="12"/>
  <c r="I49" i="12"/>
  <c r="H49" i="12"/>
  <c r="G49" i="12"/>
  <c r="F49" i="12"/>
  <c r="D49" i="12"/>
  <c r="C49" i="12"/>
  <c r="I48" i="12"/>
  <c r="H48" i="12"/>
  <c r="G48" i="12"/>
  <c r="F48" i="12"/>
  <c r="D48" i="12"/>
  <c r="C48" i="12"/>
  <c r="I47" i="12"/>
  <c r="H47" i="12"/>
  <c r="G47" i="12"/>
  <c r="F47" i="12"/>
  <c r="D47" i="12"/>
  <c r="C47" i="12"/>
  <c r="I46" i="12"/>
  <c r="H46" i="12"/>
  <c r="G46" i="12"/>
  <c r="F46" i="12"/>
  <c r="D46" i="12"/>
  <c r="C46" i="12"/>
  <c r="I45" i="12"/>
  <c r="H45" i="12"/>
  <c r="G45" i="12"/>
  <c r="F45" i="12"/>
  <c r="E45" i="12"/>
  <c r="D45" i="12"/>
  <c r="C45" i="12"/>
  <c r="I44" i="12"/>
  <c r="H44" i="12"/>
  <c r="G44" i="12"/>
  <c r="F44" i="12"/>
  <c r="D44" i="12"/>
  <c r="C44" i="12"/>
  <c r="I43" i="12"/>
  <c r="H43" i="12"/>
  <c r="G43" i="12"/>
  <c r="F43" i="12"/>
  <c r="D43" i="12"/>
  <c r="C43" i="12"/>
  <c r="I42" i="12"/>
  <c r="H42" i="12"/>
  <c r="G42" i="12"/>
  <c r="F42" i="12"/>
  <c r="D42" i="12"/>
  <c r="C42" i="12"/>
  <c r="I41" i="12"/>
  <c r="H41" i="12"/>
  <c r="G41" i="12"/>
  <c r="F41" i="12"/>
  <c r="D41" i="12"/>
  <c r="C41" i="12"/>
  <c r="I40" i="12"/>
  <c r="H40" i="12"/>
  <c r="G40" i="12"/>
  <c r="F40" i="12"/>
  <c r="E40" i="12"/>
  <c r="D40" i="12"/>
  <c r="C40" i="12"/>
  <c r="I39" i="12"/>
  <c r="H39" i="12"/>
  <c r="G39" i="12"/>
  <c r="F39" i="12"/>
  <c r="E39" i="12"/>
  <c r="D39" i="12"/>
  <c r="C39" i="12"/>
  <c r="I38" i="12"/>
  <c r="H38" i="12"/>
  <c r="G38" i="12"/>
  <c r="F38" i="12"/>
  <c r="E38" i="12"/>
  <c r="D38" i="12"/>
  <c r="C38" i="12"/>
  <c r="I37" i="12"/>
  <c r="H37" i="12"/>
  <c r="G37" i="12"/>
  <c r="F37" i="12"/>
  <c r="E37" i="12"/>
  <c r="D37" i="12"/>
  <c r="C37" i="12"/>
  <c r="I36" i="12"/>
  <c r="H36" i="12"/>
  <c r="G36" i="12"/>
  <c r="F36" i="12"/>
  <c r="E36" i="12"/>
  <c r="D36" i="12"/>
  <c r="C36" i="12"/>
  <c r="I35" i="12"/>
  <c r="H35" i="12"/>
  <c r="G35" i="12"/>
  <c r="F35" i="12"/>
  <c r="E35" i="12"/>
  <c r="D35" i="12"/>
  <c r="C35" i="12"/>
  <c r="I34" i="12"/>
  <c r="H34" i="12"/>
  <c r="G34" i="12"/>
  <c r="F34" i="12"/>
  <c r="D34" i="12"/>
  <c r="C34" i="12"/>
  <c r="I33" i="12"/>
  <c r="H33" i="12"/>
  <c r="G33" i="12"/>
  <c r="F33" i="12"/>
  <c r="D33" i="12"/>
  <c r="C33" i="12"/>
  <c r="I32" i="12"/>
  <c r="H32" i="12"/>
  <c r="G32" i="12"/>
  <c r="F32" i="12"/>
  <c r="D32" i="12"/>
  <c r="C32" i="12"/>
  <c r="I31" i="12"/>
  <c r="H31" i="12"/>
  <c r="G31" i="12"/>
  <c r="F31" i="12"/>
  <c r="D31" i="12"/>
  <c r="C31" i="12"/>
  <c r="I30" i="12"/>
  <c r="H30" i="12"/>
  <c r="G30" i="12"/>
  <c r="F30" i="12"/>
  <c r="E30" i="12"/>
  <c r="D30" i="12"/>
  <c r="C30" i="12"/>
  <c r="I29" i="12"/>
  <c r="H29" i="12"/>
  <c r="G29" i="12"/>
  <c r="F29" i="12"/>
  <c r="D29" i="12"/>
  <c r="C29" i="12"/>
  <c r="I28" i="12"/>
  <c r="H28" i="12"/>
  <c r="G28" i="12"/>
  <c r="F28" i="12"/>
  <c r="D28" i="12"/>
  <c r="C28" i="12"/>
  <c r="I27" i="12"/>
  <c r="H27" i="12"/>
  <c r="G27" i="12"/>
  <c r="F27" i="12"/>
  <c r="D27" i="12"/>
  <c r="C27" i="12"/>
  <c r="I26" i="12"/>
  <c r="H26" i="12"/>
  <c r="G26" i="12"/>
  <c r="F26" i="12"/>
  <c r="D26" i="12"/>
  <c r="C26" i="12"/>
  <c r="I25" i="12"/>
  <c r="H25" i="12"/>
  <c r="G25" i="12"/>
  <c r="F25" i="12"/>
  <c r="D25" i="12"/>
  <c r="C25" i="12"/>
  <c r="I24" i="12"/>
  <c r="H24" i="12"/>
  <c r="G24" i="12"/>
  <c r="F24" i="12"/>
  <c r="C24" i="12"/>
  <c r="I23" i="12"/>
  <c r="H23" i="12"/>
  <c r="G23" i="12"/>
  <c r="F23" i="12"/>
  <c r="C23" i="12"/>
  <c r="I22" i="12"/>
  <c r="H22" i="12"/>
  <c r="G22" i="12"/>
  <c r="F22" i="12"/>
  <c r="C22" i="12"/>
  <c r="I21" i="12"/>
  <c r="H21" i="12"/>
  <c r="G21" i="12"/>
  <c r="F21" i="12"/>
  <c r="C21" i="12"/>
  <c r="I20" i="12"/>
  <c r="H20" i="12"/>
  <c r="G20" i="12"/>
  <c r="F20" i="12"/>
  <c r="E20" i="12"/>
  <c r="D20" i="12"/>
  <c r="C20" i="12"/>
  <c r="I19" i="12"/>
  <c r="H19" i="12"/>
  <c r="G19" i="12"/>
  <c r="F19" i="12"/>
  <c r="E19" i="12"/>
  <c r="D19" i="12"/>
  <c r="C19" i="12"/>
  <c r="I18" i="12"/>
  <c r="H18" i="12"/>
  <c r="G18" i="12"/>
  <c r="F18" i="12"/>
  <c r="C18" i="12"/>
  <c r="I17" i="12"/>
  <c r="H17" i="12"/>
  <c r="G17" i="12"/>
  <c r="F17" i="12"/>
  <c r="E17" i="12"/>
  <c r="C17" i="12"/>
  <c r="I16" i="12"/>
  <c r="H16" i="12"/>
  <c r="G16" i="12"/>
  <c r="F16" i="12"/>
  <c r="C16" i="12"/>
  <c r="I15" i="12"/>
  <c r="H15" i="12"/>
  <c r="G15" i="12"/>
  <c r="F15" i="12"/>
  <c r="C15" i="12"/>
  <c r="I14" i="12"/>
  <c r="H14" i="12"/>
  <c r="G14" i="12"/>
  <c r="F14" i="12"/>
  <c r="C14" i="12"/>
  <c r="I13" i="12"/>
  <c r="H13" i="12"/>
  <c r="G13" i="12"/>
  <c r="F13" i="12"/>
  <c r="I12" i="12"/>
  <c r="H12" i="12"/>
  <c r="G12" i="12"/>
  <c r="F12" i="12"/>
  <c r="E12" i="12"/>
  <c r="I11" i="12"/>
  <c r="H11" i="12"/>
  <c r="G11" i="12"/>
  <c r="F11" i="12"/>
  <c r="D11" i="12"/>
  <c r="C11" i="12"/>
  <c r="I10" i="12"/>
  <c r="H10" i="12"/>
  <c r="G10" i="12"/>
  <c r="F10" i="12"/>
  <c r="D10" i="12"/>
  <c r="C10" i="12"/>
  <c r="I9" i="12"/>
  <c r="H9" i="12"/>
  <c r="G9" i="12"/>
  <c r="F9" i="12"/>
  <c r="I8" i="12"/>
  <c r="H8" i="12"/>
  <c r="G8" i="12"/>
  <c r="F8" i="12"/>
  <c r="E8" i="12"/>
  <c r="I7" i="12"/>
  <c r="H7" i="12"/>
  <c r="G7" i="12"/>
  <c r="F7" i="12"/>
  <c r="E7" i="12"/>
  <c r="C7" i="12"/>
  <c r="I6" i="12"/>
  <c r="H6" i="12"/>
  <c r="G6" i="12"/>
  <c r="F6" i="12"/>
  <c r="E6" i="12"/>
  <c r="I5" i="12"/>
  <c r="H5" i="12"/>
  <c r="G5" i="12"/>
  <c r="F5" i="12"/>
  <c r="I4" i="12"/>
  <c r="H4" i="12"/>
  <c r="G4" i="12"/>
  <c r="F4" i="12"/>
  <c r="E4" i="12"/>
  <c r="Q78" i="11"/>
  <c r="P77" i="11"/>
  <c r="N77" i="11"/>
  <c r="M77" i="11"/>
  <c r="R77" i="11" s="1"/>
  <c r="J77" i="11"/>
  <c r="O77" i="11" s="1"/>
  <c r="R76" i="11"/>
  <c r="P76" i="11"/>
  <c r="N76" i="11"/>
  <c r="M76" i="11"/>
  <c r="J76" i="11"/>
  <c r="O76" i="11" s="1"/>
  <c r="O75" i="11"/>
  <c r="N75" i="11"/>
  <c r="M75" i="11"/>
  <c r="R75" i="11" s="1"/>
  <c r="J75" i="11"/>
  <c r="P75" i="11" s="1"/>
  <c r="M74" i="11"/>
  <c r="R74" i="11" s="1"/>
  <c r="J74" i="11"/>
  <c r="P74" i="11" s="1"/>
  <c r="P73" i="11"/>
  <c r="N73" i="11"/>
  <c r="M73" i="11"/>
  <c r="R73" i="11" s="1"/>
  <c r="J73" i="11"/>
  <c r="O73" i="11" s="1"/>
  <c r="R72" i="11"/>
  <c r="P72" i="11"/>
  <c r="N72" i="11"/>
  <c r="M72" i="11"/>
  <c r="J72" i="11"/>
  <c r="O72" i="11" s="1"/>
  <c r="O71" i="11"/>
  <c r="N71" i="11"/>
  <c r="M71" i="11"/>
  <c r="R71" i="11" s="1"/>
  <c r="J71" i="11"/>
  <c r="P71" i="11" s="1"/>
  <c r="T70" i="11"/>
  <c r="N70" i="11"/>
  <c r="M70" i="11"/>
  <c r="R70" i="11" s="1"/>
  <c r="J70" i="11"/>
  <c r="P70" i="11" s="1"/>
  <c r="Q69" i="11"/>
  <c r="N68" i="11"/>
  <c r="K68" i="11"/>
  <c r="L68" i="11" s="1"/>
  <c r="M68" i="11" s="1"/>
  <c r="R68" i="11" s="1"/>
  <c r="J68" i="11"/>
  <c r="K67" i="11"/>
  <c r="L67" i="11" s="1"/>
  <c r="M67" i="11" s="1"/>
  <c r="R67" i="11" s="1"/>
  <c r="J67" i="11"/>
  <c r="N67" i="11" s="1"/>
  <c r="J66" i="11"/>
  <c r="N66" i="11" s="1"/>
  <c r="R65" i="11"/>
  <c r="O65" i="11"/>
  <c r="N65" i="11"/>
  <c r="M65" i="11"/>
  <c r="J65" i="11"/>
  <c r="P65" i="11" s="1"/>
  <c r="N64" i="11"/>
  <c r="K64" i="11"/>
  <c r="L64" i="11" s="1"/>
  <c r="M64" i="11" s="1"/>
  <c r="R64" i="11" s="1"/>
  <c r="J64" i="11"/>
  <c r="K63" i="11"/>
  <c r="L63" i="11" s="1"/>
  <c r="M63" i="11" s="1"/>
  <c r="R63" i="11" s="1"/>
  <c r="J63" i="11"/>
  <c r="N63" i="11" s="1"/>
  <c r="J62" i="11"/>
  <c r="N62" i="11" s="1"/>
  <c r="T61" i="11"/>
  <c r="P61" i="11"/>
  <c r="P69" i="11" s="1"/>
  <c r="O61" i="11"/>
  <c r="O69" i="11" s="1"/>
  <c r="N61" i="11"/>
  <c r="M61" i="11"/>
  <c r="R61" i="11" s="1"/>
  <c r="J61" i="11"/>
  <c r="Q60" i="11"/>
  <c r="M59" i="11"/>
  <c r="R59" i="11" s="1"/>
  <c r="J59" i="11"/>
  <c r="P59" i="11" s="1"/>
  <c r="R58" i="11"/>
  <c r="P58" i="11"/>
  <c r="O58" i="11"/>
  <c r="N58" i="11"/>
  <c r="M58" i="11"/>
  <c r="J58" i="11"/>
  <c r="R57" i="11"/>
  <c r="P57" i="11"/>
  <c r="O57" i="11"/>
  <c r="N57" i="11"/>
  <c r="M57" i="11"/>
  <c r="J57" i="11"/>
  <c r="O56" i="11"/>
  <c r="N56" i="11"/>
  <c r="M56" i="11"/>
  <c r="R56" i="11" s="1"/>
  <c r="J56" i="11"/>
  <c r="P56" i="11" s="1"/>
  <c r="M55" i="11"/>
  <c r="R55" i="11" s="1"/>
  <c r="J55" i="11"/>
  <c r="P55" i="11" s="1"/>
  <c r="R54" i="11"/>
  <c r="N54" i="11"/>
  <c r="M54" i="11"/>
  <c r="K53" i="11"/>
  <c r="L53" i="11" s="1"/>
  <c r="M53" i="11" s="1"/>
  <c r="R53" i="11" s="1"/>
  <c r="J53" i="11"/>
  <c r="N53" i="11" s="1"/>
  <c r="J52" i="11"/>
  <c r="N52" i="11" s="1"/>
  <c r="R51" i="11"/>
  <c r="N51" i="11"/>
  <c r="M51" i="11"/>
  <c r="J51" i="11"/>
  <c r="N50" i="11"/>
  <c r="M50" i="11"/>
  <c r="R50" i="11" s="1"/>
  <c r="J50" i="11"/>
  <c r="P50" i="11" s="1"/>
  <c r="R49" i="11"/>
  <c r="M49" i="11"/>
  <c r="J49" i="11"/>
  <c r="P49" i="11" s="1"/>
  <c r="R48" i="11"/>
  <c r="N48" i="11"/>
  <c r="M48" i="11"/>
  <c r="L48" i="11"/>
  <c r="J48" i="11"/>
  <c r="L47" i="11"/>
  <c r="M47" i="11" s="1"/>
  <c r="R47" i="11" s="1"/>
  <c r="J47" i="11"/>
  <c r="N47" i="11" s="1"/>
  <c r="R46" i="11"/>
  <c r="P46" i="11"/>
  <c r="N46" i="11"/>
  <c r="M46" i="11"/>
  <c r="J46" i="11"/>
  <c r="R45" i="11"/>
  <c r="P45" i="11"/>
  <c r="P60" i="11" s="1"/>
  <c r="O45" i="11"/>
  <c r="N45" i="11"/>
  <c r="M45" i="11"/>
  <c r="J45" i="11"/>
  <c r="Q44" i="11"/>
  <c r="R43" i="11"/>
  <c r="P43" i="11"/>
  <c r="O43" i="11"/>
  <c r="M43" i="11"/>
  <c r="J43" i="11"/>
  <c r="N43" i="11" s="1"/>
  <c r="R42" i="11"/>
  <c r="P42" i="11"/>
  <c r="O42" i="11"/>
  <c r="N42" i="11"/>
  <c r="M42" i="11"/>
  <c r="J42" i="11"/>
  <c r="O41" i="11"/>
  <c r="N41" i="11"/>
  <c r="M41" i="11"/>
  <c r="R41" i="11" s="1"/>
  <c r="J41" i="11"/>
  <c r="P41" i="11" s="1"/>
  <c r="M40" i="11"/>
  <c r="R40" i="11" s="1"/>
  <c r="J40" i="11"/>
  <c r="P40" i="11" s="1"/>
  <c r="R39" i="11"/>
  <c r="P39" i="11"/>
  <c r="O39" i="11"/>
  <c r="M39" i="11"/>
  <c r="J39" i="11"/>
  <c r="N39" i="11" s="1"/>
  <c r="R38" i="11"/>
  <c r="P38" i="11"/>
  <c r="O38" i="11"/>
  <c r="N38" i="11"/>
  <c r="M38" i="11"/>
  <c r="J38" i="11"/>
  <c r="O37" i="11"/>
  <c r="N37" i="11"/>
  <c r="M37" i="11"/>
  <c r="R37" i="11" s="1"/>
  <c r="J37" i="11"/>
  <c r="P37" i="11" s="1"/>
  <c r="M36" i="11"/>
  <c r="R36" i="11" s="1"/>
  <c r="J36" i="11"/>
  <c r="P36" i="11" s="1"/>
  <c r="R35" i="11"/>
  <c r="P35" i="11"/>
  <c r="O35" i="11"/>
  <c r="M35" i="11"/>
  <c r="J35" i="11"/>
  <c r="N35" i="11" s="1"/>
  <c r="R34" i="11"/>
  <c r="P34" i="11"/>
  <c r="O34" i="11"/>
  <c r="N34" i="11"/>
  <c r="M34" i="11"/>
  <c r="J34" i="11"/>
  <c r="O33" i="11"/>
  <c r="N33" i="11"/>
  <c r="M33" i="11"/>
  <c r="R33" i="11" s="1"/>
  <c r="J33" i="11"/>
  <c r="P33" i="11" s="1"/>
  <c r="R32" i="11"/>
  <c r="M32" i="11"/>
  <c r="J32" i="11"/>
  <c r="N32" i="11" s="1"/>
  <c r="R31" i="11"/>
  <c r="N31" i="11"/>
  <c r="M31" i="11"/>
  <c r="J31" i="11"/>
  <c r="R30" i="11"/>
  <c r="M30" i="11"/>
  <c r="J30" i="11"/>
  <c r="N30" i="11" s="1"/>
  <c r="R29" i="11"/>
  <c r="R44" i="11" s="1"/>
  <c r="P29" i="11"/>
  <c r="O29" i="11"/>
  <c r="N29" i="11"/>
  <c r="M29" i="11"/>
  <c r="J29" i="11"/>
  <c r="Q28" i="11"/>
  <c r="Q79" i="11" s="1"/>
  <c r="O28" i="11"/>
  <c r="N27" i="11"/>
  <c r="J27" i="11"/>
  <c r="K27" i="11" s="1"/>
  <c r="L27" i="11" s="1"/>
  <c r="M27" i="11" s="1"/>
  <c r="R27" i="11" s="1"/>
  <c r="N26" i="11"/>
  <c r="L26" i="11"/>
  <c r="M26" i="11" s="1"/>
  <c r="R26" i="11" s="1"/>
  <c r="K26" i="11"/>
  <c r="J26" i="11"/>
  <c r="M25" i="11"/>
  <c r="R25" i="11" s="1"/>
  <c r="J25" i="11"/>
  <c r="N25" i="11" s="1"/>
  <c r="N24" i="11"/>
  <c r="M24" i="11"/>
  <c r="R24" i="11" s="1"/>
  <c r="J24" i="11"/>
  <c r="O23" i="11"/>
  <c r="N23" i="11"/>
  <c r="M23" i="11"/>
  <c r="R23" i="11" s="1"/>
  <c r="K23" i="11"/>
  <c r="J23" i="11"/>
  <c r="P23" i="11" s="1"/>
  <c r="P28" i="11" s="1"/>
  <c r="M22" i="11"/>
  <c r="R22" i="11" s="1"/>
  <c r="J22" i="11"/>
  <c r="N22" i="11" s="1"/>
  <c r="R21" i="11"/>
  <c r="M21" i="11"/>
  <c r="J21" i="11"/>
  <c r="N21" i="11" s="1"/>
  <c r="M20" i="11"/>
  <c r="R20" i="11" s="1"/>
  <c r="J20" i="11"/>
  <c r="N20" i="11" s="1"/>
  <c r="R19" i="11"/>
  <c r="M19" i="11"/>
  <c r="J19" i="11"/>
  <c r="N19" i="11" s="1"/>
  <c r="M18" i="11"/>
  <c r="R18" i="11" s="1"/>
  <c r="J18" i="11"/>
  <c r="N18" i="11" s="1"/>
  <c r="R17" i="11"/>
  <c r="M17" i="11"/>
  <c r="J17" i="11"/>
  <c r="N17" i="11" s="1"/>
  <c r="M16" i="11"/>
  <c r="R16" i="11" s="1"/>
  <c r="J16" i="11"/>
  <c r="N16" i="11" s="1"/>
  <c r="R15" i="11"/>
  <c r="M15" i="11"/>
  <c r="J15" i="11"/>
  <c r="N15" i="11" s="1"/>
  <c r="M14" i="11"/>
  <c r="R14" i="11" s="1"/>
  <c r="J14" i="11"/>
  <c r="N14" i="11" s="1"/>
  <c r="R13" i="11"/>
  <c r="M13" i="11"/>
  <c r="J13" i="11"/>
  <c r="N13" i="11" s="1"/>
  <c r="M12" i="11"/>
  <c r="R12" i="11" s="1"/>
  <c r="J12" i="11"/>
  <c r="N12" i="11" s="1"/>
  <c r="R11" i="11"/>
  <c r="M11" i="11"/>
  <c r="J11" i="11"/>
  <c r="N11" i="11" s="1"/>
  <c r="M10" i="11"/>
  <c r="R10" i="11" s="1"/>
  <c r="J10" i="11"/>
  <c r="N10" i="11" s="1"/>
  <c r="R9" i="11"/>
  <c r="M9" i="11"/>
  <c r="J9" i="11"/>
  <c r="N9" i="11" s="1"/>
  <c r="M8" i="11"/>
  <c r="R8" i="11" s="1"/>
  <c r="J8" i="11"/>
  <c r="N8" i="11" s="1"/>
  <c r="R7" i="11"/>
  <c r="M7" i="11"/>
  <c r="J7" i="11"/>
  <c r="N7" i="11" s="1"/>
  <c r="E12" i="10"/>
  <c r="F8" i="10"/>
  <c r="F7" i="10"/>
  <c r="V63" i="9"/>
  <c r="T63" i="9"/>
  <c r="S63" i="9"/>
  <c r="R63" i="9"/>
  <c r="Q63" i="9"/>
  <c r="P63" i="9"/>
  <c r="M63" i="9"/>
  <c r="C14" i="9" s="1"/>
  <c r="E14" i="9" s="1"/>
  <c r="F14" i="9" s="1"/>
  <c r="L63" i="9"/>
  <c r="K63" i="9"/>
  <c r="C12" i="9" s="1"/>
  <c r="J63" i="9"/>
  <c r="I63" i="9"/>
  <c r="H63" i="9"/>
  <c r="G63" i="9"/>
  <c r="F63" i="9"/>
  <c r="E63" i="9"/>
  <c r="C6" i="9" s="1"/>
  <c r="E6" i="9" s="1"/>
  <c r="F6" i="9" s="1"/>
  <c r="D63" i="9"/>
  <c r="C63" i="9"/>
  <c r="C4" i="9" s="1"/>
  <c r="V52" i="9"/>
  <c r="U52" i="9"/>
  <c r="T52" i="9"/>
  <c r="S52" i="9"/>
  <c r="R52" i="9"/>
  <c r="Q52" i="9"/>
  <c r="P52" i="9"/>
  <c r="M52" i="9"/>
  <c r="D14" i="9" s="1"/>
  <c r="L52" i="9"/>
  <c r="K52" i="9"/>
  <c r="D12" i="9" s="1"/>
  <c r="J52" i="9"/>
  <c r="I52" i="9"/>
  <c r="H52" i="9"/>
  <c r="D9" i="9" s="1"/>
  <c r="E9" i="9" s="1"/>
  <c r="F9" i="9" s="1"/>
  <c r="G52" i="9"/>
  <c r="D8" i="9" s="1"/>
  <c r="E8" i="9" s="1"/>
  <c r="F8" i="9" s="1"/>
  <c r="F52" i="9"/>
  <c r="E52" i="9"/>
  <c r="D6" i="9" s="1"/>
  <c r="D52" i="9"/>
  <c r="C52" i="9"/>
  <c r="D13" i="9"/>
  <c r="E13" i="9" s="1"/>
  <c r="F13" i="9" s="1"/>
  <c r="C13" i="9"/>
  <c r="D11" i="9"/>
  <c r="C11" i="9"/>
  <c r="E11" i="9" s="1"/>
  <c r="F11" i="9" s="1"/>
  <c r="D10" i="9"/>
  <c r="C10" i="9"/>
  <c r="E10" i="9" s="1"/>
  <c r="F10" i="9" s="1"/>
  <c r="C9" i="9"/>
  <c r="C8" i="9"/>
  <c r="D7" i="9"/>
  <c r="C7" i="9"/>
  <c r="E7" i="9" s="1"/>
  <c r="F7" i="9" s="1"/>
  <c r="D5" i="9"/>
  <c r="E5" i="9" s="1"/>
  <c r="F5" i="9" s="1"/>
  <c r="C5" i="9"/>
  <c r="D4" i="9"/>
  <c r="D105" i="12" l="1"/>
  <c r="D113" i="12"/>
  <c r="A104" i="12"/>
  <c r="A112" i="12"/>
  <c r="B105" i="12"/>
  <c r="B113" i="12"/>
  <c r="C106" i="12"/>
  <c r="D106" i="12" s="1"/>
  <c r="C114" i="12"/>
  <c r="D114" i="12" s="1"/>
  <c r="A105" i="12"/>
  <c r="A113" i="12"/>
  <c r="B106" i="12"/>
  <c r="B114" i="12"/>
  <c r="C107" i="12"/>
  <c r="D107" i="12" s="1"/>
  <c r="A106" i="12"/>
  <c r="A114" i="12"/>
  <c r="C108" i="12"/>
  <c r="A107" i="12"/>
  <c r="B108" i="12"/>
  <c r="C101" i="12"/>
  <c r="C109" i="12"/>
  <c r="A108" i="12"/>
  <c r="B101" i="12"/>
  <c r="B109" i="12"/>
  <c r="C102" i="12"/>
  <c r="D102" i="12" s="1"/>
  <c r="C110" i="12"/>
  <c r="D110" i="12" s="1"/>
  <c r="A101" i="12"/>
  <c r="A109" i="12"/>
  <c r="B102" i="12"/>
  <c r="B110" i="12"/>
  <c r="C103" i="12"/>
  <c r="C111" i="12"/>
  <c r="D111" i="12" s="1"/>
  <c r="A102" i="12"/>
  <c r="B103" i="12"/>
  <c r="C104" i="12"/>
  <c r="D104" i="12" s="1"/>
  <c r="R60" i="11"/>
  <c r="R78" i="11"/>
  <c r="P44" i="11"/>
  <c r="P79" i="11" s="1"/>
  <c r="R28" i="11"/>
  <c r="P78" i="11"/>
  <c r="N36" i="11"/>
  <c r="N40" i="11"/>
  <c r="O50" i="11"/>
  <c r="K52" i="11"/>
  <c r="L52" i="11" s="1"/>
  <c r="M52" i="11" s="1"/>
  <c r="R52" i="11" s="1"/>
  <c r="N55" i="11"/>
  <c r="N59" i="11"/>
  <c r="K62" i="11"/>
  <c r="L62" i="11" s="1"/>
  <c r="M62" i="11" s="1"/>
  <c r="R62" i="11" s="1"/>
  <c r="R69" i="11" s="1"/>
  <c r="K66" i="11"/>
  <c r="L66" i="11" s="1"/>
  <c r="M66" i="11" s="1"/>
  <c r="R66" i="11" s="1"/>
  <c r="O70" i="11"/>
  <c r="O78" i="11" s="1"/>
  <c r="N74" i="11"/>
  <c r="O36" i="11"/>
  <c r="O40" i="11"/>
  <c r="N49" i="11"/>
  <c r="O55" i="11"/>
  <c r="O59" i="11"/>
  <c r="O74" i="11"/>
  <c r="O49" i="11"/>
  <c r="O60" i="11" s="1"/>
  <c r="E4" i="9"/>
  <c r="C15" i="9"/>
  <c r="E12" i="9"/>
  <c r="F12" i="9" s="1"/>
  <c r="D15" i="9"/>
  <c r="D108" i="12" l="1"/>
  <c r="D103" i="12"/>
  <c r="D109" i="12"/>
  <c r="D101" i="12"/>
  <c r="R79" i="11"/>
  <c r="O44" i="11"/>
  <c r="O79" i="11" s="1"/>
  <c r="F4" i="9"/>
  <c r="E15" i="9"/>
  <c r="G4" i="9" l="1"/>
  <c r="G6" i="9"/>
  <c r="G9" i="9"/>
  <c r="G14" i="9"/>
  <c r="G7" i="9"/>
  <c r="G5" i="9"/>
  <c r="G13" i="9"/>
  <c r="G8" i="9"/>
  <c r="G11" i="9"/>
  <c r="G10" i="9"/>
  <c r="G12" i="9"/>
  <c r="B14" i="5" l="1"/>
  <c r="N11" i="5"/>
  <c r="K11" i="5"/>
  <c r="F11" i="5"/>
  <c r="O11" i="5" s="1"/>
  <c r="O10" i="5"/>
  <c r="N10" i="5"/>
  <c r="K10" i="5"/>
  <c r="I10" i="5"/>
  <c r="F10" i="5"/>
  <c r="N9" i="5"/>
  <c r="I9" i="5"/>
  <c r="F9" i="5"/>
  <c r="O9" i="5" s="1"/>
  <c r="O8" i="5"/>
  <c r="N8" i="5"/>
  <c r="K8" i="5"/>
  <c r="N7" i="5"/>
  <c r="K7" i="5"/>
  <c r="I7" i="5"/>
  <c r="F7" i="5"/>
  <c r="O7" i="5" s="1"/>
  <c r="O6" i="5"/>
  <c r="N6" i="5"/>
  <c r="K6" i="5"/>
  <c r="I6" i="5"/>
  <c r="F6" i="5"/>
  <c r="N5" i="5"/>
  <c r="K5" i="5"/>
  <c r="I5" i="5"/>
  <c r="O5" i="5" s="1"/>
  <c r="F5" i="5"/>
  <c r="N4" i="5"/>
  <c r="K4" i="5"/>
  <c r="I4" i="5"/>
  <c r="O4" i="5" s="1"/>
  <c r="F4" i="5"/>
  <c r="O3" i="5"/>
  <c r="N3" i="5"/>
  <c r="K3" i="5"/>
  <c r="I3" i="5"/>
  <c r="F3" i="5"/>
  <c r="N2" i="5"/>
  <c r="K2" i="5"/>
  <c r="I2" i="5"/>
  <c r="O2" i="5" s="1"/>
  <c r="F2" i="5"/>
  <c r="J14" i="5" l="1"/>
  <c r="J4" i="4" l="1"/>
  <c r="J69" i="3"/>
  <c r="L17" i="3"/>
  <c r="J17" i="3"/>
  <c r="L16" i="3"/>
  <c r="J16" i="3"/>
  <c r="L15" i="3"/>
  <c r="J15" i="3"/>
  <c r="L14" i="3"/>
  <c r="J14" i="3"/>
  <c r="L13" i="3"/>
  <c r="J13" i="3"/>
  <c r="L12" i="3"/>
  <c r="J12" i="3"/>
  <c r="L11" i="3"/>
  <c r="J11" i="3"/>
  <c r="L10" i="3"/>
  <c r="J10" i="3"/>
  <c r="L9" i="3"/>
  <c r="J9" i="3"/>
  <c r="L8" i="3"/>
  <c r="J8" i="3"/>
  <c r="L7" i="3"/>
  <c r="J7" i="3"/>
  <c r="L6" i="3"/>
  <c r="J6" i="3"/>
  <c r="L5" i="3"/>
  <c r="J5" i="3"/>
  <c r="L4" i="3"/>
  <c r="J4" i="3"/>
  <c r="U3" i="3"/>
  <c r="T3" i="3"/>
  <c r="L3" i="3"/>
  <c r="J3" i="3"/>
  <c r="A10" i="2" l="1"/>
  <c r="A16" i="2" s="1"/>
  <c r="A22" i="2" s="1"/>
  <c r="A28" i="2" s="1"/>
  <c r="A34" i="2" s="1"/>
  <c r="A40" i="2" s="1"/>
  <c r="A46" i="2" s="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A8" i="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O7" i="1"/>
  <c r="N12" i="5"/>
</calcChain>
</file>

<file path=xl/sharedStrings.xml><?xml version="1.0" encoding="utf-8"?>
<sst xmlns="http://schemas.openxmlformats.org/spreadsheetml/2006/main" count="3662" uniqueCount="1048">
  <si>
    <t xml:space="preserve">Master Drawing Register </t>
  </si>
  <si>
    <t>Sr #</t>
  </si>
  <si>
    <t>Project Package</t>
  </si>
  <si>
    <t xml:space="preserve">Building </t>
  </si>
  <si>
    <t>Discipline</t>
  </si>
  <si>
    <t>Drawing Number</t>
  </si>
  <si>
    <t>Drawing Title</t>
  </si>
  <si>
    <t>Drawing Type</t>
  </si>
  <si>
    <t>Consultant Name</t>
  </si>
  <si>
    <t>Revision Number</t>
  </si>
  <si>
    <t>Revision Date</t>
  </si>
  <si>
    <t>Revision Description</t>
  </si>
  <si>
    <t>Latest Revision</t>
  </si>
  <si>
    <t>Planned Submission Date</t>
  </si>
  <si>
    <t>Actual Submission Date</t>
  </si>
  <si>
    <t>Submission Delay (Days)</t>
  </si>
  <si>
    <t>Delay Responsibility</t>
  </si>
  <si>
    <t>Issued To</t>
  </si>
  <si>
    <t>Issue Date</t>
  </si>
  <si>
    <t>No. of Copies</t>
  </si>
  <si>
    <t xml:space="preserve">Critical Drawing </t>
  </si>
  <si>
    <t>Remarks</t>
  </si>
  <si>
    <t>Package A</t>
  </si>
  <si>
    <t>Tower 1</t>
  </si>
  <si>
    <t>Architecture</t>
  </si>
  <si>
    <t>AR-101</t>
  </si>
  <si>
    <t>Typical Floor Plan</t>
  </si>
  <si>
    <t>Good For Construction (GFC)</t>
  </si>
  <si>
    <t>Design Consultants Ltd</t>
  </si>
  <si>
    <t>R2</t>
  </si>
  <si>
    <t>2025-01-10</t>
  </si>
  <si>
    <t>Revised layout as per client comments</t>
  </si>
  <si>
    <t>Yes</t>
  </si>
  <si>
    <t>2025-01-03</t>
  </si>
  <si>
    <t>2025-01-05</t>
  </si>
  <si>
    <t xml:space="preserve">Strcutural Consultant </t>
  </si>
  <si>
    <t>Main Contractor</t>
  </si>
  <si>
    <t>2025-01-16</t>
  </si>
  <si>
    <t>Issued to site</t>
  </si>
  <si>
    <t>Structural</t>
  </si>
  <si>
    <t>ST-201</t>
  </si>
  <si>
    <t>Footing Layout Basement</t>
  </si>
  <si>
    <t>Tender Drawings</t>
  </si>
  <si>
    <t>Structural Consultants Ltd</t>
  </si>
  <si>
    <t>R1</t>
  </si>
  <si>
    <t>2025-01-12</t>
  </si>
  <si>
    <t>Initial submission</t>
  </si>
  <si>
    <t>2025-01-08</t>
  </si>
  <si>
    <t>Architecture Consultant</t>
  </si>
  <si>
    <t>PMC / Client</t>
  </si>
  <si>
    <t>Critical for foundation work</t>
  </si>
  <si>
    <t>AR-103</t>
  </si>
  <si>
    <t>Staircase Details</t>
  </si>
  <si>
    <t>Shop Drawing</t>
  </si>
  <si>
    <t>R0</t>
  </si>
  <si>
    <t>Consultant</t>
  </si>
  <si>
    <t>No</t>
  </si>
  <si>
    <t>Under review earlier</t>
  </si>
  <si>
    <t>Detailed Design (DD) Drawings</t>
  </si>
  <si>
    <t>ST-202</t>
  </si>
  <si>
    <t>Column Layout Basement</t>
  </si>
  <si>
    <t>Concept Drawings</t>
  </si>
  <si>
    <t>Revised grid alignment</t>
  </si>
  <si>
    <t>—</t>
  </si>
  <si>
    <t>ST-203</t>
  </si>
  <si>
    <t>Beam Reinforcement Details</t>
  </si>
  <si>
    <t>Under approval</t>
  </si>
  <si>
    <t>MEPF</t>
  </si>
  <si>
    <t>MEP-301</t>
  </si>
  <si>
    <t>HVAC Layout Typical Floor</t>
  </si>
  <si>
    <t>MEP Design Associates</t>
  </si>
  <si>
    <t>Revised routing</t>
  </si>
  <si>
    <t>MEP-302</t>
  </si>
  <si>
    <t>Electrical Lighting Layout</t>
  </si>
  <si>
    <t>Revised lighting levels</t>
  </si>
  <si>
    <t>MEP-303</t>
  </si>
  <si>
    <t>Plumbing Typical Floor</t>
  </si>
  <si>
    <t>Initial issue</t>
  </si>
  <si>
    <t>Tower 2</t>
  </si>
  <si>
    <t>AR-201</t>
  </si>
  <si>
    <t>Under review</t>
  </si>
  <si>
    <t>AR-202</t>
  </si>
  <si>
    <t>Elevation North Side</t>
  </si>
  <si>
    <t>Schematic Drawings</t>
  </si>
  <si>
    <t>Revised façade treatment</t>
  </si>
  <si>
    <t>ST-301</t>
  </si>
  <si>
    <t>Foundation Layout</t>
  </si>
  <si>
    <t>Critical activity</t>
  </si>
  <si>
    <t>ST-302</t>
  </si>
  <si>
    <t>Slab Reinforcement</t>
  </si>
  <si>
    <t>MEP-401</t>
  </si>
  <si>
    <t>Fire Fighting Layout</t>
  </si>
  <si>
    <t>Fire NOC related</t>
  </si>
  <si>
    <t>Package B</t>
  </si>
  <si>
    <t>Tower 3</t>
  </si>
  <si>
    <t>AR-301</t>
  </si>
  <si>
    <t>R3</t>
  </si>
  <si>
    <t>Revised after site feedback</t>
  </si>
  <si>
    <t>AR-302</t>
  </si>
  <si>
    <t>ST-401</t>
  </si>
  <si>
    <t>Column Layout Typical</t>
  </si>
  <si>
    <t>ST-402</t>
  </si>
  <si>
    <t>Beam Layout Typical</t>
  </si>
  <si>
    <t>MEP-501</t>
  </si>
  <si>
    <t>Electrical Riser Diagram</t>
  </si>
  <si>
    <t>MEP-502</t>
  </si>
  <si>
    <t>Plumbing Riser Diagram</t>
  </si>
  <si>
    <t>MEP-503</t>
  </si>
  <si>
    <t>HVAC Shaft Layout</t>
  </si>
  <si>
    <t>Coordination required</t>
  </si>
  <si>
    <t>Package C</t>
  </si>
  <si>
    <t>AR-401</t>
  </si>
  <si>
    <t>R4</t>
  </si>
  <si>
    <t>Revised after coordination</t>
  </si>
  <si>
    <t>Delayed due to coordination changes</t>
  </si>
  <si>
    <t>ST-501</t>
  </si>
  <si>
    <t>Revised footing sizes</t>
  </si>
  <si>
    <t>Structural Consultant</t>
  </si>
  <si>
    <t>Critical foundation drawing</t>
  </si>
  <si>
    <t>MEP-601</t>
  </si>
  <si>
    <t>HVAC Typical Floor</t>
  </si>
  <si>
    <t>MEPF Design Associates</t>
  </si>
  <si>
    <t>Revised duct routing</t>
  </si>
  <si>
    <t>MEPF Consultant</t>
  </si>
  <si>
    <t>Coordination driven delay</t>
  </si>
  <si>
    <t>AR-402</t>
  </si>
  <si>
    <t>Elevation East Side</t>
  </si>
  <si>
    <t>R5</t>
  </si>
  <si>
    <t>Facade design updated</t>
  </si>
  <si>
    <t>Client-driven revision</t>
  </si>
  <si>
    <t>ST-502</t>
  </si>
  <si>
    <t>Grid updated as per arch</t>
  </si>
  <si>
    <t>Delay due to arch inputs</t>
  </si>
  <si>
    <t>MEP-602</t>
  </si>
  <si>
    <t>Electrical Layout Typical</t>
  </si>
  <si>
    <t>Load recalculation done</t>
  </si>
  <si>
    <t>AR-403</t>
  </si>
  <si>
    <t>Minor detailing changes</t>
  </si>
  <si>
    <t>ST-503</t>
  </si>
  <si>
    <t>Beam Reinforcement</t>
  </si>
  <si>
    <t>Delayed reinforcement inputs</t>
  </si>
  <si>
    <t>MEP-603</t>
  </si>
  <si>
    <t>Plumbing Layout Typical</t>
  </si>
  <si>
    <t>Revised pipe routing</t>
  </si>
  <si>
    <t>Tower 4</t>
  </si>
  <si>
    <t>AR-404</t>
  </si>
  <si>
    <t>Refuge Floor Plan</t>
  </si>
  <si>
    <t>R6</t>
  </si>
  <si>
    <t>Code compliance update</t>
  </si>
  <si>
    <t>Statutory driven delay</t>
  </si>
  <si>
    <t>Package D</t>
  </si>
  <si>
    <t>ST-601</t>
  </si>
  <si>
    <t>Revised soil parameters</t>
  </si>
  <si>
    <t>Soil report revision</t>
  </si>
  <si>
    <t>MEP-701</t>
  </si>
  <si>
    <t>Revised fire zoning</t>
  </si>
  <si>
    <t>Fire NOC comments</t>
  </si>
  <si>
    <t>AR-501</t>
  </si>
  <si>
    <t>Updated flat layouts</t>
  </si>
  <si>
    <t>Client revision impact</t>
  </si>
  <si>
    <t>ST-602</t>
  </si>
  <si>
    <t>Delayed due to load changes</t>
  </si>
  <si>
    <t>MEP-702</t>
  </si>
  <si>
    <t>Coordination pending</t>
  </si>
  <si>
    <t>AR-502</t>
  </si>
  <si>
    <t>Elevation West Side</t>
  </si>
  <si>
    <t>Facade redesign</t>
  </si>
  <si>
    <t>Major design change</t>
  </si>
  <si>
    <t>ST-603</t>
  </si>
  <si>
    <t>Grid revised</t>
  </si>
  <si>
    <t>Coordination delay</t>
  </si>
  <si>
    <t>MEP-703</t>
  </si>
  <si>
    <t>Load balancing update</t>
  </si>
  <si>
    <t>Tower 5</t>
  </si>
  <si>
    <t>AR-503</t>
  </si>
  <si>
    <t>Refuge Area Details</t>
  </si>
  <si>
    <t>Code update applied</t>
  </si>
  <si>
    <t>Fire authority driven</t>
  </si>
  <si>
    <t>ST-604</t>
  </si>
  <si>
    <t>Beam Layout Roof</t>
  </si>
  <si>
    <t>Revised reinforcement</t>
  </si>
  <si>
    <t>Roof load revision</t>
  </si>
  <si>
    <t xml:space="preserve">Site Drawing Register </t>
  </si>
  <si>
    <t>SR. NO</t>
  </si>
  <si>
    <t>DETAILS OF DRAWING</t>
  </si>
  <si>
    <t>Descipline</t>
  </si>
  <si>
    <t>DRAWING NOMBER</t>
  </si>
  <si>
    <t>RECEIVE &amp; ISSUE DETAILS</t>
  </si>
  <si>
    <t>DRAWING REVISION</t>
  </si>
  <si>
    <t>Date</t>
  </si>
  <si>
    <t>RO</t>
  </si>
  <si>
    <t>Date of Receiving</t>
  </si>
  <si>
    <t>Total Copied Received</t>
  </si>
  <si>
    <t>Issued to Contractor</t>
  </si>
  <si>
    <t>Receiver Signature</t>
  </si>
  <si>
    <t>Issued to Client</t>
  </si>
  <si>
    <t>Hinderance Register</t>
  </si>
  <si>
    <t>Sr. No</t>
  </si>
  <si>
    <t>Description of Hindrance</t>
  </si>
  <si>
    <t xml:space="preserve">Location </t>
  </si>
  <si>
    <t>Critical Activity affected</t>
  </si>
  <si>
    <t xml:space="preserve">Correspondence </t>
  </si>
  <si>
    <t>Category</t>
  </si>
  <si>
    <t>Type of Hindrance</t>
  </si>
  <si>
    <t>Date of Occurrence</t>
  </si>
  <si>
    <t>Date Resolved</t>
  </si>
  <si>
    <t>No. of Days</t>
  </si>
  <si>
    <t>Baseline Start Date</t>
  </si>
  <si>
    <t>Schedule Impact</t>
  </si>
  <si>
    <t>Delay Type</t>
  </si>
  <si>
    <t>Accountable</t>
  </si>
  <si>
    <t>Status</t>
  </si>
  <si>
    <t>Description of Resolution</t>
  </si>
  <si>
    <t xml:space="preserve">Staircase work </t>
  </si>
  <si>
    <t>Building A</t>
  </si>
  <si>
    <t>Shutterting</t>
  </si>
  <si>
    <t>Design &amp; Technical</t>
  </si>
  <si>
    <t>Storage and handling constraints</t>
  </si>
  <si>
    <t>Overlapping Delay</t>
  </si>
  <si>
    <t>Resolved</t>
  </si>
  <si>
    <t>drawing was given on 22-11-2026</t>
  </si>
  <si>
    <t>Column reinforcement and formwork for part 1A</t>
  </si>
  <si>
    <t>Building B</t>
  </si>
  <si>
    <t>Casting</t>
  </si>
  <si>
    <t>Approval</t>
  </si>
  <si>
    <t>Delay in mock-up / sample approvals</t>
  </si>
  <si>
    <t>Non-overlapping Delay</t>
  </si>
  <si>
    <t>Contractor</t>
  </si>
  <si>
    <t>drawing was given on 28-12-2027</t>
  </si>
  <si>
    <t>basement 1 slab for Part 1B,1C</t>
  </si>
  <si>
    <t>Building C</t>
  </si>
  <si>
    <t>Reinforcement</t>
  </si>
  <si>
    <t>Execution</t>
  </si>
  <si>
    <t>Variation / change order approval delays</t>
  </si>
  <si>
    <t>Structure Consultant</t>
  </si>
  <si>
    <t>drawing was given on 17-1-23</t>
  </si>
  <si>
    <t>Basement 1 slab for Part 1D</t>
  </si>
  <si>
    <t>Building D</t>
  </si>
  <si>
    <t>Excavation</t>
  </si>
  <si>
    <t>Material Procurement</t>
  </si>
  <si>
    <t>Work front not available / handed over</t>
  </si>
  <si>
    <t>PMC</t>
  </si>
  <si>
    <t>Ground floor slab for Block A</t>
  </si>
  <si>
    <t>Building E</t>
  </si>
  <si>
    <t>Import / logistics clearance delays</t>
  </si>
  <si>
    <t>drawing was given on 8-2-23 for shuttering</t>
  </si>
  <si>
    <t>Basement 3 slab for Part 2</t>
  </si>
  <si>
    <t>Delay in statutory approvals (Fire, Local Authority, Utilities)</t>
  </si>
  <si>
    <t>Client</t>
  </si>
  <si>
    <t>drawing was given on 7-2-23 for shuttering</t>
  </si>
  <si>
    <t xml:space="preserve">Lift 4 </t>
  </si>
  <si>
    <t>Vendor / supplier non-performance</t>
  </si>
  <si>
    <t>Open</t>
  </si>
  <si>
    <t>drawing was given on 24-1-23 and hold decision was given on 31-1-23</t>
  </si>
  <si>
    <t>Stair 5,6,2 - Part 2</t>
  </si>
  <si>
    <t>Insufficient skilled manpower</t>
  </si>
  <si>
    <t>Block B &amp; C - ground floor slab</t>
  </si>
  <si>
    <t>Constructability issues at site</t>
  </si>
  <si>
    <t>drawing was given on 19-2-23 for shuttering</t>
  </si>
  <si>
    <t xml:space="preserve">Block A - ground floor </t>
  </si>
  <si>
    <t>Delay in issue of GFC / IFC drawings</t>
  </si>
  <si>
    <t>Block C - ground floor</t>
  </si>
  <si>
    <t>Delay in design clarifications (RFIs)</t>
  </si>
  <si>
    <t>casting done on 2/3/23</t>
  </si>
  <si>
    <t>Part 2- ramp work</t>
  </si>
  <si>
    <t>Delay in approval from Client / PMC</t>
  </si>
  <si>
    <t>Part 1- Stair 1,9</t>
  </si>
  <si>
    <t xml:space="preserve">Part 2A- basement 2 </t>
  </si>
  <si>
    <t>drawing was given on 21-3-23 for shuttering</t>
  </si>
  <si>
    <t>Legal Approval Tracker - Week #</t>
  </si>
  <si>
    <t>Approval ID</t>
  </si>
  <si>
    <t>Approval Category</t>
  </si>
  <si>
    <t>Authority Name</t>
  </si>
  <si>
    <t>Approval Description</t>
  </si>
  <si>
    <t>Applicable Building / Package</t>
  </si>
  <si>
    <t>Submission Date</t>
  </si>
  <si>
    <t>Required By</t>
  </si>
  <si>
    <t>Approval Received Date</t>
  </si>
  <si>
    <t>Delay (Days)</t>
  </si>
  <si>
    <t>Responsible Party</t>
  </si>
  <si>
    <t>LA-01</t>
  </si>
  <si>
    <t>Labour Compliance</t>
  </si>
  <si>
    <t>Labour Department</t>
  </si>
  <si>
    <t>BOCW Registration – Building &amp; Other Construction Works</t>
  </si>
  <si>
    <t>All Towers</t>
  </si>
  <si>
    <t>Approved</t>
  </si>
  <si>
    <t>Approved with minor delay</t>
  </si>
  <si>
    <t>LA-02</t>
  </si>
  <si>
    <t>Insurance</t>
  </si>
  <si>
    <t>Insurance Company</t>
  </si>
  <si>
    <t>CAR Policy – Contractor All Risk</t>
  </si>
  <si>
    <t>All Packages</t>
  </si>
  <si>
    <t>Submitted on priority</t>
  </si>
  <si>
    <t>LA-03</t>
  </si>
  <si>
    <t>CLRA Registration – Contract Labour Regulation Act</t>
  </si>
  <si>
    <t>Submitted</t>
  </si>
  <si>
    <t>Under review by department</t>
  </si>
  <si>
    <t>LA-04</t>
  </si>
  <si>
    <t>Labour License</t>
  </si>
  <si>
    <t>Delayed</t>
  </si>
  <si>
    <t>Inspection pending</t>
  </si>
  <si>
    <t>LA-05</t>
  </si>
  <si>
    <t>Statutory</t>
  </si>
  <si>
    <t>EPFO</t>
  </si>
  <si>
    <t>PF Registration Documents</t>
  </si>
  <si>
    <t>-</t>
  </si>
  <si>
    <t>LA-06</t>
  </si>
  <si>
    <t>ESIC</t>
  </si>
  <si>
    <t>ESI Registration Documents</t>
  </si>
  <si>
    <t>One day delay</t>
  </si>
  <si>
    <t>LA-07</t>
  </si>
  <si>
    <t>Tax</t>
  </si>
  <si>
    <t>State Tax Department</t>
  </si>
  <si>
    <t>Professional Tax Registration</t>
  </si>
  <si>
    <t>LA-08</t>
  </si>
  <si>
    <t>LWF – Labour Welfare Fund Registration</t>
  </si>
  <si>
    <t>Follow-up required</t>
  </si>
  <si>
    <t>LA-09</t>
  </si>
  <si>
    <t>Health &amp; Safety</t>
  </si>
  <si>
    <t>Government Hospital</t>
  </si>
  <si>
    <t>Worker Medical Fitness Certification</t>
  </si>
  <si>
    <t>LA-10</t>
  </si>
  <si>
    <t>Police Clearance</t>
  </si>
  <si>
    <t>Local Police Department</t>
  </si>
  <si>
    <t>Worker Police Verification</t>
  </si>
  <si>
    <t>Police clearance pending</t>
  </si>
  <si>
    <t>LA-11</t>
  </si>
  <si>
    <t>Safety</t>
  </si>
  <si>
    <t>Third Party Agency</t>
  </si>
  <si>
    <t>Test Certificate – Lifting Tools &amp; Tackles</t>
  </si>
  <si>
    <t>LA-12</t>
  </si>
  <si>
    <t>Pressure Vessel Test Certificate</t>
  </si>
  <si>
    <t>Inspection scheduled</t>
  </si>
  <si>
    <t>LA-13</t>
  </si>
  <si>
    <t>Fire</t>
  </si>
  <si>
    <t>Fire Department</t>
  </si>
  <si>
    <t>Fire NOC – Temporary Site Office</t>
  </si>
  <si>
    <t>Site Area</t>
  </si>
  <si>
    <t>In Progress</t>
  </si>
  <si>
    <t>Documents submitted</t>
  </si>
  <si>
    <t>LA-14</t>
  </si>
  <si>
    <t>Environment</t>
  </si>
  <si>
    <t>Pollution Control Board</t>
  </si>
  <si>
    <t>Consent to Establish (CTE)</t>
  </si>
  <si>
    <t>Project Site</t>
  </si>
  <si>
    <t>Under scrutiny</t>
  </si>
  <si>
    <t>LA-15</t>
  </si>
  <si>
    <t>Consent to Operate – DG Set</t>
  </si>
  <si>
    <t>Not Submitted</t>
  </si>
  <si>
    <t>DG set not installed</t>
  </si>
  <si>
    <t>LA-16</t>
  </si>
  <si>
    <t>Local Authority</t>
  </si>
  <si>
    <t>Municipal Corporation</t>
  </si>
  <si>
    <t>Building Plan Approval</t>
  </si>
  <si>
    <t>LA-17</t>
  </si>
  <si>
    <t>Commencement Certificate</t>
  </si>
  <si>
    <t>Resubmission required</t>
  </si>
  <si>
    <t>LA-18</t>
  </si>
  <si>
    <t>Utility</t>
  </si>
  <si>
    <t>Electricity Board</t>
  </si>
  <si>
    <t>Temporary Power Connection</t>
  </si>
  <si>
    <t>Site</t>
  </si>
  <si>
    <t>LA-19</t>
  </si>
  <si>
    <t>Water Supply Department</t>
  </si>
  <si>
    <t>Temporary Water Connection</t>
  </si>
  <si>
    <t>Pipeline work pending</t>
  </si>
  <si>
    <t>LA-20</t>
  </si>
  <si>
    <t>Traffic</t>
  </si>
  <si>
    <t>Traffic Police Department</t>
  </si>
  <si>
    <t>Traffic Diversion Permission</t>
  </si>
  <si>
    <t>Main Road</t>
  </si>
  <si>
    <t>LA-21</t>
  </si>
  <si>
    <t>Factory Inspectorate</t>
  </si>
  <si>
    <t>Site Safety Registration</t>
  </si>
  <si>
    <t>Inspection awaited</t>
  </si>
  <si>
    <t>LA-22</t>
  </si>
  <si>
    <t>Workmen Compensation Policy</t>
  </si>
  <si>
    <t>All Labour</t>
  </si>
  <si>
    <t>LA-23</t>
  </si>
  <si>
    <t>Inter-State Migrant Workmen Registration</t>
  </si>
  <si>
    <t>Documents under review</t>
  </si>
  <si>
    <t>LA-24</t>
  </si>
  <si>
    <t>Tree Cutting Permission</t>
  </si>
  <si>
    <t>Site Boundary</t>
  </si>
  <si>
    <t>Tree survey pending</t>
  </si>
  <si>
    <t>LA-25</t>
  </si>
  <si>
    <t>Fire Safety Equipment Approval</t>
  </si>
  <si>
    <t>Partial installation completed</t>
  </si>
  <si>
    <t>LA-26</t>
  </si>
  <si>
    <t>Telecom Authority</t>
  </si>
  <si>
    <t>Internet / Telecom Permission</t>
  </si>
  <si>
    <t>Site Office</t>
  </si>
  <si>
    <t>LA-27</t>
  </si>
  <si>
    <t>Hoarding Permission</t>
  </si>
  <si>
    <t>Approval awaited</t>
  </si>
  <si>
    <t>LA-28</t>
  </si>
  <si>
    <t>Debris Disposal Permission</t>
  </si>
  <si>
    <t>Vendor finalisation pending</t>
  </si>
  <si>
    <t>LA-29</t>
  </si>
  <si>
    <t>Lift Inspector</t>
  </si>
  <si>
    <t>Temporary Construction Lift Approval</t>
  </si>
  <si>
    <t>LA-30</t>
  </si>
  <si>
    <t>Explosives Department</t>
  </si>
  <si>
    <t>Diesel Storage License</t>
  </si>
  <si>
    <t>Tank installation pending</t>
  </si>
  <si>
    <t>Milestone ID</t>
  </si>
  <si>
    <t>Phase</t>
  </si>
  <si>
    <t>Milestone Name</t>
  </si>
  <si>
    <t>Planned Start</t>
  </si>
  <si>
    <t>Planned End</t>
  </si>
  <si>
    <t>Planned Days</t>
  </si>
  <si>
    <t>Actual Start</t>
  </si>
  <si>
    <t>Actual End</t>
  </si>
  <si>
    <t>Actual Days</t>
  </si>
  <si>
    <t xml:space="preserve">Weightage </t>
  </si>
  <si>
    <t>% Complete</t>
  </si>
  <si>
    <t xml:space="preserve">Stakeholder </t>
  </si>
  <si>
    <t>Zone</t>
  </si>
  <si>
    <t>Status2</t>
  </si>
  <si>
    <t>Delays</t>
  </si>
  <si>
    <t>M01</t>
  </si>
  <si>
    <t>Pre-Construction</t>
  </si>
  <si>
    <t>Site Mobilization</t>
  </si>
  <si>
    <t>ABC Infra</t>
  </si>
  <si>
    <t>A</t>
  </si>
  <si>
    <t>Completed</t>
  </si>
  <si>
    <t>M02</t>
  </si>
  <si>
    <t>Excavation Work</t>
  </si>
  <si>
    <t>M03</t>
  </si>
  <si>
    <t>Foundation</t>
  </si>
  <si>
    <t>PCC Work</t>
  </si>
  <si>
    <t>XYZ Con</t>
  </si>
  <si>
    <t>M04</t>
  </si>
  <si>
    <t>Footing RCC</t>
  </si>
  <si>
    <t>B</t>
  </si>
  <si>
    <t>M05</t>
  </si>
  <si>
    <t>Structure</t>
  </si>
  <si>
    <t>Column RCC</t>
  </si>
  <si>
    <t>M06</t>
  </si>
  <si>
    <t>Slab Casting</t>
  </si>
  <si>
    <t>LMN Build</t>
  </si>
  <si>
    <t>M07</t>
  </si>
  <si>
    <t>Masonry</t>
  </si>
  <si>
    <t>Block Work</t>
  </si>
  <si>
    <t>C</t>
  </si>
  <si>
    <t>M08</t>
  </si>
  <si>
    <t>Finishing</t>
  </si>
  <si>
    <t>Plastering</t>
  </si>
  <si>
    <t>M09</t>
  </si>
  <si>
    <t>Flooring</t>
  </si>
  <si>
    <t>PQR Works</t>
  </si>
  <si>
    <t>Not Started</t>
  </si>
  <si>
    <t>M10</t>
  </si>
  <si>
    <t>Handover</t>
  </si>
  <si>
    <t>Final Inspection</t>
  </si>
  <si>
    <t>Sr.no.</t>
  </si>
  <si>
    <t>Observation</t>
  </si>
  <si>
    <t xml:space="preserve">Total </t>
  </si>
  <si>
    <t>Close</t>
  </si>
  <si>
    <t>Closure Rate</t>
  </si>
  <si>
    <t xml:space="preserve">Sr. No. </t>
  </si>
  <si>
    <t>Name of Equipment</t>
  </si>
  <si>
    <t>Unit</t>
  </si>
  <si>
    <t>Total Number</t>
  </si>
  <si>
    <t xml:space="preserve">Site Observation </t>
  </si>
  <si>
    <t>Compression Testing Machine</t>
  </si>
  <si>
    <t>Site Instruction</t>
  </si>
  <si>
    <t>Slump Cone Test Apparatus</t>
  </si>
  <si>
    <t>Set</t>
  </si>
  <si>
    <t>NCR</t>
  </si>
  <si>
    <t>Steel Moulds</t>
  </si>
  <si>
    <t>Average</t>
  </si>
  <si>
    <t>Digital Moisture Meter</t>
  </si>
  <si>
    <t>Weighing Balance</t>
  </si>
  <si>
    <t>Thermometer</t>
  </si>
  <si>
    <t>Sample #</t>
  </si>
  <si>
    <t>Compressive strength at 7 days</t>
  </si>
  <si>
    <t>IS code lower limit</t>
  </si>
  <si>
    <t>NON CONFORMANCE  AND CORRECTIVE ACTION REQUEST (CAR ) REGISTER</t>
  </si>
  <si>
    <t>No.</t>
  </si>
  <si>
    <t>NCR / CAR Issue Date</t>
  </si>
  <si>
    <t xml:space="preserve">Type </t>
  </si>
  <si>
    <t>Brief Description of Non Conformance</t>
  </si>
  <si>
    <t>Location</t>
  </si>
  <si>
    <t>Planned Closure Date</t>
  </si>
  <si>
    <t>Actual Closure Date</t>
  </si>
  <si>
    <t xml:space="preserve">Quality </t>
  </si>
  <si>
    <t>RIAD</t>
  </si>
  <si>
    <t xml:space="preserve">According to the drawing of the UG Tank (Job: 35/2023, Drawing No: 1, Date: 05-02-2024), note point 8 specifies the requirement for a water stopper to be installed at the construction joint of the water tank. The water stopper should be 150 mm wide and 5 mm thick, made of PVC material. However, despite this specification, the contractor, project manager, and client have disagreed on the provision of this water stopper.
If the water stopper is not installed at the joint as per the drawing, there is a risk of water leakage occurring at the joint. Therefore, it's essential to adhere to the specified requirements to prevent potential water leakages and ensure the integrity of the construction. </t>
  </si>
  <si>
    <t>India</t>
  </si>
  <si>
    <t xml:space="preserve">Health and  Safety </t>
  </si>
  <si>
    <t xml:space="preserve">Environmental </t>
  </si>
  <si>
    <t xml:space="preserve">Australia </t>
  </si>
  <si>
    <t>China</t>
  </si>
  <si>
    <t>Hong Kong</t>
  </si>
  <si>
    <t>Indonesia</t>
  </si>
  <si>
    <t>Japan</t>
  </si>
  <si>
    <t>Korea</t>
  </si>
  <si>
    <t>Philippines</t>
  </si>
  <si>
    <t>Singapore</t>
  </si>
  <si>
    <t>Taiwan</t>
  </si>
  <si>
    <t>Thailand</t>
  </si>
  <si>
    <t>Vietnam</t>
  </si>
  <si>
    <t>Type of Manpower</t>
  </si>
  <si>
    <t>Required Manpower for week</t>
  </si>
  <si>
    <t>Available</t>
  </si>
  <si>
    <t xml:space="preserve">Shortage </t>
  </si>
  <si>
    <t>% Shortage</t>
  </si>
  <si>
    <t>Rank</t>
  </si>
  <si>
    <t>Safety NCR</t>
  </si>
  <si>
    <t>Unsafe Act</t>
  </si>
  <si>
    <t>Condition</t>
  </si>
  <si>
    <t>Reinforcement work</t>
  </si>
  <si>
    <t>Total</t>
  </si>
  <si>
    <t>Carpenter</t>
  </si>
  <si>
    <t>Mason</t>
  </si>
  <si>
    <t>Helper</t>
  </si>
  <si>
    <t>Unskilled Worker</t>
  </si>
  <si>
    <t>Site Observation</t>
  </si>
  <si>
    <t>Site Instructions</t>
  </si>
  <si>
    <t>Drivers</t>
  </si>
  <si>
    <t>Staff</t>
  </si>
  <si>
    <t>Plumbing</t>
  </si>
  <si>
    <t>Tiles Work</t>
  </si>
  <si>
    <t>Painter</t>
  </si>
  <si>
    <t>Electric Work</t>
  </si>
  <si>
    <t xml:space="preserve">Total of Above </t>
  </si>
  <si>
    <t>Rein. work</t>
  </si>
  <si>
    <t xml:space="preserve">Unskilled </t>
  </si>
  <si>
    <t>staff</t>
  </si>
  <si>
    <t>Tiles</t>
  </si>
  <si>
    <t>Ele.</t>
  </si>
  <si>
    <t>Night</t>
  </si>
  <si>
    <t>Required</t>
  </si>
  <si>
    <t>Ele</t>
  </si>
  <si>
    <t>Month</t>
  </si>
  <si>
    <t>Budgeted work</t>
  </si>
  <si>
    <t xml:space="preserve">Planned Work </t>
  </si>
  <si>
    <t>Actual Work</t>
  </si>
  <si>
    <t>August</t>
  </si>
  <si>
    <t>RA 01</t>
  </si>
  <si>
    <t>September</t>
  </si>
  <si>
    <t>RA 02</t>
  </si>
  <si>
    <t>October</t>
  </si>
  <si>
    <t>RA 03</t>
  </si>
  <si>
    <t>November</t>
  </si>
  <si>
    <t>RA 04</t>
  </si>
  <si>
    <t>December</t>
  </si>
  <si>
    <t>RA 05</t>
  </si>
  <si>
    <t>January</t>
  </si>
  <si>
    <t>RA 06</t>
  </si>
  <si>
    <t>February</t>
  </si>
  <si>
    <t>RA 07</t>
  </si>
  <si>
    <t>March</t>
  </si>
  <si>
    <t>RA 08</t>
  </si>
  <si>
    <t xml:space="preserve">Planned </t>
  </si>
  <si>
    <t>Actual</t>
  </si>
  <si>
    <t xml:space="preserve"> </t>
  </si>
  <si>
    <t>Planned Vs Actual Previous Week to Current Week 
(Date: 11-12-2025 to 17-12-2025)</t>
  </si>
  <si>
    <t>Description</t>
  </si>
  <si>
    <t xml:space="preserve">Qty  Planed  </t>
  </si>
  <si>
    <t xml:space="preserve">Against GFC </t>
  </si>
  <si>
    <t xml:space="preserve">Agianst Weekly Planed  </t>
  </si>
  <si>
    <t xml:space="preserve">Cumlative </t>
  </si>
  <si>
    <t>Sr.No.</t>
  </si>
  <si>
    <t>Tower</t>
  </si>
  <si>
    <t>Activity</t>
  </si>
  <si>
    <t>Planned Start Date by Contractor</t>
  </si>
  <si>
    <t>Planned End Date by Contractor</t>
  </si>
  <si>
    <t xml:space="preserve">Unit </t>
  </si>
  <si>
    <t>As per BOQ total Quantity</t>
  </si>
  <si>
    <t>Total GFC Qty</t>
  </si>
  <si>
    <t>Executed qty till 15-10-2025</t>
  </si>
  <si>
    <t>Balance Qty.</t>
  </si>
  <si>
    <t>Weekly planned Qty.</t>
  </si>
  <si>
    <t>Weekly actual Qty.</t>
  </si>
  <si>
    <t>Cumulative Qty.</t>
  </si>
  <si>
    <t>% Balance  Qty ( Remaining ) Against GFC Qty</t>
  </si>
  <si>
    <t xml:space="preserve">% Planned Against 
Balance Qty  </t>
  </si>
  <si>
    <t>% Achieved Against Actual Qty</t>
  </si>
  <si>
    <t>% Completed (Total against the GFC )</t>
  </si>
  <si>
    <t>Upto Plinth</t>
  </si>
  <si>
    <t xml:space="preserve">Excavation </t>
  </si>
  <si>
    <t>CUM</t>
  </si>
  <si>
    <t>Delay</t>
  </si>
  <si>
    <t>Footing PCC</t>
  </si>
  <si>
    <t xml:space="preserve">On time </t>
  </si>
  <si>
    <t>Yellow Soil Filling</t>
  </si>
  <si>
    <t>Rubble Soling</t>
  </si>
  <si>
    <t>Footing Shuttering</t>
  </si>
  <si>
    <t>SMT</t>
  </si>
  <si>
    <t>Padestal Upto Plinth Top Shuttering</t>
  </si>
  <si>
    <t>Padestal Upto Plinth Top RCC</t>
  </si>
  <si>
    <t>GB Excavation</t>
  </si>
  <si>
    <t>GB PCC</t>
  </si>
  <si>
    <t>GB Shuttering</t>
  </si>
  <si>
    <t>GB RCC</t>
  </si>
  <si>
    <t>Masonry Above GB</t>
  </si>
  <si>
    <t>Plinth Beam PCC</t>
  </si>
  <si>
    <t>Plinth Beam Shuttering</t>
  </si>
  <si>
    <t>Plinth Beam RCC</t>
  </si>
  <si>
    <t>Plinth Plaster</t>
  </si>
  <si>
    <t>Masonry above PB</t>
  </si>
  <si>
    <t>Floor PCC</t>
  </si>
  <si>
    <t>Floor RCC Shuttering</t>
  </si>
  <si>
    <t>Floor RCC</t>
  </si>
  <si>
    <t xml:space="preserve">Avreage  Achivement  : - </t>
  </si>
  <si>
    <t>Ground Floor</t>
  </si>
  <si>
    <t>Plinth to GF slab column shuttering</t>
  </si>
  <si>
    <t>SQM</t>
  </si>
  <si>
    <t>GF beam shuttering</t>
  </si>
  <si>
    <t>GF Slab shuttering</t>
  </si>
  <si>
    <t>GF staircase shuttering</t>
  </si>
  <si>
    <t>GF lintel shuttering</t>
  </si>
  <si>
    <t>Plinth to GF slab column concrete</t>
  </si>
  <si>
    <t>GF beam Concrete</t>
  </si>
  <si>
    <t>GF Slab Concrete</t>
  </si>
  <si>
    <t>GF staircase concrete</t>
  </si>
  <si>
    <t>GF lintel Concrete</t>
  </si>
  <si>
    <t>Brick masonary GF (230 mm)</t>
  </si>
  <si>
    <t>Brick masonary GF (115 mm)</t>
  </si>
  <si>
    <t>Internal Plaster</t>
  </si>
  <si>
    <t>Skirting</t>
  </si>
  <si>
    <t>RMT</t>
  </si>
  <si>
    <t>First Floor</t>
  </si>
  <si>
    <t>GF to FF slab column shuttering</t>
  </si>
  <si>
    <t>FF beam shuttering</t>
  </si>
  <si>
    <t>FF Slab shuttering</t>
  </si>
  <si>
    <t>FF Staircase Shuttering</t>
  </si>
  <si>
    <t>FF lintel shuttering</t>
  </si>
  <si>
    <t>GF to FF slab column concrete</t>
  </si>
  <si>
    <t>FF Staircase Concrete</t>
  </si>
  <si>
    <t>FF beam Concrete</t>
  </si>
  <si>
    <t>FF Slab Concrete</t>
  </si>
  <si>
    <t>FF lintel Concrete</t>
  </si>
  <si>
    <t>Brick masonary FF (230 mm)</t>
  </si>
  <si>
    <t>Brick masonary FF (115 mm)</t>
  </si>
  <si>
    <t>Second Floor</t>
  </si>
  <si>
    <t>FF to SF slab column shuttering</t>
  </si>
  <si>
    <t>SF Staircase Shuttering</t>
  </si>
  <si>
    <t>SF beam shuttering</t>
  </si>
  <si>
    <t>SF Slab shuttering</t>
  </si>
  <si>
    <t>FF to SF slab column concrete</t>
  </si>
  <si>
    <t>SF Staircase Concrete</t>
  </si>
  <si>
    <t>SF beam Concrete</t>
  </si>
  <si>
    <t>SF Slab Concrete</t>
  </si>
  <si>
    <t>Third Floor</t>
  </si>
  <si>
    <t>SF to TF slab column shuttering</t>
  </si>
  <si>
    <t>TF Staircase Shuttering</t>
  </si>
  <si>
    <t>TF beam shuttering</t>
  </si>
  <si>
    <t>TF Slab shuttering</t>
  </si>
  <si>
    <t>SF to TF slab column concrete</t>
  </si>
  <si>
    <t>TF Staircase Concrete</t>
  </si>
  <si>
    <t>TF beam Concrete</t>
  </si>
  <si>
    <t>TF Slab Concrete</t>
  </si>
  <si>
    <t xml:space="preserve">Cumulative Avreage  Achivement  : - </t>
  </si>
  <si>
    <t>Weekly Executed Plan</t>
  </si>
  <si>
    <t>As per GFC total Quantity</t>
  </si>
  <si>
    <t>Total Achieved Qty.</t>
  </si>
  <si>
    <t>Worker Dormitory</t>
  </si>
  <si>
    <t>Footing Excavation</t>
  </si>
  <si>
    <t>Pedestal RCC</t>
  </si>
  <si>
    <t>(Multiple Items)</t>
  </si>
  <si>
    <t>Sum of Weekly planned Qty.</t>
  </si>
  <si>
    <t>Sum of Weekly actual Qty.</t>
  </si>
  <si>
    <t>Sum of Total Achieved Qty.</t>
  </si>
  <si>
    <t>Row Labels</t>
  </si>
  <si>
    <t>Grand Total</t>
  </si>
  <si>
    <t>Manually</t>
  </si>
  <si>
    <t>% Completed</t>
  </si>
  <si>
    <t>Sum of As per GFC total Quantity</t>
  </si>
  <si>
    <t>Type</t>
  </si>
  <si>
    <t xml:space="preserve">Sum of % Planned Against 
Balance Qty  </t>
  </si>
  <si>
    <t>Sum of % Achieved Against Actual Qty</t>
  </si>
  <si>
    <t>Sum of % Completed (Total against the GFC )2</t>
  </si>
  <si>
    <t>Step 1: Risk Identification</t>
  </si>
  <si>
    <t>Step 2: Risk Assessment</t>
  </si>
  <si>
    <t>Step 3: Risk Response</t>
  </si>
  <si>
    <t>Step 4: Monitor &amp; Control</t>
  </si>
  <si>
    <t>#</t>
  </si>
  <si>
    <t>Opportunity / Threat</t>
  </si>
  <si>
    <t>Risk Name</t>
  </si>
  <si>
    <t>Detailed Description</t>
  </si>
  <si>
    <t>Probability (1 - 5)</t>
  </si>
  <si>
    <t>Consequence (1-5)</t>
  </si>
  <si>
    <t>Severity (Priority)</t>
  </si>
  <si>
    <t>Probability (%)</t>
  </si>
  <si>
    <t>Cost Impact (₹)</t>
  </si>
  <si>
    <t>Most Likely (no. of weeks)</t>
  </si>
  <si>
    <t>Urgency</t>
  </si>
  <si>
    <t>Response Category</t>
  </si>
  <si>
    <t>Impact</t>
  </si>
  <si>
    <t>Risk Owner</t>
  </si>
  <si>
    <t>Contingency Plan</t>
  </si>
  <si>
    <t>Date Last Updated</t>
  </si>
  <si>
    <t>Tracking Comments</t>
  </si>
  <si>
    <t>Threat</t>
  </si>
  <si>
    <t>Manpower Shortage</t>
  </si>
  <si>
    <t>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t>
  </si>
  <si>
    <t>High</t>
  </si>
  <si>
    <t>Mitigate</t>
  </si>
  <si>
    <t>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t>
  </si>
  <si>
    <t>Designer</t>
  </si>
  <si>
    <t xml:space="preserve">The contractor is required to immediately deploy the necessary manpower to meet current site requirements. </t>
  </si>
  <si>
    <t>NA</t>
  </si>
  <si>
    <t>Planning/ Scope</t>
  </si>
  <si>
    <t>Opportunity</t>
  </si>
  <si>
    <t>Manpower Opportunity</t>
  </si>
  <si>
    <t>Low</t>
  </si>
  <si>
    <t>Active (Ongoing)</t>
  </si>
  <si>
    <t>Communications</t>
  </si>
  <si>
    <t>Both</t>
  </si>
  <si>
    <t>Medium</t>
  </si>
  <si>
    <t>Transfer</t>
  </si>
  <si>
    <t>Dormant (Not Started)</t>
  </si>
  <si>
    <t>Schedule</t>
  </si>
  <si>
    <t>Avoid</t>
  </si>
  <si>
    <t>Estimating</t>
  </si>
  <si>
    <t>Owner</t>
  </si>
  <si>
    <t>Controlling</t>
  </si>
  <si>
    <t>Exploit</t>
  </si>
  <si>
    <t>R7</t>
  </si>
  <si>
    <t>Share</t>
  </si>
  <si>
    <t>R8</t>
  </si>
  <si>
    <t>R9</t>
  </si>
  <si>
    <t>R10</t>
  </si>
  <si>
    <t>Esxecution</t>
  </si>
  <si>
    <t>R11</t>
  </si>
  <si>
    <t>R12</t>
  </si>
  <si>
    <t>Accept</t>
  </si>
  <si>
    <t>R13</t>
  </si>
  <si>
    <t>R14</t>
  </si>
  <si>
    <t>R15</t>
  </si>
  <si>
    <t>R16</t>
  </si>
  <si>
    <t>R17</t>
  </si>
  <si>
    <t>R18</t>
  </si>
  <si>
    <t>R19</t>
  </si>
  <si>
    <t>R20</t>
  </si>
  <si>
    <t>R21</t>
  </si>
  <si>
    <t>Enhance</t>
  </si>
  <si>
    <t>R22</t>
  </si>
  <si>
    <t>R23</t>
  </si>
  <si>
    <t>R24</t>
  </si>
  <si>
    <t>R25</t>
  </si>
  <si>
    <t>R26</t>
  </si>
  <si>
    <t>R27</t>
  </si>
  <si>
    <t>R28</t>
  </si>
  <si>
    <t>R29</t>
  </si>
  <si>
    <t>R30</t>
  </si>
  <si>
    <t xml:space="preserve">Site Instruction Report </t>
  </si>
  <si>
    <t xml:space="preserve">Name of Project </t>
  </si>
  <si>
    <t xml:space="preserve">Safari Industrial Project at Halol GIDC </t>
  </si>
  <si>
    <t>Name of Client</t>
  </si>
  <si>
    <t>Safari India Pvt. Ltd.</t>
  </si>
  <si>
    <t>Principle  Consultant</t>
  </si>
  <si>
    <t>Sharnam Project Development Consultant</t>
  </si>
  <si>
    <t xml:space="preserve">Vendor </t>
  </si>
  <si>
    <t>Shapoorji Pallonji Construction Pvt. Ltd.</t>
  </si>
  <si>
    <t>Updated On:</t>
  </si>
  <si>
    <t>Report No</t>
  </si>
  <si>
    <t>Safari-Safety Instruction-Sharnam-001</t>
  </si>
  <si>
    <t>Total Open</t>
  </si>
  <si>
    <t>Total Closed</t>
  </si>
  <si>
    <t>S. No</t>
  </si>
  <si>
    <t xml:space="preserve">Issued by </t>
  </si>
  <si>
    <t>Issued to</t>
  </si>
  <si>
    <t>Issued on</t>
  </si>
  <si>
    <t>Brief Description</t>
  </si>
  <si>
    <t>category</t>
  </si>
  <si>
    <t>Action taken</t>
  </si>
  <si>
    <t xml:space="preserve">Status </t>
  </si>
  <si>
    <t>Time Impact (Y/N)</t>
  </si>
  <si>
    <t>Cost Impact (Y/N)</t>
  </si>
  <si>
    <t>Sharnam PMC</t>
  </si>
  <si>
    <t>Shapoorji</t>
  </si>
  <si>
    <t xml:space="preserve">Unsafe bar bending work observded also working at height, without safety belt, working platform or hand rail.  </t>
  </si>
  <si>
    <t>Working at Height</t>
  </si>
  <si>
    <t>Closed</t>
  </si>
  <si>
    <t xml:space="preserve">in the pit, this is totally unsafe condition to work for workeres. Injury or incident can be happen. </t>
  </si>
  <si>
    <t>Working in Pit</t>
  </si>
  <si>
    <t xml:space="preserve">Material is not stacked properly itemwise. </t>
  </si>
  <si>
    <t>Material</t>
  </si>
  <si>
    <t>It has been noted that the scaffolding is not rested on the proper land</t>
  </si>
  <si>
    <t>Unsafe Act Summary</t>
  </si>
  <si>
    <t>Safari-Safety Observation Unsafe Act-Sharnam-001</t>
  </si>
  <si>
    <t>Issued By</t>
  </si>
  <si>
    <t>Issued On</t>
  </si>
  <si>
    <t>Action Taken</t>
  </si>
  <si>
    <t>Unsafe Act at Excavation</t>
  </si>
  <si>
    <t>Closed the work</t>
  </si>
  <si>
    <t>Unsafe Act at 5th floor</t>
  </si>
  <si>
    <t>PPE kit</t>
  </si>
  <si>
    <t>Provided PPE kit to Worker</t>
  </si>
  <si>
    <t>NCR Summary</t>
  </si>
  <si>
    <t>NC Category</t>
  </si>
  <si>
    <t>Action Taken by PMC</t>
  </si>
  <si>
    <t>Time Impact (Days)</t>
  </si>
  <si>
    <t>Cost Impact (INR)</t>
  </si>
  <si>
    <t>Near Miss</t>
  </si>
  <si>
    <t>Harassment</t>
  </si>
  <si>
    <t>Psychological</t>
  </si>
  <si>
    <t>Illness</t>
  </si>
  <si>
    <t>Injury</t>
  </si>
  <si>
    <t>Safe Hours Summary</t>
  </si>
  <si>
    <t>Project Start Date</t>
  </si>
  <si>
    <t>Last Accident Date</t>
  </si>
  <si>
    <t>Sr.No</t>
  </si>
  <si>
    <t>HSE indicators</t>
  </si>
  <si>
    <t>Up to Previous Week (PW)</t>
  </si>
  <si>
    <t>Current Week (CW)</t>
  </si>
  <si>
    <t>Cumulative</t>
  </si>
  <si>
    <t>Safe-manhours</t>
  </si>
  <si>
    <t>Safe-man-days</t>
  </si>
  <si>
    <t>Toolbox Talk</t>
  </si>
  <si>
    <t>HSE induction</t>
  </si>
  <si>
    <t>HSE trainings</t>
  </si>
  <si>
    <t>Reported Incident/Accident</t>
  </si>
  <si>
    <t>Site safety Instructions</t>
  </si>
  <si>
    <t>NCN Raised</t>
  </si>
  <si>
    <t>SOR Raised</t>
  </si>
  <si>
    <t>FAC</t>
  </si>
  <si>
    <t>Site Safety Non Conformity Report</t>
  </si>
  <si>
    <t>NCR No</t>
  </si>
  <si>
    <t>Safari-Safety NCR-Sharnam-001</t>
  </si>
  <si>
    <t>Non-Conformity Safety Details</t>
  </si>
  <si>
    <t>Activity/Task</t>
  </si>
  <si>
    <t>[E.g., Excavation, Lifting, Electrical Work]</t>
  </si>
  <si>
    <t>Non-Conformity Description</t>
  </si>
  <si>
    <t>[Detailed explanation of the unsafe condition or action observed]</t>
  </si>
  <si>
    <t>[E.g., Working at Heights, PPE Non-Compliance, Housekeeping, Electrical Hazard, etc.]</t>
  </si>
  <si>
    <t>Observed Risk Level</t>
  </si>
  <si>
    <t xml:space="preserve">Low </t>
  </si>
  <si>
    <t>Photos/Attachments</t>
  </si>
  <si>
    <t>[Attach relevant photos, sketches, or supporting documents]</t>
  </si>
  <si>
    <t>Root Cause Analysis</t>
  </si>
  <si>
    <t>Root Cause</t>
  </si>
  <si>
    <t>[E.g., Lack of training, inadequate supervision, poor planning, defective equipment, etc.]</t>
  </si>
  <si>
    <t>Contributing Factors</t>
  </si>
  <si>
    <t>[Other issues that may have led to the non-conformity]</t>
  </si>
  <si>
    <t>Corrective Actions</t>
  </si>
  <si>
    <t>Immediate Action Taken</t>
  </si>
  <si>
    <t>[Steps taken immediately to mitigate the risk or resolve the issue]</t>
  </si>
  <si>
    <t>Long-Term Corrective Action</t>
  </si>
  <si>
    <t>[Preventive measures to ensure the issue doesn’t reoccur]</t>
  </si>
  <si>
    <t>[Name or department responsible for corrective actions]</t>
  </si>
  <si>
    <t>Target Completion Date</t>
  </si>
  <si>
    <t>[DD/MM/YYYY]</t>
  </si>
  <si>
    <t>Impact Assessment</t>
  </si>
  <si>
    <t>[Yes/No, specify the extent of delay if applicable]</t>
  </si>
  <si>
    <t>[Yes/No, specify the estimated cost impact if applicable]</t>
  </si>
  <si>
    <t>Follow-Up and Close-Out</t>
  </si>
  <si>
    <t>Follow-Up Date</t>
  </si>
  <si>
    <t>Prepared By</t>
  </si>
  <si>
    <t>Name: ______________</t>
  </si>
  <si>
    <t>Signature: ____________</t>
  </si>
  <si>
    <t>Reviewed By</t>
  </si>
  <si>
    <t>Signature: ____________ (Safety Officer)</t>
  </si>
  <si>
    <t>Approved By</t>
  </si>
  <si>
    <t>Signature: ____________ (Project Manager)</t>
  </si>
  <si>
    <t>Site Unsafe Act Report</t>
  </si>
  <si>
    <t>Unsafe Act Details</t>
  </si>
  <si>
    <t>Type of Unsafe Act</t>
  </si>
  <si>
    <t>Working at height</t>
  </si>
  <si>
    <t>Improper tool use</t>
  </si>
  <si>
    <t>Non-compliance with PPE</t>
  </si>
  <si>
    <t>Poor housekeeping</t>
  </si>
  <si>
    <t>Electrical hazards</t>
  </si>
  <si>
    <t>Others: [Specify]</t>
  </si>
  <si>
    <t>[Brief details of the unsafe act, including location and task being performed.]</t>
  </si>
  <si>
    <t>Actions &amp; Evidence</t>
  </si>
  <si>
    <t>[E.g., Stopped work, provided PPE, isolated the hazard.]</t>
  </si>
  <si>
    <t>Responsible Person</t>
  </si>
  <si>
    <t>[Name &amp; Role]</t>
  </si>
  <si>
    <t>Photos/Sketches</t>
  </si>
  <si>
    <t>[Attach if available]</t>
  </si>
  <si>
    <t>Witnesses</t>
  </si>
  <si>
    <t>[List of any witnesses with roles]</t>
  </si>
  <si>
    <t>Risk &amp; Recommendations</t>
  </si>
  <si>
    <t>Risk Level</t>
  </si>
  <si>
    <t>Consequences</t>
  </si>
  <si>
    <t>[Injury, fatality, equipment damage, project delay, etc.]</t>
  </si>
  <si>
    <t>Corrective Measures</t>
  </si>
  <si>
    <t>[Long-term actions like training, new procedures, or equipment repair.]</t>
  </si>
  <si>
    <t>Responsible Person/Dept.</t>
  </si>
  <si>
    <t>[Name or department]</t>
  </si>
  <si>
    <t>Deadline</t>
  </si>
  <si>
    <t>[Specify timeline for rectification]</t>
  </si>
  <si>
    <t>Follow-Up &amp; Approvals</t>
  </si>
  <si>
    <t xml:space="preserve">                                                             Hazard Identification &amp; Risk Assessment</t>
  </si>
  <si>
    <t>Sharnam Project Development Consultants</t>
  </si>
  <si>
    <t>ID No :</t>
  </si>
  <si>
    <t>Revision :</t>
  </si>
  <si>
    <t>Name of Project: Safari Industrial Plant</t>
  </si>
  <si>
    <t>Location: Halol GIDC</t>
  </si>
  <si>
    <t>Activity: Execution</t>
  </si>
  <si>
    <t>Approved By:</t>
  </si>
  <si>
    <t>Date:</t>
  </si>
  <si>
    <t>Sr. No.</t>
  </si>
  <si>
    <t>Risk ID</t>
  </si>
  <si>
    <t>Hazard</t>
  </si>
  <si>
    <t>Consequence</t>
  </si>
  <si>
    <t>Legal Concerns (Y/N)</t>
  </si>
  <si>
    <t>Risk Analysis</t>
  </si>
  <si>
    <t>Control Measure</t>
  </si>
  <si>
    <t>Residual Risk</t>
  </si>
  <si>
    <t>Remarks if any</t>
  </si>
  <si>
    <t>Probability</t>
  </si>
  <si>
    <t>Severity</t>
  </si>
  <si>
    <t>Person working too close to the edge of excavationn</t>
  </si>
  <si>
    <t>A1</t>
  </si>
  <si>
    <t>Fall of person into excavation</t>
  </si>
  <si>
    <t>Major Injury</t>
  </si>
  <si>
    <t>Barricading shall be provided.</t>
  </si>
  <si>
    <t>Improper house-keeping</t>
  </si>
  <si>
    <t>B1</t>
  </si>
  <si>
    <t>Injury to personnel working near-by</t>
  </si>
  <si>
    <t>Minor Injury</t>
  </si>
  <si>
    <t>Proper house keeping shall be maintained</t>
  </si>
  <si>
    <t>Concreting</t>
  </si>
  <si>
    <t>C1</t>
  </si>
  <si>
    <t>Earthing of  vibrators not done</t>
  </si>
  <si>
    <t>Can Cause short circuit</t>
  </si>
  <si>
    <t>Ensure earthing of equipment before commencement of work</t>
  </si>
  <si>
    <t>C2</t>
  </si>
  <si>
    <t>Continuous pouring by same gang</t>
  </si>
  <si>
    <t>Cause tiredness of workers and may lead to accident</t>
  </si>
  <si>
    <t>Insist on shift patterns</t>
  </si>
  <si>
    <t>D</t>
  </si>
  <si>
    <t>Bar Bending &amp; Bar Cutting Machine</t>
  </si>
  <si>
    <t>D1</t>
  </si>
  <si>
    <t>Inexperienced operator</t>
  </si>
  <si>
    <t>Ensure complete trained operator to be deployed.</t>
  </si>
  <si>
    <t>D2</t>
  </si>
  <si>
    <t>Defective machine</t>
  </si>
  <si>
    <t>Check machine condition before start</t>
  </si>
  <si>
    <t>D3</t>
  </si>
  <si>
    <t>Loose Electrical connection</t>
  </si>
  <si>
    <t>Fire/Short circuit</t>
  </si>
  <si>
    <t>Electrical connection should connected with ELCB</t>
  </si>
  <si>
    <t>D4</t>
  </si>
  <si>
    <t>Electrical shock</t>
  </si>
  <si>
    <t>Body Earthing provided to machine</t>
  </si>
  <si>
    <t>D5</t>
  </si>
  <si>
    <t>Hit by material</t>
  </si>
  <si>
    <t>Trained operator prrovided</t>
  </si>
  <si>
    <t>D6</t>
  </si>
  <si>
    <t>Defective blades</t>
  </si>
  <si>
    <t>Check blade condition</t>
  </si>
  <si>
    <t>E</t>
  </si>
  <si>
    <t>E1</t>
  </si>
  <si>
    <t>During unloading rods from truck deck</t>
  </si>
  <si>
    <t xml:space="preserve">Injuries to the person due to hit while unloding rods </t>
  </si>
  <si>
    <t>Unload bars from trailers as closer as possible to work area</t>
  </si>
  <si>
    <t>E2</t>
  </si>
  <si>
    <t>Cutting of rods</t>
  </si>
  <si>
    <t xml:space="preserve">Person may injured his finger or hand </t>
  </si>
  <si>
    <t>Observe careful hand placement</t>
  </si>
  <si>
    <t>E3</t>
  </si>
  <si>
    <t>Carrying of rods for long distance</t>
  </si>
  <si>
    <t>Carrying of rods for short distance</t>
  </si>
  <si>
    <t>Use proper lifting techniques</t>
  </si>
  <si>
    <t>E4</t>
  </si>
  <si>
    <t>Bending of rods</t>
  </si>
  <si>
    <t>Get help with heavy / awkward bars</t>
  </si>
  <si>
    <t>F</t>
  </si>
  <si>
    <t>Formwork</t>
  </si>
  <si>
    <t>F1</t>
  </si>
  <si>
    <t>Working with cutting tools</t>
  </si>
  <si>
    <t>May cause hand injury</t>
  </si>
  <si>
    <t>Observe position of machine and work accordingly</t>
  </si>
  <si>
    <t>F2</t>
  </si>
  <si>
    <t>Falling of shuttering materials</t>
  </si>
  <si>
    <t>Safety net should be provided</t>
  </si>
  <si>
    <t>G</t>
  </si>
  <si>
    <t>Preparation of shuttering</t>
  </si>
  <si>
    <t>G1</t>
  </si>
  <si>
    <t>Nails not stacked properly</t>
  </si>
  <si>
    <t>Eye Injury</t>
  </si>
  <si>
    <t>Use magnet for collection of nails</t>
  </si>
  <si>
    <t>G2</t>
  </si>
  <si>
    <t>Use of loose hammer</t>
  </si>
  <si>
    <t>Use good condition of hammer</t>
  </si>
  <si>
    <t>H</t>
  </si>
  <si>
    <t>Erection of shuttering on height</t>
  </si>
  <si>
    <t>H1</t>
  </si>
  <si>
    <t>Fall of person</t>
  </si>
  <si>
    <t xml:space="preserve">Safety belt should be provided </t>
  </si>
  <si>
    <t>H2</t>
  </si>
  <si>
    <t>Fall of material</t>
  </si>
  <si>
    <t>I</t>
  </si>
  <si>
    <t xml:space="preserve">Walkway jellies laying/ removing </t>
  </si>
  <si>
    <t>I1</t>
  </si>
  <si>
    <t>Fall of jallies</t>
  </si>
  <si>
    <t>Walkway jallies should be bend with bending wires</t>
  </si>
  <si>
    <t>J</t>
  </si>
  <si>
    <t>Concrete Pumping</t>
  </si>
  <si>
    <t>J1</t>
  </si>
  <si>
    <t>Failure of equipment while working</t>
  </si>
  <si>
    <t>Injuries/ fatal/ fracture and equipment damage</t>
  </si>
  <si>
    <t>Check equipment before commencement of  work</t>
  </si>
  <si>
    <t>K</t>
  </si>
  <si>
    <t>Handling &amp; Stacking of scaffold materia</t>
  </si>
  <si>
    <t>K1</t>
  </si>
  <si>
    <t>Fall of material while loading &amp; unloading</t>
  </si>
  <si>
    <t>Injuries &amp; fracture</t>
  </si>
  <si>
    <t>Do not lift the materials with bundle ties and to be unloaded with suitablelifting equipments</t>
  </si>
  <si>
    <t>K2</t>
  </si>
  <si>
    <t>Improper stacking</t>
  </si>
  <si>
    <t>Material should be stacked in stable manner and must be barricaded</t>
  </si>
  <si>
    <t>L</t>
  </si>
  <si>
    <t>Working on scaffolding at height</t>
  </si>
  <si>
    <t>L1</t>
  </si>
  <si>
    <t>Insufficient width of scaffold work platform</t>
  </si>
  <si>
    <t>Injury/fatal</t>
  </si>
  <si>
    <t>Proper width should be provided for working</t>
  </si>
  <si>
    <t>M</t>
  </si>
  <si>
    <t>Use portable electrical power tools and electrical equipments</t>
  </si>
  <si>
    <t>M1</t>
  </si>
  <si>
    <t>Electrical shock and burn injury</t>
  </si>
  <si>
    <t>N</t>
  </si>
  <si>
    <t>Lifting of material</t>
  </si>
  <si>
    <t>N1</t>
  </si>
  <si>
    <t>Failure of lifting gear, improper rigging</t>
  </si>
  <si>
    <t>Fall of material from height, damages to material, man power</t>
  </si>
  <si>
    <t>To ensure safety checklist before commencing work</t>
  </si>
  <si>
    <t>N2</t>
  </si>
  <si>
    <t>Hit by object due with rapid speed of lowering hoist/hook.</t>
  </si>
  <si>
    <t>Close supervision is required</t>
  </si>
  <si>
    <t>O</t>
  </si>
  <si>
    <t>Other risk related to project</t>
  </si>
  <si>
    <t>O1</t>
  </si>
  <si>
    <t>Fire Hazard</t>
  </si>
  <si>
    <t>Major burn injuries</t>
  </si>
  <si>
    <t xml:space="preserve">Fire enstigushier should be provided </t>
  </si>
  <si>
    <t>O2</t>
  </si>
  <si>
    <t>Inflation in material rate</t>
  </si>
  <si>
    <t>Increase cost more than estimated</t>
  </si>
  <si>
    <t>Proper procurement strategy should be provided</t>
  </si>
  <si>
    <t>O3</t>
  </si>
  <si>
    <t>Change in scope</t>
  </si>
  <si>
    <t xml:space="preserve">Delay in project </t>
  </si>
  <si>
    <t>Changes should be done as per the client's requirements and cost should be revised</t>
  </si>
  <si>
    <t>O4</t>
  </si>
  <si>
    <t xml:space="preserve">Labour shortage </t>
  </si>
  <si>
    <t>More sub contractors should be procured to mitigate labour shortage</t>
  </si>
  <si>
    <t>O5</t>
  </si>
  <si>
    <t>Force Majure</t>
  </si>
  <si>
    <t xml:space="preserve">Various Policies and Insurance should be taken by contractor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</si>
</sst>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164" formatCode="_ &quot;Rs.&quot;\ * #,##0.00_ ;_ &quot;Rs.&quot;\ * \-#,##0.00_ ;_ &quot;Rs.&quot;\ * &quot;-&quot;??_ ;_ @_ "/>
    <numFmt numFmtId="170" formatCode="&quot;₹&quot;\ #,##0"/>
    <numFmt numFmtId="171" formatCode="&quot;₹&quot;\ #,##0.00"/>
    <numFmt numFmtId="172" formatCode="mm/dd/yy;@"/>
  </numFmts>
  <fonts count="70"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40"/>
      <color theme="1"/>
      <name val="Calibri"/>
      <family val="2"/>
      <scheme val="minor"/>
    </font>
    <font>
      <u/>
      <sz val="22"/>
      <color theme="1"/>
      <name val="Arial"/>
      <family val="2"/>
    </font>
    <font>
      <sz val="10"/>
      <color theme="1"/>
      <name val="Calibri"/>
      <family val="2"/>
      <scheme val="minor"/>
    </font>
    <font>
      <sz val="11"/>
      <name val="Calibri"/>
      <family val="2"/>
      <scheme val="minor"/>
    </font>
    <font>
      <b/>
      <sz val="18"/>
      <color theme="0"/>
      <name val="Calibri"/>
      <family val="2"/>
    </font>
    <font>
      <sz val="11"/>
      <name val="Verdana"/>
      <family val="2"/>
    </font>
    <font>
      <b/>
      <sz val="10"/>
      <color theme="0"/>
      <name val="Calibri"/>
      <family val="2"/>
    </font>
    <font>
      <sz val="10"/>
      <name val="Calibri"/>
      <family val="2"/>
    </font>
    <font>
      <sz val="11"/>
      <name val="Calibri"/>
      <family val="2"/>
    </font>
    <font>
      <b/>
      <sz val="11"/>
      <name val="Calibri"/>
      <family val="2"/>
    </font>
    <font>
      <b/>
      <sz val="11"/>
      <name val="Verdana"/>
      <family val="2"/>
    </font>
    <font>
      <b/>
      <sz val="14"/>
      <color theme="1"/>
      <name val="Calibri"/>
      <family val="2"/>
    </font>
    <font>
      <b/>
      <sz val="11"/>
      <color theme="0"/>
      <name val="Calibri"/>
      <family val="2"/>
    </font>
    <font>
      <sz val="11"/>
      <color theme="1"/>
      <name val="Calibri"/>
      <family val="2"/>
    </font>
    <font>
      <b/>
      <sz val="11"/>
      <color theme="1"/>
      <name val="Artifakt Element"/>
      <family val="2"/>
    </font>
    <font>
      <sz val="11"/>
      <color theme="1"/>
      <name val="Artifakt Element"/>
      <family val="2"/>
    </font>
    <font>
      <sz val="10"/>
      <name val="Arial"/>
      <family val="2"/>
    </font>
    <font>
      <sz val="10"/>
      <color theme="1"/>
      <name val="Arial"/>
      <family val="2"/>
    </font>
    <font>
      <sz val="10"/>
      <name val="Calibri"/>
      <family val="2"/>
      <scheme val="minor"/>
    </font>
    <font>
      <b/>
      <sz val="10"/>
      <name val="Calibri"/>
      <family val="2"/>
      <scheme val="minor"/>
    </font>
    <font>
      <b/>
      <sz val="14"/>
      <color indexed="9"/>
      <name val="Calibri"/>
      <family val="2"/>
      <scheme val="minor"/>
    </font>
    <font>
      <b/>
      <sz val="10"/>
      <color indexed="9"/>
      <name val="Calibri"/>
      <family val="2"/>
      <scheme val="minor"/>
    </font>
    <font>
      <sz val="12"/>
      <color theme="1"/>
      <name val="Times New Roman"/>
      <family val="1"/>
    </font>
    <font>
      <b/>
      <sz val="12"/>
      <color rgb="FF000000"/>
      <name val="Times New Roman"/>
      <family val="1"/>
    </font>
    <font>
      <b/>
      <sz val="11"/>
      <color theme="0"/>
      <name val="Artifakt Element"/>
      <family val="2"/>
    </font>
    <font>
      <sz val="10"/>
      <color theme="1"/>
      <name val="Artifakt Element"/>
      <family val="2"/>
    </font>
    <font>
      <b/>
      <sz val="9"/>
      <color theme="1"/>
      <name val="Artifakt Element"/>
      <family val="2"/>
    </font>
    <font>
      <sz val="9"/>
      <color theme="1"/>
      <name val="Calibri"/>
      <family val="2"/>
      <scheme val="minor"/>
    </font>
    <font>
      <b/>
      <sz val="9"/>
      <color rgb="FF000000"/>
      <name val="Times New Roman"/>
      <family val="1"/>
    </font>
    <font>
      <sz val="9"/>
      <color theme="1"/>
      <name val="Artifakt Element"/>
      <family val="2"/>
    </font>
    <font>
      <sz val="9"/>
      <color theme="1"/>
      <name val="Times New Roman"/>
      <family val="1"/>
    </font>
    <font>
      <b/>
      <sz val="9"/>
      <color theme="1"/>
      <name val="Calibri"/>
      <family val="2"/>
      <scheme val="minor"/>
    </font>
    <font>
      <b/>
      <sz val="14"/>
      <color rgb="FF000000"/>
      <name val="Artifakt Element"/>
      <family val="2"/>
    </font>
    <font>
      <sz val="14"/>
      <color rgb="FF000000"/>
      <name val="Artifakt Element"/>
      <family val="2"/>
    </font>
    <font>
      <b/>
      <sz val="14"/>
      <color rgb="FFFFFFFF"/>
      <name val="Artifakt Element"/>
      <family val="2"/>
    </font>
    <font>
      <sz val="14"/>
      <color rgb="FFFFFFFF"/>
      <name val="Artifakt Element"/>
      <family val="2"/>
    </font>
    <font>
      <sz val="14"/>
      <color theme="1"/>
      <name val="Artifakt Element"/>
      <family val="2"/>
    </font>
    <font>
      <b/>
      <sz val="10.5"/>
      <name val="Calibri"/>
      <family val="2"/>
    </font>
    <font>
      <b/>
      <sz val="12"/>
      <name val="Artifakt Element"/>
      <family val="2"/>
    </font>
    <font>
      <b/>
      <sz val="12"/>
      <color theme="1"/>
      <name val="Artifakt Element"/>
      <family val="2"/>
    </font>
    <font>
      <b/>
      <sz val="12"/>
      <color theme="0"/>
      <name val="Artifakt Element"/>
      <family val="2"/>
    </font>
    <font>
      <sz val="12"/>
      <color theme="1"/>
      <name val="Artifakt Element"/>
      <family val="2"/>
    </font>
    <font>
      <sz val="12"/>
      <name val="Artifakt Element"/>
      <family val="2"/>
    </font>
    <font>
      <b/>
      <sz val="14"/>
      <name val="Artifakt Element"/>
      <family val="2"/>
    </font>
    <font>
      <b/>
      <sz val="10"/>
      <name val="Artifakt Element"/>
      <family val="2"/>
    </font>
    <font>
      <b/>
      <sz val="10"/>
      <color theme="0"/>
      <name val="Artifakt Element"/>
      <family val="2"/>
    </font>
    <font>
      <sz val="10"/>
      <name val="Artifakt Element"/>
      <family val="2"/>
    </font>
    <font>
      <b/>
      <sz val="18"/>
      <color theme="0"/>
      <name val="Arial"/>
      <family val="2"/>
    </font>
    <font>
      <b/>
      <sz val="12"/>
      <color theme="1"/>
      <name val="Arial"/>
      <family val="2"/>
    </font>
    <font>
      <b/>
      <sz val="12"/>
      <color theme="1" tint="4.9989318521683403E-2"/>
      <name val="Arial"/>
      <family val="2"/>
    </font>
    <font>
      <b/>
      <sz val="14"/>
      <color theme="1"/>
      <name val="Arial"/>
      <family val="2"/>
    </font>
    <font>
      <sz val="12"/>
      <color theme="1"/>
      <name val="Calibri"/>
      <family val="2"/>
      <scheme val="minor"/>
    </font>
    <font>
      <sz val="11"/>
      <color theme="1"/>
      <name val="Calibri Light"/>
      <family val="2"/>
    </font>
    <font>
      <b/>
      <sz val="10"/>
      <color indexed="9"/>
      <name val="Calibri Light"/>
      <family val="2"/>
    </font>
    <font>
      <b/>
      <sz val="11"/>
      <color theme="1"/>
      <name val="Calibri Light"/>
      <family val="2"/>
    </font>
    <font>
      <b/>
      <sz val="11"/>
      <color rgb="FFC00000"/>
      <name val="Calibri Light"/>
      <family val="2"/>
    </font>
    <font>
      <b/>
      <sz val="11"/>
      <name val="Calibri Light"/>
      <family val="2"/>
    </font>
    <font>
      <b/>
      <sz val="18"/>
      <color theme="0"/>
      <name val="Calibri Light"/>
      <family val="2"/>
    </font>
    <font>
      <b/>
      <sz val="11"/>
      <color theme="0"/>
      <name val="Calibri Light"/>
      <family val="2"/>
    </font>
    <font>
      <b/>
      <sz val="10"/>
      <color theme="1"/>
      <name val="Calibri"/>
      <family val="2"/>
    </font>
    <font>
      <sz val="10"/>
      <color theme="1"/>
      <name val="Calibri"/>
      <family val="2"/>
    </font>
    <font>
      <b/>
      <sz val="14"/>
      <color theme="0"/>
      <name val="Calibri Light"/>
      <family val="2"/>
    </font>
    <font>
      <b/>
      <sz val="11"/>
      <color theme="1"/>
      <name val="Calibri"/>
      <family val="2"/>
    </font>
    <font>
      <b/>
      <sz val="16"/>
      <color rgb="FF002060"/>
      <name val="Calibri"/>
      <family val="2"/>
      <scheme val="minor"/>
    </font>
    <font>
      <b/>
      <sz val="12"/>
      <color rgb="FF002060"/>
      <name val="Calibri"/>
      <family val="2"/>
      <scheme val="minor"/>
    </font>
    <font>
      <b/>
      <sz val="12"/>
      <color rgb="FFC00000"/>
      <name val="Calibri"/>
      <family val="2"/>
      <scheme val="minor"/>
    </font>
  </fonts>
  <fills count="23">
    <fill>
      <patternFill patternType="none"/>
    </fill>
    <fill>
      <patternFill patternType="gray125"/>
    </fill>
    <fill>
      <patternFill patternType="solid">
        <fgColor theme="0"/>
        <bgColor indexed="64"/>
      </patternFill>
    </fill>
    <fill>
      <patternFill patternType="solid">
        <fgColor theme="4" tint="-0.249977111117893"/>
        <bgColor indexed="64"/>
      </patternFill>
    </fill>
    <fill>
      <patternFill patternType="solid">
        <fgColor rgb="FFC00000"/>
        <bgColor indexed="64"/>
      </patternFill>
    </fill>
    <fill>
      <patternFill patternType="solid">
        <fgColor rgb="FF393185"/>
        <bgColor rgb="FF393185"/>
      </patternFill>
    </fill>
    <fill>
      <patternFill patternType="solid">
        <fgColor rgb="FF92D050"/>
        <bgColor rgb="FF92D050"/>
      </patternFill>
    </fill>
    <fill>
      <patternFill patternType="solid">
        <fgColor rgb="FFFFFF00"/>
        <bgColor rgb="FFFFFF00"/>
      </patternFill>
    </fill>
    <fill>
      <patternFill patternType="solid">
        <fgColor rgb="FFFF0000"/>
        <bgColor rgb="FFFF0000"/>
      </patternFill>
    </fill>
    <fill>
      <patternFill patternType="solid">
        <fgColor rgb="FFF89D84"/>
        <bgColor indexed="64"/>
      </patternFill>
    </fill>
    <fill>
      <patternFill patternType="solid">
        <fgColor rgb="FF002060"/>
        <bgColor indexed="64"/>
      </patternFill>
    </fill>
    <fill>
      <patternFill patternType="solid">
        <fgColor theme="4" tint="0.79998168889431442"/>
        <bgColor theme="4" tint="0.79998168889431442"/>
      </patternFill>
    </fill>
    <fill>
      <patternFill patternType="solid">
        <fgColor rgb="FFFF615F"/>
        <bgColor indexed="64"/>
      </patternFill>
    </fill>
    <fill>
      <patternFill patternType="solid">
        <fgColor rgb="FFFFC000"/>
        <bgColor indexed="64"/>
      </patternFill>
    </fill>
    <fill>
      <patternFill patternType="solid">
        <fgColor theme="0" tint="-0.14999847407452621"/>
        <bgColor indexed="64"/>
      </patternFill>
    </fill>
    <fill>
      <patternFill patternType="solid">
        <fgColor rgb="FFB4C6E7"/>
        <bgColor indexed="64"/>
      </patternFill>
    </fill>
    <fill>
      <patternFill patternType="solid">
        <fgColor rgb="FF005A80"/>
        <bgColor indexed="64"/>
      </patternFill>
    </fill>
    <fill>
      <patternFill patternType="solid">
        <fgColor theme="4" tint="0.39997558519241921"/>
        <bgColor indexed="64"/>
      </patternFill>
    </fill>
    <fill>
      <patternFill patternType="solid">
        <fgColor rgb="FFD9D9D9"/>
        <bgColor rgb="FF000000"/>
      </patternFill>
    </fill>
    <fill>
      <patternFill patternType="solid">
        <fgColor theme="3" tint="0.79998168889431442"/>
        <bgColor indexed="64"/>
      </patternFill>
    </fill>
    <fill>
      <patternFill patternType="solid">
        <fgColor theme="4" tint="-0.499984740745262"/>
        <bgColor indexed="64"/>
      </patternFill>
    </fill>
    <fill>
      <patternFill patternType="solid">
        <fgColor theme="4" tint="0.59999389629810485"/>
        <bgColor indexed="64"/>
      </patternFill>
    </fill>
    <fill>
      <patternFill patternType="solid">
        <fgColor rgb="FFFF7C80"/>
        <bgColor indexed="64"/>
      </patternFill>
    </fill>
  </fills>
  <borders count="8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medium">
        <color indexed="64"/>
      </top>
      <bottom style="medium">
        <color indexed="64"/>
      </bottom>
      <diagonal/>
    </border>
    <border>
      <left style="thin">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style="double">
        <color indexed="64"/>
      </left>
      <right style="double">
        <color indexed="64"/>
      </right>
      <top style="double">
        <color indexed="64"/>
      </top>
      <bottom style="double">
        <color indexed="64"/>
      </bottom>
      <diagonal/>
    </border>
    <border>
      <left/>
      <right/>
      <top/>
      <bottom style="thin">
        <color theme="4" tint="0.39997558519241921"/>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medium">
        <color indexed="64"/>
      </left>
      <right style="thin">
        <color indexed="64"/>
      </right>
      <top/>
      <bottom/>
      <diagonal/>
    </border>
    <border>
      <left/>
      <right style="thin">
        <color indexed="64"/>
      </right>
      <top/>
      <bottom style="medium">
        <color indexed="64"/>
      </bottom>
      <diagonal/>
    </border>
  </borders>
  <cellStyleXfs count="7">
    <xf numFmtId="0" fontId="0" fillId="0" borderId="0"/>
    <xf numFmtId="44" fontId="1" fillId="0" borderId="0" applyFont="0" applyFill="0" applyBorder="0" applyAlignment="0" applyProtection="0"/>
    <xf numFmtId="9" fontId="1" fillId="0" borderId="0" applyFont="0" applyFill="0" applyBorder="0" applyAlignment="0" applyProtection="0"/>
    <xf numFmtId="0" fontId="7" fillId="0" borderId="0"/>
    <xf numFmtId="0" fontId="7" fillId="0" borderId="0"/>
    <xf numFmtId="0" fontId="20" fillId="0" borderId="0"/>
    <xf numFmtId="0" fontId="1" fillId="0" borderId="0"/>
  </cellStyleXfs>
  <cellXfs count="693">
    <xf numFmtId="0" fontId="0" fillId="0" borderId="0" xfId="0"/>
    <xf numFmtId="0" fontId="0" fillId="2" borderId="0" xfId="0" applyFill="1"/>
    <xf numFmtId="0" fontId="0" fillId="2" borderId="0" xfId="0" applyFill="1" applyAlignment="1">
      <alignment horizontal="center" vertical="center"/>
    </xf>
    <xf numFmtId="0" fontId="4" fillId="2" borderId="0" xfId="0" applyFont="1" applyFill="1" applyAlignment="1">
      <alignment horizontal="center" vertical="center"/>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0" fillId="0" borderId="0" xfId="0" applyAlignment="1">
      <alignment horizontal="center" vertical="center" wrapText="1"/>
    </xf>
    <xf numFmtId="0" fontId="0" fillId="0" borderId="4" xfId="0" applyBorder="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0" fontId="0" fillId="0" borderId="5" xfId="0" applyBorder="1"/>
    <xf numFmtId="0" fontId="0" fillId="0" borderId="0" xfId="0" applyAlignment="1">
      <alignment horizontal="center"/>
    </xf>
    <xf numFmtId="0" fontId="0" fillId="0" borderId="6" xfId="0" applyBorder="1" applyAlignment="1">
      <alignment horizontal="center" vertical="center"/>
    </xf>
    <xf numFmtId="0" fontId="0" fillId="0" borderId="7" xfId="0" applyBorder="1"/>
    <xf numFmtId="0" fontId="0" fillId="0" borderId="7" xfId="0" applyBorder="1" applyAlignment="1">
      <alignment horizontal="center"/>
    </xf>
    <xf numFmtId="14" fontId="0" fillId="0" borderId="7" xfId="0" applyNumberFormat="1" applyBorder="1" applyAlignment="1">
      <alignment horizontal="center" vertical="center"/>
    </xf>
    <xf numFmtId="0" fontId="0" fillId="0" borderId="7" xfId="0" applyBorder="1" applyAlignment="1">
      <alignment horizontal="center" vertical="center"/>
    </xf>
    <xf numFmtId="0" fontId="0" fillId="0" borderId="8" xfId="0" applyBorder="1"/>
    <xf numFmtId="0" fontId="5" fillId="2" borderId="9"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11" xfId="0" applyFont="1" applyFill="1" applyBorder="1" applyAlignment="1">
      <alignment horizontal="center" vertical="center"/>
    </xf>
    <xf numFmtId="0" fontId="5" fillId="0" borderId="0" xfId="0" applyFont="1" applyAlignment="1">
      <alignment horizontal="center" vertical="center"/>
    </xf>
    <xf numFmtId="0" fontId="0" fillId="0" borderId="0" xfId="0" applyAlignment="1">
      <alignment vertical="center"/>
    </xf>
    <xf numFmtId="0" fontId="2" fillId="3" borderId="12"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2" fillId="3" borderId="15" xfId="0" applyFont="1" applyFill="1" applyBorder="1" applyAlignment="1">
      <alignment horizontal="center" vertical="center" wrapText="1"/>
    </xf>
    <xf numFmtId="0" fontId="3" fillId="0" borderId="0" xfId="0" applyFont="1" applyAlignment="1">
      <alignment horizontal="center" vertical="center" wrapText="1"/>
    </xf>
    <xf numFmtId="0" fontId="2" fillId="3" borderId="16"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2" fillId="3" borderId="18" xfId="0" applyFont="1" applyFill="1" applyBorder="1" applyAlignment="1">
      <alignment horizontal="center" vertical="center" wrapText="1"/>
    </xf>
    <xf numFmtId="0" fontId="6" fillId="0" borderId="16" xfId="0" applyFont="1" applyBorder="1" applyAlignment="1">
      <alignment horizontal="center" vertical="center"/>
    </xf>
    <xf numFmtId="0" fontId="6" fillId="0" borderId="17" xfId="0" applyFont="1" applyBorder="1" applyAlignment="1">
      <alignment horizontal="center" vertical="center"/>
    </xf>
    <xf numFmtId="0" fontId="6" fillId="0" borderId="17" xfId="0" applyFont="1" applyBorder="1" applyAlignment="1">
      <alignment horizontal="left" vertical="center" wrapText="1"/>
    </xf>
    <xf numFmtId="0" fontId="6" fillId="0" borderId="17" xfId="0" applyFont="1" applyBorder="1" applyAlignment="1">
      <alignment vertical="center"/>
    </xf>
    <xf numFmtId="0" fontId="0" fillId="0" borderId="18" xfId="0" applyBorder="1" applyAlignment="1">
      <alignment vertical="center"/>
    </xf>
    <xf numFmtId="0" fontId="6" fillId="0" borderId="19" xfId="0" applyFont="1" applyBorder="1" applyAlignment="1">
      <alignment horizontal="center" vertical="center"/>
    </xf>
    <xf numFmtId="0" fontId="6" fillId="0" borderId="20" xfId="0" applyFont="1" applyBorder="1" applyAlignment="1">
      <alignment horizontal="center" vertical="center"/>
    </xf>
    <xf numFmtId="0" fontId="6" fillId="0" borderId="20" xfId="0" applyFont="1" applyBorder="1" applyAlignment="1">
      <alignment horizontal="left" vertical="center" wrapText="1"/>
    </xf>
    <xf numFmtId="0" fontId="6" fillId="0" borderId="20" xfId="0" applyFont="1" applyBorder="1" applyAlignment="1">
      <alignment vertical="center"/>
    </xf>
    <xf numFmtId="0" fontId="0" fillId="0" borderId="21" xfId="0" applyBorder="1" applyAlignment="1">
      <alignment vertical="center"/>
    </xf>
    <xf numFmtId="0" fontId="8" fillId="4" borderId="0" xfId="3" applyFont="1" applyFill="1" applyAlignment="1">
      <alignment horizontal="center" vertical="center"/>
    </xf>
    <xf numFmtId="0" fontId="9" fillId="0" borderId="0" xfId="3" applyFont="1"/>
    <xf numFmtId="0" fontId="7" fillId="0" borderId="0" xfId="3"/>
    <xf numFmtId="0" fontId="10" fillId="5" borderId="22" xfId="3" applyFont="1" applyFill="1" applyBorder="1" applyAlignment="1">
      <alignment horizontal="center" vertical="center" wrapText="1"/>
    </xf>
    <xf numFmtId="0" fontId="9" fillId="0" borderId="0" xfId="3" applyFont="1" applyAlignment="1">
      <alignment wrapText="1"/>
    </xf>
    <xf numFmtId="0" fontId="11" fillId="0" borderId="22" xfId="3" applyFont="1" applyBorder="1" applyAlignment="1">
      <alignment horizontal="center" vertical="center"/>
    </xf>
    <xf numFmtId="0" fontId="11" fillId="0" borderId="22" xfId="3" applyFont="1" applyBorder="1" applyAlignment="1">
      <alignment horizontal="left" vertical="center" wrapText="1"/>
    </xf>
    <xf numFmtId="0" fontId="12" fillId="0" borderId="17" xfId="4" applyFont="1" applyBorder="1" applyAlignment="1">
      <alignment horizontal="center" vertical="center" wrapText="1"/>
    </xf>
    <xf numFmtId="0" fontId="11" fillId="0" borderId="22" xfId="3" applyFont="1" applyBorder="1" applyAlignment="1">
      <alignment horizontal="center" vertical="center" wrapText="1"/>
    </xf>
    <xf numFmtId="14" fontId="11" fillId="0" borderId="22" xfId="3" applyNumberFormat="1" applyFont="1" applyBorder="1" applyAlignment="1">
      <alignment horizontal="center" vertical="center" wrapText="1"/>
    </xf>
    <xf numFmtId="14" fontId="12" fillId="0" borderId="22" xfId="3" applyNumberFormat="1" applyFont="1" applyBorder="1" applyAlignment="1">
      <alignment horizontal="center" vertical="center" wrapText="1"/>
    </xf>
    <xf numFmtId="0" fontId="12" fillId="0" borderId="22" xfId="3" applyFont="1" applyBorder="1" applyAlignment="1">
      <alignment horizontal="center" vertical="center"/>
    </xf>
    <xf numFmtId="0" fontId="13" fillId="0" borderId="22" xfId="3" applyFont="1" applyBorder="1" applyAlignment="1">
      <alignment horizontal="center" vertical="center"/>
    </xf>
    <xf numFmtId="0" fontId="12" fillId="0" borderId="22" xfId="3" applyFont="1" applyBorder="1" applyAlignment="1">
      <alignment horizontal="center" vertical="center" wrapText="1"/>
    </xf>
    <xf numFmtId="0" fontId="12" fillId="6" borderId="22" xfId="3" applyFont="1" applyFill="1" applyBorder="1" applyAlignment="1">
      <alignment horizontal="center" vertical="center"/>
    </xf>
    <xf numFmtId="0" fontId="12" fillId="0" borderId="22" xfId="3" applyFont="1" applyBorder="1" applyAlignment="1">
      <alignment horizontal="left" vertical="center" wrapText="1"/>
    </xf>
    <xf numFmtId="0" fontId="9" fillId="0" borderId="0" xfId="3" applyFont="1" applyAlignment="1">
      <alignment horizontal="center" vertical="center"/>
    </xf>
    <xf numFmtId="0" fontId="14" fillId="7" borderId="23" xfId="3" applyFont="1" applyFill="1" applyBorder="1" applyAlignment="1">
      <alignment horizontal="center"/>
    </xf>
    <xf numFmtId="0" fontId="12" fillId="0" borderId="24" xfId="3" applyFont="1" applyBorder="1"/>
    <xf numFmtId="0" fontId="12" fillId="0" borderId="25" xfId="3" applyFont="1" applyBorder="1"/>
    <xf numFmtId="0" fontId="14" fillId="7" borderId="22" xfId="3" applyFont="1" applyFill="1" applyBorder="1" applyAlignment="1">
      <alignment horizontal="center"/>
    </xf>
    <xf numFmtId="14" fontId="12" fillId="0" borderId="22" xfId="3" applyNumberFormat="1" applyFont="1" applyBorder="1" applyAlignment="1">
      <alignment horizontal="center" vertical="center"/>
    </xf>
    <xf numFmtId="0" fontId="11" fillId="0" borderId="26" xfId="3" applyFont="1" applyBorder="1" applyAlignment="1">
      <alignment horizontal="center" vertical="center"/>
    </xf>
    <xf numFmtId="0" fontId="11" fillId="0" borderId="26" xfId="3" applyFont="1" applyBorder="1" applyAlignment="1">
      <alignment horizontal="left" vertical="center" wrapText="1"/>
    </xf>
    <xf numFmtId="14" fontId="11" fillId="0" borderId="26" xfId="3" applyNumberFormat="1" applyFont="1" applyBorder="1" applyAlignment="1">
      <alignment horizontal="center" vertical="center"/>
    </xf>
    <xf numFmtId="0" fontId="12" fillId="0" borderId="26" xfId="3" applyFont="1" applyBorder="1" applyAlignment="1">
      <alignment horizontal="left" vertical="center" wrapText="1"/>
    </xf>
    <xf numFmtId="14" fontId="12" fillId="0" borderId="26" xfId="3" applyNumberFormat="1" applyFont="1" applyBorder="1" applyAlignment="1">
      <alignment horizontal="center" vertical="center"/>
    </xf>
    <xf numFmtId="0" fontId="12" fillId="0" borderId="26" xfId="3" applyFont="1" applyBorder="1" applyAlignment="1">
      <alignment horizontal="center" vertical="center"/>
    </xf>
    <xf numFmtId="14" fontId="12" fillId="0" borderId="26" xfId="3" applyNumberFormat="1" applyFont="1" applyBorder="1" applyAlignment="1">
      <alignment horizontal="center" vertical="center" wrapText="1"/>
    </xf>
    <xf numFmtId="0" fontId="13" fillId="0" borderId="26" xfId="3" applyFont="1" applyBorder="1" applyAlignment="1">
      <alignment horizontal="center" vertical="center"/>
    </xf>
    <xf numFmtId="0" fontId="12" fillId="0" borderId="26" xfId="3" applyFont="1" applyBorder="1" applyAlignment="1">
      <alignment horizontal="center" vertical="center" wrapText="1"/>
    </xf>
    <xf numFmtId="0" fontId="12" fillId="6" borderId="26" xfId="3" applyFont="1" applyFill="1" applyBorder="1" applyAlignment="1">
      <alignment horizontal="center" vertical="center"/>
    </xf>
    <xf numFmtId="14" fontId="11" fillId="0" borderId="22" xfId="3" applyNumberFormat="1" applyFont="1" applyBorder="1" applyAlignment="1">
      <alignment horizontal="center" vertical="center"/>
    </xf>
    <xf numFmtId="0" fontId="12" fillId="8" borderId="26" xfId="3" applyFont="1" applyFill="1" applyBorder="1" applyAlignment="1">
      <alignment horizontal="center" vertical="center"/>
    </xf>
    <xf numFmtId="0" fontId="12" fillId="0" borderId="22" xfId="3" applyFont="1" applyBorder="1" applyAlignment="1">
      <alignment horizontal="center"/>
    </xf>
    <xf numFmtId="0" fontId="9" fillId="0" borderId="0" xfId="3" applyFont="1" applyAlignment="1">
      <alignment horizontal="center"/>
    </xf>
    <xf numFmtId="164" fontId="9" fillId="0" borderId="0" xfId="3" applyNumberFormat="1" applyFont="1"/>
    <xf numFmtId="164" fontId="9" fillId="0" borderId="0" xfId="3" applyNumberFormat="1" applyFont="1" applyAlignment="1">
      <alignment horizontal="center"/>
    </xf>
    <xf numFmtId="164" fontId="9" fillId="0" borderId="0" xfId="3" applyNumberFormat="1" applyFont="1" applyAlignment="1">
      <alignment horizontal="center" vertical="center"/>
    </xf>
    <xf numFmtId="0" fontId="9" fillId="0" borderId="22" xfId="3" applyFont="1" applyBorder="1" applyAlignment="1">
      <alignment horizontal="center" vertical="center"/>
    </xf>
    <xf numFmtId="0" fontId="7" fillId="0" borderId="0" xfId="3" applyAlignment="1">
      <alignment horizontal="center"/>
    </xf>
    <xf numFmtId="0" fontId="15" fillId="9" borderId="1" xfId="0" applyFont="1" applyFill="1" applyBorder="1" applyAlignment="1">
      <alignment horizontal="center" vertical="center"/>
    </xf>
    <xf numFmtId="0" fontId="15" fillId="9" borderId="2" xfId="0" applyFont="1" applyFill="1" applyBorder="1" applyAlignment="1">
      <alignment horizontal="center" vertical="center"/>
    </xf>
    <xf numFmtId="0" fontId="15" fillId="9" borderId="3" xfId="0" applyFont="1" applyFill="1" applyBorder="1" applyAlignment="1">
      <alignment horizontal="center" vertical="center"/>
    </xf>
    <xf numFmtId="0" fontId="15" fillId="9" borderId="6" xfId="0" applyFont="1" applyFill="1" applyBorder="1" applyAlignment="1">
      <alignment horizontal="center" vertical="center"/>
    </xf>
    <xf numFmtId="0" fontId="15" fillId="9" borderId="7" xfId="0" applyFont="1" applyFill="1" applyBorder="1" applyAlignment="1">
      <alignment horizontal="center" vertical="center"/>
    </xf>
    <xf numFmtId="0" fontId="15" fillId="9" borderId="8" xfId="0" applyFont="1" applyFill="1" applyBorder="1" applyAlignment="1">
      <alignment horizontal="center" vertical="center"/>
    </xf>
    <xf numFmtId="0" fontId="16" fillId="3" borderId="1" xfId="0" applyFont="1" applyFill="1" applyBorder="1" applyAlignment="1">
      <alignment horizontal="center" vertical="center" wrapText="1"/>
    </xf>
    <xf numFmtId="0" fontId="16" fillId="3" borderId="2" xfId="0" applyFont="1" applyFill="1" applyBorder="1" applyAlignment="1">
      <alignment horizontal="center" vertical="center" wrapText="1"/>
    </xf>
    <xf numFmtId="0" fontId="16" fillId="3" borderId="3" xfId="0" applyFont="1" applyFill="1" applyBorder="1" applyAlignment="1">
      <alignment horizontal="center" vertical="center" wrapText="1"/>
    </xf>
    <xf numFmtId="0" fontId="0" fillId="0" borderId="0" xfId="0" applyAlignment="1">
      <alignment vertical="center" wrapText="1"/>
    </xf>
    <xf numFmtId="0" fontId="17" fillId="0" borderId="27" xfId="0" applyFont="1" applyBorder="1" applyAlignment="1">
      <alignment vertical="center"/>
    </xf>
    <xf numFmtId="0" fontId="17" fillId="0" borderId="28" xfId="0" applyFont="1" applyBorder="1" applyAlignment="1">
      <alignment vertical="center"/>
    </xf>
    <xf numFmtId="0" fontId="17" fillId="0" borderId="28" xfId="0" applyFont="1" applyBorder="1" applyAlignment="1">
      <alignment vertical="center" wrapText="1"/>
    </xf>
    <xf numFmtId="0" fontId="17" fillId="0" borderId="28" xfId="0" applyFont="1" applyBorder="1" applyAlignment="1">
      <alignment horizontal="center" vertical="center"/>
    </xf>
    <xf numFmtId="14" fontId="17" fillId="0" borderId="28" xfId="0" applyNumberFormat="1" applyFont="1" applyBorder="1" applyAlignment="1">
      <alignment horizontal="center" vertical="center"/>
    </xf>
    <xf numFmtId="0" fontId="17" fillId="0" borderId="29" xfId="0" applyFont="1" applyBorder="1" applyAlignment="1">
      <alignment vertical="center"/>
    </xf>
    <xf numFmtId="0" fontId="17" fillId="0" borderId="16" xfId="0" applyFont="1" applyBorder="1" applyAlignment="1">
      <alignment vertical="center"/>
    </xf>
    <xf numFmtId="0" fontId="17" fillId="0" borderId="17" xfId="0" applyFont="1" applyBorder="1" applyAlignment="1">
      <alignment vertical="center"/>
    </xf>
    <xf numFmtId="0" fontId="17" fillId="0" borderId="17" xfId="0" applyFont="1" applyBorder="1" applyAlignment="1">
      <alignment vertical="center" wrapText="1"/>
    </xf>
    <xf numFmtId="0" fontId="17" fillId="0" borderId="17" xfId="0" applyFont="1" applyBorder="1" applyAlignment="1">
      <alignment horizontal="center" vertical="center"/>
    </xf>
    <xf numFmtId="14" fontId="17" fillId="0" borderId="17" xfId="0" applyNumberFormat="1" applyFont="1" applyBorder="1" applyAlignment="1">
      <alignment horizontal="center" vertical="center"/>
    </xf>
    <xf numFmtId="0" fontId="17" fillId="0" borderId="18" xfId="0" applyFont="1" applyBorder="1" applyAlignment="1">
      <alignment vertical="center"/>
    </xf>
    <xf numFmtId="0" fontId="17" fillId="0" borderId="19" xfId="0" applyFont="1" applyBorder="1" applyAlignment="1">
      <alignment vertical="center"/>
    </xf>
    <xf numFmtId="0" fontId="17" fillId="0" borderId="20" xfId="0" applyFont="1" applyBorder="1" applyAlignment="1">
      <alignment vertical="center"/>
    </xf>
    <xf numFmtId="0" fontId="17" fillId="0" borderId="20" xfId="0" applyFont="1" applyBorder="1" applyAlignment="1">
      <alignment vertical="center" wrapText="1"/>
    </xf>
    <xf numFmtId="0" fontId="17" fillId="0" borderId="20" xfId="0" applyFont="1" applyBorder="1" applyAlignment="1">
      <alignment horizontal="center" vertical="center"/>
    </xf>
    <xf numFmtId="14" fontId="17" fillId="0" borderId="20" xfId="0" applyNumberFormat="1" applyFont="1" applyBorder="1" applyAlignment="1">
      <alignment horizontal="center" vertical="center"/>
    </xf>
    <xf numFmtId="0" fontId="17" fillId="0" borderId="21" xfId="0" applyFont="1" applyBorder="1" applyAlignment="1">
      <alignment vertical="center"/>
    </xf>
    <xf numFmtId="0" fontId="0" fillId="0" borderId="0" xfId="0"/>
    <xf numFmtId="0" fontId="3" fillId="0" borderId="0" xfId="0" applyFont="1" applyAlignment="1">
      <alignment horizontal="center" vertical="center" wrapText="1"/>
    </xf>
    <xf numFmtId="0" fontId="0" fillId="0" borderId="0" xfId="0" applyAlignment="1">
      <alignment vertical="center" wrapText="1"/>
    </xf>
    <xf numFmtId="15" fontId="0" fillId="0" borderId="0" xfId="0" applyNumberFormat="1" applyAlignment="1">
      <alignment vertical="center" wrapText="1"/>
    </xf>
    <xf numFmtId="1" fontId="0" fillId="0" borderId="0" xfId="0" applyNumberFormat="1" applyAlignment="1">
      <alignment vertical="center" wrapText="1"/>
    </xf>
    <xf numFmtId="0" fontId="0" fillId="0" borderId="0" xfId="0" pivotButton="1"/>
    <xf numFmtId="0" fontId="0" fillId="0" borderId="0" xfId="0" applyAlignment="1">
      <alignment horizontal="left"/>
    </xf>
    <xf numFmtId="9" fontId="0" fillId="0" borderId="0" xfId="0" applyNumberFormat="1" applyAlignment="1">
      <alignment vertical="center" wrapText="1"/>
    </xf>
    <xf numFmtId="9" fontId="0" fillId="0" borderId="0" xfId="0" applyNumberFormat="1"/>
    <xf numFmtId="0" fontId="0" fillId="0" borderId="0" xfId="0"/>
    <xf numFmtId="0" fontId="19" fillId="0" borderId="17" xfId="0" applyFont="1" applyBorder="1" applyAlignment="1">
      <alignment horizontal="center" vertical="center"/>
    </xf>
    <xf numFmtId="0" fontId="19" fillId="0" borderId="17" xfId="0" applyFont="1" applyBorder="1"/>
    <xf numFmtId="0" fontId="20" fillId="0" borderId="0" xfId="5"/>
    <xf numFmtId="0" fontId="22" fillId="0" borderId="0" xfId="5" applyFont="1"/>
    <xf numFmtId="0" fontId="25" fillId="0" borderId="34" xfId="5" applyFont="1" applyBorder="1" applyAlignment="1">
      <alignment vertical="center" wrapText="1"/>
    </xf>
    <xf numFmtId="0" fontId="23" fillId="0" borderId="17" xfId="5" applyFont="1" applyBorder="1" applyAlignment="1">
      <alignment horizontal="center" vertical="center" wrapText="1"/>
    </xf>
    <xf numFmtId="0" fontId="22" fillId="0" borderId="16" xfId="5" applyFont="1" applyBorder="1" applyAlignment="1">
      <alignment horizontal="center" vertical="center" wrapText="1"/>
    </xf>
    <xf numFmtId="14" fontId="22" fillId="0" borderId="17" xfId="5" applyNumberFormat="1" applyFont="1" applyBorder="1" applyAlignment="1">
      <alignment horizontal="center" vertical="center" wrapText="1"/>
    </xf>
    <xf numFmtId="0" fontId="22" fillId="0" borderId="17" xfId="5" applyFont="1" applyBorder="1" applyAlignment="1">
      <alignment horizontal="center" vertical="center" wrapText="1"/>
    </xf>
    <xf numFmtId="0" fontId="22" fillId="0" borderId="17" xfId="5" applyFont="1" applyBorder="1" applyAlignment="1">
      <alignment vertical="center" wrapText="1"/>
    </xf>
    <xf numFmtId="0" fontId="22" fillId="0" borderId="18" xfId="5" applyFont="1" applyBorder="1" applyAlignment="1">
      <alignment horizontal="center" vertical="center" wrapText="1"/>
    </xf>
    <xf numFmtId="0" fontId="22" fillId="0" borderId="19" xfId="5" applyFont="1" applyBorder="1" applyAlignment="1">
      <alignment horizontal="center" vertical="center" wrapText="1"/>
    </xf>
    <xf numFmtId="0" fontId="22" fillId="0" borderId="20" xfId="5" applyFont="1" applyBorder="1" applyAlignment="1">
      <alignment horizontal="center" vertical="center" wrapText="1"/>
    </xf>
    <xf numFmtId="0" fontId="22" fillId="0" borderId="20" xfId="5" applyFont="1" applyBorder="1" applyAlignment="1">
      <alignment vertical="center" wrapText="1"/>
    </xf>
    <xf numFmtId="0" fontId="22" fillId="0" borderId="21" xfId="5" applyFont="1" applyBorder="1" applyAlignment="1">
      <alignment horizontal="center" vertical="center" wrapText="1"/>
    </xf>
    <xf numFmtId="0" fontId="22" fillId="0" borderId="0" xfId="5" applyFont="1" applyAlignment="1">
      <alignment horizontal="center" vertical="center" wrapText="1"/>
    </xf>
    <xf numFmtId="0" fontId="23" fillId="14" borderId="16" xfId="5" applyFont="1" applyFill="1" applyBorder="1" applyAlignment="1">
      <alignment horizontal="center" vertical="center" wrapText="1"/>
    </xf>
    <xf numFmtId="0" fontId="23" fillId="14" borderId="17" xfId="5" applyFont="1" applyFill="1" applyBorder="1" applyAlignment="1">
      <alignment horizontal="center" vertical="center" wrapText="1"/>
    </xf>
    <xf numFmtId="0" fontId="23" fillId="14" borderId="18" xfId="5" applyFont="1" applyFill="1" applyBorder="1" applyAlignment="1">
      <alignment horizontal="center" vertical="center" wrapText="1"/>
    </xf>
    <xf numFmtId="0" fontId="0" fillId="0" borderId="17" xfId="0" applyBorder="1"/>
    <xf numFmtId="0" fontId="19" fillId="0" borderId="17" xfId="0" applyFont="1" applyBorder="1" applyAlignment="1">
      <alignment horizontal="center" vertical="center" wrapText="1"/>
    </xf>
    <xf numFmtId="0" fontId="19" fillId="0" borderId="17" xfId="0" applyFont="1" applyBorder="1" applyAlignment="1">
      <alignment horizontal="center"/>
    </xf>
    <xf numFmtId="0" fontId="28" fillId="10" borderId="17" xfId="0" applyFont="1" applyFill="1" applyBorder="1" applyAlignment="1">
      <alignment horizontal="center"/>
    </xf>
    <xf numFmtId="0" fontId="19" fillId="0" borderId="20" xfId="0" applyFont="1" applyBorder="1"/>
    <xf numFmtId="0" fontId="29" fillId="0" borderId="17" xfId="0" applyFont="1" applyBorder="1" applyAlignment="1">
      <alignment horizontal="center" vertical="center"/>
    </xf>
    <xf numFmtId="0" fontId="30" fillId="12" borderId="37" xfId="0" applyFont="1" applyFill="1" applyBorder="1" applyAlignment="1">
      <alignment horizontal="center" vertical="center"/>
    </xf>
    <xf numFmtId="0" fontId="30" fillId="12" borderId="14" xfId="0" applyFont="1" applyFill="1" applyBorder="1" applyAlignment="1">
      <alignment horizontal="center" vertical="center"/>
    </xf>
    <xf numFmtId="0" fontId="31" fillId="0" borderId="0" xfId="0" applyFont="1"/>
    <xf numFmtId="0" fontId="32" fillId="15" borderId="36" xfId="0" applyFont="1" applyFill="1" applyBorder="1" applyAlignment="1">
      <alignment horizontal="left" vertical="center" wrapText="1"/>
    </xf>
    <xf numFmtId="0" fontId="32" fillId="15" borderId="11" xfId="0" applyFont="1" applyFill="1" applyBorder="1" applyAlignment="1">
      <alignment horizontal="left" vertical="center" wrapText="1"/>
    </xf>
    <xf numFmtId="0" fontId="32" fillId="15" borderId="11" xfId="0" applyFont="1" applyFill="1" applyBorder="1" applyAlignment="1">
      <alignment horizontal="center" vertical="center" wrapText="1"/>
    </xf>
    <xf numFmtId="0" fontId="33" fillId="0" borderId="27" xfId="0" applyFont="1" applyBorder="1" applyAlignment="1">
      <alignment horizontal="center" vertical="center"/>
    </xf>
    <xf numFmtId="0" fontId="33" fillId="0" borderId="28" xfId="0" applyFont="1" applyBorder="1"/>
    <xf numFmtId="0" fontId="33" fillId="0" borderId="28" xfId="0" applyFont="1" applyBorder="1" applyAlignment="1">
      <alignment horizontal="center" vertical="center"/>
    </xf>
    <xf numFmtId="10" fontId="31" fillId="0" borderId="29" xfId="0" applyNumberFormat="1" applyFont="1" applyBorder="1"/>
    <xf numFmtId="0" fontId="34" fillId="0" borderId="32" xfId="0" applyFont="1" applyBorder="1" applyAlignment="1">
      <alignment horizontal="center" vertical="center" wrapText="1"/>
    </xf>
    <xf numFmtId="0" fontId="34" fillId="0" borderId="8" xfId="0" applyFont="1" applyBorder="1" applyAlignment="1">
      <alignment horizontal="justify" vertical="center" wrapText="1"/>
    </xf>
    <xf numFmtId="0" fontId="34" fillId="0" borderId="8" xfId="0" applyFont="1" applyBorder="1" applyAlignment="1">
      <alignment horizontal="center" vertical="center" wrapText="1"/>
    </xf>
    <xf numFmtId="0" fontId="33" fillId="0" borderId="16" xfId="0" applyFont="1" applyBorder="1" applyAlignment="1">
      <alignment horizontal="center" vertical="center"/>
    </xf>
    <xf numFmtId="0" fontId="33" fillId="0" borderId="17" xfId="0" applyFont="1" applyBorder="1"/>
    <xf numFmtId="0" fontId="33" fillId="0" borderId="17" xfId="0" applyFont="1" applyBorder="1" applyAlignment="1">
      <alignment horizontal="center" vertical="center"/>
    </xf>
    <xf numFmtId="10" fontId="31" fillId="0" borderId="18" xfId="0" applyNumberFormat="1" applyFont="1" applyBorder="1"/>
    <xf numFmtId="0" fontId="33" fillId="0" borderId="19" xfId="0" applyFont="1" applyBorder="1" applyAlignment="1">
      <alignment horizontal="center" vertical="center"/>
    </xf>
    <xf numFmtId="0" fontId="33" fillId="0" borderId="20" xfId="0" applyFont="1" applyBorder="1"/>
    <xf numFmtId="0" fontId="33" fillId="0" borderId="20" xfId="0" applyFont="1" applyBorder="1" applyAlignment="1">
      <alignment horizontal="center" vertical="center"/>
    </xf>
    <xf numFmtId="10" fontId="31" fillId="0" borderId="21" xfId="0" applyNumberFormat="1" applyFont="1" applyBorder="1"/>
    <xf numFmtId="0" fontId="35" fillId="0" borderId="0" xfId="0" applyFont="1"/>
    <xf numFmtId="10" fontId="35" fillId="0" borderId="0" xfId="0" applyNumberFormat="1" applyFont="1"/>
    <xf numFmtId="0" fontId="30" fillId="12" borderId="17" xfId="0" applyFont="1" applyFill="1" applyBorder="1" applyAlignment="1">
      <alignment horizontal="center" vertical="center"/>
    </xf>
    <xf numFmtId="0" fontId="31" fillId="0" borderId="17" xfId="0" applyFont="1" applyBorder="1"/>
    <xf numFmtId="0" fontId="24" fillId="10" borderId="33" xfId="5" applyFont="1" applyFill="1" applyBorder="1" applyAlignment="1">
      <alignment horizontal="center" vertical="center" wrapText="1"/>
    </xf>
    <xf numFmtId="0" fontId="24" fillId="10" borderId="35" xfId="5" applyFont="1" applyFill="1" applyBorder="1" applyAlignment="1">
      <alignment horizontal="center" vertical="center" wrapText="1"/>
    </xf>
    <xf numFmtId="0" fontId="19" fillId="0" borderId="0" xfId="0" applyFont="1"/>
    <xf numFmtId="0" fontId="36" fillId="12" borderId="27" xfId="0" applyFont="1" applyFill="1" applyBorder="1" applyAlignment="1">
      <alignment horizontal="center" vertical="center" wrapText="1" readingOrder="1"/>
    </xf>
    <xf numFmtId="0" fontId="36" fillId="12" borderId="28" xfId="0" applyFont="1" applyFill="1" applyBorder="1" applyAlignment="1">
      <alignment horizontal="center" vertical="center" wrapText="1" readingOrder="1"/>
    </xf>
    <xf numFmtId="0" fontId="36" fillId="12" borderId="29" xfId="0" applyFont="1" applyFill="1" applyBorder="1" applyAlignment="1">
      <alignment horizontal="center" vertical="center" wrapText="1" readingOrder="1"/>
    </xf>
    <xf numFmtId="0" fontId="19" fillId="0" borderId="0" xfId="0" applyFont="1" applyAlignment="1">
      <alignment horizontal="center" vertical="center" wrapText="1"/>
    </xf>
    <xf numFmtId="0" fontId="19" fillId="0" borderId="0" xfId="0" applyFont="1" applyAlignment="1">
      <alignment horizontal="center" vertical="center"/>
    </xf>
    <xf numFmtId="0" fontId="19" fillId="0" borderId="5" xfId="0" applyFont="1" applyBorder="1" applyAlignment="1">
      <alignment horizontal="center" vertical="center"/>
    </xf>
    <xf numFmtId="0" fontId="19" fillId="0" borderId="38" xfId="0" applyFont="1" applyBorder="1" applyAlignment="1">
      <alignment horizontal="center" vertical="center" wrapText="1"/>
    </xf>
    <xf numFmtId="0" fontId="19" fillId="0" borderId="39" xfId="0" applyFont="1" applyBorder="1" applyAlignment="1">
      <alignment horizontal="center" vertical="center" wrapText="1"/>
    </xf>
    <xf numFmtId="0" fontId="19" fillId="0" borderId="40" xfId="0" applyFont="1" applyBorder="1" applyAlignment="1">
      <alignment horizontal="center" vertical="center" wrapText="1"/>
    </xf>
    <xf numFmtId="0" fontId="19" fillId="0" borderId="38" xfId="0" applyFont="1" applyBorder="1" applyAlignment="1">
      <alignment horizontal="center" vertical="center"/>
    </xf>
    <xf numFmtId="0" fontId="19" fillId="0" borderId="39" xfId="0" applyFont="1" applyBorder="1" applyAlignment="1">
      <alignment horizontal="center" vertical="center"/>
    </xf>
    <xf numFmtId="0" fontId="19" fillId="0" borderId="40" xfId="0" applyFont="1" applyBorder="1" applyAlignment="1">
      <alignment horizontal="center" vertical="center"/>
    </xf>
    <xf numFmtId="0" fontId="37" fillId="0" borderId="16" xfId="0" applyFont="1" applyBorder="1" applyAlignment="1">
      <alignment horizontal="left" wrapText="1" readingOrder="1"/>
    </xf>
    <xf numFmtId="0" fontId="37" fillId="0" borderId="17" xfId="0" applyFont="1" applyBorder="1" applyAlignment="1">
      <alignment horizontal="center" vertical="center" wrapText="1" readingOrder="1"/>
    </xf>
    <xf numFmtId="10" fontId="19" fillId="0" borderId="17" xfId="0" applyNumberFormat="1" applyFont="1" applyBorder="1"/>
    <xf numFmtId="0" fontId="19" fillId="0" borderId="18" xfId="0" applyFont="1" applyBorder="1"/>
    <xf numFmtId="0" fontId="19" fillId="0" borderId="12" xfId="0" applyFont="1" applyBorder="1" applyAlignment="1">
      <alignment horizontal="center"/>
    </xf>
    <xf numFmtId="0" fontId="19" fillId="0" borderId="13" xfId="0" applyFont="1" applyBorder="1" applyAlignment="1">
      <alignment horizontal="center"/>
    </xf>
    <xf numFmtId="0" fontId="19" fillId="0" borderId="15" xfId="0" applyFont="1" applyBorder="1" applyAlignment="1">
      <alignment horizontal="center"/>
    </xf>
    <xf numFmtId="0" fontId="19" fillId="0" borderId="0" xfId="0" applyFont="1" applyAlignment="1">
      <alignment horizontal="center" vertical="center"/>
    </xf>
    <xf numFmtId="0" fontId="19" fillId="0" borderId="16" xfId="0" applyFont="1" applyBorder="1" applyAlignment="1">
      <alignment horizontal="center"/>
    </xf>
    <xf numFmtId="0" fontId="19" fillId="0" borderId="18" xfId="0" applyFont="1" applyBorder="1" applyAlignment="1">
      <alignment horizontal="center"/>
    </xf>
    <xf numFmtId="0" fontId="19" fillId="0" borderId="41" xfId="0" applyFont="1" applyBorder="1"/>
    <xf numFmtId="0" fontId="19" fillId="0" borderId="37" xfId="0" applyFont="1" applyBorder="1"/>
    <xf numFmtId="0" fontId="19" fillId="0" borderId="42" xfId="0" applyFont="1" applyBorder="1"/>
    <xf numFmtId="0" fontId="19" fillId="0" borderId="9" xfId="0" applyFont="1" applyBorder="1" applyAlignment="1">
      <alignment horizontal="center" vertical="center" wrapText="1"/>
    </xf>
    <xf numFmtId="0" fontId="19" fillId="0" borderId="10" xfId="0" applyFont="1" applyBorder="1" applyAlignment="1">
      <alignment horizontal="center" vertical="center" wrapText="1"/>
    </xf>
    <xf numFmtId="0" fontId="19" fillId="0" borderId="11" xfId="0" applyFont="1" applyBorder="1" applyAlignment="1">
      <alignment horizontal="center" vertical="center" wrapText="1"/>
    </xf>
    <xf numFmtId="0" fontId="19" fillId="0" borderId="41" xfId="0" applyFont="1" applyBorder="1" applyAlignment="1">
      <alignment horizontal="center"/>
    </xf>
    <xf numFmtId="0" fontId="19" fillId="0" borderId="37" xfId="0" applyFont="1" applyBorder="1" applyAlignment="1">
      <alignment horizontal="center"/>
    </xf>
    <xf numFmtId="0" fontId="19" fillId="0" borderId="37" xfId="0" applyFont="1" applyBorder="1" applyAlignment="1">
      <alignment horizontal="center" vertical="center"/>
    </xf>
    <xf numFmtId="0" fontId="19" fillId="0" borderId="42" xfId="0" applyFont="1" applyBorder="1" applyAlignment="1">
      <alignment horizontal="center"/>
    </xf>
    <xf numFmtId="0" fontId="37" fillId="0" borderId="19" xfId="0" applyFont="1" applyBorder="1" applyAlignment="1">
      <alignment horizontal="left" wrapText="1" readingOrder="1"/>
    </xf>
    <xf numFmtId="0" fontId="37" fillId="0" borderId="20" xfId="0" applyFont="1" applyBorder="1" applyAlignment="1">
      <alignment horizontal="center" vertical="center" wrapText="1" readingOrder="1"/>
    </xf>
    <xf numFmtId="10" fontId="19" fillId="0" borderId="20" xfId="0" applyNumberFormat="1" applyFont="1" applyBorder="1"/>
    <xf numFmtId="0" fontId="19" fillId="0" borderId="21" xfId="0" applyFont="1" applyBorder="1"/>
    <xf numFmtId="0" fontId="38" fillId="16" borderId="43" xfId="0" applyFont="1" applyFill="1" applyBorder="1" applyAlignment="1">
      <alignment horizontal="center" wrapText="1" readingOrder="1"/>
    </xf>
    <xf numFmtId="0" fontId="39" fillId="16" borderId="43" xfId="0" applyFont="1" applyFill="1" applyBorder="1" applyAlignment="1">
      <alignment horizontal="center" vertical="center" wrapText="1" readingOrder="1"/>
    </xf>
    <xf numFmtId="0" fontId="39" fillId="16" borderId="44" xfId="0" applyFont="1" applyFill="1" applyBorder="1" applyAlignment="1">
      <alignment horizontal="center" vertical="center" wrapText="1" readingOrder="1"/>
    </xf>
    <xf numFmtId="0" fontId="39" fillId="16" borderId="13" xfId="0" applyFont="1" applyFill="1" applyBorder="1" applyAlignment="1">
      <alignment horizontal="center" vertical="center" wrapText="1" readingOrder="1"/>
    </xf>
    <xf numFmtId="0" fontId="19" fillId="0" borderId="19" xfId="0" applyFont="1" applyBorder="1"/>
    <xf numFmtId="0" fontId="40" fillId="0" borderId="9" xfId="0" applyFont="1" applyBorder="1" applyAlignment="1">
      <alignment horizontal="center" vertical="center"/>
    </xf>
    <xf numFmtId="0" fontId="40" fillId="0" borderId="10" xfId="0" applyFont="1" applyBorder="1" applyAlignment="1">
      <alignment horizontal="center" vertical="center"/>
    </xf>
    <xf numFmtId="0" fontId="40" fillId="0" borderId="11" xfId="0" applyFont="1" applyBorder="1" applyAlignment="1">
      <alignment horizontal="center" vertical="center"/>
    </xf>
    <xf numFmtId="0" fontId="36" fillId="0" borderId="45" xfId="0" applyFont="1" applyBorder="1" applyAlignment="1">
      <alignment horizontal="center" vertical="center" wrapText="1" readingOrder="1"/>
    </xf>
    <xf numFmtId="0" fontId="36" fillId="0" borderId="46" xfId="0" applyFont="1" applyBorder="1" applyAlignment="1">
      <alignment horizontal="center" vertical="center" wrapText="1" readingOrder="1"/>
    </xf>
    <xf numFmtId="0" fontId="36" fillId="0" borderId="47" xfId="0" applyFont="1" applyBorder="1" applyAlignment="1">
      <alignment horizontal="center" vertical="center" wrapText="1" readingOrder="1"/>
    </xf>
    <xf numFmtId="0" fontId="36" fillId="0" borderId="8" xfId="0" applyFont="1" applyBorder="1" applyAlignment="1">
      <alignment horizontal="center" vertical="center" wrapText="1" readingOrder="1"/>
    </xf>
    <xf numFmtId="0" fontId="36" fillId="0" borderId="36" xfId="0" applyFont="1" applyBorder="1" applyAlignment="1">
      <alignment horizontal="center" vertical="center" wrapText="1" readingOrder="1"/>
    </xf>
    <xf numFmtId="0" fontId="36" fillId="0" borderId="38" xfId="0" applyFont="1" applyBorder="1" applyAlignment="1">
      <alignment horizontal="center" vertical="center" wrapText="1" readingOrder="1"/>
    </xf>
    <xf numFmtId="0" fontId="36" fillId="0" borderId="39" xfId="0" applyFont="1" applyBorder="1" applyAlignment="1">
      <alignment horizontal="center" vertical="center" wrapText="1" readingOrder="1"/>
    </xf>
    <xf numFmtId="0" fontId="36" fillId="0" borderId="40" xfId="0" applyFont="1" applyBorder="1" applyAlignment="1">
      <alignment horizontal="center" vertical="center" wrapText="1" readingOrder="1"/>
    </xf>
    <xf numFmtId="14" fontId="19" fillId="0" borderId="12" xfId="0" applyNumberFormat="1" applyFont="1" applyBorder="1" applyAlignment="1">
      <alignment horizontal="center"/>
    </xf>
    <xf numFmtId="0" fontId="37" fillId="0" borderId="13" xfId="0" applyFont="1" applyBorder="1" applyAlignment="1">
      <alignment horizontal="center" vertical="center" wrapText="1" readingOrder="1"/>
    </xf>
    <xf numFmtId="0" fontId="37" fillId="0" borderId="48" xfId="0" applyFont="1" applyBorder="1" applyAlignment="1">
      <alignment horizontal="center" vertical="center" wrapText="1" readingOrder="1"/>
    </xf>
    <xf numFmtId="0" fontId="37" fillId="0" borderId="15" xfId="0" applyFont="1" applyBorder="1" applyAlignment="1">
      <alignment horizontal="center" vertical="center" wrapText="1" readingOrder="1"/>
    </xf>
    <xf numFmtId="14" fontId="19" fillId="0" borderId="45" xfId="0" applyNumberFormat="1" applyFont="1" applyBorder="1" applyAlignment="1">
      <alignment horizontal="center"/>
    </xf>
    <xf numFmtId="0" fontId="19" fillId="0" borderId="36" xfId="0" applyFont="1" applyBorder="1" applyAlignment="1">
      <alignment horizontal="center"/>
    </xf>
    <xf numFmtId="0" fontId="37" fillId="0" borderId="36" xfId="0" applyFont="1" applyBorder="1" applyAlignment="1">
      <alignment horizontal="center" vertical="center" wrapText="1" readingOrder="1"/>
    </xf>
    <xf numFmtId="0" fontId="19" fillId="0" borderId="0" xfId="0" applyFont="1" applyAlignment="1">
      <alignment horizontal="center"/>
    </xf>
    <xf numFmtId="0" fontId="37" fillId="0" borderId="0" xfId="0" applyFont="1" applyAlignment="1">
      <alignment horizontal="center" vertical="center" wrapText="1" readingOrder="1"/>
    </xf>
    <xf numFmtId="0" fontId="40" fillId="0" borderId="4" xfId="0" applyFont="1" applyBorder="1" applyAlignment="1">
      <alignment horizontal="center" vertical="center"/>
    </xf>
    <xf numFmtId="0" fontId="40" fillId="0" borderId="0" xfId="0" applyFont="1" applyAlignment="1">
      <alignment horizontal="center" vertical="center"/>
    </xf>
    <xf numFmtId="0" fontId="37" fillId="0" borderId="49" xfId="0" applyFont="1" applyBorder="1" applyAlignment="1">
      <alignment horizontal="center" vertical="center" wrapText="1" readingOrder="1"/>
    </xf>
    <xf numFmtId="0" fontId="37" fillId="0" borderId="39" xfId="0" applyFont="1" applyBorder="1" applyAlignment="1">
      <alignment horizontal="center" vertical="center" wrapText="1" readingOrder="1"/>
    </xf>
    <xf numFmtId="0" fontId="37" fillId="0" borderId="40" xfId="0" applyFont="1" applyBorder="1" applyAlignment="1">
      <alignment horizontal="center" vertical="center" wrapText="1" readingOrder="1"/>
    </xf>
    <xf numFmtId="0" fontId="37" fillId="0" borderId="14" xfId="0" applyFont="1" applyBorder="1" applyAlignment="1">
      <alignment horizontal="center" vertical="center" wrapText="1" readingOrder="1"/>
    </xf>
    <xf numFmtId="0" fontId="19" fillId="0" borderId="38" xfId="0" applyFont="1" applyBorder="1" applyAlignment="1">
      <alignment horizontal="center"/>
    </xf>
    <xf numFmtId="0" fontId="0" fillId="17" borderId="17" xfId="0" applyFill="1" applyBorder="1" applyAlignment="1">
      <alignment horizontal="center" vertical="center"/>
    </xf>
    <xf numFmtId="170" fontId="0" fillId="0" borderId="17" xfId="0" applyNumberFormat="1" applyBorder="1"/>
    <xf numFmtId="170" fontId="0" fillId="0" borderId="0" xfId="0" applyNumberFormat="1"/>
    <xf numFmtId="1" fontId="41" fillId="18" borderId="39" xfId="4" applyNumberFormat="1" applyFont="1" applyFill="1" applyBorder="1" applyAlignment="1">
      <alignment horizontal="center" vertical="center"/>
    </xf>
    <xf numFmtId="1" fontId="41" fillId="18" borderId="40" xfId="4" applyNumberFormat="1" applyFont="1" applyFill="1" applyBorder="1" applyAlignment="1">
      <alignment horizontal="center" vertical="center"/>
    </xf>
    <xf numFmtId="0" fontId="19" fillId="0" borderId="0" xfId="0" applyFont="1" applyAlignment="1">
      <alignment vertical="center"/>
    </xf>
    <xf numFmtId="0" fontId="19" fillId="0" borderId="0" xfId="0" applyFont="1" applyAlignment="1">
      <alignment horizontal="left" vertical="center"/>
    </xf>
    <xf numFmtId="0" fontId="19" fillId="0" borderId="9" xfId="0" applyFont="1" applyBorder="1" applyAlignment="1">
      <alignment horizontal="center" vertical="center"/>
    </xf>
    <xf numFmtId="0" fontId="19" fillId="0" borderId="10" xfId="0" applyFont="1" applyBorder="1" applyAlignment="1">
      <alignment horizontal="center" vertical="center"/>
    </xf>
    <xf numFmtId="0" fontId="19" fillId="0" borderId="11" xfId="0" applyFont="1" applyBorder="1" applyAlignment="1">
      <alignment horizontal="center" vertical="center"/>
    </xf>
    <xf numFmtId="0" fontId="42" fillId="12" borderId="1" xfId="0" applyFont="1" applyFill="1" applyBorder="1" applyAlignment="1">
      <alignment horizontal="center" vertical="center" wrapText="1"/>
    </xf>
    <xf numFmtId="0" fontId="42" fillId="12" borderId="2" xfId="0" applyFont="1" applyFill="1" applyBorder="1" applyAlignment="1">
      <alignment horizontal="center" vertical="center" wrapText="1"/>
    </xf>
    <xf numFmtId="0" fontId="42" fillId="12" borderId="3" xfId="0" applyFont="1" applyFill="1" applyBorder="1" applyAlignment="1">
      <alignment horizontal="center" vertical="center" wrapText="1"/>
    </xf>
    <xf numFmtId="0" fontId="42" fillId="12" borderId="6" xfId="0" applyFont="1" applyFill="1" applyBorder="1" applyAlignment="1">
      <alignment horizontal="center" vertical="center" wrapText="1"/>
    </xf>
    <xf numFmtId="0" fontId="42" fillId="12" borderId="7" xfId="0" applyFont="1" applyFill="1" applyBorder="1" applyAlignment="1">
      <alignment horizontal="center" vertical="center" wrapText="1"/>
    </xf>
    <xf numFmtId="0" fontId="42" fillId="12" borderId="8" xfId="0" applyFont="1" applyFill="1" applyBorder="1" applyAlignment="1">
      <alignment horizontal="center" vertical="center" wrapText="1"/>
    </xf>
    <xf numFmtId="0" fontId="43" fillId="19" borderId="41" xfId="0" applyFont="1" applyFill="1" applyBorder="1" applyAlignment="1">
      <alignment horizontal="center" vertical="center" wrapText="1"/>
    </xf>
    <xf numFmtId="0" fontId="43" fillId="19" borderId="37" xfId="0" applyFont="1" applyFill="1" applyBorder="1" applyAlignment="1">
      <alignment horizontal="center" vertical="center" wrapText="1"/>
    </xf>
    <xf numFmtId="0" fontId="43" fillId="19" borderId="50" xfId="0" applyFont="1" applyFill="1" applyBorder="1" applyAlignment="1">
      <alignment horizontal="center" vertical="center" wrapText="1"/>
    </xf>
    <xf numFmtId="0" fontId="43" fillId="19" borderId="38" xfId="0" applyFont="1" applyFill="1" applyBorder="1" applyAlignment="1">
      <alignment horizontal="center" vertical="center" wrapText="1"/>
    </xf>
    <xf numFmtId="0" fontId="43" fillId="19" borderId="39" xfId="0" applyFont="1" applyFill="1" applyBorder="1" applyAlignment="1">
      <alignment horizontal="center" vertical="center" wrapText="1"/>
    </xf>
    <xf numFmtId="0" fontId="43" fillId="19" borderId="40" xfId="0" applyFont="1" applyFill="1" applyBorder="1" applyAlignment="1">
      <alignment horizontal="center" vertical="center" wrapText="1"/>
    </xf>
    <xf numFmtId="0" fontId="43" fillId="19" borderId="51" xfId="0" applyFont="1" applyFill="1" applyBorder="1" applyAlignment="1">
      <alignment horizontal="center" vertical="center" wrapText="1"/>
    </xf>
    <xf numFmtId="0" fontId="43" fillId="19" borderId="52" xfId="0" applyFont="1" applyFill="1" applyBorder="1" applyAlignment="1">
      <alignment horizontal="center" vertical="center" wrapText="1"/>
    </xf>
    <xf numFmtId="0" fontId="43" fillId="19" borderId="53" xfId="0" applyFont="1" applyFill="1" applyBorder="1" applyAlignment="1">
      <alignment horizontal="center" vertical="center" wrapText="1"/>
    </xf>
    <xf numFmtId="0" fontId="43" fillId="19" borderId="53" xfId="0" applyFont="1" applyFill="1" applyBorder="1" applyAlignment="1">
      <alignment horizontal="center" vertical="center" wrapText="1"/>
    </xf>
    <xf numFmtId="0" fontId="43" fillId="19" borderId="54" xfId="0" applyFont="1" applyFill="1" applyBorder="1" applyAlignment="1">
      <alignment horizontal="center" vertical="center" wrapText="1"/>
    </xf>
    <xf numFmtId="0" fontId="44" fillId="20" borderId="30" xfId="0" applyFont="1" applyFill="1" applyBorder="1" applyAlignment="1">
      <alignment horizontal="center" vertical="center" wrapText="1"/>
    </xf>
    <xf numFmtId="0" fontId="44" fillId="20" borderId="55" xfId="0" applyFont="1" applyFill="1" applyBorder="1" applyAlignment="1">
      <alignment horizontal="center" vertical="center" wrapText="1"/>
    </xf>
    <xf numFmtId="0" fontId="44" fillId="20" borderId="38" xfId="0" applyFont="1" applyFill="1" applyBorder="1" applyAlignment="1">
      <alignment horizontal="center" vertical="center" wrapText="1"/>
    </xf>
    <xf numFmtId="0" fontId="44" fillId="20" borderId="39" xfId="0" applyFont="1" applyFill="1" applyBorder="1" applyAlignment="1">
      <alignment horizontal="center" vertical="center" wrapText="1"/>
    </xf>
    <xf numFmtId="0" fontId="44" fillId="20" borderId="40" xfId="0" applyFont="1" applyFill="1" applyBorder="1" applyAlignment="1">
      <alignment horizontal="center" vertical="center" wrapText="1"/>
    </xf>
    <xf numFmtId="2" fontId="45" fillId="0" borderId="56" xfId="0" applyNumberFormat="1" applyFont="1" applyBorder="1" applyAlignment="1">
      <alignment horizontal="center" vertical="center" wrapText="1"/>
    </xf>
    <xf numFmtId="2" fontId="45" fillId="0" borderId="57" xfId="0" applyNumberFormat="1" applyFont="1" applyBorder="1" applyAlignment="1">
      <alignment horizontal="center" vertical="center" wrapText="1"/>
    </xf>
    <xf numFmtId="2" fontId="45" fillId="0" borderId="51" xfId="0" applyNumberFormat="1" applyFont="1" applyBorder="1" applyAlignment="1">
      <alignment horizontal="left" vertical="center"/>
    </xf>
    <xf numFmtId="14" fontId="45" fillId="0" borderId="51" xfId="0" applyNumberFormat="1" applyFont="1" applyBorder="1" applyAlignment="1">
      <alignment horizontal="center" vertical="center"/>
    </xf>
    <xf numFmtId="2" fontId="45" fillId="0" borderId="51" xfId="0" applyNumberFormat="1" applyFont="1" applyBorder="1" applyAlignment="1">
      <alignment horizontal="center" vertical="center"/>
    </xf>
    <xf numFmtId="1" fontId="45" fillId="0" borderId="51" xfId="0" applyNumberFormat="1" applyFont="1" applyBorder="1" applyAlignment="1">
      <alignment horizontal="center" vertical="center"/>
    </xf>
    <xf numFmtId="2" fontId="45" fillId="0" borderId="56" xfId="0" applyNumberFormat="1" applyFont="1" applyBorder="1" applyAlignment="1">
      <alignment horizontal="center" vertical="center"/>
    </xf>
    <xf numFmtId="9" fontId="45" fillId="0" borderId="17" xfId="0" applyNumberFormat="1" applyFont="1" applyBorder="1" applyAlignment="1">
      <alignment horizontal="center" vertical="center"/>
    </xf>
    <xf numFmtId="9" fontId="45" fillId="0" borderId="12" xfId="0" applyNumberFormat="1" applyFont="1" applyBorder="1" applyAlignment="1">
      <alignment horizontal="center" vertical="center"/>
    </xf>
    <xf numFmtId="9" fontId="45" fillId="0" borderId="13" xfId="0" applyNumberFormat="1" applyFont="1" applyBorder="1" applyAlignment="1">
      <alignment horizontal="center" vertical="center"/>
    </xf>
    <xf numFmtId="0" fontId="45" fillId="0" borderId="13" xfId="0" applyFont="1" applyBorder="1" applyAlignment="1">
      <alignment horizontal="center" vertical="center"/>
    </xf>
    <xf numFmtId="9" fontId="45" fillId="0" borderId="15" xfId="2" applyFont="1" applyBorder="1" applyAlignment="1">
      <alignment horizontal="center" vertical="center"/>
    </xf>
    <xf numFmtId="1" fontId="19" fillId="0" borderId="0" xfId="0" applyNumberFormat="1" applyFont="1" applyAlignment="1">
      <alignment vertical="center"/>
    </xf>
    <xf numFmtId="2" fontId="45" fillId="0" borderId="4" xfId="0" applyNumberFormat="1" applyFont="1" applyBorder="1" applyAlignment="1">
      <alignment horizontal="center" vertical="center" wrapText="1"/>
    </xf>
    <xf numFmtId="2" fontId="45" fillId="0" borderId="56" xfId="0" applyNumberFormat="1" applyFont="1" applyBorder="1" applyAlignment="1">
      <alignment horizontal="left" vertical="center"/>
    </xf>
    <xf numFmtId="14" fontId="45" fillId="0" borderId="56" xfId="0" applyNumberFormat="1" applyFont="1" applyBorder="1" applyAlignment="1">
      <alignment horizontal="center" vertical="center"/>
    </xf>
    <xf numFmtId="1" fontId="46" fillId="0" borderId="56" xfId="6" applyNumberFormat="1" applyFont="1" applyBorder="1" applyAlignment="1">
      <alignment horizontal="center" vertical="center" wrapText="1"/>
    </xf>
    <xf numFmtId="2" fontId="46" fillId="0" borderId="56" xfId="6" applyNumberFormat="1" applyFont="1" applyBorder="1" applyAlignment="1">
      <alignment horizontal="center" vertical="center" wrapText="1"/>
    </xf>
    <xf numFmtId="1" fontId="45" fillId="0" borderId="56" xfId="0" applyNumberFormat="1" applyFont="1" applyBorder="1" applyAlignment="1">
      <alignment horizontal="center" vertical="center"/>
    </xf>
    <xf numFmtId="0" fontId="45" fillId="0" borderId="17" xfId="0" applyFont="1" applyBorder="1" applyAlignment="1">
      <alignment horizontal="center" vertical="center"/>
    </xf>
    <xf numFmtId="9" fontId="45" fillId="0" borderId="18" xfId="2" applyFont="1" applyBorder="1" applyAlignment="1">
      <alignment horizontal="center" vertical="center"/>
    </xf>
    <xf numFmtId="0" fontId="45" fillId="0" borderId="17" xfId="0" applyFont="1" applyBorder="1" applyAlignment="1">
      <alignment vertical="center"/>
    </xf>
    <xf numFmtId="0" fontId="45" fillId="0" borderId="37" xfId="0" applyFont="1" applyBorder="1" applyAlignment="1">
      <alignment horizontal="center" vertical="center"/>
    </xf>
    <xf numFmtId="9" fontId="45" fillId="0" borderId="42" xfId="2" applyFont="1" applyBorder="1" applyAlignment="1">
      <alignment horizontal="center" vertical="center"/>
    </xf>
    <xf numFmtId="2" fontId="46" fillId="0" borderId="56" xfId="6" applyNumberFormat="1" applyFont="1" applyBorder="1" applyAlignment="1">
      <alignment horizontal="left" vertical="center" wrapText="1"/>
    </xf>
    <xf numFmtId="2" fontId="46" fillId="0" borderId="55" xfId="6" applyNumberFormat="1" applyFont="1" applyBorder="1" applyAlignment="1">
      <alignment horizontal="left" vertical="center" wrapText="1"/>
    </xf>
    <xf numFmtId="2" fontId="45" fillId="0" borderId="55" xfId="0" applyNumberFormat="1" applyFont="1" applyBorder="1" applyAlignment="1">
      <alignment horizontal="center" vertical="center"/>
    </xf>
    <xf numFmtId="1" fontId="45" fillId="0" borderId="55" xfId="0" applyNumberFormat="1" applyFont="1" applyBorder="1" applyAlignment="1">
      <alignment horizontal="center" vertical="center"/>
    </xf>
    <xf numFmtId="9" fontId="45" fillId="0" borderId="37" xfId="0" applyNumberFormat="1" applyFont="1" applyBorder="1" applyAlignment="1">
      <alignment horizontal="center" vertical="center"/>
    </xf>
    <xf numFmtId="2" fontId="43" fillId="19" borderId="50" xfId="0" applyNumberFormat="1" applyFont="1" applyFill="1" applyBorder="1" applyAlignment="1">
      <alignment horizontal="right" vertical="center" wrapText="1"/>
    </xf>
    <xf numFmtId="2" fontId="43" fillId="19" borderId="58" xfId="0" applyNumberFormat="1" applyFont="1" applyFill="1" applyBorder="1" applyAlignment="1">
      <alignment horizontal="right" vertical="center" wrapText="1"/>
    </xf>
    <xf numFmtId="2" fontId="43" fillId="19" borderId="59" xfId="0" applyNumberFormat="1" applyFont="1" applyFill="1" applyBorder="1" applyAlignment="1">
      <alignment horizontal="right" vertical="center" wrapText="1"/>
    </xf>
    <xf numFmtId="9" fontId="18" fillId="19" borderId="8" xfId="0" applyNumberFormat="1" applyFont="1" applyFill="1" applyBorder="1" applyAlignment="1">
      <alignment horizontal="center" vertical="center"/>
    </xf>
    <xf numFmtId="9" fontId="18" fillId="19" borderId="32" xfId="0" applyNumberFormat="1" applyFont="1" applyFill="1" applyBorder="1" applyAlignment="1">
      <alignment horizontal="center" vertical="center"/>
    </xf>
    <xf numFmtId="2" fontId="45" fillId="0" borderId="60" xfId="0" applyNumberFormat="1" applyFont="1" applyBorder="1" applyAlignment="1">
      <alignment horizontal="center" vertical="center" wrapText="1"/>
    </xf>
    <xf numFmtId="2" fontId="45" fillId="0" borderId="30" xfId="0" applyNumberFormat="1" applyFont="1" applyBorder="1" applyAlignment="1">
      <alignment horizontal="center" vertical="center" wrapText="1"/>
    </xf>
    <xf numFmtId="2" fontId="46" fillId="0" borderId="61" xfId="6" applyNumberFormat="1" applyFont="1" applyBorder="1" applyAlignment="1">
      <alignment horizontal="left" vertical="center" wrapText="1"/>
    </xf>
    <xf numFmtId="2" fontId="45" fillId="0" borderId="62" xfId="0" applyNumberFormat="1" applyFont="1" applyBorder="1" applyAlignment="1">
      <alignment horizontal="center" vertical="center"/>
    </xf>
    <xf numFmtId="2" fontId="46" fillId="0" borderId="31" xfId="6" applyNumberFormat="1" applyFont="1" applyBorder="1" applyAlignment="1">
      <alignment horizontal="center" vertical="center" wrapText="1"/>
    </xf>
    <xf numFmtId="2" fontId="46" fillId="0" borderId="62" xfId="6" applyNumberFormat="1" applyFont="1" applyBorder="1" applyAlignment="1">
      <alignment horizontal="center" vertical="center" wrapText="1"/>
    </xf>
    <xf numFmtId="1" fontId="45" fillId="0" borderId="62" xfId="0" applyNumberFormat="1" applyFont="1" applyBorder="1" applyAlignment="1">
      <alignment horizontal="center" vertical="center"/>
    </xf>
    <xf numFmtId="9" fontId="45" fillId="0" borderId="16" xfId="0" applyNumberFormat="1" applyFont="1" applyBorder="1" applyAlignment="1">
      <alignment horizontal="center" vertical="center"/>
    </xf>
    <xf numFmtId="2" fontId="45" fillId="0" borderId="33" xfId="0" applyNumberFormat="1" applyFont="1" applyBorder="1" applyAlignment="1">
      <alignment horizontal="center" vertical="center" wrapText="1"/>
    </xf>
    <xf numFmtId="2" fontId="45" fillId="0" borderId="31" xfId="0" applyNumberFormat="1" applyFont="1" applyBorder="1" applyAlignment="1">
      <alignment horizontal="center" vertical="center" wrapText="1"/>
    </xf>
    <xf numFmtId="2" fontId="46" fillId="0" borderId="34" xfId="6" applyNumberFormat="1" applyFont="1" applyBorder="1" applyAlignment="1">
      <alignment horizontal="left" vertical="center" wrapText="1"/>
    </xf>
    <xf numFmtId="2" fontId="46" fillId="0" borderId="55" xfId="6" applyNumberFormat="1" applyFont="1" applyBorder="1" applyAlignment="1">
      <alignment horizontal="center" vertical="center" wrapText="1"/>
    </xf>
    <xf numFmtId="2" fontId="46" fillId="0" borderId="62" xfId="6" applyNumberFormat="1" applyFont="1" applyBorder="1" applyAlignment="1">
      <alignment horizontal="center" vertical="center" wrapText="1"/>
    </xf>
    <xf numFmtId="2" fontId="46" fillId="0" borderId="63" xfId="6" applyNumberFormat="1" applyFont="1" applyBorder="1" applyAlignment="1">
      <alignment horizontal="left" vertical="center" wrapText="1"/>
    </xf>
    <xf numFmtId="2" fontId="46" fillId="0" borderId="55" xfId="6" applyNumberFormat="1" applyFont="1" applyBorder="1" applyAlignment="1">
      <alignment horizontal="center" vertical="center" wrapText="1"/>
    </xf>
    <xf numFmtId="9" fontId="45" fillId="0" borderId="41" xfId="0" applyNumberFormat="1" applyFont="1" applyBorder="1" applyAlignment="1">
      <alignment horizontal="center" vertical="center"/>
    </xf>
    <xf numFmtId="2" fontId="46" fillId="0" borderId="58" xfId="6" applyNumberFormat="1" applyFont="1" applyBorder="1" applyAlignment="1">
      <alignment horizontal="left" vertical="center" wrapText="1"/>
    </xf>
    <xf numFmtId="2" fontId="46" fillId="0" borderId="58" xfId="6" applyNumberFormat="1" applyFont="1" applyBorder="1" applyAlignment="1">
      <alignment horizontal="center" vertical="center" wrapText="1"/>
    </xf>
    <xf numFmtId="2" fontId="45" fillId="0" borderId="32" xfId="0" applyNumberFormat="1" applyFont="1" applyBorder="1" applyAlignment="1">
      <alignment horizontal="center" vertical="center" wrapText="1"/>
    </xf>
    <xf numFmtId="2" fontId="43" fillId="19" borderId="17" xfId="0" applyNumberFormat="1" applyFont="1" applyFill="1" applyBorder="1" applyAlignment="1">
      <alignment horizontal="right" vertical="center" wrapText="1"/>
    </xf>
    <xf numFmtId="2" fontId="43" fillId="19" borderId="14" xfId="0" applyNumberFormat="1" applyFont="1" applyFill="1" applyBorder="1" applyAlignment="1">
      <alignment horizontal="right" vertical="center" wrapText="1"/>
    </xf>
    <xf numFmtId="9" fontId="45" fillId="0" borderId="64" xfId="0" applyNumberFormat="1" applyFont="1" applyBorder="1" applyAlignment="1">
      <alignment horizontal="center" vertical="center"/>
    </xf>
    <xf numFmtId="0" fontId="43" fillId="19" borderId="17" xfId="0" applyFont="1" applyFill="1" applyBorder="1" applyAlignment="1">
      <alignment horizontal="right" vertical="center" wrapText="1"/>
    </xf>
    <xf numFmtId="0" fontId="43" fillId="19" borderId="13" xfId="0" applyFont="1" applyFill="1" applyBorder="1" applyAlignment="1">
      <alignment horizontal="right" vertical="center" wrapText="1"/>
    </xf>
    <xf numFmtId="2" fontId="45" fillId="0" borderId="62" xfId="0" applyNumberFormat="1" applyFont="1" applyBorder="1" applyAlignment="1">
      <alignment horizontal="center" vertical="center" wrapText="1"/>
    </xf>
    <xf numFmtId="2" fontId="45" fillId="0" borderId="0" xfId="0" applyNumberFormat="1" applyFont="1" applyAlignment="1">
      <alignment horizontal="center" vertical="center" wrapText="1"/>
    </xf>
    <xf numFmtId="2" fontId="46" fillId="0" borderId="62" xfId="6" applyNumberFormat="1" applyFont="1" applyBorder="1" applyAlignment="1">
      <alignment horizontal="left" vertical="center" wrapText="1"/>
    </xf>
    <xf numFmtId="2" fontId="46" fillId="0" borderId="57" xfId="6" applyNumberFormat="1" applyFont="1" applyBorder="1" applyAlignment="1">
      <alignment horizontal="center" vertical="center" wrapText="1"/>
    </xf>
    <xf numFmtId="2" fontId="46" fillId="0" borderId="4" xfId="6" applyNumberFormat="1" applyFont="1" applyBorder="1" applyAlignment="1">
      <alignment horizontal="center" vertical="center" wrapText="1"/>
    </xf>
    <xf numFmtId="0" fontId="43" fillId="21" borderId="45" xfId="0" applyFont="1" applyFill="1" applyBorder="1" applyAlignment="1">
      <alignment horizontal="right" vertical="center" wrapText="1"/>
    </xf>
    <xf numFmtId="0" fontId="43" fillId="21" borderId="46" xfId="0" applyFont="1" applyFill="1" applyBorder="1" applyAlignment="1">
      <alignment horizontal="right" vertical="center" wrapText="1"/>
    </xf>
    <xf numFmtId="0" fontId="43" fillId="21" borderId="65" xfId="0" applyFont="1" applyFill="1" applyBorder="1" applyAlignment="1">
      <alignment horizontal="right" vertical="center" wrapText="1"/>
    </xf>
    <xf numFmtId="9" fontId="18" fillId="21" borderId="32" xfId="0" applyNumberFormat="1" applyFont="1" applyFill="1" applyBorder="1" applyAlignment="1">
      <alignment horizontal="center" vertical="center"/>
    </xf>
    <xf numFmtId="0" fontId="45" fillId="0" borderId="0" xfId="0" applyFont="1" applyAlignment="1">
      <alignment horizontal="center" vertical="center" wrapText="1"/>
    </xf>
    <xf numFmtId="0" fontId="19" fillId="0" borderId="0" xfId="0" applyFont="1" applyAlignment="1">
      <alignment horizontal="left"/>
    </xf>
    <xf numFmtId="14" fontId="45" fillId="0" borderId="0" xfId="0" applyNumberFormat="1" applyFont="1" applyAlignment="1">
      <alignment horizontal="center" vertical="center"/>
    </xf>
    <xf numFmtId="2" fontId="47" fillId="0" borderId="0" xfId="6" applyNumberFormat="1" applyFont="1" applyAlignment="1">
      <alignment horizontal="center" vertical="center" wrapText="1"/>
    </xf>
    <xf numFmtId="1" fontId="47" fillId="0" borderId="0" xfId="6" applyNumberFormat="1" applyFont="1" applyAlignment="1">
      <alignment horizontal="center" vertical="center" wrapText="1"/>
    </xf>
    <xf numFmtId="0" fontId="18" fillId="0" borderId="0" xfId="0" applyFont="1" applyAlignment="1">
      <alignment horizontal="center"/>
    </xf>
    <xf numFmtId="0" fontId="18" fillId="0" borderId="0" xfId="0" applyFont="1" applyAlignment="1">
      <alignment horizontal="center"/>
    </xf>
    <xf numFmtId="0" fontId="48" fillId="12" borderId="27" xfId="0" applyFont="1" applyFill="1" applyBorder="1" applyAlignment="1">
      <alignment horizontal="center" vertical="center" wrapText="1"/>
    </xf>
    <xf numFmtId="0" fontId="48" fillId="12" borderId="28" xfId="0" applyFont="1" applyFill="1" applyBorder="1" applyAlignment="1">
      <alignment horizontal="center" vertical="center" wrapText="1"/>
    </xf>
    <xf numFmtId="0" fontId="48" fillId="12" borderId="29" xfId="0" applyFont="1" applyFill="1" applyBorder="1" applyAlignment="1">
      <alignment horizontal="center" vertical="center" wrapText="1"/>
    </xf>
    <xf numFmtId="0" fontId="29" fillId="0" borderId="0" xfId="0" applyFont="1" applyAlignment="1">
      <alignment vertical="center"/>
    </xf>
    <xf numFmtId="0" fontId="48" fillId="12" borderId="41" xfId="0" applyFont="1" applyFill="1" applyBorder="1" applyAlignment="1">
      <alignment horizontal="center" vertical="center" wrapText="1"/>
    </xf>
    <xf numFmtId="0" fontId="48" fillId="12" borderId="37" xfId="0" applyFont="1" applyFill="1" applyBorder="1" applyAlignment="1">
      <alignment horizontal="center" vertical="center" wrapText="1"/>
    </xf>
    <xf numFmtId="0" fontId="48" fillId="12" borderId="42" xfId="0" applyFont="1" applyFill="1" applyBorder="1" applyAlignment="1">
      <alignment horizontal="center" vertical="center" wrapText="1"/>
    </xf>
    <xf numFmtId="0" fontId="49" fillId="20" borderId="52" xfId="0" applyFont="1" applyFill="1" applyBorder="1" applyAlignment="1">
      <alignment horizontal="center" vertical="center" wrapText="1"/>
    </xf>
    <xf numFmtId="0" fontId="49" fillId="20" borderId="53" xfId="0" applyFont="1" applyFill="1" applyBorder="1" applyAlignment="1">
      <alignment horizontal="center" vertical="center" wrapText="1"/>
    </xf>
    <xf numFmtId="0" fontId="49" fillId="20" borderId="54" xfId="0" applyFont="1" applyFill="1" applyBorder="1" applyAlignment="1">
      <alignment horizontal="center" vertical="center" wrapText="1"/>
    </xf>
    <xf numFmtId="0" fontId="29" fillId="0" borderId="27" xfId="0" applyFont="1" applyBorder="1" applyAlignment="1">
      <alignment horizontal="center" vertical="center" wrapText="1"/>
    </xf>
    <xf numFmtId="0" fontId="29" fillId="0" borderId="28" xfId="0" applyFont="1" applyBorder="1" applyAlignment="1">
      <alignment horizontal="center" vertical="center" wrapText="1"/>
    </xf>
    <xf numFmtId="0" fontId="50" fillId="0" borderId="28" xfId="6" applyFont="1" applyBorder="1" applyAlignment="1">
      <alignment horizontal="center" vertical="center" wrapText="1"/>
    </xf>
    <xf numFmtId="14" fontId="29" fillId="0" borderId="28" xfId="0" applyNumberFormat="1" applyFont="1" applyBorder="1" applyAlignment="1">
      <alignment horizontal="center" vertical="center"/>
    </xf>
    <xf numFmtId="1" fontId="29" fillId="0" borderId="53" xfId="0" applyNumberFormat="1" applyFont="1" applyBorder="1" applyAlignment="1">
      <alignment horizontal="center" vertical="center"/>
    </xf>
    <xf numFmtId="1" fontId="29" fillId="0" borderId="28" xfId="0" applyNumberFormat="1" applyFont="1" applyBorder="1" applyAlignment="1">
      <alignment horizontal="center" vertical="center"/>
    </xf>
    <xf numFmtId="1" fontId="29" fillId="0" borderId="29" xfId="0" applyNumberFormat="1" applyFont="1" applyBorder="1" applyAlignment="1">
      <alignment horizontal="center" vertical="center"/>
    </xf>
    <xf numFmtId="10" fontId="29" fillId="0" borderId="0" xfId="0" applyNumberFormat="1" applyFont="1" applyAlignment="1">
      <alignment horizontal="center" vertical="center"/>
    </xf>
    <xf numFmtId="0" fontId="29" fillId="0" borderId="16" xfId="0" applyFont="1" applyBorder="1" applyAlignment="1">
      <alignment horizontal="center" vertical="center" wrapText="1"/>
    </xf>
    <xf numFmtId="0" fontId="29" fillId="0" borderId="17" xfId="0" applyFont="1" applyBorder="1" applyAlignment="1">
      <alignment horizontal="center" vertical="center" wrapText="1"/>
    </xf>
    <xf numFmtId="0" fontId="50" fillId="0" borderId="17" xfId="6" applyFont="1" applyBorder="1" applyAlignment="1">
      <alignment horizontal="center" vertical="center" wrapText="1"/>
    </xf>
    <xf numFmtId="14" fontId="29" fillId="0" borderId="17" xfId="0" applyNumberFormat="1" applyFont="1" applyBorder="1" applyAlignment="1">
      <alignment horizontal="center" vertical="center"/>
    </xf>
    <xf numFmtId="1" fontId="29" fillId="0" borderId="13" xfId="0" applyNumberFormat="1" applyFont="1" applyBorder="1" applyAlignment="1">
      <alignment horizontal="center" vertical="center"/>
    </xf>
    <xf numFmtId="1" fontId="29" fillId="0" borderId="17" xfId="0" applyNumberFormat="1" applyFont="1" applyBorder="1" applyAlignment="1">
      <alignment horizontal="center" vertical="center"/>
    </xf>
    <xf numFmtId="1" fontId="29" fillId="0" borderId="18" xfId="0" applyNumberFormat="1" applyFont="1" applyBorder="1" applyAlignment="1">
      <alignment horizontal="center" vertical="center"/>
    </xf>
    <xf numFmtId="1" fontId="50" fillId="0" borderId="17" xfId="6" applyNumberFormat="1" applyFont="1" applyBorder="1" applyAlignment="1">
      <alignment horizontal="center" vertical="center" wrapText="1"/>
    </xf>
    <xf numFmtId="0" fontId="29" fillId="0" borderId="0" xfId="0" applyFont="1" applyAlignment="1">
      <alignment horizontal="center" vertical="center"/>
    </xf>
    <xf numFmtId="1" fontId="29" fillId="0" borderId="0" xfId="0" applyNumberFormat="1" applyFont="1" applyAlignment="1">
      <alignment horizontal="center" vertical="center"/>
    </xf>
    <xf numFmtId="9" fontId="29" fillId="0" borderId="0" xfId="0" applyNumberFormat="1" applyFont="1" applyAlignment="1">
      <alignment horizontal="center" vertical="center"/>
    </xf>
    <xf numFmtId="1" fontId="29" fillId="0" borderId="37" xfId="0" applyNumberFormat="1" applyFont="1" applyBorder="1" applyAlignment="1">
      <alignment horizontal="center" vertical="center"/>
    </xf>
    <xf numFmtId="1" fontId="29" fillId="0" borderId="14" xfId="0" applyNumberFormat="1" applyFont="1" applyBorder="1" applyAlignment="1">
      <alignment horizontal="center" vertical="center"/>
    </xf>
    <xf numFmtId="2" fontId="29" fillId="0" borderId="17" xfId="0" applyNumberFormat="1" applyFont="1" applyBorder="1" applyAlignment="1">
      <alignment horizontal="center" vertical="center" wrapText="1"/>
    </xf>
    <xf numFmtId="0" fontId="29" fillId="0" borderId="37" xfId="0" applyFont="1" applyBorder="1" applyAlignment="1">
      <alignment horizontal="center" vertical="center"/>
    </xf>
    <xf numFmtId="2" fontId="29" fillId="0" borderId="17" xfId="0" applyNumberFormat="1" applyFont="1" applyBorder="1" applyAlignment="1">
      <alignment horizontal="center" vertical="center"/>
    </xf>
    <xf numFmtId="0" fontId="29" fillId="0" borderId="14" xfId="0" applyFont="1" applyBorder="1" applyAlignment="1">
      <alignment horizontal="center" vertical="center"/>
    </xf>
    <xf numFmtId="0" fontId="29" fillId="0" borderId="13" xfId="0" applyFont="1" applyBorder="1" applyAlignment="1">
      <alignment horizontal="center" vertical="center"/>
    </xf>
    <xf numFmtId="0" fontId="29" fillId="0" borderId="37" xfId="0" applyFont="1" applyBorder="1" applyAlignment="1">
      <alignment horizontal="center" vertical="center" wrapText="1"/>
    </xf>
    <xf numFmtId="14" fontId="29" fillId="0" borderId="37" xfId="0" applyNumberFormat="1" applyFont="1" applyBorder="1" applyAlignment="1">
      <alignment horizontal="center" vertical="center"/>
    </xf>
    <xf numFmtId="2" fontId="29" fillId="0" borderId="37" xfId="0" applyNumberFormat="1" applyFont="1" applyBorder="1" applyAlignment="1">
      <alignment horizontal="center" vertical="center"/>
    </xf>
    <xf numFmtId="1" fontId="29" fillId="0" borderId="37" xfId="0" applyNumberFormat="1" applyFont="1" applyBorder="1" applyAlignment="1">
      <alignment horizontal="center" vertical="center"/>
    </xf>
    <xf numFmtId="1" fontId="29" fillId="0" borderId="42" xfId="0" applyNumberFormat="1" applyFont="1" applyBorder="1" applyAlignment="1">
      <alignment horizontal="center" vertical="center"/>
    </xf>
    <xf numFmtId="2" fontId="29" fillId="0" borderId="37" xfId="0" applyNumberFormat="1" applyFont="1" applyBorder="1" applyAlignment="1">
      <alignment horizontal="center" vertical="center" wrapText="1"/>
    </xf>
    <xf numFmtId="2" fontId="29" fillId="0" borderId="42" xfId="0" applyNumberFormat="1" applyFont="1" applyBorder="1" applyAlignment="1">
      <alignment horizontal="center" vertical="center"/>
    </xf>
    <xf numFmtId="0" fontId="29" fillId="0" borderId="37" xfId="0" applyFont="1" applyBorder="1" applyAlignment="1">
      <alignment horizontal="center" vertical="center"/>
    </xf>
    <xf numFmtId="0" fontId="29" fillId="0" borderId="19" xfId="0" applyFont="1" applyBorder="1" applyAlignment="1">
      <alignment horizontal="center" vertical="center" wrapText="1"/>
    </xf>
    <xf numFmtId="0" fontId="29" fillId="0" borderId="20" xfId="0" applyFont="1" applyBorder="1" applyAlignment="1">
      <alignment horizontal="center" vertical="center" wrapText="1"/>
    </xf>
    <xf numFmtId="2" fontId="29" fillId="0" borderId="20" xfId="0" applyNumberFormat="1" applyFont="1" applyBorder="1" applyAlignment="1">
      <alignment horizontal="center" vertical="center" wrapText="1"/>
    </xf>
    <xf numFmtId="14" fontId="29" fillId="0" borderId="20" xfId="0" applyNumberFormat="1" applyFont="1" applyBorder="1" applyAlignment="1">
      <alignment horizontal="center" vertical="center"/>
    </xf>
    <xf numFmtId="1" fontId="29" fillId="0" borderId="46" xfId="0" applyNumberFormat="1" applyFont="1" applyBorder="1" applyAlignment="1">
      <alignment horizontal="center" vertical="center"/>
    </xf>
    <xf numFmtId="2" fontId="29" fillId="0" borderId="20" xfId="0" applyNumberFormat="1" applyFont="1" applyBorder="1" applyAlignment="1">
      <alignment horizontal="center" vertical="center"/>
    </xf>
    <xf numFmtId="1" fontId="29" fillId="0" borderId="20" xfId="0" applyNumberFormat="1" applyFont="1" applyBorder="1" applyAlignment="1">
      <alignment horizontal="center" vertical="center"/>
    </xf>
    <xf numFmtId="1" fontId="29" fillId="0" borderId="21" xfId="0" applyNumberFormat="1" applyFont="1" applyBorder="1" applyAlignment="1">
      <alignment horizontal="center" vertical="center"/>
    </xf>
    <xf numFmtId="1" fontId="0" fillId="0" borderId="0" xfId="0" applyNumberFormat="1"/>
    <xf numFmtId="0" fontId="3" fillId="22" borderId="0" xfId="0" applyFont="1" applyFill="1"/>
    <xf numFmtId="0" fontId="3" fillId="11" borderId="66" xfId="0" applyFont="1" applyFill="1" applyBorder="1" applyAlignment="1">
      <alignment horizontal="center" vertical="center"/>
    </xf>
    <xf numFmtId="0" fontId="0" fillId="0" borderId="66" xfId="0" applyBorder="1"/>
    <xf numFmtId="10" fontId="0" fillId="0" borderId="66" xfId="0" applyNumberFormat="1" applyBorder="1"/>
    <xf numFmtId="0" fontId="3" fillId="11" borderId="67" xfId="0" applyFont="1" applyFill="1" applyBorder="1"/>
    <xf numFmtId="14" fontId="0" fillId="0" borderId="0" xfId="0" applyNumberFormat="1"/>
    <xf numFmtId="0" fontId="51" fillId="20" borderId="10" xfId="0" applyFont="1" applyFill="1" applyBorder="1" applyAlignment="1">
      <alignment horizontal="center" vertical="center"/>
    </xf>
    <xf numFmtId="0" fontId="51" fillId="20" borderId="9" xfId="0" applyFont="1" applyFill="1" applyBorder="1" applyAlignment="1">
      <alignment vertical="center"/>
    </xf>
    <xf numFmtId="0" fontId="51" fillId="20" borderId="9" xfId="0" applyFont="1" applyFill="1" applyBorder="1" applyAlignment="1">
      <alignment horizontal="center" vertical="center"/>
    </xf>
    <xf numFmtId="0" fontId="0" fillId="0" borderId="0" xfId="0"/>
    <xf numFmtId="0" fontId="18" fillId="12" borderId="17" xfId="0" applyFont="1" applyFill="1" applyBorder="1" applyAlignment="1">
      <alignment horizontal="center" vertical="center"/>
    </xf>
    <xf numFmtId="0" fontId="19" fillId="0" borderId="17" xfId="0" applyFont="1" applyBorder="1" applyAlignment="1">
      <alignment horizontal="center" vertical="center"/>
    </xf>
    <xf numFmtId="0" fontId="19" fillId="0" borderId="17" xfId="0" applyFont="1" applyBorder="1"/>
    <xf numFmtId="0" fontId="0" fillId="0" borderId="0" xfId="0" applyAlignment="1">
      <alignment vertical="center"/>
    </xf>
    <xf numFmtId="0" fontId="3" fillId="0" borderId="0" xfId="0" applyFont="1"/>
    <xf numFmtId="0" fontId="27" fillId="15" borderId="36" xfId="0" applyFont="1" applyFill="1" applyBorder="1" applyAlignment="1">
      <alignment horizontal="left" vertical="center" wrapText="1"/>
    </xf>
    <xf numFmtId="0" fontId="27" fillId="15" borderId="11" xfId="0" applyFont="1" applyFill="1" applyBorder="1" applyAlignment="1">
      <alignment horizontal="left" vertical="center" wrapText="1"/>
    </xf>
    <xf numFmtId="0" fontId="27" fillId="15" borderId="11" xfId="0" applyFont="1" applyFill="1" applyBorder="1" applyAlignment="1">
      <alignment horizontal="center" vertical="center" wrapText="1"/>
    </xf>
    <xf numFmtId="0" fontId="26" fillId="0" borderId="32" xfId="0" applyFont="1" applyBorder="1" applyAlignment="1">
      <alignment horizontal="center" vertical="center" wrapText="1"/>
    </xf>
    <xf numFmtId="0" fontId="26" fillId="0" borderId="8" xfId="0" applyFont="1" applyBorder="1" applyAlignment="1">
      <alignment horizontal="justify" vertical="center" wrapText="1"/>
    </xf>
    <xf numFmtId="0" fontId="26" fillId="0" borderId="8" xfId="0" applyFont="1" applyBorder="1" applyAlignment="1">
      <alignment horizontal="center" vertical="center" wrapText="1"/>
    </xf>
    <xf numFmtId="0" fontId="18" fillId="12" borderId="14" xfId="0" applyFont="1" applyFill="1" applyBorder="1" applyAlignment="1">
      <alignment horizontal="center" vertical="center"/>
    </xf>
    <xf numFmtId="0" fontId="0" fillId="0" borderId="17" xfId="0" applyBorder="1"/>
    <xf numFmtId="0" fontId="18" fillId="12" borderId="37" xfId="0" applyFont="1" applyFill="1" applyBorder="1" applyAlignment="1">
      <alignment horizontal="center" vertical="center"/>
    </xf>
    <xf numFmtId="0" fontId="19" fillId="0" borderId="27" xfId="0" applyFont="1" applyBorder="1" applyAlignment="1">
      <alignment horizontal="center" vertical="center"/>
    </xf>
    <xf numFmtId="0" fontId="19" fillId="0" borderId="28" xfId="0" applyFont="1" applyBorder="1"/>
    <xf numFmtId="0" fontId="19" fillId="0" borderId="28" xfId="0" applyFont="1" applyBorder="1" applyAlignment="1">
      <alignment horizontal="center" vertical="center"/>
    </xf>
    <xf numFmtId="10" fontId="0" fillId="0" borderId="29" xfId="0" applyNumberFormat="1" applyBorder="1"/>
    <xf numFmtId="0" fontId="19" fillId="0" borderId="16" xfId="0" applyFont="1" applyBorder="1" applyAlignment="1">
      <alignment horizontal="center" vertical="center"/>
    </xf>
    <xf numFmtId="10" fontId="0" fillId="0" borderId="18" xfId="0" applyNumberFormat="1" applyBorder="1"/>
    <xf numFmtId="0" fontId="19" fillId="0" borderId="19" xfId="0" applyFont="1" applyBorder="1" applyAlignment="1">
      <alignment horizontal="center" vertical="center"/>
    </xf>
    <xf numFmtId="0" fontId="19" fillId="0" borderId="20" xfId="0" applyFont="1" applyBorder="1"/>
    <xf numFmtId="0" fontId="19" fillId="0" borderId="20" xfId="0" applyFont="1" applyBorder="1" applyAlignment="1">
      <alignment horizontal="center" vertical="center"/>
    </xf>
    <xf numFmtId="10" fontId="0" fillId="0" borderId="21" xfId="0" applyNumberFormat="1" applyBorder="1"/>
    <xf numFmtId="10" fontId="3" fillId="0" borderId="0" xfId="0" applyNumberFormat="1" applyFont="1"/>
    <xf numFmtId="0" fontId="0" fillId="0" borderId="0" xfId="0" applyAlignment="1">
      <alignment horizontal="center" vertical="center"/>
    </xf>
    <xf numFmtId="0" fontId="51" fillId="20" borderId="10" xfId="0" applyFont="1" applyFill="1" applyBorder="1" applyAlignment="1">
      <alignment horizontal="center" vertical="center"/>
    </xf>
    <xf numFmtId="0" fontId="51" fillId="20" borderId="9" xfId="0" applyFont="1" applyFill="1" applyBorder="1" applyAlignment="1">
      <alignment horizontal="center" vertical="center" wrapText="1"/>
    </xf>
    <xf numFmtId="0" fontId="51" fillId="20" borderId="10" xfId="0" applyFont="1" applyFill="1" applyBorder="1" applyAlignment="1">
      <alignment horizontal="center" vertical="center" wrapText="1"/>
    </xf>
    <xf numFmtId="0" fontId="51" fillId="20" borderId="11" xfId="0" applyFont="1" applyFill="1" applyBorder="1" applyAlignment="1">
      <alignment horizontal="center" vertical="center" wrapText="1"/>
    </xf>
    <xf numFmtId="0" fontId="52" fillId="0" borderId="0" xfId="0" applyFont="1" applyAlignment="1">
      <alignment vertical="center"/>
    </xf>
    <xf numFmtId="0" fontId="53" fillId="14" borderId="45" xfId="0" applyFont="1" applyFill="1" applyBorder="1" applyAlignment="1">
      <alignment horizontal="center" vertical="center" wrapText="1"/>
    </xf>
    <xf numFmtId="0" fontId="53" fillId="14" borderId="46" xfId="0" applyFont="1" applyFill="1" applyBorder="1" applyAlignment="1">
      <alignment horizontal="center" vertical="center" textRotation="90" wrapText="1"/>
    </xf>
    <xf numFmtId="0" fontId="53" fillId="14" borderId="46" xfId="0" applyFont="1" applyFill="1" applyBorder="1" applyAlignment="1">
      <alignment horizontal="center" vertical="center" wrapText="1"/>
    </xf>
    <xf numFmtId="0" fontId="53" fillId="14" borderId="65" xfId="0" applyFont="1" applyFill="1" applyBorder="1" applyAlignment="1">
      <alignment horizontal="center" vertical="center" wrapText="1"/>
    </xf>
    <xf numFmtId="0" fontId="53" fillId="14" borderId="45" xfId="0" applyFont="1" applyFill="1" applyBorder="1" applyAlignment="1">
      <alignment horizontal="center" vertical="center" textRotation="90" wrapText="1"/>
    </xf>
    <xf numFmtId="0" fontId="53" fillId="14" borderId="47" xfId="0" applyFont="1" applyFill="1" applyBorder="1" applyAlignment="1">
      <alignment horizontal="center" vertical="center" textRotation="90" wrapText="1"/>
    </xf>
    <xf numFmtId="0" fontId="53" fillId="14" borderId="65" xfId="0" applyFont="1" applyFill="1" applyBorder="1" applyAlignment="1">
      <alignment horizontal="center" vertical="center" textRotation="90" wrapText="1"/>
    </xf>
    <xf numFmtId="0" fontId="53" fillId="14" borderId="36" xfId="0" applyFont="1" applyFill="1" applyBorder="1" applyAlignment="1">
      <alignment horizontal="center" vertical="center" textRotation="90" wrapText="1"/>
    </xf>
    <xf numFmtId="0" fontId="53" fillId="14" borderId="47" xfId="0" applyFont="1" applyFill="1" applyBorder="1" applyAlignment="1">
      <alignment horizontal="center" vertical="center" wrapText="1"/>
    </xf>
    <xf numFmtId="0" fontId="53" fillId="14" borderId="36" xfId="0" applyFont="1" applyFill="1" applyBorder="1" applyAlignment="1">
      <alignment horizontal="center" vertical="center" wrapText="1"/>
    </xf>
    <xf numFmtId="0" fontId="53" fillId="14" borderId="40" xfId="0" applyFont="1" applyFill="1" applyBorder="1" applyAlignment="1">
      <alignment horizontal="center" vertical="center" wrapText="1"/>
    </xf>
    <xf numFmtId="0" fontId="54" fillId="0" borderId="0" xfId="0" applyFont="1" applyAlignment="1">
      <alignment horizontal="center" vertical="center" wrapText="1"/>
    </xf>
    <xf numFmtId="0" fontId="21" fillId="0" borderId="13" xfId="0" applyFont="1" applyBorder="1" applyAlignment="1">
      <alignment horizontal="center" vertical="center" wrapText="1"/>
    </xf>
    <xf numFmtId="49" fontId="21" fillId="0" borderId="13" xfId="0" applyNumberFormat="1" applyFont="1" applyBorder="1" applyAlignment="1">
      <alignment horizontal="left" vertical="center" wrapText="1"/>
    </xf>
    <xf numFmtId="0" fontId="21" fillId="0" borderId="13" xfId="0" applyFont="1" applyBorder="1" applyAlignment="1">
      <alignment horizontal="center" vertical="center"/>
    </xf>
    <xf numFmtId="9" fontId="21" fillId="0" borderId="13" xfId="2" applyFont="1" applyFill="1" applyBorder="1" applyAlignment="1" applyProtection="1">
      <alignment horizontal="center" vertical="center"/>
    </xf>
    <xf numFmtId="171" fontId="21" fillId="0" borderId="13" xfId="1" quotePrefix="1" applyNumberFormat="1" applyFont="1" applyFill="1" applyBorder="1" applyAlignment="1" applyProtection="1">
      <alignment horizontal="center" vertical="center" wrapText="1"/>
    </xf>
    <xf numFmtId="0" fontId="21" fillId="0" borderId="13" xfId="1" quotePrefix="1" applyNumberFormat="1" applyFont="1" applyFill="1" applyBorder="1" applyAlignment="1" applyProtection="1">
      <alignment horizontal="center" vertical="center" wrapText="1"/>
    </xf>
    <xf numFmtId="49" fontId="21" fillId="0" borderId="13" xfId="0" quotePrefix="1" applyNumberFormat="1" applyFont="1" applyBorder="1" applyAlignment="1">
      <alignment horizontal="left" vertical="center" wrapText="1"/>
    </xf>
    <xf numFmtId="49" fontId="21" fillId="0" borderId="13" xfId="0" quotePrefix="1" applyNumberFormat="1" applyFont="1" applyBorder="1" applyAlignment="1">
      <alignment horizontal="center" vertical="center" wrapText="1"/>
    </xf>
    <xf numFmtId="49" fontId="21" fillId="0" borderId="13" xfId="0" quotePrefix="1" applyNumberFormat="1" applyFont="1" applyBorder="1" applyAlignment="1">
      <alignment vertical="center" wrapText="1"/>
    </xf>
    <xf numFmtId="172" fontId="21" fillId="0" borderId="13" xfId="0" applyNumberFormat="1" applyFont="1" applyBorder="1" applyAlignment="1">
      <alignment horizontal="center" vertical="center" wrapText="1"/>
    </xf>
    <xf numFmtId="172" fontId="21" fillId="0" borderId="17" xfId="0" applyNumberFormat="1" applyFont="1" applyBorder="1" applyAlignment="1">
      <alignment horizontal="center" vertical="center" wrapText="1"/>
    </xf>
    <xf numFmtId="49" fontId="21" fillId="0" borderId="17" xfId="0" quotePrefix="1" applyNumberFormat="1" applyFont="1" applyBorder="1" applyAlignment="1">
      <alignment horizontal="center" vertical="center" wrapText="1"/>
    </xf>
    <xf numFmtId="0" fontId="55" fillId="0" borderId="0" xfId="0" applyFont="1" applyAlignment="1">
      <alignment horizontal="center" vertical="center" textRotation="90"/>
    </xf>
    <xf numFmtId="0" fontId="58" fillId="0" borderId="17" xfId="0" applyFont="1" applyBorder="1" applyAlignment="1">
      <alignment horizontal="left" vertical="center"/>
    </xf>
    <xf numFmtId="0" fontId="58" fillId="0" borderId="16" xfId="0" applyFont="1" applyBorder="1" applyAlignment="1">
      <alignment horizontal="left" vertical="center"/>
    </xf>
    <xf numFmtId="0" fontId="0" fillId="0" borderId="0" xfId="0"/>
    <xf numFmtId="0" fontId="0" fillId="0" borderId="0" xfId="0" applyAlignment="1">
      <alignment horizontal="center" vertical="center"/>
    </xf>
    <xf numFmtId="0" fontId="57" fillId="10" borderId="16" xfId="0" applyFont="1" applyFill="1" applyBorder="1" applyAlignment="1">
      <alignment horizontal="center" vertical="center" wrapText="1"/>
    </xf>
    <xf numFmtId="0" fontId="57" fillId="10" borderId="17" xfId="0" applyFont="1" applyFill="1" applyBorder="1" applyAlignment="1">
      <alignment horizontal="center" vertical="center" wrapText="1"/>
    </xf>
    <xf numFmtId="0" fontId="57" fillId="10" borderId="18" xfId="0" applyFont="1" applyFill="1" applyBorder="1" applyAlignment="1">
      <alignment horizontal="center" vertical="center" wrapText="1"/>
    </xf>
    <xf numFmtId="0" fontId="56" fillId="0" borderId="0" xfId="0" applyFont="1" applyAlignment="1">
      <alignment horizontal="center" vertical="center"/>
    </xf>
    <xf numFmtId="0" fontId="56" fillId="0" borderId="0" xfId="0" applyFont="1" applyAlignment="1">
      <alignment vertical="center"/>
    </xf>
    <xf numFmtId="0" fontId="56" fillId="0" borderId="17" xfId="0" applyFont="1" applyBorder="1" applyAlignment="1">
      <alignment horizontal="center" vertical="center"/>
    </xf>
    <xf numFmtId="0" fontId="56" fillId="0" borderId="17" xfId="0" applyFont="1" applyBorder="1" applyAlignment="1">
      <alignment vertical="center"/>
    </xf>
    <xf numFmtId="0" fontId="56" fillId="0" borderId="17" xfId="0" applyFont="1" applyBorder="1" applyAlignment="1">
      <alignment horizontal="left" vertical="center"/>
    </xf>
    <xf numFmtId="14" fontId="56" fillId="0" borderId="17" xfId="0" applyNumberFormat="1" applyFont="1" applyBorder="1" applyAlignment="1">
      <alignment horizontal="center" vertical="center"/>
    </xf>
    <xf numFmtId="0" fontId="56" fillId="0" borderId="17" xfId="0" applyFont="1" applyBorder="1" applyAlignment="1">
      <alignment vertical="center" wrapText="1"/>
    </xf>
    <xf numFmtId="0" fontId="56" fillId="0" borderId="16" xfId="0" applyFont="1" applyBorder="1" applyAlignment="1">
      <alignment horizontal="center" vertical="center"/>
    </xf>
    <xf numFmtId="0" fontId="56" fillId="0" borderId="18" xfId="0" applyFont="1" applyBorder="1" applyAlignment="1">
      <alignment vertical="center"/>
    </xf>
    <xf numFmtId="0" fontId="56" fillId="0" borderId="19" xfId="0" applyFont="1" applyBorder="1" applyAlignment="1">
      <alignment horizontal="center" vertical="center"/>
    </xf>
    <xf numFmtId="0" fontId="56" fillId="0" borderId="20" xfId="0" applyFont="1" applyBorder="1" applyAlignment="1">
      <alignment horizontal="center" vertical="center"/>
    </xf>
    <xf numFmtId="0" fontId="56" fillId="0" borderId="20" xfId="0" applyFont="1" applyBorder="1" applyAlignment="1">
      <alignment vertical="center"/>
    </xf>
    <xf numFmtId="0" fontId="56" fillId="0" borderId="20" xfId="0" applyFont="1" applyBorder="1" applyAlignment="1">
      <alignment horizontal="left" vertical="center"/>
    </xf>
    <xf numFmtId="14" fontId="56" fillId="0" borderId="20" xfId="0" applyNumberFormat="1" applyFont="1" applyBorder="1" applyAlignment="1">
      <alignment horizontal="center" vertical="center"/>
    </xf>
    <xf numFmtId="0" fontId="56" fillId="0" borderId="20" xfId="0" applyFont="1" applyBorder="1" applyAlignment="1">
      <alignment vertical="center" wrapText="1"/>
    </xf>
    <xf numFmtId="0" fontId="56" fillId="0" borderId="21" xfId="0" applyFont="1" applyBorder="1" applyAlignment="1">
      <alignment vertical="center"/>
    </xf>
    <xf numFmtId="0" fontId="60" fillId="14" borderId="17" xfId="0" applyFont="1" applyFill="1" applyBorder="1" applyAlignment="1">
      <alignment vertical="center" wrapText="1"/>
    </xf>
    <xf numFmtId="0" fontId="59" fillId="13" borderId="17" xfId="0" applyFont="1" applyFill="1" applyBorder="1" applyAlignment="1">
      <alignment horizontal="center" vertical="center" wrapText="1"/>
    </xf>
    <xf numFmtId="0" fontId="56" fillId="0" borderId="0" xfId="0" applyFont="1"/>
    <xf numFmtId="0" fontId="56" fillId="0" borderId="17" xfId="0" applyFont="1" applyBorder="1"/>
    <xf numFmtId="0" fontId="62" fillId="10" borderId="27" xfId="0" applyFont="1" applyFill="1" applyBorder="1" applyAlignment="1">
      <alignment horizontal="center" vertical="center"/>
    </xf>
    <xf numFmtId="0" fontId="62" fillId="10" borderId="28" xfId="0" applyFont="1" applyFill="1" applyBorder="1" applyAlignment="1">
      <alignment horizontal="center" vertical="center"/>
    </xf>
    <xf numFmtId="0" fontId="62" fillId="10" borderId="28" xfId="0" applyFont="1" applyFill="1" applyBorder="1" applyAlignment="1">
      <alignment horizontal="center" vertical="center" wrapText="1"/>
    </xf>
    <xf numFmtId="0" fontId="62" fillId="10" borderId="29" xfId="0" applyFont="1" applyFill="1" applyBorder="1" applyAlignment="1">
      <alignment horizontal="center" vertical="center"/>
    </xf>
    <xf numFmtId="0" fontId="56" fillId="0" borderId="18" xfId="0" applyFont="1" applyBorder="1"/>
    <xf numFmtId="0" fontId="56" fillId="0" borderId="20" xfId="0" applyFont="1" applyBorder="1"/>
    <xf numFmtId="0" fontId="56" fillId="0" borderId="21" xfId="0" applyFont="1" applyBorder="1"/>
    <xf numFmtId="0" fontId="0" fillId="0" borderId="0" xfId="0" applyAlignment="1">
      <alignment horizontal="left" vertical="center"/>
    </xf>
    <xf numFmtId="0" fontId="43" fillId="12" borderId="17" xfId="0" applyFont="1" applyFill="1" applyBorder="1" applyAlignment="1">
      <alignment horizontal="center" vertical="center" wrapText="1"/>
    </xf>
    <xf numFmtId="0" fontId="45" fillId="0" borderId="17" xfId="0" applyFont="1" applyBorder="1" applyAlignment="1">
      <alignment horizontal="center" vertical="center"/>
    </xf>
    <xf numFmtId="0" fontId="45" fillId="0" borderId="17" xfId="0" applyFont="1" applyBorder="1" applyAlignment="1">
      <alignment vertical="center"/>
    </xf>
    <xf numFmtId="0" fontId="0" fillId="2" borderId="0" xfId="0" applyFill="1"/>
    <xf numFmtId="0" fontId="0" fillId="0" borderId="0" xfId="0" applyAlignment="1">
      <alignment vertical="center"/>
    </xf>
    <xf numFmtId="0" fontId="0" fillId="2" borderId="5" xfId="0" applyFill="1" applyBorder="1"/>
    <xf numFmtId="0" fontId="64" fillId="2" borderId="68" xfId="0" applyFont="1" applyFill="1" applyBorder="1"/>
    <xf numFmtId="0" fontId="64" fillId="2" borderId="0" xfId="0" applyFont="1" applyFill="1"/>
    <xf numFmtId="0" fontId="0" fillId="2" borderId="4" xfId="0" applyFill="1" applyBorder="1"/>
    <xf numFmtId="0" fontId="58" fillId="2" borderId="4" xfId="0" applyFont="1" applyFill="1" applyBorder="1" applyAlignment="1">
      <alignment horizontal="left" vertical="center"/>
    </xf>
    <xf numFmtId="0" fontId="58" fillId="2" borderId="0" xfId="0" applyFont="1" applyFill="1" applyAlignment="1">
      <alignment horizontal="left" vertical="center"/>
    </xf>
    <xf numFmtId="0" fontId="58" fillId="2" borderId="0" xfId="0" applyFont="1" applyFill="1" applyAlignment="1">
      <alignment horizontal="left" vertical="center" wrapText="1"/>
    </xf>
    <xf numFmtId="0" fontId="58" fillId="2" borderId="5" xfId="0" applyFont="1" applyFill="1" applyBorder="1" applyAlignment="1">
      <alignment horizontal="left" vertical="center" wrapText="1"/>
    </xf>
    <xf numFmtId="0" fontId="0" fillId="2" borderId="7" xfId="0" applyFill="1" applyBorder="1"/>
    <xf numFmtId="0" fontId="0" fillId="2" borderId="8" xfId="0" applyFill="1" applyBorder="1"/>
    <xf numFmtId="0" fontId="60" fillId="14" borderId="20" xfId="0" applyFont="1" applyFill="1" applyBorder="1" applyAlignment="1">
      <alignment vertical="center" wrapText="1"/>
    </xf>
    <xf numFmtId="0" fontId="59" fillId="13" borderId="20" xfId="0" applyFont="1" applyFill="1" applyBorder="1" applyAlignment="1">
      <alignment horizontal="center" vertical="center" wrapText="1"/>
    </xf>
    <xf numFmtId="0" fontId="59" fillId="13" borderId="21" xfId="0" applyFont="1" applyFill="1" applyBorder="1" applyAlignment="1">
      <alignment horizontal="center" vertical="center" wrapText="1"/>
    </xf>
    <xf numFmtId="14" fontId="59" fillId="13" borderId="20" xfId="0" applyNumberFormat="1" applyFont="1" applyFill="1" applyBorder="1" applyAlignment="1">
      <alignment horizontal="center" vertical="center" wrapText="1"/>
    </xf>
    <xf numFmtId="14" fontId="59" fillId="13" borderId="21" xfId="0" applyNumberFormat="1" applyFont="1" applyFill="1" applyBorder="1" applyAlignment="1">
      <alignment horizontal="center" vertical="center" wrapText="1"/>
    </xf>
    <xf numFmtId="0" fontId="66" fillId="12" borderId="17" xfId="0" applyFont="1" applyFill="1" applyBorder="1" applyAlignment="1">
      <alignment horizontal="center" vertical="center" wrapText="1"/>
    </xf>
    <xf numFmtId="0" fontId="17" fillId="0" borderId="0" xfId="0" applyFont="1" applyAlignment="1">
      <alignment horizontal="left"/>
    </xf>
    <xf numFmtId="0" fontId="69" fillId="0" borderId="15" xfId="0" applyFont="1" applyBorder="1" applyAlignment="1">
      <alignment horizontal="left"/>
    </xf>
    <xf numFmtId="0" fontId="69" fillId="0" borderId="18" xfId="0" applyFont="1" applyBorder="1" applyAlignment="1">
      <alignment horizontal="left"/>
    </xf>
    <xf numFmtId="0" fontId="68" fillId="0" borderId="16" xfId="0" applyFont="1" applyBorder="1"/>
    <xf numFmtId="0" fontId="68" fillId="0" borderId="17" xfId="0" applyFont="1" applyBorder="1"/>
    <xf numFmtId="0" fontId="68" fillId="0" borderId="17" xfId="0" applyFont="1" applyBorder="1" applyAlignment="1">
      <alignment horizontal="center" vertical="center"/>
    </xf>
    <xf numFmtId="0" fontId="69" fillId="0" borderId="18" xfId="0" applyFont="1" applyBorder="1"/>
    <xf numFmtId="0" fontId="68" fillId="0" borderId="17" xfId="0" applyFont="1" applyBorder="1" applyAlignment="1">
      <alignment vertical="center" textRotation="90"/>
    </xf>
    <xf numFmtId="0" fontId="0" fillId="0" borderId="16" xfId="0" applyBorder="1" applyAlignment="1">
      <alignment horizontal="center" vertical="center"/>
    </xf>
    <xf numFmtId="0" fontId="0" fillId="0" borderId="17" xfId="0" applyBorder="1" applyAlignment="1">
      <alignment horizontal="left" vertical="center" wrapText="1"/>
    </xf>
    <xf numFmtId="0" fontId="0" fillId="0" borderId="17" xfId="0" applyBorder="1" applyAlignment="1">
      <alignment horizontal="center" vertical="center" wrapText="1"/>
    </xf>
    <xf numFmtId="0" fontId="0" fillId="0" borderId="17" xfId="0" applyBorder="1" applyAlignment="1">
      <alignment horizontal="center" vertical="center"/>
    </xf>
    <xf numFmtId="0" fontId="0" fillId="0" borderId="18" xfId="0" applyBorder="1"/>
    <xf numFmtId="0" fontId="0" fillId="0" borderId="37" xfId="0" applyBorder="1" applyAlignment="1">
      <alignment horizontal="left" vertical="center" wrapText="1"/>
    </xf>
    <xf numFmtId="0" fontId="0" fillId="0" borderId="17" xfId="0" applyBorder="1" applyAlignment="1">
      <alignment vertical="center" wrapText="1"/>
    </xf>
    <xf numFmtId="0" fontId="0" fillId="0" borderId="17" xfId="0" applyBorder="1" applyAlignment="1">
      <alignment horizontal="left" vertical="center"/>
    </xf>
    <xf numFmtId="0" fontId="0" fillId="0" borderId="37" xfId="0" applyBorder="1" applyAlignment="1">
      <alignment horizontal="center" vertical="center" wrapText="1"/>
    </xf>
    <xf numFmtId="0" fontId="0" fillId="0" borderId="37" xfId="0" applyBorder="1" applyAlignment="1">
      <alignment horizontal="center" vertical="center"/>
    </xf>
    <xf numFmtId="0" fontId="0" fillId="0" borderId="42" xfId="0" applyBorder="1"/>
    <xf numFmtId="0" fontId="0" fillId="0" borderId="17" xfId="0" applyBorder="1" applyAlignment="1">
      <alignment wrapText="1"/>
    </xf>
    <xf numFmtId="0" fontId="0" fillId="0" borderId="17" xfId="0" applyBorder="1"/>
    <xf numFmtId="0" fontId="0" fillId="0" borderId="20" xfId="0" applyBorder="1" applyAlignment="1">
      <alignment horizontal="center" vertical="center"/>
    </xf>
    <xf numFmtId="0" fontId="0" fillId="0" borderId="20" xfId="0" applyBorder="1"/>
    <xf numFmtId="0" fontId="0" fillId="0" borderId="20" xfId="0" applyBorder="1" applyAlignment="1">
      <alignment wrapText="1"/>
    </xf>
    <xf numFmtId="0" fontId="0" fillId="0" borderId="21" xfId="0" applyBorder="1"/>
    <xf numFmtId="0" fontId="58" fillId="0" borderId="17" xfId="0" applyFont="1" applyBorder="1" applyAlignment="1">
      <alignment vertical="center" wrapText="1"/>
    </xf>
    <xf numFmtId="0" fontId="58" fillId="0" borderId="18" xfId="0" applyFont="1" applyBorder="1" applyAlignment="1">
      <alignment vertical="center" wrapText="1"/>
    </xf>
    <xf numFmtId="0" fontId="56" fillId="14" borderId="33" xfId="0" applyFont="1" applyFill="1" applyBorder="1" applyAlignment="1">
      <alignment horizontal="center" vertical="center"/>
    </xf>
    <xf numFmtId="0" fontId="56" fillId="14" borderId="35" xfId="0" applyFont="1" applyFill="1" applyBorder="1" applyAlignment="1">
      <alignment horizontal="center" vertical="center"/>
    </xf>
    <xf numFmtId="0" fontId="56" fillId="14" borderId="34" xfId="0" applyFont="1" applyFill="1" applyBorder="1" applyAlignment="1">
      <alignment horizontal="center" vertical="center"/>
    </xf>
    <xf numFmtId="0" fontId="58" fillId="0" borderId="64" xfId="0" applyFont="1" applyBorder="1" applyAlignment="1">
      <alignment horizontal="left" vertical="center" wrapText="1"/>
    </xf>
    <xf numFmtId="0" fontId="58" fillId="0" borderId="35" xfId="0" applyFont="1" applyBorder="1" applyAlignment="1">
      <alignment horizontal="left" vertical="center" wrapText="1"/>
    </xf>
    <xf numFmtId="0" fontId="58" fillId="0" borderId="68" xfId="0" applyFont="1" applyBorder="1" applyAlignment="1">
      <alignment horizontal="left" vertical="center" wrapText="1"/>
    </xf>
    <xf numFmtId="0" fontId="61" fillId="10" borderId="27" xfId="0" applyFont="1" applyFill="1" applyBorder="1" applyAlignment="1">
      <alignment horizontal="center" vertical="center"/>
    </xf>
    <xf numFmtId="0" fontId="61" fillId="10" borderId="28" xfId="0" applyFont="1" applyFill="1" applyBorder="1" applyAlignment="1">
      <alignment horizontal="center" vertical="center"/>
    </xf>
    <xf numFmtId="0" fontId="61" fillId="10" borderId="29" xfId="0" applyFont="1" applyFill="1" applyBorder="1" applyAlignment="1">
      <alignment horizontal="center" vertical="center"/>
    </xf>
    <xf numFmtId="0" fontId="58" fillId="0" borderId="19" xfId="0" applyFont="1" applyBorder="1" applyAlignment="1">
      <alignment horizontal="left" vertical="center"/>
    </xf>
    <xf numFmtId="0" fontId="58" fillId="0" borderId="20" xfId="0" applyFont="1" applyBorder="1" applyAlignment="1">
      <alignment horizontal="left" vertical="center"/>
    </xf>
    <xf numFmtId="0" fontId="58" fillId="0" borderId="73" xfId="0" applyFont="1" applyBorder="1" applyAlignment="1">
      <alignment horizontal="left" vertical="center" wrapText="1"/>
    </xf>
    <xf numFmtId="0" fontId="58" fillId="0" borderId="74" xfId="0" applyFont="1" applyBorder="1" applyAlignment="1">
      <alignment horizontal="left" vertical="center" wrapText="1"/>
    </xf>
    <xf numFmtId="0" fontId="58" fillId="0" borderId="76" xfId="0" applyFont="1" applyBorder="1" applyAlignment="1">
      <alignment horizontal="left" vertical="center" wrapText="1"/>
    </xf>
    <xf numFmtId="0" fontId="56" fillId="14" borderId="6" xfId="0" applyFont="1" applyFill="1" applyBorder="1" applyAlignment="1">
      <alignment horizontal="center" vertical="center"/>
    </xf>
    <xf numFmtId="0" fontId="56" fillId="14" borderId="7" xfId="0" applyFont="1" applyFill="1" applyBorder="1" applyAlignment="1">
      <alignment horizontal="center" vertical="center"/>
    </xf>
    <xf numFmtId="0" fontId="56" fillId="14" borderId="8" xfId="0" applyFont="1" applyFill="1" applyBorder="1" applyAlignment="1">
      <alignment horizontal="center" vertical="center"/>
    </xf>
    <xf numFmtId="0" fontId="10" fillId="10" borderId="27" xfId="0" applyFont="1" applyFill="1" applyBorder="1" applyAlignment="1">
      <alignment horizontal="center" vertical="center"/>
    </xf>
    <xf numFmtId="0" fontId="10" fillId="10" borderId="28" xfId="0" applyFont="1" applyFill="1" applyBorder="1" applyAlignment="1">
      <alignment horizontal="center" vertical="center"/>
    </xf>
    <xf numFmtId="0" fontId="10" fillId="10" borderId="29" xfId="0" applyFont="1" applyFill="1" applyBorder="1" applyAlignment="1">
      <alignment horizontal="center" vertical="center"/>
    </xf>
    <xf numFmtId="0" fontId="63" fillId="2" borderId="16" xfId="0" applyFont="1" applyFill="1" applyBorder="1" applyAlignment="1">
      <alignment horizontal="left" vertical="center"/>
    </xf>
    <xf numFmtId="0" fontId="63" fillId="2" borderId="17" xfId="0" applyFont="1" applyFill="1" applyBorder="1" applyAlignment="1">
      <alignment horizontal="left" vertical="center"/>
    </xf>
    <xf numFmtId="0" fontId="63" fillId="2" borderId="17" xfId="0" applyFont="1" applyFill="1" applyBorder="1" applyAlignment="1">
      <alignment vertical="center" wrapText="1"/>
    </xf>
    <xf numFmtId="0" fontId="63" fillId="2" borderId="18" xfId="0" applyFont="1" applyFill="1" applyBorder="1" applyAlignment="1">
      <alignment vertical="center" wrapText="1"/>
    </xf>
    <xf numFmtId="0" fontId="63" fillId="2" borderId="19" xfId="0" applyFont="1" applyFill="1" applyBorder="1" applyAlignment="1">
      <alignment horizontal="left" vertical="center"/>
    </xf>
    <xf numFmtId="0" fontId="63" fillId="2" borderId="20" xfId="0" applyFont="1" applyFill="1" applyBorder="1" applyAlignment="1">
      <alignment horizontal="left" vertical="center"/>
    </xf>
    <xf numFmtId="0" fontId="63" fillId="2" borderId="73" xfId="0" applyFont="1" applyFill="1" applyBorder="1" applyAlignment="1">
      <alignment horizontal="left" vertical="center" wrapText="1"/>
    </xf>
    <xf numFmtId="0" fontId="63" fillId="2" borderId="74" xfId="0" applyFont="1" applyFill="1" applyBorder="1" applyAlignment="1">
      <alignment horizontal="left" vertical="center" wrapText="1"/>
    </xf>
    <xf numFmtId="0" fontId="63" fillId="2" borderId="75" xfId="0" applyFont="1" applyFill="1" applyBorder="1" applyAlignment="1">
      <alignment horizontal="left" vertical="center" wrapText="1"/>
    </xf>
    <xf numFmtId="0" fontId="63" fillId="2" borderId="70" xfId="0" applyFont="1" applyFill="1" applyBorder="1" applyAlignment="1">
      <alignment horizontal="center" vertical="center"/>
    </xf>
    <xf numFmtId="0" fontId="63" fillId="2" borderId="71" xfId="0" applyFont="1" applyFill="1" applyBorder="1" applyAlignment="1">
      <alignment horizontal="center" vertical="center"/>
    </xf>
    <xf numFmtId="0" fontId="63" fillId="2" borderId="72" xfId="0" applyFont="1" applyFill="1" applyBorder="1" applyAlignment="1">
      <alignment horizontal="center" vertical="center"/>
    </xf>
    <xf numFmtId="0" fontId="64" fillId="2" borderId="16" xfId="0" applyFont="1" applyFill="1" applyBorder="1" applyAlignment="1">
      <alignment horizontal="left"/>
    </xf>
    <xf numFmtId="0" fontId="64" fillId="2" borderId="17" xfId="0" applyFont="1" applyFill="1" applyBorder="1" applyAlignment="1">
      <alignment horizontal="left"/>
    </xf>
    <xf numFmtId="0" fontId="64" fillId="2" borderId="64" xfId="0" applyFont="1" applyFill="1" applyBorder="1" applyAlignment="1">
      <alignment horizontal="left" vertical="center"/>
    </xf>
    <xf numFmtId="0" fontId="64" fillId="2" borderId="35" xfId="0" applyFont="1" applyFill="1" applyBorder="1" applyAlignment="1">
      <alignment horizontal="left" vertical="center"/>
    </xf>
    <xf numFmtId="0" fontId="64" fillId="2" borderId="34" xfId="0" applyFont="1" applyFill="1" applyBorder="1" applyAlignment="1">
      <alignment horizontal="left" vertical="center"/>
    </xf>
    <xf numFmtId="0" fontId="64" fillId="2" borderId="17" xfId="0" applyFont="1" applyFill="1" applyBorder="1" applyAlignment="1">
      <alignment horizontal="left" vertical="center"/>
    </xf>
    <xf numFmtId="0" fontId="64" fillId="2" borderId="18" xfId="0" applyFont="1" applyFill="1" applyBorder="1" applyAlignment="1">
      <alignment horizontal="left" vertical="center"/>
    </xf>
    <xf numFmtId="0" fontId="64" fillId="2" borderId="37" xfId="0" applyFont="1" applyFill="1" applyBorder="1" applyAlignment="1">
      <alignment horizontal="left" vertical="center"/>
    </xf>
    <xf numFmtId="0" fontId="64" fillId="2" borderId="64" xfId="0" applyFont="1" applyFill="1" applyBorder="1" applyAlignment="1">
      <alignment horizontal="left"/>
    </xf>
    <xf numFmtId="0" fontId="64" fillId="2" borderId="64" xfId="0" applyFont="1" applyFill="1" applyBorder="1"/>
    <xf numFmtId="0" fontId="64" fillId="2" borderId="35" xfId="0" applyFont="1" applyFill="1" applyBorder="1" applyAlignment="1">
      <alignment horizontal="left"/>
    </xf>
    <xf numFmtId="0" fontId="64" fillId="2" borderId="34" xfId="0" applyFont="1" applyFill="1" applyBorder="1" applyAlignment="1">
      <alignment horizontal="left"/>
    </xf>
    <xf numFmtId="0" fontId="64" fillId="2" borderId="48" xfId="0" applyFont="1" applyFill="1" applyBorder="1" applyAlignment="1">
      <alignment horizontal="left"/>
    </xf>
    <xf numFmtId="0" fontId="64" fillId="2" borderId="69" xfId="0" applyFont="1" applyFill="1" applyBorder="1" applyAlignment="1">
      <alignment horizontal="left"/>
    </xf>
    <xf numFmtId="0" fontId="64" fillId="2" borderId="61" xfId="0" applyFont="1" applyFill="1" applyBorder="1" applyAlignment="1">
      <alignment horizontal="left"/>
    </xf>
    <xf numFmtId="0" fontId="58" fillId="2" borderId="1" xfId="0" applyFont="1" applyFill="1" applyBorder="1" applyAlignment="1">
      <alignment horizontal="center" vertical="center"/>
    </xf>
    <xf numFmtId="0" fontId="58" fillId="2" borderId="2" xfId="0" applyFont="1" applyFill="1" applyBorder="1" applyAlignment="1">
      <alignment horizontal="center" vertical="center"/>
    </xf>
    <xf numFmtId="0" fontId="58" fillId="2" borderId="3" xfId="0" applyFont="1" applyFill="1" applyBorder="1" applyAlignment="1">
      <alignment horizontal="center" vertical="center"/>
    </xf>
    <xf numFmtId="0" fontId="0" fillId="2" borderId="4" xfId="0" applyFill="1" applyBorder="1" applyAlignment="1">
      <alignment horizontal="left" vertical="center" wrapText="1"/>
    </xf>
    <xf numFmtId="0" fontId="0" fillId="2" borderId="0" xfId="0" applyFill="1" applyAlignment="1">
      <alignment horizontal="left" vertical="center" wrapText="1"/>
    </xf>
    <xf numFmtId="0" fontId="0" fillId="2" borderId="5" xfId="0" applyFill="1" applyBorder="1" applyAlignment="1">
      <alignment horizontal="left" vertical="center" wrapText="1"/>
    </xf>
    <xf numFmtId="0" fontId="0" fillId="2" borderId="4" xfId="0" applyFill="1" applyBorder="1" applyAlignment="1">
      <alignment horizontal="left" vertical="center"/>
    </xf>
    <xf numFmtId="0" fontId="0" fillId="2" borderId="0" xfId="0" applyFill="1" applyAlignment="1">
      <alignment horizontal="left" vertical="center"/>
    </xf>
    <xf numFmtId="0" fontId="0" fillId="2" borderId="5" xfId="0" applyFill="1" applyBorder="1" applyAlignment="1">
      <alignment horizontal="left" vertical="center"/>
    </xf>
    <xf numFmtId="0" fontId="0" fillId="2" borderId="4" xfId="0" applyFill="1" applyBorder="1" applyAlignment="1">
      <alignment horizontal="left"/>
    </xf>
    <xf numFmtId="0" fontId="0" fillId="2" borderId="0" xfId="0" applyFill="1" applyAlignment="1">
      <alignment horizontal="left"/>
    </xf>
    <xf numFmtId="0" fontId="0" fillId="2" borderId="5" xfId="0" applyFill="1" applyBorder="1" applyAlignment="1">
      <alignment horizontal="left"/>
    </xf>
    <xf numFmtId="0" fontId="0" fillId="2" borderId="0" xfId="0" applyFill="1" applyAlignment="1">
      <alignment horizontal="center" vertical="center"/>
    </xf>
    <xf numFmtId="0" fontId="0" fillId="2" borderId="6" xfId="0" applyFill="1" applyBorder="1" applyAlignment="1">
      <alignment horizontal="left" vertical="center"/>
    </xf>
    <xf numFmtId="0" fontId="0" fillId="2" borderId="7" xfId="0" applyFill="1" applyBorder="1" applyAlignment="1">
      <alignment horizontal="left" vertical="center"/>
    </xf>
    <xf numFmtId="0" fontId="0" fillId="2" borderId="7" xfId="0" applyFill="1" applyBorder="1" applyAlignment="1">
      <alignment horizontal="left"/>
    </xf>
    <xf numFmtId="0" fontId="0" fillId="2" borderId="8" xfId="0" applyFill="1" applyBorder="1" applyAlignment="1">
      <alignment horizontal="left"/>
    </xf>
    <xf numFmtId="0" fontId="65" fillId="10" borderId="27" xfId="0" applyFont="1" applyFill="1" applyBorder="1" applyAlignment="1">
      <alignment horizontal="center" vertical="center"/>
    </xf>
    <xf numFmtId="0" fontId="65" fillId="10" borderId="28" xfId="0" applyFont="1" applyFill="1" applyBorder="1" applyAlignment="1">
      <alignment horizontal="center" vertical="center"/>
    </xf>
    <xf numFmtId="0" fontId="65" fillId="10" borderId="29" xfId="0" applyFont="1" applyFill="1" applyBorder="1" applyAlignment="1">
      <alignment horizontal="center" vertical="center"/>
    </xf>
    <xf numFmtId="0" fontId="58" fillId="2" borderId="16" xfId="0" applyFont="1" applyFill="1" applyBorder="1" applyAlignment="1">
      <alignment horizontal="left" vertical="center"/>
    </xf>
    <xf numFmtId="0" fontId="58" fillId="2" borderId="17" xfId="0" applyFont="1" applyFill="1" applyBorder="1" applyAlignment="1">
      <alignment horizontal="left" vertical="center"/>
    </xf>
    <xf numFmtId="0" fontId="58" fillId="2" borderId="17" xfId="0" applyFont="1" applyFill="1" applyBorder="1" applyAlignment="1">
      <alignment vertical="center" wrapText="1"/>
    </xf>
    <xf numFmtId="0" fontId="58" fillId="2" borderId="18" xfId="0" applyFont="1" applyFill="1" applyBorder="1" applyAlignment="1">
      <alignment vertical="center" wrapText="1"/>
    </xf>
    <xf numFmtId="0" fontId="58" fillId="2" borderId="19" xfId="0" applyFont="1" applyFill="1" applyBorder="1" applyAlignment="1">
      <alignment horizontal="left" vertical="center"/>
    </xf>
    <xf numFmtId="0" fontId="58" fillId="2" borderId="20" xfId="0" applyFont="1" applyFill="1" applyBorder="1" applyAlignment="1">
      <alignment horizontal="left" vertical="center"/>
    </xf>
    <xf numFmtId="0" fontId="58" fillId="2" borderId="73" xfId="0" applyFont="1" applyFill="1" applyBorder="1" applyAlignment="1">
      <alignment horizontal="left" vertical="center" wrapText="1"/>
    </xf>
    <xf numFmtId="0" fontId="58" fillId="2" borderId="74" xfId="0" applyFont="1" applyFill="1" applyBorder="1" applyAlignment="1">
      <alignment horizontal="left" vertical="center" wrapText="1"/>
    </xf>
    <xf numFmtId="0" fontId="58" fillId="2" borderId="75" xfId="0" applyFont="1" applyFill="1" applyBorder="1" applyAlignment="1">
      <alignment horizontal="left" vertical="center" wrapText="1"/>
    </xf>
    <xf numFmtId="0" fontId="58" fillId="2" borderId="70" xfId="0" applyFont="1" applyFill="1" applyBorder="1" applyAlignment="1">
      <alignment horizontal="center" vertical="center"/>
    </xf>
    <xf numFmtId="0" fontId="58" fillId="2" borderId="71" xfId="0" applyFont="1" applyFill="1" applyBorder="1" applyAlignment="1">
      <alignment horizontal="center" vertical="center"/>
    </xf>
    <xf numFmtId="0" fontId="58" fillId="2" borderId="72" xfId="0" applyFont="1" applyFill="1" applyBorder="1" applyAlignment="1">
      <alignment horizontal="center" vertical="center"/>
    </xf>
    <xf numFmtId="0" fontId="0" fillId="2" borderId="57" xfId="0" applyFill="1" applyBorder="1" applyAlignment="1">
      <alignment horizontal="left" vertical="center"/>
    </xf>
    <xf numFmtId="0" fontId="0" fillId="2" borderId="58" xfId="0" applyFill="1" applyBorder="1" applyAlignment="1">
      <alignment horizontal="left" vertical="center"/>
    </xf>
    <xf numFmtId="0" fontId="0" fillId="2" borderId="58" xfId="0" applyFill="1" applyBorder="1" applyAlignment="1">
      <alignment horizontal="left"/>
    </xf>
    <xf numFmtId="0" fontId="0" fillId="2" borderId="63" xfId="0" applyFill="1" applyBorder="1" applyAlignment="1">
      <alignment horizontal="left"/>
    </xf>
    <xf numFmtId="0" fontId="0" fillId="2" borderId="60" xfId="0" applyFill="1" applyBorder="1" applyAlignment="1">
      <alignment horizontal="left"/>
    </xf>
    <xf numFmtId="0" fontId="0" fillId="2" borderId="69" xfId="0" applyFill="1" applyBorder="1" applyAlignment="1">
      <alignment horizontal="left"/>
    </xf>
    <xf numFmtId="0" fontId="0" fillId="2" borderId="61" xfId="0" applyFill="1" applyBorder="1" applyAlignment="1">
      <alignment horizontal="left"/>
    </xf>
    <xf numFmtId="0" fontId="58" fillId="2" borderId="33" xfId="0" applyFont="1" applyFill="1" applyBorder="1" applyAlignment="1">
      <alignment horizontal="center" vertical="center"/>
    </xf>
    <xf numFmtId="0" fontId="58" fillId="2" borderId="35" xfId="0" applyFont="1" applyFill="1" applyBorder="1" applyAlignment="1">
      <alignment horizontal="center" vertical="center"/>
    </xf>
    <xf numFmtId="0" fontId="58" fillId="2" borderId="34" xfId="0" applyFont="1" applyFill="1" applyBorder="1" applyAlignment="1">
      <alignment horizontal="center" vertical="center"/>
    </xf>
    <xf numFmtId="0" fontId="0" fillId="2" borderId="57" xfId="0" applyFill="1" applyBorder="1" applyAlignment="1">
      <alignment horizontal="left"/>
    </xf>
    <xf numFmtId="0" fontId="58" fillId="2" borderId="57" xfId="0" applyFont="1" applyFill="1" applyBorder="1" applyAlignment="1">
      <alignment horizontal="center" vertical="center"/>
    </xf>
    <xf numFmtId="0" fontId="58" fillId="2" borderId="58" xfId="0" applyFont="1" applyFill="1" applyBorder="1" applyAlignment="1">
      <alignment horizontal="center" vertical="center"/>
    </xf>
    <xf numFmtId="0" fontId="0" fillId="0" borderId="1" xfId="0" applyBorder="1" applyAlignment="1">
      <alignment horizontal="center"/>
    </xf>
    <xf numFmtId="0" fontId="0" fillId="0" borderId="2" xfId="0" applyBorder="1" applyAlignment="1">
      <alignment horizontal="center"/>
    </xf>
    <xf numFmtId="0" fontId="67" fillId="0" borderId="28" xfId="0" applyFont="1" applyBorder="1" applyAlignment="1">
      <alignment horizontal="left" vertical="center"/>
    </xf>
    <xf numFmtId="0" fontId="67" fillId="0" borderId="29" xfId="0" applyFont="1" applyBorder="1" applyAlignment="1">
      <alignment horizontal="left" vertical="center"/>
    </xf>
    <xf numFmtId="0" fontId="0" fillId="0" borderId="4" xfId="0" applyBorder="1" applyAlignment="1">
      <alignment horizontal="center"/>
    </xf>
    <xf numFmtId="0" fontId="0" fillId="0" borderId="0" xfId="0" applyAlignment="1">
      <alignment horizontal="center"/>
    </xf>
    <xf numFmtId="0" fontId="68" fillId="0" borderId="77" xfId="0" applyFont="1" applyBorder="1" applyAlignment="1">
      <alignment horizontal="center" vertical="center"/>
    </xf>
    <xf numFmtId="0" fontId="68" fillId="0" borderId="0" xfId="0" applyFont="1" applyAlignment="1">
      <alignment horizontal="center" vertical="center"/>
    </xf>
    <xf numFmtId="0" fontId="68" fillId="0" borderId="78" xfId="0" applyFont="1" applyBorder="1" applyAlignment="1">
      <alignment horizontal="center" vertical="center"/>
    </xf>
    <xf numFmtId="0" fontId="0" fillId="0" borderId="60" xfId="0" applyBorder="1" applyAlignment="1">
      <alignment horizontal="center"/>
    </xf>
    <xf numFmtId="0" fontId="0" fillId="0" borderId="69" xfId="0" applyBorder="1" applyAlignment="1">
      <alignment horizontal="center"/>
    </xf>
    <xf numFmtId="0" fontId="68" fillId="0" borderId="48" xfId="0" applyFont="1" applyBorder="1" applyAlignment="1">
      <alignment horizontal="center" vertical="center"/>
    </xf>
    <xf numFmtId="0" fontId="68" fillId="0" borderId="69" xfId="0" applyFont="1" applyBorder="1" applyAlignment="1">
      <alignment horizontal="center" vertical="center"/>
    </xf>
    <xf numFmtId="0" fontId="68" fillId="0" borderId="79" xfId="0" applyFont="1" applyBorder="1" applyAlignment="1">
      <alignment horizontal="center" vertical="center"/>
    </xf>
    <xf numFmtId="0" fontId="68" fillId="0" borderId="64" xfId="0" applyFont="1" applyBorder="1" applyAlignment="1">
      <alignment horizontal="center"/>
    </xf>
    <xf numFmtId="0" fontId="68" fillId="0" borderId="68" xfId="0" applyFont="1" applyBorder="1" applyAlignment="1">
      <alignment horizontal="center"/>
    </xf>
    <xf numFmtId="0" fontId="68" fillId="0" borderId="35" xfId="0" applyFont="1" applyBorder="1" applyAlignment="1">
      <alignment horizontal="center"/>
    </xf>
    <xf numFmtId="0" fontId="68" fillId="0" borderId="64" xfId="0" applyFont="1" applyBorder="1" applyAlignment="1">
      <alignment horizontal="left"/>
    </xf>
    <xf numFmtId="0" fontId="68" fillId="0" borderId="35" xfId="0" applyFont="1" applyBorder="1" applyAlignment="1">
      <alignment horizontal="left"/>
    </xf>
    <xf numFmtId="0" fontId="68" fillId="0" borderId="68" xfId="0" applyFont="1" applyBorder="1" applyAlignment="1">
      <alignment horizontal="left"/>
    </xf>
    <xf numFmtId="0" fontId="68" fillId="0" borderId="41" xfId="0" applyFont="1" applyBorder="1" applyAlignment="1">
      <alignment horizontal="center" vertical="center" textRotation="90"/>
    </xf>
    <xf numFmtId="0" fontId="68" fillId="0" borderId="37" xfId="0" applyFont="1" applyBorder="1" applyAlignment="1">
      <alignment horizontal="center" vertical="center"/>
    </xf>
    <xf numFmtId="0" fontId="68" fillId="0" borderId="37" xfId="0" applyFont="1" applyBorder="1" applyAlignment="1">
      <alignment horizontal="center" vertical="center" textRotation="90" wrapText="1"/>
    </xf>
    <xf numFmtId="0" fontId="68" fillId="0" borderId="37" xfId="0" applyFont="1" applyBorder="1" applyAlignment="1">
      <alignment horizontal="center" vertical="center" wrapText="1"/>
    </xf>
    <xf numFmtId="0" fontId="68" fillId="0" borderId="64" xfId="0" applyFont="1" applyBorder="1" applyAlignment="1">
      <alignment horizontal="center" vertical="center"/>
    </xf>
    <xf numFmtId="0" fontId="68" fillId="0" borderId="35" xfId="0" applyFont="1" applyBorder="1" applyAlignment="1">
      <alignment horizontal="center" vertical="center"/>
    </xf>
    <xf numFmtId="0" fontId="68" fillId="0" borderId="68" xfId="0" applyFont="1" applyBorder="1" applyAlignment="1">
      <alignment horizontal="center" vertical="center"/>
    </xf>
    <xf numFmtId="0" fontId="68" fillId="0" borderId="64" xfId="0" applyFont="1" applyBorder="1" applyAlignment="1">
      <alignment horizontal="center" vertical="center" wrapText="1"/>
    </xf>
    <xf numFmtId="0" fontId="68" fillId="0" borderId="35" xfId="0" applyFont="1" applyBorder="1" applyAlignment="1">
      <alignment horizontal="center" vertical="center" wrapText="1"/>
    </xf>
    <xf numFmtId="0" fontId="68" fillId="0" borderId="68" xfId="0" applyFont="1" applyBorder="1" applyAlignment="1">
      <alignment horizontal="center" vertical="center" wrapText="1"/>
    </xf>
    <xf numFmtId="0" fontId="68" fillId="0" borderId="42" xfId="0" applyFont="1" applyBorder="1" applyAlignment="1">
      <alignment horizontal="center" vertical="center"/>
    </xf>
    <xf numFmtId="0" fontId="68" fillId="0" borderId="12" xfId="0" applyFont="1" applyBorder="1" applyAlignment="1">
      <alignment horizontal="center" vertical="center" textRotation="90"/>
    </xf>
    <xf numFmtId="0" fontId="68" fillId="0" borderId="13" xfId="0" applyFont="1" applyBorder="1" applyAlignment="1">
      <alignment horizontal="center" vertical="center"/>
    </xf>
    <xf numFmtId="0" fontId="68" fillId="0" borderId="13" xfId="0" applyFont="1" applyBorder="1" applyAlignment="1">
      <alignment horizontal="center" vertical="center" textRotation="90" wrapText="1"/>
    </xf>
    <xf numFmtId="0" fontId="68" fillId="0" borderId="13" xfId="0" applyFont="1" applyBorder="1" applyAlignment="1">
      <alignment horizontal="center" vertical="center" wrapText="1"/>
    </xf>
    <xf numFmtId="0" fontId="68" fillId="0" borderId="15" xfId="0" applyFont="1" applyBorder="1" applyAlignment="1">
      <alignment horizontal="center" vertical="center"/>
    </xf>
    <xf numFmtId="0" fontId="0" fillId="0" borderId="41" xfId="0" applyBorder="1" applyAlignment="1">
      <alignment horizontal="center" vertical="center"/>
    </xf>
    <xf numFmtId="0" fontId="0" fillId="0" borderId="37" xfId="0" applyBorder="1" applyAlignment="1">
      <alignment horizontal="left" vertical="center" wrapText="1"/>
    </xf>
    <xf numFmtId="0" fontId="0" fillId="0" borderId="12" xfId="0" applyBorder="1" applyAlignment="1">
      <alignment horizontal="center" vertical="center"/>
    </xf>
    <xf numFmtId="0" fontId="0" fillId="0" borderId="13" xfId="0" applyBorder="1" applyAlignment="1">
      <alignment horizontal="left" vertical="center" wrapText="1"/>
    </xf>
    <xf numFmtId="0" fontId="0" fillId="0" borderId="80" xfId="0" applyBorder="1" applyAlignment="1">
      <alignment horizontal="center" vertical="center"/>
    </xf>
    <xf numFmtId="0" fontId="0" fillId="0" borderId="14" xfId="0" applyBorder="1" applyAlignment="1">
      <alignment horizontal="left" vertical="center" wrapText="1"/>
    </xf>
    <xf numFmtId="0" fontId="0" fillId="0" borderId="37" xfId="0" applyBorder="1" applyAlignment="1">
      <alignment horizontal="left" vertical="center"/>
    </xf>
    <xf numFmtId="0" fontId="0" fillId="0" borderId="13" xfId="0" applyBorder="1" applyAlignment="1">
      <alignment horizontal="left" vertical="center"/>
    </xf>
    <xf numFmtId="0" fontId="0" fillId="0" borderId="16" xfId="0" applyBorder="1" applyAlignment="1">
      <alignment horizontal="center" vertical="center"/>
    </xf>
    <xf numFmtId="0" fontId="0" fillId="0" borderId="59" xfId="0" applyBorder="1" applyAlignment="1">
      <alignment horizontal="left" vertical="center" wrapText="1"/>
    </xf>
    <xf numFmtId="0" fontId="0" fillId="0" borderId="78" xfId="0" applyBorder="1" applyAlignment="1">
      <alignment horizontal="left" vertical="center" wrapText="1"/>
    </xf>
    <xf numFmtId="0" fontId="0" fillId="0" borderId="19" xfId="0" applyBorder="1" applyAlignment="1">
      <alignment horizontal="center" vertical="center"/>
    </xf>
    <xf numFmtId="0" fontId="0" fillId="0" borderId="81" xfId="0" applyBorder="1" applyAlignment="1">
      <alignment horizontal="left" vertical="center" wrapText="1"/>
    </xf>
  </cellXfs>
  <cellStyles count="7">
    <cellStyle name="Currency" xfId="1" builtinId="4"/>
    <cellStyle name="Normal" xfId="0" builtinId="0"/>
    <cellStyle name="Normal 2" xfId="4" xr:uid="{FC504984-2392-4057-BD86-2EF5E2A857B4}"/>
    <cellStyle name="Normal 2 2" xfId="5" xr:uid="{A1597F62-476D-44AC-8A88-02E0047AC346}"/>
    <cellStyle name="Normal 2 5" xfId="6" xr:uid="{FBD706C2-A5D0-4866-A977-6D2B61420846}"/>
    <cellStyle name="Normal 4" xfId="3" xr:uid="{6DA942B2-F75E-404F-A9BC-3EF37AAE5448}"/>
    <cellStyle name="Percent" xfId="2" builtinId="5"/>
  </cellStyles>
  <dxfs count="81">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ont>
        <b val="0"/>
        <i val="0"/>
        <strike val="0"/>
        <condense val="0"/>
        <extend val="0"/>
        <outline val="0"/>
        <shadow val="0"/>
        <u val="none"/>
        <vertAlign val="baseline"/>
        <sz val="24"/>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72" formatCode="mm/dd/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30" formatCode="@"/>
      <alignment horizontal="center" vertical="center" textRotation="9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73" formatCode="&quot;$&quot;#,##0.0"/>
      <fill>
        <patternFill patternType="none">
          <fgColor indexed="64"/>
          <bgColor indexed="65"/>
        </patternFill>
      </fill>
      <alignment horizontal="center" vertical="center" textRotation="9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theme="1"/>
        <name val="Arial"/>
        <family val="2"/>
        <scheme val="none"/>
      </font>
      <numFmt numFmtId="173" formatCode="&quot;$&quot;#,##0.0"/>
      <fill>
        <patternFill patternType="none">
          <fgColor indexed="64"/>
          <bgColor indexed="65"/>
        </patternFill>
      </fill>
      <alignment horizontal="center" vertical="center" textRotation="9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theme="1"/>
        <name val="Arial"/>
        <family val="2"/>
        <scheme val="none"/>
      </font>
      <numFmt numFmtId="30" formatCode="@"/>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30" formatCode="@"/>
      <alignment horizontal="center" vertical="center" textRotation="9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protection locked="1" hidden="0"/>
    </dxf>
    <dxf>
      <font>
        <b val="0"/>
        <i val="0"/>
        <strike val="0"/>
        <condense val="0"/>
        <extend val="0"/>
        <outline val="0"/>
        <shadow val="0"/>
        <u val="none"/>
        <vertAlign val="baseline"/>
        <sz val="10"/>
        <color theme="1"/>
        <name val="Arial"/>
        <family val="2"/>
        <scheme val="none"/>
      </font>
      <numFmt numFmtId="0" formatCode="General"/>
      <fill>
        <patternFill patternType="none">
          <fgColor indexed="64"/>
          <bgColor indexed="65"/>
        </patternFill>
      </fill>
      <alignment horizontal="center" vertical="center" textRotation="9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theme="1"/>
        <name val="Arial"/>
        <family val="2"/>
        <scheme val="none"/>
      </font>
      <numFmt numFmtId="0" formatCode="General"/>
      <fill>
        <patternFill patternType="none">
          <fgColor indexed="64"/>
          <bgColor indexed="65"/>
        </patternFill>
      </fill>
      <alignment horizontal="center" vertical="center" textRotation="90" wrapText="1" indent="0" justifyLastLine="0" shrinkToFit="0" readingOrder="0"/>
      <border diagonalUp="0" diagonalDown="0">
        <left style="thin">
          <color indexed="64"/>
        </left>
        <right/>
        <top style="thin">
          <color indexed="64"/>
        </top>
        <bottom style="thin">
          <color indexed="64"/>
        </bottom>
        <vertical/>
        <horizontal/>
      </border>
      <protection locked="1" hidden="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30" formatCode="@"/>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30" formatCode="@"/>
      <alignment horizontal="center" vertical="center" textRotation="9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30" formatCode="@"/>
      <alignment horizontal="center" vertical="center" textRotation="9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medium">
          <color indexed="64"/>
        </top>
        <bottom style="thin">
          <color indexed="64"/>
        </bottom>
      </border>
    </dxf>
    <dxf>
      <font>
        <strike val="0"/>
        <outline val="0"/>
        <shadow val="0"/>
        <u val="none"/>
        <vertAlign val="baseline"/>
        <sz val="12"/>
        <color theme="1" tint="4.9989318521683403E-2"/>
        <name val="Arial"/>
        <family val="2"/>
        <scheme val="none"/>
      </font>
      <fill>
        <patternFill patternType="solid">
          <fgColor indexed="64"/>
          <bgColor theme="0" tint="-0.14999847407452621"/>
        </patternFill>
      </fill>
    </dxf>
    <dxf>
      <fill>
        <patternFill>
          <bgColor rgb="FFFFC000"/>
        </patternFill>
      </fill>
    </dxf>
    <dxf>
      <fill>
        <patternFill>
          <bgColor theme="3" tint="0.749961851863155"/>
        </patternFill>
      </fill>
    </dxf>
    <dxf>
      <fill>
        <patternFill>
          <bgColor theme="9"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theme="1"/>
      </font>
      <fill>
        <patternFill>
          <bgColor rgb="FFFF0000"/>
        </patternFill>
      </fill>
    </dxf>
    <dxf>
      <font>
        <color theme="1"/>
      </font>
      <fill>
        <patternFill>
          <bgColor theme="7" tint="0.39994506668294322"/>
        </patternFill>
      </fill>
    </dxf>
    <dxf>
      <font>
        <color theme="1"/>
      </font>
      <fill>
        <patternFill>
          <bgColor rgb="FF92D050"/>
        </patternFill>
      </fill>
    </dxf>
    <dxf>
      <font>
        <color theme="1"/>
      </font>
      <fill>
        <patternFill>
          <bgColor rgb="FFFF0000"/>
        </patternFill>
      </fill>
    </dxf>
    <dxf>
      <font>
        <color theme="1"/>
      </font>
      <fill>
        <patternFill>
          <bgColor theme="7" tint="0.39994506668294322"/>
        </patternFill>
      </fill>
    </dxf>
    <dxf>
      <font>
        <color theme="1"/>
      </font>
      <fill>
        <patternFill>
          <bgColor rgb="FF92D050"/>
        </patternFill>
      </fill>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 formatCode="0"/>
      <alignment horizontal="general" vertical="center" textRotation="0" wrapText="1" indent="0" justifyLastLine="0" shrinkToFit="0" readingOrder="0"/>
    </dxf>
    <dxf>
      <numFmt numFmtId="1" formatCode="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0" formatCode="dd/mmm/yy"/>
      <alignment horizontal="general" vertical="center" textRotation="0" wrapText="1" indent="0" justifyLastLine="0" shrinkToFit="0" readingOrder="0"/>
    </dxf>
    <dxf>
      <numFmt numFmtId="20" formatCode="dd/mmm/yy"/>
      <alignment horizontal="general" vertical="center" textRotation="0" wrapText="1" indent="0" justifyLastLine="0" shrinkToFit="0" readingOrder="0"/>
    </dxf>
    <dxf>
      <numFmt numFmtId="1" formatCode="0"/>
      <alignment horizontal="general" vertical="center" textRotation="0" wrapText="1" indent="0" justifyLastLine="0" shrinkToFit="0" readingOrder="0"/>
    </dxf>
    <dxf>
      <numFmt numFmtId="1" formatCode="0"/>
      <alignment horizontal="general" vertical="center" textRotation="0" wrapText="1" indent="0" justifyLastLine="0" shrinkToFit="0" readingOrder="0"/>
    </dxf>
    <dxf>
      <numFmt numFmtId="20" formatCode="dd/mmm/yy"/>
      <alignment horizontal="general" vertical="center" textRotation="0" wrapText="1" indent="0" justifyLastLine="0" shrinkToFit="0" readingOrder="0"/>
    </dxf>
    <dxf>
      <numFmt numFmtId="20" formatCode="dd/mmm/yy"/>
      <alignment horizontal="general" vertical="center" textRotation="0" wrapText="1" indent="0" justifyLastLine="0" shrinkToFit="0" readingOrder="0"/>
    </dxf>
    <dxf>
      <numFmt numFmtId="20" formatCode="dd/mmm/yy"/>
      <alignment horizontal="general" vertical="center" textRotation="0" wrapText="1" indent="0" justifyLastLine="0" shrinkToFit="0" readingOrder="0"/>
    </dxf>
    <dxf>
      <numFmt numFmtId="20" formatCode="dd/mmm/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i="0" u="none" strike="noStrike" kern="1200" spc="0" baseline="0">
                <a:solidFill>
                  <a:sysClr val="windowText" lastClr="000000">
                    <a:lumMod val="65000"/>
                    <a:lumOff val="35000"/>
                  </a:sysClr>
                </a:solidFill>
              </a:rPr>
              <a:t>COMPRESSIVE STRENGTH RESULTS OF M25 GRADE OF ONCRETE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'[1]Cube Test'!$B$3</c:f>
              <c:strCache>
                <c:ptCount val="1"/>
                <c:pt idx="0">
                  <c:v>Compressive strength at 7 days</c:v>
                </c:pt>
              </c:strCache>
            </c:strRef>
          </c:tx>
          <c:spPr>
            <a:ln w="28575" cap="sq">
              <a:solidFill>
                <a:schemeClr val="accent1"/>
              </a:solidFill>
              <a:round/>
            </a:ln>
            <a:effectLst/>
          </c:spPr>
          <c:marker>
            <c:symbol val="diamond"/>
            <c:size val="5"/>
            <c:spPr>
              <a:solidFill>
                <a:schemeClr val="accent1"/>
              </a:solidFill>
              <a:ln w="9525">
                <a:solidFill>
                  <a:schemeClr val="accent1"/>
                </a:solidFill>
              </a:ln>
              <a:effectLst/>
            </c:spPr>
          </c:marker>
          <c:cat>
            <c:numRef>
              <c:f>'[1]Cube Test'!$A$4:$A$9</c:f>
              <c:numCache>
                <c:formatCode>General</c:formatCode>
                <c:ptCount val="6"/>
                <c:pt idx="0">
                  <c:v>1</c:v>
                </c:pt>
                <c:pt idx="1">
                  <c:v>2</c:v>
                </c:pt>
                <c:pt idx="2">
                  <c:v>3</c:v>
                </c:pt>
                <c:pt idx="3">
                  <c:v>4</c:v>
                </c:pt>
                <c:pt idx="4">
                  <c:v>5</c:v>
                </c:pt>
                <c:pt idx="5">
                  <c:v>6</c:v>
                </c:pt>
              </c:numCache>
            </c:numRef>
          </c:cat>
          <c:val>
            <c:numRef>
              <c:f>'[1]Cube Test'!$B$4:$B$9</c:f>
              <c:numCache>
                <c:formatCode>General</c:formatCode>
                <c:ptCount val="6"/>
                <c:pt idx="0">
                  <c:v>19.07</c:v>
                </c:pt>
                <c:pt idx="1">
                  <c:v>23</c:v>
                </c:pt>
                <c:pt idx="2">
                  <c:v>22.24</c:v>
                </c:pt>
                <c:pt idx="3">
                  <c:v>18.03</c:v>
                </c:pt>
                <c:pt idx="4">
                  <c:v>18.239999999999998</c:v>
                </c:pt>
                <c:pt idx="5">
                  <c:v>19.16</c:v>
                </c:pt>
              </c:numCache>
            </c:numRef>
          </c:val>
          <c:smooth val="1"/>
          <c:extLst>
            <c:ext xmlns:c16="http://schemas.microsoft.com/office/drawing/2014/chart" uri="{C3380CC4-5D6E-409C-BE32-E72D297353CC}">
              <c16:uniqueId val="{00000000-4066-4861-B005-8CEA13A06698}"/>
            </c:ext>
          </c:extLst>
        </c:ser>
        <c:ser>
          <c:idx val="1"/>
          <c:order val="1"/>
          <c:tx>
            <c:strRef>
              <c:f>'[1]Cube Test'!$C$3</c:f>
              <c:strCache>
                <c:ptCount val="1"/>
                <c:pt idx="0">
                  <c:v>IS code lower limit</c:v>
                </c:pt>
              </c:strCache>
            </c:strRef>
          </c:tx>
          <c:spPr>
            <a:ln w="28575" cap="rnd">
              <a:solidFill>
                <a:schemeClr val="accent2"/>
              </a:solidFill>
              <a:round/>
            </a:ln>
            <a:effectLst/>
          </c:spPr>
          <c:marker>
            <c:symbol val="diamond"/>
            <c:size val="5"/>
            <c:spPr>
              <a:solidFill>
                <a:schemeClr val="accent2"/>
              </a:solidFill>
              <a:ln w="9525">
                <a:solidFill>
                  <a:schemeClr val="accent2"/>
                </a:solidFill>
              </a:ln>
              <a:effectLst/>
            </c:spPr>
          </c:marker>
          <c:cat>
            <c:numRef>
              <c:f>'[1]Cube Test'!$A$4:$A$9</c:f>
              <c:numCache>
                <c:formatCode>General</c:formatCode>
                <c:ptCount val="6"/>
                <c:pt idx="0">
                  <c:v>1</c:v>
                </c:pt>
                <c:pt idx="1">
                  <c:v>2</c:v>
                </c:pt>
                <c:pt idx="2">
                  <c:v>3</c:v>
                </c:pt>
                <c:pt idx="3">
                  <c:v>4</c:v>
                </c:pt>
                <c:pt idx="4">
                  <c:v>5</c:v>
                </c:pt>
                <c:pt idx="5">
                  <c:v>6</c:v>
                </c:pt>
              </c:numCache>
            </c:numRef>
          </c:cat>
          <c:val>
            <c:numRef>
              <c:f>'[1]Cube Test'!$C$4:$C$9</c:f>
              <c:numCache>
                <c:formatCode>General</c:formatCode>
                <c:ptCount val="6"/>
                <c:pt idx="0">
                  <c:v>17</c:v>
                </c:pt>
                <c:pt idx="1">
                  <c:v>17</c:v>
                </c:pt>
                <c:pt idx="2">
                  <c:v>17</c:v>
                </c:pt>
                <c:pt idx="3">
                  <c:v>17</c:v>
                </c:pt>
                <c:pt idx="4">
                  <c:v>17</c:v>
                </c:pt>
                <c:pt idx="5">
                  <c:v>17</c:v>
                </c:pt>
              </c:numCache>
            </c:numRef>
          </c:val>
          <c:smooth val="1"/>
          <c:extLst>
            <c:ext xmlns:c16="http://schemas.microsoft.com/office/drawing/2014/chart" uri="{C3380CC4-5D6E-409C-BE32-E72D297353CC}">
              <c16:uniqueId val="{00000001-4066-4861-B005-8CEA13A06698}"/>
            </c:ext>
          </c:extLst>
        </c:ser>
        <c:dLbls>
          <c:showLegendKey val="0"/>
          <c:showVal val="0"/>
          <c:showCatName val="0"/>
          <c:showSerName val="0"/>
          <c:showPercent val="0"/>
          <c:showBubbleSize val="0"/>
        </c:dLbls>
        <c:marker val="1"/>
        <c:smooth val="0"/>
        <c:axId val="749709112"/>
        <c:axId val="749708752"/>
      </c:lineChart>
      <c:catAx>
        <c:axId val="749709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708752"/>
        <c:crosses val="autoZero"/>
        <c:auto val="1"/>
        <c:lblAlgn val="ctr"/>
        <c:lblOffset val="100"/>
        <c:noMultiLvlLbl val="0"/>
      </c:catAx>
      <c:valAx>
        <c:axId val="74970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709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Calibri body"/>
                <a:ea typeface="+mj-ea"/>
                <a:cs typeface="+mj-cs"/>
              </a:defRPr>
            </a:pPr>
            <a:r>
              <a:rPr lang="en-IN" sz="1600" b="1"/>
              <a:t>Weekly Manpower Histogram</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Calibri body"/>
              <a:ea typeface="+mj-ea"/>
              <a:cs typeface="+mj-cs"/>
            </a:defRPr>
          </a:pPr>
          <a:endParaRPr lang="en-US"/>
        </a:p>
      </c:txPr>
    </c:title>
    <c:autoTitleDeleted val="0"/>
    <c:plotArea>
      <c:layout/>
      <c:barChart>
        <c:barDir val="col"/>
        <c:grouping val="clustered"/>
        <c:varyColors val="0"/>
        <c:ser>
          <c:idx val="0"/>
          <c:order val="0"/>
          <c:tx>
            <c:strRef>
              <c:f>'[3]Weekly Manpower'!$C$3</c:f>
              <c:strCache>
                <c:ptCount val="1"/>
                <c:pt idx="0">
                  <c:v>Required Manpower for week</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Calibri body"/>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'[2]Weekly Manpower'!$B$4:$B$14</c:f>
              <c:strCache>
                <c:ptCount val="11"/>
                <c:pt idx="0">
                  <c:v>Reinforcement work</c:v>
                </c:pt>
                <c:pt idx="1">
                  <c:v>Carpenter</c:v>
                </c:pt>
                <c:pt idx="2">
                  <c:v>Mason</c:v>
                </c:pt>
                <c:pt idx="3">
                  <c:v>Helper</c:v>
                </c:pt>
                <c:pt idx="4">
                  <c:v>Unskilled Worker</c:v>
                </c:pt>
                <c:pt idx="5">
                  <c:v>Drivers</c:v>
                </c:pt>
                <c:pt idx="6">
                  <c:v>Staff</c:v>
                </c:pt>
                <c:pt idx="7">
                  <c:v>Plumbing</c:v>
                </c:pt>
                <c:pt idx="8">
                  <c:v>Tiles Work</c:v>
                </c:pt>
                <c:pt idx="9">
                  <c:v>Painter</c:v>
                </c:pt>
                <c:pt idx="10">
                  <c:v>Electric Work</c:v>
                </c:pt>
              </c:strCache>
            </c:strRef>
          </c:cat>
          <c:val>
            <c:numRef>
              <c:f>'[3]Weekly Manpower'!$C$4:$C$9</c:f>
              <c:numCache>
                <c:formatCode>General</c:formatCode>
                <c:ptCount val="6"/>
                <c:pt idx="0">
                  <c:v>140</c:v>
                </c:pt>
                <c:pt idx="1">
                  <c:v>224</c:v>
                </c:pt>
                <c:pt idx="2">
                  <c:v>70</c:v>
                </c:pt>
                <c:pt idx="3">
                  <c:v>175</c:v>
                </c:pt>
                <c:pt idx="4">
                  <c:v>385</c:v>
                </c:pt>
                <c:pt idx="5">
                  <c:v>23</c:v>
                </c:pt>
              </c:numCache>
            </c:numRef>
          </c:val>
          <c:extLst>
            <c:ext xmlns:c16="http://schemas.microsoft.com/office/drawing/2014/chart" uri="{C3380CC4-5D6E-409C-BE32-E72D297353CC}">
              <c16:uniqueId val="{00000000-D941-45B7-B0D8-4C2B74F5355B}"/>
            </c:ext>
          </c:extLst>
        </c:ser>
        <c:ser>
          <c:idx val="1"/>
          <c:order val="1"/>
          <c:tx>
            <c:strRef>
              <c:f>'[3]Weekly Manpower'!$D$3</c:f>
              <c:strCache>
                <c:ptCount val="1"/>
                <c:pt idx="0">
                  <c:v>Available</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Calibri body"/>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'[2]Weekly Manpower'!$B$4:$B$14</c:f>
              <c:strCache>
                <c:ptCount val="11"/>
                <c:pt idx="0">
                  <c:v>Reinforcement work</c:v>
                </c:pt>
                <c:pt idx="1">
                  <c:v>Carpenter</c:v>
                </c:pt>
                <c:pt idx="2">
                  <c:v>Mason</c:v>
                </c:pt>
                <c:pt idx="3">
                  <c:v>Helper</c:v>
                </c:pt>
                <c:pt idx="4">
                  <c:v>Unskilled Worker</c:v>
                </c:pt>
                <c:pt idx="5">
                  <c:v>Drivers</c:v>
                </c:pt>
                <c:pt idx="6">
                  <c:v>Staff</c:v>
                </c:pt>
                <c:pt idx="7">
                  <c:v>Plumbing</c:v>
                </c:pt>
                <c:pt idx="8">
                  <c:v>Tiles Work</c:v>
                </c:pt>
                <c:pt idx="9">
                  <c:v>Painter</c:v>
                </c:pt>
                <c:pt idx="10">
                  <c:v>Electric Work</c:v>
                </c:pt>
              </c:strCache>
            </c:strRef>
          </c:cat>
          <c:val>
            <c:numRef>
              <c:f>'[3]Weekly Manpower'!$D$4:$D$9</c:f>
              <c:numCache>
                <c:formatCode>General</c:formatCode>
                <c:ptCount val="6"/>
                <c:pt idx="0">
                  <c:v>104</c:v>
                </c:pt>
                <c:pt idx="1">
                  <c:v>194</c:v>
                </c:pt>
                <c:pt idx="2">
                  <c:v>42</c:v>
                </c:pt>
                <c:pt idx="3">
                  <c:v>150</c:v>
                </c:pt>
                <c:pt idx="4">
                  <c:v>322</c:v>
                </c:pt>
                <c:pt idx="5">
                  <c:v>23</c:v>
                </c:pt>
              </c:numCache>
            </c:numRef>
          </c:val>
          <c:extLst>
            <c:ext xmlns:c16="http://schemas.microsoft.com/office/drawing/2014/chart" uri="{C3380CC4-5D6E-409C-BE32-E72D297353CC}">
              <c16:uniqueId val="{00000001-D941-45B7-B0D8-4C2B74F5355B}"/>
            </c:ext>
          </c:extLst>
        </c:ser>
        <c:dLbls>
          <c:showLegendKey val="0"/>
          <c:showVal val="1"/>
          <c:showCatName val="0"/>
          <c:showSerName val="0"/>
          <c:showPercent val="0"/>
          <c:showBubbleSize val="0"/>
        </c:dLbls>
        <c:gapWidth val="247"/>
        <c:overlap val="-27"/>
        <c:axId val="617437248"/>
        <c:axId val="617438688"/>
      </c:barChart>
      <c:lineChart>
        <c:grouping val="stacked"/>
        <c:varyColors val="0"/>
        <c:ser>
          <c:idx val="2"/>
          <c:order val="2"/>
          <c:tx>
            <c:strRef>
              <c:f>'[3]Weekly Manpower'!$E$3</c:f>
              <c:strCache>
                <c:ptCount val="1"/>
                <c:pt idx="0">
                  <c:v>Shortage </c:v>
                </c:pt>
              </c:strCache>
            </c:strRef>
          </c:tx>
          <c:spPr>
            <a:ln w="22225" cap="rnd">
              <a:solidFill>
                <a:schemeClr val="accent3"/>
              </a:solidFill>
              <a:round/>
            </a:ln>
            <a:effectLst/>
          </c:spPr>
          <c:marker>
            <c:symbol val="circle"/>
            <c:size val="6"/>
            <c:spPr>
              <a:solidFill>
                <a:schemeClr val="lt1"/>
              </a:solidFill>
              <a:ln w="15875">
                <a:solidFill>
                  <a:schemeClr val="accent3"/>
                </a:solidFill>
                <a:round/>
              </a:ln>
              <a:effectLst/>
            </c:spPr>
          </c:marker>
          <c:dLbls>
            <c:delete val="1"/>
          </c:dLbls>
          <c:cat>
            <c:strRef>
              <c:f>'[3]Weekly Manpower'!$B$4:$B$9</c:f>
              <c:strCache>
                <c:ptCount val="6"/>
                <c:pt idx="0">
                  <c:v>Reinforcement work</c:v>
                </c:pt>
                <c:pt idx="1">
                  <c:v>Carpenter</c:v>
                </c:pt>
                <c:pt idx="2">
                  <c:v>Mason</c:v>
                </c:pt>
                <c:pt idx="3">
                  <c:v>Helper</c:v>
                </c:pt>
                <c:pt idx="4">
                  <c:v>Unskilled Worker</c:v>
                </c:pt>
                <c:pt idx="5">
                  <c:v>Drivers</c:v>
                </c:pt>
              </c:strCache>
            </c:strRef>
          </c:cat>
          <c:val>
            <c:numRef>
              <c:f>'[3]Weekly Manpower'!$E$4:$E$9</c:f>
              <c:numCache>
                <c:formatCode>General</c:formatCode>
                <c:ptCount val="6"/>
                <c:pt idx="0">
                  <c:v>36</c:v>
                </c:pt>
                <c:pt idx="1">
                  <c:v>30</c:v>
                </c:pt>
                <c:pt idx="2">
                  <c:v>28</c:v>
                </c:pt>
                <c:pt idx="3">
                  <c:v>25</c:v>
                </c:pt>
                <c:pt idx="4">
                  <c:v>63</c:v>
                </c:pt>
                <c:pt idx="5">
                  <c:v>0</c:v>
                </c:pt>
              </c:numCache>
            </c:numRef>
          </c:val>
          <c:smooth val="1"/>
          <c:extLst>
            <c:ext xmlns:c16="http://schemas.microsoft.com/office/drawing/2014/chart" uri="{C3380CC4-5D6E-409C-BE32-E72D297353CC}">
              <c16:uniqueId val="{00000002-D941-45B7-B0D8-4C2B74F5355B}"/>
            </c:ext>
          </c:extLst>
        </c:ser>
        <c:dLbls>
          <c:showLegendKey val="0"/>
          <c:showVal val="1"/>
          <c:showCatName val="0"/>
          <c:showSerName val="0"/>
          <c:showPercent val="0"/>
          <c:showBubbleSize val="0"/>
        </c:dLbls>
        <c:marker val="1"/>
        <c:smooth val="0"/>
        <c:axId val="617437248"/>
        <c:axId val="617438688"/>
      </c:lineChart>
      <c:catAx>
        <c:axId val="617437248"/>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dk1">
                        <a:lumMod val="65000"/>
                        <a:lumOff val="35000"/>
                      </a:schemeClr>
                    </a:solidFill>
                    <a:latin typeface="Calibri body"/>
                    <a:ea typeface="+mn-ea"/>
                    <a:cs typeface="+mn-cs"/>
                  </a:defRPr>
                </a:pPr>
                <a:r>
                  <a:rPr lang="en-IN"/>
                  <a:t>Manpower Details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65000"/>
                      <a:lumOff val="35000"/>
                    </a:schemeClr>
                  </a:solidFill>
                  <a:latin typeface="Calibri body"/>
                  <a:ea typeface="+mn-ea"/>
                  <a:cs typeface="+mn-cs"/>
                </a:defRPr>
              </a:pPr>
              <a:endParaRPr lang="en-US"/>
            </a:p>
          </c:txPr>
        </c:title>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200" b="0" i="0" u="none" strike="noStrike" kern="1200" cap="none" spc="0" normalizeH="0" baseline="0">
                <a:solidFill>
                  <a:schemeClr val="dk1">
                    <a:lumMod val="65000"/>
                    <a:lumOff val="35000"/>
                  </a:schemeClr>
                </a:solidFill>
                <a:latin typeface="Calibri body"/>
                <a:ea typeface="+mn-ea"/>
                <a:cs typeface="+mn-cs"/>
              </a:defRPr>
            </a:pPr>
            <a:endParaRPr lang="en-US"/>
          </a:p>
        </c:txPr>
        <c:crossAx val="617438688"/>
        <c:crosses val="autoZero"/>
        <c:auto val="1"/>
        <c:lblAlgn val="ctr"/>
        <c:lblOffset val="100"/>
        <c:noMultiLvlLbl val="0"/>
      </c:catAx>
      <c:valAx>
        <c:axId val="617438688"/>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dk1">
                        <a:lumMod val="65000"/>
                        <a:lumOff val="35000"/>
                      </a:schemeClr>
                    </a:solidFill>
                    <a:latin typeface="Calibri body"/>
                    <a:ea typeface="+mn-ea"/>
                    <a:cs typeface="+mn-cs"/>
                  </a:defRPr>
                </a:pPr>
                <a:r>
                  <a:rPr lang="en-IN"/>
                  <a:t>Number of Manpower</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dk1">
                      <a:lumMod val="65000"/>
                      <a:lumOff val="35000"/>
                    </a:schemeClr>
                  </a:solidFill>
                  <a:latin typeface="Calibri body"/>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dk1">
                    <a:lumMod val="65000"/>
                    <a:lumOff val="35000"/>
                  </a:schemeClr>
                </a:solidFill>
                <a:latin typeface="Calibri body"/>
                <a:ea typeface="+mn-ea"/>
                <a:cs typeface="+mn-cs"/>
              </a:defRPr>
            </a:pPr>
            <a:endParaRPr lang="en-US"/>
          </a:p>
        </c:txPr>
        <c:crossAx val="617437248"/>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dk1">
                  <a:lumMod val="65000"/>
                  <a:lumOff val="35000"/>
                </a:schemeClr>
              </a:solidFill>
              <a:latin typeface="Calibri body"/>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sz="1200">
          <a:latin typeface="Calibri body"/>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IN" b="1"/>
              <a:t>Cashflow</a:t>
            </a:r>
            <a:r>
              <a:rPr lang="en-IN"/>
              <a:t>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9186930721421594"/>
          <c:y val="0.17308670301033133"/>
          <c:w val="0.77286695960168283"/>
          <c:h val="0.6004222783038905"/>
        </c:manualLayout>
      </c:layout>
      <c:barChart>
        <c:barDir val="col"/>
        <c:grouping val="clustered"/>
        <c:varyColors val="0"/>
        <c:ser>
          <c:idx val="0"/>
          <c:order val="0"/>
          <c:tx>
            <c:strRef>
              <c:f>'[2]Project Cashflow '!$E$3</c:f>
              <c:strCache>
                <c:ptCount val="1"/>
                <c:pt idx="0">
                  <c:v>Planned Work </c:v>
                </c:pt>
              </c:strCache>
            </c:strRef>
          </c:tx>
          <c:spPr>
            <a:solidFill>
              <a:srgbClr val="005A80"/>
            </a:solidFill>
            <a:ln>
              <a:noFill/>
            </a:ln>
            <a:effectLst/>
          </c:spPr>
          <c:invertIfNegative val="0"/>
          <c:dPt>
            <c:idx val="0"/>
            <c:invertIfNegative val="0"/>
            <c:bubble3D val="0"/>
            <c:spPr>
              <a:solidFill>
                <a:srgbClr val="005A80"/>
              </a:solidFill>
              <a:ln cmpd="sng">
                <a:solidFill>
                  <a:schemeClr val="accent1"/>
                </a:solidFill>
              </a:ln>
              <a:effectLst/>
            </c:spPr>
            <c:extLst>
              <c:ext xmlns:c16="http://schemas.microsoft.com/office/drawing/2014/chart" uri="{C3380CC4-5D6E-409C-BE32-E72D297353CC}">
                <c16:uniqueId val="{00000001-89BA-4E90-B0A4-75F01146F817}"/>
              </c:ext>
            </c:extLst>
          </c:dPt>
          <c:dLbls>
            <c:dLbl>
              <c:idx val="0"/>
              <c:layout>
                <c:manualLayout>
                  <c:x val="-2.8090420952591121E-3"/>
                  <c:y val="4.678863962434022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9BA-4E90-B0A4-75F01146F817}"/>
                </c:ext>
              </c:extLst>
            </c:dLbl>
            <c:spPr>
              <a:noFill/>
              <a:ln>
                <a:noFill/>
              </a:ln>
              <a:effectLst/>
            </c:spPr>
            <c:txPr>
              <a:bodyPr rot="-5400000" spcFirstLastPara="1" vertOverflow="ellipsis"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FFFF00"/>
                </a:solidFill>
                <a:prstDash val="solid"/>
              </a:ln>
              <a:effectLst/>
            </c:spPr>
            <c:trendlineType val="movingAvg"/>
            <c:period val="2"/>
            <c:dispRSqr val="0"/>
            <c:dispEq val="0"/>
          </c:trendline>
          <c:cat>
            <c:strRef>
              <c:f>'[2]Project Cashflow '!$B$4:$B$11</c:f>
              <c:strCache>
                <c:ptCount val="8"/>
                <c:pt idx="0">
                  <c:v>August</c:v>
                </c:pt>
                <c:pt idx="1">
                  <c:v>September</c:v>
                </c:pt>
                <c:pt idx="2">
                  <c:v>October</c:v>
                </c:pt>
                <c:pt idx="3">
                  <c:v>November</c:v>
                </c:pt>
                <c:pt idx="4">
                  <c:v>December</c:v>
                </c:pt>
                <c:pt idx="5">
                  <c:v>January</c:v>
                </c:pt>
                <c:pt idx="6">
                  <c:v>February</c:v>
                </c:pt>
                <c:pt idx="7">
                  <c:v>March</c:v>
                </c:pt>
              </c:strCache>
            </c:strRef>
          </c:cat>
          <c:val>
            <c:numRef>
              <c:f>'[2]Project Cashflow '!$E$4:$E$11</c:f>
              <c:numCache>
                <c:formatCode>General</c:formatCode>
                <c:ptCount val="8"/>
                <c:pt idx="0">
                  <c:v>5000000</c:v>
                </c:pt>
                <c:pt idx="1">
                  <c:v>7200000</c:v>
                </c:pt>
                <c:pt idx="2">
                  <c:v>5000000</c:v>
                </c:pt>
                <c:pt idx="3">
                  <c:v>7500000</c:v>
                </c:pt>
                <c:pt idx="4">
                  <c:v>8000000</c:v>
                </c:pt>
                <c:pt idx="5">
                  <c:v>9000000</c:v>
                </c:pt>
                <c:pt idx="6">
                  <c:v>8000000</c:v>
                </c:pt>
                <c:pt idx="7">
                  <c:v>8000000</c:v>
                </c:pt>
              </c:numCache>
            </c:numRef>
          </c:val>
          <c:extLst>
            <c:ext xmlns:c16="http://schemas.microsoft.com/office/drawing/2014/chart" uri="{C3380CC4-5D6E-409C-BE32-E72D297353CC}">
              <c16:uniqueId val="{00000003-89BA-4E90-B0A4-75F01146F817}"/>
            </c:ext>
          </c:extLst>
        </c:ser>
        <c:ser>
          <c:idx val="1"/>
          <c:order val="1"/>
          <c:tx>
            <c:strRef>
              <c:f>'[2]Project Cashflow '!$F$3</c:f>
              <c:strCache>
                <c:ptCount val="1"/>
                <c:pt idx="0">
                  <c:v>Actual Work</c:v>
                </c:pt>
              </c:strCache>
            </c:strRef>
          </c:tx>
          <c:spPr>
            <a:solidFill>
              <a:srgbClr val="FF615F"/>
            </a:solidFill>
            <a:ln>
              <a:noFill/>
            </a:ln>
            <a:effectLst/>
          </c:spPr>
          <c:invertIfNegative val="0"/>
          <c:dLbls>
            <c:dLbl>
              <c:idx val="0"/>
              <c:layout>
                <c:manualLayout>
                  <c:x val="2.8280280074939796E-3"/>
                  <c:y val="5.12406807181843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9BA-4E90-B0A4-75F01146F817}"/>
                </c:ext>
              </c:extLst>
            </c:dLbl>
            <c:spPr>
              <a:noFill/>
              <a:ln>
                <a:noFill/>
              </a:ln>
              <a:effectLst/>
            </c:spPr>
            <c:txPr>
              <a:bodyPr rot="-5400000" spcFirstLastPara="1" vertOverflow="ellipsis"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'[2]Project Cashflow '!$B$4:$B$11</c:f>
              <c:strCache>
                <c:ptCount val="8"/>
                <c:pt idx="0">
                  <c:v>August</c:v>
                </c:pt>
                <c:pt idx="1">
                  <c:v>September</c:v>
                </c:pt>
                <c:pt idx="2">
                  <c:v>October</c:v>
                </c:pt>
                <c:pt idx="3">
                  <c:v>November</c:v>
                </c:pt>
                <c:pt idx="4">
                  <c:v>December</c:v>
                </c:pt>
                <c:pt idx="5">
                  <c:v>January</c:v>
                </c:pt>
                <c:pt idx="6">
                  <c:v>February</c:v>
                </c:pt>
                <c:pt idx="7">
                  <c:v>March</c:v>
                </c:pt>
              </c:strCache>
            </c:strRef>
          </c:cat>
          <c:val>
            <c:numRef>
              <c:f>'[2]Project Cashflow '!$F$4:$F$11</c:f>
              <c:numCache>
                <c:formatCode>General</c:formatCode>
                <c:ptCount val="8"/>
                <c:pt idx="0">
                  <c:v>1063955</c:v>
                </c:pt>
                <c:pt idx="1">
                  <c:v>7797193</c:v>
                </c:pt>
                <c:pt idx="2">
                  <c:v>168333</c:v>
                </c:pt>
                <c:pt idx="3">
                  <c:v>2376171</c:v>
                </c:pt>
                <c:pt idx="4">
                  <c:v>11104853</c:v>
                </c:pt>
              </c:numCache>
            </c:numRef>
          </c:val>
          <c:extLst>
            <c:ext xmlns:c16="http://schemas.microsoft.com/office/drawing/2014/chart" uri="{C3380CC4-5D6E-409C-BE32-E72D297353CC}">
              <c16:uniqueId val="{00000005-89BA-4E90-B0A4-75F01146F817}"/>
            </c:ext>
          </c:extLst>
        </c:ser>
        <c:dLbls>
          <c:dLblPos val="outEnd"/>
          <c:showLegendKey val="0"/>
          <c:showVal val="1"/>
          <c:showCatName val="0"/>
          <c:showSerName val="0"/>
          <c:showPercent val="0"/>
          <c:showBubbleSize val="0"/>
        </c:dLbls>
        <c:gapWidth val="219"/>
        <c:axId val="1307277104"/>
        <c:axId val="1307281424"/>
      </c:barChart>
      <c:catAx>
        <c:axId val="1307277104"/>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IN" b="1"/>
                  <a:t>Months</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07281424"/>
        <c:crosses val="autoZero"/>
        <c:auto val="1"/>
        <c:lblAlgn val="ctr"/>
        <c:lblOffset val="100"/>
        <c:noMultiLvlLbl val="0"/>
      </c:catAx>
      <c:valAx>
        <c:axId val="1307281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IN"/>
                  <a:t>Amount (Rs.)</a:t>
                </a:r>
              </a:p>
            </c:rich>
          </c:tx>
          <c:layout>
            <c:manualLayout>
              <c:xMode val="edge"/>
              <c:yMode val="edge"/>
              <c:x val="3.6231492879596594E-2"/>
              <c:y val="0.35618821865216244"/>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07277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6797198009111737E-2"/>
          <c:y val="2.6932772135753586E-2"/>
          <c:w val="0.93994555497109489"/>
          <c:h val="0.79324788163785664"/>
        </c:manualLayout>
      </c:layout>
      <c:barChart>
        <c:barDir val="col"/>
        <c:grouping val="clustered"/>
        <c:varyColors val="0"/>
        <c:ser>
          <c:idx val="0"/>
          <c:order val="0"/>
          <c:tx>
            <c:strRef>
              <c:f>'[2]Planned Vs Actual '!$N$6</c:f>
              <c:strCache>
                <c:ptCount val="1"/>
                <c:pt idx="0">
                  <c:v>% Balance  Qty ( Remaining ) Against GFC Qty</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'[2]Planned Vs Actual '!$C$7:$C$77</c:f>
              <c:strCache>
                <c:ptCount val="71"/>
                <c:pt idx="0">
                  <c:v>Excavation </c:v>
                </c:pt>
                <c:pt idx="1">
                  <c:v>Footing PCC</c:v>
                </c:pt>
                <c:pt idx="2">
                  <c:v>Yellow Soil Filling</c:v>
                </c:pt>
                <c:pt idx="3">
                  <c:v>Rubble Soling</c:v>
                </c:pt>
                <c:pt idx="4">
                  <c:v>Footing Shuttering</c:v>
                </c:pt>
                <c:pt idx="5">
                  <c:v>Footing RCC</c:v>
                </c:pt>
                <c:pt idx="6">
                  <c:v>Padestal Upto Plinth Top Shuttering</c:v>
                </c:pt>
                <c:pt idx="7">
                  <c:v>Padestal Upto Plinth Top RCC</c:v>
                </c:pt>
                <c:pt idx="8">
                  <c:v>GB Excavation</c:v>
                </c:pt>
                <c:pt idx="9">
                  <c:v>GB PCC</c:v>
                </c:pt>
                <c:pt idx="10">
                  <c:v>GB Shuttering</c:v>
                </c:pt>
                <c:pt idx="11">
                  <c:v>GB RCC</c:v>
                </c:pt>
                <c:pt idx="12">
                  <c:v>Masonry Above GB</c:v>
                </c:pt>
                <c:pt idx="13">
                  <c:v>Plinth Beam PCC</c:v>
                </c:pt>
                <c:pt idx="14">
                  <c:v>Plinth Beam Shuttering</c:v>
                </c:pt>
                <c:pt idx="15">
                  <c:v>Plinth Beam RCC</c:v>
                </c:pt>
                <c:pt idx="16">
                  <c:v>Plinth Plaster</c:v>
                </c:pt>
                <c:pt idx="17">
                  <c:v>Masonry above PB</c:v>
                </c:pt>
                <c:pt idx="18">
                  <c:v>Floor PCC</c:v>
                </c:pt>
                <c:pt idx="19">
                  <c:v>Floor RCC Shuttering</c:v>
                </c:pt>
                <c:pt idx="20">
                  <c:v>Floor RCC</c:v>
                </c:pt>
                <c:pt idx="22">
                  <c:v>Plinth to GF slab column shuttering</c:v>
                </c:pt>
                <c:pt idx="23">
                  <c:v>GF beam shuttering</c:v>
                </c:pt>
                <c:pt idx="24">
                  <c:v>GF Slab shuttering</c:v>
                </c:pt>
                <c:pt idx="25">
                  <c:v>GF staircase shuttering</c:v>
                </c:pt>
                <c:pt idx="26">
                  <c:v>GF lintel shuttering</c:v>
                </c:pt>
                <c:pt idx="27">
                  <c:v>Plinth to GF slab column concrete</c:v>
                </c:pt>
                <c:pt idx="28">
                  <c:v>GF beam Concrete</c:v>
                </c:pt>
                <c:pt idx="29">
                  <c:v>GF Slab Concrete</c:v>
                </c:pt>
                <c:pt idx="30">
                  <c:v>GF staircase concrete</c:v>
                </c:pt>
                <c:pt idx="31">
                  <c:v>GF lintel Concrete</c:v>
                </c:pt>
                <c:pt idx="32">
                  <c:v>Brick masonary GF (230 mm)</c:v>
                </c:pt>
                <c:pt idx="33">
                  <c:v>Brick masonary GF (115 mm)</c:v>
                </c:pt>
                <c:pt idx="34">
                  <c:v>Internal Plaster</c:v>
                </c:pt>
                <c:pt idx="35">
                  <c:v>Flooring</c:v>
                </c:pt>
                <c:pt idx="36">
                  <c:v>Skirting</c:v>
                </c:pt>
                <c:pt idx="38">
                  <c:v>GF to FF slab column shuttering</c:v>
                </c:pt>
                <c:pt idx="39">
                  <c:v>FF beam shuttering</c:v>
                </c:pt>
                <c:pt idx="40">
                  <c:v>FF Slab shuttering</c:v>
                </c:pt>
                <c:pt idx="41">
                  <c:v>FF Staircase Shuttering</c:v>
                </c:pt>
                <c:pt idx="42">
                  <c:v>FF lintel shuttering</c:v>
                </c:pt>
                <c:pt idx="43">
                  <c:v>GF to FF slab column concrete</c:v>
                </c:pt>
                <c:pt idx="44">
                  <c:v>FF Staircase Concrete</c:v>
                </c:pt>
                <c:pt idx="45">
                  <c:v>FF beam Concrete</c:v>
                </c:pt>
                <c:pt idx="46">
                  <c:v>FF Slab Concrete</c:v>
                </c:pt>
                <c:pt idx="47">
                  <c:v>FF lintel Concrete</c:v>
                </c:pt>
                <c:pt idx="48">
                  <c:v>Brick masonary FF (230 mm)</c:v>
                </c:pt>
                <c:pt idx="49">
                  <c:v>Brick masonary FF (115 mm)</c:v>
                </c:pt>
                <c:pt idx="50">
                  <c:v>Internal Plaster</c:v>
                </c:pt>
                <c:pt idx="51">
                  <c:v>Flooring</c:v>
                </c:pt>
                <c:pt idx="52">
                  <c:v>Skirting</c:v>
                </c:pt>
                <c:pt idx="54">
                  <c:v>FF to SF slab column shuttering</c:v>
                </c:pt>
                <c:pt idx="55">
                  <c:v>SF Staircase Shuttering</c:v>
                </c:pt>
                <c:pt idx="56">
                  <c:v>SF beam shuttering</c:v>
                </c:pt>
                <c:pt idx="57">
                  <c:v>SF Slab shuttering</c:v>
                </c:pt>
                <c:pt idx="58">
                  <c:v>FF to SF slab column concrete</c:v>
                </c:pt>
                <c:pt idx="59">
                  <c:v>SF Staircase Concrete</c:v>
                </c:pt>
                <c:pt idx="60">
                  <c:v>SF beam Concrete</c:v>
                </c:pt>
                <c:pt idx="61">
                  <c:v>SF Slab Concrete</c:v>
                </c:pt>
                <c:pt idx="63">
                  <c:v>SF to TF slab column shuttering</c:v>
                </c:pt>
                <c:pt idx="64">
                  <c:v>TF Staircase Shuttering</c:v>
                </c:pt>
                <c:pt idx="65">
                  <c:v>TF beam shuttering</c:v>
                </c:pt>
                <c:pt idx="66">
                  <c:v>TF Slab shuttering</c:v>
                </c:pt>
                <c:pt idx="67">
                  <c:v>SF to TF slab column concrete</c:v>
                </c:pt>
                <c:pt idx="68">
                  <c:v>TF Staircase Concrete</c:v>
                </c:pt>
                <c:pt idx="69">
                  <c:v>TF beam Concrete</c:v>
                </c:pt>
                <c:pt idx="70">
                  <c:v>TF Slab Concrete</c:v>
                </c:pt>
              </c:strCache>
            </c:strRef>
          </c:cat>
          <c:val>
            <c:numRef>
              <c:f>'[2]Planned Vs Actual '!$N$7:$N$77</c:f>
              <c:numCache>
                <c:formatCode>General</c:formatCode>
                <c:ptCount val="71"/>
                <c:pt idx="0">
                  <c:v>-1.0952902519157618E-4</c:v>
                </c:pt>
                <c:pt idx="1">
                  <c:v>0</c:v>
                </c:pt>
                <c:pt idx="2">
                  <c:v>0</c:v>
                </c:pt>
                <c:pt idx="3">
                  <c:v>0</c:v>
                </c:pt>
                <c:pt idx="4">
                  <c:v>-4.5258289055856641E-6</c:v>
                </c:pt>
                <c:pt idx="5">
                  <c:v>1.3662882048404514E-5</c:v>
                </c:pt>
                <c:pt idx="6">
                  <c:v>0</c:v>
                </c:pt>
                <c:pt idx="7">
                  <c:v>0</c:v>
                </c:pt>
                <c:pt idx="8">
                  <c:v>0</c:v>
                </c:pt>
                <c:pt idx="9">
                  <c:v>0</c:v>
                </c:pt>
                <c:pt idx="10">
                  <c:v>6.1565154122762223E-4</c:v>
                </c:pt>
                <c:pt idx="11">
                  <c:v>5.8347920313423765E-4</c:v>
                </c:pt>
                <c:pt idx="12">
                  <c:v>0</c:v>
                </c:pt>
                <c:pt idx="13">
                  <c:v>0</c:v>
                </c:pt>
                <c:pt idx="14">
                  <c:v>0</c:v>
                </c:pt>
                <c:pt idx="15">
                  <c:v>0</c:v>
                </c:pt>
                <c:pt idx="16">
                  <c:v>0.3552930978437534</c:v>
                </c:pt>
                <c:pt idx="17">
                  <c:v>-1.2370113805062124E-4</c:v>
                </c:pt>
                <c:pt idx="18">
                  <c:v>0</c:v>
                </c:pt>
                <c:pt idx="19">
                  <c:v>0</c:v>
                </c:pt>
                <c:pt idx="20">
                  <c:v>0</c:v>
                </c:pt>
                <c:pt idx="22">
                  <c:v>-9.3556309202719113E-6</c:v>
                </c:pt>
                <c:pt idx="23">
                  <c:v>0</c:v>
                </c:pt>
                <c:pt idx="24">
                  <c:v>4.516303856919386E-5</c:v>
                </c:pt>
                <c:pt idx="25">
                  <c:v>0</c:v>
                </c:pt>
                <c:pt idx="26">
                  <c:v>0.17634946315634645</c:v>
                </c:pt>
                <c:pt idx="27">
                  <c:v>6.0934738894718302E-5</c:v>
                </c:pt>
                <c:pt idx="28">
                  <c:v>1.6191709844556363E-4</c:v>
                </c:pt>
                <c:pt idx="29">
                  <c:v>9.8048828316412443E-5</c:v>
                </c:pt>
                <c:pt idx="30">
                  <c:v>1.172332942555661E-3</c:v>
                </c:pt>
                <c:pt idx="31">
                  <c:v>0.48849104859335041</c:v>
                </c:pt>
                <c:pt idx="32">
                  <c:v>0.49836690255851934</c:v>
                </c:pt>
                <c:pt idx="33">
                  <c:v>0.54914062500000005</c:v>
                </c:pt>
                <c:pt idx="34">
                  <c:v>0.79120885459023294</c:v>
                </c:pt>
                <c:pt idx="35">
                  <c:v>1</c:v>
                </c:pt>
                <c:pt idx="36">
                  <c:v>1</c:v>
                </c:pt>
                <c:pt idx="38">
                  <c:v>0.28394932634407261</c:v>
                </c:pt>
                <c:pt idx="39">
                  <c:v>-5.8522102799064813E-4</c:v>
                </c:pt>
                <c:pt idx="40">
                  <c:v>0</c:v>
                </c:pt>
                <c:pt idx="41">
                  <c:v>0</c:v>
                </c:pt>
                <c:pt idx="42">
                  <c:v>1</c:v>
                </c:pt>
                <c:pt idx="43">
                  <c:v>0.2136371945646213</c:v>
                </c:pt>
                <c:pt idx="44">
                  <c:v>0</c:v>
                </c:pt>
                <c:pt idx="45">
                  <c:v>0</c:v>
                </c:pt>
                <c:pt idx="46">
                  <c:v>0</c:v>
                </c:pt>
                <c:pt idx="47">
                  <c:v>0</c:v>
                </c:pt>
                <c:pt idx="48">
                  <c:v>1</c:v>
                </c:pt>
                <c:pt idx="49">
                  <c:v>1</c:v>
                </c:pt>
                <c:pt idx="50">
                  <c:v>1</c:v>
                </c:pt>
                <c:pt idx="51">
                  <c:v>1</c:v>
                </c:pt>
                <c:pt idx="52">
                  <c:v>1</c:v>
                </c:pt>
                <c:pt idx="54">
                  <c:v>0.29317842391563786</c:v>
                </c:pt>
                <c:pt idx="55">
                  <c:v>0</c:v>
                </c:pt>
                <c:pt idx="56">
                  <c:v>0</c:v>
                </c:pt>
                <c:pt idx="57">
                  <c:v>0</c:v>
                </c:pt>
                <c:pt idx="58">
                  <c:v>0.22567180549631355</c:v>
                </c:pt>
                <c:pt idx="59">
                  <c:v>0</c:v>
                </c:pt>
                <c:pt idx="60">
                  <c:v>0</c:v>
                </c:pt>
                <c:pt idx="61">
                  <c:v>0</c:v>
                </c:pt>
                <c:pt idx="63">
                  <c:v>0.77722867930704476</c:v>
                </c:pt>
                <c:pt idx="64">
                  <c:v>1</c:v>
                </c:pt>
                <c:pt idx="65">
                  <c:v>1</c:v>
                </c:pt>
                <c:pt idx="66">
                  <c:v>1</c:v>
                </c:pt>
                <c:pt idx="67">
                  <c:v>0.92139418682590946</c:v>
                </c:pt>
                <c:pt idx="68">
                  <c:v>1</c:v>
                </c:pt>
                <c:pt idx="69">
                  <c:v>1</c:v>
                </c:pt>
                <c:pt idx="70">
                  <c:v>1</c:v>
                </c:pt>
              </c:numCache>
            </c:numRef>
          </c:val>
          <c:extLst>
            <c:ext xmlns:c16="http://schemas.microsoft.com/office/drawing/2014/chart" uri="{C3380CC4-5D6E-409C-BE32-E72D297353CC}">
              <c16:uniqueId val="{00000000-E2FE-4377-8840-8A0C9F8DA2C9}"/>
            </c:ext>
          </c:extLst>
        </c:ser>
        <c:ser>
          <c:idx val="1"/>
          <c:order val="1"/>
          <c:tx>
            <c:strRef>
              <c:f>'[2]Planned Vs Actual '!$O$6</c:f>
              <c:strCache>
                <c:ptCount val="1"/>
                <c:pt idx="0">
                  <c:v>% Planned Against 
Balance Qty  </c:v>
                </c:pt>
              </c:strCache>
            </c:strRef>
          </c:tx>
          <c:spPr>
            <a:solidFill>
              <a:srgbClr val="FF615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'[2]Planned Vs Actual '!$C$7:$C$77</c:f>
              <c:strCache>
                <c:ptCount val="71"/>
                <c:pt idx="0">
                  <c:v>Excavation </c:v>
                </c:pt>
                <c:pt idx="1">
                  <c:v>Footing PCC</c:v>
                </c:pt>
                <c:pt idx="2">
                  <c:v>Yellow Soil Filling</c:v>
                </c:pt>
                <c:pt idx="3">
                  <c:v>Rubble Soling</c:v>
                </c:pt>
                <c:pt idx="4">
                  <c:v>Footing Shuttering</c:v>
                </c:pt>
                <c:pt idx="5">
                  <c:v>Footing RCC</c:v>
                </c:pt>
                <c:pt idx="6">
                  <c:v>Padestal Upto Plinth Top Shuttering</c:v>
                </c:pt>
                <c:pt idx="7">
                  <c:v>Padestal Upto Plinth Top RCC</c:v>
                </c:pt>
                <c:pt idx="8">
                  <c:v>GB Excavation</c:v>
                </c:pt>
                <c:pt idx="9">
                  <c:v>GB PCC</c:v>
                </c:pt>
                <c:pt idx="10">
                  <c:v>GB Shuttering</c:v>
                </c:pt>
                <c:pt idx="11">
                  <c:v>GB RCC</c:v>
                </c:pt>
                <c:pt idx="12">
                  <c:v>Masonry Above GB</c:v>
                </c:pt>
                <c:pt idx="13">
                  <c:v>Plinth Beam PCC</c:v>
                </c:pt>
                <c:pt idx="14">
                  <c:v>Plinth Beam Shuttering</c:v>
                </c:pt>
                <c:pt idx="15">
                  <c:v>Plinth Beam RCC</c:v>
                </c:pt>
                <c:pt idx="16">
                  <c:v>Plinth Plaster</c:v>
                </c:pt>
                <c:pt idx="17">
                  <c:v>Masonry above PB</c:v>
                </c:pt>
                <c:pt idx="18">
                  <c:v>Floor PCC</c:v>
                </c:pt>
                <c:pt idx="19">
                  <c:v>Floor RCC Shuttering</c:v>
                </c:pt>
                <c:pt idx="20">
                  <c:v>Floor RCC</c:v>
                </c:pt>
                <c:pt idx="22">
                  <c:v>Plinth to GF slab column shuttering</c:v>
                </c:pt>
                <c:pt idx="23">
                  <c:v>GF beam shuttering</c:v>
                </c:pt>
                <c:pt idx="24">
                  <c:v>GF Slab shuttering</c:v>
                </c:pt>
                <c:pt idx="25">
                  <c:v>GF staircase shuttering</c:v>
                </c:pt>
                <c:pt idx="26">
                  <c:v>GF lintel shuttering</c:v>
                </c:pt>
                <c:pt idx="27">
                  <c:v>Plinth to GF slab column concrete</c:v>
                </c:pt>
                <c:pt idx="28">
                  <c:v>GF beam Concrete</c:v>
                </c:pt>
                <c:pt idx="29">
                  <c:v>GF Slab Concrete</c:v>
                </c:pt>
                <c:pt idx="30">
                  <c:v>GF staircase concrete</c:v>
                </c:pt>
                <c:pt idx="31">
                  <c:v>GF lintel Concrete</c:v>
                </c:pt>
                <c:pt idx="32">
                  <c:v>Brick masonary GF (230 mm)</c:v>
                </c:pt>
                <c:pt idx="33">
                  <c:v>Brick masonary GF (115 mm)</c:v>
                </c:pt>
                <c:pt idx="34">
                  <c:v>Internal Plaster</c:v>
                </c:pt>
                <c:pt idx="35">
                  <c:v>Flooring</c:v>
                </c:pt>
                <c:pt idx="36">
                  <c:v>Skirting</c:v>
                </c:pt>
                <c:pt idx="38">
                  <c:v>GF to FF slab column shuttering</c:v>
                </c:pt>
                <c:pt idx="39">
                  <c:v>FF beam shuttering</c:v>
                </c:pt>
                <c:pt idx="40">
                  <c:v>FF Slab shuttering</c:v>
                </c:pt>
                <c:pt idx="41">
                  <c:v>FF Staircase Shuttering</c:v>
                </c:pt>
                <c:pt idx="42">
                  <c:v>FF lintel shuttering</c:v>
                </c:pt>
                <c:pt idx="43">
                  <c:v>GF to FF slab column concrete</c:v>
                </c:pt>
                <c:pt idx="44">
                  <c:v>FF Staircase Concrete</c:v>
                </c:pt>
                <c:pt idx="45">
                  <c:v>FF beam Concrete</c:v>
                </c:pt>
                <c:pt idx="46">
                  <c:v>FF Slab Concrete</c:v>
                </c:pt>
                <c:pt idx="47">
                  <c:v>FF lintel Concrete</c:v>
                </c:pt>
                <c:pt idx="48">
                  <c:v>Brick masonary FF (230 mm)</c:v>
                </c:pt>
                <c:pt idx="49">
                  <c:v>Brick masonary FF (115 mm)</c:v>
                </c:pt>
                <c:pt idx="50">
                  <c:v>Internal Plaster</c:v>
                </c:pt>
                <c:pt idx="51">
                  <c:v>Flooring</c:v>
                </c:pt>
                <c:pt idx="52">
                  <c:v>Skirting</c:v>
                </c:pt>
                <c:pt idx="54">
                  <c:v>FF to SF slab column shuttering</c:v>
                </c:pt>
                <c:pt idx="55">
                  <c:v>SF Staircase Shuttering</c:v>
                </c:pt>
                <c:pt idx="56">
                  <c:v>SF beam shuttering</c:v>
                </c:pt>
                <c:pt idx="57">
                  <c:v>SF Slab shuttering</c:v>
                </c:pt>
                <c:pt idx="58">
                  <c:v>FF to SF slab column concrete</c:v>
                </c:pt>
                <c:pt idx="59">
                  <c:v>SF Staircase Concrete</c:v>
                </c:pt>
                <c:pt idx="60">
                  <c:v>SF beam Concrete</c:v>
                </c:pt>
                <c:pt idx="61">
                  <c:v>SF Slab Concrete</c:v>
                </c:pt>
                <c:pt idx="63">
                  <c:v>SF to TF slab column shuttering</c:v>
                </c:pt>
                <c:pt idx="64">
                  <c:v>TF Staircase Shuttering</c:v>
                </c:pt>
                <c:pt idx="65">
                  <c:v>TF beam shuttering</c:v>
                </c:pt>
                <c:pt idx="66">
                  <c:v>TF Slab shuttering</c:v>
                </c:pt>
                <c:pt idx="67">
                  <c:v>SF to TF slab column concrete</c:v>
                </c:pt>
                <c:pt idx="68">
                  <c:v>TF Staircase Concrete</c:v>
                </c:pt>
                <c:pt idx="69">
                  <c:v>TF beam Concrete</c:v>
                </c:pt>
                <c:pt idx="70">
                  <c:v>TF Slab Concrete</c:v>
                </c:pt>
              </c:strCache>
            </c:strRef>
          </c:cat>
          <c:val>
            <c:numRef>
              <c:f>'[2]Planned Vs Actual '!$O$7:$O$77</c:f>
              <c:numCache>
                <c:formatCode>General</c:formatCode>
                <c:ptCount val="7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c:v>
                </c:pt>
                <c:pt idx="17">
                  <c:v>0</c:v>
                </c:pt>
                <c:pt idx="18">
                  <c:v>0</c:v>
                </c:pt>
                <c:pt idx="19">
                  <c:v>0</c:v>
                </c:pt>
                <c:pt idx="20">
                  <c:v>0</c:v>
                </c:pt>
                <c:pt idx="21">
                  <c:v>4.7619047619047616E-2</c:v>
                </c:pt>
                <c:pt idx="22">
                  <c:v>0</c:v>
                </c:pt>
                <c:pt idx="23">
                  <c:v>0</c:v>
                </c:pt>
                <c:pt idx="24">
                  <c:v>0</c:v>
                </c:pt>
                <c:pt idx="25">
                  <c:v>0</c:v>
                </c:pt>
                <c:pt idx="26">
                  <c:v>0</c:v>
                </c:pt>
                <c:pt idx="27">
                  <c:v>0</c:v>
                </c:pt>
                <c:pt idx="28">
                  <c:v>0</c:v>
                </c:pt>
                <c:pt idx="29">
                  <c:v>0</c:v>
                </c:pt>
                <c:pt idx="30">
                  <c:v>0</c:v>
                </c:pt>
                <c:pt idx="31">
                  <c:v>0</c:v>
                </c:pt>
                <c:pt idx="32">
                  <c:v>0.54614964500273067</c:v>
                </c:pt>
                <c:pt idx="33">
                  <c:v>0.2371129131692512</c:v>
                </c:pt>
                <c:pt idx="34">
                  <c:v>0.43738473089904434</c:v>
                </c:pt>
                <c:pt idx="35">
                  <c:v>0.11888344666888583</c:v>
                </c:pt>
                <c:pt idx="36">
                  <c:v>5.3786574870912221E-2</c:v>
                </c:pt>
                <c:pt idx="37">
                  <c:v>9.2887820707388283E-2</c:v>
                </c:pt>
                <c:pt idx="38">
                  <c:v>0.80055718780271057</c:v>
                </c:pt>
                <c:pt idx="39">
                  <c:v>0</c:v>
                </c:pt>
                <c:pt idx="40">
                  <c:v>0</c:v>
                </c:pt>
                <c:pt idx="41">
                  <c:v>0</c:v>
                </c:pt>
                <c:pt idx="42">
                  <c:v>0.8824827180467717</c:v>
                </c:pt>
                <c:pt idx="43">
                  <c:v>0</c:v>
                </c:pt>
                <c:pt idx="44">
                  <c:v>0</c:v>
                </c:pt>
                <c:pt idx="45">
                  <c:v>0</c:v>
                </c:pt>
                <c:pt idx="46">
                  <c:v>0</c:v>
                </c:pt>
                <c:pt idx="47">
                  <c:v>0</c:v>
                </c:pt>
                <c:pt idx="48">
                  <c:v>0.27218290691344582</c:v>
                </c:pt>
                <c:pt idx="49">
                  <c:v>0.390625</c:v>
                </c:pt>
                <c:pt idx="50">
                  <c:v>0</c:v>
                </c:pt>
                <c:pt idx="51">
                  <c:v>0</c:v>
                </c:pt>
                <c:pt idx="52">
                  <c:v>0</c:v>
                </c:pt>
                <c:pt idx="53">
                  <c:v>0.15638985418419521</c:v>
                </c:pt>
                <c:pt idx="54">
                  <c:v>0</c:v>
                </c:pt>
                <c:pt idx="55">
                  <c:v>0</c:v>
                </c:pt>
                <c:pt idx="56">
                  <c:v>0</c:v>
                </c:pt>
                <c:pt idx="57">
                  <c:v>0</c:v>
                </c:pt>
                <c:pt idx="58">
                  <c:v>0</c:v>
                </c:pt>
                <c:pt idx="59">
                  <c:v>0</c:v>
                </c:pt>
                <c:pt idx="60">
                  <c:v>0</c:v>
                </c:pt>
                <c:pt idx="61">
                  <c:v>0</c:v>
                </c:pt>
                <c:pt idx="62">
                  <c:v>0</c:v>
                </c:pt>
                <c:pt idx="63">
                  <c:v>0.62004077060538787</c:v>
                </c:pt>
                <c:pt idx="64">
                  <c:v>0.52273915316257191</c:v>
                </c:pt>
                <c:pt idx="65">
                  <c:v>0.57094734438116446</c:v>
                </c:pt>
                <c:pt idx="66">
                  <c:v>0.60217384758979919</c:v>
                </c:pt>
                <c:pt idx="67">
                  <c:v>0.99199788373784792</c:v>
                </c:pt>
                <c:pt idx="68">
                  <c:v>0.58616647127784294</c:v>
                </c:pt>
                <c:pt idx="69">
                  <c:v>0</c:v>
                </c:pt>
                <c:pt idx="70">
                  <c:v>0</c:v>
                </c:pt>
              </c:numCache>
            </c:numRef>
          </c:val>
          <c:extLst>
            <c:ext xmlns:c16="http://schemas.microsoft.com/office/drawing/2014/chart" uri="{C3380CC4-5D6E-409C-BE32-E72D297353CC}">
              <c16:uniqueId val="{00000001-E2FE-4377-8840-8A0C9F8DA2C9}"/>
            </c:ext>
          </c:extLst>
        </c:ser>
        <c:dLbls>
          <c:dLblPos val="outEnd"/>
          <c:showLegendKey val="0"/>
          <c:showVal val="1"/>
          <c:showCatName val="0"/>
          <c:showSerName val="0"/>
          <c:showPercent val="0"/>
          <c:showBubbleSize val="0"/>
        </c:dLbls>
        <c:gapWidth val="219"/>
        <c:overlap val="-27"/>
        <c:axId val="1412648959"/>
        <c:axId val="1662127855"/>
      </c:barChart>
      <c:catAx>
        <c:axId val="141264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127855"/>
        <c:crosses val="autoZero"/>
        <c:auto val="1"/>
        <c:lblAlgn val="ctr"/>
        <c:lblOffset val="100"/>
        <c:noMultiLvlLbl val="0"/>
      </c:catAx>
      <c:valAx>
        <c:axId val="1662127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6489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1197"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197"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1197" kern="1200"/>
  </cs:chartArea>
  <cs:dataLabel>
    <cs:lnRef idx="0"/>
    <cs:fillRef idx="0"/>
    <cs:effectRef idx="0"/>
    <cs:fontRef idx="minor">
      <a:schemeClr val="dk1">
        <a:lumMod val="75000"/>
        <a:lumOff val="25000"/>
      </a:schemeClr>
    </cs:fontRef>
    <cs:defRPr sz="1197"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197"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64"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1197"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1197"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2128"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1197"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1197"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0</xdr:colOff>
      <xdr:row>13</xdr:row>
      <xdr:rowOff>0</xdr:rowOff>
    </xdr:from>
    <xdr:to>
      <xdr:col>11</xdr:col>
      <xdr:colOff>304800</xdr:colOff>
      <xdr:row>27</xdr:row>
      <xdr:rowOff>118782</xdr:rowOff>
    </xdr:to>
    <xdr:graphicFrame macro="">
      <xdr:nvGraphicFramePr>
        <xdr:cNvPr id="2" name="Chart 1">
          <a:extLst>
            <a:ext uri="{FF2B5EF4-FFF2-40B4-BE49-F238E27FC236}">
              <a16:creationId xmlns:a16="http://schemas.microsoft.com/office/drawing/2014/main" id="{69DEA854-C178-4916-AAC8-3112F7132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0</xdr:colOff>
      <xdr:row>13</xdr:row>
      <xdr:rowOff>0</xdr:rowOff>
    </xdr:from>
    <xdr:to>
      <xdr:col>24</xdr:col>
      <xdr:colOff>7693</xdr:colOff>
      <xdr:row>25</xdr:row>
      <xdr:rowOff>47870</xdr:rowOff>
    </xdr:to>
    <xdr:graphicFrame macro="">
      <xdr:nvGraphicFramePr>
        <xdr:cNvPr id="2" name="Chart 1">
          <a:extLst>
            <a:ext uri="{FF2B5EF4-FFF2-40B4-BE49-F238E27FC236}">
              <a16:creationId xmlns:a16="http://schemas.microsoft.com/office/drawing/2014/main" id="{A0667F1B-8CD9-453A-BC3F-65903B81F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16</xdr:row>
      <xdr:rowOff>0</xdr:rowOff>
    </xdr:from>
    <xdr:to>
      <xdr:col>22</xdr:col>
      <xdr:colOff>394765</xdr:colOff>
      <xdr:row>40</xdr:row>
      <xdr:rowOff>130213</xdr:rowOff>
    </xdr:to>
    <xdr:graphicFrame macro="">
      <xdr:nvGraphicFramePr>
        <xdr:cNvPr id="2" name="Chart 1">
          <a:extLst>
            <a:ext uri="{FF2B5EF4-FFF2-40B4-BE49-F238E27FC236}">
              <a16:creationId xmlns:a16="http://schemas.microsoft.com/office/drawing/2014/main" id="{54A23BD3-6D25-40CC-B7C4-7E3512002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24</xdr:col>
      <xdr:colOff>0</xdr:colOff>
      <xdr:row>21</xdr:row>
      <xdr:rowOff>0</xdr:rowOff>
    </xdr:from>
    <xdr:to>
      <xdr:col>48</xdr:col>
      <xdr:colOff>453390</xdr:colOff>
      <xdr:row>33</xdr:row>
      <xdr:rowOff>685800</xdr:rowOff>
    </xdr:to>
    <xdr:graphicFrame macro="">
      <xdr:nvGraphicFramePr>
        <xdr:cNvPr id="2" name="Chart 1">
          <a:extLst>
            <a:ext uri="{FF2B5EF4-FFF2-40B4-BE49-F238E27FC236}">
              <a16:creationId xmlns:a16="http://schemas.microsoft.com/office/drawing/2014/main" id="{BBCB0EC1-BCAC-42AE-833E-73F7AC8AAE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3-Projects\dashboard\Monthly%20Progress%20Dashboard.xlsx" TargetMode="External"/><Relationship Id="rId1" Type="http://schemas.openxmlformats.org/officeDocument/2006/relationships/externalLinkPath" Target="Monthly%20Progress%20Dashboar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3-Projects\dashboard\Planned%20Vs.%20Actual%20Dashboard.xlsx" TargetMode="External"/><Relationship Id="rId1" Type="http://schemas.openxmlformats.org/officeDocument/2006/relationships/externalLinkPath" Target="Planned%20Vs.%20Actual%20Dashboard.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D:\General\WPR\wpr%20Soft%20copies\WPR%20sept%209%20sept%20to%2015%20oct.xlsx" TargetMode="External"/><Relationship Id="rId1" Type="http://schemas.openxmlformats.org/officeDocument/2006/relationships/externalLinkPath" Target="/General/WPR/wpr%20Soft%20copies/WPR%20sept%209%20sept%20to%2015%20o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SOR Log"/>
      <sheetName val="Cube Test"/>
      <sheetName val="Organization Chart"/>
      <sheetName val="CAR register"/>
      <sheetName val="Quality Assurance Plan - Detail"/>
    </sheetNames>
    <sheetDataSet>
      <sheetData sheetId="0" refreshError="1"/>
      <sheetData sheetId="1" refreshError="1"/>
      <sheetData sheetId="2">
        <row r="3">
          <cell r="B3" t="str">
            <v>Compressive strength at 7 days</v>
          </cell>
          <cell r="C3" t="str">
            <v>IS code lower limit</v>
          </cell>
        </row>
        <row r="4">
          <cell r="A4">
            <v>1</v>
          </cell>
          <cell r="B4">
            <v>19.07</v>
          </cell>
          <cell r="C4">
            <v>17</v>
          </cell>
        </row>
        <row r="5">
          <cell r="A5">
            <v>2</v>
          </cell>
          <cell r="B5">
            <v>23</v>
          </cell>
          <cell r="C5">
            <v>17</v>
          </cell>
        </row>
        <row r="6">
          <cell r="A6">
            <v>3</v>
          </cell>
          <cell r="B6">
            <v>22.24</v>
          </cell>
          <cell r="C6">
            <v>17</v>
          </cell>
        </row>
        <row r="7">
          <cell r="A7">
            <v>4</v>
          </cell>
          <cell r="B7">
            <v>18.03</v>
          </cell>
          <cell r="C7">
            <v>17</v>
          </cell>
        </row>
        <row r="8">
          <cell r="A8">
            <v>5</v>
          </cell>
          <cell r="B8">
            <v>18.239999999999998</v>
          </cell>
          <cell r="C8">
            <v>17</v>
          </cell>
        </row>
        <row r="9">
          <cell r="A9">
            <v>6</v>
          </cell>
          <cell r="B9">
            <v>19.16</v>
          </cell>
          <cell r="C9">
            <v>17</v>
          </cell>
        </row>
      </sheetData>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Weekly Manpower"/>
      <sheetName val="Project Cashflow "/>
      <sheetName val="Planned Vs Actual "/>
      <sheetName val="As per drawing status"/>
    </sheetNames>
    <sheetDataSet>
      <sheetData sheetId="0" refreshError="1"/>
      <sheetData sheetId="1">
        <row r="4">
          <cell r="B4" t="str">
            <v>Reinforcement work</v>
          </cell>
        </row>
        <row r="5">
          <cell r="B5" t="str">
            <v>Carpenter</v>
          </cell>
        </row>
        <row r="6">
          <cell r="B6" t="str">
            <v>Mason</v>
          </cell>
        </row>
        <row r="7">
          <cell r="B7" t="str">
            <v>Helper</v>
          </cell>
        </row>
        <row r="8">
          <cell r="B8" t="str">
            <v>Unskilled Worker</v>
          </cell>
        </row>
        <row r="9">
          <cell r="B9" t="str">
            <v>Drivers</v>
          </cell>
        </row>
        <row r="10">
          <cell r="B10" t="str">
            <v>Staff</v>
          </cell>
        </row>
        <row r="11">
          <cell r="B11" t="str">
            <v>Plumbing</v>
          </cell>
        </row>
        <row r="12">
          <cell r="B12" t="str">
            <v>Tiles Work</v>
          </cell>
        </row>
        <row r="13">
          <cell r="B13" t="str">
            <v>Painter</v>
          </cell>
        </row>
        <row r="14">
          <cell r="B14" t="str">
            <v>Electric Work</v>
          </cell>
        </row>
      </sheetData>
      <sheetData sheetId="2">
        <row r="3">
          <cell r="E3" t="str">
            <v xml:space="preserve">Planned Work </v>
          </cell>
          <cell r="F3" t="str">
            <v>Actual Work</v>
          </cell>
        </row>
        <row r="4">
          <cell r="B4" t="str">
            <v>August</v>
          </cell>
          <cell r="E4">
            <v>5000000</v>
          </cell>
          <cell r="F4">
            <v>1063955</v>
          </cell>
        </row>
        <row r="5">
          <cell r="B5" t="str">
            <v>September</v>
          </cell>
          <cell r="E5">
            <v>7200000</v>
          </cell>
          <cell r="F5">
            <v>7797193</v>
          </cell>
        </row>
        <row r="6">
          <cell r="B6" t="str">
            <v>October</v>
          </cell>
          <cell r="E6">
            <v>5000000</v>
          </cell>
          <cell r="F6">
            <v>168333</v>
          </cell>
        </row>
        <row r="7">
          <cell r="B7" t="str">
            <v>November</v>
          </cell>
          <cell r="E7">
            <v>7500000</v>
          </cell>
          <cell r="F7">
            <v>2376171</v>
          </cell>
        </row>
        <row r="8">
          <cell r="B8" t="str">
            <v>December</v>
          </cell>
          <cell r="E8">
            <v>8000000</v>
          </cell>
          <cell r="F8">
            <v>11104853</v>
          </cell>
        </row>
        <row r="9">
          <cell r="B9" t="str">
            <v>January</v>
          </cell>
          <cell r="E9">
            <v>9000000</v>
          </cell>
        </row>
        <row r="10">
          <cell r="B10" t="str">
            <v>February</v>
          </cell>
          <cell r="E10">
            <v>8000000</v>
          </cell>
        </row>
        <row r="11">
          <cell r="B11" t="str">
            <v>March</v>
          </cell>
          <cell r="E11">
            <v>8000000</v>
          </cell>
        </row>
      </sheetData>
      <sheetData sheetId="3">
        <row r="6">
          <cell r="N6" t="str">
            <v>% Balance  Qty ( Remaining ) Against GFC Qty</v>
          </cell>
          <cell r="O6" t="str">
            <v xml:space="preserve">% Planned Against 
Balance Qty  </v>
          </cell>
        </row>
        <row r="7">
          <cell r="C7" t="str">
            <v xml:space="preserve">Excavation </v>
          </cell>
          <cell r="G7">
            <v>3925</v>
          </cell>
          <cell r="H7">
            <v>1826</v>
          </cell>
          <cell r="K7">
            <v>0</v>
          </cell>
          <cell r="L7">
            <v>0</v>
          </cell>
          <cell r="M7">
            <v>1826.1999999999998</v>
          </cell>
          <cell r="N7">
            <v>-1.0952902519157618E-4</v>
          </cell>
          <cell r="O7">
            <v>0</v>
          </cell>
        </row>
        <row r="8">
          <cell r="C8" t="str">
            <v>Footing PCC</v>
          </cell>
          <cell r="G8">
            <v>265</v>
          </cell>
          <cell r="H8">
            <v>91.31</v>
          </cell>
          <cell r="K8">
            <v>0</v>
          </cell>
          <cell r="L8">
            <v>0</v>
          </cell>
          <cell r="M8">
            <v>91.31</v>
          </cell>
          <cell r="N8">
            <v>0</v>
          </cell>
          <cell r="O8">
            <v>0</v>
          </cell>
        </row>
        <row r="9">
          <cell r="C9" t="str">
            <v>Yellow Soil Filling</v>
          </cell>
          <cell r="G9">
            <v>10000</v>
          </cell>
          <cell r="H9">
            <v>1123.22</v>
          </cell>
          <cell r="K9">
            <v>0</v>
          </cell>
          <cell r="L9">
            <v>0</v>
          </cell>
          <cell r="M9">
            <v>1123.22</v>
          </cell>
          <cell r="N9">
            <v>0</v>
          </cell>
          <cell r="O9">
            <v>0</v>
          </cell>
        </row>
        <row r="10">
          <cell r="C10" t="str">
            <v>Rubble Soling</v>
          </cell>
          <cell r="G10">
            <v>195.5</v>
          </cell>
          <cell r="H10">
            <v>173.81</v>
          </cell>
          <cell r="K10">
            <v>0</v>
          </cell>
          <cell r="L10">
            <v>0</v>
          </cell>
          <cell r="M10">
            <v>173.81</v>
          </cell>
          <cell r="N10">
            <v>0</v>
          </cell>
          <cell r="O10">
            <v>0</v>
          </cell>
        </row>
        <row r="11">
          <cell r="C11" t="str">
            <v>Footing Shuttering</v>
          </cell>
          <cell r="F11" t="str">
            <v>SMT</v>
          </cell>
          <cell r="G11">
            <v>1075</v>
          </cell>
          <cell r="H11">
            <v>441.90800000000002</v>
          </cell>
          <cell r="K11">
            <v>0</v>
          </cell>
          <cell r="L11">
            <v>0</v>
          </cell>
          <cell r="N11">
            <v>-4.5258289055856641E-6</v>
          </cell>
          <cell r="O11">
            <v>0</v>
          </cell>
        </row>
        <row r="12">
          <cell r="C12" t="str">
            <v>Footing RCC</v>
          </cell>
          <cell r="G12">
            <v>380</v>
          </cell>
          <cell r="H12">
            <v>292.76400000000001</v>
          </cell>
          <cell r="K12">
            <v>0</v>
          </cell>
          <cell r="L12">
            <v>0</v>
          </cell>
          <cell r="M12">
            <v>292.76</v>
          </cell>
          <cell r="N12">
            <v>1.3662882048404514E-5</v>
          </cell>
          <cell r="O12">
            <v>0</v>
          </cell>
        </row>
        <row r="13">
          <cell r="C13" t="str">
            <v>Padestal Upto Plinth Top Shuttering</v>
          </cell>
          <cell r="H13">
            <v>664</v>
          </cell>
          <cell r="K13">
            <v>0</v>
          </cell>
          <cell r="L13">
            <v>0</v>
          </cell>
          <cell r="M13">
            <v>663.99999999999989</v>
          </cell>
          <cell r="N13">
            <v>0</v>
          </cell>
          <cell r="O13">
            <v>0</v>
          </cell>
        </row>
        <row r="14">
          <cell r="C14" t="str">
            <v>Padestal Upto Plinth Top RCC</v>
          </cell>
          <cell r="H14">
            <v>62.65</v>
          </cell>
          <cell r="K14">
            <v>0</v>
          </cell>
          <cell r="L14">
            <v>0</v>
          </cell>
          <cell r="M14">
            <v>62.65</v>
          </cell>
          <cell r="N14">
            <v>0</v>
          </cell>
          <cell r="O14">
            <v>0</v>
          </cell>
        </row>
        <row r="15">
          <cell r="C15" t="str">
            <v>GB Excavation</v>
          </cell>
          <cell r="H15">
            <v>11.795</v>
          </cell>
          <cell r="K15">
            <v>0</v>
          </cell>
          <cell r="L15">
            <v>0</v>
          </cell>
          <cell r="M15">
            <v>11.795</v>
          </cell>
          <cell r="N15">
            <v>0</v>
          </cell>
          <cell r="O15">
            <v>0</v>
          </cell>
        </row>
        <row r="16">
          <cell r="C16" t="str">
            <v>GB PCC</v>
          </cell>
          <cell r="H16">
            <v>7.944</v>
          </cell>
          <cell r="K16">
            <v>0</v>
          </cell>
          <cell r="L16">
            <v>0</v>
          </cell>
          <cell r="M16">
            <v>7.944</v>
          </cell>
          <cell r="N16">
            <v>0</v>
          </cell>
          <cell r="O16">
            <v>0</v>
          </cell>
        </row>
        <row r="17">
          <cell r="C17" t="str">
            <v>GB Shuttering</v>
          </cell>
          <cell r="H17">
            <v>142.93799999999999</v>
          </cell>
          <cell r="K17">
            <v>0</v>
          </cell>
          <cell r="L17">
            <v>0</v>
          </cell>
          <cell r="M17">
            <v>142.85</v>
          </cell>
          <cell r="N17">
            <v>6.1565154122762223E-4</v>
          </cell>
          <cell r="O17">
            <v>0</v>
          </cell>
        </row>
        <row r="18">
          <cell r="C18" t="str">
            <v>GB RCC</v>
          </cell>
          <cell r="F18" t="str">
            <v>CUM</v>
          </cell>
          <cell r="H18">
            <v>23.994</v>
          </cell>
          <cell r="K18">
            <v>0</v>
          </cell>
          <cell r="L18">
            <v>0</v>
          </cell>
          <cell r="M18">
            <v>23.979999999999997</v>
          </cell>
          <cell r="N18">
            <v>5.8347920313423765E-4</v>
          </cell>
          <cell r="O18">
            <v>0</v>
          </cell>
        </row>
        <row r="19">
          <cell r="C19" t="str">
            <v>Masonry Above GB</v>
          </cell>
          <cell r="G19">
            <v>130</v>
          </cell>
          <cell r="H19">
            <v>86.293999999999997</v>
          </cell>
          <cell r="K19">
            <v>0</v>
          </cell>
          <cell r="L19">
            <v>0</v>
          </cell>
          <cell r="M19">
            <v>86.293999999999997</v>
          </cell>
          <cell r="N19">
            <v>0</v>
          </cell>
          <cell r="O19">
            <v>0</v>
          </cell>
        </row>
        <row r="20">
          <cell r="C20" t="str">
            <v>Plinth Beam PCC</v>
          </cell>
          <cell r="H20">
            <v>18.07</v>
          </cell>
          <cell r="K20">
            <v>0</v>
          </cell>
          <cell r="L20">
            <v>0</v>
          </cell>
          <cell r="M20">
            <v>18.07</v>
          </cell>
          <cell r="N20">
            <v>0</v>
          </cell>
          <cell r="O20">
            <v>0</v>
          </cell>
        </row>
        <row r="21">
          <cell r="C21" t="str">
            <v>Plinth Beam Shuttering</v>
          </cell>
          <cell r="H21">
            <v>387.1</v>
          </cell>
          <cell r="K21">
            <v>0</v>
          </cell>
          <cell r="L21">
            <v>0</v>
          </cell>
          <cell r="M21">
            <v>387.1</v>
          </cell>
          <cell r="N21">
            <v>0</v>
          </cell>
          <cell r="O21">
            <v>0</v>
          </cell>
        </row>
        <row r="22">
          <cell r="C22" t="str">
            <v>Plinth Beam RCC</v>
          </cell>
          <cell r="H22">
            <v>45.72</v>
          </cell>
          <cell r="K22">
            <v>0</v>
          </cell>
          <cell r="L22">
            <v>0</v>
          </cell>
          <cell r="M22">
            <v>45.72</v>
          </cell>
          <cell r="N22">
            <v>0</v>
          </cell>
          <cell r="O22">
            <v>0</v>
          </cell>
        </row>
        <row r="23">
          <cell r="C23" t="str">
            <v>Plinth Plaster</v>
          </cell>
          <cell r="F23" t="str">
            <v>SMT</v>
          </cell>
          <cell r="G23">
            <v>5235</v>
          </cell>
          <cell r="H23">
            <v>92.29</v>
          </cell>
          <cell r="K23">
            <v>32.790000000000006</v>
          </cell>
          <cell r="L23">
            <v>15</v>
          </cell>
          <cell r="M23">
            <v>74.5</v>
          </cell>
          <cell r="N23">
            <v>0.3552930978437534</v>
          </cell>
          <cell r="O23">
            <v>1</v>
          </cell>
        </row>
        <row r="24">
          <cell r="C24" t="str">
            <v>Masonry above PB</v>
          </cell>
          <cell r="H24">
            <v>16.167999999999999</v>
          </cell>
          <cell r="J24">
            <v>-2.0000000000024443E-3</v>
          </cell>
          <cell r="L24">
            <v>0</v>
          </cell>
          <cell r="M24">
            <v>16.170000000000002</v>
          </cell>
          <cell r="N24">
            <v>-1.2370113805062124E-4</v>
          </cell>
          <cell r="O24">
            <v>0</v>
          </cell>
        </row>
        <row r="25">
          <cell r="C25" t="str">
            <v>Floor PCC</v>
          </cell>
          <cell r="F25" t="str">
            <v>CUM</v>
          </cell>
          <cell r="H25">
            <v>86.9</v>
          </cell>
          <cell r="K25">
            <v>0</v>
          </cell>
          <cell r="L25">
            <v>0</v>
          </cell>
          <cell r="M25">
            <v>86.9</v>
          </cell>
          <cell r="N25">
            <v>0</v>
          </cell>
          <cell r="O25">
            <v>0</v>
          </cell>
        </row>
        <row r="26">
          <cell r="C26" t="str">
            <v>Floor RCC Shuttering</v>
          </cell>
          <cell r="H26">
            <v>15.3</v>
          </cell>
          <cell r="K26">
            <v>0</v>
          </cell>
          <cell r="L26">
            <v>0</v>
          </cell>
          <cell r="M26">
            <v>15.3</v>
          </cell>
          <cell r="N26">
            <v>0</v>
          </cell>
          <cell r="O26">
            <v>0</v>
          </cell>
        </row>
        <row r="27">
          <cell r="C27" t="str">
            <v>Floor RCC</v>
          </cell>
          <cell r="H27">
            <v>88.03</v>
          </cell>
          <cell r="J27">
            <v>0</v>
          </cell>
          <cell r="L27">
            <v>0</v>
          </cell>
          <cell r="M27">
            <v>88.03</v>
          </cell>
          <cell r="N27">
            <v>0</v>
          </cell>
          <cell r="O27">
            <v>0</v>
          </cell>
        </row>
        <row r="28">
          <cell r="O28">
            <v>4.7619047619047616E-2</v>
          </cell>
        </row>
        <row r="29">
          <cell r="C29" t="str">
            <v>Plinth to GF slab column shuttering</v>
          </cell>
          <cell r="F29" t="str">
            <v>SQM</v>
          </cell>
          <cell r="H29">
            <v>427.55</v>
          </cell>
          <cell r="K29">
            <v>0</v>
          </cell>
          <cell r="L29">
            <v>0</v>
          </cell>
          <cell r="M29">
            <v>427.55399999999997</v>
          </cell>
          <cell r="N29">
            <v>-9.3556309202719113E-6</v>
          </cell>
          <cell r="O29">
            <v>0</v>
          </cell>
        </row>
        <row r="30">
          <cell r="C30" t="str">
            <v>GF beam shuttering</v>
          </cell>
          <cell r="F30" t="str">
            <v>SQM</v>
          </cell>
          <cell r="H30">
            <v>700.59</v>
          </cell>
          <cell r="K30">
            <v>0</v>
          </cell>
          <cell r="L30">
            <v>0</v>
          </cell>
          <cell r="M30">
            <v>700.59</v>
          </cell>
          <cell r="N30">
            <v>0</v>
          </cell>
          <cell r="O30">
            <v>0</v>
          </cell>
        </row>
        <row r="31">
          <cell r="C31" t="str">
            <v>GF Slab shuttering</v>
          </cell>
          <cell r="F31" t="str">
            <v>SQM</v>
          </cell>
          <cell r="H31">
            <v>664.26</v>
          </cell>
          <cell r="K31">
            <v>0</v>
          </cell>
          <cell r="L31">
            <v>0</v>
          </cell>
          <cell r="M31">
            <v>664.23</v>
          </cell>
          <cell r="N31">
            <v>4.516303856919386E-5</v>
          </cell>
          <cell r="O31">
            <v>0</v>
          </cell>
        </row>
        <row r="32">
          <cell r="C32" t="str">
            <v>GF staircase shuttering</v>
          </cell>
          <cell r="F32" t="str">
            <v>SQM</v>
          </cell>
          <cell r="H32">
            <v>57.39</v>
          </cell>
          <cell r="K32">
            <v>0</v>
          </cell>
          <cell r="L32">
            <v>0</v>
          </cell>
          <cell r="M32">
            <v>57.39</v>
          </cell>
          <cell r="N32">
            <v>0</v>
          </cell>
          <cell r="O32">
            <v>0</v>
          </cell>
        </row>
        <row r="33">
          <cell r="C33" t="str">
            <v>GF lintel shuttering</v>
          </cell>
          <cell r="F33" t="str">
            <v>SQM</v>
          </cell>
          <cell r="H33">
            <v>67.989999999999995</v>
          </cell>
          <cell r="K33">
            <v>0</v>
          </cell>
          <cell r="L33">
            <v>0</v>
          </cell>
          <cell r="M33">
            <v>56</v>
          </cell>
          <cell r="N33">
            <v>0.17634946315634645</v>
          </cell>
          <cell r="O33">
            <v>0</v>
          </cell>
        </row>
        <row r="34">
          <cell r="C34" t="str">
            <v>Plinth to GF slab column concrete</v>
          </cell>
          <cell r="F34" t="str">
            <v>CUM</v>
          </cell>
          <cell r="G34">
            <v>210</v>
          </cell>
          <cell r="H34">
            <v>32.822000000000003</v>
          </cell>
          <cell r="K34">
            <v>0</v>
          </cell>
          <cell r="L34">
            <v>0</v>
          </cell>
          <cell r="M34">
            <v>32.82</v>
          </cell>
          <cell r="N34">
            <v>6.0934738894718302E-5</v>
          </cell>
          <cell r="O34">
            <v>0</v>
          </cell>
        </row>
        <row r="35">
          <cell r="C35" t="str">
            <v>GF beam Concrete</v>
          </cell>
          <cell r="F35" t="str">
            <v>CUM</v>
          </cell>
          <cell r="H35">
            <v>61.76</v>
          </cell>
          <cell r="K35">
            <v>0</v>
          </cell>
          <cell r="L35">
            <v>0</v>
          </cell>
          <cell r="M35">
            <v>61.75</v>
          </cell>
          <cell r="N35">
            <v>1.6191709844556363E-4</v>
          </cell>
          <cell r="O35">
            <v>0</v>
          </cell>
        </row>
        <row r="36">
          <cell r="C36" t="str">
            <v>GF Slab Concrete</v>
          </cell>
          <cell r="F36" t="str">
            <v>CUM</v>
          </cell>
          <cell r="H36">
            <v>101.99</v>
          </cell>
          <cell r="K36">
            <v>0</v>
          </cell>
          <cell r="L36">
            <v>0</v>
          </cell>
          <cell r="M36">
            <v>101.98</v>
          </cell>
          <cell r="N36">
            <v>9.8048828316412443E-5</v>
          </cell>
          <cell r="O36">
            <v>0</v>
          </cell>
        </row>
        <row r="37">
          <cell r="C37" t="str">
            <v>GF staircase concrete</v>
          </cell>
          <cell r="F37" t="str">
            <v>CUM</v>
          </cell>
          <cell r="H37">
            <v>8.5299999999999994</v>
          </cell>
          <cell r="K37">
            <v>0</v>
          </cell>
          <cell r="L37">
            <v>0</v>
          </cell>
          <cell r="M37">
            <v>8.52</v>
          </cell>
          <cell r="N37">
            <v>1.172332942555661E-3</v>
          </cell>
          <cell r="O37">
            <v>0</v>
          </cell>
        </row>
        <row r="38">
          <cell r="C38" t="str">
            <v>GF lintel Concrete</v>
          </cell>
          <cell r="F38" t="str">
            <v>CUM</v>
          </cell>
          <cell r="H38">
            <v>3.91</v>
          </cell>
          <cell r="K38">
            <v>0</v>
          </cell>
          <cell r="L38">
            <v>0</v>
          </cell>
          <cell r="M38">
            <v>2</v>
          </cell>
          <cell r="N38">
            <v>0.48849104859335041</v>
          </cell>
          <cell r="O38">
            <v>0</v>
          </cell>
        </row>
        <row r="39">
          <cell r="C39" t="str">
            <v>Brick masonary GF (230 mm)</v>
          </cell>
          <cell r="F39" t="str">
            <v>CUM</v>
          </cell>
          <cell r="G39">
            <v>80</v>
          </cell>
          <cell r="H39">
            <v>73.48</v>
          </cell>
          <cell r="K39">
            <v>20</v>
          </cell>
          <cell r="L39">
            <v>7</v>
          </cell>
          <cell r="M39">
            <v>43.86</v>
          </cell>
          <cell r="N39">
            <v>0.49836690255851934</v>
          </cell>
          <cell r="O39">
            <v>0.54614964500273067</v>
          </cell>
        </row>
        <row r="40">
          <cell r="C40" t="str">
            <v>Brick masonary GF (115 mm)</v>
          </cell>
          <cell r="F40" t="str">
            <v>SMT</v>
          </cell>
          <cell r="G40">
            <v>1170</v>
          </cell>
          <cell r="H40">
            <v>768</v>
          </cell>
          <cell r="K40">
            <v>100</v>
          </cell>
          <cell r="L40">
            <v>10</v>
          </cell>
          <cell r="M40">
            <v>356.26</v>
          </cell>
          <cell r="N40">
            <v>0.54914062500000005</v>
          </cell>
          <cell r="O40">
            <v>0.2371129131692512</v>
          </cell>
        </row>
        <row r="41">
          <cell r="C41" t="str">
            <v>Internal Plaster</v>
          </cell>
          <cell r="F41" t="str">
            <v>SMT</v>
          </cell>
          <cell r="G41">
            <v>1591.21</v>
          </cell>
          <cell r="H41">
            <v>1733.79</v>
          </cell>
          <cell r="K41">
            <v>600</v>
          </cell>
          <cell r="L41">
            <v>301</v>
          </cell>
          <cell r="M41">
            <v>663</v>
          </cell>
          <cell r="N41">
            <v>0.79120885459023294</v>
          </cell>
          <cell r="O41">
            <v>0.43738473089904434</v>
          </cell>
        </row>
        <row r="42">
          <cell r="C42" t="str">
            <v>Flooring</v>
          </cell>
          <cell r="F42" t="str">
            <v>SMT</v>
          </cell>
          <cell r="G42">
            <v>830</v>
          </cell>
          <cell r="H42">
            <v>841.16</v>
          </cell>
          <cell r="K42">
            <v>100</v>
          </cell>
          <cell r="L42">
            <v>55.15</v>
          </cell>
          <cell r="M42">
            <v>55.15</v>
          </cell>
          <cell r="N42">
            <v>1</v>
          </cell>
          <cell r="O42">
            <v>0.11888344666888583</v>
          </cell>
        </row>
        <row r="43">
          <cell r="C43" t="str">
            <v>Skirting</v>
          </cell>
          <cell r="F43" t="str">
            <v>RMT</v>
          </cell>
          <cell r="G43">
            <v>1865</v>
          </cell>
          <cell r="H43">
            <v>1859.2</v>
          </cell>
          <cell r="K43">
            <v>100</v>
          </cell>
          <cell r="L43">
            <v>45</v>
          </cell>
          <cell r="M43">
            <v>45</v>
          </cell>
          <cell r="N43">
            <v>1</v>
          </cell>
          <cell r="O43">
            <v>5.3786574870912221E-2</v>
          </cell>
        </row>
        <row r="44">
          <cell r="O44">
            <v>9.2887820707388283E-2</v>
          </cell>
        </row>
        <row r="45">
          <cell r="C45" t="str">
            <v>GF to FF slab column shuttering</v>
          </cell>
          <cell r="F45" t="str">
            <v>SQM</v>
          </cell>
          <cell r="G45">
            <v>1680</v>
          </cell>
          <cell r="H45">
            <v>439.91300000000001</v>
          </cell>
          <cell r="K45">
            <v>100</v>
          </cell>
          <cell r="L45">
            <v>21.32</v>
          </cell>
          <cell r="M45">
            <v>336.32</v>
          </cell>
          <cell r="N45">
            <v>0.28394932634407261</v>
          </cell>
          <cell r="O45">
            <v>0.80055718780271057</v>
          </cell>
        </row>
        <row r="46">
          <cell r="C46" t="str">
            <v>FF beam shuttering</v>
          </cell>
          <cell r="F46" t="str">
            <v>SQM</v>
          </cell>
          <cell r="H46">
            <v>700.59</v>
          </cell>
          <cell r="K46">
            <v>0</v>
          </cell>
          <cell r="L46">
            <v>0</v>
          </cell>
          <cell r="M46">
            <v>701</v>
          </cell>
          <cell r="N46">
            <v>-5.8522102799064813E-4</v>
          </cell>
          <cell r="O46">
            <v>0</v>
          </cell>
        </row>
        <row r="47">
          <cell r="C47" t="str">
            <v>FF Slab shuttering</v>
          </cell>
          <cell r="F47" t="str">
            <v>SQM</v>
          </cell>
          <cell r="H47">
            <v>664.26</v>
          </cell>
          <cell r="K47">
            <v>0</v>
          </cell>
          <cell r="L47">
            <v>0</v>
          </cell>
          <cell r="M47">
            <v>664.26</v>
          </cell>
          <cell r="N47">
            <v>0</v>
          </cell>
          <cell r="O47">
            <v>0</v>
          </cell>
        </row>
        <row r="48">
          <cell r="C48" t="str">
            <v>FF Staircase Shuttering</v>
          </cell>
          <cell r="F48" t="str">
            <v>SQM</v>
          </cell>
          <cell r="H48">
            <v>57.39</v>
          </cell>
          <cell r="K48">
            <v>0</v>
          </cell>
          <cell r="L48">
            <v>0</v>
          </cell>
          <cell r="M48">
            <v>57.39</v>
          </cell>
          <cell r="N48">
            <v>0</v>
          </cell>
          <cell r="O48">
            <v>0</v>
          </cell>
        </row>
        <row r="49">
          <cell r="C49" t="str">
            <v>FF lintel shuttering</v>
          </cell>
          <cell r="F49" t="str">
            <v>SQM</v>
          </cell>
          <cell r="H49">
            <v>67.989999999999995</v>
          </cell>
          <cell r="K49">
            <v>60</v>
          </cell>
          <cell r="L49">
            <v>29</v>
          </cell>
          <cell r="M49">
            <v>29</v>
          </cell>
          <cell r="N49">
            <v>1</v>
          </cell>
          <cell r="O49">
            <v>0.8824827180467717</v>
          </cell>
        </row>
        <row r="50">
          <cell r="C50" t="str">
            <v>GF to FF slab column concrete</v>
          </cell>
          <cell r="F50" t="str">
            <v>CUM</v>
          </cell>
          <cell r="G50">
            <v>210</v>
          </cell>
          <cell r="H50">
            <v>32.822000000000003</v>
          </cell>
          <cell r="K50">
            <v>0</v>
          </cell>
          <cell r="L50">
            <v>0</v>
          </cell>
          <cell r="M50">
            <v>25.810000000000002</v>
          </cell>
          <cell r="N50">
            <v>0.2136371945646213</v>
          </cell>
          <cell r="O50">
            <v>0</v>
          </cell>
        </row>
        <row r="51">
          <cell r="C51" t="str">
            <v>FF Staircase Concrete</v>
          </cell>
          <cell r="F51" t="str">
            <v>CUM</v>
          </cell>
          <cell r="H51">
            <v>8.5299999999999994</v>
          </cell>
          <cell r="K51">
            <v>0</v>
          </cell>
          <cell r="L51">
            <v>0</v>
          </cell>
          <cell r="M51">
            <v>8.5299999999999994</v>
          </cell>
          <cell r="N51">
            <v>0</v>
          </cell>
          <cell r="O51">
            <v>0</v>
          </cell>
        </row>
        <row r="52">
          <cell r="C52" t="str">
            <v>FF beam Concrete</v>
          </cell>
          <cell r="F52" t="str">
            <v>CUM</v>
          </cell>
          <cell r="H52">
            <v>61.76</v>
          </cell>
          <cell r="K52">
            <v>0</v>
          </cell>
          <cell r="L52">
            <v>0</v>
          </cell>
          <cell r="M52">
            <v>61.76</v>
          </cell>
          <cell r="N52">
            <v>0</v>
          </cell>
          <cell r="O52">
            <v>0</v>
          </cell>
        </row>
        <row r="53">
          <cell r="C53" t="str">
            <v>FF Slab Concrete</v>
          </cell>
          <cell r="F53" t="str">
            <v>CUM</v>
          </cell>
          <cell r="H53">
            <v>101.99</v>
          </cell>
          <cell r="K53">
            <v>0</v>
          </cell>
          <cell r="L53">
            <v>0</v>
          </cell>
          <cell r="M53">
            <v>101.99</v>
          </cell>
          <cell r="N53">
            <v>0</v>
          </cell>
          <cell r="O53">
            <v>0</v>
          </cell>
        </row>
        <row r="54">
          <cell r="C54" t="str">
            <v>FF lintel Concrete</v>
          </cell>
          <cell r="F54" t="str">
            <v>CUM</v>
          </cell>
          <cell r="H54">
            <v>3.91</v>
          </cell>
          <cell r="I54">
            <v>0</v>
          </cell>
          <cell r="K54">
            <v>0</v>
          </cell>
          <cell r="L54">
            <v>0</v>
          </cell>
          <cell r="N54">
            <v>0</v>
          </cell>
          <cell r="O54">
            <v>0</v>
          </cell>
        </row>
        <row r="55">
          <cell r="C55" t="str">
            <v>Brick masonary FF (230 mm)</v>
          </cell>
          <cell r="F55" t="str">
            <v>CUM</v>
          </cell>
          <cell r="G55">
            <v>80</v>
          </cell>
          <cell r="H55">
            <v>73.48</v>
          </cell>
          <cell r="I55">
            <v>0</v>
          </cell>
          <cell r="K55">
            <v>20</v>
          </cell>
          <cell r="L55">
            <v>28.630000000000003</v>
          </cell>
          <cell r="N55">
            <v>1</v>
          </cell>
          <cell r="O55">
            <v>0.27218290691344582</v>
          </cell>
        </row>
        <row r="56">
          <cell r="C56" t="str">
            <v>Brick masonary FF (115 mm)</v>
          </cell>
          <cell r="F56" t="str">
            <v>SMT</v>
          </cell>
          <cell r="G56">
            <v>1170</v>
          </cell>
          <cell r="H56">
            <v>768</v>
          </cell>
          <cell r="I56">
            <v>0</v>
          </cell>
          <cell r="K56">
            <v>300</v>
          </cell>
          <cell r="L56">
            <v>174.54999999999998</v>
          </cell>
          <cell r="N56">
            <v>1</v>
          </cell>
          <cell r="O56">
            <v>0.390625</v>
          </cell>
        </row>
        <row r="57">
          <cell r="C57" t="str">
            <v>Internal Plaster</v>
          </cell>
          <cell r="F57" t="str">
            <v>SMT</v>
          </cell>
          <cell r="G57">
            <v>1591.21</v>
          </cell>
          <cell r="H57">
            <v>1733.79</v>
          </cell>
          <cell r="I57">
            <v>0</v>
          </cell>
          <cell r="K57">
            <v>0</v>
          </cell>
          <cell r="L57">
            <v>0</v>
          </cell>
          <cell r="N57">
            <v>1</v>
          </cell>
          <cell r="O57">
            <v>0</v>
          </cell>
        </row>
        <row r="58">
          <cell r="C58" t="str">
            <v>Flooring</v>
          </cell>
          <cell r="F58" t="str">
            <v>SMT</v>
          </cell>
          <cell r="G58">
            <v>830</v>
          </cell>
          <cell r="H58">
            <v>841.16</v>
          </cell>
          <cell r="I58">
            <v>0</v>
          </cell>
          <cell r="K58">
            <v>0</v>
          </cell>
          <cell r="L58">
            <v>0</v>
          </cell>
          <cell r="N58">
            <v>1</v>
          </cell>
          <cell r="O58">
            <v>0</v>
          </cell>
        </row>
        <row r="59">
          <cell r="C59" t="str">
            <v>Skirting</v>
          </cell>
          <cell r="F59" t="str">
            <v>RMT</v>
          </cell>
          <cell r="G59">
            <v>1865</v>
          </cell>
          <cell r="H59">
            <v>1859.2</v>
          </cell>
          <cell r="I59">
            <v>0</v>
          </cell>
          <cell r="K59">
            <v>0</v>
          </cell>
          <cell r="L59">
            <v>0</v>
          </cell>
          <cell r="N59">
            <v>1</v>
          </cell>
          <cell r="O59">
            <v>0</v>
          </cell>
        </row>
        <row r="60">
          <cell r="O60">
            <v>0.15638985418419521</v>
          </cell>
        </row>
        <row r="61">
          <cell r="C61" t="str">
            <v>FF to SF slab column shuttering</v>
          </cell>
          <cell r="F61" t="str">
            <v>SQM</v>
          </cell>
          <cell r="G61">
            <v>1680</v>
          </cell>
          <cell r="H61">
            <v>439.91300000000001</v>
          </cell>
          <cell r="K61">
            <v>0</v>
          </cell>
          <cell r="L61">
            <v>0</v>
          </cell>
          <cell r="M61">
            <v>310.94</v>
          </cell>
          <cell r="N61">
            <v>0.29317842391563786</v>
          </cell>
          <cell r="O61">
            <v>0</v>
          </cell>
        </row>
        <row r="62">
          <cell r="C62" t="str">
            <v>SF Staircase Shuttering</v>
          </cell>
          <cell r="F62" t="str">
            <v>SQM</v>
          </cell>
          <cell r="H62">
            <v>57.39</v>
          </cell>
          <cell r="K62">
            <v>0</v>
          </cell>
          <cell r="L62">
            <v>0</v>
          </cell>
          <cell r="M62">
            <v>57.39</v>
          </cell>
          <cell r="N62">
            <v>0</v>
          </cell>
          <cell r="O62">
            <v>0</v>
          </cell>
        </row>
        <row r="63">
          <cell r="C63" t="str">
            <v>SF beam shuttering</v>
          </cell>
          <cell r="F63" t="str">
            <v>SQM</v>
          </cell>
          <cell r="H63">
            <v>700.59</v>
          </cell>
          <cell r="L63">
            <v>0</v>
          </cell>
          <cell r="N63">
            <v>0</v>
          </cell>
          <cell r="O63">
            <v>0</v>
          </cell>
        </row>
        <row r="64">
          <cell r="C64" t="str">
            <v>SF Slab shuttering</v>
          </cell>
          <cell r="F64" t="str">
            <v>SQM</v>
          </cell>
          <cell r="H64">
            <v>664.26</v>
          </cell>
          <cell r="L64">
            <v>0</v>
          </cell>
          <cell r="N64">
            <v>0</v>
          </cell>
          <cell r="O64">
            <v>0</v>
          </cell>
        </row>
        <row r="65">
          <cell r="C65" t="str">
            <v>FF to SF slab column concrete</v>
          </cell>
          <cell r="F65" t="str">
            <v>CUM</v>
          </cell>
          <cell r="G65">
            <v>210</v>
          </cell>
          <cell r="H65">
            <v>32.822000000000003</v>
          </cell>
          <cell r="K65">
            <v>0</v>
          </cell>
          <cell r="L65">
            <v>0</v>
          </cell>
          <cell r="M65">
            <v>25.414999999999999</v>
          </cell>
          <cell r="N65">
            <v>0.22567180549631355</v>
          </cell>
          <cell r="O65">
            <v>0</v>
          </cell>
        </row>
        <row r="66">
          <cell r="C66" t="str">
            <v>SF Staircase Concrete</v>
          </cell>
          <cell r="F66" t="str">
            <v>CUM</v>
          </cell>
          <cell r="H66">
            <v>8.5299999999999994</v>
          </cell>
          <cell r="K66">
            <v>0</v>
          </cell>
          <cell r="L66">
            <v>0</v>
          </cell>
          <cell r="M66">
            <v>8.5299999999999994</v>
          </cell>
          <cell r="N66">
            <v>0</v>
          </cell>
          <cell r="O66">
            <v>0</v>
          </cell>
        </row>
        <row r="67">
          <cell r="C67" t="str">
            <v>SF beam Concrete</v>
          </cell>
          <cell r="F67" t="str">
            <v>CUM</v>
          </cell>
          <cell r="H67">
            <v>61.76</v>
          </cell>
          <cell r="K67">
            <v>0</v>
          </cell>
          <cell r="L67">
            <v>0</v>
          </cell>
          <cell r="M67">
            <v>61.76</v>
          </cell>
          <cell r="N67">
            <v>0</v>
          </cell>
          <cell r="O67">
            <v>0</v>
          </cell>
        </row>
        <row r="68">
          <cell r="C68" t="str">
            <v>SF Slab Concrete</v>
          </cell>
          <cell r="H68">
            <v>101.99</v>
          </cell>
          <cell r="K68">
            <v>0</v>
          </cell>
          <cell r="L68">
            <v>0</v>
          </cell>
          <cell r="M68">
            <v>101.99</v>
          </cell>
          <cell r="N68">
            <v>0</v>
          </cell>
          <cell r="O68">
            <v>0</v>
          </cell>
        </row>
        <row r="69">
          <cell r="O69">
            <v>0</v>
          </cell>
        </row>
        <row r="70">
          <cell r="C70" t="str">
            <v>SF to TF slab column shuttering</v>
          </cell>
          <cell r="F70" t="str">
            <v>SQM</v>
          </cell>
          <cell r="H70">
            <v>439.91300000000001</v>
          </cell>
          <cell r="K70">
            <v>212</v>
          </cell>
          <cell r="L70">
            <v>188.42</v>
          </cell>
          <cell r="M70">
            <v>286.41999999999996</v>
          </cell>
          <cell r="N70">
            <v>0.77722867930704476</v>
          </cell>
          <cell r="O70">
            <v>0.62004077060538787</v>
          </cell>
        </row>
        <row r="71">
          <cell r="C71" t="str">
            <v>TF Staircase Shuttering</v>
          </cell>
          <cell r="F71" t="str">
            <v>SQM</v>
          </cell>
          <cell r="H71">
            <v>57.39</v>
          </cell>
          <cell r="K71">
            <v>30</v>
          </cell>
          <cell r="L71">
            <v>30</v>
          </cell>
          <cell r="M71">
            <v>30</v>
          </cell>
          <cell r="N71">
            <v>1</v>
          </cell>
          <cell r="O71">
            <v>0.52273915316257191</v>
          </cell>
        </row>
        <row r="72">
          <cell r="C72" t="str">
            <v>TF beam shuttering</v>
          </cell>
          <cell r="F72" t="str">
            <v>SQM</v>
          </cell>
          <cell r="H72">
            <v>700.59</v>
          </cell>
          <cell r="K72">
            <v>400</v>
          </cell>
          <cell r="L72">
            <v>350</v>
          </cell>
          <cell r="M72">
            <v>350</v>
          </cell>
          <cell r="N72">
            <v>1</v>
          </cell>
          <cell r="O72">
            <v>0.57094734438116446</v>
          </cell>
        </row>
        <row r="73">
          <cell r="C73" t="str">
            <v>TF Slab shuttering</v>
          </cell>
          <cell r="F73" t="str">
            <v>SQM</v>
          </cell>
          <cell r="H73">
            <v>664.26</v>
          </cell>
          <cell r="K73">
            <v>400</v>
          </cell>
          <cell r="L73">
            <v>180</v>
          </cell>
          <cell r="M73">
            <v>180</v>
          </cell>
          <cell r="N73">
            <v>1</v>
          </cell>
          <cell r="O73">
            <v>0.60217384758979919</v>
          </cell>
        </row>
        <row r="74">
          <cell r="C74" t="str">
            <v>SF to TF slab column concrete</v>
          </cell>
          <cell r="F74" t="str">
            <v>CUM</v>
          </cell>
          <cell r="H74">
            <v>32.822000000000003</v>
          </cell>
          <cell r="K74">
            <v>30</v>
          </cell>
          <cell r="L74">
            <v>18</v>
          </cell>
          <cell r="M74">
            <v>20.58</v>
          </cell>
          <cell r="N74">
            <v>0.92139418682590946</v>
          </cell>
          <cell r="O74">
            <v>0.99199788373784792</v>
          </cell>
        </row>
        <row r="75">
          <cell r="C75" t="str">
            <v>TF Staircase Concrete</v>
          </cell>
          <cell r="F75" t="str">
            <v>CUM</v>
          </cell>
          <cell r="H75">
            <v>8.5299999999999994</v>
          </cell>
          <cell r="K75">
            <v>5</v>
          </cell>
          <cell r="L75">
            <v>2.1</v>
          </cell>
          <cell r="M75">
            <v>2.1</v>
          </cell>
          <cell r="N75">
            <v>1</v>
          </cell>
          <cell r="O75">
            <v>0.58616647127784294</v>
          </cell>
        </row>
        <row r="76">
          <cell r="C76" t="str">
            <v>TF beam Concrete</v>
          </cell>
          <cell r="F76" t="str">
            <v>CUM</v>
          </cell>
          <cell r="H76">
            <v>61.76</v>
          </cell>
          <cell r="K76">
            <v>0</v>
          </cell>
          <cell r="L76">
            <v>0</v>
          </cell>
          <cell r="M76">
            <v>0</v>
          </cell>
          <cell r="N76">
            <v>1</v>
          </cell>
          <cell r="O76">
            <v>0</v>
          </cell>
        </row>
        <row r="77">
          <cell r="C77" t="str">
            <v>TF Slab Concrete</v>
          </cell>
          <cell r="F77" t="str">
            <v>CUM</v>
          </cell>
          <cell r="H77">
            <v>101.99</v>
          </cell>
          <cell r="K77">
            <v>0</v>
          </cell>
          <cell r="L77">
            <v>0</v>
          </cell>
          <cell r="M77">
            <v>0</v>
          </cell>
          <cell r="N77">
            <v>1</v>
          </cell>
          <cell r="O77">
            <v>0</v>
          </cell>
        </row>
      </sheetData>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isk Register"/>
      <sheetName val="Hinderance Register"/>
      <sheetName val="Legal Approval Tracker"/>
      <sheetName val="Procurement tracker"/>
      <sheetName val="Project Cashflow "/>
      <sheetName val="HSE Statistic"/>
      <sheetName val="Quality Statistic"/>
      <sheetName val="Weekly Manpower"/>
      <sheetName val="Cube Test"/>
      <sheetName val="Procurement Status"/>
      <sheetName val="Planned Vs Actual "/>
      <sheetName val="Value Addition"/>
      <sheetName val="As per drawing status"/>
      <sheetName val="Design status"/>
      <sheetName val="Milesotone Activity"/>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
          <cell r="C3" t="str">
            <v>Required Manpower for week</v>
          </cell>
          <cell r="D3" t="str">
            <v>Available</v>
          </cell>
          <cell r="E3" t="str">
            <v xml:space="preserve">Shortage </v>
          </cell>
        </row>
        <row r="4">
          <cell r="B4" t="str">
            <v>Reinforcement work</v>
          </cell>
          <cell r="C4">
            <v>140</v>
          </cell>
          <cell r="D4">
            <v>104</v>
          </cell>
          <cell r="E4">
            <v>36</v>
          </cell>
        </row>
        <row r="5">
          <cell r="B5" t="str">
            <v>Carpenter</v>
          </cell>
          <cell r="C5">
            <v>224</v>
          </cell>
          <cell r="D5">
            <v>194</v>
          </cell>
          <cell r="E5">
            <v>30</v>
          </cell>
        </row>
        <row r="6">
          <cell r="B6" t="str">
            <v>Mason</v>
          </cell>
          <cell r="C6">
            <v>70</v>
          </cell>
          <cell r="D6">
            <v>42</v>
          </cell>
          <cell r="E6">
            <v>28</v>
          </cell>
        </row>
        <row r="7">
          <cell r="B7" t="str">
            <v>Helper</v>
          </cell>
          <cell r="C7">
            <v>175</v>
          </cell>
          <cell r="D7">
            <v>150</v>
          </cell>
          <cell r="E7">
            <v>25</v>
          </cell>
        </row>
        <row r="8">
          <cell r="B8" t="str">
            <v>Unskilled Worker</v>
          </cell>
          <cell r="C8">
            <v>385</v>
          </cell>
          <cell r="D8">
            <v>322</v>
          </cell>
          <cell r="E8">
            <v>63</v>
          </cell>
        </row>
        <row r="9">
          <cell r="B9" t="str">
            <v>Drivers</v>
          </cell>
          <cell r="C9">
            <v>23</v>
          </cell>
          <cell r="D9">
            <v>23</v>
          </cell>
          <cell r="E9">
            <v>0</v>
          </cell>
        </row>
      </sheetData>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Planned%20Vs.%20Actual%20Dashboar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Planned%20Vs.%20Actual%20Dashboard.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yam Shah" refreshedDate="46053.034009953706" createdVersion="8" refreshedVersion="8" minRefreshableVersion="3" recordCount="67" xr:uid="{FE0279EF-0BA4-486F-8845-F9E271F85FF1}">
  <cacheSource type="worksheet">
    <worksheetSource ref="A3:I70" sheet="As per drawing status" r:id="rId2"/>
  </cacheSource>
  <cacheFields count="9">
    <cacheField name="Sr.No." numFmtId="0">
      <sharedItems containsSemiMixedTypes="0" containsString="0" containsNumber="1" containsInteger="1" minValue="1" maxValue="67"/>
    </cacheField>
    <cacheField name="Tower" numFmtId="0">
      <sharedItems count="1">
        <s v="Worker Dormitory"/>
      </sharedItems>
    </cacheField>
    <cacheField name="Activity" numFmtId="0">
      <sharedItems count="64">
        <s v="Footing Excavation"/>
        <s v="GB Excavation"/>
        <s v="Yellow Soil Filling"/>
        <s v="Rubble Soling"/>
        <s v="Footing PCC"/>
        <s v="GB PCC"/>
        <s v="Floor PCC"/>
        <s v="Plinth Beam PCC"/>
        <s v="Footing RCC"/>
        <s v="Pedestal RCC"/>
        <s v="GB RCC"/>
        <s v="Plinth Beam RCC"/>
        <s v="Floor RCC"/>
        <s v="Masonry Above GB"/>
        <s v="Masonry above PB"/>
        <s v="Plinth Plaster"/>
        <s v="Footing Shuttering"/>
        <s v="Padestal Upto Plinth Top Shuttering"/>
        <s v="GB Shuttering"/>
        <s v="Plinth Beam Shuttering"/>
        <s v="Floor RCC Shuttering"/>
        <s v="Plinth to GF slab column shuttering"/>
        <s v="GF beam shuttering"/>
        <s v="GF Slab shuttering"/>
        <s v="GF staircase shuttering"/>
        <s v="GF lintel shuttering"/>
        <s v="Plinth to GF slab column concrete"/>
        <s v="GF beam Concrete"/>
        <s v="GF Slab Concrete"/>
        <s v="GF staircase concrete"/>
        <s v="GF lintel Concrete"/>
        <s v="Brick masonary GF (230 mm)"/>
        <s v="Brick masonary GF (115 mm)"/>
        <s v="Internal Plaster"/>
        <s v="Flooring"/>
        <s v="Skirting"/>
        <s v="GF to FF slab column shuttering"/>
        <s v="FF beam shuttering"/>
        <s v="FF Slab shuttering"/>
        <s v="FF Staircase Shuttering"/>
        <s v="FF lintel shuttering"/>
        <s v="GF to FF slab column concrete"/>
        <s v="FF beam Concrete"/>
        <s v="FF Slab Concrete"/>
        <s v="FF Staircase Concrete"/>
        <s v="FF lintel Concrete"/>
        <s v="Brick masonary FF (230 mm)"/>
        <s v="Brick masonary FF (115 mm)"/>
        <s v="FF to SF slab column shuttering"/>
        <s v="SF Staircase Shuttering"/>
        <s v="SF beam shuttering"/>
        <s v="SF Slab shuttering"/>
        <s v="FF to SF slab column concrete"/>
        <s v="SF Staircase Concrete"/>
        <s v="SF beam Concrete"/>
        <s v="SF Slab Concrete"/>
        <s v="SF to TF slab column shuttering"/>
        <s v="TF Staircase Shuttering"/>
        <s v="TF beam shuttering"/>
        <s v="TF Slab shuttering"/>
        <s v="SF to TF slab column concrete"/>
        <s v="TF Staircase Concrete"/>
        <s v="TF beam Concrete"/>
        <s v="TF Slab Concrete"/>
      </sharedItems>
    </cacheField>
    <cacheField name="Unit " numFmtId="14">
      <sharedItems count="4">
        <s v="CUM"/>
        <s v="SMT"/>
        <s v="SQM"/>
        <s v="RMT"/>
      </sharedItems>
    </cacheField>
    <cacheField name="As per BOQ total Quantity" numFmtId="0">
      <sharedItems containsString="0" containsBlank="1" containsNumber="1" minValue="80" maxValue="10000"/>
    </cacheField>
    <cacheField name="As per GFC total Quantity" numFmtId="0">
      <sharedItems containsSemiMixedTypes="0" containsString="0" containsNumber="1" minValue="3.91" maxValue="1859.2"/>
    </cacheField>
    <cacheField name="Weekly planned Qty." numFmtId="0">
      <sharedItems containsSemiMixedTypes="0" containsString="0" containsNumber="1" minValue="-2.0000000000024443E-3" maxValue="600" count="11">
        <n v="0"/>
        <n v="-2.0000000000024443E-3"/>
        <n v="32.790000000000006"/>
        <n v="20"/>
        <n v="100"/>
        <n v="600"/>
        <n v="60"/>
        <n v="212"/>
        <n v="30"/>
        <n v="400"/>
        <n v="5"/>
      </sharedItems>
    </cacheField>
    <cacheField name="Weekly actual Qty." numFmtId="1">
      <sharedItems containsSemiMixedTypes="0" containsString="0" containsNumber="1" minValue="0" maxValue="350" count="17">
        <n v="0"/>
        <n v="15"/>
        <n v="7"/>
        <n v="10"/>
        <n v="301"/>
        <n v="55.15"/>
        <n v="45"/>
        <n v="21.32"/>
        <n v="29"/>
        <n v="28.630000000000003"/>
        <n v="174.54999999999998"/>
        <n v="188.42"/>
        <n v="30"/>
        <n v="350"/>
        <n v="180"/>
        <n v="18"/>
        <n v="2.1"/>
      </sharedItems>
    </cacheField>
    <cacheField name="Total Achieved Qty." numFmtId="0">
      <sharedItems containsSemiMixedTypes="0" containsString="0" containsNumber="1" minValue="0" maxValue="1826.199999999999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yam Shah" refreshedDate="46053.523990856484" createdVersion="8" refreshedVersion="8" minRefreshableVersion="3" recordCount="71" xr:uid="{C45D13B3-0776-4636-8751-007C22579897}">
  <cacheSource type="worksheet">
    <worksheetSource ref="A6:R77" sheet="Planned Vs Actual " r:id="rId2"/>
  </cacheSource>
  <cacheFields count="18">
    <cacheField name="Sr.No." numFmtId="0">
      <sharedItems containsMixedTypes="1" containsNumber="1" containsInteger="1" minValue="1" maxValue="67"/>
    </cacheField>
    <cacheField name="Tower" numFmtId="0">
      <sharedItems containsBlank="1"/>
    </cacheField>
    <cacheField name="Activity" numFmtId="0">
      <sharedItems containsBlank="1" count="65">
        <s v="Excavation "/>
        <s v="Footing PCC"/>
        <s v="Yellow Soil Filling"/>
        <s v="Rubble Soling"/>
        <s v="Footing Shuttering"/>
        <s v="Footing RCC"/>
        <s v="Padestal Upto Plinth Top Shuttering"/>
        <s v="Padestal Upto Plinth Top RCC"/>
        <s v="GB Excavation"/>
        <s v="GB PCC"/>
        <s v="GB Shuttering"/>
        <s v="GB RCC"/>
        <s v="Masonry Above GB"/>
        <s v="Plinth Beam PCC"/>
        <s v="Plinth Beam Shuttering"/>
        <s v="Plinth Beam RCC"/>
        <s v="Plinth Plaster"/>
        <s v="Masonry above PB"/>
        <s v="Floor PCC"/>
        <s v="Floor RCC Shuttering"/>
        <s v="Floor RCC"/>
        <m/>
        <s v="Plinth to GF slab column shuttering"/>
        <s v="GF beam shuttering"/>
        <s v="GF Slab shuttering"/>
        <s v="GF staircase shuttering"/>
        <s v="GF lintel shuttering"/>
        <s v="Plinth to GF slab column concrete"/>
        <s v="GF beam Concrete"/>
        <s v="GF Slab Concrete"/>
        <s v="GF staircase concrete"/>
        <s v="GF lintel Concrete"/>
        <s v="Brick masonary GF (230 mm)"/>
        <s v="Brick masonary GF (115 mm)"/>
        <s v="Internal Plaster"/>
        <s v="Flooring"/>
        <s v="Skirting"/>
        <s v="GF to FF slab column shuttering"/>
        <s v="FF beam shuttering"/>
        <s v="FF Slab shuttering"/>
        <s v="FF Staircase Shuttering"/>
        <s v="FF lintel shuttering"/>
        <s v="GF to FF slab column concrete"/>
        <s v="FF Staircase Concrete"/>
        <s v="FF beam Concrete"/>
        <s v="FF Slab Concrete"/>
        <s v="FF lintel Concrete"/>
        <s v="Brick masonary FF (230 mm)"/>
        <s v="Brick masonary FF (115 mm)"/>
        <s v="FF to SF slab column shuttering"/>
        <s v="SF Staircase Shuttering"/>
        <s v="SF beam shuttering"/>
        <s v="SF Slab shuttering"/>
        <s v="FF to SF slab column concrete"/>
        <s v="SF Staircase Concrete"/>
        <s v="SF beam Concrete"/>
        <s v="SF Slab Concrete"/>
        <s v="SF to TF slab column shuttering"/>
        <s v="TF Staircase Shuttering"/>
        <s v="TF beam shuttering"/>
        <s v="TF Slab shuttering"/>
        <s v="SF to TF slab column concrete"/>
        <s v="TF Staircase Concrete"/>
        <s v="TF beam Concrete"/>
        <s v="TF Slab Concrete"/>
      </sharedItems>
    </cacheField>
    <cacheField name="Planned Start Date by Contractor" numFmtId="0">
      <sharedItems containsNonDate="0" containsDate="1" containsString="0" containsBlank="1" minDate="2025-12-11T00:00:00" maxDate="2025-12-12T00:00:00" count="2">
        <d v="2025-12-11T00:00:00"/>
        <m/>
      </sharedItems>
    </cacheField>
    <cacheField name="Planned End Date by Contractor" numFmtId="0">
      <sharedItems containsNonDate="0" containsDate="1" containsString="0" containsBlank="1" minDate="2025-12-17T00:00:00" maxDate="2025-12-18T00:00:00"/>
    </cacheField>
    <cacheField name="Unit " numFmtId="0">
      <sharedItems containsBlank="1"/>
    </cacheField>
    <cacheField name="As per BOQ total Quantity" numFmtId="0">
      <sharedItems containsString="0" containsBlank="1" containsNumber="1" minValue="80" maxValue="10000"/>
    </cacheField>
    <cacheField name="Total GFC Qty" numFmtId="0">
      <sharedItems containsString="0" containsBlank="1" containsNumber="1" minValue="3.91" maxValue="1859.2"/>
    </cacheField>
    <cacheField name="Executed qty till 15-10-2025" numFmtId="0">
      <sharedItems containsString="0" containsBlank="1" containsNumber="1" minValue="0" maxValue="1826.1999999999998"/>
    </cacheField>
    <cacheField name="Balance Qty." numFmtId="0">
      <sharedItems containsString="0" containsBlank="1" containsNumber="1" minValue="-0.40999999999996817" maxValue="1859.2"/>
    </cacheField>
    <cacheField name="Weekly planned Qty." numFmtId="0">
      <sharedItems containsString="0" containsBlank="1" containsNumber="1" minValue="0" maxValue="600" count="12">
        <n v="0"/>
        <n v="32.790000000000006"/>
        <m/>
        <n v="20"/>
        <n v="100"/>
        <n v="600"/>
        <n v="60"/>
        <n v="300"/>
        <n v="212"/>
        <n v="30"/>
        <n v="400"/>
        <n v="5"/>
      </sharedItems>
    </cacheField>
    <cacheField name="Weekly actual Qty." numFmtId="0">
      <sharedItems containsString="0" containsBlank="1" containsNumber="1" minValue="0" maxValue="350"/>
    </cacheField>
    <cacheField name="Cumulative Qty." numFmtId="0">
      <sharedItems containsString="0" containsBlank="1" containsNumber="1" minValue="0" maxValue="1826.1999999999998"/>
    </cacheField>
    <cacheField name="% Balance  Qty ( Remaining ) Against GFC Qty" numFmtId="0">
      <sharedItems containsString="0" containsBlank="1" containsNumber="1" minValue="-5.8522102799064813E-4" maxValue="1"/>
    </cacheField>
    <cacheField name="% Planned Against _x000a_Balance Qty  " numFmtId="9">
      <sharedItems containsSemiMixedTypes="0" containsString="0" containsNumber="1" minValue="0" maxValue="1"/>
    </cacheField>
    <cacheField name="% Achieved Against Actual Qty" numFmtId="9">
      <sharedItems containsSemiMixedTypes="0" containsString="0" containsNumber="1" minValue="0" maxValue="0.59519873024270875"/>
    </cacheField>
    <cacheField name="% Completed (Total against the GFC )" numFmtId="0">
      <sharedItems containsBlank="1" count="4">
        <s v="Delay"/>
        <s v="On time "/>
        <m/>
        <e v="#DIV/0!"/>
      </sharedItems>
    </cacheField>
    <cacheField name="% Completed (Total against the GFC )2" numFmtId="9">
      <sharedItems containsSemiMixedTypes="0" containsString="0" containsNumber="1" minValue="0" maxValue="1.000585221027990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
  <r>
    <n v="1"/>
    <x v="0"/>
    <x v="0"/>
    <x v="0"/>
    <n v="3925"/>
    <n v="1826"/>
    <x v="0"/>
    <x v="0"/>
    <n v="1826.1999999999998"/>
  </r>
  <r>
    <n v="2"/>
    <x v="0"/>
    <x v="1"/>
    <x v="0"/>
    <m/>
    <n v="11.795"/>
    <x v="0"/>
    <x v="0"/>
    <n v="11.795"/>
  </r>
  <r>
    <n v="3"/>
    <x v="0"/>
    <x v="2"/>
    <x v="0"/>
    <n v="10000"/>
    <n v="1123.22"/>
    <x v="0"/>
    <x v="0"/>
    <n v="1123.22"/>
  </r>
  <r>
    <n v="4"/>
    <x v="0"/>
    <x v="3"/>
    <x v="0"/>
    <n v="195.5"/>
    <n v="173.81"/>
    <x v="0"/>
    <x v="0"/>
    <n v="173.81"/>
  </r>
  <r>
    <n v="5"/>
    <x v="0"/>
    <x v="4"/>
    <x v="0"/>
    <n v="265"/>
    <n v="91.31"/>
    <x v="0"/>
    <x v="0"/>
    <n v="91.31"/>
  </r>
  <r>
    <n v="6"/>
    <x v="0"/>
    <x v="5"/>
    <x v="0"/>
    <m/>
    <n v="7.944"/>
    <x v="0"/>
    <x v="0"/>
    <n v="7.944"/>
  </r>
  <r>
    <n v="7"/>
    <x v="0"/>
    <x v="6"/>
    <x v="0"/>
    <m/>
    <n v="86.9"/>
    <x v="0"/>
    <x v="0"/>
    <n v="86.9"/>
  </r>
  <r>
    <n v="8"/>
    <x v="0"/>
    <x v="7"/>
    <x v="0"/>
    <m/>
    <n v="18.07"/>
    <x v="0"/>
    <x v="0"/>
    <n v="18.07"/>
  </r>
  <r>
    <n v="9"/>
    <x v="0"/>
    <x v="8"/>
    <x v="0"/>
    <n v="380"/>
    <n v="292.76400000000001"/>
    <x v="0"/>
    <x v="0"/>
    <n v="292.76"/>
  </r>
  <r>
    <n v="10"/>
    <x v="0"/>
    <x v="9"/>
    <x v="0"/>
    <m/>
    <n v="62.65"/>
    <x v="0"/>
    <x v="0"/>
    <n v="62.65"/>
  </r>
  <r>
    <n v="11"/>
    <x v="0"/>
    <x v="10"/>
    <x v="0"/>
    <m/>
    <n v="23.994"/>
    <x v="0"/>
    <x v="0"/>
    <n v="23.979999999999997"/>
  </r>
  <r>
    <n v="12"/>
    <x v="0"/>
    <x v="11"/>
    <x v="0"/>
    <m/>
    <n v="45.72"/>
    <x v="0"/>
    <x v="0"/>
    <n v="45.72"/>
  </r>
  <r>
    <n v="13"/>
    <x v="0"/>
    <x v="12"/>
    <x v="0"/>
    <m/>
    <n v="88.03"/>
    <x v="0"/>
    <x v="0"/>
    <n v="88.03"/>
  </r>
  <r>
    <n v="14"/>
    <x v="0"/>
    <x v="13"/>
    <x v="0"/>
    <n v="130"/>
    <n v="86.293999999999997"/>
    <x v="0"/>
    <x v="0"/>
    <n v="86.293999999999997"/>
  </r>
  <r>
    <n v="15"/>
    <x v="0"/>
    <x v="14"/>
    <x v="0"/>
    <m/>
    <n v="16.167999999999999"/>
    <x v="1"/>
    <x v="0"/>
    <n v="16.170000000000002"/>
  </r>
  <r>
    <n v="16"/>
    <x v="0"/>
    <x v="15"/>
    <x v="1"/>
    <n v="5235"/>
    <n v="92.29"/>
    <x v="2"/>
    <x v="1"/>
    <n v="74.5"/>
  </r>
  <r>
    <n v="17"/>
    <x v="0"/>
    <x v="16"/>
    <x v="1"/>
    <n v="1075"/>
    <n v="441.90800000000002"/>
    <x v="0"/>
    <x v="0"/>
    <n v="0"/>
  </r>
  <r>
    <n v="18"/>
    <x v="0"/>
    <x v="17"/>
    <x v="1"/>
    <m/>
    <n v="664"/>
    <x v="0"/>
    <x v="0"/>
    <n v="663.99999999999989"/>
  </r>
  <r>
    <n v="19"/>
    <x v="0"/>
    <x v="18"/>
    <x v="1"/>
    <m/>
    <n v="142.93799999999999"/>
    <x v="0"/>
    <x v="0"/>
    <n v="142.85"/>
  </r>
  <r>
    <n v="20"/>
    <x v="0"/>
    <x v="19"/>
    <x v="1"/>
    <m/>
    <n v="387.1"/>
    <x v="0"/>
    <x v="0"/>
    <n v="387.1"/>
  </r>
  <r>
    <n v="21"/>
    <x v="0"/>
    <x v="20"/>
    <x v="1"/>
    <m/>
    <n v="15.3"/>
    <x v="0"/>
    <x v="0"/>
    <n v="15.3"/>
  </r>
  <r>
    <n v="22"/>
    <x v="0"/>
    <x v="21"/>
    <x v="2"/>
    <n v="1680"/>
    <n v="427.55"/>
    <x v="0"/>
    <x v="0"/>
    <n v="427.55399999999997"/>
  </r>
  <r>
    <n v="23"/>
    <x v="0"/>
    <x v="22"/>
    <x v="2"/>
    <m/>
    <n v="700.59"/>
    <x v="0"/>
    <x v="0"/>
    <n v="700.59"/>
  </r>
  <r>
    <n v="24"/>
    <x v="0"/>
    <x v="23"/>
    <x v="2"/>
    <m/>
    <n v="664.26"/>
    <x v="0"/>
    <x v="0"/>
    <n v="664.23"/>
  </r>
  <r>
    <n v="25"/>
    <x v="0"/>
    <x v="24"/>
    <x v="2"/>
    <m/>
    <n v="57.39"/>
    <x v="0"/>
    <x v="0"/>
    <n v="57.39"/>
  </r>
  <r>
    <n v="26"/>
    <x v="0"/>
    <x v="25"/>
    <x v="2"/>
    <m/>
    <n v="67.989999999999995"/>
    <x v="0"/>
    <x v="0"/>
    <n v="56"/>
  </r>
  <r>
    <n v="27"/>
    <x v="0"/>
    <x v="26"/>
    <x v="0"/>
    <n v="210"/>
    <n v="32.822000000000003"/>
    <x v="0"/>
    <x v="0"/>
    <n v="32.82"/>
  </r>
  <r>
    <n v="28"/>
    <x v="0"/>
    <x v="27"/>
    <x v="0"/>
    <m/>
    <n v="61.76"/>
    <x v="0"/>
    <x v="0"/>
    <n v="61.75"/>
  </r>
  <r>
    <n v="29"/>
    <x v="0"/>
    <x v="28"/>
    <x v="0"/>
    <m/>
    <n v="101.99"/>
    <x v="0"/>
    <x v="0"/>
    <n v="101.98"/>
  </r>
  <r>
    <n v="30"/>
    <x v="0"/>
    <x v="29"/>
    <x v="0"/>
    <m/>
    <n v="8.5299999999999994"/>
    <x v="0"/>
    <x v="0"/>
    <n v="8.52"/>
  </r>
  <r>
    <n v="31"/>
    <x v="0"/>
    <x v="30"/>
    <x v="0"/>
    <m/>
    <n v="3.91"/>
    <x v="0"/>
    <x v="0"/>
    <n v="2"/>
  </r>
  <r>
    <n v="32"/>
    <x v="0"/>
    <x v="31"/>
    <x v="0"/>
    <n v="80"/>
    <n v="73.48"/>
    <x v="3"/>
    <x v="2"/>
    <n v="43.86"/>
  </r>
  <r>
    <n v="33"/>
    <x v="0"/>
    <x v="32"/>
    <x v="1"/>
    <n v="1170"/>
    <n v="768"/>
    <x v="4"/>
    <x v="3"/>
    <n v="356.26"/>
  </r>
  <r>
    <n v="34"/>
    <x v="0"/>
    <x v="33"/>
    <x v="1"/>
    <n v="1591.21"/>
    <n v="1733.79"/>
    <x v="5"/>
    <x v="4"/>
    <n v="663"/>
  </r>
  <r>
    <n v="35"/>
    <x v="0"/>
    <x v="34"/>
    <x v="1"/>
    <n v="830"/>
    <n v="841.16"/>
    <x v="4"/>
    <x v="5"/>
    <n v="55.15"/>
  </r>
  <r>
    <n v="36"/>
    <x v="0"/>
    <x v="35"/>
    <x v="3"/>
    <n v="1865"/>
    <n v="1859.2"/>
    <x v="4"/>
    <x v="6"/>
    <n v="45"/>
  </r>
  <r>
    <n v="37"/>
    <x v="0"/>
    <x v="36"/>
    <x v="2"/>
    <n v="1680"/>
    <n v="439.91300000000001"/>
    <x v="4"/>
    <x v="7"/>
    <n v="336.32"/>
  </r>
  <r>
    <n v="38"/>
    <x v="0"/>
    <x v="37"/>
    <x v="2"/>
    <m/>
    <n v="700.59"/>
    <x v="0"/>
    <x v="0"/>
    <n v="701"/>
  </r>
  <r>
    <n v="39"/>
    <x v="0"/>
    <x v="38"/>
    <x v="2"/>
    <m/>
    <n v="664.26"/>
    <x v="0"/>
    <x v="0"/>
    <n v="664.26"/>
  </r>
  <r>
    <n v="40"/>
    <x v="0"/>
    <x v="39"/>
    <x v="2"/>
    <m/>
    <n v="57.39"/>
    <x v="0"/>
    <x v="0"/>
    <n v="57.39"/>
  </r>
  <r>
    <n v="41"/>
    <x v="0"/>
    <x v="40"/>
    <x v="2"/>
    <m/>
    <n v="67.989999999999995"/>
    <x v="6"/>
    <x v="8"/>
    <n v="29"/>
  </r>
  <r>
    <n v="42"/>
    <x v="0"/>
    <x v="41"/>
    <x v="0"/>
    <n v="210"/>
    <n v="32.822000000000003"/>
    <x v="0"/>
    <x v="0"/>
    <n v="25.810000000000002"/>
  </r>
  <r>
    <n v="43"/>
    <x v="0"/>
    <x v="42"/>
    <x v="0"/>
    <m/>
    <n v="61.76"/>
    <x v="0"/>
    <x v="0"/>
    <n v="61.76"/>
  </r>
  <r>
    <n v="44"/>
    <x v="0"/>
    <x v="43"/>
    <x v="0"/>
    <m/>
    <n v="101.99"/>
    <x v="0"/>
    <x v="0"/>
    <n v="101.99"/>
  </r>
  <r>
    <n v="45"/>
    <x v="0"/>
    <x v="44"/>
    <x v="0"/>
    <m/>
    <n v="8.5299999999999994"/>
    <x v="0"/>
    <x v="0"/>
    <n v="8.5299999999999994"/>
  </r>
  <r>
    <n v="46"/>
    <x v="0"/>
    <x v="45"/>
    <x v="0"/>
    <m/>
    <n v="3.91"/>
    <x v="0"/>
    <x v="0"/>
    <n v="0"/>
  </r>
  <r>
    <n v="47"/>
    <x v="0"/>
    <x v="46"/>
    <x v="0"/>
    <n v="80"/>
    <n v="73.48"/>
    <x v="0"/>
    <x v="9"/>
    <n v="20"/>
  </r>
  <r>
    <n v="48"/>
    <x v="0"/>
    <x v="47"/>
    <x v="1"/>
    <n v="1170"/>
    <n v="768"/>
    <x v="0"/>
    <x v="10"/>
    <n v="300"/>
  </r>
  <r>
    <n v="49"/>
    <x v="0"/>
    <x v="33"/>
    <x v="1"/>
    <n v="1591.21"/>
    <n v="1733.79"/>
    <x v="0"/>
    <x v="0"/>
    <n v="0"/>
  </r>
  <r>
    <n v="50"/>
    <x v="0"/>
    <x v="34"/>
    <x v="1"/>
    <n v="830"/>
    <n v="841.16"/>
    <x v="0"/>
    <x v="0"/>
    <n v="0"/>
  </r>
  <r>
    <n v="51"/>
    <x v="0"/>
    <x v="35"/>
    <x v="3"/>
    <n v="1865"/>
    <n v="1859.2"/>
    <x v="0"/>
    <x v="0"/>
    <n v="0"/>
  </r>
  <r>
    <n v="52"/>
    <x v="0"/>
    <x v="48"/>
    <x v="2"/>
    <n v="1680"/>
    <n v="439.91300000000001"/>
    <x v="0"/>
    <x v="0"/>
    <n v="101.99"/>
  </r>
  <r>
    <n v="53"/>
    <x v="0"/>
    <x v="49"/>
    <x v="2"/>
    <m/>
    <n v="57.39"/>
    <x v="0"/>
    <x v="0"/>
    <n v="310.94"/>
  </r>
  <r>
    <n v="54"/>
    <x v="0"/>
    <x v="50"/>
    <x v="2"/>
    <m/>
    <n v="700.59"/>
    <x v="0"/>
    <x v="0"/>
    <n v="57.39"/>
  </r>
  <r>
    <n v="55"/>
    <x v="0"/>
    <x v="51"/>
    <x v="2"/>
    <m/>
    <n v="664.26"/>
    <x v="0"/>
    <x v="0"/>
    <n v="57.39"/>
  </r>
  <r>
    <n v="56"/>
    <x v="0"/>
    <x v="52"/>
    <x v="0"/>
    <n v="210"/>
    <n v="32.822000000000003"/>
    <x v="0"/>
    <x v="0"/>
    <n v="25.414999999999999"/>
  </r>
  <r>
    <n v="57"/>
    <x v="0"/>
    <x v="53"/>
    <x v="0"/>
    <m/>
    <n v="8.5299999999999994"/>
    <x v="0"/>
    <x v="0"/>
    <n v="8.5299999999999994"/>
  </r>
  <r>
    <n v="58"/>
    <x v="0"/>
    <x v="54"/>
    <x v="0"/>
    <m/>
    <n v="61.76"/>
    <x v="0"/>
    <x v="0"/>
    <n v="61.76"/>
  </r>
  <r>
    <n v="59"/>
    <x v="0"/>
    <x v="55"/>
    <x v="0"/>
    <m/>
    <n v="101.99"/>
    <x v="0"/>
    <x v="0"/>
    <n v="101.99"/>
  </r>
  <r>
    <n v="60"/>
    <x v="0"/>
    <x v="56"/>
    <x v="2"/>
    <n v="1680"/>
    <n v="439.91300000000001"/>
    <x v="7"/>
    <x v="11"/>
    <n v="286.41999999999996"/>
  </r>
  <r>
    <n v="61"/>
    <x v="0"/>
    <x v="57"/>
    <x v="2"/>
    <m/>
    <n v="57.39"/>
    <x v="8"/>
    <x v="12"/>
    <n v="30"/>
  </r>
  <r>
    <n v="62"/>
    <x v="0"/>
    <x v="58"/>
    <x v="2"/>
    <m/>
    <n v="700.59"/>
    <x v="9"/>
    <x v="13"/>
    <n v="350"/>
  </r>
  <r>
    <n v="63"/>
    <x v="0"/>
    <x v="59"/>
    <x v="2"/>
    <m/>
    <n v="664.26"/>
    <x v="9"/>
    <x v="14"/>
    <n v="180"/>
  </r>
  <r>
    <n v="64"/>
    <x v="0"/>
    <x v="60"/>
    <x v="0"/>
    <n v="210"/>
    <n v="32.822000000000003"/>
    <x v="8"/>
    <x v="15"/>
    <n v="20.58"/>
  </r>
  <r>
    <n v="65"/>
    <x v="0"/>
    <x v="61"/>
    <x v="0"/>
    <m/>
    <n v="8.5299999999999994"/>
    <x v="10"/>
    <x v="16"/>
    <n v="2.1"/>
  </r>
  <r>
    <n v="66"/>
    <x v="0"/>
    <x v="62"/>
    <x v="0"/>
    <m/>
    <n v="61.76"/>
    <x v="0"/>
    <x v="0"/>
    <n v="0"/>
  </r>
  <r>
    <n v="67"/>
    <x v="0"/>
    <x v="63"/>
    <x v="0"/>
    <m/>
    <n v="101.99"/>
    <x v="0"/>
    <x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
  <r>
    <n v="1"/>
    <s v="Upto Plinth"/>
    <x v="0"/>
    <x v="0"/>
    <d v="2025-12-17T00:00:00"/>
    <s v="CUM"/>
    <n v="3925"/>
    <n v="1826"/>
    <n v="1826.1999999999998"/>
    <n v="-0.1999999999998181"/>
    <x v="0"/>
    <n v="0"/>
    <n v="1826.1999999999998"/>
    <n v="-1.0952902519157618E-4"/>
    <n v="0"/>
    <n v="0"/>
    <x v="0"/>
    <n v="1.0001095290251916"/>
  </r>
  <r>
    <n v="2"/>
    <m/>
    <x v="1"/>
    <x v="0"/>
    <d v="2025-12-17T00:00:00"/>
    <s v="CUM"/>
    <n v="265"/>
    <n v="91.31"/>
    <n v="91.31"/>
    <n v="0"/>
    <x v="0"/>
    <n v="0"/>
    <n v="91.31"/>
    <n v="0"/>
    <n v="0"/>
    <n v="0"/>
    <x v="1"/>
    <n v="1"/>
  </r>
  <r>
    <n v="3"/>
    <m/>
    <x v="2"/>
    <x v="0"/>
    <d v="2025-12-17T00:00:00"/>
    <s v="CUM"/>
    <n v="10000"/>
    <n v="1123.22"/>
    <n v="1123.22"/>
    <n v="0"/>
    <x v="0"/>
    <n v="0"/>
    <n v="1123.22"/>
    <n v="0"/>
    <n v="0"/>
    <n v="0"/>
    <x v="2"/>
    <n v="1"/>
  </r>
  <r>
    <n v="4"/>
    <m/>
    <x v="3"/>
    <x v="0"/>
    <d v="2025-12-17T00:00:00"/>
    <s v="CUM"/>
    <n v="195.5"/>
    <n v="173.81"/>
    <n v="173.81"/>
    <n v="0"/>
    <x v="0"/>
    <n v="0"/>
    <n v="173.81"/>
    <n v="0"/>
    <n v="0"/>
    <n v="0"/>
    <x v="2"/>
    <n v="1"/>
  </r>
  <r>
    <n v="5"/>
    <m/>
    <x v="4"/>
    <x v="0"/>
    <d v="2025-12-17T00:00:00"/>
    <s v="SMT"/>
    <n v="1075"/>
    <n v="441.90800000000002"/>
    <n v="441.91"/>
    <n v="-2.0000000000095497E-3"/>
    <x v="0"/>
    <n v="0"/>
    <n v="441.91"/>
    <n v="-4.5258289055856641E-6"/>
    <n v="0"/>
    <n v="0"/>
    <x v="2"/>
    <n v="1.0000045258289056"/>
  </r>
  <r>
    <n v="6"/>
    <m/>
    <x v="5"/>
    <x v="0"/>
    <d v="2025-12-17T00:00:00"/>
    <s v="CUM"/>
    <n v="380"/>
    <n v="292.76400000000001"/>
    <n v="292.76"/>
    <n v="4.0000000000190994E-3"/>
    <x v="0"/>
    <n v="0"/>
    <n v="292.76"/>
    <n v="1.3662882048404514E-5"/>
    <n v="0"/>
    <n v="0"/>
    <x v="1"/>
    <n v="0.9999863371179516"/>
  </r>
  <r>
    <n v="7"/>
    <m/>
    <x v="6"/>
    <x v="0"/>
    <d v="2025-12-17T00:00:00"/>
    <s v="SMT"/>
    <n v="1075"/>
    <n v="664"/>
    <n v="663.99999999999989"/>
    <n v="0"/>
    <x v="0"/>
    <n v="0"/>
    <n v="663.99999999999989"/>
    <n v="0"/>
    <n v="0"/>
    <n v="0"/>
    <x v="2"/>
    <n v="0.99999999999999978"/>
  </r>
  <r>
    <n v="8"/>
    <m/>
    <x v="7"/>
    <x v="0"/>
    <d v="2025-12-17T00:00:00"/>
    <s v="CUM"/>
    <n v="380"/>
    <n v="62.65"/>
    <n v="62.65"/>
    <n v="0"/>
    <x v="0"/>
    <n v="0"/>
    <n v="62.65"/>
    <n v="0"/>
    <n v="0"/>
    <n v="0"/>
    <x v="2"/>
    <n v="1"/>
  </r>
  <r>
    <n v="9"/>
    <m/>
    <x v="8"/>
    <x v="0"/>
    <d v="2025-12-17T00:00:00"/>
    <s v="CUM"/>
    <n v="3925"/>
    <n v="11.795"/>
    <n v="11.795"/>
    <n v="0"/>
    <x v="0"/>
    <n v="0"/>
    <n v="11.795"/>
    <n v="0"/>
    <n v="0"/>
    <n v="0"/>
    <x v="2"/>
    <n v="1"/>
  </r>
  <r>
    <n v="10"/>
    <m/>
    <x v="9"/>
    <x v="0"/>
    <d v="2025-12-17T00:00:00"/>
    <s v="CUM"/>
    <n v="265"/>
    <n v="7.944"/>
    <n v="7.944"/>
    <n v="0"/>
    <x v="0"/>
    <n v="0"/>
    <n v="7.944"/>
    <n v="0"/>
    <n v="0"/>
    <n v="0"/>
    <x v="2"/>
    <n v="1"/>
  </r>
  <r>
    <n v="11"/>
    <m/>
    <x v="10"/>
    <x v="0"/>
    <d v="2025-12-17T00:00:00"/>
    <s v="SMT"/>
    <n v="1075"/>
    <n v="142.93799999999999"/>
    <n v="142.85"/>
    <n v="8.7999999999993861E-2"/>
    <x v="0"/>
    <n v="0"/>
    <n v="142.85"/>
    <n v="6.1565154122762223E-4"/>
    <n v="0"/>
    <n v="0"/>
    <x v="2"/>
    <n v="0.99938434845877233"/>
  </r>
  <r>
    <n v="12"/>
    <m/>
    <x v="11"/>
    <x v="0"/>
    <d v="2025-12-17T00:00:00"/>
    <s v="CUM"/>
    <n v="380"/>
    <n v="23.994"/>
    <n v="23.979999999999997"/>
    <n v="1.4000000000002899E-2"/>
    <x v="0"/>
    <n v="0"/>
    <n v="23.979999999999997"/>
    <n v="5.8347920313423765E-4"/>
    <n v="0"/>
    <n v="0"/>
    <x v="2"/>
    <n v="0.99941652079686571"/>
  </r>
  <r>
    <n v="13"/>
    <m/>
    <x v="12"/>
    <x v="0"/>
    <d v="2025-12-17T00:00:00"/>
    <s v="CUM"/>
    <n v="130"/>
    <n v="86.293999999999997"/>
    <n v="86.293999999999997"/>
    <n v="0"/>
    <x v="0"/>
    <n v="0"/>
    <n v="86.293999999999997"/>
    <n v="0"/>
    <n v="0"/>
    <n v="0"/>
    <x v="2"/>
    <n v="1"/>
  </r>
  <r>
    <n v="14"/>
    <m/>
    <x v="13"/>
    <x v="0"/>
    <d v="2025-12-17T00:00:00"/>
    <s v="CUM"/>
    <n v="265"/>
    <n v="18.07"/>
    <n v="18.07"/>
    <n v="0"/>
    <x v="0"/>
    <n v="0"/>
    <n v="18.07"/>
    <n v="0"/>
    <n v="0"/>
    <n v="0"/>
    <x v="2"/>
    <n v="1"/>
  </r>
  <r>
    <n v="15"/>
    <m/>
    <x v="14"/>
    <x v="0"/>
    <d v="2025-12-17T00:00:00"/>
    <s v="SMT"/>
    <n v="1075"/>
    <n v="387.1"/>
    <n v="387.1"/>
    <n v="0"/>
    <x v="0"/>
    <n v="0"/>
    <n v="387.1"/>
    <n v="0"/>
    <n v="0"/>
    <n v="0"/>
    <x v="2"/>
    <n v="1"/>
  </r>
  <r>
    <n v="16"/>
    <m/>
    <x v="15"/>
    <x v="0"/>
    <d v="2025-12-17T00:00:00"/>
    <s v="CUM"/>
    <n v="380"/>
    <n v="45.72"/>
    <n v="45.72"/>
    <n v="0"/>
    <x v="0"/>
    <n v="0"/>
    <n v="45.72"/>
    <n v="0"/>
    <n v="0"/>
    <n v="0"/>
    <x v="2"/>
    <n v="1"/>
  </r>
  <r>
    <n v="17"/>
    <m/>
    <x v="16"/>
    <x v="0"/>
    <d v="2025-12-17T00:00:00"/>
    <s v="SMT"/>
    <n v="5235"/>
    <n v="92.29"/>
    <n v="59.5"/>
    <n v="32.790000000000006"/>
    <x v="1"/>
    <n v="15"/>
    <n v="74.5"/>
    <n v="0.3552930978437534"/>
    <n v="1"/>
    <n v="0.45745654162854521"/>
    <x v="2"/>
    <n v="0.80723805396034232"/>
  </r>
  <r>
    <n v="18"/>
    <m/>
    <x v="17"/>
    <x v="0"/>
    <d v="2025-12-17T00:00:00"/>
    <s v="CUM"/>
    <n v="130"/>
    <n v="16.167999999999999"/>
    <n v="16.170000000000002"/>
    <n v="-2.0000000000024443E-3"/>
    <x v="0"/>
    <n v="0"/>
    <n v="16.170000000000002"/>
    <n v="-1.2370113805062124E-4"/>
    <n v="0"/>
    <n v="0"/>
    <x v="2"/>
    <n v="1.0001237011380506"/>
  </r>
  <r>
    <n v="19"/>
    <m/>
    <x v="18"/>
    <x v="0"/>
    <d v="2025-12-17T00:00:00"/>
    <s v="CUM"/>
    <n v="265"/>
    <n v="86.9"/>
    <n v="86.9"/>
    <n v="0"/>
    <x v="0"/>
    <n v="0"/>
    <n v="86.9"/>
    <n v="0"/>
    <n v="0"/>
    <n v="0"/>
    <x v="2"/>
    <n v="1"/>
  </r>
  <r>
    <n v="20"/>
    <m/>
    <x v="19"/>
    <x v="0"/>
    <d v="2025-12-17T00:00:00"/>
    <s v="SMT"/>
    <n v="1075"/>
    <n v="15.3"/>
    <n v="15.3"/>
    <n v="0"/>
    <x v="0"/>
    <n v="0"/>
    <n v="15.3"/>
    <n v="0"/>
    <n v="0"/>
    <n v="0"/>
    <x v="2"/>
    <n v="1"/>
  </r>
  <r>
    <n v="21"/>
    <m/>
    <x v="20"/>
    <x v="0"/>
    <d v="2025-12-17T00:00:00"/>
    <s v="CUM"/>
    <n v="380"/>
    <n v="88.03"/>
    <n v="88.03"/>
    <n v="0"/>
    <x v="0"/>
    <n v="0"/>
    <n v="88.03"/>
    <n v="0"/>
    <n v="0"/>
    <n v="0"/>
    <x v="2"/>
    <n v="1"/>
  </r>
  <r>
    <s v="Avreage  Achivement  : - "/>
    <m/>
    <x v="21"/>
    <x v="1"/>
    <m/>
    <m/>
    <m/>
    <m/>
    <m/>
    <m/>
    <x v="2"/>
    <m/>
    <m/>
    <m/>
    <n v="4.7619047619047616E-2"/>
    <n v="2.1783644839454535E-2"/>
    <x v="3"/>
    <n v="0.99077442934886106"/>
  </r>
  <r>
    <n v="22"/>
    <s v="Ground Floor"/>
    <x v="22"/>
    <x v="0"/>
    <d v="2025-12-17T00:00:00"/>
    <s v="SQM"/>
    <n v="1680"/>
    <n v="427.55"/>
    <n v="427.55399999999997"/>
    <n v="-3.999999999962256E-3"/>
    <x v="0"/>
    <n v="0"/>
    <n v="427.55399999999997"/>
    <n v="-9.3556309202719113E-6"/>
    <n v="0"/>
    <n v="0"/>
    <x v="2"/>
    <n v="1.0000093556309202"/>
  </r>
  <r>
    <n v="23"/>
    <m/>
    <x v="23"/>
    <x v="0"/>
    <d v="2025-12-17T00:00:00"/>
    <s v="SQM"/>
    <m/>
    <n v="700.59"/>
    <n v="700.59"/>
    <n v="0"/>
    <x v="0"/>
    <n v="0"/>
    <n v="700.59"/>
    <n v="0"/>
    <n v="0"/>
    <n v="0"/>
    <x v="2"/>
    <n v="1"/>
  </r>
  <r>
    <n v="24"/>
    <m/>
    <x v="24"/>
    <x v="0"/>
    <d v="2025-12-17T00:00:00"/>
    <s v="SQM"/>
    <m/>
    <n v="664.26"/>
    <n v="664.23"/>
    <n v="2.9999999999972715E-2"/>
    <x v="0"/>
    <n v="0"/>
    <n v="664.23"/>
    <n v="4.516303856919386E-5"/>
    <n v="0"/>
    <n v="0"/>
    <x v="2"/>
    <n v="0.99995483696143084"/>
  </r>
  <r>
    <n v="25"/>
    <m/>
    <x v="25"/>
    <x v="0"/>
    <d v="2025-12-17T00:00:00"/>
    <s v="SQM"/>
    <m/>
    <n v="57.39"/>
    <n v="57.39"/>
    <n v="0"/>
    <x v="0"/>
    <n v="0"/>
    <n v="57.39"/>
    <n v="0"/>
    <n v="0"/>
    <n v="0"/>
    <x v="2"/>
    <n v="1"/>
  </r>
  <r>
    <n v="26"/>
    <m/>
    <x v="26"/>
    <x v="0"/>
    <d v="2025-12-17T00:00:00"/>
    <s v="SQM"/>
    <m/>
    <n v="67.989999999999995"/>
    <n v="56"/>
    <n v="11.989999999999995"/>
    <x v="0"/>
    <n v="0"/>
    <n v="56"/>
    <n v="0.17634946315634645"/>
    <n v="0"/>
    <n v="0"/>
    <x v="2"/>
    <n v="0.82365053684365352"/>
  </r>
  <r>
    <n v="27"/>
    <m/>
    <x v="27"/>
    <x v="0"/>
    <d v="2025-12-17T00:00:00"/>
    <s v="CUM"/>
    <n v="210"/>
    <n v="32.822000000000003"/>
    <n v="32.82"/>
    <n v="2.0000000000024443E-3"/>
    <x v="0"/>
    <n v="0"/>
    <n v="32.82"/>
    <n v="6.0934738894718302E-5"/>
    <n v="0"/>
    <n v="0"/>
    <x v="2"/>
    <n v="0.99993906526110532"/>
  </r>
  <r>
    <n v="28"/>
    <m/>
    <x v="28"/>
    <x v="0"/>
    <d v="2025-12-17T00:00:00"/>
    <s v="CUM"/>
    <m/>
    <n v="61.76"/>
    <n v="61.75"/>
    <n v="9.9999999999980105E-3"/>
    <x v="0"/>
    <n v="0"/>
    <n v="61.75"/>
    <n v="1.6191709844556363E-4"/>
    <n v="0"/>
    <n v="0"/>
    <x v="2"/>
    <n v="0.9998380829015544"/>
  </r>
  <r>
    <n v="29"/>
    <m/>
    <x v="29"/>
    <x v="0"/>
    <d v="2025-12-17T00:00:00"/>
    <s v="CUM"/>
    <m/>
    <n v="101.99"/>
    <n v="101.98"/>
    <n v="9.9999999999909051E-3"/>
    <x v="0"/>
    <n v="0"/>
    <n v="101.98"/>
    <n v="9.8048828316412443E-5"/>
    <n v="0"/>
    <n v="0"/>
    <x v="2"/>
    <n v="0.99990195117168357"/>
  </r>
  <r>
    <n v="30"/>
    <m/>
    <x v="30"/>
    <x v="0"/>
    <d v="2025-12-17T00:00:00"/>
    <s v="CUM"/>
    <m/>
    <n v="8.5299999999999994"/>
    <n v="8.52"/>
    <n v="9.9999999999997868E-3"/>
    <x v="0"/>
    <n v="0"/>
    <n v="8.52"/>
    <n v="1.172332942555661E-3"/>
    <n v="0"/>
    <n v="0"/>
    <x v="2"/>
    <n v="0.9988276670574443"/>
  </r>
  <r>
    <n v="31"/>
    <m/>
    <x v="31"/>
    <x v="0"/>
    <d v="2025-12-17T00:00:00"/>
    <s v="CUM"/>
    <m/>
    <n v="3.91"/>
    <n v="2"/>
    <n v="1.9100000000000001"/>
    <x v="0"/>
    <n v="0"/>
    <n v="2"/>
    <n v="0.48849104859335041"/>
    <n v="0"/>
    <n v="0"/>
    <x v="2"/>
    <n v="0.51150895140664965"/>
  </r>
  <r>
    <n v="32"/>
    <m/>
    <x v="32"/>
    <x v="0"/>
    <d v="2025-12-17T00:00:00"/>
    <s v="CUM"/>
    <n v="80"/>
    <n v="73.48"/>
    <n v="36.86"/>
    <n v="36.620000000000005"/>
    <x v="3"/>
    <n v="7"/>
    <n v="43.86"/>
    <n v="0.49836690255851934"/>
    <n v="0.54614964500273067"/>
    <n v="0.19115237575095573"/>
    <x v="2"/>
    <n v="0.59689711486118668"/>
  </r>
  <r>
    <n v="33"/>
    <m/>
    <x v="33"/>
    <x v="0"/>
    <d v="2025-12-17T00:00:00"/>
    <s v="SMT"/>
    <n v="1170"/>
    <n v="768"/>
    <n v="346.26"/>
    <n v="421.74"/>
    <x v="4"/>
    <n v="10"/>
    <n v="356.26"/>
    <n v="0.54914062500000005"/>
    <n v="0.2371129131692512"/>
    <n v="2.371129131692512E-2"/>
    <x v="2"/>
    <n v="0.46388020833333332"/>
  </r>
  <r>
    <n v="34"/>
    <m/>
    <x v="34"/>
    <x v="0"/>
    <d v="2025-12-17T00:00:00"/>
    <s v="SMT"/>
    <n v="1591.21"/>
    <n v="1733.79"/>
    <n v="362"/>
    <n v="1371.79"/>
    <x v="5"/>
    <n v="301"/>
    <n v="663"/>
    <n v="0.79120885459023294"/>
    <n v="0.43738473089904434"/>
    <n v="0.21942134000102057"/>
    <x v="2"/>
    <n v="0.38239925250462858"/>
  </r>
  <r>
    <n v="35"/>
    <m/>
    <x v="35"/>
    <x v="0"/>
    <d v="2025-12-17T00:00:00"/>
    <s v="SMT"/>
    <n v="830"/>
    <n v="841.16"/>
    <n v="0"/>
    <n v="841.16"/>
    <x v="4"/>
    <n v="55.15"/>
    <n v="55.15"/>
    <n v="1"/>
    <n v="0.11888344666888583"/>
    <n v="6.5564220837890527E-2"/>
    <x v="2"/>
    <n v="6.5564220837890527E-2"/>
  </r>
  <r>
    <n v="36"/>
    <m/>
    <x v="36"/>
    <x v="0"/>
    <d v="2025-12-17T00:00:00"/>
    <s v="RMT"/>
    <n v="1865"/>
    <n v="1859.2"/>
    <n v="0"/>
    <n v="1859.2"/>
    <x v="4"/>
    <n v="45"/>
    <n v="45"/>
    <n v="1"/>
    <n v="5.3786574870912221E-2"/>
    <n v="2.4203958691910499E-2"/>
    <x v="2"/>
    <n v="2.4203958691910499E-2"/>
  </r>
  <r>
    <s v="Avreage  Achivement  : - "/>
    <m/>
    <x v="21"/>
    <x v="1"/>
    <m/>
    <m/>
    <m/>
    <m/>
    <m/>
    <m/>
    <x v="2"/>
    <m/>
    <m/>
    <m/>
    <n v="9.2887820707388283E-2"/>
    <n v="3.4936879106580158E-2"/>
    <x v="3"/>
    <n v="0.7244383468308927"/>
  </r>
  <r>
    <n v="37"/>
    <s v="First Floor"/>
    <x v="37"/>
    <x v="0"/>
    <d v="2025-12-17T00:00:00"/>
    <s v="SQM"/>
    <n v="1680"/>
    <n v="439.91300000000001"/>
    <n v="315"/>
    <n v="124.91300000000001"/>
    <x v="4"/>
    <n v="21.32"/>
    <n v="336.32"/>
    <n v="0.28394932634407261"/>
    <n v="0.80055718780271057"/>
    <n v="0.1706787924395379"/>
    <x v="2"/>
    <n v="0.76451480179035392"/>
  </r>
  <r>
    <n v="38"/>
    <m/>
    <x v="38"/>
    <x v="0"/>
    <d v="2025-12-17T00:00:00"/>
    <s v="SQM"/>
    <m/>
    <n v="700.59"/>
    <n v="701"/>
    <n v="-0.40999999999996817"/>
    <x v="0"/>
    <n v="0"/>
    <n v="701"/>
    <n v="-5.8522102799064813E-4"/>
    <n v="0"/>
    <n v="0"/>
    <x v="2"/>
    <n v="1.0005852210279906"/>
  </r>
  <r>
    <n v="39"/>
    <m/>
    <x v="39"/>
    <x v="0"/>
    <d v="2025-12-17T00:00:00"/>
    <s v="SQM"/>
    <m/>
    <n v="664.26"/>
    <n v="664.26"/>
    <n v="0"/>
    <x v="0"/>
    <n v="0"/>
    <n v="664.26"/>
    <n v="0"/>
    <n v="0"/>
    <n v="0"/>
    <x v="2"/>
    <n v="1"/>
  </r>
  <r>
    <n v="40"/>
    <m/>
    <x v="40"/>
    <x v="0"/>
    <d v="2025-12-17T00:00:00"/>
    <s v="SQM"/>
    <m/>
    <n v="57.39"/>
    <n v="57.39"/>
    <n v="0"/>
    <x v="0"/>
    <n v="0"/>
    <n v="57.39"/>
    <n v="0"/>
    <n v="0"/>
    <n v="0"/>
    <x v="2"/>
    <n v="1"/>
  </r>
  <r>
    <n v="41"/>
    <m/>
    <x v="41"/>
    <x v="0"/>
    <d v="2025-12-17T00:00:00"/>
    <s v="SQM"/>
    <m/>
    <n v="67.989999999999995"/>
    <n v="0"/>
    <n v="67.989999999999995"/>
    <x v="6"/>
    <n v="29"/>
    <n v="29"/>
    <n v="1"/>
    <n v="0.8824827180467717"/>
    <n v="0.42653331372260628"/>
    <x v="2"/>
    <n v="0.42653331372260628"/>
  </r>
  <r>
    <n v="42"/>
    <m/>
    <x v="42"/>
    <x v="0"/>
    <d v="2025-12-17T00:00:00"/>
    <s v="CUM"/>
    <n v="210"/>
    <n v="32.822000000000003"/>
    <n v="25.810000000000002"/>
    <n v="7.0120000000000005"/>
    <x v="0"/>
    <n v="0"/>
    <n v="25.810000000000002"/>
    <n v="0.2136371945646213"/>
    <n v="0"/>
    <n v="0"/>
    <x v="2"/>
    <n v="0.78636280543537873"/>
  </r>
  <r>
    <n v="43"/>
    <m/>
    <x v="43"/>
    <x v="0"/>
    <d v="2025-12-17T00:00:00"/>
    <s v="CUM"/>
    <m/>
    <n v="8.5299999999999994"/>
    <n v="8.5299999999999994"/>
    <n v="0"/>
    <x v="0"/>
    <n v="0"/>
    <n v="8.5299999999999994"/>
    <n v="0"/>
    <n v="0"/>
    <n v="0"/>
    <x v="2"/>
    <n v="1"/>
  </r>
  <r>
    <n v="44"/>
    <m/>
    <x v="44"/>
    <x v="0"/>
    <d v="2025-12-17T00:00:00"/>
    <s v="CUM"/>
    <m/>
    <n v="61.76"/>
    <n v="61.76"/>
    <n v="0"/>
    <x v="0"/>
    <n v="0"/>
    <n v="61.76"/>
    <n v="0"/>
    <n v="0"/>
    <n v="0"/>
    <x v="2"/>
    <n v="1"/>
  </r>
  <r>
    <n v="45"/>
    <m/>
    <x v="45"/>
    <x v="0"/>
    <d v="2025-12-17T00:00:00"/>
    <s v="CUM"/>
    <m/>
    <n v="101.99"/>
    <n v="101.99"/>
    <n v="0"/>
    <x v="0"/>
    <n v="0"/>
    <n v="101.99"/>
    <n v="0"/>
    <n v="0"/>
    <n v="0"/>
    <x v="2"/>
    <n v="1"/>
  </r>
  <r>
    <n v="46"/>
    <m/>
    <x v="46"/>
    <x v="0"/>
    <d v="2025-12-17T00:00:00"/>
    <s v="CUM"/>
    <m/>
    <n v="3.91"/>
    <n v="0"/>
    <n v="0"/>
    <x v="0"/>
    <n v="0"/>
    <n v="0"/>
    <n v="0"/>
    <n v="0"/>
    <n v="0"/>
    <x v="2"/>
    <n v="0"/>
  </r>
  <r>
    <n v="47"/>
    <m/>
    <x v="47"/>
    <x v="0"/>
    <d v="2025-12-17T00:00:00"/>
    <s v="CUM"/>
    <n v="80"/>
    <n v="73.48"/>
    <n v="0"/>
    <n v="73.48"/>
    <x v="3"/>
    <n v="28.630000000000003"/>
    <n v="28.630000000000003"/>
    <n v="1"/>
    <n v="0.27218290691344582"/>
    <n v="0.38962983124659772"/>
    <x v="2"/>
    <n v="0.38962983124659772"/>
  </r>
  <r>
    <n v="48"/>
    <m/>
    <x v="48"/>
    <x v="0"/>
    <d v="2025-12-17T00:00:00"/>
    <s v="SMT"/>
    <n v="1170"/>
    <n v="768"/>
    <n v="0"/>
    <n v="768"/>
    <x v="7"/>
    <n v="174.54999999999998"/>
    <n v="174.54999999999998"/>
    <n v="1"/>
    <n v="0.390625"/>
    <n v="0.22727864583333332"/>
    <x v="2"/>
    <n v="0.22727864583333332"/>
  </r>
  <r>
    <n v="49"/>
    <m/>
    <x v="34"/>
    <x v="0"/>
    <d v="2025-12-17T00:00:00"/>
    <s v="SMT"/>
    <n v="1591.21"/>
    <n v="1733.79"/>
    <n v="0"/>
    <n v="1733.79"/>
    <x v="0"/>
    <n v="0"/>
    <n v="0"/>
    <n v="1"/>
    <n v="0"/>
    <n v="0"/>
    <x v="2"/>
    <n v="0"/>
  </r>
  <r>
    <n v="50"/>
    <m/>
    <x v="35"/>
    <x v="0"/>
    <d v="2025-12-17T00:00:00"/>
    <s v="SMT"/>
    <n v="830"/>
    <n v="841.16"/>
    <n v="0"/>
    <n v="841.16"/>
    <x v="0"/>
    <n v="0"/>
    <n v="0"/>
    <n v="1"/>
    <n v="0"/>
    <n v="0"/>
    <x v="2"/>
    <n v="0"/>
  </r>
  <r>
    <n v="51"/>
    <m/>
    <x v="36"/>
    <x v="0"/>
    <d v="2025-12-17T00:00:00"/>
    <s v="RMT"/>
    <n v="1865"/>
    <n v="1859.2"/>
    <n v="0"/>
    <n v="1859.2"/>
    <x v="0"/>
    <n v="0"/>
    <n v="0"/>
    <n v="1"/>
    <n v="0"/>
    <n v="0"/>
    <x v="2"/>
    <n v="0"/>
  </r>
  <r>
    <s v="Avreage  Achivement  : - "/>
    <m/>
    <x v="21"/>
    <x v="1"/>
    <m/>
    <m/>
    <m/>
    <m/>
    <m/>
    <m/>
    <x v="2"/>
    <m/>
    <m/>
    <m/>
    <n v="0.15638985418419521"/>
    <n v="8.0941372216138341E-2"/>
    <x v="3"/>
    <n v="0.5729936412704173"/>
  </r>
  <r>
    <n v="52"/>
    <s v="Second Floor"/>
    <x v="49"/>
    <x v="0"/>
    <d v="2025-12-17T00:00:00"/>
    <s v="SQM"/>
    <n v="1680"/>
    <n v="439.91300000000001"/>
    <n v="310.94"/>
    <n v="128.97300000000001"/>
    <x v="0"/>
    <n v="0"/>
    <n v="310.94"/>
    <n v="0.29317842391563786"/>
    <n v="0"/>
    <n v="0"/>
    <x v="2"/>
    <n v="0.70682157608436214"/>
  </r>
  <r>
    <n v="53"/>
    <m/>
    <x v="50"/>
    <x v="0"/>
    <d v="2025-12-17T00:00:00"/>
    <s v="SQM"/>
    <m/>
    <n v="57.39"/>
    <n v="57.39"/>
    <n v="0"/>
    <x v="0"/>
    <n v="0"/>
    <n v="57.39"/>
    <n v="0"/>
    <n v="0"/>
    <n v="0"/>
    <x v="2"/>
    <n v="1"/>
  </r>
  <r>
    <n v="54"/>
    <m/>
    <x v="51"/>
    <x v="0"/>
    <d v="2025-12-17T00:00:00"/>
    <s v="SQM"/>
    <m/>
    <n v="700.59"/>
    <n v="700.59"/>
    <n v="0"/>
    <x v="0"/>
    <n v="0"/>
    <n v="700.59"/>
    <n v="0"/>
    <n v="0"/>
    <n v="0"/>
    <x v="2"/>
    <n v="1"/>
  </r>
  <r>
    <n v="55"/>
    <m/>
    <x v="52"/>
    <x v="0"/>
    <d v="2025-12-17T00:00:00"/>
    <s v="SQM"/>
    <m/>
    <n v="664.26"/>
    <n v="664.26"/>
    <n v="0"/>
    <x v="0"/>
    <n v="0"/>
    <n v="664.26"/>
    <n v="0"/>
    <n v="0"/>
    <n v="0"/>
    <x v="2"/>
    <n v="1"/>
  </r>
  <r>
    <n v="56"/>
    <m/>
    <x v="53"/>
    <x v="0"/>
    <d v="2025-12-17T00:00:00"/>
    <s v="CUM"/>
    <n v="210"/>
    <n v="32.822000000000003"/>
    <n v="25.414999999999999"/>
    <n v="7.4070000000000036"/>
    <x v="0"/>
    <n v="0"/>
    <n v="25.414999999999999"/>
    <n v="0.22567180549631355"/>
    <n v="0"/>
    <n v="0"/>
    <x v="2"/>
    <n v="0.77432819450368651"/>
  </r>
  <r>
    <n v="57"/>
    <m/>
    <x v="54"/>
    <x v="0"/>
    <d v="2025-12-17T00:00:00"/>
    <s v="CUM"/>
    <m/>
    <n v="8.5299999999999994"/>
    <n v="8.5299999999999994"/>
    <n v="0"/>
    <x v="0"/>
    <n v="0"/>
    <n v="8.5299999999999994"/>
    <n v="0"/>
    <n v="0"/>
    <n v="0"/>
    <x v="2"/>
    <n v="1"/>
  </r>
  <r>
    <n v="58"/>
    <m/>
    <x v="55"/>
    <x v="0"/>
    <d v="2025-12-17T00:00:00"/>
    <s v="CUM"/>
    <m/>
    <n v="61.76"/>
    <n v="61.76"/>
    <n v="0"/>
    <x v="0"/>
    <n v="0"/>
    <n v="61.76"/>
    <n v="0"/>
    <n v="0"/>
    <n v="0"/>
    <x v="2"/>
    <n v="1"/>
  </r>
  <r>
    <n v="59"/>
    <m/>
    <x v="56"/>
    <x v="0"/>
    <d v="2025-12-17T00:00:00"/>
    <s v="CUM"/>
    <m/>
    <n v="101.99"/>
    <n v="101.99"/>
    <n v="0"/>
    <x v="0"/>
    <n v="0"/>
    <n v="101.99"/>
    <n v="0"/>
    <n v="0"/>
    <n v="0"/>
    <x v="2"/>
    <n v="1"/>
  </r>
  <r>
    <s v="Avreage  Achivement  : - "/>
    <m/>
    <x v="21"/>
    <x v="1"/>
    <m/>
    <m/>
    <m/>
    <m/>
    <m/>
    <m/>
    <x v="2"/>
    <m/>
    <m/>
    <m/>
    <n v="0"/>
    <n v="0"/>
    <x v="3"/>
    <n v="0.93514372132350609"/>
  </r>
  <r>
    <n v="60"/>
    <s v="Third Floor"/>
    <x v="57"/>
    <x v="0"/>
    <d v="2025-12-17T00:00:00"/>
    <s v="SQM"/>
    <n v="1680"/>
    <n v="439.91300000000001"/>
    <n v="98"/>
    <n v="341.91300000000001"/>
    <x v="8"/>
    <n v="188.42"/>
    <n v="286.41999999999996"/>
    <n v="0.77722867930704476"/>
    <n v="0.62004077060538787"/>
    <n v="0.55107585847861873"/>
    <x v="2"/>
    <n v="0.65108328237628788"/>
  </r>
  <r>
    <n v="61"/>
    <m/>
    <x v="58"/>
    <x v="0"/>
    <d v="2025-12-17T00:00:00"/>
    <s v="SQM"/>
    <m/>
    <n v="57.39"/>
    <n v="0"/>
    <n v="57.39"/>
    <x v="9"/>
    <n v="30"/>
    <n v="30"/>
    <n v="1"/>
    <n v="0.52273915316257191"/>
    <n v="0.52273915316257191"/>
    <x v="2"/>
    <n v="0.52273915316257191"/>
  </r>
  <r>
    <n v="62"/>
    <m/>
    <x v="59"/>
    <x v="0"/>
    <d v="2025-12-17T00:00:00"/>
    <s v="SQM"/>
    <m/>
    <n v="700.59"/>
    <n v="0"/>
    <n v="700.59"/>
    <x v="10"/>
    <n v="350"/>
    <n v="350"/>
    <n v="1"/>
    <n v="0.57094734438116446"/>
    <n v="0.49957892633351886"/>
    <x v="2"/>
    <n v="0.49957892633351886"/>
  </r>
  <r>
    <n v="63"/>
    <m/>
    <x v="60"/>
    <x v="0"/>
    <d v="2025-12-17T00:00:00"/>
    <s v="SQM"/>
    <m/>
    <n v="664.26"/>
    <n v="0"/>
    <n v="664.26"/>
    <x v="10"/>
    <n v="180"/>
    <n v="180"/>
    <n v="1"/>
    <n v="0.60217384758979919"/>
    <n v="0.27097823141540961"/>
    <x v="2"/>
    <n v="0.27097823141540961"/>
  </r>
  <r>
    <n v="64"/>
    <m/>
    <x v="61"/>
    <x v="0"/>
    <d v="2025-12-17T00:00:00"/>
    <s v="CUM"/>
    <n v="210"/>
    <n v="32.822000000000003"/>
    <n v="2.58"/>
    <n v="30.242000000000004"/>
    <x v="9"/>
    <n v="18"/>
    <n v="20.58"/>
    <n v="0.92139418682590946"/>
    <n v="0.99199788373784792"/>
    <n v="0.59519873024270875"/>
    <x v="2"/>
    <n v="0.62701846322588495"/>
  </r>
  <r>
    <n v="65"/>
    <m/>
    <x v="62"/>
    <x v="0"/>
    <d v="2025-12-17T00:00:00"/>
    <s v="CUM"/>
    <m/>
    <n v="8.5299999999999994"/>
    <n v="0"/>
    <n v="8.5299999999999994"/>
    <x v="11"/>
    <n v="2.1"/>
    <n v="2.1"/>
    <n v="1"/>
    <n v="0.58616647127784294"/>
    <n v="0.24618991793669406"/>
    <x v="2"/>
    <n v="0.24618991793669406"/>
  </r>
  <r>
    <n v="66"/>
    <m/>
    <x v="63"/>
    <x v="0"/>
    <d v="2025-12-17T00:00:00"/>
    <s v="CUM"/>
    <m/>
    <n v="61.76"/>
    <n v="0"/>
    <n v="61.76"/>
    <x v="0"/>
    <n v="0"/>
    <n v="0"/>
    <n v="1"/>
    <n v="0"/>
    <n v="0"/>
    <x v="2"/>
    <n v="0"/>
  </r>
  <r>
    <n v="67"/>
    <m/>
    <x v="64"/>
    <x v="0"/>
    <d v="2025-12-17T00:00:00"/>
    <s v="CUM"/>
    <m/>
    <n v="101.99"/>
    <n v="0"/>
    <n v="101.99"/>
    <x v="0"/>
    <n v="0"/>
    <n v="0"/>
    <n v="1"/>
    <n v="0"/>
    <n v="0"/>
    <x v="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8E4C8F-22BF-4C12-B322-72555616C455}" name="PivotTable4"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81:D96" firstHeaderRow="0" firstDataRow="1" firstDataCol="1" rowPageCount="2" colPageCount="1"/>
  <pivotFields count="9">
    <pivotField compact="0" outline="0" showAll="0" defaultSubtotal="0"/>
    <pivotField compact="0" outline="0" showAll="0" defaultSubtotal="0">
      <items count="1">
        <item x="0"/>
      </items>
    </pivotField>
    <pivotField axis="axisRow" compact="0" outline="0" showAll="0" defaultSubtotal="0">
      <items count="64">
        <item x="47"/>
        <item x="46"/>
        <item x="32"/>
        <item x="31"/>
        <item x="42"/>
        <item x="37"/>
        <item x="45"/>
        <item x="40"/>
        <item x="43"/>
        <item x="38"/>
        <item x="44"/>
        <item x="39"/>
        <item x="52"/>
        <item x="48"/>
        <item x="6"/>
        <item x="12"/>
        <item x="20"/>
        <item x="34"/>
        <item x="0"/>
        <item x="4"/>
        <item x="8"/>
        <item x="16"/>
        <item x="1"/>
        <item x="5"/>
        <item x="10"/>
        <item x="18"/>
        <item x="27"/>
        <item x="22"/>
        <item x="30"/>
        <item x="25"/>
        <item x="28"/>
        <item x="23"/>
        <item x="29"/>
        <item x="24"/>
        <item x="41"/>
        <item x="36"/>
        <item x="33"/>
        <item x="13"/>
        <item x="14"/>
        <item x="17"/>
        <item x="9"/>
        <item x="7"/>
        <item x="11"/>
        <item x="19"/>
        <item x="15"/>
        <item x="26"/>
        <item x="21"/>
        <item x="3"/>
        <item x="54"/>
        <item x="50"/>
        <item x="55"/>
        <item x="51"/>
        <item x="53"/>
        <item x="49"/>
        <item x="60"/>
        <item x="56"/>
        <item x="35"/>
        <item x="62"/>
        <item x="58"/>
        <item x="63"/>
        <item x="59"/>
        <item x="61"/>
        <item x="57"/>
        <item x="2"/>
      </items>
    </pivotField>
    <pivotField compact="0" outline="0" showAll="0" defaultSubtotal="0"/>
    <pivotField compact="0" outline="0" showAll="0" defaultSubtotal="0"/>
    <pivotField compact="0" outline="0" showAll="0" defaultSubtotal="0"/>
    <pivotField axis="axisPage" dataField="1" compact="0" outline="0" multipleItemSelectionAllowed="1" showAll="0" defaultSubtotal="0">
      <items count="11">
        <item h="1" x="1"/>
        <item h="1" x="0"/>
        <item x="10"/>
        <item x="3"/>
        <item x="8"/>
        <item x="2"/>
        <item x="6"/>
        <item x="4"/>
        <item x="7"/>
        <item x="9"/>
        <item x="5"/>
      </items>
    </pivotField>
    <pivotField axis="axisPage" dataField="1" compact="0" numFmtId="1" outline="0" multipleItemSelectionAllowed="1" showAll="0" defaultSubtotal="0">
      <items count="17">
        <item h="1" x="0"/>
        <item x="16"/>
        <item x="2"/>
        <item x="3"/>
        <item x="1"/>
        <item x="15"/>
        <item x="7"/>
        <item x="9"/>
        <item x="8"/>
        <item x="12"/>
        <item x="6"/>
        <item x="5"/>
        <item x="10"/>
        <item x="14"/>
        <item x="11"/>
        <item x="4"/>
        <item x="13"/>
      </items>
    </pivotField>
    <pivotField dataField="1" compact="0" outline="0" showAll="0" defaultSubtotal="0"/>
  </pivotFields>
  <rowFields count="1">
    <field x="2"/>
  </rowFields>
  <rowItems count="15">
    <i>
      <x v="2"/>
    </i>
    <i>
      <x v="3"/>
    </i>
    <i>
      <x v="7"/>
    </i>
    <i>
      <x v="17"/>
    </i>
    <i>
      <x v="35"/>
    </i>
    <i>
      <x v="36"/>
    </i>
    <i>
      <x v="44"/>
    </i>
    <i>
      <x v="54"/>
    </i>
    <i>
      <x v="55"/>
    </i>
    <i>
      <x v="56"/>
    </i>
    <i>
      <x v="58"/>
    </i>
    <i>
      <x v="60"/>
    </i>
    <i>
      <x v="61"/>
    </i>
    <i>
      <x v="62"/>
    </i>
    <i t="grand">
      <x/>
    </i>
  </rowItems>
  <colFields count="1">
    <field x="-2"/>
  </colFields>
  <colItems count="3">
    <i>
      <x/>
    </i>
    <i i="1">
      <x v="1"/>
    </i>
    <i i="2">
      <x v="2"/>
    </i>
  </colItems>
  <pageFields count="2">
    <pageField fld="6" hier="-1"/>
    <pageField fld="7" hier="-1"/>
  </pageFields>
  <dataFields count="3">
    <dataField name="Sum of Weekly planned Qty." fld="6" baseField="0" baseItem="0"/>
    <dataField name="Sum of Weekly actual Qty." fld="7" baseField="0" baseItem="0" numFmtId="1"/>
    <dataField name="Sum of Total Achieved Q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AF03A9-66A6-4656-8713-FAB6AC4B4B88}"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81:H86" firstHeaderRow="0" firstDataRow="1" firstDataCol="1"/>
  <pivotFields count="9">
    <pivotField showAll="0"/>
    <pivotField showAll="0"/>
    <pivotField showAll="0"/>
    <pivotField axis="axisRow" showAll="0">
      <items count="5">
        <item x="0"/>
        <item x="3"/>
        <item x="1"/>
        <item x="2"/>
        <item t="default"/>
      </items>
    </pivotField>
    <pivotField showAll="0"/>
    <pivotField showAll="0"/>
    <pivotField dataField="1" showAll="0"/>
    <pivotField dataField="1" numFmtId="1" showAll="0"/>
    <pivotField showAll="0"/>
  </pivotFields>
  <rowFields count="1">
    <field x="3"/>
  </rowFields>
  <rowItems count="5">
    <i>
      <x/>
    </i>
    <i>
      <x v="1"/>
    </i>
    <i>
      <x v="2"/>
    </i>
    <i>
      <x v="3"/>
    </i>
    <i t="grand">
      <x/>
    </i>
  </rowItems>
  <colFields count="1">
    <field x="-2"/>
  </colFields>
  <colItems count="2">
    <i>
      <x/>
    </i>
    <i i="1">
      <x v="1"/>
    </i>
  </colItems>
  <dataFields count="2">
    <dataField name="Sum of Weekly planned Qty." fld="6" baseField="0" baseItem="0"/>
    <dataField name="Sum of Weekly actual Qty." fld="7" baseField="0" baseItem="0" numFmtId="1"/>
  </dataFields>
  <chartFormats count="2">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1FDB77-790B-4974-8668-D2529BA6DE66}" name="PivotTable2"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130:E147" firstHeaderRow="0" firstDataRow="1" firstDataCol="2" rowPageCount="1" colPageCount="1"/>
  <pivotFields count="18">
    <pivotField compact="0" outline="0" showAll="0" defaultSubtotal="0"/>
    <pivotField compact="0" outline="0" showAll="0" defaultSubtotal="0"/>
    <pivotField axis="axisRow" compact="0" outline="0" showAll="0" defaultSubtotal="0">
      <items count="65">
        <item x="48"/>
        <item x="47"/>
        <item x="33"/>
        <item x="32"/>
        <item x="0"/>
        <item x="44"/>
        <item x="38"/>
        <item x="46"/>
        <item x="41"/>
        <item x="45"/>
        <item x="39"/>
        <item x="43"/>
        <item x="40"/>
        <item x="53"/>
        <item x="49"/>
        <item x="18"/>
        <item x="20"/>
        <item x="19"/>
        <item x="35"/>
        <item x="1"/>
        <item x="5"/>
        <item x="4"/>
        <item x="8"/>
        <item x="9"/>
        <item x="11"/>
        <item x="10"/>
        <item x="28"/>
        <item x="23"/>
        <item x="31"/>
        <item x="26"/>
        <item x="29"/>
        <item x="24"/>
        <item x="30"/>
        <item x="25"/>
        <item x="42"/>
        <item x="37"/>
        <item x="34"/>
        <item x="12"/>
        <item x="17"/>
        <item x="7"/>
        <item x="6"/>
        <item x="13"/>
        <item x="15"/>
        <item x="14"/>
        <item x="16"/>
        <item x="27"/>
        <item x="22"/>
        <item x="3"/>
        <item x="55"/>
        <item x="51"/>
        <item x="56"/>
        <item x="52"/>
        <item x="54"/>
        <item x="50"/>
        <item x="61"/>
        <item x="57"/>
        <item x="36"/>
        <item x="63"/>
        <item x="59"/>
        <item x="64"/>
        <item x="60"/>
        <item x="62"/>
        <item x="58"/>
        <item x="2"/>
        <item h="1" x="21"/>
      </items>
    </pivotField>
    <pivotField axis="axisRow" compact="0" outline="0" showAll="0" defaultSubtotal="0">
      <items count="2">
        <item x="0"/>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Page" compact="0" outline="0" multipleItemSelectionAllowed="1" showAll="0" defaultSubtotal="0">
      <items count="12">
        <item h="1" x="0"/>
        <item x="11"/>
        <item x="3"/>
        <item x="9"/>
        <item x="1"/>
        <item x="6"/>
        <item x="4"/>
        <item x="8"/>
        <item x="7"/>
        <item x="10"/>
        <item x="5"/>
        <item x="2"/>
      </items>
    </pivotField>
    <pivotField compact="0" outline="0" showAll="0" defaultSubtotal="0"/>
    <pivotField compact="0" outline="0" showAll="0" defaultSubtotal="0"/>
    <pivotField compact="0" outline="0" showAll="0" defaultSubtotal="0"/>
    <pivotField dataField="1" compact="0" numFmtId="9" outline="0" showAll="0" defaultSubtotal="0"/>
    <pivotField dataField="1" compact="0" numFmtId="9" outline="0" showAll="0" defaultSubtotal="0"/>
    <pivotField compact="0" outline="0" showAll="0" defaultSubtotal="0">
      <items count="4">
        <item x="0"/>
        <item x="1"/>
        <item x="3"/>
        <item x="2"/>
      </items>
    </pivotField>
    <pivotField dataField="1" compact="0" numFmtId="9" outline="0" showAll="0" defaultSubtotal="0"/>
  </pivotFields>
  <rowFields count="2">
    <field x="2"/>
    <field x="3"/>
  </rowFields>
  <rowItems count="17">
    <i>
      <x/>
      <x/>
    </i>
    <i>
      <x v="1"/>
      <x/>
    </i>
    <i>
      <x v="2"/>
      <x/>
    </i>
    <i>
      <x v="3"/>
      <x/>
    </i>
    <i>
      <x v="8"/>
      <x/>
    </i>
    <i>
      <x v="18"/>
      <x/>
    </i>
    <i>
      <x v="35"/>
      <x/>
    </i>
    <i>
      <x v="36"/>
      <x/>
    </i>
    <i>
      <x v="44"/>
      <x/>
    </i>
    <i>
      <x v="54"/>
      <x/>
    </i>
    <i>
      <x v="55"/>
      <x/>
    </i>
    <i>
      <x v="56"/>
      <x/>
    </i>
    <i>
      <x v="58"/>
      <x/>
    </i>
    <i>
      <x v="60"/>
      <x/>
    </i>
    <i>
      <x v="61"/>
      <x/>
    </i>
    <i>
      <x v="62"/>
      <x/>
    </i>
    <i t="grand">
      <x/>
    </i>
  </rowItems>
  <colFields count="1">
    <field x="-2"/>
  </colFields>
  <colItems count="3">
    <i>
      <x/>
    </i>
    <i i="1">
      <x v="1"/>
    </i>
    <i i="2">
      <x v="2"/>
    </i>
  </colItems>
  <pageFields count="1">
    <pageField fld="10" hier="-1"/>
  </pageFields>
  <dataFields count="3">
    <dataField name="Sum of % Planned Against _x000a_Balance Qty  " fld="14" baseField="0" baseItem="0" numFmtId="9"/>
    <dataField name="Sum of % Achieved Against Actual Qty" fld="15" baseField="0" baseItem="0" numFmtId="9"/>
    <dataField name="Sum of % Completed (Total against the GFC )2" fld="17" baseField="0" baseItem="0" numFmtId="9"/>
  </dataFields>
  <chartFormats count="3">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F9B47F-CDCA-4734-9DD1-69AFCB284480}"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04:H109" firstHeaderRow="0" firstDataRow="1" firstDataCol="1"/>
  <pivotFields count="9">
    <pivotField showAll="0"/>
    <pivotField showAll="0"/>
    <pivotField showAll="0"/>
    <pivotField axis="axisRow" showAll="0">
      <items count="5">
        <item x="0"/>
        <item x="3"/>
        <item x="1"/>
        <item x="2"/>
        <item t="default"/>
      </items>
    </pivotField>
    <pivotField showAll="0"/>
    <pivotField dataField="1" showAll="0"/>
    <pivotField showAll="0"/>
    <pivotField numFmtId="1" showAll="0"/>
    <pivotField dataField="1" showAll="0"/>
  </pivotFields>
  <rowFields count="1">
    <field x="3"/>
  </rowFields>
  <rowItems count="5">
    <i>
      <x/>
    </i>
    <i>
      <x v="1"/>
    </i>
    <i>
      <x v="2"/>
    </i>
    <i>
      <x v="3"/>
    </i>
    <i t="grand">
      <x/>
    </i>
  </rowItems>
  <colFields count="1">
    <field x="-2"/>
  </colFields>
  <colItems count="2">
    <i>
      <x/>
    </i>
    <i i="1">
      <x v="1"/>
    </i>
  </colItems>
  <dataFields count="2">
    <dataField name="Sum of As per GFC total Quantity" fld="5" baseField="0" baseItem="0"/>
    <dataField name="Sum of Total Achieved Q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D460B8-8600-4175-9A61-C5E8A1ADB44F}" name="Table1" displayName="Table1" ref="A1:O12" totalsRowCount="1" headerRowDxfId="78" dataDxfId="77">
  <autoFilter ref="A1:O11" xr:uid="{FAD460B8-8600-4175-9A61-C5E8A1ADB44F}"/>
  <tableColumns count="15">
    <tableColumn id="1" xr3:uid="{CE837885-23BD-49AE-A051-84A16061469B}" name="Milestone ID" dataDxfId="75" totalsRowDxfId="76"/>
    <tableColumn id="2" xr3:uid="{A8B55FA2-0F5B-467A-AC74-95048B55C4B0}" name="Phase" dataDxfId="73" totalsRowDxfId="74"/>
    <tableColumn id="3" xr3:uid="{07F11812-877B-4C9F-B9CC-76B541B30DD1}" name="Milestone Name" dataDxfId="71" totalsRowDxfId="72"/>
    <tableColumn id="4" xr3:uid="{8B5C04B1-D096-4B14-A3E3-006C9AAF07BE}" name="Planned Start" dataDxfId="69" totalsRowDxfId="70"/>
    <tableColumn id="5" xr3:uid="{58883280-0C4A-4799-A6D9-CB00937361DF}" name="Planned End" dataDxfId="67" totalsRowDxfId="68"/>
    <tableColumn id="15" xr3:uid="{5F309654-45D9-47AB-9BA9-D9CD7FCB8C68}" name="Planned Days" dataDxfId="65" totalsRowDxfId="66">
      <calculatedColumnFormula>Table1[[#This Row],[Planned End]]-Table1[[#This Row],[Planned Start]]</calculatedColumnFormula>
    </tableColumn>
    <tableColumn id="17" xr3:uid="{FE7CF32E-FD8F-4808-B6F4-073F7B74E08B}" name="Actual Start" dataDxfId="63" totalsRowDxfId="64"/>
    <tableColumn id="6" xr3:uid="{5C5B5C44-DE61-492E-83B1-249CD1828F53}" name="Actual End" dataDxfId="61" totalsRowDxfId="62"/>
    <tableColumn id="14" xr3:uid="{0689F171-E365-48F5-830B-6CEADBB38C4D}" name="Actual Days" dataDxfId="59" totalsRowDxfId="60">
      <calculatedColumnFormula>Table1[[#This Row],[Actual End]]-Table1[[#This Row],[Actual Start]]</calculatedColumnFormula>
    </tableColumn>
    <tableColumn id="16" xr3:uid="{B86F6FD5-24D9-4576-A6A9-860AFA4C7EF2}" name="Weightage " dataDxfId="57" totalsRowDxfId="58"/>
    <tableColumn id="8" xr3:uid="{526B9FD6-E749-446B-A5AE-8A59AF8FA8B0}" name="% Complete" dataDxfId="55" totalsRowDxfId="56">
      <calculatedColumnFormula>IF(AND(G2="",H2=""),0,
 IF(AND(G2&lt;&gt;"",H2=""),
  MIN((TODAY()-G2+1)/F2,1),
  1))</calculatedColumnFormula>
    </tableColumn>
    <tableColumn id="10" xr3:uid="{024F8074-733B-4351-BF97-7561474F9918}" name="Stakeholder " dataDxfId="53" totalsRowDxfId="54"/>
    <tableColumn id="11" xr3:uid="{2CBA944C-3086-4E78-BEBE-6957FE580822}" name="Zone" dataDxfId="51" totalsRowDxfId="52"/>
    <tableColumn id="12" xr3:uid="{4082F4F4-9AA2-453A-AF31-695A04951D81}" name="Status2" totalsRowFunction="custom" dataDxfId="49" totalsRowDxfId="50">
      <calculatedColumnFormula>IF(AND(G2="",H2=""),"Not Started",
 IF(AND(G2&lt;&gt;"",H2=""),"In Progress",
 IF(H2&lt;=E2,"Completed",
 "Delayed")))</calculatedColumnFormula>
      <totalsRowFormula>COUNTIF(N:N,N7)</totalsRowFormula>
    </tableColumn>
    <tableColumn id="13" xr3:uid="{49CC856C-BA49-4CEF-B52E-B7CB60C7D6ED}" name="Delays" dataDxfId="47" totalsRowDxfId="48">
      <calculatedColumnFormula>IF(Table1[[#This Row],[Actual Days]]&gt;Table1[[#This Row],[Planned Days]],Table1[[#This Row],[Actual Days]]-Table1[[#This Row],[Planned Days]],0)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1360817-3353-4544-B00B-34F3E7D8151D}" name="Risk_Register" displayName="Risk_Register" ref="A2:S32" totalsRowShown="0" headerRowDxfId="34" tableBorderDxfId="33">
  <autoFilter ref="A2:S32" xr:uid="{41360817-3353-4544-B00B-34F3E7D8151D}"/>
  <tableColumns count="19">
    <tableColumn id="1" xr3:uid="{88CA69F8-D277-4ADF-8715-987E87749E1D}" name="#" dataDxfId="32"/>
    <tableColumn id="2" xr3:uid="{596D2A2E-1AC6-4E39-B3F7-6A23CF84B419}" name="Category" dataDxfId="31"/>
    <tableColumn id="3" xr3:uid="{37FC43C6-0550-447D-BD91-818801689CAB}" name="Opportunity / Threat" dataDxfId="30"/>
    <tableColumn id="4" xr3:uid="{F7A0CE91-E805-4D19-B615-03F226175F2C}" name="Risk Name" dataDxfId="29"/>
    <tableColumn id="5" xr3:uid="{EF823F3A-BB79-4393-8253-4765855A4B6F}" name="Detailed Description" dataDxfId="28"/>
    <tableColumn id="6" xr3:uid="{B047B42A-9E27-4729-869B-9AA9684D89AB}" name="Probability (1 - 5)" dataDxfId="27"/>
    <tableColumn id="7" xr3:uid="{792DD5F0-E7C0-4796-AE05-203ED9D5D394}" name="Consequence (1-5)" dataDxfId="26"/>
    <tableColumn id="8" xr3:uid="{DDDCFF01-7923-42AD-B9A3-50DEE734DFCA}" name="Severity (Priority)" dataDxfId="25">
      <calculatedColumnFormula>F3*G3</calculatedColumnFormula>
    </tableColumn>
    <tableColumn id="9" xr3:uid="{DA995CE5-1B9C-4A16-B8A1-2316B5182E38}" name="Probability (%)" dataDxfId="24" dataCellStyle="Percent"/>
    <tableColumn id="10" xr3:uid="{F976EAAB-2D42-4F65-828E-3A896E13A22C}" name="Cost Impact (₹)" dataDxfId="23" dataCellStyle="Currency"/>
    <tableColumn id="11" xr3:uid="{C4C976C3-CCEB-4E17-A64B-8A0C4A48CF53}" name="Most Likely (no. of weeks)" dataDxfId="22" dataCellStyle="Currency"/>
    <tableColumn id="19" xr3:uid="{BFF17161-5FA8-4487-B941-4780B2A73467}" name="Urgency" dataDxfId="21" dataCellStyle="Currency"/>
    <tableColumn id="12" xr3:uid="{1DF76511-92FA-4E8C-9E25-3CE695A6F36F}" name="Response Category" dataDxfId="20"/>
    <tableColumn id="13" xr3:uid="{71661C57-C3B7-452F-A4BB-59CA31F22DF0}" name="Impact" dataDxfId="19"/>
    <tableColumn id="14" xr3:uid="{1BD46191-7DB5-4D1F-847C-1F0511B26C35}" name="Risk Owner" dataDxfId="18" dataCellStyle="Currency"/>
    <tableColumn id="15" xr3:uid="{6E36A96C-9BF0-47A6-A560-BA29CE2E53F3}" name="Contingency Plan" dataDxfId="17" dataCellStyle="Currency"/>
    <tableColumn id="16" xr3:uid="{C0441151-B4D8-436F-96C5-2CD6EE7B7780}" name="Status" dataDxfId="16"/>
    <tableColumn id="17" xr3:uid="{27628A7A-FD5B-4139-A4CA-AE0FBB003E75}" name="Date Last Updated" dataDxfId="15"/>
    <tableColumn id="18" xr3:uid="{FEB04D87-E7B1-4FFF-98A5-57545F966BBC}" name="Tracking Comments" dataDxfId="14"/>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C7899-A40C-432C-8039-CB9825D3021A}">
  <dimension ref="A1:U47"/>
  <sheetViews>
    <sheetView zoomScale="55" zoomScaleNormal="55" workbookViewId="0">
      <selection activeCell="E47" sqref="E47"/>
    </sheetView>
  </sheetViews>
  <sheetFormatPr defaultRowHeight="14.4" x14ac:dyDescent="0.3"/>
  <cols>
    <col min="2" max="2" width="16.44140625" customWidth="1"/>
    <col min="3" max="3" width="12.88671875" customWidth="1"/>
    <col min="4" max="4" width="16.109375" customWidth="1"/>
    <col min="5" max="5" width="16.5546875" customWidth="1"/>
    <col min="6" max="6" width="27.109375" customWidth="1"/>
    <col min="7" max="7" width="25.109375" customWidth="1"/>
    <col min="8" max="8" width="27.77734375" customWidth="1"/>
    <col min="9" max="9" width="20.44140625" customWidth="1"/>
    <col min="10" max="10" width="17.44140625" customWidth="1"/>
    <col min="11" max="11" width="32.5546875" bestFit="1" customWidth="1"/>
    <col min="12" max="12" width="21" style="9" bestFit="1" customWidth="1"/>
    <col min="13" max="13" width="26.77734375" style="9" customWidth="1"/>
    <col min="14" max="14" width="22.5546875" customWidth="1"/>
    <col min="15" max="15" width="25.44140625" style="9" customWidth="1"/>
    <col min="16" max="16" width="24.44140625" customWidth="1"/>
    <col min="17" max="17" width="22.109375" customWidth="1"/>
    <col min="18" max="18" width="22.5546875" customWidth="1"/>
    <col min="19" max="19" width="12.109375" style="9" bestFit="1" customWidth="1"/>
    <col min="20" max="20" width="21.6640625" bestFit="1" customWidth="1"/>
    <col min="21" max="21" width="38.77734375" customWidth="1"/>
  </cols>
  <sheetData>
    <row r="1" spans="1:21" s="1" customFormat="1" x14ac:dyDescent="0.3">
      <c r="L1" s="2"/>
      <c r="M1" s="2"/>
      <c r="O1" s="2"/>
      <c r="S1" s="2"/>
    </row>
    <row r="2" spans="1:21" s="1" customFormat="1" x14ac:dyDescent="0.3">
      <c r="F2" s="3" t="s">
        <v>0</v>
      </c>
      <c r="G2" s="3"/>
      <c r="H2" s="3"/>
      <c r="I2" s="3"/>
      <c r="J2" s="3"/>
      <c r="K2" s="3"/>
      <c r="L2" s="2"/>
      <c r="M2" s="2"/>
      <c r="O2" s="2"/>
      <c r="S2" s="2"/>
    </row>
    <row r="3" spans="1:21" s="1" customFormat="1" x14ac:dyDescent="0.3">
      <c r="F3" s="3"/>
      <c r="G3" s="3"/>
      <c r="H3" s="3"/>
      <c r="I3" s="3"/>
      <c r="J3" s="3"/>
      <c r="K3" s="3"/>
      <c r="L3" s="2"/>
      <c r="M3" s="2"/>
      <c r="O3" s="2"/>
      <c r="S3" s="2"/>
    </row>
    <row r="4" spans="1:21" s="1" customFormat="1" x14ac:dyDescent="0.3">
      <c r="F4" s="3"/>
      <c r="G4" s="3"/>
      <c r="H4" s="3"/>
      <c r="I4" s="3"/>
      <c r="J4" s="3"/>
      <c r="K4" s="3"/>
      <c r="L4" s="2"/>
      <c r="M4" s="2"/>
      <c r="O4" s="2"/>
      <c r="S4" s="2"/>
    </row>
    <row r="5" spans="1:21" s="1" customFormat="1" ht="15" thickBot="1" x14ac:dyDescent="0.35">
      <c r="L5" s="2"/>
      <c r="M5" s="2"/>
      <c r="O5" s="2"/>
      <c r="S5" s="2"/>
    </row>
    <row r="6" spans="1:21" s="7" customFormat="1" ht="44.4" customHeight="1" x14ac:dyDescent="0.3">
      <c r="A6" s="4" t="s">
        <v>1</v>
      </c>
      <c r="B6" s="5" t="s">
        <v>2</v>
      </c>
      <c r="C6" s="5" t="s">
        <v>3</v>
      </c>
      <c r="D6" s="5" t="s">
        <v>4</v>
      </c>
      <c r="E6" s="5" t="s">
        <v>5</v>
      </c>
      <c r="F6" s="5" t="s">
        <v>6</v>
      </c>
      <c r="G6" s="5" t="s">
        <v>7</v>
      </c>
      <c r="H6" s="5" t="s">
        <v>8</v>
      </c>
      <c r="I6" s="5" t="s">
        <v>9</v>
      </c>
      <c r="J6" s="5" t="s">
        <v>10</v>
      </c>
      <c r="K6" s="5" t="s">
        <v>11</v>
      </c>
      <c r="L6" s="5" t="s">
        <v>12</v>
      </c>
      <c r="M6" s="5" t="s">
        <v>13</v>
      </c>
      <c r="N6" s="5" t="s">
        <v>14</v>
      </c>
      <c r="O6" s="5" t="s">
        <v>15</v>
      </c>
      <c r="P6" s="5" t="s">
        <v>16</v>
      </c>
      <c r="Q6" s="5" t="s">
        <v>17</v>
      </c>
      <c r="R6" s="5" t="s">
        <v>18</v>
      </c>
      <c r="S6" s="5" t="s">
        <v>19</v>
      </c>
      <c r="T6" s="5" t="s">
        <v>20</v>
      </c>
      <c r="U6" s="6" t="s">
        <v>21</v>
      </c>
    </row>
    <row r="7" spans="1:21" x14ac:dyDescent="0.3">
      <c r="A7" s="8">
        <v>1</v>
      </c>
      <c r="B7" t="s">
        <v>22</v>
      </c>
      <c r="C7" t="s">
        <v>23</v>
      </c>
      <c r="D7" t="s">
        <v>24</v>
      </c>
      <c r="E7" t="s">
        <v>25</v>
      </c>
      <c r="F7" t="s">
        <v>26</v>
      </c>
      <c r="G7" t="s">
        <v>27</v>
      </c>
      <c r="H7" t="s">
        <v>28</v>
      </c>
      <c r="I7" s="9" t="s">
        <v>29</v>
      </c>
      <c r="J7" s="10" t="s">
        <v>30</v>
      </c>
      <c r="K7" t="s">
        <v>31</v>
      </c>
      <c r="L7" s="9" t="s">
        <v>32</v>
      </c>
      <c r="M7" s="10" t="s">
        <v>33</v>
      </c>
      <c r="N7" s="10" t="s">
        <v>34</v>
      </c>
      <c r="O7" s="9">
        <f>M7-N7</f>
        <v>-2</v>
      </c>
      <c r="P7" t="s">
        <v>35</v>
      </c>
      <c r="Q7" t="s">
        <v>36</v>
      </c>
      <c r="R7" s="10" t="s">
        <v>37</v>
      </c>
      <c r="S7" s="9">
        <v>2</v>
      </c>
      <c r="T7" s="9" t="s">
        <v>32</v>
      </c>
      <c r="U7" s="11" t="s">
        <v>38</v>
      </c>
    </row>
    <row r="8" spans="1:21" x14ac:dyDescent="0.3">
      <c r="A8" s="8">
        <f>A7+1</f>
        <v>2</v>
      </c>
      <c r="B8" t="s">
        <v>22</v>
      </c>
      <c r="C8" t="s">
        <v>23</v>
      </c>
      <c r="D8" t="s">
        <v>39</v>
      </c>
      <c r="E8" t="s">
        <v>40</v>
      </c>
      <c r="F8" t="s">
        <v>41</v>
      </c>
      <c r="G8" t="s">
        <v>42</v>
      </c>
      <c r="H8" t="s">
        <v>43</v>
      </c>
      <c r="I8" s="9" t="s">
        <v>44</v>
      </c>
      <c r="J8" s="10" t="s">
        <v>45</v>
      </c>
      <c r="K8" t="s">
        <v>46</v>
      </c>
      <c r="L8" s="9" t="s">
        <v>32</v>
      </c>
      <c r="M8" s="10" t="s">
        <v>47</v>
      </c>
      <c r="N8" s="10" t="s">
        <v>30</v>
      </c>
      <c r="O8" s="9">
        <f t="shared" ref="O8:O47" si="0">M8-N8</f>
        <v>-2</v>
      </c>
      <c r="P8" t="s">
        <v>48</v>
      </c>
      <c r="Q8" t="s">
        <v>49</v>
      </c>
      <c r="R8" s="10"/>
      <c r="S8" s="9">
        <v>0</v>
      </c>
      <c r="T8" s="9" t="s">
        <v>32</v>
      </c>
      <c r="U8" s="11" t="s">
        <v>50</v>
      </c>
    </row>
    <row r="9" spans="1:21" x14ac:dyDescent="0.3">
      <c r="A9" s="8">
        <f t="shared" ref="A9:A47" si="1">A8+1</f>
        <v>3</v>
      </c>
      <c r="B9" t="s">
        <v>22</v>
      </c>
      <c r="C9" t="s">
        <v>23</v>
      </c>
      <c r="D9" t="s">
        <v>24</v>
      </c>
      <c r="E9" t="s">
        <v>51</v>
      </c>
      <c r="F9" t="s">
        <v>52</v>
      </c>
      <c r="G9" t="s">
        <v>53</v>
      </c>
      <c r="H9" t="s">
        <v>28</v>
      </c>
      <c r="I9" s="12" t="s">
        <v>54</v>
      </c>
      <c r="J9" s="10">
        <v>45669</v>
      </c>
      <c r="K9" t="s">
        <v>46</v>
      </c>
      <c r="L9" s="9" t="s">
        <v>32</v>
      </c>
      <c r="M9" s="10">
        <v>45667</v>
      </c>
      <c r="N9" s="10">
        <v>45669</v>
      </c>
      <c r="O9" s="9">
        <f t="shared" si="0"/>
        <v>-2</v>
      </c>
      <c r="P9" t="s">
        <v>55</v>
      </c>
      <c r="Q9" t="s">
        <v>49</v>
      </c>
      <c r="R9" s="10">
        <v>45675</v>
      </c>
      <c r="S9" s="9">
        <v>0</v>
      </c>
      <c r="T9" s="9" t="s">
        <v>56</v>
      </c>
      <c r="U9" s="11" t="s">
        <v>57</v>
      </c>
    </row>
    <row r="10" spans="1:21" x14ac:dyDescent="0.3">
      <c r="A10" s="8">
        <f t="shared" si="1"/>
        <v>4</v>
      </c>
      <c r="B10" t="s">
        <v>22</v>
      </c>
      <c r="C10" t="s">
        <v>23</v>
      </c>
      <c r="D10" t="s">
        <v>39</v>
      </c>
      <c r="E10" t="s">
        <v>40</v>
      </c>
      <c r="F10" t="s">
        <v>41</v>
      </c>
      <c r="G10" t="s">
        <v>58</v>
      </c>
      <c r="H10" t="s">
        <v>43</v>
      </c>
      <c r="I10" s="12" t="s">
        <v>44</v>
      </c>
      <c r="J10" s="10">
        <v>45669</v>
      </c>
      <c r="K10" t="s">
        <v>46</v>
      </c>
      <c r="L10" s="9" t="s">
        <v>32</v>
      </c>
      <c r="M10" s="10">
        <v>45665</v>
      </c>
      <c r="N10" s="10">
        <v>45667</v>
      </c>
      <c r="O10" s="9">
        <f t="shared" si="0"/>
        <v>-2</v>
      </c>
      <c r="P10" t="s">
        <v>55</v>
      </c>
      <c r="Q10" t="s">
        <v>49</v>
      </c>
      <c r="R10" s="10"/>
      <c r="S10" s="9">
        <v>0</v>
      </c>
      <c r="T10" s="9" t="s">
        <v>32</v>
      </c>
      <c r="U10" s="11" t="s">
        <v>50</v>
      </c>
    </row>
    <row r="11" spans="1:21" x14ac:dyDescent="0.3">
      <c r="A11" s="8">
        <f t="shared" si="1"/>
        <v>5</v>
      </c>
      <c r="B11" t="s">
        <v>22</v>
      </c>
      <c r="C11" t="s">
        <v>23</v>
      </c>
      <c r="D11" t="s">
        <v>39</v>
      </c>
      <c r="E11" t="s">
        <v>59</v>
      </c>
      <c r="F11" t="s">
        <v>60</v>
      </c>
      <c r="G11" t="s">
        <v>61</v>
      </c>
      <c r="H11" t="s">
        <v>43</v>
      </c>
      <c r="I11" s="12" t="s">
        <v>29</v>
      </c>
      <c r="J11" s="10">
        <v>45672</v>
      </c>
      <c r="K11" t="s">
        <v>62</v>
      </c>
      <c r="L11" s="9" t="s">
        <v>32</v>
      </c>
      <c r="M11" s="10">
        <v>45667</v>
      </c>
      <c r="N11" s="10">
        <v>45670</v>
      </c>
      <c r="O11" s="9">
        <f t="shared" si="0"/>
        <v>-3</v>
      </c>
      <c r="P11" t="s">
        <v>55</v>
      </c>
      <c r="Q11" t="s">
        <v>36</v>
      </c>
      <c r="R11" s="10">
        <v>45677</v>
      </c>
      <c r="S11" s="9">
        <v>2</v>
      </c>
      <c r="T11" s="9" t="s">
        <v>32</v>
      </c>
      <c r="U11" s="11" t="s">
        <v>63</v>
      </c>
    </row>
    <row r="12" spans="1:21" x14ac:dyDescent="0.3">
      <c r="A12" s="8">
        <f t="shared" si="1"/>
        <v>6</v>
      </c>
      <c r="B12" t="s">
        <v>22</v>
      </c>
      <c r="C12" t="s">
        <v>23</v>
      </c>
      <c r="D12" t="s">
        <v>39</v>
      </c>
      <c r="E12" t="s">
        <v>64</v>
      </c>
      <c r="F12" t="s">
        <v>65</v>
      </c>
      <c r="G12" t="s">
        <v>58</v>
      </c>
      <c r="H12" t="s">
        <v>43</v>
      </c>
      <c r="I12" s="12" t="s">
        <v>54</v>
      </c>
      <c r="J12" s="10">
        <v>45675</v>
      </c>
      <c r="K12" t="s">
        <v>46</v>
      </c>
      <c r="L12" s="9" t="s">
        <v>32</v>
      </c>
      <c r="M12" s="10">
        <v>45672</v>
      </c>
      <c r="N12" s="10">
        <v>45675</v>
      </c>
      <c r="O12" s="9">
        <f t="shared" si="0"/>
        <v>-3</v>
      </c>
      <c r="P12" t="s">
        <v>55</v>
      </c>
      <c r="Q12" t="s">
        <v>49</v>
      </c>
      <c r="R12" s="10"/>
      <c r="S12" s="9">
        <v>0</v>
      </c>
      <c r="T12" s="9" t="s">
        <v>32</v>
      </c>
      <c r="U12" s="11" t="s">
        <v>66</v>
      </c>
    </row>
    <row r="13" spans="1:21" x14ac:dyDescent="0.3">
      <c r="A13" s="8">
        <f t="shared" si="1"/>
        <v>7</v>
      </c>
      <c r="B13" t="s">
        <v>22</v>
      </c>
      <c r="C13" t="s">
        <v>23</v>
      </c>
      <c r="D13" t="s">
        <v>67</v>
      </c>
      <c r="E13" t="s">
        <v>68</v>
      </c>
      <c r="F13" t="s">
        <v>69</v>
      </c>
      <c r="G13" t="s">
        <v>27</v>
      </c>
      <c r="H13" t="s">
        <v>70</v>
      </c>
      <c r="I13" s="12" t="s">
        <v>44</v>
      </c>
      <c r="J13" s="10">
        <v>45671</v>
      </c>
      <c r="K13" t="s">
        <v>71</v>
      </c>
      <c r="L13" s="9" t="s">
        <v>32</v>
      </c>
      <c r="M13" s="10">
        <v>45667</v>
      </c>
      <c r="N13" s="10">
        <v>45671</v>
      </c>
      <c r="O13" s="9">
        <f t="shared" si="0"/>
        <v>-4</v>
      </c>
      <c r="P13" t="s">
        <v>55</v>
      </c>
      <c r="Q13" t="s">
        <v>36</v>
      </c>
      <c r="R13" s="10">
        <v>45679</v>
      </c>
      <c r="S13" s="9">
        <v>2</v>
      </c>
      <c r="T13" s="9" t="s">
        <v>32</v>
      </c>
      <c r="U13" s="11" t="s">
        <v>63</v>
      </c>
    </row>
    <row r="14" spans="1:21" x14ac:dyDescent="0.3">
      <c r="A14" s="8">
        <f t="shared" si="1"/>
        <v>8</v>
      </c>
      <c r="B14" t="s">
        <v>22</v>
      </c>
      <c r="C14" t="s">
        <v>23</v>
      </c>
      <c r="D14" t="s">
        <v>67</v>
      </c>
      <c r="E14" t="s">
        <v>72</v>
      </c>
      <c r="F14" t="s">
        <v>73</v>
      </c>
      <c r="G14" t="s">
        <v>58</v>
      </c>
      <c r="H14" t="s">
        <v>70</v>
      </c>
      <c r="I14" s="12" t="s">
        <v>29</v>
      </c>
      <c r="J14" s="10">
        <v>45673</v>
      </c>
      <c r="K14" t="s">
        <v>74</v>
      </c>
      <c r="L14" s="9" t="s">
        <v>32</v>
      </c>
      <c r="M14" s="10">
        <v>45669</v>
      </c>
      <c r="N14" s="10">
        <v>45672</v>
      </c>
      <c r="O14" s="9">
        <f t="shared" si="0"/>
        <v>-3</v>
      </c>
      <c r="P14" t="s">
        <v>55</v>
      </c>
      <c r="Q14" t="s">
        <v>36</v>
      </c>
      <c r="R14" s="10">
        <v>45681</v>
      </c>
      <c r="S14" s="9">
        <v>2</v>
      </c>
      <c r="T14" s="9" t="s">
        <v>56</v>
      </c>
      <c r="U14" s="11" t="s">
        <v>63</v>
      </c>
    </row>
    <row r="15" spans="1:21" x14ac:dyDescent="0.3">
      <c r="A15" s="8">
        <f t="shared" si="1"/>
        <v>9</v>
      </c>
      <c r="B15" t="s">
        <v>22</v>
      </c>
      <c r="C15" t="s">
        <v>23</v>
      </c>
      <c r="D15" t="s">
        <v>67</v>
      </c>
      <c r="E15" t="s">
        <v>75</v>
      </c>
      <c r="F15" t="s">
        <v>76</v>
      </c>
      <c r="G15" t="s">
        <v>42</v>
      </c>
      <c r="H15" t="s">
        <v>70</v>
      </c>
      <c r="I15" s="12" t="s">
        <v>44</v>
      </c>
      <c r="J15" s="10">
        <v>45675</v>
      </c>
      <c r="K15" t="s">
        <v>77</v>
      </c>
      <c r="L15" s="9" t="s">
        <v>32</v>
      </c>
      <c r="M15" s="10">
        <v>45672</v>
      </c>
      <c r="N15" s="10">
        <v>45675</v>
      </c>
      <c r="O15" s="9">
        <f t="shared" si="0"/>
        <v>-3</v>
      </c>
      <c r="P15" t="s">
        <v>55</v>
      </c>
      <c r="Q15" t="s">
        <v>36</v>
      </c>
      <c r="R15" s="10">
        <v>45682</v>
      </c>
      <c r="S15" s="9">
        <v>2</v>
      </c>
      <c r="T15" s="9" t="s">
        <v>56</v>
      </c>
      <c r="U15" s="11" t="s">
        <v>63</v>
      </c>
    </row>
    <row r="16" spans="1:21" x14ac:dyDescent="0.3">
      <c r="A16" s="8">
        <f t="shared" si="1"/>
        <v>10</v>
      </c>
      <c r="B16" t="s">
        <v>22</v>
      </c>
      <c r="C16" t="s">
        <v>78</v>
      </c>
      <c r="D16" t="s">
        <v>24</v>
      </c>
      <c r="E16" t="s">
        <v>79</v>
      </c>
      <c r="F16" t="s">
        <v>26</v>
      </c>
      <c r="G16" t="s">
        <v>42</v>
      </c>
      <c r="H16" t="s">
        <v>28</v>
      </c>
      <c r="I16" s="12" t="s">
        <v>44</v>
      </c>
      <c r="J16" s="10">
        <v>45677</v>
      </c>
      <c r="K16" t="s">
        <v>46</v>
      </c>
      <c r="L16" s="9" t="s">
        <v>32</v>
      </c>
      <c r="M16" s="10">
        <v>45675</v>
      </c>
      <c r="N16" s="10">
        <v>45677</v>
      </c>
      <c r="O16" s="9">
        <f t="shared" si="0"/>
        <v>-2</v>
      </c>
      <c r="P16" t="s">
        <v>55</v>
      </c>
      <c r="Q16" t="s">
        <v>49</v>
      </c>
      <c r="R16" s="10"/>
      <c r="S16" s="9">
        <v>0</v>
      </c>
      <c r="T16" s="9" t="s">
        <v>32</v>
      </c>
      <c r="U16" s="11" t="s">
        <v>80</v>
      </c>
    </row>
    <row r="17" spans="1:21" x14ac:dyDescent="0.3">
      <c r="A17" s="8">
        <f t="shared" si="1"/>
        <v>11</v>
      </c>
      <c r="B17" t="s">
        <v>22</v>
      </c>
      <c r="C17" t="s">
        <v>78</v>
      </c>
      <c r="D17" t="s">
        <v>24</v>
      </c>
      <c r="E17" t="s">
        <v>81</v>
      </c>
      <c r="F17" t="s">
        <v>82</v>
      </c>
      <c r="G17" t="s">
        <v>83</v>
      </c>
      <c r="H17" t="s">
        <v>28</v>
      </c>
      <c r="I17" s="12" t="s">
        <v>29</v>
      </c>
      <c r="J17" s="10">
        <v>45682</v>
      </c>
      <c r="K17" t="s">
        <v>84</v>
      </c>
      <c r="L17" s="9" t="s">
        <v>32</v>
      </c>
      <c r="M17" s="10">
        <v>45679</v>
      </c>
      <c r="N17" s="10">
        <v>45681</v>
      </c>
      <c r="O17" s="9">
        <f t="shared" si="0"/>
        <v>-2</v>
      </c>
      <c r="P17" t="s">
        <v>55</v>
      </c>
      <c r="Q17" t="s">
        <v>36</v>
      </c>
      <c r="R17" s="10">
        <v>45687</v>
      </c>
      <c r="S17" s="9">
        <v>2</v>
      </c>
      <c r="T17" s="9" t="s">
        <v>56</v>
      </c>
      <c r="U17" s="11" t="s">
        <v>63</v>
      </c>
    </row>
    <row r="18" spans="1:21" x14ac:dyDescent="0.3">
      <c r="A18" s="8">
        <f t="shared" si="1"/>
        <v>12</v>
      </c>
      <c r="B18" t="s">
        <v>22</v>
      </c>
      <c r="C18" t="s">
        <v>78</v>
      </c>
      <c r="D18" t="s">
        <v>39</v>
      </c>
      <c r="E18" t="s">
        <v>85</v>
      </c>
      <c r="F18" t="s">
        <v>86</v>
      </c>
      <c r="G18" t="s">
        <v>27</v>
      </c>
      <c r="H18" t="s">
        <v>43</v>
      </c>
      <c r="I18" s="12" t="s">
        <v>44</v>
      </c>
      <c r="J18" s="10">
        <v>45679</v>
      </c>
      <c r="K18" t="s">
        <v>46</v>
      </c>
      <c r="L18" s="9" t="s">
        <v>32</v>
      </c>
      <c r="M18" s="10">
        <v>45677</v>
      </c>
      <c r="N18" s="10">
        <v>45679</v>
      </c>
      <c r="O18" s="9">
        <f t="shared" si="0"/>
        <v>-2</v>
      </c>
      <c r="P18" t="s">
        <v>55</v>
      </c>
      <c r="Q18" t="s">
        <v>49</v>
      </c>
      <c r="R18" s="10"/>
      <c r="S18" s="9">
        <v>0</v>
      </c>
      <c r="T18" s="9" t="s">
        <v>32</v>
      </c>
      <c r="U18" s="11" t="s">
        <v>87</v>
      </c>
    </row>
    <row r="19" spans="1:21" x14ac:dyDescent="0.3">
      <c r="A19" s="8">
        <f t="shared" si="1"/>
        <v>13</v>
      </c>
      <c r="B19" t="s">
        <v>22</v>
      </c>
      <c r="C19" t="s">
        <v>78</v>
      </c>
      <c r="D19" t="s">
        <v>39</v>
      </c>
      <c r="E19" t="s">
        <v>88</v>
      </c>
      <c r="F19" t="s">
        <v>89</v>
      </c>
      <c r="G19" t="s">
        <v>42</v>
      </c>
      <c r="H19" t="s">
        <v>43</v>
      </c>
      <c r="I19" s="12" t="s">
        <v>54</v>
      </c>
      <c r="J19" s="10">
        <v>45683</v>
      </c>
      <c r="K19" t="s">
        <v>46</v>
      </c>
      <c r="L19" s="9" t="s">
        <v>32</v>
      </c>
      <c r="M19" s="10">
        <v>45682</v>
      </c>
      <c r="N19" s="10">
        <v>45683</v>
      </c>
      <c r="O19" s="9">
        <f t="shared" si="0"/>
        <v>-1</v>
      </c>
      <c r="P19" t="s">
        <v>55</v>
      </c>
      <c r="Q19" t="s">
        <v>49</v>
      </c>
      <c r="R19" s="10"/>
      <c r="S19" s="9">
        <v>0</v>
      </c>
      <c r="T19" s="9" t="s">
        <v>32</v>
      </c>
      <c r="U19" s="11" t="s">
        <v>63</v>
      </c>
    </row>
    <row r="20" spans="1:21" x14ac:dyDescent="0.3">
      <c r="A20" s="8">
        <f t="shared" si="1"/>
        <v>14</v>
      </c>
      <c r="B20" t="s">
        <v>22</v>
      </c>
      <c r="C20" t="s">
        <v>78</v>
      </c>
      <c r="D20" t="s">
        <v>67</v>
      </c>
      <c r="E20" t="s">
        <v>90</v>
      </c>
      <c r="F20" t="s">
        <v>91</v>
      </c>
      <c r="G20" t="s">
        <v>53</v>
      </c>
      <c r="H20" t="s">
        <v>70</v>
      </c>
      <c r="I20" s="12" t="s">
        <v>44</v>
      </c>
      <c r="J20" s="10">
        <v>45681</v>
      </c>
      <c r="K20" t="s">
        <v>77</v>
      </c>
      <c r="L20" s="9" t="s">
        <v>32</v>
      </c>
      <c r="M20" s="10">
        <v>45679</v>
      </c>
      <c r="N20" s="10">
        <v>45681</v>
      </c>
      <c r="O20" s="9">
        <f t="shared" si="0"/>
        <v>-2</v>
      </c>
      <c r="P20" t="s">
        <v>55</v>
      </c>
      <c r="Q20" t="s">
        <v>36</v>
      </c>
      <c r="R20" s="10">
        <v>45687</v>
      </c>
      <c r="S20" s="9">
        <v>2</v>
      </c>
      <c r="T20" s="9" t="s">
        <v>32</v>
      </c>
      <c r="U20" s="11" t="s">
        <v>92</v>
      </c>
    </row>
    <row r="21" spans="1:21" x14ac:dyDescent="0.3">
      <c r="A21" s="8">
        <f t="shared" si="1"/>
        <v>15</v>
      </c>
      <c r="B21" t="s">
        <v>93</v>
      </c>
      <c r="C21" t="s">
        <v>94</v>
      </c>
      <c r="D21" t="s">
        <v>24</v>
      </c>
      <c r="E21" t="s">
        <v>95</v>
      </c>
      <c r="F21" t="s">
        <v>26</v>
      </c>
      <c r="G21" t="s">
        <v>58</v>
      </c>
      <c r="H21" t="s">
        <v>28</v>
      </c>
      <c r="I21" s="12" t="s">
        <v>96</v>
      </c>
      <c r="J21" s="10">
        <v>45689</v>
      </c>
      <c r="K21" t="s">
        <v>97</v>
      </c>
      <c r="L21" s="9" t="s">
        <v>32</v>
      </c>
      <c r="M21" s="10">
        <v>45685</v>
      </c>
      <c r="N21" s="10">
        <v>45687</v>
      </c>
      <c r="O21" s="9">
        <f t="shared" si="0"/>
        <v>-2</v>
      </c>
      <c r="P21" t="s">
        <v>55</v>
      </c>
      <c r="Q21" t="s">
        <v>36</v>
      </c>
      <c r="R21" s="10">
        <v>45693</v>
      </c>
      <c r="S21" s="9">
        <v>2</v>
      </c>
      <c r="T21" s="9" t="s">
        <v>32</v>
      </c>
      <c r="U21" s="11" t="s">
        <v>63</v>
      </c>
    </row>
    <row r="22" spans="1:21" x14ac:dyDescent="0.3">
      <c r="A22" s="8">
        <f t="shared" si="1"/>
        <v>16</v>
      </c>
      <c r="B22" t="s">
        <v>93</v>
      </c>
      <c r="C22" t="s">
        <v>94</v>
      </c>
      <c r="D22" t="s">
        <v>24</v>
      </c>
      <c r="E22" t="s">
        <v>98</v>
      </c>
      <c r="F22" t="s">
        <v>52</v>
      </c>
      <c r="G22" t="s">
        <v>61</v>
      </c>
      <c r="H22" t="s">
        <v>28</v>
      </c>
      <c r="I22" s="12" t="s">
        <v>54</v>
      </c>
      <c r="J22" s="10">
        <v>45691</v>
      </c>
      <c r="K22" t="s">
        <v>46</v>
      </c>
      <c r="L22" s="9" t="s">
        <v>32</v>
      </c>
      <c r="M22" s="10">
        <v>45689</v>
      </c>
      <c r="N22" s="10">
        <v>45691</v>
      </c>
      <c r="O22" s="9">
        <f t="shared" si="0"/>
        <v>-2</v>
      </c>
      <c r="P22" t="s">
        <v>55</v>
      </c>
      <c r="Q22" t="s">
        <v>49</v>
      </c>
      <c r="R22" s="10"/>
      <c r="S22" s="9">
        <v>0</v>
      </c>
      <c r="T22" s="9" t="s">
        <v>56</v>
      </c>
      <c r="U22" s="11" t="s">
        <v>63</v>
      </c>
    </row>
    <row r="23" spans="1:21" x14ac:dyDescent="0.3">
      <c r="A23" s="8">
        <f t="shared" si="1"/>
        <v>17</v>
      </c>
      <c r="B23" t="s">
        <v>93</v>
      </c>
      <c r="C23" t="s">
        <v>94</v>
      </c>
      <c r="D23" t="s">
        <v>39</v>
      </c>
      <c r="E23" t="s">
        <v>99</v>
      </c>
      <c r="F23" t="s">
        <v>100</v>
      </c>
      <c r="G23" t="s">
        <v>58</v>
      </c>
      <c r="H23" t="s">
        <v>43</v>
      </c>
      <c r="I23" s="12" t="s">
        <v>44</v>
      </c>
      <c r="J23" s="10">
        <v>45690</v>
      </c>
      <c r="K23" t="s">
        <v>77</v>
      </c>
      <c r="L23" s="9" t="s">
        <v>32</v>
      </c>
      <c r="M23" s="10">
        <v>45687</v>
      </c>
      <c r="N23" s="10">
        <v>45690</v>
      </c>
      <c r="O23" s="9">
        <f t="shared" si="0"/>
        <v>-3</v>
      </c>
      <c r="P23" t="s">
        <v>55</v>
      </c>
      <c r="Q23" t="s">
        <v>36</v>
      </c>
      <c r="R23" s="10">
        <v>45696</v>
      </c>
      <c r="S23" s="9">
        <v>2</v>
      </c>
      <c r="T23" s="9" t="s">
        <v>32</v>
      </c>
      <c r="U23" s="11" t="s">
        <v>63</v>
      </c>
    </row>
    <row r="24" spans="1:21" x14ac:dyDescent="0.3">
      <c r="A24" s="8">
        <f t="shared" si="1"/>
        <v>18</v>
      </c>
      <c r="B24" t="s">
        <v>93</v>
      </c>
      <c r="C24" t="s">
        <v>94</v>
      </c>
      <c r="D24" t="s">
        <v>39</v>
      </c>
      <c r="E24" t="s">
        <v>101</v>
      </c>
      <c r="F24" t="s">
        <v>102</v>
      </c>
      <c r="G24" t="s">
        <v>27</v>
      </c>
      <c r="H24" t="s">
        <v>43</v>
      </c>
      <c r="I24" s="12" t="s">
        <v>54</v>
      </c>
      <c r="J24" s="10">
        <v>45693</v>
      </c>
      <c r="K24" t="s">
        <v>46</v>
      </c>
      <c r="L24" s="9" t="s">
        <v>32</v>
      </c>
      <c r="M24" s="10">
        <v>45691</v>
      </c>
      <c r="N24" s="10">
        <v>45693</v>
      </c>
      <c r="O24" s="9">
        <f t="shared" si="0"/>
        <v>-2</v>
      </c>
      <c r="P24" t="s">
        <v>55</v>
      </c>
      <c r="Q24" t="s">
        <v>49</v>
      </c>
      <c r="R24" s="10"/>
      <c r="S24" s="9">
        <v>0</v>
      </c>
      <c r="T24" s="9" t="s">
        <v>32</v>
      </c>
      <c r="U24" s="11" t="s">
        <v>63</v>
      </c>
    </row>
    <row r="25" spans="1:21" x14ac:dyDescent="0.3">
      <c r="A25" s="8">
        <f t="shared" si="1"/>
        <v>19</v>
      </c>
      <c r="B25" t="s">
        <v>93</v>
      </c>
      <c r="C25" t="s">
        <v>94</v>
      </c>
      <c r="D25" t="s">
        <v>67</v>
      </c>
      <c r="E25" t="s">
        <v>103</v>
      </c>
      <c r="F25" t="s">
        <v>104</v>
      </c>
      <c r="G25" t="s">
        <v>58</v>
      </c>
      <c r="H25" t="s">
        <v>70</v>
      </c>
      <c r="I25" s="12" t="s">
        <v>44</v>
      </c>
      <c r="J25" s="10">
        <v>45692</v>
      </c>
      <c r="K25" t="s">
        <v>77</v>
      </c>
      <c r="L25" s="9" t="s">
        <v>32</v>
      </c>
      <c r="M25" s="10">
        <v>45690</v>
      </c>
      <c r="N25" s="10">
        <v>45692</v>
      </c>
      <c r="O25" s="9">
        <f t="shared" si="0"/>
        <v>-2</v>
      </c>
      <c r="P25" t="s">
        <v>55</v>
      </c>
      <c r="Q25" t="s">
        <v>36</v>
      </c>
      <c r="R25" s="10">
        <v>45698</v>
      </c>
      <c r="S25" s="9">
        <v>2</v>
      </c>
      <c r="T25" s="9" t="s">
        <v>56</v>
      </c>
      <c r="U25" s="11" t="s">
        <v>63</v>
      </c>
    </row>
    <row r="26" spans="1:21" x14ac:dyDescent="0.3">
      <c r="A26" s="8">
        <f t="shared" si="1"/>
        <v>20</v>
      </c>
      <c r="B26" t="s">
        <v>93</v>
      </c>
      <c r="C26" t="s">
        <v>94</v>
      </c>
      <c r="D26" t="s">
        <v>67</v>
      </c>
      <c r="E26" t="s">
        <v>105</v>
      </c>
      <c r="F26" t="s">
        <v>106</v>
      </c>
      <c r="G26" t="s">
        <v>42</v>
      </c>
      <c r="H26" t="s">
        <v>70</v>
      </c>
      <c r="I26" s="12" t="s">
        <v>44</v>
      </c>
      <c r="J26" s="10">
        <v>45694</v>
      </c>
      <c r="K26" t="s">
        <v>77</v>
      </c>
      <c r="L26" s="9" t="s">
        <v>32</v>
      </c>
      <c r="M26" s="10">
        <v>45692</v>
      </c>
      <c r="N26" s="10">
        <v>45694</v>
      </c>
      <c r="O26" s="9">
        <f t="shared" si="0"/>
        <v>-2</v>
      </c>
      <c r="P26" t="s">
        <v>55</v>
      </c>
      <c r="Q26" t="s">
        <v>36</v>
      </c>
      <c r="R26" s="10">
        <v>45700</v>
      </c>
      <c r="S26" s="9">
        <v>2</v>
      </c>
      <c r="T26" s="9" t="s">
        <v>56</v>
      </c>
      <c r="U26" s="11" t="s">
        <v>63</v>
      </c>
    </row>
    <row r="27" spans="1:21" x14ac:dyDescent="0.3">
      <c r="A27" s="8">
        <f t="shared" si="1"/>
        <v>21</v>
      </c>
      <c r="B27" t="s">
        <v>93</v>
      </c>
      <c r="C27" t="s">
        <v>94</v>
      </c>
      <c r="D27" t="s">
        <v>67</v>
      </c>
      <c r="E27" t="s">
        <v>107</v>
      </c>
      <c r="F27" t="s">
        <v>108</v>
      </c>
      <c r="G27" t="s">
        <v>42</v>
      </c>
      <c r="H27" t="s">
        <v>70</v>
      </c>
      <c r="I27" s="12" t="s">
        <v>54</v>
      </c>
      <c r="J27" s="10">
        <v>45695</v>
      </c>
      <c r="K27" t="s">
        <v>46</v>
      </c>
      <c r="L27" s="9" t="s">
        <v>32</v>
      </c>
      <c r="M27" s="10">
        <v>45693</v>
      </c>
      <c r="N27" s="10">
        <v>45695</v>
      </c>
      <c r="O27" s="9">
        <f t="shared" si="0"/>
        <v>-2</v>
      </c>
      <c r="P27" t="s">
        <v>55</v>
      </c>
      <c r="Q27" t="s">
        <v>49</v>
      </c>
      <c r="R27" s="10"/>
      <c r="S27" s="9">
        <v>0</v>
      </c>
      <c r="T27" s="9" t="s">
        <v>32</v>
      </c>
      <c r="U27" s="11" t="s">
        <v>109</v>
      </c>
    </row>
    <row r="28" spans="1:21" x14ac:dyDescent="0.3">
      <c r="A28" s="8">
        <f t="shared" si="1"/>
        <v>22</v>
      </c>
      <c r="B28" t="s">
        <v>110</v>
      </c>
      <c r="C28" t="s">
        <v>23</v>
      </c>
      <c r="D28" t="s">
        <v>24</v>
      </c>
      <c r="E28" t="s">
        <v>111</v>
      </c>
      <c r="F28" t="s">
        <v>26</v>
      </c>
      <c r="G28" t="s">
        <v>83</v>
      </c>
      <c r="H28" t="s">
        <v>28</v>
      </c>
      <c r="I28" s="12" t="s">
        <v>112</v>
      </c>
      <c r="J28" s="10">
        <v>45698</v>
      </c>
      <c r="K28" t="s">
        <v>113</v>
      </c>
      <c r="L28" s="9" t="s">
        <v>32</v>
      </c>
      <c r="M28" s="10">
        <v>45691</v>
      </c>
      <c r="N28" s="10">
        <v>45694</v>
      </c>
      <c r="O28" s="9">
        <f t="shared" si="0"/>
        <v>-3</v>
      </c>
      <c r="P28" t="s">
        <v>48</v>
      </c>
      <c r="Q28" t="s">
        <v>36</v>
      </c>
      <c r="R28" s="10">
        <v>45703</v>
      </c>
      <c r="S28" s="9">
        <v>2</v>
      </c>
      <c r="T28" s="9" t="s">
        <v>32</v>
      </c>
      <c r="U28" s="11" t="s">
        <v>114</v>
      </c>
    </row>
    <row r="29" spans="1:21" x14ac:dyDescent="0.3">
      <c r="A29" s="8">
        <f t="shared" si="1"/>
        <v>23</v>
      </c>
      <c r="B29" t="s">
        <v>110</v>
      </c>
      <c r="C29" t="s">
        <v>23</v>
      </c>
      <c r="D29" t="s">
        <v>39</v>
      </c>
      <c r="E29" t="s">
        <v>115</v>
      </c>
      <c r="F29" t="s">
        <v>86</v>
      </c>
      <c r="G29" t="s">
        <v>27</v>
      </c>
      <c r="H29" t="s">
        <v>43</v>
      </c>
      <c r="I29" s="12" t="s">
        <v>96</v>
      </c>
      <c r="J29" s="10">
        <v>45700</v>
      </c>
      <c r="K29" t="s">
        <v>116</v>
      </c>
      <c r="L29" s="9" t="s">
        <v>32</v>
      </c>
      <c r="M29" s="10">
        <v>45693</v>
      </c>
      <c r="N29" s="10">
        <v>45697</v>
      </c>
      <c r="O29" s="9">
        <f t="shared" si="0"/>
        <v>-4</v>
      </c>
      <c r="P29" t="s">
        <v>117</v>
      </c>
      <c r="Q29" t="s">
        <v>49</v>
      </c>
      <c r="R29" s="10"/>
      <c r="S29" s="9">
        <v>0</v>
      </c>
      <c r="T29" s="9" t="s">
        <v>32</v>
      </c>
      <c r="U29" s="11" t="s">
        <v>118</v>
      </c>
    </row>
    <row r="30" spans="1:21" x14ac:dyDescent="0.3">
      <c r="A30" s="8">
        <f t="shared" si="1"/>
        <v>24</v>
      </c>
      <c r="B30" t="s">
        <v>110</v>
      </c>
      <c r="C30" t="s">
        <v>23</v>
      </c>
      <c r="D30" t="s">
        <v>67</v>
      </c>
      <c r="E30" t="s">
        <v>119</v>
      </c>
      <c r="F30" t="s">
        <v>120</v>
      </c>
      <c r="G30" t="s">
        <v>42</v>
      </c>
      <c r="H30" t="s">
        <v>121</v>
      </c>
      <c r="I30" s="12" t="s">
        <v>29</v>
      </c>
      <c r="J30" s="10">
        <v>45702</v>
      </c>
      <c r="K30" t="s">
        <v>122</v>
      </c>
      <c r="L30" s="9" t="s">
        <v>32</v>
      </c>
      <c r="M30" s="10">
        <v>45696</v>
      </c>
      <c r="N30" s="10">
        <v>45698</v>
      </c>
      <c r="O30" s="9">
        <f t="shared" si="0"/>
        <v>-2</v>
      </c>
      <c r="P30" t="s">
        <v>123</v>
      </c>
      <c r="Q30" t="s">
        <v>36</v>
      </c>
      <c r="R30" s="10">
        <v>45706</v>
      </c>
      <c r="S30" s="9">
        <v>2</v>
      </c>
      <c r="T30" s="9" t="s">
        <v>32</v>
      </c>
      <c r="U30" s="11" t="s">
        <v>124</v>
      </c>
    </row>
    <row r="31" spans="1:21" x14ac:dyDescent="0.3">
      <c r="A31" s="8">
        <f t="shared" si="1"/>
        <v>25</v>
      </c>
      <c r="B31" t="s">
        <v>110</v>
      </c>
      <c r="C31" t="s">
        <v>78</v>
      </c>
      <c r="D31" t="s">
        <v>24</v>
      </c>
      <c r="E31" t="s">
        <v>125</v>
      </c>
      <c r="F31" t="s">
        <v>126</v>
      </c>
      <c r="G31" t="s">
        <v>53</v>
      </c>
      <c r="H31" t="s">
        <v>28</v>
      </c>
      <c r="I31" s="12" t="s">
        <v>127</v>
      </c>
      <c r="J31" s="10">
        <v>45706</v>
      </c>
      <c r="K31" t="s">
        <v>128</v>
      </c>
      <c r="L31" s="9" t="s">
        <v>32</v>
      </c>
      <c r="M31" s="10">
        <v>45698</v>
      </c>
      <c r="N31" s="10">
        <v>45702</v>
      </c>
      <c r="O31" s="9">
        <f t="shared" si="0"/>
        <v>-4</v>
      </c>
      <c r="P31" t="s">
        <v>48</v>
      </c>
      <c r="Q31" t="s">
        <v>36</v>
      </c>
      <c r="R31" s="10">
        <v>45710</v>
      </c>
      <c r="S31" s="9">
        <v>2</v>
      </c>
      <c r="T31" s="9" t="s">
        <v>56</v>
      </c>
      <c r="U31" s="11" t="s">
        <v>129</v>
      </c>
    </row>
    <row r="32" spans="1:21" x14ac:dyDescent="0.3">
      <c r="A32" s="8">
        <f t="shared" si="1"/>
        <v>26</v>
      </c>
      <c r="B32" t="s">
        <v>110</v>
      </c>
      <c r="C32" t="s">
        <v>78</v>
      </c>
      <c r="D32" t="s">
        <v>39</v>
      </c>
      <c r="E32" t="s">
        <v>130</v>
      </c>
      <c r="F32" t="s">
        <v>60</v>
      </c>
      <c r="G32" t="s">
        <v>58</v>
      </c>
      <c r="H32" t="s">
        <v>43</v>
      </c>
      <c r="I32" s="12" t="s">
        <v>112</v>
      </c>
      <c r="J32" s="10">
        <v>45708</v>
      </c>
      <c r="K32" t="s">
        <v>131</v>
      </c>
      <c r="L32" s="9" t="s">
        <v>32</v>
      </c>
      <c r="M32" s="10">
        <v>45700</v>
      </c>
      <c r="N32" s="10">
        <v>45705</v>
      </c>
      <c r="O32" s="9">
        <f t="shared" si="0"/>
        <v>-5</v>
      </c>
      <c r="P32" t="s">
        <v>117</v>
      </c>
      <c r="Q32" t="s">
        <v>49</v>
      </c>
      <c r="R32" s="10"/>
      <c r="S32" s="9">
        <v>0</v>
      </c>
      <c r="T32" s="9" t="s">
        <v>32</v>
      </c>
      <c r="U32" s="11" t="s">
        <v>132</v>
      </c>
    </row>
    <row r="33" spans="1:21" x14ac:dyDescent="0.3">
      <c r="A33" s="8">
        <f t="shared" si="1"/>
        <v>27</v>
      </c>
      <c r="B33" t="s">
        <v>110</v>
      </c>
      <c r="C33" t="s">
        <v>78</v>
      </c>
      <c r="D33" t="s">
        <v>67</v>
      </c>
      <c r="E33" t="s">
        <v>133</v>
      </c>
      <c r="F33" t="s">
        <v>134</v>
      </c>
      <c r="G33" t="s">
        <v>61</v>
      </c>
      <c r="H33" t="s">
        <v>121</v>
      </c>
      <c r="I33" s="12" t="s">
        <v>96</v>
      </c>
      <c r="J33" s="10">
        <v>45709</v>
      </c>
      <c r="K33" t="s">
        <v>135</v>
      </c>
      <c r="L33" s="9" t="s">
        <v>32</v>
      </c>
      <c r="M33" s="10">
        <v>45703</v>
      </c>
      <c r="N33" s="10">
        <v>45706</v>
      </c>
      <c r="O33" s="9">
        <f t="shared" si="0"/>
        <v>-3</v>
      </c>
      <c r="P33" t="s">
        <v>123</v>
      </c>
      <c r="Q33" t="s">
        <v>36</v>
      </c>
      <c r="R33" s="10">
        <v>45713</v>
      </c>
      <c r="S33" s="9">
        <v>2</v>
      </c>
      <c r="T33" s="9" t="s">
        <v>56</v>
      </c>
      <c r="U33" s="11" t="s">
        <v>63</v>
      </c>
    </row>
    <row r="34" spans="1:21" x14ac:dyDescent="0.3">
      <c r="A34" s="8">
        <f t="shared" si="1"/>
        <v>28</v>
      </c>
      <c r="B34" t="s">
        <v>110</v>
      </c>
      <c r="C34" t="s">
        <v>94</v>
      </c>
      <c r="D34" t="s">
        <v>24</v>
      </c>
      <c r="E34" t="s">
        <v>136</v>
      </c>
      <c r="F34" t="s">
        <v>52</v>
      </c>
      <c r="G34" t="s">
        <v>58</v>
      </c>
      <c r="H34" t="s">
        <v>28</v>
      </c>
      <c r="I34" s="12" t="s">
        <v>29</v>
      </c>
      <c r="J34" s="10">
        <v>45710</v>
      </c>
      <c r="K34" t="s">
        <v>137</v>
      </c>
      <c r="L34" s="9" t="s">
        <v>32</v>
      </c>
      <c r="M34" s="10">
        <v>45706</v>
      </c>
      <c r="N34" s="10">
        <v>45708</v>
      </c>
      <c r="O34" s="9">
        <f t="shared" si="0"/>
        <v>-2</v>
      </c>
      <c r="P34" t="s">
        <v>48</v>
      </c>
      <c r="Q34" t="s">
        <v>49</v>
      </c>
      <c r="R34" s="10"/>
      <c r="S34" s="9">
        <v>0</v>
      </c>
      <c r="T34" s="9" t="s">
        <v>56</v>
      </c>
      <c r="U34" s="11" t="s">
        <v>63</v>
      </c>
    </row>
    <row r="35" spans="1:21" x14ac:dyDescent="0.3">
      <c r="A35" s="8">
        <f t="shared" si="1"/>
        <v>29</v>
      </c>
      <c r="B35" t="s">
        <v>110</v>
      </c>
      <c r="C35" t="s">
        <v>94</v>
      </c>
      <c r="D35" t="s">
        <v>39</v>
      </c>
      <c r="E35" t="s">
        <v>138</v>
      </c>
      <c r="F35" t="s">
        <v>139</v>
      </c>
      <c r="G35" t="s">
        <v>27</v>
      </c>
      <c r="H35" t="s">
        <v>43</v>
      </c>
      <c r="I35" s="12" t="s">
        <v>44</v>
      </c>
      <c r="J35" s="10">
        <v>45711</v>
      </c>
      <c r="K35" t="s">
        <v>46</v>
      </c>
      <c r="L35" s="9" t="s">
        <v>32</v>
      </c>
      <c r="M35" s="10">
        <v>45708</v>
      </c>
      <c r="N35" s="10">
        <v>45711</v>
      </c>
      <c r="O35" s="9">
        <f t="shared" si="0"/>
        <v>-3</v>
      </c>
      <c r="P35" t="s">
        <v>117</v>
      </c>
      <c r="Q35" t="s">
        <v>49</v>
      </c>
      <c r="R35" s="10"/>
      <c r="S35" s="9">
        <v>0</v>
      </c>
      <c r="T35" s="9" t="s">
        <v>32</v>
      </c>
      <c r="U35" s="11" t="s">
        <v>140</v>
      </c>
    </row>
    <row r="36" spans="1:21" x14ac:dyDescent="0.3">
      <c r="A36" s="8">
        <f t="shared" si="1"/>
        <v>30</v>
      </c>
      <c r="B36" t="s">
        <v>110</v>
      </c>
      <c r="C36" t="s">
        <v>94</v>
      </c>
      <c r="D36" t="s">
        <v>67</v>
      </c>
      <c r="E36" t="s">
        <v>141</v>
      </c>
      <c r="F36" t="s">
        <v>142</v>
      </c>
      <c r="G36" t="s">
        <v>58</v>
      </c>
      <c r="H36" t="s">
        <v>121</v>
      </c>
      <c r="I36" s="12" t="s">
        <v>29</v>
      </c>
      <c r="J36" s="10">
        <v>45713</v>
      </c>
      <c r="K36" t="s">
        <v>143</v>
      </c>
      <c r="L36" s="9" t="s">
        <v>32</v>
      </c>
      <c r="M36" s="10">
        <v>45708</v>
      </c>
      <c r="N36" s="10">
        <v>45712</v>
      </c>
      <c r="O36" s="9">
        <f t="shared" si="0"/>
        <v>-4</v>
      </c>
      <c r="P36" t="s">
        <v>123</v>
      </c>
      <c r="Q36" t="s">
        <v>36</v>
      </c>
      <c r="R36" s="10">
        <v>45716</v>
      </c>
      <c r="S36" s="9">
        <v>2</v>
      </c>
      <c r="T36" s="9" t="s">
        <v>56</v>
      </c>
      <c r="U36" s="11" t="s">
        <v>63</v>
      </c>
    </row>
    <row r="37" spans="1:21" x14ac:dyDescent="0.3">
      <c r="A37" s="8">
        <f t="shared" si="1"/>
        <v>31</v>
      </c>
      <c r="B37" t="s">
        <v>110</v>
      </c>
      <c r="C37" t="s">
        <v>144</v>
      </c>
      <c r="D37" t="s">
        <v>24</v>
      </c>
      <c r="E37" t="s">
        <v>145</v>
      </c>
      <c r="F37" t="s">
        <v>146</v>
      </c>
      <c r="G37" t="s">
        <v>42</v>
      </c>
      <c r="H37" t="s">
        <v>28</v>
      </c>
      <c r="I37" s="12" t="s">
        <v>147</v>
      </c>
      <c r="J37" s="10">
        <v>45716</v>
      </c>
      <c r="K37" t="s">
        <v>148</v>
      </c>
      <c r="L37" s="9" t="s">
        <v>32</v>
      </c>
      <c r="M37" s="10">
        <v>45708</v>
      </c>
      <c r="N37" s="10">
        <v>45714</v>
      </c>
      <c r="O37" s="9">
        <f t="shared" si="0"/>
        <v>-6</v>
      </c>
      <c r="P37" t="s">
        <v>48</v>
      </c>
      <c r="Q37" t="s">
        <v>36</v>
      </c>
      <c r="R37" s="10">
        <v>45718</v>
      </c>
      <c r="S37" s="9">
        <v>2</v>
      </c>
      <c r="T37" s="9" t="s">
        <v>32</v>
      </c>
      <c r="U37" s="11" t="s">
        <v>149</v>
      </c>
    </row>
    <row r="38" spans="1:21" x14ac:dyDescent="0.3">
      <c r="A38" s="8">
        <f t="shared" si="1"/>
        <v>32</v>
      </c>
      <c r="B38" t="s">
        <v>150</v>
      </c>
      <c r="C38" t="s">
        <v>23</v>
      </c>
      <c r="D38" t="s">
        <v>39</v>
      </c>
      <c r="E38" t="s">
        <v>151</v>
      </c>
      <c r="F38" t="s">
        <v>86</v>
      </c>
      <c r="G38" t="s">
        <v>42</v>
      </c>
      <c r="H38" t="s">
        <v>43</v>
      </c>
      <c r="I38" s="12" t="s">
        <v>127</v>
      </c>
      <c r="J38" s="10">
        <v>45718</v>
      </c>
      <c r="K38" t="s">
        <v>152</v>
      </c>
      <c r="L38" s="9" t="s">
        <v>32</v>
      </c>
      <c r="M38" s="10">
        <v>45710</v>
      </c>
      <c r="N38" s="10">
        <v>45715</v>
      </c>
      <c r="O38" s="9">
        <f t="shared" si="0"/>
        <v>-5</v>
      </c>
      <c r="P38" t="s">
        <v>117</v>
      </c>
      <c r="Q38" t="s">
        <v>49</v>
      </c>
      <c r="R38" s="10"/>
      <c r="S38" s="9">
        <v>0</v>
      </c>
      <c r="T38" s="9" t="s">
        <v>32</v>
      </c>
      <c r="U38" s="11" t="s">
        <v>153</v>
      </c>
    </row>
    <row r="39" spans="1:21" x14ac:dyDescent="0.3">
      <c r="A39" s="8">
        <f t="shared" si="1"/>
        <v>33</v>
      </c>
      <c r="B39" t="s">
        <v>150</v>
      </c>
      <c r="C39" t="s">
        <v>23</v>
      </c>
      <c r="D39" t="s">
        <v>67</v>
      </c>
      <c r="E39" t="s">
        <v>154</v>
      </c>
      <c r="F39" t="s">
        <v>91</v>
      </c>
      <c r="G39" t="s">
        <v>83</v>
      </c>
      <c r="H39" t="s">
        <v>121</v>
      </c>
      <c r="I39" s="12" t="s">
        <v>96</v>
      </c>
      <c r="J39" s="10">
        <v>45719</v>
      </c>
      <c r="K39" t="s">
        <v>155</v>
      </c>
      <c r="L39" s="9" t="s">
        <v>32</v>
      </c>
      <c r="M39" s="10">
        <v>45713</v>
      </c>
      <c r="N39" s="10">
        <v>45716</v>
      </c>
      <c r="O39" s="9">
        <f t="shared" si="0"/>
        <v>-3</v>
      </c>
      <c r="P39" t="s">
        <v>123</v>
      </c>
      <c r="Q39" t="s">
        <v>36</v>
      </c>
      <c r="R39" s="10">
        <v>45722</v>
      </c>
      <c r="S39" s="9">
        <v>2</v>
      </c>
      <c r="T39" s="9" t="s">
        <v>32</v>
      </c>
      <c r="U39" s="11" t="s">
        <v>156</v>
      </c>
    </row>
    <row r="40" spans="1:21" x14ac:dyDescent="0.3">
      <c r="A40" s="8">
        <f t="shared" si="1"/>
        <v>34</v>
      </c>
      <c r="B40" t="s">
        <v>150</v>
      </c>
      <c r="C40" t="s">
        <v>78</v>
      </c>
      <c r="D40" t="s">
        <v>24</v>
      </c>
      <c r="E40" t="s">
        <v>157</v>
      </c>
      <c r="F40" t="s">
        <v>26</v>
      </c>
      <c r="G40" t="s">
        <v>27</v>
      </c>
      <c r="H40" t="s">
        <v>28</v>
      </c>
      <c r="I40" s="12" t="s">
        <v>112</v>
      </c>
      <c r="J40" s="10">
        <v>45721</v>
      </c>
      <c r="K40" t="s">
        <v>158</v>
      </c>
      <c r="L40" s="9" t="s">
        <v>32</v>
      </c>
      <c r="M40" s="10">
        <v>45714</v>
      </c>
      <c r="N40" s="10">
        <v>45718</v>
      </c>
      <c r="O40" s="9">
        <f t="shared" si="0"/>
        <v>-4</v>
      </c>
      <c r="P40" t="s">
        <v>48</v>
      </c>
      <c r="Q40" t="s">
        <v>36</v>
      </c>
      <c r="R40" s="10">
        <v>45724</v>
      </c>
      <c r="S40" s="9">
        <v>2</v>
      </c>
      <c r="T40" s="9" t="s">
        <v>32</v>
      </c>
      <c r="U40" s="11" t="s">
        <v>159</v>
      </c>
    </row>
    <row r="41" spans="1:21" x14ac:dyDescent="0.3">
      <c r="A41" s="8">
        <f t="shared" si="1"/>
        <v>35</v>
      </c>
      <c r="B41" t="s">
        <v>150</v>
      </c>
      <c r="C41" t="s">
        <v>78</v>
      </c>
      <c r="D41" t="s">
        <v>39</v>
      </c>
      <c r="E41" t="s">
        <v>160</v>
      </c>
      <c r="F41" t="s">
        <v>89</v>
      </c>
      <c r="G41" t="s">
        <v>42</v>
      </c>
      <c r="H41" t="s">
        <v>43</v>
      </c>
      <c r="I41" s="12" t="s">
        <v>29</v>
      </c>
      <c r="J41" s="10">
        <v>45722</v>
      </c>
      <c r="K41" t="s">
        <v>46</v>
      </c>
      <c r="L41" s="9" t="s">
        <v>32</v>
      </c>
      <c r="M41" s="10">
        <v>45717</v>
      </c>
      <c r="N41" s="10">
        <v>45721</v>
      </c>
      <c r="O41" s="9">
        <f t="shared" si="0"/>
        <v>-4</v>
      </c>
      <c r="P41" t="s">
        <v>117</v>
      </c>
      <c r="Q41" t="s">
        <v>49</v>
      </c>
      <c r="R41" s="10"/>
      <c r="S41" s="9">
        <v>0</v>
      </c>
      <c r="T41" s="9" t="s">
        <v>32</v>
      </c>
      <c r="U41" s="11" t="s">
        <v>161</v>
      </c>
    </row>
    <row r="42" spans="1:21" x14ac:dyDescent="0.3">
      <c r="A42" s="8">
        <f t="shared" si="1"/>
        <v>36</v>
      </c>
      <c r="B42" t="s">
        <v>150</v>
      </c>
      <c r="C42" t="s">
        <v>94</v>
      </c>
      <c r="D42" t="s">
        <v>67</v>
      </c>
      <c r="E42" t="s">
        <v>162</v>
      </c>
      <c r="F42" t="s">
        <v>108</v>
      </c>
      <c r="G42" t="s">
        <v>53</v>
      </c>
      <c r="H42" t="s">
        <v>121</v>
      </c>
      <c r="I42" s="12" t="s">
        <v>44</v>
      </c>
      <c r="J42" s="10">
        <v>45724</v>
      </c>
      <c r="K42" t="s">
        <v>46</v>
      </c>
      <c r="L42" s="9" t="s">
        <v>32</v>
      </c>
      <c r="M42" s="10">
        <v>45720</v>
      </c>
      <c r="N42" s="10">
        <v>45723</v>
      </c>
      <c r="O42" s="9">
        <f t="shared" si="0"/>
        <v>-3</v>
      </c>
      <c r="P42" t="s">
        <v>123</v>
      </c>
      <c r="Q42" t="s">
        <v>49</v>
      </c>
      <c r="R42" s="10"/>
      <c r="S42" s="9">
        <v>0</v>
      </c>
      <c r="T42" s="9" t="s">
        <v>32</v>
      </c>
      <c r="U42" s="11" t="s">
        <v>163</v>
      </c>
    </row>
    <row r="43" spans="1:21" x14ac:dyDescent="0.3">
      <c r="A43" s="8">
        <f t="shared" si="1"/>
        <v>37</v>
      </c>
      <c r="B43" t="s">
        <v>150</v>
      </c>
      <c r="C43" t="s">
        <v>94</v>
      </c>
      <c r="D43" t="s">
        <v>24</v>
      </c>
      <c r="E43" t="s">
        <v>164</v>
      </c>
      <c r="F43" t="s">
        <v>165</v>
      </c>
      <c r="G43" t="s">
        <v>58</v>
      </c>
      <c r="H43" t="s">
        <v>28</v>
      </c>
      <c r="I43" s="12" t="s">
        <v>147</v>
      </c>
      <c r="J43" s="10">
        <v>45726</v>
      </c>
      <c r="K43" t="s">
        <v>166</v>
      </c>
      <c r="L43" s="9" t="s">
        <v>32</v>
      </c>
      <c r="M43" s="10">
        <v>45717</v>
      </c>
      <c r="N43" s="10">
        <v>45723</v>
      </c>
      <c r="O43" s="9">
        <f t="shared" si="0"/>
        <v>-6</v>
      </c>
      <c r="P43" t="s">
        <v>48</v>
      </c>
      <c r="Q43" t="s">
        <v>36</v>
      </c>
      <c r="R43" s="10">
        <v>45728</v>
      </c>
      <c r="S43" s="9">
        <v>2</v>
      </c>
      <c r="T43" s="9" t="s">
        <v>56</v>
      </c>
      <c r="U43" s="11" t="s">
        <v>167</v>
      </c>
    </row>
    <row r="44" spans="1:21" x14ac:dyDescent="0.3">
      <c r="A44" s="8">
        <f t="shared" si="1"/>
        <v>38</v>
      </c>
      <c r="B44" t="s">
        <v>150</v>
      </c>
      <c r="C44" t="s">
        <v>144</v>
      </c>
      <c r="D44" t="s">
        <v>39</v>
      </c>
      <c r="E44" t="s">
        <v>168</v>
      </c>
      <c r="F44" t="s">
        <v>100</v>
      </c>
      <c r="G44" t="s">
        <v>61</v>
      </c>
      <c r="H44" t="s">
        <v>43</v>
      </c>
      <c r="I44" s="12" t="s">
        <v>112</v>
      </c>
      <c r="J44" s="10">
        <v>45728</v>
      </c>
      <c r="K44" t="s">
        <v>169</v>
      </c>
      <c r="L44" s="9" t="s">
        <v>32</v>
      </c>
      <c r="M44" s="10">
        <v>45721</v>
      </c>
      <c r="N44" s="10">
        <v>45726</v>
      </c>
      <c r="O44" s="9">
        <f t="shared" si="0"/>
        <v>-5</v>
      </c>
      <c r="P44" t="s">
        <v>117</v>
      </c>
      <c r="Q44" t="s">
        <v>36</v>
      </c>
      <c r="R44" s="10">
        <v>45731</v>
      </c>
      <c r="S44" s="9">
        <v>2</v>
      </c>
      <c r="T44" s="9" t="s">
        <v>32</v>
      </c>
      <c r="U44" s="11" t="s">
        <v>170</v>
      </c>
    </row>
    <row r="45" spans="1:21" x14ac:dyDescent="0.3">
      <c r="A45" s="8">
        <f t="shared" si="1"/>
        <v>39</v>
      </c>
      <c r="B45" t="s">
        <v>150</v>
      </c>
      <c r="C45" t="s">
        <v>144</v>
      </c>
      <c r="D45" t="s">
        <v>67</v>
      </c>
      <c r="E45" t="s">
        <v>171</v>
      </c>
      <c r="F45" t="s">
        <v>104</v>
      </c>
      <c r="G45" t="s">
        <v>58</v>
      </c>
      <c r="H45" t="s">
        <v>121</v>
      </c>
      <c r="I45" s="12" t="s">
        <v>29</v>
      </c>
      <c r="J45" s="10">
        <v>45730</v>
      </c>
      <c r="K45" t="s">
        <v>172</v>
      </c>
      <c r="L45" s="9" t="s">
        <v>32</v>
      </c>
      <c r="M45" s="10">
        <v>45724</v>
      </c>
      <c r="N45" s="10">
        <v>45728</v>
      </c>
      <c r="O45" s="9">
        <f t="shared" si="0"/>
        <v>-4</v>
      </c>
      <c r="P45" t="s">
        <v>123</v>
      </c>
      <c r="Q45" t="s">
        <v>36</v>
      </c>
      <c r="R45" s="10">
        <v>45734</v>
      </c>
      <c r="S45" s="9">
        <v>2</v>
      </c>
      <c r="T45" s="9" t="s">
        <v>56</v>
      </c>
      <c r="U45" s="11" t="s">
        <v>63</v>
      </c>
    </row>
    <row r="46" spans="1:21" x14ac:dyDescent="0.3">
      <c r="A46" s="8">
        <f t="shared" si="1"/>
        <v>40</v>
      </c>
      <c r="B46" t="s">
        <v>150</v>
      </c>
      <c r="C46" t="s">
        <v>173</v>
      </c>
      <c r="D46" t="s">
        <v>24</v>
      </c>
      <c r="E46" t="s">
        <v>174</v>
      </c>
      <c r="F46" t="s">
        <v>175</v>
      </c>
      <c r="G46" t="s">
        <v>27</v>
      </c>
      <c r="H46" t="s">
        <v>28</v>
      </c>
      <c r="I46" s="12" t="s">
        <v>127</v>
      </c>
      <c r="J46" s="10">
        <v>45732</v>
      </c>
      <c r="K46" t="s">
        <v>176</v>
      </c>
      <c r="L46" s="9" t="s">
        <v>32</v>
      </c>
      <c r="M46" s="10">
        <v>45726</v>
      </c>
      <c r="N46" s="10">
        <v>45731</v>
      </c>
      <c r="O46" s="9">
        <f t="shared" si="0"/>
        <v>-5</v>
      </c>
      <c r="P46" t="s">
        <v>48</v>
      </c>
      <c r="Q46" t="s">
        <v>36</v>
      </c>
      <c r="R46" s="10">
        <v>45736</v>
      </c>
      <c r="S46" s="9">
        <v>2</v>
      </c>
      <c r="T46" s="9" t="s">
        <v>32</v>
      </c>
      <c r="U46" s="11" t="s">
        <v>177</v>
      </c>
    </row>
    <row r="47" spans="1:21" ht="15" thickBot="1" x14ac:dyDescent="0.35">
      <c r="A47" s="13">
        <f t="shared" si="1"/>
        <v>41</v>
      </c>
      <c r="B47" s="14" t="s">
        <v>150</v>
      </c>
      <c r="C47" s="14" t="s">
        <v>173</v>
      </c>
      <c r="D47" s="14" t="s">
        <v>39</v>
      </c>
      <c r="E47" s="14" t="s">
        <v>178</v>
      </c>
      <c r="F47" s="14" t="s">
        <v>179</v>
      </c>
      <c r="G47" s="14" t="s">
        <v>58</v>
      </c>
      <c r="H47" s="14" t="s">
        <v>43</v>
      </c>
      <c r="I47" s="15" t="s">
        <v>96</v>
      </c>
      <c r="J47" s="16">
        <v>45734</v>
      </c>
      <c r="K47" s="14" t="s">
        <v>180</v>
      </c>
      <c r="L47" s="17" t="s">
        <v>32</v>
      </c>
      <c r="M47" s="16">
        <v>45728</v>
      </c>
      <c r="N47" s="16">
        <v>45733</v>
      </c>
      <c r="O47" s="17">
        <f t="shared" si="0"/>
        <v>-5</v>
      </c>
      <c r="P47" s="14" t="s">
        <v>117</v>
      </c>
      <c r="Q47" s="14" t="s">
        <v>49</v>
      </c>
      <c r="R47" s="16"/>
      <c r="S47" s="17">
        <v>0</v>
      </c>
      <c r="T47" s="17" t="s">
        <v>32</v>
      </c>
      <c r="U47" s="18" t="s">
        <v>181</v>
      </c>
    </row>
  </sheetData>
  <mergeCells count="1">
    <mergeCell ref="F2:K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3D41E-A169-4C17-B82A-B0F93FE1A39A}">
  <dimension ref="A1:R51"/>
  <sheetViews>
    <sheetView zoomScale="70" zoomScaleNormal="70" workbookViewId="0">
      <selection activeCell="J7" sqref="J7"/>
    </sheetView>
  </sheetViews>
  <sheetFormatPr defaultRowHeight="14.4" x14ac:dyDescent="0.3"/>
  <cols>
    <col min="1" max="1" width="5.88671875" style="24" customWidth="1"/>
    <col min="2" max="3" width="19.5546875" style="24" customWidth="1"/>
    <col min="4" max="4" width="18" style="24" customWidth="1"/>
    <col min="5" max="5" width="25" style="24" customWidth="1"/>
    <col min="6" max="18" width="14.5546875" style="24" customWidth="1"/>
    <col min="19" max="16384" width="8.88671875" style="24"/>
  </cols>
  <sheetData>
    <row r="1" spans="1:18" ht="63.6" customHeight="1" thickBot="1" x14ac:dyDescent="0.35">
      <c r="A1" s="19" t="s">
        <v>182</v>
      </c>
      <c r="B1" s="20"/>
      <c r="C1" s="20"/>
      <c r="D1" s="20"/>
      <c r="E1" s="20"/>
      <c r="F1" s="20"/>
      <c r="G1" s="20"/>
      <c r="H1" s="20"/>
      <c r="I1" s="20"/>
      <c r="J1" s="20"/>
      <c r="K1" s="20"/>
      <c r="L1" s="20"/>
      <c r="M1" s="21"/>
      <c r="N1" s="22"/>
      <c r="O1" s="23"/>
      <c r="P1" s="23"/>
      <c r="Q1" s="23"/>
      <c r="R1" s="23"/>
    </row>
    <row r="2" spans="1:18" x14ac:dyDescent="0.3">
      <c r="A2" s="25" t="s">
        <v>183</v>
      </c>
      <c r="B2" s="26" t="s">
        <v>184</v>
      </c>
      <c r="C2" s="27" t="s">
        <v>185</v>
      </c>
      <c r="D2" s="26" t="s">
        <v>186</v>
      </c>
      <c r="E2" s="26" t="s">
        <v>187</v>
      </c>
      <c r="F2" s="26" t="s">
        <v>188</v>
      </c>
      <c r="G2" s="26"/>
      <c r="H2" s="26"/>
      <c r="I2" s="26"/>
      <c r="J2" s="26"/>
      <c r="K2" s="26"/>
      <c r="L2" s="26"/>
      <c r="M2" s="28" t="s">
        <v>189</v>
      </c>
      <c r="N2" s="28" t="s">
        <v>21</v>
      </c>
      <c r="O2" s="29"/>
      <c r="P2" s="29"/>
      <c r="Q2" s="29"/>
      <c r="R2" s="29"/>
    </row>
    <row r="3" spans="1:18" x14ac:dyDescent="0.3">
      <c r="A3" s="30"/>
      <c r="B3" s="31"/>
      <c r="C3" s="26"/>
      <c r="D3" s="31"/>
      <c r="E3" s="31"/>
      <c r="F3" s="32" t="s">
        <v>190</v>
      </c>
      <c r="G3" s="32" t="s">
        <v>44</v>
      </c>
      <c r="H3" s="32" t="s">
        <v>29</v>
      </c>
      <c r="I3" s="32" t="s">
        <v>96</v>
      </c>
      <c r="J3" s="32" t="s">
        <v>112</v>
      </c>
      <c r="K3" s="32" t="s">
        <v>127</v>
      </c>
      <c r="L3" s="32" t="s">
        <v>147</v>
      </c>
      <c r="M3" s="33"/>
      <c r="N3" s="33"/>
      <c r="O3" s="29"/>
      <c r="P3" s="29"/>
      <c r="Q3" s="29"/>
      <c r="R3" s="29"/>
    </row>
    <row r="4" spans="1:18" x14ac:dyDescent="0.3">
      <c r="A4" s="34">
        <v>1</v>
      </c>
      <c r="B4" s="35"/>
      <c r="C4" s="35"/>
      <c r="D4" s="35"/>
      <c r="E4" s="36" t="s">
        <v>191</v>
      </c>
      <c r="F4" s="37" t="b">
        <v>0</v>
      </c>
      <c r="G4" s="37" t="b">
        <v>0</v>
      </c>
      <c r="H4" s="37" t="b">
        <v>0</v>
      </c>
      <c r="I4" s="37" t="b">
        <v>0</v>
      </c>
      <c r="J4" s="37" t="b">
        <v>0</v>
      </c>
      <c r="K4" s="37" t="b">
        <v>0</v>
      </c>
      <c r="L4" s="37" t="b">
        <v>0</v>
      </c>
      <c r="M4" s="38"/>
    </row>
    <row r="5" spans="1:18" x14ac:dyDescent="0.3">
      <c r="A5" s="34"/>
      <c r="B5" s="35"/>
      <c r="C5" s="35"/>
      <c r="D5" s="35"/>
      <c r="E5" s="36" t="s">
        <v>192</v>
      </c>
      <c r="F5" s="37" t="b">
        <v>0</v>
      </c>
      <c r="G5" s="37" t="b">
        <v>0</v>
      </c>
      <c r="H5" s="37" t="b">
        <v>0</v>
      </c>
      <c r="I5" s="37" t="b">
        <v>0</v>
      </c>
      <c r="J5" s="37" t="b">
        <v>0</v>
      </c>
      <c r="K5" s="37" t="b">
        <v>0</v>
      </c>
      <c r="L5" s="37" t="b">
        <v>0</v>
      </c>
      <c r="M5" s="38"/>
    </row>
    <row r="6" spans="1:18" x14ac:dyDescent="0.3">
      <c r="A6" s="34"/>
      <c r="B6" s="35"/>
      <c r="C6" s="35"/>
      <c r="D6" s="35"/>
      <c r="E6" s="36" t="s">
        <v>193</v>
      </c>
      <c r="F6" s="37" t="b">
        <v>0</v>
      </c>
      <c r="G6" s="37" t="b">
        <v>0</v>
      </c>
      <c r="H6" s="37" t="b">
        <v>0</v>
      </c>
      <c r="I6" s="37" t="b">
        <v>0</v>
      </c>
      <c r="J6" s="37" t="b">
        <v>0</v>
      </c>
      <c r="K6" s="37" t="b">
        <v>0</v>
      </c>
      <c r="L6" s="37" t="b">
        <v>0</v>
      </c>
      <c r="M6" s="38"/>
    </row>
    <row r="7" spans="1:18" ht="15" customHeight="1" x14ac:dyDescent="0.3">
      <c r="A7" s="34"/>
      <c r="B7" s="35"/>
      <c r="C7" s="35"/>
      <c r="D7" s="35"/>
      <c r="E7" s="36" t="s">
        <v>194</v>
      </c>
      <c r="F7" s="37" t="b">
        <v>0</v>
      </c>
      <c r="G7" s="37" t="b">
        <v>0</v>
      </c>
      <c r="H7" s="37" t="b">
        <v>0</v>
      </c>
      <c r="I7" s="37" t="b">
        <v>0</v>
      </c>
      <c r="J7" s="37" t="b">
        <v>0</v>
      </c>
      <c r="K7" s="37" t="b">
        <v>0</v>
      </c>
      <c r="L7" s="37" t="b">
        <v>0</v>
      </c>
      <c r="M7" s="38"/>
    </row>
    <row r="8" spans="1:18" x14ac:dyDescent="0.3">
      <c r="A8" s="34"/>
      <c r="B8" s="35"/>
      <c r="C8" s="35"/>
      <c r="D8" s="35"/>
      <c r="E8" s="36" t="s">
        <v>195</v>
      </c>
      <c r="F8" s="37" t="b">
        <v>0</v>
      </c>
      <c r="G8" s="37" t="b">
        <v>0</v>
      </c>
      <c r="H8" s="37" t="b">
        <v>0</v>
      </c>
      <c r="I8" s="37" t="b">
        <v>0</v>
      </c>
      <c r="J8" s="37" t="b">
        <v>0</v>
      </c>
      <c r="K8" s="37" t="b">
        <v>0</v>
      </c>
      <c r="L8" s="37" t="b">
        <v>0</v>
      </c>
      <c r="M8" s="38"/>
    </row>
    <row r="9" spans="1:18" x14ac:dyDescent="0.3">
      <c r="A9" s="34"/>
      <c r="B9" s="35"/>
      <c r="C9" s="35"/>
      <c r="D9" s="35"/>
      <c r="E9" s="36" t="s">
        <v>194</v>
      </c>
      <c r="F9" s="37" t="b">
        <v>0</v>
      </c>
      <c r="G9" s="37" t="b">
        <v>0</v>
      </c>
      <c r="H9" s="37" t="b">
        <v>0</v>
      </c>
      <c r="I9" s="37" t="b">
        <v>0</v>
      </c>
      <c r="J9" s="37" t="b">
        <v>0</v>
      </c>
      <c r="K9" s="37" t="b">
        <v>0</v>
      </c>
      <c r="L9" s="37" t="b">
        <v>0</v>
      </c>
      <c r="M9" s="38"/>
    </row>
    <row r="10" spans="1:18" x14ac:dyDescent="0.3">
      <c r="A10" s="34">
        <f>A4+1</f>
        <v>2</v>
      </c>
      <c r="B10" s="35"/>
      <c r="C10" s="35"/>
      <c r="D10" s="35"/>
      <c r="E10" s="36" t="s">
        <v>191</v>
      </c>
      <c r="F10" s="37" t="b">
        <v>0</v>
      </c>
      <c r="G10" s="37" t="b">
        <v>0</v>
      </c>
      <c r="H10" s="37" t="b">
        <v>0</v>
      </c>
      <c r="I10" s="37" t="b">
        <v>0</v>
      </c>
      <c r="J10" s="37" t="b">
        <v>0</v>
      </c>
      <c r="K10" s="37" t="b">
        <v>0</v>
      </c>
      <c r="L10" s="37" t="b">
        <v>0</v>
      </c>
      <c r="M10" s="38"/>
    </row>
    <row r="11" spans="1:18" x14ac:dyDescent="0.3">
      <c r="A11" s="34"/>
      <c r="B11" s="35"/>
      <c r="C11" s="35"/>
      <c r="D11" s="35"/>
      <c r="E11" s="36" t="s">
        <v>192</v>
      </c>
      <c r="F11" s="37" t="b">
        <v>0</v>
      </c>
      <c r="G11" s="37" t="b">
        <v>0</v>
      </c>
      <c r="H11" s="37" t="b">
        <v>0</v>
      </c>
      <c r="I11" s="37" t="b">
        <v>0</v>
      </c>
      <c r="J11" s="37" t="b">
        <v>0</v>
      </c>
      <c r="K11" s="37" t="b">
        <v>0</v>
      </c>
      <c r="L11" s="37" t="b">
        <v>0</v>
      </c>
      <c r="M11" s="38"/>
    </row>
    <row r="12" spans="1:18" x14ac:dyDescent="0.3">
      <c r="A12" s="34"/>
      <c r="B12" s="35"/>
      <c r="C12" s="35"/>
      <c r="D12" s="35"/>
      <c r="E12" s="36" t="s">
        <v>193</v>
      </c>
      <c r="F12" s="37" t="b">
        <v>0</v>
      </c>
      <c r="G12" s="37" t="b">
        <v>0</v>
      </c>
      <c r="H12" s="37" t="b">
        <v>0</v>
      </c>
      <c r="I12" s="37" t="b">
        <v>0</v>
      </c>
      <c r="J12" s="37" t="b">
        <v>0</v>
      </c>
      <c r="K12" s="37" t="b">
        <v>0</v>
      </c>
      <c r="L12" s="37" t="b">
        <v>0</v>
      </c>
      <c r="M12" s="38"/>
    </row>
    <row r="13" spans="1:18" x14ac:dyDescent="0.3">
      <c r="A13" s="34"/>
      <c r="B13" s="35"/>
      <c r="C13" s="35"/>
      <c r="D13" s="35"/>
      <c r="E13" s="36" t="s">
        <v>194</v>
      </c>
      <c r="F13" s="37" t="b">
        <v>0</v>
      </c>
      <c r="G13" s="37" t="b">
        <v>0</v>
      </c>
      <c r="H13" s="37" t="b">
        <v>0</v>
      </c>
      <c r="I13" s="37" t="b">
        <v>0</v>
      </c>
      <c r="J13" s="37" t="b">
        <v>0</v>
      </c>
      <c r="K13" s="37" t="b">
        <v>0</v>
      </c>
      <c r="L13" s="37" t="b">
        <v>0</v>
      </c>
      <c r="M13" s="38"/>
    </row>
    <row r="14" spans="1:18" x14ac:dyDescent="0.3">
      <c r="A14" s="34"/>
      <c r="B14" s="35"/>
      <c r="C14" s="35"/>
      <c r="D14" s="35"/>
      <c r="E14" s="36" t="s">
        <v>195</v>
      </c>
      <c r="F14" s="37" t="b">
        <v>0</v>
      </c>
      <c r="G14" s="37" t="b">
        <v>0</v>
      </c>
      <c r="H14" s="37" t="b">
        <v>0</v>
      </c>
      <c r="I14" s="37" t="b">
        <v>0</v>
      </c>
      <c r="J14" s="37" t="b">
        <v>0</v>
      </c>
      <c r="K14" s="37" t="b">
        <v>0</v>
      </c>
      <c r="L14" s="37" t="b">
        <v>0</v>
      </c>
      <c r="M14" s="38"/>
    </row>
    <row r="15" spans="1:18" x14ac:dyDescent="0.3">
      <c r="A15" s="34"/>
      <c r="B15" s="35"/>
      <c r="C15" s="35"/>
      <c r="D15" s="35"/>
      <c r="E15" s="36" t="s">
        <v>194</v>
      </c>
      <c r="F15" s="37" t="b">
        <v>0</v>
      </c>
      <c r="G15" s="37" t="b">
        <v>0</v>
      </c>
      <c r="H15" s="37" t="b">
        <v>0</v>
      </c>
      <c r="I15" s="37" t="b">
        <v>0</v>
      </c>
      <c r="J15" s="37" t="b">
        <v>0</v>
      </c>
      <c r="K15" s="37" t="b">
        <v>0</v>
      </c>
      <c r="L15" s="37" t="b">
        <v>0</v>
      </c>
      <c r="M15" s="38"/>
    </row>
    <row r="16" spans="1:18" x14ac:dyDescent="0.3">
      <c r="A16" s="34">
        <f>A10+1</f>
        <v>3</v>
      </c>
      <c r="B16" s="35"/>
      <c r="C16" s="35"/>
      <c r="D16" s="35"/>
      <c r="E16" s="36" t="s">
        <v>191</v>
      </c>
      <c r="F16" s="37" t="b">
        <v>0</v>
      </c>
      <c r="G16" s="37" t="b">
        <v>0</v>
      </c>
      <c r="H16" s="37" t="b">
        <v>0</v>
      </c>
      <c r="I16" s="37" t="b">
        <v>0</v>
      </c>
      <c r="J16" s="37" t="b">
        <v>0</v>
      </c>
      <c r="K16" s="37" t="b">
        <v>0</v>
      </c>
      <c r="L16" s="37" t="b">
        <v>0</v>
      </c>
      <c r="M16" s="38"/>
    </row>
    <row r="17" spans="1:13" x14ac:dyDescent="0.3">
      <c r="A17" s="34"/>
      <c r="B17" s="35"/>
      <c r="C17" s="35"/>
      <c r="D17" s="35"/>
      <c r="E17" s="36" t="s">
        <v>192</v>
      </c>
      <c r="F17" s="37" t="b">
        <v>0</v>
      </c>
      <c r="G17" s="37" t="b">
        <v>0</v>
      </c>
      <c r="H17" s="37" t="b">
        <v>0</v>
      </c>
      <c r="I17" s="37" t="b">
        <v>0</v>
      </c>
      <c r="J17" s="37" t="b">
        <v>0</v>
      </c>
      <c r="K17" s="37" t="b">
        <v>0</v>
      </c>
      <c r="L17" s="37" t="b">
        <v>0</v>
      </c>
      <c r="M17" s="38"/>
    </row>
    <row r="18" spans="1:13" x14ac:dyDescent="0.3">
      <c r="A18" s="34"/>
      <c r="B18" s="35"/>
      <c r="C18" s="35"/>
      <c r="D18" s="35"/>
      <c r="E18" s="36" t="s">
        <v>193</v>
      </c>
      <c r="F18" s="37" t="b">
        <v>0</v>
      </c>
      <c r="G18" s="37" t="b">
        <v>0</v>
      </c>
      <c r="H18" s="37" t="b">
        <v>0</v>
      </c>
      <c r="I18" s="37" t="b">
        <v>0</v>
      </c>
      <c r="J18" s="37" t="b">
        <v>0</v>
      </c>
      <c r="K18" s="37" t="b">
        <v>0</v>
      </c>
      <c r="L18" s="37" t="b">
        <v>0</v>
      </c>
      <c r="M18" s="38"/>
    </row>
    <row r="19" spans="1:13" x14ac:dyDescent="0.3">
      <c r="A19" s="34"/>
      <c r="B19" s="35"/>
      <c r="C19" s="35"/>
      <c r="D19" s="35"/>
      <c r="E19" s="36" t="s">
        <v>194</v>
      </c>
      <c r="F19" s="37" t="b">
        <v>0</v>
      </c>
      <c r="G19" s="37" t="b">
        <v>0</v>
      </c>
      <c r="H19" s="37" t="b">
        <v>0</v>
      </c>
      <c r="I19" s="37" t="b">
        <v>0</v>
      </c>
      <c r="J19" s="37" t="b">
        <v>0</v>
      </c>
      <c r="K19" s="37" t="b">
        <v>0</v>
      </c>
      <c r="L19" s="37" t="b">
        <v>0</v>
      </c>
      <c r="M19" s="38"/>
    </row>
    <row r="20" spans="1:13" x14ac:dyDescent="0.3">
      <c r="A20" s="34"/>
      <c r="B20" s="35"/>
      <c r="C20" s="35"/>
      <c r="D20" s="35"/>
      <c r="E20" s="36" t="s">
        <v>195</v>
      </c>
      <c r="F20" s="37" t="b">
        <v>0</v>
      </c>
      <c r="G20" s="37" t="b">
        <v>0</v>
      </c>
      <c r="H20" s="37" t="b">
        <v>0</v>
      </c>
      <c r="I20" s="37" t="b">
        <v>0</v>
      </c>
      <c r="J20" s="37" t="b">
        <v>0</v>
      </c>
      <c r="K20" s="37" t="b">
        <v>0</v>
      </c>
      <c r="L20" s="37" t="b">
        <v>0</v>
      </c>
      <c r="M20" s="38"/>
    </row>
    <row r="21" spans="1:13" x14ac:dyDescent="0.3">
      <c r="A21" s="34"/>
      <c r="B21" s="35"/>
      <c r="C21" s="35"/>
      <c r="D21" s="35"/>
      <c r="E21" s="36" t="s">
        <v>194</v>
      </c>
      <c r="F21" s="37" t="b">
        <v>0</v>
      </c>
      <c r="G21" s="37" t="b">
        <v>0</v>
      </c>
      <c r="H21" s="37" t="b">
        <v>0</v>
      </c>
      <c r="I21" s="37" t="b">
        <v>0</v>
      </c>
      <c r="J21" s="37" t="b">
        <v>0</v>
      </c>
      <c r="K21" s="37" t="b">
        <v>0</v>
      </c>
      <c r="L21" s="37" t="b">
        <v>0</v>
      </c>
      <c r="M21" s="38"/>
    </row>
    <row r="22" spans="1:13" x14ac:dyDescent="0.3">
      <c r="A22" s="34">
        <f>A16+1</f>
        <v>4</v>
      </c>
      <c r="B22" s="35"/>
      <c r="C22" s="35"/>
      <c r="D22" s="35"/>
      <c r="E22" s="36" t="s">
        <v>191</v>
      </c>
      <c r="F22" s="37" t="b">
        <v>0</v>
      </c>
      <c r="G22" s="37" t="b">
        <v>0</v>
      </c>
      <c r="H22" s="37" t="b">
        <v>0</v>
      </c>
      <c r="I22" s="37" t="b">
        <v>0</v>
      </c>
      <c r="J22" s="37" t="b">
        <v>0</v>
      </c>
      <c r="K22" s="37" t="b">
        <v>0</v>
      </c>
      <c r="L22" s="37" t="b">
        <v>0</v>
      </c>
      <c r="M22" s="38"/>
    </row>
    <row r="23" spans="1:13" x14ac:dyDescent="0.3">
      <c r="A23" s="34"/>
      <c r="B23" s="35"/>
      <c r="C23" s="35"/>
      <c r="D23" s="35"/>
      <c r="E23" s="36" t="s">
        <v>192</v>
      </c>
      <c r="F23" s="37" t="b">
        <v>0</v>
      </c>
      <c r="G23" s="37" t="b">
        <v>0</v>
      </c>
      <c r="H23" s="37" t="b">
        <v>0</v>
      </c>
      <c r="I23" s="37" t="b">
        <v>0</v>
      </c>
      <c r="J23" s="37" t="b">
        <v>0</v>
      </c>
      <c r="K23" s="37" t="b">
        <v>0</v>
      </c>
      <c r="L23" s="37" t="b">
        <v>0</v>
      </c>
      <c r="M23" s="38"/>
    </row>
    <row r="24" spans="1:13" x14ac:dyDescent="0.3">
      <c r="A24" s="34"/>
      <c r="B24" s="35"/>
      <c r="C24" s="35"/>
      <c r="D24" s="35"/>
      <c r="E24" s="36" t="s">
        <v>193</v>
      </c>
      <c r="F24" s="37" t="b">
        <v>0</v>
      </c>
      <c r="G24" s="37" t="b">
        <v>0</v>
      </c>
      <c r="H24" s="37" t="b">
        <v>0</v>
      </c>
      <c r="I24" s="37" t="b">
        <v>0</v>
      </c>
      <c r="J24" s="37" t="b">
        <v>0</v>
      </c>
      <c r="K24" s="37" t="b">
        <v>0</v>
      </c>
      <c r="L24" s="37" t="b">
        <v>0</v>
      </c>
      <c r="M24" s="38"/>
    </row>
    <row r="25" spans="1:13" x14ac:dyDescent="0.3">
      <c r="A25" s="34"/>
      <c r="B25" s="35"/>
      <c r="C25" s="35"/>
      <c r="D25" s="35"/>
      <c r="E25" s="36" t="s">
        <v>194</v>
      </c>
      <c r="F25" s="37" t="b">
        <v>0</v>
      </c>
      <c r="G25" s="37" t="b">
        <v>0</v>
      </c>
      <c r="H25" s="37" t="b">
        <v>0</v>
      </c>
      <c r="I25" s="37" t="b">
        <v>0</v>
      </c>
      <c r="J25" s="37" t="b">
        <v>0</v>
      </c>
      <c r="K25" s="37" t="b">
        <v>0</v>
      </c>
      <c r="L25" s="37" t="b">
        <v>0</v>
      </c>
      <c r="M25" s="38"/>
    </row>
    <row r="26" spans="1:13" x14ac:dyDescent="0.3">
      <c r="A26" s="34"/>
      <c r="B26" s="35"/>
      <c r="C26" s="35"/>
      <c r="D26" s="35"/>
      <c r="E26" s="36" t="s">
        <v>195</v>
      </c>
      <c r="F26" s="37" t="b">
        <v>0</v>
      </c>
      <c r="G26" s="37" t="b">
        <v>0</v>
      </c>
      <c r="H26" s="37" t="b">
        <v>0</v>
      </c>
      <c r="I26" s="37" t="b">
        <v>0</v>
      </c>
      <c r="J26" s="37" t="b">
        <v>0</v>
      </c>
      <c r="K26" s="37" t="b">
        <v>0</v>
      </c>
      <c r="L26" s="37" t="b">
        <v>0</v>
      </c>
      <c r="M26" s="38"/>
    </row>
    <row r="27" spans="1:13" x14ac:dyDescent="0.3">
      <c r="A27" s="34"/>
      <c r="B27" s="35"/>
      <c r="C27" s="35"/>
      <c r="D27" s="35"/>
      <c r="E27" s="36" t="s">
        <v>194</v>
      </c>
      <c r="F27" s="37" t="b">
        <v>0</v>
      </c>
      <c r="G27" s="37" t="b">
        <v>0</v>
      </c>
      <c r="H27" s="37" t="b">
        <v>0</v>
      </c>
      <c r="I27" s="37" t="b">
        <v>0</v>
      </c>
      <c r="J27" s="37" t="b">
        <v>0</v>
      </c>
      <c r="K27" s="37" t="b">
        <v>0</v>
      </c>
      <c r="L27" s="37" t="b">
        <v>0</v>
      </c>
      <c r="M27" s="38"/>
    </row>
    <row r="28" spans="1:13" x14ac:dyDescent="0.3">
      <c r="A28" s="34">
        <f>A22+1</f>
        <v>5</v>
      </c>
      <c r="B28" s="35"/>
      <c r="C28" s="35"/>
      <c r="D28" s="35"/>
      <c r="E28" s="36" t="s">
        <v>191</v>
      </c>
      <c r="F28" s="37" t="b">
        <v>0</v>
      </c>
      <c r="G28" s="37" t="b">
        <v>0</v>
      </c>
      <c r="H28" s="37" t="b">
        <v>0</v>
      </c>
      <c r="I28" s="37" t="b">
        <v>0</v>
      </c>
      <c r="J28" s="37" t="b">
        <v>0</v>
      </c>
      <c r="K28" s="37" t="b">
        <v>0</v>
      </c>
      <c r="L28" s="37" t="b">
        <v>0</v>
      </c>
      <c r="M28" s="38"/>
    </row>
    <row r="29" spans="1:13" x14ac:dyDescent="0.3">
      <c r="A29" s="34"/>
      <c r="B29" s="35"/>
      <c r="C29" s="35"/>
      <c r="D29" s="35"/>
      <c r="E29" s="36" t="s">
        <v>192</v>
      </c>
      <c r="F29" s="37" t="b">
        <v>0</v>
      </c>
      <c r="G29" s="37" t="b">
        <v>0</v>
      </c>
      <c r="H29" s="37" t="b">
        <v>0</v>
      </c>
      <c r="I29" s="37" t="b">
        <v>0</v>
      </c>
      <c r="J29" s="37" t="b">
        <v>0</v>
      </c>
      <c r="K29" s="37" t="b">
        <v>0</v>
      </c>
      <c r="L29" s="37" t="b">
        <v>0</v>
      </c>
      <c r="M29" s="38"/>
    </row>
    <row r="30" spans="1:13" x14ac:dyDescent="0.3">
      <c r="A30" s="34"/>
      <c r="B30" s="35"/>
      <c r="C30" s="35"/>
      <c r="D30" s="35"/>
      <c r="E30" s="36" t="s">
        <v>193</v>
      </c>
      <c r="F30" s="37" t="b">
        <v>0</v>
      </c>
      <c r="G30" s="37" t="b">
        <v>0</v>
      </c>
      <c r="H30" s="37" t="b">
        <v>0</v>
      </c>
      <c r="I30" s="37" t="b">
        <v>0</v>
      </c>
      <c r="J30" s="37" t="b">
        <v>0</v>
      </c>
      <c r="K30" s="37" t="b">
        <v>0</v>
      </c>
      <c r="L30" s="37" t="b">
        <v>0</v>
      </c>
      <c r="M30" s="38"/>
    </row>
    <row r="31" spans="1:13" x14ac:dyDescent="0.3">
      <c r="A31" s="34"/>
      <c r="B31" s="35"/>
      <c r="C31" s="35"/>
      <c r="D31" s="35"/>
      <c r="E31" s="36" t="s">
        <v>194</v>
      </c>
      <c r="F31" s="37" t="b">
        <v>0</v>
      </c>
      <c r="G31" s="37" t="b">
        <v>0</v>
      </c>
      <c r="H31" s="37" t="b">
        <v>0</v>
      </c>
      <c r="I31" s="37" t="b">
        <v>0</v>
      </c>
      <c r="J31" s="37" t="b">
        <v>0</v>
      </c>
      <c r="K31" s="37" t="b">
        <v>0</v>
      </c>
      <c r="L31" s="37" t="b">
        <v>0</v>
      </c>
      <c r="M31" s="38"/>
    </row>
    <row r="32" spans="1:13" x14ac:dyDescent="0.3">
      <c r="A32" s="34"/>
      <c r="B32" s="35"/>
      <c r="C32" s="35"/>
      <c r="D32" s="35"/>
      <c r="E32" s="36" t="s">
        <v>195</v>
      </c>
      <c r="F32" s="37" t="b">
        <v>0</v>
      </c>
      <c r="G32" s="37" t="b">
        <v>0</v>
      </c>
      <c r="H32" s="37" t="b">
        <v>0</v>
      </c>
      <c r="I32" s="37" t="b">
        <v>0</v>
      </c>
      <c r="J32" s="37" t="b">
        <v>0</v>
      </c>
      <c r="K32" s="37" t="b">
        <v>0</v>
      </c>
      <c r="L32" s="37" t="b">
        <v>0</v>
      </c>
      <c r="M32" s="38"/>
    </row>
    <row r="33" spans="1:13" x14ac:dyDescent="0.3">
      <c r="A33" s="34"/>
      <c r="B33" s="35"/>
      <c r="C33" s="35"/>
      <c r="D33" s="35"/>
      <c r="E33" s="36" t="s">
        <v>194</v>
      </c>
      <c r="F33" s="37" t="b">
        <v>0</v>
      </c>
      <c r="G33" s="37" t="b">
        <v>0</v>
      </c>
      <c r="H33" s="37" t="b">
        <v>0</v>
      </c>
      <c r="I33" s="37" t="b">
        <v>0</v>
      </c>
      <c r="J33" s="37" t="b">
        <v>0</v>
      </c>
      <c r="K33" s="37" t="b">
        <v>0</v>
      </c>
      <c r="L33" s="37" t="b">
        <v>0</v>
      </c>
      <c r="M33" s="38"/>
    </row>
    <row r="34" spans="1:13" x14ac:dyDescent="0.3">
      <c r="A34" s="34">
        <f>A28+1</f>
        <v>6</v>
      </c>
      <c r="B34" s="35"/>
      <c r="C34" s="35"/>
      <c r="D34" s="35"/>
      <c r="E34" s="36" t="s">
        <v>191</v>
      </c>
      <c r="F34" s="37" t="b">
        <v>0</v>
      </c>
      <c r="G34" s="37" t="b">
        <v>0</v>
      </c>
      <c r="H34" s="37" t="b">
        <v>0</v>
      </c>
      <c r="I34" s="37" t="b">
        <v>0</v>
      </c>
      <c r="J34" s="37" t="b">
        <v>0</v>
      </c>
      <c r="K34" s="37" t="b">
        <v>0</v>
      </c>
      <c r="L34" s="37" t="b">
        <v>0</v>
      </c>
      <c r="M34" s="38"/>
    </row>
    <row r="35" spans="1:13" x14ac:dyDescent="0.3">
      <c r="A35" s="34"/>
      <c r="B35" s="35"/>
      <c r="C35" s="35"/>
      <c r="D35" s="35"/>
      <c r="E35" s="36" t="s">
        <v>192</v>
      </c>
      <c r="F35" s="37" t="b">
        <v>0</v>
      </c>
      <c r="G35" s="37" t="b">
        <v>0</v>
      </c>
      <c r="H35" s="37" t="b">
        <v>0</v>
      </c>
      <c r="I35" s="37" t="b">
        <v>0</v>
      </c>
      <c r="J35" s="37" t="b">
        <v>0</v>
      </c>
      <c r="K35" s="37" t="b">
        <v>0</v>
      </c>
      <c r="L35" s="37" t="b">
        <v>0</v>
      </c>
      <c r="M35" s="38"/>
    </row>
    <row r="36" spans="1:13" x14ac:dyDescent="0.3">
      <c r="A36" s="34"/>
      <c r="B36" s="35"/>
      <c r="C36" s="35"/>
      <c r="D36" s="35"/>
      <c r="E36" s="36" t="s">
        <v>193</v>
      </c>
      <c r="F36" s="37" t="b">
        <v>0</v>
      </c>
      <c r="G36" s="37" t="b">
        <v>0</v>
      </c>
      <c r="H36" s="37" t="b">
        <v>0</v>
      </c>
      <c r="I36" s="37" t="b">
        <v>0</v>
      </c>
      <c r="J36" s="37" t="b">
        <v>0</v>
      </c>
      <c r="K36" s="37" t="b">
        <v>0</v>
      </c>
      <c r="L36" s="37" t="b">
        <v>0</v>
      </c>
      <c r="M36" s="38"/>
    </row>
    <row r="37" spans="1:13" x14ac:dyDescent="0.3">
      <c r="A37" s="34"/>
      <c r="B37" s="35"/>
      <c r="C37" s="35"/>
      <c r="D37" s="35"/>
      <c r="E37" s="36" t="s">
        <v>194</v>
      </c>
      <c r="F37" s="37" t="b">
        <v>0</v>
      </c>
      <c r="G37" s="37" t="b">
        <v>0</v>
      </c>
      <c r="H37" s="37" t="b">
        <v>0</v>
      </c>
      <c r="I37" s="37" t="b">
        <v>0</v>
      </c>
      <c r="J37" s="37" t="b">
        <v>0</v>
      </c>
      <c r="K37" s="37" t="b">
        <v>0</v>
      </c>
      <c r="L37" s="37" t="b">
        <v>0</v>
      </c>
      <c r="M37" s="38"/>
    </row>
    <row r="38" spans="1:13" x14ac:dyDescent="0.3">
      <c r="A38" s="34"/>
      <c r="B38" s="35"/>
      <c r="C38" s="35"/>
      <c r="D38" s="35"/>
      <c r="E38" s="36" t="s">
        <v>195</v>
      </c>
      <c r="F38" s="37" t="b">
        <v>0</v>
      </c>
      <c r="G38" s="37" t="b">
        <v>0</v>
      </c>
      <c r="H38" s="37" t="b">
        <v>0</v>
      </c>
      <c r="I38" s="37" t="b">
        <v>0</v>
      </c>
      <c r="J38" s="37" t="b">
        <v>0</v>
      </c>
      <c r="K38" s="37" t="b">
        <v>0</v>
      </c>
      <c r="L38" s="37" t="b">
        <v>0</v>
      </c>
      <c r="M38" s="38"/>
    </row>
    <row r="39" spans="1:13" x14ac:dyDescent="0.3">
      <c r="A39" s="34"/>
      <c r="B39" s="35"/>
      <c r="C39" s="35"/>
      <c r="D39" s="35"/>
      <c r="E39" s="36" t="s">
        <v>194</v>
      </c>
      <c r="F39" s="37" t="b">
        <v>0</v>
      </c>
      <c r="G39" s="37" t="b">
        <v>0</v>
      </c>
      <c r="H39" s="37" t="b">
        <v>0</v>
      </c>
      <c r="I39" s="37" t="b">
        <v>0</v>
      </c>
      <c r="J39" s="37" t="b">
        <v>0</v>
      </c>
      <c r="K39" s="37" t="b">
        <v>0</v>
      </c>
      <c r="L39" s="37" t="b">
        <v>0</v>
      </c>
      <c r="M39" s="38"/>
    </row>
    <row r="40" spans="1:13" x14ac:dyDescent="0.3">
      <c r="A40" s="34">
        <f>A34+1</f>
        <v>7</v>
      </c>
      <c r="B40" s="35"/>
      <c r="C40" s="35"/>
      <c r="D40" s="35"/>
      <c r="E40" s="36" t="s">
        <v>191</v>
      </c>
      <c r="F40" s="37" t="b">
        <v>0</v>
      </c>
      <c r="G40" s="37" t="b">
        <v>0</v>
      </c>
      <c r="H40" s="37" t="b">
        <v>0</v>
      </c>
      <c r="I40" s="37" t="b">
        <v>0</v>
      </c>
      <c r="J40" s="37" t="b">
        <v>0</v>
      </c>
      <c r="K40" s="37" t="b">
        <v>0</v>
      </c>
      <c r="L40" s="37" t="b">
        <v>0</v>
      </c>
      <c r="M40" s="38"/>
    </row>
    <row r="41" spans="1:13" x14ac:dyDescent="0.3">
      <c r="A41" s="34"/>
      <c r="B41" s="35"/>
      <c r="C41" s="35"/>
      <c r="D41" s="35"/>
      <c r="E41" s="36" t="s">
        <v>192</v>
      </c>
      <c r="F41" s="37" t="b">
        <v>0</v>
      </c>
      <c r="G41" s="37" t="b">
        <v>0</v>
      </c>
      <c r="H41" s="37" t="b">
        <v>0</v>
      </c>
      <c r="I41" s="37" t="b">
        <v>0</v>
      </c>
      <c r="J41" s="37" t="b">
        <v>0</v>
      </c>
      <c r="K41" s="37" t="b">
        <v>0</v>
      </c>
      <c r="L41" s="37" t="b">
        <v>0</v>
      </c>
      <c r="M41" s="38"/>
    </row>
    <row r="42" spans="1:13" x14ac:dyDescent="0.3">
      <c r="A42" s="34"/>
      <c r="B42" s="35"/>
      <c r="C42" s="35"/>
      <c r="D42" s="35"/>
      <c r="E42" s="36" t="s">
        <v>193</v>
      </c>
      <c r="F42" s="37" t="b">
        <v>0</v>
      </c>
      <c r="G42" s="37" t="b">
        <v>0</v>
      </c>
      <c r="H42" s="37" t="b">
        <v>0</v>
      </c>
      <c r="I42" s="37" t="b">
        <v>0</v>
      </c>
      <c r="J42" s="37" t="b">
        <v>0</v>
      </c>
      <c r="K42" s="37" t="b">
        <v>0</v>
      </c>
      <c r="L42" s="37" t="b">
        <v>0</v>
      </c>
      <c r="M42" s="38"/>
    </row>
    <row r="43" spans="1:13" x14ac:dyDescent="0.3">
      <c r="A43" s="34"/>
      <c r="B43" s="35"/>
      <c r="C43" s="35"/>
      <c r="D43" s="35"/>
      <c r="E43" s="36" t="s">
        <v>194</v>
      </c>
      <c r="F43" s="37" t="b">
        <v>0</v>
      </c>
      <c r="G43" s="37" t="b">
        <v>0</v>
      </c>
      <c r="H43" s="37" t="b">
        <v>0</v>
      </c>
      <c r="I43" s="37" t="b">
        <v>0</v>
      </c>
      <c r="J43" s="37" t="b">
        <v>0</v>
      </c>
      <c r="K43" s="37" t="b">
        <v>0</v>
      </c>
      <c r="L43" s="37" t="b">
        <v>0</v>
      </c>
      <c r="M43" s="38"/>
    </row>
    <row r="44" spans="1:13" x14ac:dyDescent="0.3">
      <c r="A44" s="34"/>
      <c r="B44" s="35"/>
      <c r="C44" s="35"/>
      <c r="D44" s="35"/>
      <c r="E44" s="36" t="s">
        <v>195</v>
      </c>
      <c r="F44" s="37" t="b">
        <v>0</v>
      </c>
      <c r="G44" s="37" t="b">
        <v>0</v>
      </c>
      <c r="H44" s="37" t="b">
        <v>0</v>
      </c>
      <c r="I44" s="37" t="b">
        <v>0</v>
      </c>
      <c r="J44" s="37" t="b">
        <v>0</v>
      </c>
      <c r="K44" s="37" t="b">
        <v>0</v>
      </c>
      <c r="L44" s="37" t="b">
        <v>0</v>
      </c>
      <c r="M44" s="38"/>
    </row>
    <row r="45" spans="1:13" x14ac:dyDescent="0.3">
      <c r="A45" s="34"/>
      <c r="B45" s="35"/>
      <c r="C45" s="35"/>
      <c r="D45" s="35"/>
      <c r="E45" s="36" t="s">
        <v>194</v>
      </c>
      <c r="F45" s="37" t="b">
        <v>0</v>
      </c>
      <c r="G45" s="37" t="b">
        <v>0</v>
      </c>
      <c r="H45" s="37" t="b">
        <v>0</v>
      </c>
      <c r="I45" s="37" t="b">
        <v>0</v>
      </c>
      <c r="J45" s="37" t="b">
        <v>0</v>
      </c>
      <c r="K45" s="37" t="b">
        <v>0</v>
      </c>
      <c r="L45" s="37" t="b">
        <v>0</v>
      </c>
      <c r="M45" s="38"/>
    </row>
    <row r="46" spans="1:13" x14ac:dyDescent="0.3">
      <c r="A46" s="34">
        <f>A40+1</f>
        <v>8</v>
      </c>
      <c r="B46" s="35"/>
      <c r="C46" s="35"/>
      <c r="D46" s="35"/>
      <c r="E46" s="36" t="s">
        <v>191</v>
      </c>
      <c r="F46" s="37" t="b">
        <v>0</v>
      </c>
      <c r="G46" s="37" t="b">
        <v>0</v>
      </c>
      <c r="H46" s="37" t="b">
        <v>0</v>
      </c>
      <c r="I46" s="37" t="b">
        <v>0</v>
      </c>
      <c r="J46" s="37" t="b">
        <v>0</v>
      </c>
      <c r="K46" s="37" t="b">
        <v>0</v>
      </c>
      <c r="L46" s="37" t="b">
        <v>0</v>
      </c>
      <c r="M46" s="38"/>
    </row>
    <row r="47" spans="1:13" x14ac:dyDescent="0.3">
      <c r="A47" s="34"/>
      <c r="B47" s="35"/>
      <c r="C47" s="35"/>
      <c r="D47" s="35"/>
      <c r="E47" s="36" t="s">
        <v>192</v>
      </c>
      <c r="F47" s="37" t="b">
        <v>0</v>
      </c>
      <c r="G47" s="37" t="b">
        <v>0</v>
      </c>
      <c r="H47" s="37" t="b">
        <v>0</v>
      </c>
      <c r="I47" s="37" t="b">
        <v>0</v>
      </c>
      <c r="J47" s="37" t="b">
        <v>0</v>
      </c>
      <c r="K47" s="37" t="b">
        <v>0</v>
      </c>
      <c r="L47" s="37" t="b">
        <v>0</v>
      </c>
      <c r="M47" s="38"/>
    </row>
    <row r="48" spans="1:13" x14ac:dyDescent="0.3">
      <c r="A48" s="34"/>
      <c r="B48" s="35"/>
      <c r="C48" s="35"/>
      <c r="D48" s="35"/>
      <c r="E48" s="36" t="s">
        <v>193</v>
      </c>
      <c r="F48" s="37" t="b">
        <v>0</v>
      </c>
      <c r="G48" s="37" t="b">
        <v>0</v>
      </c>
      <c r="H48" s="37" t="b">
        <v>0</v>
      </c>
      <c r="I48" s="37" t="b">
        <v>0</v>
      </c>
      <c r="J48" s="37" t="b">
        <v>0</v>
      </c>
      <c r="K48" s="37" t="b">
        <v>0</v>
      </c>
      <c r="L48" s="37" t="b">
        <v>0</v>
      </c>
      <c r="M48" s="38"/>
    </row>
    <row r="49" spans="1:13" x14ac:dyDescent="0.3">
      <c r="A49" s="34"/>
      <c r="B49" s="35"/>
      <c r="C49" s="35"/>
      <c r="D49" s="35"/>
      <c r="E49" s="36" t="s">
        <v>194</v>
      </c>
      <c r="F49" s="37" t="b">
        <v>0</v>
      </c>
      <c r="G49" s="37" t="b">
        <v>0</v>
      </c>
      <c r="H49" s="37" t="b">
        <v>0</v>
      </c>
      <c r="I49" s="37" t="b">
        <v>0</v>
      </c>
      <c r="J49" s="37" t="b">
        <v>0</v>
      </c>
      <c r="K49" s="37" t="b">
        <v>0</v>
      </c>
      <c r="L49" s="37" t="b">
        <v>0</v>
      </c>
      <c r="M49" s="38"/>
    </row>
    <row r="50" spans="1:13" x14ac:dyDescent="0.3">
      <c r="A50" s="34"/>
      <c r="B50" s="35"/>
      <c r="C50" s="35"/>
      <c r="D50" s="35"/>
      <c r="E50" s="36" t="s">
        <v>195</v>
      </c>
      <c r="F50" s="37" t="b">
        <v>0</v>
      </c>
      <c r="G50" s="37" t="b">
        <v>0</v>
      </c>
      <c r="H50" s="37" t="b">
        <v>0</v>
      </c>
      <c r="I50" s="37" t="b">
        <v>0</v>
      </c>
      <c r="J50" s="37" t="b">
        <v>0</v>
      </c>
      <c r="K50" s="37" t="b">
        <v>0</v>
      </c>
      <c r="L50" s="37" t="b">
        <v>0</v>
      </c>
      <c r="M50" s="38"/>
    </row>
    <row r="51" spans="1:13" ht="15" thickBot="1" x14ac:dyDescent="0.35">
      <c r="A51" s="39"/>
      <c r="B51" s="40"/>
      <c r="C51" s="35"/>
      <c r="D51" s="40"/>
      <c r="E51" s="41" t="s">
        <v>194</v>
      </c>
      <c r="F51" s="42" t="b">
        <v>0</v>
      </c>
      <c r="G51" s="42" t="b">
        <v>0</v>
      </c>
      <c r="H51" s="42" t="b">
        <v>0</v>
      </c>
      <c r="I51" s="42" t="b">
        <v>0</v>
      </c>
      <c r="J51" s="42" t="b">
        <v>0</v>
      </c>
      <c r="K51" s="42" t="b">
        <v>0</v>
      </c>
      <c r="L51" s="42" t="b">
        <v>0</v>
      </c>
      <c r="M51" s="43"/>
    </row>
  </sheetData>
  <mergeCells count="41">
    <mergeCell ref="A46:A51"/>
    <mergeCell ref="B46:B51"/>
    <mergeCell ref="C46:C51"/>
    <mergeCell ref="D46:D51"/>
    <mergeCell ref="A34:A39"/>
    <mergeCell ref="B34:B39"/>
    <mergeCell ref="C34:C39"/>
    <mergeCell ref="D34:D39"/>
    <mergeCell ref="A40:A45"/>
    <mergeCell ref="B40:B45"/>
    <mergeCell ref="C40:C45"/>
    <mergeCell ref="D40:D45"/>
    <mergeCell ref="A22:A27"/>
    <mergeCell ref="B22:B27"/>
    <mergeCell ref="C22:C27"/>
    <mergeCell ref="D22:D27"/>
    <mergeCell ref="A28:A33"/>
    <mergeCell ref="B28:B33"/>
    <mergeCell ref="C28:C33"/>
    <mergeCell ref="D28:D33"/>
    <mergeCell ref="A10:A15"/>
    <mergeCell ref="B10:B15"/>
    <mergeCell ref="C10:C15"/>
    <mergeCell ref="D10:D15"/>
    <mergeCell ref="A16:A21"/>
    <mergeCell ref="B16:B21"/>
    <mergeCell ref="C16:C21"/>
    <mergeCell ref="D16:D21"/>
    <mergeCell ref="M2:M3"/>
    <mergeCell ref="N2:N3"/>
    <mergeCell ref="A4:A9"/>
    <mergeCell ref="B4:B9"/>
    <mergeCell ref="C4:C9"/>
    <mergeCell ref="D4:D9"/>
    <mergeCell ref="A1:L1"/>
    <mergeCell ref="A2:A3"/>
    <mergeCell ref="B2:B3"/>
    <mergeCell ref="C2:C3"/>
    <mergeCell ref="D2:D3"/>
    <mergeCell ref="E2:E3"/>
    <mergeCell ref="F2:L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51B5E-77D6-47F4-B546-971D61FA5FB9}">
  <dimension ref="A1:AA102"/>
  <sheetViews>
    <sheetView zoomScale="40" zoomScaleNormal="40" workbookViewId="0">
      <selection activeCell="I32" sqref="I32"/>
    </sheetView>
  </sheetViews>
  <sheetFormatPr defaultColWidth="14.44140625" defaultRowHeight="14.4" x14ac:dyDescent="0.3"/>
  <cols>
    <col min="1" max="1" width="8.5546875" style="46" customWidth="1"/>
    <col min="2" max="2" width="27.6640625" style="46" customWidth="1"/>
    <col min="3" max="3" width="27.109375" style="84" customWidth="1"/>
    <col min="4" max="4" width="25.33203125" style="46" customWidth="1"/>
    <col min="5" max="6" width="30.88671875" style="46" customWidth="1"/>
    <col min="7" max="7" width="25.33203125" style="84" customWidth="1"/>
    <col min="8" max="8" width="24.5546875" style="46" customWidth="1"/>
    <col min="9" max="9" width="28.88671875" style="46" customWidth="1"/>
    <col min="10" max="10" width="16.33203125" style="46" customWidth="1"/>
    <col min="11" max="11" width="16" style="46" customWidth="1"/>
    <col min="12" max="12" width="16.6640625" style="46" customWidth="1"/>
    <col min="13" max="13" width="28.109375" style="46" customWidth="1"/>
    <col min="14" max="14" width="18.6640625" style="46" customWidth="1"/>
    <col min="15" max="15" width="22.44140625" style="46" customWidth="1"/>
    <col min="16" max="16" width="50.109375" style="46" customWidth="1"/>
    <col min="17" max="17" width="54.44140625" style="46" customWidth="1"/>
    <col min="18" max="18" width="9.109375" style="46" customWidth="1"/>
    <col min="19" max="19" width="8.33203125" style="46" customWidth="1"/>
    <col min="20" max="27" width="8.33203125" style="46" hidden="1" customWidth="1"/>
    <col min="28" max="16384" width="14.44140625" style="46"/>
  </cols>
  <sheetData>
    <row r="1" spans="1:27" ht="49.2" customHeight="1" x14ac:dyDescent="0.3">
      <c r="A1" s="44" t="s">
        <v>196</v>
      </c>
      <c r="B1" s="44"/>
      <c r="C1" s="44"/>
      <c r="D1" s="44"/>
      <c r="E1" s="44"/>
      <c r="F1" s="44"/>
      <c r="G1" s="44"/>
      <c r="H1" s="44"/>
      <c r="I1" s="44"/>
      <c r="J1" s="44"/>
      <c r="K1" s="44"/>
      <c r="L1" s="44"/>
      <c r="M1" s="44"/>
      <c r="N1" s="44"/>
      <c r="O1" s="44"/>
      <c r="P1" s="44"/>
      <c r="Q1" s="44"/>
      <c r="R1" s="45"/>
      <c r="S1" s="45"/>
      <c r="T1" s="45"/>
      <c r="U1" s="45"/>
      <c r="V1" s="45"/>
      <c r="W1" s="45"/>
      <c r="X1" s="45"/>
      <c r="Y1" s="45"/>
      <c r="Z1" s="45"/>
      <c r="AA1" s="45"/>
    </row>
    <row r="2" spans="1:27" ht="80.400000000000006" customHeight="1" x14ac:dyDescent="0.3">
      <c r="A2" s="47" t="s">
        <v>197</v>
      </c>
      <c r="B2" s="47" t="s">
        <v>198</v>
      </c>
      <c r="C2" s="47" t="s">
        <v>199</v>
      </c>
      <c r="D2" s="47" t="s">
        <v>200</v>
      </c>
      <c r="E2" s="47" t="s">
        <v>201</v>
      </c>
      <c r="F2" s="47" t="s">
        <v>202</v>
      </c>
      <c r="G2" s="47" t="s">
        <v>203</v>
      </c>
      <c r="H2" s="47" t="s">
        <v>204</v>
      </c>
      <c r="I2" s="47" t="s">
        <v>205</v>
      </c>
      <c r="J2" s="47" t="s">
        <v>206</v>
      </c>
      <c r="K2" s="47" t="s">
        <v>207</v>
      </c>
      <c r="L2" s="47" t="s">
        <v>208</v>
      </c>
      <c r="M2" s="47" t="s">
        <v>209</v>
      </c>
      <c r="N2" s="47" t="s">
        <v>210</v>
      </c>
      <c r="O2" s="47" t="s">
        <v>211</v>
      </c>
      <c r="P2" s="47" t="s">
        <v>212</v>
      </c>
      <c r="Q2" s="47" t="s">
        <v>21</v>
      </c>
      <c r="R2" s="48"/>
      <c r="S2" s="48"/>
      <c r="T2" s="48"/>
      <c r="U2" s="48"/>
      <c r="V2" s="48"/>
      <c r="W2" s="48"/>
      <c r="X2" s="48"/>
      <c r="Y2" s="48"/>
      <c r="Z2" s="48"/>
      <c r="AA2" s="48"/>
    </row>
    <row r="3" spans="1:27" ht="29.25" customHeight="1" x14ac:dyDescent="0.3">
      <c r="A3" s="49">
        <v>1</v>
      </c>
      <c r="B3" s="50" t="s">
        <v>213</v>
      </c>
      <c r="C3" s="51" t="s">
        <v>214</v>
      </c>
      <c r="D3" s="52" t="s">
        <v>215</v>
      </c>
      <c r="E3" s="53">
        <v>46382</v>
      </c>
      <c r="F3" s="53" t="s">
        <v>216</v>
      </c>
      <c r="G3" s="50" t="s">
        <v>217</v>
      </c>
      <c r="H3" s="54">
        <v>46345</v>
      </c>
      <c r="I3" s="54">
        <v>46348</v>
      </c>
      <c r="J3" s="55">
        <f t="shared" ref="J3:J16" si="0">I3-H3+1</f>
        <v>4</v>
      </c>
      <c r="K3" s="54">
        <v>46339</v>
      </c>
      <c r="L3" s="56">
        <f t="shared" ref="L3:L17" si="1">I3-K3+1</f>
        <v>10</v>
      </c>
      <c r="M3" s="55" t="s">
        <v>218</v>
      </c>
      <c r="N3" s="57" t="s">
        <v>48</v>
      </c>
      <c r="O3" s="58" t="s">
        <v>219</v>
      </c>
      <c r="P3" s="59" t="s">
        <v>220</v>
      </c>
      <c r="Q3" s="50"/>
      <c r="R3" s="45"/>
      <c r="S3" s="45"/>
      <c r="T3" s="60" t="e">
        <f>MATCH(J3,#REF!,0)</f>
        <v>#REF!</v>
      </c>
      <c r="U3" s="60" t="e">
        <f>MATCH(L3,#REF!,0)</f>
        <v>#REF!</v>
      </c>
      <c r="V3" s="61"/>
      <c r="W3" s="62"/>
      <c r="X3" s="62"/>
      <c r="Y3" s="62"/>
      <c r="Z3" s="62"/>
      <c r="AA3" s="63"/>
    </row>
    <row r="4" spans="1:27" ht="33" customHeight="1" x14ac:dyDescent="0.3">
      <c r="A4" s="49">
        <v>2</v>
      </c>
      <c r="B4" s="50" t="s">
        <v>221</v>
      </c>
      <c r="C4" s="51" t="s">
        <v>222</v>
      </c>
      <c r="D4" s="52" t="s">
        <v>223</v>
      </c>
      <c r="E4" s="53">
        <v>46382</v>
      </c>
      <c r="F4" s="53" t="s">
        <v>224</v>
      </c>
      <c r="G4" s="50" t="s">
        <v>225</v>
      </c>
      <c r="H4" s="54">
        <v>46380</v>
      </c>
      <c r="I4" s="54">
        <v>46384</v>
      </c>
      <c r="J4" s="55">
        <f t="shared" si="0"/>
        <v>5</v>
      </c>
      <c r="K4" s="54">
        <v>46380</v>
      </c>
      <c r="L4" s="56">
        <f t="shared" si="1"/>
        <v>5</v>
      </c>
      <c r="M4" s="55" t="s">
        <v>226</v>
      </c>
      <c r="N4" s="57" t="s">
        <v>227</v>
      </c>
      <c r="O4" s="58" t="s">
        <v>219</v>
      </c>
      <c r="P4" s="59" t="s">
        <v>228</v>
      </c>
      <c r="Q4" s="50"/>
      <c r="R4" s="45"/>
      <c r="S4" s="45"/>
      <c r="T4" s="60"/>
      <c r="U4" s="60"/>
      <c r="V4" s="64"/>
      <c r="W4" s="64"/>
      <c r="X4" s="64"/>
      <c r="Y4" s="64"/>
      <c r="Z4" s="64"/>
      <c r="AA4" s="64"/>
    </row>
    <row r="5" spans="1:27" ht="39" customHeight="1" x14ac:dyDescent="0.3">
      <c r="A5" s="49">
        <v>3</v>
      </c>
      <c r="B5" s="50" t="s">
        <v>229</v>
      </c>
      <c r="C5" s="51" t="s">
        <v>230</v>
      </c>
      <c r="D5" s="52" t="s">
        <v>231</v>
      </c>
      <c r="E5" s="53">
        <v>46399</v>
      </c>
      <c r="F5" s="53" t="s">
        <v>232</v>
      </c>
      <c r="G5" s="50" t="s">
        <v>233</v>
      </c>
      <c r="H5" s="54">
        <v>46392</v>
      </c>
      <c r="I5" s="65">
        <v>46404</v>
      </c>
      <c r="J5" s="55">
        <f t="shared" si="0"/>
        <v>13</v>
      </c>
      <c r="K5" s="54">
        <v>46393</v>
      </c>
      <c r="L5" s="56">
        <f t="shared" si="1"/>
        <v>12</v>
      </c>
      <c r="M5" s="55" t="s">
        <v>226</v>
      </c>
      <c r="N5" s="57" t="s">
        <v>234</v>
      </c>
      <c r="O5" s="58" t="s">
        <v>219</v>
      </c>
      <c r="P5" s="59" t="s">
        <v>235</v>
      </c>
      <c r="Q5" s="49"/>
      <c r="R5" s="45"/>
      <c r="S5" s="45"/>
      <c r="T5" s="60"/>
      <c r="U5" s="60"/>
      <c r="V5" s="45"/>
      <c r="W5" s="45"/>
      <c r="X5" s="45"/>
      <c r="Y5" s="45"/>
      <c r="Z5" s="45"/>
      <c r="AA5" s="45"/>
    </row>
    <row r="6" spans="1:27" ht="39" customHeight="1" x14ac:dyDescent="0.3">
      <c r="A6" s="49">
        <v>4</v>
      </c>
      <c r="B6" s="50" t="s">
        <v>236</v>
      </c>
      <c r="C6" s="51" t="s">
        <v>237</v>
      </c>
      <c r="D6" s="52" t="s">
        <v>238</v>
      </c>
      <c r="E6" s="53">
        <v>46399</v>
      </c>
      <c r="F6" s="53" t="s">
        <v>239</v>
      </c>
      <c r="G6" s="50" t="s">
        <v>240</v>
      </c>
      <c r="H6" s="54">
        <v>46399</v>
      </c>
      <c r="I6" s="65">
        <v>46404</v>
      </c>
      <c r="J6" s="55">
        <f t="shared" si="0"/>
        <v>6</v>
      </c>
      <c r="K6" s="54">
        <v>46387</v>
      </c>
      <c r="L6" s="56">
        <f t="shared" si="1"/>
        <v>18</v>
      </c>
      <c r="M6" s="55" t="s">
        <v>218</v>
      </c>
      <c r="N6" s="57" t="s">
        <v>241</v>
      </c>
      <c r="O6" s="58" t="s">
        <v>219</v>
      </c>
      <c r="P6" s="59" t="s">
        <v>235</v>
      </c>
      <c r="Q6" s="49"/>
      <c r="R6" s="45"/>
      <c r="S6" s="45"/>
      <c r="T6" s="60"/>
      <c r="U6" s="60"/>
      <c r="V6" s="45"/>
      <c r="W6" s="45"/>
      <c r="X6" s="45"/>
      <c r="Y6" s="45"/>
      <c r="Z6" s="45"/>
      <c r="AA6" s="45"/>
    </row>
    <row r="7" spans="1:27" ht="39" customHeight="1" x14ac:dyDescent="0.3">
      <c r="A7" s="49">
        <v>5</v>
      </c>
      <c r="B7" s="50" t="s">
        <v>242</v>
      </c>
      <c r="C7" s="51" t="s">
        <v>243</v>
      </c>
      <c r="D7" s="52" t="s">
        <v>215</v>
      </c>
      <c r="E7" s="53">
        <v>46382</v>
      </c>
      <c r="F7" s="53" t="s">
        <v>239</v>
      </c>
      <c r="G7" s="50" t="s">
        <v>244</v>
      </c>
      <c r="H7" s="54">
        <v>46407</v>
      </c>
      <c r="I7" s="65">
        <v>46426</v>
      </c>
      <c r="J7" s="55">
        <f t="shared" si="0"/>
        <v>20</v>
      </c>
      <c r="K7" s="54">
        <v>46407</v>
      </c>
      <c r="L7" s="56">
        <f t="shared" si="1"/>
        <v>20</v>
      </c>
      <c r="M7" s="55" t="s">
        <v>226</v>
      </c>
      <c r="N7" s="57" t="s">
        <v>234</v>
      </c>
      <c r="O7" s="58" t="s">
        <v>219</v>
      </c>
      <c r="P7" s="59" t="s">
        <v>245</v>
      </c>
      <c r="Q7" s="49"/>
      <c r="R7" s="45"/>
      <c r="S7" s="45"/>
      <c r="T7" s="60"/>
      <c r="U7" s="60"/>
      <c r="V7" s="45"/>
      <c r="W7" s="45"/>
      <c r="X7" s="45"/>
      <c r="Y7" s="45"/>
      <c r="Z7" s="45"/>
      <c r="AA7" s="45"/>
    </row>
    <row r="8" spans="1:27" ht="39" customHeight="1" x14ac:dyDescent="0.3">
      <c r="A8" s="49">
        <v>6</v>
      </c>
      <c r="B8" s="50" t="s">
        <v>246</v>
      </c>
      <c r="C8" s="51" t="s">
        <v>214</v>
      </c>
      <c r="D8" s="52" t="s">
        <v>223</v>
      </c>
      <c r="E8" s="53">
        <v>46382</v>
      </c>
      <c r="F8" s="53" t="s">
        <v>224</v>
      </c>
      <c r="G8" s="50" t="s">
        <v>247</v>
      </c>
      <c r="H8" s="54">
        <v>46407</v>
      </c>
      <c r="I8" s="65">
        <v>46425</v>
      </c>
      <c r="J8" s="55">
        <f t="shared" si="0"/>
        <v>19</v>
      </c>
      <c r="K8" s="54">
        <v>46402</v>
      </c>
      <c r="L8" s="56">
        <f t="shared" si="1"/>
        <v>24</v>
      </c>
      <c r="M8" s="55" t="s">
        <v>218</v>
      </c>
      <c r="N8" s="57" t="s">
        <v>248</v>
      </c>
      <c r="O8" s="58" t="s">
        <v>219</v>
      </c>
      <c r="P8" s="59" t="s">
        <v>249</v>
      </c>
      <c r="Q8" s="49"/>
      <c r="R8" s="45"/>
      <c r="S8" s="45"/>
      <c r="T8" s="60"/>
      <c r="U8" s="60"/>
      <c r="V8" s="45"/>
      <c r="W8" s="45"/>
      <c r="X8" s="45"/>
      <c r="Y8" s="45"/>
      <c r="Z8" s="45"/>
      <c r="AA8" s="45"/>
    </row>
    <row r="9" spans="1:27" ht="39" customHeight="1" x14ac:dyDescent="0.3">
      <c r="A9" s="66">
        <v>7</v>
      </c>
      <c r="B9" s="67" t="s">
        <v>250</v>
      </c>
      <c r="C9" s="51" t="s">
        <v>222</v>
      </c>
      <c r="D9" s="52" t="s">
        <v>231</v>
      </c>
      <c r="E9" s="68">
        <v>46415</v>
      </c>
      <c r="F9" s="53" t="s">
        <v>232</v>
      </c>
      <c r="G9" s="69" t="s">
        <v>251</v>
      </c>
      <c r="H9" s="70">
        <v>46405</v>
      </c>
      <c r="I9" s="70">
        <v>46418</v>
      </c>
      <c r="J9" s="71">
        <f t="shared" si="0"/>
        <v>14</v>
      </c>
      <c r="K9" s="72">
        <v>46394</v>
      </c>
      <c r="L9" s="73">
        <f t="shared" si="1"/>
        <v>25</v>
      </c>
      <c r="M9" s="71" t="s">
        <v>226</v>
      </c>
      <c r="N9" s="74" t="s">
        <v>227</v>
      </c>
      <c r="O9" s="75" t="s">
        <v>252</v>
      </c>
      <c r="P9" s="67" t="s">
        <v>253</v>
      </c>
      <c r="Q9" s="66"/>
      <c r="R9" s="45"/>
      <c r="S9" s="45"/>
      <c r="T9" s="60"/>
      <c r="U9" s="60"/>
      <c r="V9" s="45"/>
      <c r="W9" s="45"/>
      <c r="X9" s="45"/>
      <c r="Y9" s="45"/>
      <c r="Z9" s="45"/>
      <c r="AA9" s="45"/>
    </row>
    <row r="10" spans="1:27" ht="39" customHeight="1" x14ac:dyDescent="0.3">
      <c r="A10" s="49">
        <v>8</v>
      </c>
      <c r="B10" s="50" t="s">
        <v>254</v>
      </c>
      <c r="C10" s="51" t="s">
        <v>230</v>
      </c>
      <c r="D10" s="52" t="s">
        <v>238</v>
      </c>
      <c r="E10" s="76">
        <v>46440</v>
      </c>
      <c r="F10" s="53" t="s">
        <v>216</v>
      </c>
      <c r="G10" s="50" t="s">
        <v>255</v>
      </c>
      <c r="H10" s="65">
        <v>46428</v>
      </c>
      <c r="I10" s="65">
        <v>46447</v>
      </c>
      <c r="J10" s="55">
        <f t="shared" si="0"/>
        <v>20</v>
      </c>
      <c r="K10" s="54">
        <v>46402</v>
      </c>
      <c r="L10" s="56">
        <f t="shared" si="1"/>
        <v>46</v>
      </c>
      <c r="M10" s="55" t="s">
        <v>226</v>
      </c>
      <c r="N10" s="57" t="s">
        <v>48</v>
      </c>
      <c r="O10" s="75" t="s">
        <v>252</v>
      </c>
      <c r="P10" s="59" t="s">
        <v>245</v>
      </c>
      <c r="Q10" s="49"/>
      <c r="R10" s="45"/>
      <c r="S10" s="45"/>
      <c r="T10" s="60"/>
      <c r="U10" s="60"/>
      <c r="V10" s="45"/>
      <c r="W10" s="45"/>
      <c r="X10" s="45"/>
      <c r="Y10" s="45"/>
      <c r="Z10" s="45"/>
      <c r="AA10" s="45"/>
    </row>
    <row r="11" spans="1:27" ht="39" customHeight="1" x14ac:dyDescent="0.3">
      <c r="A11" s="66">
        <v>9</v>
      </c>
      <c r="B11" s="50" t="s">
        <v>256</v>
      </c>
      <c r="C11" s="51" t="s">
        <v>237</v>
      </c>
      <c r="D11" s="52" t="s">
        <v>231</v>
      </c>
      <c r="E11" s="53">
        <v>46382</v>
      </c>
      <c r="F11" s="53" t="s">
        <v>224</v>
      </c>
      <c r="G11" s="50" t="s">
        <v>257</v>
      </c>
      <c r="H11" s="65">
        <v>46433</v>
      </c>
      <c r="I11" s="65">
        <v>46437</v>
      </c>
      <c r="J11" s="55">
        <f t="shared" si="0"/>
        <v>5</v>
      </c>
      <c r="K11" s="54">
        <v>46418</v>
      </c>
      <c r="L11" s="56">
        <f t="shared" si="1"/>
        <v>20</v>
      </c>
      <c r="M11" s="55" t="s">
        <v>218</v>
      </c>
      <c r="N11" s="57" t="s">
        <v>227</v>
      </c>
      <c r="O11" s="75" t="s">
        <v>219</v>
      </c>
      <c r="P11" s="59" t="s">
        <v>258</v>
      </c>
      <c r="Q11" s="49"/>
      <c r="R11" s="45"/>
      <c r="S11" s="45"/>
      <c r="T11" s="60"/>
      <c r="U11" s="60"/>
      <c r="V11" s="45"/>
      <c r="W11" s="45"/>
      <c r="X11" s="45"/>
      <c r="Y11" s="45"/>
      <c r="Z11" s="45"/>
      <c r="AA11" s="45"/>
    </row>
    <row r="12" spans="1:27" ht="39" customHeight="1" x14ac:dyDescent="0.3">
      <c r="A12" s="49">
        <v>10</v>
      </c>
      <c r="B12" s="50" t="s">
        <v>259</v>
      </c>
      <c r="C12" s="51" t="s">
        <v>243</v>
      </c>
      <c r="D12" s="52" t="s">
        <v>238</v>
      </c>
      <c r="E12" s="53">
        <v>46382</v>
      </c>
      <c r="F12" s="53" t="s">
        <v>232</v>
      </c>
      <c r="G12" s="50" t="s">
        <v>260</v>
      </c>
      <c r="H12" s="65">
        <v>46438</v>
      </c>
      <c r="I12" s="65">
        <v>46441</v>
      </c>
      <c r="J12" s="55">
        <f t="shared" si="0"/>
        <v>4</v>
      </c>
      <c r="K12" s="54">
        <v>46425</v>
      </c>
      <c r="L12" s="56">
        <f t="shared" si="1"/>
        <v>17</v>
      </c>
      <c r="M12" s="55" t="s">
        <v>218</v>
      </c>
      <c r="N12" s="57" t="s">
        <v>234</v>
      </c>
      <c r="O12" s="75" t="s">
        <v>219</v>
      </c>
      <c r="P12" s="59" t="s">
        <v>245</v>
      </c>
      <c r="Q12" s="49"/>
      <c r="R12" s="45"/>
      <c r="S12" s="45"/>
      <c r="T12" s="60"/>
      <c r="U12" s="60"/>
      <c r="V12" s="45"/>
      <c r="W12" s="45"/>
      <c r="X12" s="45"/>
      <c r="Y12" s="45"/>
      <c r="Z12" s="45"/>
      <c r="AA12" s="45"/>
    </row>
    <row r="13" spans="1:27" ht="39" customHeight="1" x14ac:dyDescent="0.3">
      <c r="A13" s="66">
        <v>11</v>
      </c>
      <c r="B13" s="50" t="s">
        <v>261</v>
      </c>
      <c r="C13" s="51" t="s">
        <v>214</v>
      </c>
      <c r="D13" s="52" t="s">
        <v>215</v>
      </c>
      <c r="E13" s="76">
        <v>46445</v>
      </c>
      <c r="F13" s="76" t="s">
        <v>216</v>
      </c>
      <c r="G13" s="50" t="s">
        <v>260</v>
      </c>
      <c r="H13" s="65">
        <v>46444</v>
      </c>
      <c r="I13" s="65">
        <v>46446</v>
      </c>
      <c r="J13" s="55">
        <f t="shared" si="0"/>
        <v>3</v>
      </c>
      <c r="K13" s="54">
        <v>46422</v>
      </c>
      <c r="L13" s="56">
        <f t="shared" si="1"/>
        <v>25</v>
      </c>
      <c r="M13" s="55" t="s">
        <v>218</v>
      </c>
      <c r="N13" s="57" t="s">
        <v>241</v>
      </c>
      <c r="O13" s="75" t="s">
        <v>219</v>
      </c>
      <c r="P13" s="50"/>
      <c r="Q13" s="49"/>
      <c r="R13" s="45"/>
      <c r="S13" s="45"/>
      <c r="T13" s="60"/>
      <c r="U13" s="60"/>
      <c r="V13" s="45"/>
      <c r="W13" s="45"/>
      <c r="X13" s="45"/>
      <c r="Y13" s="45"/>
      <c r="Z13" s="45"/>
      <c r="AA13" s="45"/>
    </row>
    <row r="14" spans="1:27" ht="39" customHeight="1" x14ac:dyDescent="0.3">
      <c r="A14" s="49">
        <v>12</v>
      </c>
      <c r="B14" s="50" t="s">
        <v>259</v>
      </c>
      <c r="C14" s="51" t="s">
        <v>222</v>
      </c>
      <c r="D14" s="52" t="s">
        <v>223</v>
      </c>
      <c r="E14" s="53">
        <v>46382</v>
      </c>
      <c r="F14" s="53" t="s">
        <v>232</v>
      </c>
      <c r="G14" s="59" t="s">
        <v>262</v>
      </c>
      <c r="H14" s="65">
        <v>46445</v>
      </c>
      <c r="I14" s="65">
        <v>46448</v>
      </c>
      <c r="J14" s="55">
        <f t="shared" si="0"/>
        <v>4</v>
      </c>
      <c r="K14" s="54">
        <v>46425</v>
      </c>
      <c r="L14" s="56">
        <f t="shared" si="1"/>
        <v>24</v>
      </c>
      <c r="M14" s="55" t="s">
        <v>226</v>
      </c>
      <c r="N14" s="57" t="s">
        <v>234</v>
      </c>
      <c r="O14" s="75" t="s">
        <v>219</v>
      </c>
      <c r="P14" s="50" t="s">
        <v>263</v>
      </c>
      <c r="Q14" s="49"/>
      <c r="R14" s="45"/>
      <c r="S14" s="45"/>
      <c r="T14" s="60"/>
      <c r="U14" s="60"/>
      <c r="V14" s="45"/>
      <c r="W14" s="45"/>
      <c r="X14" s="45"/>
      <c r="Y14" s="45"/>
      <c r="Z14" s="45"/>
      <c r="AA14" s="45"/>
    </row>
    <row r="15" spans="1:27" ht="39" customHeight="1" x14ac:dyDescent="0.3">
      <c r="A15" s="66">
        <v>13</v>
      </c>
      <c r="B15" s="50" t="s">
        <v>264</v>
      </c>
      <c r="C15" s="51" t="s">
        <v>230</v>
      </c>
      <c r="D15" s="52" t="s">
        <v>238</v>
      </c>
      <c r="E15" s="76">
        <v>46445</v>
      </c>
      <c r="F15" s="53" t="s">
        <v>239</v>
      </c>
      <c r="G15" s="59" t="s">
        <v>265</v>
      </c>
      <c r="H15" s="65">
        <v>46435</v>
      </c>
      <c r="I15" s="65">
        <v>46450</v>
      </c>
      <c r="J15" s="55">
        <f t="shared" si="0"/>
        <v>16</v>
      </c>
      <c r="K15" s="54">
        <v>46403</v>
      </c>
      <c r="L15" s="56">
        <f t="shared" si="1"/>
        <v>48</v>
      </c>
      <c r="M15" s="55" t="s">
        <v>226</v>
      </c>
      <c r="N15" s="57" t="s">
        <v>248</v>
      </c>
      <c r="O15" s="75" t="s">
        <v>219</v>
      </c>
      <c r="P15" s="50"/>
      <c r="Q15" s="49"/>
      <c r="R15" s="45"/>
      <c r="S15" s="45"/>
      <c r="T15" s="60"/>
      <c r="U15" s="60"/>
      <c r="V15" s="45"/>
      <c r="W15" s="45"/>
      <c r="X15" s="45"/>
      <c r="Y15" s="45"/>
      <c r="Z15" s="45"/>
      <c r="AA15" s="45"/>
    </row>
    <row r="16" spans="1:27" ht="39" customHeight="1" x14ac:dyDescent="0.3">
      <c r="A16" s="49">
        <v>14</v>
      </c>
      <c r="B16" s="50" t="s">
        <v>266</v>
      </c>
      <c r="C16" s="51" t="s">
        <v>237</v>
      </c>
      <c r="D16" s="52" t="s">
        <v>215</v>
      </c>
      <c r="E16" s="53">
        <v>46382</v>
      </c>
      <c r="F16" s="53" t="s">
        <v>224</v>
      </c>
      <c r="G16" s="50" t="s">
        <v>247</v>
      </c>
      <c r="H16" s="65">
        <v>46451</v>
      </c>
      <c r="I16" s="65">
        <v>46481</v>
      </c>
      <c r="J16" s="55">
        <f t="shared" si="0"/>
        <v>31</v>
      </c>
      <c r="K16" s="54">
        <v>46418</v>
      </c>
      <c r="L16" s="56">
        <f t="shared" si="1"/>
        <v>64</v>
      </c>
      <c r="M16" s="55" t="s">
        <v>218</v>
      </c>
      <c r="N16" s="74" t="s">
        <v>227</v>
      </c>
      <c r="O16" s="77" t="s">
        <v>252</v>
      </c>
      <c r="P16" s="50"/>
      <c r="Q16" s="49"/>
      <c r="R16" s="45"/>
      <c r="S16" s="45"/>
      <c r="T16" s="60"/>
      <c r="U16" s="60"/>
      <c r="V16" s="45"/>
      <c r="W16" s="45"/>
      <c r="X16" s="45"/>
      <c r="Y16" s="45"/>
      <c r="Z16" s="45"/>
      <c r="AA16" s="45"/>
    </row>
    <row r="17" spans="1:27" ht="39" customHeight="1" x14ac:dyDescent="0.3">
      <c r="A17" s="66">
        <v>15</v>
      </c>
      <c r="B17" s="50" t="s">
        <v>267</v>
      </c>
      <c r="C17" s="51" t="s">
        <v>243</v>
      </c>
      <c r="D17" s="52" t="s">
        <v>231</v>
      </c>
      <c r="E17" s="76">
        <v>46460</v>
      </c>
      <c r="F17" s="53" t="s">
        <v>232</v>
      </c>
      <c r="G17" s="50" t="s">
        <v>260</v>
      </c>
      <c r="H17" s="65">
        <v>46462</v>
      </c>
      <c r="I17" s="65">
        <v>46467</v>
      </c>
      <c r="J17" s="55">
        <f>I17-H17+1</f>
        <v>6</v>
      </c>
      <c r="K17" s="54">
        <v>46428</v>
      </c>
      <c r="L17" s="56">
        <f t="shared" si="1"/>
        <v>40</v>
      </c>
      <c r="M17" s="55" t="s">
        <v>226</v>
      </c>
      <c r="N17" s="57" t="s">
        <v>248</v>
      </c>
      <c r="O17" s="75" t="s">
        <v>219</v>
      </c>
      <c r="P17" s="59" t="s">
        <v>268</v>
      </c>
      <c r="Q17" s="49"/>
      <c r="R17" s="45"/>
      <c r="S17" s="45"/>
      <c r="T17" s="60"/>
      <c r="U17" s="60"/>
      <c r="V17" s="45"/>
      <c r="W17" s="45"/>
      <c r="X17" s="45"/>
      <c r="Y17" s="45"/>
      <c r="Z17" s="45"/>
      <c r="AA17" s="45"/>
    </row>
    <row r="18" spans="1:27" ht="41.25" customHeight="1" x14ac:dyDescent="0.3">
      <c r="A18" s="49"/>
      <c r="B18" s="50"/>
      <c r="C18" s="78"/>
      <c r="D18" s="49"/>
      <c r="E18" s="76"/>
      <c r="F18" s="76"/>
      <c r="G18" s="50"/>
      <c r="H18" s="65"/>
      <c r="I18" s="65"/>
      <c r="J18" s="55"/>
      <c r="K18" s="54"/>
      <c r="L18" s="56"/>
      <c r="M18" s="55"/>
      <c r="N18" s="57"/>
      <c r="O18" s="55"/>
      <c r="P18" s="50"/>
      <c r="Q18" s="49"/>
      <c r="R18" s="45"/>
      <c r="S18" s="45"/>
      <c r="T18" s="60"/>
      <c r="U18" s="60"/>
      <c r="V18" s="45"/>
      <c r="W18" s="45"/>
      <c r="X18" s="45"/>
      <c r="Y18" s="45"/>
      <c r="Z18" s="45"/>
      <c r="AA18" s="45"/>
    </row>
    <row r="19" spans="1:27" ht="14.25" customHeight="1" x14ac:dyDescent="0.3">
      <c r="A19" s="45"/>
      <c r="B19" s="45"/>
      <c r="C19" s="79"/>
      <c r="D19" s="60"/>
      <c r="E19" s="60"/>
      <c r="F19" s="60"/>
      <c r="G19" s="79"/>
      <c r="H19" s="45"/>
      <c r="I19" s="45"/>
      <c r="J19" s="45"/>
      <c r="K19" s="45"/>
      <c r="L19" s="45"/>
      <c r="M19" s="45"/>
      <c r="N19" s="45"/>
      <c r="O19" s="45"/>
      <c r="P19" s="45"/>
      <c r="Q19" s="45"/>
      <c r="R19" s="45"/>
      <c r="S19" s="45"/>
      <c r="T19" s="45"/>
      <c r="U19" s="45"/>
      <c r="V19" s="45"/>
      <c r="W19" s="45"/>
      <c r="X19" s="45"/>
      <c r="Y19" s="45"/>
      <c r="Z19" s="45"/>
      <c r="AA19" s="45"/>
    </row>
    <row r="20" spans="1:27" ht="14.25" customHeight="1" x14ac:dyDescent="0.3">
      <c r="A20" s="80"/>
      <c r="B20" s="80"/>
      <c r="C20" s="81"/>
      <c r="D20" s="82"/>
      <c r="E20" s="82"/>
      <c r="F20" s="82"/>
      <c r="G20" s="81"/>
      <c r="H20" s="80"/>
      <c r="I20" s="80"/>
      <c r="J20" s="80"/>
      <c r="K20" s="80"/>
      <c r="L20" s="80"/>
      <c r="N20" s="80"/>
      <c r="P20" s="80"/>
      <c r="Q20" s="80"/>
      <c r="R20" s="45"/>
      <c r="S20" s="45"/>
      <c r="T20" s="45"/>
      <c r="U20" s="45"/>
      <c r="V20" s="45"/>
      <c r="W20" s="45"/>
      <c r="X20" s="45"/>
      <c r="Y20" s="45"/>
      <c r="Z20" s="45"/>
      <c r="AA20" s="45"/>
    </row>
    <row r="21" spans="1:27" ht="14.25" customHeight="1" x14ac:dyDescent="0.3">
      <c r="A21" s="80"/>
      <c r="B21" s="80"/>
      <c r="C21" s="81"/>
      <c r="D21" s="82"/>
      <c r="E21" s="82"/>
      <c r="F21" s="82"/>
      <c r="G21" s="81"/>
      <c r="H21" s="80"/>
      <c r="I21" s="80"/>
      <c r="J21" s="80"/>
      <c r="K21" s="80"/>
      <c r="L21" s="80"/>
      <c r="N21" s="80"/>
      <c r="P21" s="80"/>
      <c r="Q21" s="80"/>
      <c r="R21" s="45"/>
      <c r="S21" s="45"/>
      <c r="T21" s="45"/>
      <c r="U21" s="45"/>
      <c r="V21" s="45"/>
      <c r="W21" s="45"/>
      <c r="X21" s="45"/>
      <c r="Y21" s="45"/>
      <c r="Z21" s="45"/>
      <c r="AA21" s="45"/>
    </row>
    <row r="22" spans="1:27" ht="14.25" customHeight="1" x14ac:dyDescent="0.3">
      <c r="A22" s="80"/>
      <c r="B22" s="80"/>
      <c r="C22" s="81"/>
      <c r="D22" s="82"/>
      <c r="E22" s="82"/>
      <c r="F22" s="82"/>
      <c r="G22" s="81"/>
      <c r="H22" s="80"/>
      <c r="I22" s="80"/>
      <c r="J22" s="80"/>
      <c r="K22" s="80"/>
      <c r="L22" s="80"/>
      <c r="M22" s="80"/>
      <c r="N22" s="80"/>
      <c r="O22" s="80"/>
      <c r="P22" s="80"/>
      <c r="Q22" s="80"/>
      <c r="R22" s="45"/>
      <c r="S22" s="45"/>
      <c r="T22" s="45"/>
      <c r="U22" s="45"/>
      <c r="V22" s="45"/>
      <c r="W22" s="45"/>
      <c r="X22" s="45"/>
      <c r="Y22" s="45"/>
      <c r="Z22" s="45"/>
      <c r="AA22" s="45"/>
    </row>
    <row r="23" spans="1:27" ht="14.25" customHeight="1" x14ac:dyDescent="0.3">
      <c r="A23" s="80"/>
      <c r="B23" s="80"/>
      <c r="C23" s="81"/>
      <c r="D23" s="82"/>
      <c r="E23" s="82"/>
      <c r="F23" s="82"/>
      <c r="G23" s="81"/>
      <c r="H23" s="80"/>
      <c r="I23" s="80"/>
      <c r="J23" s="80"/>
      <c r="K23" s="80"/>
      <c r="L23" s="80"/>
      <c r="M23" s="80"/>
      <c r="N23" s="80"/>
      <c r="O23" s="80"/>
      <c r="P23" s="80"/>
      <c r="Q23" s="80"/>
      <c r="R23" s="45"/>
      <c r="S23" s="45"/>
      <c r="T23" s="45"/>
      <c r="U23" s="45"/>
      <c r="V23" s="45"/>
      <c r="W23" s="45"/>
      <c r="X23" s="45"/>
      <c r="Y23" s="45"/>
      <c r="Z23" s="45"/>
      <c r="AA23" s="45"/>
    </row>
    <row r="24" spans="1:27" ht="14.25" customHeight="1" x14ac:dyDescent="0.3">
      <c r="A24" s="45"/>
      <c r="B24" s="45"/>
      <c r="C24" s="79"/>
      <c r="D24" s="60"/>
      <c r="E24" s="60"/>
      <c r="F24" s="60"/>
      <c r="G24" s="79"/>
      <c r="H24" s="45"/>
      <c r="I24" s="45"/>
      <c r="J24" s="45"/>
      <c r="K24" s="45"/>
      <c r="L24" s="45"/>
      <c r="M24" s="45"/>
      <c r="N24" s="45"/>
      <c r="O24" s="45"/>
      <c r="P24" s="45"/>
      <c r="Q24" s="45"/>
      <c r="R24" s="45"/>
      <c r="S24" s="45"/>
      <c r="T24" s="45"/>
      <c r="U24" s="45"/>
      <c r="V24" s="45"/>
      <c r="W24" s="45"/>
      <c r="X24" s="45"/>
      <c r="Y24" s="45"/>
      <c r="Z24" s="45"/>
      <c r="AA24" s="45"/>
    </row>
    <row r="25" spans="1:27" ht="14.25" customHeight="1" x14ac:dyDescent="0.3">
      <c r="A25" s="45"/>
      <c r="B25" s="45"/>
      <c r="C25" s="79"/>
      <c r="D25" s="60"/>
      <c r="E25" s="60"/>
      <c r="F25" s="60"/>
      <c r="G25" s="79"/>
      <c r="H25" s="45"/>
      <c r="I25" s="45"/>
      <c r="J25" s="45"/>
      <c r="K25" s="45"/>
      <c r="L25" s="45"/>
      <c r="M25" s="45"/>
      <c r="N25" s="45"/>
      <c r="O25" s="45"/>
      <c r="P25" s="45"/>
      <c r="Q25" s="45"/>
      <c r="R25" s="45"/>
      <c r="S25" s="45"/>
      <c r="T25" s="45"/>
      <c r="U25" s="45"/>
      <c r="V25" s="45"/>
      <c r="W25" s="45"/>
      <c r="X25" s="45"/>
      <c r="Y25" s="45"/>
      <c r="Z25" s="45"/>
      <c r="AA25" s="45"/>
    </row>
    <row r="26" spans="1:27" ht="14.25" customHeight="1" x14ac:dyDescent="0.3">
      <c r="A26" s="45"/>
      <c r="B26" s="45"/>
      <c r="C26" s="79"/>
      <c r="D26" s="60"/>
      <c r="E26" s="60"/>
      <c r="F26" s="60"/>
      <c r="G26" s="79"/>
      <c r="H26" s="45"/>
      <c r="I26" s="45"/>
      <c r="J26" s="45"/>
      <c r="K26" s="45"/>
      <c r="L26" s="45"/>
      <c r="M26" s="45"/>
      <c r="N26" s="45"/>
      <c r="O26" s="45"/>
      <c r="P26" s="45"/>
      <c r="Q26" s="45"/>
      <c r="R26" s="45"/>
      <c r="S26" s="45"/>
      <c r="T26" s="45"/>
      <c r="U26" s="45"/>
      <c r="V26" s="45"/>
      <c r="W26" s="45"/>
      <c r="X26" s="45"/>
      <c r="Y26" s="45"/>
      <c r="Z26" s="45"/>
      <c r="AA26" s="45"/>
    </row>
    <row r="27" spans="1:27" ht="14.25" customHeight="1" x14ac:dyDescent="0.3">
      <c r="A27" s="45"/>
      <c r="B27" s="45"/>
      <c r="C27" s="79"/>
      <c r="D27" s="60"/>
      <c r="E27" s="60"/>
      <c r="F27" s="60"/>
      <c r="G27" s="79"/>
      <c r="H27" s="45"/>
      <c r="I27" s="45"/>
      <c r="J27" s="45"/>
      <c r="K27" s="45"/>
      <c r="L27" s="45"/>
      <c r="M27" s="45"/>
      <c r="N27" s="45"/>
      <c r="O27" s="45"/>
      <c r="P27" s="45"/>
      <c r="Q27" s="45"/>
      <c r="R27" s="45"/>
      <c r="S27" s="45"/>
      <c r="T27" s="45"/>
      <c r="U27" s="45"/>
      <c r="V27" s="45"/>
      <c r="W27" s="45"/>
      <c r="X27" s="45"/>
      <c r="Y27" s="45"/>
      <c r="Z27" s="45"/>
      <c r="AA27" s="45"/>
    </row>
    <row r="28" spans="1:27" ht="14.25" customHeight="1" x14ac:dyDescent="0.3">
      <c r="A28" s="45"/>
      <c r="B28" s="45"/>
      <c r="C28" s="79"/>
      <c r="D28" s="60"/>
      <c r="E28" s="60"/>
      <c r="F28" s="60"/>
      <c r="G28" s="79"/>
      <c r="H28" s="45"/>
      <c r="I28" s="45"/>
      <c r="J28" s="45"/>
      <c r="K28" s="45"/>
      <c r="L28" s="45"/>
      <c r="M28" s="45"/>
      <c r="N28" s="45"/>
      <c r="O28" s="45"/>
      <c r="P28" s="45"/>
      <c r="Q28" s="45"/>
      <c r="R28" s="45"/>
      <c r="S28" s="45"/>
      <c r="T28" s="45"/>
      <c r="U28" s="45"/>
      <c r="V28" s="45"/>
      <c r="W28" s="45"/>
      <c r="X28" s="45"/>
      <c r="Y28" s="45"/>
      <c r="Z28" s="45"/>
      <c r="AA28" s="45"/>
    </row>
    <row r="29" spans="1:27" ht="14.25" customHeight="1" x14ac:dyDescent="0.3">
      <c r="A29" s="45"/>
      <c r="B29" s="45"/>
      <c r="C29" s="79"/>
      <c r="D29" s="60"/>
      <c r="E29" s="60"/>
      <c r="F29" s="60"/>
      <c r="G29" s="79"/>
      <c r="H29" s="45"/>
      <c r="I29" s="45"/>
      <c r="J29" s="45"/>
      <c r="K29" s="45"/>
      <c r="L29" s="45"/>
      <c r="M29" s="45"/>
      <c r="N29" s="45"/>
      <c r="O29" s="45"/>
      <c r="P29" s="45"/>
      <c r="Q29" s="45"/>
      <c r="R29" s="45"/>
      <c r="S29" s="45"/>
      <c r="T29" s="45"/>
      <c r="U29" s="45"/>
      <c r="V29" s="45"/>
      <c r="W29" s="45"/>
      <c r="X29" s="45"/>
      <c r="Y29" s="45"/>
      <c r="Z29" s="45"/>
      <c r="AA29" s="45"/>
    </row>
    <row r="30" spans="1:27" ht="14.25" customHeight="1" x14ac:dyDescent="0.3">
      <c r="A30" s="45"/>
      <c r="B30" s="45"/>
      <c r="C30" s="79"/>
      <c r="D30" s="60"/>
      <c r="E30" s="60"/>
      <c r="F30" s="60"/>
      <c r="G30" s="79"/>
      <c r="H30" s="45"/>
      <c r="I30" s="45"/>
      <c r="J30" s="45"/>
      <c r="K30" s="45"/>
      <c r="L30" s="45"/>
      <c r="M30" s="45"/>
      <c r="N30" s="45"/>
      <c r="O30" s="45"/>
      <c r="P30" s="45"/>
      <c r="Q30" s="45"/>
      <c r="R30" s="45"/>
      <c r="S30" s="45"/>
      <c r="T30" s="45"/>
      <c r="U30" s="45"/>
      <c r="V30" s="45"/>
      <c r="W30" s="45"/>
      <c r="X30" s="45"/>
      <c r="Y30" s="45"/>
      <c r="Z30" s="45"/>
      <c r="AA30" s="45"/>
    </row>
    <row r="31" spans="1:27" ht="14.25" customHeight="1" x14ac:dyDescent="0.3">
      <c r="A31" s="45"/>
      <c r="B31" s="45"/>
      <c r="C31" s="79"/>
      <c r="D31" s="60"/>
      <c r="E31" s="60"/>
      <c r="F31" s="60"/>
      <c r="G31" s="79"/>
      <c r="H31" s="45"/>
      <c r="I31" s="45"/>
      <c r="J31" s="45"/>
      <c r="K31" s="45"/>
      <c r="L31" s="45"/>
      <c r="M31" s="45"/>
      <c r="N31" s="45"/>
      <c r="O31" s="45"/>
      <c r="P31" s="45"/>
      <c r="Q31" s="45"/>
      <c r="R31" s="45"/>
      <c r="S31" s="45"/>
      <c r="T31" s="45"/>
      <c r="U31" s="45"/>
      <c r="V31" s="45"/>
      <c r="W31" s="45"/>
      <c r="X31" s="45"/>
      <c r="Y31" s="45"/>
      <c r="Z31" s="45"/>
      <c r="AA31" s="45"/>
    </row>
    <row r="32" spans="1:27" ht="14.25" customHeight="1" x14ac:dyDescent="0.3">
      <c r="A32" s="45"/>
      <c r="B32" s="45"/>
      <c r="C32" s="79"/>
      <c r="D32" s="60"/>
      <c r="E32" s="60"/>
      <c r="F32" s="60"/>
      <c r="G32" s="79"/>
      <c r="H32" s="45"/>
      <c r="I32" s="45"/>
      <c r="J32" s="45"/>
      <c r="K32" s="45"/>
      <c r="L32" s="45"/>
      <c r="M32" s="45"/>
      <c r="N32" s="45"/>
      <c r="O32" s="45"/>
      <c r="P32" s="45"/>
      <c r="Q32" s="45"/>
      <c r="R32" s="45"/>
      <c r="S32" s="45"/>
      <c r="T32" s="45"/>
      <c r="U32" s="45"/>
      <c r="V32" s="45"/>
      <c r="W32" s="45"/>
      <c r="X32" s="45"/>
      <c r="Y32" s="45"/>
      <c r="Z32" s="45"/>
      <c r="AA32" s="45"/>
    </row>
    <row r="33" spans="1:27" ht="14.25" customHeight="1" x14ac:dyDescent="0.3">
      <c r="A33" s="45"/>
      <c r="B33" s="45"/>
      <c r="C33" s="79"/>
      <c r="D33" s="60"/>
      <c r="E33" s="60"/>
      <c r="F33" s="60"/>
      <c r="G33" s="79"/>
      <c r="H33" s="45"/>
      <c r="I33" s="45"/>
      <c r="J33" s="45"/>
      <c r="K33" s="45"/>
      <c r="L33" s="45"/>
      <c r="M33" s="45"/>
      <c r="N33" s="45"/>
      <c r="O33" s="45"/>
      <c r="P33" s="45"/>
      <c r="Q33" s="45"/>
      <c r="R33" s="45"/>
      <c r="S33" s="45"/>
      <c r="T33" s="45"/>
      <c r="U33" s="45"/>
      <c r="V33" s="45"/>
      <c r="W33" s="45"/>
      <c r="X33" s="45"/>
      <c r="Y33" s="45"/>
      <c r="Z33" s="45"/>
      <c r="AA33" s="45"/>
    </row>
    <row r="34" spans="1:27" ht="14.25" customHeight="1" x14ac:dyDescent="0.3">
      <c r="A34" s="45"/>
      <c r="B34" s="45"/>
      <c r="C34" s="79"/>
      <c r="D34" s="60"/>
      <c r="E34" s="60"/>
      <c r="F34" s="60"/>
      <c r="G34" s="79"/>
      <c r="H34" s="45"/>
      <c r="I34" s="45"/>
      <c r="J34" s="45"/>
      <c r="K34" s="45"/>
      <c r="L34" s="45"/>
      <c r="M34" s="45"/>
      <c r="N34" s="45"/>
      <c r="O34" s="45"/>
      <c r="P34" s="45"/>
      <c r="Q34" s="45"/>
      <c r="R34" s="45"/>
      <c r="S34" s="45"/>
      <c r="T34" s="45"/>
      <c r="U34" s="45"/>
      <c r="V34" s="45"/>
      <c r="W34" s="45"/>
      <c r="X34" s="45"/>
      <c r="Y34" s="45"/>
      <c r="Z34" s="45"/>
      <c r="AA34" s="45"/>
    </row>
    <row r="35" spans="1:27" ht="14.25" customHeight="1" x14ac:dyDescent="0.3">
      <c r="A35" s="45"/>
      <c r="B35" s="45"/>
      <c r="C35" s="79"/>
      <c r="D35" s="60"/>
      <c r="E35" s="60"/>
      <c r="F35" s="60"/>
      <c r="G35" s="79"/>
      <c r="H35" s="45"/>
      <c r="I35" s="45"/>
      <c r="J35" s="45"/>
      <c r="K35" s="45"/>
      <c r="L35" s="45"/>
      <c r="M35" s="45"/>
      <c r="N35" s="45"/>
      <c r="O35" s="45"/>
      <c r="P35" s="45"/>
      <c r="Q35" s="45"/>
      <c r="R35" s="45"/>
      <c r="S35" s="45"/>
      <c r="T35" s="45"/>
      <c r="U35" s="45"/>
      <c r="V35" s="45"/>
      <c r="W35" s="45"/>
      <c r="X35" s="45"/>
      <c r="Y35" s="45"/>
      <c r="Z35" s="45"/>
      <c r="AA35" s="45"/>
    </row>
    <row r="36" spans="1:27" ht="14.25" customHeight="1" x14ac:dyDescent="0.3">
      <c r="A36" s="45"/>
      <c r="B36" s="45"/>
      <c r="C36" s="79"/>
      <c r="D36" s="60"/>
      <c r="E36" s="60"/>
      <c r="F36" s="60"/>
      <c r="G36" s="79"/>
      <c r="H36" s="45"/>
      <c r="I36" s="45"/>
      <c r="J36" s="45"/>
      <c r="K36" s="45"/>
      <c r="L36" s="45"/>
      <c r="M36" s="45"/>
      <c r="N36" s="45"/>
      <c r="O36" s="45"/>
      <c r="P36" s="45"/>
      <c r="Q36" s="45"/>
      <c r="R36" s="45"/>
      <c r="S36" s="45"/>
      <c r="T36" s="45"/>
      <c r="U36" s="45"/>
      <c r="V36" s="45"/>
      <c r="W36" s="45"/>
      <c r="X36" s="45"/>
      <c r="Y36" s="45"/>
      <c r="Z36" s="45"/>
      <c r="AA36" s="45"/>
    </row>
    <row r="37" spans="1:27" ht="14.25" customHeight="1" x14ac:dyDescent="0.3">
      <c r="A37" s="45"/>
      <c r="B37" s="45"/>
      <c r="C37" s="79"/>
      <c r="D37" s="60"/>
      <c r="E37" s="60"/>
      <c r="F37" s="60"/>
      <c r="G37" s="79"/>
      <c r="H37" s="45"/>
      <c r="I37" s="45"/>
      <c r="J37" s="45"/>
      <c r="K37" s="45"/>
      <c r="L37" s="45"/>
      <c r="M37" s="45"/>
      <c r="N37" s="45"/>
      <c r="O37" s="45"/>
      <c r="P37" s="45"/>
      <c r="Q37" s="45"/>
      <c r="R37" s="45"/>
      <c r="S37" s="45"/>
      <c r="T37" s="45"/>
      <c r="U37" s="45"/>
      <c r="V37" s="45"/>
      <c r="W37" s="45"/>
      <c r="X37" s="45"/>
      <c r="Y37" s="45"/>
      <c r="Z37" s="45"/>
      <c r="AA37" s="45"/>
    </row>
    <row r="38" spans="1:27" ht="14.25" customHeight="1" x14ac:dyDescent="0.3">
      <c r="A38" s="45"/>
      <c r="B38" s="45"/>
      <c r="C38" s="79"/>
      <c r="D38" s="60"/>
      <c r="E38" s="60"/>
      <c r="F38" s="60"/>
      <c r="G38" s="79"/>
      <c r="H38" s="45"/>
      <c r="I38" s="45"/>
      <c r="J38" s="45"/>
      <c r="K38" s="45"/>
      <c r="L38" s="45"/>
      <c r="M38" s="45"/>
      <c r="N38" s="45"/>
      <c r="O38" s="45"/>
      <c r="P38" s="45"/>
      <c r="Q38" s="45"/>
      <c r="R38" s="45"/>
      <c r="S38" s="45"/>
      <c r="T38" s="45"/>
      <c r="U38" s="45"/>
      <c r="V38" s="45"/>
      <c r="W38" s="45"/>
      <c r="X38" s="45"/>
      <c r="Y38" s="45"/>
      <c r="Z38" s="45"/>
      <c r="AA38" s="45"/>
    </row>
    <row r="39" spans="1:27" ht="14.25" customHeight="1" x14ac:dyDescent="0.3">
      <c r="A39" s="45"/>
      <c r="B39" s="45"/>
      <c r="C39" s="79"/>
      <c r="D39" s="60"/>
      <c r="E39" s="60"/>
      <c r="F39" s="60"/>
      <c r="G39" s="79"/>
      <c r="H39" s="45"/>
      <c r="I39" s="45"/>
      <c r="J39" s="45"/>
      <c r="K39" s="45"/>
      <c r="L39" s="45"/>
      <c r="M39" s="45"/>
      <c r="N39" s="45"/>
      <c r="O39" s="45"/>
      <c r="P39" s="45"/>
      <c r="Q39" s="45"/>
      <c r="R39" s="45"/>
      <c r="S39" s="45"/>
      <c r="T39" s="45"/>
      <c r="U39" s="45"/>
      <c r="V39" s="45"/>
      <c r="W39" s="45"/>
      <c r="X39" s="45"/>
      <c r="Y39" s="45"/>
      <c r="Z39" s="45"/>
      <c r="AA39" s="45"/>
    </row>
    <row r="40" spans="1:27" ht="14.25" customHeight="1" x14ac:dyDescent="0.3">
      <c r="A40" s="45"/>
      <c r="B40" s="45"/>
      <c r="C40" s="79"/>
      <c r="D40" s="60"/>
      <c r="E40" s="60"/>
      <c r="F40" s="60"/>
      <c r="G40" s="79"/>
      <c r="H40" s="45"/>
      <c r="I40" s="45"/>
      <c r="J40" s="45"/>
      <c r="K40" s="45"/>
      <c r="L40" s="45"/>
      <c r="M40" s="45"/>
      <c r="N40" s="45"/>
      <c r="O40" s="45"/>
      <c r="P40" s="45"/>
      <c r="Q40" s="45"/>
      <c r="R40" s="45"/>
      <c r="S40" s="45"/>
      <c r="T40" s="45"/>
      <c r="U40" s="45"/>
      <c r="V40" s="45"/>
      <c r="W40" s="45"/>
      <c r="X40" s="45"/>
      <c r="Y40" s="45"/>
      <c r="Z40" s="45"/>
      <c r="AA40" s="45"/>
    </row>
    <row r="41" spans="1:27" ht="14.25" customHeight="1" x14ac:dyDescent="0.3">
      <c r="A41" s="45"/>
      <c r="B41" s="45"/>
      <c r="C41" s="79"/>
      <c r="D41" s="60"/>
      <c r="E41" s="60"/>
      <c r="F41" s="60"/>
      <c r="G41" s="79"/>
      <c r="H41" s="45"/>
      <c r="I41" s="45"/>
      <c r="J41" s="45"/>
      <c r="K41" s="45"/>
      <c r="L41" s="45"/>
      <c r="M41" s="45"/>
      <c r="N41" s="45"/>
      <c r="O41" s="45"/>
      <c r="P41" s="45"/>
      <c r="Q41" s="45"/>
      <c r="R41" s="45"/>
      <c r="S41" s="45"/>
      <c r="T41" s="45"/>
      <c r="U41" s="45"/>
      <c r="V41" s="45"/>
      <c r="W41" s="45"/>
      <c r="X41" s="45"/>
      <c r="Y41" s="45"/>
      <c r="Z41" s="45"/>
      <c r="AA41" s="45"/>
    </row>
    <row r="42" spans="1:27" ht="14.25" customHeight="1" x14ac:dyDescent="0.3">
      <c r="A42" s="45"/>
      <c r="B42" s="45"/>
      <c r="C42" s="79"/>
      <c r="D42" s="60"/>
      <c r="E42" s="60"/>
      <c r="F42" s="60"/>
      <c r="G42" s="79"/>
      <c r="H42" s="45"/>
      <c r="I42" s="45"/>
      <c r="J42" s="45"/>
      <c r="K42" s="45"/>
      <c r="L42" s="45"/>
      <c r="M42" s="45"/>
      <c r="N42" s="45"/>
      <c r="O42" s="45"/>
      <c r="P42" s="45"/>
      <c r="Q42" s="45"/>
      <c r="R42" s="45"/>
      <c r="S42" s="45"/>
      <c r="T42" s="45"/>
      <c r="U42" s="45"/>
      <c r="V42" s="45"/>
      <c r="W42" s="45"/>
      <c r="X42" s="45"/>
      <c r="Y42" s="45"/>
      <c r="Z42" s="45"/>
      <c r="AA42" s="45"/>
    </row>
    <row r="43" spans="1:27" ht="14.25" customHeight="1" x14ac:dyDescent="0.3">
      <c r="A43" s="45"/>
      <c r="B43" s="45"/>
      <c r="C43" s="79"/>
      <c r="D43" s="60"/>
      <c r="E43" s="60"/>
      <c r="F43" s="60"/>
      <c r="G43" s="79"/>
      <c r="H43" s="45"/>
      <c r="I43" s="45"/>
      <c r="J43" s="45"/>
      <c r="K43" s="45"/>
      <c r="L43" s="45"/>
      <c r="M43" s="45"/>
      <c r="N43" s="45"/>
      <c r="O43" s="45"/>
      <c r="P43" s="45"/>
      <c r="Q43" s="45"/>
      <c r="R43" s="45"/>
      <c r="S43" s="45"/>
      <c r="T43" s="45"/>
      <c r="U43" s="45"/>
      <c r="V43" s="45"/>
      <c r="W43" s="45"/>
      <c r="X43" s="45"/>
      <c r="Y43" s="45"/>
      <c r="Z43" s="45"/>
      <c r="AA43" s="45"/>
    </row>
    <row r="44" spans="1:27" ht="14.25" customHeight="1" x14ac:dyDescent="0.3">
      <c r="A44" s="45"/>
      <c r="B44" s="45"/>
      <c r="C44" s="79"/>
      <c r="D44" s="60"/>
      <c r="E44" s="60"/>
      <c r="F44" s="60"/>
      <c r="G44" s="79"/>
      <c r="H44" s="45"/>
      <c r="I44" s="45"/>
      <c r="J44" s="45"/>
      <c r="K44" s="45"/>
      <c r="L44" s="45"/>
      <c r="M44" s="45"/>
      <c r="N44" s="45"/>
      <c r="O44" s="45"/>
      <c r="P44" s="45"/>
      <c r="Q44" s="45"/>
      <c r="R44" s="45"/>
      <c r="S44" s="45"/>
      <c r="T44" s="45"/>
      <c r="U44" s="45"/>
      <c r="V44" s="45"/>
      <c r="W44" s="45"/>
      <c r="X44" s="45"/>
      <c r="Y44" s="45"/>
      <c r="Z44" s="45"/>
      <c r="AA44" s="45"/>
    </row>
    <row r="45" spans="1:27" ht="14.25" customHeight="1" x14ac:dyDescent="0.3">
      <c r="A45" s="45"/>
      <c r="B45" s="45"/>
      <c r="C45" s="79"/>
      <c r="D45" s="60"/>
      <c r="E45" s="60"/>
      <c r="F45" s="60"/>
      <c r="G45" s="79"/>
      <c r="H45" s="45"/>
      <c r="I45" s="45"/>
      <c r="J45" s="45"/>
      <c r="K45" s="45"/>
      <c r="L45" s="45"/>
      <c r="M45" s="45"/>
      <c r="N45" s="45"/>
      <c r="O45" s="45"/>
      <c r="P45" s="45"/>
      <c r="Q45" s="45"/>
      <c r="R45" s="45"/>
      <c r="S45" s="45"/>
      <c r="T45" s="45"/>
      <c r="U45" s="45"/>
      <c r="V45" s="45"/>
      <c r="W45" s="45"/>
      <c r="X45" s="45"/>
      <c r="Y45" s="45"/>
      <c r="Z45" s="45"/>
      <c r="AA45" s="45"/>
    </row>
    <row r="46" spans="1:27" ht="14.25" customHeight="1" x14ac:dyDescent="0.3">
      <c r="A46" s="45"/>
      <c r="B46" s="45"/>
      <c r="C46" s="79"/>
      <c r="D46" s="60"/>
      <c r="E46" s="60"/>
      <c r="F46" s="60"/>
      <c r="G46" s="79"/>
      <c r="H46" s="45"/>
      <c r="I46" s="45"/>
      <c r="J46" s="45"/>
      <c r="K46" s="45"/>
      <c r="L46" s="45"/>
      <c r="M46" s="45"/>
      <c r="N46" s="45"/>
      <c r="O46" s="45"/>
      <c r="P46" s="45"/>
      <c r="Q46" s="45"/>
      <c r="R46" s="45"/>
      <c r="S46" s="45"/>
      <c r="T46" s="45"/>
      <c r="U46" s="45"/>
      <c r="V46" s="45"/>
      <c r="W46" s="45"/>
      <c r="X46" s="45"/>
      <c r="Y46" s="45"/>
      <c r="Z46" s="45"/>
      <c r="AA46" s="45"/>
    </row>
    <row r="47" spans="1:27" ht="14.25" customHeight="1" x14ac:dyDescent="0.3">
      <c r="A47" s="45"/>
      <c r="B47" s="45"/>
      <c r="C47" s="79"/>
      <c r="D47" s="60"/>
      <c r="E47" s="60"/>
      <c r="F47" s="60"/>
      <c r="G47" s="79"/>
      <c r="H47" s="45"/>
      <c r="I47" s="45"/>
      <c r="J47" s="45"/>
      <c r="K47" s="45"/>
      <c r="L47" s="45"/>
      <c r="M47" s="45"/>
      <c r="N47" s="45"/>
      <c r="O47" s="45"/>
      <c r="P47" s="45"/>
      <c r="Q47" s="45"/>
      <c r="R47" s="45"/>
      <c r="S47" s="45"/>
      <c r="T47" s="45"/>
      <c r="U47" s="45"/>
      <c r="V47" s="45"/>
      <c r="W47" s="45"/>
      <c r="X47" s="45"/>
      <c r="Y47" s="45"/>
      <c r="Z47" s="45"/>
      <c r="AA47" s="45"/>
    </row>
    <row r="48" spans="1:27" ht="14.25" customHeight="1" x14ac:dyDescent="0.3">
      <c r="A48" s="45"/>
      <c r="B48" s="45"/>
      <c r="C48" s="79"/>
      <c r="D48" s="60"/>
      <c r="E48" s="60"/>
      <c r="F48" s="60"/>
      <c r="G48" s="79"/>
      <c r="H48" s="45"/>
      <c r="I48" s="45"/>
      <c r="J48" s="45"/>
      <c r="K48" s="45"/>
      <c r="L48" s="45"/>
      <c r="M48" s="45"/>
      <c r="N48" s="45"/>
      <c r="O48" s="45"/>
      <c r="P48" s="45"/>
      <c r="Q48" s="45"/>
      <c r="R48" s="45"/>
      <c r="S48" s="45"/>
      <c r="T48" s="45"/>
      <c r="U48" s="45"/>
      <c r="V48" s="45"/>
      <c r="W48" s="45"/>
      <c r="X48" s="45"/>
      <c r="Y48" s="45"/>
      <c r="Z48" s="45"/>
      <c r="AA48" s="45"/>
    </row>
    <row r="49" spans="1:27" ht="14.25" customHeight="1" x14ac:dyDescent="0.3">
      <c r="A49" s="45"/>
      <c r="B49" s="45"/>
      <c r="C49" s="79"/>
      <c r="D49" s="60"/>
      <c r="E49" s="60"/>
      <c r="F49" s="60"/>
      <c r="G49" s="79"/>
      <c r="H49" s="45"/>
      <c r="I49" s="45"/>
      <c r="J49" s="45"/>
      <c r="K49" s="45"/>
      <c r="L49" s="45"/>
      <c r="M49" s="45"/>
      <c r="N49" s="45"/>
      <c r="O49" s="45"/>
      <c r="P49" s="45"/>
      <c r="Q49" s="45"/>
      <c r="R49" s="45"/>
      <c r="S49" s="45"/>
      <c r="T49" s="45"/>
      <c r="U49" s="45"/>
      <c r="V49" s="45"/>
      <c r="W49" s="45"/>
      <c r="X49" s="45"/>
      <c r="Y49" s="45"/>
      <c r="Z49" s="45"/>
      <c r="AA49" s="45"/>
    </row>
    <row r="50" spans="1:27" ht="14.25" customHeight="1" x14ac:dyDescent="0.3">
      <c r="A50" s="45"/>
      <c r="B50" s="45"/>
      <c r="C50" s="79"/>
      <c r="D50" s="60"/>
      <c r="E50" s="60"/>
      <c r="F50" s="60"/>
      <c r="G50" s="79"/>
      <c r="H50" s="45"/>
      <c r="I50" s="45"/>
      <c r="J50" s="45"/>
      <c r="K50" s="45"/>
      <c r="L50" s="45"/>
      <c r="M50" s="45"/>
      <c r="N50" s="45"/>
      <c r="O50" s="45"/>
      <c r="P50" s="45"/>
      <c r="Q50" s="45"/>
      <c r="R50" s="45"/>
      <c r="S50" s="45"/>
      <c r="T50" s="45"/>
      <c r="U50" s="45"/>
      <c r="V50" s="45"/>
      <c r="W50" s="45"/>
      <c r="X50" s="45"/>
      <c r="Y50" s="45"/>
      <c r="Z50" s="45"/>
      <c r="AA50" s="45"/>
    </row>
    <row r="51" spans="1:27" ht="14.25" customHeight="1" x14ac:dyDescent="0.3">
      <c r="A51" s="45"/>
      <c r="B51" s="45"/>
      <c r="C51" s="79"/>
      <c r="D51" s="60"/>
      <c r="E51" s="60"/>
      <c r="F51" s="60"/>
      <c r="G51" s="79"/>
      <c r="H51" s="45"/>
      <c r="I51" s="45"/>
      <c r="J51" s="45"/>
      <c r="K51" s="45"/>
      <c r="L51" s="45"/>
      <c r="M51" s="45"/>
      <c r="N51" s="45"/>
      <c r="O51" s="45"/>
      <c r="P51" s="45"/>
      <c r="Q51" s="45"/>
      <c r="R51" s="45"/>
      <c r="S51" s="45"/>
      <c r="T51" s="45"/>
      <c r="U51" s="45"/>
      <c r="V51" s="45"/>
      <c r="W51" s="45"/>
      <c r="X51" s="45"/>
      <c r="Y51" s="45"/>
      <c r="Z51" s="45"/>
      <c r="AA51" s="45"/>
    </row>
    <row r="52" spans="1:27" ht="14.25" customHeight="1" x14ac:dyDescent="0.3">
      <c r="A52" s="45"/>
      <c r="B52" s="45"/>
      <c r="C52" s="79"/>
      <c r="D52" s="60"/>
      <c r="E52" s="60"/>
      <c r="F52" s="60"/>
      <c r="G52" s="79"/>
      <c r="H52" s="45"/>
      <c r="I52" s="45"/>
      <c r="J52" s="45"/>
      <c r="K52" s="45"/>
      <c r="L52" s="45"/>
      <c r="M52" s="45"/>
      <c r="N52" s="45"/>
      <c r="O52" s="45"/>
      <c r="P52" s="45"/>
      <c r="Q52" s="45"/>
      <c r="R52" s="45"/>
      <c r="S52" s="45"/>
      <c r="T52" s="45"/>
      <c r="U52" s="45"/>
      <c r="V52" s="45"/>
      <c r="W52" s="45"/>
      <c r="X52" s="45"/>
      <c r="Y52" s="45"/>
      <c r="Z52" s="45"/>
      <c r="AA52" s="45"/>
    </row>
    <row r="53" spans="1:27" ht="14.25" customHeight="1" x14ac:dyDescent="0.3">
      <c r="A53" s="45"/>
      <c r="B53" s="45"/>
      <c r="C53" s="79"/>
      <c r="D53" s="60"/>
      <c r="E53" s="60"/>
      <c r="F53" s="60"/>
      <c r="G53" s="79"/>
      <c r="H53" s="45"/>
      <c r="I53" s="45"/>
      <c r="J53" s="45"/>
      <c r="K53" s="45"/>
      <c r="L53" s="45"/>
      <c r="M53" s="45"/>
      <c r="N53" s="45"/>
      <c r="O53" s="45"/>
      <c r="P53" s="45"/>
      <c r="Q53" s="45"/>
      <c r="R53" s="45"/>
      <c r="S53" s="45"/>
      <c r="T53" s="45"/>
      <c r="U53" s="45"/>
      <c r="V53" s="45"/>
      <c r="W53" s="45"/>
      <c r="X53" s="45"/>
      <c r="Y53" s="45"/>
      <c r="Z53" s="45"/>
      <c r="AA53" s="45"/>
    </row>
    <row r="54" spans="1:27" ht="14.25" customHeight="1" x14ac:dyDescent="0.3">
      <c r="A54" s="45"/>
      <c r="B54" s="45"/>
      <c r="C54" s="79"/>
      <c r="D54" s="60"/>
      <c r="E54" s="60"/>
      <c r="F54" s="60"/>
      <c r="G54" s="79"/>
      <c r="H54" s="45"/>
      <c r="I54" s="45"/>
      <c r="J54" s="45"/>
      <c r="K54" s="45"/>
      <c r="L54" s="45"/>
      <c r="M54" s="45"/>
      <c r="N54" s="45"/>
      <c r="O54" s="45"/>
      <c r="P54" s="45"/>
      <c r="Q54" s="45"/>
      <c r="R54" s="45"/>
      <c r="S54" s="45"/>
      <c r="T54" s="45"/>
      <c r="U54" s="45"/>
      <c r="V54" s="45"/>
      <c r="W54" s="45"/>
      <c r="X54" s="45"/>
      <c r="Y54" s="45"/>
      <c r="Z54" s="45"/>
      <c r="AA54" s="45"/>
    </row>
    <row r="55" spans="1:27" ht="14.25" customHeight="1" x14ac:dyDescent="0.3">
      <c r="A55" s="45"/>
      <c r="B55" s="45"/>
      <c r="C55" s="79"/>
      <c r="D55" s="60"/>
      <c r="E55" s="60"/>
      <c r="F55" s="60"/>
      <c r="G55" s="79"/>
      <c r="H55" s="45"/>
      <c r="I55" s="45"/>
      <c r="J55" s="45"/>
      <c r="K55" s="45"/>
      <c r="L55" s="45"/>
      <c r="M55" s="45"/>
      <c r="N55" s="45"/>
      <c r="O55" s="45"/>
      <c r="P55" s="45"/>
      <c r="Q55" s="45"/>
      <c r="R55" s="45"/>
      <c r="S55" s="45"/>
      <c r="T55" s="45"/>
      <c r="U55" s="45"/>
      <c r="V55" s="45"/>
      <c r="W55" s="45"/>
      <c r="X55" s="45"/>
      <c r="Y55" s="45"/>
      <c r="Z55" s="45"/>
      <c r="AA55" s="45"/>
    </row>
    <row r="56" spans="1:27" ht="14.25" customHeight="1" x14ac:dyDescent="0.3">
      <c r="A56" s="45"/>
      <c r="B56" s="45"/>
      <c r="C56" s="79"/>
      <c r="D56" s="60"/>
      <c r="E56" s="60"/>
      <c r="F56" s="60"/>
      <c r="G56" s="79"/>
      <c r="H56" s="45"/>
      <c r="I56" s="45"/>
      <c r="J56" s="45"/>
      <c r="K56" s="45"/>
      <c r="L56" s="45"/>
      <c r="M56" s="45"/>
      <c r="N56" s="45"/>
      <c r="O56" s="45"/>
      <c r="P56" s="45"/>
      <c r="Q56" s="45"/>
      <c r="R56" s="45"/>
      <c r="S56" s="45"/>
      <c r="T56" s="45"/>
      <c r="U56" s="45"/>
      <c r="V56" s="45"/>
      <c r="W56" s="45"/>
      <c r="X56" s="45"/>
      <c r="Y56" s="45"/>
      <c r="Z56" s="45"/>
      <c r="AA56" s="45"/>
    </row>
    <row r="57" spans="1:27" ht="14.25" customHeight="1" x14ac:dyDescent="0.3">
      <c r="A57" s="45"/>
      <c r="B57" s="45"/>
      <c r="C57" s="79"/>
      <c r="D57" s="60"/>
      <c r="E57" s="60"/>
      <c r="F57" s="60"/>
      <c r="G57" s="79"/>
      <c r="H57" s="45"/>
      <c r="I57" s="45"/>
      <c r="J57" s="45"/>
      <c r="K57" s="45"/>
      <c r="L57" s="45"/>
      <c r="M57" s="45"/>
      <c r="N57" s="45"/>
      <c r="O57" s="45"/>
      <c r="P57" s="45"/>
      <c r="Q57" s="45"/>
      <c r="R57" s="45"/>
      <c r="S57" s="45"/>
      <c r="T57" s="45"/>
      <c r="U57" s="45"/>
      <c r="V57" s="45"/>
      <c r="W57" s="45"/>
      <c r="X57" s="45"/>
      <c r="Y57" s="45"/>
      <c r="Z57" s="45"/>
      <c r="AA57" s="45"/>
    </row>
    <row r="58" spans="1:27" ht="14.25" customHeight="1" x14ac:dyDescent="0.3">
      <c r="A58" s="45"/>
      <c r="B58" s="45"/>
      <c r="C58" s="79"/>
      <c r="D58" s="60"/>
      <c r="E58" s="60"/>
      <c r="F58" s="60"/>
      <c r="G58" s="79"/>
      <c r="H58" s="45"/>
      <c r="I58" s="45"/>
      <c r="J58" s="45"/>
      <c r="K58" s="45"/>
      <c r="L58" s="45"/>
      <c r="M58" s="45"/>
      <c r="N58" s="45"/>
      <c r="O58" s="45"/>
      <c r="P58" s="45"/>
      <c r="Q58" s="45"/>
      <c r="R58" s="45"/>
      <c r="S58" s="45"/>
      <c r="T58" s="45"/>
      <c r="U58" s="45"/>
      <c r="V58" s="45"/>
      <c r="W58" s="45"/>
      <c r="X58" s="45"/>
      <c r="Y58" s="45"/>
      <c r="Z58" s="45"/>
      <c r="AA58" s="45"/>
    </row>
    <row r="59" spans="1:27" ht="14.25" customHeight="1" x14ac:dyDescent="0.3">
      <c r="A59" s="45"/>
      <c r="B59" s="45"/>
      <c r="C59" s="79"/>
      <c r="D59" s="60"/>
      <c r="E59" s="60"/>
      <c r="F59" s="60"/>
      <c r="G59" s="79"/>
      <c r="H59" s="45"/>
      <c r="I59" s="45"/>
      <c r="J59" s="45"/>
      <c r="K59" s="45"/>
      <c r="L59" s="45"/>
      <c r="M59" s="45"/>
      <c r="N59" s="45"/>
      <c r="O59" s="45"/>
      <c r="P59" s="45"/>
      <c r="Q59" s="45"/>
      <c r="R59" s="45"/>
      <c r="S59" s="45"/>
      <c r="T59" s="45"/>
      <c r="U59" s="45"/>
      <c r="V59" s="45"/>
      <c r="W59" s="45"/>
      <c r="X59" s="45"/>
      <c r="Y59" s="45"/>
      <c r="Z59" s="45"/>
      <c r="AA59" s="45"/>
    </row>
    <row r="60" spans="1:27" ht="14.25" customHeight="1" x14ac:dyDescent="0.3">
      <c r="A60" s="45"/>
      <c r="B60" s="45"/>
      <c r="C60" s="79"/>
      <c r="D60" s="60"/>
      <c r="E60" s="60"/>
      <c r="F60" s="60"/>
      <c r="G60" s="79"/>
      <c r="H60" s="45"/>
      <c r="I60" s="45"/>
      <c r="J60" s="45"/>
      <c r="K60" s="45"/>
      <c r="L60" s="45"/>
      <c r="M60" s="45"/>
      <c r="N60" s="45"/>
      <c r="O60" s="45"/>
      <c r="P60" s="45"/>
      <c r="Q60" s="45"/>
      <c r="R60" s="45"/>
      <c r="S60" s="45"/>
      <c r="T60" s="45"/>
      <c r="U60" s="45"/>
      <c r="V60" s="45"/>
      <c r="W60" s="45"/>
      <c r="X60" s="45"/>
      <c r="Y60" s="45"/>
      <c r="Z60" s="45"/>
      <c r="AA60" s="45"/>
    </row>
    <row r="61" spans="1:27" ht="14.25" customHeight="1" x14ac:dyDescent="0.3">
      <c r="A61" s="45"/>
      <c r="B61" s="45"/>
      <c r="C61" s="79"/>
      <c r="D61" s="60"/>
      <c r="E61" s="60"/>
      <c r="F61" s="60"/>
      <c r="G61" s="79"/>
      <c r="H61" s="45"/>
      <c r="I61" s="45"/>
      <c r="J61" s="45"/>
      <c r="K61" s="45"/>
      <c r="L61" s="45"/>
      <c r="M61" s="45"/>
      <c r="N61" s="45"/>
      <c r="O61" s="45"/>
      <c r="P61" s="45"/>
      <c r="Q61" s="45"/>
      <c r="R61" s="45"/>
      <c r="S61" s="45"/>
      <c r="T61" s="45"/>
      <c r="U61" s="45"/>
      <c r="V61" s="45"/>
      <c r="W61" s="45"/>
      <c r="X61" s="45"/>
      <c r="Y61" s="45"/>
      <c r="Z61" s="45"/>
      <c r="AA61" s="45"/>
    </row>
    <row r="62" spans="1:27" ht="14.25" customHeight="1" x14ac:dyDescent="0.3">
      <c r="A62" s="45"/>
      <c r="B62" s="45"/>
      <c r="C62" s="79"/>
      <c r="D62" s="60"/>
      <c r="E62" s="60"/>
      <c r="F62" s="60"/>
      <c r="G62" s="79"/>
      <c r="H62" s="45"/>
      <c r="I62" s="45"/>
      <c r="J62" s="45"/>
      <c r="K62" s="45"/>
      <c r="L62" s="45"/>
      <c r="M62" s="45"/>
      <c r="N62" s="45"/>
      <c r="O62" s="45"/>
      <c r="P62" s="45"/>
      <c r="Q62" s="45"/>
      <c r="R62" s="45"/>
      <c r="S62" s="45"/>
      <c r="T62" s="45"/>
      <c r="U62" s="45"/>
      <c r="V62" s="45"/>
      <c r="W62" s="45"/>
      <c r="X62" s="45"/>
      <c r="Y62" s="45"/>
      <c r="Z62" s="45"/>
      <c r="AA62" s="45"/>
    </row>
    <row r="63" spans="1:27" ht="14.25" customHeight="1" x14ac:dyDescent="0.3">
      <c r="A63" s="45"/>
      <c r="B63" s="45"/>
      <c r="C63" s="79"/>
      <c r="D63" s="60"/>
      <c r="E63" s="60"/>
      <c r="F63" s="60"/>
      <c r="G63" s="79"/>
      <c r="H63" s="45"/>
      <c r="I63" s="45"/>
      <c r="J63" s="45"/>
      <c r="K63" s="45"/>
      <c r="L63" s="45"/>
      <c r="M63" s="45"/>
      <c r="N63" s="45"/>
      <c r="O63" s="45"/>
      <c r="P63" s="45"/>
      <c r="Q63" s="45"/>
      <c r="R63" s="45"/>
      <c r="S63" s="45"/>
      <c r="T63" s="45"/>
      <c r="U63" s="45"/>
      <c r="V63" s="45"/>
      <c r="W63" s="45"/>
      <c r="X63" s="45"/>
      <c r="Y63" s="45"/>
      <c r="Z63" s="45"/>
      <c r="AA63" s="45"/>
    </row>
    <row r="64" spans="1:27" ht="14.25" customHeight="1" x14ac:dyDescent="0.3">
      <c r="A64" s="45"/>
      <c r="B64" s="45"/>
      <c r="C64" s="79"/>
      <c r="D64" s="60"/>
      <c r="E64" s="60"/>
      <c r="F64" s="60"/>
      <c r="G64" s="79"/>
      <c r="H64" s="45"/>
      <c r="I64" s="45"/>
      <c r="J64" s="45"/>
      <c r="K64" s="45"/>
      <c r="L64" s="45"/>
      <c r="M64" s="45"/>
      <c r="N64" s="45"/>
      <c r="O64" s="45"/>
      <c r="P64" s="45"/>
      <c r="Q64" s="45"/>
      <c r="R64" s="45"/>
      <c r="S64" s="45"/>
      <c r="T64" s="45"/>
      <c r="U64" s="45"/>
      <c r="V64" s="45"/>
      <c r="W64" s="45"/>
      <c r="X64" s="45"/>
      <c r="Y64" s="45"/>
      <c r="Z64" s="45"/>
      <c r="AA64" s="45"/>
    </row>
    <row r="65" spans="1:27" ht="14.25" customHeight="1" x14ac:dyDescent="0.3">
      <c r="A65" s="45"/>
      <c r="B65" s="45"/>
      <c r="C65" s="79"/>
      <c r="D65" s="60"/>
      <c r="E65" s="60"/>
      <c r="F65" s="60"/>
      <c r="G65" s="79"/>
      <c r="H65" s="45"/>
      <c r="I65" s="45"/>
      <c r="J65" s="45"/>
      <c r="K65" s="45"/>
      <c r="L65" s="45"/>
      <c r="M65" s="45"/>
      <c r="N65" s="45"/>
      <c r="O65" s="45"/>
      <c r="P65" s="45"/>
      <c r="Q65" s="45"/>
      <c r="R65" s="45"/>
      <c r="S65" s="45"/>
      <c r="T65" s="45"/>
      <c r="U65" s="45"/>
      <c r="V65" s="45"/>
      <c r="W65" s="45"/>
      <c r="X65" s="45"/>
      <c r="Y65" s="45"/>
      <c r="Z65" s="45"/>
      <c r="AA65" s="45"/>
    </row>
    <row r="66" spans="1:27" ht="14.25" customHeight="1" x14ac:dyDescent="0.3">
      <c r="A66" s="45"/>
      <c r="B66" s="45"/>
      <c r="C66" s="79"/>
      <c r="D66" s="60"/>
      <c r="E66" s="60"/>
      <c r="F66" s="60"/>
      <c r="G66" s="79"/>
      <c r="H66" s="45"/>
      <c r="I66" s="45"/>
      <c r="J66" s="45"/>
      <c r="K66" s="45"/>
      <c r="L66" s="45"/>
      <c r="M66" s="45"/>
      <c r="N66" s="45"/>
      <c r="O66" s="45"/>
      <c r="P66" s="45"/>
      <c r="Q66" s="45"/>
      <c r="R66" s="45"/>
      <c r="S66" s="45"/>
      <c r="T66" s="45"/>
      <c r="U66" s="45"/>
      <c r="V66" s="45"/>
      <c r="W66" s="45"/>
      <c r="X66" s="45"/>
      <c r="Y66" s="45"/>
      <c r="Z66" s="45"/>
      <c r="AA66" s="45"/>
    </row>
    <row r="67" spans="1:27" ht="14.25" customHeight="1" x14ac:dyDescent="0.3">
      <c r="A67" s="45"/>
      <c r="B67" s="45"/>
      <c r="C67" s="79"/>
      <c r="D67" s="60"/>
      <c r="E67" s="60"/>
      <c r="F67" s="60"/>
      <c r="G67" s="79"/>
      <c r="H67" s="45"/>
      <c r="I67" s="45"/>
      <c r="J67" s="45"/>
      <c r="K67" s="45"/>
      <c r="L67" s="45"/>
      <c r="M67" s="45"/>
      <c r="N67" s="45"/>
      <c r="O67" s="45"/>
      <c r="P67" s="45"/>
      <c r="Q67" s="45"/>
      <c r="R67" s="45"/>
      <c r="S67" s="45"/>
      <c r="T67" s="45"/>
      <c r="U67" s="45"/>
      <c r="V67" s="45"/>
      <c r="W67" s="45"/>
      <c r="X67" s="45"/>
      <c r="Y67" s="45"/>
      <c r="Z67" s="45"/>
      <c r="AA67" s="45"/>
    </row>
    <row r="68" spans="1:27" ht="14.25" customHeight="1" x14ac:dyDescent="0.3">
      <c r="A68" s="45"/>
      <c r="B68" s="45"/>
      <c r="C68" s="79"/>
      <c r="D68" s="60"/>
      <c r="E68" s="60"/>
      <c r="F68" s="60"/>
      <c r="G68" s="79"/>
      <c r="H68" s="45"/>
      <c r="I68" s="45"/>
      <c r="J68" s="45"/>
      <c r="K68" s="45"/>
      <c r="L68" s="45"/>
      <c r="M68" s="45"/>
      <c r="N68" s="45"/>
      <c r="O68" s="45"/>
      <c r="P68" s="45"/>
      <c r="Q68" s="45"/>
      <c r="R68" s="45"/>
      <c r="S68" s="45"/>
      <c r="T68" s="45"/>
      <c r="U68" s="45"/>
      <c r="V68" s="45"/>
      <c r="W68" s="45"/>
      <c r="X68" s="45"/>
      <c r="Y68" s="45"/>
      <c r="Z68" s="45"/>
      <c r="AA68" s="45"/>
    </row>
    <row r="69" spans="1:27" ht="14.25" customHeight="1" x14ac:dyDescent="0.3">
      <c r="A69" s="45"/>
      <c r="B69" s="45"/>
      <c r="C69" s="79"/>
      <c r="D69" s="60"/>
      <c r="E69" s="60"/>
      <c r="F69" s="60"/>
      <c r="G69" s="79"/>
      <c r="H69" s="45"/>
      <c r="I69" s="45"/>
      <c r="J69" s="83">
        <f>I69-H69</f>
        <v>0</v>
      </c>
      <c r="K69" s="45"/>
      <c r="L69" s="45"/>
      <c r="M69" s="45"/>
      <c r="N69" s="45"/>
      <c r="O69" s="45"/>
      <c r="P69" s="45"/>
      <c r="Q69" s="45"/>
      <c r="R69" s="45"/>
      <c r="S69" s="45"/>
      <c r="T69" s="45"/>
      <c r="U69" s="45"/>
      <c r="V69" s="45"/>
      <c r="W69" s="45"/>
      <c r="X69" s="45"/>
      <c r="Y69" s="45"/>
      <c r="Z69" s="45"/>
      <c r="AA69" s="45"/>
    </row>
    <row r="70" spans="1:27" ht="14.25" customHeight="1" x14ac:dyDescent="0.3">
      <c r="A70" s="45"/>
      <c r="B70" s="45"/>
      <c r="C70" s="79"/>
      <c r="D70" s="60"/>
      <c r="E70" s="60"/>
      <c r="F70" s="60"/>
      <c r="G70" s="79"/>
      <c r="H70" s="45"/>
      <c r="I70" s="45"/>
      <c r="J70" s="45"/>
      <c r="K70" s="45"/>
      <c r="L70" s="45"/>
      <c r="M70" s="45"/>
      <c r="N70" s="45"/>
      <c r="O70" s="45"/>
      <c r="P70" s="45"/>
      <c r="Q70" s="45"/>
      <c r="R70" s="45"/>
      <c r="S70" s="45"/>
      <c r="T70" s="45"/>
      <c r="U70" s="45"/>
      <c r="V70" s="45"/>
      <c r="W70" s="45"/>
      <c r="X70" s="45"/>
      <c r="Y70" s="45"/>
      <c r="Z70" s="45"/>
      <c r="AA70" s="45"/>
    </row>
    <row r="71" spans="1:27" ht="14.25" customHeight="1" x14ac:dyDescent="0.3">
      <c r="A71" s="45"/>
      <c r="B71" s="45"/>
      <c r="C71" s="79"/>
      <c r="D71" s="60"/>
      <c r="E71" s="60"/>
      <c r="F71" s="60"/>
      <c r="G71" s="79"/>
      <c r="H71" s="45"/>
      <c r="I71" s="45"/>
      <c r="J71" s="45"/>
      <c r="K71" s="45"/>
      <c r="L71" s="45"/>
      <c r="M71" s="45"/>
      <c r="N71" s="45"/>
      <c r="O71" s="45"/>
      <c r="P71" s="45"/>
      <c r="Q71" s="45"/>
      <c r="R71" s="45"/>
      <c r="S71" s="45"/>
      <c r="T71" s="45"/>
      <c r="U71" s="45"/>
      <c r="V71" s="45"/>
      <c r="W71" s="45"/>
      <c r="X71" s="45"/>
      <c r="Y71" s="45"/>
      <c r="Z71" s="45"/>
      <c r="AA71" s="45"/>
    </row>
    <row r="72" spans="1:27" ht="14.25" customHeight="1" x14ac:dyDescent="0.3">
      <c r="A72" s="45"/>
      <c r="B72" s="45"/>
      <c r="C72" s="79"/>
      <c r="D72" s="60"/>
      <c r="E72" s="60"/>
      <c r="F72" s="60"/>
      <c r="G72" s="79"/>
      <c r="H72" s="45"/>
      <c r="I72" s="45"/>
      <c r="J72" s="45"/>
      <c r="K72" s="45"/>
      <c r="L72" s="45"/>
      <c r="M72" s="45"/>
      <c r="N72" s="45"/>
      <c r="O72" s="45"/>
      <c r="P72" s="45"/>
      <c r="Q72" s="45"/>
      <c r="R72" s="45"/>
      <c r="S72" s="45"/>
      <c r="T72" s="45"/>
      <c r="U72" s="45"/>
      <c r="V72" s="45"/>
      <c r="W72" s="45"/>
      <c r="X72" s="45"/>
      <c r="Y72" s="45"/>
      <c r="Z72" s="45"/>
      <c r="AA72" s="45"/>
    </row>
    <row r="73" spans="1:27" ht="14.25" customHeight="1" x14ac:dyDescent="0.3">
      <c r="A73" s="45"/>
      <c r="B73" s="45"/>
      <c r="C73" s="79"/>
      <c r="D73" s="60"/>
      <c r="E73" s="60"/>
      <c r="F73" s="60"/>
      <c r="G73" s="79"/>
      <c r="H73" s="45"/>
      <c r="I73" s="45"/>
      <c r="J73" s="45"/>
      <c r="K73" s="45"/>
      <c r="L73" s="45"/>
      <c r="M73" s="45"/>
      <c r="N73" s="45"/>
      <c r="O73" s="45"/>
      <c r="P73" s="45"/>
      <c r="Q73" s="45"/>
      <c r="R73" s="45"/>
      <c r="S73" s="45"/>
      <c r="T73" s="45"/>
      <c r="U73" s="45"/>
      <c r="V73" s="45"/>
      <c r="W73" s="45"/>
      <c r="X73" s="45"/>
      <c r="Y73" s="45"/>
      <c r="Z73" s="45"/>
      <c r="AA73" s="45"/>
    </row>
    <row r="74" spans="1:27" ht="14.25" customHeight="1" x14ac:dyDescent="0.3">
      <c r="A74" s="45"/>
      <c r="B74" s="45"/>
      <c r="C74" s="79"/>
      <c r="D74" s="60"/>
      <c r="E74" s="60"/>
      <c r="F74" s="60"/>
      <c r="G74" s="79"/>
      <c r="H74" s="45"/>
      <c r="I74" s="45"/>
      <c r="J74" s="45"/>
      <c r="K74" s="45"/>
      <c r="L74" s="45"/>
      <c r="M74" s="45"/>
      <c r="N74" s="45"/>
      <c r="O74" s="45"/>
      <c r="P74" s="45"/>
      <c r="Q74" s="45"/>
      <c r="R74" s="45"/>
      <c r="S74" s="45"/>
      <c r="T74" s="45"/>
      <c r="U74" s="45"/>
      <c r="V74" s="45"/>
      <c r="W74" s="45"/>
      <c r="X74" s="45"/>
      <c r="Y74" s="45"/>
      <c r="Z74" s="45"/>
      <c r="AA74" s="45"/>
    </row>
    <row r="75" spans="1:27" ht="14.25" customHeight="1" x14ac:dyDescent="0.3">
      <c r="A75" s="45"/>
      <c r="B75" s="45"/>
      <c r="C75" s="79"/>
      <c r="D75" s="60"/>
      <c r="E75" s="60"/>
      <c r="F75" s="60"/>
      <c r="G75" s="79"/>
      <c r="H75" s="45"/>
      <c r="I75" s="45"/>
      <c r="J75" s="45"/>
      <c r="K75" s="45"/>
      <c r="L75" s="45"/>
      <c r="M75" s="45"/>
      <c r="N75" s="45"/>
      <c r="O75" s="45"/>
      <c r="P75" s="45"/>
      <c r="Q75" s="45"/>
      <c r="R75" s="45"/>
      <c r="S75" s="45"/>
      <c r="T75" s="45"/>
      <c r="U75" s="45"/>
      <c r="V75" s="45"/>
      <c r="W75" s="45"/>
      <c r="X75" s="45"/>
      <c r="Y75" s="45"/>
      <c r="Z75" s="45"/>
      <c r="AA75" s="45"/>
    </row>
    <row r="76" spans="1:27" ht="14.25" customHeight="1" x14ac:dyDescent="0.3">
      <c r="A76" s="45"/>
      <c r="B76" s="45"/>
      <c r="C76" s="79"/>
      <c r="D76" s="60"/>
      <c r="E76" s="60"/>
      <c r="F76" s="60"/>
      <c r="G76" s="79"/>
      <c r="H76" s="45"/>
      <c r="I76" s="45"/>
      <c r="J76" s="45"/>
      <c r="K76" s="45"/>
      <c r="L76" s="45"/>
      <c r="M76" s="45"/>
      <c r="N76" s="45"/>
      <c r="O76" s="45"/>
      <c r="P76" s="45"/>
      <c r="Q76" s="45"/>
      <c r="R76" s="45"/>
      <c r="S76" s="45"/>
      <c r="T76" s="45"/>
      <c r="U76" s="45"/>
      <c r="V76" s="45"/>
      <c r="W76" s="45"/>
      <c r="X76" s="45"/>
      <c r="Y76" s="45"/>
      <c r="Z76" s="45"/>
      <c r="AA76" s="45"/>
    </row>
    <row r="77" spans="1:27" ht="14.25" customHeight="1" x14ac:dyDescent="0.3">
      <c r="A77" s="45"/>
      <c r="B77" s="45"/>
      <c r="C77" s="79"/>
      <c r="D77" s="60"/>
      <c r="E77" s="60"/>
      <c r="F77" s="60"/>
      <c r="G77" s="79"/>
      <c r="H77" s="45"/>
      <c r="I77" s="45"/>
      <c r="J77" s="45"/>
      <c r="K77" s="45"/>
      <c r="L77" s="45"/>
      <c r="M77" s="45"/>
      <c r="N77" s="45"/>
      <c r="O77" s="45"/>
      <c r="P77" s="45"/>
      <c r="Q77" s="45"/>
      <c r="R77" s="45"/>
      <c r="S77" s="45"/>
      <c r="T77" s="45"/>
      <c r="U77" s="45"/>
      <c r="V77" s="45"/>
      <c r="W77" s="45"/>
      <c r="X77" s="45"/>
      <c r="Y77" s="45"/>
      <c r="Z77" s="45"/>
      <c r="AA77" s="45"/>
    </row>
    <row r="78" spans="1:27" ht="14.25" customHeight="1" x14ac:dyDescent="0.3">
      <c r="A78" s="45"/>
      <c r="B78" s="45"/>
      <c r="C78" s="79"/>
      <c r="D78" s="60"/>
      <c r="E78" s="60"/>
      <c r="F78" s="60"/>
      <c r="G78" s="79"/>
      <c r="H78" s="45"/>
      <c r="I78" s="45"/>
      <c r="J78" s="45"/>
      <c r="K78" s="45"/>
      <c r="L78" s="45"/>
      <c r="M78" s="45"/>
      <c r="N78" s="45"/>
      <c r="O78" s="45"/>
      <c r="P78" s="45"/>
      <c r="Q78" s="45"/>
      <c r="R78" s="45"/>
      <c r="S78" s="45"/>
      <c r="T78" s="45"/>
      <c r="U78" s="45"/>
      <c r="V78" s="45"/>
      <c r="W78" s="45"/>
      <c r="X78" s="45"/>
      <c r="Y78" s="45"/>
      <c r="Z78" s="45"/>
      <c r="AA78" s="45"/>
    </row>
    <row r="79" spans="1:27" ht="14.25" customHeight="1" x14ac:dyDescent="0.3">
      <c r="A79" s="45"/>
      <c r="B79" s="45"/>
      <c r="C79" s="79"/>
      <c r="D79" s="60"/>
      <c r="E79" s="60"/>
      <c r="F79" s="60"/>
      <c r="G79" s="79"/>
      <c r="H79" s="45"/>
      <c r="I79" s="45"/>
      <c r="J79" s="45"/>
      <c r="K79" s="45"/>
      <c r="L79" s="45"/>
      <c r="M79" s="45"/>
      <c r="N79" s="45"/>
      <c r="O79" s="45"/>
      <c r="P79" s="45"/>
      <c r="Q79" s="45"/>
      <c r="R79" s="45"/>
      <c r="S79" s="45"/>
      <c r="T79" s="45"/>
      <c r="U79" s="45"/>
      <c r="V79" s="45"/>
      <c r="W79" s="45"/>
      <c r="X79" s="45"/>
      <c r="Y79" s="45"/>
      <c r="Z79" s="45"/>
      <c r="AA79" s="45"/>
    </row>
    <row r="80" spans="1:27" ht="14.25" customHeight="1" x14ac:dyDescent="0.3">
      <c r="A80" s="45"/>
      <c r="B80" s="45"/>
      <c r="C80" s="79"/>
      <c r="D80" s="60"/>
      <c r="E80" s="60"/>
      <c r="F80" s="60"/>
      <c r="G80" s="79"/>
      <c r="H80" s="45"/>
      <c r="I80" s="45"/>
      <c r="J80" s="45"/>
      <c r="K80" s="45"/>
      <c r="L80" s="45"/>
      <c r="M80" s="45"/>
      <c r="N80" s="45"/>
      <c r="O80" s="45"/>
      <c r="P80" s="45"/>
      <c r="Q80" s="45"/>
      <c r="R80" s="45"/>
      <c r="S80" s="45"/>
      <c r="T80" s="45"/>
      <c r="U80" s="45"/>
      <c r="V80" s="45"/>
      <c r="W80" s="45"/>
      <c r="X80" s="45"/>
      <c r="Y80" s="45"/>
      <c r="Z80" s="45"/>
      <c r="AA80" s="45"/>
    </row>
    <row r="81" spans="1:27" ht="14.25" customHeight="1" x14ac:dyDescent="0.3">
      <c r="A81" s="45"/>
      <c r="B81" s="45"/>
      <c r="C81" s="79"/>
      <c r="D81" s="60"/>
      <c r="E81" s="60"/>
      <c r="F81" s="60"/>
      <c r="G81" s="79"/>
      <c r="H81" s="45"/>
      <c r="I81" s="45"/>
      <c r="J81" s="45"/>
      <c r="K81" s="45"/>
      <c r="L81" s="45"/>
      <c r="M81" s="45"/>
      <c r="N81" s="45"/>
      <c r="O81" s="45"/>
      <c r="P81" s="45"/>
      <c r="Q81" s="45"/>
      <c r="R81" s="45"/>
      <c r="S81" s="45"/>
      <c r="T81" s="45"/>
      <c r="U81" s="45"/>
      <c r="V81" s="45"/>
      <c r="W81" s="45"/>
      <c r="X81" s="45"/>
      <c r="Y81" s="45"/>
      <c r="Z81" s="45"/>
      <c r="AA81" s="45"/>
    </row>
    <row r="82" spans="1:27" ht="14.25" customHeight="1" x14ac:dyDescent="0.3">
      <c r="A82" s="45"/>
      <c r="B82" s="45"/>
      <c r="C82" s="79"/>
      <c r="D82" s="60"/>
      <c r="E82" s="60"/>
      <c r="F82" s="60"/>
      <c r="G82" s="79"/>
      <c r="H82" s="45"/>
      <c r="I82" s="45"/>
      <c r="J82" s="45"/>
      <c r="K82" s="45"/>
      <c r="L82" s="45"/>
      <c r="M82" s="45"/>
      <c r="N82" s="45"/>
      <c r="O82" s="45"/>
      <c r="P82" s="45"/>
      <c r="Q82" s="45"/>
      <c r="R82" s="45"/>
      <c r="S82" s="45"/>
      <c r="T82" s="45"/>
      <c r="U82" s="45"/>
      <c r="V82" s="45"/>
      <c r="W82" s="45"/>
      <c r="X82" s="45"/>
      <c r="Y82" s="45"/>
      <c r="Z82" s="45"/>
      <c r="AA82" s="45"/>
    </row>
    <row r="83" spans="1:27" ht="14.25" customHeight="1" x14ac:dyDescent="0.3">
      <c r="A83" s="45"/>
      <c r="B83" s="45"/>
      <c r="C83" s="79"/>
      <c r="D83" s="60"/>
      <c r="E83" s="60"/>
      <c r="F83" s="60"/>
      <c r="G83" s="79"/>
      <c r="H83" s="45"/>
      <c r="I83" s="45"/>
      <c r="J83" s="45"/>
      <c r="K83" s="45"/>
      <c r="L83" s="45"/>
      <c r="M83" s="45"/>
      <c r="N83" s="45"/>
      <c r="O83" s="45"/>
      <c r="P83" s="45"/>
      <c r="Q83" s="45"/>
      <c r="R83" s="45"/>
      <c r="S83" s="45"/>
      <c r="T83" s="45"/>
      <c r="U83" s="45"/>
      <c r="V83" s="45"/>
      <c r="W83" s="45"/>
      <c r="X83" s="45"/>
      <c r="Y83" s="45"/>
      <c r="Z83" s="45"/>
      <c r="AA83" s="45"/>
    </row>
    <row r="84" spans="1:27" ht="14.25" customHeight="1" x14ac:dyDescent="0.3">
      <c r="A84" s="45"/>
      <c r="B84" s="45"/>
      <c r="C84" s="79"/>
      <c r="D84" s="60"/>
      <c r="E84" s="60"/>
      <c r="F84" s="60"/>
      <c r="G84" s="79"/>
      <c r="H84" s="45"/>
      <c r="I84" s="45"/>
      <c r="J84" s="45"/>
      <c r="K84" s="45"/>
      <c r="L84" s="45"/>
      <c r="M84" s="45"/>
      <c r="N84" s="45"/>
      <c r="O84" s="45"/>
      <c r="P84" s="45"/>
      <c r="Q84" s="45"/>
      <c r="R84" s="45"/>
      <c r="S84" s="45"/>
      <c r="T84" s="45"/>
      <c r="U84" s="45"/>
      <c r="V84" s="45"/>
      <c r="W84" s="45"/>
      <c r="X84" s="45"/>
      <c r="Y84" s="45"/>
      <c r="Z84" s="45"/>
      <c r="AA84" s="45"/>
    </row>
    <row r="85" spans="1:27" ht="14.25" customHeight="1" x14ac:dyDescent="0.3">
      <c r="A85" s="45"/>
      <c r="B85" s="45"/>
      <c r="C85" s="79"/>
      <c r="D85" s="60"/>
      <c r="E85" s="60"/>
      <c r="F85" s="60"/>
      <c r="G85" s="79"/>
      <c r="H85" s="45"/>
      <c r="I85" s="45"/>
      <c r="J85" s="45"/>
      <c r="K85" s="45"/>
      <c r="L85" s="45"/>
      <c r="M85" s="45"/>
      <c r="N85" s="45"/>
      <c r="O85" s="45"/>
      <c r="P85" s="45"/>
      <c r="Q85" s="45"/>
      <c r="R85" s="45"/>
      <c r="S85" s="45"/>
      <c r="T85" s="45"/>
      <c r="U85" s="45"/>
      <c r="V85" s="45"/>
      <c r="W85" s="45"/>
      <c r="X85" s="45"/>
      <c r="Y85" s="45"/>
      <c r="Z85" s="45"/>
      <c r="AA85" s="45"/>
    </row>
    <row r="86" spans="1:27" ht="14.25" customHeight="1" x14ac:dyDescent="0.3">
      <c r="A86" s="45"/>
      <c r="B86" s="45"/>
      <c r="C86" s="79"/>
      <c r="D86" s="60"/>
      <c r="E86" s="60"/>
      <c r="F86" s="60"/>
      <c r="G86" s="79"/>
      <c r="H86" s="45"/>
      <c r="I86" s="45"/>
      <c r="J86" s="45"/>
      <c r="K86" s="45"/>
      <c r="L86" s="45"/>
      <c r="M86" s="45"/>
      <c r="N86" s="45"/>
      <c r="O86" s="45"/>
      <c r="P86" s="45"/>
      <c r="Q86" s="45"/>
      <c r="R86" s="45"/>
      <c r="S86" s="45"/>
      <c r="T86" s="45"/>
      <c r="U86" s="45"/>
      <c r="V86" s="45"/>
      <c r="W86" s="45"/>
      <c r="X86" s="45"/>
      <c r="Y86" s="45"/>
      <c r="Z86" s="45"/>
      <c r="AA86" s="45"/>
    </row>
    <row r="87" spans="1:27" ht="14.25" customHeight="1" x14ac:dyDescent="0.3">
      <c r="A87" s="45"/>
      <c r="B87" s="45"/>
      <c r="C87" s="79"/>
      <c r="D87" s="60"/>
      <c r="E87" s="60"/>
      <c r="F87" s="60"/>
      <c r="G87" s="79"/>
      <c r="H87" s="45"/>
      <c r="I87" s="45"/>
      <c r="J87" s="45"/>
      <c r="K87" s="45"/>
      <c r="L87" s="45"/>
      <c r="M87" s="45"/>
      <c r="N87" s="45"/>
      <c r="O87" s="45"/>
      <c r="P87" s="45"/>
      <c r="Q87" s="45"/>
      <c r="R87" s="45"/>
      <c r="S87" s="45"/>
      <c r="T87" s="45"/>
      <c r="U87" s="45"/>
      <c r="V87" s="45"/>
      <c r="W87" s="45"/>
      <c r="X87" s="45"/>
      <c r="Y87" s="45"/>
      <c r="Z87" s="45"/>
      <c r="AA87" s="45"/>
    </row>
    <row r="88" spans="1:27" ht="14.25" customHeight="1" x14ac:dyDescent="0.3">
      <c r="A88" s="45"/>
      <c r="B88" s="45"/>
      <c r="C88" s="79"/>
      <c r="D88" s="60"/>
      <c r="E88" s="60"/>
      <c r="F88" s="60"/>
      <c r="G88" s="79"/>
      <c r="H88" s="45"/>
      <c r="I88" s="45"/>
      <c r="J88" s="45"/>
      <c r="K88" s="45"/>
      <c r="L88" s="45"/>
      <c r="M88" s="45"/>
      <c r="N88" s="45"/>
      <c r="O88" s="45"/>
      <c r="P88" s="45"/>
      <c r="Q88" s="45"/>
      <c r="R88" s="45"/>
      <c r="S88" s="45"/>
      <c r="T88" s="45"/>
      <c r="U88" s="45"/>
      <c r="V88" s="45"/>
      <c r="W88" s="45"/>
      <c r="X88" s="45"/>
      <c r="Y88" s="45"/>
      <c r="Z88" s="45"/>
      <c r="AA88" s="45"/>
    </row>
    <row r="89" spans="1:27" ht="14.25" customHeight="1" x14ac:dyDescent="0.3">
      <c r="A89" s="45"/>
      <c r="B89" s="45"/>
      <c r="C89" s="79"/>
      <c r="D89" s="60"/>
      <c r="E89" s="60"/>
      <c r="F89" s="60"/>
      <c r="G89" s="79"/>
      <c r="H89" s="45"/>
      <c r="I89" s="45"/>
      <c r="J89" s="45"/>
      <c r="K89" s="45"/>
      <c r="L89" s="45"/>
      <c r="M89" s="45"/>
      <c r="N89" s="45"/>
      <c r="O89" s="45"/>
      <c r="P89" s="45"/>
      <c r="Q89" s="45"/>
      <c r="R89" s="45"/>
      <c r="S89" s="45"/>
      <c r="T89" s="45"/>
      <c r="U89" s="45"/>
      <c r="V89" s="45"/>
      <c r="W89" s="45"/>
      <c r="X89" s="45"/>
      <c r="Y89" s="45"/>
      <c r="Z89" s="45"/>
      <c r="AA89" s="45"/>
    </row>
    <row r="90" spans="1:27" ht="14.25" customHeight="1" x14ac:dyDescent="0.3">
      <c r="A90" s="45"/>
      <c r="B90" s="45"/>
      <c r="C90" s="79"/>
      <c r="D90" s="60"/>
      <c r="E90" s="60"/>
      <c r="F90" s="60"/>
      <c r="G90" s="79"/>
      <c r="H90" s="45"/>
      <c r="I90" s="45"/>
      <c r="J90" s="45"/>
      <c r="K90" s="45"/>
      <c r="L90" s="45"/>
      <c r="M90" s="45"/>
      <c r="N90" s="45"/>
      <c r="O90" s="45"/>
      <c r="P90" s="45"/>
      <c r="Q90" s="45"/>
      <c r="R90" s="45"/>
      <c r="S90" s="45"/>
      <c r="T90" s="45"/>
      <c r="U90" s="45"/>
      <c r="V90" s="45"/>
      <c r="W90" s="45"/>
      <c r="X90" s="45"/>
      <c r="Y90" s="45"/>
      <c r="Z90" s="45"/>
      <c r="AA90" s="45"/>
    </row>
    <row r="91" spans="1:27" ht="14.25" customHeight="1" x14ac:dyDescent="0.3">
      <c r="A91" s="45"/>
      <c r="B91" s="45"/>
      <c r="C91" s="79"/>
      <c r="D91" s="60"/>
      <c r="E91" s="60"/>
      <c r="F91" s="60"/>
      <c r="G91" s="79"/>
      <c r="H91" s="45"/>
      <c r="I91" s="45"/>
      <c r="J91" s="45"/>
      <c r="K91" s="45"/>
      <c r="L91" s="45"/>
      <c r="M91" s="45"/>
      <c r="N91" s="45"/>
      <c r="O91" s="45"/>
      <c r="P91" s="45"/>
      <c r="Q91" s="45"/>
      <c r="R91" s="45"/>
      <c r="S91" s="45"/>
      <c r="T91" s="45"/>
      <c r="U91" s="45"/>
      <c r="V91" s="45"/>
      <c r="W91" s="45"/>
      <c r="X91" s="45"/>
      <c r="Y91" s="45"/>
      <c r="Z91" s="45"/>
      <c r="AA91" s="45"/>
    </row>
    <row r="92" spans="1:27" ht="14.25" customHeight="1" x14ac:dyDescent="0.3">
      <c r="A92" s="45"/>
      <c r="B92" s="45"/>
      <c r="C92" s="79"/>
      <c r="D92" s="60"/>
      <c r="E92" s="60"/>
      <c r="F92" s="60"/>
      <c r="G92" s="79"/>
      <c r="H92" s="45"/>
      <c r="I92" s="45"/>
      <c r="J92" s="45"/>
      <c r="K92" s="45"/>
      <c r="L92" s="45"/>
      <c r="M92" s="45"/>
      <c r="N92" s="45"/>
      <c r="O92" s="45"/>
      <c r="P92" s="45"/>
      <c r="Q92" s="45"/>
      <c r="R92" s="45"/>
      <c r="S92" s="45"/>
      <c r="T92" s="45"/>
      <c r="U92" s="45"/>
      <c r="V92" s="45"/>
      <c r="W92" s="45"/>
      <c r="X92" s="45"/>
      <c r="Y92" s="45"/>
      <c r="Z92" s="45"/>
      <c r="AA92" s="45"/>
    </row>
    <row r="93" spans="1:27" ht="14.25" customHeight="1" x14ac:dyDescent="0.3">
      <c r="A93" s="45"/>
      <c r="B93" s="45"/>
      <c r="C93" s="79"/>
      <c r="D93" s="60"/>
      <c r="E93" s="60"/>
      <c r="F93" s="60"/>
      <c r="G93" s="79"/>
      <c r="H93" s="45"/>
      <c r="I93" s="45"/>
      <c r="J93" s="45"/>
      <c r="K93" s="45"/>
      <c r="L93" s="45"/>
      <c r="M93" s="45"/>
      <c r="N93" s="45"/>
      <c r="O93" s="45"/>
      <c r="P93" s="45"/>
      <c r="Q93" s="45"/>
      <c r="R93" s="45"/>
      <c r="S93" s="45"/>
      <c r="T93" s="45"/>
      <c r="U93" s="45"/>
      <c r="V93" s="45"/>
      <c r="W93" s="45"/>
      <c r="X93" s="45"/>
      <c r="Y93" s="45"/>
      <c r="Z93" s="45"/>
      <c r="AA93" s="45"/>
    </row>
    <row r="94" spans="1:27" ht="14.25" customHeight="1" x14ac:dyDescent="0.3">
      <c r="A94" s="45"/>
      <c r="B94" s="45"/>
      <c r="C94" s="79"/>
      <c r="D94" s="60"/>
      <c r="E94" s="60"/>
      <c r="F94" s="60"/>
      <c r="G94" s="79"/>
      <c r="H94" s="45"/>
      <c r="I94" s="45"/>
      <c r="J94" s="45"/>
      <c r="K94" s="45"/>
      <c r="L94" s="45"/>
      <c r="M94" s="45"/>
      <c r="N94" s="45"/>
      <c r="O94" s="45"/>
      <c r="P94" s="45"/>
      <c r="Q94" s="45"/>
      <c r="R94" s="45"/>
      <c r="S94" s="45"/>
      <c r="T94" s="45"/>
      <c r="U94" s="45"/>
      <c r="V94" s="45"/>
      <c r="W94" s="45"/>
      <c r="X94" s="45"/>
      <c r="Y94" s="45"/>
      <c r="Z94" s="45"/>
      <c r="AA94" s="45"/>
    </row>
    <row r="95" spans="1:27" ht="14.25" customHeight="1" x14ac:dyDescent="0.3">
      <c r="A95" s="45"/>
      <c r="B95" s="45"/>
      <c r="C95" s="79"/>
      <c r="D95" s="60"/>
      <c r="E95" s="60"/>
      <c r="F95" s="60"/>
      <c r="G95" s="79"/>
      <c r="H95" s="45"/>
      <c r="I95" s="45"/>
      <c r="J95" s="45"/>
      <c r="K95" s="45"/>
      <c r="L95" s="45"/>
      <c r="M95" s="45"/>
      <c r="N95" s="45"/>
      <c r="O95" s="45"/>
      <c r="P95" s="45"/>
      <c r="Q95" s="45"/>
      <c r="R95" s="45"/>
      <c r="S95" s="45"/>
      <c r="T95" s="45"/>
      <c r="U95" s="45"/>
      <c r="V95" s="45"/>
      <c r="W95" s="45"/>
      <c r="X95" s="45"/>
      <c r="Y95" s="45"/>
      <c r="Z95" s="45"/>
      <c r="AA95" s="45"/>
    </row>
    <row r="96" spans="1:27" ht="14.25" customHeight="1" x14ac:dyDescent="0.3">
      <c r="A96" s="45"/>
      <c r="B96" s="45"/>
      <c r="C96" s="79"/>
      <c r="D96" s="60"/>
      <c r="E96" s="60"/>
      <c r="F96" s="60"/>
      <c r="G96" s="79"/>
      <c r="H96" s="45"/>
      <c r="I96" s="45"/>
      <c r="J96" s="45"/>
      <c r="K96" s="45"/>
      <c r="L96" s="45"/>
      <c r="M96" s="45"/>
      <c r="N96" s="45"/>
      <c r="O96" s="45"/>
      <c r="P96" s="45"/>
      <c r="Q96" s="45"/>
      <c r="R96" s="45"/>
      <c r="S96" s="45"/>
      <c r="T96" s="45"/>
      <c r="U96" s="45"/>
      <c r="V96" s="45"/>
      <c r="W96" s="45"/>
      <c r="X96" s="45"/>
      <c r="Y96" s="45"/>
      <c r="Z96" s="45"/>
      <c r="AA96" s="45"/>
    </row>
    <row r="97" spans="1:27" ht="14.25" customHeight="1" x14ac:dyDescent="0.3">
      <c r="A97" s="45"/>
      <c r="B97" s="45"/>
      <c r="C97" s="79"/>
      <c r="D97" s="60"/>
      <c r="E97" s="60"/>
      <c r="F97" s="60"/>
      <c r="G97" s="79"/>
      <c r="H97" s="45"/>
      <c r="I97" s="45"/>
      <c r="J97" s="45"/>
      <c r="K97" s="45"/>
      <c r="L97" s="45"/>
      <c r="M97" s="45"/>
      <c r="N97" s="45"/>
      <c r="O97" s="45"/>
      <c r="P97" s="45"/>
      <c r="Q97" s="45"/>
      <c r="R97" s="45"/>
      <c r="S97" s="45"/>
      <c r="T97" s="45"/>
      <c r="U97" s="45"/>
      <c r="V97" s="45"/>
      <c r="W97" s="45"/>
      <c r="X97" s="45"/>
      <c r="Y97" s="45"/>
      <c r="Z97" s="45"/>
      <c r="AA97" s="45"/>
    </row>
    <row r="98" spans="1:27" ht="14.25" customHeight="1" x14ac:dyDescent="0.3">
      <c r="A98" s="45"/>
      <c r="B98" s="45"/>
      <c r="C98" s="79"/>
      <c r="D98" s="60"/>
      <c r="E98" s="60"/>
      <c r="F98" s="60"/>
      <c r="G98" s="79"/>
      <c r="H98" s="45"/>
      <c r="I98" s="45"/>
      <c r="J98" s="45"/>
      <c r="K98" s="45"/>
      <c r="L98" s="45"/>
      <c r="M98" s="45"/>
      <c r="N98" s="45"/>
      <c r="O98" s="45"/>
      <c r="P98" s="45"/>
      <c r="Q98" s="45"/>
      <c r="R98" s="45"/>
      <c r="S98" s="45"/>
      <c r="T98" s="45"/>
      <c r="U98" s="45"/>
      <c r="V98" s="45"/>
      <c r="W98" s="45"/>
      <c r="X98" s="45"/>
      <c r="Y98" s="45"/>
      <c r="Z98" s="45"/>
      <c r="AA98" s="45"/>
    </row>
    <row r="99" spans="1:27" ht="14.25" customHeight="1" x14ac:dyDescent="0.3">
      <c r="A99" s="45"/>
      <c r="B99" s="45"/>
      <c r="C99" s="79"/>
      <c r="D99" s="60"/>
      <c r="E99" s="60"/>
      <c r="F99" s="60"/>
      <c r="G99" s="79"/>
      <c r="H99" s="45"/>
      <c r="I99" s="45"/>
      <c r="J99" s="45"/>
      <c r="K99" s="45"/>
      <c r="L99" s="45"/>
      <c r="M99" s="45"/>
      <c r="N99" s="45"/>
      <c r="O99" s="45"/>
      <c r="P99" s="45"/>
      <c r="Q99" s="45"/>
      <c r="R99" s="45"/>
      <c r="S99" s="45"/>
      <c r="T99" s="45"/>
      <c r="U99" s="45"/>
      <c r="V99" s="45"/>
      <c r="W99" s="45"/>
      <c r="X99" s="45"/>
      <c r="Y99" s="45"/>
      <c r="Z99" s="45"/>
      <c r="AA99" s="45"/>
    </row>
    <row r="100" spans="1:27" ht="14.25" customHeight="1" x14ac:dyDescent="0.3">
      <c r="A100" s="45"/>
      <c r="B100" s="45"/>
      <c r="C100" s="79"/>
      <c r="D100" s="60"/>
      <c r="E100" s="60"/>
      <c r="F100" s="60"/>
      <c r="G100" s="79"/>
      <c r="H100" s="45"/>
      <c r="I100" s="45"/>
      <c r="J100" s="45"/>
      <c r="K100" s="45"/>
      <c r="L100" s="45"/>
      <c r="M100" s="45"/>
      <c r="N100" s="45"/>
      <c r="O100" s="45"/>
      <c r="P100" s="45"/>
      <c r="Q100" s="45"/>
      <c r="R100" s="45"/>
      <c r="S100" s="45"/>
      <c r="T100" s="45"/>
      <c r="U100" s="45"/>
      <c r="V100" s="45"/>
      <c r="W100" s="45"/>
      <c r="X100" s="45"/>
      <c r="Y100" s="45"/>
      <c r="Z100" s="45"/>
      <c r="AA100" s="45"/>
    </row>
    <row r="101" spans="1:27" ht="14.25" customHeight="1" x14ac:dyDescent="0.3">
      <c r="A101" s="45"/>
      <c r="B101" s="45"/>
      <c r="C101" s="79"/>
      <c r="D101" s="60"/>
      <c r="E101" s="60"/>
      <c r="F101" s="60"/>
      <c r="G101" s="79"/>
      <c r="H101" s="45"/>
      <c r="I101" s="45"/>
      <c r="J101" s="45"/>
      <c r="K101" s="45"/>
      <c r="L101" s="45"/>
      <c r="M101" s="45"/>
      <c r="N101" s="45"/>
      <c r="O101" s="45"/>
      <c r="P101" s="45"/>
      <c r="Q101" s="45"/>
      <c r="R101" s="45"/>
      <c r="S101" s="45"/>
      <c r="T101" s="45"/>
      <c r="U101" s="45"/>
      <c r="V101" s="45"/>
      <c r="W101" s="45"/>
      <c r="X101" s="45"/>
      <c r="Y101" s="45"/>
      <c r="Z101" s="45"/>
      <c r="AA101" s="45"/>
    </row>
    <row r="102" spans="1:27" ht="14.25" customHeight="1" x14ac:dyDescent="0.3">
      <c r="A102" s="45"/>
      <c r="B102" s="45"/>
      <c r="C102" s="79"/>
      <c r="D102" s="60"/>
      <c r="E102" s="60"/>
      <c r="F102" s="60"/>
      <c r="G102" s="79"/>
      <c r="H102" s="45"/>
      <c r="I102" s="45"/>
      <c r="J102" s="45"/>
      <c r="K102" s="45"/>
      <c r="L102" s="45"/>
      <c r="M102" s="45"/>
      <c r="N102" s="45"/>
      <c r="O102" s="45"/>
      <c r="P102" s="45"/>
      <c r="Q102" s="45"/>
      <c r="R102" s="45"/>
      <c r="S102" s="45"/>
      <c r="T102" s="45"/>
      <c r="U102" s="45"/>
      <c r="V102" s="45"/>
      <c r="W102" s="45"/>
      <c r="X102" s="45"/>
      <c r="Y102" s="45"/>
      <c r="Z102" s="45"/>
      <c r="AA102" s="45"/>
    </row>
  </sheetData>
  <mergeCells count="2">
    <mergeCell ref="A1:Q1"/>
    <mergeCell ref="V3:AA3"/>
  </mergeCells>
  <conditionalFormatting sqref="O3:O1048576">
    <cfRule type="containsText" dxfId="80" priority="1" operator="containsText" text="Open">
      <formula>NOT(ISERROR(SEARCH("Open",O3)))</formula>
    </cfRule>
    <cfRule type="containsText" dxfId="79" priority="2" operator="containsText" text="Resolved">
      <formula>NOT(ISERROR(SEARCH("Resolved",O3)))</formula>
    </cfRule>
  </conditionalFormatting>
  <conditionalFormatting sqref="O7:O8">
    <cfRule type="colorScale" priority="3">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B6CF4-85A5-4FE7-A387-F1EE14F6B628}">
  <dimension ref="A1:L33"/>
  <sheetViews>
    <sheetView workbookViewId="0">
      <selection activeCell="F18" sqref="F18"/>
    </sheetView>
  </sheetViews>
  <sheetFormatPr defaultRowHeight="14.4" x14ac:dyDescent="0.3"/>
  <cols>
    <col min="1" max="1" width="10.77734375" style="24" customWidth="1"/>
    <col min="2" max="2" width="17.88671875" style="24" bestFit="1" customWidth="1"/>
    <col min="3" max="3" width="22.88671875" style="24" bestFit="1" customWidth="1"/>
    <col min="4" max="4" width="36.44140625" style="94" customWidth="1"/>
    <col min="5" max="5" width="26.88671875" style="24" bestFit="1" customWidth="1"/>
    <col min="6" max="6" width="18.109375" style="9" customWidth="1"/>
    <col min="7" max="7" width="16.21875" style="9" customWidth="1"/>
    <col min="8" max="8" width="16.88671875" style="24" customWidth="1"/>
    <col min="9" max="9" width="13.21875" style="24" bestFit="1" customWidth="1"/>
    <col min="10" max="10" width="11.6640625" style="24" bestFit="1" customWidth="1"/>
    <col min="11" max="11" width="13.88671875" style="24" customWidth="1"/>
    <col min="12" max="12" width="27.109375" style="24" customWidth="1"/>
    <col min="13" max="16384" width="8.88671875" style="24"/>
  </cols>
  <sheetData>
    <row r="1" spans="1:12" ht="18.600000000000001" customHeight="1" x14ac:dyDescent="0.3">
      <c r="A1" s="85" t="s">
        <v>269</v>
      </c>
      <c r="B1" s="86"/>
      <c r="C1" s="86"/>
      <c r="D1" s="86"/>
      <c r="E1" s="86"/>
      <c r="F1" s="86"/>
      <c r="G1" s="86"/>
      <c r="H1" s="86"/>
      <c r="I1" s="86"/>
      <c r="J1" s="86"/>
      <c r="K1" s="86"/>
      <c r="L1" s="87"/>
    </row>
    <row r="2" spans="1:12" ht="15" thickBot="1" x14ac:dyDescent="0.35">
      <c r="A2" s="88"/>
      <c r="B2" s="89"/>
      <c r="C2" s="89"/>
      <c r="D2" s="89"/>
      <c r="E2" s="89"/>
      <c r="F2" s="89"/>
      <c r="G2" s="89"/>
      <c r="H2" s="89"/>
      <c r="I2" s="89"/>
      <c r="J2" s="89"/>
      <c r="K2" s="89"/>
      <c r="L2" s="90"/>
    </row>
    <row r="3" spans="1:12" s="94" customFormat="1" ht="29.4" thickBot="1" x14ac:dyDescent="0.35">
      <c r="A3" s="91" t="s">
        <v>270</v>
      </c>
      <c r="B3" s="92" t="s">
        <v>271</v>
      </c>
      <c r="C3" s="92" t="s">
        <v>272</v>
      </c>
      <c r="D3" s="92" t="s">
        <v>273</v>
      </c>
      <c r="E3" s="92" t="s">
        <v>274</v>
      </c>
      <c r="F3" s="92" t="s">
        <v>275</v>
      </c>
      <c r="G3" s="92" t="s">
        <v>276</v>
      </c>
      <c r="H3" s="92" t="s">
        <v>277</v>
      </c>
      <c r="I3" s="92" t="s">
        <v>211</v>
      </c>
      <c r="J3" s="92" t="s">
        <v>278</v>
      </c>
      <c r="K3" s="92" t="s">
        <v>279</v>
      </c>
      <c r="L3" s="93" t="s">
        <v>21</v>
      </c>
    </row>
    <row r="4" spans="1:12" ht="28.8" x14ac:dyDescent="0.3">
      <c r="A4" s="95" t="s">
        <v>280</v>
      </c>
      <c r="B4" s="96" t="s">
        <v>281</v>
      </c>
      <c r="C4" s="96" t="s">
        <v>282</v>
      </c>
      <c r="D4" s="97" t="s">
        <v>283</v>
      </c>
      <c r="E4" s="98" t="s">
        <v>284</v>
      </c>
      <c r="F4" s="99">
        <v>45662</v>
      </c>
      <c r="G4" s="99">
        <v>45677</v>
      </c>
      <c r="H4" s="99">
        <v>45679</v>
      </c>
      <c r="I4" s="96" t="s">
        <v>285</v>
      </c>
      <c r="J4" s="98">
        <f>H4-G4</f>
        <v>2</v>
      </c>
      <c r="K4" s="96" t="s">
        <v>248</v>
      </c>
      <c r="L4" s="100" t="s">
        <v>286</v>
      </c>
    </row>
    <row r="5" spans="1:12" x14ac:dyDescent="0.3">
      <c r="A5" s="101" t="s">
        <v>287</v>
      </c>
      <c r="B5" s="102" t="s">
        <v>288</v>
      </c>
      <c r="C5" s="102" t="s">
        <v>289</v>
      </c>
      <c r="D5" s="103" t="s">
        <v>290</v>
      </c>
      <c r="E5" s="104" t="s">
        <v>291</v>
      </c>
      <c r="F5" s="105">
        <v>45659</v>
      </c>
      <c r="G5" s="105">
        <v>45667</v>
      </c>
      <c r="H5" s="105">
        <v>45666</v>
      </c>
      <c r="I5" s="102" t="s">
        <v>285</v>
      </c>
      <c r="J5" s="104">
        <v>-1</v>
      </c>
      <c r="K5" s="102" t="s">
        <v>227</v>
      </c>
      <c r="L5" s="106" t="s">
        <v>292</v>
      </c>
    </row>
    <row r="6" spans="1:12" ht="28.8" x14ac:dyDescent="0.3">
      <c r="A6" s="101" t="s">
        <v>293</v>
      </c>
      <c r="B6" s="102" t="s">
        <v>281</v>
      </c>
      <c r="C6" s="102" t="s">
        <v>282</v>
      </c>
      <c r="D6" s="103" t="s">
        <v>294</v>
      </c>
      <c r="E6" s="104" t="s">
        <v>284</v>
      </c>
      <c r="F6" s="105">
        <v>45663</v>
      </c>
      <c r="G6" s="105">
        <v>45682</v>
      </c>
      <c r="H6" s="104"/>
      <c r="I6" s="102" t="s">
        <v>295</v>
      </c>
      <c r="J6" s="104"/>
      <c r="K6" s="102" t="s">
        <v>227</v>
      </c>
      <c r="L6" s="106" t="s">
        <v>296</v>
      </c>
    </row>
    <row r="7" spans="1:12" x14ac:dyDescent="0.3">
      <c r="A7" s="101" t="s">
        <v>297</v>
      </c>
      <c r="B7" s="102" t="s">
        <v>281</v>
      </c>
      <c r="C7" s="102" t="s">
        <v>282</v>
      </c>
      <c r="D7" s="103" t="s">
        <v>298</v>
      </c>
      <c r="E7" s="104" t="s">
        <v>23</v>
      </c>
      <c r="F7" s="105">
        <v>45665</v>
      </c>
      <c r="G7" s="105">
        <v>45677</v>
      </c>
      <c r="H7" s="104"/>
      <c r="I7" s="102" t="s">
        <v>299</v>
      </c>
      <c r="J7" s="104"/>
      <c r="K7" s="102" t="s">
        <v>227</v>
      </c>
      <c r="L7" s="106" t="s">
        <v>300</v>
      </c>
    </row>
    <row r="8" spans="1:12" x14ac:dyDescent="0.3">
      <c r="A8" s="101" t="s">
        <v>301</v>
      </c>
      <c r="B8" s="102" t="s">
        <v>302</v>
      </c>
      <c r="C8" s="102" t="s">
        <v>303</v>
      </c>
      <c r="D8" s="103" t="s">
        <v>304</v>
      </c>
      <c r="E8" s="104" t="s">
        <v>291</v>
      </c>
      <c r="F8" s="105">
        <v>45660</v>
      </c>
      <c r="G8" s="105">
        <v>45672</v>
      </c>
      <c r="H8" s="105">
        <v>45671</v>
      </c>
      <c r="I8" s="102" t="s">
        <v>285</v>
      </c>
      <c r="J8" s="104">
        <v>-1</v>
      </c>
      <c r="K8" s="102" t="s">
        <v>227</v>
      </c>
      <c r="L8" s="106" t="s">
        <v>305</v>
      </c>
    </row>
    <row r="9" spans="1:12" x14ac:dyDescent="0.3">
      <c r="A9" s="101" t="s">
        <v>306</v>
      </c>
      <c r="B9" s="102" t="s">
        <v>302</v>
      </c>
      <c r="C9" s="102" t="s">
        <v>307</v>
      </c>
      <c r="D9" s="103" t="s">
        <v>308</v>
      </c>
      <c r="E9" s="104" t="s">
        <v>291</v>
      </c>
      <c r="F9" s="105">
        <v>45660</v>
      </c>
      <c r="G9" s="105">
        <v>45672</v>
      </c>
      <c r="H9" s="105">
        <v>45673</v>
      </c>
      <c r="I9" s="102" t="s">
        <v>285</v>
      </c>
      <c r="J9" s="104">
        <v>1</v>
      </c>
      <c r="K9" s="102" t="s">
        <v>227</v>
      </c>
      <c r="L9" s="106" t="s">
        <v>309</v>
      </c>
    </row>
    <row r="10" spans="1:12" x14ac:dyDescent="0.3">
      <c r="A10" s="101" t="s">
        <v>310</v>
      </c>
      <c r="B10" s="102" t="s">
        <v>311</v>
      </c>
      <c r="C10" s="102" t="s">
        <v>312</v>
      </c>
      <c r="D10" s="103" t="s">
        <v>313</v>
      </c>
      <c r="E10" s="104" t="s">
        <v>291</v>
      </c>
      <c r="F10" s="105">
        <v>45661</v>
      </c>
      <c r="G10" s="105">
        <v>45675</v>
      </c>
      <c r="H10" s="105">
        <v>45674</v>
      </c>
      <c r="I10" s="102" t="s">
        <v>285</v>
      </c>
      <c r="J10" s="104">
        <v>-1</v>
      </c>
      <c r="K10" s="102" t="s">
        <v>227</v>
      </c>
      <c r="L10" s="106" t="s">
        <v>305</v>
      </c>
    </row>
    <row r="11" spans="1:12" x14ac:dyDescent="0.3">
      <c r="A11" s="101" t="s">
        <v>314</v>
      </c>
      <c r="B11" s="102" t="s">
        <v>281</v>
      </c>
      <c r="C11" s="102" t="s">
        <v>282</v>
      </c>
      <c r="D11" s="103" t="s">
        <v>315</v>
      </c>
      <c r="E11" s="104" t="s">
        <v>284</v>
      </c>
      <c r="F11" s="105">
        <v>45662</v>
      </c>
      <c r="G11" s="105">
        <v>45675</v>
      </c>
      <c r="H11" s="104"/>
      <c r="I11" s="102" t="s">
        <v>295</v>
      </c>
      <c r="J11" s="104"/>
      <c r="K11" s="102" t="s">
        <v>227</v>
      </c>
      <c r="L11" s="106" t="s">
        <v>316</v>
      </c>
    </row>
    <row r="12" spans="1:12" x14ac:dyDescent="0.3">
      <c r="A12" s="101" t="s">
        <v>317</v>
      </c>
      <c r="B12" s="102" t="s">
        <v>318</v>
      </c>
      <c r="C12" s="102" t="s">
        <v>319</v>
      </c>
      <c r="D12" s="103" t="s">
        <v>320</v>
      </c>
      <c r="E12" s="104" t="s">
        <v>284</v>
      </c>
      <c r="F12" s="105">
        <v>45664</v>
      </c>
      <c r="G12" s="105">
        <v>45671</v>
      </c>
      <c r="H12" s="105">
        <v>45670</v>
      </c>
      <c r="I12" s="102" t="s">
        <v>285</v>
      </c>
      <c r="J12" s="104">
        <v>-1</v>
      </c>
      <c r="K12" s="102" t="s">
        <v>227</v>
      </c>
      <c r="L12" s="106" t="s">
        <v>305</v>
      </c>
    </row>
    <row r="13" spans="1:12" x14ac:dyDescent="0.3">
      <c r="A13" s="101" t="s">
        <v>321</v>
      </c>
      <c r="B13" s="102" t="s">
        <v>322</v>
      </c>
      <c r="C13" s="102" t="s">
        <v>323</v>
      </c>
      <c r="D13" s="103" t="s">
        <v>324</v>
      </c>
      <c r="E13" s="104" t="s">
        <v>284</v>
      </c>
      <c r="F13" s="105">
        <v>45664</v>
      </c>
      <c r="G13" s="105">
        <v>45678</v>
      </c>
      <c r="H13" s="104"/>
      <c r="I13" s="102" t="s">
        <v>299</v>
      </c>
      <c r="J13" s="104"/>
      <c r="K13" s="102" t="s">
        <v>227</v>
      </c>
      <c r="L13" s="106" t="s">
        <v>325</v>
      </c>
    </row>
    <row r="14" spans="1:12" x14ac:dyDescent="0.3">
      <c r="A14" s="101" t="s">
        <v>326</v>
      </c>
      <c r="B14" s="102" t="s">
        <v>327</v>
      </c>
      <c r="C14" s="102" t="s">
        <v>328</v>
      </c>
      <c r="D14" s="103" t="s">
        <v>329</v>
      </c>
      <c r="E14" s="104" t="s">
        <v>284</v>
      </c>
      <c r="F14" s="105">
        <v>45666</v>
      </c>
      <c r="G14" s="105">
        <v>45676</v>
      </c>
      <c r="H14" s="105">
        <v>45675</v>
      </c>
      <c r="I14" s="102" t="s">
        <v>285</v>
      </c>
      <c r="J14" s="104">
        <v>-1</v>
      </c>
      <c r="K14" s="102" t="s">
        <v>227</v>
      </c>
      <c r="L14" s="106" t="s">
        <v>305</v>
      </c>
    </row>
    <row r="15" spans="1:12" x14ac:dyDescent="0.3">
      <c r="A15" s="101" t="s">
        <v>330</v>
      </c>
      <c r="B15" s="102" t="s">
        <v>327</v>
      </c>
      <c r="C15" s="102" t="s">
        <v>328</v>
      </c>
      <c r="D15" s="103" t="s">
        <v>331</v>
      </c>
      <c r="E15" s="104" t="s">
        <v>284</v>
      </c>
      <c r="F15" s="105">
        <v>45666</v>
      </c>
      <c r="G15" s="105">
        <v>45676</v>
      </c>
      <c r="H15" s="104"/>
      <c r="I15" s="102" t="s">
        <v>295</v>
      </c>
      <c r="J15" s="104"/>
      <c r="K15" s="102" t="s">
        <v>227</v>
      </c>
      <c r="L15" s="106" t="s">
        <v>332</v>
      </c>
    </row>
    <row r="16" spans="1:12" x14ac:dyDescent="0.3">
      <c r="A16" s="101" t="s">
        <v>333</v>
      </c>
      <c r="B16" s="102" t="s">
        <v>334</v>
      </c>
      <c r="C16" s="102" t="s">
        <v>335</v>
      </c>
      <c r="D16" s="103" t="s">
        <v>336</v>
      </c>
      <c r="E16" s="104" t="s">
        <v>337</v>
      </c>
      <c r="F16" s="105">
        <v>45667</v>
      </c>
      <c r="G16" s="105">
        <v>45682</v>
      </c>
      <c r="H16" s="104"/>
      <c r="I16" s="102" t="s">
        <v>338</v>
      </c>
      <c r="J16" s="104"/>
      <c r="K16" s="102" t="s">
        <v>248</v>
      </c>
      <c r="L16" s="106" t="s">
        <v>339</v>
      </c>
    </row>
    <row r="17" spans="1:12" x14ac:dyDescent="0.3">
      <c r="A17" s="101" t="s">
        <v>340</v>
      </c>
      <c r="B17" s="102" t="s">
        <v>341</v>
      </c>
      <c r="C17" s="102" t="s">
        <v>342</v>
      </c>
      <c r="D17" s="103" t="s">
        <v>343</v>
      </c>
      <c r="E17" s="104" t="s">
        <v>344</v>
      </c>
      <c r="F17" s="105">
        <v>45669</v>
      </c>
      <c r="G17" s="105">
        <v>45693</v>
      </c>
      <c r="H17" s="104"/>
      <c r="I17" s="102" t="s">
        <v>295</v>
      </c>
      <c r="J17" s="104"/>
      <c r="K17" s="102" t="s">
        <v>248</v>
      </c>
      <c r="L17" s="106" t="s">
        <v>345</v>
      </c>
    </row>
    <row r="18" spans="1:12" x14ac:dyDescent="0.3">
      <c r="A18" s="101" t="s">
        <v>346</v>
      </c>
      <c r="B18" s="102" t="s">
        <v>341</v>
      </c>
      <c r="C18" s="102" t="s">
        <v>342</v>
      </c>
      <c r="D18" s="103" t="s">
        <v>347</v>
      </c>
      <c r="E18" s="104" t="s">
        <v>344</v>
      </c>
      <c r="F18" s="105">
        <v>45672</v>
      </c>
      <c r="G18" s="105">
        <v>45698</v>
      </c>
      <c r="H18" s="104"/>
      <c r="I18" s="102" t="s">
        <v>348</v>
      </c>
      <c r="J18" s="104"/>
      <c r="K18" s="102" t="s">
        <v>227</v>
      </c>
      <c r="L18" s="106" t="s">
        <v>349</v>
      </c>
    </row>
    <row r="19" spans="1:12" x14ac:dyDescent="0.3">
      <c r="A19" s="101" t="s">
        <v>350</v>
      </c>
      <c r="B19" s="102" t="s">
        <v>351</v>
      </c>
      <c r="C19" s="102" t="s">
        <v>352</v>
      </c>
      <c r="D19" s="103" t="s">
        <v>353</v>
      </c>
      <c r="E19" s="104" t="s">
        <v>23</v>
      </c>
      <c r="F19" s="105">
        <v>45641</v>
      </c>
      <c r="G19" s="105">
        <v>45687</v>
      </c>
      <c r="H19" s="105">
        <v>45685</v>
      </c>
      <c r="I19" s="102" t="s">
        <v>285</v>
      </c>
      <c r="J19" s="104">
        <v>-2</v>
      </c>
      <c r="K19" s="102" t="s">
        <v>248</v>
      </c>
      <c r="L19" s="106" t="s">
        <v>305</v>
      </c>
    </row>
    <row r="20" spans="1:12" x14ac:dyDescent="0.3">
      <c r="A20" s="101" t="s">
        <v>354</v>
      </c>
      <c r="B20" s="102" t="s">
        <v>351</v>
      </c>
      <c r="C20" s="102" t="s">
        <v>352</v>
      </c>
      <c r="D20" s="103" t="s">
        <v>355</v>
      </c>
      <c r="E20" s="104" t="s">
        <v>78</v>
      </c>
      <c r="F20" s="105">
        <v>45662</v>
      </c>
      <c r="G20" s="105">
        <v>45682</v>
      </c>
      <c r="H20" s="104"/>
      <c r="I20" s="102" t="s">
        <v>299</v>
      </c>
      <c r="J20" s="104"/>
      <c r="K20" s="102" t="s">
        <v>248</v>
      </c>
      <c r="L20" s="106" t="s">
        <v>356</v>
      </c>
    </row>
    <row r="21" spans="1:12" x14ac:dyDescent="0.3">
      <c r="A21" s="101" t="s">
        <v>357</v>
      </c>
      <c r="B21" s="102" t="s">
        <v>358</v>
      </c>
      <c r="C21" s="102" t="s">
        <v>359</v>
      </c>
      <c r="D21" s="103" t="s">
        <v>360</v>
      </c>
      <c r="E21" s="104" t="s">
        <v>361</v>
      </c>
      <c r="F21" s="105">
        <v>45663</v>
      </c>
      <c r="G21" s="105">
        <v>45677</v>
      </c>
      <c r="H21" s="105">
        <v>45678</v>
      </c>
      <c r="I21" s="102" t="s">
        <v>285</v>
      </c>
      <c r="J21" s="104">
        <v>1</v>
      </c>
      <c r="K21" s="102" t="s">
        <v>227</v>
      </c>
      <c r="L21" s="106" t="s">
        <v>305</v>
      </c>
    </row>
    <row r="22" spans="1:12" x14ac:dyDescent="0.3">
      <c r="A22" s="101" t="s">
        <v>362</v>
      </c>
      <c r="B22" s="102" t="s">
        <v>358</v>
      </c>
      <c r="C22" s="102" t="s">
        <v>363</v>
      </c>
      <c r="D22" s="103" t="s">
        <v>364</v>
      </c>
      <c r="E22" s="104" t="s">
        <v>361</v>
      </c>
      <c r="F22" s="105">
        <v>45663</v>
      </c>
      <c r="G22" s="105">
        <v>45677</v>
      </c>
      <c r="H22" s="104"/>
      <c r="I22" s="102" t="s">
        <v>295</v>
      </c>
      <c r="J22" s="104"/>
      <c r="K22" s="102" t="s">
        <v>227</v>
      </c>
      <c r="L22" s="106" t="s">
        <v>365</v>
      </c>
    </row>
    <row r="23" spans="1:12" x14ac:dyDescent="0.3">
      <c r="A23" s="101" t="s">
        <v>366</v>
      </c>
      <c r="B23" s="102" t="s">
        <v>367</v>
      </c>
      <c r="C23" s="102" t="s">
        <v>368</v>
      </c>
      <c r="D23" s="103" t="s">
        <v>369</v>
      </c>
      <c r="E23" s="104" t="s">
        <v>370</v>
      </c>
      <c r="F23" s="105">
        <v>45667</v>
      </c>
      <c r="G23" s="105">
        <v>45675</v>
      </c>
      <c r="H23" s="105">
        <v>45674</v>
      </c>
      <c r="I23" s="102" t="s">
        <v>285</v>
      </c>
      <c r="J23" s="104">
        <v>-1</v>
      </c>
      <c r="K23" s="102" t="s">
        <v>248</v>
      </c>
      <c r="L23" s="106" t="s">
        <v>305</v>
      </c>
    </row>
    <row r="24" spans="1:12" x14ac:dyDescent="0.3">
      <c r="A24" s="101" t="s">
        <v>371</v>
      </c>
      <c r="B24" s="102" t="s">
        <v>327</v>
      </c>
      <c r="C24" s="102" t="s">
        <v>372</v>
      </c>
      <c r="D24" s="103" t="s">
        <v>373</v>
      </c>
      <c r="E24" s="104" t="s">
        <v>284</v>
      </c>
      <c r="F24" s="105">
        <v>45668</v>
      </c>
      <c r="G24" s="105">
        <v>45679</v>
      </c>
      <c r="H24" s="104"/>
      <c r="I24" s="102" t="s">
        <v>338</v>
      </c>
      <c r="J24" s="104"/>
      <c r="K24" s="102" t="s">
        <v>227</v>
      </c>
      <c r="L24" s="106" t="s">
        <v>374</v>
      </c>
    </row>
    <row r="25" spans="1:12" x14ac:dyDescent="0.3">
      <c r="A25" s="101" t="s">
        <v>375</v>
      </c>
      <c r="B25" s="102" t="s">
        <v>288</v>
      </c>
      <c r="C25" s="102" t="s">
        <v>289</v>
      </c>
      <c r="D25" s="103" t="s">
        <v>376</v>
      </c>
      <c r="E25" s="104" t="s">
        <v>377</v>
      </c>
      <c r="F25" s="105">
        <v>45662</v>
      </c>
      <c r="G25" s="105">
        <v>45669</v>
      </c>
      <c r="H25" s="105">
        <v>45668</v>
      </c>
      <c r="I25" s="102" t="s">
        <v>285</v>
      </c>
      <c r="J25" s="104">
        <v>-1</v>
      </c>
      <c r="K25" s="102" t="s">
        <v>227</v>
      </c>
      <c r="L25" s="106" t="s">
        <v>305</v>
      </c>
    </row>
    <row r="26" spans="1:12" x14ac:dyDescent="0.3">
      <c r="A26" s="101" t="s">
        <v>378</v>
      </c>
      <c r="B26" s="102" t="s">
        <v>281</v>
      </c>
      <c r="C26" s="102" t="s">
        <v>282</v>
      </c>
      <c r="D26" s="103" t="s">
        <v>379</v>
      </c>
      <c r="E26" s="104" t="s">
        <v>284</v>
      </c>
      <c r="F26" s="105">
        <v>45665</v>
      </c>
      <c r="G26" s="105">
        <v>45682</v>
      </c>
      <c r="H26" s="104"/>
      <c r="I26" s="102" t="s">
        <v>295</v>
      </c>
      <c r="J26" s="104"/>
      <c r="K26" s="102" t="s">
        <v>227</v>
      </c>
      <c r="L26" s="106" t="s">
        <v>380</v>
      </c>
    </row>
    <row r="27" spans="1:12" x14ac:dyDescent="0.3">
      <c r="A27" s="101" t="s">
        <v>381</v>
      </c>
      <c r="B27" s="102" t="s">
        <v>341</v>
      </c>
      <c r="C27" s="102" t="s">
        <v>351</v>
      </c>
      <c r="D27" s="103" t="s">
        <v>382</v>
      </c>
      <c r="E27" s="104" t="s">
        <v>383</v>
      </c>
      <c r="F27" s="105">
        <v>45672</v>
      </c>
      <c r="G27" s="105">
        <v>45689</v>
      </c>
      <c r="H27" s="104"/>
      <c r="I27" s="102" t="s">
        <v>348</v>
      </c>
      <c r="J27" s="104"/>
      <c r="K27" s="102" t="s">
        <v>248</v>
      </c>
      <c r="L27" s="106" t="s">
        <v>384</v>
      </c>
    </row>
    <row r="28" spans="1:12" x14ac:dyDescent="0.3">
      <c r="A28" s="101" t="s">
        <v>385</v>
      </c>
      <c r="B28" s="102" t="s">
        <v>327</v>
      </c>
      <c r="C28" s="102" t="s">
        <v>335</v>
      </c>
      <c r="D28" s="103" t="s">
        <v>386</v>
      </c>
      <c r="E28" s="104" t="s">
        <v>361</v>
      </c>
      <c r="F28" s="105">
        <v>45673</v>
      </c>
      <c r="G28" s="105">
        <v>45687</v>
      </c>
      <c r="H28" s="104"/>
      <c r="I28" s="102" t="s">
        <v>338</v>
      </c>
      <c r="J28" s="104"/>
      <c r="K28" s="102" t="s">
        <v>227</v>
      </c>
      <c r="L28" s="106" t="s">
        <v>387</v>
      </c>
    </row>
    <row r="29" spans="1:12" x14ac:dyDescent="0.3">
      <c r="A29" s="101" t="s">
        <v>388</v>
      </c>
      <c r="B29" s="102" t="s">
        <v>358</v>
      </c>
      <c r="C29" s="102" t="s">
        <v>389</v>
      </c>
      <c r="D29" s="103" t="s">
        <v>390</v>
      </c>
      <c r="E29" s="104" t="s">
        <v>391</v>
      </c>
      <c r="F29" s="105">
        <v>45671</v>
      </c>
      <c r="G29" s="105">
        <v>45685</v>
      </c>
      <c r="H29" s="105">
        <v>45684</v>
      </c>
      <c r="I29" s="102" t="s">
        <v>285</v>
      </c>
      <c r="J29" s="104">
        <v>-1</v>
      </c>
      <c r="K29" s="102" t="s">
        <v>227</v>
      </c>
      <c r="L29" s="106" t="s">
        <v>305</v>
      </c>
    </row>
    <row r="30" spans="1:12" x14ac:dyDescent="0.3">
      <c r="A30" s="101" t="s">
        <v>392</v>
      </c>
      <c r="B30" s="102" t="s">
        <v>351</v>
      </c>
      <c r="C30" s="102" t="s">
        <v>352</v>
      </c>
      <c r="D30" s="103" t="s">
        <v>393</v>
      </c>
      <c r="E30" s="104" t="s">
        <v>383</v>
      </c>
      <c r="F30" s="105">
        <v>45675</v>
      </c>
      <c r="G30" s="105">
        <v>45685</v>
      </c>
      <c r="H30" s="104"/>
      <c r="I30" s="102" t="s">
        <v>295</v>
      </c>
      <c r="J30" s="104"/>
      <c r="K30" s="102" t="s">
        <v>248</v>
      </c>
      <c r="L30" s="106" t="s">
        <v>394</v>
      </c>
    </row>
    <row r="31" spans="1:12" x14ac:dyDescent="0.3">
      <c r="A31" s="101" t="s">
        <v>395</v>
      </c>
      <c r="B31" s="102" t="s">
        <v>341</v>
      </c>
      <c r="C31" s="102" t="s">
        <v>351</v>
      </c>
      <c r="D31" s="103" t="s">
        <v>396</v>
      </c>
      <c r="E31" s="104" t="s">
        <v>344</v>
      </c>
      <c r="F31" s="105">
        <v>45677</v>
      </c>
      <c r="G31" s="105">
        <v>45693</v>
      </c>
      <c r="H31" s="104"/>
      <c r="I31" s="102" t="s">
        <v>348</v>
      </c>
      <c r="J31" s="104"/>
      <c r="K31" s="102" t="s">
        <v>227</v>
      </c>
      <c r="L31" s="106" t="s">
        <v>397</v>
      </c>
    </row>
    <row r="32" spans="1:12" x14ac:dyDescent="0.3">
      <c r="A32" s="101" t="s">
        <v>398</v>
      </c>
      <c r="B32" s="102" t="s">
        <v>327</v>
      </c>
      <c r="C32" s="102" t="s">
        <v>399</v>
      </c>
      <c r="D32" s="103" t="s">
        <v>400</v>
      </c>
      <c r="E32" s="104" t="s">
        <v>23</v>
      </c>
      <c r="F32" s="105">
        <v>45679</v>
      </c>
      <c r="G32" s="105">
        <v>45698</v>
      </c>
      <c r="H32" s="104"/>
      <c r="I32" s="102" t="s">
        <v>338</v>
      </c>
      <c r="J32" s="104"/>
      <c r="K32" s="102" t="s">
        <v>227</v>
      </c>
      <c r="L32" s="106" t="s">
        <v>332</v>
      </c>
    </row>
    <row r="33" spans="1:12" ht="15" thickBot="1" x14ac:dyDescent="0.35">
      <c r="A33" s="107" t="s">
        <v>401</v>
      </c>
      <c r="B33" s="108" t="s">
        <v>302</v>
      </c>
      <c r="C33" s="108" t="s">
        <v>402</v>
      </c>
      <c r="D33" s="109" t="s">
        <v>403</v>
      </c>
      <c r="E33" s="110" t="s">
        <v>344</v>
      </c>
      <c r="F33" s="111">
        <v>45682</v>
      </c>
      <c r="G33" s="111">
        <v>45703</v>
      </c>
      <c r="H33" s="110"/>
      <c r="I33" s="108" t="s">
        <v>348</v>
      </c>
      <c r="J33" s="110"/>
      <c r="K33" s="108" t="s">
        <v>227</v>
      </c>
      <c r="L33" s="112" t="s">
        <v>404</v>
      </c>
    </row>
  </sheetData>
  <mergeCells count="1">
    <mergeCell ref="A1:L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641AC-1E0E-4C10-B008-F31D5FC4CD5C}">
  <dimension ref="A1:O14"/>
  <sheetViews>
    <sheetView workbookViewId="0">
      <selection activeCell="G25" sqref="G25"/>
    </sheetView>
  </sheetViews>
  <sheetFormatPr defaultRowHeight="14.4" x14ac:dyDescent="0.3"/>
  <cols>
    <col min="1" max="1" width="14.5546875" style="113" customWidth="1"/>
    <col min="2" max="2" width="15.109375" style="113" customWidth="1"/>
    <col min="3" max="3" width="18.88671875" style="113" customWidth="1"/>
    <col min="4" max="4" width="17.88671875" style="113" customWidth="1"/>
    <col min="5" max="6" width="19.6640625" style="113" customWidth="1"/>
    <col min="7" max="7" width="15.5546875" style="113" customWidth="1"/>
    <col min="8" max="8" width="17.44140625" style="113" customWidth="1"/>
    <col min="9" max="9" width="20.6640625" style="113" customWidth="1"/>
    <col min="10" max="10" width="16.88671875" style="113" customWidth="1"/>
    <col min="11" max="11" width="16.5546875" style="113" customWidth="1"/>
    <col min="12" max="12" width="15.44140625" style="113" customWidth="1"/>
    <col min="13" max="13" width="13.88671875" style="113" customWidth="1"/>
    <col min="14" max="14" width="16" style="113" customWidth="1"/>
    <col min="15" max="15" width="15.44140625" style="113" customWidth="1"/>
    <col min="16" max="16384" width="8.88671875" style="113"/>
  </cols>
  <sheetData>
    <row r="1" spans="1:15" x14ac:dyDescent="0.3">
      <c r="A1" s="114" t="s">
        <v>405</v>
      </c>
      <c r="B1" s="114" t="s">
        <v>406</v>
      </c>
      <c r="C1" s="114" t="s">
        <v>407</v>
      </c>
      <c r="D1" s="114" t="s">
        <v>408</v>
      </c>
      <c r="E1" s="114" t="s">
        <v>409</v>
      </c>
      <c r="F1" s="114" t="s">
        <v>410</v>
      </c>
      <c r="G1" s="114" t="s">
        <v>411</v>
      </c>
      <c r="H1" s="114" t="s">
        <v>412</v>
      </c>
      <c r="I1" s="114" t="s">
        <v>413</v>
      </c>
      <c r="J1" s="114" t="s">
        <v>414</v>
      </c>
      <c r="K1" s="114" t="s">
        <v>415</v>
      </c>
      <c r="L1" s="114" t="s">
        <v>416</v>
      </c>
      <c r="M1" s="114" t="s">
        <v>417</v>
      </c>
      <c r="N1" s="114" t="s">
        <v>418</v>
      </c>
      <c r="O1" s="114" t="s">
        <v>419</v>
      </c>
    </row>
    <row r="2" spans="1:15" x14ac:dyDescent="0.3">
      <c r="A2" s="115" t="s">
        <v>420</v>
      </c>
      <c r="B2" s="115" t="s">
        <v>421</v>
      </c>
      <c r="C2" s="115" t="s">
        <v>422</v>
      </c>
      <c r="D2" s="116">
        <v>46023</v>
      </c>
      <c r="E2" s="116">
        <v>46027</v>
      </c>
      <c r="F2" s="117">
        <f>Table1[[#This Row],[Planned End]]-Table1[[#This Row],[Planned Start]]</f>
        <v>4</v>
      </c>
      <c r="G2" s="116">
        <v>46023</v>
      </c>
      <c r="H2" s="116">
        <v>46027</v>
      </c>
      <c r="I2" s="117">
        <f>Table1[[#This Row],[Actual End]]-Table1[[#This Row],[Actual Start]]</f>
        <v>4</v>
      </c>
      <c r="J2" s="115">
        <v>5</v>
      </c>
      <c r="K2" s="120">
        <f ca="1">IF(AND(G2="",H2=""),0,
 IF(AND(G2&lt;&gt;"",H2=""),
  MIN((TODAY()-G2+1)/F2,1),
  1))</f>
        <v>1</v>
      </c>
      <c r="L2" s="115" t="s">
        <v>423</v>
      </c>
      <c r="M2" s="115" t="s">
        <v>424</v>
      </c>
      <c r="N2" s="115" t="str">
        <f>IF(AND(G2="",H2=""),"Not Started",
 IF(AND(G2&lt;&gt;"",H2=""),"In Progress",
 IF(H2&lt;=E2,"Completed",
 "Delayed")))</f>
        <v>Completed</v>
      </c>
      <c r="O2" s="115">
        <f>IF(Table1[[#This Row],[Actual Days]]&gt;Table1[[#This Row],[Planned Days]],Table1[[#This Row],[Actual Days]]-Table1[[#This Row],[Planned Days]],0)</f>
        <v>0</v>
      </c>
    </row>
    <row r="3" spans="1:15" x14ac:dyDescent="0.3">
      <c r="A3" s="115" t="s">
        <v>426</v>
      </c>
      <c r="B3" s="115" t="s">
        <v>238</v>
      </c>
      <c r="C3" s="115" t="s">
        <v>427</v>
      </c>
      <c r="D3" s="116">
        <v>46028</v>
      </c>
      <c r="E3" s="116">
        <v>46037</v>
      </c>
      <c r="F3" s="117">
        <f>Table1[[#This Row],[Planned End]]-Table1[[#This Row],[Planned Start]]</f>
        <v>9</v>
      </c>
      <c r="G3" s="116">
        <v>46029</v>
      </c>
      <c r="H3" s="116">
        <v>46039</v>
      </c>
      <c r="I3" s="117">
        <f>Table1[[#This Row],[Actual End]]-Table1[[#This Row],[Actual Start]]</f>
        <v>10</v>
      </c>
      <c r="J3" s="115">
        <v>5</v>
      </c>
      <c r="K3" s="120">
        <f t="shared" ref="K3:K11" ca="1" si="0">IF(AND(G3="",H3=""),0,
 IF(AND(G3&lt;&gt;"",H3=""),
  MIN((TODAY()-G3+1)/F3,1),
  1))</f>
        <v>1</v>
      </c>
      <c r="L3" s="115" t="s">
        <v>423</v>
      </c>
      <c r="M3" s="115" t="s">
        <v>424</v>
      </c>
      <c r="N3" s="115" t="str">
        <f t="shared" ref="N3:N11" si="1">IF(AND(G3="",H3=""),"Not Started",
 IF(AND(G3&lt;&gt;"",H3=""),"In Progress",
 IF(H3&lt;=E3,"Completed",
 "Delayed")))</f>
        <v>Delayed</v>
      </c>
      <c r="O3" s="115">
        <f>IF(Table1[[#This Row],[Actual Days]]&gt;Table1[[#This Row],[Planned Days]],Table1[[#This Row],[Actual Days]]-Table1[[#This Row],[Planned Days]],0)</f>
        <v>1</v>
      </c>
    </row>
    <row r="4" spans="1:15" x14ac:dyDescent="0.3">
      <c r="A4" s="115" t="s">
        <v>428</v>
      </c>
      <c r="B4" s="115" t="s">
        <v>429</v>
      </c>
      <c r="C4" s="115" t="s">
        <v>430</v>
      </c>
      <c r="D4" s="116">
        <v>46038</v>
      </c>
      <c r="E4" s="116">
        <v>46042</v>
      </c>
      <c r="F4" s="117">
        <f>Table1[[#This Row],[Planned End]]-Table1[[#This Row],[Planned Start]]</f>
        <v>4</v>
      </c>
      <c r="G4" s="116">
        <v>46038</v>
      </c>
      <c r="H4" s="116">
        <v>46042</v>
      </c>
      <c r="I4" s="117">
        <f>Table1[[#This Row],[Actual End]]-Table1[[#This Row],[Actual Start]]</f>
        <v>4</v>
      </c>
      <c r="J4" s="115">
        <v>5</v>
      </c>
      <c r="K4" s="120">
        <f t="shared" ca="1" si="0"/>
        <v>1</v>
      </c>
      <c r="L4" s="115" t="s">
        <v>431</v>
      </c>
      <c r="M4" s="115" t="s">
        <v>424</v>
      </c>
      <c r="N4" s="115" t="str">
        <f t="shared" si="1"/>
        <v>Completed</v>
      </c>
      <c r="O4" s="115">
        <f>IF(Table1[[#This Row],[Actual Days]]&gt;Table1[[#This Row],[Planned Days]],Table1[[#This Row],[Actual Days]]-Table1[[#This Row],[Planned Days]],0)</f>
        <v>0</v>
      </c>
    </row>
    <row r="5" spans="1:15" x14ac:dyDescent="0.3">
      <c r="A5" s="115" t="s">
        <v>432</v>
      </c>
      <c r="B5" s="115" t="s">
        <v>429</v>
      </c>
      <c r="C5" s="115" t="s">
        <v>433</v>
      </c>
      <c r="D5" s="116">
        <v>46043</v>
      </c>
      <c r="E5" s="116">
        <v>46052</v>
      </c>
      <c r="F5" s="117">
        <f>Table1[[#This Row],[Planned End]]-Table1[[#This Row],[Planned Start]]</f>
        <v>9</v>
      </c>
      <c r="G5" s="116">
        <v>46043</v>
      </c>
      <c r="H5" s="116">
        <v>46055</v>
      </c>
      <c r="I5" s="117">
        <f>Table1[[#This Row],[Actual End]]-Table1[[#This Row],[Actual Start]]</f>
        <v>12</v>
      </c>
      <c r="J5" s="115">
        <v>10</v>
      </c>
      <c r="K5" s="120">
        <f t="shared" ca="1" si="0"/>
        <v>1</v>
      </c>
      <c r="L5" s="115" t="s">
        <v>431</v>
      </c>
      <c r="M5" s="115" t="s">
        <v>434</v>
      </c>
      <c r="N5" s="115" t="str">
        <f t="shared" si="1"/>
        <v>Delayed</v>
      </c>
      <c r="O5" s="115">
        <f>IF(Table1[[#This Row],[Actual Days]]&gt;Table1[[#This Row],[Planned Days]],Table1[[#This Row],[Actual Days]]-Table1[[#This Row],[Planned Days]],0)</f>
        <v>3</v>
      </c>
    </row>
    <row r="6" spans="1:15" x14ac:dyDescent="0.3">
      <c r="A6" s="115" t="s">
        <v>435</v>
      </c>
      <c r="B6" s="115" t="s">
        <v>436</v>
      </c>
      <c r="C6" s="115" t="s">
        <v>437</v>
      </c>
      <c r="D6" s="116">
        <v>46054</v>
      </c>
      <c r="E6" s="116">
        <v>46063</v>
      </c>
      <c r="F6" s="117">
        <f>Table1[[#This Row],[Planned End]]-Table1[[#This Row],[Planned Start]]</f>
        <v>9</v>
      </c>
      <c r="G6" s="116">
        <v>46054</v>
      </c>
      <c r="H6" s="116">
        <v>46093</v>
      </c>
      <c r="I6" s="117">
        <f>Table1[[#This Row],[Actual End]]-Table1[[#This Row],[Actual Start]]</f>
        <v>39</v>
      </c>
      <c r="J6" s="115">
        <v>15</v>
      </c>
      <c r="K6" s="120">
        <f t="shared" ca="1" si="0"/>
        <v>1</v>
      </c>
      <c r="L6" s="115" t="s">
        <v>431</v>
      </c>
      <c r="M6" s="115" t="s">
        <v>434</v>
      </c>
      <c r="N6" s="115" t="str">
        <f t="shared" si="1"/>
        <v>Delayed</v>
      </c>
      <c r="O6" s="115">
        <f>IF(Table1[[#This Row],[Actual Days]]&gt;Table1[[#This Row],[Planned Days]],Table1[[#This Row],[Actual Days]]-Table1[[#This Row],[Planned Days]],0)</f>
        <v>30</v>
      </c>
    </row>
    <row r="7" spans="1:15" x14ac:dyDescent="0.3">
      <c r="A7" s="115" t="s">
        <v>438</v>
      </c>
      <c r="B7" s="115" t="s">
        <v>436</v>
      </c>
      <c r="C7" s="115" t="s">
        <v>439</v>
      </c>
      <c r="D7" s="116">
        <v>46064</v>
      </c>
      <c r="E7" s="116">
        <v>46073</v>
      </c>
      <c r="F7" s="117">
        <f>Table1[[#This Row],[Planned End]]-Table1[[#This Row],[Planned Start]]</f>
        <v>9</v>
      </c>
      <c r="G7" s="116">
        <v>46064</v>
      </c>
      <c r="H7" s="116">
        <v>46094</v>
      </c>
      <c r="I7" s="117">
        <f>Table1[[#This Row],[Actual End]]-Table1[[#This Row],[Actual Start]]</f>
        <v>30</v>
      </c>
      <c r="J7" s="115">
        <v>15</v>
      </c>
      <c r="K7" s="120">
        <f t="shared" ca="1" si="0"/>
        <v>1</v>
      </c>
      <c r="L7" s="115" t="s">
        <v>440</v>
      </c>
      <c r="M7" s="115" t="s">
        <v>434</v>
      </c>
      <c r="N7" s="115" t="str">
        <f t="shared" si="1"/>
        <v>Delayed</v>
      </c>
      <c r="O7" s="115">
        <f>IF(Table1[[#This Row],[Actual Days]]&gt;Table1[[#This Row],[Planned Days]],Table1[[#This Row],[Actual Days]]-Table1[[#This Row],[Planned Days]],0)</f>
        <v>21</v>
      </c>
    </row>
    <row r="8" spans="1:15" x14ac:dyDescent="0.3">
      <c r="A8" s="115" t="s">
        <v>441</v>
      </c>
      <c r="B8" s="115" t="s">
        <v>442</v>
      </c>
      <c r="C8" s="115" t="s">
        <v>443</v>
      </c>
      <c r="D8" s="116">
        <v>46074</v>
      </c>
      <c r="E8" s="116">
        <v>46086</v>
      </c>
      <c r="F8" s="117">
        <v>30</v>
      </c>
      <c r="G8" s="116">
        <v>46030</v>
      </c>
      <c r="H8" s="116"/>
      <c r="I8" s="117">
        <v>0</v>
      </c>
      <c r="J8" s="115">
        <v>15</v>
      </c>
      <c r="K8" s="120">
        <f t="shared" ca="1" si="0"/>
        <v>1</v>
      </c>
      <c r="L8" s="115" t="s">
        <v>440</v>
      </c>
      <c r="M8" s="115" t="s">
        <v>444</v>
      </c>
      <c r="N8" s="115" t="str">
        <f t="shared" si="1"/>
        <v>In Progress</v>
      </c>
      <c r="O8" s="115">
        <f>IF(Table1[[#This Row],[Actual Days]]&gt;Table1[[#This Row],[Planned Days]],Table1[[#This Row],[Actual Days]]-Table1[[#This Row],[Planned Days]],0)</f>
        <v>0</v>
      </c>
    </row>
    <row r="9" spans="1:15" x14ac:dyDescent="0.3">
      <c r="A9" s="115" t="s">
        <v>445</v>
      </c>
      <c r="B9" s="115" t="s">
        <v>446</v>
      </c>
      <c r="C9" s="115" t="s">
        <v>447</v>
      </c>
      <c r="D9" s="116">
        <v>46087</v>
      </c>
      <c r="E9" s="116">
        <v>46101</v>
      </c>
      <c r="F9" s="117">
        <f>Table1[[#This Row],[Planned End]]-Table1[[#This Row],[Planned Start]]</f>
        <v>14</v>
      </c>
      <c r="G9" s="116">
        <v>8</v>
      </c>
      <c r="H9" s="116"/>
      <c r="I9" s="117">
        <f>Table1[[#This Row],[Actual End]]-Table1[[#This Row],[Actual Start]]</f>
        <v>-8</v>
      </c>
      <c r="J9" s="115">
        <v>10</v>
      </c>
      <c r="K9" s="120">
        <v>0.2</v>
      </c>
      <c r="L9" s="115" t="s">
        <v>440</v>
      </c>
      <c r="M9" s="115" t="s">
        <v>444</v>
      </c>
      <c r="N9" s="115" t="str">
        <f t="shared" si="1"/>
        <v>In Progress</v>
      </c>
      <c r="O9" s="115">
        <f>IF(Table1[[#This Row],[Actual Days]]&gt;Table1[[#This Row],[Planned Days]],Table1[[#This Row],[Actual Days]]-Table1[[#This Row],[Planned Days]],0)</f>
        <v>0</v>
      </c>
    </row>
    <row r="10" spans="1:15" x14ac:dyDescent="0.3">
      <c r="A10" s="115" t="s">
        <v>448</v>
      </c>
      <c r="B10" s="115" t="s">
        <v>446</v>
      </c>
      <c r="C10" s="115" t="s">
        <v>449</v>
      </c>
      <c r="D10" s="116">
        <v>46102</v>
      </c>
      <c r="E10" s="116">
        <v>46117</v>
      </c>
      <c r="F10" s="117">
        <f>Table1[[#This Row],[Planned End]]-Table1[[#This Row],[Planned Start]]</f>
        <v>15</v>
      </c>
      <c r="G10" s="116"/>
      <c r="H10" s="116"/>
      <c r="I10" s="117">
        <f>Table1[[#This Row],[Actual End]]-Table1[[#This Row],[Actual Start]]</f>
        <v>0</v>
      </c>
      <c r="J10" s="115">
        <v>10</v>
      </c>
      <c r="K10" s="120">
        <f t="shared" ca="1" si="0"/>
        <v>0</v>
      </c>
      <c r="L10" s="115" t="s">
        <v>450</v>
      </c>
      <c r="M10" s="115" t="s">
        <v>444</v>
      </c>
      <c r="N10" s="115" t="str">
        <f t="shared" si="1"/>
        <v>Not Started</v>
      </c>
      <c r="O10" s="115">
        <f>IF(Table1[[#This Row],[Actual Days]]&gt;Table1[[#This Row],[Planned Days]],Table1[[#This Row],[Actual Days]]-Table1[[#This Row],[Planned Days]],0)</f>
        <v>0</v>
      </c>
    </row>
    <row r="11" spans="1:15" x14ac:dyDescent="0.3">
      <c r="A11" s="115" t="s">
        <v>452</v>
      </c>
      <c r="B11" s="115" t="s">
        <v>453</v>
      </c>
      <c r="C11" s="115" t="s">
        <v>454</v>
      </c>
      <c r="D11" s="116">
        <v>46118</v>
      </c>
      <c r="E11" s="116">
        <v>46122</v>
      </c>
      <c r="F11" s="117">
        <f>Table1[[#This Row],[Planned End]]-Table1[[#This Row],[Planned Start]]</f>
        <v>4</v>
      </c>
      <c r="G11" s="116"/>
      <c r="H11" s="116"/>
      <c r="I11" s="117"/>
      <c r="J11" s="115">
        <v>10</v>
      </c>
      <c r="K11" s="120">
        <f t="shared" ca="1" si="0"/>
        <v>0</v>
      </c>
      <c r="L11" s="115" t="s">
        <v>450</v>
      </c>
      <c r="M11" s="115" t="s">
        <v>444</v>
      </c>
      <c r="N11" s="115" t="str">
        <f t="shared" si="1"/>
        <v>Not Started</v>
      </c>
      <c r="O11" s="115">
        <f>IF(Table1[[#This Row],[Actual Days]]&gt;Table1[[#This Row],[Planned Days]],Table1[[#This Row],[Actual Days]]-Table1[[#This Row],[Planned Days]],0)</f>
        <v>0</v>
      </c>
    </row>
    <row r="12" spans="1:15" x14ac:dyDescent="0.3">
      <c r="A12" s="115"/>
      <c r="B12" s="115"/>
      <c r="C12" s="115"/>
      <c r="D12" s="116"/>
      <c r="E12" s="116"/>
      <c r="F12" s="117"/>
      <c r="G12" s="116"/>
      <c r="H12" s="115"/>
      <c r="I12" s="117"/>
      <c r="J12" s="115"/>
      <c r="K12" s="115"/>
      <c r="L12" s="115"/>
      <c r="M12" s="115"/>
      <c r="N12" s="115">
        <f ca="1">COUNTIF(N:N,N7)</f>
        <v>0</v>
      </c>
      <c r="O12" s="115"/>
    </row>
    <row r="14" spans="1:15" x14ac:dyDescent="0.3">
      <c r="B14" s="113">
        <f>COUNTA(A2:A11)</f>
        <v>10</v>
      </c>
      <c r="J14" s="121">
        <f ca="1">SUMPRODUCT(J2:J11, K2:K11) / 100</f>
        <v>0.72</v>
      </c>
    </row>
  </sheetData>
  <sheetCalcPr fullCalcOnLoad="1"/>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F67B1-82E4-4B07-ADB4-E64B44A3A9DD}">
  <dimension ref="A1:M15"/>
  <sheetViews>
    <sheetView workbookViewId="0">
      <selection activeCell="K23" sqref="K23"/>
    </sheetView>
  </sheetViews>
  <sheetFormatPr defaultRowHeight="12" x14ac:dyDescent="0.25"/>
  <cols>
    <col min="1" max="1" width="8.88671875" style="150"/>
    <col min="2" max="2" width="17.5546875" style="150" bestFit="1" customWidth="1"/>
    <col min="3" max="5" width="8.88671875" style="150"/>
    <col min="6" max="6" width="11" style="150" bestFit="1" customWidth="1"/>
    <col min="7" max="10" width="8.88671875" style="150"/>
    <col min="11" max="11" width="24.44140625" style="150" customWidth="1"/>
    <col min="12" max="16384" width="8.88671875" style="150"/>
  </cols>
  <sheetData>
    <row r="1" spans="1:13" ht="23.4" thickBot="1" x14ac:dyDescent="0.3">
      <c r="A1" s="148" t="s">
        <v>455</v>
      </c>
      <c r="B1" s="148" t="s">
        <v>456</v>
      </c>
      <c r="C1" s="148" t="s">
        <v>457</v>
      </c>
      <c r="D1" s="148" t="s">
        <v>252</v>
      </c>
      <c r="E1" s="148" t="s">
        <v>458</v>
      </c>
      <c r="F1" s="149" t="s">
        <v>459</v>
      </c>
      <c r="J1" s="151" t="s">
        <v>460</v>
      </c>
      <c r="K1" s="152" t="s">
        <v>461</v>
      </c>
      <c r="L1" s="153" t="s">
        <v>462</v>
      </c>
      <c r="M1" s="153" t="s">
        <v>463</v>
      </c>
    </row>
    <row r="2" spans="1:13" ht="24.6" thickBot="1" x14ac:dyDescent="0.4">
      <c r="A2" s="154">
        <v>1</v>
      </c>
      <c r="B2" s="155" t="s">
        <v>464</v>
      </c>
      <c r="C2" s="156">
        <v>75</v>
      </c>
      <c r="D2" s="156">
        <v>10</v>
      </c>
      <c r="E2" s="156">
        <v>65</v>
      </c>
      <c r="F2" s="157">
        <v>0.8666666666666667</v>
      </c>
      <c r="J2" s="158">
        <v>1</v>
      </c>
      <c r="K2" s="159" t="s">
        <v>465</v>
      </c>
      <c r="L2" s="160" t="s">
        <v>56</v>
      </c>
      <c r="M2" s="160">
        <v>1</v>
      </c>
    </row>
    <row r="3" spans="1:13" ht="24.6" thickBot="1" x14ac:dyDescent="0.4">
      <c r="A3" s="161">
        <v>2</v>
      </c>
      <c r="B3" s="162" t="s">
        <v>466</v>
      </c>
      <c r="C3" s="163">
        <v>75</v>
      </c>
      <c r="D3" s="163">
        <v>5</v>
      </c>
      <c r="E3" s="163">
        <v>70</v>
      </c>
      <c r="F3" s="164">
        <v>0.93333333333333335</v>
      </c>
      <c r="J3" s="158">
        <v>2</v>
      </c>
      <c r="K3" s="159" t="s">
        <v>467</v>
      </c>
      <c r="L3" s="160" t="s">
        <v>468</v>
      </c>
      <c r="M3" s="160">
        <v>1</v>
      </c>
    </row>
    <row r="4" spans="1:13" ht="14.4" thickBot="1" x14ac:dyDescent="0.4">
      <c r="A4" s="165">
        <v>3</v>
      </c>
      <c r="B4" s="166" t="s">
        <v>469</v>
      </c>
      <c r="C4" s="167">
        <v>1</v>
      </c>
      <c r="D4" s="167">
        <v>0</v>
      </c>
      <c r="E4" s="167">
        <v>1</v>
      </c>
      <c r="F4" s="168">
        <v>1</v>
      </c>
      <c r="J4" s="158">
        <v>3</v>
      </c>
      <c r="K4" s="159" t="s">
        <v>470</v>
      </c>
      <c r="L4" s="160" t="s">
        <v>56</v>
      </c>
      <c r="M4" s="160">
        <v>25</v>
      </c>
    </row>
    <row r="5" spans="1:13" ht="12.6" thickBot="1" x14ac:dyDescent="0.3">
      <c r="E5" s="169" t="s">
        <v>471</v>
      </c>
      <c r="F5" s="170">
        <v>0.93333333333333324</v>
      </c>
      <c r="J5" s="158">
        <v>4</v>
      </c>
      <c r="K5" s="159" t="s">
        <v>472</v>
      </c>
      <c r="L5" s="160" t="s">
        <v>56</v>
      </c>
      <c r="M5" s="160">
        <v>1</v>
      </c>
    </row>
    <row r="6" spans="1:13" ht="12.6" thickBot="1" x14ac:dyDescent="0.3">
      <c r="J6" s="158">
        <v>5</v>
      </c>
      <c r="K6" s="159" t="s">
        <v>473</v>
      </c>
      <c r="L6" s="160" t="s">
        <v>56</v>
      </c>
      <c r="M6" s="160">
        <v>1</v>
      </c>
    </row>
    <row r="7" spans="1:13" ht="12.6" thickBot="1" x14ac:dyDescent="0.3">
      <c r="J7" s="158">
        <v>6</v>
      </c>
      <c r="K7" s="159" t="s">
        <v>474</v>
      </c>
      <c r="L7" s="160" t="s">
        <v>56</v>
      </c>
      <c r="M7" s="160">
        <v>1</v>
      </c>
    </row>
    <row r="8" spans="1:13" ht="13.8" x14ac:dyDescent="0.25">
      <c r="A8" s="171" t="s">
        <v>455</v>
      </c>
      <c r="B8" s="171" t="s">
        <v>456</v>
      </c>
      <c r="C8" s="171" t="s">
        <v>252</v>
      </c>
      <c r="D8" s="171" t="s">
        <v>458</v>
      </c>
    </row>
    <row r="9" spans="1:13" ht="13.8" x14ac:dyDescent="0.35">
      <c r="A9" s="163">
        <v>1</v>
      </c>
      <c r="B9" s="162" t="s">
        <v>464</v>
      </c>
      <c r="C9" s="172">
        <v>10</v>
      </c>
      <c r="D9" s="172">
        <v>65</v>
      </c>
    </row>
    <row r="11" spans="1:13" ht="13.8" x14ac:dyDescent="0.25">
      <c r="A11" s="171" t="s">
        <v>455</v>
      </c>
      <c r="B11" s="171" t="s">
        <v>456</v>
      </c>
      <c r="C11" s="171" t="s">
        <v>252</v>
      </c>
      <c r="D11" s="171" t="s">
        <v>458</v>
      </c>
    </row>
    <row r="12" spans="1:13" ht="13.8" x14ac:dyDescent="0.35">
      <c r="A12" s="163">
        <v>2</v>
      </c>
      <c r="B12" s="162" t="s">
        <v>466</v>
      </c>
      <c r="C12" s="172">
        <v>5</v>
      </c>
      <c r="D12" s="172">
        <v>70</v>
      </c>
    </row>
    <row r="14" spans="1:13" ht="13.8" x14ac:dyDescent="0.25">
      <c r="A14" s="171" t="s">
        <v>455</v>
      </c>
      <c r="B14" s="171" t="s">
        <v>456</v>
      </c>
      <c r="C14" s="171" t="s">
        <v>252</v>
      </c>
      <c r="D14" s="171" t="s">
        <v>458</v>
      </c>
    </row>
    <row r="15" spans="1:13" ht="13.8" x14ac:dyDescent="0.35">
      <c r="A15" s="163">
        <v>3</v>
      </c>
      <c r="B15" s="162" t="s">
        <v>469</v>
      </c>
      <c r="C15" s="172">
        <v>0</v>
      </c>
      <c r="D15" s="172">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5299F-6CC3-4E46-944C-EB72DEA861BF}">
  <dimension ref="A3:C9"/>
  <sheetViews>
    <sheetView zoomScale="85" zoomScaleNormal="85" workbookViewId="0">
      <selection activeCell="P20" sqref="P20"/>
    </sheetView>
  </sheetViews>
  <sheetFormatPr defaultRowHeight="14.4" x14ac:dyDescent="0.3"/>
  <cols>
    <col min="1" max="1" width="14" style="122" bestFit="1" customWidth="1"/>
    <col min="2" max="2" width="37.5546875" style="122" customWidth="1"/>
    <col min="3" max="3" width="21" style="122" customWidth="1"/>
    <col min="4" max="16384" width="8.88671875" style="122"/>
  </cols>
  <sheetData>
    <row r="3" spans="1:3" ht="16.2" x14ac:dyDescent="0.4">
      <c r="A3" s="145" t="s">
        <v>475</v>
      </c>
      <c r="B3" s="145" t="s">
        <v>476</v>
      </c>
      <c r="C3" s="145" t="s">
        <v>477</v>
      </c>
    </row>
    <row r="4" spans="1:3" ht="16.2" x14ac:dyDescent="0.4">
      <c r="A4" s="144">
        <v>1</v>
      </c>
      <c r="B4" s="143">
        <v>19.07</v>
      </c>
      <c r="C4" s="144">
        <v>17</v>
      </c>
    </row>
    <row r="5" spans="1:3" ht="16.2" x14ac:dyDescent="0.4">
      <c r="A5" s="144">
        <v>2</v>
      </c>
      <c r="B5" s="143">
        <v>23</v>
      </c>
      <c r="C5" s="144">
        <v>17</v>
      </c>
    </row>
    <row r="6" spans="1:3" ht="16.2" x14ac:dyDescent="0.4">
      <c r="A6" s="144">
        <v>3</v>
      </c>
      <c r="B6" s="143">
        <v>22.24</v>
      </c>
      <c r="C6" s="144">
        <v>17</v>
      </c>
    </row>
    <row r="7" spans="1:3" ht="16.2" x14ac:dyDescent="0.4">
      <c r="A7" s="144">
        <v>4</v>
      </c>
      <c r="B7" s="143">
        <v>18.03</v>
      </c>
      <c r="C7" s="144">
        <v>17</v>
      </c>
    </row>
    <row r="8" spans="1:3" ht="16.2" x14ac:dyDescent="0.4">
      <c r="A8" s="144">
        <v>5</v>
      </c>
      <c r="B8" s="143">
        <v>18.239999999999998</v>
      </c>
      <c r="C8" s="144">
        <v>17</v>
      </c>
    </row>
    <row r="9" spans="1:3" ht="16.2" x14ac:dyDescent="0.4">
      <c r="A9" s="144">
        <v>6</v>
      </c>
      <c r="B9" s="143">
        <v>19.16</v>
      </c>
      <c r="C9" s="144">
        <v>17</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3C0A2-CB12-42D3-8ED6-8B39628ED74E}">
  <dimension ref="A1:O111"/>
  <sheetViews>
    <sheetView workbookViewId="0">
      <selection activeCell="E15" sqref="E15"/>
    </sheetView>
  </sheetViews>
  <sheetFormatPr defaultRowHeight="14.4" x14ac:dyDescent="0.3"/>
  <cols>
    <col min="1" max="4" width="17.6640625" style="122" customWidth="1"/>
    <col min="5" max="5" width="67.44140625" style="122" customWidth="1"/>
    <col min="6" max="9" width="17.6640625" style="122" customWidth="1"/>
    <col min="10" max="16384" width="8.88671875" style="122"/>
  </cols>
  <sheetData>
    <row r="1" spans="1:15" ht="18" x14ac:dyDescent="0.3">
      <c r="A1" s="173" t="s">
        <v>478</v>
      </c>
      <c r="B1" s="174"/>
      <c r="C1" s="174"/>
      <c r="D1" s="174"/>
      <c r="E1" s="174"/>
      <c r="F1" s="174"/>
      <c r="G1" s="174"/>
      <c r="H1" s="174"/>
      <c r="I1" s="127"/>
      <c r="J1" s="125"/>
      <c r="K1" s="125"/>
      <c r="L1" s="125"/>
      <c r="M1" s="125"/>
      <c r="N1" s="125"/>
      <c r="O1" s="125"/>
    </row>
    <row r="2" spans="1:15" ht="27.6" x14ac:dyDescent="0.3">
      <c r="A2" s="139" t="s">
        <v>479</v>
      </c>
      <c r="B2" s="140" t="s">
        <v>480</v>
      </c>
      <c r="C2" s="140" t="s">
        <v>481</v>
      </c>
      <c r="D2" s="140" t="s">
        <v>227</v>
      </c>
      <c r="E2" s="140" t="s">
        <v>482</v>
      </c>
      <c r="F2" s="140" t="s">
        <v>483</v>
      </c>
      <c r="G2" s="140" t="s">
        <v>484</v>
      </c>
      <c r="H2" s="140" t="s">
        <v>485</v>
      </c>
      <c r="I2" s="141" t="s">
        <v>211</v>
      </c>
      <c r="J2" s="125"/>
      <c r="K2" s="125"/>
      <c r="L2" s="125"/>
      <c r="M2" s="125"/>
      <c r="N2" s="125"/>
      <c r="O2" s="125"/>
    </row>
    <row r="3" spans="1:15" ht="151.80000000000001" x14ac:dyDescent="0.3">
      <c r="A3" s="129">
        <v>1</v>
      </c>
      <c r="B3" s="130">
        <v>45422</v>
      </c>
      <c r="C3" s="131" t="s">
        <v>486</v>
      </c>
      <c r="D3" s="131" t="s">
        <v>487</v>
      </c>
      <c r="E3" s="132" t="s">
        <v>488</v>
      </c>
      <c r="F3" s="131" t="s">
        <v>489</v>
      </c>
      <c r="G3" s="130">
        <v>45424</v>
      </c>
      <c r="H3" s="131"/>
      <c r="I3" s="133" t="s">
        <v>252</v>
      </c>
      <c r="J3" s="125"/>
      <c r="K3" s="125"/>
      <c r="L3" s="125"/>
      <c r="M3" s="125"/>
      <c r="N3" s="125"/>
    </row>
    <row r="4" spans="1:15" x14ac:dyDescent="0.3">
      <c r="A4" s="129"/>
      <c r="B4" s="131"/>
      <c r="C4" s="131"/>
      <c r="D4" s="131"/>
      <c r="E4" s="132"/>
      <c r="F4" s="131"/>
      <c r="G4" s="131"/>
      <c r="H4" s="131"/>
      <c r="I4" s="133"/>
      <c r="J4" s="125"/>
      <c r="K4" s="125"/>
      <c r="L4" s="125"/>
      <c r="M4" s="125"/>
      <c r="N4" s="125"/>
      <c r="O4" s="126"/>
    </row>
    <row r="5" spans="1:15" x14ac:dyDescent="0.3">
      <c r="A5" s="129"/>
      <c r="B5" s="131"/>
      <c r="C5" s="131"/>
      <c r="D5" s="128"/>
      <c r="E5" s="132"/>
      <c r="F5" s="131"/>
      <c r="G5" s="131"/>
      <c r="H5" s="131"/>
      <c r="I5" s="133"/>
      <c r="J5" s="125"/>
      <c r="K5" s="125"/>
      <c r="L5" s="125"/>
      <c r="M5" s="125"/>
      <c r="N5" s="125"/>
      <c r="O5" s="125"/>
    </row>
    <row r="6" spans="1:15" x14ac:dyDescent="0.3">
      <c r="A6" s="129"/>
      <c r="B6" s="131"/>
      <c r="C6" s="131"/>
      <c r="D6" s="131"/>
      <c r="E6" s="132"/>
      <c r="F6" s="131"/>
      <c r="G6" s="131"/>
      <c r="H6" s="131"/>
      <c r="I6" s="133"/>
      <c r="J6" s="125"/>
      <c r="K6" s="125"/>
      <c r="L6" s="125"/>
      <c r="M6" s="125"/>
      <c r="N6" s="125"/>
      <c r="O6" s="125"/>
    </row>
    <row r="7" spans="1:15" x14ac:dyDescent="0.3">
      <c r="A7" s="129"/>
      <c r="B7" s="131"/>
      <c r="C7" s="131"/>
      <c r="D7" s="131"/>
      <c r="E7" s="132"/>
      <c r="F7" s="131"/>
      <c r="G7" s="131"/>
      <c r="H7" s="131"/>
      <c r="I7" s="133"/>
      <c r="J7" s="125"/>
      <c r="K7" s="125"/>
      <c r="L7" s="125"/>
      <c r="M7" s="125"/>
      <c r="N7" s="125"/>
      <c r="O7" s="126"/>
    </row>
    <row r="8" spans="1:15" x14ac:dyDescent="0.3">
      <c r="A8" s="129"/>
      <c r="B8" s="131"/>
      <c r="C8" s="131"/>
      <c r="D8" s="131"/>
      <c r="E8" s="132"/>
      <c r="F8" s="131"/>
      <c r="G8" s="131"/>
      <c r="H8" s="131"/>
      <c r="I8" s="133"/>
      <c r="J8" s="125"/>
      <c r="K8" s="125"/>
      <c r="L8" s="125"/>
      <c r="M8" s="125"/>
      <c r="N8" s="125"/>
      <c r="O8" s="125"/>
    </row>
    <row r="9" spans="1:15" x14ac:dyDescent="0.3">
      <c r="A9" s="129"/>
      <c r="B9" s="131"/>
      <c r="C9" s="131"/>
      <c r="D9" s="131"/>
      <c r="E9" s="132"/>
      <c r="F9" s="131"/>
      <c r="G9" s="131"/>
      <c r="H9" s="131"/>
      <c r="I9" s="133"/>
      <c r="J9" s="125"/>
      <c r="K9" s="125"/>
      <c r="L9" s="125"/>
      <c r="M9" s="125"/>
      <c r="N9" s="125"/>
      <c r="O9" s="125"/>
    </row>
    <row r="10" spans="1:15" x14ac:dyDescent="0.3">
      <c r="A10" s="129"/>
      <c r="B10" s="131"/>
      <c r="C10" s="131"/>
      <c r="D10" s="131"/>
      <c r="E10" s="132"/>
      <c r="F10" s="131"/>
      <c r="G10" s="131"/>
      <c r="H10" s="131"/>
      <c r="I10" s="133"/>
      <c r="J10" s="125"/>
      <c r="K10" s="125"/>
      <c r="L10" s="125"/>
      <c r="M10" s="125"/>
      <c r="N10" s="125"/>
      <c r="O10" s="125"/>
    </row>
    <row r="11" spans="1:15" x14ac:dyDescent="0.3">
      <c r="A11" s="129"/>
      <c r="B11" s="131"/>
      <c r="C11" s="131"/>
      <c r="D11" s="131"/>
      <c r="E11" s="132"/>
      <c r="F11" s="131"/>
      <c r="G11" s="131"/>
      <c r="H11" s="131"/>
      <c r="I11" s="133"/>
      <c r="J11" s="125"/>
      <c r="K11" s="125"/>
      <c r="L11" s="125"/>
      <c r="M11" s="125"/>
      <c r="N11" s="125"/>
      <c r="O11" s="125"/>
    </row>
    <row r="12" spans="1:15" x14ac:dyDescent="0.3">
      <c r="A12" s="129"/>
      <c r="B12" s="131"/>
      <c r="C12" s="131"/>
      <c r="D12" s="131"/>
      <c r="E12" s="132"/>
      <c r="F12" s="131"/>
      <c r="G12" s="131"/>
      <c r="H12" s="131"/>
      <c r="I12" s="133"/>
      <c r="J12" s="125"/>
      <c r="K12" s="125"/>
      <c r="L12" s="125"/>
      <c r="M12" s="125"/>
      <c r="N12" s="125"/>
      <c r="O12" s="125"/>
    </row>
    <row r="13" spans="1:15" x14ac:dyDescent="0.3">
      <c r="A13" s="129"/>
      <c r="B13" s="131"/>
      <c r="C13" s="131"/>
      <c r="D13" s="131"/>
      <c r="E13" s="132"/>
      <c r="F13" s="131"/>
      <c r="G13" s="131"/>
      <c r="H13" s="131"/>
      <c r="I13" s="133"/>
      <c r="J13" s="125"/>
      <c r="K13" s="125"/>
      <c r="L13" s="125"/>
      <c r="M13" s="125"/>
      <c r="N13" s="125"/>
      <c r="O13" s="125"/>
    </row>
    <row r="14" spans="1:15" x14ac:dyDescent="0.3">
      <c r="A14" s="129"/>
      <c r="B14" s="131"/>
      <c r="C14" s="131"/>
      <c r="D14" s="131"/>
      <c r="E14" s="132"/>
      <c r="F14" s="131"/>
      <c r="G14" s="131"/>
      <c r="H14" s="131"/>
      <c r="I14" s="133"/>
      <c r="J14" s="125"/>
      <c r="K14" s="125"/>
      <c r="L14" s="125"/>
      <c r="M14" s="125"/>
      <c r="N14" s="125"/>
      <c r="O14" s="125"/>
    </row>
    <row r="15" spans="1:15" x14ac:dyDescent="0.3">
      <c r="A15" s="129"/>
      <c r="B15" s="131"/>
      <c r="C15" s="131"/>
      <c r="D15" s="131"/>
      <c r="E15" s="132"/>
      <c r="F15" s="131"/>
      <c r="G15" s="131"/>
      <c r="H15" s="131"/>
      <c r="I15" s="133"/>
      <c r="J15" s="125"/>
      <c r="K15" s="125"/>
      <c r="L15" s="125"/>
      <c r="M15" s="125"/>
      <c r="N15" s="125"/>
      <c r="O15" s="125"/>
    </row>
    <row r="16" spans="1:15" x14ac:dyDescent="0.3">
      <c r="A16" s="129"/>
      <c r="B16" s="131"/>
      <c r="C16" s="131"/>
      <c r="D16" s="131"/>
      <c r="E16" s="132"/>
      <c r="F16" s="131"/>
      <c r="G16" s="131"/>
      <c r="H16" s="131"/>
      <c r="I16" s="133"/>
      <c r="J16" s="125"/>
      <c r="K16" s="125"/>
      <c r="L16" s="125"/>
      <c r="M16" s="125"/>
      <c r="N16" s="125"/>
      <c r="O16" s="125"/>
    </row>
    <row r="17" spans="1:9" x14ac:dyDescent="0.3">
      <c r="A17" s="129"/>
      <c r="B17" s="131"/>
      <c r="C17" s="131"/>
      <c r="D17" s="131"/>
      <c r="E17" s="132"/>
      <c r="F17" s="131"/>
      <c r="G17" s="131"/>
      <c r="H17" s="131"/>
      <c r="I17" s="133"/>
    </row>
    <row r="18" spans="1:9" x14ac:dyDescent="0.3">
      <c r="A18" s="129"/>
      <c r="B18" s="131"/>
      <c r="C18" s="131"/>
      <c r="D18" s="131"/>
      <c r="E18" s="132"/>
      <c r="F18" s="131"/>
      <c r="G18" s="131"/>
      <c r="H18" s="131"/>
      <c r="I18" s="133"/>
    </row>
    <row r="19" spans="1:9" x14ac:dyDescent="0.3">
      <c r="A19" s="129"/>
      <c r="B19" s="131"/>
      <c r="C19" s="131"/>
      <c r="D19" s="131"/>
      <c r="E19" s="132"/>
      <c r="F19" s="131"/>
      <c r="G19" s="131"/>
      <c r="H19" s="131"/>
      <c r="I19" s="133"/>
    </row>
    <row r="20" spans="1:9" x14ac:dyDescent="0.3">
      <c r="A20" s="129"/>
      <c r="B20" s="131"/>
      <c r="C20" s="131"/>
      <c r="D20" s="131"/>
      <c r="E20" s="132"/>
      <c r="F20" s="131"/>
      <c r="G20" s="131"/>
      <c r="H20" s="131"/>
      <c r="I20" s="133"/>
    </row>
    <row r="21" spans="1:9" x14ac:dyDescent="0.3">
      <c r="A21" s="129"/>
      <c r="B21" s="131"/>
      <c r="C21" s="131"/>
      <c r="D21" s="131"/>
      <c r="E21" s="132"/>
      <c r="F21" s="131"/>
      <c r="G21" s="131"/>
      <c r="H21" s="131"/>
      <c r="I21" s="133"/>
    </row>
    <row r="22" spans="1:9" x14ac:dyDescent="0.3">
      <c r="A22" s="129"/>
      <c r="B22" s="131"/>
      <c r="C22" s="131"/>
      <c r="D22" s="131"/>
      <c r="E22" s="132"/>
      <c r="F22" s="131"/>
      <c r="G22" s="131"/>
      <c r="H22" s="131"/>
      <c r="I22" s="133"/>
    </row>
    <row r="23" spans="1:9" x14ac:dyDescent="0.3">
      <c r="A23" s="129"/>
      <c r="B23" s="131"/>
      <c r="C23" s="131"/>
      <c r="D23" s="131"/>
      <c r="E23" s="132"/>
      <c r="F23" s="131"/>
      <c r="G23" s="131"/>
      <c r="H23" s="131"/>
      <c r="I23" s="133"/>
    </row>
    <row r="24" spans="1:9" x14ac:dyDescent="0.3">
      <c r="A24" s="129"/>
      <c r="B24" s="131"/>
      <c r="C24" s="131"/>
      <c r="D24" s="131"/>
      <c r="E24" s="132"/>
      <c r="F24" s="131"/>
      <c r="G24" s="131"/>
      <c r="H24" s="131"/>
      <c r="I24" s="133"/>
    </row>
    <row r="25" spans="1:9" x14ac:dyDescent="0.3">
      <c r="A25" s="129"/>
      <c r="B25" s="131"/>
      <c r="C25" s="131"/>
      <c r="D25" s="131"/>
      <c r="E25" s="132"/>
      <c r="F25" s="131"/>
      <c r="G25" s="131"/>
      <c r="H25" s="131"/>
      <c r="I25" s="133"/>
    </row>
    <row r="26" spans="1:9" x14ac:dyDescent="0.3">
      <c r="A26" s="129"/>
      <c r="B26" s="131"/>
      <c r="C26" s="131"/>
      <c r="D26" s="131"/>
      <c r="E26" s="132"/>
      <c r="F26" s="131"/>
      <c r="G26" s="131"/>
      <c r="H26" s="131"/>
      <c r="I26" s="133"/>
    </row>
    <row r="27" spans="1:9" x14ac:dyDescent="0.3">
      <c r="A27" s="129"/>
      <c r="B27" s="131"/>
      <c r="C27" s="131"/>
      <c r="D27" s="131"/>
      <c r="E27" s="132"/>
      <c r="F27" s="131"/>
      <c r="G27" s="131"/>
      <c r="H27" s="131"/>
      <c r="I27" s="133"/>
    </row>
    <row r="28" spans="1:9" x14ac:dyDescent="0.3">
      <c r="A28" s="129"/>
      <c r="B28" s="131"/>
      <c r="C28" s="131"/>
      <c r="D28" s="131"/>
      <c r="E28" s="132"/>
      <c r="F28" s="131"/>
      <c r="G28" s="131"/>
      <c r="H28" s="131"/>
      <c r="I28" s="133"/>
    </row>
    <row r="29" spans="1:9" x14ac:dyDescent="0.3">
      <c r="A29" s="129"/>
      <c r="B29" s="131"/>
      <c r="C29" s="131"/>
      <c r="D29" s="131"/>
      <c r="E29" s="132"/>
      <c r="F29" s="131"/>
      <c r="G29" s="131"/>
      <c r="H29" s="131"/>
      <c r="I29" s="133"/>
    </row>
    <row r="30" spans="1:9" x14ac:dyDescent="0.3">
      <c r="A30" s="129"/>
      <c r="B30" s="131"/>
      <c r="C30" s="131"/>
      <c r="D30" s="131"/>
      <c r="E30" s="132"/>
      <c r="F30" s="131"/>
      <c r="G30" s="131"/>
      <c r="H30" s="131"/>
      <c r="I30" s="133"/>
    </row>
    <row r="31" spans="1:9" x14ac:dyDescent="0.3">
      <c r="A31" s="129"/>
      <c r="B31" s="131"/>
      <c r="C31" s="131"/>
      <c r="D31" s="131"/>
      <c r="E31" s="132"/>
      <c r="F31" s="131"/>
      <c r="G31" s="131"/>
      <c r="H31" s="131"/>
      <c r="I31" s="133"/>
    </row>
    <row r="32" spans="1:9" x14ac:dyDescent="0.3">
      <c r="A32" s="129"/>
      <c r="B32" s="131"/>
      <c r="C32" s="131"/>
      <c r="D32" s="131"/>
      <c r="E32" s="132"/>
      <c r="F32" s="131"/>
      <c r="G32" s="131"/>
      <c r="H32" s="131"/>
      <c r="I32" s="133"/>
    </row>
    <row r="33" spans="1:9" ht="15" thickBot="1" x14ac:dyDescent="0.35">
      <c r="A33" s="134"/>
      <c r="B33" s="135"/>
      <c r="C33" s="131"/>
      <c r="D33" s="135"/>
      <c r="E33" s="136"/>
      <c r="F33" s="131"/>
      <c r="G33" s="135"/>
      <c r="H33" s="135"/>
      <c r="I33" s="137"/>
    </row>
    <row r="98" spans="2:6" x14ac:dyDescent="0.3">
      <c r="B98" s="138" t="s">
        <v>490</v>
      </c>
      <c r="C98" s="125"/>
      <c r="D98" s="125"/>
      <c r="E98" s="125"/>
      <c r="F98" s="125"/>
    </row>
    <row r="99" spans="2:6" x14ac:dyDescent="0.3">
      <c r="B99" s="138" t="s">
        <v>491</v>
      </c>
      <c r="C99" s="125"/>
      <c r="D99" s="125"/>
      <c r="E99" s="125"/>
      <c r="F99" s="125"/>
    </row>
    <row r="100" spans="2:6" x14ac:dyDescent="0.3">
      <c r="B100" s="138" t="s">
        <v>486</v>
      </c>
      <c r="C100" s="125"/>
      <c r="D100" s="125"/>
      <c r="E100" s="125"/>
      <c r="F100" s="138" t="s">
        <v>492</v>
      </c>
    </row>
    <row r="101" spans="2:6" x14ac:dyDescent="0.3">
      <c r="B101" s="125"/>
      <c r="C101" s="125"/>
      <c r="D101" s="125"/>
      <c r="E101" s="125"/>
      <c r="F101" s="138" t="s">
        <v>493</v>
      </c>
    </row>
    <row r="102" spans="2:6" x14ac:dyDescent="0.3">
      <c r="B102" s="125"/>
      <c r="C102" s="125"/>
      <c r="D102" s="125"/>
      <c r="E102" s="125"/>
      <c r="F102" s="138" t="s">
        <v>494</v>
      </c>
    </row>
    <row r="103" spans="2:6" x14ac:dyDescent="0.3">
      <c r="B103" s="125"/>
      <c r="C103" s="125"/>
      <c r="D103" s="125"/>
      <c r="E103" s="125"/>
      <c r="F103" s="138" t="s">
        <v>489</v>
      </c>
    </row>
    <row r="104" spans="2:6" x14ac:dyDescent="0.3">
      <c r="B104" s="125"/>
      <c r="C104" s="125"/>
      <c r="D104" s="125"/>
      <c r="E104" s="125"/>
      <c r="F104" s="138" t="s">
        <v>495</v>
      </c>
    </row>
    <row r="105" spans="2:6" x14ac:dyDescent="0.3">
      <c r="B105" s="125"/>
      <c r="C105" s="125"/>
      <c r="D105" s="125"/>
      <c r="E105" s="125"/>
      <c r="F105" s="138" t="s">
        <v>496</v>
      </c>
    </row>
    <row r="106" spans="2:6" x14ac:dyDescent="0.3">
      <c r="B106" s="125"/>
      <c r="C106" s="125"/>
      <c r="D106" s="125"/>
      <c r="E106" s="125"/>
      <c r="F106" s="138" t="s">
        <v>497</v>
      </c>
    </row>
    <row r="107" spans="2:6" x14ac:dyDescent="0.3">
      <c r="B107" s="125"/>
      <c r="C107" s="125"/>
      <c r="D107" s="125"/>
      <c r="E107" s="125"/>
      <c r="F107" s="138" t="s">
        <v>498</v>
      </c>
    </row>
    <row r="108" spans="2:6" x14ac:dyDescent="0.3">
      <c r="B108" s="125"/>
      <c r="C108" s="125"/>
      <c r="D108" s="125"/>
      <c r="E108" s="125"/>
      <c r="F108" s="138" t="s">
        <v>499</v>
      </c>
    </row>
    <row r="109" spans="2:6" x14ac:dyDescent="0.3">
      <c r="B109" s="125"/>
      <c r="C109" s="125"/>
      <c r="D109" s="125"/>
      <c r="E109" s="125"/>
      <c r="F109" s="138" t="s">
        <v>500</v>
      </c>
    </row>
    <row r="110" spans="2:6" x14ac:dyDescent="0.3">
      <c r="B110" s="125"/>
      <c r="C110" s="125"/>
      <c r="D110" s="125"/>
      <c r="E110" s="125"/>
      <c r="F110" s="138" t="s">
        <v>501</v>
      </c>
    </row>
    <row r="111" spans="2:6" x14ac:dyDescent="0.3">
      <c r="B111" s="125"/>
      <c r="C111" s="125"/>
      <c r="D111" s="125"/>
      <c r="E111" s="125"/>
      <c r="F111" s="138" t="s">
        <v>502</v>
      </c>
    </row>
  </sheetData>
  <mergeCells count="1">
    <mergeCell ref="A1:H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323C1-8A6C-4B9A-AAA0-2C5BE6A1EBC5}">
  <dimension ref="B2:AQ63"/>
  <sheetViews>
    <sheetView zoomScale="55" zoomScaleNormal="55" workbookViewId="0">
      <selection activeCell="O11" sqref="O11"/>
    </sheetView>
  </sheetViews>
  <sheetFormatPr defaultColWidth="8.88671875" defaultRowHeight="16.2" x14ac:dyDescent="0.4"/>
  <cols>
    <col min="1" max="1" width="8.88671875" style="175"/>
    <col min="2" max="2" width="30.21875" style="175" customWidth="1"/>
    <col min="3" max="3" width="23.5546875" style="175" customWidth="1"/>
    <col min="4" max="5" width="18.21875" style="175" customWidth="1"/>
    <col min="6" max="6" width="17" style="175" customWidth="1"/>
    <col min="7" max="7" width="12.21875" style="175" customWidth="1"/>
    <col min="8" max="8" width="9" style="175" customWidth="1"/>
    <col min="9" max="9" width="9" style="175" bestFit="1" customWidth="1"/>
    <col min="10" max="13" width="9" style="175" customWidth="1"/>
    <col min="14" max="14" width="8.88671875" style="175"/>
    <col min="15" max="15" width="12.21875" style="175" bestFit="1" customWidth="1"/>
    <col min="16" max="16" width="14.6640625" style="175" customWidth="1"/>
    <col min="17" max="17" width="14.33203125" style="175" customWidth="1"/>
    <col min="18" max="19" width="10.21875" style="175" customWidth="1"/>
    <col min="20" max="20" width="14.44140625" style="175" customWidth="1"/>
    <col min="21" max="21" width="15.6640625" style="175" customWidth="1"/>
    <col min="22" max="22" width="11.77734375" style="175" customWidth="1"/>
    <col min="23" max="23" width="12.109375" style="175" customWidth="1"/>
    <col min="24" max="25" width="8.88671875" style="175"/>
    <col min="26" max="26" width="10.44140625" style="175" customWidth="1"/>
    <col min="27" max="34" width="8.88671875" style="175"/>
    <col min="35" max="43" width="9" style="175" bestFit="1" customWidth="1"/>
    <col min="44" max="16384" width="8.88671875" style="175"/>
  </cols>
  <sheetData>
    <row r="2" spans="2:43" ht="16.8" thickBot="1" x14ac:dyDescent="0.45"/>
    <row r="3" spans="2:43" ht="61.8" thickBot="1" x14ac:dyDescent="0.45">
      <c r="B3" s="176" t="s">
        <v>503</v>
      </c>
      <c r="C3" s="177" t="s">
        <v>504</v>
      </c>
      <c r="D3" s="177" t="s">
        <v>505</v>
      </c>
      <c r="E3" s="177" t="s">
        <v>506</v>
      </c>
      <c r="F3" s="177" t="s">
        <v>507</v>
      </c>
      <c r="G3" s="178" t="s">
        <v>508</v>
      </c>
      <c r="H3" s="179"/>
      <c r="I3" s="179"/>
      <c r="J3" s="179"/>
      <c r="K3" s="179"/>
      <c r="L3" s="179"/>
      <c r="M3" s="179"/>
      <c r="N3" s="179"/>
      <c r="O3" s="179"/>
      <c r="P3" s="179"/>
      <c r="Q3" s="179"/>
      <c r="R3" s="180"/>
      <c r="S3" s="180"/>
      <c r="T3" s="181"/>
      <c r="AI3" s="182" t="s">
        <v>509</v>
      </c>
      <c r="AJ3" s="183"/>
      <c r="AK3" s="184"/>
      <c r="AL3" s="182" t="s">
        <v>510</v>
      </c>
      <c r="AM3" s="183"/>
      <c r="AN3" s="184"/>
      <c r="AO3" s="185" t="s">
        <v>511</v>
      </c>
      <c r="AP3" s="186"/>
      <c r="AQ3" s="187"/>
    </row>
    <row r="4" spans="2:43" ht="18.45" customHeight="1" x14ac:dyDescent="0.5">
      <c r="B4" s="188" t="s">
        <v>512</v>
      </c>
      <c r="C4" s="189">
        <f>C63</f>
        <v>120</v>
      </c>
      <c r="D4" s="189">
        <f>C52</f>
        <v>65</v>
      </c>
      <c r="E4" s="189">
        <f t="shared" ref="E4:E14" si="0">C4-D4</f>
        <v>55</v>
      </c>
      <c r="F4" s="190">
        <f>E4/C4</f>
        <v>0.45833333333333331</v>
      </c>
      <c r="G4" s="191">
        <f>RANK(F4,$F$4:$F$14)</f>
        <v>1</v>
      </c>
      <c r="AI4" s="192" t="s">
        <v>513</v>
      </c>
      <c r="AJ4" s="193" t="s">
        <v>252</v>
      </c>
      <c r="AK4" s="193" t="s">
        <v>458</v>
      </c>
      <c r="AL4" s="193" t="s">
        <v>513</v>
      </c>
      <c r="AM4" s="193" t="s">
        <v>252</v>
      </c>
      <c r="AN4" s="193" t="s">
        <v>458</v>
      </c>
      <c r="AO4" s="193" t="s">
        <v>513</v>
      </c>
      <c r="AP4" s="193" t="s">
        <v>252</v>
      </c>
      <c r="AQ4" s="194" t="s">
        <v>458</v>
      </c>
    </row>
    <row r="5" spans="2:43" ht="20.399999999999999" x14ac:dyDescent="0.5">
      <c r="B5" s="188" t="s">
        <v>514</v>
      </c>
      <c r="C5" s="189">
        <f>D63</f>
        <v>125</v>
      </c>
      <c r="D5" s="189">
        <f>D52</f>
        <v>100</v>
      </c>
      <c r="E5" s="189">
        <f t="shared" si="0"/>
        <v>25</v>
      </c>
      <c r="F5" s="190">
        <f t="shared" ref="F5:F14" si="1">E5/C5</f>
        <v>0.2</v>
      </c>
      <c r="G5" s="191">
        <f t="shared" ref="G5:G14" si="2">RANK(F5,$F$4:$F$14)</f>
        <v>9</v>
      </c>
      <c r="P5" s="195"/>
      <c r="AI5" s="196">
        <v>2</v>
      </c>
      <c r="AJ5" s="144">
        <v>1</v>
      </c>
      <c r="AK5" s="144">
        <v>2</v>
      </c>
      <c r="AL5" s="144">
        <v>10</v>
      </c>
      <c r="AM5" s="123">
        <v>0</v>
      </c>
      <c r="AN5" s="144">
        <v>10</v>
      </c>
      <c r="AO5" s="144">
        <v>10</v>
      </c>
      <c r="AP5" s="144">
        <v>1</v>
      </c>
      <c r="AQ5" s="197">
        <v>9</v>
      </c>
    </row>
    <row r="6" spans="2:43" ht="18" customHeight="1" x14ac:dyDescent="0.5">
      <c r="B6" s="188" t="s">
        <v>515</v>
      </c>
      <c r="C6" s="189">
        <f>E63</f>
        <v>105</v>
      </c>
      <c r="D6" s="189">
        <f>E52</f>
        <v>79</v>
      </c>
      <c r="E6" s="189">
        <f t="shared" si="0"/>
        <v>26</v>
      </c>
      <c r="F6" s="190">
        <f t="shared" si="1"/>
        <v>0.24761904761904763</v>
      </c>
      <c r="G6" s="191">
        <f t="shared" si="2"/>
        <v>8</v>
      </c>
      <c r="AI6" s="196"/>
      <c r="AJ6" s="144"/>
      <c r="AK6" s="144"/>
      <c r="AL6" s="124"/>
      <c r="AM6" s="124"/>
      <c r="AN6" s="124"/>
      <c r="AO6" s="144"/>
      <c r="AP6" s="144"/>
      <c r="AQ6" s="197"/>
    </row>
    <row r="7" spans="2:43" ht="21" thickBot="1" x14ac:dyDescent="0.55000000000000004">
      <c r="B7" s="188" t="s">
        <v>516</v>
      </c>
      <c r="C7" s="189">
        <f>F63</f>
        <v>116</v>
      </c>
      <c r="D7" s="189">
        <f>F52</f>
        <v>83</v>
      </c>
      <c r="E7" s="189">
        <f t="shared" si="0"/>
        <v>33</v>
      </c>
      <c r="F7" s="190">
        <f t="shared" si="1"/>
        <v>0.28448275862068967</v>
      </c>
      <c r="G7" s="191">
        <f t="shared" si="2"/>
        <v>7</v>
      </c>
      <c r="AI7" s="198"/>
      <c r="AJ7" s="199"/>
      <c r="AK7" s="199"/>
      <c r="AL7" s="199"/>
      <c r="AM7" s="199"/>
      <c r="AN7" s="199"/>
      <c r="AO7" s="199"/>
      <c r="AP7" s="199"/>
      <c r="AQ7" s="200"/>
    </row>
    <row r="8" spans="2:43" ht="18.45" customHeight="1" thickBot="1" x14ac:dyDescent="0.55000000000000004">
      <c r="B8" s="188" t="s">
        <v>517</v>
      </c>
      <c r="C8" s="189">
        <f>G63</f>
        <v>315</v>
      </c>
      <c r="D8" s="189">
        <f>G52</f>
        <v>203</v>
      </c>
      <c r="E8" s="189">
        <f t="shared" si="0"/>
        <v>112</v>
      </c>
      <c r="F8" s="190">
        <f t="shared" si="1"/>
        <v>0.35555555555555557</v>
      </c>
      <c r="G8" s="191">
        <f t="shared" si="2"/>
        <v>4</v>
      </c>
      <c r="AI8" s="182" t="s">
        <v>469</v>
      </c>
      <c r="AJ8" s="183"/>
      <c r="AK8" s="184"/>
      <c r="AL8" s="182" t="s">
        <v>518</v>
      </c>
      <c r="AM8" s="183"/>
      <c r="AN8" s="184"/>
      <c r="AO8" s="201" t="s">
        <v>519</v>
      </c>
      <c r="AP8" s="202"/>
      <c r="AQ8" s="203"/>
    </row>
    <row r="9" spans="2:43" ht="20.399999999999999" x14ac:dyDescent="0.5">
      <c r="B9" s="188" t="s">
        <v>520</v>
      </c>
      <c r="C9" s="189">
        <f>H63</f>
        <v>13</v>
      </c>
      <c r="D9" s="189">
        <f>H52</f>
        <v>13</v>
      </c>
      <c r="E9" s="189">
        <f t="shared" si="0"/>
        <v>0</v>
      </c>
      <c r="F9" s="190">
        <f t="shared" si="1"/>
        <v>0</v>
      </c>
      <c r="G9" s="191">
        <f t="shared" si="2"/>
        <v>10</v>
      </c>
      <c r="AI9" s="192" t="s">
        <v>513</v>
      </c>
      <c r="AJ9" s="193" t="s">
        <v>252</v>
      </c>
      <c r="AK9" s="193" t="s">
        <v>458</v>
      </c>
      <c r="AL9" s="193" t="s">
        <v>513</v>
      </c>
      <c r="AM9" s="193" t="s">
        <v>252</v>
      </c>
      <c r="AN9" s="193" t="s">
        <v>458</v>
      </c>
      <c r="AO9" s="193" t="s">
        <v>513</v>
      </c>
      <c r="AP9" s="193" t="s">
        <v>252</v>
      </c>
      <c r="AQ9" s="194" t="s">
        <v>458</v>
      </c>
    </row>
    <row r="10" spans="2:43" ht="20.399999999999999" x14ac:dyDescent="0.5">
      <c r="B10" s="188" t="s">
        <v>521</v>
      </c>
      <c r="C10" s="189">
        <f>I63</f>
        <v>33</v>
      </c>
      <c r="D10" s="189">
        <f>I52</f>
        <v>33</v>
      </c>
      <c r="E10" s="189">
        <f t="shared" si="0"/>
        <v>0</v>
      </c>
      <c r="F10" s="190">
        <f t="shared" si="1"/>
        <v>0</v>
      </c>
      <c r="G10" s="191">
        <f t="shared" si="2"/>
        <v>10</v>
      </c>
      <c r="AI10" s="196">
        <v>1</v>
      </c>
      <c r="AJ10" s="144">
        <v>0</v>
      </c>
      <c r="AK10" s="144">
        <v>1</v>
      </c>
      <c r="AL10" s="144">
        <v>38</v>
      </c>
      <c r="AM10" s="123">
        <v>2</v>
      </c>
      <c r="AN10" s="144">
        <v>36</v>
      </c>
      <c r="AO10" s="144">
        <v>41</v>
      </c>
      <c r="AP10" s="144">
        <v>2</v>
      </c>
      <c r="AQ10" s="197">
        <v>39</v>
      </c>
    </row>
    <row r="11" spans="2:43" ht="20.399999999999999" x14ac:dyDescent="0.5">
      <c r="B11" s="188" t="s">
        <v>522</v>
      </c>
      <c r="C11" s="189">
        <f>J63</f>
        <v>10</v>
      </c>
      <c r="D11" s="189">
        <f>J52</f>
        <v>6</v>
      </c>
      <c r="E11" s="189">
        <f t="shared" si="0"/>
        <v>4</v>
      </c>
      <c r="F11" s="190">
        <f t="shared" si="1"/>
        <v>0.4</v>
      </c>
      <c r="G11" s="191">
        <f t="shared" si="2"/>
        <v>2</v>
      </c>
      <c r="AI11" s="204"/>
      <c r="AJ11" s="205"/>
      <c r="AK11" s="205"/>
      <c r="AL11" s="205"/>
      <c r="AM11" s="206"/>
      <c r="AN11" s="205"/>
      <c r="AO11" s="205"/>
      <c r="AP11" s="205"/>
      <c r="AQ11" s="207"/>
    </row>
    <row r="12" spans="2:43" ht="20.399999999999999" x14ac:dyDescent="0.5">
      <c r="B12" s="188" t="s">
        <v>523</v>
      </c>
      <c r="C12" s="189">
        <f>K63</f>
        <v>48</v>
      </c>
      <c r="D12" s="189">
        <f>K52</f>
        <v>30</v>
      </c>
      <c r="E12" s="189">
        <f t="shared" si="0"/>
        <v>18</v>
      </c>
      <c r="F12" s="190">
        <f t="shared" si="1"/>
        <v>0.375</v>
      </c>
      <c r="G12" s="191">
        <f t="shared" si="2"/>
        <v>3</v>
      </c>
      <c r="AI12" s="204"/>
      <c r="AJ12" s="205"/>
      <c r="AK12" s="205"/>
      <c r="AL12" s="205"/>
      <c r="AM12" s="206"/>
      <c r="AN12" s="205"/>
      <c r="AO12" s="205"/>
      <c r="AP12" s="205"/>
      <c r="AQ12" s="207"/>
    </row>
    <row r="13" spans="2:43" ht="20.399999999999999" x14ac:dyDescent="0.5">
      <c r="B13" s="188" t="s">
        <v>524</v>
      </c>
      <c r="C13" s="189">
        <f>L63</f>
        <v>21</v>
      </c>
      <c r="D13" s="189">
        <f>L52</f>
        <v>15</v>
      </c>
      <c r="E13" s="189">
        <f t="shared" si="0"/>
        <v>6</v>
      </c>
      <c r="F13" s="190">
        <f t="shared" si="1"/>
        <v>0.2857142857142857</v>
      </c>
      <c r="G13" s="191">
        <f t="shared" si="2"/>
        <v>6</v>
      </c>
      <c r="AI13" s="204"/>
      <c r="AJ13" s="205"/>
      <c r="AK13" s="205"/>
      <c r="AL13" s="205"/>
      <c r="AM13" s="206"/>
      <c r="AN13" s="205"/>
      <c r="AO13" s="205"/>
      <c r="AP13" s="205"/>
      <c r="AQ13" s="207"/>
    </row>
    <row r="14" spans="2:43" ht="21" thickBot="1" x14ac:dyDescent="0.55000000000000004">
      <c r="B14" s="208" t="s">
        <v>525</v>
      </c>
      <c r="C14" s="209">
        <f>M63</f>
        <v>32</v>
      </c>
      <c r="D14" s="209">
        <f>M52</f>
        <v>22</v>
      </c>
      <c r="E14" s="209">
        <f t="shared" si="0"/>
        <v>10</v>
      </c>
      <c r="F14" s="210">
        <f t="shared" si="1"/>
        <v>0.3125</v>
      </c>
      <c r="G14" s="211">
        <f t="shared" si="2"/>
        <v>5</v>
      </c>
      <c r="AI14" s="204"/>
      <c r="AJ14" s="205"/>
      <c r="AK14" s="205"/>
      <c r="AL14" s="205"/>
      <c r="AM14" s="206"/>
      <c r="AN14" s="205"/>
      <c r="AO14" s="205"/>
      <c r="AP14" s="205"/>
      <c r="AQ14" s="207"/>
    </row>
    <row r="15" spans="2:43" ht="21" thickBot="1" x14ac:dyDescent="0.55000000000000004">
      <c r="B15" s="212" t="s">
        <v>526</v>
      </c>
      <c r="C15" s="213">
        <f>SUM(C4:C14)</f>
        <v>938</v>
      </c>
      <c r="D15" s="214">
        <f>SUM(D4:D14)</f>
        <v>649</v>
      </c>
      <c r="E15" s="215">
        <f>SUM(E4:E14)</f>
        <v>289</v>
      </c>
      <c r="AI15" s="216"/>
      <c r="AJ15" s="146"/>
      <c r="AK15" s="146"/>
      <c r="AL15" s="146"/>
      <c r="AM15" s="146"/>
      <c r="AN15" s="146"/>
      <c r="AO15" s="146"/>
      <c r="AP15" s="146"/>
      <c r="AQ15" s="211"/>
    </row>
    <row r="19" ht="18.45" customHeight="1" x14ac:dyDescent="0.4"/>
    <row r="35" spans="2:22" ht="21" customHeight="1" thickBot="1" x14ac:dyDescent="0.45"/>
    <row r="36" spans="2:22" ht="21" thickBot="1" x14ac:dyDescent="0.45">
      <c r="B36" s="217" t="s">
        <v>505</v>
      </c>
      <c r="C36" s="218"/>
      <c r="D36" s="218"/>
      <c r="E36" s="218"/>
      <c r="F36" s="218"/>
      <c r="G36" s="218"/>
      <c r="H36" s="218"/>
      <c r="I36" s="218"/>
      <c r="J36" s="218"/>
      <c r="K36" s="218"/>
      <c r="L36" s="218"/>
      <c r="M36" s="219"/>
      <c r="O36" s="217" t="s">
        <v>505</v>
      </c>
      <c r="P36" s="218"/>
      <c r="Q36" s="218"/>
      <c r="R36" s="218"/>
      <c r="S36" s="218"/>
      <c r="T36" s="218"/>
      <c r="U36" s="218"/>
      <c r="V36" s="219"/>
    </row>
    <row r="37" spans="2:22" ht="41.4" thickBot="1" x14ac:dyDescent="0.45">
      <c r="B37" s="220" t="s">
        <v>189</v>
      </c>
      <c r="C37" s="221" t="s">
        <v>527</v>
      </c>
      <c r="D37" s="221" t="s">
        <v>514</v>
      </c>
      <c r="E37" s="221" t="s">
        <v>515</v>
      </c>
      <c r="F37" s="221" t="s">
        <v>516</v>
      </c>
      <c r="G37" s="221" t="s">
        <v>528</v>
      </c>
      <c r="H37" s="221" t="s">
        <v>520</v>
      </c>
      <c r="I37" s="222" t="s">
        <v>529</v>
      </c>
      <c r="J37" s="223" t="s">
        <v>522</v>
      </c>
      <c r="K37" s="223" t="s">
        <v>530</v>
      </c>
      <c r="L37" s="223" t="s">
        <v>524</v>
      </c>
      <c r="M37" s="224" t="s">
        <v>531</v>
      </c>
      <c r="O37" s="225" t="s">
        <v>189</v>
      </c>
      <c r="P37" s="226" t="s">
        <v>527</v>
      </c>
      <c r="Q37" s="226" t="s">
        <v>514</v>
      </c>
      <c r="R37" s="226" t="s">
        <v>515</v>
      </c>
      <c r="S37" s="226" t="s">
        <v>516</v>
      </c>
      <c r="T37" s="226" t="s">
        <v>528</v>
      </c>
      <c r="U37" s="226" t="s">
        <v>520</v>
      </c>
      <c r="V37" s="227" t="s">
        <v>529</v>
      </c>
    </row>
    <row r="38" spans="2:22" ht="20.399999999999999" x14ac:dyDescent="0.4">
      <c r="B38" s="228">
        <v>46002</v>
      </c>
      <c r="C38" s="229">
        <v>12</v>
      </c>
      <c r="D38" s="229">
        <v>10</v>
      </c>
      <c r="E38" s="189">
        <v>12</v>
      </c>
      <c r="F38" s="189">
        <v>14</v>
      </c>
      <c r="G38" s="189">
        <v>28</v>
      </c>
      <c r="H38" s="189">
        <v>1</v>
      </c>
      <c r="I38" s="189">
        <v>5</v>
      </c>
      <c r="J38" s="230">
        <v>2</v>
      </c>
      <c r="K38" s="230">
        <v>5</v>
      </c>
      <c r="L38" s="230">
        <v>2</v>
      </c>
      <c r="M38" s="231">
        <v>3</v>
      </c>
      <c r="O38" s="228">
        <v>45953</v>
      </c>
      <c r="P38" s="229">
        <v>0</v>
      </c>
      <c r="Q38" s="229">
        <v>5</v>
      </c>
      <c r="R38" s="189">
        <v>0</v>
      </c>
      <c r="S38" s="189">
        <v>3</v>
      </c>
      <c r="T38" s="189">
        <v>1</v>
      </c>
      <c r="U38" s="189">
        <v>0</v>
      </c>
      <c r="V38" s="231">
        <v>0</v>
      </c>
    </row>
    <row r="39" spans="2:22" ht="20.399999999999999" x14ac:dyDescent="0.4">
      <c r="B39" s="228" t="s">
        <v>532</v>
      </c>
      <c r="C39" s="229">
        <v>0</v>
      </c>
      <c r="D39" s="229">
        <v>0</v>
      </c>
      <c r="E39" s="189">
        <v>0</v>
      </c>
      <c r="F39" s="189">
        <v>0</v>
      </c>
      <c r="G39" s="189">
        <v>0</v>
      </c>
      <c r="H39" s="189">
        <v>0</v>
      </c>
      <c r="I39" s="189">
        <v>0</v>
      </c>
      <c r="J39" s="230">
        <v>0</v>
      </c>
      <c r="K39" s="230">
        <v>0</v>
      </c>
      <c r="L39" s="230">
        <v>0</v>
      </c>
      <c r="M39" s="231">
        <v>0</v>
      </c>
      <c r="O39" s="228" t="s">
        <v>532</v>
      </c>
      <c r="P39" s="229">
        <v>0</v>
      </c>
      <c r="Q39" s="229">
        <v>0</v>
      </c>
      <c r="R39" s="189">
        <v>0</v>
      </c>
      <c r="S39" s="189">
        <v>0</v>
      </c>
      <c r="T39" s="189">
        <v>0</v>
      </c>
      <c r="U39" s="189">
        <v>0</v>
      </c>
      <c r="V39" s="231">
        <v>0</v>
      </c>
    </row>
    <row r="40" spans="2:22" ht="20.399999999999999" x14ac:dyDescent="0.4">
      <c r="B40" s="228">
        <v>46003</v>
      </c>
      <c r="C40" s="229">
        <v>10</v>
      </c>
      <c r="D40" s="229">
        <v>7</v>
      </c>
      <c r="E40" s="189">
        <v>11</v>
      </c>
      <c r="F40" s="189">
        <v>8</v>
      </c>
      <c r="G40" s="189">
        <v>29</v>
      </c>
      <c r="H40" s="189">
        <v>1</v>
      </c>
      <c r="I40" s="189">
        <v>5</v>
      </c>
      <c r="J40" s="230">
        <v>2</v>
      </c>
      <c r="K40" s="230">
        <v>5</v>
      </c>
      <c r="L40" s="230">
        <v>2</v>
      </c>
      <c r="M40" s="231">
        <v>5</v>
      </c>
      <c r="O40" s="228">
        <v>45954</v>
      </c>
      <c r="P40" s="229">
        <v>0</v>
      </c>
      <c r="Q40" s="229">
        <v>5</v>
      </c>
      <c r="R40" s="189">
        <v>0</v>
      </c>
      <c r="S40" s="189">
        <v>3</v>
      </c>
      <c r="T40" s="189">
        <v>1</v>
      </c>
      <c r="U40" s="189">
        <v>0</v>
      </c>
      <c r="V40" s="231">
        <v>1</v>
      </c>
    </row>
    <row r="41" spans="2:22" ht="20.399999999999999" x14ac:dyDescent="0.4">
      <c r="B41" s="228" t="s">
        <v>532</v>
      </c>
      <c r="C41" s="229">
        <v>0</v>
      </c>
      <c r="D41" s="229">
        <v>0</v>
      </c>
      <c r="E41" s="189">
        <v>0</v>
      </c>
      <c r="F41" s="189">
        <v>0</v>
      </c>
      <c r="G41" s="189">
        <v>0</v>
      </c>
      <c r="H41" s="189">
        <v>0</v>
      </c>
      <c r="I41" s="189">
        <v>0</v>
      </c>
      <c r="J41" s="230">
        <v>0</v>
      </c>
      <c r="K41" s="230">
        <v>0</v>
      </c>
      <c r="L41" s="230">
        <v>0</v>
      </c>
      <c r="M41" s="231">
        <v>0</v>
      </c>
      <c r="O41" s="228" t="s">
        <v>532</v>
      </c>
      <c r="P41" s="229">
        <v>0</v>
      </c>
      <c r="Q41" s="229">
        <v>0</v>
      </c>
      <c r="R41" s="189">
        <v>0</v>
      </c>
      <c r="S41" s="189">
        <v>0</v>
      </c>
      <c r="T41" s="189">
        <v>0</v>
      </c>
      <c r="U41" s="189">
        <v>0</v>
      </c>
      <c r="V41" s="231">
        <v>0</v>
      </c>
    </row>
    <row r="42" spans="2:22" ht="20.399999999999999" x14ac:dyDescent="0.4">
      <c r="B42" s="228">
        <v>46004</v>
      </c>
      <c r="C42" s="229">
        <v>3</v>
      </c>
      <c r="D42" s="229">
        <v>14</v>
      </c>
      <c r="E42" s="189">
        <v>12</v>
      </c>
      <c r="F42" s="189">
        <v>8</v>
      </c>
      <c r="G42" s="189">
        <v>29</v>
      </c>
      <c r="H42" s="189">
        <v>1</v>
      </c>
      <c r="I42" s="189">
        <v>5</v>
      </c>
      <c r="J42" s="230">
        <v>2</v>
      </c>
      <c r="K42" s="230">
        <v>5</v>
      </c>
      <c r="L42" s="230">
        <v>2</v>
      </c>
      <c r="M42" s="231">
        <v>2</v>
      </c>
      <c r="O42" s="228">
        <v>45955</v>
      </c>
      <c r="P42" s="229">
        <v>0</v>
      </c>
      <c r="Q42" s="229">
        <v>10</v>
      </c>
      <c r="R42" s="189">
        <v>0</v>
      </c>
      <c r="S42" s="189">
        <v>8</v>
      </c>
      <c r="T42" s="189">
        <v>14</v>
      </c>
      <c r="U42" s="189">
        <v>1</v>
      </c>
      <c r="V42" s="231">
        <v>2</v>
      </c>
    </row>
    <row r="43" spans="2:22" ht="20.399999999999999" x14ac:dyDescent="0.4">
      <c r="B43" s="228" t="s">
        <v>532</v>
      </c>
      <c r="C43" s="229">
        <v>0</v>
      </c>
      <c r="D43" s="229">
        <v>0</v>
      </c>
      <c r="E43" s="189">
        <v>0</v>
      </c>
      <c r="F43" s="189">
        <v>0</v>
      </c>
      <c r="G43" s="189">
        <v>0</v>
      </c>
      <c r="H43" s="189">
        <v>0</v>
      </c>
      <c r="I43" s="189">
        <v>0</v>
      </c>
      <c r="J43" s="230">
        <v>0</v>
      </c>
      <c r="K43" s="230">
        <v>0</v>
      </c>
      <c r="L43" s="230">
        <v>0</v>
      </c>
      <c r="M43" s="231">
        <v>0</v>
      </c>
      <c r="O43" s="228" t="s">
        <v>532</v>
      </c>
      <c r="P43" s="229">
        <v>0</v>
      </c>
      <c r="Q43" s="229">
        <v>0</v>
      </c>
      <c r="R43" s="189">
        <v>0</v>
      </c>
      <c r="S43" s="189">
        <v>0</v>
      </c>
      <c r="T43" s="189">
        <v>0</v>
      </c>
      <c r="U43" s="189">
        <v>0</v>
      </c>
      <c r="V43" s="231">
        <v>0</v>
      </c>
    </row>
    <row r="44" spans="2:22" ht="20.399999999999999" x14ac:dyDescent="0.4">
      <c r="B44" s="228">
        <v>46005</v>
      </c>
      <c r="C44" s="229">
        <v>2</v>
      </c>
      <c r="D44" s="229">
        <v>14</v>
      </c>
      <c r="E44" s="189">
        <v>12</v>
      </c>
      <c r="F44" s="189">
        <v>7</v>
      </c>
      <c r="G44" s="189">
        <v>28</v>
      </c>
      <c r="H44" s="189">
        <v>1</v>
      </c>
      <c r="I44" s="189">
        <v>3</v>
      </c>
      <c r="J44" s="230">
        <v>0</v>
      </c>
      <c r="K44" s="230">
        <v>3</v>
      </c>
      <c r="L44" s="230">
        <v>3</v>
      </c>
      <c r="M44" s="231">
        <v>2</v>
      </c>
      <c r="O44" s="228">
        <v>45956</v>
      </c>
      <c r="P44" s="229">
        <v>0</v>
      </c>
      <c r="Q44" s="229">
        <v>10</v>
      </c>
      <c r="R44" s="189">
        <v>0</v>
      </c>
      <c r="S44" s="189">
        <v>8</v>
      </c>
      <c r="T44" s="189">
        <v>5</v>
      </c>
      <c r="U44" s="189">
        <v>1</v>
      </c>
      <c r="V44" s="231">
        <v>0</v>
      </c>
    </row>
    <row r="45" spans="2:22" ht="20.399999999999999" x14ac:dyDescent="0.4">
      <c r="B45" s="228" t="s">
        <v>532</v>
      </c>
      <c r="C45" s="229">
        <v>0</v>
      </c>
      <c r="D45" s="229">
        <v>0</v>
      </c>
      <c r="E45" s="189">
        <v>0</v>
      </c>
      <c r="F45" s="189">
        <v>0</v>
      </c>
      <c r="G45" s="189">
        <v>0</v>
      </c>
      <c r="H45" s="189">
        <v>0</v>
      </c>
      <c r="I45" s="189">
        <v>0</v>
      </c>
      <c r="J45" s="230">
        <v>0</v>
      </c>
      <c r="K45" s="230">
        <v>0</v>
      </c>
      <c r="L45" s="230">
        <v>0</v>
      </c>
      <c r="M45" s="231">
        <v>0</v>
      </c>
      <c r="O45" s="228" t="s">
        <v>532</v>
      </c>
      <c r="P45" s="229">
        <v>0</v>
      </c>
      <c r="Q45" s="229">
        <v>0</v>
      </c>
      <c r="R45" s="189">
        <v>0</v>
      </c>
      <c r="S45" s="189">
        <v>0</v>
      </c>
      <c r="T45" s="189">
        <v>0</v>
      </c>
      <c r="U45" s="189">
        <v>0</v>
      </c>
      <c r="V45" s="231">
        <v>0</v>
      </c>
    </row>
    <row r="46" spans="2:22" ht="20.399999999999999" x14ac:dyDescent="0.4">
      <c r="B46" s="228">
        <v>46006</v>
      </c>
      <c r="C46" s="229">
        <v>14</v>
      </c>
      <c r="D46" s="229">
        <v>25</v>
      </c>
      <c r="E46" s="189">
        <v>12</v>
      </c>
      <c r="F46" s="189">
        <v>11</v>
      </c>
      <c r="G46" s="189">
        <v>28</v>
      </c>
      <c r="H46" s="189">
        <v>1</v>
      </c>
      <c r="I46" s="189">
        <v>5</v>
      </c>
      <c r="J46" s="230">
        <v>0</v>
      </c>
      <c r="K46" s="230">
        <v>3</v>
      </c>
      <c r="L46" s="230">
        <v>3</v>
      </c>
      <c r="M46" s="231">
        <v>3</v>
      </c>
      <c r="O46" s="228">
        <v>45957</v>
      </c>
      <c r="P46" s="229">
        <v>0</v>
      </c>
      <c r="Q46" s="229">
        <v>5</v>
      </c>
      <c r="R46" s="189">
        <v>0</v>
      </c>
      <c r="S46" s="189">
        <v>4</v>
      </c>
      <c r="T46" s="189">
        <v>3</v>
      </c>
      <c r="U46" s="189">
        <v>1</v>
      </c>
      <c r="V46" s="231">
        <v>4</v>
      </c>
    </row>
    <row r="47" spans="2:22" ht="20.399999999999999" x14ac:dyDescent="0.4">
      <c r="B47" s="228" t="s">
        <v>532</v>
      </c>
      <c r="C47" s="229">
        <v>0</v>
      </c>
      <c r="D47" s="229">
        <v>0</v>
      </c>
      <c r="E47" s="229">
        <v>0</v>
      </c>
      <c r="F47" s="229">
        <v>0</v>
      </c>
      <c r="G47" s="229">
        <v>0</v>
      </c>
      <c r="H47" s="229">
        <v>0</v>
      </c>
      <c r="I47" s="189">
        <v>0</v>
      </c>
      <c r="J47" s="230">
        <v>0</v>
      </c>
      <c r="K47" s="230">
        <v>0</v>
      </c>
      <c r="L47" s="230">
        <v>0</v>
      </c>
      <c r="M47" s="231">
        <v>0</v>
      </c>
      <c r="O47" s="228" t="s">
        <v>532</v>
      </c>
      <c r="P47" s="229">
        <v>0</v>
      </c>
      <c r="Q47" s="229">
        <v>0</v>
      </c>
      <c r="R47" s="189">
        <v>0</v>
      </c>
      <c r="S47" s="189">
        <v>0</v>
      </c>
      <c r="T47" s="189">
        <v>0</v>
      </c>
      <c r="U47" s="189">
        <v>0</v>
      </c>
      <c r="V47" s="231">
        <v>0</v>
      </c>
    </row>
    <row r="48" spans="2:22" ht="20.399999999999999" x14ac:dyDescent="0.4">
      <c r="B48" s="228">
        <v>46007</v>
      </c>
      <c r="C48" s="229">
        <v>14</v>
      </c>
      <c r="D48" s="229">
        <v>15</v>
      </c>
      <c r="E48" s="189">
        <v>10</v>
      </c>
      <c r="F48" s="189">
        <v>16</v>
      </c>
      <c r="G48" s="189">
        <v>30</v>
      </c>
      <c r="H48" s="189">
        <v>4</v>
      </c>
      <c r="I48" s="189">
        <v>6</v>
      </c>
      <c r="J48" s="230">
        <v>0</v>
      </c>
      <c r="K48" s="230">
        <v>3</v>
      </c>
      <c r="L48" s="230">
        <v>3</v>
      </c>
      <c r="M48" s="231">
        <v>3</v>
      </c>
      <c r="O48" s="228">
        <v>45958</v>
      </c>
      <c r="P48" s="229">
        <v>3</v>
      </c>
      <c r="Q48" s="229">
        <v>5</v>
      </c>
      <c r="R48" s="189">
        <v>1</v>
      </c>
      <c r="S48" s="189">
        <v>8</v>
      </c>
      <c r="T48" s="189">
        <v>3</v>
      </c>
      <c r="U48" s="189">
        <v>1</v>
      </c>
      <c r="V48" s="231">
        <v>6</v>
      </c>
    </row>
    <row r="49" spans="2:22" ht="20.399999999999999" x14ac:dyDescent="0.4">
      <c r="B49" s="228" t="s">
        <v>532</v>
      </c>
      <c r="C49" s="229">
        <v>0</v>
      </c>
      <c r="D49" s="229">
        <v>0</v>
      </c>
      <c r="E49" s="229">
        <v>0</v>
      </c>
      <c r="F49" s="229">
        <v>0</v>
      </c>
      <c r="G49" s="229">
        <v>0</v>
      </c>
      <c r="H49" s="229">
        <v>0</v>
      </c>
      <c r="I49" s="189">
        <v>0</v>
      </c>
      <c r="J49" s="230">
        <v>0</v>
      </c>
      <c r="K49" s="230">
        <v>0</v>
      </c>
      <c r="L49" s="230">
        <v>0</v>
      </c>
      <c r="M49" s="231">
        <v>0</v>
      </c>
      <c r="O49" s="228" t="s">
        <v>532</v>
      </c>
      <c r="P49" s="229">
        <v>0</v>
      </c>
      <c r="Q49" s="229">
        <v>0</v>
      </c>
      <c r="R49" s="189">
        <v>0</v>
      </c>
      <c r="S49" s="189">
        <v>0</v>
      </c>
      <c r="T49" s="189">
        <v>0</v>
      </c>
      <c r="U49" s="189">
        <v>0</v>
      </c>
      <c r="V49" s="231">
        <v>0</v>
      </c>
    </row>
    <row r="50" spans="2:22" ht="20.399999999999999" x14ac:dyDescent="0.4">
      <c r="B50" s="228">
        <v>46008</v>
      </c>
      <c r="C50" s="229">
        <v>10</v>
      </c>
      <c r="D50" s="229">
        <v>15</v>
      </c>
      <c r="E50" s="189">
        <v>10</v>
      </c>
      <c r="F50" s="189">
        <v>19</v>
      </c>
      <c r="G50" s="189">
        <v>31</v>
      </c>
      <c r="H50" s="189">
        <v>4</v>
      </c>
      <c r="I50" s="189">
        <v>4</v>
      </c>
      <c r="J50" s="230">
        <v>0</v>
      </c>
      <c r="K50" s="230">
        <v>6</v>
      </c>
      <c r="L50" s="230">
        <v>0</v>
      </c>
      <c r="M50" s="231">
        <v>4</v>
      </c>
      <c r="O50" s="228">
        <v>45959</v>
      </c>
      <c r="P50" s="229">
        <v>3</v>
      </c>
      <c r="Q50" s="229">
        <v>5</v>
      </c>
      <c r="R50" s="189">
        <v>1</v>
      </c>
      <c r="S50" s="189">
        <v>8</v>
      </c>
      <c r="T50" s="189">
        <v>12</v>
      </c>
      <c r="U50" s="189">
        <v>1</v>
      </c>
      <c r="V50" s="231">
        <v>5</v>
      </c>
    </row>
    <row r="51" spans="2:22" ht="21" thickBot="1" x14ac:dyDescent="0.45">
      <c r="B51" s="232" t="s">
        <v>532</v>
      </c>
      <c r="C51" s="229">
        <v>0</v>
      </c>
      <c r="D51" s="229">
        <v>0</v>
      </c>
      <c r="E51" s="229">
        <v>0</v>
      </c>
      <c r="F51" s="229">
        <v>0</v>
      </c>
      <c r="G51" s="229">
        <v>0</v>
      </c>
      <c r="H51" s="229">
        <v>0</v>
      </c>
      <c r="I51" s="189">
        <v>0</v>
      </c>
      <c r="J51" s="230">
        <v>0</v>
      </c>
      <c r="K51" s="230">
        <v>0</v>
      </c>
      <c r="L51" s="230">
        <v>0</v>
      </c>
      <c r="M51" s="231">
        <v>0</v>
      </c>
      <c r="O51" s="232" t="s">
        <v>532</v>
      </c>
      <c r="P51" s="229">
        <v>0</v>
      </c>
      <c r="Q51" s="229">
        <v>0</v>
      </c>
      <c r="R51" s="189">
        <v>0</v>
      </c>
      <c r="S51" s="189">
        <v>0</v>
      </c>
      <c r="T51" s="189">
        <v>0</v>
      </c>
      <c r="U51" s="189">
        <v>0</v>
      </c>
      <c r="V51" s="231">
        <v>0</v>
      </c>
    </row>
    <row r="52" spans="2:22" ht="21" thickBot="1" x14ac:dyDescent="0.45">
      <c r="B52" s="233" t="s">
        <v>513</v>
      </c>
      <c r="C52" s="234">
        <f>SUM(C38:C51)</f>
        <v>65</v>
      </c>
      <c r="D52" s="234">
        <f t="shared" ref="D52:M52" si="3">SUM(D38:D51)</f>
        <v>100</v>
      </c>
      <c r="E52" s="234">
        <f t="shared" si="3"/>
        <v>79</v>
      </c>
      <c r="F52" s="234">
        <f t="shared" si="3"/>
        <v>83</v>
      </c>
      <c r="G52" s="234">
        <f t="shared" si="3"/>
        <v>203</v>
      </c>
      <c r="H52" s="234">
        <f t="shared" si="3"/>
        <v>13</v>
      </c>
      <c r="I52" s="234">
        <f t="shared" si="3"/>
        <v>33</v>
      </c>
      <c r="J52" s="234">
        <f t="shared" si="3"/>
        <v>6</v>
      </c>
      <c r="K52" s="234">
        <f t="shared" si="3"/>
        <v>30</v>
      </c>
      <c r="L52" s="234">
        <f t="shared" si="3"/>
        <v>15</v>
      </c>
      <c r="M52" s="234">
        <f t="shared" si="3"/>
        <v>22</v>
      </c>
      <c r="O52" s="233" t="s">
        <v>513</v>
      </c>
      <c r="P52" s="234">
        <f>SUM(P38:P51)</f>
        <v>6</v>
      </c>
      <c r="Q52" s="234">
        <f t="shared" ref="Q52:V52" si="4">SUM(Q38:Q51)</f>
        <v>45</v>
      </c>
      <c r="R52" s="234">
        <f t="shared" si="4"/>
        <v>2</v>
      </c>
      <c r="S52" s="234">
        <f t="shared" si="4"/>
        <v>42</v>
      </c>
      <c r="T52" s="234">
        <f t="shared" si="4"/>
        <v>39</v>
      </c>
      <c r="U52" s="234">
        <f t="shared" si="4"/>
        <v>5</v>
      </c>
      <c r="V52" s="234">
        <f t="shared" si="4"/>
        <v>18</v>
      </c>
    </row>
    <row r="53" spans="2:22" ht="21" thickBot="1" x14ac:dyDescent="0.45">
      <c r="B53" s="235"/>
      <c r="C53" s="236"/>
      <c r="D53" s="236"/>
      <c r="E53" s="236"/>
      <c r="F53" s="236"/>
      <c r="G53" s="236"/>
      <c r="O53" s="235"/>
      <c r="P53" s="236"/>
      <c r="Q53" s="236"/>
      <c r="R53" s="236"/>
      <c r="S53" s="236"/>
      <c r="T53" s="236"/>
    </row>
    <row r="54" spans="2:22" ht="21" thickBot="1" x14ac:dyDescent="0.45">
      <c r="B54" s="237" t="s">
        <v>533</v>
      </c>
      <c r="C54" s="238"/>
      <c r="D54" s="238"/>
      <c r="E54" s="238"/>
      <c r="F54" s="238"/>
      <c r="G54" s="238"/>
      <c r="H54" s="238"/>
      <c r="I54" s="238"/>
      <c r="J54" s="238"/>
      <c r="K54" s="238"/>
      <c r="L54" s="238"/>
      <c r="M54" s="238"/>
      <c r="O54" s="217" t="s">
        <v>533</v>
      </c>
      <c r="P54" s="218"/>
      <c r="Q54" s="218"/>
      <c r="R54" s="218"/>
      <c r="S54" s="218"/>
      <c r="T54" s="218"/>
      <c r="U54" s="218"/>
      <c r="V54" s="219"/>
    </row>
    <row r="55" spans="2:22" ht="41.4" thickBot="1" x14ac:dyDescent="0.45">
      <c r="B55" s="224" t="s">
        <v>189</v>
      </c>
      <c r="C55" s="224" t="s">
        <v>527</v>
      </c>
      <c r="D55" s="224" t="s">
        <v>514</v>
      </c>
      <c r="E55" s="224" t="s">
        <v>515</v>
      </c>
      <c r="F55" s="224" t="s">
        <v>516</v>
      </c>
      <c r="G55" s="224" t="s">
        <v>528</v>
      </c>
      <c r="H55" s="224" t="s">
        <v>520</v>
      </c>
      <c r="I55" s="224" t="s">
        <v>529</v>
      </c>
      <c r="J55" s="224" t="s">
        <v>522</v>
      </c>
      <c r="K55" s="224" t="s">
        <v>530</v>
      </c>
      <c r="L55" s="224" t="s">
        <v>524</v>
      </c>
      <c r="M55" s="224" t="s">
        <v>534</v>
      </c>
      <c r="O55" s="224" t="s">
        <v>189</v>
      </c>
      <c r="P55" s="239" t="s">
        <v>527</v>
      </c>
      <c r="Q55" s="240" t="s">
        <v>514</v>
      </c>
      <c r="R55" s="240" t="s">
        <v>515</v>
      </c>
      <c r="S55" s="240" t="s">
        <v>516</v>
      </c>
      <c r="T55" s="240" t="s">
        <v>528</v>
      </c>
      <c r="U55" s="240" t="s">
        <v>520</v>
      </c>
      <c r="V55" s="241" t="s">
        <v>529</v>
      </c>
    </row>
    <row r="56" spans="2:22" ht="20.399999999999999" x14ac:dyDescent="0.4">
      <c r="B56" s="228">
        <v>45995</v>
      </c>
      <c r="C56" s="189">
        <v>20</v>
      </c>
      <c r="D56" s="189">
        <v>15</v>
      </c>
      <c r="E56" s="189">
        <v>15</v>
      </c>
      <c r="F56" s="189">
        <v>15</v>
      </c>
      <c r="G56" s="189">
        <v>45</v>
      </c>
      <c r="H56" s="242">
        <v>1</v>
      </c>
      <c r="I56" s="189">
        <v>5</v>
      </c>
      <c r="J56" s="189">
        <v>2</v>
      </c>
      <c r="K56" s="189">
        <v>5</v>
      </c>
      <c r="L56" s="189">
        <v>3</v>
      </c>
      <c r="M56" s="231">
        <v>4</v>
      </c>
      <c r="O56" s="228">
        <v>45953</v>
      </c>
      <c r="P56" s="189">
        <v>10</v>
      </c>
      <c r="Q56" s="189">
        <v>8</v>
      </c>
      <c r="R56" s="189">
        <v>2</v>
      </c>
      <c r="S56" s="189">
        <v>4</v>
      </c>
      <c r="T56" s="189">
        <v>6</v>
      </c>
      <c r="U56" s="242">
        <v>5</v>
      </c>
      <c r="V56" s="231">
        <v>6</v>
      </c>
    </row>
    <row r="57" spans="2:22" ht="20.399999999999999" x14ac:dyDescent="0.4">
      <c r="B57" s="228">
        <v>45996</v>
      </c>
      <c r="C57" s="189">
        <v>15</v>
      </c>
      <c r="D57" s="189">
        <v>15</v>
      </c>
      <c r="E57" s="189">
        <v>15</v>
      </c>
      <c r="F57" s="189">
        <v>16</v>
      </c>
      <c r="G57" s="189">
        <v>45</v>
      </c>
      <c r="H57" s="189">
        <v>1</v>
      </c>
      <c r="I57" s="189">
        <v>5</v>
      </c>
      <c r="J57" s="189">
        <v>2</v>
      </c>
      <c r="K57" s="189">
        <v>5</v>
      </c>
      <c r="L57" s="189">
        <v>3</v>
      </c>
      <c r="M57" s="231">
        <v>4</v>
      </c>
      <c r="O57" s="228">
        <v>45954</v>
      </c>
      <c r="P57" s="189">
        <v>10</v>
      </c>
      <c r="Q57" s="189">
        <v>8</v>
      </c>
      <c r="R57" s="189">
        <v>2</v>
      </c>
      <c r="S57" s="189">
        <v>4</v>
      </c>
      <c r="T57" s="189">
        <v>6</v>
      </c>
      <c r="U57" s="189">
        <v>4</v>
      </c>
      <c r="V57" s="231">
        <v>5</v>
      </c>
    </row>
    <row r="58" spans="2:22" ht="20.399999999999999" x14ac:dyDescent="0.4">
      <c r="B58" s="228">
        <v>45997</v>
      </c>
      <c r="C58" s="189">
        <v>15</v>
      </c>
      <c r="D58" s="189">
        <v>15</v>
      </c>
      <c r="E58" s="189">
        <v>15</v>
      </c>
      <c r="F58" s="189">
        <v>15</v>
      </c>
      <c r="G58" s="189">
        <v>45</v>
      </c>
      <c r="H58" s="189">
        <v>1</v>
      </c>
      <c r="I58" s="189">
        <v>5</v>
      </c>
      <c r="J58" s="189">
        <v>2</v>
      </c>
      <c r="K58" s="189">
        <v>6</v>
      </c>
      <c r="L58" s="189">
        <v>3</v>
      </c>
      <c r="M58" s="231">
        <v>4</v>
      </c>
      <c r="O58" s="228">
        <v>45955</v>
      </c>
      <c r="P58" s="189">
        <v>10</v>
      </c>
      <c r="Q58" s="189">
        <v>8</v>
      </c>
      <c r="R58" s="189">
        <v>2</v>
      </c>
      <c r="S58" s="189">
        <v>4</v>
      </c>
      <c r="T58" s="189">
        <v>6</v>
      </c>
      <c r="U58" s="189">
        <v>4</v>
      </c>
      <c r="V58" s="231">
        <v>5</v>
      </c>
    </row>
    <row r="59" spans="2:22" ht="20.399999999999999" x14ac:dyDescent="0.4">
      <c r="B59" s="228">
        <v>45998</v>
      </c>
      <c r="C59" s="189">
        <v>15</v>
      </c>
      <c r="D59" s="189">
        <v>20</v>
      </c>
      <c r="E59" s="189">
        <v>15</v>
      </c>
      <c r="F59" s="189">
        <v>16</v>
      </c>
      <c r="G59" s="189">
        <v>45</v>
      </c>
      <c r="H59" s="189">
        <v>1</v>
      </c>
      <c r="I59" s="189">
        <v>3</v>
      </c>
      <c r="J59" s="189">
        <v>2</v>
      </c>
      <c r="K59" s="189">
        <v>8</v>
      </c>
      <c r="L59" s="189">
        <v>3</v>
      </c>
      <c r="M59" s="231">
        <v>4</v>
      </c>
      <c r="O59" s="228">
        <v>45956</v>
      </c>
      <c r="P59" s="189">
        <v>10</v>
      </c>
      <c r="Q59" s="189">
        <v>8</v>
      </c>
      <c r="R59" s="189">
        <v>2</v>
      </c>
      <c r="S59" s="189">
        <v>4</v>
      </c>
      <c r="T59" s="189">
        <v>6</v>
      </c>
      <c r="U59" s="189">
        <v>4</v>
      </c>
      <c r="V59" s="231">
        <v>5</v>
      </c>
    </row>
    <row r="60" spans="2:22" ht="20.399999999999999" x14ac:dyDescent="0.4">
      <c r="B60" s="228">
        <v>45999</v>
      </c>
      <c r="C60" s="189">
        <v>15</v>
      </c>
      <c r="D60" s="189">
        <v>20</v>
      </c>
      <c r="E60" s="189">
        <v>15</v>
      </c>
      <c r="F60" s="189">
        <v>18</v>
      </c>
      <c r="G60" s="189">
        <v>45</v>
      </c>
      <c r="H60" s="189">
        <v>1</v>
      </c>
      <c r="I60" s="189">
        <v>5</v>
      </c>
      <c r="J60" s="189">
        <v>2</v>
      </c>
      <c r="K60" s="189">
        <v>8</v>
      </c>
      <c r="L60" s="189">
        <v>3</v>
      </c>
      <c r="M60" s="231">
        <v>4</v>
      </c>
      <c r="O60" s="228">
        <v>45957</v>
      </c>
      <c r="P60" s="189">
        <v>10</v>
      </c>
      <c r="Q60" s="189">
        <v>8</v>
      </c>
      <c r="R60" s="189">
        <v>2</v>
      </c>
      <c r="S60" s="189">
        <v>4</v>
      </c>
      <c r="T60" s="189">
        <v>6</v>
      </c>
      <c r="U60" s="189">
        <v>2</v>
      </c>
      <c r="V60" s="231">
        <v>6</v>
      </c>
    </row>
    <row r="61" spans="2:22" ht="20.399999999999999" x14ac:dyDescent="0.4">
      <c r="B61" s="228">
        <v>46000</v>
      </c>
      <c r="C61" s="189">
        <v>20</v>
      </c>
      <c r="D61" s="189">
        <v>20</v>
      </c>
      <c r="E61" s="189">
        <v>15</v>
      </c>
      <c r="F61" s="189">
        <v>18</v>
      </c>
      <c r="G61" s="189">
        <v>45</v>
      </c>
      <c r="H61" s="189">
        <v>4</v>
      </c>
      <c r="I61" s="189">
        <v>6</v>
      </c>
      <c r="J61" s="189">
        <v>0</v>
      </c>
      <c r="K61" s="189">
        <v>8</v>
      </c>
      <c r="L61" s="189">
        <v>3</v>
      </c>
      <c r="M61" s="231">
        <v>6</v>
      </c>
      <c r="O61" s="228">
        <v>45958</v>
      </c>
      <c r="P61" s="189">
        <v>10</v>
      </c>
      <c r="Q61" s="189">
        <v>8</v>
      </c>
      <c r="R61" s="189">
        <v>2</v>
      </c>
      <c r="S61" s="189">
        <v>4</v>
      </c>
      <c r="T61" s="189">
        <v>6</v>
      </c>
      <c r="U61" s="189">
        <v>2</v>
      </c>
      <c r="V61" s="231">
        <v>7</v>
      </c>
    </row>
    <row r="62" spans="2:22" ht="21" thickBot="1" x14ac:dyDescent="0.45">
      <c r="B62" s="228">
        <v>46001</v>
      </c>
      <c r="C62" s="189">
        <v>20</v>
      </c>
      <c r="D62" s="189">
        <v>20</v>
      </c>
      <c r="E62" s="189">
        <v>15</v>
      </c>
      <c r="F62" s="189">
        <v>18</v>
      </c>
      <c r="G62" s="189">
        <v>45</v>
      </c>
      <c r="H62" s="189">
        <v>4</v>
      </c>
      <c r="I62" s="189">
        <v>4</v>
      </c>
      <c r="J62" s="189">
        <v>0</v>
      </c>
      <c r="K62" s="189">
        <v>8</v>
      </c>
      <c r="L62" s="189">
        <v>3</v>
      </c>
      <c r="M62" s="231">
        <v>6</v>
      </c>
      <c r="O62" s="228">
        <v>45959</v>
      </c>
      <c r="P62" s="189">
        <v>10</v>
      </c>
      <c r="Q62" s="189">
        <v>8</v>
      </c>
      <c r="R62" s="189">
        <v>2</v>
      </c>
      <c r="S62" s="189">
        <v>4</v>
      </c>
      <c r="T62" s="189">
        <v>6</v>
      </c>
      <c r="U62" s="242">
        <v>2</v>
      </c>
      <c r="V62" s="231">
        <v>6</v>
      </c>
    </row>
    <row r="63" spans="2:22" ht="21" thickBot="1" x14ac:dyDescent="0.45">
      <c r="B63" s="243" t="s">
        <v>513</v>
      </c>
      <c r="C63" s="234">
        <f t="shared" ref="C63:E63" si="5">SUM(C56:C62)</f>
        <v>120</v>
      </c>
      <c r="D63" s="234">
        <f t="shared" si="5"/>
        <v>125</v>
      </c>
      <c r="E63" s="234">
        <f t="shared" si="5"/>
        <v>105</v>
      </c>
      <c r="F63" s="234">
        <f>SUM(F56:F62)</f>
        <v>116</v>
      </c>
      <c r="G63" s="234">
        <f>SUM(G56:G62)</f>
        <v>315</v>
      </c>
      <c r="H63" s="234">
        <f>SUM(H56:H62)</f>
        <v>13</v>
      </c>
      <c r="I63" s="234">
        <f>SUM(I56:I62)</f>
        <v>33</v>
      </c>
      <c r="J63" s="234">
        <f t="shared" ref="J63:L63" si="6">SUM(J56:J62)</f>
        <v>10</v>
      </c>
      <c r="K63" s="234">
        <f t="shared" si="6"/>
        <v>48</v>
      </c>
      <c r="L63" s="234">
        <f t="shared" si="6"/>
        <v>21</v>
      </c>
      <c r="M63" s="234">
        <f>SUM(M56:M62)</f>
        <v>32</v>
      </c>
      <c r="O63" s="243" t="s">
        <v>513</v>
      </c>
      <c r="P63" s="240">
        <f t="shared" ref="P63:V63" si="7">SUM(P56:P62)</f>
        <v>70</v>
      </c>
      <c r="Q63" s="240">
        <f t="shared" si="7"/>
        <v>56</v>
      </c>
      <c r="R63" s="240">
        <f t="shared" si="7"/>
        <v>14</v>
      </c>
      <c r="S63" s="240">
        <f t="shared" si="7"/>
        <v>28</v>
      </c>
      <c r="T63" s="240">
        <f t="shared" si="7"/>
        <v>42</v>
      </c>
      <c r="U63" s="240">
        <v>5</v>
      </c>
      <c r="V63" s="241">
        <f t="shared" si="7"/>
        <v>40</v>
      </c>
    </row>
  </sheetData>
  <mergeCells count="13">
    <mergeCell ref="AI8:AK8"/>
    <mergeCell ref="AL8:AN8"/>
    <mergeCell ref="AO8:AQ8"/>
    <mergeCell ref="B36:M36"/>
    <mergeCell ref="O36:V36"/>
    <mergeCell ref="B54:M54"/>
    <mergeCell ref="O54:V54"/>
    <mergeCell ref="H3:N3"/>
    <mergeCell ref="O3:Q3"/>
    <mergeCell ref="R3:T3"/>
    <mergeCell ref="AI3:AK3"/>
    <mergeCell ref="AL3:AN3"/>
    <mergeCell ref="AO3:AQ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13041-91BD-4DCA-8A13-C3B997A39CF3}">
  <dimension ref="B3:G22"/>
  <sheetViews>
    <sheetView workbookViewId="0">
      <selection activeCell="H24" sqref="H24"/>
    </sheetView>
  </sheetViews>
  <sheetFormatPr defaultRowHeight="14.4" x14ac:dyDescent="0.3"/>
  <cols>
    <col min="1" max="1" width="8.88671875" style="122"/>
    <col min="2" max="3" width="11" style="122" customWidth="1"/>
    <col min="4" max="4" width="14.21875" style="122" bestFit="1" customWidth="1"/>
    <col min="5" max="5" width="15.44140625" style="122" bestFit="1" customWidth="1"/>
    <col min="6" max="6" width="15.21875" style="122" bestFit="1" customWidth="1"/>
    <col min="7" max="7" width="6.77734375" style="122" customWidth="1"/>
    <col min="8" max="16384" width="8.88671875" style="122"/>
  </cols>
  <sheetData>
    <row r="3" spans="2:6" x14ac:dyDescent="0.3">
      <c r="B3" s="244" t="s">
        <v>535</v>
      </c>
      <c r="C3" s="244"/>
      <c r="D3" s="244" t="s">
        <v>536</v>
      </c>
      <c r="E3" s="244" t="s">
        <v>537</v>
      </c>
      <c r="F3" s="244" t="s">
        <v>538</v>
      </c>
    </row>
    <row r="4" spans="2:6" x14ac:dyDescent="0.3">
      <c r="B4" s="142" t="s">
        <v>539</v>
      </c>
      <c r="C4" s="142" t="s">
        <v>540</v>
      </c>
      <c r="D4" s="245"/>
      <c r="E4" s="245">
        <v>5000000</v>
      </c>
      <c r="F4" s="245">
        <v>1063955</v>
      </c>
    </row>
    <row r="5" spans="2:6" x14ac:dyDescent="0.3">
      <c r="B5" s="142" t="s">
        <v>541</v>
      </c>
      <c r="C5" s="142" t="s">
        <v>542</v>
      </c>
      <c r="D5" s="245"/>
      <c r="E5" s="245">
        <v>7200000</v>
      </c>
      <c r="F5" s="245">
        <v>7797193</v>
      </c>
    </row>
    <row r="6" spans="2:6" x14ac:dyDescent="0.3">
      <c r="B6" s="142" t="s">
        <v>543</v>
      </c>
      <c r="C6" s="142" t="s">
        <v>544</v>
      </c>
      <c r="D6" s="245"/>
      <c r="E6" s="245">
        <v>5000000</v>
      </c>
      <c r="F6" s="245">
        <v>168333</v>
      </c>
    </row>
    <row r="7" spans="2:6" x14ac:dyDescent="0.3">
      <c r="B7" s="142" t="s">
        <v>545</v>
      </c>
      <c r="C7" s="142" t="s">
        <v>546</v>
      </c>
      <c r="D7" s="245"/>
      <c r="E7" s="245">
        <v>7500000</v>
      </c>
      <c r="F7" s="245">
        <f>1387400+988771</f>
        <v>2376171</v>
      </c>
    </row>
    <row r="8" spans="2:6" x14ac:dyDescent="0.3">
      <c r="B8" s="142" t="s">
        <v>547</v>
      </c>
      <c r="C8" s="142" t="s">
        <v>548</v>
      </c>
      <c r="D8" s="245"/>
      <c r="E8" s="245">
        <v>8000000</v>
      </c>
      <c r="F8" s="245">
        <f>5179149+5925704</f>
        <v>11104853</v>
      </c>
    </row>
    <row r="9" spans="2:6" x14ac:dyDescent="0.3">
      <c r="B9" s="142" t="s">
        <v>549</v>
      </c>
      <c r="C9" s="142" t="s">
        <v>550</v>
      </c>
      <c r="D9" s="245"/>
      <c r="E9" s="245">
        <v>9000000</v>
      </c>
      <c r="F9" s="245"/>
    </row>
    <row r="10" spans="2:6" x14ac:dyDescent="0.3">
      <c r="B10" s="142" t="s">
        <v>551</v>
      </c>
      <c r="C10" s="142" t="s">
        <v>552</v>
      </c>
      <c r="D10" s="245"/>
      <c r="E10" s="245">
        <v>8000000</v>
      </c>
      <c r="F10" s="245"/>
    </row>
    <row r="11" spans="2:6" x14ac:dyDescent="0.3">
      <c r="B11" s="142" t="s">
        <v>553</v>
      </c>
      <c r="C11" s="142" t="s">
        <v>554</v>
      </c>
      <c r="D11" s="245"/>
      <c r="E11" s="245">
        <v>8000000</v>
      </c>
      <c r="F11" s="245"/>
    </row>
    <row r="12" spans="2:6" x14ac:dyDescent="0.3">
      <c r="D12" s="245"/>
      <c r="E12" s="246">
        <f>SUM(E4:E11)</f>
        <v>57700000</v>
      </c>
      <c r="F12" s="245"/>
    </row>
    <row r="13" spans="2:6" x14ac:dyDescent="0.3">
      <c r="B13" s="142"/>
      <c r="C13" s="142"/>
      <c r="D13" s="245"/>
      <c r="E13" s="245"/>
      <c r="F13" s="245"/>
    </row>
    <row r="14" spans="2:6" x14ac:dyDescent="0.3">
      <c r="B14" s="142"/>
      <c r="C14" s="142"/>
      <c r="D14" s="245"/>
      <c r="E14" s="245"/>
      <c r="F14" s="245"/>
    </row>
    <row r="15" spans="2:6" x14ac:dyDescent="0.3">
      <c r="B15" s="142"/>
      <c r="C15" s="142"/>
      <c r="D15" s="245"/>
      <c r="E15" s="245"/>
      <c r="F15" s="245"/>
    </row>
    <row r="18" spans="2:7" x14ac:dyDescent="0.3">
      <c r="B18" s="122" t="s">
        <v>535</v>
      </c>
      <c r="E18" s="122" t="s">
        <v>549</v>
      </c>
    </row>
    <row r="19" spans="2:7" x14ac:dyDescent="0.3">
      <c r="B19" s="122" t="s">
        <v>555</v>
      </c>
      <c r="E19" s="245"/>
    </row>
    <row r="20" spans="2:7" x14ac:dyDescent="0.3">
      <c r="B20" s="122" t="s">
        <v>556</v>
      </c>
      <c r="E20" s="245"/>
    </row>
    <row r="21" spans="2:7" ht="15" thickBot="1" x14ac:dyDescent="0.35"/>
    <row r="22" spans="2:7" ht="15" thickBot="1" x14ac:dyDescent="0.35">
      <c r="E22" s="247"/>
      <c r="F22" s="247"/>
      <c r="G22" s="248"/>
    </row>
  </sheetData>
  <mergeCells count="1">
    <mergeCell ref="E22:G2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F309D-CBD2-4103-8DB8-4BA893171F91}">
  <dimension ref="A1:T88"/>
  <sheetViews>
    <sheetView zoomScale="25" zoomScaleNormal="25" workbookViewId="0">
      <selection activeCell="AQ59" sqref="AQ59"/>
    </sheetView>
  </sheetViews>
  <sheetFormatPr defaultRowHeight="14.4" x14ac:dyDescent="0.3"/>
  <cols>
    <col min="1" max="2" width="14.21875" customWidth="1"/>
    <col min="3" max="3" width="78.21875" customWidth="1"/>
    <col min="4" max="19" width="14.21875" customWidth="1"/>
  </cols>
  <sheetData>
    <row r="1" spans="1:20" ht="16.8" thickBot="1" x14ac:dyDescent="0.35">
      <c r="A1" s="249"/>
      <c r="B1" s="249"/>
      <c r="C1" s="250"/>
      <c r="D1" s="249"/>
      <c r="E1" s="249"/>
      <c r="F1" s="249"/>
      <c r="G1" s="249"/>
      <c r="H1" s="249"/>
      <c r="I1" s="249"/>
      <c r="J1" s="249"/>
      <c r="K1" s="249"/>
      <c r="L1" s="249" t="s">
        <v>557</v>
      </c>
      <c r="M1" s="249"/>
      <c r="N1" s="249"/>
      <c r="O1" s="249"/>
      <c r="P1" s="195"/>
      <c r="Q1" s="249"/>
      <c r="R1" s="249"/>
      <c r="S1" s="249"/>
      <c r="T1" s="249"/>
    </row>
    <row r="2" spans="1:20" ht="16.8" thickBot="1" x14ac:dyDescent="0.35">
      <c r="A2" s="251"/>
      <c r="B2" s="252"/>
      <c r="C2" s="252"/>
      <c r="D2" s="252"/>
      <c r="E2" s="252"/>
      <c r="F2" s="252"/>
      <c r="G2" s="252"/>
      <c r="H2" s="252"/>
      <c r="I2" s="252"/>
      <c r="J2" s="252"/>
      <c r="K2" s="252"/>
      <c r="L2" s="252"/>
      <c r="M2" s="252"/>
      <c r="N2" s="252"/>
      <c r="O2" s="252"/>
      <c r="P2" s="252"/>
      <c r="Q2" s="252"/>
      <c r="R2" s="253"/>
      <c r="S2" s="249"/>
      <c r="T2" s="249"/>
    </row>
    <row r="3" spans="1:20" ht="16.2" x14ac:dyDescent="0.3">
      <c r="A3" s="254" t="s">
        <v>558</v>
      </c>
      <c r="B3" s="255"/>
      <c r="C3" s="255"/>
      <c r="D3" s="255"/>
      <c r="E3" s="255"/>
      <c r="F3" s="255"/>
      <c r="G3" s="255"/>
      <c r="H3" s="255"/>
      <c r="I3" s="255"/>
      <c r="J3" s="255"/>
      <c r="K3" s="255"/>
      <c r="L3" s="255"/>
      <c r="M3" s="255"/>
      <c r="N3" s="255"/>
      <c r="O3" s="255"/>
      <c r="P3" s="255"/>
      <c r="Q3" s="255"/>
      <c r="R3" s="256"/>
      <c r="S3" s="249"/>
      <c r="T3" s="249"/>
    </row>
    <row r="4" spans="1:20" ht="16.8" thickBot="1" x14ac:dyDescent="0.35">
      <c r="A4" s="257"/>
      <c r="B4" s="258"/>
      <c r="C4" s="258"/>
      <c r="D4" s="258"/>
      <c r="E4" s="258"/>
      <c r="F4" s="258"/>
      <c r="G4" s="258"/>
      <c r="H4" s="258"/>
      <c r="I4" s="258"/>
      <c r="J4" s="258"/>
      <c r="K4" s="258"/>
      <c r="L4" s="258"/>
      <c r="M4" s="258"/>
      <c r="N4" s="258"/>
      <c r="O4" s="258"/>
      <c r="P4" s="258"/>
      <c r="Q4" s="258"/>
      <c r="R4" s="259"/>
      <c r="S4" s="249"/>
      <c r="T4" s="249"/>
    </row>
    <row r="5" spans="1:20" ht="18.600000000000001" thickBot="1" x14ac:dyDescent="0.35">
      <c r="A5" s="260" t="s">
        <v>559</v>
      </c>
      <c r="B5" s="261"/>
      <c r="C5" s="261"/>
      <c r="D5" s="261"/>
      <c r="E5" s="261"/>
      <c r="F5" s="262"/>
      <c r="G5" s="263" t="s">
        <v>560</v>
      </c>
      <c r="H5" s="264"/>
      <c r="I5" s="264"/>
      <c r="J5" s="264"/>
      <c r="K5" s="264"/>
      <c r="L5" s="264"/>
      <c r="M5" s="265"/>
      <c r="N5" s="266" t="s">
        <v>561</v>
      </c>
      <c r="O5" s="267" t="s">
        <v>562</v>
      </c>
      <c r="P5" s="268"/>
      <c r="Q5" s="269" t="s">
        <v>563</v>
      </c>
      <c r="R5" s="270" t="s">
        <v>563</v>
      </c>
      <c r="S5" s="249"/>
      <c r="T5" s="249"/>
    </row>
    <row r="6" spans="1:20" ht="90.6" thickBot="1" x14ac:dyDescent="0.35">
      <c r="A6" s="271" t="s">
        <v>564</v>
      </c>
      <c r="B6" s="271" t="s">
        <v>565</v>
      </c>
      <c r="C6" s="271" t="s">
        <v>566</v>
      </c>
      <c r="D6" s="271" t="s">
        <v>567</v>
      </c>
      <c r="E6" s="271" t="s">
        <v>568</v>
      </c>
      <c r="F6" s="271" t="s">
        <v>569</v>
      </c>
      <c r="G6" s="271" t="s">
        <v>570</v>
      </c>
      <c r="H6" s="271" t="s">
        <v>571</v>
      </c>
      <c r="I6" s="271" t="s">
        <v>572</v>
      </c>
      <c r="J6" s="271" t="s">
        <v>573</v>
      </c>
      <c r="K6" s="271" t="s">
        <v>574</v>
      </c>
      <c r="L6" s="271" t="s">
        <v>575</v>
      </c>
      <c r="M6" s="271" t="s">
        <v>576</v>
      </c>
      <c r="N6" s="272" t="s">
        <v>577</v>
      </c>
      <c r="O6" s="273" t="s">
        <v>578</v>
      </c>
      <c r="P6" s="274" t="s">
        <v>579</v>
      </c>
      <c r="Q6" s="274" t="s">
        <v>580</v>
      </c>
      <c r="R6" s="275" t="s">
        <v>580</v>
      </c>
      <c r="S6" s="249"/>
      <c r="T6" s="249"/>
    </row>
    <row r="7" spans="1:20" ht="18" x14ac:dyDescent="0.3">
      <c r="A7" s="276">
        <v>1</v>
      </c>
      <c r="B7" s="277" t="s">
        <v>581</v>
      </c>
      <c r="C7" s="278" t="s">
        <v>582</v>
      </c>
      <c r="D7" s="279">
        <v>46002</v>
      </c>
      <c r="E7" s="279">
        <v>46008</v>
      </c>
      <c r="F7" s="280" t="s">
        <v>583</v>
      </c>
      <c r="G7" s="281">
        <v>3925</v>
      </c>
      <c r="H7" s="280">
        <v>1826</v>
      </c>
      <c r="I7" s="280">
        <v>1826.1999999999998</v>
      </c>
      <c r="J7" s="281">
        <f>H7-I7</f>
        <v>-0.1999999999998181</v>
      </c>
      <c r="K7" s="282">
        <v>0</v>
      </c>
      <c r="L7" s="282">
        <v>0</v>
      </c>
      <c r="M7" s="280">
        <f>L7+I7</f>
        <v>1826.1999999999998</v>
      </c>
      <c r="N7" s="283">
        <f>J7/H7</f>
        <v>-1.0952902519157618E-4</v>
      </c>
      <c r="O7" s="284">
        <v>0</v>
      </c>
      <c r="P7" s="285">
        <v>0</v>
      </c>
      <c r="Q7" s="286" t="s">
        <v>584</v>
      </c>
      <c r="R7" s="287">
        <f>M7/H7</f>
        <v>1.0001095290251916</v>
      </c>
      <c r="S7" s="249"/>
      <c r="T7" s="288"/>
    </row>
    <row r="8" spans="1:20" ht="18" x14ac:dyDescent="0.3">
      <c r="A8" s="276">
        <v>2</v>
      </c>
      <c r="B8" s="289"/>
      <c r="C8" s="290" t="s">
        <v>585</v>
      </c>
      <c r="D8" s="291">
        <v>46002</v>
      </c>
      <c r="E8" s="291">
        <v>46008</v>
      </c>
      <c r="F8" s="282" t="s">
        <v>583</v>
      </c>
      <c r="G8" s="292">
        <v>265</v>
      </c>
      <c r="H8" s="293">
        <v>91.31</v>
      </c>
      <c r="I8" s="282">
        <v>91.31</v>
      </c>
      <c r="J8" s="294">
        <f t="shared" ref="J8:J12" si="0">H8-I8</f>
        <v>0</v>
      </c>
      <c r="K8" s="282">
        <v>0</v>
      </c>
      <c r="L8" s="282">
        <v>0</v>
      </c>
      <c r="M8" s="282">
        <f t="shared" ref="M8:M18" si="1">L8+I8</f>
        <v>91.31</v>
      </c>
      <c r="N8" s="283">
        <f t="shared" ref="N8:N55" si="2">J8/H8</f>
        <v>0</v>
      </c>
      <c r="O8" s="284">
        <v>0</v>
      </c>
      <c r="P8" s="285">
        <v>0</v>
      </c>
      <c r="Q8" s="295" t="s">
        <v>586</v>
      </c>
      <c r="R8" s="296">
        <f t="shared" ref="R8:R43" si="3">M8/H8</f>
        <v>1</v>
      </c>
      <c r="S8" s="249"/>
      <c r="T8" s="288"/>
    </row>
    <row r="9" spans="1:20" ht="18" x14ac:dyDescent="0.3">
      <c r="A9" s="276">
        <v>3</v>
      </c>
      <c r="B9" s="289"/>
      <c r="C9" s="290" t="s">
        <v>587</v>
      </c>
      <c r="D9" s="291">
        <v>46002</v>
      </c>
      <c r="E9" s="291">
        <v>46008</v>
      </c>
      <c r="F9" s="282" t="s">
        <v>583</v>
      </c>
      <c r="G9" s="292">
        <v>10000</v>
      </c>
      <c r="H9" s="293">
        <v>1123.22</v>
      </c>
      <c r="I9" s="282">
        <v>1123.22</v>
      </c>
      <c r="J9" s="294">
        <f>H9-I9</f>
        <v>0</v>
      </c>
      <c r="K9" s="282">
        <v>0</v>
      </c>
      <c r="L9" s="282">
        <v>0</v>
      </c>
      <c r="M9" s="282">
        <f>L9+I9</f>
        <v>1123.22</v>
      </c>
      <c r="N9" s="283">
        <f t="shared" si="2"/>
        <v>0</v>
      </c>
      <c r="O9" s="284">
        <v>0</v>
      </c>
      <c r="P9" s="285">
        <v>0</v>
      </c>
      <c r="Q9" s="295"/>
      <c r="R9" s="296">
        <f t="shared" si="3"/>
        <v>1</v>
      </c>
      <c r="S9" s="288"/>
      <c r="T9" s="288"/>
    </row>
    <row r="10" spans="1:20" ht="18" x14ac:dyDescent="0.3">
      <c r="A10" s="276">
        <v>4</v>
      </c>
      <c r="B10" s="289"/>
      <c r="C10" s="290" t="s">
        <v>588</v>
      </c>
      <c r="D10" s="291">
        <v>46002</v>
      </c>
      <c r="E10" s="291">
        <v>46008</v>
      </c>
      <c r="F10" s="282" t="s">
        <v>583</v>
      </c>
      <c r="G10" s="292">
        <v>195.5</v>
      </c>
      <c r="H10" s="293">
        <v>173.81</v>
      </c>
      <c r="I10" s="282">
        <v>173.81</v>
      </c>
      <c r="J10" s="294">
        <f>H10-I10</f>
        <v>0</v>
      </c>
      <c r="K10" s="282">
        <v>0</v>
      </c>
      <c r="L10" s="282">
        <v>0</v>
      </c>
      <c r="M10" s="282">
        <f t="shared" ref="M10" si="4">L10+I10</f>
        <v>173.81</v>
      </c>
      <c r="N10" s="283">
        <f t="shared" si="2"/>
        <v>0</v>
      </c>
      <c r="O10" s="284">
        <v>0</v>
      </c>
      <c r="P10" s="285">
        <v>0</v>
      </c>
      <c r="Q10" s="295"/>
      <c r="R10" s="296">
        <f t="shared" si="3"/>
        <v>1</v>
      </c>
      <c r="S10" s="249"/>
      <c r="T10" s="288"/>
    </row>
    <row r="11" spans="1:20" ht="18" x14ac:dyDescent="0.3">
      <c r="A11" s="276">
        <v>5</v>
      </c>
      <c r="B11" s="289"/>
      <c r="C11" s="290" t="s">
        <v>589</v>
      </c>
      <c r="D11" s="291">
        <v>46002</v>
      </c>
      <c r="E11" s="291">
        <v>46008</v>
      </c>
      <c r="F11" s="282" t="s">
        <v>590</v>
      </c>
      <c r="G11" s="292">
        <v>1075</v>
      </c>
      <c r="H11" s="293">
        <v>441.90800000000002</v>
      </c>
      <c r="I11" s="282">
        <v>441.91</v>
      </c>
      <c r="J11" s="294">
        <f t="shared" si="0"/>
        <v>-2.0000000000095497E-3</v>
      </c>
      <c r="K11" s="282">
        <v>0</v>
      </c>
      <c r="L11" s="282">
        <v>0</v>
      </c>
      <c r="M11" s="282">
        <f t="shared" si="1"/>
        <v>441.91</v>
      </c>
      <c r="N11" s="283">
        <f t="shared" si="2"/>
        <v>-4.5258289055856641E-6</v>
      </c>
      <c r="O11" s="284">
        <v>0</v>
      </c>
      <c r="P11" s="285">
        <v>0</v>
      </c>
      <c r="Q11" s="295"/>
      <c r="R11" s="296">
        <f t="shared" si="3"/>
        <v>1.0000045258289056</v>
      </c>
      <c r="S11" s="249"/>
      <c r="T11" s="288"/>
    </row>
    <row r="12" spans="1:20" ht="18" x14ac:dyDescent="0.3">
      <c r="A12" s="276">
        <v>6</v>
      </c>
      <c r="B12" s="289"/>
      <c r="C12" s="290" t="s">
        <v>433</v>
      </c>
      <c r="D12" s="291">
        <v>46002</v>
      </c>
      <c r="E12" s="291">
        <v>46008</v>
      </c>
      <c r="F12" s="282" t="s">
        <v>583</v>
      </c>
      <c r="G12" s="294">
        <v>380</v>
      </c>
      <c r="H12" s="282">
        <v>292.76400000000001</v>
      </c>
      <c r="I12" s="282">
        <v>292.76</v>
      </c>
      <c r="J12" s="294">
        <f t="shared" si="0"/>
        <v>4.0000000000190994E-3</v>
      </c>
      <c r="K12" s="282">
        <v>0</v>
      </c>
      <c r="L12" s="282">
        <v>0</v>
      </c>
      <c r="M12" s="282">
        <f t="shared" si="1"/>
        <v>292.76</v>
      </c>
      <c r="N12" s="283">
        <f t="shared" si="2"/>
        <v>1.3662882048404514E-5</v>
      </c>
      <c r="O12" s="284">
        <v>0</v>
      </c>
      <c r="P12" s="285">
        <v>0</v>
      </c>
      <c r="Q12" s="295" t="s">
        <v>586</v>
      </c>
      <c r="R12" s="296">
        <f t="shared" si="3"/>
        <v>0.9999863371179516</v>
      </c>
      <c r="S12" s="249"/>
      <c r="T12" s="288"/>
    </row>
    <row r="13" spans="1:20" ht="18" x14ac:dyDescent="0.3">
      <c r="A13" s="276">
        <v>7</v>
      </c>
      <c r="B13" s="289"/>
      <c r="C13" s="290" t="s">
        <v>591</v>
      </c>
      <c r="D13" s="291">
        <v>46002</v>
      </c>
      <c r="E13" s="291">
        <v>46008</v>
      </c>
      <c r="F13" s="282" t="s">
        <v>590</v>
      </c>
      <c r="G13" s="292">
        <v>1075</v>
      </c>
      <c r="H13" s="282">
        <v>664</v>
      </c>
      <c r="I13" s="282">
        <v>663.99999999999989</v>
      </c>
      <c r="J13" s="294">
        <f>H13-I13</f>
        <v>0</v>
      </c>
      <c r="K13" s="282">
        <v>0</v>
      </c>
      <c r="L13" s="282">
        <v>0</v>
      </c>
      <c r="M13" s="282">
        <f t="shared" si="1"/>
        <v>663.99999999999989</v>
      </c>
      <c r="N13" s="283">
        <f t="shared" si="2"/>
        <v>0</v>
      </c>
      <c r="O13" s="284">
        <v>0</v>
      </c>
      <c r="P13" s="285">
        <v>0</v>
      </c>
      <c r="Q13" s="295"/>
      <c r="R13" s="296">
        <f t="shared" si="3"/>
        <v>0.99999999999999978</v>
      </c>
      <c r="S13" s="249"/>
      <c r="T13" s="288"/>
    </row>
    <row r="14" spans="1:20" ht="18" x14ac:dyDescent="0.3">
      <c r="A14" s="276">
        <v>8</v>
      </c>
      <c r="B14" s="289"/>
      <c r="C14" s="290" t="s">
        <v>592</v>
      </c>
      <c r="D14" s="291">
        <v>46002</v>
      </c>
      <c r="E14" s="291">
        <v>46008</v>
      </c>
      <c r="F14" s="282" t="s">
        <v>583</v>
      </c>
      <c r="G14" s="294">
        <v>380</v>
      </c>
      <c r="H14" s="282">
        <v>62.65</v>
      </c>
      <c r="I14" s="282">
        <v>62.65</v>
      </c>
      <c r="J14" s="294">
        <f>H14-I14</f>
        <v>0</v>
      </c>
      <c r="K14" s="282">
        <v>0</v>
      </c>
      <c r="L14" s="282">
        <v>0</v>
      </c>
      <c r="M14" s="282">
        <f>L14+I14</f>
        <v>62.65</v>
      </c>
      <c r="N14" s="283">
        <f t="shared" si="2"/>
        <v>0</v>
      </c>
      <c r="O14" s="284">
        <v>0</v>
      </c>
      <c r="P14" s="285">
        <v>0</v>
      </c>
      <c r="Q14" s="297"/>
      <c r="R14" s="296">
        <f t="shared" si="3"/>
        <v>1</v>
      </c>
      <c r="S14" s="249"/>
      <c r="T14" s="288"/>
    </row>
    <row r="15" spans="1:20" ht="18" x14ac:dyDescent="0.3">
      <c r="A15" s="276">
        <v>9</v>
      </c>
      <c r="B15" s="289"/>
      <c r="C15" s="290" t="s">
        <v>593</v>
      </c>
      <c r="D15" s="291">
        <v>46002</v>
      </c>
      <c r="E15" s="291">
        <v>46008</v>
      </c>
      <c r="F15" s="282" t="s">
        <v>583</v>
      </c>
      <c r="G15" s="294">
        <v>3925</v>
      </c>
      <c r="H15" s="282">
        <v>11.795</v>
      </c>
      <c r="I15" s="282">
        <v>11.795</v>
      </c>
      <c r="J15" s="294">
        <f>H15-I15</f>
        <v>0</v>
      </c>
      <c r="K15" s="282">
        <v>0</v>
      </c>
      <c r="L15" s="282">
        <v>0</v>
      </c>
      <c r="M15" s="282">
        <f>L15+I15</f>
        <v>11.795</v>
      </c>
      <c r="N15" s="283">
        <f t="shared" si="2"/>
        <v>0</v>
      </c>
      <c r="O15" s="284">
        <v>0</v>
      </c>
      <c r="P15" s="285">
        <v>0</v>
      </c>
      <c r="Q15" s="297"/>
      <c r="R15" s="296">
        <f t="shared" si="3"/>
        <v>1</v>
      </c>
      <c r="S15" s="249"/>
      <c r="T15" s="288"/>
    </row>
    <row r="16" spans="1:20" ht="18" x14ac:dyDescent="0.3">
      <c r="A16" s="276">
        <v>10</v>
      </c>
      <c r="B16" s="289"/>
      <c r="C16" s="290" t="s">
        <v>594</v>
      </c>
      <c r="D16" s="291">
        <v>46002</v>
      </c>
      <c r="E16" s="291">
        <v>46008</v>
      </c>
      <c r="F16" s="282" t="s">
        <v>583</v>
      </c>
      <c r="G16" s="294">
        <v>265</v>
      </c>
      <c r="H16" s="282">
        <v>7.944</v>
      </c>
      <c r="I16" s="282">
        <v>7.944</v>
      </c>
      <c r="J16" s="294">
        <f>H16-I16</f>
        <v>0</v>
      </c>
      <c r="K16" s="282">
        <v>0</v>
      </c>
      <c r="L16" s="282">
        <v>0</v>
      </c>
      <c r="M16" s="282">
        <f t="shared" si="1"/>
        <v>7.944</v>
      </c>
      <c r="N16" s="283">
        <f t="shared" si="2"/>
        <v>0</v>
      </c>
      <c r="O16" s="284">
        <v>0</v>
      </c>
      <c r="P16" s="285">
        <v>0</v>
      </c>
      <c r="Q16" s="297"/>
      <c r="R16" s="296">
        <f t="shared" si="3"/>
        <v>1</v>
      </c>
      <c r="S16" s="249"/>
      <c r="T16" s="288"/>
    </row>
    <row r="17" spans="1:20" ht="18" x14ac:dyDescent="0.3">
      <c r="A17" s="276">
        <v>11</v>
      </c>
      <c r="B17" s="289"/>
      <c r="C17" s="290" t="s">
        <v>595</v>
      </c>
      <c r="D17" s="291">
        <v>46002</v>
      </c>
      <c r="E17" s="291">
        <v>46008</v>
      </c>
      <c r="F17" s="282" t="s">
        <v>590</v>
      </c>
      <c r="G17" s="292">
        <v>1075</v>
      </c>
      <c r="H17" s="282">
        <v>142.93799999999999</v>
      </c>
      <c r="I17" s="282">
        <v>142.85</v>
      </c>
      <c r="J17" s="294">
        <f t="shared" ref="J17:J18" si="5">H17-I17</f>
        <v>8.7999999999993861E-2</v>
      </c>
      <c r="K17" s="282">
        <v>0</v>
      </c>
      <c r="L17" s="282">
        <v>0</v>
      </c>
      <c r="M17" s="282">
        <f t="shared" si="1"/>
        <v>142.85</v>
      </c>
      <c r="N17" s="283">
        <f t="shared" si="2"/>
        <v>6.1565154122762223E-4</v>
      </c>
      <c r="O17" s="284">
        <v>0</v>
      </c>
      <c r="P17" s="285">
        <v>0</v>
      </c>
      <c r="Q17" s="297"/>
      <c r="R17" s="296">
        <f t="shared" si="3"/>
        <v>0.99938434845877233</v>
      </c>
      <c r="S17" s="249"/>
      <c r="T17" s="288"/>
    </row>
    <row r="18" spans="1:20" ht="18" x14ac:dyDescent="0.3">
      <c r="A18" s="276">
        <v>12</v>
      </c>
      <c r="B18" s="289"/>
      <c r="C18" s="290" t="s">
        <v>596</v>
      </c>
      <c r="D18" s="291">
        <v>46002</v>
      </c>
      <c r="E18" s="291">
        <v>46008</v>
      </c>
      <c r="F18" s="282" t="s">
        <v>583</v>
      </c>
      <c r="G18" s="294">
        <v>380</v>
      </c>
      <c r="H18" s="282">
        <v>23.994</v>
      </c>
      <c r="I18" s="282">
        <v>23.979999999999997</v>
      </c>
      <c r="J18" s="294">
        <f t="shared" si="5"/>
        <v>1.4000000000002899E-2</v>
      </c>
      <c r="K18" s="282">
        <v>0</v>
      </c>
      <c r="L18" s="282">
        <v>0</v>
      </c>
      <c r="M18" s="282">
        <f t="shared" si="1"/>
        <v>23.979999999999997</v>
      </c>
      <c r="N18" s="283">
        <f t="shared" si="2"/>
        <v>5.8347920313423765E-4</v>
      </c>
      <c r="O18" s="284">
        <v>0</v>
      </c>
      <c r="P18" s="285">
        <v>0</v>
      </c>
      <c r="Q18" s="297"/>
      <c r="R18" s="296">
        <f t="shared" si="3"/>
        <v>0.99941652079686571</v>
      </c>
      <c r="S18" s="249"/>
      <c r="T18" s="288"/>
    </row>
    <row r="19" spans="1:20" ht="18" x14ac:dyDescent="0.3">
      <c r="A19" s="276">
        <v>13</v>
      </c>
      <c r="B19" s="289"/>
      <c r="C19" s="290" t="s">
        <v>597</v>
      </c>
      <c r="D19" s="291">
        <v>46002</v>
      </c>
      <c r="E19" s="291">
        <v>46008</v>
      </c>
      <c r="F19" s="282" t="s">
        <v>583</v>
      </c>
      <c r="G19" s="294">
        <v>130</v>
      </c>
      <c r="H19" s="282">
        <v>86.293999999999997</v>
      </c>
      <c r="I19" s="282">
        <v>86.293999999999997</v>
      </c>
      <c r="J19" s="294">
        <f>H19-I19</f>
        <v>0</v>
      </c>
      <c r="K19" s="282">
        <v>0</v>
      </c>
      <c r="L19" s="282">
        <v>0</v>
      </c>
      <c r="M19" s="282">
        <f>L19+I19</f>
        <v>86.293999999999997</v>
      </c>
      <c r="N19" s="283">
        <f t="shared" si="2"/>
        <v>0</v>
      </c>
      <c r="O19" s="284">
        <v>0</v>
      </c>
      <c r="P19" s="285">
        <v>0</v>
      </c>
      <c r="Q19" s="297"/>
      <c r="R19" s="296">
        <f t="shared" si="3"/>
        <v>1</v>
      </c>
      <c r="S19" s="249"/>
      <c r="T19" s="288"/>
    </row>
    <row r="20" spans="1:20" ht="18" x14ac:dyDescent="0.3">
      <c r="A20" s="276">
        <v>14</v>
      </c>
      <c r="B20" s="289"/>
      <c r="C20" s="290" t="s">
        <v>598</v>
      </c>
      <c r="D20" s="291">
        <v>46002</v>
      </c>
      <c r="E20" s="291">
        <v>46008</v>
      </c>
      <c r="F20" s="282" t="s">
        <v>583</v>
      </c>
      <c r="G20" s="294">
        <v>265</v>
      </c>
      <c r="H20" s="282">
        <v>18.07</v>
      </c>
      <c r="I20" s="282">
        <v>18.07</v>
      </c>
      <c r="J20" s="294">
        <f>H20-I20</f>
        <v>0</v>
      </c>
      <c r="K20" s="282">
        <v>0</v>
      </c>
      <c r="L20" s="282">
        <v>0</v>
      </c>
      <c r="M20" s="282">
        <f t="shared" ref="M20:M21" si="6">L20+I20</f>
        <v>18.07</v>
      </c>
      <c r="N20" s="283">
        <f t="shared" si="2"/>
        <v>0</v>
      </c>
      <c r="O20" s="284">
        <v>0</v>
      </c>
      <c r="P20" s="285">
        <v>0</v>
      </c>
      <c r="Q20" s="297"/>
      <c r="R20" s="296">
        <f t="shared" si="3"/>
        <v>1</v>
      </c>
      <c r="S20" s="249"/>
      <c r="T20" s="288"/>
    </row>
    <row r="21" spans="1:20" ht="18" x14ac:dyDescent="0.3">
      <c r="A21" s="276">
        <v>15</v>
      </c>
      <c r="B21" s="289"/>
      <c r="C21" s="290" t="s">
        <v>599</v>
      </c>
      <c r="D21" s="291">
        <v>46002</v>
      </c>
      <c r="E21" s="291">
        <v>46008</v>
      </c>
      <c r="F21" s="282" t="s">
        <v>590</v>
      </c>
      <c r="G21" s="292">
        <v>1075</v>
      </c>
      <c r="H21" s="282">
        <v>387.1</v>
      </c>
      <c r="I21" s="282">
        <v>387.1</v>
      </c>
      <c r="J21" s="294">
        <f>H21-I21</f>
        <v>0</v>
      </c>
      <c r="K21" s="282">
        <v>0</v>
      </c>
      <c r="L21" s="282">
        <v>0</v>
      </c>
      <c r="M21" s="282">
        <f t="shared" si="6"/>
        <v>387.1</v>
      </c>
      <c r="N21" s="283">
        <f t="shared" si="2"/>
        <v>0</v>
      </c>
      <c r="O21" s="284">
        <v>0</v>
      </c>
      <c r="P21" s="285">
        <v>0</v>
      </c>
      <c r="Q21" s="297"/>
      <c r="R21" s="296">
        <f t="shared" si="3"/>
        <v>1</v>
      </c>
      <c r="S21" s="249"/>
      <c r="T21" s="288"/>
    </row>
    <row r="22" spans="1:20" ht="18" x14ac:dyDescent="0.3">
      <c r="A22" s="276">
        <v>16</v>
      </c>
      <c r="B22" s="289"/>
      <c r="C22" s="290" t="s">
        <v>600</v>
      </c>
      <c r="D22" s="291">
        <v>46002</v>
      </c>
      <c r="E22" s="291">
        <v>46008</v>
      </c>
      <c r="F22" s="282" t="s">
        <v>583</v>
      </c>
      <c r="G22" s="294">
        <v>380</v>
      </c>
      <c r="H22" s="282">
        <v>45.72</v>
      </c>
      <c r="I22" s="282">
        <v>45.72</v>
      </c>
      <c r="J22" s="294">
        <f>H22-I22</f>
        <v>0</v>
      </c>
      <c r="K22" s="282">
        <v>0</v>
      </c>
      <c r="L22" s="282">
        <v>0</v>
      </c>
      <c r="M22" s="282">
        <f>L22+I22</f>
        <v>45.72</v>
      </c>
      <c r="N22" s="283">
        <f t="shared" si="2"/>
        <v>0</v>
      </c>
      <c r="O22" s="284">
        <v>0</v>
      </c>
      <c r="P22" s="285">
        <v>0</v>
      </c>
      <c r="Q22" s="297"/>
      <c r="R22" s="296">
        <f t="shared" si="3"/>
        <v>1</v>
      </c>
      <c r="S22" s="249"/>
      <c r="T22" s="288"/>
    </row>
    <row r="23" spans="1:20" ht="18" x14ac:dyDescent="0.3">
      <c r="A23" s="276">
        <v>17</v>
      </c>
      <c r="B23" s="289"/>
      <c r="C23" s="290" t="s">
        <v>601</v>
      </c>
      <c r="D23" s="291">
        <v>46002</v>
      </c>
      <c r="E23" s="291">
        <v>46008</v>
      </c>
      <c r="F23" s="282" t="s">
        <v>590</v>
      </c>
      <c r="G23" s="292">
        <v>5235</v>
      </c>
      <c r="H23" s="282">
        <v>92.29</v>
      </c>
      <c r="I23" s="282">
        <v>59.5</v>
      </c>
      <c r="J23" s="294">
        <f t="shared" ref="J23:J30" si="7">H23-I23</f>
        <v>32.790000000000006</v>
      </c>
      <c r="K23" s="282">
        <f>J23</f>
        <v>32.790000000000006</v>
      </c>
      <c r="L23" s="282">
        <v>15</v>
      </c>
      <c r="M23" s="282">
        <f t="shared" ref="M23:M41" si="8">L23+I23</f>
        <v>74.5</v>
      </c>
      <c r="N23" s="283">
        <f>J23/H23</f>
        <v>0.3552930978437534</v>
      </c>
      <c r="O23" s="284">
        <f t="shared" ref="O23" si="9">K23/J23</f>
        <v>1</v>
      </c>
      <c r="P23" s="285">
        <f>L23/J23</f>
        <v>0.45745654162854521</v>
      </c>
      <c r="Q23" s="298"/>
      <c r="R23" s="299">
        <f t="shared" si="3"/>
        <v>0.80723805396034232</v>
      </c>
      <c r="S23" s="249"/>
      <c r="T23" s="288"/>
    </row>
    <row r="24" spans="1:20" ht="18" x14ac:dyDescent="0.3">
      <c r="A24" s="276">
        <v>18</v>
      </c>
      <c r="B24" s="289"/>
      <c r="C24" s="300" t="s">
        <v>602</v>
      </c>
      <c r="D24" s="291">
        <v>46002</v>
      </c>
      <c r="E24" s="291">
        <v>46008</v>
      </c>
      <c r="F24" s="282" t="s">
        <v>583</v>
      </c>
      <c r="G24" s="292">
        <v>130</v>
      </c>
      <c r="H24" s="293">
        <v>16.167999999999999</v>
      </c>
      <c r="I24" s="282">
        <v>16.170000000000002</v>
      </c>
      <c r="J24" s="294">
        <f t="shared" si="7"/>
        <v>-2.0000000000024443E-3</v>
      </c>
      <c r="K24" s="282">
        <v>0</v>
      </c>
      <c r="L24" s="282">
        <v>0</v>
      </c>
      <c r="M24" s="282">
        <f t="shared" si="8"/>
        <v>16.170000000000002</v>
      </c>
      <c r="N24" s="283">
        <f t="shared" si="2"/>
        <v>-1.2370113805062124E-4</v>
      </c>
      <c r="O24" s="284">
        <v>0</v>
      </c>
      <c r="P24" s="285">
        <v>0</v>
      </c>
      <c r="Q24" s="297"/>
      <c r="R24" s="296">
        <f t="shared" si="3"/>
        <v>1.0001237011380506</v>
      </c>
      <c r="S24" s="249"/>
      <c r="T24" s="288"/>
    </row>
    <row r="25" spans="1:20" ht="18" x14ac:dyDescent="0.3">
      <c r="A25" s="276">
        <v>19</v>
      </c>
      <c r="B25" s="289"/>
      <c r="C25" s="300" t="s">
        <v>603</v>
      </c>
      <c r="D25" s="291">
        <v>46002</v>
      </c>
      <c r="E25" s="291">
        <v>46008</v>
      </c>
      <c r="F25" s="282" t="s">
        <v>583</v>
      </c>
      <c r="G25" s="292">
        <v>265</v>
      </c>
      <c r="H25" s="293">
        <v>86.9</v>
      </c>
      <c r="I25" s="282">
        <v>86.9</v>
      </c>
      <c r="J25" s="294">
        <f t="shared" si="7"/>
        <v>0</v>
      </c>
      <c r="K25" s="282">
        <v>0</v>
      </c>
      <c r="L25" s="282">
        <v>0</v>
      </c>
      <c r="M25" s="282">
        <f>L25+I25</f>
        <v>86.9</v>
      </c>
      <c r="N25" s="283">
        <f t="shared" si="2"/>
        <v>0</v>
      </c>
      <c r="O25" s="284">
        <v>0</v>
      </c>
      <c r="P25" s="285">
        <v>0</v>
      </c>
      <c r="Q25" s="297"/>
      <c r="R25" s="296">
        <f t="shared" si="3"/>
        <v>1</v>
      </c>
      <c r="S25" s="249"/>
      <c r="T25" s="288"/>
    </row>
    <row r="26" spans="1:20" ht="18" x14ac:dyDescent="0.3">
      <c r="A26" s="276">
        <v>20</v>
      </c>
      <c r="B26" s="289"/>
      <c r="C26" s="301" t="s">
        <v>604</v>
      </c>
      <c r="D26" s="291">
        <v>46002</v>
      </c>
      <c r="E26" s="291">
        <v>46008</v>
      </c>
      <c r="F26" s="282" t="s">
        <v>590</v>
      </c>
      <c r="G26" s="292">
        <v>1075</v>
      </c>
      <c r="H26" s="282">
        <v>15.3</v>
      </c>
      <c r="I26" s="282">
        <v>15.3</v>
      </c>
      <c r="J26" s="294">
        <f>H26-I26</f>
        <v>0</v>
      </c>
      <c r="K26" s="282">
        <f>J26</f>
        <v>0</v>
      </c>
      <c r="L26" s="282">
        <f>K26</f>
        <v>0</v>
      </c>
      <c r="M26" s="282">
        <f t="shared" ref="M26" si="10">L26+I26</f>
        <v>15.3</v>
      </c>
      <c r="N26" s="283">
        <f t="shared" si="2"/>
        <v>0</v>
      </c>
      <c r="O26" s="284">
        <v>0</v>
      </c>
      <c r="P26" s="285">
        <v>0</v>
      </c>
      <c r="Q26" s="297"/>
      <c r="R26" s="296">
        <f t="shared" si="3"/>
        <v>1</v>
      </c>
      <c r="S26" s="249"/>
      <c r="T26" s="288"/>
    </row>
    <row r="27" spans="1:20" ht="18" x14ac:dyDescent="0.3">
      <c r="A27" s="276">
        <v>21</v>
      </c>
      <c r="B27" s="289"/>
      <c r="C27" s="301" t="s">
        <v>605</v>
      </c>
      <c r="D27" s="291">
        <v>46002</v>
      </c>
      <c r="E27" s="291">
        <v>46008</v>
      </c>
      <c r="F27" s="302" t="s">
        <v>583</v>
      </c>
      <c r="G27" s="303">
        <v>380</v>
      </c>
      <c r="H27" s="302">
        <v>88.03</v>
      </c>
      <c r="I27" s="302">
        <v>88.03</v>
      </c>
      <c r="J27" s="303">
        <f t="shared" si="7"/>
        <v>0</v>
      </c>
      <c r="K27" s="282">
        <f>J27</f>
        <v>0</v>
      </c>
      <c r="L27" s="282">
        <f>K27</f>
        <v>0</v>
      </c>
      <c r="M27" s="302">
        <f t="shared" si="8"/>
        <v>88.03</v>
      </c>
      <c r="N27" s="304">
        <f t="shared" si="2"/>
        <v>0</v>
      </c>
      <c r="O27" s="284">
        <v>0</v>
      </c>
      <c r="P27" s="285">
        <v>0</v>
      </c>
      <c r="Q27" s="297"/>
      <c r="R27" s="296">
        <f>M27/H27</f>
        <v>1</v>
      </c>
      <c r="S27" s="249"/>
      <c r="T27" s="288"/>
    </row>
    <row r="28" spans="1:20" ht="18.600000000000001" thickBot="1" x14ac:dyDescent="0.35">
      <c r="A28" s="305" t="s">
        <v>606</v>
      </c>
      <c r="B28" s="306"/>
      <c r="C28" s="306"/>
      <c r="D28" s="306"/>
      <c r="E28" s="306"/>
      <c r="F28" s="306"/>
      <c r="G28" s="306"/>
      <c r="H28" s="306"/>
      <c r="I28" s="306"/>
      <c r="J28" s="306"/>
      <c r="K28" s="306"/>
      <c r="L28" s="306"/>
      <c r="M28" s="306"/>
      <c r="N28" s="307"/>
      <c r="O28" s="308">
        <f>+AVERAGE(O7:O27)</f>
        <v>4.7619047619047616E-2</v>
      </c>
      <c r="P28" s="309">
        <f>+AVERAGE(P7:P27)</f>
        <v>2.1783644839454535E-2</v>
      </c>
      <c r="Q28" s="309" t="e">
        <f>+AVERAGE(Q7:Q25)</f>
        <v>#DIV/0!</v>
      </c>
      <c r="R28" s="309">
        <f>+AVERAGE(R7:R27)</f>
        <v>0.99077442934886106</v>
      </c>
      <c r="S28" s="249"/>
      <c r="T28" s="249"/>
    </row>
    <row r="29" spans="1:20" ht="18" x14ac:dyDescent="0.3">
      <c r="A29" s="310">
        <v>22</v>
      </c>
      <c r="B29" s="311" t="s">
        <v>607</v>
      </c>
      <c r="C29" s="312" t="s">
        <v>608</v>
      </c>
      <c r="D29" s="291">
        <v>46002</v>
      </c>
      <c r="E29" s="291">
        <v>46008</v>
      </c>
      <c r="F29" s="313" t="s">
        <v>609</v>
      </c>
      <c r="G29" s="314">
        <v>1680</v>
      </c>
      <c r="H29" s="315">
        <v>427.55</v>
      </c>
      <c r="I29" s="313">
        <v>427.55399999999997</v>
      </c>
      <c r="J29" s="316">
        <f t="shared" si="7"/>
        <v>-3.999999999962256E-3</v>
      </c>
      <c r="K29" s="313">
        <v>0</v>
      </c>
      <c r="L29" s="313">
        <v>0</v>
      </c>
      <c r="M29" s="313">
        <f t="shared" si="8"/>
        <v>427.55399999999997</v>
      </c>
      <c r="N29" s="285">
        <f t="shared" si="2"/>
        <v>-9.3556309202719113E-6</v>
      </c>
      <c r="O29" s="317">
        <f>K29/J29</f>
        <v>0</v>
      </c>
      <c r="P29" s="283">
        <f t="shared" ref="P29" si="11">L29/J29</f>
        <v>0</v>
      </c>
      <c r="Q29" s="295"/>
      <c r="R29" s="296">
        <f t="shared" si="3"/>
        <v>1.0000093556309202</v>
      </c>
      <c r="S29" s="249"/>
      <c r="T29" s="288"/>
    </row>
    <row r="30" spans="1:20" ht="18" x14ac:dyDescent="0.3">
      <c r="A30" s="318">
        <v>23</v>
      </c>
      <c r="B30" s="319"/>
      <c r="C30" s="320" t="s">
        <v>610</v>
      </c>
      <c r="D30" s="291">
        <v>46002</v>
      </c>
      <c r="E30" s="291">
        <v>46008</v>
      </c>
      <c r="F30" s="282" t="s">
        <v>609</v>
      </c>
      <c r="G30" s="314"/>
      <c r="H30" s="293">
        <v>700.59</v>
      </c>
      <c r="I30" s="282">
        <v>700.59</v>
      </c>
      <c r="J30" s="294">
        <f t="shared" si="7"/>
        <v>0</v>
      </c>
      <c r="K30" s="282">
        <v>0</v>
      </c>
      <c r="L30" s="282">
        <v>0</v>
      </c>
      <c r="M30" s="282">
        <f t="shared" si="8"/>
        <v>700.59</v>
      </c>
      <c r="N30" s="283">
        <f t="shared" si="2"/>
        <v>0</v>
      </c>
      <c r="O30" s="284">
        <v>0</v>
      </c>
      <c r="P30" s="285">
        <v>0</v>
      </c>
      <c r="Q30" s="295"/>
      <c r="R30" s="296">
        <f t="shared" si="3"/>
        <v>1</v>
      </c>
      <c r="S30" s="249"/>
      <c r="T30" s="288"/>
    </row>
    <row r="31" spans="1:20" ht="18" x14ac:dyDescent="0.3">
      <c r="A31" s="318">
        <v>24</v>
      </c>
      <c r="B31" s="319"/>
      <c r="C31" s="320" t="s">
        <v>611</v>
      </c>
      <c r="D31" s="291">
        <v>46002</v>
      </c>
      <c r="E31" s="291">
        <v>46008</v>
      </c>
      <c r="F31" s="282" t="s">
        <v>609</v>
      </c>
      <c r="G31" s="314"/>
      <c r="H31" s="321">
        <v>664.26</v>
      </c>
      <c r="I31" s="282">
        <v>664.23</v>
      </c>
      <c r="J31" s="294">
        <f>H31-I31</f>
        <v>2.9999999999972715E-2</v>
      </c>
      <c r="K31" s="282">
        <v>0</v>
      </c>
      <c r="L31" s="282">
        <v>0</v>
      </c>
      <c r="M31" s="282">
        <f t="shared" si="8"/>
        <v>664.23</v>
      </c>
      <c r="N31" s="283">
        <f t="shared" si="2"/>
        <v>4.516303856919386E-5</v>
      </c>
      <c r="O31" s="284">
        <v>0</v>
      </c>
      <c r="P31" s="285">
        <v>0</v>
      </c>
      <c r="Q31" s="295"/>
      <c r="R31" s="296">
        <f t="shared" si="3"/>
        <v>0.99995483696143084</v>
      </c>
      <c r="S31" s="249"/>
      <c r="T31" s="288"/>
    </row>
    <row r="32" spans="1:20" ht="18" x14ac:dyDescent="0.3">
      <c r="A32" s="318">
        <v>25</v>
      </c>
      <c r="B32" s="319"/>
      <c r="C32" s="320" t="s">
        <v>612</v>
      </c>
      <c r="D32" s="291">
        <v>46002</v>
      </c>
      <c r="E32" s="291">
        <v>46008</v>
      </c>
      <c r="F32" s="282" t="s">
        <v>609</v>
      </c>
      <c r="G32" s="314"/>
      <c r="H32" s="321">
        <v>57.39</v>
      </c>
      <c r="I32" s="302">
        <v>57.39</v>
      </c>
      <c r="J32" s="303">
        <f t="shared" ref="J32:J34" si="12">H32-I32</f>
        <v>0</v>
      </c>
      <c r="K32" s="282">
        <v>0</v>
      </c>
      <c r="L32" s="282">
        <v>0</v>
      </c>
      <c r="M32" s="302">
        <f t="shared" si="8"/>
        <v>57.39</v>
      </c>
      <c r="N32" s="283">
        <f t="shared" si="2"/>
        <v>0</v>
      </c>
      <c r="O32" s="284">
        <v>0</v>
      </c>
      <c r="P32" s="285">
        <v>0</v>
      </c>
      <c r="Q32" s="298"/>
      <c r="R32" s="299">
        <f t="shared" si="3"/>
        <v>1</v>
      </c>
      <c r="S32" s="249"/>
      <c r="T32" s="288"/>
    </row>
    <row r="33" spans="1:20" ht="18" x14ac:dyDescent="0.3">
      <c r="A33" s="318">
        <v>26</v>
      </c>
      <c r="B33" s="319"/>
      <c r="C33" s="320" t="s">
        <v>613</v>
      </c>
      <c r="D33" s="291">
        <v>46002</v>
      </c>
      <c r="E33" s="291">
        <v>46008</v>
      </c>
      <c r="F33" s="282" t="s">
        <v>609</v>
      </c>
      <c r="G33" s="322"/>
      <c r="H33" s="321">
        <v>67.989999999999995</v>
      </c>
      <c r="I33" s="302">
        <v>56</v>
      </c>
      <c r="J33" s="303">
        <f t="shared" si="12"/>
        <v>11.989999999999995</v>
      </c>
      <c r="K33" s="282">
        <v>0</v>
      </c>
      <c r="L33" s="282">
        <v>0</v>
      </c>
      <c r="M33" s="302">
        <f t="shared" si="8"/>
        <v>56</v>
      </c>
      <c r="N33" s="283">
        <f t="shared" si="2"/>
        <v>0.17634946315634645</v>
      </c>
      <c r="O33" s="317">
        <f>K33/J33</f>
        <v>0</v>
      </c>
      <c r="P33" s="304">
        <f t="shared" ref="P33:P43" si="13">L33/J33</f>
        <v>0</v>
      </c>
      <c r="Q33" s="298"/>
      <c r="R33" s="299">
        <f t="shared" si="3"/>
        <v>0.82365053684365352</v>
      </c>
      <c r="S33" s="249"/>
      <c r="T33" s="288"/>
    </row>
    <row r="34" spans="1:20" ht="18" x14ac:dyDescent="0.3">
      <c r="A34" s="318">
        <v>27</v>
      </c>
      <c r="B34" s="319"/>
      <c r="C34" s="323" t="s">
        <v>614</v>
      </c>
      <c r="D34" s="291">
        <v>46002</v>
      </c>
      <c r="E34" s="291">
        <v>46008</v>
      </c>
      <c r="F34" s="302" t="s">
        <v>583</v>
      </c>
      <c r="G34" s="324">
        <v>210</v>
      </c>
      <c r="H34" s="321">
        <v>32.822000000000003</v>
      </c>
      <c r="I34" s="302">
        <v>32.82</v>
      </c>
      <c r="J34" s="303">
        <f t="shared" si="12"/>
        <v>2.0000000000024443E-3</v>
      </c>
      <c r="K34" s="282">
        <v>0</v>
      </c>
      <c r="L34" s="282">
        <v>0</v>
      </c>
      <c r="M34" s="302">
        <f t="shared" si="8"/>
        <v>32.82</v>
      </c>
      <c r="N34" s="283">
        <f t="shared" si="2"/>
        <v>6.0934738894718302E-5</v>
      </c>
      <c r="O34" s="325">
        <f t="shared" ref="O34" si="14">K34/J34</f>
        <v>0</v>
      </c>
      <c r="P34" s="304">
        <f t="shared" si="13"/>
        <v>0</v>
      </c>
      <c r="Q34" s="298"/>
      <c r="R34" s="299">
        <f t="shared" si="3"/>
        <v>0.99993906526110532</v>
      </c>
      <c r="S34" s="249"/>
      <c r="T34" s="288"/>
    </row>
    <row r="35" spans="1:20" ht="18" x14ac:dyDescent="0.3">
      <c r="A35" s="318">
        <v>28</v>
      </c>
      <c r="B35" s="319"/>
      <c r="C35" s="320" t="s">
        <v>615</v>
      </c>
      <c r="D35" s="291">
        <v>46002</v>
      </c>
      <c r="E35" s="291">
        <v>46008</v>
      </c>
      <c r="F35" s="302" t="s">
        <v>583</v>
      </c>
      <c r="G35" s="314"/>
      <c r="H35" s="321">
        <v>61.76</v>
      </c>
      <c r="I35" s="302">
        <v>61.75</v>
      </c>
      <c r="J35" s="303">
        <f>H35-I35</f>
        <v>9.9999999999980105E-3</v>
      </c>
      <c r="K35" s="282">
        <v>0</v>
      </c>
      <c r="L35" s="282">
        <v>0</v>
      </c>
      <c r="M35" s="302">
        <f t="shared" si="8"/>
        <v>61.75</v>
      </c>
      <c r="N35" s="283">
        <f t="shared" si="2"/>
        <v>1.6191709844556363E-4</v>
      </c>
      <c r="O35" s="325">
        <f>K35/J35</f>
        <v>0</v>
      </c>
      <c r="P35" s="304">
        <f t="shared" si="13"/>
        <v>0</v>
      </c>
      <c r="Q35" s="298"/>
      <c r="R35" s="299">
        <f t="shared" si="3"/>
        <v>0.9998380829015544</v>
      </c>
      <c r="S35" s="249"/>
      <c r="T35" s="288"/>
    </row>
    <row r="36" spans="1:20" ht="18" x14ac:dyDescent="0.3">
      <c r="A36" s="318">
        <v>29</v>
      </c>
      <c r="B36" s="319"/>
      <c r="C36" s="320" t="s">
        <v>616</v>
      </c>
      <c r="D36" s="291">
        <v>46002</v>
      </c>
      <c r="E36" s="291">
        <v>46008</v>
      </c>
      <c r="F36" s="302" t="s">
        <v>583</v>
      </c>
      <c r="G36" s="314"/>
      <c r="H36" s="321">
        <v>101.99</v>
      </c>
      <c r="I36" s="302">
        <v>101.98</v>
      </c>
      <c r="J36" s="303">
        <f t="shared" ref="J36" si="15">H36-I36</f>
        <v>9.9999999999909051E-3</v>
      </c>
      <c r="K36" s="282">
        <v>0</v>
      </c>
      <c r="L36" s="282">
        <v>0</v>
      </c>
      <c r="M36" s="302">
        <f t="shared" si="8"/>
        <v>101.98</v>
      </c>
      <c r="N36" s="283">
        <f t="shared" si="2"/>
        <v>9.8048828316412443E-5</v>
      </c>
      <c r="O36" s="325">
        <f t="shared" ref="O36:O43" si="16">K36/J36</f>
        <v>0</v>
      </c>
      <c r="P36" s="304">
        <f t="shared" si="13"/>
        <v>0</v>
      </c>
      <c r="Q36" s="298"/>
      <c r="R36" s="299">
        <f t="shared" si="3"/>
        <v>0.99990195117168357</v>
      </c>
      <c r="S36" s="249"/>
      <c r="T36" s="288"/>
    </row>
    <row r="37" spans="1:20" ht="18" x14ac:dyDescent="0.3">
      <c r="A37" s="318">
        <v>30</v>
      </c>
      <c r="B37" s="319"/>
      <c r="C37" s="320" t="s">
        <v>617</v>
      </c>
      <c r="D37" s="291">
        <v>46002</v>
      </c>
      <c r="E37" s="291">
        <v>46008</v>
      </c>
      <c r="F37" s="302" t="s">
        <v>583</v>
      </c>
      <c r="G37" s="314"/>
      <c r="H37" s="321">
        <v>8.5299999999999994</v>
      </c>
      <c r="I37" s="302">
        <v>8.52</v>
      </c>
      <c r="J37" s="303">
        <f>H37-I37</f>
        <v>9.9999999999997868E-3</v>
      </c>
      <c r="K37" s="282">
        <v>0</v>
      </c>
      <c r="L37" s="282">
        <v>0</v>
      </c>
      <c r="M37" s="302">
        <f t="shared" si="8"/>
        <v>8.52</v>
      </c>
      <c r="N37" s="283">
        <f t="shared" si="2"/>
        <v>1.172332942555661E-3</v>
      </c>
      <c r="O37" s="325">
        <f t="shared" si="16"/>
        <v>0</v>
      </c>
      <c r="P37" s="304">
        <f t="shared" si="13"/>
        <v>0</v>
      </c>
      <c r="Q37" s="298"/>
      <c r="R37" s="299">
        <f t="shared" si="3"/>
        <v>0.9988276670574443</v>
      </c>
      <c r="S37" s="249"/>
      <c r="T37" s="288"/>
    </row>
    <row r="38" spans="1:20" ht="18" x14ac:dyDescent="0.3">
      <c r="A38" s="318">
        <v>31</v>
      </c>
      <c r="B38" s="319"/>
      <c r="C38" s="320" t="s">
        <v>618</v>
      </c>
      <c r="D38" s="291">
        <v>46002</v>
      </c>
      <c r="E38" s="291">
        <v>46008</v>
      </c>
      <c r="F38" s="302" t="s">
        <v>583</v>
      </c>
      <c r="G38" s="322"/>
      <c r="H38" s="321">
        <v>3.91</v>
      </c>
      <c r="I38" s="302">
        <v>2</v>
      </c>
      <c r="J38" s="303">
        <f>H38-I38</f>
        <v>1.9100000000000001</v>
      </c>
      <c r="K38" s="282">
        <v>0</v>
      </c>
      <c r="L38" s="282">
        <v>0</v>
      </c>
      <c r="M38" s="302">
        <f t="shared" si="8"/>
        <v>2</v>
      </c>
      <c r="N38" s="283">
        <f t="shared" si="2"/>
        <v>0.48849104859335041</v>
      </c>
      <c r="O38" s="325">
        <f t="shared" si="16"/>
        <v>0</v>
      </c>
      <c r="P38" s="304">
        <f t="shared" si="13"/>
        <v>0</v>
      </c>
      <c r="Q38" s="298"/>
      <c r="R38" s="299">
        <f t="shared" si="3"/>
        <v>0.51150895140664965</v>
      </c>
      <c r="S38" s="249"/>
      <c r="T38" s="288"/>
    </row>
    <row r="39" spans="1:20" ht="18" x14ac:dyDescent="0.3">
      <c r="A39" s="318">
        <v>32</v>
      </c>
      <c r="B39" s="319"/>
      <c r="C39" s="323" t="s">
        <v>619</v>
      </c>
      <c r="D39" s="291">
        <v>46002</v>
      </c>
      <c r="E39" s="291">
        <v>46008</v>
      </c>
      <c r="F39" s="302" t="s">
        <v>583</v>
      </c>
      <c r="G39" s="293">
        <v>80</v>
      </c>
      <c r="H39" s="321">
        <v>73.48</v>
      </c>
      <c r="I39" s="302">
        <v>36.86</v>
      </c>
      <c r="J39" s="303">
        <f t="shared" ref="J39:J43" si="17">H39-I39</f>
        <v>36.620000000000005</v>
      </c>
      <c r="K39" s="282">
        <v>20</v>
      </c>
      <c r="L39" s="282">
        <v>7</v>
      </c>
      <c r="M39" s="302">
        <f t="shared" si="8"/>
        <v>43.86</v>
      </c>
      <c r="N39" s="283">
        <f t="shared" si="2"/>
        <v>0.49836690255851934</v>
      </c>
      <c r="O39" s="325">
        <f t="shared" si="16"/>
        <v>0.54614964500273067</v>
      </c>
      <c r="P39" s="304">
        <f t="shared" si="13"/>
        <v>0.19115237575095573</v>
      </c>
      <c r="Q39" s="298"/>
      <c r="R39" s="299">
        <f t="shared" si="3"/>
        <v>0.59689711486118668</v>
      </c>
      <c r="S39" s="249"/>
      <c r="T39" s="288"/>
    </row>
    <row r="40" spans="1:20" ht="18" x14ac:dyDescent="0.3">
      <c r="A40" s="318">
        <v>33</v>
      </c>
      <c r="B40" s="319"/>
      <c r="C40" s="323" t="s">
        <v>620</v>
      </c>
      <c r="D40" s="291">
        <v>46002</v>
      </c>
      <c r="E40" s="291">
        <v>46008</v>
      </c>
      <c r="F40" s="302" t="s">
        <v>590</v>
      </c>
      <c r="G40" s="293">
        <v>1170</v>
      </c>
      <c r="H40" s="321">
        <v>768</v>
      </c>
      <c r="I40" s="302">
        <v>346.26</v>
      </c>
      <c r="J40" s="303">
        <f t="shared" si="17"/>
        <v>421.74</v>
      </c>
      <c r="K40" s="282">
        <v>100</v>
      </c>
      <c r="L40" s="282">
        <v>10</v>
      </c>
      <c r="M40" s="302">
        <f t="shared" si="8"/>
        <v>356.26</v>
      </c>
      <c r="N40" s="283">
        <f>J40/H40</f>
        <v>0.54914062500000005</v>
      </c>
      <c r="O40" s="325">
        <f t="shared" si="16"/>
        <v>0.2371129131692512</v>
      </c>
      <c r="P40" s="304">
        <f t="shared" si="13"/>
        <v>2.371129131692512E-2</v>
      </c>
      <c r="Q40" s="298"/>
      <c r="R40" s="299">
        <f t="shared" si="3"/>
        <v>0.46388020833333332</v>
      </c>
      <c r="S40" s="249"/>
      <c r="T40" s="288"/>
    </row>
    <row r="41" spans="1:20" ht="18" x14ac:dyDescent="0.3">
      <c r="A41" s="318">
        <v>34</v>
      </c>
      <c r="B41" s="319"/>
      <c r="C41" s="326" t="s">
        <v>621</v>
      </c>
      <c r="D41" s="291">
        <v>46002</v>
      </c>
      <c r="E41" s="291">
        <v>46008</v>
      </c>
      <c r="F41" s="302" t="s">
        <v>590</v>
      </c>
      <c r="G41" s="327">
        <v>1591.21</v>
      </c>
      <c r="H41" s="321">
        <v>1733.79</v>
      </c>
      <c r="I41" s="302">
        <v>362</v>
      </c>
      <c r="J41" s="303">
        <f t="shared" si="17"/>
        <v>1371.79</v>
      </c>
      <c r="K41" s="282">
        <v>600</v>
      </c>
      <c r="L41" s="282">
        <v>301</v>
      </c>
      <c r="M41" s="302">
        <f t="shared" si="8"/>
        <v>663</v>
      </c>
      <c r="N41" s="283">
        <f>J41/H41</f>
        <v>0.79120885459023294</v>
      </c>
      <c r="O41" s="325">
        <f t="shared" si="16"/>
        <v>0.43738473089904434</v>
      </c>
      <c r="P41" s="304">
        <f t="shared" si="13"/>
        <v>0.21942134000102057</v>
      </c>
      <c r="Q41" s="298"/>
      <c r="R41" s="299">
        <f t="shared" si="3"/>
        <v>0.38239925250462858</v>
      </c>
      <c r="S41" s="249"/>
      <c r="T41" s="288"/>
    </row>
    <row r="42" spans="1:20" ht="18" x14ac:dyDescent="0.3">
      <c r="A42" s="318">
        <v>35</v>
      </c>
      <c r="B42" s="319"/>
      <c r="C42" s="326" t="s">
        <v>449</v>
      </c>
      <c r="D42" s="291">
        <v>46002</v>
      </c>
      <c r="E42" s="291">
        <v>46008</v>
      </c>
      <c r="F42" s="302" t="s">
        <v>590</v>
      </c>
      <c r="G42" s="327">
        <v>830</v>
      </c>
      <c r="H42" s="321">
        <v>841.16</v>
      </c>
      <c r="I42" s="302">
        <v>0</v>
      </c>
      <c r="J42" s="303">
        <f t="shared" si="17"/>
        <v>841.16</v>
      </c>
      <c r="K42" s="282">
        <v>100</v>
      </c>
      <c r="L42" s="282">
        <v>55.15</v>
      </c>
      <c r="M42" s="302">
        <f>L42+I42</f>
        <v>55.15</v>
      </c>
      <c r="N42" s="283">
        <f>J42/H42</f>
        <v>1</v>
      </c>
      <c r="O42" s="325">
        <f t="shared" si="16"/>
        <v>0.11888344666888583</v>
      </c>
      <c r="P42" s="304">
        <f t="shared" si="13"/>
        <v>6.5564220837890527E-2</v>
      </c>
      <c r="Q42" s="298"/>
      <c r="R42" s="299">
        <f t="shared" si="3"/>
        <v>6.5564220837890527E-2</v>
      </c>
      <c r="S42" s="249"/>
      <c r="T42" s="288"/>
    </row>
    <row r="43" spans="1:20" ht="18.600000000000001" thickBot="1" x14ac:dyDescent="0.35">
      <c r="A43" s="318">
        <v>36</v>
      </c>
      <c r="B43" s="328"/>
      <c r="C43" s="326" t="s">
        <v>622</v>
      </c>
      <c r="D43" s="291">
        <v>46002</v>
      </c>
      <c r="E43" s="291">
        <v>46008</v>
      </c>
      <c r="F43" s="302" t="s">
        <v>623</v>
      </c>
      <c r="G43" s="327">
        <v>1865</v>
      </c>
      <c r="H43" s="321">
        <v>1859.2</v>
      </c>
      <c r="I43" s="302">
        <v>0</v>
      </c>
      <c r="J43" s="303">
        <f t="shared" si="17"/>
        <v>1859.2</v>
      </c>
      <c r="K43" s="282">
        <v>100</v>
      </c>
      <c r="L43" s="282">
        <v>45</v>
      </c>
      <c r="M43" s="302">
        <f>L43+I43</f>
        <v>45</v>
      </c>
      <c r="N43" s="283">
        <f>J43/H43</f>
        <v>1</v>
      </c>
      <c r="O43" s="325">
        <f t="shared" si="16"/>
        <v>5.3786574870912221E-2</v>
      </c>
      <c r="P43" s="304">
        <f t="shared" si="13"/>
        <v>2.4203958691910499E-2</v>
      </c>
      <c r="Q43" s="298"/>
      <c r="R43" s="299">
        <f t="shared" si="3"/>
        <v>2.4203958691910499E-2</v>
      </c>
      <c r="S43" s="249"/>
      <c r="T43" s="288"/>
    </row>
    <row r="44" spans="1:20" ht="18.600000000000001" thickBot="1" x14ac:dyDescent="0.35">
      <c r="A44" s="329" t="s">
        <v>606</v>
      </c>
      <c r="B44" s="330"/>
      <c r="C44" s="329"/>
      <c r="D44" s="329"/>
      <c r="E44" s="329"/>
      <c r="F44" s="329"/>
      <c r="G44" s="329"/>
      <c r="H44" s="329"/>
      <c r="I44" s="329"/>
      <c r="J44" s="329"/>
      <c r="K44" s="329"/>
      <c r="L44" s="329"/>
      <c r="M44" s="329"/>
      <c r="N44" s="329"/>
      <c r="O44" s="308">
        <f>+AVERAGE(O29:O43)</f>
        <v>9.2887820707388283E-2</v>
      </c>
      <c r="P44" s="308">
        <f t="shared" ref="P44:R44" si="18">+AVERAGE(P29:P43)</f>
        <v>3.4936879106580158E-2</v>
      </c>
      <c r="Q44" s="308" t="e">
        <f t="shared" si="18"/>
        <v>#DIV/0!</v>
      </c>
      <c r="R44" s="308">
        <f t="shared" si="18"/>
        <v>0.7244383468308927</v>
      </c>
      <c r="S44" s="249"/>
      <c r="T44" s="249"/>
    </row>
    <row r="45" spans="1:20" ht="18" x14ac:dyDescent="0.3">
      <c r="A45" s="310">
        <v>37</v>
      </c>
      <c r="B45" s="311" t="s">
        <v>624</v>
      </c>
      <c r="C45" s="312" t="s">
        <v>625</v>
      </c>
      <c r="D45" s="291">
        <v>46002</v>
      </c>
      <c r="E45" s="291">
        <v>46008</v>
      </c>
      <c r="F45" s="313" t="s">
        <v>609</v>
      </c>
      <c r="G45" s="324">
        <v>1680</v>
      </c>
      <c r="H45" s="315">
        <v>439.91300000000001</v>
      </c>
      <c r="I45" s="313">
        <v>315</v>
      </c>
      <c r="J45" s="316">
        <f t="shared" ref="J45:J46" si="19">H45-I45</f>
        <v>124.91300000000001</v>
      </c>
      <c r="K45" s="313">
        <v>100</v>
      </c>
      <c r="L45" s="313">
        <v>21.32</v>
      </c>
      <c r="M45" s="313">
        <f>L45+I45</f>
        <v>336.32</v>
      </c>
      <c r="N45" s="283">
        <f t="shared" si="2"/>
        <v>0.28394932634407261</v>
      </c>
      <c r="O45" s="317">
        <f>K45/J45</f>
        <v>0.80055718780271057</v>
      </c>
      <c r="P45" s="283">
        <f t="shared" ref="P45:P50" si="20">L45/J45</f>
        <v>0.1706787924395379</v>
      </c>
      <c r="Q45" s="295"/>
      <c r="R45" s="296">
        <f t="shared" ref="R45:R59" si="21">M45/H45</f>
        <v>0.76451480179035392</v>
      </c>
      <c r="S45" s="249"/>
      <c r="T45" s="288"/>
    </row>
    <row r="46" spans="1:20" ht="18" x14ac:dyDescent="0.3">
      <c r="A46" s="310">
        <v>38</v>
      </c>
      <c r="B46" s="319"/>
      <c r="C46" s="320" t="s">
        <v>626</v>
      </c>
      <c r="D46" s="291">
        <v>46002</v>
      </c>
      <c r="E46" s="291">
        <v>46008</v>
      </c>
      <c r="F46" s="282" t="s">
        <v>609</v>
      </c>
      <c r="G46" s="314"/>
      <c r="H46" s="293">
        <v>700.59</v>
      </c>
      <c r="I46" s="282">
        <v>701</v>
      </c>
      <c r="J46" s="294">
        <f t="shared" si="19"/>
        <v>-0.40999999999996817</v>
      </c>
      <c r="K46" s="282">
        <v>0</v>
      </c>
      <c r="L46" s="282">
        <v>0</v>
      </c>
      <c r="M46" s="282">
        <f t="shared" ref="M46:M57" si="22">L46+I46</f>
        <v>701</v>
      </c>
      <c r="N46" s="283">
        <f t="shared" si="2"/>
        <v>-5.8522102799064813E-4</v>
      </c>
      <c r="O46" s="284">
        <v>0</v>
      </c>
      <c r="P46" s="283">
        <f t="shared" si="20"/>
        <v>0</v>
      </c>
      <c r="Q46" s="295"/>
      <c r="R46" s="296">
        <f t="shared" si="21"/>
        <v>1.0005852210279906</v>
      </c>
      <c r="S46" s="249"/>
      <c r="T46" s="288"/>
    </row>
    <row r="47" spans="1:20" ht="18" x14ac:dyDescent="0.3">
      <c r="A47" s="310">
        <v>39</v>
      </c>
      <c r="B47" s="319"/>
      <c r="C47" s="320" t="s">
        <v>627</v>
      </c>
      <c r="D47" s="291">
        <v>46002</v>
      </c>
      <c r="E47" s="291">
        <v>46008</v>
      </c>
      <c r="F47" s="282" t="s">
        <v>609</v>
      </c>
      <c r="G47" s="314"/>
      <c r="H47" s="321">
        <v>664.26</v>
      </c>
      <c r="I47" s="282">
        <v>664.26</v>
      </c>
      <c r="J47" s="294">
        <f>H47-I47</f>
        <v>0</v>
      </c>
      <c r="K47" s="282">
        <v>0</v>
      </c>
      <c r="L47" s="282">
        <f>K47</f>
        <v>0</v>
      </c>
      <c r="M47" s="282">
        <f t="shared" si="22"/>
        <v>664.26</v>
      </c>
      <c r="N47" s="331">
        <f t="shared" si="2"/>
        <v>0</v>
      </c>
      <c r="O47" s="284">
        <v>0</v>
      </c>
      <c r="P47" s="283">
        <v>0</v>
      </c>
      <c r="Q47" s="295"/>
      <c r="R47" s="296">
        <f t="shared" si="21"/>
        <v>1</v>
      </c>
      <c r="S47" s="249"/>
      <c r="T47" s="288"/>
    </row>
    <row r="48" spans="1:20" ht="18" x14ac:dyDescent="0.3">
      <c r="A48" s="310">
        <v>40</v>
      </c>
      <c r="B48" s="319"/>
      <c r="C48" s="323" t="s">
        <v>628</v>
      </c>
      <c r="D48" s="291">
        <v>46002</v>
      </c>
      <c r="E48" s="291">
        <v>46008</v>
      </c>
      <c r="F48" s="282" t="s">
        <v>609</v>
      </c>
      <c r="G48" s="314"/>
      <c r="H48" s="321">
        <v>57.39</v>
      </c>
      <c r="I48" s="321">
        <v>57.39</v>
      </c>
      <c r="J48" s="303">
        <f>H48-I48</f>
        <v>0</v>
      </c>
      <c r="K48" s="282">
        <v>0</v>
      </c>
      <c r="L48" s="282">
        <f>K48</f>
        <v>0</v>
      </c>
      <c r="M48" s="282">
        <f t="shared" si="22"/>
        <v>57.39</v>
      </c>
      <c r="N48" s="331">
        <f t="shared" si="2"/>
        <v>0</v>
      </c>
      <c r="O48" s="284">
        <v>0</v>
      </c>
      <c r="P48" s="283">
        <v>0</v>
      </c>
      <c r="Q48" s="298"/>
      <c r="R48" s="296">
        <f t="shared" si="21"/>
        <v>1</v>
      </c>
      <c r="S48" s="249"/>
      <c r="T48" s="288"/>
    </row>
    <row r="49" spans="1:20" ht="18" x14ac:dyDescent="0.3">
      <c r="A49" s="310">
        <v>41</v>
      </c>
      <c r="B49" s="319"/>
      <c r="C49" s="320" t="s">
        <v>629</v>
      </c>
      <c r="D49" s="291">
        <v>46002</v>
      </c>
      <c r="E49" s="291">
        <v>46008</v>
      </c>
      <c r="F49" s="282" t="s">
        <v>609</v>
      </c>
      <c r="G49" s="322"/>
      <c r="H49" s="321">
        <v>67.989999999999995</v>
      </c>
      <c r="I49" s="302">
        <v>0</v>
      </c>
      <c r="J49" s="303">
        <f t="shared" ref="J49" si="23">H49-I49</f>
        <v>67.989999999999995</v>
      </c>
      <c r="K49" s="282">
        <v>60</v>
      </c>
      <c r="L49" s="282">
        <v>29</v>
      </c>
      <c r="M49" s="302">
        <f t="shared" si="22"/>
        <v>29</v>
      </c>
      <c r="N49" s="283">
        <f t="shared" si="2"/>
        <v>1</v>
      </c>
      <c r="O49" s="317">
        <f>K49/J49</f>
        <v>0.8824827180467717</v>
      </c>
      <c r="P49" s="304">
        <f t="shared" ref="P49" si="24">L49/J49</f>
        <v>0.42653331372260628</v>
      </c>
      <c r="Q49" s="298"/>
      <c r="R49" s="299">
        <f t="shared" si="21"/>
        <v>0.42653331372260628</v>
      </c>
      <c r="S49" s="249"/>
      <c r="T49" s="288"/>
    </row>
    <row r="50" spans="1:20" ht="18" x14ac:dyDescent="0.3">
      <c r="A50" s="310">
        <v>42</v>
      </c>
      <c r="B50" s="319"/>
      <c r="C50" s="323" t="s">
        <v>630</v>
      </c>
      <c r="D50" s="291">
        <v>46002</v>
      </c>
      <c r="E50" s="291">
        <v>46008</v>
      </c>
      <c r="F50" s="302" t="s">
        <v>583</v>
      </c>
      <c r="G50" s="324">
        <v>210</v>
      </c>
      <c r="H50" s="321">
        <v>32.822000000000003</v>
      </c>
      <c r="I50" s="302">
        <v>25.810000000000002</v>
      </c>
      <c r="J50" s="303">
        <f>H50-I50</f>
        <v>7.0120000000000005</v>
      </c>
      <c r="K50" s="282">
        <v>0</v>
      </c>
      <c r="L50" s="282">
        <v>0</v>
      </c>
      <c r="M50" s="302">
        <f>L50+I50</f>
        <v>25.810000000000002</v>
      </c>
      <c r="N50" s="331">
        <f t="shared" si="2"/>
        <v>0.2136371945646213</v>
      </c>
      <c r="O50" s="317">
        <f>K50/J50</f>
        <v>0</v>
      </c>
      <c r="P50" s="283">
        <f t="shared" si="20"/>
        <v>0</v>
      </c>
      <c r="Q50" s="298"/>
      <c r="R50" s="299">
        <f t="shared" si="21"/>
        <v>0.78636280543537873</v>
      </c>
      <c r="S50" s="249"/>
      <c r="T50" s="288"/>
    </row>
    <row r="51" spans="1:20" ht="18" x14ac:dyDescent="0.3">
      <c r="A51" s="310">
        <v>43</v>
      </c>
      <c r="B51" s="319"/>
      <c r="C51" s="323" t="s">
        <v>631</v>
      </c>
      <c r="D51" s="291">
        <v>46002</v>
      </c>
      <c r="E51" s="291">
        <v>46008</v>
      </c>
      <c r="F51" s="302" t="s">
        <v>583</v>
      </c>
      <c r="G51" s="314"/>
      <c r="H51" s="321">
        <v>8.5299999999999994</v>
      </c>
      <c r="I51" s="321">
        <v>8.5299999999999994</v>
      </c>
      <c r="J51" s="303">
        <f>H51-I51</f>
        <v>0</v>
      </c>
      <c r="K51" s="282">
        <v>0</v>
      </c>
      <c r="L51" s="282">
        <v>0</v>
      </c>
      <c r="M51" s="302">
        <f>L51+I51</f>
        <v>8.5299999999999994</v>
      </c>
      <c r="N51" s="331">
        <f t="shared" si="2"/>
        <v>0</v>
      </c>
      <c r="O51" s="284">
        <v>0</v>
      </c>
      <c r="P51" s="283">
        <v>0</v>
      </c>
      <c r="Q51" s="298"/>
      <c r="R51" s="299">
        <f t="shared" si="21"/>
        <v>1</v>
      </c>
      <c r="S51" s="249"/>
      <c r="T51" s="288"/>
    </row>
    <row r="52" spans="1:20" ht="18" x14ac:dyDescent="0.3">
      <c r="A52" s="310">
        <v>44</v>
      </c>
      <c r="B52" s="319"/>
      <c r="C52" s="320" t="s">
        <v>632</v>
      </c>
      <c r="D52" s="291">
        <v>46002</v>
      </c>
      <c r="E52" s="291">
        <v>46008</v>
      </c>
      <c r="F52" s="302" t="s">
        <v>583</v>
      </c>
      <c r="G52" s="314"/>
      <c r="H52" s="321">
        <v>61.76</v>
      </c>
      <c r="I52" s="302">
        <v>61.76</v>
      </c>
      <c r="J52" s="303">
        <f t="shared" ref="J52:J53" si="25">H52-I52</f>
        <v>0</v>
      </c>
      <c r="K52" s="282">
        <f>J52</f>
        <v>0</v>
      </c>
      <c r="L52" s="282">
        <f>K52</f>
        <v>0</v>
      </c>
      <c r="M52" s="302">
        <f t="shared" si="22"/>
        <v>61.76</v>
      </c>
      <c r="N52" s="331">
        <f t="shared" si="2"/>
        <v>0</v>
      </c>
      <c r="O52" s="284">
        <v>0</v>
      </c>
      <c r="P52" s="283">
        <v>0</v>
      </c>
      <c r="Q52" s="298"/>
      <c r="R52" s="299">
        <f t="shared" si="21"/>
        <v>1</v>
      </c>
      <c r="S52" s="249"/>
      <c r="T52" s="288"/>
    </row>
    <row r="53" spans="1:20" ht="18" x14ac:dyDescent="0.3">
      <c r="A53" s="310">
        <v>45</v>
      </c>
      <c r="B53" s="319"/>
      <c r="C53" s="323" t="s">
        <v>633</v>
      </c>
      <c r="D53" s="291">
        <v>46002</v>
      </c>
      <c r="E53" s="291">
        <v>46008</v>
      </c>
      <c r="F53" s="302" t="s">
        <v>583</v>
      </c>
      <c r="G53" s="314"/>
      <c r="H53" s="321">
        <v>101.99</v>
      </c>
      <c r="I53" s="302">
        <v>101.99</v>
      </c>
      <c r="J53" s="303">
        <f t="shared" si="25"/>
        <v>0</v>
      </c>
      <c r="K53" s="282">
        <f>J53</f>
        <v>0</v>
      </c>
      <c r="L53" s="282">
        <f>K53</f>
        <v>0</v>
      </c>
      <c r="M53" s="302">
        <f t="shared" si="22"/>
        <v>101.99</v>
      </c>
      <c r="N53" s="304">
        <f t="shared" si="2"/>
        <v>0</v>
      </c>
      <c r="O53" s="284">
        <v>0</v>
      </c>
      <c r="P53" s="285">
        <v>0</v>
      </c>
      <c r="Q53" s="298"/>
      <c r="R53" s="299">
        <f t="shared" si="21"/>
        <v>1</v>
      </c>
      <c r="S53" s="249"/>
      <c r="T53" s="288"/>
    </row>
    <row r="54" spans="1:20" ht="18" x14ac:dyDescent="0.3">
      <c r="A54" s="310">
        <v>46</v>
      </c>
      <c r="B54" s="319"/>
      <c r="C54" s="320" t="s">
        <v>634</v>
      </c>
      <c r="D54" s="291">
        <v>46002</v>
      </c>
      <c r="E54" s="291">
        <v>46008</v>
      </c>
      <c r="F54" s="302" t="s">
        <v>583</v>
      </c>
      <c r="G54" s="322"/>
      <c r="H54" s="321">
        <v>3.91</v>
      </c>
      <c r="I54" s="302">
        <v>0</v>
      </c>
      <c r="J54" s="303">
        <v>0</v>
      </c>
      <c r="K54" s="282">
        <v>0</v>
      </c>
      <c r="L54" s="282">
        <v>0</v>
      </c>
      <c r="M54" s="302">
        <f t="shared" si="22"/>
        <v>0</v>
      </c>
      <c r="N54" s="283">
        <f t="shared" si="2"/>
        <v>0</v>
      </c>
      <c r="O54" s="284">
        <v>0</v>
      </c>
      <c r="P54" s="285">
        <v>0</v>
      </c>
      <c r="Q54" s="298"/>
      <c r="R54" s="299">
        <f t="shared" si="21"/>
        <v>0</v>
      </c>
      <c r="S54" s="249"/>
      <c r="T54" s="288"/>
    </row>
    <row r="55" spans="1:20" ht="18" x14ac:dyDescent="0.3">
      <c r="A55" s="310">
        <v>47</v>
      </c>
      <c r="B55" s="319"/>
      <c r="C55" s="323" t="s">
        <v>635</v>
      </c>
      <c r="D55" s="291">
        <v>46002</v>
      </c>
      <c r="E55" s="291">
        <v>46008</v>
      </c>
      <c r="F55" s="302" t="s">
        <v>583</v>
      </c>
      <c r="G55" s="293">
        <v>80</v>
      </c>
      <c r="H55" s="321">
        <v>73.48</v>
      </c>
      <c r="I55" s="302">
        <v>0</v>
      </c>
      <c r="J55" s="303">
        <f t="shared" ref="J55:J59" si="26">H55-I55</f>
        <v>73.48</v>
      </c>
      <c r="K55" s="282">
        <v>20</v>
      </c>
      <c r="L55" s="282">
        <v>28.630000000000003</v>
      </c>
      <c r="M55" s="302">
        <f t="shared" si="22"/>
        <v>28.630000000000003</v>
      </c>
      <c r="N55" s="283">
        <f t="shared" si="2"/>
        <v>1</v>
      </c>
      <c r="O55" s="325">
        <f t="shared" ref="O55:O59" si="27">K55/J55</f>
        <v>0.27218290691344582</v>
      </c>
      <c r="P55" s="304">
        <f t="shared" ref="P55:P59" si="28">L55/J55</f>
        <v>0.38962983124659772</v>
      </c>
      <c r="Q55" s="298"/>
      <c r="R55" s="299">
        <f t="shared" si="21"/>
        <v>0.38962983124659772</v>
      </c>
      <c r="S55" s="249"/>
      <c r="T55" s="288"/>
    </row>
    <row r="56" spans="1:20" ht="18" x14ac:dyDescent="0.3">
      <c r="A56" s="310">
        <v>48</v>
      </c>
      <c r="B56" s="319"/>
      <c r="C56" s="323" t="s">
        <v>636</v>
      </c>
      <c r="D56" s="291">
        <v>46002</v>
      </c>
      <c r="E56" s="291">
        <v>46008</v>
      </c>
      <c r="F56" s="302" t="s">
        <v>590</v>
      </c>
      <c r="G56" s="293">
        <v>1170</v>
      </c>
      <c r="H56" s="321">
        <v>768</v>
      </c>
      <c r="I56" s="302">
        <v>0</v>
      </c>
      <c r="J56" s="303">
        <f t="shared" si="26"/>
        <v>768</v>
      </c>
      <c r="K56" s="282">
        <v>300</v>
      </c>
      <c r="L56" s="282">
        <v>174.54999999999998</v>
      </c>
      <c r="M56" s="302">
        <f t="shared" si="22"/>
        <v>174.54999999999998</v>
      </c>
      <c r="N56" s="283">
        <f>J56/H56</f>
        <v>1</v>
      </c>
      <c r="O56" s="325">
        <f t="shared" si="27"/>
        <v>0.390625</v>
      </c>
      <c r="P56" s="304">
        <f t="shared" si="28"/>
        <v>0.22727864583333332</v>
      </c>
      <c r="Q56" s="298"/>
      <c r="R56" s="299">
        <f t="shared" si="21"/>
        <v>0.22727864583333332</v>
      </c>
      <c r="S56" s="249"/>
      <c r="T56" s="288"/>
    </row>
    <row r="57" spans="1:20" ht="18" x14ac:dyDescent="0.3">
      <c r="A57" s="310">
        <v>49</v>
      </c>
      <c r="B57" s="319"/>
      <c r="C57" s="326" t="s">
        <v>621</v>
      </c>
      <c r="D57" s="291">
        <v>46002</v>
      </c>
      <c r="E57" s="291">
        <v>46008</v>
      </c>
      <c r="F57" s="302" t="s">
        <v>590</v>
      </c>
      <c r="G57" s="327">
        <v>1591.21</v>
      </c>
      <c r="H57" s="321">
        <v>1733.79</v>
      </c>
      <c r="I57" s="302">
        <v>0</v>
      </c>
      <c r="J57" s="303">
        <f t="shared" si="26"/>
        <v>1733.79</v>
      </c>
      <c r="K57" s="282">
        <v>0</v>
      </c>
      <c r="L57" s="282">
        <v>0</v>
      </c>
      <c r="M57" s="302">
        <f t="shared" si="22"/>
        <v>0</v>
      </c>
      <c r="N57" s="283">
        <f>J57/H57</f>
        <v>1</v>
      </c>
      <c r="O57" s="325">
        <f t="shared" si="27"/>
        <v>0</v>
      </c>
      <c r="P57" s="304">
        <f t="shared" si="28"/>
        <v>0</v>
      </c>
      <c r="Q57" s="298"/>
      <c r="R57" s="299">
        <f t="shared" si="21"/>
        <v>0</v>
      </c>
      <c r="S57" s="249"/>
      <c r="T57" s="288"/>
    </row>
    <row r="58" spans="1:20" ht="18" x14ac:dyDescent="0.3">
      <c r="A58" s="310">
        <v>50</v>
      </c>
      <c r="B58" s="319"/>
      <c r="C58" s="326" t="s">
        <v>449</v>
      </c>
      <c r="D58" s="291">
        <v>46002</v>
      </c>
      <c r="E58" s="291">
        <v>46008</v>
      </c>
      <c r="F58" s="302" t="s">
        <v>590</v>
      </c>
      <c r="G58" s="327">
        <v>830</v>
      </c>
      <c r="H58" s="321">
        <v>841.16</v>
      </c>
      <c r="I58" s="302">
        <v>0</v>
      </c>
      <c r="J58" s="303">
        <f t="shared" si="26"/>
        <v>841.16</v>
      </c>
      <c r="K58" s="282">
        <v>0</v>
      </c>
      <c r="L58" s="282">
        <v>0</v>
      </c>
      <c r="M58" s="302">
        <f>L58+I58</f>
        <v>0</v>
      </c>
      <c r="N58" s="283">
        <f>J58/H58</f>
        <v>1</v>
      </c>
      <c r="O58" s="325">
        <f t="shared" si="27"/>
        <v>0</v>
      </c>
      <c r="P58" s="304">
        <f t="shared" si="28"/>
        <v>0</v>
      </c>
      <c r="Q58" s="298"/>
      <c r="R58" s="299">
        <f t="shared" si="21"/>
        <v>0</v>
      </c>
      <c r="S58" s="249"/>
      <c r="T58" s="288"/>
    </row>
    <row r="59" spans="1:20" ht="18.600000000000001" thickBot="1" x14ac:dyDescent="0.35">
      <c r="A59" s="310">
        <v>51</v>
      </c>
      <c r="B59" s="328"/>
      <c r="C59" s="326" t="s">
        <v>622</v>
      </c>
      <c r="D59" s="291">
        <v>46002</v>
      </c>
      <c r="E59" s="291">
        <v>46008</v>
      </c>
      <c r="F59" s="302" t="s">
        <v>623</v>
      </c>
      <c r="G59" s="327">
        <v>1865</v>
      </c>
      <c r="H59" s="321">
        <v>1859.2</v>
      </c>
      <c r="I59" s="302">
        <v>0</v>
      </c>
      <c r="J59" s="303">
        <f t="shared" si="26"/>
        <v>1859.2</v>
      </c>
      <c r="K59" s="282">
        <v>0</v>
      </c>
      <c r="L59" s="282">
        <v>0</v>
      </c>
      <c r="M59" s="302">
        <f>L59+I59</f>
        <v>0</v>
      </c>
      <c r="N59" s="283">
        <f>J59/H59</f>
        <v>1</v>
      </c>
      <c r="O59" s="325">
        <f t="shared" si="27"/>
        <v>0</v>
      </c>
      <c r="P59" s="304">
        <f t="shared" si="28"/>
        <v>0</v>
      </c>
      <c r="Q59" s="298"/>
      <c r="R59" s="299">
        <f t="shared" si="21"/>
        <v>0</v>
      </c>
      <c r="S59" s="249"/>
      <c r="T59" s="288"/>
    </row>
    <row r="60" spans="1:20" ht="18.600000000000001" thickBot="1" x14ac:dyDescent="0.35">
      <c r="A60" s="332" t="s">
        <v>606</v>
      </c>
      <c r="B60" s="333"/>
      <c r="C60" s="332"/>
      <c r="D60" s="332"/>
      <c r="E60" s="332"/>
      <c r="F60" s="332"/>
      <c r="G60" s="332"/>
      <c r="H60" s="332"/>
      <c r="I60" s="332"/>
      <c r="J60" s="332"/>
      <c r="K60" s="332"/>
      <c r="L60" s="332"/>
      <c r="M60" s="332"/>
      <c r="N60" s="332"/>
      <c r="O60" s="308">
        <f>+AVERAGE(O45:O59)</f>
        <v>0.15638985418419521</v>
      </c>
      <c r="P60" s="308">
        <f t="shared" ref="P60:R60" si="29">+AVERAGE(P45:P59)</f>
        <v>8.0941372216138341E-2</v>
      </c>
      <c r="Q60" s="308" t="e">
        <f t="shared" si="29"/>
        <v>#DIV/0!</v>
      </c>
      <c r="R60" s="308">
        <f t="shared" si="29"/>
        <v>0.5729936412704173</v>
      </c>
      <c r="S60" s="249"/>
      <c r="T60" s="249"/>
    </row>
    <row r="61" spans="1:20" ht="18" x14ac:dyDescent="0.3">
      <c r="A61" s="334">
        <v>52</v>
      </c>
      <c r="B61" s="335" t="s">
        <v>637</v>
      </c>
      <c r="C61" s="336" t="s">
        <v>638</v>
      </c>
      <c r="D61" s="291">
        <v>46002</v>
      </c>
      <c r="E61" s="291">
        <v>46008</v>
      </c>
      <c r="F61" s="313" t="s">
        <v>609</v>
      </c>
      <c r="G61" s="314">
        <v>1680</v>
      </c>
      <c r="H61" s="315">
        <v>439.91300000000001</v>
      </c>
      <c r="I61" s="313">
        <v>310.94</v>
      </c>
      <c r="J61" s="316">
        <f t="shared" ref="J61:J63" si="30">H61-I61</f>
        <v>128.97300000000001</v>
      </c>
      <c r="K61" s="313">
        <v>0</v>
      </c>
      <c r="L61" s="313">
        <v>0</v>
      </c>
      <c r="M61" s="313">
        <f t="shared" ref="M61:M64" si="31">L61+I61</f>
        <v>310.94</v>
      </c>
      <c r="N61" s="283">
        <f t="shared" ref="N61:N68" si="32">J61/H61</f>
        <v>0.29317842391563786</v>
      </c>
      <c r="O61" s="317">
        <f>K61/J61</f>
        <v>0</v>
      </c>
      <c r="P61" s="283">
        <f t="shared" ref="P61:P65" si="33">L61/J61</f>
        <v>0</v>
      </c>
      <c r="Q61" s="295"/>
      <c r="R61" s="296">
        <f t="shared" ref="R61:R68" si="34">M61/H61</f>
        <v>0.70682157608436214</v>
      </c>
      <c r="S61" s="249"/>
      <c r="T61" s="288">
        <f>311-I61</f>
        <v>6.0000000000002274E-2</v>
      </c>
    </row>
    <row r="62" spans="1:20" ht="18" x14ac:dyDescent="0.3">
      <c r="A62" s="334">
        <v>53</v>
      </c>
      <c r="B62" s="335"/>
      <c r="C62" s="301" t="s">
        <v>639</v>
      </c>
      <c r="D62" s="291">
        <v>46002</v>
      </c>
      <c r="E62" s="291">
        <v>46008</v>
      </c>
      <c r="F62" s="313" t="s">
        <v>609</v>
      </c>
      <c r="G62" s="314"/>
      <c r="H62" s="321">
        <v>57.39</v>
      </c>
      <c r="I62" s="321">
        <v>57.39</v>
      </c>
      <c r="J62" s="303">
        <f>H62-I62</f>
        <v>0</v>
      </c>
      <c r="K62" s="282">
        <f t="shared" ref="K62:L64" si="35">J62</f>
        <v>0</v>
      </c>
      <c r="L62" s="282">
        <f t="shared" si="35"/>
        <v>0</v>
      </c>
      <c r="M62" s="282">
        <f t="shared" si="31"/>
        <v>57.39</v>
      </c>
      <c r="N62" s="331">
        <f t="shared" si="32"/>
        <v>0</v>
      </c>
      <c r="O62" s="284">
        <v>0</v>
      </c>
      <c r="P62" s="283">
        <v>0</v>
      </c>
      <c r="Q62" s="298"/>
      <c r="R62" s="296">
        <f t="shared" si="34"/>
        <v>1</v>
      </c>
      <c r="S62" s="249"/>
      <c r="T62" s="288"/>
    </row>
    <row r="63" spans="1:20" ht="18" x14ac:dyDescent="0.3">
      <c r="A63" s="334">
        <v>54</v>
      </c>
      <c r="B63" s="335"/>
      <c r="C63" s="300" t="s">
        <v>640</v>
      </c>
      <c r="D63" s="291">
        <v>46002</v>
      </c>
      <c r="E63" s="291">
        <v>46008</v>
      </c>
      <c r="F63" s="282" t="s">
        <v>609</v>
      </c>
      <c r="G63" s="314"/>
      <c r="H63" s="293">
        <v>700.59</v>
      </c>
      <c r="I63" s="282">
        <v>700.59</v>
      </c>
      <c r="J63" s="294">
        <f t="shared" si="30"/>
        <v>0</v>
      </c>
      <c r="K63" s="282">
        <f t="shared" si="35"/>
        <v>0</v>
      </c>
      <c r="L63" s="282">
        <f t="shared" si="35"/>
        <v>0</v>
      </c>
      <c r="M63" s="282">
        <f t="shared" si="31"/>
        <v>700.59</v>
      </c>
      <c r="N63" s="283">
        <f t="shared" si="32"/>
        <v>0</v>
      </c>
      <c r="O63" s="284">
        <v>0</v>
      </c>
      <c r="P63" s="283">
        <v>0</v>
      </c>
      <c r="Q63" s="295"/>
      <c r="R63" s="296">
        <f t="shared" si="34"/>
        <v>1</v>
      </c>
      <c r="S63" s="249"/>
      <c r="T63" s="288"/>
    </row>
    <row r="64" spans="1:20" ht="18" x14ac:dyDescent="0.3">
      <c r="A64" s="334">
        <v>55</v>
      </c>
      <c r="B64" s="335"/>
      <c r="C64" s="300" t="s">
        <v>641</v>
      </c>
      <c r="D64" s="291">
        <v>46002</v>
      </c>
      <c r="E64" s="291">
        <v>46008</v>
      </c>
      <c r="F64" s="282" t="s">
        <v>609</v>
      </c>
      <c r="G64" s="322"/>
      <c r="H64" s="321">
        <v>664.26</v>
      </c>
      <c r="I64" s="282">
        <v>664.26</v>
      </c>
      <c r="J64" s="294">
        <f>H64-I64</f>
        <v>0</v>
      </c>
      <c r="K64" s="282">
        <f t="shared" si="35"/>
        <v>0</v>
      </c>
      <c r="L64" s="282">
        <f t="shared" si="35"/>
        <v>0</v>
      </c>
      <c r="M64" s="282">
        <f t="shared" si="31"/>
        <v>664.26</v>
      </c>
      <c r="N64" s="331">
        <f t="shared" si="32"/>
        <v>0</v>
      </c>
      <c r="O64" s="284">
        <v>0</v>
      </c>
      <c r="P64" s="283">
        <v>0</v>
      </c>
      <c r="Q64" s="295"/>
      <c r="R64" s="296">
        <f t="shared" si="34"/>
        <v>1</v>
      </c>
      <c r="S64" s="249"/>
      <c r="T64" s="288"/>
    </row>
    <row r="65" spans="1:20" ht="18" x14ac:dyDescent="0.3">
      <c r="A65" s="334">
        <v>56</v>
      </c>
      <c r="B65" s="335"/>
      <c r="C65" s="301" t="s">
        <v>642</v>
      </c>
      <c r="D65" s="291">
        <v>46002</v>
      </c>
      <c r="E65" s="291">
        <v>46008</v>
      </c>
      <c r="F65" s="302" t="s">
        <v>583</v>
      </c>
      <c r="G65" s="337">
        <v>210</v>
      </c>
      <c r="H65" s="321">
        <v>32.822000000000003</v>
      </c>
      <c r="I65" s="302">
        <v>25.414999999999999</v>
      </c>
      <c r="J65" s="303">
        <f>H65-I65</f>
        <v>7.4070000000000036</v>
      </c>
      <c r="K65" s="282">
        <v>0</v>
      </c>
      <c r="L65" s="282">
        <v>0</v>
      </c>
      <c r="M65" s="302">
        <f>L65+I65</f>
        <v>25.414999999999999</v>
      </c>
      <c r="N65" s="331">
        <f t="shared" si="32"/>
        <v>0.22567180549631355</v>
      </c>
      <c r="O65" s="317">
        <f t="shared" ref="O65" si="36">K65/J65</f>
        <v>0</v>
      </c>
      <c r="P65" s="283">
        <f t="shared" si="33"/>
        <v>0</v>
      </c>
      <c r="Q65" s="298"/>
      <c r="R65" s="296">
        <f t="shared" si="34"/>
        <v>0.77432819450368651</v>
      </c>
      <c r="S65" s="249"/>
      <c r="T65" s="288"/>
    </row>
    <row r="66" spans="1:20" ht="18" x14ac:dyDescent="0.3">
      <c r="A66" s="334">
        <v>57</v>
      </c>
      <c r="B66" s="335"/>
      <c r="C66" s="301" t="s">
        <v>643</v>
      </c>
      <c r="D66" s="291">
        <v>46002</v>
      </c>
      <c r="E66" s="291">
        <v>46008</v>
      </c>
      <c r="F66" s="302" t="s">
        <v>583</v>
      </c>
      <c r="G66" s="338"/>
      <c r="H66" s="321">
        <v>8.5299999999999994</v>
      </c>
      <c r="I66" s="321">
        <v>8.5299999999999994</v>
      </c>
      <c r="J66" s="303">
        <f>H66-I66</f>
        <v>0</v>
      </c>
      <c r="K66" s="282">
        <f t="shared" ref="K66:L68" si="37">J66</f>
        <v>0</v>
      </c>
      <c r="L66" s="282">
        <f t="shared" si="37"/>
        <v>0</v>
      </c>
      <c r="M66" s="302">
        <f>L66+I66</f>
        <v>8.5299999999999994</v>
      </c>
      <c r="N66" s="331">
        <f t="shared" si="32"/>
        <v>0</v>
      </c>
      <c r="O66" s="284">
        <v>0</v>
      </c>
      <c r="P66" s="283">
        <v>0</v>
      </c>
      <c r="Q66" s="298"/>
      <c r="R66" s="296">
        <f t="shared" si="34"/>
        <v>1</v>
      </c>
      <c r="S66" s="249"/>
      <c r="T66" s="288"/>
    </row>
    <row r="67" spans="1:20" ht="18" x14ac:dyDescent="0.3">
      <c r="A67" s="334">
        <v>58</v>
      </c>
      <c r="B67" s="335"/>
      <c r="C67" s="300" t="s">
        <v>644</v>
      </c>
      <c r="D67" s="291">
        <v>46002</v>
      </c>
      <c r="E67" s="291">
        <v>46008</v>
      </c>
      <c r="F67" s="302" t="s">
        <v>583</v>
      </c>
      <c r="G67" s="338"/>
      <c r="H67" s="321">
        <v>61.76</v>
      </c>
      <c r="I67" s="302">
        <v>61.76</v>
      </c>
      <c r="J67" s="303">
        <f t="shared" ref="J67:J68" si="38">H67-I67</f>
        <v>0</v>
      </c>
      <c r="K67" s="282">
        <f t="shared" si="37"/>
        <v>0</v>
      </c>
      <c r="L67" s="282">
        <f t="shared" si="37"/>
        <v>0</v>
      </c>
      <c r="M67" s="302">
        <f t="shared" ref="M67:M68" si="39">L67+I67</f>
        <v>61.76</v>
      </c>
      <c r="N67" s="331">
        <f t="shared" si="32"/>
        <v>0</v>
      </c>
      <c r="O67" s="284">
        <v>0</v>
      </c>
      <c r="P67" s="283">
        <v>0</v>
      </c>
      <c r="Q67" s="298"/>
      <c r="R67" s="296">
        <f t="shared" si="34"/>
        <v>1</v>
      </c>
      <c r="S67" s="249"/>
      <c r="T67" s="288"/>
    </row>
    <row r="68" spans="1:20" ht="18" x14ac:dyDescent="0.3">
      <c r="A68" s="334">
        <v>59</v>
      </c>
      <c r="B68" s="335"/>
      <c r="C68" s="301" t="s">
        <v>645</v>
      </c>
      <c r="D68" s="291">
        <v>46002</v>
      </c>
      <c r="E68" s="291">
        <v>46008</v>
      </c>
      <c r="F68" s="302" t="s">
        <v>583</v>
      </c>
      <c r="G68" s="338"/>
      <c r="H68" s="321">
        <v>101.99</v>
      </c>
      <c r="I68" s="302">
        <v>101.99</v>
      </c>
      <c r="J68" s="303">
        <f t="shared" si="38"/>
        <v>0</v>
      </c>
      <c r="K68" s="282">
        <f t="shared" si="37"/>
        <v>0</v>
      </c>
      <c r="L68" s="282">
        <f t="shared" si="37"/>
        <v>0</v>
      </c>
      <c r="M68" s="302">
        <f t="shared" si="39"/>
        <v>101.99</v>
      </c>
      <c r="N68" s="304">
        <f t="shared" si="32"/>
        <v>0</v>
      </c>
      <c r="O68" s="284">
        <v>0</v>
      </c>
      <c r="P68" s="283">
        <v>0</v>
      </c>
      <c r="Q68" s="298"/>
      <c r="R68" s="296">
        <f t="shared" si="34"/>
        <v>1</v>
      </c>
      <c r="S68" s="249"/>
      <c r="T68" s="288"/>
    </row>
    <row r="69" spans="1:20" ht="18.600000000000001" thickBot="1" x14ac:dyDescent="0.35">
      <c r="A69" s="332" t="s">
        <v>606</v>
      </c>
      <c r="B69" s="332"/>
      <c r="C69" s="332"/>
      <c r="D69" s="332"/>
      <c r="E69" s="332"/>
      <c r="F69" s="332"/>
      <c r="G69" s="332"/>
      <c r="H69" s="332"/>
      <c r="I69" s="332"/>
      <c r="J69" s="332"/>
      <c r="K69" s="332"/>
      <c r="L69" s="332"/>
      <c r="M69" s="332"/>
      <c r="N69" s="332"/>
      <c r="O69" s="309">
        <f>+AVERAGE(O61:O68)</f>
        <v>0</v>
      </c>
      <c r="P69" s="309">
        <f>+AVERAGE(P61:P68)</f>
        <v>0</v>
      </c>
      <c r="Q69" s="309" t="e">
        <f>+AVERAGE(Q61:Q65)</f>
        <v>#DIV/0!</v>
      </c>
      <c r="R69" s="309">
        <f>+AVERAGE(R61:R68)</f>
        <v>0.93514372132350609</v>
      </c>
      <c r="S69" s="249"/>
      <c r="T69" s="249"/>
    </row>
    <row r="70" spans="1:20" ht="18" x14ac:dyDescent="0.3">
      <c r="A70" s="334">
        <v>60</v>
      </c>
      <c r="B70" s="335" t="s">
        <v>646</v>
      </c>
      <c r="C70" s="336" t="s">
        <v>647</v>
      </c>
      <c r="D70" s="291">
        <v>46002</v>
      </c>
      <c r="E70" s="291">
        <v>46008</v>
      </c>
      <c r="F70" s="313" t="s">
        <v>609</v>
      </c>
      <c r="G70" s="314">
        <v>1680</v>
      </c>
      <c r="H70" s="315">
        <v>439.91300000000001</v>
      </c>
      <c r="I70" s="313">
        <v>98</v>
      </c>
      <c r="J70" s="316">
        <f>H70-I70</f>
        <v>341.91300000000001</v>
      </c>
      <c r="K70" s="282">
        <v>212</v>
      </c>
      <c r="L70" s="282">
        <v>188.42</v>
      </c>
      <c r="M70" s="313">
        <f t="shared" ref="M70:M73" si="40">L70+I70</f>
        <v>286.41999999999996</v>
      </c>
      <c r="N70" s="283">
        <f t="shared" ref="N70:N77" si="41">J70/H70</f>
        <v>0.77722867930704476</v>
      </c>
      <c r="O70" s="317">
        <f>K70/J70</f>
        <v>0.62004077060538787</v>
      </c>
      <c r="P70" s="283">
        <f t="shared" ref="P70:P77" si="42">L70/J70</f>
        <v>0.55107585847861873</v>
      </c>
      <c r="Q70" s="295"/>
      <c r="R70" s="296">
        <f t="shared" ref="R70:R77" si="43">M70/H70</f>
        <v>0.65108328237628788</v>
      </c>
      <c r="S70" s="249"/>
      <c r="T70" s="288">
        <f>311-I70</f>
        <v>213</v>
      </c>
    </row>
    <row r="71" spans="1:20" ht="18" x14ac:dyDescent="0.3">
      <c r="A71" s="334">
        <v>61</v>
      </c>
      <c r="B71" s="335"/>
      <c r="C71" s="301" t="s">
        <v>648</v>
      </c>
      <c r="D71" s="291">
        <v>46002</v>
      </c>
      <c r="E71" s="291">
        <v>46008</v>
      </c>
      <c r="F71" s="313" t="s">
        <v>609</v>
      </c>
      <c r="G71" s="314"/>
      <c r="H71" s="321">
        <v>57.39</v>
      </c>
      <c r="I71" s="313">
        <v>0</v>
      </c>
      <c r="J71" s="316">
        <f t="shared" ref="J71:J77" si="44">H71-I71</f>
        <v>57.39</v>
      </c>
      <c r="K71" s="282">
        <v>30</v>
      </c>
      <c r="L71" s="282">
        <v>30</v>
      </c>
      <c r="M71" s="282">
        <f t="shared" si="40"/>
        <v>30</v>
      </c>
      <c r="N71" s="331">
        <f t="shared" si="41"/>
        <v>1</v>
      </c>
      <c r="O71" s="317">
        <f t="shared" ref="O71:O77" si="45">K71/J71</f>
        <v>0.52273915316257191</v>
      </c>
      <c r="P71" s="283">
        <f t="shared" si="42"/>
        <v>0.52273915316257191</v>
      </c>
      <c r="Q71" s="295"/>
      <c r="R71" s="296">
        <f t="shared" si="43"/>
        <v>0.52273915316257191</v>
      </c>
      <c r="S71" s="249"/>
      <c r="T71" s="288"/>
    </row>
    <row r="72" spans="1:20" ht="18" x14ac:dyDescent="0.3">
      <c r="A72" s="334">
        <v>62</v>
      </c>
      <c r="B72" s="335"/>
      <c r="C72" s="300" t="s">
        <v>649</v>
      </c>
      <c r="D72" s="291">
        <v>46002</v>
      </c>
      <c r="E72" s="291">
        <v>46008</v>
      </c>
      <c r="F72" s="282" t="s">
        <v>609</v>
      </c>
      <c r="G72" s="314"/>
      <c r="H72" s="293">
        <v>700.59</v>
      </c>
      <c r="I72" s="313">
        <v>0</v>
      </c>
      <c r="J72" s="316">
        <f t="shared" si="44"/>
        <v>700.59</v>
      </c>
      <c r="K72" s="282">
        <v>400</v>
      </c>
      <c r="L72" s="282">
        <v>350</v>
      </c>
      <c r="M72" s="282">
        <f>L72+I72</f>
        <v>350</v>
      </c>
      <c r="N72" s="283">
        <f t="shared" si="41"/>
        <v>1</v>
      </c>
      <c r="O72" s="317">
        <f t="shared" si="45"/>
        <v>0.57094734438116446</v>
      </c>
      <c r="P72" s="283">
        <f t="shared" si="42"/>
        <v>0.49957892633351886</v>
      </c>
      <c r="Q72" s="295"/>
      <c r="R72" s="296">
        <f t="shared" si="43"/>
        <v>0.49957892633351886</v>
      </c>
      <c r="S72" s="249"/>
      <c r="T72" s="288"/>
    </row>
    <row r="73" spans="1:20" ht="18" x14ac:dyDescent="0.3">
      <c r="A73" s="334">
        <v>63</v>
      </c>
      <c r="B73" s="335"/>
      <c r="C73" s="300" t="s">
        <v>650</v>
      </c>
      <c r="D73" s="291">
        <v>46002</v>
      </c>
      <c r="E73" s="291">
        <v>46008</v>
      </c>
      <c r="F73" s="282" t="s">
        <v>609</v>
      </c>
      <c r="G73" s="322"/>
      <c r="H73" s="321">
        <v>664.26</v>
      </c>
      <c r="I73" s="313">
        <v>0</v>
      </c>
      <c r="J73" s="316">
        <f t="shared" si="44"/>
        <v>664.26</v>
      </c>
      <c r="K73" s="282">
        <v>400</v>
      </c>
      <c r="L73" s="282">
        <v>180</v>
      </c>
      <c r="M73" s="282">
        <f t="shared" si="40"/>
        <v>180</v>
      </c>
      <c r="N73" s="331">
        <f t="shared" si="41"/>
        <v>1</v>
      </c>
      <c r="O73" s="317">
        <f t="shared" si="45"/>
        <v>0.60217384758979919</v>
      </c>
      <c r="P73" s="283">
        <f t="shared" si="42"/>
        <v>0.27097823141540961</v>
      </c>
      <c r="Q73" s="295"/>
      <c r="R73" s="296">
        <f t="shared" si="43"/>
        <v>0.27097823141540961</v>
      </c>
      <c r="S73" s="249"/>
      <c r="T73" s="288"/>
    </row>
    <row r="74" spans="1:20" ht="18" x14ac:dyDescent="0.3">
      <c r="A74" s="334">
        <v>64</v>
      </c>
      <c r="B74" s="335"/>
      <c r="C74" s="301" t="s">
        <v>651</v>
      </c>
      <c r="D74" s="291">
        <v>46002</v>
      </c>
      <c r="E74" s="291">
        <v>46008</v>
      </c>
      <c r="F74" s="302" t="s">
        <v>583</v>
      </c>
      <c r="G74" s="337">
        <v>210</v>
      </c>
      <c r="H74" s="321">
        <v>32.822000000000003</v>
      </c>
      <c r="I74" s="313">
        <v>2.58</v>
      </c>
      <c r="J74" s="316">
        <f t="shared" si="44"/>
        <v>30.242000000000004</v>
      </c>
      <c r="K74" s="282">
        <v>30</v>
      </c>
      <c r="L74" s="282">
        <v>18</v>
      </c>
      <c r="M74" s="302">
        <f>L74+I74</f>
        <v>20.58</v>
      </c>
      <c r="N74" s="331">
        <f t="shared" si="41"/>
        <v>0.92139418682590946</v>
      </c>
      <c r="O74" s="317">
        <f t="shared" si="45"/>
        <v>0.99199788373784792</v>
      </c>
      <c r="P74" s="283">
        <f t="shared" si="42"/>
        <v>0.59519873024270875</v>
      </c>
      <c r="Q74" s="295"/>
      <c r="R74" s="296">
        <f t="shared" si="43"/>
        <v>0.62701846322588495</v>
      </c>
      <c r="S74" s="249"/>
      <c r="T74" s="288"/>
    </row>
    <row r="75" spans="1:20" ht="18" x14ac:dyDescent="0.3">
      <c r="A75" s="334">
        <v>65</v>
      </c>
      <c r="B75" s="335"/>
      <c r="C75" s="301" t="s">
        <v>652</v>
      </c>
      <c r="D75" s="291">
        <v>46002</v>
      </c>
      <c r="E75" s="291">
        <v>46008</v>
      </c>
      <c r="F75" s="302" t="s">
        <v>583</v>
      </c>
      <c r="G75" s="338"/>
      <c r="H75" s="321">
        <v>8.5299999999999994</v>
      </c>
      <c r="I75" s="313">
        <v>0</v>
      </c>
      <c r="J75" s="316">
        <f t="shared" si="44"/>
        <v>8.5299999999999994</v>
      </c>
      <c r="K75" s="282">
        <v>5</v>
      </c>
      <c r="L75" s="282">
        <v>2.1</v>
      </c>
      <c r="M75" s="302">
        <f>L75+I75</f>
        <v>2.1</v>
      </c>
      <c r="N75" s="331">
        <f t="shared" si="41"/>
        <v>1</v>
      </c>
      <c r="O75" s="317">
        <f t="shared" si="45"/>
        <v>0.58616647127784294</v>
      </c>
      <c r="P75" s="283">
        <f t="shared" si="42"/>
        <v>0.24618991793669406</v>
      </c>
      <c r="Q75" s="295"/>
      <c r="R75" s="296">
        <f t="shared" si="43"/>
        <v>0.24618991793669406</v>
      </c>
      <c r="S75" s="249"/>
      <c r="T75" s="288"/>
    </row>
    <row r="76" spans="1:20" ht="18" x14ac:dyDescent="0.3">
      <c r="A76" s="334">
        <v>66</v>
      </c>
      <c r="B76" s="335"/>
      <c r="C76" s="300" t="s">
        <v>653</v>
      </c>
      <c r="D76" s="291">
        <v>46002</v>
      </c>
      <c r="E76" s="291">
        <v>46008</v>
      </c>
      <c r="F76" s="302" t="s">
        <v>583</v>
      </c>
      <c r="G76" s="338"/>
      <c r="H76" s="321">
        <v>61.76</v>
      </c>
      <c r="I76" s="313">
        <v>0</v>
      </c>
      <c r="J76" s="316">
        <f t="shared" si="44"/>
        <v>61.76</v>
      </c>
      <c r="K76" s="282">
        <v>0</v>
      </c>
      <c r="L76" s="282">
        <v>0</v>
      </c>
      <c r="M76" s="302">
        <f t="shared" ref="M76:M77" si="46">L76+I76</f>
        <v>0</v>
      </c>
      <c r="N76" s="331">
        <f t="shared" si="41"/>
        <v>1</v>
      </c>
      <c r="O76" s="317">
        <f t="shared" si="45"/>
        <v>0</v>
      </c>
      <c r="P76" s="283">
        <f t="shared" si="42"/>
        <v>0</v>
      </c>
      <c r="Q76" s="295"/>
      <c r="R76" s="296">
        <f t="shared" si="43"/>
        <v>0</v>
      </c>
      <c r="S76" s="249"/>
      <c r="T76" s="288"/>
    </row>
    <row r="77" spans="1:20" ht="18" x14ac:dyDescent="0.3">
      <c r="A77" s="334">
        <v>67</v>
      </c>
      <c r="B77" s="335"/>
      <c r="C77" s="301" t="s">
        <v>654</v>
      </c>
      <c r="D77" s="291">
        <v>46002</v>
      </c>
      <c r="E77" s="291">
        <v>46008</v>
      </c>
      <c r="F77" s="302" t="s">
        <v>583</v>
      </c>
      <c r="G77" s="338"/>
      <c r="H77" s="321">
        <v>101.99</v>
      </c>
      <c r="I77" s="313">
        <v>0</v>
      </c>
      <c r="J77" s="316">
        <f t="shared" si="44"/>
        <v>101.99</v>
      </c>
      <c r="K77" s="282">
        <v>0</v>
      </c>
      <c r="L77" s="282">
        <v>0</v>
      </c>
      <c r="M77" s="302">
        <f t="shared" si="46"/>
        <v>0</v>
      </c>
      <c r="N77" s="304">
        <f t="shared" si="41"/>
        <v>1</v>
      </c>
      <c r="O77" s="317">
        <f t="shared" si="45"/>
        <v>0</v>
      </c>
      <c r="P77" s="283">
        <f t="shared" si="42"/>
        <v>0</v>
      </c>
      <c r="Q77" s="295"/>
      <c r="R77" s="296">
        <f t="shared" si="43"/>
        <v>0</v>
      </c>
      <c r="S77" s="249"/>
      <c r="T77" s="288"/>
    </row>
    <row r="78" spans="1:20" ht="18.600000000000001" thickBot="1" x14ac:dyDescent="0.35">
      <c r="A78" s="332" t="s">
        <v>606</v>
      </c>
      <c r="B78" s="332"/>
      <c r="C78" s="332"/>
      <c r="D78" s="332"/>
      <c r="E78" s="332"/>
      <c r="F78" s="332"/>
      <c r="G78" s="332"/>
      <c r="H78" s="332"/>
      <c r="I78" s="332"/>
      <c r="J78" s="332"/>
      <c r="K78" s="332"/>
      <c r="L78" s="332"/>
      <c r="M78" s="332"/>
      <c r="N78" s="332"/>
      <c r="O78" s="309">
        <f>+AVERAGE(O70:O77)</f>
        <v>0.48675818384432679</v>
      </c>
      <c r="P78" s="309">
        <f>+AVERAGE(P70:P77)</f>
        <v>0.33572010219619025</v>
      </c>
      <c r="Q78" s="309" t="e">
        <f>+AVERAGE(Q70:Q74)</f>
        <v>#DIV/0!</v>
      </c>
      <c r="R78" s="309">
        <f>+AVERAGE(R70:R77)</f>
        <v>0.35219849680629589</v>
      </c>
      <c r="S78" s="249"/>
      <c r="T78" s="249"/>
    </row>
    <row r="79" spans="1:20" ht="18.600000000000001" thickBot="1" x14ac:dyDescent="0.35">
      <c r="A79" s="339" t="s">
        <v>655</v>
      </c>
      <c r="B79" s="340"/>
      <c r="C79" s="340"/>
      <c r="D79" s="340"/>
      <c r="E79" s="340"/>
      <c r="F79" s="340"/>
      <c r="G79" s="340"/>
      <c r="H79" s="340"/>
      <c r="I79" s="340"/>
      <c r="J79" s="340"/>
      <c r="K79" s="340"/>
      <c r="L79" s="340"/>
      <c r="M79" s="340"/>
      <c r="N79" s="341"/>
      <c r="O79" s="342">
        <f>+AVERAGE(O28,O44,O60,O69,O78)</f>
        <v>0.15673098127099155</v>
      </c>
      <c r="P79" s="342">
        <f>+AVERAGE(P28,P44,P60,P69,P78)</f>
        <v>9.4676399671672656E-2</v>
      </c>
      <c r="Q79" s="342" t="e">
        <f t="shared" ref="Q79" si="47">+AVERAGE(Q28,Q44,Q60,Q69,Q78)</f>
        <v>#DIV/0!</v>
      </c>
      <c r="R79" s="342">
        <f>+AVERAGE(R28,R44,R60,R69,R78)</f>
        <v>0.71510972711599463</v>
      </c>
      <c r="S79" s="249"/>
      <c r="T79" s="249"/>
    </row>
    <row r="80" spans="1:20" ht="20.399999999999999" x14ac:dyDescent="0.4">
      <c r="A80" s="343"/>
      <c r="B80" s="343"/>
      <c r="C80" s="344"/>
      <c r="D80" s="345"/>
      <c r="E80" s="345"/>
      <c r="F80" s="345"/>
      <c r="G80" s="249"/>
      <c r="H80" s="346"/>
      <c r="I80" s="249"/>
      <c r="J80" s="249"/>
      <c r="K80" s="249"/>
      <c r="L80" s="347"/>
      <c r="M80" s="249"/>
      <c r="N80" s="249"/>
      <c r="O80" s="249"/>
      <c r="P80" s="195"/>
      <c r="Q80" s="249"/>
      <c r="R80" s="249"/>
      <c r="S80" s="249"/>
      <c r="T80" s="249"/>
    </row>
    <row r="81" spans="1:20" ht="20.399999999999999" x14ac:dyDescent="0.4">
      <c r="A81" s="343"/>
      <c r="B81" s="343"/>
      <c r="C81" s="344"/>
      <c r="D81" s="345"/>
      <c r="E81" s="345"/>
      <c r="F81" s="345"/>
      <c r="G81" s="249"/>
      <c r="H81" s="346"/>
      <c r="I81" s="249"/>
      <c r="J81" s="249"/>
      <c r="K81" s="249"/>
      <c r="L81" s="347"/>
      <c r="M81" s="249"/>
      <c r="N81" s="249"/>
      <c r="O81" s="249"/>
      <c r="P81" s="195"/>
      <c r="Q81" s="249"/>
      <c r="R81" s="249"/>
      <c r="S81" s="249"/>
      <c r="T81" s="249"/>
    </row>
    <row r="82" spans="1:20" ht="20.399999999999999" x14ac:dyDescent="0.4">
      <c r="A82" s="343"/>
      <c r="B82" s="343"/>
      <c r="C82" s="344"/>
      <c r="D82" s="345"/>
      <c r="E82" s="345"/>
      <c r="F82" s="345"/>
      <c r="G82" s="249"/>
      <c r="H82" s="346"/>
      <c r="I82" s="249"/>
      <c r="J82" s="249"/>
      <c r="K82" s="249"/>
      <c r="L82" s="249"/>
      <c r="M82" s="249"/>
      <c r="N82" s="249"/>
      <c r="O82" s="249"/>
      <c r="P82" s="195"/>
      <c r="Q82" s="249"/>
      <c r="R82" s="249"/>
      <c r="S82" s="249"/>
      <c r="T82" s="249"/>
    </row>
    <row r="83" spans="1:20" ht="20.399999999999999" x14ac:dyDescent="0.4">
      <c r="A83" s="343"/>
      <c r="B83" s="343"/>
      <c r="C83" s="344"/>
      <c r="D83" s="345"/>
      <c r="E83" s="345"/>
      <c r="F83" s="345"/>
      <c r="G83" s="249"/>
      <c r="H83" s="346"/>
      <c r="I83" s="249"/>
      <c r="J83" s="249"/>
      <c r="K83" s="249"/>
      <c r="L83" s="249"/>
      <c r="M83" s="249"/>
      <c r="N83" s="249"/>
      <c r="O83" s="249"/>
      <c r="P83" s="195"/>
      <c r="Q83" s="249"/>
      <c r="R83" s="249"/>
      <c r="S83" s="249"/>
      <c r="T83" s="249"/>
    </row>
    <row r="84" spans="1:20" ht="16.2" x14ac:dyDescent="0.4">
      <c r="A84" s="249"/>
      <c r="B84" s="249"/>
      <c r="C84" s="250"/>
      <c r="D84" s="249"/>
      <c r="E84" s="249"/>
      <c r="F84" s="249"/>
      <c r="G84" s="249"/>
      <c r="H84" s="249"/>
      <c r="I84" s="249"/>
      <c r="J84" s="249"/>
      <c r="K84" s="249"/>
      <c r="L84" s="348"/>
      <c r="M84" s="348"/>
      <c r="N84" s="348"/>
      <c r="O84" s="348"/>
      <c r="P84" s="175"/>
      <c r="Q84" s="348"/>
      <c r="R84" s="348"/>
      <c r="S84" s="348"/>
      <c r="T84" s="348"/>
    </row>
    <row r="85" spans="1:20" ht="16.2" x14ac:dyDescent="0.4">
      <c r="A85" s="249"/>
      <c r="B85" s="249"/>
      <c r="C85" s="250"/>
      <c r="D85" s="249"/>
      <c r="E85" s="249"/>
      <c r="F85" s="249"/>
      <c r="G85" s="249"/>
      <c r="H85" s="249"/>
      <c r="I85" s="249"/>
      <c r="J85" s="249"/>
      <c r="K85" s="249"/>
      <c r="L85" s="349"/>
      <c r="M85" s="349"/>
      <c r="N85" s="349"/>
      <c r="O85" s="349"/>
      <c r="P85" s="175"/>
      <c r="Q85" s="349"/>
      <c r="R85" s="349"/>
      <c r="S85" s="349"/>
      <c r="T85" s="349"/>
    </row>
    <row r="86" spans="1:20" ht="16.2" x14ac:dyDescent="0.4">
      <c r="A86" s="249"/>
      <c r="B86" s="249"/>
      <c r="C86" s="250"/>
      <c r="D86" s="249"/>
      <c r="E86" s="249"/>
      <c r="F86" s="249"/>
      <c r="G86" s="249"/>
      <c r="H86" s="249"/>
      <c r="I86" s="249"/>
      <c r="J86" s="249"/>
      <c r="K86" s="249"/>
      <c r="L86" s="175"/>
      <c r="M86" s="175"/>
      <c r="N86" s="175"/>
      <c r="O86" s="175"/>
      <c r="P86" s="175"/>
      <c r="Q86" s="175"/>
      <c r="R86" s="175"/>
      <c r="S86" s="175"/>
      <c r="T86" s="175"/>
    </row>
    <row r="87" spans="1:20" ht="20.399999999999999" x14ac:dyDescent="0.4">
      <c r="A87" s="249"/>
      <c r="B87" s="249"/>
      <c r="C87" s="250"/>
      <c r="D87" s="249"/>
      <c r="E87" s="249"/>
      <c r="F87" s="249"/>
      <c r="G87" s="249"/>
      <c r="H87" s="249"/>
      <c r="I87" s="249"/>
      <c r="J87" s="249"/>
      <c r="K87" s="249"/>
      <c r="L87" s="175"/>
      <c r="M87" s="175"/>
      <c r="N87" s="346"/>
      <c r="O87" s="175"/>
      <c r="P87" s="175"/>
      <c r="Q87" s="175"/>
      <c r="R87" s="175"/>
      <c r="S87" s="175"/>
      <c r="T87" s="175"/>
    </row>
    <row r="88" spans="1:20" ht="20.399999999999999" x14ac:dyDescent="0.4">
      <c r="A88" s="249"/>
      <c r="B88" s="249"/>
      <c r="C88" s="250"/>
      <c r="D88" s="249"/>
      <c r="E88" s="249"/>
      <c r="F88" s="249"/>
      <c r="G88" s="249"/>
      <c r="H88" s="249"/>
      <c r="I88" s="249"/>
      <c r="J88" s="249"/>
      <c r="K88" s="249"/>
      <c r="L88" s="175"/>
      <c r="M88" s="175"/>
      <c r="N88" s="346"/>
      <c r="O88" s="175"/>
      <c r="P88" s="175"/>
      <c r="Q88" s="175"/>
      <c r="R88" s="175"/>
      <c r="S88" s="175"/>
      <c r="T88" s="175"/>
    </row>
  </sheetData>
  <mergeCells count="26">
    <mergeCell ref="A78:N78"/>
    <mergeCell ref="A79:N79"/>
    <mergeCell ref="L84:O84"/>
    <mergeCell ref="Q84:T84"/>
    <mergeCell ref="A60:N60"/>
    <mergeCell ref="B61:B68"/>
    <mergeCell ref="G61:G64"/>
    <mergeCell ref="G65:G68"/>
    <mergeCell ref="A69:N69"/>
    <mergeCell ref="B70:B77"/>
    <mergeCell ref="G70:G73"/>
    <mergeCell ref="G74:G77"/>
    <mergeCell ref="A28:N28"/>
    <mergeCell ref="B29:B43"/>
    <mergeCell ref="G29:G33"/>
    <mergeCell ref="G34:G38"/>
    <mergeCell ref="A44:N44"/>
    <mergeCell ref="B45:B59"/>
    <mergeCell ref="G45:G49"/>
    <mergeCell ref="G50:G54"/>
    <mergeCell ref="A2:R2"/>
    <mergeCell ref="A3:R4"/>
    <mergeCell ref="A5:F5"/>
    <mergeCell ref="G5:M5"/>
    <mergeCell ref="O5:P5"/>
    <mergeCell ref="B7:B27"/>
  </mergeCells>
  <conditionalFormatting sqref="E84:F87">
    <cfRule type="dataBar" priority="6">
      <dataBar>
        <cfvo type="formula" val="0"/>
        <cfvo type="formula" val="$E$84"/>
        <color rgb="FF638EC6"/>
      </dataBar>
      <extLst>
        <ext xmlns:x14="http://schemas.microsoft.com/office/spreadsheetml/2009/9/main" uri="{B025F937-C7B1-47D3-B67F-A62EFF666E3E}">
          <x14:id>{55318B2D-2822-42C9-AF61-33BC44C86E93}</x14:id>
        </ext>
      </extLst>
    </cfRule>
  </conditionalFormatting>
  <conditionalFormatting sqref="E85:F85">
    <cfRule type="dataBar" priority="4">
      <dataBar>
        <cfvo type="min"/>
        <cfvo type="max"/>
        <color rgb="FF638EC6"/>
      </dataBar>
      <extLst>
        <ext xmlns:x14="http://schemas.microsoft.com/office/spreadsheetml/2009/9/main" uri="{B025F937-C7B1-47D3-B67F-A62EFF666E3E}">
          <x14:id>{EEF5BE0F-0556-41F9-B46A-6749D3FA5276}</x14:id>
        </ext>
      </extLst>
    </cfRule>
    <cfRule type="colorScale" priority="5">
      <colorScale>
        <cfvo type="formula" val="0"/>
        <cfvo type="formula" val="$D$85"/>
        <color theme="4" tint="-0.249977111117893"/>
        <color theme="4" tint="-0.249977111117893"/>
      </colorScale>
    </cfRule>
  </conditionalFormatting>
  <conditionalFormatting sqref="Q7:Q13">
    <cfRule type="cellIs" dxfId="46" priority="1" operator="equal">
      <formula>"Ahead of time"</formula>
    </cfRule>
    <cfRule type="cellIs" dxfId="45" priority="2" operator="equal">
      <formula>"On time "</formula>
    </cfRule>
    <cfRule type="cellIs" dxfId="44" priority="3" operator="equal">
      <formula>"Delay"</formula>
    </cfRule>
  </conditionalFormatting>
  <dataValidations count="1">
    <dataValidation type="list" allowBlank="1" showInputMessage="1" showErrorMessage="1" sqref="Q7:Q13" xr:uid="{48E21748-A52E-481D-B4B5-F283065F4433}">
      <formula1>#REF!</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55318B2D-2822-42C9-AF61-33BC44C86E93}">
            <x14:dataBar minLength="0" maxLength="100" gradient="0">
              <x14:cfvo type="formula">
                <xm:f>0</xm:f>
              </x14:cfvo>
              <x14:cfvo type="formula">
                <xm:f>$E$84</xm:f>
              </x14:cfvo>
              <x14:negativeFillColor rgb="FFFF0000"/>
              <x14:axisColor rgb="FF000000"/>
            </x14:dataBar>
          </x14:cfRule>
          <xm:sqref>E84:F87</xm:sqref>
        </x14:conditionalFormatting>
        <x14:conditionalFormatting xmlns:xm="http://schemas.microsoft.com/office/excel/2006/main">
          <x14:cfRule type="dataBar" id="{EEF5BE0F-0556-41F9-B46A-6749D3FA5276}">
            <x14:dataBar minLength="0" maxLength="100" gradient="0">
              <x14:cfvo type="autoMin"/>
              <x14:cfvo type="autoMax"/>
              <x14:negativeFillColor rgb="FFFF0000"/>
              <x14:axisColor rgb="FF000000"/>
            </x14:dataBar>
          </x14:cfRule>
          <xm:sqref>E85:F85</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C00C4-73AC-4243-BFD8-4C35B7DB116C}">
  <dimension ref="A1:Q326"/>
  <sheetViews>
    <sheetView zoomScale="70" zoomScaleNormal="70" workbookViewId="0">
      <selection activeCell="H21" sqref="H21"/>
    </sheetView>
  </sheetViews>
  <sheetFormatPr defaultColWidth="9.21875" defaultRowHeight="15.6" x14ac:dyDescent="0.3"/>
  <cols>
    <col min="1" max="1" width="29.77734375" style="353" bestFit="1" customWidth="1"/>
    <col min="2" max="2" width="32.33203125" style="353" bestFit="1" customWidth="1"/>
    <col min="3" max="3" width="35.5546875" style="376" bestFit="1" customWidth="1"/>
    <col min="4" max="4" width="33.44140625" style="353" bestFit="1" customWidth="1"/>
    <col min="5" max="5" width="40.44140625" style="353" bestFit="1" customWidth="1"/>
    <col min="6" max="6" width="32" style="353" bestFit="1" customWidth="1"/>
    <col min="7" max="7" width="33.109375" style="353" bestFit="1" customWidth="1"/>
    <col min="8" max="8" width="26.21875" style="353" bestFit="1" customWidth="1"/>
    <col min="9" max="9" width="24.109375" style="353" bestFit="1" customWidth="1"/>
    <col min="10" max="10" width="21.88671875" style="353" bestFit="1" customWidth="1"/>
    <col min="11" max="11" width="30.109375" style="353" bestFit="1" customWidth="1"/>
    <col min="12" max="12" width="24.88671875" style="353" bestFit="1" customWidth="1"/>
    <col min="13" max="16384" width="9.21875" style="353"/>
  </cols>
  <sheetData>
    <row r="1" spans="1:17" ht="15" customHeight="1" x14ac:dyDescent="0.3">
      <c r="A1" s="350" t="s">
        <v>656</v>
      </c>
      <c r="B1" s="351"/>
      <c r="C1" s="351"/>
      <c r="D1" s="351"/>
      <c r="E1" s="351"/>
      <c r="F1" s="351"/>
      <c r="G1" s="351"/>
      <c r="H1" s="351"/>
      <c r="I1" s="352"/>
    </row>
    <row r="2" spans="1:17" ht="14.55" customHeight="1" thickBot="1" x14ac:dyDescent="0.35">
      <c r="A2" s="354"/>
      <c r="B2" s="355"/>
      <c r="C2" s="355"/>
      <c r="D2" s="355"/>
      <c r="E2" s="355"/>
      <c r="F2" s="355"/>
      <c r="G2" s="355"/>
      <c r="H2" s="355"/>
      <c r="I2" s="356"/>
    </row>
    <row r="3" spans="1:17" ht="16.2" thickBot="1" x14ac:dyDescent="0.35">
      <c r="A3" s="357" t="s">
        <v>564</v>
      </c>
      <c r="B3" s="358" t="s">
        <v>565</v>
      </c>
      <c r="C3" s="358" t="s">
        <v>566</v>
      </c>
      <c r="D3" s="358" t="s">
        <v>569</v>
      </c>
      <c r="E3" s="358" t="s">
        <v>570</v>
      </c>
      <c r="F3" s="358" t="s">
        <v>657</v>
      </c>
      <c r="G3" s="358" t="s">
        <v>574</v>
      </c>
      <c r="H3" s="358" t="s">
        <v>575</v>
      </c>
      <c r="I3" s="359" t="s">
        <v>658</v>
      </c>
      <c r="J3" s="359"/>
    </row>
    <row r="4" spans="1:17" ht="37.5" customHeight="1" x14ac:dyDescent="0.3">
      <c r="A4" s="360">
        <v>1</v>
      </c>
      <c r="B4" s="361" t="s">
        <v>659</v>
      </c>
      <c r="C4" s="362" t="s">
        <v>660</v>
      </c>
      <c r="D4" s="363" t="s">
        <v>583</v>
      </c>
      <c r="E4" s="364">
        <f>'[2]Planned Vs Actual '!G7</f>
        <v>3925</v>
      </c>
      <c r="F4" s="365">
        <f>'[2]Planned Vs Actual '!H7</f>
        <v>1826</v>
      </c>
      <c r="G4" s="365">
        <f>'[2]Planned Vs Actual '!K7</f>
        <v>0</v>
      </c>
      <c r="H4" s="365">
        <f>'[2]Planned Vs Actual '!L7</f>
        <v>0</v>
      </c>
      <c r="I4" s="366">
        <f>'[2]Planned Vs Actual '!M7</f>
        <v>1826.1999999999998</v>
      </c>
      <c r="J4" s="367"/>
    </row>
    <row r="5" spans="1:17" ht="37.5" customHeight="1" x14ac:dyDescent="0.3">
      <c r="A5" s="368">
        <v>2</v>
      </c>
      <c r="B5" s="369" t="s">
        <v>659</v>
      </c>
      <c r="C5" s="370" t="s">
        <v>593</v>
      </c>
      <c r="D5" s="371" t="s">
        <v>583</v>
      </c>
      <c r="E5" s="372"/>
      <c r="F5" s="373">
        <f>'[2]Planned Vs Actual '!H15</f>
        <v>11.795</v>
      </c>
      <c r="G5" s="373">
        <f>'[2]Planned Vs Actual '!K15</f>
        <v>0</v>
      </c>
      <c r="H5" s="373">
        <f>'[2]Planned Vs Actual '!L15</f>
        <v>0</v>
      </c>
      <c r="I5" s="374">
        <f>'[2]Planned Vs Actual '!M15</f>
        <v>11.795</v>
      </c>
      <c r="J5" s="367"/>
    </row>
    <row r="6" spans="1:17" x14ac:dyDescent="0.3">
      <c r="A6" s="368">
        <v>3</v>
      </c>
      <c r="B6" s="369" t="s">
        <v>659</v>
      </c>
      <c r="C6" s="369" t="s">
        <v>587</v>
      </c>
      <c r="D6" s="371" t="s">
        <v>583</v>
      </c>
      <c r="E6" s="147">
        <f>'[2]Planned Vs Actual '!G9</f>
        <v>10000</v>
      </c>
      <c r="F6" s="373">
        <f>'[2]Planned Vs Actual '!H9</f>
        <v>1123.22</v>
      </c>
      <c r="G6" s="375">
        <f>'[2]Planned Vs Actual '!K9</f>
        <v>0</v>
      </c>
      <c r="H6" s="375">
        <f>'[2]Planned Vs Actual '!L9</f>
        <v>0</v>
      </c>
      <c r="I6" s="374">
        <f>'[2]Planned Vs Actual '!M9</f>
        <v>1123.22</v>
      </c>
      <c r="J6" s="367"/>
      <c r="K6" s="376"/>
      <c r="L6" s="376"/>
      <c r="M6" s="377"/>
      <c r="N6" s="378"/>
      <c r="O6" s="378"/>
      <c r="P6" s="378"/>
      <c r="Q6" s="376"/>
    </row>
    <row r="7" spans="1:17" x14ac:dyDescent="0.3">
      <c r="A7" s="368">
        <v>4</v>
      </c>
      <c r="B7" s="369" t="s">
        <v>659</v>
      </c>
      <c r="C7" s="369" t="str">
        <f>'[2]Planned Vs Actual '!C10</f>
        <v>Rubble Soling</v>
      </c>
      <c r="D7" s="371" t="s">
        <v>583</v>
      </c>
      <c r="E7" s="373">
        <f>'[2]Planned Vs Actual '!G10</f>
        <v>195.5</v>
      </c>
      <c r="F7" s="373">
        <f>'[2]Planned Vs Actual '!H10</f>
        <v>173.81</v>
      </c>
      <c r="G7" s="375">
        <f>'[2]Planned Vs Actual '!K10</f>
        <v>0</v>
      </c>
      <c r="H7" s="375">
        <f>'[2]Planned Vs Actual '!L10</f>
        <v>0</v>
      </c>
      <c r="I7" s="374">
        <f>'[2]Planned Vs Actual '!M10</f>
        <v>173.81</v>
      </c>
      <c r="J7" s="367"/>
      <c r="K7" s="376"/>
      <c r="L7" s="376"/>
      <c r="M7" s="377"/>
      <c r="N7" s="378"/>
      <c r="O7" s="378"/>
      <c r="P7" s="378"/>
      <c r="Q7" s="376"/>
    </row>
    <row r="8" spans="1:17" ht="37.5" customHeight="1" x14ac:dyDescent="0.3">
      <c r="A8" s="368">
        <v>5</v>
      </c>
      <c r="B8" s="369" t="s">
        <v>659</v>
      </c>
      <c r="C8" s="370" t="s">
        <v>585</v>
      </c>
      <c r="D8" s="371" t="s">
        <v>583</v>
      </c>
      <c r="E8" s="379">
        <f>'[2]Planned Vs Actual '!G8</f>
        <v>265</v>
      </c>
      <c r="F8" s="373">
        <f>'[2]Planned Vs Actual '!H8</f>
        <v>91.31</v>
      </c>
      <c r="G8" s="373">
        <f>'[2]Planned Vs Actual '!K8</f>
        <v>0</v>
      </c>
      <c r="H8" s="373">
        <f>'[2]Planned Vs Actual '!L8</f>
        <v>0</v>
      </c>
      <c r="I8" s="374">
        <f>'[2]Planned Vs Actual '!M8</f>
        <v>91.31</v>
      </c>
      <c r="J8" s="367"/>
    </row>
    <row r="9" spans="1:17" x14ac:dyDescent="0.3">
      <c r="A9" s="368">
        <v>6</v>
      </c>
      <c r="B9" s="369" t="s">
        <v>659</v>
      </c>
      <c r="C9" s="370" t="s">
        <v>594</v>
      </c>
      <c r="D9" s="371" t="s">
        <v>583</v>
      </c>
      <c r="E9" s="380"/>
      <c r="F9" s="373">
        <f>'[2]Planned Vs Actual '!H16</f>
        <v>7.944</v>
      </c>
      <c r="G9" s="373">
        <f>'[2]Planned Vs Actual '!K16</f>
        <v>0</v>
      </c>
      <c r="H9" s="373">
        <f>'[2]Planned Vs Actual '!L16</f>
        <v>0</v>
      </c>
      <c r="I9" s="374">
        <f>'[2]Planned Vs Actual '!M16</f>
        <v>7.944</v>
      </c>
      <c r="J9" s="367"/>
    </row>
    <row r="10" spans="1:17" x14ac:dyDescent="0.3">
      <c r="A10" s="368">
        <v>7</v>
      </c>
      <c r="B10" s="369" t="s">
        <v>659</v>
      </c>
      <c r="C10" s="370" t="str">
        <f>'[2]Planned Vs Actual '!C25</f>
        <v>Floor PCC</v>
      </c>
      <c r="D10" s="371" t="str">
        <f>'[2]Planned Vs Actual '!F25</f>
        <v>CUM</v>
      </c>
      <c r="E10" s="380"/>
      <c r="F10" s="373">
        <f>'[2]Planned Vs Actual '!H25</f>
        <v>86.9</v>
      </c>
      <c r="G10" s="373">
        <f>'[2]Planned Vs Actual '!K25</f>
        <v>0</v>
      </c>
      <c r="H10" s="373">
        <f>'[2]Planned Vs Actual '!L25</f>
        <v>0</v>
      </c>
      <c r="I10" s="374">
        <f>'[2]Planned Vs Actual '!M25</f>
        <v>86.9</v>
      </c>
      <c r="J10" s="367"/>
    </row>
    <row r="11" spans="1:17" x14ac:dyDescent="0.3">
      <c r="A11" s="368">
        <v>8</v>
      </c>
      <c r="B11" s="369" t="s">
        <v>659</v>
      </c>
      <c r="C11" s="375" t="str">
        <f>'[2]Planned Vs Actual '!C20</f>
        <v>Plinth Beam PCC</v>
      </c>
      <c r="D11" s="371" t="str">
        <f>'[2]Planned Vs Actual '!F18</f>
        <v>CUM</v>
      </c>
      <c r="E11" s="372"/>
      <c r="F11" s="373">
        <f>'[2]Planned Vs Actual '!H20</f>
        <v>18.07</v>
      </c>
      <c r="G11" s="373">
        <f>'[2]Planned Vs Actual '!K20</f>
        <v>0</v>
      </c>
      <c r="H11" s="373">
        <f>'[2]Planned Vs Actual '!L20</f>
        <v>0</v>
      </c>
      <c r="I11" s="374">
        <f>'[2]Planned Vs Actual '!M20</f>
        <v>18.07</v>
      </c>
      <c r="J11" s="367"/>
    </row>
    <row r="12" spans="1:17" ht="37.5" customHeight="1" x14ac:dyDescent="0.3">
      <c r="A12" s="368">
        <v>9</v>
      </c>
      <c r="B12" s="369" t="s">
        <v>659</v>
      </c>
      <c r="C12" s="370" t="s">
        <v>433</v>
      </c>
      <c r="D12" s="371" t="s">
        <v>583</v>
      </c>
      <c r="E12" s="379">
        <f>'[2]Planned Vs Actual '!G12</f>
        <v>380</v>
      </c>
      <c r="F12" s="373">
        <f>'[2]Planned Vs Actual '!H12</f>
        <v>292.76400000000001</v>
      </c>
      <c r="G12" s="373">
        <f>'[2]Planned Vs Actual '!K12</f>
        <v>0</v>
      </c>
      <c r="H12" s="373">
        <f>'[2]Planned Vs Actual '!L12</f>
        <v>0</v>
      </c>
      <c r="I12" s="374">
        <f>'[2]Planned Vs Actual '!M12</f>
        <v>292.76</v>
      </c>
      <c r="J12" s="367"/>
    </row>
    <row r="13" spans="1:17" ht="36.450000000000003" customHeight="1" x14ac:dyDescent="0.3">
      <c r="A13" s="368">
        <v>10</v>
      </c>
      <c r="B13" s="369" t="s">
        <v>659</v>
      </c>
      <c r="C13" s="370" t="s">
        <v>661</v>
      </c>
      <c r="D13" s="371" t="s">
        <v>583</v>
      </c>
      <c r="E13" s="380"/>
      <c r="F13" s="373">
        <f>'[2]Planned Vs Actual '!H14</f>
        <v>62.65</v>
      </c>
      <c r="G13" s="373">
        <f>'[2]Planned Vs Actual '!K14</f>
        <v>0</v>
      </c>
      <c r="H13" s="373">
        <f>'[2]Planned Vs Actual '!L14</f>
        <v>0</v>
      </c>
      <c r="I13" s="374">
        <f>'[2]Planned Vs Actual '!M14</f>
        <v>62.65</v>
      </c>
      <c r="J13" s="367"/>
    </row>
    <row r="14" spans="1:17" x14ac:dyDescent="0.3">
      <c r="A14" s="368">
        <v>11</v>
      </c>
      <c r="B14" s="369" t="s">
        <v>659</v>
      </c>
      <c r="C14" s="370" t="str">
        <f>'[2]Planned Vs Actual '!C18</f>
        <v>GB RCC</v>
      </c>
      <c r="D14" s="371" t="s">
        <v>583</v>
      </c>
      <c r="E14" s="380"/>
      <c r="F14" s="373">
        <f>'[2]Planned Vs Actual '!H18</f>
        <v>23.994</v>
      </c>
      <c r="G14" s="373">
        <f>'[2]Planned Vs Actual '!K18</f>
        <v>0</v>
      </c>
      <c r="H14" s="373">
        <f>'[2]Planned Vs Actual '!L18</f>
        <v>0</v>
      </c>
      <c r="I14" s="374">
        <f>'[2]Planned Vs Actual '!M18</f>
        <v>23.979999999999997</v>
      </c>
      <c r="J14" s="367"/>
    </row>
    <row r="15" spans="1:17" x14ac:dyDescent="0.3">
      <c r="A15" s="368">
        <v>12</v>
      </c>
      <c r="B15" s="369" t="s">
        <v>659</v>
      </c>
      <c r="C15" s="370" t="str">
        <f>'[2]Planned Vs Actual '!C22</f>
        <v>Plinth Beam RCC</v>
      </c>
      <c r="D15" s="371" t="s">
        <v>583</v>
      </c>
      <c r="E15" s="380"/>
      <c r="F15" s="373">
        <f>'[2]Planned Vs Actual '!H22</f>
        <v>45.72</v>
      </c>
      <c r="G15" s="373">
        <f>'[2]Planned Vs Actual '!K22</f>
        <v>0</v>
      </c>
      <c r="H15" s="373">
        <f>'[2]Planned Vs Actual '!L22</f>
        <v>0</v>
      </c>
      <c r="I15" s="374">
        <f>'[2]Planned Vs Actual '!M22</f>
        <v>45.72</v>
      </c>
      <c r="J15" s="367"/>
    </row>
    <row r="16" spans="1:17" x14ac:dyDescent="0.3">
      <c r="A16" s="368">
        <v>13</v>
      </c>
      <c r="B16" s="369" t="s">
        <v>659</v>
      </c>
      <c r="C16" s="370" t="str">
        <f>'[2]Planned Vs Actual '!C27</f>
        <v>Floor RCC</v>
      </c>
      <c r="D16" s="371" t="s">
        <v>583</v>
      </c>
      <c r="E16" s="372"/>
      <c r="F16" s="373">
        <f>'[2]Planned Vs Actual '!H27</f>
        <v>88.03</v>
      </c>
      <c r="G16" s="373">
        <f>'[2]Planned Vs Actual '!J27</f>
        <v>0</v>
      </c>
      <c r="H16" s="373">
        <f>'[2]Planned Vs Actual '!L27</f>
        <v>0</v>
      </c>
      <c r="I16" s="374">
        <f>'[2]Planned Vs Actual '!M27</f>
        <v>88.03</v>
      </c>
      <c r="J16" s="367"/>
    </row>
    <row r="17" spans="1:10" x14ac:dyDescent="0.3">
      <c r="A17" s="368">
        <v>14</v>
      </c>
      <c r="B17" s="369" t="s">
        <v>659</v>
      </c>
      <c r="C17" s="375" t="str">
        <f>'[2]Planned Vs Actual '!C19</f>
        <v>Masonry Above GB</v>
      </c>
      <c r="D17" s="371" t="s">
        <v>583</v>
      </c>
      <c r="E17" s="379">
        <f>'[2]Planned Vs Actual '!G19</f>
        <v>130</v>
      </c>
      <c r="F17" s="373">
        <f>'[2]Planned Vs Actual '!H19</f>
        <v>86.293999999999997</v>
      </c>
      <c r="G17" s="373">
        <f>'[2]Planned Vs Actual '!K19</f>
        <v>0</v>
      </c>
      <c r="H17" s="373">
        <f>'[2]Planned Vs Actual '!L19</f>
        <v>0</v>
      </c>
      <c r="I17" s="374">
        <f>'[2]Planned Vs Actual '!M19</f>
        <v>86.293999999999997</v>
      </c>
      <c r="J17" s="367"/>
    </row>
    <row r="18" spans="1:10" x14ac:dyDescent="0.3">
      <c r="A18" s="368">
        <v>15</v>
      </c>
      <c r="B18" s="369" t="s">
        <v>659</v>
      </c>
      <c r="C18" s="375" t="str">
        <f>'[2]Planned Vs Actual '!C24</f>
        <v>Masonry above PB</v>
      </c>
      <c r="D18" s="371" t="s">
        <v>583</v>
      </c>
      <c r="E18" s="372"/>
      <c r="F18" s="373">
        <f>'[2]Planned Vs Actual '!H24</f>
        <v>16.167999999999999</v>
      </c>
      <c r="G18" s="373">
        <f>'[2]Planned Vs Actual '!J24</f>
        <v>-2.0000000000024443E-3</v>
      </c>
      <c r="H18" s="373">
        <f>'[2]Planned Vs Actual '!L24</f>
        <v>0</v>
      </c>
      <c r="I18" s="374">
        <f>'[2]Planned Vs Actual '!M24</f>
        <v>16.170000000000002</v>
      </c>
      <c r="J18" s="367"/>
    </row>
    <row r="19" spans="1:10" x14ac:dyDescent="0.3">
      <c r="A19" s="368">
        <v>16</v>
      </c>
      <c r="B19" s="369" t="s">
        <v>659</v>
      </c>
      <c r="C19" s="375" t="str">
        <f>'[2]Planned Vs Actual '!C23</f>
        <v>Plinth Plaster</v>
      </c>
      <c r="D19" s="371" t="str">
        <f>'[2]Planned Vs Actual '!F23</f>
        <v>SMT</v>
      </c>
      <c r="E19" s="373">
        <f>'[2]Planned Vs Actual '!G23</f>
        <v>5235</v>
      </c>
      <c r="F19" s="373">
        <f>'[2]Planned Vs Actual '!H23</f>
        <v>92.29</v>
      </c>
      <c r="G19" s="373">
        <f>'[2]Planned Vs Actual '!K23</f>
        <v>32.790000000000006</v>
      </c>
      <c r="H19" s="373">
        <f>'[2]Planned Vs Actual '!L23</f>
        <v>15</v>
      </c>
      <c r="I19" s="374">
        <f>'[2]Planned Vs Actual '!M23</f>
        <v>74.5</v>
      </c>
      <c r="J19" s="367"/>
    </row>
    <row r="20" spans="1:10" x14ac:dyDescent="0.3">
      <c r="A20" s="368">
        <v>17</v>
      </c>
      <c r="B20" s="369" t="s">
        <v>659</v>
      </c>
      <c r="C20" s="375" t="str">
        <f>'[2]Planned Vs Actual '!C11</f>
        <v>Footing Shuttering</v>
      </c>
      <c r="D20" s="371" t="str">
        <f>'[2]Planned Vs Actual '!F11</f>
        <v>SMT</v>
      </c>
      <c r="E20" s="379">
        <f>'[2]Planned Vs Actual '!G11</f>
        <v>1075</v>
      </c>
      <c r="F20" s="373">
        <f>'[2]Planned Vs Actual '!H11</f>
        <v>441.90800000000002</v>
      </c>
      <c r="G20" s="373">
        <f>'[2]Planned Vs Actual '!K11</f>
        <v>0</v>
      </c>
      <c r="H20" s="373">
        <f>'[2]Planned Vs Actual '!L11</f>
        <v>0</v>
      </c>
      <c r="I20" s="374">
        <f>'[2]Planned Vs Actual '!L11</f>
        <v>0</v>
      </c>
      <c r="J20" s="367"/>
    </row>
    <row r="21" spans="1:10" x14ac:dyDescent="0.3">
      <c r="A21" s="368">
        <v>18</v>
      </c>
      <c r="B21" s="369" t="s">
        <v>659</v>
      </c>
      <c r="C21" s="369" t="str">
        <f>'[2]Planned Vs Actual '!C13</f>
        <v>Padestal Upto Plinth Top Shuttering</v>
      </c>
      <c r="D21" s="371" t="s">
        <v>590</v>
      </c>
      <c r="E21" s="380"/>
      <c r="F21" s="373">
        <f>'[2]Planned Vs Actual '!H13</f>
        <v>664</v>
      </c>
      <c r="G21" s="373">
        <f>'[2]Planned Vs Actual '!K13</f>
        <v>0</v>
      </c>
      <c r="H21" s="373">
        <f>'[2]Planned Vs Actual '!L13</f>
        <v>0</v>
      </c>
      <c r="I21" s="374">
        <f>'[2]Planned Vs Actual '!M13</f>
        <v>663.99999999999989</v>
      </c>
      <c r="J21" s="367"/>
    </row>
    <row r="22" spans="1:10" x14ac:dyDescent="0.3">
      <c r="A22" s="368">
        <v>19</v>
      </c>
      <c r="B22" s="369" t="s">
        <v>659</v>
      </c>
      <c r="C22" s="369" t="str">
        <f>'[2]Planned Vs Actual '!C17</f>
        <v>GB Shuttering</v>
      </c>
      <c r="D22" s="371" t="s">
        <v>590</v>
      </c>
      <c r="E22" s="380"/>
      <c r="F22" s="373">
        <f>'[2]Planned Vs Actual '!H17</f>
        <v>142.93799999999999</v>
      </c>
      <c r="G22" s="373">
        <f>'[2]Planned Vs Actual '!K17</f>
        <v>0</v>
      </c>
      <c r="H22" s="373">
        <f>'[2]Planned Vs Actual '!L17</f>
        <v>0</v>
      </c>
      <c r="I22" s="374">
        <f>'[2]Planned Vs Actual '!M17</f>
        <v>142.85</v>
      </c>
      <c r="J22" s="367"/>
    </row>
    <row r="23" spans="1:10" x14ac:dyDescent="0.3">
      <c r="A23" s="368">
        <v>20</v>
      </c>
      <c r="B23" s="369" t="s">
        <v>659</v>
      </c>
      <c r="C23" s="369" t="str">
        <f>'[2]Planned Vs Actual '!C21</f>
        <v>Plinth Beam Shuttering</v>
      </c>
      <c r="D23" s="371" t="s">
        <v>590</v>
      </c>
      <c r="E23" s="380"/>
      <c r="F23" s="373">
        <f>'[2]Planned Vs Actual '!H21</f>
        <v>387.1</v>
      </c>
      <c r="G23" s="373">
        <f>'[2]Planned Vs Actual '!K21</f>
        <v>0</v>
      </c>
      <c r="H23" s="373">
        <f>'[2]Planned Vs Actual '!L21</f>
        <v>0</v>
      </c>
      <c r="I23" s="374">
        <f>'[2]Planned Vs Actual '!M21</f>
        <v>387.1</v>
      </c>
      <c r="J23" s="367"/>
    </row>
    <row r="24" spans="1:10" x14ac:dyDescent="0.3">
      <c r="A24" s="368">
        <v>21</v>
      </c>
      <c r="B24" s="369" t="s">
        <v>659</v>
      </c>
      <c r="C24" s="381" t="str">
        <f>'[2]Planned Vs Actual '!C26</f>
        <v>Floor RCC Shuttering</v>
      </c>
      <c r="D24" s="371" t="s">
        <v>590</v>
      </c>
      <c r="E24" s="372"/>
      <c r="F24" s="373">
        <f>'[2]Planned Vs Actual '!H26</f>
        <v>15.3</v>
      </c>
      <c r="G24" s="373">
        <f>'[2]Planned Vs Actual '!K26</f>
        <v>0</v>
      </c>
      <c r="H24" s="373">
        <f>'[2]Planned Vs Actual '!L26</f>
        <v>0</v>
      </c>
      <c r="I24" s="374">
        <f>'[2]Planned Vs Actual '!M26</f>
        <v>15.3</v>
      </c>
      <c r="J24" s="367"/>
    </row>
    <row r="25" spans="1:10" x14ac:dyDescent="0.3">
      <c r="A25" s="368">
        <v>22</v>
      </c>
      <c r="B25" s="369" t="s">
        <v>659</v>
      </c>
      <c r="C25" s="369" t="str">
        <f>'[2]Planned Vs Actual '!C29</f>
        <v>Plinth to GF slab column shuttering</v>
      </c>
      <c r="D25" s="371" t="str">
        <f>'[2]Planned Vs Actual '!F29</f>
        <v>SQM</v>
      </c>
      <c r="E25" s="382">
        <v>1680</v>
      </c>
      <c r="F25" s="383">
        <f>'[2]Planned Vs Actual '!H29</f>
        <v>427.55</v>
      </c>
      <c r="G25" s="373">
        <f>'[2]Planned Vs Actual '!K29</f>
        <v>0</v>
      </c>
      <c r="H25" s="373">
        <f>'[2]Planned Vs Actual '!L29</f>
        <v>0</v>
      </c>
      <c r="I25" s="374">
        <f>'[2]Planned Vs Actual '!M29</f>
        <v>427.55399999999997</v>
      </c>
      <c r="J25" s="367"/>
    </row>
    <row r="26" spans="1:10" x14ac:dyDescent="0.3">
      <c r="A26" s="368">
        <v>23</v>
      </c>
      <c r="B26" s="369" t="s">
        <v>659</v>
      </c>
      <c r="C26" s="369" t="str">
        <f>'[2]Planned Vs Actual '!C30</f>
        <v>GF beam shuttering</v>
      </c>
      <c r="D26" s="371" t="str">
        <f>'[2]Planned Vs Actual '!F30</f>
        <v>SQM</v>
      </c>
      <c r="E26" s="384"/>
      <c r="F26" s="383">
        <f>'[2]Planned Vs Actual '!H30</f>
        <v>700.59</v>
      </c>
      <c r="G26" s="373">
        <f>'[2]Planned Vs Actual '!K30</f>
        <v>0</v>
      </c>
      <c r="H26" s="373">
        <f>'[2]Planned Vs Actual '!L30</f>
        <v>0</v>
      </c>
      <c r="I26" s="374">
        <f>'[2]Planned Vs Actual '!M30</f>
        <v>700.59</v>
      </c>
      <c r="J26" s="367"/>
    </row>
    <row r="27" spans="1:10" x14ac:dyDescent="0.3">
      <c r="A27" s="368">
        <v>24</v>
      </c>
      <c r="B27" s="369" t="s">
        <v>659</v>
      </c>
      <c r="C27" s="369" t="str">
        <f>'[2]Planned Vs Actual '!C31</f>
        <v>GF Slab shuttering</v>
      </c>
      <c r="D27" s="371" t="str">
        <f>'[2]Planned Vs Actual '!F31</f>
        <v>SQM</v>
      </c>
      <c r="E27" s="384"/>
      <c r="F27" s="383">
        <f>'[2]Planned Vs Actual '!H31</f>
        <v>664.26</v>
      </c>
      <c r="G27" s="373">
        <f>'[2]Planned Vs Actual '!K31</f>
        <v>0</v>
      </c>
      <c r="H27" s="373">
        <f>'[2]Planned Vs Actual '!L31</f>
        <v>0</v>
      </c>
      <c r="I27" s="374">
        <f>'[2]Planned Vs Actual '!M31</f>
        <v>664.23</v>
      </c>
      <c r="J27" s="367"/>
    </row>
    <row r="28" spans="1:10" x14ac:dyDescent="0.3">
      <c r="A28" s="368">
        <v>25</v>
      </c>
      <c r="B28" s="369" t="s">
        <v>659</v>
      </c>
      <c r="C28" s="369" t="str">
        <f>'[2]Planned Vs Actual '!C32</f>
        <v>GF staircase shuttering</v>
      </c>
      <c r="D28" s="371" t="str">
        <f>'[2]Planned Vs Actual '!F32</f>
        <v>SQM</v>
      </c>
      <c r="E28" s="384"/>
      <c r="F28" s="383">
        <f>'[2]Planned Vs Actual '!H32</f>
        <v>57.39</v>
      </c>
      <c r="G28" s="373">
        <f>'[2]Planned Vs Actual '!K32</f>
        <v>0</v>
      </c>
      <c r="H28" s="373">
        <f>'[2]Planned Vs Actual '!L32</f>
        <v>0</v>
      </c>
      <c r="I28" s="374">
        <f>'[2]Planned Vs Actual '!M32</f>
        <v>57.39</v>
      </c>
      <c r="J28" s="367"/>
    </row>
    <row r="29" spans="1:10" x14ac:dyDescent="0.3">
      <c r="A29" s="368">
        <v>26</v>
      </c>
      <c r="B29" s="369" t="s">
        <v>659</v>
      </c>
      <c r="C29" s="381" t="str">
        <f>'[2]Planned Vs Actual '!C33</f>
        <v>GF lintel shuttering</v>
      </c>
      <c r="D29" s="371" t="str">
        <f>'[2]Planned Vs Actual '!F33</f>
        <v>SQM</v>
      </c>
      <c r="E29" s="385"/>
      <c r="F29" s="383">
        <f>'[2]Planned Vs Actual '!H33</f>
        <v>67.989999999999995</v>
      </c>
      <c r="G29" s="373">
        <f>'[2]Planned Vs Actual '!K33</f>
        <v>0</v>
      </c>
      <c r="H29" s="373">
        <f>'[2]Planned Vs Actual '!L33</f>
        <v>0</v>
      </c>
      <c r="I29" s="374">
        <f>'[2]Planned Vs Actual '!M33</f>
        <v>56</v>
      </c>
      <c r="J29" s="367"/>
    </row>
    <row r="30" spans="1:10" ht="46.05" customHeight="1" x14ac:dyDescent="0.3">
      <c r="A30" s="368">
        <v>27</v>
      </c>
      <c r="B30" s="369" t="s">
        <v>659</v>
      </c>
      <c r="C30" s="369" t="str">
        <f>'[2]Planned Vs Actual '!C34</f>
        <v>Plinth to GF slab column concrete</v>
      </c>
      <c r="D30" s="371" t="str">
        <f>'[2]Planned Vs Actual '!F34</f>
        <v>CUM</v>
      </c>
      <c r="E30" s="379">
        <f>'[2]Planned Vs Actual '!G34</f>
        <v>210</v>
      </c>
      <c r="F30" s="383">
        <f>'[2]Planned Vs Actual '!H34</f>
        <v>32.822000000000003</v>
      </c>
      <c r="G30" s="373">
        <f>'[2]Planned Vs Actual '!K34</f>
        <v>0</v>
      </c>
      <c r="H30" s="373">
        <f>'[2]Planned Vs Actual '!L34</f>
        <v>0</v>
      </c>
      <c r="I30" s="374">
        <f>'[2]Planned Vs Actual '!M34</f>
        <v>32.82</v>
      </c>
      <c r="J30" s="367"/>
    </row>
    <row r="31" spans="1:10" x14ac:dyDescent="0.3">
      <c r="A31" s="368">
        <v>28</v>
      </c>
      <c r="B31" s="369" t="s">
        <v>659</v>
      </c>
      <c r="C31" s="369" t="str">
        <f>'[2]Planned Vs Actual '!C35</f>
        <v>GF beam Concrete</v>
      </c>
      <c r="D31" s="371" t="str">
        <f>'[2]Planned Vs Actual '!F35</f>
        <v>CUM</v>
      </c>
      <c r="E31" s="380"/>
      <c r="F31" s="383">
        <f>'[2]Planned Vs Actual '!H35</f>
        <v>61.76</v>
      </c>
      <c r="G31" s="373">
        <f>'[2]Planned Vs Actual '!K35</f>
        <v>0</v>
      </c>
      <c r="H31" s="373">
        <f>'[2]Planned Vs Actual '!L35</f>
        <v>0</v>
      </c>
      <c r="I31" s="374">
        <f>'[2]Planned Vs Actual '!M35</f>
        <v>61.75</v>
      </c>
      <c r="J31" s="367"/>
    </row>
    <row r="32" spans="1:10" x14ac:dyDescent="0.3">
      <c r="A32" s="368">
        <v>29</v>
      </c>
      <c r="B32" s="369" t="s">
        <v>659</v>
      </c>
      <c r="C32" s="369" t="str">
        <f>'[2]Planned Vs Actual '!C36</f>
        <v>GF Slab Concrete</v>
      </c>
      <c r="D32" s="371" t="str">
        <f>'[2]Planned Vs Actual '!F36</f>
        <v>CUM</v>
      </c>
      <c r="E32" s="380"/>
      <c r="F32" s="383">
        <f>'[2]Planned Vs Actual '!H36</f>
        <v>101.99</v>
      </c>
      <c r="G32" s="373">
        <f>'[2]Planned Vs Actual '!K36</f>
        <v>0</v>
      </c>
      <c r="H32" s="373">
        <f>'[2]Planned Vs Actual '!L36</f>
        <v>0</v>
      </c>
      <c r="I32" s="374">
        <f>'[2]Planned Vs Actual '!M36</f>
        <v>101.98</v>
      </c>
      <c r="J32" s="367"/>
    </row>
    <row r="33" spans="1:10" x14ac:dyDescent="0.3">
      <c r="A33" s="368">
        <v>30</v>
      </c>
      <c r="B33" s="369" t="s">
        <v>659</v>
      </c>
      <c r="C33" s="369" t="str">
        <f>'[2]Planned Vs Actual '!C37</f>
        <v>GF staircase concrete</v>
      </c>
      <c r="D33" s="371" t="str">
        <f>'[2]Planned Vs Actual '!F37</f>
        <v>CUM</v>
      </c>
      <c r="E33" s="372"/>
      <c r="F33" s="383">
        <f>'[2]Planned Vs Actual '!H37</f>
        <v>8.5299999999999994</v>
      </c>
      <c r="G33" s="373">
        <f>'[2]Planned Vs Actual '!K37</f>
        <v>0</v>
      </c>
      <c r="H33" s="373">
        <f>'[2]Planned Vs Actual '!L37</f>
        <v>0</v>
      </c>
      <c r="I33" s="374">
        <f>'[2]Planned Vs Actual '!M37</f>
        <v>8.52</v>
      </c>
      <c r="J33" s="367"/>
    </row>
    <row r="34" spans="1:10" x14ac:dyDescent="0.3">
      <c r="A34" s="368">
        <v>31</v>
      </c>
      <c r="B34" s="369" t="s">
        <v>659</v>
      </c>
      <c r="C34" s="381" t="str">
        <f>'[2]Planned Vs Actual '!C38</f>
        <v>GF lintel Concrete</v>
      </c>
      <c r="D34" s="371" t="str">
        <f>'[2]Planned Vs Actual '!F38</f>
        <v>CUM</v>
      </c>
      <c r="E34" s="373"/>
      <c r="F34" s="383">
        <f>'[2]Planned Vs Actual '!H38</f>
        <v>3.91</v>
      </c>
      <c r="G34" s="373">
        <f>'[2]Planned Vs Actual '!K38</f>
        <v>0</v>
      </c>
      <c r="H34" s="373">
        <f>'[2]Planned Vs Actual '!L38</f>
        <v>0</v>
      </c>
      <c r="I34" s="374">
        <f>'[2]Planned Vs Actual '!M38</f>
        <v>2</v>
      </c>
      <c r="J34" s="367"/>
    </row>
    <row r="35" spans="1:10" x14ac:dyDescent="0.3">
      <c r="A35" s="368">
        <v>32</v>
      </c>
      <c r="B35" s="369" t="s">
        <v>659</v>
      </c>
      <c r="C35" s="369" t="str">
        <f>'[2]Planned Vs Actual '!C39</f>
        <v>Brick masonary GF (230 mm)</v>
      </c>
      <c r="D35" s="371" t="str">
        <f>'[2]Planned Vs Actual '!F39</f>
        <v>CUM</v>
      </c>
      <c r="E35" s="373">
        <f>'[2]Planned Vs Actual '!G39</f>
        <v>80</v>
      </c>
      <c r="F35" s="383">
        <f>'[2]Planned Vs Actual '!H39</f>
        <v>73.48</v>
      </c>
      <c r="G35" s="373">
        <f>'[2]Planned Vs Actual '!K39</f>
        <v>20</v>
      </c>
      <c r="H35" s="373">
        <f>'[2]Planned Vs Actual '!L39</f>
        <v>7</v>
      </c>
      <c r="I35" s="374">
        <f>'[2]Planned Vs Actual '!M39</f>
        <v>43.86</v>
      </c>
      <c r="J35" s="367"/>
    </row>
    <row r="36" spans="1:10" x14ac:dyDescent="0.3">
      <c r="A36" s="368">
        <v>33</v>
      </c>
      <c r="B36" s="369" t="s">
        <v>659</v>
      </c>
      <c r="C36" s="369" t="str">
        <f>'[2]Planned Vs Actual '!C40</f>
        <v>Brick masonary GF (115 mm)</v>
      </c>
      <c r="D36" s="371" t="str">
        <f>'[2]Planned Vs Actual '!F40</f>
        <v>SMT</v>
      </c>
      <c r="E36" s="373">
        <f>'[2]Planned Vs Actual '!G40</f>
        <v>1170</v>
      </c>
      <c r="F36" s="383">
        <f>'[2]Planned Vs Actual '!H40</f>
        <v>768</v>
      </c>
      <c r="G36" s="373">
        <f>'[2]Planned Vs Actual '!K40</f>
        <v>100</v>
      </c>
      <c r="H36" s="373">
        <f>'[2]Planned Vs Actual '!L40</f>
        <v>10</v>
      </c>
      <c r="I36" s="374">
        <f>'[2]Planned Vs Actual '!M40</f>
        <v>356.26</v>
      </c>
      <c r="J36" s="367"/>
    </row>
    <row r="37" spans="1:10" x14ac:dyDescent="0.3">
      <c r="A37" s="368">
        <v>34</v>
      </c>
      <c r="B37" s="369" t="s">
        <v>659</v>
      </c>
      <c r="C37" s="369" t="str">
        <f>'[2]Planned Vs Actual '!C41</f>
        <v>Internal Plaster</v>
      </c>
      <c r="D37" s="371" t="str">
        <f>'[2]Planned Vs Actual '!F41</f>
        <v>SMT</v>
      </c>
      <c r="E37" s="373">
        <f>'[2]Planned Vs Actual '!G41</f>
        <v>1591.21</v>
      </c>
      <c r="F37" s="383">
        <f>'[2]Planned Vs Actual '!H41</f>
        <v>1733.79</v>
      </c>
      <c r="G37" s="373">
        <f>'[2]Planned Vs Actual '!K41</f>
        <v>600</v>
      </c>
      <c r="H37" s="373">
        <f>'[2]Planned Vs Actual '!L41</f>
        <v>301</v>
      </c>
      <c r="I37" s="374">
        <f>'[2]Planned Vs Actual '!M41</f>
        <v>663</v>
      </c>
      <c r="J37" s="367"/>
    </row>
    <row r="38" spans="1:10" x14ac:dyDescent="0.3">
      <c r="A38" s="368">
        <v>35</v>
      </c>
      <c r="B38" s="369" t="s">
        <v>659</v>
      </c>
      <c r="C38" s="369" t="str">
        <f>'[2]Planned Vs Actual '!C42</f>
        <v>Flooring</v>
      </c>
      <c r="D38" s="371" t="str">
        <f>'[2]Planned Vs Actual '!F42</f>
        <v>SMT</v>
      </c>
      <c r="E38" s="373">
        <f>'[2]Planned Vs Actual '!G42</f>
        <v>830</v>
      </c>
      <c r="F38" s="383">
        <f>'[2]Planned Vs Actual '!H42</f>
        <v>841.16</v>
      </c>
      <c r="G38" s="373">
        <f>'[2]Planned Vs Actual '!K42</f>
        <v>100</v>
      </c>
      <c r="H38" s="373">
        <f>'[2]Planned Vs Actual '!L42</f>
        <v>55.15</v>
      </c>
      <c r="I38" s="374">
        <f>'[2]Planned Vs Actual '!M42</f>
        <v>55.15</v>
      </c>
      <c r="J38" s="367"/>
    </row>
    <row r="39" spans="1:10" x14ac:dyDescent="0.3">
      <c r="A39" s="368">
        <v>36</v>
      </c>
      <c r="B39" s="369" t="s">
        <v>659</v>
      </c>
      <c r="C39" s="369" t="str">
        <f>'[2]Planned Vs Actual '!C43</f>
        <v>Skirting</v>
      </c>
      <c r="D39" s="371" t="str">
        <f>'[2]Planned Vs Actual '!F43</f>
        <v>RMT</v>
      </c>
      <c r="E39" s="373">
        <f>'[2]Planned Vs Actual '!G43</f>
        <v>1865</v>
      </c>
      <c r="F39" s="383">
        <f>'[2]Planned Vs Actual '!H43</f>
        <v>1859.2</v>
      </c>
      <c r="G39" s="373">
        <f>'[2]Planned Vs Actual '!K43</f>
        <v>100</v>
      </c>
      <c r="H39" s="373">
        <f>'[2]Planned Vs Actual '!L43</f>
        <v>45</v>
      </c>
      <c r="I39" s="374">
        <f>'[2]Planned Vs Actual '!M43</f>
        <v>45</v>
      </c>
      <c r="J39" s="367"/>
    </row>
    <row r="40" spans="1:10" ht="41.55" customHeight="1" x14ac:dyDescent="0.3">
      <c r="A40" s="368">
        <v>37</v>
      </c>
      <c r="B40" s="369" t="s">
        <v>659</v>
      </c>
      <c r="C40" s="369" t="str">
        <f>'[2]Planned Vs Actual '!C45</f>
        <v>GF to FF slab column shuttering</v>
      </c>
      <c r="D40" s="371" t="str">
        <f>'[2]Planned Vs Actual '!F45</f>
        <v>SQM</v>
      </c>
      <c r="E40" s="379">
        <f>'[2]Planned Vs Actual '!G45</f>
        <v>1680</v>
      </c>
      <c r="F40" s="383">
        <f>'[2]Planned Vs Actual '!H45</f>
        <v>439.91300000000001</v>
      </c>
      <c r="G40" s="373">
        <f>'[2]Planned Vs Actual '!K45</f>
        <v>100</v>
      </c>
      <c r="H40" s="373">
        <f>'[2]Planned Vs Actual '!L45</f>
        <v>21.32</v>
      </c>
      <c r="I40" s="374">
        <f>'[2]Planned Vs Actual '!M45</f>
        <v>336.32</v>
      </c>
      <c r="J40" s="367"/>
    </row>
    <row r="41" spans="1:10" x14ac:dyDescent="0.3">
      <c r="A41" s="368">
        <v>38</v>
      </c>
      <c r="B41" s="369" t="s">
        <v>659</v>
      </c>
      <c r="C41" s="369" t="str">
        <f>'[2]Planned Vs Actual '!C46</f>
        <v>FF beam shuttering</v>
      </c>
      <c r="D41" s="371" t="str">
        <f>'[2]Planned Vs Actual '!F46</f>
        <v>SQM</v>
      </c>
      <c r="E41" s="380"/>
      <c r="F41" s="383">
        <f>'[2]Planned Vs Actual '!H46</f>
        <v>700.59</v>
      </c>
      <c r="G41" s="373">
        <f>'[2]Planned Vs Actual '!K46</f>
        <v>0</v>
      </c>
      <c r="H41" s="373">
        <f>'[2]Planned Vs Actual '!L46</f>
        <v>0</v>
      </c>
      <c r="I41" s="374">
        <f>'[2]Planned Vs Actual '!M46</f>
        <v>701</v>
      </c>
      <c r="J41" s="367"/>
    </row>
    <row r="42" spans="1:10" x14ac:dyDescent="0.3">
      <c r="A42" s="368">
        <v>39</v>
      </c>
      <c r="B42" s="369" t="s">
        <v>659</v>
      </c>
      <c r="C42" s="369" t="str">
        <f>'[2]Planned Vs Actual '!C47</f>
        <v>FF Slab shuttering</v>
      </c>
      <c r="D42" s="371" t="str">
        <f>'[2]Planned Vs Actual '!F47</f>
        <v>SQM</v>
      </c>
      <c r="E42" s="380"/>
      <c r="F42" s="383">
        <f>'[2]Planned Vs Actual '!H47</f>
        <v>664.26</v>
      </c>
      <c r="G42" s="373">
        <f>'[2]Planned Vs Actual '!K47</f>
        <v>0</v>
      </c>
      <c r="H42" s="373">
        <f>'[2]Planned Vs Actual '!L47</f>
        <v>0</v>
      </c>
      <c r="I42" s="374">
        <f>'[2]Planned Vs Actual '!M47</f>
        <v>664.26</v>
      </c>
      <c r="J42" s="367"/>
    </row>
    <row r="43" spans="1:10" x14ac:dyDescent="0.3">
      <c r="A43" s="368">
        <v>40</v>
      </c>
      <c r="B43" s="369" t="s">
        <v>659</v>
      </c>
      <c r="C43" s="369" t="str">
        <f>'[2]Planned Vs Actual '!C48</f>
        <v>FF Staircase Shuttering</v>
      </c>
      <c r="D43" s="371" t="str">
        <f>'[2]Planned Vs Actual '!F48</f>
        <v>SQM</v>
      </c>
      <c r="E43" s="380"/>
      <c r="F43" s="383">
        <f>'[2]Planned Vs Actual '!H48</f>
        <v>57.39</v>
      </c>
      <c r="G43" s="373">
        <f>'[2]Planned Vs Actual '!K48</f>
        <v>0</v>
      </c>
      <c r="H43" s="373">
        <f>'[2]Planned Vs Actual '!L48</f>
        <v>0</v>
      </c>
      <c r="I43" s="374">
        <f>'[2]Planned Vs Actual '!M48</f>
        <v>57.39</v>
      </c>
      <c r="J43" s="367"/>
    </row>
    <row r="44" spans="1:10" x14ac:dyDescent="0.3">
      <c r="A44" s="368">
        <v>41</v>
      </c>
      <c r="B44" s="369" t="s">
        <v>659</v>
      </c>
      <c r="C44" s="369" t="str">
        <f>'[2]Planned Vs Actual '!C49</f>
        <v>FF lintel shuttering</v>
      </c>
      <c r="D44" s="371" t="str">
        <f>'[2]Planned Vs Actual '!F49</f>
        <v>SQM</v>
      </c>
      <c r="E44" s="372"/>
      <c r="F44" s="383">
        <f>'[2]Planned Vs Actual '!H49</f>
        <v>67.989999999999995</v>
      </c>
      <c r="G44" s="373">
        <f>'[2]Planned Vs Actual '!K49</f>
        <v>60</v>
      </c>
      <c r="H44" s="373">
        <f>'[2]Planned Vs Actual '!L49</f>
        <v>29</v>
      </c>
      <c r="I44" s="374">
        <f>'[2]Planned Vs Actual '!M49</f>
        <v>29</v>
      </c>
      <c r="J44" s="367"/>
    </row>
    <row r="45" spans="1:10" x14ac:dyDescent="0.3">
      <c r="A45" s="368">
        <v>42</v>
      </c>
      <c r="B45" s="369" t="s">
        <v>659</v>
      </c>
      <c r="C45" s="369" t="str">
        <f>'[2]Planned Vs Actual '!C50</f>
        <v>GF to FF slab column concrete</v>
      </c>
      <c r="D45" s="371" t="str">
        <f>'[2]Planned Vs Actual '!F50</f>
        <v>CUM</v>
      </c>
      <c r="E45" s="379">
        <f>'[2]Planned Vs Actual '!G50</f>
        <v>210</v>
      </c>
      <c r="F45" s="383">
        <f>'[2]Planned Vs Actual '!H50</f>
        <v>32.822000000000003</v>
      </c>
      <c r="G45" s="373">
        <f>'[2]Planned Vs Actual '!K50</f>
        <v>0</v>
      </c>
      <c r="H45" s="373">
        <f>'[2]Planned Vs Actual '!L50</f>
        <v>0</v>
      </c>
      <c r="I45" s="374">
        <f>'[2]Planned Vs Actual '!M50</f>
        <v>25.810000000000002</v>
      </c>
      <c r="J45" s="367"/>
    </row>
    <row r="46" spans="1:10" x14ac:dyDescent="0.3">
      <c r="A46" s="368">
        <v>43</v>
      </c>
      <c r="B46" s="369" t="s">
        <v>659</v>
      </c>
      <c r="C46" s="369" t="str">
        <f>'[2]Planned Vs Actual '!C52</f>
        <v>FF beam Concrete</v>
      </c>
      <c r="D46" s="371" t="str">
        <f>'[2]Planned Vs Actual '!F52</f>
        <v>CUM</v>
      </c>
      <c r="E46" s="380"/>
      <c r="F46" s="383">
        <f>'[2]Planned Vs Actual '!H52</f>
        <v>61.76</v>
      </c>
      <c r="G46" s="373">
        <f>'[2]Planned Vs Actual '!K52</f>
        <v>0</v>
      </c>
      <c r="H46" s="373">
        <f>'[2]Planned Vs Actual '!L51</f>
        <v>0</v>
      </c>
      <c r="I46" s="374">
        <f>'[2]Planned Vs Actual '!M52</f>
        <v>61.76</v>
      </c>
      <c r="J46" s="367"/>
    </row>
    <row r="47" spans="1:10" x14ac:dyDescent="0.3">
      <c r="A47" s="368">
        <v>44</v>
      </c>
      <c r="B47" s="386" t="s">
        <v>659</v>
      </c>
      <c r="C47" s="386" t="str">
        <f>'[2]Planned Vs Actual '!C53</f>
        <v>FF Slab Concrete</v>
      </c>
      <c r="D47" s="387" t="str">
        <f>'[2]Planned Vs Actual '!F53</f>
        <v>CUM</v>
      </c>
      <c r="E47" s="380"/>
      <c r="F47" s="388">
        <f>'[2]Planned Vs Actual '!H53</f>
        <v>101.99</v>
      </c>
      <c r="G47" s="389">
        <f>'[2]Planned Vs Actual '!K53</f>
        <v>0</v>
      </c>
      <c r="H47" s="373">
        <f>'[2]Planned Vs Actual '!L52</f>
        <v>0</v>
      </c>
      <c r="I47" s="390">
        <f>'[2]Planned Vs Actual '!M53</f>
        <v>101.99</v>
      </c>
      <c r="J47" s="367"/>
    </row>
    <row r="48" spans="1:10" x14ac:dyDescent="0.3">
      <c r="A48" s="368">
        <v>45</v>
      </c>
      <c r="B48" s="386" t="s">
        <v>659</v>
      </c>
      <c r="C48" s="391" t="str">
        <f>'[2]Planned Vs Actual '!C51</f>
        <v>FF Staircase Concrete</v>
      </c>
      <c r="D48" s="387" t="str">
        <f>'[2]Planned Vs Actual '!F51</f>
        <v>CUM</v>
      </c>
      <c r="E48" s="380"/>
      <c r="F48" s="388">
        <f>'[2]Planned Vs Actual '!H51</f>
        <v>8.5299999999999994</v>
      </c>
      <c r="G48" s="389">
        <f>'[2]Planned Vs Actual '!K51</f>
        <v>0</v>
      </c>
      <c r="H48" s="373">
        <f>'[2]Planned Vs Actual '!L53</f>
        <v>0</v>
      </c>
      <c r="I48" s="390">
        <f>'[2]Planned Vs Actual '!M51</f>
        <v>8.5299999999999994</v>
      </c>
      <c r="J48" s="367"/>
    </row>
    <row r="49" spans="1:10" x14ac:dyDescent="0.3">
      <c r="A49" s="368">
        <v>46</v>
      </c>
      <c r="B49" s="386" t="s">
        <v>659</v>
      </c>
      <c r="C49" s="391" t="str">
        <f>'[2]Planned Vs Actual '!C54</f>
        <v>FF lintel Concrete</v>
      </c>
      <c r="D49" s="387" t="str">
        <f>'[2]Planned Vs Actual '!F54</f>
        <v>CUM</v>
      </c>
      <c r="E49" s="372"/>
      <c r="F49" s="388">
        <f>'[2]Planned Vs Actual '!H54</f>
        <v>3.91</v>
      </c>
      <c r="G49" s="388">
        <f>'[2]Planned Vs Actual '!I54</f>
        <v>0</v>
      </c>
      <c r="H49" s="373">
        <f>'[2]Planned Vs Actual '!L54</f>
        <v>0</v>
      </c>
      <c r="I49" s="392">
        <f>'[2]Planned Vs Actual '!K54</f>
        <v>0</v>
      </c>
      <c r="J49" s="367"/>
    </row>
    <row r="50" spans="1:10" x14ac:dyDescent="0.3">
      <c r="A50" s="368">
        <v>47</v>
      </c>
      <c r="B50" s="386" t="s">
        <v>659</v>
      </c>
      <c r="C50" s="391" t="str">
        <f>'[2]Planned Vs Actual '!C55</f>
        <v>Brick masonary FF (230 mm)</v>
      </c>
      <c r="D50" s="387" t="str">
        <f>'[2]Planned Vs Actual '!F55</f>
        <v>CUM</v>
      </c>
      <c r="E50" s="393">
        <f>'[2]Planned Vs Actual '!G55</f>
        <v>80</v>
      </c>
      <c r="F50" s="388">
        <f>'[2]Planned Vs Actual '!H55</f>
        <v>73.48</v>
      </c>
      <c r="G50" s="388">
        <f>'[2]Planned Vs Actual '!I55</f>
        <v>0</v>
      </c>
      <c r="H50" s="373">
        <f>'[2]Planned Vs Actual '!L55</f>
        <v>28.630000000000003</v>
      </c>
      <c r="I50" s="392">
        <f>'[2]Planned Vs Actual '!K55</f>
        <v>20</v>
      </c>
      <c r="J50" s="367"/>
    </row>
    <row r="51" spans="1:10" x14ac:dyDescent="0.3">
      <c r="A51" s="368">
        <v>48</v>
      </c>
      <c r="B51" s="386" t="s">
        <v>659</v>
      </c>
      <c r="C51" s="391" t="str">
        <f>'[2]Planned Vs Actual '!C56</f>
        <v>Brick masonary FF (115 mm)</v>
      </c>
      <c r="D51" s="387" t="str">
        <f>'[2]Planned Vs Actual '!F56</f>
        <v>SMT</v>
      </c>
      <c r="E51" s="393">
        <f>'[2]Planned Vs Actual '!G56</f>
        <v>1170</v>
      </c>
      <c r="F51" s="388">
        <f>'[2]Planned Vs Actual '!H56</f>
        <v>768</v>
      </c>
      <c r="G51" s="388">
        <f>'[2]Planned Vs Actual '!I56</f>
        <v>0</v>
      </c>
      <c r="H51" s="373">
        <f>'[2]Planned Vs Actual '!L56</f>
        <v>174.54999999999998</v>
      </c>
      <c r="I51" s="392">
        <f>'[2]Planned Vs Actual '!K56</f>
        <v>300</v>
      </c>
      <c r="J51" s="367"/>
    </row>
    <row r="52" spans="1:10" x14ac:dyDescent="0.3">
      <c r="A52" s="368">
        <v>49</v>
      </c>
      <c r="B52" s="386" t="s">
        <v>659</v>
      </c>
      <c r="C52" s="391" t="str">
        <f>'[2]Planned Vs Actual '!C57</f>
        <v>Internal Plaster</v>
      </c>
      <c r="D52" s="387" t="str">
        <f>'[2]Planned Vs Actual '!F57</f>
        <v>SMT</v>
      </c>
      <c r="E52" s="393">
        <f>'[2]Planned Vs Actual '!G57</f>
        <v>1591.21</v>
      </c>
      <c r="F52" s="388">
        <f>'[2]Planned Vs Actual '!H57</f>
        <v>1733.79</v>
      </c>
      <c r="G52" s="388">
        <f>'[2]Planned Vs Actual '!I57</f>
        <v>0</v>
      </c>
      <c r="H52" s="373">
        <f>'[2]Planned Vs Actual '!L57</f>
        <v>0</v>
      </c>
      <c r="I52" s="392">
        <f>'[2]Planned Vs Actual '!K57</f>
        <v>0</v>
      </c>
      <c r="J52" s="367"/>
    </row>
    <row r="53" spans="1:10" x14ac:dyDescent="0.3">
      <c r="A53" s="368">
        <v>50</v>
      </c>
      <c r="B53" s="386" t="s">
        <v>659</v>
      </c>
      <c r="C53" s="391" t="str">
        <f>'[2]Planned Vs Actual '!C58</f>
        <v>Flooring</v>
      </c>
      <c r="D53" s="387" t="str">
        <f>'[2]Planned Vs Actual '!F58</f>
        <v>SMT</v>
      </c>
      <c r="E53" s="393">
        <f>'[2]Planned Vs Actual '!G58</f>
        <v>830</v>
      </c>
      <c r="F53" s="388">
        <f>'[2]Planned Vs Actual '!H58</f>
        <v>841.16</v>
      </c>
      <c r="G53" s="388">
        <f>'[2]Planned Vs Actual '!I58</f>
        <v>0</v>
      </c>
      <c r="H53" s="373">
        <f>'[2]Planned Vs Actual '!L58</f>
        <v>0</v>
      </c>
      <c r="I53" s="392">
        <f>'[2]Planned Vs Actual '!K58</f>
        <v>0</v>
      </c>
      <c r="J53" s="367"/>
    </row>
    <row r="54" spans="1:10" x14ac:dyDescent="0.3">
      <c r="A54" s="368">
        <v>51</v>
      </c>
      <c r="B54" s="386" t="s">
        <v>659</v>
      </c>
      <c r="C54" s="391" t="str">
        <f>'[2]Planned Vs Actual '!C59</f>
        <v>Skirting</v>
      </c>
      <c r="D54" s="387" t="str">
        <f>'[2]Planned Vs Actual '!F59</f>
        <v>RMT</v>
      </c>
      <c r="E54" s="393">
        <f>'[2]Planned Vs Actual '!G59</f>
        <v>1865</v>
      </c>
      <c r="F54" s="388">
        <f>'[2]Planned Vs Actual '!H59</f>
        <v>1859.2</v>
      </c>
      <c r="G54" s="388">
        <f>'[2]Planned Vs Actual '!I59</f>
        <v>0</v>
      </c>
      <c r="H54" s="373">
        <f>'[2]Planned Vs Actual '!L59</f>
        <v>0</v>
      </c>
      <c r="I54" s="392">
        <f>'[2]Planned Vs Actual '!K59</f>
        <v>0</v>
      </c>
      <c r="J54" s="367"/>
    </row>
    <row r="55" spans="1:10" ht="53.55" customHeight="1" x14ac:dyDescent="0.3">
      <c r="A55" s="368">
        <v>52</v>
      </c>
      <c r="B55" s="369" t="s">
        <v>659</v>
      </c>
      <c r="C55" s="381" t="str">
        <f>'[2]Planned Vs Actual '!C61</f>
        <v>FF to SF slab column shuttering</v>
      </c>
      <c r="D55" s="371" t="str">
        <f>'[2]Planned Vs Actual '!F61</f>
        <v>SQM</v>
      </c>
      <c r="E55" s="379">
        <f>'[2]Planned Vs Actual '!G61</f>
        <v>1680</v>
      </c>
      <c r="F55" s="383">
        <f>'[2]Planned Vs Actual '!H61</f>
        <v>439.91300000000001</v>
      </c>
      <c r="G55" s="373">
        <f>'[2]Planned Vs Actual '!K53</f>
        <v>0</v>
      </c>
      <c r="H55" s="373">
        <f>'[2]Planned Vs Actual '!L61</f>
        <v>0</v>
      </c>
      <c r="I55" s="374">
        <f>'[2]Planned Vs Actual '!M53</f>
        <v>101.99</v>
      </c>
      <c r="J55" s="367"/>
    </row>
    <row r="56" spans="1:10" ht="43.5" customHeight="1" x14ac:dyDescent="0.3">
      <c r="A56" s="368">
        <v>53</v>
      </c>
      <c r="B56" s="369" t="s">
        <v>659</v>
      </c>
      <c r="C56" s="381" t="str">
        <f>'[2]Planned Vs Actual '!C62</f>
        <v>SF Staircase Shuttering</v>
      </c>
      <c r="D56" s="371" t="str">
        <f>'[2]Planned Vs Actual '!F62</f>
        <v>SQM</v>
      </c>
      <c r="E56" s="380"/>
      <c r="F56" s="383">
        <f>'[2]Planned Vs Actual '!H62</f>
        <v>57.39</v>
      </c>
      <c r="G56" s="373">
        <f>'[2]Planned Vs Actual '!K61</f>
        <v>0</v>
      </c>
      <c r="H56" s="373">
        <f>'[2]Planned Vs Actual '!L62</f>
        <v>0</v>
      </c>
      <c r="I56" s="374">
        <f>'[2]Planned Vs Actual '!M61</f>
        <v>310.94</v>
      </c>
      <c r="J56" s="367"/>
    </row>
    <row r="57" spans="1:10" ht="43.95" customHeight="1" x14ac:dyDescent="0.3">
      <c r="A57" s="368">
        <v>54</v>
      </c>
      <c r="B57" s="369" t="s">
        <v>659</v>
      </c>
      <c r="C57" s="381" t="str">
        <f>'[2]Planned Vs Actual '!C63</f>
        <v>SF beam shuttering</v>
      </c>
      <c r="D57" s="371" t="str">
        <f>'[2]Planned Vs Actual '!F63</f>
        <v>SQM</v>
      </c>
      <c r="E57" s="380"/>
      <c r="F57" s="383">
        <f>'[2]Planned Vs Actual '!H63</f>
        <v>700.59</v>
      </c>
      <c r="G57" s="373">
        <f>'[2]Planned Vs Actual '!K62</f>
        <v>0</v>
      </c>
      <c r="H57" s="373">
        <f>'[2]Planned Vs Actual '!L63</f>
        <v>0</v>
      </c>
      <c r="I57" s="374">
        <f>'[2]Planned Vs Actual '!M62</f>
        <v>57.39</v>
      </c>
      <c r="J57" s="367"/>
    </row>
    <row r="58" spans="1:10" x14ac:dyDescent="0.3">
      <c r="A58" s="368">
        <v>55</v>
      </c>
      <c r="B58" s="369" t="s">
        <v>659</v>
      </c>
      <c r="C58" s="381" t="str">
        <f>'[2]Planned Vs Actual '!C64</f>
        <v>SF Slab shuttering</v>
      </c>
      <c r="D58" s="371" t="str">
        <f>'[2]Planned Vs Actual '!F64</f>
        <v>SQM</v>
      </c>
      <c r="E58" s="372"/>
      <c r="F58" s="383">
        <f>'[2]Planned Vs Actual '!H64</f>
        <v>664.26</v>
      </c>
      <c r="G58" s="373">
        <f>'[2]Planned Vs Actual '!K62</f>
        <v>0</v>
      </c>
      <c r="H58" s="373">
        <f>'[2]Planned Vs Actual '!L64</f>
        <v>0</v>
      </c>
      <c r="I58" s="374">
        <f>'[2]Planned Vs Actual '!M62</f>
        <v>57.39</v>
      </c>
      <c r="J58" s="367"/>
    </row>
    <row r="59" spans="1:10" ht="47.55" customHeight="1" x14ac:dyDescent="0.3">
      <c r="A59" s="368">
        <v>56</v>
      </c>
      <c r="B59" s="369" t="s">
        <v>659</v>
      </c>
      <c r="C59" s="381" t="str">
        <f>'[2]Planned Vs Actual '!C65</f>
        <v>FF to SF slab column concrete</v>
      </c>
      <c r="D59" s="371" t="str">
        <f>'[2]Planned Vs Actual '!F65</f>
        <v>CUM</v>
      </c>
      <c r="E59" s="379">
        <f>'[2]Planned Vs Actual '!G65</f>
        <v>210</v>
      </c>
      <c r="F59" s="383">
        <f>'[2]Planned Vs Actual '!H65</f>
        <v>32.822000000000003</v>
      </c>
      <c r="G59" s="373">
        <f>'[2]Planned Vs Actual '!K65</f>
        <v>0</v>
      </c>
      <c r="H59" s="373">
        <f>'[2]Planned Vs Actual '!L65</f>
        <v>0</v>
      </c>
      <c r="I59" s="374">
        <f>'[2]Planned Vs Actual '!M65</f>
        <v>25.414999999999999</v>
      </c>
      <c r="J59" s="367"/>
    </row>
    <row r="60" spans="1:10" ht="51" customHeight="1" x14ac:dyDescent="0.3">
      <c r="A60" s="368">
        <v>57</v>
      </c>
      <c r="B60" s="369" t="s">
        <v>659</v>
      </c>
      <c r="C60" s="381" t="str">
        <f>'[2]Planned Vs Actual '!C66</f>
        <v>SF Staircase Concrete</v>
      </c>
      <c r="D60" s="371" t="str">
        <f>'[2]Planned Vs Actual '!F66</f>
        <v>CUM</v>
      </c>
      <c r="E60" s="380"/>
      <c r="F60" s="383">
        <f>'[2]Planned Vs Actual '!H66</f>
        <v>8.5299999999999994</v>
      </c>
      <c r="G60" s="373">
        <f>'[2]Planned Vs Actual '!K66</f>
        <v>0</v>
      </c>
      <c r="H60" s="373">
        <f>'[2]Planned Vs Actual '!L66</f>
        <v>0</v>
      </c>
      <c r="I60" s="374">
        <f>'[2]Planned Vs Actual '!M66</f>
        <v>8.5299999999999994</v>
      </c>
      <c r="J60" s="367"/>
    </row>
    <row r="61" spans="1:10" x14ac:dyDescent="0.3">
      <c r="A61" s="368">
        <v>58</v>
      </c>
      <c r="B61" s="369" t="s">
        <v>659</v>
      </c>
      <c r="C61" s="381" t="str">
        <f>'[2]Planned Vs Actual '!C67</f>
        <v>SF beam Concrete</v>
      </c>
      <c r="D61" s="371" t="str">
        <f>'[2]Planned Vs Actual '!F65</f>
        <v>CUM</v>
      </c>
      <c r="E61" s="380"/>
      <c r="F61" s="383">
        <f>'[2]Planned Vs Actual '!H67</f>
        <v>61.76</v>
      </c>
      <c r="G61" s="373">
        <f>'[2]Planned Vs Actual '!K67</f>
        <v>0</v>
      </c>
      <c r="H61" s="373">
        <f>'[2]Planned Vs Actual '!L67</f>
        <v>0</v>
      </c>
      <c r="I61" s="374">
        <f>'[2]Planned Vs Actual '!M67</f>
        <v>61.76</v>
      </c>
      <c r="J61" s="367"/>
    </row>
    <row r="62" spans="1:10" x14ac:dyDescent="0.3">
      <c r="A62" s="368">
        <v>59</v>
      </c>
      <c r="B62" s="386" t="s">
        <v>659</v>
      </c>
      <c r="C62" s="391" t="str">
        <f>'[2]Planned Vs Actual '!C68</f>
        <v>SF Slab Concrete</v>
      </c>
      <c r="D62" s="387" t="str">
        <f>'[2]Planned Vs Actual '!F67</f>
        <v>CUM</v>
      </c>
      <c r="E62" s="372"/>
      <c r="F62" s="388">
        <f>'[2]Planned Vs Actual '!H68</f>
        <v>101.99</v>
      </c>
      <c r="G62" s="389">
        <f>'[2]Planned Vs Actual '!K68</f>
        <v>0</v>
      </c>
      <c r="H62" s="373">
        <f>'[2]Planned Vs Actual '!L68</f>
        <v>0</v>
      </c>
      <c r="I62" s="390">
        <f>'[2]Planned Vs Actual '!M68</f>
        <v>101.99</v>
      </c>
      <c r="J62" s="367"/>
    </row>
    <row r="63" spans="1:10" x14ac:dyDescent="0.3">
      <c r="A63" s="368">
        <v>60</v>
      </c>
      <c r="B63" s="369" t="s">
        <v>659</v>
      </c>
      <c r="C63" s="381" t="str">
        <f>'[2]Planned Vs Actual '!C70</f>
        <v>SF to TF slab column shuttering</v>
      </c>
      <c r="D63" s="371" t="str">
        <f>'[2]Planned Vs Actual '!F70</f>
        <v>SQM</v>
      </c>
      <c r="E63" s="379">
        <v>1680</v>
      </c>
      <c r="F63" s="383">
        <f>'[2]Planned Vs Actual '!H70</f>
        <v>439.91300000000001</v>
      </c>
      <c r="G63" s="373">
        <f>'[2]Planned Vs Actual '!K70</f>
        <v>212</v>
      </c>
      <c r="H63" s="373">
        <f>'[2]Planned Vs Actual '!L70</f>
        <v>188.42</v>
      </c>
      <c r="I63" s="374">
        <f>'[2]Planned Vs Actual '!M70</f>
        <v>286.41999999999996</v>
      </c>
      <c r="J63" s="367"/>
    </row>
    <row r="64" spans="1:10" x14ac:dyDescent="0.3">
      <c r="A64" s="368">
        <v>61</v>
      </c>
      <c r="B64" s="369" t="s">
        <v>659</v>
      </c>
      <c r="C64" s="381" t="str">
        <f>'[2]Planned Vs Actual '!C71</f>
        <v>TF Staircase Shuttering</v>
      </c>
      <c r="D64" s="371" t="str">
        <f>'[2]Planned Vs Actual '!F71</f>
        <v>SQM</v>
      </c>
      <c r="E64" s="380"/>
      <c r="F64" s="383">
        <f>'[2]Planned Vs Actual '!H71</f>
        <v>57.39</v>
      </c>
      <c r="G64" s="373">
        <f>'[2]Planned Vs Actual '!K71</f>
        <v>30</v>
      </c>
      <c r="H64" s="373">
        <f>'[2]Planned Vs Actual '!L71</f>
        <v>30</v>
      </c>
      <c r="I64" s="374">
        <f>'[2]Planned Vs Actual '!M71</f>
        <v>30</v>
      </c>
      <c r="J64" s="367"/>
    </row>
    <row r="65" spans="1:10" x14ac:dyDescent="0.3">
      <c r="A65" s="368">
        <v>62</v>
      </c>
      <c r="B65" s="369" t="s">
        <v>659</v>
      </c>
      <c r="C65" s="381" t="str">
        <f>'[2]Planned Vs Actual '!C72</f>
        <v>TF beam shuttering</v>
      </c>
      <c r="D65" s="371" t="str">
        <f>'[2]Planned Vs Actual '!F72</f>
        <v>SQM</v>
      </c>
      <c r="E65" s="380"/>
      <c r="F65" s="383">
        <f>'[2]Planned Vs Actual '!H72</f>
        <v>700.59</v>
      </c>
      <c r="G65" s="373">
        <f>'[2]Planned Vs Actual '!K72</f>
        <v>400</v>
      </c>
      <c r="H65" s="373">
        <f>'[2]Planned Vs Actual '!L72</f>
        <v>350</v>
      </c>
      <c r="I65" s="374">
        <f>'[2]Planned Vs Actual '!M72</f>
        <v>350</v>
      </c>
      <c r="J65" s="367"/>
    </row>
    <row r="66" spans="1:10" x14ac:dyDescent="0.3">
      <c r="A66" s="368">
        <v>63</v>
      </c>
      <c r="B66" s="369" t="s">
        <v>659</v>
      </c>
      <c r="C66" s="381" t="str">
        <f>'[2]Planned Vs Actual '!C73</f>
        <v>TF Slab shuttering</v>
      </c>
      <c r="D66" s="371" t="str">
        <f>'[2]Planned Vs Actual '!F73</f>
        <v>SQM</v>
      </c>
      <c r="E66" s="372"/>
      <c r="F66" s="383">
        <f>'[2]Planned Vs Actual '!H73</f>
        <v>664.26</v>
      </c>
      <c r="G66" s="373">
        <f>'[2]Planned Vs Actual '!K73</f>
        <v>400</v>
      </c>
      <c r="H66" s="373">
        <f>'[2]Planned Vs Actual '!L73</f>
        <v>180</v>
      </c>
      <c r="I66" s="374">
        <f>'[2]Planned Vs Actual '!M73</f>
        <v>180</v>
      </c>
      <c r="J66" s="367"/>
    </row>
    <row r="67" spans="1:10" x14ac:dyDescent="0.3">
      <c r="A67" s="368">
        <v>64</v>
      </c>
      <c r="B67" s="369" t="s">
        <v>659</v>
      </c>
      <c r="C67" s="381" t="str">
        <f>'[2]Planned Vs Actual '!C74</f>
        <v>SF to TF slab column concrete</v>
      </c>
      <c r="D67" s="371" t="str">
        <f>'[2]Planned Vs Actual '!F74</f>
        <v>CUM</v>
      </c>
      <c r="E67" s="379">
        <v>210</v>
      </c>
      <c r="F67" s="383">
        <f>'[2]Planned Vs Actual '!H74</f>
        <v>32.822000000000003</v>
      </c>
      <c r="G67" s="373">
        <f>'[2]Planned Vs Actual '!K74</f>
        <v>30</v>
      </c>
      <c r="H67" s="373">
        <f>'[2]Planned Vs Actual '!L74</f>
        <v>18</v>
      </c>
      <c r="I67" s="374">
        <f>'[2]Planned Vs Actual '!M74</f>
        <v>20.58</v>
      </c>
      <c r="J67" s="367"/>
    </row>
    <row r="68" spans="1:10" x14ac:dyDescent="0.3">
      <c r="A68" s="368">
        <v>65</v>
      </c>
      <c r="B68" s="369" t="s">
        <v>659</v>
      </c>
      <c r="C68" s="381" t="str">
        <f>'[2]Planned Vs Actual '!C75</f>
        <v>TF Staircase Concrete</v>
      </c>
      <c r="D68" s="371" t="str">
        <f>'[2]Planned Vs Actual '!F75</f>
        <v>CUM</v>
      </c>
      <c r="E68" s="380"/>
      <c r="F68" s="383">
        <f>'[2]Planned Vs Actual '!H75</f>
        <v>8.5299999999999994</v>
      </c>
      <c r="G68" s="373">
        <f>'[2]Planned Vs Actual '!K75</f>
        <v>5</v>
      </c>
      <c r="H68" s="373">
        <f>'[2]Planned Vs Actual '!L75</f>
        <v>2.1</v>
      </c>
      <c r="I68" s="374">
        <f>'[2]Planned Vs Actual '!M75</f>
        <v>2.1</v>
      </c>
      <c r="J68" s="367"/>
    </row>
    <row r="69" spans="1:10" x14ac:dyDescent="0.3">
      <c r="A69" s="368">
        <v>66</v>
      </c>
      <c r="B69" s="369" t="s">
        <v>659</v>
      </c>
      <c r="C69" s="381" t="str">
        <f>'[2]Planned Vs Actual '!C76</f>
        <v>TF beam Concrete</v>
      </c>
      <c r="D69" s="371" t="str">
        <f>'[2]Planned Vs Actual '!F76</f>
        <v>CUM</v>
      </c>
      <c r="E69" s="380"/>
      <c r="F69" s="383">
        <f>'[2]Planned Vs Actual '!H76</f>
        <v>61.76</v>
      </c>
      <c r="G69" s="373">
        <f>'[2]Planned Vs Actual '!K76</f>
        <v>0</v>
      </c>
      <c r="H69" s="373">
        <f>'[2]Planned Vs Actual '!L76</f>
        <v>0</v>
      </c>
      <c r="I69" s="374">
        <f>'[2]Planned Vs Actual '!M76</f>
        <v>0</v>
      </c>
      <c r="J69" s="367"/>
    </row>
    <row r="70" spans="1:10" ht="16.2" thickBot="1" x14ac:dyDescent="0.35">
      <c r="A70" s="394">
        <v>67</v>
      </c>
      <c r="B70" s="395" t="s">
        <v>659</v>
      </c>
      <c r="C70" s="396" t="str">
        <f>'[2]Planned Vs Actual '!C77</f>
        <v>TF Slab Concrete</v>
      </c>
      <c r="D70" s="397" t="str">
        <f>'[2]Planned Vs Actual '!F77</f>
        <v>CUM</v>
      </c>
      <c r="E70" s="398"/>
      <c r="F70" s="399">
        <f>'[2]Planned Vs Actual '!H77</f>
        <v>101.99</v>
      </c>
      <c r="G70" s="400">
        <f>'[2]Planned Vs Actual '!K77</f>
        <v>0</v>
      </c>
      <c r="H70" s="400">
        <f>'[2]Planned Vs Actual '!L77</f>
        <v>0</v>
      </c>
      <c r="I70" s="401">
        <f>'[2]Planned Vs Actual '!M77</f>
        <v>0</v>
      </c>
      <c r="J70" s="367"/>
    </row>
    <row r="78" spans="1:10" x14ac:dyDescent="0.3">
      <c r="A78" s="118" t="s">
        <v>574</v>
      </c>
      <c r="B78" s="122" t="s">
        <v>662</v>
      </c>
    </row>
    <row r="79" spans="1:10" x14ac:dyDescent="0.3">
      <c r="A79" s="118" t="s">
        <v>575</v>
      </c>
      <c r="B79" s="122" t="s">
        <v>662</v>
      </c>
    </row>
    <row r="81" spans="1:8" x14ac:dyDescent="0.3">
      <c r="A81" s="118" t="s">
        <v>566</v>
      </c>
      <c r="B81" s="118" t="s">
        <v>663</v>
      </c>
      <c r="C81" s="122" t="s">
        <v>664</v>
      </c>
      <c r="D81" s="122" t="s">
        <v>665</v>
      </c>
      <c r="F81" s="118" t="s">
        <v>666</v>
      </c>
      <c r="G81" s="118" t="s">
        <v>663</v>
      </c>
      <c r="H81" s="122" t="s">
        <v>664</v>
      </c>
    </row>
    <row r="82" spans="1:8" x14ac:dyDescent="0.3">
      <c r="A82" s="122" t="s">
        <v>620</v>
      </c>
      <c r="B82" s="122">
        <v>100</v>
      </c>
      <c r="C82" s="402">
        <v>10</v>
      </c>
      <c r="D82" s="122">
        <v>356.26</v>
      </c>
      <c r="F82" s="119" t="s">
        <v>583</v>
      </c>
      <c r="G82" s="122">
        <v>54.997999999999998</v>
      </c>
      <c r="H82" s="402">
        <v>55.730000000000004</v>
      </c>
    </row>
    <row r="83" spans="1:8" x14ac:dyDescent="0.3">
      <c r="A83" s="122" t="s">
        <v>619</v>
      </c>
      <c r="B83" s="122">
        <v>20</v>
      </c>
      <c r="C83" s="402">
        <v>7</v>
      </c>
      <c r="D83" s="122">
        <v>43.86</v>
      </c>
      <c r="F83" s="119" t="s">
        <v>623</v>
      </c>
      <c r="G83" s="122">
        <v>100</v>
      </c>
      <c r="H83" s="402">
        <v>45</v>
      </c>
    </row>
    <row r="84" spans="1:8" x14ac:dyDescent="0.3">
      <c r="A84" s="122" t="s">
        <v>629</v>
      </c>
      <c r="B84" s="122">
        <v>60</v>
      </c>
      <c r="C84" s="402">
        <v>29</v>
      </c>
      <c r="D84" s="122">
        <v>29</v>
      </c>
      <c r="F84" s="119" t="s">
        <v>590</v>
      </c>
      <c r="G84" s="122">
        <v>832.79</v>
      </c>
      <c r="H84" s="402">
        <v>555.69999999999993</v>
      </c>
    </row>
    <row r="85" spans="1:8" x14ac:dyDescent="0.3">
      <c r="A85" s="122" t="s">
        <v>449</v>
      </c>
      <c r="B85" s="122">
        <v>100</v>
      </c>
      <c r="C85" s="402">
        <v>55.15</v>
      </c>
      <c r="D85" s="122">
        <v>55.15</v>
      </c>
      <c r="F85" s="119" t="s">
        <v>609</v>
      </c>
      <c r="G85" s="122">
        <v>1202</v>
      </c>
      <c r="H85" s="402">
        <v>798.74</v>
      </c>
    </row>
    <row r="86" spans="1:8" x14ac:dyDescent="0.3">
      <c r="A86" s="122" t="s">
        <v>625</v>
      </c>
      <c r="B86" s="122">
        <v>100</v>
      </c>
      <c r="C86" s="402">
        <v>21.32</v>
      </c>
      <c r="D86" s="122">
        <v>336.32</v>
      </c>
      <c r="F86" s="119" t="s">
        <v>667</v>
      </c>
      <c r="G86" s="122">
        <v>2189.788</v>
      </c>
      <c r="H86" s="402">
        <v>1455.17</v>
      </c>
    </row>
    <row r="87" spans="1:8" x14ac:dyDescent="0.3">
      <c r="A87" s="122" t="s">
        <v>621</v>
      </c>
      <c r="B87" s="122">
        <v>600</v>
      </c>
      <c r="C87" s="402">
        <v>301</v>
      </c>
      <c r="D87" s="122">
        <v>663</v>
      </c>
    </row>
    <row r="88" spans="1:8" x14ac:dyDescent="0.3">
      <c r="A88" s="122" t="s">
        <v>601</v>
      </c>
      <c r="B88" s="122">
        <v>32.790000000000006</v>
      </c>
      <c r="C88" s="402">
        <v>15</v>
      </c>
      <c r="D88" s="122">
        <v>74.5</v>
      </c>
    </row>
    <row r="89" spans="1:8" x14ac:dyDescent="0.3">
      <c r="A89" s="122" t="s">
        <v>651</v>
      </c>
      <c r="B89" s="122">
        <v>30</v>
      </c>
      <c r="C89" s="402">
        <v>18</v>
      </c>
      <c r="D89" s="122">
        <v>20.58</v>
      </c>
    </row>
    <row r="90" spans="1:8" x14ac:dyDescent="0.3">
      <c r="A90" s="122" t="s">
        <v>647</v>
      </c>
      <c r="B90" s="122">
        <v>212</v>
      </c>
      <c r="C90" s="402">
        <v>188.42</v>
      </c>
      <c r="D90" s="122">
        <v>286.41999999999996</v>
      </c>
    </row>
    <row r="91" spans="1:8" x14ac:dyDescent="0.3">
      <c r="A91" s="122" t="s">
        <v>622</v>
      </c>
      <c r="B91" s="122">
        <v>100</v>
      </c>
      <c r="C91" s="402">
        <v>45</v>
      </c>
      <c r="D91" s="122">
        <v>45</v>
      </c>
    </row>
    <row r="92" spans="1:8" x14ac:dyDescent="0.3">
      <c r="A92" s="122" t="s">
        <v>649</v>
      </c>
      <c r="B92" s="122">
        <v>400</v>
      </c>
      <c r="C92" s="402">
        <v>350</v>
      </c>
      <c r="D92" s="122">
        <v>350</v>
      </c>
    </row>
    <row r="93" spans="1:8" x14ac:dyDescent="0.3">
      <c r="A93" s="122" t="s">
        <v>650</v>
      </c>
      <c r="B93" s="122">
        <v>400</v>
      </c>
      <c r="C93" s="402">
        <v>180</v>
      </c>
      <c r="D93" s="122">
        <v>180</v>
      </c>
    </row>
    <row r="94" spans="1:8" x14ac:dyDescent="0.3">
      <c r="A94" s="122" t="s">
        <v>652</v>
      </c>
      <c r="B94" s="122">
        <v>5</v>
      </c>
      <c r="C94" s="402">
        <v>2.1</v>
      </c>
      <c r="D94" s="122">
        <v>2.1</v>
      </c>
    </row>
    <row r="95" spans="1:8" x14ac:dyDescent="0.3">
      <c r="A95" s="122" t="s">
        <v>648</v>
      </c>
      <c r="B95" s="122">
        <v>30</v>
      </c>
      <c r="C95" s="402">
        <v>30</v>
      </c>
      <c r="D95" s="122">
        <v>30</v>
      </c>
    </row>
    <row r="96" spans="1:8" x14ac:dyDescent="0.3">
      <c r="A96" s="122" t="s">
        <v>667</v>
      </c>
      <c r="B96" s="122">
        <v>2189.79</v>
      </c>
      <c r="C96" s="402">
        <v>1251.9899999999998</v>
      </c>
      <c r="D96" s="122">
        <v>2472.1899999999996</v>
      </c>
    </row>
    <row r="97" spans="1:8" x14ac:dyDescent="0.3">
      <c r="A97" s="122"/>
      <c r="B97" s="122"/>
      <c r="C97" s="122"/>
      <c r="D97" s="122"/>
    </row>
    <row r="98" spans="1:8" x14ac:dyDescent="0.3">
      <c r="A98" s="122"/>
      <c r="B98" s="122"/>
      <c r="C98" s="122"/>
      <c r="D98" s="122"/>
    </row>
    <row r="99" spans="1:8" ht="16.2" thickBot="1" x14ac:dyDescent="0.35">
      <c r="A99" s="403" t="s">
        <v>668</v>
      </c>
      <c r="B99" s="122"/>
      <c r="C99" s="122"/>
      <c r="D99" s="122"/>
    </row>
    <row r="100" spans="1:8" ht="16.8" thickTop="1" thickBot="1" x14ac:dyDescent="0.35">
      <c r="A100" s="404" t="s">
        <v>566</v>
      </c>
      <c r="B100" s="404" t="s">
        <v>663</v>
      </c>
      <c r="C100" s="404" t="s">
        <v>664</v>
      </c>
      <c r="D100" s="404" t="s">
        <v>669</v>
      </c>
    </row>
    <row r="101" spans="1:8" ht="16.8" thickTop="1" thickBot="1" x14ac:dyDescent="0.35">
      <c r="A101" s="405" t="str">
        <f t="array" ref="A101:A114">A82:A95</f>
        <v>Brick masonary GF (115 mm)</v>
      </c>
      <c r="B101" s="405">
        <f t="array" ref="B101:B114">B82:B95</f>
        <v>100</v>
      </c>
      <c r="C101" s="405">
        <f t="array" ref="C101:C114">C82:C95</f>
        <v>10</v>
      </c>
      <c r="D101" s="406">
        <f>C101/B101</f>
        <v>0.1</v>
      </c>
    </row>
    <row r="102" spans="1:8" ht="16.8" thickTop="1" thickBot="1" x14ac:dyDescent="0.35">
      <c r="A102" s="405" t="str">
        <v>Brick masonary GF (230 mm)</v>
      </c>
      <c r="B102" s="405">
        <v>20</v>
      </c>
      <c r="C102" s="405">
        <v>7</v>
      </c>
      <c r="D102" s="406">
        <f t="shared" ref="D102:D114" si="0">C102/B102</f>
        <v>0.35</v>
      </c>
    </row>
    <row r="103" spans="1:8" ht="16.8" thickTop="1" thickBot="1" x14ac:dyDescent="0.35">
      <c r="A103" s="405" t="str">
        <v>FF lintel shuttering</v>
      </c>
      <c r="B103" s="405">
        <v>60</v>
      </c>
      <c r="C103" s="405">
        <v>29</v>
      </c>
      <c r="D103" s="406">
        <f t="shared" si="0"/>
        <v>0.48333333333333334</v>
      </c>
    </row>
    <row r="104" spans="1:8" ht="16.8" thickTop="1" thickBot="1" x14ac:dyDescent="0.35">
      <c r="A104" s="405" t="str">
        <v>Flooring</v>
      </c>
      <c r="B104" s="405">
        <v>100</v>
      </c>
      <c r="C104" s="405">
        <v>55.15</v>
      </c>
      <c r="D104" s="406">
        <f t="shared" si="0"/>
        <v>0.55149999999999999</v>
      </c>
      <c r="F104" s="118" t="s">
        <v>666</v>
      </c>
      <c r="G104" s="118" t="s">
        <v>670</v>
      </c>
      <c r="H104" s="122" t="s">
        <v>665</v>
      </c>
    </row>
    <row r="105" spans="1:8" ht="16.8" thickTop="1" thickBot="1" x14ac:dyDescent="0.35">
      <c r="A105" s="405" t="str">
        <v>GF to FF slab column shuttering</v>
      </c>
      <c r="B105" s="405">
        <v>100</v>
      </c>
      <c r="C105" s="405">
        <v>21.32</v>
      </c>
      <c r="D105" s="406">
        <f t="shared" si="0"/>
        <v>0.2132</v>
      </c>
      <c r="F105" s="119" t="s">
        <v>583</v>
      </c>
      <c r="G105" s="122">
        <v>4929.8569999999991</v>
      </c>
      <c r="H105" s="122">
        <v>4644.2480000000005</v>
      </c>
    </row>
    <row r="106" spans="1:8" ht="16.8" thickTop="1" thickBot="1" x14ac:dyDescent="0.35">
      <c r="A106" s="405" t="str">
        <v>Internal Plaster</v>
      </c>
      <c r="B106" s="405">
        <v>600</v>
      </c>
      <c r="C106" s="405">
        <v>301</v>
      </c>
      <c r="D106" s="406">
        <f t="shared" si="0"/>
        <v>0.50166666666666671</v>
      </c>
      <c r="F106" s="119" t="s">
        <v>623</v>
      </c>
      <c r="G106" s="122">
        <v>3718.4</v>
      </c>
      <c r="H106" s="122">
        <v>45</v>
      </c>
    </row>
    <row r="107" spans="1:8" ht="16.8" thickTop="1" thickBot="1" x14ac:dyDescent="0.35">
      <c r="A107" s="405" t="str">
        <v>Plinth Plaster</v>
      </c>
      <c r="B107" s="405">
        <v>32.790000000000006</v>
      </c>
      <c r="C107" s="405">
        <v>15</v>
      </c>
      <c r="D107" s="406">
        <f t="shared" si="0"/>
        <v>0.45745654162854521</v>
      </c>
      <c r="F107" s="119" t="s">
        <v>590</v>
      </c>
      <c r="G107" s="122">
        <v>8429.4359999999997</v>
      </c>
      <c r="H107" s="122">
        <v>2658.16</v>
      </c>
    </row>
    <row r="108" spans="1:8" ht="16.8" thickTop="1" thickBot="1" x14ac:dyDescent="0.35">
      <c r="A108" s="405" t="str">
        <v>SF to TF slab column concrete</v>
      </c>
      <c r="B108" s="405">
        <v>30</v>
      </c>
      <c r="C108" s="405">
        <v>18</v>
      </c>
      <c r="D108" s="406">
        <f t="shared" si="0"/>
        <v>0.6</v>
      </c>
      <c r="F108" s="119" t="s">
        <v>609</v>
      </c>
      <c r="G108" s="122">
        <v>7572.2290000000021</v>
      </c>
      <c r="H108" s="122">
        <v>5067.8640000000005</v>
      </c>
    </row>
    <row r="109" spans="1:8" ht="16.8" thickTop="1" thickBot="1" x14ac:dyDescent="0.35">
      <c r="A109" s="405" t="str">
        <v>SF to TF slab column shuttering</v>
      </c>
      <c r="B109" s="405">
        <v>212</v>
      </c>
      <c r="C109" s="405">
        <v>188.42</v>
      </c>
      <c r="D109" s="406">
        <f t="shared" si="0"/>
        <v>0.88877358490566027</v>
      </c>
      <c r="F109" s="119" t="s">
        <v>667</v>
      </c>
      <c r="G109" s="122">
        <v>24649.922000000002</v>
      </c>
      <c r="H109" s="122">
        <v>12415.272000000001</v>
      </c>
    </row>
    <row r="110" spans="1:8" ht="16.8" thickTop="1" thickBot="1" x14ac:dyDescent="0.35">
      <c r="A110" s="405" t="str">
        <v>Skirting</v>
      </c>
      <c r="B110" s="405">
        <v>100</v>
      </c>
      <c r="C110" s="405">
        <v>45</v>
      </c>
      <c r="D110" s="406">
        <f t="shared" si="0"/>
        <v>0.45</v>
      </c>
    </row>
    <row r="111" spans="1:8" ht="16.8" thickTop="1" thickBot="1" x14ac:dyDescent="0.35">
      <c r="A111" s="405" t="str">
        <v>TF beam shuttering</v>
      </c>
      <c r="B111" s="405">
        <v>400</v>
      </c>
      <c r="C111" s="405">
        <v>350</v>
      </c>
      <c r="D111" s="406">
        <f t="shared" si="0"/>
        <v>0.875</v>
      </c>
    </row>
    <row r="112" spans="1:8" ht="16.8" thickTop="1" thickBot="1" x14ac:dyDescent="0.35">
      <c r="A112" s="405" t="str">
        <v>TF Slab shuttering</v>
      </c>
      <c r="B112" s="405">
        <v>400</v>
      </c>
      <c r="C112" s="405">
        <v>180</v>
      </c>
      <c r="D112" s="406">
        <f t="shared" si="0"/>
        <v>0.45</v>
      </c>
      <c r="F112" s="122"/>
      <c r="G112" s="122"/>
    </row>
    <row r="113" spans="1:7" ht="16.8" thickTop="1" thickBot="1" x14ac:dyDescent="0.35">
      <c r="A113" s="405" t="str">
        <v>TF Staircase Concrete</v>
      </c>
      <c r="B113" s="405">
        <v>5</v>
      </c>
      <c r="C113" s="405">
        <v>2.1</v>
      </c>
      <c r="D113" s="406">
        <f t="shared" si="0"/>
        <v>0.42000000000000004</v>
      </c>
      <c r="F113" s="122"/>
      <c r="G113" s="122"/>
    </row>
    <row r="114" spans="1:7" ht="16.8" thickTop="1" thickBot="1" x14ac:dyDescent="0.35">
      <c r="A114" s="405" t="str">
        <v>TF Staircase Shuttering</v>
      </c>
      <c r="B114" s="405">
        <v>30</v>
      </c>
      <c r="C114" s="405">
        <v>30</v>
      </c>
      <c r="D114" s="406">
        <f t="shared" si="0"/>
        <v>1</v>
      </c>
      <c r="F114" s="122"/>
      <c r="G114" s="122"/>
    </row>
    <row r="115" spans="1:7" ht="16.2" thickTop="1" x14ac:dyDescent="0.3">
      <c r="A115" s="122"/>
      <c r="B115" s="122"/>
      <c r="C115" s="122"/>
      <c r="D115" s="122"/>
      <c r="F115" s="122"/>
      <c r="G115" s="122"/>
    </row>
    <row r="116" spans="1:7" x14ac:dyDescent="0.3">
      <c r="C116" s="353"/>
      <c r="D116" s="122"/>
      <c r="F116" s="122"/>
      <c r="G116" s="122"/>
    </row>
    <row r="117" spans="1:7" x14ac:dyDescent="0.3">
      <c r="C117" s="353"/>
      <c r="D117" s="122"/>
      <c r="F117" s="122"/>
      <c r="G117" s="122"/>
    </row>
    <row r="118" spans="1:7" x14ac:dyDescent="0.3">
      <c r="C118" s="353"/>
      <c r="D118" s="122"/>
      <c r="F118" s="122"/>
      <c r="G118" s="122"/>
    </row>
    <row r="119" spans="1:7" x14ac:dyDescent="0.3">
      <c r="F119" s="122"/>
      <c r="G119" s="122"/>
    </row>
    <row r="120" spans="1:7" x14ac:dyDescent="0.3">
      <c r="F120" s="122"/>
      <c r="G120" s="122"/>
    </row>
    <row r="121" spans="1:7" x14ac:dyDescent="0.3">
      <c r="F121" s="122"/>
      <c r="G121" s="122"/>
    </row>
    <row r="122" spans="1:7" x14ac:dyDescent="0.3">
      <c r="A122" s="403" t="s">
        <v>668</v>
      </c>
      <c r="B122" s="122"/>
      <c r="C122" s="122"/>
      <c r="F122" s="122"/>
      <c r="G122" s="122"/>
    </row>
    <row r="123" spans="1:7" x14ac:dyDescent="0.3">
      <c r="A123" s="407" t="s">
        <v>671</v>
      </c>
      <c r="B123" s="407" t="s">
        <v>670</v>
      </c>
      <c r="C123" s="407" t="s">
        <v>665</v>
      </c>
      <c r="F123" s="122"/>
      <c r="G123" s="122"/>
    </row>
    <row r="124" spans="1:7" x14ac:dyDescent="0.3">
      <c r="A124" s="119" t="s">
        <v>583</v>
      </c>
      <c r="B124" s="122">
        <v>4929.8569999999991</v>
      </c>
      <c r="C124" s="122">
        <v>4644.2480000000005</v>
      </c>
      <c r="F124" s="122"/>
      <c r="G124" s="122"/>
    </row>
    <row r="125" spans="1:7" x14ac:dyDescent="0.3">
      <c r="F125" s="122"/>
      <c r="G125" s="122"/>
    </row>
    <row r="126" spans="1:7" x14ac:dyDescent="0.3">
      <c r="F126" s="122"/>
      <c r="G126" s="122"/>
    </row>
    <row r="128" spans="1:7" x14ac:dyDescent="0.3">
      <c r="A128" s="118" t="s">
        <v>574</v>
      </c>
      <c r="B128" s="122" t="s">
        <v>662</v>
      </c>
    </row>
    <row r="130" spans="1:5" x14ac:dyDescent="0.3">
      <c r="A130" s="118" t="s">
        <v>566</v>
      </c>
      <c r="B130" s="118" t="s">
        <v>567</v>
      </c>
      <c r="C130" s="118" t="s">
        <v>672</v>
      </c>
      <c r="D130" s="122" t="s">
        <v>673</v>
      </c>
      <c r="E130" s="122" t="s">
        <v>674</v>
      </c>
    </row>
    <row r="131" spans="1:5" x14ac:dyDescent="0.3">
      <c r="A131" s="122" t="s">
        <v>636</v>
      </c>
      <c r="B131" s="408">
        <v>46002</v>
      </c>
      <c r="C131" s="121">
        <v>0.390625</v>
      </c>
      <c r="D131" s="121">
        <v>0.22727864583333332</v>
      </c>
      <c r="E131" s="121">
        <v>0.22727864583333332</v>
      </c>
    </row>
    <row r="132" spans="1:5" x14ac:dyDescent="0.3">
      <c r="A132" s="122" t="s">
        <v>635</v>
      </c>
      <c r="B132" s="408">
        <v>46002</v>
      </c>
      <c r="C132" s="121">
        <v>0.27218290691344582</v>
      </c>
      <c r="D132" s="121">
        <v>0.38962983124659772</v>
      </c>
      <c r="E132" s="121">
        <v>0.38962983124659772</v>
      </c>
    </row>
    <row r="133" spans="1:5" x14ac:dyDescent="0.3">
      <c r="A133" s="122" t="s">
        <v>620</v>
      </c>
      <c r="B133" s="408">
        <v>46002</v>
      </c>
      <c r="C133" s="121">
        <v>0.2371129131692512</v>
      </c>
      <c r="D133" s="121">
        <v>2.371129131692512E-2</v>
      </c>
      <c r="E133" s="121">
        <v>0.46388020833333332</v>
      </c>
    </row>
    <row r="134" spans="1:5" x14ac:dyDescent="0.3">
      <c r="A134" s="122" t="s">
        <v>619</v>
      </c>
      <c r="B134" s="408">
        <v>46002</v>
      </c>
      <c r="C134" s="121">
        <v>0.54614964500273067</v>
      </c>
      <c r="D134" s="121">
        <v>0.19115237575095573</v>
      </c>
      <c r="E134" s="121">
        <v>0.59689711486118668</v>
      </c>
    </row>
    <row r="135" spans="1:5" x14ac:dyDescent="0.3">
      <c r="A135" s="122" t="s">
        <v>629</v>
      </c>
      <c r="B135" s="408">
        <v>46002</v>
      </c>
      <c r="C135" s="121">
        <v>0.8824827180467717</v>
      </c>
      <c r="D135" s="121">
        <v>0.42653331372260628</v>
      </c>
      <c r="E135" s="121">
        <v>0.42653331372260628</v>
      </c>
    </row>
    <row r="136" spans="1:5" x14ac:dyDescent="0.3">
      <c r="A136" s="122" t="s">
        <v>449</v>
      </c>
      <c r="B136" s="408">
        <v>46002</v>
      </c>
      <c r="C136" s="121">
        <v>0.11888344666888583</v>
      </c>
      <c r="D136" s="121">
        <v>6.5564220837890527E-2</v>
      </c>
      <c r="E136" s="121">
        <v>6.5564220837890527E-2</v>
      </c>
    </row>
    <row r="137" spans="1:5" x14ac:dyDescent="0.3">
      <c r="A137" s="122" t="s">
        <v>625</v>
      </c>
      <c r="B137" s="408">
        <v>46002</v>
      </c>
      <c r="C137" s="121">
        <v>0.80055718780271057</v>
      </c>
      <c r="D137" s="121">
        <v>0.1706787924395379</v>
      </c>
      <c r="E137" s="121">
        <v>0.76451480179035392</v>
      </c>
    </row>
    <row r="138" spans="1:5" x14ac:dyDescent="0.3">
      <c r="A138" s="122" t="s">
        <v>621</v>
      </c>
      <c r="B138" s="408">
        <v>46002</v>
      </c>
      <c r="C138" s="121">
        <v>0.43738473089904434</v>
      </c>
      <c r="D138" s="121">
        <v>0.21942134000102057</v>
      </c>
      <c r="E138" s="121">
        <v>0.38239925250462858</v>
      </c>
    </row>
    <row r="139" spans="1:5" x14ac:dyDescent="0.3">
      <c r="A139" s="122" t="s">
        <v>601</v>
      </c>
      <c r="B139" s="408">
        <v>46002</v>
      </c>
      <c r="C139" s="121">
        <v>1</v>
      </c>
      <c r="D139" s="121">
        <v>0.45745654162854521</v>
      </c>
      <c r="E139" s="121">
        <v>0.80723805396034232</v>
      </c>
    </row>
    <row r="140" spans="1:5" x14ac:dyDescent="0.3">
      <c r="A140" s="122" t="s">
        <v>651</v>
      </c>
      <c r="B140" s="408">
        <v>46002</v>
      </c>
      <c r="C140" s="121">
        <v>0.99199788373784792</v>
      </c>
      <c r="D140" s="121">
        <v>0.59519873024270875</v>
      </c>
      <c r="E140" s="121">
        <v>0.62701846322588495</v>
      </c>
    </row>
    <row r="141" spans="1:5" x14ac:dyDescent="0.3">
      <c r="A141" s="122" t="s">
        <v>647</v>
      </c>
      <c r="B141" s="408">
        <v>46002</v>
      </c>
      <c r="C141" s="121">
        <v>0.62004077060538787</v>
      </c>
      <c r="D141" s="121">
        <v>0.55107585847861873</v>
      </c>
      <c r="E141" s="121">
        <v>0.65108328237628788</v>
      </c>
    </row>
    <row r="142" spans="1:5" x14ac:dyDescent="0.3">
      <c r="A142" s="122" t="s">
        <v>622</v>
      </c>
      <c r="B142" s="408">
        <v>46002</v>
      </c>
      <c r="C142" s="121">
        <v>5.3786574870912221E-2</v>
      </c>
      <c r="D142" s="121">
        <v>2.4203958691910499E-2</v>
      </c>
      <c r="E142" s="121">
        <v>2.4203958691910499E-2</v>
      </c>
    </row>
    <row r="143" spans="1:5" x14ac:dyDescent="0.3">
      <c r="A143" s="122" t="s">
        <v>649</v>
      </c>
      <c r="B143" s="408">
        <v>46002</v>
      </c>
      <c r="C143" s="121">
        <v>0.57094734438116446</v>
      </c>
      <c r="D143" s="121">
        <v>0.49957892633351886</v>
      </c>
      <c r="E143" s="121">
        <v>0.49957892633351886</v>
      </c>
    </row>
    <row r="144" spans="1:5" x14ac:dyDescent="0.3">
      <c r="A144" s="122" t="s">
        <v>650</v>
      </c>
      <c r="B144" s="408">
        <v>46002</v>
      </c>
      <c r="C144" s="121">
        <v>0.60217384758979919</v>
      </c>
      <c r="D144" s="121">
        <v>0.27097823141540961</v>
      </c>
      <c r="E144" s="121">
        <v>0.27097823141540961</v>
      </c>
    </row>
    <row r="145" spans="1:5" x14ac:dyDescent="0.3">
      <c r="A145" s="122" t="s">
        <v>652</v>
      </c>
      <c r="B145" s="408">
        <v>46002</v>
      </c>
      <c r="C145" s="121">
        <v>0.58616647127784294</v>
      </c>
      <c r="D145" s="121">
        <v>0.24618991793669406</v>
      </c>
      <c r="E145" s="121">
        <v>0.24618991793669406</v>
      </c>
    </row>
    <row r="146" spans="1:5" x14ac:dyDescent="0.3">
      <c r="A146" s="122" t="s">
        <v>648</v>
      </c>
      <c r="B146" s="408">
        <v>46002</v>
      </c>
      <c r="C146" s="121">
        <v>0.52273915316257191</v>
      </c>
      <c r="D146" s="121">
        <v>0.52273915316257191</v>
      </c>
      <c r="E146" s="121">
        <v>0.52273915316257191</v>
      </c>
    </row>
    <row r="147" spans="1:5" x14ac:dyDescent="0.3">
      <c r="A147" s="122" t="s">
        <v>667</v>
      </c>
      <c r="B147" s="122"/>
      <c r="C147" s="121">
        <v>8.6332305941283671</v>
      </c>
      <c r="D147" s="121">
        <v>4.8813911290388452</v>
      </c>
      <c r="E147" s="121">
        <v>6.9657273762325502</v>
      </c>
    </row>
    <row r="148" spans="1:5" x14ac:dyDescent="0.3">
      <c r="A148" s="122"/>
      <c r="B148" s="122"/>
      <c r="C148" s="122"/>
      <c r="D148" s="122"/>
      <c r="E148" s="122"/>
    </row>
    <row r="149" spans="1:5" x14ac:dyDescent="0.3">
      <c r="A149" s="122"/>
      <c r="B149" s="122"/>
      <c r="C149" s="122"/>
      <c r="D149" s="122"/>
    </row>
    <row r="150" spans="1:5" x14ac:dyDescent="0.3">
      <c r="A150" s="122"/>
      <c r="B150" s="122"/>
      <c r="C150" s="122"/>
      <c r="D150" s="122"/>
    </row>
    <row r="151" spans="1:5" x14ac:dyDescent="0.3">
      <c r="A151" s="122"/>
      <c r="B151" s="122"/>
      <c r="C151" s="122"/>
      <c r="D151" s="122"/>
    </row>
    <row r="152" spans="1:5" x14ac:dyDescent="0.3">
      <c r="A152" s="122"/>
      <c r="B152" s="122"/>
      <c r="C152" s="122"/>
      <c r="D152" s="122"/>
    </row>
    <row r="153" spans="1:5" x14ac:dyDescent="0.3">
      <c r="A153" s="122"/>
      <c r="B153" s="122"/>
      <c r="C153" s="122"/>
      <c r="D153" s="122"/>
    </row>
    <row r="154" spans="1:5" x14ac:dyDescent="0.3">
      <c r="A154" s="122"/>
      <c r="B154" s="122"/>
      <c r="C154" s="122"/>
      <c r="D154" s="122"/>
    </row>
    <row r="155" spans="1:5" x14ac:dyDescent="0.3">
      <c r="A155" s="122"/>
      <c r="B155" s="122"/>
      <c r="C155" s="122"/>
      <c r="D155" s="122"/>
    </row>
    <row r="156" spans="1:5" x14ac:dyDescent="0.3">
      <c r="A156" s="122"/>
      <c r="B156" s="122"/>
      <c r="C156" s="122"/>
      <c r="D156" s="122"/>
    </row>
    <row r="157" spans="1:5" x14ac:dyDescent="0.3">
      <c r="A157" s="122"/>
      <c r="B157" s="122"/>
      <c r="C157" s="122"/>
      <c r="D157" s="122"/>
    </row>
    <row r="158" spans="1:5" x14ac:dyDescent="0.3">
      <c r="A158" s="122"/>
      <c r="B158" s="122"/>
      <c r="C158" s="122"/>
      <c r="D158" s="122"/>
    </row>
    <row r="159" spans="1:5" x14ac:dyDescent="0.3">
      <c r="A159" s="122"/>
      <c r="B159" s="122"/>
      <c r="C159" s="122"/>
      <c r="D159" s="122"/>
    </row>
    <row r="160" spans="1:5" x14ac:dyDescent="0.3">
      <c r="A160" s="122"/>
      <c r="B160" s="122"/>
      <c r="C160" s="122"/>
      <c r="D160" s="122"/>
    </row>
    <row r="161" spans="1:4" x14ac:dyDescent="0.3">
      <c r="A161" s="122"/>
      <c r="B161" s="122"/>
      <c r="C161" s="122"/>
      <c r="D161" s="122"/>
    </row>
    <row r="162" spans="1:4" x14ac:dyDescent="0.3">
      <c r="A162" s="122"/>
      <c r="B162" s="122"/>
      <c r="C162" s="122"/>
      <c r="D162" s="122"/>
    </row>
    <row r="163" spans="1:4" x14ac:dyDescent="0.3">
      <c r="A163" s="122"/>
      <c r="B163" s="122"/>
      <c r="C163" s="122"/>
      <c r="D163" s="122"/>
    </row>
    <row r="164" spans="1:4" x14ac:dyDescent="0.3">
      <c r="A164" s="122"/>
      <c r="B164" s="122"/>
      <c r="C164" s="122"/>
      <c r="D164" s="122"/>
    </row>
    <row r="165" spans="1:4" x14ac:dyDescent="0.3">
      <c r="A165" s="122"/>
      <c r="B165" s="122"/>
      <c r="C165" s="122"/>
      <c r="D165" s="122"/>
    </row>
    <row r="166" spans="1:4" x14ac:dyDescent="0.3">
      <c r="A166" s="122"/>
      <c r="B166" s="122"/>
      <c r="C166" s="122"/>
      <c r="D166" s="122"/>
    </row>
    <row r="167" spans="1:4" x14ac:dyDescent="0.3">
      <c r="A167" s="122"/>
      <c r="B167" s="122"/>
      <c r="C167" s="122"/>
      <c r="D167" s="122"/>
    </row>
    <row r="168" spans="1:4" x14ac:dyDescent="0.3">
      <c r="A168" s="122"/>
      <c r="B168" s="122"/>
      <c r="C168" s="122"/>
      <c r="D168" s="122"/>
    </row>
    <row r="169" spans="1:4" x14ac:dyDescent="0.3">
      <c r="A169" s="122"/>
      <c r="B169" s="122"/>
      <c r="C169" s="122"/>
      <c r="D169" s="122"/>
    </row>
    <row r="170" spans="1:4" x14ac:dyDescent="0.3">
      <c r="A170" s="122"/>
      <c r="B170" s="122"/>
      <c r="C170" s="122"/>
      <c r="D170" s="122"/>
    </row>
    <row r="171" spans="1:4" x14ac:dyDescent="0.3">
      <c r="A171" s="122"/>
      <c r="B171" s="122"/>
      <c r="C171" s="122"/>
      <c r="D171" s="122"/>
    </row>
    <row r="172" spans="1:4" x14ac:dyDescent="0.3">
      <c r="A172" s="122"/>
      <c r="B172" s="122"/>
      <c r="C172" s="122"/>
      <c r="D172" s="122"/>
    </row>
    <row r="173" spans="1:4" x14ac:dyDescent="0.3">
      <c r="A173" s="122"/>
      <c r="B173" s="122"/>
      <c r="C173" s="122"/>
      <c r="D173" s="122"/>
    </row>
    <row r="174" spans="1:4" x14ac:dyDescent="0.3">
      <c r="A174" s="122"/>
      <c r="B174" s="122"/>
      <c r="C174" s="122"/>
      <c r="D174" s="122"/>
    </row>
    <row r="175" spans="1:4" x14ac:dyDescent="0.3">
      <c r="A175" s="122"/>
      <c r="B175" s="122"/>
      <c r="C175" s="122"/>
      <c r="D175" s="122"/>
    </row>
    <row r="176" spans="1:4" x14ac:dyDescent="0.3">
      <c r="A176" s="122"/>
      <c r="B176" s="122"/>
      <c r="C176" s="122"/>
      <c r="D176" s="122"/>
    </row>
    <row r="177" spans="1:4" x14ac:dyDescent="0.3">
      <c r="A177" s="122"/>
      <c r="B177" s="122"/>
      <c r="C177" s="122"/>
      <c r="D177" s="122"/>
    </row>
    <row r="178" spans="1:4" x14ac:dyDescent="0.3">
      <c r="A178" s="122"/>
      <c r="B178" s="122"/>
      <c r="C178" s="122"/>
      <c r="D178" s="122"/>
    </row>
    <row r="179" spans="1:4" x14ac:dyDescent="0.3">
      <c r="A179" s="122"/>
      <c r="B179" s="122"/>
      <c r="C179" s="122"/>
      <c r="D179" s="122"/>
    </row>
    <row r="180" spans="1:4" x14ac:dyDescent="0.3">
      <c r="A180" s="122"/>
      <c r="B180" s="122"/>
      <c r="C180" s="122"/>
      <c r="D180" s="122"/>
    </row>
    <row r="181" spans="1:4" x14ac:dyDescent="0.3">
      <c r="A181" s="122"/>
      <c r="B181" s="122"/>
      <c r="C181" s="122"/>
      <c r="D181" s="122"/>
    </row>
    <row r="182" spans="1:4" x14ac:dyDescent="0.3">
      <c r="A182" s="122"/>
      <c r="B182" s="122"/>
      <c r="C182" s="122"/>
      <c r="D182" s="122"/>
    </row>
    <row r="183" spans="1:4" x14ac:dyDescent="0.3">
      <c r="A183" s="122"/>
      <c r="B183" s="122"/>
      <c r="C183" s="122"/>
      <c r="D183" s="122"/>
    </row>
    <row r="184" spans="1:4" x14ac:dyDescent="0.3">
      <c r="A184" s="122"/>
      <c r="B184" s="122"/>
      <c r="C184" s="122"/>
      <c r="D184" s="122"/>
    </row>
    <row r="185" spans="1:4" x14ac:dyDescent="0.3">
      <c r="A185" s="122"/>
      <c r="B185" s="122"/>
      <c r="C185" s="122"/>
      <c r="D185" s="122"/>
    </row>
    <row r="186" spans="1:4" x14ac:dyDescent="0.3">
      <c r="A186" s="122"/>
      <c r="B186" s="122"/>
      <c r="C186" s="122"/>
      <c r="D186" s="122"/>
    </row>
    <row r="187" spans="1:4" x14ac:dyDescent="0.3">
      <c r="A187" s="122"/>
      <c r="B187" s="122"/>
      <c r="C187" s="122"/>
      <c r="D187" s="122"/>
    </row>
    <row r="188" spans="1:4" x14ac:dyDescent="0.3">
      <c r="A188" s="122"/>
      <c r="B188" s="122"/>
      <c r="C188" s="122"/>
      <c r="D188" s="122"/>
    </row>
    <row r="189" spans="1:4" x14ac:dyDescent="0.3">
      <c r="A189" s="122"/>
      <c r="B189" s="122"/>
      <c r="C189" s="122"/>
      <c r="D189" s="122"/>
    </row>
    <row r="190" spans="1:4" x14ac:dyDescent="0.3">
      <c r="A190" s="122"/>
      <c r="B190" s="122"/>
      <c r="C190" s="122"/>
      <c r="D190" s="122"/>
    </row>
    <row r="191" spans="1:4" x14ac:dyDescent="0.3">
      <c r="A191" s="122"/>
      <c r="B191" s="122"/>
      <c r="C191" s="122"/>
      <c r="D191" s="122"/>
    </row>
    <row r="192" spans="1:4" x14ac:dyDescent="0.3">
      <c r="A192" s="122"/>
      <c r="B192" s="122"/>
      <c r="C192" s="122"/>
      <c r="D192" s="122"/>
    </row>
    <row r="193" spans="1:4" x14ac:dyDescent="0.3">
      <c r="A193" s="122"/>
      <c r="B193" s="122"/>
      <c r="C193" s="122"/>
      <c r="D193" s="122"/>
    </row>
    <row r="194" spans="1:4" x14ac:dyDescent="0.3">
      <c r="A194" s="122"/>
      <c r="B194" s="122"/>
      <c r="C194" s="122"/>
      <c r="D194" s="122"/>
    </row>
    <row r="195" spans="1:4" x14ac:dyDescent="0.3">
      <c r="A195" s="122"/>
      <c r="B195" s="122"/>
      <c r="C195" s="122"/>
      <c r="D195" s="122"/>
    </row>
    <row r="196" spans="1:4" x14ac:dyDescent="0.3">
      <c r="A196" s="122"/>
      <c r="B196" s="122"/>
      <c r="C196" s="122"/>
      <c r="D196" s="122"/>
    </row>
    <row r="197" spans="1:4" x14ac:dyDescent="0.3">
      <c r="A197" s="122"/>
      <c r="B197" s="122"/>
      <c r="C197" s="122"/>
      <c r="D197" s="122"/>
    </row>
    <row r="198" spans="1:4" x14ac:dyDescent="0.3">
      <c r="A198" s="122"/>
      <c r="B198" s="122"/>
      <c r="C198" s="122"/>
      <c r="D198" s="122"/>
    </row>
    <row r="199" spans="1:4" x14ac:dyDescent="0.3">
      <c r="A199" s="122"/>
      <c r="B199" s="122"/>
      <c r="C199" s="122"/>
      <c r="D199" s="122"/>
    </row>
    <row r="200" spans="1:4" x14ac:dyDescent="0.3">
      <c r="A200" s="122"/>
      <c r="B200" s="122"/>
      <c r="C200" s="122"/>
      <c r="D200" s="122"/>
    </row>
    <row r="201" spans="1:4" x14ac:dyDescent="0.3">
      <c r="A201" s="122"/>
      <c r="B201" s="122"/>
      <c r="C201" s="122"/>
      <c r="D201" s="122"/>
    </row>
    <row r="202" spans="1:4" x14ac:dyDescent="0.3">
      <c r="A202" s="122"/>
      <c r="B202" s="122"/>
      <c r="C202" s="122"/>
      <c r="D202" s="122"/>
    </row>
    <row r="203" spans="1:4" x14ac:dyDescent="0.3">
      <c r="A203" s="122"/>
      <c r="B203" s="122"/>
      <c r="C203" s="122"/>
      <c r="D203" s="122"/>
    </row>
    <row r="204" spans="1:4" x14ac:dyDescent="0.3">
      <c r="A204" s="122"/>
      <c r="B204" s="122"/>
      <c r="C204" s="122"/>
      <c r="D204" s="122"/>
    </row>
    <row r="205" spans="1:4" x14ac:dyDescent="0.3">
      <c r="A205" s="122"/>
      <c r="B205" s="122"/>
      <c r="C205" s="122"/>
      <c r="D205" s="122"/>
    </row>
    <row r="206" spans="1:4" x14ac:dyDescent="0.3">
      <c r="A206" s="122"/>
      <c r="B206" s="122"/>
      <c r="C206" s="122"/>
      <c r="D206" s="122"/>
    </row>
    <row r="207" spans="1:4" x14ac:dyDescent="0.3">
      <c r="A207" s="122"/>
      <c r="B207" s="122"/>
      <c r="C207" s="122"/>
      <c r="D207" s="122"/>
    </row>
    <row r="208" spans="1:4" x14ac:dyDescent="0.3">
      <c r="A208" s="122"/>
      <c r="B208" s="122"/>
      <c r="C208" s="122"/>
      <c r="D208" s="122"/>
    </row>
    <row r="209" spans="1:4" x14ac:dyDescent="0.3">
      <c r="A209" s="122"/>
      <c r="B209" s="122"/>
      <c r="C209" s="122"/>
      <c r="D209" s="122"/>
    </row>
    <row r="210" spans="1:4" x14ac:dyDescent="0.3">
      <c r="A210" s="122"/>
      <c r="B210" s="122"/>
      <c r="C210" s="122"/>
      <c r="D210" s="122"/>
    </row>
    <row r="211" spans="1:4" x14ac:dyDescent="0.3">
      <c r="A211" s="122"/>
      <c r="B211" s="122"/>
      <c r="C211" s="122"/>
      <c r="D211" s="122"/>
    </row>
    <row r="212" spans="1:4" x14ac:dyDescent="0.3">
      <c r="A212" s="122"/>
      <c r="B212" s="122"/>
      <c r="C212" s="122"/>
      <c r="D212" s="122"/>
    </row>
    <row r="213" spans="1:4" x14ac:dyDescent="0.3">
      <c r="A213" s="122"/>
      <c r="B213" s="122"/>
      <c r="C213" s="122"/>
      <c r="D213" s="122"/>
    </row>
    <row r="214" spans="1:4" x14ac:dyDescent="0.3">
      <c r="A214" s="122"/>
      <c r="B214" s="122"/>
      <c r="C214" s="122"/>
      <c r="D214" s="122"/>
    </row>
    <row r="215" spans="1:4" x14ac:dyDescent="0.3">
      <c r="A215" s="122"/>
      <c r="B215" s="122"/>
      <c r="C215" s="122"/>
      <c r="D215" s="122"/>
    </row>
    <row r="216" spans="1:4" x14ac:dyDescent="0.3">
      <c r="A216" s="122"/>
      <c r="B216" s="122"/>
      <c r="C216" s="122"/>
      <c r="D216" s="122"/>
    </row>
    <row r="217" spans="1:4" x14ac:dyDescent="0.3">
      <c r="A217" s="122"/>
      <c r="B217" s="122"/>
      <c r="C217" s="122"/>
      <c r="D217" s="122"/>
    </row>
    <row r="218" spans="1:4" x14ac:dyDescent="0.3">
      <c r="A218" s="122"/>
      <c r="B218" s="122"/>
      <c r="C218" s="122"/>
      <c r="D218" s="122"/>
    </row>
    <row r="219" spans="1:4" x14ac:dyDescent="0.3">
      <c r="A219" s="122"/>
      <c r="B219" s="122"/>
      <c r="C219" s="122"/>
      <c r="D219" s="122"/>
    </row>
    <row r="220" spans="1:4" x14ac:dyDescent="0.3">
      <c r="A220" s="122"/>
      <c r="B220" s="122"/>
      <c r="C220" s="122"/>
      <c r="D220" s="122"/>
    </row>
    <row r="221" spans="1:4" x14ac:dyDescent="0.3">
      <c r="A221" s="122"/>
      <c r="B221" s="122"/>
      <c r="C221" s="122"/>
      <c r="D221" s="122"/>
    </row>
    <row r="222" spans="1:4" x14ac:dyDescent="0.3">
      <c r="A222" s="122"/>
      <c r="B222" s="122"/>
      <c r="C222" s="122"/>
      <c r="D222" s="122"/>
    </row>
    <row r="223" spans="1:4" x14ac:dyDescent="0.3">
      <c r="A223" s="122"/>
      <c r="B223" s="122"/>
      <c r="C223" s="122"/>
      <c r="D223" s="122"/>
    </row>
    <row r="224" spans="1:4" x14ac:dyDescent="0.3">
      <c r="A224" s="122"/>
      <c r="B224" s="122"/>
      <c r="C224" s="122"/>
      <c r="D224" s="122"/>
    </row>
    <row r="225" spans="1:4" x14ac:dyDescent="0.3">
      <c r="A225" s="122"/>
      <c r="B225" s="122"/>
      <c r="C225" s="122"/>
      <c r="D225" s="122"/>
    </row>
    <row r="226" spans="1:4" x14ac:dyDescent="0.3">
      <c r="A226" s="122"/>
      <c r="B226" s="122"/>
      <c r="C226" s="122"/>
      <c r="D226" s="122"/>
    </row>
    <row r="227" spans="1:4" x14ac:dyDescent="0.3">
      <c r="A227" s="122"/>
      <c r="B227" s="122"/>
      <c r="C227" s="122"/>
      <c r="D227" s="122"/>
    </row>
    <row r="228" spans="1:4" x14ac:dyDescent="0.3">
      <c r="A228" s="122"/>
      <c r="B228" s="122"/>
      <c r="C228" s="122"/>
      <c r="D228" s="122"/>
    </row>
    <row r="229" spans="1:4" x14ac:dyDescent="0.3">
      <c r="A229" s="122"/>
      <c r="B229" s="122"/>
      <c r="C229" s="122"/>
      <c r="D229" s="122"/>
    </row>
    <row r="230" spans="1:4" x14ac:dyDescent="0.3">
      <c r="A230" s="122"/>
      <c r="B230" s="122"/>
      <c r="C230" s="122"/>
      <c r="D230" s="122"/>
    </row>
    <row r="231" spans="1:4" x14ac:dyDescent="0.3">
      <c r="A231" s="122"/>
      <c r="B231" s="122"/>
      <c r="C231" s="122"/>
      <c r="D231" s="122"/>
    </row>
    <row r="232" spans="1:4" x14ac:dyDescent="0.3">
      <c r="A232" s="122"/>
      <c r="B232" s="122"/>
      <c r="C232" s="122"/>
      <c r="D232" s="122"/>
    </row>
    <row r="233" spans="1:4" x14ac:dyDescent="0.3">
      <c r="A233" s="122"/>
      <c r="B233" s="122"/>
      <c r="C233" s="122"/>
      <c r="D233" s="122"/>
    </row>
    <row r="234" spans="1:4" x14ac:dyDescent="0.3">
      <c r="A234" s="122"/>
      <c r="B234" s="122"/>
      <c r="C234" s="122"/>
      <c r="D234" s="122"/>
    </row>
    <row r="235" spans="1:4" x14ac:dyDescent="0.3">
      <c r="A235" s="122"/>
      <c r="B235" s="122"/>
      <c r="C235" s="122"/>
      <c r="D235" s="122"/>
    </row>
    <row r="236" spans="1:4" x14ac:dyDescent="0.3">
      <c r="A236" s="122"/>
      <c r="B236" s="122"/>
      <c r="C236" s="122"/>
      <c r="D236" s="122"/>
    </row>
    <row r="237" spans="1:4" x14ac:dyDescent="0.3">
      <c r="A237" s="122"/>
      <c r="B237" s="122"/>
      <c r="C237" s="122"/>
      <c r="D237" s="122"/>
    </row>
    <row r="238" spans="1:4" x14ac:dyDescent="0.3">
      <c r="A238" s="122"/>
      <c r="B238" s="122"/>
      <c r="C238" s="122"/>
      <c r="D238" s="122"/>
    </row>
    <row r="239" spans="1:4" x14ac:dyDescent="0.3">
      <c r="A239" s="122"/>
      <c r="B239" s="122"/>
      <c r="C239" s="122"/>
      <c r="D239" s="122"/>
    </row>
    <row r="240" spans="1:4" x14ac:dyDescent="0.3">
      <c r="A240" s="122"/>
      <c r="B240" s="122"/>
      <c r="C240" s="122"/>
      <c r="D240" s="122"/>
    </row>
    <row r="241" spans="1:4" x14ac:dyDescent="0.3">
      <c r="A241" s="122"/>
      <c r="B241" s="122"/>
      <c r="C241" s="122"/>
      <c r="D241" s="122"/>
    </row>
    <row r="242" spans="1:4" x14ac:dyDescent="0.3">
      <c r="A242" s="122"/>
      <c r="B242" s="122"/>
      <c r="C242" s="122"/>
      <c r="D242" s="122"/>
    </row>
    <row r="243" spans="1:4" x14ac:dyDescent="0.3">
      <c r="A243" s="122"/>
      <c r="B243" s="122"/>
      <c r="C243" s="122"/>
      <c r="D243" s="122"/>
    </row>
    <row r="244" spans="1:4" x14ac:dyDescent="0.3">
      <c r="A244" s="122"/>
      <c r="B244" s="122"/>
      <c r="C244" s="122"/>
      <c r="D244" s="122"/>
    </row>
    <row r="245" spans="1:4" x14ac:dyDescent="0.3">
      <c r="A245" s="122"/>
      <c r="B245" s="122"/>
      <c r="C245" s="122"/>
      <c r="D245" s="122"/>
    </row>
    <row r="246" spans="1:4" x14ac:dyDescent="0.3">
      <c r="A246" s="122"/>
      <c r="B246" s="122"/>
      <c r="C246" s="122"/>
      <c r="D246" s="122"/>
    </row>
    <row r="247" spans="1:4" x14ac:dyDescent="0.3">
      <c r="A247" s="122"/>
      <c r="B247" s="122"/>
      <c r="C247" s="122"/>
      <c r="D247" s="122"/>
    </row>
    <row r="248" spans="1:4" x14ac:dyDescent="0.3">
      <c r="A248" s="122"/>
      <c r="B248" s="122"/>
      <c r="C248" s="122"/>
      <c r="D248" s="122"/>
    </row>
    <row r="249" spans="1:4" x14ac:dyDescent="0.3">
      <c r="A249" s="122"/>
      <c r="B249" s="122"/>
      <c r="C249" s="122"/>
      <c r="D249" s="122"/>
    </row>
    <row r="250" spans="1:4" x14ac:dyDescent="0.3">
      <c r="A250" s="122"/>
      <c r="B250" s="122"/>
      <c r="C250" s="122"/>
      <c r="D250" s="122"/>
    </row>
    <row r="251" spans="1:4" x14ac:dyDescent="0.3">
      <c r="A251" s="122"/>
      <c r="B251" s="122"/>
      <c r="C251" s="122"/>
      <c r="D251" s="122"/>
    </row>
    <row r="252" spans="1:4" x14ac:dyDescent="0.3">
      <c r="A252" s="122"/>
      <c r="B252" s="122"/>
      <c r="C252" s="122"/>
      <c r="D252" s="122"/>
    </row>
    <row r="253" spans="1:4" x14ac:dyDescent="0.3">
      <c r="A253" s="122"/>
      <c r="B253" s="122"/>
      <c r="C253" s="122"/>
      <c r="D253" s="122"/>
    </row>
    <row r="254" spans="1:4" x14ac:dyDescent="0.3">
      <c r="A254" s="122"/>
      <c r="B254" s="122"/>
      <c r="C254" s="122"/>
      <c r="D254" s="122"/>
    </row>
    <row r="255" spans="1:4" x14ac:dyDescent="0.3">
      <c r="A255" s="122"/>
      <c r="B255" s="122"/>
      <c r="C255" s="122"/>
      <c r="D255" s="122"/>
    </row>
    <row r="256" spans="1:4" x14ac:dyDescent="0.3">
      <c r="A256" s="122"/>
      <c r="B256" s="122"/>
      <c r="C256" s="122"/>
      <c r="D256" s="122"/>
    </row>
    <row r="257" spans="1:4" x14ac:dyDescent="0.3">
      <c r="A257" s="122"/>
      <c r="B257" s="122"/>
      <c r="C257" s="122"/>
      <c r="D257" s="122"/>
    </row>
    <row r="258" spans="1:4" x14ac:dyDescent="0.3">
      <c r="A258" s="122"/>
      <c r="B258" s="122"/>
      <c r="C258" s="122"/>
      <c r="D258" s="122"/>
    </row>
    <row r="259" spans="1:4" x14ac:dyDescent="0.3">
      <c r="A259" s="122"/>
      <c r="B259" s="122"/>
      <c r="C259" s="122"/>
      <c r="D259" s="122"/>
    </row>
    <row r="260" spans="1:4" x14ac:dyDescent="0.3">
      <c r="A260" s="122"/>
      <c r="B260" s="122"/>
      <c r="C260" s="122"/>
      <c r="D260" s="122"/>
    </row>
    <row r="261" spans="1:4" x14ac:dyDescent="0.3">
      <c r="A261" s="122"/>
      <c r="B261" s="122"/>
      <c r="C261" s="122"/>
      <c r="D261" s="122"/>
    </row>
    <row r="262" spans="1:4" x14ac:dyDescent="0.3">
      <c r="A262" s="122"/>
      <c r="B262" s="122"/>
      <c r="C262" s="122"/>
    </row>
    <row r="263" spans="1:4" x14ac:dyDescent="0.3">
      <c r="A263" s="122"/>
      <c r="B263" s="122"/>
      <c r="C263" s="122"/>
    </row>
    <row r="264" spans="1:4" x14ac:dyDescent="0.3">
      <c r="A264" s="122"/>
      <c r="B264" s="122"/>
      <c r="C264" s="122"/>
    </row>
    <row r="265" spans="1:4" x14ac:dyDescent="0.3">
      <c r="A265" s="122"/>
      <c r="B265" s="122"/>
      <c r="C265" s="122"/>
    </row>
    <row r="266" spans="1:4" x14ac:dyDescent="0.3">
      <c r="A266" s="122"/>
      <c r="B266" s="122"/>
      <c r="C266" s="122"/>
    </row>
    <row r="267" spans="1:4" x14ac:dyDescent="0.3">
      <c r="A267" s="122"/>
      <c r="B267" s="122"/>
      <c r="C267" s="122"/>
    </row>
    <row r="268" spans="1:4" x14ac:dyDescent="0.3">
      <c r="A268" s="122"/>
      <c r="B268" s="122"/>
      <c r="C268" s="122"/>
    </row>
    <row r="269" spans="1:4" x14ac:dyDescent="0.3">
      <c r="A269" s="122"/>
      <c r="B269" s="122"/>
      <c r="C269" s="122"/>
    </row>
    <row r="270" spans="1:4" x14ac:dyDescent="0.3">
      <c r="A270" s="122"/>
      <c r="B270" s="122"/>
      <c r="C270" s="122"/>
    </row>
    <row r="271" spans="1:4" x14ac:dyDescent="0.3">
      <c r="A271" s="122"/>
      <c r="B271" s="122"/>
      <c r="C271" s="122"/>
    </row>
    <row r="272" spans="1:4" x14ac:dyDescent="0.3">
      <c r="A272" s="122"/>
      <c r="B272" s="122"/>
      <c r="C272" s="122"/>
    </row>
    <row r="273" spans="1:3" x14ac:dyDescent="0.3">
      <c r="A273" s="122"/>
      <c r="B273" s="122"/>
      <c r="C273" s="122"/>
    </row>
    <row r="274" spans="1:3" x14ac:dyDescent="0.3">
      <c r="A274" s="122"/>
      <c r="B274" s="122"/>
      <c r="C274" s="122"/>
    </row>
    <row r="275" spans="1:3" x14ac:dyDescent="0.3">
      <c r="A275" s="122"/>
      <c r="B275" s="122"/>
      <c r="C275" s="122"/>
    </row>
    <row r="276" spans="1:3" x14ac:dyDescent="0.3">
      <c r="A276" s="122"/>
      <c r="B276" s="122"/>
      <c r="C276" s="122"/>
    </row>
    <row r="277" spans="1:3" x14ac:dyDescent="0.3">
      <c r="A277" s="122"/>
      <c r="B277" s="122"/>
      <c r="C277" s="122"/>
    </row>
    <row r="278" spans="1:3" x14ac:dyDescent="0.3">
      <c r="A278" s="122"/>
      <c r="B278" s="122"/>
      <c r="C278" s="122"/>
    </row>
    <row r="279" spans="1:3" x14ac:dyDescent="0.3">
      <c r="A279" s="122"/>
      <c r="B279" s="122"/>
      <c r="C279" s="122"/>
    </row>
    <row r="280" spans="1:3" x14ac:dyDescent="0.3">
      <c r="A280" s="122"/>
      <c r="B280" s="122"/>
      <c r="C280" s="122"/>
    </row>
    <row r="281" spans="1:3" x14ac:dyDescent="0.3">
      <c r="A281" s="122"/>
      <c r="B281" s="122"/>
      <c r="C281" s="122"/>
    </row>
    <row r="282" spans="1:3" x14ac:dyDescent="0.3">
      <c r="A282" s="122"/>
      <c r="B282" s="122"/>
      <c r="C282" s="122"/>
    </row>
    <row r="283" spans="1:3" x14ac:dyDescent="0.3">
      <c r="A283" s="122"/>
      <c r="B283" s="122"/>
      <c r="C283" s="122"/>
    </row>
    <row r="284" spans="1:3" x14ac:dyDescent="0.3">
      <c r="A284" s="122"/>
      <c r="B284" s="122"/>
      <c r="C284" s="122"/>
    </row>
    <row r="285" spans="1:3" x14ac:dyDescent="0.3">
      <c r="A285" s="122"/>
      <c r="B285" s="122"/>
      <c r="C285" s="122"/>
    </row>
    <row r="286" spans="1:3" x14ac:dyDescent="0.3">
      <c r="A286" s="122"/>
      <c r="B286" s="122"/>
      <c r="C286" s="122"/>
    </row>
    <row r="287" spans="1:3" x14ac:dyDescent="0.3">
      <c r="A287" s="122"/>
      <c r="B287" s="122"/>
      <c r="C287" s="122"/>
    </row>
    <row r="288" spans="1:3" x14ac:dyDescent="0.3">
      <c r="A288" s="122"/>
      <c r="B288" s="122"/>
      <c r="C288" s="122"/>
    </row>
    <row r="289" spans="1:3" x14ac:dyDescent="0.3">
      <c r="A289" s="122"/>
      <c r="B289" s="122"/>
      <c r="C289" s="122"/>
    </row>
    <row r="290" spans="1:3" x14ac:dyDescent="0.3">
      <c r="A290" s="122"/>
      <c r="B290" s="122"/>
      <c r="C290" s="122"/>
    </row>
    <row r="291" spans="1:3" x14ac:dyDescent="0.3">
      <c r="A291" s="122"/>
      <c r="B291" s="122"/>
      <c r="C291" s="122"/>
    </row>
    <row r="292" spans="1:3" x14ac:dyDescent="0.3">
      <c r="A292" s="122"/>
      <c r="B292" s="122"/>
      <c r="C292" s="122"/>
    </row>
    <row r="293" spans="1:3" x14ac:dyDescent="0.3">
      <c r="A293" s="122"/>
      <c r="B293" s="122"/>
      <c r="C293" s="122"/>
    </row>
    <row r="294" spans="1:3" x14ac:dyDescent="0.3">
      <c r="A294" s="122"/>
      <c r="B294" s="122"/>
      <c r="C294" s="122"/>
    </row>
    <row r="295" spans="1:3" x14ac:dyDescent="0.3">
      <c r="A295" s="122"/>
      <c r="B295" s="122"/>
      <c r="C295" s="122"/>
    </row>
    <row r="296" spans="1:3" x14ac:dyDescent="0.3">
      <c r="A296" s="122"/>
      <c r="B296" s="122"/>
      <c r="C296" s="122"/>
    </row>
    <row r="297" spans="1:3" x14ac:dyDescent="0.3">
      <c r="A297" s="122"/>
      <c r="B297" s="122"/>
      <c r="C297" s="122"/>
    </row>
    <row r="298" spans="1:3" x14ac:dyDescent="0.3">
      <c r="A298" s="122"/>
      <c r="B298" s="122"/>
      <c r="C298" s="122"/>
    </row>
    <row r="299" spans="1:3" x14ac:dyDescent="0.3">
      <c r="A299" s="122"/>
      <c r="B299" s="122"/>
      <c r="C299" s="122"/>
    </row>
    <row r="300" spans="1:3" x14ac:dyDescent="0.3">
      <c r="A300" s="122"/>
      <c r="B300" s="122"/>
      <c r="C300" s="122"/>
    </row>
    <row r="301" spans="1:3" x14ac:dyDescent="0.3">
      <c r="A301" s="122"/>
      <c r="B301" s="122"/>
      <c r="C301" s="122"/>
    </row>
    <row r="302" spans="1:3" x14ac:dyDescent="0.3">
      <c r="A302" s="122"/>
      <c r="B302" s="122"/>
      <c r="C302" s="122"/>
    </row>
    <row r="303" spans="1:3" x14ac:dyDescent="0.3">
      <c r="A303" s="122"/>
      <c r="B303" s="122"/>
      <c r="C303" s="122"/>
    </row>
    <row r="304" spans="1:3" x14ac:dyDescent="0.3">
      <c r="A304" s="122"/>
      <c r="B304" s="122"/>
      <c r="C304" s="122"/>
    </row>
    <row r="305" spans="1:3" x14ac:dyDescent="0.3">
      <c r="A305" s="122"/>
      <c r="B305" s="122"/>
      <c r="C305" s="122"/>
    </row>
    <row r="306" spans="1:3" x14ac:dyDescent="0.3">
      <c r="A306" s="122"/>
      <c r="B306" s="122"/>
      <c r="C306" s="122"/>
    </row>
    <row r="307" spans="1:3" x14ac:dyDescent="0.3">
      <c r="A307" s="122"/>
      <c r="B307" s="122"/>
      <c r="C307" s="122"/>
    </row>
    <row r="308" spans="1:3" x14ac:dyDescent="0.3">
      <c r="A308" s="122"/>
      <c r="B308" s="122"/>
      <c r="C308" s="122"/>
    </row>
    <row r="309" spans="1:3" x14ac:dyDescent="0.3">
      <c r="A309" s="122"/>
      <c r="B309" s="122"/>
      <c r="C309" s="122"/>
    </row>
    <row r="310" spans="1:3" x14ac:dyDescent="0.3">
      <c r="A310" s="122"/>
      <c r="B310" s="122"/>
      <c r="C310" s="122"/>
    </row>
    <row r="311" spans="1:3" x14ac:dyDescent="0.3">
      <c r="A311" s="122"/>
      <c r="B311" s="122"/>
      <c r="C311" s="122"/>
    </row>
    <row r="312" spans="1:3" x14ac:dyDescent="0.3">
      <c r="A312" s="122"/>
      <c r="B312" s="122"/>
      <c r="C312" s="122"/>
    </row>
    <row r="313" spans="1:3" x14ac:dyDescent="0.3">
      <c r="A313" s="122"/>
      <c r="B313" s="122"/>
      <c r="C313" s="122"/>
    </row>
    <row r="314" spans="1:3" x14ac:dyDescent="0.3">
      <c r="A314" s="122"/>
      <c r="B314" s="122"/>
      <c r="C314" s="122"/>
    </row>
    <row r="315" spans="1:3" x14ac:dyDescent="0.3">
      <c r="A315" s="122"/>
      <c r="B315" s="122"/>
      <c r="C315" s="122"/>
    </row>
    <row r="316" spans="1:3" x14ac:dyDescent="0.3">
      <c r="A316" s="122"/>
      <c r="B316" s="122"/>
      <c r="C316" s="122"/>
    </row>
    <row r="317" spans="1:3" x14ac:dyDescent="0.3">
      <c r="A317" s="122"/>
      <c r="B317" s="122"/>
      <c r="C317" s="122"/>
    </row>
    <row r="318" spans="1:3" x14ac:dyDescent="0.3">
      <c r="A318" s="122"/>
      <c r="B318" s="122"/>
      <c r="C318" s="122"/>
    </row>
    <row r="319" spans="1:3" x14ac:dyDescent="0.3">
      <c r="A319" s="122"/>
      <c r="B319" s="122"/>
      <c r="C319" s="122"/>
    </row>
    <row r="320" spans="1:3" x14ac:dyDescent="0.3">
      <c r="A320" s="122"/>
      <c r="B320" s="122"/>
      <c r="C320" s="122"/>
    </row>
    <row r="321" spans="1:3" x14ac:dyDescent="0.3">
      <c r="A321" s="122"/>
      <c r="B321" s="122"/>
      <c r="C321" s="122"/>
    </row>
    <row r="322" spans="1:3" x14ac:dyDescent="0.3">
      <c r="A322" s="122"/>
      <c r="B322" s="122"/>
      <c r="C322" s="122"/>
    </row>
    <row r="323" spans="1:3" x14ac:dyDescent="0.3">
      <c r="A323" s="122"/>
      <c r="B323" s="122"/>
      <c r="C323" s="122"/>
    </row>
    <row r="324" spans="1:3" x14ac:dyDescent="0.3">
      <c r="A324" s="122"/>
      <c r="B324" s="122"/>
      <c r="C324" s="122"/>
    </row>
    <row r="325" spans="1:3" x14ac:dyDescent="0.3">
      <c r="A325" s="122"/>
      <c r="B325" s="122"/>
      <c r="C325" s="122"/>
    </row>
    <row r="326" spans="1:3" x14ac:dyDescent="0.3">
      <c r="A326" s="122"/>
      <c r="B326" s="122"/>
      <c r="C326" s="122"/>
    </row>
  </sheetData>
  <mergeCells count="14">
    <mergeCell ref="E63:E66"/>
    <mergeCell ref="E67:E70"/>
    <mergeCell ref="E25:E29"/>
    <mergeCell ref="E30:E33"/>
    <mergeCell ref="E40:E44"/>
    <mergeCell ref="E45:E49"/>
    <mergeCell ref="E55:E58"/>
    <mergeCell ref="E59:E62"/>
    <mergeCell ref="A1:I2"/>
    <mergeCell ref="E4:E5"/>
    <mergeCell ref="E8:E11"/>
    <mergeCell ref="E12:E16"/>
    <mergeCell ref="E17:E18"/>
    <mergeCell ref="E20:E24"/>
  </mergeCells>
  <conditionalFormatting sqref="Q6:Q7">
    <cfRule type="cellIs" dxfId="43" priority="1" operator="equal">
      <formula>"Ahead of time"</formula>
    </cfRule>
    <cfRule type="cellIs" dxfId="42" priority="2" operator="equal">
      <formula>"On time "</formula>
    </cfRule>
    <cfRule type="cellIs" dxfId="41" priority="3" operator="equal">
      <formula>"Delay"</formula>
    </cfRule>
  </conditionalFormatting>
  <dataValidations count="1">
    <dataValidation type="list" allowBlank="1" showInputMessage="1" showErrorMessage="1" sqref="Q6:Q7" xr:uid="{2EC8ABF6-C67F-4D48-9251-BBEFB33FD151}">
      <formula1>#REF!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05550-5FA2-4A53-8951-E896B9AD9A0A}">
  <dimension ref="A1:M15"/>
  <sheetViews>
    <sheetView workbookViewId="0">
      <selection activeCell="L21" sqref="L21"/>
    </sheetView>
  </sheetViews>
  <sheetFormatPr defaultRowHeight="14.4" x14ac:dyDescent="0.3"/>
  <cols>
    <col min="1" max="1" width="6.5546875" bestFit="1" customWidth="1"/>
    <col min="2" max="2" width="17.5546875" bestFit="1" customWidth="1"/>
    <col min="3" max="3" width="6.44140625" bestFit="1" customWidth="1"/>
    <col min="4" max="4" width="6.109375" bestFit="1" customWidth="1"/>
    <col min="5" max="5" width="7.88671875" bestFit="1" customWidth="1"/>
    <col min="6" max="6" width="13.109375" bestFit="1" customWidth="1"/>
    <col min="10" max="10" width="7.44140625" bestFit="1" customWidth="1"/>
    <col min="11" max="11" width="27.5546875" customWidth="1"/>
    <col min="12" max="12" width="5" bestFit="1" customWidth="1"/>
    <col min="13" max="13" width="8.44140625" bestFit="1" customWidth="1"/>
  </cols>
  <sheetData>
    <row r="1" spans="1:13" ht="31.8" thickBot="1" x14ac:dyDescent="0.35">
      <c r="A1" s="426" t="s">
        <v>455</v>
      </c>
      <c r="B1" s="426" t="s">
        <v>456</v>
      </c>
      <c r="C1" s="426" t="s">
        <v>457</v>
      </c>
      <c r="D1" s="426" t="s">
        <v>252</v>
      </c>
      <c r="E1" s="426" t="s">
        <v>458</v>
      </c>
      <c r="F1" s="424" t="s">
        <v>459</v>
      </c>
      <c r="G1" s="412"/>
      <c r="H1" s="412"/>
      <c r="I1" s="412"/>
      <c r="J1" s="418" t="s">
        <v>460</v>
      </c>
      <c r="K1" s="419" t="s">
        <v>461</v>
      </c>
      <c r="L1" s="420" t="s">
        <v>462</v>
      </c>
      <c r="M1" s="420" t="s">
        <v>463</v>
      </c>
    </row>
    <row r="2" spans="1:13" ht="31.8" thickBot="1" x14ac:dyDescent="0.45">
      <c r="A2" s="427">
        <v>1</v>
      </c>
      <c r="B2" s="428" t="s">
        <v>464</v>
      </c>
      <c r="C2" s="429">
        <v>75</v>
      </c>
      <c r="D2" s="429">
        <v>10</v>
      </c>
      <c r="E2" s="429">
        <v>65</v>
      </c>
      <c r="F2" s="430">
        <v>0.8666666666666667</v>
      </c>
      <c r="G2" s="412"/>
      <c r="H2" s="412"/>
      <c r="I2" s="412"/>
      <c r="J2" s="421">
        <v>1</v>
      </c>
      <c r="K2" s="422" t="s">
        <v>465</v>
      </c>
      <c r="L2" s="423" t="s">
        <v>56</v>
      </c>
      <c r="M2" s="423">
        <v>1</v>
      </c>
    </row>
    <row r="3" spans="1:13" ht="16.8" thickBot="1" x14ac:dyDescent="0.45">
      <c r="A3" s="431">
        <v>2</v>
      </c>
      <c r="B3" s="415" t="s">
        <v>466</v>
      </c>
      <c r="C3" s="414">
        <v>75</v>
      </c>
      <c r="D3" s="414">
        <v>5</v>
      </c>
      <c r="E3" s="414">
        <v>70</v>
      </c>
      <c r="F3" s="432">
        <v>0.93333333333333335</v>
      </c>
      <c r="G3" s="412"/>
      <c r="H3" s="412"/>
      <c r="I3" s="412"/>
      <c r="J3" s="421">
        <v>2</v>
      </c>
      <c r="K3" s="422" t="s">
        <v>467</v>
      </c>
      <c r="L3" s="423" t="s">
        <v>468</v>
      </c>
      <c r="M3" s="423">
        <v>1</v>
      </c>
    </row>
    <row r="4" spans="1:13" ht="16.8" thickBot="1" x14ac:dyDescent="0.45">
      <c r="A4" s="433">
        <v>3</v>
      </c>
      <c r="B4" s="434" t="s">
        <v>469</v>
      </c>
      <c r="C4" s="435">
        <v>1</v>
      </c>
      <c r="D4" s="435">
        <v>0</v>
      </c>
      <c r="E4" s="435">
        <v>1</v>
      </c>
      <c r="F4" s="436">
        <v>1</v>
      </c>
      <c r="G4" s="412"/>
      <c r="H4" s="412"/>
      <c r="I4" s="412"/>
      <c r="J4" s="421">
        <v>3</v>
      </c>
      <c r="K4" s="422" t="s">
        <v>470</v>
      </c>
      <c r="L4" s="423" t="s">
        <v>56</v>
      </c>
      <c r="M4" s="423">
        <v>25</v>
      </c>
    </row>
    <row r="5" spans="1:13" ht="16.2" thickBot="1" x14ac:dyDescent="0.35">
      <c r="A5" s="412"/>
      <c r="B5" s="412"/>
      <c r="C5" s="412"/>
      <c r="D5" s="412"/>
      <c r="E5" s="417" t="s">
        <v>471</v>
      </c>
      <c r="F5" s="437">
        <v>0.93333333333333324</v>
      </c>
      <c r="G5" s="412"/>
      <c r="H5" s="412"/>
      <c r="I5" s="412"/>
      <c r="J5" s="421">
        <v>4</v>
      </c>
      <c r="K5" s="422" t="s">
        <v>472</v>
      </c>
      <c r="L5" s="423" t="s">
        <v>56</v>
      </c>
      <c r="M5" s="423">
        <v>1</v>
      </c>
    </row>
    <row r="6" spans="1:13" ht="16.2" thickBot="1" x14ac:dyDescent="0.35">
      <c r="A6" s="412"/>
      <c r="B6" s="412"/>
      <c r="C6" s="412"/>
      <c r="D6" s="412"/>
      <c r="E6" s="412"/>
      <c r="F6" s="412"/>
      <c r="G6" s="412"/>
      <c r="H6" s="412"/>
      <c r="I6" s="412"/>
      <c r="J6" s="421">
        <v>5</v>
      </c>
      <c r="K6" s="422" t="s">
        <v>473</v>
      </c>
      <c r="L6" s="423" t="s">
        <v>56</v>
      </c>
      <c r="M6" s="423">
        <v>1</v>
      </c>
    </row>
    <row r="7" spans="1:13" ht="16.2" thickBot="1" x14ac:dyDescent="0.35">
      <c r="A7" s="412"/>
      <c r="B7" s="412"/>
      <c r="C7" s="412"/>
      <c r="D7" s="412"/>
      <c r="E7" s="412"/>
      <c r="F7" s="412"/>
      <c r="G7" s="412"/>
      <c r="H7" s="412"/>
      <c r="I7" s="412"/>
      <c r="J7" s="421">
        <v>6</v>
      </c>
      <c r="K7" s="422" t="s">
        <v>474</v>
      </c>
      <c r="L7" s="423" t="s">
        <v>56</v>
      </c>
      <c r="M7" s="423">
        <v>1</v>
      </c>
    </row>
    <row r="8" spans="1:13" ht="16.2" x14ac:dyDescent="0.3">
      <c r="A8" s="413" t="s">
        <v>455</v>
      </c>
      <c r="B8" s="413" t="s">
        <v>456</v>
      </c>
      <c r="C8" s="413" t="s">
        <v>252</v>
      </c>
      <c r="D8" s="413" t="s">
        <v>458</v>
      </c>
      <c r="E8" s="412"/>
      <c r="F8" s="412"/>
      <c r="G8" s="412"/>
      <c r="H8" s="412"/>
      <c r="I8" s="412"/>
      <c r="J8" s="412"/>
      <c r="K8" s="412"/>
      <c r="L8" s="412"/>
      <c r="M8" s="412"/>
    </row>
    <row r="9" spans="1:13" ht="16.2" x14ac:dyDescent="0.4">
      <c r="A9" s="414">
        <v>1</v>
      </c>
      <c r="B9" s="415" t="s">
        <v>464</v>
      </c>
      <c r="C9" s="425">
        <v>10</v>
      </c>
      <c r="D9" s="425">
        <v>65</v>
      </c>
      <c r="E9" s="412"/>
      <c r="F9" s="412"/>
      <c r="G9" s="412"/>
      <c r="H9" s="412"/>
      <c r="I9" s="412"/>
      <c r="J9" s="412"/>
      <c r="K9" s="412"/>
      <c r="L9" s="412"/>
      <c r="M9" s="412"/>
    </row>
    <row r="11" spans="1:13" ht="16.2" x14ac:dyDescent="0.3">
      <c r="A11" s="413" t="s">
        <v>455</v>
      </c>
      <c r="B11" s="413" t="s">
        <v>456</v>
      </c>
      <c r="C11" s="413" t="s">
        <v>252</v>
      </c>
      <c r="D11" s="413" t="s">
        <v>458</v>
      </c>
      <c r="E11" s="412"/>
      <c r="F11" s="412"/>
      <c r="G11" s="412"/>
      <c r="H11" s="412"/>
      <c r="I11" s="412"/>
      <c r="J11" s="412"/>
      <c r="K11" s="412"/>
      <c r="L11" s="412"/>
      <c r="M11" s="412"/>
    </row>
    <row r="12" spans="1:13" ht="16.2" x14ac:dyDescent="0.4">
      <c r="A12" s="414">
        <v>2</v>
      </c>
      <c r="B12" s="415" t="s">
        <v>466</v>
      </c>
      <c r="C12" s="425">
        <v>5</v>
      </c>
      <c r="D12" s="425">
        <v>70</v>
      </c>
      <c r="E12" s="412"/>
      <c r="F12" s="412"/>
      <c r="G12" s="412"/>
      <c r="H12" s="412"/>
      <c r="I12" s="412"/>
      <c r="J12" s="412"/>
      <c r="K12" s="412"/>
      <c r="L12" s="412"/>
      <c r="M12" s="412"/>
    </row>
    <row r="14" spans="1:13" ht="16.2" x14ac:dyDescent="0.3">
      <c r="A14" s="413" t="s">
        <v>455</v>
      </c>
      <c r="B14" s="413" t="s">
        <v>456</v>
      </c>
      <c r="C14" s="413" t="s">
        <v>252</v>
      </c>
      <c r="D14" s="413" t="s">
        <v>458</v>
      </c>
      <c r="E14" s="412"/>
      <c r="F14" s="412"/>
      <c r="G14" s="412"/>
      <c r="H14" s="412"/>
      <c r="I14" s="412"/>
      <c r="J14" s="412"/>
      <c r="K14" s="412"/>
      <c r="L14" s="412"/>
      <c r="M14" s="412"/>
    </row>
    <row r="15" spans="1:13" ht="16.2" x14ac:dyDescent="0.4">
      <c r="A15" s="414">
        <v>3</v>
      </c>
      <c r="B15" s="415" t="s">
        <v>469</v>
      </c>
      <c r="C15" s="425">
        <v>0</v>
      </c>
      <c r="D15" s="425">
        <v>1</v>
      </c>
      <c r="E15" s="412"/>
      <c r="F15" s="412"/>
      <c r="G15" s="412"/>
      <c r="H15" s="412"/>
      <c r="I15" s="412"/>
      <c r="J15" s="412"/>
      <c r="K15" s="412"/>
      <c r="L15" s="412"/>
      <c r="M15" s="41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80E9A-E8CE-407A-ACBC-E0172E0963EE}">
  <dimension ref="A1:S175"/>
  <sheetViews>
    <sheetView topLeftCell="A4" workbookViewId="0">
      <selection activeCell="E3" sqref="E3"/>
    </sheetView>
  </sheetViews>
  <sheetFormatPr defaultColWidth="8.88671875" defaultRowHeight="14.4" outlineLevelCol="3" x14ac:dyDescent="0.3"/>
  <cols>
    <col min="1" max="1" width="10.6640625" style="438" customWidth="1" outlineLevel="1"/>
    <col min="2" max="2" width="16.44140625" style="7" customWidth="1" outlineLevel="1"/>
    <col min="3" max="3" width="12.21875" style="438" customWidth="1" outlineLevel="1"/>
    <col min="4" max="4" width="34.109375" style="7" customWidth="1"/>
    <col min="5" max="5" width="48.44140625" style="115" customWidth="1"/>
    <col min="6" max="6" width="10.44140625" style="438" customWidth="1" outlineLevel="3"/>
    <col min="7" max="7" width="7.6640625" style="438" customWidth="1" outlineLevel="3"/>
    <col min="8" max="8" width="10.109375" style="438" customWidth="1" outlineLevel="3"/>
    <col min="9" max="9" width="11.77734375" style="438" customWidth="1" outlineLevel="3"/>
    <col min="10" max="10" width="11.21875" style="438" customWidth="1" outlineLevel="1"/>
    <col min="11" max="11" width="13.44140625" style="438" customWidth="1" outlineLevel="1"/>
    <col min="12" max="12" width="11.21875" style="438" customWidth="1" outlineLevel="1"/>
    <col min="13" max="13" width="18.109375" style="438" hidden="1" customWidth="1" outlineLevel="2"/>
    <col min="14" max="14" width="44.109375" style="115" hidden="1" customWidth="1" outlineLevel="2"/>
    <col min="15" max="15" width="15.109375" style="468" customWidth="1" outlineLevel="1" collapsed="1"/>
    <col min="16" max="16" width="33.6640625" style="468" customWidth="1" outlineLevel="1"/>
    <col min="17" max="17" width="13.33203125" style="438" customWidth="1" outlineLevel="1"/>
    <col min="18" max="18" width="27.5546875" style="438" customWidth="1" outlineLevel="1"/>
    <col min="19" max="19" width="42.6640625" style="438" customWidth="1" outlineLevel="1"/>
    <col min="20" max="16384" width="8.88671875" style="416"/>
  </cols>
  <sheetData>
    <row r="1" spans="1:19" s="443" customFormat="1" ht="23.4" thickBot="1" x14ac:dyDescent="0.35">
      <c r="A1" s="411" t="s">
        <v>675</v>
      </c>
      <c r="B1" s="409"/>
      <c r="C1" s="409"/>
      <c r="D1" s="409"/>
      <c r="E1" s="409"/>
      <c r="F1" s="410"/>
      <c r="G1" s="409" t="s">
        <v>676</v>
      </c>
      <c r="H1" s="409"/>
      <c r="I1" s="409"/>
      <c r="J1" s="409"/>
      <c r="K1" s="409"/>
      <c r="L1" s="439"/>
      <c r="M1" s="440" t="s">
        <v>677</v>
      </c>
      <c r="N1" s="441"/>
      <c r="O1" s="441"/>
      <c r="P1" s="442"/>
      <c r="Q1" s="440" t="s">
        <v>678</v>
      </c>
      <c r="R1" s="441"/>
      <c r="S1" s="442"/>
    </row>
    <row r="2" spans="1:19" s="455" customFormat="1" ht="154.80000000000001" customHeight="1" thickBot="1" x14ac:dyDescent="0.35">
      <c r="A2" s="444" t="s">
        <v>679</v>
      </c>
      <c r="B2" s="445" t="s">
        <v>202</v>
      </c>
      <c r="C2" s="445" t="s">
        <v>680</v>
      </c>
      <c r="D2" s="446" t="s">
        <v>681</v>
      </c>
      <c r="E2" s="447" t="s">
        <v>682</v>
      </c>
      <c r="F2" s="448" t="s">
        <v>683</v>
      </c>
      <c r="G2" s="445" t="s">
        <v>684</v>
      </c>
      <c r="H2" s="449" t="s">
        <v>685</v>
      </c>
      <c r="I2" s="448" t="s">
        <v>686</v>
      </c>
      <c r="J2" s="445" t="s">
        <v>687</v>
      </c>
      <c r="K2" s="450" t="s">
        <v>688</v>
      </c>
      <c r="L2" s="451" t="s">
        <v>689</v>
      </c>
      <c r="M2" s="448" t="s">
        <v>690</v>
      </c>
      <c r="N2" s="446" t="s">
        <v>691</v>
      </c>
      <c r="O2" s="446" t="s">
        <v>692</v>
      </c>
      <c r="P2" s="452" t="s">
        <v>693</v>
      </c>
      <c r="Q2" s="452" t="s">
        <v>211</v>
      </c>
      <c r="R2" s="453" t="s">
        <v>694</v>
      </c>
      <c r="S2" s="454" t="s">
        <v>695</v>
      </c>
    </row>
    <row r="3" spans="1:19" ht="169.8" customHeight="1" x14ac:dyDescent="0.3">
      <c r="A3" s="456" t="s">
        <v>44</v>
      </c>
      <c r="B3" s="456" t="s">
        <v>232</v>
      </c>
      <c r="C3" s="456" t="s">
        <v>696</v>
      </c>
      <c r="D3" s="457" t="s">
        <v>697</v>
      </c>
      <c r="E3" s="457" t="s">
        <v>698</v>
      </c>
      <c r="F3" s="458">
        <v>5</v>
      </c>
      <c r="G3" s="458">
        <v>5</v>
      </c>
      <c r="H3" s="458">
        <f t="shared" ref="H3:H32" si="0">F3*G3</f>
        <v>25</v>
      </c>
      <c r="I3" s="459">
        <v>0.2</v>
      </c>
      <c r="J3" s="460">
        <v>1000</v>
      </c>
      <c r="K3" s="461">
        <v>1</v>
      </c>
      <c r="L3" s="461" t="s">
        <v>699</v>
      </c>
      <c r="M3" s="461" t="s">
        <v>700</v>
      </c>
      <c r="N3" s="462" t="s">
        <v>701</v>
      </c>
      <c r="O3" s="463" t="s">
        <v>702</v>
      </c>
      <c r="P3" s="464" t="s">
        <v>703</v>
      </c>
      <c r="Q3" s="463" t="s">
        <v>451</v>
      </c>
      <c r="R3" s="465">
        <f ca="1">TODAY()</f>
        <v>46080</v>
      </c>
      <c r="S3" s="463" t="s">
        <v>704</v>
      </c>
    </row>
    <row r="4" spans="1:19" ht="118.8" x14ac:dyDescent="0.3">
      <c r="A4" s="456" t="s">
        <v>29</v>
      </c>
      <c r="B4" s="456" t="s">
        <v>705</v>
      </c>
      <c r="C4" s="456" t="s">
        <v>706</v>
      </c>
      <c r="D4" s="457" t="s">
        <v>707</v>
      </c>
      <c r="E4" s="457" t="s">
        <v>698</v>
      </c>
      <c r="F4" s="458">
        <v>3</v>
      </c>
      <c r="G4" s="458">
        <v>2</v>
      </c>
      <c r="H4" s="458">
        <f t="shared" si="0"/>
        <v>6</v>
      </c>
      <c r="I4" s="459">
        <v>0.3</v>
      </c>
      <c r="J4" s="460">
        <v>2000</v>
      </c>
      <c r="K4" s="461">
        <v>1</v>
      </c>
      <c r="L4" s="461" t="s">
        <v>708</v>
      </c>
      <c r="M4" s="461" t="s">
        <v>700</v>
      </c>
      <c r="N4" s="462" t="s">
        <v>701</v>
      </c>
      <c r="O4" s="463" t="s">
        <v>227</v>
      </c>
      <c r="P4" s="464" t="s">
        <v>703</v>
      </c>
      <c r="Q4" s="463" t="s">
        <v>709</v>
      </c>
      <c r="R4" s="466">
        <f ca="1">TODAY()+5</f>
        <v>46085</v>
      </c>
      <c r="S4" s="467" t="s">
        <v>704</v>
      </c>
    </row>
    <row r="5" spans="1:19" ht="118.8" x14ac:dyDescent="0.3">
      <c r="A5" s="456" t="s">
        <v>96</v>
      </c>
      <c r="B5" s="456" t="s">
        <v>710</v>
      </c>
      <c r="C5" s="456" t="s">
        <v>711</v>
      </c>
      <c r="D5" s="457" t="s">
        <v>697</v>
      </c>
      <c r="E5" s="457" t="s">
        <v>698</v>
      </c>
      <c r="F5" s="458">
        <v>5</v>
      </c>
      <c r="G5" s="458">
        <v>1</v>
      </c>
      <c r="H5" s="458">
        <f t="shared" si="0"/>
        <v>5</v>
      </c>
      <c r="I5" s="459">
        <v>0.4</v>
      </c>
      <c r="J5" s="460">
        <v>3000</v>
      </c>
      <c r="K5" s="461">
        <v>1</v>
      </c>
      <c r="L5" s="461" t="s">
        <v>712</v>
      </c>
      <c r="M5" s="461" t="s">
        <v>713</v>
      </c>
      <c r="N5" s="462" t="s">
        <v>701</v>
      </c>
      <c r="O5" s="463" t="s">
        <v>241</v>
      </c>
      <c r="P5" s="464" t="s">
        <v>703</v>
      </c>
      <c r="Q5" s="463" t="s">
        <v>714</v>
      </c>
      <c r="R5" s="466">
        <f ca="1">TODAY()-5</f>
        <v>46075</v>
      </c>
      <c r="S5" s="467" t="s">
        <v>704</v>
      </c>
    </row>
    <row r="6" spans="1:19" ht="118.8" x14ac:dyDescent="0.3">
      <c r="A6" s="456" t="s">
        <v>112</v>
      </c>
      <c r="B6" s="456" t="s">
        <v>715</v>
      </c>
      <c r="C6" s="456" t="s">
        <v>696</v>
      </c>
      <c r="D6" s="457" t="s">
        <v>707</v>
      </c>
      <c r="E6" s="457" t="s">
        <v>698</v>
      </c>
      <c r="F6" s="458">
        <v>4</v>
      </c>
      <c r="G6" s="458">
        <v>3</v>
      </c>
      <c r="H6" s="458">
        <f t="shared" si="0"/>
        <v>12</v>
      </c>
      <c r="I6" s="459">
        <v>0.5</v>
      </c>
      <c r="J6" s="460">
        <v>100</v>
      </c>
      <c r="K6" s="461">
        <v>1</v>
      </c>
      <c r="L6" s="461" t="s">
        <v>699</v>
      </c>
      <c r="M6" s="461" t="s">
        <v>716</v>
      </c>
      <c r="N6" s="462" t="s">
        <v>701</v>
      </c>
      <c r="O6" s="463" t="s">
        <v>123</v>
      </c>
      <c r="P6" s="464" t="s">
        <v>703</v>
      </c>
      <c r="Q6" s="463" t="s">
        <v>425</v>
      </c>
      <c r="R6" s="466">
        <f ca="1">TODAY()</f>
        <v>46080</v>
      </c>
      <c r="S6" s="467" t="s">
        <v>704</v>
      </c>
    </row>
    <row r="7" spans="1:19" ht="118.8" x14ac:dyDescent="0.3">
      <c r="A7" s="456" t="s">
        <v>127</v>
      </c>
      <c r="B7" s="456" t="s">
        <v>717</v>
      </c>
      <c r="C7" s="456" t="s">
        <v>706</v>
      </c>
      <c r="D7" s="457" t="s">
        <v>697</v>
      </c>
      <c r="E7" s="457" t="s">
        <v>698</v>
      </c>
      <c r="F7" s="458">
        <v>2</v>
      </c>
      <c r="G7" s="458">
        <v>5</v>
      </c>
      <c r="H7" s="458">
        <f t="shared" si="0"/>
        <v>10</v>
      </c>
      <c r="I7" s="459">
        <v>0.1</v>
      </c>
      <c r="J7" s="460">
        <v>5000</v>
      </c>
      <c r="K7" s="461">
        <v>1</v>
      </c>
      <c r="L7" s="461" t="s">
        <v>708</v>
      </c>
      <c r="M7" s="461" t="s">
        <v>700</v>
      </c>
      <c r="N7" s="462" t="s">
        <v>701</v>
      </c>
      <c r="O7" s="463" t="s">
        <v>718</v>
      </c>
      <c r="P7" s="464" t="s">
        <v>703</v>
      </c>
      <c r="Q7" s="463" t="s">
        <v>451</v>
      </c>
      <c r="R7" s="466">
        <f ca="1">TODAY()+5</f>
        <v>46085</v>
      </c>
      <c r="S7" s="467" t="s">
        <v>704</v>
      </c>
    </row>
    <row r="8" spans="1:19" ht="118.8" x14ac:dyDescent="0.3">
      <c r="A8" s="456" t="s">
        <v>147</v>
      </c>
      <c r="B8" s="456" t="s">
        <v>719</v>
      </c>
      <c r="C8" s="456" t="s">
        <v>711</v>
      </c>
      <c r="D8" s="457" t="s">
        <v>707</v>
      </c>
      <c r="E8" s="457" t="s">
        <v>698</v>
      </c>
      <c r="F8" s="458">
        <v>5</v>
      </c>
      <c r="G8" s="458">
        <v>2</v>
      </c>
      <c r="H8" s="458">
        <f t="shared" si="0"/>
        <v>10</v>
      </c>
      <c r="I8" s="459">
        <v>0.2</v>
      </c>
      <c r="J8" s="460">
        <v>6000</v>
      </c>
      <c r="K8" s="461">
        <v>1</v>
      </c>
      <c r="L8" s="461" t="s">
        <v>712</v>
      </c>
      <c r="M8" s="461" t="s">
        <v>720</v>
      </c>
      <c r="N8" s="462" t="s">
        <v>701</v>
      </c>
      <c r="O8" s="463" t="s">
        <v>702</v>
      </c>
      <c r="P8" s="464" t="s">
        <v>703</v>
      </c>
      <c r="Q8" s="463" t="s">
        <v>709</v>
      </c>
      <c r="R8" s="466">
        <f ca="1">TODAY()-5</f>
        <v>46075</v>
      </c>
      <c r="S8" s="467" t="s">
        <v>704</v>
      </c>
    </row>
    <row r="9" spans="1:19" ht="118.8" x14ac:dyDescent="0.3">
      <c r="A9" s="456" t="s">
        <v>721</v>
      </c>
      <c r="B9" s="456" t="s">
        <v>705</v>
      </c>
      <c r="C9" s="456" t="s">
        <v>696</v>
      </c>
      <c r="D9" s="457" t="s">
        <v>697</v>
      </c>
      <c r="E9" s="457" t="s">
        <v>698</v>
      </c>
      <c r="F9" s="458">
        <v>4</v>
      </c>
      <c r="G9" s="458">
        <v>4</v>
      </c>
      <c r="H9" s="458">
        <f t="shared" si="0"/>
        <v>16</v>
      </c>
      <c r="I9" s="459">
        <v>0.3</v>
      </c>
      <c r="J9" s="460">
        <v>10000</v>
      </c>
      <c r="K9" s="461">
        <v>1</v>
      </c>
      <c r="L9" s="461" t="s">
        <v>699</v>
      </c>
      <c r="M9" s="461" t="s">
        <v>722</v>
      </c>
      <c r="N9" s="462" t="s">
        <v>701</v>
      </c>
      <c r="O9" s="463" t="s">
        <v>227</v>
      </c>
      <c r="P9" s="464" t="s">
        <v>703</v>
      </c>
      <c r="Q9" s="463" t="s">
        <v>714</v>
      </c>
      <c r="R9" s="466">
        <f ca="1">TODAY()</f>
        <v>46080</v>
      </c>
      <c r="S9" s="467" t="s">
        <v>704</v>
      </c>
    </row>
    <row r="10" spans="1:19" ht="118.8" x14ac:dyDescent="0.3">
      <c r="A10" s="456" t="s">
        <v>723</v>
      </c>
      <c r="B10" s="456" t="s">
        <v>710</v>
      </c>
      <c r="C10" s="456" t="s">
        <v>706</v>
      </c>
      <c r="D10" s="457" t="s">
        <v>707</v>
      </c>
      <c r="E10" s="457" t="s">
        <v>698</v>
      </c>
      <c r="F10" s="458">
        <v>5</v>
      </c>
      <c r="G10" s="458">
        <v>5</v>
      </c>
      <c r="H10" s="458">
        <f t="shared" si="0"/>
        <v>25</v>
      </c>
      <c r="I10" s="459">
        <v>0.4</v>
      </c>
      <c r="J10" s="460">
        <v>2000</v>
      </c>
      <c r="K10" s="461">
        <v>1</v>
      </c>
      <c r="L10" s="461" t="s">
        <v>708</v>
      </c>
      <c r="M10" s="461" t="s">
        <v>700</v>
      </c>
      <c r="N10" s="462" t="s">
        <v>701</v>
      </c>
      <c r="O10" s="463" t="s">
        <v>241</v>
      </c>
      <c r="P10" s="464" t="s">
        <v>703</v>
      </c>
      <c r="Q10" s="463" t="s">
        <v>425</v>
      </c>
      <c r="R10" s="466">
        <f ca="1">TODAY()+5</f>
        <v>46085</v>
      </c>
      <c r="S10" s="467" t="s">
        <v>704</v>
      </c>
    </row>
    <row r="11" spans="1:19" ht="118.8" x14ac:dyDescent="0.3">
      <c r="A11" s="456" t="s">
        <v>724</v>
      </c>
      <c r="B11" s="456" t="s">
        <v>715</v>
      </c>
      <c r="C11" s="456" t="s">
        <v>711</v>
      </c>
      <c r="D11" s="457" t="s">
        <v>697</v>
      </c>
      <c r="E11" s="457" t="s">
        <v>698</v>
      </c>
      <c r="F11" s="458">
        <v>1</v>
      </c>
      <c r="G11" s="458">
        <v>2</v>
      </c>
      <c r="H11" s="458">
        <f t="shared" si="0"/>
        <v>2</v>
      </c>
      <c r="I11" s="459">
        <v>0.5</v>
      </c>
      <c r="J11" s="460">
        <v>8000</v>
      </c>
      <c r="K11" s="461">
        <v>1</v>
      </c>
      <c r="L11" s="461" t="s">
        <v>712</v>
      </c>
      <c r="M11" s="461" t="s">
        <v>713</v>
      </c>
      <c r="N11" s="462" t="s">
        <v>701</v>
      </c>
      <c r="O11" s="463" t="s">
        <v>123</v>
      </c>
      <c r="P11" s="464" t="s">
        <v>703</v>
      </c>
      <c r="Q11" s="463" t="s">
        <v>451</v>
      </c>
      <c r="R11" s="466">
        <f ca="1">TODAY()-5</f>
        <v>46075</v>
      </c>
      <c r="S11" s="467" t="s">
        <v>704</v>
      </c>
    </row>
    <row r="12" spans="1:19" ht="118.8" x14ac:dyDescent="0.3">
      <c r="A12" s="456" t="s">
        <v>725</v>
      </c>
      <c r="B12" s="456" t="s">
        <v>726</v>
      </c>
      <c r="C12" s="456" t="s">
        <v>696</v>
      </c>
      <c r="D12" s="457" t="s">
        <v>707</v>
      </c>
      <c r="E12" s="457" t="s">
        <v>698</v>
      </c>
      <c r="F12" s="458">
        <v>1</v>
      </c>
      <c r="G12" s="458">
        <v>2</v>
      </c>
      <c r="H12" s="458">
        <f t="shared" si="0"/>
        <v>2</v>
      </c>
      <c r="I12" s="459">
        <v>0.2</v>
      </c>
      <c r="J12" s="460">
        <v>3000</v>
      </c>
      <c r="K12" s="461">
        <v>1</v>
      </c>
      <c r="L12" s="461" t="s">
        <v>699</v>
      </c>
      <c r="M12" s="461" t="s">
        <v>716</v>
      </c>
      <c r="N12" s="462" t="s">
        <v>701</v>
      </c>
      <c r="O12" s="463" t="s">
        <v>718</v>
      </c>
      <c r="P12" s="464" t="s">
        <v>703</v>
      </c>
      <c r="Q12" s="463" t="s">
        <v>709</v>
      </c>
      <c r="R12" s="466">
        <f ca="1">TODAY()</f>
        <v>46080</v>
      </c>
      <c r="S12" s="467" t="s">
        <v>704</v>
      </c>
    </row>
    <row r="13" spans="1:19" ht="118.8" x14ac:dyDescent="0.3">
      <c r="A13" s="456" t="s">
        <v>727</v>
      </c>
      <c r="B13" s="456" t="s">
        <v>719</v>
      </c>
      <c r="C13" s="456" t="s">
        <v>706</v>
      </c>
      <c r="D13" s="457" t="s">
        <v>697</v>
      </c>
      <c r="E13" s="457" t="s">
        <v>698</v>
      </c>
      <c r="F13" s="458">
        <v>1</v>
      </c>
      <c r="G13" s="458">
        <v>2</v>
      </c>
      <c r="H13" s="458">
        <f t="shared" si="0"/>
        <v>2</v>
      </c>
      <c r="I13" s="459">
        <v>0.3</v>
      </c>
      <c r="J13" s="460">
        <v>3500</v>
      </c>
      <c r="K13" s="461">
        <v>1</v>
      </c>
      <c r="L13" s="461" t="s">
        <v>708</v>
      </c>
      <c r="M13" s="461" t="s">
        <v>700</v>
      </c>
      <c r="N13" s="462" t="s">
        <v>701</v>
      </c>
      <c r="O13" s="463" t="s">
        <v>702</v>
      </c>
      <c r="P13" s="464" t="s">
        <v>703</v>
      </c>
      <c r="Q13" s="463" t="s">
        <v>714</v>
      </c>
      <c r="R13" s="466">
        <f ca="1">TODAY()+5</f>
        <v>46085</v>
      </c>
      <c r="S13" s="467" t="s">
        <v>704</v>
      </c>
    </row>
    <row r="14" spans="1:19" ht="118.8" x14ac:dyDescent="0.3">
      <c r="A14" s="456" t="s">
        <v>728</v>
      </c>
      <c r="B14" s="456" t="s">
        <v>705</v>
      </c>
      <c r="C14" s="456" t="s">
        <v>711</v>
      </c>
      <c r="D14" s="457" t="s">
        <v>707</v>
      </c>
      <c r="E14" s="457" t="s">
        <v>698</v>
      </c>
      <c r="F14" s="458">
        <v>1</v>
      </c>
      <c r="G14" s="458">
        <v>2</v>
      </c>
      <c r="H14" s="458">
        <f t="shared" si="0"/>
        <v>2</v>
      </c>
      <c r="I14" s="459">
        <v>0.4</v>
      </c>
      <c r="J14" s="460">
        <v>6480</v>
      </c>
      <c r="K14" s="461">
        <v>1</v>
      </c>
      <c r="L14" s="461" t="s">
        <v>712</v>
      </c>
      <c r="M14" s="461" t="s">
        <v>729</v>
      </c>
      <c r="N14" s="462" t="s">
        <v>701</v>
      </c>
      <c r="O14" s="463" t="s">
        <v>227</v>
      </c>
      <c r="P14" s="464" t="s">
        <v>703</v>
      </c>
      <c r="Q14" s="463" t="s">
        <v>425</v>
      </c>
      <c r="R14" s="466">
        <f ca="1">TODAY()-5</f>
        <v>46075</v>
      </c>
      <c r="S14" s="467" t="s">
        <v>704</v>
      </c>
    </row>
    <row r="15" spans="1:19" ht="118.8" x14ac:dyDescent="0.3">
      <c r="A15" s="456" t="s">
        <v>730</v>
      </c>
      <c r="B15" s="456" t="s">
        <v>710</v>
      </c>
      <c r="C15" s="456" t="s">
        <v>696</v>
      </c>
      <c r="D15" s="457" t="s">
        <v>697</v>
      </c>
      <c r="E15" s="457" t="s">
        <v>698</v>
      </c>
      <c r="F15" s="458">
        <v>1</v>
      </c>
      <c r="G15" s="458">
        <v>3</v>
      </c>
      <c r="H15" s="458">
        <f t="shared" si="0"/>
        <v>3</v>
      </c>
      <c r="I15" s="459">
        <v>0.5</v>
      </c>
      <c r="J15" s="460">
        <v>6500</v>
      </c>
      <c r="K15" s="461">
        <v>1</v>
      </c>
      <c r="L15" s="461" t="s">
        <v>699</v>
      </c>
      <c r="M15" s="461" t="s">
        <v>729</v>
      </c>
      <c r="N15" s="462" t="s">
        <v>701</v>
      </c>
      <c r="O15" s="463" t="s">
        <v>241</v>
      </c>
      <c r="P15" s="464" t="s">
        <v>703</v>
      </c>
      <c r="Q15" s="463" t="s">
        <v>451</v>
      </c>
      <c r="R15" s="466">
        <f ca="1">TODAY()</f>
        <v>46080</v>
      </c>
      <c r="S15" s="467" t="s">
        <v>704</v>
      </c>
    </row>
    <row r="16" spans="1:19" ht="118.8" x14ac:dyDescent="0.3">
      <c r="A16" s="456" t="s">
        <v>731</v>
      </c>
      <c r="B16" s="456" t="s">
        <v>715</v>
      </c>
      <c r="C16" s="456" t="s">
        <v>706</v>
      </c>
      <c r="D16" s="457" t="s">
        <v>707</v>
      </c>
      <c r="E16" s="457" t="s">
        <v>698</v>
      </c>
      <c r="F16" s="458">
        <v>5</v>
      </c>
      <c r="G16" s="458">
        <v>4</v>
      </c>
      <c r="H16" s="458">
        <f t="shared" si="0"/>
        <v>20</v>
      </c>
      <c r="I16" s="459">
        <v>0.2</v>
      </c>
      <c r="J16" s="460">
        <v>9000</v>
      </c>
      <c r="K16" s="461">
        <v>1</v>
      </c>
      <c r="L16" s="461" t="s">
        <v>708</v>
      </c>
      <c r="M16" s="461" t="s">
        <v>716</v>
      </c>
      <c r="N16" s="462" t="s">
        <v>701</v>
      </c>
      <c r="O16" s="463" t="s">
        <v>123</v>
      </c>
      <c r="P16" s="464" t="s">
        <v>703</v>
      </c>
      <c r="Q16" s="463" t="s">
        <v>709</v>
      </c>
      <c r="R16" s="466">
        <f ca="1">TODAY()+5</f>
        <v>46085</v>
      </c>
      <c r="S16" s="467" t="s">
        <v>704</v>
      </c>
    </row>
    <row r="17" spans="1:19" ht="118.8" x14ac:dyDescent="0.3">
      <c r="A17" s="456" t="s">
        <v>732</v>
      </c>
      <c r="B17" s="456" t="s">
        <v>717</v>
      </c>
      <c r="C17" s="456" t="s">
        <v>711</v>
      </c>
      <c r="D17" s="457" t="s">
        <v>697</v>
      </c>
      <c r="E17" s="457" t="s">
        <v>698</v>
      </c>
      <c r="F17" s="458">
        <v>4</v>
      </c>
      <c r="G17" s="458">
        <v>3</v>
      </c>
      <c r="H17" s="458">
        <f t="shared" si="0"/>
        <v>12</v>
      </c>
      <c r="I17" s="459">
        <v>0.3</v>
      </c>
      <c r="J17" s="460">
        <v>8750</v>
      </c>
      <c r="K17" s="461">
        <v>1</v>
      </c>
      <c r="L17" s="461" t="s">
        <v>712</v>
      </c>
      <c r="M17" s="461" t="s">
        <v>716</v>
      </c>
      <c r="N17" s="462" t="s">
        <v>701</v>
      </c>
      <c r="O17" s="463" t="s">
        <v>718</v>
      </c>
      <c r="P17" s="464" t="s">
        <v>703</v>
      </c>
      <c r="Q17" s="463" t="s">
        <v>714</v>
      </c>
      <c r="R17" s="466">
        <f ca="1">TODAY()-5</f>
        <v>46075</v>
      </c>
      <c r="S17" s="467" t="s">
        <v>704</v>
      </c>
    </row>
    <row r="18" spans="1:19" ht="118.8" x14ac:dyDescent="0.3">
      <c r="A18" s="456" t="s">
        <v>733</v>
      </c>
      <c r="B18" s="456" t="s">
        <v>719</v>
      </c>
      <c r="C18" s="456" t="s">
        <v>696</v>
      </c>
      <c r="D18" s="457" t="s">
        <v>707</v>
      </c>
      <c r="E18" s="457" t="s">
        <v>698</v>
      </c>
      <c r="F18" s="458">
        <v>5</v>
      </c>
      <c r="G18" s="458">
        <v>5</v>
      </c>
      <c r="H18" s="458">
        <f t="shared" si="0"/>
        <v>25</v>
      </c>
      <c r="I18" s="459">
        <v>0.4</v>
      </c>
      <c r="J18" s="460">
        <v>250</v>
      </c>
      <c r="K18" s="461">
        <v>1</v>
      </c>
      <c r="L18" s="461" t="s">
        <v>699</v>
      </c>
      <c r="M18" s="461" t="s">
        <v>700</v>
      </c>
      <c r="N18" s="462" t="s">
        <v>701</v>
      </c>
      <c r="O18" s="463" t="s">
        <v>702</v>
      </c>
      <c r="P18" s="464" t="s">
        <v>703</v>
      </c>
      <c r="Q18" s="463" t="s">
        <v>425</v>
      </c>
      <c r="R18" s="466">
        <f ca="1">TODAY()</f>
        <v>46080</v>
      </c>
      <c r="S18" s="467" t="s">
        <v>704</v>
      </c>
    </row>
    <row r="19" spans="1:19" ht="118.8" x14ac:dyDescent="0.3">
      <c r="A19" s="456" t="s">
        <v>734</v>
      </c>
      <c r="B19" s="456" t="s">
        <v>705</v>
      </c>
      <c r="C19" s="456" t="s">
        <v>706</v>
      </c>
      <c r="D19" s="457" t="s">
        <v>697</v>
      </c>
      <c r="E19" s="457" t="s">
        <v>698</v>
      </c>
      <c r="F19" s="458">
        <v>5</v>
      </c>
      <c r="G19" s="458">
        <v>5</v>
      </c>
      <c r="H19" s="458">
        <f t="shared" si="0"/>
        <v>25</v>
      </c>
      <c r="I19" s="459">
        <v>0.5</v>
      </c>
      <c r="J19" s="460">
        <v>100</v>
      </c>
      <c r="K19" s="461">
        <v>1</v>
      </c>
      <c r="L19" s="461" t="s">
        <v>708</v>
      </c>
      <c r="M19" s="461" t="s">
        <v>729</v>
      </c>
      <c r="N19" s="462" t="s">
        <v>701</v>
      </c>
      <c r="O19" s="463" t="s">
        <v>227</v>
      </c>
      <c r="P19" s="464" t="s">
        <v>703</v>
      </c>
      <c r="Q19" s="463" t="s">
        <v>451</v>
      </c>
      <c r="R19" s="466">
        <f ca="1">TODAY()+5</f>
        <v>46085</v>
      </c>
      <c r="S19" s="467" t="s">
        <v>704</v>
      </c>
    </row>
    <row r="20" spans="1:19" ht="118.8" x14ac:dyDescent="0.3">
      <c r="A20" s="456" t="s">
        <v>735</v>
      </c>
      <c r="B20" s="456" t="s">
        <v>710</v>
      </c>
      <c r="C20" s="456" t="s">
        <v>711</v>
      </c>
      <c r="D20" s="457" t="s">
        <v>707</v>
      </c>
      <c r="E20" s="457" t="s">
        <v>698</v>
      </c>
      <c r="F20" s="458">
        <v>5</v>
      </c>
      <c r="G20" s="458">
        <v>5</v>
      </c>
      <c r="H20" s="458">
        <f t="shared" si="0"/>
        <v>25</v>
      </c>
      <c r="I20" s="459">
        <v>0.2</v>
      </c>
      <c r="J20" s="460">
        <v>600</v>
      </c>
      <c r="K20" s="461">
        <v>1</v>
      </c>
      <c r="L20" s="461" t="s">
        <v>712</v>
      </c>
      <c r="M20" s="461" t="s">
        <v>713</v>
      </c>
      <c r="N20" s="462" t="s">
        <v>701</v>
      </c>
      <c r="O20" s="463" t="s">
        <v>241</v>
      </c>
      <c r="P20" s="464" t="s">
        <v>703</v>
      </c>
      <c r="Q20" s="463" t="s">
        <v>709</v>
      </c>
      <c r="R20" s="466">
        <f ca="1">TODAY()-5</f>
        <v>46075</v>
      </c>
      <c r="S20" s="467" t="s">
        <v>704</v>
      </c>
    </row>
    <row r="21" spans="1:19" ht="118.8" x14ac:dyDescent="0.3">
      <c r="A21" s="456" t="s">
        <v>736</v>
      </c>
      <c r="B21" s="456" t="s">
        <v>715</v>
      </c>
      <c r="C21" s="456" t="s">
        <v>696</v>
      </c>
      <c r="D21" s="457" t="s">
        <v>697</v>
      </c>
      <c r="E21" s="457" t="s">
        <v>698</v>
      </c>
      <c r="F21" s="458">
        <v>5</v>
      </c>
      <c r="G21" s="458">
        <v>4</v>
      </c>
      <c r="H21" s="458">
        <f t="shared" si="0"/>
        <v>20</v>
      </c>
      <c r="I21" s="459">
        <v>0.3</v>
      </c>
      <c r="J21" s="460">
        <v>13000</v>
      </c>
      <c r="K21" s="461">
        <v>1</v>
      </c>
      <c r="L21" s="461" t="s">
        <v>699</v>
      </c>
      <c r="M21" s="461" t="s">
        <v>720</v>
      </c>
      <c r="N21" s="462" t="s">
        <v>701</v>
      </c>
      <c r="O21" s="463" t="s">
        <v>123</v>
      </c>
      <c r="P21" s="464" t="s">
        <v>703</v>
      </c>
      <c r="Q21" s="463" t="s">
        <v>714</v>
      </c>
      <c r="R21" s="466">
        <f ca="1">TODAY()</f>
        <v>46080</v>
      </c>
      <c r="S21" s="467" t="s">
        <v>704</v>
      </c>
    </row>
    <row r="22" spans="1:19" ht="118.8" x14ac:dyDescent="0.3">
      <c r="A22" s="456" t="s">
        <v>737</v>
      </c>
      <c r="B22" s="456" t="s">
        <v>726</v>
      </c>
      <c r="C22" s="456" t="s">
        <v>706</v>
      </c>
      <c r="D22" s="457" t="s">
        <v>707</v>
      </c>
      <c r="E22" s="457" t="s">
        <v>698</v>
      </c>
      <c r="F22" s="458">
        <v>5</v>
      </c>
      <c r="G22" s="458">
        <v>5</v>
      </c>
      <c r="H22" s="458">
        <f t="shared" si="0"/>
        <v>25</v>
      </c>
      <c r="I22" s="459">
        <v>0.4</v>
      </c>
      <c r="J22" s="460">
        <v>26000</v>
      </c>
      <c r="K22" s="461">
        <v>1</v>
      </c>
      <c r="L22" s="461" t="s">
        <v>708</v>
      </c>
      <c r="M22" s="461" t="s">
        <v>700</v>
      </c>
      <c r="N22" s="462" t="s">
        <v>701</v>
      </c>
      <c r="O22" s="463" t="s">
        <v>718</v>
      </c>
      <c r="P22" s="464" t="s">
        <v>703</v>
      </c>
      <c r="Q22" s="463" t="s">
        <v>425</v>
      </c>
      <c r="R22" s="466">
        <f ca="1">TODAY()+5</f>
        <v>46085</v>
      </c>
      <c r="S22" s="467" t="s">
        <v>704</v>
      </c>
    </row>
    <row r="23" spans="1:19" ht="118.8" x14ac:dyDescent="0.3">
      <c r="A23" s="456" t="s">
        <v>738</v>
      </c>
      <c r="B23" s="456" t="s">
        <v>719</v>
      </c>
      <c r="C23" s="456" t="s">
        <v>711</v>
      </c>
      <c r="D23" s="457" t="s">
        <v>697</v>
      </c>
      <c r="E23" s="457" t="s">
        <v>698</v>
      </c>
      <c r="F23" s="458">
        <v>5</v>
      </c>
      <c r="G23" s="458">
        <v>5</v>
      </c>
      <c r="H23" s="458">
        <f t="shared" si="0"/>
        <v>25</v>
      </c>
      <c r="I23" s="459">
        <v>0.5</v>
      </c>
      <c r="J23" s="460">
        <v>14500</v>
      </c>
      <c r="K23" s="461">
        <v>1</v>
      </c>
      <c r="L23" s="461" t="s">
        <v>712</v>
      </c>
      <c r="M23" s="461" t="s">
        <v>739</v>
      </c>
      <c r="N23" s="462" t="s">
        <v>701</v>
      </c>
      <c r="O23" s="463" t="s">
        <v>702</v>
      </c>
      <c r="P23" s="464" t="s">
        <v>703</v>
      </c>
      <c r="Q23" s="463" t="s">
        <v>451</v>
      </c>
      <c r="R23" s="466">
        <f ca="1">TODAY()-5</f>
        <v>46075</v>
      </c>
      <c r="S23" s="467" t="s">
        <v>704</v>
      </c>
    </row>
    <row r="24" spans="1:19" ht="118.8" x14ac:dyDescent="0.3">
      <c r="A24" s="456" t="s">
        <v>740</v>
      </c>
      <c r="B24" s="456" t="s">
        <v>705</v>
      </c>
      <c r="C24" s="456" t="s">
        <v>696</v>
      </c>
      <c r="D24" s="457" t="s">
        <v>707</v>
      </c>
      <c r="E24" s="457" t="s">
        <v>698</v>
      </c>
      <c r="F24" s="458">
        <v>5</v>
      </c>
      <c r="G24" s="458">
        <v>5</v>
      </c>
      <c r="H24" s="458">
        <f t="shared" si="0"/>
        <v>25</v>
      </c>
      <c r="I24" s="459">
        <v>0.2</v>
      </c>
      <c r="J24" s="460">
        <v>18000</v>
      </c>
      <c r="K24" s="461">
        <v>1</v>
      </c>
      <c r="L24" s="461" t="s">
        <v>699</v>
      </c>
      <c r="M24" s="461" t="s">
        <v>716</v>
      </c>
      <c r="N24" s="462" t="s">
        <v>701</v>
      </c>
      <c r="O24" s="463" t="s">
        <v>227</v>
      </c>
      <c r="P24" s="464" t="s">
        <v>703</v>
      </c>
      <c r="Q24" s="463" t="s">
        <v>709</v>
      </c>
      <c r="R24" s="466">
        <f ca="1">TODAY()</f>
        <v>46080</v>
      </c>
      <c r="S24" s="467" t="s">
        <v>704</v>
      </c>
    </row>
    <row r="25" spans="1:19" ht="118.8" x14ac:dyDescent="0.3">
      <c r="A25" s="456" t="s">
        <v>741</v>
      </c>
      <c r="B25" s="456" t="s">
        <v>710</v>
      </c>
      <c r="C25" s="456" t="s">
        <v>706</v>
      </c>
      <c r="D25" s="457" t="s">
        <v>697</v>
      </c>
      <c r="E25" s="457" t="s">
        <v>698</v>
      </c>
      <c r="F25" s="458">
        <v>5</v>
      </c>
      <c r="G25" s="458">
        <v>5</v>
      </c>
      <c r="H25" s="458">
        <f t="shared" si="0"/>
        <v>25</v>
      </c>
      <c r="I25" s="459">
        <v>0.3</v>
      </c>
      <c r="J25" s="460">
        <v>21500</v>
      </c>
      <c r="K25" s="461">
        <v>1</v>
      </c>
      <c r="L25" s="461" t="s">
        <v>708</v>
      </c>
      <c r="M25" s="461" t="s">
        <v>713</v>
      </c>
      <c r="N25" s="462" t="s">
        <v>701</v>
      </c>
      <c r="O25" s="463" t="s">
        <v>241</v>
      </c>
      <c r="P25" s="464" t="s">
        <v>703</v>
      </c>
      <c r="Q25" s="463" t="s">
        <v>714</v>
      </c>
      <c r="R25" s="466">
        <f ca="1">TODAY()+5</f>
        <v>46085</v>
      </c>
      <c r="S25" s="467" t="s">
        <v>704</v>
      </c>
    </row>
    <row r="26" spans="1:19" ht="118.8" x14ac:dyDescent="0.3">
      <c r="A26" s="456" t="s">
        <v>742</v>
      </c>
      <c r="B26" s="456" t="s">
        <v>715</v>
      </c>
      <c r="C26" s="456" t="s">
        <v>711</v>
      </c>
      <c r="D26" s="457" t="s">
        <v>707</v>
      </c>
      <c r="E26" s="457" t="s">
        <v>698</v>
      </c>
      <c r="F26" s="458">
        <v>5</v>
      </c>
      <c r="G26" s="458">
        <v>5</v>
      </c>
      <c r="H26" s="458">
        <f t="shared" si="0"/>
        <v>25</v>
      </c>
      <c r="I26" s="459">
        <v>0.4</v>
      </c>
      <c r="J26" s="460">
        <v>1450</v>
      </c>
      <c r="K26" s="461">
        <v>1</v>
      </c>
      <c r="L26" s="461" t="s">
        <v>712</v>
      </c>
      <c r="M26" s="461" t="s">
        <v>720</v>
      </c>
      <c r="N26" s="462" t="s">
        <v>701</v>
      </c>
      <c r="O26" s="463" t="s">
        <v>123</v>
      </c>
      <c r="P26" s="464" t="s">
        <v>703</v>
      </c>
      <c r="Q26" s="463" t="s">
        <v>425</v>
      </c>
      <c r="R26" s="466">
        <f ca="1">TODAY()-5</f>
        <v>46075</v>
      </c>
      <c r="S26" s="467" t="s">
        <v>704</v>
      </c>
    </row>
    <row r="27" spans="1:19" ht="118.8" x14ac:dyDescent="0.3">
      <c r="A27" s="456" t="s">
        <v>743</v>
      </c>
      <c r="B27" s="456" t="s">
        <v>726</v>
      </c>
      <c r="C27" s="456" t="s">
        <v>696</v>
      </c>
      <c r="D27" s="457" t="s">
        <v>697</v>
      </c>
      <c r="E27" s="457" t="s">
        <v>698</v>
      </c>
      <c r="F27" s="458">
        <v>5</v>
      </c>
      <c r="G27" s="458">
        <v>5</v>
      </c>
      <c r="H27" s="458">
        <f t="shared" si="0"/>
        <v>25</v>
      </c>
      <c r="I27" s="459">
        <v>0.5</v>
      </c>
      <c r="J27" s="460">
        <v>1000</v>
      </c>
      <c r="K27" s="461">
        <v>1</v>
      </c>
      <c r="L27" s="461" t="s">
        <v>699</v>
      </c>
      <c r="M27" s="461" t="s">
        <v>700</v>
      </c>
      <c r="N27" s="462" t="s">
        <v>701</v>
      </c>
      <c r="O27" s="463" t="s">
        <v>718</v>
      </c>
      <c r="P27" s="464" t="s">
        <v>703</v>
      </c>
      <c r="Q27" s="463" t="s">
        <v>451</v>
      </c>
      <c r="R27" s="466">
        <f ca="1">TODAY()</f>
        <v>46080</v>
      </c>
      <c r="S27" s="467" t="s">
        <v>704</v>
      </c>
    </row>
    <row r="28" spans="1:19" ht="118.8" x14ac:dyDescent="0.3">
      <c r="A28" s="456" t="s">
        <v>744</v>
      </c>
      <c r="B28" s="456" t="s">
        <v>719</v>
      </c>
      <c r="C28" s="456" t="s">
        <v>706</v>
      </c>
      <c r="D28" s="457" t="s">
        <v>707</v>
      </c>
      <c r="E28" s="457" t="s">
        <v>698</v>
      </c>
      <c r="F28" s="458">
        <v>5</v>
      </c>
      <c r="G28" s="458">
        <v>5</v>
      </c>
      <c r="H28" s="458">
        <f t="shared" si="0"/>
        <v>25</v>
      </c>
      <c r="I28" s="459">
        <v>0.2</v>
      </c>
      <c r="J28" s="460">
        <v>6200</v>
      </c>
      <c r="K28" s="461">
        <v>1</v>
      </c>
      <c r="L28" s="461" t="s">
        <v>708</v>
      </c>
      <c r="M28" s="461" t="s">
        <v>739</v>
      </c>
      <c r="N28" s="462" t="s">
        <v>701</v>
      </c>
      <c r="O28" s="463" t="s">
        <v>702</v>
      </c>
      <c r="P28" s="464" t="s">
        <v>703</v>
      </c>
      <c r="Q28" s="463" t="s">
        <v>709</v>
      </c>
      <c r="R28" s="466">
        <f ca="1">TODAY()+5</f>
        <v>46085</v>
      </c>
      <c r="S28" s="467" t="s">
        <v>704</v>
      </c>
    </row>
    <row r="29" spans="1:19" ht="118.8" x14ac:dyDescent="0.3">
      <c r="A29" s="456" t="s">
        <v>745</v>
      </c>
      <c r="B29" s="456" t="s">
        <v>705</v>
      </c>
      <c r="C29" s="456" t="s">
        <v>711</v>
      </c>
      <c r="D29" s="457" t="s">
        <v>697</v>
      </c>
      <c r="E29" s="457" t="s">
        <v>698</v>
      </c>
      <c r="F29" s="458">
        <v>5</v>
      </c>
      <c r="G29" s="458">
        <v>5</v>
      </c>
      <c r="H29" s="458">
        <f t="shared" si="0"/>
        <v>25</v>
      </c>
      <c r="I29" s="459">
        <v>0.3</v>
      </c>
      <c r="J29" s="460">
        <v>1000</v>
      </c>
      <c r="K29" s="461">
        <v>1</v>
      </c>
      <c r="L29" s="461" t="s">
        <v>712</v>
      </c>
      <c r="M29" s="461" t="s">
        <v>713</v>
      </c>
      <c r="N29" s="462" t="s">
        <v>701</v>
      </c>
      <c r="O29" s="463" t="s">
        <v>227</v>
      </c>
      <c r="P29" s="464" t="s">
        <v>703</v>
      </c>
      <c r="Q29" s="463" t="s">
        <v>714</v>
      </c>
      <c r="R29" s="466">
        <f ca="1">TODAY()-5</f>
        <v>46075</v>
      </c>
      <c r="S29" s="467" t="s">
        <v>704</v>
      </c>
    </row>
    <row r="30" spans="1:19" ht="118.8" x14ac:dyDescent="0.3">
      <c r="A30" s="456" t="s">
        <v>746</v>
      </c>
      <c r="B30" s="456" t="s">
        <v>710</v>
      </c>
      <c r="C30" s="456" t="s">
        <v>696</v>
      </c>
      <c r="D30" s="457" t="s">
        <v>707</v>
      </c>
      <c r="E30" s="457" t="s">
        <v>698</v>
      </c>
      <c r="F30" s="458">
        <v>5</v>
      </c>
      <c r="G30" s="458">
        <v>5</v>
      </c>
      <c r="H30" s="458">
        <f t="shared" si="0"/>
        <v>25</v>
      </c>
      <c r="I30" s="459">
        <v>0.4</v>
      </c>
      <c r="J30" s="460">
        <v>1000</v>
      </c>
      <c r="K30" s="461">
        <v>1</v>
      </c>
      <c r="L30" s="461" t="s">
        <v>699</v>
      </c>
      <c r="M30" s="461" t="s">
        <v>720</v>
      </c>
      <c r="N30" s="462" t="s">
        <v>701</v>
      </c>
      <c r="O30" s="463" t="s">
        <v>241</v>
      </c>
      <c r="P30" s="464" t="s">
        <v>703</v>
      </c>
      <c r="Q30" s="463" t="s">
        <v>425</v>
      </c>
      <c r="R30" s="466">
        <f ca="1">TODAY()</f>
        <v>46080</v>
      </c>
      <c r="S30" s="467" t="s">
        <v>704</v>
      </c>
    </row>
    <row r="31" spans="1:19" ht="118.8" x14ac:dyDescent="0.3">
      <c r="A31" s="456" t="s">
        <v>747</v>
      </c>
      <c r="B31" s="456" t="s">
        <v>715</v>
      </c>
      <c r="C31" s="456" t="s">
        <v>706</v>
      </c>
      <c r="D31" s="457" t="s">
        <v>697</v>
      </c>
      <c r="E31" s="457" t="s">
        <v>698</v>
      </c>
      <c r="F31" s="458">
        <v>5</v>
      </c>
      <c r="G31" s="458">
        <v>5</v>
      </c>
      <c r="H31" s="458">
        <f t="shared" si="0"/>
        <v>25</v>
      </c>
      <c r="I31" s="459">
        <v>0.5</v>
      </c>
      <c r="J31" s="460">
        <v>1000</v>
      </c>
      <c r="K31" s="461">
        <v>1</v>
      </c>
      <c r="L31" s="461" t="s">
        <v>708</v>
      </c>
      <c r="M31" s="461" t="s">
        <v>700</v>
      </c>
      <c r="N31" s="462" t="s">
        <v>701</v>
      </c>
      <c r="O31" s="463" t="s">
        <v>123</v>
      </c>
      <c r="P31" s="464" t="s">
        <v>703</v>
      </c>
      <c r="Q31" s="463" t="s">
        <v>451</v>
      </c>
      <c r="R31" s="466">
        <f ca="1">TODAY()+5</f>
        <v>46085</v>
      </c>
      <c r="S31" s="467" t="s">
        <v>704</v>
      </c>
    </row>
    <row r="32" spans="1:19" ht="118.8" x14ac:dyDescent="0.3">
      <c r="A32" s="456" t="s">
        <v>748</v>
      </c>
      <c r="B32" s="456" t="s">
        <v>726</v>
      </c>
      <c r="C32" s="456" t="s">
        <v>711</v>
      </c>
      <c r="D32" s="457" t="s">
        <v>707</v>
      </c>
      <c r="E32" s="457" t="s">
        <v>698</v>
      </c>
      <c r="F32" s="458">
        <v>5</v>
      </c>
      <c r="G32" s="458">
        <v>5</v>
      </c>
      <c r="H32" s="458">
        <f t="shared" si="0"/>
        <v>25</v>
      </c>
      <c r="I32" s="459">
        <v>0.2</v>
      </c>
      <c r="J32" s="460">
        <v>1000</v>
      </c>
      <c r="K32" s="461">
        <v>1</v>
      </c>
      <c r="L32" s="461" t="s">
        <v>712</v>
      </c>
      <c r="M32" s="461" t="s">
        <v>739</v>
      </c>
      <c r="N32" s="462" t="s">
        <v>701</v>
      </c>
      <c r="O32" s="463" t="s">
        <v>718</v>
      </c>
      <c r="P32" s="464" t="s">
        <v>703</v>
      </c>
      <c r="Q32" s="463" t="s">
        <v>709</v>
      </c>
      <c r="R32" s="466">
        <f ca="1">TODAY()-5</f>
        <v>46075</v>
      </c>
      <c r="S32" s="467" t="s">
        <v>704</v>
      </c>
    </row>
    <row r="33" spans="1:19" x14ac:dyDescent="0.3">
      <c r="A33" s="456"/>
      <c r="B33" s="456"/>
      <c r="C33" s="456"/>
      <c r="D33" s="457"/>
      <c r="E33" s="457"/>
      <c r="F33" s="458"/>
      <c r="G33" s="458"/>
      <c r="H33" s="458"/>
      <c r="I33" s="459"/>
      <c r="J33" s="460"/>
      <c r="K33" s="461"/>
      <c r="L33" s="461"/>
      <c r="M33" s="461"/>
      <c r="N33" s="462"/>
      <c r="O33" s="463"/>
      <c r="P33" s="464"/>
      <c r="Q33" s="463"/>
      <c r="R33" s="466"/>
      <c r="S33" s="467"/>
    </row>
    <row r="34" spans="1:19" x14ac:dyDescent="0.3">
      <c r="A34" s="456"/>
      <c r="B34" s="456"/>
      <c r="C34" s="456"/>
      <c r="D34" s="457"/>
      <c r="E34" s="457"/>
      <c r="F34" s="458"/>
      <c r="G34" s="458"/>
      <c r="H34" s="458"/>
      <c r="I34" s="459"/>
      <c r="J34" s="460"/>
      <c r="K34" s="461"/>
      <c r="L34" s="461"/>
      <c r="M34" s="461"/>
      <c r="N34" s="462"/>
      <c r="O34" s="463"/>
      <c r="P34" s="464"/>
      <c r="Q34" s="463"/>
      <c r="R34" s="466"/>
      <c r="S34" s="467"/>
    </row>
    <row r="35" spans="1:19" x14ac:dyDescent="0.3">
      <c r="A35" s="456"/>
      <c r="B35" s="456"/>
      <c r="C35" s="456"/>
      <c r="D35" s="457"/>
      <c r="E35" s="457"/>
      <c r="F35" s="458"/>
      <c r="G35" s="458"/>
      <c r="H35" s="458"/>
      <c r="I35" s="459"/>
      <c r="J35" s="460"/>
      <c r="K35" s="461"/>
      <c r="L35" s="461"/>
      <c r="M35" s="461"/>
      <c r="N35" s="462"/>
      <c r="O35" s="463"/>
      <c r="P35" s="464"/>
      <c r="Q35" s="463"/>
      <c r="R35" s="466"/>
      <c r="S35" s="467"/>
    </row>
    <row r="36" spans="1:19" x14ac:dyDescent="0.3">
      <c r="A36" s="456"/>
      <c r="B36" s="456"/>
      <c r="C36" s="456"/>
      <c r="D36" s="457"/>
      <c r="E36" s="457"/>
      <c r="F36" s="458"/>
      <c r="G36" s="458"/>
      <c r="H36" s="458"/>
      <c r="I36" s="459"/>
      <c r="J36" s="460"/>
      <c r="K36" s="461"/>
      <c r="L36" s="461"/>
      <c r="M36" s="461"/>
      <c r="N36" s="462"/>
      <c r="O36" s="463"/>
      <c r="P36" s="464"/>
      <c r="Q36" s="463"/>
      <c r="R36" s="466"/>
      <c r="S36" s="467"/>
    </row>
    <row r="37" spans="1:19" x14ac:dyDescent="0.3">
      <c r="A37" s="456"/>
      <c r="B37" s="456"/>
      <c r="C37" s="456"/>
      <c r="D37" s="457"/>
      <c r="E37" s="457"/>
      <c r="F37" s="458"/>
      <c r="G37" s="458"/>
      <c r="H37" s="458"/>
      <c r="I37" s="459"/>
      <c r="J37" s="460"/>
      <c r="K37" s="461"/>
      <c r="L37" s="461"/>
      <c r="M37" s="461"/>
      <c r="N37" s="462"/>
      <c r="O37" s="463"/>
      <c r="P37" s="464"/>
      <c r="Q37" s="463"/>
      <c r="R37" s="466"/>
      <c r="S37" s="467"/>
    </row>
    <row r="38" spans="1:19" x14ac:dyDescent="0.3">
      <c r="A38" s="456"/>
      <c r="B38" s="456"/>
      <c r="C38" s="456"/>
      <c r="D38" s="457"/>
      <c r="E38" s="457"/>
      <c r="F38" s="458"/>
      <c r="G38" s="458"/>
      <c r="H38" s="458"/>
      <c r="I38" s="459"/>
      <c r="J38" s="460"/>
      <c r="K38" s="461"/>
      <c r="L38" s="461"/>
      <c r="M38" s="461"/>
      <c r="N38" s="462"/>
      <c r="O38" s="463"/>
      <c r="P38" s="464"/>
      <c r="Q38" s="463"/>
      <c r="R38" s="466"/>
      <c r="S38" s="467"/>
    </row>
    <row r="39" spans="1:19" x14ac:dyDescent="0.3">
      <c r="A39" s="456"/>
      <c r="B39" s="456"/>
      <c r="C39" s="456"/>
      <c r="D39" s="457"/>
      <c r="E39" s="457"/>
      <c r="F39" s="458"/>
      <c r="G39" s="458"/>
      <c r="H39" s="458"/>
      <c r="I39" s="459"/>
      <c r="J39" s="460"/>
      <c r="K39" s="461"/>
      <c r="L39" s="461"/>
      <c r="M39" s="461"/>
      <c r="N39" s="462"/>
      <c r="O39" s="463"/>
      <c r="P39" s="464"/>
      <c r="Q39" s="463"/>
      <c r="R39" s="466"/>
      <c r="S39" s="467"/>
    </row>
    <row r="40" spans="1:19" x14ac:dyDescent="0.3">
      <c r="A40" s="456"/>
      <c r="B40" s="456"/>
      <c r="C40" s="456"/>
      <c r="D40" s="457"/>
      <c r="E40" s="457"/>
      <c r="F40" s="458"/>
      <c r="G40" s="458"/>
      <c r="H40" s="458"/>
      <c r="I40" s="459"/>
      <c r="J40" s="460"/>
      <c r="K40" s="461"/>
      <c r="L40" s="461"/>
      <c r="M40" s="461"/>
      <c r="N40" s="462"/>
      <c r="O40" s="463"/>
      <c r="P40" s="464"/>
      <c r="Q40" s="463"/>
      <c r="R40" s="466"/>
      <c r="S40" s="467"/>
    </row>
    <row r="41" spans="1:19" x14ac:dyDescent="0.3">
      <c r="A41" s="456"/>
      <c r="B41" s="456"/>
      <c r="C41" s="456"/>
      <c r="D41" s="457"/>
      <c r="E41" s="457"/>
      <c r="F41" s="458"/>
      <c r="G41" s="458"/>
      <c r="H41" s="458"/>
      <c r="I41" s="459"/>
      <c r="J41" s="460"/>
      <c r="K41" s="461"/>
      <c r="L41" s="461"/>
      <c r="M41" s="461"/>
      <c r="N41" s="462"/>
      <c r="O41" s="463"/>
      <c r="P41" s="464"/>
      <c r="Q41" s="463"/>
      <c r="R41" s="466"/>
      <c r="S41" s="467"/>
    </row>
    <row r="42" spans="1:19" x14ac:dyDescent="0.3">
      <c r="A42" s="456"/>
      <c r="B42" s="456"/>
      <c r="C42" s="456"/>
      <c r="D42" s="457"/>
      <c r="E42" s="457"/>
      <c r="F42" s="458"/>
      <c r="G42" s="458"/>
      <c r="H42" s="458"/>
      <c r="I42" s="459"/>
      <c r="J42" s="460"/>
      <c r="K42" s="461"/>
      <c r="L42" s="461"/>
      <c r="M42" s="461"/>
      <c r="N42" s="462"/>
      <c r="O42" s="463"/>
      <c r="P42" s="464"/>
      <c r="Q42" s="463"/>
      <c r="R42" s="466"/>
      <c r="S42" s="467"/>
    </row>
    <row r="43" spans="1:19" x14ac:dyDescent="0.3">
      <c r="A43" s="456"/>
      <c r="B43" s="456"/>
      <c r="C43" s="456"/>
      <c r="D43" s="457"/>
      <c r="E43" s="457"/>
      <c r="F43" s="458"/>
      <c r="G43" s="458"/>
      <c r="H43" s="458"/>
      <c r="I43" s="459"/>
      <c r="J43" s="460"/>
      <c r="K43" s="461"/>
      <c r="L43" s="461"/>
      <c r="M43" s="461"/>
      <c r="N43" s="462"/>
      <c r="O43" s="463"/>
      <c r="P43" s="464"/>
      <c r="Q43" s="463"/>
      <c r="R43" s="466"/>
      <c r="S43" s="467"/>
    </row>
    <row r="44" spans="1:19" x14ac:dyDescent="0.3">
      <c r="A44" s="456"/>
      <c r="B44" s="456"/>
      <c r="C44" s="456"/>
      <c r="D44" s="457"/>
      <c r="E44" s="457"/>
      <c r="F44" s="458"/>
      <c r="G44" s="458"/>
      <c r="H44" s="458"/>
      <c r="I44" s="459"/>
      <c r="J44" s="460"/>
      <c r="K44" s="461"/>
      <c r="L44" s="461"/>
      <c r="M44" s="461"/>
      <c r="N44" s="462"/>
      <c r="O44" s="463"/>
      <c r="P44" s="464"/>
      <c r="Q44" s="463"/>
      <c r="R44" s="466"/>
      <c r="S44" s="467"/>
    </row>
    <row r="45" spans="1:19" x14ac:dyDescent="0.3">
      <c r="A45" s="456"/>
      <c r="B45" s="456"/>
      <c r="C45" s="456"/>
      <c r="D45" s="457"/>
      <c r="E45" s="457"/>
      <c r="F45" s="458"/>
      <c r="G45" s="458"/>
      <c r="H45" s="458"/>
      <c r="I45" s="459"/>
      <c r="J45" s="460"/>
      <c r="K45" s="461"/>
      <c r="L45" s="461"/>
      <c r="M45" s="461"/>
      <c r="N45" s="462"/>
      <c r="O45" s="463"/>
      <c r="P45" s="464"/>
      <c r="Q45" s="463"/>
      <c r="R45" s="466"/>
      <c r="S45" s="467"/>
    </row>
    <row r="46" spans="1:19" x14ac:dyDescent="0.3">
      <c r="A46" s="456"/>
      <c r="B46" s="456"/>
      <c r="C46" s="456"/>
      <c r="D46" s="457"/>
      <c r="E46" s="457"/>
      <c r="F46" s="458"/>
      <c r="G46" s="458"/>
      <c r="H46" s="458"/>
      <c r="I46" s="459"/>
      <c r="J46" s="460"/>
      <c r="K46" s="461"/>
      <c r="L46" s="461"/>
      <c r="M46" s="461"/>
      <c r="N46" s="462"/>
      <c r="O46" s="463"/>
      <c r="P46" s="464"/>
      <c r="Q46" s="463"/>
      <c r="R46" s="466"/>
      <c r="S46" s="467"/>
    </row>
    <row r="47" spans="1:19" x14ac:dyDescent="0.3">
      <c r="A47" s="456"/>
      <c r="B47" s="456"/>
      <c r="C47" s="456"/>
      <c r="D47" s="457"/>
      <c r="E47" s="457"/>
      <c r="F47" s="458"/>
      <c r="G47" s="458"/>
      <c r="H47" s="458"/>
      <c r="I47" s="459"/>
      <c r="J47" s="460"/>
      <c r="K47" s="461"/>
      <c r="L47" s="461"/>
      <c r="M47" s="461"/>
      <c r="N47" s="462"/>
      <c r="O47" s="463"/>
      <c r="P47" s="464"/>
      <c r="Q47" s="463"/>
      <c r="R47" s="466"/>
      <c r="S47" s="467"/>
    </row>
    <row r="48" spans="1:19" x14ac:dyDescent="0.3">
      <c r="A48" s="456"/>
      <c r="B48" s="456"/>
      <c r="C48" s="456"/>
      <c r="D48" s="457"/>
      <c r="E48" s="457"/>
      <c r="F48" s="458"/>
      <c r="G48" s="458"/>
      <c r="H48" s="458"/>
      <c r="I48" s="459"/>
      <c r="J48" s="460"/>
      <c r="K48" s="461"/>
      <c r="L48" s="461"/>
      <c r="M48" s="461"/>
      <c r="N48" s="462"/>
      <c r="O48" s="463"/>
      <c r="P48" s="464"/>
      <c r="Q48" s="463"/>
      <c r="R48" s="466"/>
      <c r="S48" s="467"/>
    </row>
    <row r="49" spans="1:19" x14ac:dyDescent="0.3">
      <c r="A49" s="456"/>
      <c r="B49" s="456"/>
      <c r="C49" s="456"/>
      <c r="D49" s="457"/>
      <c r="E49" s="457"/>
      <c r="F49" s="458"/>
      <c r="G49" s="458"/>
      <c r="H49" s="458"/>
      <c r="I49" s="459"/>
      <c r="J49" s="460"/>
      <c r="K49" s="461"/>
      <c r="L49" s="461"/>
      <c r="M49" s="461"/>
      <c r="N49" s="462"/>
      <c r="O49" s="463"/>
      <c r="P49" s="464"/>
      <c r="Q49" s="463"/>
      <c r="R49" s="466"/>
      <c r="S49" s="467"/>
    </row>
    <row r="50" spans="1:19" x14ac:dyDescent="0.3">
      <c r="A50" s="456"/>
      <c r="B50" s="456"/>
      <c r="C50" s="456"/>
      <c r="D50" s="457"/>
      <c r="E50" s="457"/>
      <c r="F50" s="458"/>
      <c r="G50" s="458"/>
      <c r="H50" s="458"/>
      <c r="I50" s="459"/>
      <c r="J50" s="460"/>
      <c r="K50" s="461"/>
      <c r="L50" s="461"/>
      <c r="M50" s="461"/>
      <c r="N50" s="462"/>
      <c r="O50" s="463"/>
      <c r="P50" s="464"/>
      <c r="Q50" s="463"/>
      <c r="R50" s="466"/>
      <c r="S50" s="467"/>
    </row>
    <row r="51" spans="1:19" x14ac:dyDescent="0.3">
      <c r="A51" s="456"/>
      <c r="B51" s="456"/>
      <c r="C51" s="456"/>
      <c r="D51" s="457"/>
      <c r="E51" s="457"/>
      <c r="F51" s="458"/>
      <c r="G51" s="458"/>
      <c r="H51" s="458"/>
      <c r="I51" s="459"/>
      <c r="J51" s="460"/>
      <c r="K51" s="461"/>
      <c r="L51" s="461"/>
      <c r="M51" s="461"/>
      <c r="N51" s="462"/>
      <c r="O51" s="463"/>
      <c r="P51" s="464"/>
      <c r="Q51" s="463"/>
      <c r="R51" s="466"/>
      <c r="S51" s="467"/>
    </row>
    <row r="52" spans="1:19" x14ac:dyDescent="0.3">
      <c r="A52" s="456"/>
      <c r="B52" s="456"/>
      <c r="C52" s="456"/>
      <c r="D52" s="457"/>
      <c r="E52" s="457"/>
      <c r="F52" s="458"/>
      <c r="G52" s="458"/>
      <c r="H52" s="458"/>
      <c r="I52" s="459"/>
      <c r="J52" s="460"/>
      <c r="K52" s="461"/>
      <c r="L52" s="461"/>
      <c r="M52" s="461"/>
      <c r="N52" s="462"/>
      <c r="O52" s="463"/>
      <c r="P52" s="464"/>
      <c r="Q52" s="463"/>
      <c r="R52" s="466"/>
      <c r="S52" s="467"/>
    </row>
    <row r="53" spans="1:19" x14ac:dyDescent="0.3">
      <c r="A53" s="456"/>
      <c r="B53" s="456"/>
      <c r="C53" s="456"/>
      <c r="D53" s="457"/>
      <c r="E53" s="457"/>
      <c r="F53" s="458"/>
      <c r="G53" s="458"/>
      <c r="H53" s="458"/>
      <c r="I53" s="459"/>
      <c r="J53" s="460"/>
      <c r="K53" s="461"/>
      <c r="L53" s="461"/>
      <c r="M53" s="461"/>
      <c r="N53" s="462"/>
      <c r="O53" s="463"/>
      <c r="P53" s="464"/>
      <c r="Q53" s="463"/>
      <c r="R53" s="466"/>
      <c r="S53" s="467"/>
    </row>
    <row r="54" spans="1:19" x14ac:dyDescent="0.3">
      <c r="A54" s="456"/>
      <c r="B54" s="456"/>
      <c r="C54" s="456"/>
      <c r="D54" s="457"/>
      <c r="E54" s="457"/>
      <c r="F54" s="458"/>
      <c r="G54" s="458"/>
      <c r="H54" s="458"/>
      <c r="I54" s="459"/>
      <c r="J54" s="460"/>
      <c r="K54" s="461"/>
      <c r="L54" s="461"/>
      <c r="M54" s="461"/>
      <c r="N54" s="462"/>
      <c r="O54" s="463"/>
      <c r="P54" s="464"/>
      <c r="Q54" s="463"/>
      <c r="R54" s="466"/>
      <c r="S54" s="467"/>
    </row>
    <row r="55" spans="1:19" x14ac:dyDescent="0.3">
      <c r="A55" s="456"/>
      <c r="B55" s="456"/>
      <c r="C55" s="456"/>
      <c r="D55" s="457"/>
      <c r="E55" s="457"/>
      <c r="F55" s="458"/>
      <c r="G55" s="458"/>
      <c r="H55" s="458"/>
      <c r="I55" s="459"/>
      <c r="J55" s="460"/>
      <c r="K55" s="461"/>
      <c r="L55" s="461"/>
      <c r="M55" s="461"/>
      <c r="N55" s="462"/>
      <c r="O55" s="463"/>
      <c r="P55" s="464"/>
      <c r="Q55" s="463"/>
      <c r="R55" s="466"/>
      <c r="S55" s="467"/>
    </row>
    <row r="56" spans="1:19" x14ac:dyDescent="0.3">
      <c r="A56" s="456"/>
      <c r="B56" s="456"/>
      <c r="C56" s="456"/>
      <c r="D56" s="457"/>
      <c r="E56" s="457"/>
      <c r="F56" s="458"/>
      <c r="G56" s="458"/>
      <c r="H56" s="458"/>
      <c r="I56" s="459"/>
      <c r="J56" s="460"/>
      <c r="K56" s="461"/>
      <c r="L56" s="461"/>
      <c r="M56" s="461"/>
      <c r="N56" s="462"/>
      <c r="O56" s="463"/>
      <c r="P56" s="464"/>
      <c r="Q56" s="463"/>
      <c r="R56" s="466"/>
      <c r="S56" s="467"/>
    </row>
    <row r="57" spans="1:19" x14ac:dyDescent="0.3">
      <c r="A57" s="456"/>
      <c r="B57" s="456"/>
      <c r="C57" s="456"/>
      <c r="D57" s="457"/>
      <c r="E57" s="457"/>
      <c r="F57" s="458"/>
      <c r="G57" s="458"/>
      <c r="H57" s="458"/>
      <c r="I57" s="459"/>
      <c r="J57" s="460"/>
      <c r="K57" s="461"/>
      <c r="L57" s="461"/>
      <c r="M57" s="461"/>
      <c r="N57" s="462"/>
      <c r="O57" s="463"/>
      <c r="P57" s="464"/>
      <c r="Q57" s="463"/>
      <c r="R57" s="466"/>
      <c r="S57" s="467"/>
    </row>
    <row r="58" spans="1:19" x14ac:dyDescent="0.3">
      <c r="A58" s="456"/>
      <c r="B58" s="456"/>
      <c r="C58" s="456"/>
      <c r="D58" s="457"/>
      <c r="E58" s="457"/>
      <c r="F58" s="458"/>
      <c r="G58" s="458"/>
      <c r="H58" s="458"/>
      <c r="I58" s="459"/>
      <c r="J58" s="460"/>
      <c r="K58" s="461"/>
      <c r="L58" s="461"/>
      <c r="M58" s="461"/>
      <c r="N58" s="462"/>
      <c r="O58" s="463"/>
      <c r="P58" s="464"/>
      <c r="Q58" s="463"/>
      <c r="R58" s="466"/>
      <c r="S58" s="467"/>
    </row>
    <row r="59" spans="1:19" x14ac:dyDescent="0.3">
      <c r="A59" s="456"/>
      <c r="B59" s="456"/>
      <c r="C59" s="456"/>
      <c r="D59" s="457"/>
      <c r="E59" s="457"/>
      <c r="F59" s="458"/>
      <c r="G59" s="458"/>
      <c r="H59" s="458"/>
      <c r="I59" s="459"/>
      <c r="J59" s="460"/>
      <c r="K59" s="461"/>
      <c r="L59" s="461"/>
      <c r="M59" s="461"/>
      <c r="N59" s="462"/>
      <c r="O59" s="463"/>
      <c r="P59" s="464"/>
      <c r="Q59" s="463"/>
      <c r="R59" s="466"/>
      <c r="S59" s="467"/>
    </row>
    <row r="60" spans="1:19" x14ac:dyDescent="0.3">
      <c r="A60" s="456"/>
      <c r="B60" s="456"/>
      <c r="C60" s="456"/>
      <c r="D60" s="457"/>
      <c r="E60" s="457"/>
      <c r="F60" s="458"/>
      <c r="G60" s="458"/>
      <c r="H60" s="458"/>
      <c r="I60" s="459"/>
      <c r="J60" s="460"/>
      <c r="K60" s="461"/>
      <c r="L60" s="461"/>
      <c r="M60" s="461"/>
      <c r="N60" s="462"/>
      <c r="O60" s="463"/>
      <c r="P60" s="464"/>
      <c r="Q60" s="463"/>
      <c r="R60" s="466"/>
      <c r="S60" s="467"/>
    </row>
    <row r="61" spans="1:19" x14ac:dyDescent="0.3">
      <c r="A61" s="456"/>
      <c r="B61" s="456"/>
      <c r="C61" s="456"/>
      <c r="D61" s="457"/>
      <c r="E61" s="457"/>
      <c r="F61" s="458"/>
      <c r="G61" s="458"/>
      <c r="H61" s="458"/>
      <c r="I61" s="459"/>
      <c r="J61" s="460"/>
      <c r="K61" s="461"/>
      <c r="L61" s="461"/>
      <c r="M61" s="461"/>
      <c r="N61" s="462"/>
      <c r="O61" s="463"/>
      <c r="P61" s="464"/>
      <c r="Q61" s="463"/>
      <c r="R61" s="466"/>
      <c r="S61" s="467"/>
    </row>
    <row r="62" spans="1:19" x14ac:dyDescent="0.3">
      <c r="A62" s="456"/>
      <c r="B62" s="456"/>
      <c r="C62" s="456"/>
      <c r="D62" s="457"/>
      <c r="E62" s="457"/>
      <c r="F62" s="458"/>
      <c r="G62" s="458"/>
      <c r="H62" s="458"/>
      <c r="I62" s="459"/>
      <c r="J62" s="460"/>
      <c r="K62" s="461"/>
      <c r="L62" s="461"/>
      <c r="M62" s="461"/>
      <c r="N62" s="462"/>
      <c r="O62" s="463"/>
      <c r="P62" s="464"/>
      <c r="Q62" s="463"/>
      <c r="R62" s="466"/>
      <c r="S62" s="467"/>
    </row>
    <row r="63" spans="1:19" x14ac:dyDescent="0.3">
      <c r="A63" s="456"/>
      <c r="B63" s="456"/>
      <c r="C63" s="456"/>
      <c r="D63" s="457"/>
      <c r="E63" s="457"/>
      <c r="F63" s="458"/>
      <c r="G63" s="458"/>
      <c r="H63" s="458"/>
      <c r="I63" s="459"/>
      <c r="J63" s="460"/>
      <c r="K63" s="461"/>
      <c r="L63" s="461"/>
      <c r="M63" s="461"/>
      <c r="N63" s="462"/>
      <c r="O63" s="463"/>
      <c r="P63" s="464"/>
      <c r="Q63" s="463"/>
      <c r="R63" s="466"/>
      <c r="S63" s="467"/>
    </row>
    <row r="64" spans="1:19" x14ac:dyDescent="0.3">
      <c r="A64" s="456"/>
      <c r="B64" s="456"/>
      <c r="C64" s="456"/>
      <c r="D64" s="457"/>
      <c r="E64" s="457"/>
      <c r="F64" s="458"/>
      <c r="G64" s="458"/>
      <c r="H64" s="458"/>
      <c r="I64" s="459"/>
      <c r="J64" s="460"/>
      <c r="K64" s="461"/>
      <c r="L64" s="461"/>
      <c r="M64" s="461"/>
      <c r="N64" s="462"/>
      <c r="O64" s="463"/>
      <c r="P64" s="464"/>
      <c r="Q64" s="463"/>
      <c r="R64" s="466"/>
      <c r="S64" s="467"/>
    </row>
    <row r="65" spans="1:19" x14ac:dyDescent="0.3">
      <c r="A65" s="456"/>
      <c r="B65" s="456"/>
      <c r="C65" s="456"/>
      <c r="D65" s="457"/>
      <c r="E65" s="457"/>
      <c r="F65" s="458"/>
      <c r="G65" s="458"/>
      <c r="H65" s="458"/>
      <c r="I65" s="459"/>
      <c r="J65" s="460"/>
      <c r="K65" s="461"/>
      <c r="L65" s="461"/>
      <c r="M65" s="461"/>
      <c r="N65" s="462"/>
      <c r="O65" s="463"/>
      <c r="P65" s="464"/>
      <c r="Q65" s="463"/>
      <c r="R65" s="466"/>
      <c r="S65" s="467"/>
    </row>
    <row r="66" spans="1:19" x14ac:dyDescent="0.3">
      <c r="A66" s="456"/>
      <c r="B66" s="456"/>
      <c r="C66" s="456"/>
      <c r="D66" s="457"/>
      <c r="E66" s="457"/>
      <c r="F66" s="458"/>
      <c r="G66" s="458"/>
      <c r="H66" s="458"/>
      <c r="I66" s="459"/>
      <c r="J66" s="460"/>
      <c r="K66" s="461"/>
      <c r="L66" s="461"/>
      <c r="M66" s="461"/>
      <c r="N66" s="462"/>
      <c r="O66" s="463"/>
      <c r="P66" s="464"/>
      <c r="Q66" s="463"/>
      <c r="R66" s="466"/>
      <c r="S66" s="467"/>
    </row>
    <row r="67" spans="1:19" x14ac:dyDescent="0.3">
      <c r="A67" s="456"/>
      <c r="B67" s="456"/>
      <c r="C67" s="456"/>
      <c r="D67" s="457"/>
      <c r="E67" s="457"/>
      <c r="F67" s="458"/>
      <c r="G67" s="458"/>
      <c r="H67" s="458"/>
      <c r="I67" s="459"/>
      <c r="J67" s="460"/>
      <c r="K67" s="461"/>
      <c r="L67" s="461"/>
      <c r="M67" s="461"/>
      <c r="N67" s="462"/>
      <c r="O67" s="463"/>
      <c r="P67" s="464"/>
      <c r="Q67" s="463"/>
      <c r="R67" s="466"/>
      <c r="S67" s="467"/>
    </row>
    <row r="68" spans="1:19" x14ac:dyDescent="0.3">
      <c r="A68" s="456"/>
      <c r="B68" s="456"/>
      <c r="C68" s="456"/>
      <c r="D68" s="457"/>
      <c r="E68" s="457"/>
      <c r="F68" s="458"/>
      <c r="G68" s="458"/>
      <c r="H68" s="458"/>
      <c r="I68" s="459"/>
      <c r="J68" s="460"/>
      <c r="K68" s="461"/>
      <c r="L68" s="461"/>
      <c r="M68" s="461"/>
      <c r="N68" s="462"/>
      <c r="O68" s="463"/>
      <c r="P68" s="464"/>
      <c r="Q68" s="463"/>
      <c r="R68" s="466"/>
      <c r="S68" s="467"/>
    </row>
    <row r="69" spans="1:19" x14ac:dyDescent="0.3">
      <c r="A69" s="456"/>
      <c r="B69" s="456"/>
      <c r="C69" s="456"/>
      <c r="D69" s="457"/>
      <c r="E69" s="457"/>
      <c r="F69" s="458"/>
      <c r="G69" s="458"/>
      <c r="H69" s="458"/>
      <c r="I69" s="459"/>
      <c r="J69" s="460"/>
      <c r="K69" s="461"/>
      <c r="L69" s="461"/>
      <c r="M69" s="461"/>
      <c r="N69" s="462"/>
      <c r="O69" s="463"/>
      <c r="P69" s="464"/>
      <c r="Q69" s="463"/>
      <c r="R69" s="466"/>
      <c r="S69" s="467"/>
    </row>
    <row r="70" spans="1:19" x14ac:dyDescent="0.3">
      <c r="A70" s="456"/>
      <c r="B70" s="456"/>
      <c r="C70" s="456"/>
      <c r="D70" s="457"/>
      <c r="E70" s="457"/>
      <c r="F70" s="458"/>
      <c r="G70" s="458"/>
      <c r="H70" s="458"/>
      <c r="I70" s="459"/>
      <c r="J70" s="460"/>
      <c r="K70" s="461"/>
      <c r="L70" s="461"/>
      <c r="M70" s="461"/>
      <c r="N70" s="462"/>
      <c r="O70" s="463"/>
      <c r="P70" s="464"/>
      <c r="Q70" s="463"/>
      <c r="R70" s="466"/>
      <c r="S70" s="467"/>
    </row>
    <row r="71" spans="1:19" x14ac:dyDescent="0.3">
      <c r="A71" s="456"/>
      <c r="B71" s="456"/>
      <c r="C71" s="456"/>
      <c r="D71" s="457"/>
      <c r="E71" s="457"/>
      <c r="F71" s="458"/>
      <c r="G71" s="458"/>
      <c r="H71" s="458"/>
      <c r="I71" s="459"/>
      <c r="J71" s="460"/>
      <c r="K71" s="461"/>
      <c r="L71" s="461"/>
      <c r="M71" s="461"/>
      <c r="N71" s="462"/>
      <c r="O71" s="463"/>
      <c r="P71" s="464"/>
      <c r="Q71" s="463"/>
      <c r="R71" s="466"/>
      <c r="S71" s="467"/>
    </row>
    <row r="72" spans="1:19" x14ac:dyDescent="0.3">
      <c r="A72" s="456"/>
      <c r="B72" s="456"/>
      <c r="C72" s="456"/>
      <c r="D72" s="457"/>
      <c r="E72" s="457"/>
      <c r="F72" s="458"/>
      <c r="G72" s="458"/>
      <c r="H72" s="458"/>
      <c r="I72" s="459"/>
      <c r="J72" s="460"/>
      <c r="K72" s="461"/>
      <c r="L72" s="461"/>
      <c r="M72" s="461"/>
      <c r="N72" s="462"/>
      <c r="O72" s="463"/>
      <c r="P72" s="464"/>
      <c r="Q72" s="463"/>
      <c r="R72" s="466"/>
      <c r="S72" s="467"/>
    </row>
    <row r="73" spans="1:19" x14ac:dyDescent="0.3">
      <c r="A73" s="456"/>
      <c r="B73" s="456"/>
      <c r="C73" s="456"/>
      <c r="D73" s="457"/>
      <c r="E73" s="457"/>
      <c r="F73" s="458"/>
      <c r="G73" s="458"/>
      <c r="H73" s="458"/>
      <c r="I73" s="459"/>
      <c r="J73" s="460"/>
      <c r="K73" s="461"/>
      <c r="L73" s="461"/>
      <c r="M73" s="461"/>
      <c r="N73" s="462"/>
      <c r="O73" s="463"/>
      <c r="P73" s="464"/>
      <c r="Q73" s="463"/>
      <c r="R73" s="466"/>
      <c r="S73" s="467"/>
    </row>
    <row r="74" spans="1:19" x14ac:dyDescent="0.3">
      <c r="A74" s="456"/>
      <c r="B74" s="456"/>
      <c r="C74" s="456"/>
      <c r="D74" s="457"/>
      <c r="E74" s="457"/>
      <c r="F74" s="458"/>
      <c r="G74" s="458"/>
      <c r="H74" s="458"/>
      <c r="I74" s="459"/>
      <c r="J74" s="460"/>
      <c r="K74" s="461"/>
      <c r="L74" s="461"/>
      <c r="M74" s="461"/>
      <c r="N74" s="462"/>
      <c r="O74" s="463"/>
      <c r="P74" s="464"/>
      <c r="Q74" s="463"/>
      <c r="R74" s="466"/>
      <c r="S74" s="467"/>
    </row>
    <row r="75" spans="1:19" x14ac:dyDescent="0.3">
      <c r="A75" s="456"/>
      <c r="B75" s="456"/>
      <c r="C75" s="456"/>
      <c r="D75" s="457"/>
      <c r="E75" s="457"/>
      <c r="F75" s="458"/>
      <c r="G75" s="458"/>
      <c r="H75" s="458"/>
      <c r="I75" s="459"/>
      <c r="J75" s="460"/>
      <c r="K75" s="461"/>
      <c r="L75" s="461"/>
      <c r="M75" s="461"/>
      <c r="N75" s="462"/>
      <c r="O75" s="463"/>
      <c r="P75" s="464"/>
      <c r="Q75" s="463"/>
      <c r="R75" s="466"/>
      <c r="S75" s="467"/>
    </row>
    <row r="76" spans="1:19" x14ac:dyDescent="0.3">
      <c r="A76" s="456"/>
      <c r="B76" s="456"/>
      <c r="C76" s="456"/>
      <c r="D76" s="457"/>
      <c r="E76" s="457"/>
      <c r="F76" s="458"/>
      <c r="G76" s="458"/>
      <c r="H76" s="458"/>
      <c r="I76" s="459"/>
      <c r="J76" s="460"/>
      <c r="K76" s="461"/>
      <c r="L76" s="461"/>
      <c r="M76" s="461"/>
      <c r="N76" s="462"/>
      <c r="O76" s="463"/>
      <c r="P76" s="464"/>
      <c r="Q76" s="463"/>
      <c r="R76" s="466"/>
      <c r="S76" s="467"/>
    </row>
    <row r="77" spans="1:19" x14ac:dyDescent="0.3">
      <c r="A77" s="456"/>
      <c r="B77" s="456"/>
      <c r="C77" s="456"/>
      <c r="D77" s="457"/>
      <c r="E77" s="457"/>
      <c r="F77" s="458"/>
      <c r="G77" s="458"/>
      <c r="H77" s="458"/>
      <c r="I77" s="459"/>
      <c r="J77" s="460"/>
      <c r="K77" s="461"/>
      <c r="L77" s="461"/>
      <c r="M77" s="461"/>
      <c r="N77" s="462"/>
      <c r="O77" s="463"/>
      <c r="P77" s="464"/>
      <c r="Q77" s="463"/>
      <c r="R77" s="466"/>
      <c r="S77" s="467"/>
    </row>
    <row r="78" spans="1:19" x14ac:dyDescent="0.3">
      <c r="A78" s="456"/>
      <c r="B78" s="456"/>
      <c r="C78" s="456"/>
      <c r="D78" s="457"/>
      <c r="E78" s="457"/>
      <c r="F78" s="458"/>
      <c r="G78" s="458"/>
      <c r="H78" s="458"/>
      <c r="I78" s="459"/>
      <c r="J78" s="460"/>
      <c r="K78" s="461"/>
      <c r="L78" s="461"/>
      <c r="M78" s="461"/>
      <c r="N78" s="462"/>
      <c r="O78" s="463"/>
      <c r="P78" s="464"/>
      <c r="Q78" s="463"/>
      <c r="R78" s="466"/>
      <c r="S78" s="467"/>
    </row>
    <row r="79" spans="1:19" x14ac:dyDescent="0.3">
      <c r="A79" s="456"/>
      <c r="B79" s="456"/>
      <c r="C79" s="456"/>
      <c r="D79" s="457"/>
      <c r="E79" s="457"/>
      <c r="F79" s="458"/>
      <c r="G79" s="458"/>
      <c r="H79" s="458"/>
      <c r="I79" s="459"/>
      <c r="J79" s="460"/>
      <c r="K79" s="461"/>
      <c r="L79" s="461"/>
      <c r="M79" s="461"/>
      <c r="N79" s="462"/>
      <c r="O79" s="463"/>
      <c r="P79" s="464"/>
      <c r="Q79" s="463"/>
      <c r="R79" s="466"/>
      <c r="S79" s="467"/>
    </row>
    <row r="80" spans="1:19" x14ac:dyDescent="0.3">
      <c r="A80" s="456"/>
      <c r="B80" s="456"/>
      <c r="C80" s="456"/>
      <c r="D80" s="457"/>
      <c r="E80" s="457"/>
      <c r="F80" s="458"/>
      <c r="G80" s="458"/>
      <c r="H80" s="458"/>
      <c r="I80" s="459"/>
      <c r="J80" s="460"/>
      <c r="K80" s="461"/>
      <c r="L80" s="461"/>
      <c r="M80" s="461"/>
      <c r="N80" s="462"/>
      <c r="O80" s="463"/>
      <c r="P80" s="464"/>
      <c r="Q80" s="463"/>
      <c r="R80" s="466"/>
      <c r="S80" s="467"/>
    </row>
    <row r="81" spans="1:19" x14ac:dyDescent="0.3">
      <c r="A81" s="456"/>
      <c r="B81" s="456"/>
      <c r="C81" s="456"/>
      <c r="D81" s="457"/>
      <c r="E81" s="457"/>
      <c r="F81" s="458"/>
      <c r="G81" s="458"/>
      <c r="H81" s="458"/>
      <c r="I81" s="459"/>
      <c r="J81" s="460"/>
      <c r="K81" s="461"/>
      <c r="L81" s="461"/>
      <c r="M81" s="461"/>
      <c r="N81" s="462"/>
      <c r="O81" s="463"/>
      <c r="P81" s="464"/>
      <c r="Q81" s="463"/>
      <c r="R81" s="466"/>
      <c r="S81" s="467"/>
    </row>
    <row r="82" spans="1:19" x14ac:dyDescent="0.3">
      <c r="A82" s="456"/>
      <c r="B82" s="456"/>
      <c r="C82" s="456"/>
      <c r="D82" s="457"/>
      <c r="E82" s="457"/>
      <c r="F82" s="458"/>
      <c r="G82" s="458"/>
      <c r="H82" s="458"/>
      <c r="I82" s="459"/>
      <c r="J82" s="460"/>
      <c r="K82" s="461"/>
      <c r="L82" s="461"/>
      <c r="M82" s="461"/>
      <c r="N82" s="462"/>
      <c r="O82" s="463"/>
      <c r="P82" s="464"/>
      <c r="Q82" s="463"/>
      <c r="R82" s="466"/>
      <c r="S82" s="467"/>
    </row>
    <row r="83" spans="1:19" x14ac:dyDescent="0.3">
      <c r="A83" s="456"/>
      <c r="B83" s="456"/>
      <c r="C83" s="456"/>
      <c r="D83" s="457"/>
      <c r="E83" s="457"/>
      <c r="F83" s="458"/>
      <c r="G83" s="458"/>
      <c r="H83" s="458"/>
      <c r="I83" s="459"/>
      <c r="J83" s="460"/>
      <c r="K83" s="461"/>
      <c r="L83" s="461"/>
      <c r="M83" s="461"/>
      <c r="N83" s="462"/>
      <c r="O83" s="463"/>
      <c r="P83" s="464"/>
      <c r="Q83" s="463"/>
      <c r="R83" s="466"/>
      <c r="S83" s="467"/>
    </row>
    <row r="84" spans="1:19" x14ac:dyDescent="0.3">
      <c r="A84" s="456"/>
      <c r="B84" s="456"/>
      <c r="C84" s="456"/>
      <c r="D84" s="457"/>
      <c r="E84" s="457"/>
      <c r="F84" s="458"/>
      <c r="G84" s="458"/>
      <c r="H84" s="458"/>
      <c r="I84" s="459"/>
      <c r="J84" s="460"/>
      <c r="K84" s="461"/>
      <c r="L84" s="461"/>
      <c r="M84" s="461"/>
      <c r="N84" s="462"/>
      <c r="O84" s="463"/>
      <c r="P84" s="464"/>
      <c r="Q84" s="463"/>
      <c r="R84" s="466"/>
      <c r="S84" s="467"/>
    </row>
    <row r="85" spans="1:19" x14ac:dyDescent="0.3">
      <c r="A85" s="456"/>
      <c r="B85" s="456"/>
      <c r="C85" s="456"/>
      <c r="D85" s="457"/>
      <c r="E85" s="457"/>
      <c r="F85" s="458"/>
      <c r="G85" s="458"/>
      <c r="H85" s="458"/>
      <c r="I85" s="459"/>
      <c r="J85" s="460"/>
      <c r="K85" s="461"/>
      <c r="L85" s="461"/>
      <c r="M85" s="461"/>
      <c r="N85" s="462"/>
      <c r="O85" s="463"/>
      <c r="P85" s="464"/>
      <c r="Q85" s="463"/>
      <c r="R85" s="466"/>
      <c r="S85" s="467"/>
    </row>
    <row r="86" spans="1:19" x14ac:dyDescent="0.3">
      <c r="A86" s="456"/>
      <c r="B86" s="456"/>
      <c r="C86" s="456"/>
      <c r="D86" s="457"/>
      <c r="E86" s="457"/>
      <c r="F86" s="458"/>
      <c r="G86" s="458"/>
      <c r="H86" s="458"/>
      <c r="I86" s="459"/>
      <c r="J86" s="460"/>
      <c r="K86" s="461"/>
      <c r="L86" s="461"/>
      <c r="M86" s="461"/>
      <c r="N86" s="462"/>
      <c r="O86" s="463"/>
      <c r="P86" s="464"/>
      <c r="Q86" s="463"/>
      <c r="R86" s="466"/>
      <c r="S86" s="467"/>
    </row>
    <row r="87" spans="1:19" x14ac:dyDescent="0.3">
      <c r="A87" s="456"/>
      <c r="B87" s="456"/>
      <c r="C87" s="456"/>
      <c r="D87" s="457"/>
      <c r="E87" s="457"/>
      <c r="F87" s="458"/>
      <c r="G87" s="458"/>
      <c r="H87" s="458"/>
      <c r="I87" s="459"/>
      <c r="J87" s="460"/>
      <c r="K87" s="461"/>
      <c r="L87" s="461"/>
      <c r="M87" s="461"/>
      <c r="N87" s="462"/>
      <c r="O87" s="463"/>
      <c r="P87" s="464"/>
      <c r="Q87" s="463"/>
      <c r="R87" s="466"/>
      <c r="S87" s="467"/>
    </row>
    <row r="88" spans="1:19" x14ac:dyDescent="0.3">
      <c r="A88" s="456"/>
      <c r="B88" s="456"/>
      <c r="C88" s="456"/>
      <c r="D88" s="457"/>
      <c r="E88" s="457"/>
      <c r="F88" s="458"/>
      <c r="G88" s="458"/>
      <c r="H88" s="458"/>
      <c r="I88" s="459"/>
      <c r="J88" s="460"/>
      <c r="K88" s="461"/>
      <c r="L88" s="461"/>
      <c r="M88" s="461"/>
      <c r="N88" s="462"/>
      <c r="O88" s="463"/>
      <c r="P88" s="464"/>
      <c r="Q88" s="463"/>
      <c r="R88" s="466"/>
      <c r="S88" s="467"/>
    </row>
    <row r="89" spans="1:19" x14ac:dyDescent="0.3">
      <c r="A89" s="456"/>
      <c r="B89" s="456"/>
      <c r="C89" s="456"/>
      <c r="D89" s="457"/>
      <c r="E89" s="457"/>
      <c r="F89" s="458"/>
      <c r="G89" s="458"/>
      <c r="H89" s="458"/>
      <c r="I89" s="459"/>
      <c r="J89" s="460"/>
      <c r="K89" s="461"/>
      <c r="L89" s="461"/>
      <c r="M89" s="461"/>
      <c r="N89" s="462"/>
      <c r="O89" s="463"/>
      <c r="P89" s="464"/>
      <c r="Q89" s="463"/>
      <c r="R89" s="466"/>
      <c r="S89" s="467"/>
    </row>
    <row r="90" spans="1:19" x14ac:dyDescent="0.3">
      <c r="A90" s="456"/>
      <c r="B90" s="456"/>
      <c r="C90" s="456"/>
      <c r="D90" s="457"/>
      <c r="E90" s="457"/>
      <c r="F90" s="458"/>
      <c r="G90" s="458"/>
      <c r="H90" s="458"/>
      <c r="I90" s="459"/>
      <c r="J90" s="460"/>
      <c r="K90" s="461"/>
      <c r="L90" s="461"/>
      <c r="M90" s="461"/>
      <c r="N90" s="462"/>
      <c r="O90" s="463"/>
      <c r="P90" s="464"/>
      <c r="Q90" s="463"/>
      <c r="R90" s="466"/>
      <c r="S90" s="467"/>
    </row>
    <row r="91" spans="1:19" x14ac:dyDescent="0.3">
      <c r="A91" s="456"/>
      <c r="B91" s="456"/>
      <c r="C91" s="456"/>
      <c r="D91" s="457"/>
      <c r="E91" s="457"/>
      <c r="F91" s="458"/>
      <c r="G91" s="458"/>
      <c r="H91" s="458"/>
      <c r="I91" s="459"/>
      <c r="J91" s="460"/>
      <c r="K91" s="461"/>
      <c r="L91" s="461"/>
      <c r="M91" s="461"/>
      <c r="N91" s="462"/>
      <c r="O91" s="463"/>
      <c r="P91" s="464"/>
      <c r="Q91" s="463"/>
      <c r="R91" s="466"/>
      <c r="S91" s="467"/>
    </row>
    <row r="92" spans="1:19" x14ac:dyDescent="0.3">
      <c r="A92" s="456"/>
      <c r="B92" s="456"/>
      <c r="C92" s="456"/>
      <c r="D92" s="457"/>
      <c r="E92" s="457"/>
      <c r="F92" s="458"/>
      <c r="G92" s="458"/>
      <c r="H92" s="458"/>
      <c r="I92" s="459"/>
      <c r="J92" s="460"/>
      <c r="K92" s="461"/>
      <c r="L92" s="461"/>
      <c r="M92" s="461"/>
      <c r="N92" s="462"/>
      <c r="O92" s="463"/>
      <c r="P92" s="464"/>
      <c r="Q92" s="463"/>
      <c r="R92" s="466"/>
      <c r="S92" s="467"/>
    </row>
    <row r="93" spans="1:19" x14ac:dyDescent="0.3">
      <c r="A93" s="456"/>
      <c r="B93" s="456"/>
      <c r="C93" s="456"/>
      <c r="D93" s="457"/>
      <c r="E93" s="457"/>
      <c r="F93" s="458"/>
      <c r="G93" s="458"/>
      <c r="H93" s="458"/>
      <c r="I93" s="459"/>
      <c r="J93" s="460"/>
      <c r="K93" s="461"/>
      <c r="L93" s="461"/>
      <c r="M93" s="461"/>
      <c r="N93" s="462"/>
      <c r="O93" s="463"/>
      <c r="P93" s="464"/>
      <c r="Q93" s="463"/>
      <c r="R93" s="466"/>
      <c r="S93" s="467"/>
    </row>
    <row r="94" spans="1:19" x14ac:dyDescent="0.3">
      <c r="A94" s="456"/>
      <c r="B94" s="456"/>
      <c r="C94" s="456"/>
      <c r="D94" s="457"/>
      <c r="E94" s="457"/>
      <c r="F94" s="458"/>
      <c r="G94" s="458"/>
      <c r="H94" s="458"/>
      <c r="I94" s="459"/>
      <c r="J94" s="460"/>
      <c r="K94" s="461"/>
      <c r="L94" s="461"/>
      <c r="M94" s="461"/>
      <c r="N94" s="462"/>
      <c r="O94" s="463"/>
      <c r="P94" s="464"/>
      <c r="Q94" s="463"/>
      <c r="R94" s="466"/>
      <c r="S94" s="467"/>
    </row>
    <row r="95" spans="1:19" x14ac:dyDescent="0.3">
      <c r="A95" s="456"/>
      <c r="B95" s="456"/>
      <c r="C95" s="456"/>
      <c r="D95" s="457"/>
      <c r="E95" s="457"/>
      <c r="F95" s="458"/>
      <c r="G95" s="458"/>
      <c r="H95" s="458"/>
      <c r="I95" s="459"/>
      <c r="J95" s="460"/>
      <c r="K95" s="461"/>
      <c r="L95" s="461"/>
      <c r="M95" s="461"/>
      <c r="N95" s="462"/>
      <c r="O95" s="463"/>
      <c r="P95" s="464"/>
      <c r="Q95" s="463"/>
      <c r="R95" s="466"/>
      <c r="S95" s="467"/>
    </row>
    <row r="96" spans="1:19" x14ac:dyDescent="0.3">
      <c r="A96" s="456"/>
      <c r="B96" s="456"/>
      <c r="C96" s="456"/>
      <c r="D96" s="457"/>
      <c r="E96" s="457"/>
      <c r="F96" s="458"/>
      <c r="G96" s="458"/>
      <c r="H96" s="458"/>
      <c r="I96" s="459"/>
      <c r="J96" s="460"/>
      <c r="K96" s="461"/>
      <c r="L96" s="461"/>
      <c r="M96" s="461"/>
      <c r="N96" s="462"/>
      <c r="O96" s="463"/>
      <c r="P96" s="464"/>
      <c r="Q96" s="463"/>
      <c r="R96" s="466"/>
      <c r="S96" s="467"/>
    </row>
    <row r="97" spans="1:19" x14ac:dyDescent="0.3">
      <c r="A97" s="456"/>
      <c r="B97" s="456"/>
      <c r="C97" s="456"/>
      <c r="D97" s="457"/>
      <c r="E97" s="457"/>
      <c r="F97" s="458"/>
      <c r="G97" s="458"/>
      <c r="H97" s="458"/>
      <c r="I97" s="459"/>
      <c r="J97" s="460"/>
      <c r="K97" s="461"/>
      <c r="L97" s="461"/>
      <c r="M97" s="461"/>
      <c r="N97" s="462"/>
      <c r="O97" s="463"/>
      <c r="P97" s="464"/>
      <c r="Q97" s="463"/>
      <c r="R97" s="466"/>
      <c r="S97" s="467"/>
    </row>
    <row r="98" spans="1:19" x14ac:dyDescent="0.3">
      <c r="A98" s="456"/>
      <c r="B98" s="456"/>
      <c r="C98" s="456"/>
      <c r="D98" s="457"/>
      <c r="E98" s="457"/>
      <c r="F98" s="458"/>
      <c r="G98" s="458"/>
      <c r="H98" s="458"/>
      <c r="I98" s="459"/>
      <c r="J98" s="460"/>
      <c r="K98" s="461"/>
      <c r="L98" s="461"/>
      <c r="M98" s="461"/>
      <c r="N98" s="462"/>
      <c r="O98" s="463"/>
      <c r="P98" s="464"/>
      <c r="Q98" s="463"/>
      <c r="R98" s="466"/>
      <c r="S98" s="467"/>
    </row>
    <row r="99" spans="1:19" x14ac:dyDescent="0.3">
      <c r="A99" s="456"/>
      <c r="B99" s="456"/>
      <c r="C99" s="456"/>
      <c r="D99" s="457"/>
      <c r="E99" s="457"/>
      <c r="F99" s="458"/>
      <c r="G99" s="458"/>
      <c r="H99" s="458"/>
      <c r="I99" s="459"/>
      <c r="J99" s="460"/>
      <c r="K99" s="461"/>
      <c r="L99" s="461"/>
      <c r="M99" s="461"/>
      <c r="N99" s="462"/>
      <c r="O99" s="463"/>
      <c r="P99" s="464"/>
      <c r="Q99" s="463"/>
      <c r="R99" s="466"/>
      <c r="S99" s="467"/>
    </row>
    <row r="100" spans="1:19" x14ac:dyDescent="0.3">
      <c r="A100" s="456"/>
      <c r="B100" s="456"/>
      <c r="C100" s="456"/>
      <c r="D100" s="457"/>
      <c r="E100" s="457"/>
      <c r="F100" s="458"/>
      <c r="G100" s="458"/>
      <c r="H100" s="458"/>
      <c r="I100" s="459"/>
      <c r="J100" s="460"/>
      <c r="K100" s="461"/>
      <c r="L100" s="461"/>
      <c r="M100" s="461"/>
      <c r="N100" s="462"/>
      <c r="O100" s="463"/>
      <c r="P100" s="464"/>
      <c r="Q100" s="463"/>
      <c r="R100" s="466"/>
      <c r="S100" s="467"/>
    </row>
    <row r="101" spans="1:19" x14ac:dyDescent="0.3">
      <c r="A101" s="456"/>
      <c r="B101" s="456"/>
      <c r="C101" s="456"/>
      <c r="D101" s="457"/>
      <c r="E101" s="457"/>
      <c r="F101" s="458"/>
      <c r="G101" s="458"/>
      <c r="H101" s="458"/>
      <c r="I101" s="459"/>
      <c r="J101" s="460"/>
      <c r="K101" s="461"/>
      <c r="L101" s="461"/>
      <c r="M101" s="461"/>
      <c r="N101" s="462"/>
      <c r="O101" s="463"/>
      <c r="P101" s="464"/>
      <c r="Q101" s="463"/>
      <c r="R101" s="466"/>
      <c r="S101" s="467"/>
    </row>
    <row r="102" spans="1:19" x14ac:dyDescent="0.3">
      <c r="A102" s="456"/>
      <c r="B102" s="456"/>
      <c r="C102" s="456"/>
      <c r="D102" s="457"/>
      <c r="E102" s="457"/>
      <c r="F102" s="458"/>
      <c r="G102" s="458"/>
      <c r="H102" s="458"/>
      <c r="I102" s="459"/>
      <c r="J102" s="460"/>
      <c r="K102" s="461"/>
      <c r="L102" s="461"/>
      <c r="M102" s="461"/>
      <c r="N102" s="462"/>
      <c r="O102" s="463"/>
      <c r="P102" s="464"/>
      <c r="Q102" s="463"/>
      <c r="R102" s="466"/>
      <c r="S102" s="467"/>
    </row>
    <row r="103" spans="1:19" x14ac:dyDescent="0.3">
      <c r="A103" s="456"/>
      <c r="B103" s="456"/>
      <c r="C103" s="456"/>
      <c r="D103" s="457"/>
      <c r="E103" s="457"/>
      <c r="F103" s="458"/>
      <c r="G103" s="458"/>
      <c r="H103" s="458"/>
      <c r="I103" s="459"/>
      <c r="J103" s="460"/>
      <c r="K103" s="461"/>
      <c r="L103" s="461"/>
      <c r="M103" s="461"/>
      <c r="N103" s="462"/>
      <c r="O103" s="463"/>
      <c r="P103" s="464"/>
      <c r="Q103" s="463"/>
      <c r="R103" s="466"/>
      <c r="S103" s="467"/>
    </row>
    <row r="104" spans="1:19" x14ac:dyDescent="0.3">
      <c r="A104" s="456"/>
      <c r="B104" s="456"/>
      <c r="C104" s="456"/>
      <c r="D104" s="457"/>
      <c r="E104" s="457"/>
      <c r="F104" s="458"/>
      <c r="G104" s="458"/>
      <c r="H104" s="458"/>
      <c r="I104" s="459"/>
      <c r="J104" s="460"/>
      <c r="K104" s="461"/>
      <c r="L104" s="461"/>
      <c r="M104" s="461"/>
      <c r="N104" s="462"/>
      <c r="O104" s="463"/>
      <c r="P104" s="464"/>
      <c r="Q104" s="463"/>
      <c r="R104" s="466"/>
      <c r="S104" s="467"/>
    </row>
    <row r="105" spans="1:19" x14ac:dyDescent="0.3">
      <c r="A105" s="456"/>
      <c r="B105" s="456"/>
      <c r="C105" s="456"/>
      <c r="D105" s="457"/>
      <c r="E105" s="457"/>
      <c r="F105" s="458"/>
      <c r="G105" s="458"/>
      <c r="H105" s="458"/>
      <c r="I105" s="459"/>
      <c r="J105" s="460"/>
      <c r="K105" s="461"/>
      <c r="L105" s="461"/>
      <c r="M105" s="461"/>
      <c r="N105" s="462"/>
      <c r="O105" s="463"/>
      <c r="P105" s="464"/>
      <c r="Q105" s="463"/>
      <c r="R105" s="466"/>
      <c r="S105" s="467"/>
    </row>
    <row r="106" spans="1:19" x14ac:dyDescent="0.3">
      <c r="A106" s="456"/>
      <c r="B106" s="456"/>
      <c r="C106" s="456"/>
      <c r="D106" s="457"/>
      <c r="E106" s="457"/>
      <c r="F106" s="458"/>
      <c r="G106" s="458"/>
      <c r="H106" s="458"/>
      <c r="I106" s="459"/>
      <c r="J106" s="460"/>
      <c r="K106" s="461"/>
      <c r="L106" s="461"/>
      <c r="M106" s="461"/>
      <c r="N106" s="462"/>
      <c r="O106" s="463"/>
      <c r="P106" s="464"/>
      <c r="Q106" s="463"/>
      <c r="R106" s="466"/>
      <c r="S106" s="467"/>
    </row>
    <row r="107" spans="1:19" x14ac:dyDescent="0.3">
      <c r="A107" s="456"/>
      <c r="B107" s="456"/>
      <c r="C107" s="456"/>
      <c r="D107" s="457"/>
      <c r="E107" s="457"/>
      <c r="F107" s="458"/>
      <c r="G107" s="458"/>
      <c r="H107" s="458"/>
      <c r="I107" s="459"/>
      <c r="J107" s="460"/>
      <c r="K107" s="461"/>
      <c r="L107" s="461"/>
      <c r="M107" s="461"/>
      <c r="N107" s="462"/>
      <c r="O107" s="463"/>
      <c r="P107" s="464"/>
      <c r="Q107" s="463"/>
      <c r="R107" s="466"/>
      <c r="S107" s="467"/>
    </row>
    <row r="108" spans="1:19" x14ac:dyDescent="0.3">
      <c r="A108" s="456"/>
      <c r="B108" s="456"/>
      <c r="C108" s="456"/>
      <c r="D108" s="457"/>
      <c r="E108" s="457"/>
      <c r="F108" s="458"/>
      <c r="G108" s="458"/>
      <c r="H108" s="458"/>
      <c r="I108" s="459"/>
      <c r="J108" s="460"/>
      <c r="K108" s="461"/>
      <c r="L108" s="461"/>
      <c r="M108" s="461"/>
      <c r="N108" s="462"/>
      <c r="O108" s="463"/>
      <c r="P108" s="464"/>
      <c r="Q108" s="463"/>
      <c r="R108" s="466"/>
      <c r="S108" s="467"/>
    </row>
    <row r="109" spans="1:19" x14ac:dyDescent="0.3">
      <c r="A109" s="456"/>
      <c r="B109" s="456"/>
      <c r="C109" s="456"/>
      <c r="D109" s="457"/>
      <c r="E109" s="457"/>
      <c r="F109" s="458"/>
      <c r="G109" s="458"/>
      <c r="H109" s="458"/>
      <c r="I109" s="459"/>
      <c r="J109" s="460"/>
      <c r="K109" s="461"/>
      <c r="L109" s="461"/>
      <c r="M109" s="461"/>
      <c r="N109" s="462"/>
      <c r="O109" s="463"/>
      <c r="P109" s="464"/>
      <c r="Q109" s="463"/>
      <c r="R109" s="466"/>
      <c r="S109" s="467"/>
    </row>
    <row r="110" spans="1:19" x14ac:dyDescent="0.3">
      <c r="A110" s="456"/>
      <c r="B110" s="456"/>
      <c r="C110" s="456"/>
      <c r="D110" s="457"/>
      <c r="E110" s="457"/>
      <c r="F110" s="458"/>
      <c r="G110" s="458"/>
      <c r="H110" s="458"/>
      <c r="I110" s="459"/>
      <c r="J110" s="460"/>
      <c r="K110" s="461"/>
      <c r="L110" s="461"/>
      <c r="M110" s="461"/>
      <c r="N110" s="462"/>
      <c r="O110" s="463"/>
      <c r="P110" s="464"/>
      <c r="Q110" s="463"/>
      <c r="R110" s="466"/>
      <c r="S110" s="467"/>
    </row>
    <row r="111" spans="1:19" x14ac:dyDescent="0.3">
      <c r="A111" s="456"/>
      <c r="B111" s="456"/>
      <c r="C111" s="456"/>
      <c r="D111" s="457"/>
      <c r="E111" s="457"/>
      <c r="F111" s="458"/>
      <c r="G111" s="458"/>
      <c r="H111" s="458"/>
      <c r="I111" s="459"/>
      <c r="J111" s="460"/>
      <c r="K111" s="461"/>
      <c r="L111" s="461"/>
      <c r="M111" s="461"/>
      <c r="N111" s="462"/>
      <c r="O111" s="463"/>
      <c r="P111" s="464"/>
      <c r="Q111" s="463"/>
      <c r="R111" s="466"/>
      <c r="S111" s="467"/>
    </row>
    <row r="112" spans="1:19" x14ac:dyDescent="0.3">
      <c r="A112" s="456"/>
      <c r="B112" s="456"/>
      <c r="C112" s="456"/>
      <c r="D112" s="457"/>
      <c r="E112" s="457"/>
      <c r="F112" s="458"/>
      <c r="G112" s="458"/>
      <c r="H112" s="458"/>
      <c r="I112" s="459"/>
      <c r="J112" s="460"/>
      <c r="K112" s="461"/>
      <c r="L112" s="461"/>
      <c r="M112" s="461"/>
      <c r="N112" s="462"/>
      <c r="O112" s="463"/>
      <c r="P112" s="464"/>
      <c r="Q112" s="463"/>
      <c r="R112" s="466"/>
      <c r="S112" s="467"/>
    </row>
    <row r="113" spans="1:19" x14ac:dyDescent="0.3">
      <c r="A113" s="456"/>
      <c r="B113" s="456"/>
      <c r="C113" s="456"/>
      <c r="D113" s="457"/>
      <c r="E113" s="457"/>
      <c r="F113" s="458"/>
      <c r="G113" s="458"/>
      <c r="H113" s="458"/>
      <c r="I113" s="459"/>
      <c r="J113" s="460"/>
      <c r="K113" s="461"/>
      <c r="L113" s="461"/>
      <c r="M113" s="461"/>
      <c r="N113" s="462"/>
      <c r="O113" s="463"/>
      <c r="P113" s="464"/>
      <c r="Q113" s="463"/>
      <c r="R113" s="466"/>
      <c r="S113" s="467"/>
    </row>
    <row r="114" spans="1:19" x14ac:dyDescent="0.3">
      <c r="A114" s="456"/>
      <c r="B114" s="456"/>
      <c r="C114" s="456"/>
      <c r="D114" s="457"/>
      <c r="E114" s="457"/>
      <c r="F114" s="458"/>
      <c r="G114" s="458"/>
      <c r="H114" s="458"/>
      <c r="I114" s="459"/>
      <c r="J114" s="460"/>
      <c r="K114" s="461"/>
      <c r="L114" s="461"/>
      <c r="M114" s="461"/>
      <c r="N114" s="462"/>
      <c r="O114" s="463"/>
      <c r="P114" s="464"/>
      <c r="Q114" s="463"/>
      <c r="R114" s="466"/>
      <c r="S114" s="467"/>
    </row>
    <row r="115" spans="1:19" x14ac:dyDescent="0.3">
      <c r="A115" s="456"/>
      <c r="B115" s="456"/>
      <c r="C115" s="456"/>
      <c r="D115" s="457"/>
      <c r="E115" s="457"/>
      <c r="F115" s="458"/>
      <c r="G115" s="458"/>
      <c r="H115" s="458"/>
      <c r="I115" s="459"/>
      <c r="J115" s="460"/>
      <c r="K115" s="461"/>
      <c r="L115" s="461"/>
      <c r="M115" s="461"/>
      <c r="N115" s="462"/>
      <c r="O115" s="463"/>
      <c r="P115" s="464"/>
      <c r="Q115" s="463"/>
      <c r="R115" s="466"/>
      <c r="S115" s="467"/>
    </row>
    <row r="116" spans="1:19" x14ac:dyDescent="0.3">
      <c r="A116" s="456"/>
      <c r="B116" s="456"/>
      <c r="C116" s="456"/>
      <c r="D116" s="457"/>
      <c r="E116" s="457"/>
      <c r="F116" s="458"/>
      <c r="G116" s="458"/>
      <c r="H116" s="458"/>
      <c r="I116" s="459"/>
      <c r="J116" s="460"/>
      <c r="K116" s="461"/>
      <c r="L116" s="461"/>
      <c r="M116" s="461"/>
      <c r="N116" s="462"/>
      <c r="O116" s="463"/>
      <c r="P116" s="464"/>
      <c r="Q116" s="463"/>
      <c r="R116" s="466"/>
      <c r="S116" s="467"/>
    </row>
    <row r="117" spans="1:19" x14ac:dyDescent="0.3">
      <c r="A117" s="456"/>
      <c r="B117" s="456"/>
      <c r="C117" s="456"/>
      <c r="D117" s="457"/>
      <c r="E117" s="457"/>
      <c r="F117" s="458"/>
      <c r="G117" s="458"/>
      <c r="H117" s="458"/>
      <c r="I117" s="459"/>
      <c r="J117" s="460"/>
      <c r="K117" s="461"/>
      <c r="L117" s="461"/>
      <c r="M117" s="461"/>
      <c r="N117" s="462"/>
      <c r="O117" s="463"/>
      <c r="P117" s="464"/>
      <c r="Q117" s="463"/>
      <c r="R117" s="466"/>
      <c r="S117" s="467"/>
    </row>
    <row r="118" spans="1:19" x14ac:dyDescent="0.3">
      <c r="A118" s="456"/>
      <c r="B118" s="456"/>
      <c r="C118" s="456"/>
      <c r="D118" s="457"/>
      <c r="E118" s="457"/>
      <c r="F118" s="458"/>
      <c r="G118" s="458"/>
      <c r="H118" s="458"/>
      <c r="I118" s="459"/>
      <c r="J118" s="460"/>
      <c r="K118" s="461"/>
      <c r="L118" s="461"/>
      <c r="M118" s="461"/>
      <c r="N118" s="462"/>
      <c r="O118" s="463"/>
      <c r="P118" s="464"/>
      <c r="Q118" s="463"/>
      <c r="R118" s="466"/>
      <c r="S118" s="467"/>
    </row>
    <row r="119" spans="1:19" x14ac:dyDescent="0.3">
      <c r="A119" s="456"/>
      <c r="B119" s="456"/>
      <c r="C119" s="456"/>
      <c r="D119" s="457"/>
      <c r="E119" s="457"/>
      <c r="F119" s="458"/>
      <c r="G119" s="458"/>
      <c r="H119" s="458"/>
      <c r="I119" s="459"/>
      <c r="J119" s="460"/>
      <c r="K119" s="461"/>
      <c r="L119" s="461"/>
      <c r="M119" s="461"/>
      <c r="N119" s="462"/>
      <c r="O119" s="463"/>
      <c r="P119" s="464"/>
      <c r="Q119" s="463"/>
      <c r="R119" s="466"/>
      <c r="S119" s="467"/>
    </row>
    <row r="120" spans="1:19" x14ac:dyDescent="0.3">
      <c r="A120" s="456"/>
      <c r="B120" s="456"/>
      <c r="C120" s="456"/>
      <c r="D120" s="457"/>
      <c r="E120" s="457"/>
      <c r="F120" s="458"/>
      <c r="G120" s="458"/>
      <c r="H120" s="458"/>
      <c r="I120" s="459"/>
      <c r="J120" s="460"/>
      <c r="K120" s="461"/>
      <c r="L120" s="461"/>
      <c r="M120" s="461"/>
      <c r="N120" s="462"/>
      <c r="O120" s="463"/>
      <c r="P120" s="464"/>
      <c r="Q120" s="463"/>
      <c r="R120" s="466"/>
      <c r="S120" s="467"/>
    </row>
    <row r="121" spans="1:19" x14ac:dyDescent="0.3">
      <c r="A121" s="456"/>
      <c r="B121" s="456"/>
      <c r="C121" s="456"/>
      <c r="D121" s="457"/>
      <c r="E121" s="457"/>
      <c r="F121" s="458"/>
      <c r="G121" s="458"/>
      <c r="H121" s="458"/>
      <c r="I121" s="459"/>
      <c r="J121" s="460"/>
      <c r="K121" s="461"/>
      <c r="L121" s="461"/>
      <c r="M121" s="461"/>
      <c r="N121" s="462"/>
      <c r="O121" s="463"/>
      <c r="P121" s="464"/>
      <c r="Q121" s="463"/>
      <c r="R121" s="466"/>
      <c r="S121" s="467"/>
    </row>
    <row r="122" spans="1:19" x14ac:dyDescent="0.3">
      <c r="A122" s="456"/>
      <c r="B122" s="456"/>
      <c r="C122" s="456"/>
      <c r="D122" s="457"/>
      <c r="E122" s="457"/>
      <c r="F122" s="458"/>
      <c r="G122" s="458"/>
      <c r="H122" s="458"/>
      <c r="I122" s="459"/>
      <c r="J122" s="460"/>
      <c r="K122" s="461"/>
      <c r="L122" s="461"/>
      <c r="M122" s="461"/>
      <c r="N122" s="462"/>
      <c r="O122" s="463"/>
      <c r="P122" s="464"/>
      <c r="Q122" s="463"/>
      <c r="R122" s="466"/>
      <c r="S122" s="467"/>
    </row>
    <row r="123" spans="1:19" x14ac:dyDescent="0.3">
      <c r="A123" s="456"/>
      <c r="B123" s="456"/>
      <c r="C123" s="456"/>
      <c r="D123" s="457"/>
      <c r="E123" s="457"/>
      <c r="F123" s="458"/>
      <c r="G123" s="458"/>
      <c r="H123" s="458"/>
      <c r="I123" s="459"/>
      <c r="J123" s="460"/>
      <c r="K123" s="461"/>
      <c r="L123" s="461"/>
      <c r="M123" s="461"/>
      <c r="N123" s="462"/>
      <c r="O123" s="463"/>
      <c r="P123" s="464"/>
      <c r="Q123" s="463"/>
      <c r="R123" s="466"/>
      <c r="S123" s="467"/>
    </row>
    <row r="124" spans="1:19" x14ac:dyDescent="0.3">
      <c r="A124" s="456"/>
      <c r="B124" s="456"/>
      <c r="C124" s="456"/>
      <c r="D124" s="457"/>
      <c r="E124" s="457"/>
      <c r="F124" s="458"/>
      <c r="G124" s="458"/>
      <c r="H124" s="458"/>
      <c r="I124" s="459"/>
      <c r="J124" s="460"/>
      <c r="K124" s="461"/>
      <c r="L124" s="461"/>
      <c r="M124" s="461"/>
      <c r="N124" s="462"/>
      <c r="O124" s="463"/>
      <c r="P124" s="464"/>
      <c r="Q124" s="463"/>
      <c r="R124" s="466"/>
      <c r="S124" s="467"/>
    </row>
    <row r="125" spans="1:19" x14ac:dyDescent="0.3">
      <c r="A125" s="456"/>
      <c r="B125" s="456"/>
      <c r="C125" s="456"/>
      <c r="D125" s="457"/>
      <c r="E125" s="457"/>
      <c r="F125" s="458"/>
      <c r="G125" s="458"/>
      <c r="H125" s="458"/>
      <c r="I125" s="459"/>
      <c r="J125" s="460"/>
      <c r="K125" s="461"/>
      <c r="L125" s="461"/>
      <c r="M125" s="461"/>
      <c r="N125" s="462"/>
      <c r="O125" s="463"/>
      <c r="P125" s="464"/>
      <c r="Q125" s="463"/>
      <c r="R125" s="466"/>
      <c r="S125" s="467"/>
    </row>
    <row r="126" spans="1:19" x14ac:dyDescent="0.3">
      <c r="A126" s="456"/>
      <c r="B126" s="456"/>
      <c r="C126" s="456"/>
      <c r="D126" s="457"/>
      <c r="E126" s="457"/>
      <c r="F126" s="458"/>
      <c r="G126" s="458"/>
      <c r="H126" s="458"/>
      <c r="I126" s="459"/>
      <c r="J126" s="460"/>
      <c r="K126" s="461"/>
      <c r="L126" s="461"/>
      <c r="M126" s="461"/>
      <c r="N126" s="462"/>
      <c r="O126" s="463"/>
      <c r="P126" s="464"/>
      <c r="Q126" s="463"/>
      <c r="R126" s="466"/>
      <c r="S126" s="467"/>
    </row>
    <row r="127" spans="1:19" x14ac:dyDescent="0.3">
      <c r="A127" s="456"/>
      <c r="B127" s="456"/>
      <c r="C127" s="456"/>
      <c r="D127" s="457"/>
      <c r="E127" s="457"/>
      <c r="F127" s="458"/>
      <c r="G127" s="458"/>
      <c r="H127" s="458"/>
      <c r="I127" s="459"/>
      <c r="J127" s="460"/>
      <c r="K127" s="461"/>
      <c r="L127" s="461"/>
      <c r="M127" s="461"/>
      <c r="N127" s="462"/>
      <c r="O127" s="463"/>
      <c r="P127" s="464"/>
      <c r="Q127" s="463"/>
      <c r="R127" s="466"/>
      <c r="S127" s="467"/>
    </row>
    <row r="128" spans="1:19" x14ac:dyDescent="0.3">
      <c r="A128" s="456"/>
      <c r="B128" s="456"/>
      <c r="C128" s="456"/>
      <c r="D128" s="457"/>
      <c r="E128" s="457"/>
      <c r="F128" s="458"/>
      <c r="G128" s="458"/>
      <c r="H128" s="458"/>
      <c r="I128" s="459"/>
      <c r="J128" s="460"/>
      <c r="K128" s="461"/>
      <c r="L128" s="461"/>
      <c r="M128" s="461"/>
      <c r="N128" s="462"/>
      <c r="O128" s="463"/>
      <c r="P128" s="464"/>
      <c r="Q128" s="463"/>
      <c r="R128" s="466"/>
      <c r="S128" s="467"/>
    </row>
    <row r="129" spans="1:19" x14ac:dyDescent="0.3">
      <c r="A129" s="456"/>
      <c r="B129" s="456"/>
      <c r="C129" s="456"/>
      <c r="D129" s="457"/>
      <c r="E129" s="457"/>
      <c r="F129" s="458"/>
      <c r="G129" s="458"/>
      <c r="H129" s="458"/>
      <c r="I129" s="459"/>
      <c r="J129" s="460"/>
      <c r="K129" s="461"/>
      <c r="L129" s="461"/>
      <c r="M129" s="461"/>
      <c r="N129" s="462"/>
      <c r="O129" s="463"/>
      <c r="P129" s="464"/>
      <c r="Q129" s="463"/>
      <c r="R129" s="466"/>
      <c r="S129" s="467"/>
    </row>
    <row r="130" spans="1:19" x14ac:dyDescent="0.3">
      <c r="A130" s="456"/>
      <c r="B130" s="456"/>
      <c r="C130" s="456"/>
      <c r="D130" s="457"/>
      <c r="E130" s="457"/>
      <c r="F130" s="458"/>
      <c r="G130" s="458"/>
      <c r="H130" s="458"/>
      <c r="I130" s="459"/>
      <c r="J130" s="460"/>
      <c r="K130" s="461"/>
      <c r="L130" s="461"/>
      <c r="M130" s="461"/>
      <c r="N130" s="462"/>
      <c r="O130" s="463"/>
      <c r="P130" s="464"/>
      <c r="Q130" s="463"/>
      <c r="R130" s="466"/>
      <c r="S130" s="467"/>
    </row>
    <row r="131" spans="1:19" x14ac:dyDescent="0.3">
      <c r="A131" s="456"/>
      <c r="B131" s="456"/>
      <c r="C131" s="456"/>
      <c r="D131" s="457"/>
      <c r="E131" s="457"/>
      <c r="F131" s="458"/>
      <c r="G131" s="458"/>
      <c r="H131" s="458"/>
      <c r="I131" s="459"/>
      <c r="J131" s="460"/>
      <c r="K131" s="461"/>
      <c r="L131" s="461"/>
      <c r="M131" s="461"/>
      <c r="N131" s="462"/>
      <c r="O131" s="463"/>
      <c r="P131" s="464"/>
      <c r="Q131" s="463"/>
      <c r="R131" s="466"/>
      <c r="S131" s="467"/>
    </row>
    <row r="132" spans="1:19" x14ac:dyDescent="0.3">
      <c r="A132" s="456"/>
      <c r="B132" s="456"/>
      <c r="C132" s="456"/>
      <c r="D132" s="457"/>
      <c r="E132" s="457"/>
      <c r="F132" s="458"/>
      <c r="G132" s="458"/>
      <c r="H132" s="458"/>
      <c r="I132" s="459"/>
      <c r="J132" s="460"/>
      <c r="K132" s="461"/>
      <c r="L132" s="461"/>
      <c r="M132" s="461"/>
      <c r="N132" s="462"/>
      <c r="O132" s="463"/>
      <c r="P132" s="464"/>
      <c r="Q132" s="463"/>
      <c r="R132" s="466"/>
      <c r="S132" s="467"/>
    </row>
    <row r="133" spans="1:19" x14ac:dyDescent="0.3">
      <c r="A133" s="456"/>
      <c r="B133" s="456"/>
      <c r="C133" s="456"/>
      <c r="D133" s="457"/>
      <c r="E133" s="457"/>
      <c r="F133" s="458"/>
      <c r="G133" s="458"/>
      <c r="H133" s="458"/>
      <c r="I133" s="459"/>
      <c r="J133" s="460"/>
      <c r="K133" s="461"/>
      <c r="L133" s="461"/>
      <c r="M133" s="461"/>
      <c r="N133" s="462"/>
      <c r="O133" s="463"/>
      <c r="P133" s="464"/>
      <c r="Q133" s="463"/>
      <c r="R133" s="466"/>
      <c r="S133" s="467"/>
    </row>
    <row r="134" spans="1:19" x14ac:dyDescent="0.3">
      <c r="A134" s="456"/>
      <c r="B134" s="456"/>
      <c r="C134" s="456"/>
      <c r="D134" s="457"/>
      <c r="E134" s="457"/>
      <c r="F134" s="458"/>
      <c r="G134" s="458"/>
      <c r="H134" s="458"/>
      <c r="I134" s="459"/>
      <c r="J134" s="460"/>
      <c r="K134" s="461"/>
      <c r="L134" s="461"/>
      <c r="M134" s="461"/>
      <c r="N134" s="462"/>
      <c r="O134" s="463"/>
      <c r="P134" s="464"/>
      <c r="Q134" s="463"/>
      <c r="R134" s="466"/>
      <c r="S134" s="467"/>
    </row>
    <row r="135" spans="1:19" x14ac:dyDescent="0.3">
      <c r="A135" s="456"/>
      <c r="B135" s="456"/>
      <c r="C135" s="456"/>
      <c r="D135" s="457"/>
      <c r="E135" s="457"/>
      <c r="F135" s="458"/>
      <c r="G135" s="458"/>
      <c r="H135" s="458"/>
      <c r="I135" s="459"/>
      <c r="J135" s="460"/>
      <c r="K135" s="461"/>
      <c r="L135" s="461"/>
      <c r="M135" s="461"/>
      <c r="N135" s="462"/>
      <c r="O135" s="463"/>
      <c r="P135" s="464"/>
      <c r="Q135" s="463"/>
      <c r="R135" s="466"/>
      <c r="S135" s="467"/>
    </row>
    <row r="136" spans="1:19" x14ac:dyDescent="0.3">
      <c r="A136" s="456"/>
      <c r="B136" s="456"/>
      <c r="C136" s="456"/>
      <c r="D136" s="457"/>
      <c r="E136" s="457"/>
      <c r="F136" s="458"/>
      <c r="G136" s="458"/>
      <c r="H136" s="458"/>
      <c r="I136" s="459"/>
      <c r="J136" s="460"/>
      <c r="K136" s="461"/>
      <c r="L136" s="461"/>
      <c r="M136" s="461"/>
      <c r="N136" s="462"/>
      <c r="O136" s="463"/>
      <c r="P136" s="464"/>
      <c r="Q136" s="463"/>
      <c r="R136" s="466"/>
      <c r="S136" s="467"/>
    </row>
    <row r="137" spans="1:19" x14ac:dyDescent="0.3">
      <c r="A137" s="456"/>
      <c r="B137" s="456"/>
      <c r="C137" s="456"/>
      <c r="D137" s="457"/>
      <c r="E137" s="457"/>
      <c r="F137" s="458"/>
      <c r="G137" s="458"/>
      <c r="H137" s="458"/>
      <c r="I137" s="459"/>
      <c r="J137" s="460"/>
      <c r="K137" s="461"/>
      <c r="L137" s="461"/>
      <c r="M137" s="461"/>
      <c r="N137" s="462"/>
      <c r="O137" s="463"/>
      <c r="P137" s="464"/>
      <c r="Q137" s="463"/>
      <c r="R137" s="466"/>
      <c r="S137" s="467"/>
    </row>
    <row r="138" spans="1:19" x14ac:dyDescent="0.3">
      <c r="A138" s="456"/>
      <c r="B138" s="456"/>
      <c r="C138" s="456"/>
      <c r="D138" s="457"/>
      <c r="E138" s="457"/>
      <c r="F138" s="458"/>
      <c r="G138" s="458"/>
      <c r="H138" s="458"/>
      <c r="I138" s="459"/>
      <c r="J138" s="460"/>
      <c r="K138" s="461"/>
      <c r="L138" s="461"/>
      <c r="M138" s="461"/>
      <c r="N138" s="462"/>
      <c r="O138" s="463"/>
      <c r="P138" s="464"/>
      <c r="Q138" s="463"/>
      <c r="R138" s="466"/>
      <c r="S138" s="467"/>
    </row>
    <row r="139" spans="1:19" x14ac:dyDescent="0.3">
      <c r="A139" s="456"/>
      <c r="B139" s="456"/>
      <c r="C139" s="456"/>
      <c r="D139" s="457"/>
      <c r="E139" s="457"/>
      <c r="F139" s="458"/>
      <c r="G139" s="458"/>
      <c r="H139" s="458"/>
      <c r="I139" s="459"/>
      <c r="J139" s="460"/>
      <c r="K139" s="461"/>
      <c r="L139" s="461"/>
      <c r="M139" s="461"/>
      <c r="N139" s="462"/>
      <c r="O139" s="463"/>
      <c r="P139" s="464"/>
      <c r="Q139" s="463"/>
      <c r="R139" s="466"/>
      <c r="S139" s="467"/>
    </row>
    <row r="140" spans="1:19" x14ac:dyDescent="0.3">
      <c r="A140" s="456"/>
      <c r="B140" s="456"/>
      <c r="C140" s="456"/>
      <c r="D140" s="457"/>
      <c r="E140" s="457"/>
      <c r="F140" s="458"/>
      <c r="G140" s="458"/>
      <c r="H140" s="458"/>
      <c r="I140" s="459"/>
      <c r="J140" s="460"/>
      <c r="K140" s="461"/>
      <c r="L140" s="461"/>
      <c r="M140" s="461"/>
      <c r="N140" s="462"/>
      <c r="O140" s="463"/>
      <c r="P140" s="464"/>
      <c r="Q140" s="463"/>
      <c r="R140" s="466"/>
      <c r="S140" s="467"/>
    </row>
    <row r="141" spans="1:19" x14ac:dyDescent="0.3">
      <c r="A141" s="456"/>
      <c r="B141" s="456"/>
      <c r="C141" s="456"/>
      <c r="D141" s="457"/>
      <c r="E141" s="457"/>
      <c r="F141" s="458"/>
      <c r="G141" s="458"/>
      <c r="H141" s="458"/>
      <c r="I141" s="459"/>
      <c r="J141" s="460"/>
      <c r="K141" s="461"/>
      <c r="L141" s="461"/>
      <c r="M141" s="461"/>
      <c r="N141" s="462"/>
      <c r="O141" s="463"/>
      <c r="P141" s="464"/>
      <c r="Q141" s="463"/>
      <c r="R141" s="466"/>
      <c r="S141" s="467"/>
    </row>
    <row r="142" spans="1:19" x14ac:dyDescent="0.3">
      <c r="A142" s="456"/>
      <c r="B142" s="456"/>
      <c r="C142" s="456"/>
      <c r="D142" s="457"/>
      <c r="E142" s="457"/>
      <c r="F142" s="458"/>
      <c r="G142" s="458"/>
      <c r="H142" s="458"/>
      <c r="I142" s="459"/>
      <c r="J142" s="460"/>
      <c r="K142" s="461"/>
      <c r="L142" s="461"/>
      <c r="M142" s="461"/>
      <c r="N142" s="462"/>
      <c r="O142" s="463"/>
      <c r="P142" s="464"/>
      <c r="Q142" s="463"/>
      <c r="R142" s="466"/>
      <c r="S142" s="467"/>
    </row>
    <row r="143" spans="1:19" x14ac:dyDescent="0.3">
      <c r="A143" s="456"/>
      <c r="B143" s="456"/>
      <c r="C143" s="456"/>
      <c r="D143" s="457"/>
      <c r="E143" s="457"/>
      <c r="F143" s="458"/>
      <c r="G143" s="458"/>
      <c r="H143" s="458"/>
      <c r="I143" s="459"/>
      <c r="J143" s="460"/>
      <c r="K143" s="461"/>
      <c r="L143" s="461"/>
      <c r="M143" s="461"/>
      <c r="N143" s="462"/>
      <c r="O143" s="463"/>
      <c r="P143" s="464"/>
      <c r="Q143" s="463"/>
      <c r="R143" s="466"/>
      <c r="S143" s="467"/>
    </row>
    <row r="144" spans="1:19" x14ac:dyDescent="0.3">
      <c r="A144" s="456"/>
      <c r="B144" s="456"/>
      <c r="C144" s="456"/>
      <c r="D144" s="457"/>
      <c r="E144" s="457"/>
      <c r="F144" s="458"/>
      <c r="G144" s="458"/>
      <c r="H144" s="458"/>
      <c r="I144" s="459"/>
      <c r="J144" s="460"/>
      <c r="K144" s="461"/>
      <c r="L144" s="461"/>
      <c r="M144" s="461"/>
      <c r="N144" s="462"/>
      <c r="O144" s="463"/>
      <c r="P144" s="464"/>
      <c r="Q144" s="463"/>
      <c r="R144" s="466"/>
      <c r="S144" s="467"/>
    </row>
    <row r="145" spans="1:19" x14ac:dyDescent="0.3">
      <c r="A145" s="456"/>
      <c r="B145" s="456"/>
      <c r="C145" s="456"/>
      <c r="D145" s="457"/>
      <c r="E145" s="457"/>
      <c r="F145" s="458"/>
      <c r="G145" s="458"/>
      <c r="H145" s="458"/>
      <c r="I145" s="459"/>
      <c r="J145" s="460"/>
      <c r="K145" s="461"/>
      <c r="L145" s="461"/>
      <c r="M145" s="461"/>
      <c r="N145" s="462"/>
      <c r="O145" s="463"/>
      <c r="P145" s="464"/>
      <c r="Q145" s="463"/>
      <c r="R145" s="466"/>
      <c r="S145" s="467"/>
    </row>
    <row r="146" spans="1:19" x14ac:dyDescent="0.3">
      <c r="A146" s="456"/>
      <c r="B146" s="456"/>
      <c r="C146" s="456"/>
      <c r="D146" s="457"/>
      <c r="E146" s="457"/>
      <c r="F146" s="458"/>
      <c r="G146" s="458"/>
      <c r="H146" s="458"/>
      <c r="I146" s="459"/>
      <c r="J146" s="460"/>
      <c r="K146" s="461"/>
      <c r="L146" s="461"/>
      <c r="M146" s="461"/>
      <c r="N146" s="462"/>
      <c r="O146" s="463"/>
      <c r="P146" s="464"/>
      <c r="Q146" s="463"/>
      <c r="R146" s="466"/>
      <c r="S146" s="467"/>
    </row>
    <row r="147" spans="1:19" x14ac:dyDescent="0.3">
      <c r="A147" s="456"/>
      <c r="B147" s="456"/>
      <c r="C147" s="456"/>
      <c r="D147" s="457"/>
      <c r="E147" s="457"/>
      <c r="F147" s="458"/>
      <c r="G147" s="458"/>
      <c r="H147" s="458"/>
      <c r="I147" s="459"/>
      <c r="J147" s="460"/>
      <c r="K147" s="461"/>
      <c r="L147" s="461"/>
      <c r="M147" s="461"/>
      <c r="N147" s="462"/>
      <c r="O147" s="463"/>
      <c r="P147" s="464"/>
      <c r="Q147" s="463"/>
      <c r="R147" s="466"/>
      <c r="S147" s="467"/>
    </row>
    <row r="148" spans="1:19" x14ac:dyDescent="0.3">
      <c r="A148" s="456"/>
      <c r="B148" s="456"/>
      <c r="C148" s="456"/>
      <c r="D148" s="457"/>
      <c r="E148" s="457"/>
      <c r="F148" s="458"/>
      <c r="G148" s="458"/>
      <c r="H148" s="458"/>
      <c r="I148" s="459"/>
      <c r="J148" s="460"/>
      <c r="K148" s="461"/>
      <c r="L148" s="461"/>
      <c r="M148" s="461"/>
      <c r="N148" s="462"/>
      <c r="O148" s="463"/>
      <c r="P148" s="464"/>
      <c r="Q148" s="463"/>
      <c r="R148" s="466"/>
      <c r="S148" s="467"/>
    </row>
    <row r="149" spans="1:19" x14ac:dyDescent="0.3">
      <c r="A149" s="456"/>
      <c r="B149" s="456"/>
      <c r="C149" s="456"/>
      <c r="D149" s="457"/>
      <c r="E149" s="457"/>
      <c r="F149" s="458"/>
      <c r="G149" s="458"/>
      <c r="H149" s="458"/>
      <c r="I149" s="459"/>
      <c r="J149" s="460"/>
      <c r="K149" s="461"/>
      <c r="L149" s="461"/>
      <c r="M149" s="461"/>
      <c r="N149" s="462"/>
      <c r="O149" s="463"/>
      <c r="P149" s="464"/>
      <c r="Q149" s="463"/>
      <c r="R149" s="466"/>
      <c r="S149" s="467"/>
    </row>
    <row r="150" spans="1:19" x14ac:dyDescent="0.3">
      <c r="A150" s="456"/>
      <c r="B150" s="456"/>
      <c r="C150" s="456"/>
      <c r="D150" s="457"/>
      <c r="E150" s="457"/>
      <c r="F150" s="458"/>
      <c r="G150" s="458"/>
      <c r="H150" s="458"/>
      <c r="I150" s="459"/>
      <c r="J150" s="460"/>
      <c r="K150" s="461"/>
      <c r="L150" s="461"/>
      <c r="M150" s="461"/>
      <c r="N150" s="462"/>
      <c r="O150" s="463"/>
      <c r="P150" s="464"/>
      <c r="Q150" s="463"/>
      <c r="R150" s="466"/>
      <c r="S150" s="467"/>
    </row>
    <row r="151" spans="1:19" x14ac:dyDescent="0.3">
      <c r="A151" s="456"/>
      <c r="B151" s="456"/>
      <c r="C151" s="456"/>
      <c r="D151" s="457"/>
      <c r="E151" s="457"/>
      <c r="F151" s="458"/>
      <c r="G151" s="458"/>
      <c r="H151" s="458"/>
      <c r="I151" s="459"/>
      <c r="J151" s="460"/>
      <c r="K151" s="461"/>
      <c r="L151" s="461"/>
      <c r="M151" s="461"/>
      <c r="N151" s="462"/>
      <c r="O151" s="463"/>
      <c r="P151" s="464"/>
      <c r="Q151" s="463"/>
      <c r="R151" s="466"/>
      <c r="S151" s="467"/>
    </row>
    <row r="152" spans="1:19" x14ac:dyDescent="0.3">
      <c r="A152" s="456"/>
      <c r="B152" s="456"/>
      <c r="C152" s="456"/>
      <c r="D152" s="457"/>
      <c r="E152" s="457"/>
      <c r="F152" s="458"/>
      <c r="G152" s="458"/>
      <c r="H152" s="458"/>
      <c r="I152" s="459"/>
      <c r="J152" s="460"/>
      <c r="K152" s="461"/>
      <c r="L152" s="461"/>
      <c r="M152" s="461"/>
      <c r="N152" s="462"/>
      <c r="O152" s="463"/>
      <c r="P152" s="464"/>
      <c r="Q152" s="463"/>
      <c r="R152" s="466"/>
      <c r="S152" s="467"/>
    </row>
    <row r="153" spans="1:19" x14ac:dyDescent="0.3">
      <c r="A153" s="456"/>
      <c r="B153" s="456"/>
      <c r="C153" s="456"/>
      <c r="D153" s="457"/>
      <c r="E153" s="457"/>
      <c r="F153" s="458"/>
      <c r="G153" s="458"/>
      <c r="H153" s="458"/>
      <c r="I153" s="459"/>
      <c r="J153" s="460"/>
      <c r="K153" s="461"/>
      <c r="L153" s="461"/>
      <c r="M153" s="461"/>
      <c r="N153" s="462"/>
      <c r="O153" s="463"/>
      <c r="P153" s="464"/>
      <c r="Q153" s="463"/>
      <c r="R153" s="466"/>
      <c r="S153" s="467"/>
    </row>
    <row r="154" spans="1:19" x14ac:dyDescent="0.3">
      <c r="A154" s="456"/>
      <c r="B154" s="456"/>
      <c r="C154" s="456"/>
      <c r="D154" s="457"/>
      <c r="E154" s="457"/>
      <c r="F154" s="458"/>
      <c r="G154" s="458"/>
      <c r="H154" s="458"/>
      <c r="I154" s="459"/>
      <c r="J154" s="460"/>
      <c r="K154" s="461"/>
      <c r="L154" s="461"/>
      <c r="M154" s="461"/>
      <c r="N154" s="462"/>
      <c r="O154" s="463"/>
      <c r="P154" s="464"/>
      <c r="Q154" s="463"/>
      <c r="R154" s="466"/>
      <c r="S154" s="467"/>
    </row>
    <row r="155" spans="1:19" x14ac:dyDescent="0.3">
      <c r="A155" s="456"/>
      <c r="B155" s="456"/>
      <c r="C155" s="456"/>
      <c r="D155" s="457"/>
      <c r="E155" s="457"/>
      <c r="F155" s="458"/>
      <c r="G155" s="458"/>
      <c r="H155" s="458"/>
      <c r="I155" s="459"/>
      <c r="J155" s="460"/>
      <c r="K155" s="461"/>
      <c r="L155" s="461"/>
      <c r="M155" s="461"/>
      <c r="N155" s="462"/>
      <c r="O155" s="463"/>
      <c r="P155" s="464"/>
      <c r="Q155" s="463"/>
      <c r="R155" s="466"/>
      <c r="S155" s="467"/>
    </row>
    <row r="156" spans="1:19" x14ac:dyDescent="0.3">
      <c r="A156" s="456"/>
      <c r="B156" s="456"/>
      <c r="C156" s="456"/>
      <c r="D156" s="457"/>
      <c r="E156" s="457"/>
      <c r="F156" s="458"/>
      <c r="G156" s="458"/>
      <c r="H156" s="458"/>
      <c r="I156" s="459"/>
      <c r="J156" s="460"/>
      <c r="K156" s="461"/>
      <c r="L156" s="461"/>
      <c r="M156" s="461"/>
      <c r="N156" s="462"/>
      <c r="O156" s="463"/>
      <c r="P156" s="464"/>
      <c r="Q156" s="463"/>
      <c r="R156" s="466"/>
      <c r="S156" s="467"/>
    </row>
    <row r="157" spans="1:19" x14ac:dyDescent="0.3">
      <c r="A157" s="456"/>
      <c r="B157" s="456"/>
      <c r="C157" s="456"/>
      <c r="D157" s="457"/>
      <c r="E157" s="457"/>
      <c r="F157" s="458"/>
      <c r="G157" s="458"/>
      <c r="H157" s="458"/>
      <c r="I157" s="459"/>
      <c r="J157" s="460"/>
      <c r="K157" s="461"/>
      <c r="L157" s="461"/>
      <c r="M157" s="461"/>
      <c r="N157" s="462"/>
      <c r="O157" s="463"/>
      <c r="P157" s="464"/>
      <c r="Q157" s="463"/>
      <c r="R157" s="466"/>
      <c r="S157" s="467"/>
    </row>
    <row r="158" spans="1:19" x14ac:dyDescent="0.3">
      <c r="A158" s="456"/>
      <c r="B158" s="456"/>
      <c r="C158" s="456"/>
      <c r="D158" s="457"/>
      <c r="E158" s="457"/>
      <c r="F158" s="458"/>
      <c r="G158" s="458"/>
      <c r="H158" s="458"/>
      <c r="I158" s="459"/>
      <c r="J158" s="460"/>
      <c r="K158" s="461"/>
      <c r="L158" s="461"/>
      <c r="M158" s="461"/>
      <c r="N158" s="462"/>
      <c r="O158" s="463"/>
      <c r="P158" s="464"/>
      <c r="Q158" s="463"/>
      <c r="R158" s="466"/>
      <c r="S158" s="467"/>
    </row>
    <row r="159" spans="1:19" x14ac:dyDescent="0.3">
      <c r="A159" s="456"/>
      <c r="B159" s="456"/>
      <c r="C159" s="456"/>
      <c r="D159" s="457"/>
      <c r="E159" s="457"/>
      <c r="F159" s="458"/>
      <c r="G159" s="458"/>
      <c r="H159" s="458"/>
      <c r="I159" s="459"/>
      <c r="J159" s="460"/>
      <c r="K159" s="461"/>
      <c r="L159" s="461"/>
      <c r="M159" s="461"/>
      <c r="N159" s="462"/>
      <c r="O159" s="463"/>
      <c r="P159" s="464"/>
      <c r="Q159" s="463"/>
      <c r="R159" s="466"/>
      <c r="S159" s="467"/>
    </row>
    <row r="160" spans="1:19" x14ac:dyDescent="0.3">
      <c r="A160" s="456"/>
      <c r="B160" s="456"/>
      <c r="C160" s="456"/>
      <c r="D160" s="457"/>
      <c r="E160" s="457"/>
      <c r="F160" s="458"/>
      <c r="G160" s="458"/>
      <c r="H160" s="458"/>
      <c r="I160" s="459"/>
      <c r="J160" s="460"/>
      <c r="K160" s="461"/>
      <c r="L160" s="461"/>
      <c r="M160" s="461"/>
      <c r="N160" s="462"/>
      <c r="O160" s="463"/>
      <c r="P160" s="464"/>
      <c r="Q160" s="463"/>
      <c r="R160" s="466"/>
      <c r="S160" s="467"/>
    </row>
    <row r="161" spans="1:19" x14ac:dyDescent="0.3">
      <c r="A161" s="456"/>
      <c r="B161" s="456"/>
      <c r="C161" s="456"/>
      <c r="D161" s="457"/>
      <c r="E161" s="457"/>
      <c r="F161" s="458"/>
      <c r="G161" s="458"/>
      <c r="H161" s="458"/>
      <c r="I161" s="459"/>
      <c r="J161" s="460"/>
      <c r="K161" s="461"/>
      <c r="L161" s="461"/>
      <c r="M161" s="461"/>
      <c r="N161" s="462"/>
      <c r="O161" s="463"/>
      <c r="P161" s="464"/>
      <c r="Q161" s="463"/>
      <c r="R161" s="466"/>
      <c r="S161" s="467"/>
    </row>
    <row r="162" spans="1:19" x14ac:dyDescent="0.3">
      <c r="A162" s="456"/>
      <c r="B162" s="456"/>
      <c r="C162" s="456"/>
      <c r="D162" s="457"/>
      <c r="E162" s="457"/>
      <c r="F162" s="458"/>
      <c r="G162" s="458"/>
      <c r="H162" s="458"/>
      <c r="I162" s="459"/>
      <c r="J162" s="460"/>
      <c r="K162" s="461"/>
      <c r="L162" s="461"/>
      <c r="M162" s="461"/>
      <c r="N162" s="462"/>
      <c r="O162" s="463"/>
      <c r="P162" s="464"/>
      <c r="Q162" s="463"/>
      <c r="R162" s="466"/>
      <c r="S162" s="467"/>
    </row>
    <row r="163" spans="1:19" x14ac:dyDescent="0.3">
      <c r="A163" s="456"/>
      <c r="B163" s="456"/>
      <c r="C163" s="456"/>
      <c r="D163" s="457"/>
      <c r="E163" s="457"/>
      <c r="F163" s="458"/>
      <c r="G163" s="458"/>
      <c r="H163" s="458"/>
      <c r="I163" s="459"/>
      <c r="J163" s="460"/>
      <c r="K163" s="461"/>
      <c r="L163" s="461"/>
      <c r="M163" s="461"/>
      <c r="N163" s="462"/>
      <c r="O163" s="463"/>
      <c r="P163" s="464"/>
      <c r="Q163" s="463"/>
      <c r="R163" s="466"/>
      <c r="S163" s="467"/>
    </row>
    <row r="164" spans="1:19" x14ac:dyDescent="0.3">
      <c r="A164" s="456"/>
      <c r="B164" s="456"/>
      <c r="C164" s="456"/>
      <c r="D164" s="457"/>
      <c r="E164" s="457"/>
      <c r="F164" s="458"/>
      <c r="G164" s="458"/>
      <c r="H164" s="458"/>
      <c r="I164" s="459"/>
      <c r="J164" s="460"/>
      <c r="K164" s="461"/>
      <c r="L164" s="461"/>
      <c r="M164" s="461"/>
      <c r="N164" s="462"/>
      <c r="O164" s="463"/>
      <c r="P164" s="464"/>
      <c r="Q164" s="463"/>
      <c r="R164" s="466"/>
      <c r="S164" s="467"/>
    </row>
    <row r="165" spans="1:19" x14ac:dyDescent="0.3">
      <c r="A165" s="456"/>
      <c r="B165" s="456"/>
      <c r="C165" s="456"/>
      <c r="D165" s="457"/>
      <c r="E165" s="457"/>
      <c r="F165" s="458"/>
      <c r="G165" s="458"/>
      <c r="H165" s="458"/>
      <c r="I165" s="459"/>
      <c r="J165" s="460"/>
      <c r="K165" s="461"/>
      <c r="L165" s="461"/>
      <c r="M165" s="461"/>
      <c r="N165" s="462"/>
      <c r="O165" s="463"/>
      <c r="P165" s="464"/>
      <c r="Q165" s="463"/>
      <c r="R165" s="466"/>
      <c r="S165" s="467"/>
    </row>
    <row r="166" spans="1:19" x14ac:dyDescent="0.3">
      <c r="A166" s="456"/>
      <c r="B166" s="456"/>
      <c r="C166" s="456"/>
      <c r="D166" s="457"/>
      <c r="E166" s="457"/>
      <c r="F166" s="458"/>
      <c r="G166" s="458"/>
      <c r="H166" s="458"/>
      <c r="I166" s="459"/>
      <c r="J166" s="460"/>
      <c r="K166" s="461"/>
      <c r="L166" s="461"/>
      <c r="M166" s="461"/>
      <c r="N166" s="462"/>
      <c r="O166" s="463"/>
      <c r="P166" s="464"/>
      <c r="Q166" s="463"/>
      <c r="R166" s="466"/>
      <c r="S166" s="467"/>
    </row>
    <row r="167" spans="1:19" x14ac:dyDescent="0.3">
      <c r="A167" s="456"/>
      <c r="B167" s="456"/>
      <c r="C167" s="456"/>
      <c r="D167" s="457"/>
      <c r="E167" s="457"/>
      <c r="F167" s="458"/>
      <c r="G167" s="458"/>
      <c r="H167" s="458"/>
      <c r="I167" s="459"/>
      <c r="J167" s="460"/>
      <c r="K167" s="461"/>
      <c r="L167" s="461"/>
      <c r="M167" s="461"/>
      <c r="N167" s="462"/>
      <c r="O167" s="463"/>
      <c r="P167" s="464"/>
      <c r="Q167" s="463"/>
      <c r="R167" s="466"/>
      <c r="S167" s="467"/>
    </row>
    <row r="168" spans="1:19" x14ac:dyDescent="0.3">
      <c r="A168" s="456"/>
      <c r="B168" s="456"/>
      <c r="C168" s="456"/>
      <c r="D168" s="457"/>
      <c r="E168" s="457"/>
      <c r="F168" s="458"/>
      <c r="G168" s="458"/>
      <c r="H168" s="458"/>
      <c r="I168" s="459"/>
      <c r="J168" s="460"/>
      <c r="K168" s="461"/>
      <c r="L168" s="461"/>
      <c r="M168" s="461"/>
      <c r="N168" s="462"/>
      <c r="O168" s="463"/>
      <c r="P168" s="464"/>
      <c r="Q168" s="463"/>
      <c r="R168" s="466"/>
      <c r="S168" s="467"/>
    </row>
    <row r="169" spans="1:19" x14ac:dyDescent="0.3">
      <c r="A169" s="456"/>
      <c r="B169" s="456"/>
      <c r="C169" s="456"/>
      <c r="D169" s="457"/>
      <c r="E169" s="457"/>
      <c r="F169" s="458"/>
      <c r="G169" s="458"/>
      <c r="H169" s="458"/>
      <c r="I169" s="459"/>
      <c r="J169" s="460"/>
      <c r="K169" s="461"/>
      <c r="L169" s="461"/>
      <c r="M169" s="461"/>
      <c r="N169" s="462"/>
      <c r="O169" s="463"/>
      <c r="P169" s="464"/>
      <c r="Q169" s="463"/>
      <c r="R169" s="466"/>
      <c r="S169" s="467"/>
    </row>
    <row r="170" spans="1:19" x14ac:dyDescent="0.3">
      <c r="A170" s="456"/>
      <c r="B170" s="456"/>
      <c r="C170" s="456"/>
      <c r="D170" s="457"/>
      <c r="E170" s="457"/>
      <c r="F170" s="458"/>
      <c r="G170" s="458"/>
      <c r="H170" s="458"/>
      <c r="I170" s="459"/>
      <c r="J170" s="460"/>
      <c r="K170" s="461"/>
      <c r="L170" s="461"/>
      <c r="M170" s="461"/>
      <c r="N170" s="462"/>
      <c r="O170" s="463"/>
      <c r="P170" s="464"/>
      <c r="Q170" s="463"/>
      <c r="R170" s="466"/>
      <c r="S170" s="467"/>
    </row>
    <row r="171" spans="1:19" x14ac:dyDescent="0.3">
      <c r="A171" s="456"/>
      <c r="B171" s="456"/>
      <c r="C171" s="456"/>
      <c r="D171" s="457"/>
      <c r="E171" s="457"/>
      <c r="F171" s="458"/>
      <c r="G171" s="458"/>
      <c r="H171" s="458"/>
      <c r="I171" s="459"/>
      <c r="J171" s="460"/>
      <c r="K171" s="461"/>
      <c r="L171" s="461"/>
      <c r="M171" s="461"/>
      <c r="N171" s="462"/>
      <c r="O171" s="463"/>
      <c r="P171" s="464"/>
      <c r="Q171" s="463"/>
      <c r="R171" s="466"/>
      <c r="S171" s="467"/>
    </row>
    <row r="172" spans="1:19" x14ac:dyDescent="0.3">
      <c r="A172" s="456"/>
      <c r="B172" s="456"/>
      <c r="C172" s="456"/>
      <c r="D172" s="457"/>
      <c r="E172" s="457"/>
      <c r="F172" s="458"/>
      <c r="G172" s="458"/>
      <c r="H172" s="458"/>
      <c r="I172" s="459"/>
      <c r="J172" s="460"/>
      <c r="K172" s="461"/>
      <c r="L172" s="461"/>
      <c r="M172" s="461"/>
      <c r="N172" s="462"/>
      <c r="O172" s="463"/>
      <c r="P172" s="464"/>
      <c r="Q172" s="463"/>
      <c r="R172" s="466"/>
      <c r="S172" s="467"/>
    </row>
    <row r="173" spans="1:19" x14ac:dyDescent="0.3">
      <c r="A173" s="456"/>
      <c r="B173" s="456"/>
      <c r="C173" s="456"/>
      <c r="D173" s="457"/>
      <c r="E173" s="457"/>
      <c r="F173" s="458"/>
      <c r="G173" s="458"/>
      <c r="H173" s="458"/>
      <c r="I173" s="459"/>
      <c r="J173" s="460"/>
      <c r="K173" s="461"/>
      <c r="L173" s="461"/>
      <c r="M173" s="461"/>
      <c r="N173" s="462"/>
      <c r="O173" s="463"/>
      <c r="P173" s="464"/>
      <c r="Q173" s="463"/>
      <c r="R173" s="466"/>
      <c r="S173" s="467"/>
    </row>
    <row r="174" spans="1:19" x14ac:dyDescent="0.3">
      <c r="A174" s="456"/>
      <c r="B174" s="456"/>
      <c r="C174" s="456"/>
      <c r="D174" s="457"/>
      <c r="E174" s="457"/>
      <c r="F174" s="458"/>
      <c r="G174" s="458"/>
      <c r="H174" s="458"/>
      <c r="I174" s="459"/>
      <c r="J174" s="460"/>
      <c r="K174" s="461"/>
      <c r="L174" s="461"/>
      <c r="M174" s="461"/>
      <c r="N174" s="462"/>
      <c r="O174" s="463"/>
      <c r="P174" s="464"/>
      <c r="Q174" s="463"/>
      <c r="R174" s="466"/>
      <c r="S174" s="467"/>
    </row>
    <row r="175" spans="1:19" x14ac:dyDescent="0.3">
      <c r="A175" s="456"/>
      <c r="B175" s="456"/>
      <c r="C175" s="456"/>
      <c r="D175" s="457"/>
      <c r="E175" s="457"/>
      <c r="F175" s="458"/>
      <c r="G175" s="458"/>
      <c r="H175" s="458"/>
      <c r="I175" s="459"/>
      <c r="J175" s="460"/>
      <c r="K175" s="461"/>
      <c r="L175" s="461"/>
      <c r="M175" s="461"/>
      <c r="N175" s="462"/>
      <c r="O175" s="463"/>
      <c r="P175" s="464"/>
      <c r="Q175" s="463"/>
      <c r="R175" s="466"/>
      <c r="S175" s="467"/>
    </row>
  </sheetData>
  <mergeCells count="4">
    <mergeCell ref="A1:E1"/>
    <mergeCell ref="G1:K1"/>
    <mergeCell ref="M1:P1"/>
    <mergeCell ref="Q1:S1"/>
  </mergeCells>
  <conditionalFormatting sqref="H3:H175">
    <cfRule type="cellIs" dxfId="40" priority="1" operator="between">
      <formula>13</formula>
      <formula>25</formula>
    </cfRule>
    <cfRule type="cellIs" dxfId="39" priority="2" operator="between">
      <formula>6</formula>
      <formula>12</formula>
    </cfRule>
    <cfRule type="cellIs" dxfId="38" priority="3" operator="between">
      <formula>1</formula>
      <formula>5</formula>
    </cfRule>
  </conditionalFormatting>
  <conditionalFormatting sqref="L3:L1048576">
    <cfRule type="containsText" dxfId="37" priority="4" operator="containsText" text="Low">
      <formula>NOT(ISERROR(SEARCH("Low",L3)))</formula>
    </cfRule>
    <cfRule type="containsText" dxfId="36" priority="5" operator="containsText" text="Medium">
      <formula>NOT(ISERROR(SEARCH("Medium",L3)))</formula>
    </cfRule>
    <cfRule type="containsText" dxfId="35" priority="6" operator="containsText" text="High">
      <formula>NOT(ISERROR(SEARCH("High",L3)))</formula>
    </cfRule>
  </conditionalFormatting>
  <dataValidations count="2">
    <dataValidation type="whole" allowBlank="1" showInputMessage="1" showErrorMessage="1" promptTitle="Impact" prompt="Threat = 1 to 5 (+ value)_x000a_Opportunity = -1 to -5 (- value)" sqref="F3:G32" xr:uid="{887F7111-7295-4C57-A086-22F1EC7257D9}">
      <formula1>-5</formula1>
      <formula2>5</formula2>
    </dataValidation>
    <dataValidation allowBlank="1" showErrorMessage="1" promptTitle="Risk Status" prompt="This is the current status of the risk element_x000a__x000a_Active = Risk is being actively monitored and controlled_x000a__x000a_Dormant = Risk is not currently a high priority, but may become active in the future_x000a__x000a_Retired = Risk is no longer a threat to project objectives" sqref="R3:R32" xr:uid="{B942C303-8311-428C-A762-CACC2B2275A8}"/>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40EFF-FB4F-4FEE-B893-B8A43A2D213C}">
  <dimension ref="A1:AV32"/>
  <sheetViews>
    <sheetView workbookViewId="0">
      <selection activeCell="N14" sqref="N14"/>
    </sheetView>
  </sheetViews>
  <sheetFormatPr defaultRowHeight="14.4" x14ac:dyDescent="0.3"/>
  <cols>
    <col min="5" max="5" width="13.21875" customWidth="1"/>
    <col min="6" max="6" width="38.21875" customWidth="1"/>
    <col min="7" max="7" width="24" customWidth="1"/>
  </cols>
  <sheetData>
    <row r="1" spans="1:48" ht="23.4" x14ac:dyDescent="0.3">
      <c r="A1" s="558" t="s">
        <v>749</v>
      </c>
      <c r="B1" s="559"/>
      <c r="C1" s="559"/>
      <c r="D1" s="559"/>
      <c r="E1" s="559"/>
      <c r="F1" s="559"/>
      <c r="G1" s="559"/>
      <c r="H1" s="559"/>
      <c r="I1" s="559"/>
      <c r="J1" s="559"/>
      <c r="K1" s="559"/>
      <c r="L1" s="560"/>
      <c r="M1" s="471"/>
      <c r="N1" s="471"/>
      <c r="O1" s="471"/>
      <c r="P1" s="471"/>
      <c r="Q1" s="471"/>
      <c r="R1" s="471"/>
      <c r="S1" s="471"/>
      <c r="T1" s="471"/>
      <c r="U1" s="471"/>
      <c r="V1" s="471"/>
      <c r="W1" s="471"/>
      <c r="X1" s="471"/>
      <c r="Y1" s="471"/>
      <c r="Z1" s="471"/>
      <c r="AA1" s="471"/>
      <c r="AB1" s="471"/>
      <c r="AC1" s="471"/>
      <c r="AD1" s="471"/>
      <c r="AE1" s="471"/>
      <c r="AF1" s="471"/>
      <c r="AG1" s="471"/>
      <c r="AH1" s="471"/>
      <c r="AI1" s="471"/>
      <c r="AJ1" s="471"/>
      <c r="AK1" s="471"/>
      <c r="AL1" s="471"/>
      <c r="AM1" s="471"/>
      <c r="AN1" s="471"/>
      <c r="AO1" s="471"/>
      <c r="AP1" s="471"/>
      <c r="AQ1" s="471"/>
      <c r="AR1" s="471"/>
      <c r="AS1" s="471"/>
      <c r="AT1" s="471"/>
      <c r="AU1" s="471"/>
      <c r="AV1" s="471"/>
    </row>
    <row r="2" spans="1:48" x14ac:dyDescent="0.3">
      <c r="A2" s="470" t="s">
        <v>750</v>
      </c>
      <c r="B2" s="469"/>
      <c r="C2" s="550" t="s">
        <v>751</v>
      </c>
      <c r="D2" s="550"/>
      <c r="E2" s="550"/>
      <c r="F2" s="550"/>
      <c r="G2" s="550"/>
      <c r="H2" s="550"/>
      <c r="I2" s="550"/>
      <c r="J2" s="550"/>
      <c r="K2" s="550"/>
      <c r="L2" s="551"/>
      <c r="M2" s="471"/>
      <c r="N2" s="471"/>
      <c r="O2" s="471"/>
      <c r="P2" s="471"/>
      <c r="Q2" s="471"/>
      <c r="R2" s="471"/>
      <c r="S2" s="471"/>
      <c r="T2" s="471"/>
      <c r="U2" s="471"/>
      <c r="V2" s="471"/>
      <c r="W2" s="471"/>
      <c r="X2" s="471"/>
      <c r="Y2" s="471"/>
      <c r="Z2" s="471"/>
      <c r="AA2" s="471"/>
      <c r="AB2" s="471"/>
      <c r="AC2" s="471"/>
      <c r="AD2" s="471"/>
      <c r="AE2" s="471"/>
      <c r="AF2" s="471"/>
      <c r="AG2" s="471"/>
      <c r="AH2" s="471"/>
      <c r="AI2" s="471"/>
      <c r="AJ2" s="471"/>
      <c r="AK2" s="471"/>
      <c r="AL2" s="471"/>
      <c r="AM2" s="471"/>
      <c r="AN2" s="471"/>
      <c r="AO2" s="471"/>
      <c r="AP2" s="471"/>
      <c r="AQ2" s="471"/>
      <c r="AR2" s="471"/>
      <c r="AS2" s="471"/>
      <c r="AT2" s="471"/>
      <c r="AU2" s="471"/>
      <c r="AV2" s="471"/>
    </row>
    <row r="3" spans="1:48" x14ac:dyDescent="0.3">
      <c r="A3" s="470" t="s">
        <v>752</v>
      </c>
      <c r="B3" s="469"/>
      <c r="C3" s="550" t="s">
        <v>753</v>
      </c>
      <c r="D3" s="550"/>
      <c r="E3" s="550"/>
      <c r="F3" s="550"/>
      <c r="G3" s="550"/>
      <c r="H3" s="550"/>
      <c r="I3" s="550"/>
      <c r="J3" s="550"/>
      <c r="K3" s="550"/>
      <c r="L3" s="551"/>
      <c r="M3" s="471"/>
      <c r="N3" s="471"/>
      <c r="O3" s="471"/>
      <c r="P3" s="471"/>
      <c r="Q3" s="471"/>
      <c r="R3" s="471"/>
      <c r="S3" s="471"/>
      <c r="T3" s="471"/>
      <c r="U3" s="471"/>
      <c r="V3" s="471"/>
      <c r="W3" s="471"/>
      <c r="X3" s="471"/>
      <c r="Y3" s="471"/>
      <c r="Z3" s="471"/>
      <c r="AA3" s="471"/>
      <c r="AB3" s="471"/>
      <c r="AC3" s="471"/>
      <c r="AD3" s="471"/>
      <c r="AE3" s="471"/>
      <c r="AF3" s="471"/>
      <c r="AG3" s="471"/>
      <c r="AH3" s="471"/>
      <c r="AI3" s="471"/>
      <c r="AJ3" s="471"/>
      <c r="AK3" s="471"/>
      <c r="AL3" s="471"/>
      <c r="AM3" s="471"/>
      <c r="AN3" s="471"/>
      <c r="AO3" s="471"/>
      <c r="AP3" s="471"/>
      <c r="AQ3" s="471"/>
      <c r="AR3" s="471"/>
      <c r="AS3" s="471"/>
      <c r="AT3" s="471"/>
      <c r="AU3" s="471"/>
      <c r="AV3" s="471"/>
    </row>
    <row r="4" spans="1:48" x14ac:dyDescent="0.3">
      <c r="A4" s="470" t="s">
        <v>754</v>
      </c>
      <c r="B4" s="469"/>
      <c r="C4" s="550" t="s">
        <v>755</v>
      </c>
      <c r="D4" s="550"/>
      <c r="E4" s="550"/>
      <c r="F4" s="550"/>
      <c r="G4" s="550"/>
      <c r="H4" s="550"/>
      <c r="I4" s="550"/>
      <c r="J4" s="550"/>
      <c r="K4" s="550"/>
      <c r="L4" s="551"/>
      <c r="M4" s="471"/>
      <c r="N4" s="471"/>
      <c r="O4" s="471"/>
      <c r="P4" s="471"/>
      <c r="Q4" s="471"/>
      <c r="R4" s="471"/>
      <c r="S4" s="471"/>
      <c r="T4" s="471"/>
      <c r="U4" s="471"/>
      <c r="V4" s="471"/>
      <c r="W4" s="471"/>
      <c r="X4" s="471"/>
      <c r="Y4" s="471"/>
      <c r="Z4" s="471"/>
      <c r="AA4" s="471"/>
      <c r="AB4" s="471"/>
      <c r="AC4" s="471"/>
      <c r="AD4" s="471"/>
      <c r="AE4" s="471"/>
      <c r="AF4" s="471"/>
      <c r="AG4" s="471"/>
      <c r="AH4" s="471"/>
      <c r="AI4" s="471"/>
      <c r="AJ4" s="471"/>
      <c r="AK4" s="471"/>
      <c r="AL4" s="471"/>
      <c r="AM4" s="471"/>
      <c r="AN4" s="471"/>
      <c r="AO4" s="471"/>
      <c r="AP4" s="471"/>
      <c r="AQ4" s="471"/>
      <c r="AR4" s="471"/>
      <c r="AS4" s="471"/>
      <c r="AT4" s="471"/>
      <c r="AU4" s="471"/>
      <c r="AV4" s="471"/>
    </row>
    <row r="5" spans="1:48" x14ac:dyDescent="0.3">
      <c r="A5" s="470" t="s">
        <v>241</v>
      </c>
      <c r="B5" s="469"/>
      <c r="C5" s="550" t="s">
        <v>755</v>
      </c>
      <c r="D5" s="550"/>
      <c r="E5" s="550"/>
      <c r="F5" s="550"/>
      <c r="G5" s="550"/>
      <c r="H5" s="550"/>
      <c r="I5" s="550"/>
      <c r="J5" s="550"/>
      <c r="K5" s="550"/>
      <c r="L5" s="551"/>
      <c r="M5" s="471"/>
      <c r="N5" s="471"/>
      <c r="O5" s="471"/>
      <c r="P5" s="471"/>
      <c r="Q5" s="471"/>
      <c r="R5" s="471"/>
      <c r="S5" s="471"/>
      <c r="T5" s="471"/>
      <c r="U5" s="471"/>
      <c r="V5" s="471"/>
      <c r="W5" s="471"/>
      <c r="X5" s="471"/>
      <c r="Y5" s="471"/>
      <c r="Z5" s="471"/>
      <c r="AA5" s="471"/>
      <c r="AB5" s="471"/>
      <c r="AC5" s="471"/>
      <c r="AD5" s="471"/>
      <c r="AE5" s="471"/>
      <c r="AF5" s="471"/>
      <c r="AG5" s="471"/>
      <c r="AH5" s="471"/>
      <c r="AI5" s="471"/>
      <c r="AJ5" s="471"/>
      <c r="AK5" s="471"/>
      <c r="AL5" s="471"/>
      <c r="AM5" s="471"/>
      <c r="AN5" s="471"/>
      <c r="AO5" s="471"/>
      <c r="AP5" s="471"/>
      <c r="AQ5" s="471"/>
      <c r="AR5" s="471"/>
      <c r="AS5" s="471"/>
      <c r="AT5" s="471"/>
      <c r="AU5" s="471"/>
      <c r="AV5" s="471"/>
    </row>
    <row r="6" spans="1:48" x14ac:dyDescent="0.3">
      <c r="A6" s="470" t="s">
        <v>756</v>
      </c>
      <c r="B6" s="469"/>
      <c r="C6" s="550" t="s">
        <v>757</v>
      </c>
      <c r="D6" s="550"/>
      <c r="E6" s="550"/>
      <c r="F6" s="550"/>
      <c r="G6" s="550"/>
      <c r="H6" s="550"/>
      <c r="I6" s="550"/>
      <c r="J6" s="550" t="s">
        <v>758</v>
      </c>
      <c r="K6" s="550"/>
      <c r="L6" s="551"/>
      <c r="M6" s="471"/>
      <c r="N6" s="471"/>
      <c r="O6" s="471"/>
      <c r="P6" s="471"/>
      <c r="Q6" s="471"/>
      <c r="R6" s="471"/>
      <c r="S6" s="471"/>
      <c r="T6" s="471"/>
      <c r="U6" s="471"/>
      <c r="V6" s="471"/>
      <c r="W6" s="471"/>
      <c r="X6" s="471"/>
      <c r="Y6" s="471"/>
      <c r="Z6" s="471"/>
      <c r="AA6" s="471"/>
      <c r="AB6" s="471"/>
      <c r="AC6" s="471"/>
      <c r="AD6" s="471"/>
      <c r="AE6" s="471"/>
      <c r="AF6" s="471"/>
      <c r="AG6" s="471"/>
      <c r="AH6" s="471"/>
      <c r="AI6" s="471"/>
      <c r="AJ6" s="471"/>
      <c r="AK6" s="471"/>
      <c r="AL6" s="471"/>
      <c r="AM6" s="471"/>
      <c r="AN6" s="471"/>
      <c r="AO6" s="471"/>
      <c r="AP6" s="471"/>
      <c r="AQ6" s="471"/>
      <c r="AR6" s="471"/>
      <c r="AS6" s="471"/>
      <c r="AT6" s="471"/>
      <c r="AU6" s="471"/>
      <c r="AV6" s="471"/>
    </row>
    <row r="7" spans="1:48" ht="28.8" x14ac:dyDescent="0.3">
      <c r="A7" s="470" t="s">
        <v>759</v>
      </c>
      <c r="B7" s="469"/>
      <c r="C7" s="555" t="s">
        <v>760</v>
      </c>
      <c r="D7" s="556"/>
      <c r="E7" s="556"/>
      <c r="F7" s="556"/>
      <c r="G7" s="556"/>
      <c r="H7" s="557"/>
      <c r="I7" s="492" t="s">
        <v>761</v>
      </c>
      <c r="J7" s="493">
        <v>6</v>
      </c>
      <c r="K7" s="492" t="s">
        <v>762</v>
      </c>
      <c r="L7" s="493">
        <v>17</v>
      </c>
      <c r="M7" s="471"/>
      <c r="N7" s="471"/>
      <c r="O7" s="471"/>
      <c r="P7" s="471"/>
      <c r="Q7" s="471"/>
      <c r="R7" s="471"/>
      <c r="S7" s="471"/>
      <c r="T7" s="471"/>
      <c r="U7" s="471"/>
      <c r="V7" s="471"/>
      <c r="W7" s="471"/>
      <c r="X7" s="471"/>
      <c r="Y7" s="471"/>
      <c r="Z7" s="471"/>
      <c r="AA7" s="471"/>
      <c r="AB7" s="471"/>
      <c r="AC7" s="471"/>
      <c r="AD7" s="471"/>
      <c r="AE7" s="471"/>
      <c r="AF7" s="471"/>
      <c r="AG7" s="471"/>
      <c r="AH7" s="471"/>
      <c r="AI7" s="471"/>
      <c r="AJ7" s="471"/>
      <c r="AK7" s="471"/>
      <c r="AL7" s="471"/>
      <c r="AM7" s="471"/>
      <c r="AN7" s="471"/>
      <c r="AO7" s="471"/>
      <c r="AP7" s="471"/>
      <c r="AQ7" s="471"/>
      <c r="AR7" s="471"/>
      <c r="AS7" s="471"/>
      <c r="AT7" s="471"/>
      <c r="AU7" s="471"/>
      <c r="AV7" s="471"/>
    </row>
    <row r="8" spans="1:48" x14ac:dyDescent="0.3">
      <c r="A8" s="552"/>
      <c r="B8" s="553"/>
      <c r="C8" s="553"/>
      <c r="D8" s="553"/>
      <c r="E8" s="553"/>
      <c r="F8" s="553"/>
      <c r="G8" s="553"/>
      <c r="H8" s="553"/>
      <c r="I8" s="553"/>
      <c r="J8" s="553"/>
      <c r="K8" s="553"/>
      <c r="L8" s="554"/>
      <c r="M8" s="471"/>
      <c r="N8" s="471"/>
      <c r="O8" s="471"/>
      <c r="P8" s="471"/>
      <c r="Q8" s="471"/>
      <c r="R8" s="471"/>
      <c r="S8" s="471"/>
      <c r="T8" s="471"/>
      <c r="U8" s="471"/>
      <c r="V8" s="471"/>
      <c r="W8" s="471"/>
      <c r="X8" s="471"/>
      <c r="Y8" s="471"/>
      <c r="Z8" s="471"/>
      <c r="AA8" s="471"/>
      <c r="AB8" s="471"/>
      <c r="AC8" s="471"/>
      <c r="AD8" s="471"/>
      <c r="AE8" s="471"/>
      <c r="AF8" s="471"/>
      <c r="AG8" s="471"/>
      <c r="AH8" s="471"/>
      <c r="AI8" s="471"/>
      <c r="AJ8" s="471"/>
      <c r="AK8" s="471"/>
      <c r="AL8" s="471"/>
      <c r="AM8" s="471"/>
      <c r="AN8" s="471"/>
      <c r="AO8" s="471"/>
      <c r="AP8" s="471"/>
      <c r="AQ8" s="471"/>
      <c r="AR8" s="471"/>
      <c r="AS8" s="471"/>
      <c r="AT8" s="471"/>
      <c r="AU8" s="471"/>
      <c r="AV8" s="471"/>
    </row>
    <row r="9" spans="1:48" ht="41.4" x14ac:dyDescent="0.3">
      <c r="A9" s="473" t="s">
        <v>763</v>
      </c>
      <c r="B9" s="474" t="s">
        <v>483</v>
      </c>
      <c r="C9" s="474" t="s">
        <v>764</v>
      </c>
      <c r="D9" s="474" t="s">
        <v>765</v>
      </c>
      <c r="E9" s="474" t="s">
        <v>766</v>
      </c>
      <c r="F9" s="474" t="s">
        <v>767</v>
      </c>
      <c r="G9" s="474" t="s">
        <v>768</v>
      </c>
      <c r="H9" s="474" t="s">
        <v>769</v>
      </c>
      <c r="I9" s="474" t="s">
        <v>770</v>
      </c>
      <c r="J9" s="474" t="s">
        <v>771</v>
      </c>
      <c r="K9" s="474" t="s">
        <v>772</v>
      </c>
      <c r="L9" s="475" t="s">
        <v>21</v>
      </c>
      <c r="M9" s="471"/>
      <c r="N9" s="471"/>
      <c r="O9" s="471"/>
      <c r="P9" s="471"/>
      <c r="Q9" s="471"/>
      <c r="R9" s="471"/>
      <c r="S9" s="471"/>
      <c r="T9" s="471"/>
      <c r="U9" s="471"/>
      <c r="V9" s="471"/>
      <c r="W9" s="471"/>
      <c r="X9" s="471"/>
      <c r="Y9" s="471"/>
      <c r="Z9" s="471"/>
      <c r="AA9" s="471"/>
      <c r="AB9" s="471"/>
      <c r="AC9" s="471"/>
      <c r="AD9" s="471"/>
      <c r="AE9" s="471"/>
      <c r="AF9" s="471"/>
      <c r="AG9" s="471"/>
      <c r="AH9" s="471"/>
      <c r="AI9" s="471"/>
      <c r="AJ9" s="471"/>
      <c r="AK9" s="471"/>
      <c r="AL9" s="471"/>
      <c r="AM9" s="471"/>
      <c r="AN9" s="471"/>
      <c r="AO9" s="471"/>
      <c r="AP9" s="471"/>
      <c r="AQ9" s="471"/>
      <c r="AR9" s="471"/>
      <c r="AS9" s="471"/>
      <c r="AT9" s="477" t="s">
        <v>32</v>
      </c>
      <c r="AU9" s="471"/>
      <c r="AV9" s="477" t="s">
        <v>252</v>
      </c>
    </row>
    <row r="10" spans="1:48" ht="43.2" x14ac:dyDescent="0.3">
      <c r="A10" s="483">
        <v>1</v>
      </c>
      <c r="B10" s="478" t="s">
        <v>214</v>
      </c>
      <c r="C10" s="479" t="s">
        <v>773</v>
      </c>
      <c r="D10" s="480" t="s">
        <v>774</v>
      </c>
      <c r="E10" s="481">
        <v>46006</v>
      </c>
      <c r="F10" s="482" t="s">
        <v>775</v>
      </c>
      <c r="G10" s="479" t="s">
        <v>776</v>
      </c>
      <c r="H10" s="481">
        <v>45644</v>
      </c>
      <c r="I10" s="478" t="s">
        <v>777</v>
      </c>
      <c r="J10" s="478" t="s">
        <v>32</v>
      </c>
      <c r="K10" s="478" t="s">
        <v>32</v>
      </c>
      <c r="L10" s="484"/>
      <c r="M10" s="471"/>
      <c r="N10" s="471"/>
      <c r="O10" s="471"/>
      <c r="P10" s="471"/>
      <c r="Q10" s="471"/>
      <c r="R10" s="471"/>
      <c r="S10" s="471"/>
      <c r="T10" s="471"/>
      <c r="U10" s="471"/>
      <c r="V10" s="471"/>
      <c r="W10" s="471"/>
      <c r="X10" s="471"/>
      <c r="Y10" s="471"/>
      <c r="Z10" s="471"/>
      <c r="AA10" s="471"/>
      <c r="AB10" s="471"/>
      <c r="AC10" s="471"/>
      <c r="AD10" s="471"/>
      <c r="AE10" s="471"/>
      <c r="AF10" s="471"/>
      <c r="AG10" s="471"/>
      <c r="AH10" s="471"/>
      <c r="AI10" s="471"/>
      <c r="AJ10" s="471"/>
      <c r="AK10" s="471"/>
      <c r="AL10" s="471"/>
      <c r="AM10" s="471"/>
      <c r="AN10" s="471"/>
      <c r="AO10" s="471"/>
      <c r="AP10" s="471"/>
      <c r="AQ10" s="471"/>
      <c r="AR10" s="471"/>
      <c r="AS10" s="471"/>
      <c r="AT10" s="477" t="s">
        <v>56</v>
      </c>
      <c r="AU10" s="471"/>
      <c r="AV10" s="477" t="s">
        <v>777</v>
      </c>
    </row>
    <row r="11" spans="1:48" ht="43.2" x14ac:dyDescent="0.3">
      <c r="A11" s="483">
        <v>2</v>
      </c>
      <c r="B11" s="478" t="s">
        <v>222</v>
      </c>
      <c r="C11" s="479" t="s">
        <v>773</v>
      </c>
      <c r="D11" s="480" t="s">
        <v>774</v>
      </c>
      <c r="E11" s="481">
        <v>46007</v>
      </c>
      <c r="F11" s="482" t="s">
        <v>778</v>
      </c>
      <c r="G11" s="479" t="s">
        <v>779</v>
      </c>
      <c r="H11" s="481">
        <v>45645</v>
      </c>
      <c r="I11" s="478" t="s">
        <v>777</v>
      </c>
      <c r="J11" s="478" t="s">
        <v>32</v>
      </c>
      <c r="K11" s="478" t="s">
        <v>32</v>
      </c>
      <c r="L11" s="484"/>
      <c r="M11" s="471"/>
      <c r="N11" s="471"/>
      <c r="O11" s="471"/>
      <c r="P11" s="471"/>
      <c r="Q11" s="471"/>
      <c r="R11" s="471"/>
      <c r="S11" s="471"/>
      <c r="T11" s="471"/>
      <c r="U11" s="471"/>
      <c r="V11" s="471"/>
      <c r="W11" s="471"/>
      <c r="X11" s="471"/>
      <c r="Y11" s="471"/>
      <c r="Z11" s="471"/>
      <c r="AA11" s="471"/>
      <c r="AB11" s="471"/>
      <c r="AC11" s="471"/>
      <c r="AD11" s="471"/>
      <c r="AE11" s="471"/>
      <c r="AF11" s="471"/>
      <c r="AG11" s="471"/>
      <c r="AH11" s="471"/>
      <c r="AI11" s="471"/>
      <c r="AJ11" s="471"/>
      <c r="AK11" s="471"/>
      <c r="AL11" s="471"/>
      <c r="AM11" s="471"/>
      <c r="AN11" s="471"/>
      <c r="AO11" s="471"/>
      <c r="AP11" s="471"/>
      <c r="AQ11" s="471"/>
      <c r="AR11" s="471"/>
      <c r="AS11" s="471"/>
      <c r="AT11" s="471"/>
      <c r="AU11" s="471"/>
      <c r="AV11" s="471"/>
    </row>
    <row r="12" spans="1:48" x14ac:dyDescent="0.3">
      <c r="A12" s="483">
        <v>3</v>
      </c>
      <c r="B12" s="478" t="s">
        <v>214</v>
      </c>
      <c r="C12" s="479" t="s">
        <v>773</v>
      </c>
      <c r="D12" s="480" t="s">
        <v>774</v>
      </c>
      <c r="E12" s="481">
        <v>46008</v>
      </c>
      <c r="F12" s="482" t="s">
        <v>780</v>
      </c>
      <c r="G12" s="479" t="s">
        <v>781</v>
      </c>
      <c r="H12" s="481">
        <v>45646</v>
      </c>
      <c r="I12" s="478" t="s">
        <v>777</v>
      </c>
      <c r="J12" s="478" t="s">
        <v>32</v>
      </c>
      <c r="K12" s="478" t="s">
        <v>32</v>
      </c>
      <c r="L12" s="484"/>
      <c r="M12" s="471"/>
      <c r="N12" s="471"/>
      <c r="O12" s="471"/>
      <c r="P12" s="471"/>
      <c r="Q12" s="471"/>
      <c r="R12" s="471"/>
      <c r="S12" s="471"/>
      <c r="T12" s="471"/>
      <c r="U12" s="471"/>
      <c r="V12" s="471"/>
      <c r="W12" s="471"/>
      <c r="X12" s="471"/>
      <c r="Y12" s="471"/>
      <c r="Z12" s="471"/>
      <c r="AA12" s="471"/>
      <c r="AB12" s="471"/>
      <c r="AC12" s="471"/>
      <c r="AD12" s="471"/>
      <c r="AE12" s="471"/>
      <c r="AF12" s="471"/>
      <c r="AG12" s="471"/>
      <c r="AH12" s="471"/>
      <c r="AI12" s="471"/>
      <c r="AJ12" s="471"/>
      <c r="AK12" s="471"/>
      <c r="AL12" s="471"/>
      <c r="AM12" s="471"/>
      <c r="AN12" s="471"/>
      <c r="AO12" s="471"/>
      <c r="AP12" s="471"/>
      <c r="AQ12" s="471"/>
      <c r="AR12" s="471"/>
      <c r="AS12" s="471"/>
      <c r="AT12" s="471"/>
      <c r="AU12" s="471"/>
      <c r="AV12" s="471"/>
    </row>
    <row r="13" spans="1:48" ht="28.8" x14ac:dyDescent="0.3">
      <c r="A13" s="483">
        <v>4</v>
      </c>
      <c r="B13" s="478" t="s">
        <v>222</v>
      </c>
      <c r="C13" s="479" t="s">
        <v>773</v>
      </c>
      <c r="D13" s="480" t="s">
        <v>774</v>
      </c>
      <c r="E13" s="481">
        <v>46009</v>
      </c>
      <c r="F13" s="482" t="s">
        <v>782</v>
      </c>
      <c r="G13" s="479" t="s">
        <v>781</v>
      </c>
      <c r="H13" s="481"/>
      <c r="I13" s="478" t="s">
        <v>252</v>
      </c>
      <c r="J13" s="478" t="s">
        <v>56</v>
      </c>
      <c r="K13" s="478" t="s">
        <v>56</v>
      </c>
      <c r="L13" s="484"/>
      <c r="M13" s="471"/>
      <c r="N13" s="471"/>
      <c r="O13" s="471"/>
      <c r="P13" s="471"/>
      <c r="Q13" s="471"/>
      <c r="R13" s="471"/>
      <c r="S13" s="471"/>
      <c r="T13" s="471"/>
      <c r="U13" s="471"/>
      <c r="V13" s="471"/>
      <c r="W13" s="471"/>
      <c r="X13" s="471"/>
      <c r="Y13" s="471"/>
      <c r="Z13" s="471"/>
      <c r="AA13" s="471"/>
      <c r="AB13" s="471"/>
      <c r="AC13" s="471"/>
      <c r="AD13" s="471"/>
      <c r="AE13" s="471"/>
      <c r="AF13" s="471"/>
      <c r="AG13" s="471"/>
      <c r="AH13" s="471"/>
      <c r="AI13" s="471"/>
      <c r="AJ13" s="471"/>
      <c r="AK13" s="471"/>
      <c r="AL13" s="471"/>
      <c r="AM13" s="471"/>
      <c r="AN13" s="471"/>
      <c r="AO13" s="471"/>
      <c r="AP13" s="471"/>
      <c r="AQ13" s="471"/>
      <c r="AR13" s="471"/>
      <c r="AS13" s="471"/>
      <c r="AT13" s="471"/>
      <c r="AU13" s="471"/>
      <c r="AV13" s="471"/>
    </row>
    <row r="14" spans="1:48" ht="43.2" x14ac:dyDescent="0.3">
      <c r="A14" s="483">
        <v>5</v>
      </c>
      <c r="B14" s="478" t="s">
        <v>214</v>
      </c>
      <c r="C14" s="479" t="s">
        <v>773</v>
      </c>
      <c r="D14" s="480" t="s">
        <v>774</v>
      </c>
      <c r="E14" s="481">
        <v>46010</v>
      </c>
      <c r="F14" s="482" t="s">
        <v>775</v>
      </c>
      <c r="G14" s="479" t="s">
        <v>776</v>
      </c>
      <c r="H14" s="481">
        <v>45647</v>
      </c>
      <c r="I14" s="478" t="s">
        <v>777</v>
      </c>
      <c r="J14" s="478" t="s">
        <v>32</v>
      </c>
      <c r="K14" s="478" t="s">
        <v>32</v>
      </c>
      <c r="L14" s="484"/>
      <c r="M14" s="471"/>
      <c r="N14" s="471"/>
      <c r="O14" s="471"/>
      <c r="P14" s="471"/>
      <c r="Q14" s="471"/>
      <c r="R14" s="471"/>
      <c r="S14" s="471"/>
      <c r="T14" s="471"/>
      <c r="U14" s="471"/>
      <c r="V14" s="471"/>
      <c r="W14" s="471"/>
      <c r="X14" s="471"/>
      <c r="Y14" s="471"/>
      <c r="Z14" s="471"/>
      <c r="AA14" s="471"/>
      <c r="AB14" s="471"/>
      <c r="AC14" s="471"/>
      <c r="AD14" s="471"/>
      <c r="AE14" s="471"/>
      <c r="AF14" s="471"/>
      <c r="AG14" s="471"/>
      <c r="AH14" s="471"/>
      <c r="AI14" s="471"/>
      <c r="AJ14" s="471"/>
      <c r="AK14" s="471"/>
      <c r="AL14" s="471"/>
      <c r="AM14" s="471"/>
      <c r="AN14" s="471"/>
      <c r="AO14" s="471"/>
      <c r="AP14" s="471"/>
      <c r="AQ14" s="471"/>
      <c r="AR14" s="471"/>
      <c r="AS14" s="471"/>
      <c r="AT14" s="471"/>
      <c r="AU14" s="471"/>
      <c r="AV14" s="471"/>
    </row>
    <row r="15" spans="1:48" ht="43.2" x14ac:dyDescent="0.3">
      <c r="A15" s="483">
        <v>6</v>
      </c>
      <c r="B15" s="478" t="s">
        <v>222</v>
      </c>
      <c r="C15" s="479" t="s">
        <v>773</v>
      </c>
      <c r="D15" s="480" t="s">
        <v>774</v>
      </c>
      <c r="E15" s="481">
        <v>46011</v>
      </c>
      <c r="F15" s="482" t="s">
        <v>778</v>
      </c>
      <c r="G15" s="479" t="s">
        <v>779</v>
      </c>
      <c r="H15" s="481">
        <v>45648</v>
      </c>
      <c r="I15" s="478" t="s">
        <v>252</v>
      </c>
      <c r="J15" s="478" t="s">
        <v>32</v>
      </c>
      <c r="K15" s="478" t="s">
        <v>32</v>
      </c>
      <c r="L15" s="484"/>
      <c r="M15" s="471"/>
      <c r="N15" s="471"/>
      <c r="O15" s="471"/>
      <c r="P15" s="471"/>
      <c r="Q15" s="471"/>
      <c r="R15" s="471"/>
      <c r="S15" s="471"/>
      <c r="T15" s="471"/>
      <c r="U15" s="471"/>
      <c r="V15" s="471"/>
      <c r="W15" s="471"/>
      <c r="X15" s="471"/>
      <c r="Y15" s="471"/>
      <c r="Z15" s="471"/>
      <c r="AA15" s="471"/>
      <c r="AB15" s="471"/>
      <c r="AC15" s="471"/>
      <c r="AD15" s="471"/>
      <c r="AE15" s="471"/>
      <c r="AF15" s="471"/>
      <c r="AG15" s="471"/>
      <c r="AH15" s="471"/>
      <c r="AI15" s="471"/>
      <c r="AJ15" s="471"/>
      <c r="AK15" s="471"/>
      <c r="AL15" s="471"/>
      <c r="AM15" s="471"/>
      <c r="AN15" s="471"/>
      <c r="AO15" s="471"/>
      <c r="AP15" s="471"/>
      <c r="AQ15" s="471"/>
      <c r="AR15" s="471"/>
      <c r="AS15" s="471"/>
      <c r="AT15" s="471"/>
      <c r="AU15" s="471"/>
      <c r="AV15" s="471"/>
    </row>
    <row r="16" spans="1:48" x14ac:dyDescent="0.3">
      <c r="A16" s="483">
        <v>7</v>
      </c>
      <c r="B16" s="478" t="s">
        <v>214</v>
      </c>
      <c r="C16" s="479" t="s">
        <v>773</v>
      </c>
      <c r="D16" s="480" t="s">
        <v>774</v>
      </c>
      <c r="E16" s="481">
        <v>46012</v>
      </c>
      <c r="F16" s="482" t="s">
        <v>780</v>
      </c>
      <c r="G16" s="479" t="s">
        <v>781</v>
      </c>
      <c r="H16" s="481">
        <v>45649</v>
      </c>
      <c r="I16" s="478" t="s">
        <v>777</v>
      </c>
      <c r="J16" s="478" t="s">
        <v>32</v>
      </c>
      <c r="K16" s="478" t="s">
        <v>32</v>
      </c>
      <c r="L16" s="484"/>
      <c r="M16" s="471"/>
      <c r="N16" s="471"/>
      <c r="O16" s="471"/>
      <c r="P16" s="471"/>
      <c r="Q16" s="471"/>
      <c r="R16" s="471"/>
      <c r="S16" s="471"/>
      <c r="T16" s="471"/>
      <c r="U16" s="471"/>
      <c r="V16" s="471"/>
      <c r="W16" s="471"/>
      <c r="X16" s="471"/>
      <c r="Y16" s="471"/>
      <c r="Z16" s="471"/>
      <c r="AA16" s="471"/>
      <c r="AB16" s="471"/>
      <c r="AC16" s="471"/>
      <c r="AD16" s="471"/>
      <c r="AE16" s="471"/>
      <c r="AF16" s="471"/>
      <c r="AG16" s="471"/>
      <c r="AH16" s="471"/>
      <c r="AI16" s="471"/>
      <c r="AJ16" s="471"/>
      <c r="AK16" s="471"/>
      <c r="AL16" s="471"/>
      <c r="AM16" s="471"/>
      <c r="AN16" s="471"/>
      <c r="AO16" s="471"/>
      <c r="AP16" s="471"/>
      <c r="AQ16" s="471"/>
      <c r="AR16" s="471"/>
      <c r="AS16" s="471"/>
      <c r="AT16" s="471"/>
      <c r="AU16" s="471"/>
      <c r="AV16" s="471"/>
    </row>
    <row r="17" spans="1:12" ht="28.8" x14ac:dyDescent="0.3">
      <c r="A17" s="483">
        <v>8</v>
      </c>
      <c r="B17" s="478" t="s">
        <v>222</v>
      </c>
      <c r="C17" s="479" t="s">
        <v>773</v>
      </c>
      <c r="D17" s="480" t="s">
        <v>774</v>
      </c>
      <c r="E17" s="481">
        <v>46013</v>
      </c>
      <c r="F17" s="482" t="s">
        <v>782</v>
      </c>
      <c r="G17" s="479" t="s">
        <v>781</v>
      </c>
      <c r="H17" s="481"/>
      <c r="I17" s="478" t="s">
        <v>252</v>
      </c>
      <c r="J17" s="478" t="s">
        <v>56</v>
      </c>
      <c r="K17" s="478" t="s">
        <v>56</v>
      </c>
      <c r="L17" s="484"/>
    </row>
    <row r="18" spans="1:12" ht="43.2" x14ac:dyDescent="0.3">
      <c r="A18" s="483">
        <v>9</v>
      </c>
      <c r="B18" s="478" t="s">
        <v>214</v>
      </c>
      <c r="C18" s="479" t="s">
        <v>773</v>
      </c>
      <c r="D18" s="480" t="s">
        <v>774</v>
      </c>
      <c r="E18" s="481">
        <v>46014</v>
      </c>
      <c r="F18" s="482" t="s">
        <v>775</v>
      </c>
      <c r="G18" s="479" t="s">
        <v>776</v>
      </c>
      <c r="H18" s="481">
        <v>45650</v>
      </c>
      <c r="I18" s="478" t="s">
        <v>777</v>
      </c>
      <c r="J18" s="478" t="s">
        <v>32</v>
      </c>
      <c r="K18" s="478" t="s">
        <v>32</v>
      </c>
      <c r="L18" s="484"/>
    </row>
    <row r="19" spans="1:12" ht="43.2" x14ac:dyDescent="0.3">
      <c r="A19" s="483">
        <v>10</v>
      </c>
      <c r="B19" s="478" t="s">
        <v>222</v>
      </c>
      <c r="C19" s="479" t="s">
        <v>773</v>
      </c>
      <c r="D19" s="480" t="s">
        <v>774</v>
      </c>
      <c r="E19" s="481">
        <v>46015</v>
      </c>
      <c r="F19" s="482" t="s">
        <v>778</v>
      </c>
      <c r="G19" s="479" t="s">
        <v>779</v>
      </c>
      <c r="H19" s="481">
        <v>45651</v>
      </c>
      <c r="I19" s="478" t="s">
        <v>777</v>
      </c>
      <c r="J19" s="478" t="s">
        <v>32</v>
      </c>
      <c r="K19" s="478" t="s">
        <v>32</v>
      </c>
      <c r="L19" s="484"/>
    </row>
    <row r="20" spans="1:12" x14ac:dyDescent="0.3">
      <c r="A20" s="483">
        <v>11</v>
      </c>
      <c r="B20" s="478" t="s">
        <v>214</v>
      </c>
      <c r="C20" s="479" t="s">
        <v>773</v>
      </c>
      <c r="D20" s="480" t="s">
        <v>774</v>
      </c>
      <c r="E20" s="481">
        <v>46016</v>
      </c>
      <c r="F20" s="482" t="s">
        <v>780</v>
      </c>
      <c r="G20" s="479" t="s">
        <v>781</v>
      </c>
      <c r="H20" s="481">
        <v>45652</v>
      </c>
      <c r="I20" s="478" t="s">
        <v>777</v>
      </c>
      <c r="J20" s="478" t="s">
        <v>32</v>
      </c>
      <c r="K20" s="478" t="s">
        <v>32</v>
      </c>
      <c r="L20" s="484"/>
    </row>
    <row r="21" spans="1:12" ht="28.8" x14ac:dyDescent="0.3">
      <c r="A21" s="483">
        <v>12</v>
      </c>
      <c r="B21" s="478" t="s">
        <v>222</v>
      </c>
      <c r="C21" s="479" t="s">
        <v>773</v>
      </c>
      <c r="D21" s="480" t="s">
        <v>774</v>
      </c>
      <c r="E21" s="481">
        <v>46017</v>
      </c>
      <c r="F21" s="482" t="s">
        <v>782</v>
      </c>
      <c r="G21" s="479" t="s">
        <v>781</v>
      </c>
      <c r="H21" s="481"/>
      <c r="I21" s="478" t="s">
        <v>252</v>
      </c>
      <c r="J21" s="478" t="s">
        <v>56</v>
      </c>
      <c r="K21" s="478" t="s">
        <v>56</v>
      </c>
      <c r="L21" s="484"/>
    </row>
    <row r="22" spans="1:12" ht="43.2" x14ac:dyDescent="0.3">
      <c r="A22" s="483">
        <v>13</v>
      </c>
      <c r="B22" s="478" t="s">
        <v>214</v>
      </c>
      <c r="C22" s="479" t="s">
        <v>773</v>
      </c>
      <c r="D22" s="480" t="s">
        <v>774</v>
      </c>
      <c r="E22" s="481">
        <v>46018</v>
      </c>
      <c r="F22" s="482" t="s">
        <v>775</v>
      </c>
      <c r="G22" s="479" t="s">
        <v>776</v>
      </c>
      <c r="H22" s="481">
        <v>45653</v>
      </c>
      <c r="I22" s="478" t="s">
        <v>777</v>
      </c>
      <c r="J22" s="478" t="s">
        <v>32</v>
      </c>
      <c r="K22" s="478" t="s">
        <v>32</v>
      </c>
      <c r="L22" s="484"/>
    </row>
    <row r="23" spans="1:12" ht="43.2" x14ac:dyDescent="0.3">
      <c r="A23" s="483">
        <v>14</v>
      </c>
      <c r="B23" s="478" t="s">
        <v>222</v>
      </c>
      <c r="C23" s="479" t="s">
        <v>773</v>
      </c>
      <c r="D23" s="480" t="s">
        <v>774</v>
      </c>
      <c r="E23" s="481">
        <v>46019</v>
      </c>
      <c r="F23" s="482" t="s">
        <v>778</v>
      </c>
      <c r="G23" s="479" t="s">
        <v>779</v>
      </c>
      <c r="H23" s="481">
        <v>45654</v>
      </c>
      <c r="I23" s="478" t="s">
        <v>777</v>
      </c>
      <c r="J23" s="478" t="s">
        <v>32</v>
      </c>
      <c r="K23" s="478" t="s">
        <v>32</v>
      </c>
      <c r="L23" s="484"/>
    </row>
    <row r="24" spans="1:12" x14ac:dyDescent="0.3">
      <c r="A24" s="483">
        <v>15</v>
      </c>
      <c r="B24" s="478" t="s">
        <v>214</v>
      </c>
      <c r="C24" s="479" t="s">
        <v>773</v>
      </c>
      <c r="D24" s="480" t="s">
        <v>774</v>
      </c>
      <c r="E24" s="481">
        <v>46020</v>
      </c>
      <c r="F24" s="482" t="s">
        <v>780</v>
      </c>
      <c r="G24" s="479" t="s">
        <v>781</v>
      </c>
      <c r="H24" s="481">
        <v>45655</v>
      </c>
      <c r="I24" s="478" t="s">
        <v>777</v>
      </c>
      <c r="J24" s="478" t="s">
        <v>32</v>
      </c>
      <c r="K24" s="478" t="s">
        <v>32</v>
      </c>
      <c r="L24" s="484"/>
    </row>
    <row r="25" spans="1:12" ht="28.8" x14ac:dyDescent="0.3">
      <c r="A25" s="483">
        <v>16</v>
      </c>
      <c r="B25" s="478" t="s">
        <v>222</v>
      </c>
      <c r="C25" s="479" t="s">
        <v>773</v>
      </c>
      <c r="D25" s="480" t="s">
        <v>774</v>
      </c>
      <c r="E25" s="481">
        <v>46021</v>
      </c>
      <c r="F25" s="482" t="s">
        <v>782</v>
      </c>
      <c r="G25" s="479" t="s">
        <v>781</v>
      </c>
      <c r="H25" s="481"/>
      <c r="I25" s="478" t="s">
        <v>252</v>
      </c>
      <c r="J25" s="478" t="s">
        <v>56</v>
      </c>
      <c r="K25" s="478" t="s">
        <v>56</v>
      </c>
      <c r="L25" s="484"/>
    </row>
    <row r="26" spans="1:12" ht="43.2" x14ac:dyDescent="0.3">
      <c r="A26" s="483">
        <v>17</v>
      </c>
      <c r="B26" s="478" t="s">
        <v>214</v>
      </c>
      <c r="C26" s="479" t="s">
        <v>773</v>
      </c>
      <c r="D26" s="480" t="s">
        <v>774</v>
      </c>
      <c r="E26" s="481">
        <v>46022</v>
      </c>
      <c r="F26" s="482" t="s">
        <v>775</v>
      </c>
      <c r="G26" s="479" t="s">
        <v>776</v>
      </c>
      <c r="H26" s="481">
        <v>45656</v>
      </c>
      <c r="I26" s="478" t="s">
        <v>777</v>
      </c>
      <c r="J26" s="478" t="s">
        <v>32</v>
      </c>
      <c r="K26" s="478" t="s">
        <v>32</v>
      </c>
      <c r="L26" s="484"/>
    </row>
    <row r="27" spans="1:12" ht="43.2" x14ac:dyDescent="0.3">
      <c r="A27" s="483">
        <v>18</v>
      </c>
      <c r="B27" s="478" t="s">
        <v>222</v>
      </c>
      <c r="C27" s="479" t="s">
        <v>773</v>
      </c>
      <c r="D27" s="480" t="s">
        <v>774</v>
      </c>
      <c r="E27" s="481">
        <v>46023</v>
      </c>
      <c r="F27" s="482" t="s">
        <v>778</v>
      </c>
      <c r="G27" s="479" t="s">
        <v>779</v>
      </c>
      <c r="H27" s="481">
        <v>45657</v>
      </c>
      <c r="I27" s="478" t="s">
        <v>777</v>
      </c>
      <c r="J27" s="478" t="s">
        <v>32</v>
      </c>
      <c r="K27" s="478" t="s">
        <v>32</v>
      </c>
      <c r="L27" s="484"/>
    </row>
    <row r="28" spans="1:12" x14ac:dyDescent="0.3">
      <c r="A28" s="483">
        <v>19</v>
      </c>
      <c r="B28" s="478" t="s">
        <v>214</v>
      </c>
      <c r="C28" s="479" t="s">
        <v>773</v>
      </c>
      <c r="D28" s="480" t="s">
        <v>774</v>
      </c>
      <c r="E28" s="481">
        <v>46024</v>
      </c>
      <c r="F28" s="482" t="s">
        <v>780</v>
      </c>
      <c r="G28" s="479" t="s">
        <v>781</v>
      </c>
      <c r="H28" s="481">
        <v>45658</v>
      </c>
      <c r="I28" s="478" t="s">
        <v>777</v>
      </c>
      <c r="J28" s="478" t="s">
        <v>32</v>
      </c>
      <c r="K28" s="478" t="s">
        <v>32</v>
      </c>
      <c r="L28" s="484"/>
    </row>
    <row r="29" spans="1:12" ht="28.8" x14ac:dyDescent="0.3">
      <c r="A29" s="483">
        <v>20</v>
      </c>
      <c r="B29" s="478" t="s">
        <v>222</v>
      </c>
      <c r="C29" s="479" t="s">
        <v>773</v>
      </c>
      <c r="D29" s="480" t="s">
        <v>774</v>
      </c>
      <c r="E29" s="481">
        <v>46025</v>
      </c>
      <c r="F29" s="482" t="s">
        <v>782</v>
      </c>
      <c r="G29" s="479" t="s">
        <v>781</v>
      </c>
      <c r="H29" s="481"/>
      <c r="I29" s="478" t="s">
        <v>252</v>
      </c>
      <c r="J29" s="478" t="s">
        <v>56</v>
      </c>
      <c r="K29" s="478" t="s">
        <v>56</v>
      </c>
      <c r="L29" s="484"/>
    </row>
    <row r="30" spans="1:12" ht="43.2" x14ac:dyDescent="0.3">
      <c r="A30" s="483">
        <v>21</v>
      </c>
      <c r="B30" s="478" t="s">
        <v>214</v>
      </c>
      <c r="C30" s="479" t="s">
        <v>773</v>
      </c>
      <c r="D30" s="480" t="s">
        <v>774</v>
      </c>
      <c r="E30" s="481">
        <v>46026</v>
      </c>
      <c r="F30" s="482" t="s">
        <v>775</v>
      </c>
      <c r="G30" s="479" t="s">
        <v>776</v>
      </c>
      <c r="H30" s="481">
        <v>45659</v>
      </c>
      <c r="I30" s="478" t="s">
        <v>777</v>
      </c>
      <c r="J30" s="478" t="s">
        <v>32</v>
      </c>
      <c r="K30" s="478" t="s">
        <v>32</v>
      </c>
      <c r="L30" s="484"/>
    </row>
    <row r="31" spans="1:12" ht="43.2" x14ac:dyDescent="0.3">
      <c r="A31" s="483">
        <v>22</v>
      </c>
      <c r="B31" s="478" t="s">
        <v>222</v>
      </c>
      <c r="C31" s="479" t="s">
        <v>773</v>
      </c>
      <c r="D31" s="480" t="s">
        <v>774</v>
      </c>
      <c r="E31" s="481">
        <v>46027</v>
      </c>
      <c r="F31" s="482" t="s">
        <v>778</v>
      </c>
      <c r="G31" s="479" t="s">
        <v>779</v>
      </c>
      <c r="H31" s="481">
        <v>45660</v>
      </c>
      <c r="I31" s="478" t="s">
        <v>777</v>
      </c>
      <c r="J31" s="478" t="s">
        <v>32</v>
      </c>
      <c r="K31" s="478" t="s">
        <v>32</v>
      </c>
      <c r="L31" s="484"/>
    </row>
    <row r="32" spans="1:12" ht="15" thickBot="1" x14ac:dyDescent="0.35">
      <c r="A32" s="485">
        <v>23</v>
      </c>
      <c r="B32" s="486" t="s">
        <v>214</v>
      </c>
      <c r="C32" s="487" t="s">
        <v>773</v>
      </c>
      <c r="D32" s="488" t="s">
        <v>774</v>
      </c>
      <c r="E32" s="481">
        <v>46028</v>
      </c>
      <c r="F32" s="490" t="s">
        <v>780</v>
      </c>
      <c r="G32" s="487" t="s">
        <v>781</v>
      </c>
      <c r="H32" s="489">
        <v>45661</v>
      </c>
      <c r="I32" s="486" t="s">
        <v>777</v>
      </c>
      <c r="J32" s="486" t="s">
        <v>32</v>
      </c>
      <c r="K32" s="486" t="s">
        <v>32</v>
      </c>
      <c r="L32" s="491"/>
    </row>
  </sheetData>
  <mergeCells count="14">
    <mergeCell ref="A4:B4"/>
    <mergeCell ref="C4:L4"/>
    <mergeCell ref="A8:L8"/>
    <mergeCell ref="C7:H7"/>
    <mergeCell ref="A1:L1"/>
    <mergeCell ref="A2:B2"/>
    <mergeCell ref="C2:L2"/>
    <mergeCell ref="A3:B3"/>
    <mergeCell ref="C3:L3"/>
    <mergeCell ref="A5:B5"/>
    <mergeCell ref="C5:L5"/>
    <mergeCell ref="A6:B6"/>
    <mergeCell ref="C6:L6"/>
    <mergeCell ref="A7:B7"/>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0716B-397C-4489-BABA-E1C5C508F5B4}">
  <dimension ref="A1:L99"/>
  <sheetViews>
    <sheetView workbookViewId="0">
      <selection activeCell="L20" sqref="L20"/>
    </sheetView>
  </sheetViews>
  <sheetFormatPr defaultColWidth="8.77734375" defaultRowHeight="14.4" x14ac:dyDescent="0.3"/>
  <cols>
    <col min="1" max="1" width="4.77734375" style="476" customWidth="1"/>
    <col min="2" max="2" width="12.33203125" style="494" bestFit="1" customWidth="1"/>
    <col min="3" max="3" width="14.5546875" style="494" bestFit="1" customWidth="1"/>
    <col min="4" max="4" width="10.44140625" style="494" customWidth="1"/>
    <col min="5" max="5" width="12.6640625" style="494" bestFit="1" customWidth="1"/>
    <col min="6" max="6" width="23" style="494" customWidth="1"/>
    <col min="7" max="7" width="14.109375" style="476" customWidth="1"/>
    <col min="8" max="8" width="23.6640625" style="494" customWidth="1"/>
    <col min="9" max="9" width="11.5546875" style="476" customWidth="1"/>
    <col min="10" max="10" width="14.21875" style="476" customWidth="1"/>
    <col min="11" max="11" width="14.33203125" style="476" customWidth="1"/>
    <col min="12" max="12" width="34.109375" style="494" customWidth="1"/>
    <col min="13" max="16384" width="8.77734375" style="494"/>
  </cols>
  <sheetData>
    <row r="1" spans="1:12" ht="23.4" x14ac:dyDescent="0.3">
      <c r="A1" s="558" t="s">
        <v>783</v>
      </c>
      <c r="B1" s="559"/>
      <c r="C1" s="559"/>
      <c r="D1" s="559"/>
      <c r="E1" s="559"/>
      <c r="F1" s="559"/>
      <c r="G1" s="559"/>
      <c r="H1" s="559"/>
      <c r="I1" s="559"/>
      <c r="J1" s="559"/>
      <c r="K1" s="559"/>
      <c r="L1" s="560"/>
    </row>
    <row r="2" spans="1:12" x14ac:dyDescent="0.3">
      <c r="A2" s="470" t="s">
        <v>750</v>
      </c>
      <c r="B2" s="469"/>
      <c r="C2" s="550" t="s">
        <v>751</v>
      </c>
      <c r="D2" s="550"/>
      <c r="E2" s="550"/>
      <c r="F2" s="550"/>
      <c r="G2" s="550"/>
      <c r="H2" s="550"/>
      <c r="I2" s="550"/>
      <c r="J2" s="550"/>
      <c r="K2" s="550"/>
      <c r="L2" s="551"/>
    </row>
    <row r="3" spans="1:12" x14ac:dyDescent="0.3">
      <c r="A3" s="470" t="s">
        <v>752</v>
      </c>
      <c r="B3" s="469"/>
      <c r="C3" s="550" t="s">
        <v>753</v>
      </c>
      <c r="D3" s="550"/>
      <c r="E3" s="550"/>
      <c r="F3" s="550"/>
      <c r="G3" s="550"/>
      <c r="H3" s="550"/>
      <c r="I3" s="550"/>
      <c r="J3" s="550"/>
      <c r="K3" s="550"/>
      <c r="L3" s="551"/>
    </row>
    <row r="4" spans="1:12" x14ac:dyDescent="0.3">
      <c r="A4" s="470" t="s">
        <v>754</v>
      </c>
      <c r="B4" s="469"/>
      <c r="C4" s="550" t="s">
        <v>755</v>
      </c>
      <c r="D4" s="550"/>
      <c r="E4" s="550"/>
      <c r="F4" s="550"/>
      <c r="G4" s="550"/>
      <c r="H4" s="550"/>
      <c r="I4" s="550"/>
      <c r="J4" s="550"/>
      <c r="K4" s="550"/>
      <c r="L4" s="551"/>
    </row>
    <row r="5" spans="1:12" x14ac:dyDescent="0.3">
      <c r="A5" s="470" t="s">
        <v>241</v>
      </c>
      <c r="B5" s="469"/>
      <c r="C5" s="550" t="s">
        <v>755</v>
      </c>
      <c r="D5" s="550"/>
      <c r="E5" s="550"/>
      <c r="F5" s="550"/>
      <c r="G5" s="550"/>
      <c r="H5" s="550"/>
      <c r="I5" s="550"/>
      <c r="J5" s="550"/>
      <c r="K5" s="550"/>
      <c r="L5" s="551"/>
    </row>
    <row r="6" spans="1:12" x14ac:dyDescent="0.3">
      <c r="A6" s="470" t="s">
        <v>756</v>
      </c>
      <c r="B6" s="469"/>
      <c r="C6" s="550" t="s">
        <v>757</v>
      </c>
      <c r="D6" s="550"/>
      <c r="E6" s="550"/>
      <c r="F6" s="550"/>
      <c r="G6" s="550"/>
      <c r="H6" s="550"/>
      <c r="I6" s="550"/>
      <c r="J6" s="550" t="s">
        <v>758</v>
      </c>
      <c r="K6" s="550"/>
      <c r="L6" s="551"/>
    </row>
    <row r="7" spans="1:12" ht="15" customHeight="1" thickBot="1" x14ac:dyDescent="0.35">
      <c r="A7" s="561" t="s">
        <v>759</v>
      </c>
      <c r="B7" s="562"/>
      <c r="C7" s="563" t="s">
        <v>784</v>
      </c>
      <c r="D7" s="564"/>
      <c r="E7" s="564"/>
      <c r="F7" s="564"/>
      <c r="G7" s="564"/>
      <c r="H7" s="565"/>
      <c r="I7" s="492" t="s">
        <v>761</v>
      </c>
      <c r="J7" s="493">
        <f>COUNTIF(I10:I529,"Open")</f>
        <v>39</v>
      </c>
      <c r="K7" s="492" t="s">
        <v>762</v>
      </c>
      <c r="L7" s="493">
        <f>COUNTIF(I10:I529,"Closed")</f>
        <v>43</v>
      </c>
    </row>
    <row r="8" spans="1:12" ht="15" thickBot="1" x14ac:dyDescent="0.35">
      <c r="A8" s="552"/>
      <c r="B8" s="553"/>
      <c r="C8" s="553"/>
      <c r="D8" s="553"/>
      <c r="E8" s="553"/>
      <c r="F8" s="553"/>
      <c r="G8" s="553"/>
      <c r="H8" s="553"/>
      <c r="I8" s="553"/>
      <c r="J8" s="553"/>
      <c r="K8" s="553"/>
      <c r="L8" s="554"/>
    </row>
    <row r="9" spans="1:12" ht="28.8" x14ac:dyDescent="0.3">
      <c r="A9" s="496" t="s">
        <v>763</v>
      </c>
      <c r="B9" s="497" t="s">
        <v>483</v>
      </c>
      <c r="C9" s="497" t="s">
        <v>785</v>
      </c>
      <c r="D9" s="497" t="s">
        <v>17</v>
      </c>
      <c r="E9" s="497" t="s">
        <v>786</v>
      </c>
      <c r="F9" s="497" t="s">
        <v>767</v>
      </c>
      <c r="G9" s="497" t="s">
        <v>202</v>
      </c>
      <c r="H9" s="497" t="s">
        <v>787</v>
      </c>
      <c r="I9" s="497" t="s">
        <v>211</v>
      </c>
      <c r="J9" s="498" t="s">
        <v>771</v>
      </c>
      <c r="K9" s="498" t="s">
        <v>772</v>
      </c>
      <c r="L9" s="499" t="s">
        <v>21</v>
      </c>
    </row>
    <row r="10" spans="1:12" x14ac:dyDescent="0.3">
      <c r="A10" s="483">
        <v>1</v>
      </c>
      <c r="B10" s="478" t="s">
        <v>214</v>
      </c>
      <c r="C10" s="479" t="s">
        <v>773</v>
      </c>
      <c r="D10" s="480" t="s">
        <v>774</v>
      </c>
      <c r="E10" s="481">
        <v>46006</v>
      </c>
      <c r="F10" s="495" t="s">
        <v>788</v>
      </c>
      <c r="G10" s="478" t="s">
        <v>779</v>
      </c>
      <c r="H10" s="495" t="s">
        <v>789</v>
      </c>
      <c r="I10" s="478" t="s">
        <v>252</v>
      </c>
      <c r="J10" s="478" t="s">
        <v>56</v>
      </c>
      <c r="K10" s="478" t="s">
        <v>56</v>
      </c>
      <c r="L10" s="500"/>
    </row>
    <row r="11" spans="1:12" x14ac:dyDescent="0.3">
      <c r="A11" s="483">
        <v>2</v>
      </c>
      <c r="B11" s="478" t="s">
        <v>222</v>
      </c>
      <c r="C11" s="479" t="s">
        <v>773</v>
      </c>
      <c r="D11" s="480" t="s">
        <v>774</v>
      </c>
      <c r="E11" s="481">
        <v>46007</v>
      </c>
      <c r="F11" s="495" t="s">
        <v>790</v>
      </c>
      <c r="G11" s="478" t="s">
        <v>791</v>
      </c>
      <c r="H11" s="495" t="s">
        <v>792</v>
      </c>
      <c r="I11" s="478" t="s">
        <v>777</v>
      </c>
      <c r="J11" s="478" t="s">
        <v>32</v>
      </c>
      <c r="K11" s="478" t="s">
        <v>32</v>
      </c>
      <c r="L11" s="500"/>
    </row>
    <row r="12" spans="1:12" x14ac:dyDescent="0.3">
      <c r="A12" s="483">
        <v>3</v>
      </c>
      <c r="B12" s="478" t="s">
        <v>214</v>
      </c>
      <c r="C12" s="479" t="s">
        <v>773</v>
      </c>
      <c r="D12" s="480" t="s">
        <v>774</v>
      </c>
      <c r="E12" s="481">
        <v>46008</v>
      </c>
      <c r="F12" s="495" t="s">
        <v>788</v>
      </c>
      <c r="G12" s="478" t="s">
        <v>779</v>
      </c>
      <c r="H12" s="495" t="s">
        <v>789</v>
      </c>
      <c r="I12" s="478" t="s">
        <v>252</v>
      </c>
      <c r="J12" s="478" t="s">
        <v>56</v>
      </c>
      <c r="K12" s="478" t="s">
        <v>56</v>
      </c>
      <c r="L12" s="500"/>
    </row>
    <row r="13" spans="1:12" x14ac:dyDescent="0.3">
      <c r="A13" s="483">
        <v>4</v>
      </c>
      <c r="B13" s="478" t="s">
        <v>222</v>
      </c>
      <c r="C13" s="479" t="s">
        <v>773</v>
      </c>
      <c r="D13" s="480" t="s">
        <v>774</v>
      </c>
      <c r="E13" s="481">
        <v>46009</v>
      </c>
      <c r="F13" s="495" t="s">
        <v>790</v>
      </c>
      <c r="G13" s="478" t="s">
        <v>791</v>
      </c>
      <c r="H13" s="495" t="s">
        <v>792</v>
      </c>
      <c r="I13" s="478" t="s">
        <v>777</v>
      </c>
      <c r="J13" s="478" t="s">
        <v>32</v>
      </c>
      <c r="K13" s="478" t="s">
        <v>32</v>
      </c>
      <c r="L13" s="500"/>
    </row>
    <row r="14" spans="1:12" x14ac:dyDescent="0.3">
      <c r="A14" s="483">
        <v>5</v>
      </c>
      <c r="B14" s="478" t="s">
        <v>214</v>
      </c>
      <c r="C14" s="479" t="s">
        <v>773</v>
      </c>
      <c r="D14" s="480" t="s">
        <v>774</v>
      </c>
      <c r="E14" s="481">
        <v>46010</v>
      </c>
      <c r="F14" s="495" t="s">
        <v>788</v>
      </c>
      <c r="G14" s="478" t="s">
        <v>779</v>
      </c>
      <c r="H14" s="495" t="s">
        <v>789</v>
      </c>
      <c r="I14" s="478" t="s">
        <v>252</v>
      </c>
      <c r="J14" s="478" t="s">
        <v>56</v>
      </c>
      <c r="K14" s="478" t="s">
        <v>56</v>
      </c>
      <c r="L14" s="500"/>
    </row>
    <row r="15" spans="1:12" x14ac:dyDescent="0.3">
      <c r="A15" s="483">
        <v>6</v>
      </c>
      <c r="B15" s="478" t="s">
        <v>222</v>
      </c>
      <c r="C15" s="479" t="s">
        <v>773</v>
      </c>
      <c r="D15" s="480" t="s">
        <v>774</v>
      </c>
      <c r="E15" s="481">
        <v>46011</v>
      </c>
      <c r="F15" s="495" t="s">
        <v>790</v>
      </c>
      <c r="G15" s="478" t="s">
        <v>791</v>
      </c>
      <c r="H15" s="495" t="s">
        <v>792</v>
      </c>
      <c r="I15" s="478" t="s">
        <v>777</v>
      </c>
      <c r="J15" s="478" t="s">
        <v>32</v>
      </c>
      <c r="K15" s="478" t="s">
        <v>32</v>
      </c>
      <c r="L15" s="500"/>
    </row>
    <row r="16" spans="1:12" x14ac:dyDescent="0.3">
      <c r="A16" s="483">
        <v>7</v>
      </c>
      <c r="B16" s="478" t="s">
        <v>214</v>
      </c>
      <c r="C16" s="479" t="s">
        <v>773</v>
      </c>
      <c r="D16" s="480" t="s">
        <v>774</v>
      </c>
      <c r="E16" s="481">
        <v>46012</v>
      </c>
      <c r="F16" s="495" t="s">
        <v>788</v>
      </c>
      <c r="G16" s="478" t="s">
        <v>779</v>
      </c>
      <c r="H16" s="495" t="s">
        <v>789</v>
      </c>
      <c r="I16" s="478" t="s">
        <v>252</v>
      </c>
      <c r="J16" s="478" t="s">
        <v>56</v>
      </c>
      <c r="K16" s="478" t="s">
        <v>56</v>
      </c>
      <c r="L16" s="500"/>
    </row>
    <row r="17" spans="1:12" x14ac:dyDescent="0.3">
      <c r="A17" s="483">
        <v>8</v>
      </c>
      <c r="B17" s="478" t="s">
        <v>222</v>
      </c>
      <c r="C17" s="479" t="s">
        <v>773</v>
      </c>
      <c r="D17" s="480" t="s">
        <v>774</v>
      </c>
      <c r="E17" s="481">
        <v>46013</v>
      </c>
      <c r="F17" s="495" t="s">
        <v>790</v>
      </c>
      <c r="G17" s="478" t="s">
        <v>791</v>
      </c>
      <c r="H17" s="495" t="s">
        <v>792</v>
      </c>
      <c r="I17" s="478" t="s">
        <v>777</v>
      </c>
      <c r="J17" s="478" t="s">
        <v>32</v>
      </c>
      <c r="K17" s="478" t="s">
        <v>32</v>
      </c>
      <c r="L17" s="500"/>
    </row>
    <row r="18" spans="1:12" x14ac:dyDescent="0.3">
      <c r="A18" s="483">
        <v>9</v>
      </c>
      <c r="B18" s="478" t="s">
        <v>214</v>
      </c>
      <c r="C18" s="479" t="s">
        <v>773</v>
      </c>
      <c r="D18" s="480" t="s">
        <v>774</v>
      </c>
      <c r="E18" s="481">
        <v>46014</v>
      </c>
      <c r="F18" s="495" t="s">
        <v>788</v>
      </c>
      <c r="G18" s="478" t="s">
        <v>779</v>
      </c>
      <c r="H18" s="495" t="s">
        <v>789</v>
      </c>
      <c r="I18" s="478" t="s">
        <v>252</v>
      </c>
      <c r="J18" s="478" t="s">
        <v>56</v>
      </c>
      <c r="K18" s="478" t="s">
        <v>56</v>
      </c>
      <c r="L18" s="500"/>
    </row>
    <row r="19" spans="1:12" x14ac:dyDescent="0.3">
      <c r="A19" s="483">
        <v>10</v>
      </c>
      <c r="B19" s="478" t="s">
        <v>222</v>
      </c>
      <c r="C19" s="479" t="s">
        <v>773</v>
      </c>
      <c r="D19" s="480" t="s">
        <v>774</v>
      </c>
      <c r="E19" s="481">
        <v>46015</v>
      </c>
      <c r="F19" s="495" t="s">
        <v>790</v>
      </c>
      <c r="G19" s="478" t="s">
        <v>791</v>
      </c>
      <c r="H19" s="495" t="s">
        <v>792</v>
      </c>
      <c r="I19" s="478" t="s">
        <v>252</v>
      </c>
      <c r="J19" s="478" t="s">
        <v>32</v>
      </c>
      <c r="K19" s="478" t="s">
        <v>32</v>
      </c>
      <c r="L19" s="500"/>
    </row>
    <row r="20" spans="1:12" x14ac:dyDescent="0.3">
      <c r="A20" s="483">
        <v>11</v>
      </c>
      <c r="B20" s="478" t="s">
        <v>214</v>
      </c>
      <c r="C20" s="479" t="s">
        <v>773</v>
      </c>
      <c r="D20" s="480" t="s">
        <v>774</v>
      </c>
      <c r="E20" s="481">
        <v>46016</v>
      </c>
      <c r="F20" s="495" t="s">
        <v>788</v>
      </c>
      <c r="G20" s="478" t="s">
        <v>779</v>
      </c>
      <c r="H20" s="495" t="s">
        <v>789</v>
      </c>
      <c r="I20" s="478" t="s">
        <v>252</v>
      </c>
      <c r="J20" s="478" t="s">
        <v>56</v>
      </c>
      <c r="K20" s="478" t="s">
        <v>56</v>
      </c>
      <c r="L20" s="500"/>
    </row>
    <row r="21" spans="1:12" x14ac:dyDescent="0.3">
      <c r="A21" s="483">
        <v>12</v>
      </c>
      <c r="B21" s="478" t="s">
        <v>222</v>
      </c>
      <c r="C21" s="479" t="s">
        <v>773</v>
      </c>
      <c r="D21" s="480" t="s">
        <v>774</v>
      </c>
      <c r="E21" s="481">
        <v>46017</v>
      </c>
      <c r="F21" s="495" t="s">
        <v>790</v>
      </c>
      <c r="G21" s="478" t="s">
        <v>791</v>
      </c>
      <c r="H21" s="495" t="s">
        <v>792</v>
      </c>
      <c r="I21" s="478" t="s">
        <v>252</v>
      </c>
      <c r="J21" s="478" t="s">
        <v>32</v>
      </c>
      <c r="K21" s="478" t="s">
        <v>32</v>
      </c>
      <c r="L21" s="500"/>
    </row>
    <row r="22" spans="1:12" x14ac:dyDescent="0.3">
      <c r="A22" s="483">
        <v>13</v>
      </c>
      <c r="B22" s="478" t="s">
        <v>214</v>
      </c>
      <c r="C22" s="479" t="s">
        <v>773</v>
      </c>
      <c r="D22" s="480" t="s">
        <v>774</v>
      </c>
      <c r="E22" s="481">
        <v>46018</v>
      </c>
      <c r="F22" s="495" t="s">
        <v>788</v>
      </c>
      <c r="G22" s="478" t="s">
        <v>779</v>
      </c>
      <c r="H22" s="495" t="s">
        <v>789</v>
      </c>
      <c r="I22" s="478" t="s">
        <v>252</v>
      </c>
      <c r="J22" s="478" t="s">
        <v>56</v>
      </c>
      <c r="K22" s="478" t="s">
        <v>56</v>
      </c>
      <c r="L22" s="500"/>
    </row>
    <row r="23" spans="1:12" x14ac:dyDescent="0.3">
      <c r="A23" s="483">
        <v>14</v>
      </c>
      <c r="B23" s="478" t="s">
        <v>222</v>
      </c>
      <c r="C23" s="479" t="s">
        <v>773</v>
      </c>
      <c r="D23" s="480" t="s">
        <v>774</v>
      </c>
      <c r="E23" s="481">
        <v>46019</v>
      </c>
      <c r="F23" s="495" t="s">
        <v>790</v>
      </c>
      <c r="G23" s="478" t="s">
        <v>791</v>
      </c>
      <c r="H23" s="495" t="s">
        <v>792</v>
      </c>
      <c r="I23" s="478" t="s">
        <v>252</v>
      </c>
      <c r="J23" s="478" t="s">
        <v>32</v>
      </c>
      <c r="K23" s="478" t="s">
        <v>32</v>
      </c>
      <c r="L23" s="500"/>
    </row>
    <row r="24" spans="1:12" x14ac:dyDescent="0.3">
      <c r="A24" s="483">
        <v>15</v>
      </c>
      <c r="B24" s="478" t="s">
        <v>214</v>
      </c>
      <c r="C24" s="479" t="s">
        <v>773</v>
      </c>
      <c r="D24" s="480" t="s">
        <v>774</v>
      </c>
      <c r="E24" s="481">
        <v>46020</v>
      </c>
      <c r="F24" s="495" t="s">
        <v>788</v>
      </c>
      <c r="G24" s="478" t="s">
        <v>779</v>
      </c>
      <c r="H24" s="495" t="s">
        <v>789</v>
      </c>
      <c r="I24" s="478" t="s">
        <v>252</v>
      </c>
      <c r="J24" s="478" t="s">
        <v>56</v>
      </c>
      <c r="K24" s="478" t="s">
        <v>56</v>
      </c>
      <c r="L24" s="500"/>
    </row>
    <row r="25" spans="1:12" x14ac:dyDescent="0.3">
      <c r="A25" s="483">
        <v>16</v>
      </c>
      <c r="B25" s="478" t="s">
        <v>222</v>
      </c>
      <c r="C25" s="479" t="s">
        <v>773</v>
      </c>
      <c r="D25" s="480" t="s">
        <v>774</v>
      </c>
      <c r="E25" s="481">
        <v>46021</v>
      </c>
      <c r="F25" s="495" t="s">
        <v>790</v>
      </c>
      <c r="G25" s="478" t="s">
        <v>791</v>
      </c>
      <c r="H25" s="495" t="s">
        <v>792</v>
      </c>
      <c r="I25" s="478" t="s">
        <v>777</v>
      </c>
      <c r="J25" s="478" t="s">
        <v>32</v>
      </c>
      <c r="K25" s="478" t="s">
        <v>32</v>
      </c>
      <c r="L25" s="500"/>
    </row>
    <row r="26" spans="1:12" x14ac:dyDescent="0.3">
      <c r="A26" s="483">
        <v>17</v>
      </c>
      <c r="B26" s="478" t="s">
        <v>214</v>
      </c>
      <c r="C26" s="479" t="s">
        <v>773</v>
      </c>
      <c r="D26" s="480" t="s">
        <v>774</v>
      </c>
      <c r="E26" s="481">
        <v>46022</v>
      </c>
      <c r="F26" s="495" t="s">
        <v>788</v>
      </c>
      <c r="G26" s="478" t="s">
        <v>779</v>
      </c>
      <c r="H26" s="495" t="s">
        <v>789</v>
      </c>
      <c r="I26" s="478" t="s">
        <v>777</v>
      </c>
      <c r="J26" s="478" t="s">
        <v>56</v>
      </c>
      <c r="K26" s="478" t="s">
        <v>56</v>
      </c>
      <c r="L26" s="500"/>
    </row>
    <row r="27" spans="1:12" x14ac:dyDescent="0.3">
      <c r="A27" s="483">
        <v>18</v>
      </c>
      <c r="B27" s="478" t="s">
        <v>222</v>
      </c>
      <c r="C27" s="479" t="s">
        <v>773</v>
      </c>
      <c r="D27" s="480" t="s">
        <v>774</v>
      </c>
      <c r="E27" s="481">
        <v>46023</v>
      </c>
      <c r="F27" s="495" t="s">
        <v>790</v>
      </c>
      <c r="G27" s="478" t="s">
        <v>791</v>
      </c>
      <c r="H27" s="495" t="s">
        <v>792</v>
      </c>
      <c r="I27" s="478" t="s">
        <v>777</v>
      </c>
      <c r="J27" s="478" t="s">
        <v>32</v>
      </c>
      <c r="K27" s="478" t="s">
        <v>32</v>
      </c>
      <c r="L27" s="500"/>
    </row>
    <row r="28" spans="1:12" x14ac:dyDescent="0.3">
      <c r="A28" s="483">
        <v>19</v>
      </c>
      <c r="B28" s="478" t="s">
        <v>214</v>
      </c>
      <c r="C28" s="479" t="s">
        <v>773</v>
      </c>
      <c r="D28" s="480" t="s">
        <v>774</v>
      </c>
      <c r="E28" s="481">
        <v>46024</v>
      </c>
      <c r="F28" s="495" t="s">
        <v>788</v>
      </c>
      <c r="G28" s="478" t="s">
        <v>779</v>
      </c>
      <c r="H28" s="495" t="s">
        <v>789</v>
      </c>
      <c r="I28" s="478" t="s">
        <v>252</v>
      </c>
      <c r="J28" s="478" t="s">
        <v>56</v>
      </c>
      <c r="K28" s="478" t="s">
        <v>56</v>
      </c>
      <c r="L28" s="500"/>
    </row>
    <row r="29" spans="1:12" x14ac:dyDescent="0.3">
      <c r="A29" s="483">
        <v>20</v>
      </c>
      <c r="B29" s="478" t="s">
        <v>222</v>
      </c>
      <c r="C29" s="479" t="s">
        <v>773</v>
      </c>
      <c r="D29" s="480" t="s">
        <v>774</v>
      </c>
      <c r="E29" s="481">
        <v>46025</v>
      </c>
      <c r="F29" s="495" t="s">
        <v>790</v>
      </c>
      <c r="G29" s="478" t="s">
        <v>791</v>
      </c>
      <c r="H29" s="495" t="s">
        <v>792</v>
      </c>
      <c r="I29" s="478" t="s">
        <v>777</v>
      </c>
      <c r="J29" s="478" t="s">
        <v>32</v>
      </c>
      <c r="K29" s="478" t="s">
        <v>32</v>
      </c>
      <c r="L29" s="500"/>
    </row>
    <row r="30" spans="1:12" x14ac:dyDescent="0.3">
      <c r="A30" s="483">
        <v>21</v>
      </c>
      <c r="B30" s="478" t="s">
        <v>214</v>
      </c>
      <c r="C30" s="479" t="s">
        <v>773</v>
      </c>
      <c r="D30" s="480" t="s">
        <v>774</v>
      </c>
      <c r="E30" s="481">
        <v>46026</v>
      </c>
      <c r="F30" s="495" t="s">
        <v>788</v>
      </c>
      <c r="G30" s="478" t="s">
        <v>779</v>
      </c>
      <c r="H30" s="495" t="s">
        <v>789</v>
      </c>
      <c r="I30" s="478" t="s">
        <v>777</v>
      </c>
      <c r="J30" s="478" t="s">
        <v>56</v>
      </c>
      <c r="K30" s="478" t="s">
        <v>56</v>
      </c>
      <c r="L30" s="500"/>
    </row>
    <row r="31" spans="1:12" x14ac:dyDescent="0.3">
      <c r="A31" s="483">
        <v>22</v>
      </c>
      <c r="B31" s="478" t="s">
        <v>222</v>
      </c>
      <c r="C31" s="479" t="s">
        <v>773</v>
      </c>
      <c r="D31" s="480" t="s">
        <v>774</v>
      </c>
      <c r="E31" s="481">
        <v>46027</v>
      </c>
      <c r="F31" s="495" t="s">
        <v>790</v>
      </c>
      <c r="G31" s="478" t="s">
        <v>791</v>
      </c>
      <c r="H31" s="495" t="s">
        <v>792</v>
      </c>
      <c r="I31" s="478" t="s">
        <v>777</v>
      </c>
      <c r="J31" s="478" t="s">
        <v>32</v>
      </c>
      <c r="K31" s="478" t="s">
        <v>32</v>
      </c>
      <c r="L31" s="500"/>
    </row>
    <row r="32" spans="1:12" x14ac:dyDescent="0.3">
      <c r="A32" s="483">
        <v>23</v>
      </c>
      <c r="B32" s="478" t="s">
        <v>214</v>
      </c>
      <c r="C32" s="479" t="s">
        <v>773</v>
      </c>
      <c r="D32" s="480" t="s">
        <v>774</v>
      </c>
      <c r="E32" s="481">
        <v>46028</v>
      </c>
      <c r="F32" s="495" t="s">
        <v>788</v>
      </c>
      <c r="G32" s="478" t="s">
        <v>779</v>
      </c>
      <c r="H32" s="495" t="s">
        <v>789</v>
      </c>
      <c r="I32" s="478" t="s">
        <v>777</v>
      </c>
      <c r="J32" s="478" t="s">
        <v>56</v>
      </c>
      <c r="K32" s="478" t="s">
        <v>56</v>
      </c>
      <c r="L32" s="500"/>
    </row>
    <row r="33" spans="1:12" x14ac:dyDescent="0.3">
      <c r="A33" s="483">
        <v>24</v>
      </c>
      <c r="B33" s="478" t="s">
        <v>222</v>
      </c>
      <c r="C33" s="479" t="s">
        <v>773</v>
      </c>
      <c r="D33" s="480" t="s">
        <v>774</v>
      </c>
      <c r="E33" s="481">
        <v>46029</v>
      </c>
      <c r="F33" s="495" t="s">
        <v>790</v>
      </c>
      <c r="G33" s="478" t="s">
        <v>791</v>
      </c>
      <c r="H33" s="495" t="s">
        <v>792</v>
      </c>
      <c r="I33" s="478" t="s">
        <v>777</v>
      </c>
      <c r="J33" s="478" t="s">
        <v>32</v>
      </c>
      <c r="K33" s="478" t="s">
        <v>32</v>
      </c>
      <c r="L33" s="500"/>
    </row>
    <row r="34" spans="1:12" x14ac:dyDescent="0.3">
      <c r="A34" s="483">
        <v>25</v>
      </c>
      <c r="B34" s="478" t="s">
        <v>214</v>
      </c>
      <c r="C34" s="479" t="s">
        <v>773</v>
      </c>
      <c r="D34" s="480" t="s">
        <v>774</v>
      </c>
      <c r="E34" s="481">
        <v>46030</v>
      </c>
      <c r="F34" s="495" t="s">
        <v>788</v>
      </c>
      <c r="G34" s="478" t="s">
        <v>779</v>
      </c>
      <c r="H34" s="495" t="s">
        <v>789</v>
      </c>
      <c r="I34" s="478" t="s">
        <v>777</v>
      </c>
      <c r="J34" s="478" t="s">
        <v>56</v>
      </c>
      <c r="K34" s="478" t="s">
        <v>56</v>
      </c>
      <c r="L34" s="500"/>
    </row>
    <row r="35" spans="1:12" x14ac:dyDescent="0.3">
      <c r="A35" s="483">
        <v>26</v>
      </c>
      <c r="B35" s="478" t="s">
        <v>222</v>
      </c>
      <c r="C35" s="479" t="s">
        <v>773</v>
      </c>
      <c r="D35" s="480" t="s">
        <v>774</v>
      </c>
      <c r="E35" s="481">
        <v>46031</v>
      </c>
      <c r="F35" s="495" t="s">
        <v>790</v>
      </c>
      <c r="G35" s="478" t="s">
        <v>791</v>
      </c>
      <c r="H35" s="495" t="s">
        <v>792</v>
      </c>
      <c r="I35" s="478" t="s">
        <v>777</v>
      </c>
      <c r="J35" s="478" t="s">
        <v>32</v>
      </c>
      <c r="K35" s="478" t="s">
        <v>32</v>
      </c>
      <c r="L35" s="500"/>
    </row>
    <row r="36" spans="1:12" x14ac:dyDescent="0.3">
      <c r="A36" s="483">
        <v>27</v>
      </c>
      <c r="B36" s="478" t="s">
        <v>214</v>
      </c>
      <c r="C36" s="479" t="s">
        <v>773</v>
      </c>
      <c r="D36" s="480" t="s">
        <v>774</v>
      </c>
      <c r="E36" s="481">
        <v>46032</v>
      </c>
      <c r="F36" s="495" t="s">
        <v>788</v>
      </c>
      <c r="G36" s="478" t="s">
        <v>779</v>
      </c>
      <c r="H36" s="495" t="s">
        <v>789</v>
      </c>
      <c r="I36" s="478" t="s">
        <v>777</v>
      </c>
      <c r="J36" s="478" t="s">
        <v>56</v>
      </c>
      <c r="K36" s="478" t="s">
        <v>56</v>
      </c>
      <c r="L36" s="500"/>
    </row>
    <row r="37" spans="1:12" x14ac:dyDescent="0.3">
      <c r="A37" s="483">
        <v>28</v>
      </c>
      <c r="B37" s="478" t="s">
        <v>222</v>
      </c>
      <c r="C37" s="479" t="s">
        <v>773</v>
      </c>
      <c r="D37" s="480" t="s">
        <v>774</v>
      </c>
      <c r="E37" s="481">
        <v>46033</v>
      </c>
      <c r="F37" s="495" t="s">
        <v>790</v>
      </c>
      <c r="G37" s="478" t="s">
        <v>791</v>
      </c>
      <c r="H37" s="495" t="s">
        <v>792</v>
      </c>
      <c r="I37" s="478" t="s">
        <v>777</v>
      </c>
      <c r="J37" s="478" t="s">
        <v>32</v>
      </c>
      <c r="K37" s="478" t="s">
        <v>32</v>
      </c>
      <c r="L37" s="500"/>
    </row>
    <row r="38" spans="1:12" x14ac:dyDescent="0.3">
      <c r="A38" s="483">
        <v>29</v>
      </c>
      <c r="B38" s="478" t="s">
        <v>214</v>
      </c>
      <c r="C38" s="479" t="s">
        <v>773</v>
      </c>
      <c r="D38" s="480" t="s">
        <v>774</v>
      </c>
      <c r="E38" s="481">
        <v>46034</v>
      </c>
      <c r="F38" s="495" t="s">
        <v>788</v>
      </c>
      <c r="G38" s="478" t="s">
        <v>779</v>
      </c>
      <c r="H38" s="495" t="s">
        <v>789</v>
      </c>
      <c r="I38" s="478" t="s">
        <v>252</v>
      </c>
      <c r="J38" s="478" t="s">
        <v>56</v>
      </c>
      <c r="K38" s="478" t="s">
        <v>56</v>
      </c>
      <c r="L38" s="500"/>
    </row>
    <row r="39" spans="1:12" x14ac:dyDescent="0.3">
      <c r="A39" s="483">
        <v>30</v>
      </c>
      <c r="B39" s="478" t="s">
        <v>222</v>
      </c>
      <c r="C39" s="479" t="s">
        <v>773</v>
      </c>
      <c r="D39" s="480" t="s">
        <v>774</v>
      </c>
      <c r="E39" s="481">
        <v>46035</v>
      </c>
      <c r="F39" s="495" t="s">
        <v>790</v>
      </c>
      <c r="G39" s="478" t="s">
        <v>791</v>
      </c>
      <c r="H39" s="495" t="s">
        <v>792</v>
      </c>
      <c r="I39" s="478" t="s">
        <v>777</v>
      </c>
      <c r="J39" s="478" t="s">
        <v>32</v>
      </c>
      <c r="K39" s="478" t="s">
        <v>32</v>
      </c>
      <c r="L39" s="500"/>
    </row>
    <row r="40" spans="1:12" x14ac:dyDescent="0.3">
      <c r="A40" s="483">
        <v>31</v>
      </c>
      <c r="B40" s="478" t="s">
        <v>214</v>
      </c>
      <c r="C40" s="479" t="s">
        <v>773</v>
      </c>
      <c r="D40" s="480" t="s">
        <v>774</v>
      </c>
      <c r="E40" s="481">
        <v>46036</v>
      </c>
      <c r="F40" s="495" t="s">
        <v>788</v>
      </c>
      <c r="G40" s="478" t="s">
        <v>779</v>
      </c>
      <c r="H40" s="495" t="s">
        <v>789</v>
      </c>
      <c r="I40" s="478" t="s">
        <v>252</v>
      </c>
      <c r="J40" s="478" t="s">
        <v>56</v>
      </c>
      <c r="K40" s="478" t="s">
        <v>56</v>
      </c>
      <c r="L40" s="500"/>
    </row>
    <row r="41" spans="1:12" x14ac:dyDescent="0.3">
      <c r="A41" s="483">
        <v>32</v>
      </c>
      <c r="B41" s="478" t="s">
        <v>222</v>
      </c>
      <c r="C41" s="479" t="s">
        <v>773</v>
      </c>
      <c r="D41" s="480" t="s">
        <v>774</v>
      </c>
      <c r="E41" s="481">
        <v>46037</v>
      </c>
      <c r="F41" s="495" t="s">
        <v>790</v>
      </c>
      <c r="G41" s="478" t="s">
        <v>791</v>
      </c>
      <c r="H41" s="495" t="s">
        <v>792</v>
      </c>
      <c r="I41" s="478" t="s">
        <v>777</v>
      </c>
      <c r="J41" s="478" t="s">
        <v>32</v>
      </c>
      <c r="K41" s="478" t="s">
        <v>32</v>
      </c>
      <c r="L41" s="500"/>
    </row>
    <row r="42" spans="1:12" x14ac:dyDescent="0.3">
      <c r="A42" s="483">
        <v>33</v>
      </c>
      <c r="B42" s="478" t="s">
        <v>214</v>
      </c>
      <c r="C42" s="479" t="s">
        <v>773</v>
      </c>
      <c r="D42" s="480" t="s">
        <v>774</v>
      </c>
      <c r="E42" s="481">
        <v>46038</v>
      </c>
      <c r="F42" s="495" t="s">
        <v>788</v>
      </c>
      <c r="G42" s="478" t="s">
        <v>779</v>
      </c>
      <c r="H42" s="495" t="s">
        <v>789</v>
      </c>
      <c r="I42" s="478" t="s">
        <v>252</v>
      </c>
      <c r="J42" s="478" t="s">
        <v>56</v>
      </c>
      <c r="K42" s="478" t="s">
        <v>56</v>
      </c>
      <c r="L42" s="500"/>
    </row>
    <row r="43" spans="1:12" x14ac:dyDescent="0.3">
      <c r="A43" s="483">
        <v>34</v>
      </c>
      <c r="B43" s="478" t="s">
        <v>222</v>
      </c>
      <c r="C43" s="479" t="s">
        <v>773</v>
      </c>
      <c r="D43" s="480" t="s">
        <v>774</v>
      </c>
      <c r="E43" s="481">
        <v>46039</v>
      </c>
      <c r="F43" s="495" t="s">
        <v>790</v>
      </c>
      <c r="G43" s="478" t="s">
        <v>791</v>
      </c>
      <c r="H43" s="495" t="s">
        <v>792</v>
      </c>
      <c r="I43" s="478" t="s">
        <v>777</v>
      </c>
      <c r="J43" s="478" t="s">
        <v>32</v>
      </c>
      <c r="K43" s="478" t="s">
        <v>32</v>
      </c>
      <c r="L43" s="500"/>
    </row>
    <row r="44" spans="1:12" x14ac:dyDescent="0.3">
      <c r="A44" s="483">
        <v>35</v>
      </c>
      <c r="B44" s="478" t="s">
        <v>214</v>
      </c>
      <c r="C44" s="479" t="s">
        <v>773</v>
      </c>
      <c r="D44" s="480" t="s">
        <v>774</v>
      </c>
      <c r="E44" s="481">
        <v>46040</v>
      </c>
      <c r="F44" s="495" t="s">
        <v>788</v>
      </c>
      <c r="G44" s="478" t="s">
        <v>779</v>
      </c>
      <c r="H44" s="495" t="s">
        <v>789</v>
      </c>
      <c r="I44" s="478" t="s">
        <v>252</v>
      </c>
      <c r="J44" s="478" t="s">
        <v>56</v>
      </c>
      <c r="K44" s="478" t="s">
        <v>56</v>
      </c>
      <c r="L44" s="500"/>
    </row>
    <row r="45" spans="1:12" x14ac:dyDescent="0.3">
      <c r="A45" s="483">
        <v>36</v>
      </c>
      <c r="B45" s="478" t="s">
        <v>222</v>
      </c>
      <c r="C45" s="479" t="s">
        <v>773</v>
      </c>
      <c r="D45" s="480" t="s">
        <v>774</v>
      </c>
      <c r="E45" s="481">
        <v>46041</v>
      </c>
      <c r="F45" s="495" t="s">
        <v>790</v>
      </c>
      <c r="G45" s="478" t="s">
        <v>791</v>
      </c>
      <c r="H45" s="495" t="s">
        <v>792</v>
      </c>
      <c r="I45" s="478" t="s">
        <v>777</v>
      </c>
      <c r="J45" s="478" t="s">
        <v>32</v>
      </c>
      <c r="K45" s="478" t="s">
        <v>32</v>
      </c>
      <c r="L45" s="500"/>
    </row>
    <row r="46" spans="1:12" x14ac:dyDescent="0.3">
      <c r="A46" s="483">
        <v>37</v>
      </c>
      <c r="B46" s="478" t="s">
        <v>214</v>
      </c>
      <c r="C46" s="479" t="s">
        <v>773</v>
      </c>
      <c r="D46" s="480" t="s">
        <v>774</v>
      </c>
      <c r="E46" s="481">
        <v>46042</v>
      </c>
      <c r="F46" s="495" t="s">
        <v>788</v>
      </c>
      <c r="G46" s="478" t="s">
        <v>779</v>
      </c>
      <c r="H46" s="495" t="s">
        <v>789</v>
      </c>
      <c r="I46" s="478" t="s">
        <v>252</v>
      </c>
      <c r="J46" s="478" t="s">
        <v>56</v>
      </c>
      <c r="K46" s="478" t="s">
        <v>56</v>
      </c>
      <c r="L46" s="500"/>
    </row>
    <row r="47" spans="1:12" x14ac:dyDescent="0.3">
      <c r="A47" s="483">
        <v>38</v>
      </c>
      <c r="B47" s="478" t="s">
        <v>222</v>
      </c>
      <c r="C47" s="479" t="s">
        <v>773</v>
      </c>
      <c r="D47" s="480" t="s">
        <v>774</v>
      </c>
      <c r="E47" s="481">
        <v>46043</v>
      </c>
      <c r="F47" s="495" t="s">
        <v>790</v>
      </c>
      <c r="G47" s="478" t="s">
        <v>791</v>
      </c>
      <c r="H47" s="495" t="s">
        <v>792</v>
      </c>
      <c r="I47" s="478" t="s">
        <v>777</v>
      </c>
      <c r="J47" s="478" t="s">
        <v>32</v>
      </c>
      <c r="K47" s="478" t="s">
        <v>32</v>
      </c>
      <c r="L47" s="500"/>
    </row>
    <row r="48" spans="1:12" x14ac:dyDescent="0.3">
      <c r="A48" s="483">
        <v>39</v>
      </c>
      <c r="B48" s="478" t="s">
        <v>214</v>
      </c>
      <c r="C48" s="479" t="s">
        <v>773</v>
      </c>
      <c r="D48" s="480" t="s">
        <v>774</v>
      </c>
      <c r="E48" s="481">
        <v>46044</v>
      </c>
      <c r="F48" s="495" t="s">
        <v>788</v>
      </c>
      <c r="G48" s="478" t="s">
        <v>779</v>
      </c>
      <c r="H48" s="495" t="s">
        <v>789</v>
      </c>
      <c r="I48" s="478" t="s">
        <v>252</v>
      </c>
      <c r="J48" s="478" t="s">
        <v>56</v>
      </c>
      <c r="K48" s="478" t="s">
        <v>56</v>
      </c>
      <c r="L48" s="500"/>
    </row>
    <row r="49" spans="1:12" x14ac:dyDescent="0.3">
      <c r="A49" s="483">
        <v>40</v>
      </c>
      <c r="B49" s="478" t="s">
        <v>222</v>
      </c>
      <c r="C49" s="479" t="s">
        <v>773</v>
      </c>
      <c r="D49" s="480" t="s">
        <v>774</v>
      </c>
      <c r="E49" s="481">
        <v>46045</v>
      </c>
      <c r="F49" s="495" t="s">
        <v>790</v>
      </c>
      <c r="G49" s="478" t="s">
        <v>791</v>
      </c>
      <c r="H49" s="495" t="s">
        <v>792</v>
      </c>
      <c r="I49" s="478" t="s">
        <v>777</v>
      </c>
      <c r="J49" s="478" t="s">
        <v>32</v>
      </c>
      <c r="K49" s="478" t="s">
        <v>32</v>
      </c>
      <c r="L49" s="500"/>
    </row>
    <row r="50" spans="1:12" x14ac:dyDescent="0.3">
      <c r="A50" s="483">
        <v>41</v>
      </c>
      <c r="B50" s="478" t="s">
        <v>214</v>
      </c>
      <c r="C50" s="479" t="s">
        <v>773</v>
      </c>
      <c r="D50" s="480" t="s">
        <v>774</v>
      </c>
      <c r="E50" s="481">
        <v>46046</v>
      </c>
      <c r="F50" s="495" t="s">
        <v>788</v>
      </c>
      <c r="G50" s="478" t="s">
        <v>779</v>
      </c>
      <c r="H50" s="495" t="s">
        <v>789</v>
      </c>
      <c r="I50" s="478" t="s">
        <v>252</v>
      </c>
      <c r="J50" s="478" t="s">
        <v>56</v>
      </c>
      <c r="K50" s="478" t="s">
        <v>56</v>
      </c>
      <c r="L50" s="500"/>
    </row>
    <row r="51" spans="1:12" x14ac:dyDescent="0.3">
      <c r="A51" s="483">
        <v>42</v>
      </c>
      <c r="B51" s="478" t="s">
        <v>222</v>
      </c>
      <c r="C51" s="479" t="s">
        <v>773</v>
      </c>
      <c r="D51" s="480" t="s">
        <v>774</v>
      </c>
      <c r="E51" s="481">
        <v>46047</v>
      </c>
      <c r="F51" s="495" t="s">
        <v>790</v>
      </c>
      <c r="G51" s="478" t="s">
        <v>791</v>
      </c>
      <c r="H51" s="495" t="s">
        <v>792</v>
      </c>
      <c r="I51" s="478" t="s">
        <v>777</v>
      </c>
      <c r="J51" s="478" t="s">
        <v>32</v>
      </c>
      <c r="K51" s="478" t="s">
        <v>32</v>
      </c>
      <c r="L51" s="500"/>
    </row>
    <row r="52" spans="1:12" x14ac:dyDescent="0.3">
      <c r="A52" s="483">
        <v>43</v>
      </c>
      <c r="B52" s="478" t="s">
        <v>214</v>
      </c>
      <c r="C52" s="479" t="s">
        <v>773</v>
      </c>
      <c r="D52" s="480" t="s">
        <v>774</v>
      </c>
      <c r="E52" s="481">
        <v>46048</v>
      </c>
      <c r="F52" s="495" t="s">
        <v>788</v>
      </c>
      <c r="G52" s="478" t="s">
        <v>779</v>
      </c>
      <c r="H52" s="495" t="s">
        <v>789</v>
      </c>
      <c r="I52" s="478" t="s">
        <v>252</v>
      </c>
      <c r="J52" s="478" t="s">
        <v>56</v>
      </c>
      <c r="K52" s="478" t="s">
        <v>56</v>
      </c>
      <c r="L52" s="500"/>
    </row>
    <row r="53" spans="1:12" x14ac:dyDescent="0.3">
      <c r="A53" s="483">
        <v>44</v>
      </c>
      <c r="B53" s="478" t="s">
        <v>222</v>
      </c>
      <c r="C53" s="479" t="s">
        <v>773</v>
      </c>
      <c r="D53" s="480" t="s">
        <v>774</v>
      </c>
      <c r="E53" s="481">
        <v>46049</v>
      </c>
      <c r="F53" s="495" t="s">
        <v>790</v>
      </c>
      <c r="G53" s="478" t="s">
        <v>791</v>
      </c>
      <c r="H53" s="495" t="s">
        <v>792</v>
      </c>
      <c r="I53" s="478" t="s">
        <v>777</v>
      </c>
      <c r="J53" s="478" t="s">
        <v>32</v>
      </c>
      <c r="K53" s="478" t="s">
        <v>32</v>
      </c>
      <c r="L53" s="500"/>
    </row>
    <row r="54" spans="1:12" x14ac:dyDescent="0.3">
      <c r="A54" s="483">
        <v>45</v>
      </c>
      <c r="B54" s="478" t="s">
        <v>214</v>
      </c>
      <c r="C54" s="479" t="s">
        <v>773</v>
      </c>
      <c r="D54" s="480" t="s">
        <v>774</v>
      </c>
      <c r="E54" s="481">
        <v>46050</v>
      </c>
      <c r="F54" s="495" t="s">
        <v>788</v>
      </c>
      <c r="G54" s="478" t="s">
        <v>779</v>
      </c>
      <c r="H54" s="495" t="s">
        <v>789</v>
      </c>
      <c r="I54" s="478" t="s">
        <v>252</v>
      </c>
      <c r="J54" s="478" t="s">
        <v>56</v>
      </c>
      <c r="K54" s="478" t="s">
        <v>56</v>
      </c>
      <c r="L54" s="500"/>
    </row>
    <row r="55" spans="1:12" x14ac:dyDescent="0.3">
      <c r="A55" s="483">
        <v>46</v>
      </c>
      <c r="B55" s="478" t="s">
        <v>222</v>
      </c>
      <c r="C55" s="479" t="s">
        <v>773</v>
      </c>
      <c r="D55" s="480" t="s">
        <v>774</v>
      </c>
      <c r="E55" s="481">
        <v>46051</v>
      </c>
      <c r="F55" s="495" t="s">
        <v>790</v>
      </c>
      <c r="G55" s="478" t="s">
        <v>791</v>
      </c>
      <c r="H55" s="495" t="s">
        <v>792</v>
      </c>
      <c r="I55" s="478" t="s">
        <v>777</v>
      </c>
      <c r="J55" s="478" t="s">
        <v>32</v>
      </c>
      <c r="K55" s="478" t="s">
        <v>32</v>
      </c>
      <c r="L55" s="500"/>
    </row>
    <row r="56" spans="1:12" x14ac:dyDescent="0.3">
      <c r="A56" s="483">
        <v>47</v>
      </c>
      <c r="B56" s="478" t="s">
        <v>214</v>
      </c>
      <c r="C56" s="479" t="s">
        <v>773</v>
      </c>
      <c r="D56" s="480" t="s">
        <v>774</v>
      </c>
      <c r="E56" s="481">
        <v>46052</v>
      </c>
      <c r="F56" s="495" t="s">
        <v>788</v>
      </c>
      <c r="G56" s="478" t="s">
        <v>779</v>
      </c>
      <c r="H56" s="495" t="s">
        <v>789</v>
      </c>
      <c r="I56" s="478" t="s">
        <v>252</v>
      </c>
      <c r="J56" s="478" t="s">
        <v>56</v>
      </c>
      <c r="K56" s="478" t="s">
        <v>56</v>
      </c>
      <c r="L56" s="500"/>
    </row>
    <row r="57" spans="1:12" x14ac:dyDescent="0.3">
      <c r="A57" s="483">
        <v>48</v>
      </c>
      <c r="B57" s="478" t="s">
        <v>222</v>
      </c>
      <c r="C57" s="479" t="s">
        <v>773</v>
      </c>
      <c r="D57" s="480" t="s">
        <v>774</v>
      </c>
      <c r="E57" s="481">
        <v>46053</v>
      </c>
      <c r="F57" s="495" t="s">
        <v>790</v>
      </c>
      <c r="G57" s="478" t="s">
        <v>791</v>
      </c>
      <c r="H57" s="495" t="s">
        <v>792</v>
      </c>
      <c r="I57" s="478" t="s">
        <v>777</v>
      </c>
      <c r="J57" s="478" t="s">
        <v>32</v>
      </c>
      <c r="K57" s="478" t="s">
        <v>32</v>
      </c>
      <c r="L57" s="500"/>
    </row>
    <row r="58" spans="1:12" x14ac:dyDescent="0.3">
      <c r="A58" s="483">
        <v>49</v>
      </c>
      <c r="B58" s="478" t="s">
        <v>214</v>
      </c>
      <c r="C58" s="479" t="s">
        <v>773</v>
      </c>
      <c r="D58" s="480" t="s">
        <v>774</v>
      </c>
      <c r="E58" s="481">
        <v>46054</v>
      </c>
      <c r="F58" s="495" t="s">
        <v>788</v>
      </c>
      <c r="G58" s="478" t="s">
        <v>779</v>
      </c>
      <c r="H58" s="495" t="s">
        <v>789</v>
      </c>
      <c r="I58" s="478" t="s">
        <v>252</v>
      </c>
      <c r="J58" s="478" t="s">
        <v>56</v>
      </c>
      <c r="K58" s="478" t="s">
        <v>56</v>
      </c>
      <c r="L58" s="500"/>
    </row>
    <row r="59" spans="1:12" x14ac:dyDescent="0.3">
      <c r="A59" s="483">
        <v>50</v>
      </c>
      <c r="B59" s="478" t="s">
        <v>222</v>
      </c>
      <c r="C59" s="479" t="s">
        <v>773</v>
      </c>
      <c r="D59" s="480" t="s">
        <v>774</v>
      </c>
      <c r="E59" s="481">
        <v>46055</v>
      </c>
      <c r="F59" s="495" t="s">
        <v>790</v>
      </c>
      <c r="G59" s="478" t="s">
        <v>791</v>
      </c>
      <c r="H59" s="495" t="s">
        <v>792</v>
      </c>
      <c r="I59" s="478" t="s">
        <v>777</v>
      </c>
      <c r="J59" s="478" t="s">
        <v>32</v>
      </c>
      <c r="K59" s="478" t="s">
        <v>32</v>
      </c>
      <c r="L59" s="500"/>
    </row>
    <row r="60" spans="1:12" x14ac:dyDescent="0.3">
      <c r="A60" s="483">
        <v>51</v>
      </c>
      <c r="B60" s="478" t="s">
        <v>214</v>
      </c>
      <c r="C60" s="479" t="s">
        <v>773</v>
      </c>
      <c r="D60" s="480" t="s">
        <v>774</v>
      </c>
      <c r="E60" s="481">
        <v>46056</v>
      </c>
      <c r="F60" s="495" t="s">
        <v>788</v>
      </c>
      <c r="G60" s="478" t="s">
        <v>779</v>
      </c>
      <c r="H60" s="495" t="s">
        <v>789</v>
      </c>
      <c r="I60" s="478" t="s">
        <v>252</v>
      </c>
      <c r="J60" s="478" t="s">
        <v>56</v>
      </c>
      <c r="K60" s="478" t="s">
        <v>56</v>
      </c>
      <c r="L60" s="500"/>
    </row>
    <row r="61" spans="1:12" x14ac:dyDescent="0.3">
      <c r="A61" s="483">
        <v>52</v>
      </c>
      <c r="B61" s="478" t="s">
        <v>222</v>
      </c>
      <c r="C61" s="479" t="s">
        <v>773</v>
      </c>
      <c r="D61" s="480" t="s">
        <v>774</v>
      </c>
      <c r="E61" s="481">
        <v>46057</v>
      </c>
      <c r="F61" s="495" t="s">
        <v>790</v>
      </c>
      <c r="G61" s="478" t="s">
        <v>791</v>
      </c>
      <c r="H61" s="495" t="s">
        <v>792</v>
      </c>
      <c r="I61" s="478" t="s">
        <v>777</v>
      </c>
      <c r="J61" s="478" t="s">
        <v>32</v>
      </c>
      <c r="K61" s="478" t="s">
        <v>32</v>
      </c>
      <c r="L61" s="500"/>
    </row>
    <row r="62" spans="1:12" x14ac:dyDescent="0.3">
      <c r="A62" s="483">
        <v>53</v>
      </c>
      <c r="B62" s="478" t="s">
        <v>214</v>
      </c>
      <c r="C62" s="479" t="s">
        <v>773</v>
      </c>
      <c r="D62" s="480" t="s">
        <v>774</v>
      </c>
      <c r="E62" s="481">
        <v>46058</v>
      </c>
      <c r="F62" s="495" t="s">
        <v>788</v>
      </c>
      <c r="G62" s="478" t="s">
        <v>779</v>
      </c>
      <c r="H62" s="495" t="s">
        <v>789</v>
      </c>
      <c r="I62" s="478" t="s">
        <v>252</v>
      </c>
      <c r="J62" s="478" t="s">
        <v>56</v>
      </c>
      <c r="K62" s="478" t="s">
        <v>56</v>
      </c>
      <c r="L62" s="500"/>
    </row>
    <row r="63" spans="1:12" x14ac:dyDescent="0.3">
      <c r="A63" s="483">
        <v>54</v>
      </c>
      <c r="B63" s="478" t="s">
        <v>222</v>
      </c>
      <c r="C63" s="479" t="s">
        <v>773</v>
      </c>
      <c r="D63" s="480" t="s">
        <v>774</v>
      </c>
      <c r="E63" s="481">
        <v>46059</v>
      </c>
      <c r="F63" s="495" t="s">
        <v>790</v>
      </c>
      <c r="G63" s="478" t="s">
        <v>791</v>
      </c>
      <c r="H63" s="495" t="s">
        <v>792</v>
      </c>
      <c r="I63" s="478" t="s">
        <v>777</v>
      </c>
      <c r="J63" s="478" t="s">
        <v>32</v>
      </c>
      <c r="K63" s="478" t="s">
        <v>32</v>
      </c>
      <c r="L63" s="500"/>
    </row>
    <row r="64" spans="1:12" x14ac:dyDescent="0.3">
      <c r="A64" s="483">
        <v>55</v>
      </c>
      <c r="B64" s="478" t="s">
        <v>214</v>
      </c>
      <c r="C64" s="479" t="s">
        <v>773</v>
      </c>
      <c r="D64" s="480" t="s">
        <v>774</v>
      </c>
      <c r="E64" s="481">
        <v>46060</v>
      </c>
      <c r="F64" s="495" t="s">
        <v>788</v>
      </c>
      <c r="G64" s="478" t="s">
        <v>779</v>
      </c>
      <c r="H64" s="495" t="s">
        <v>789</v>
      </c>
      <c r="I64" s="478" t="s">
        <v>252</v>
      </c>
      <c r="J64" s="478" t="s">
        <v>56</v>
      </c>
      <c r="K64" s="478" t="s">
        <v>56</v>
      </c>
      <c r="L64" s="500"/>
    </row>
    <row r="65" spans="1:12" x14ac:dyDescent="0.3">
      <c r="A65" s="483">
        <v>56</v>
      </c>
      <c r="B65" s="478" t="s">
        <v>222</v>
      </c>
      <c r="C65" s="479" t="s">
        <v>773</v>
      </c>
      <c r="D65" s="480" t="s">
        <v>774</v>
      </c>
      <c r="E65" s="481">
        <v>46061</v>
      </c>
      <c r="F65" s="495" t="s">
        <v>790</v>
      </c>
      <c r="G65" s="478" t="s">
        <v>791</v>
      </c>
      <c r="H65" s="495" t="s">
        <v>792</v>
      </c>
      <c r="I65" s="478" t="s">
        <v>777</v>
      </c>
      <c r="J65" s="478" t="s">
        <v>32</v>
      </c>
      <c r="K65" s="478" t="s">
        <v>32</v>
      </c>
      <c r="L65" s="500"/>
    </row>
    <row r="66" spans="1:12" x14ac:dyDescent="0.3">
      <c r="A66" s="483">
        <v>57</v>
      </c>
      <c r="B66" s="478" t="s">
        <v>214</v>
      </c>
      <c r="C66" s="479" t="s">
        <v>773</v>
      </c>
      <c r="D66" s="480" t="s">
        <v>774</v>
      </c>
      <c r="E66" s="481">
        <v>46062</v>
      </c>
      <c r="F66" s="495" t="s">
        <v>788</v>
      </c>
      <c r="G66" s="478" t="s">
        <v>779</v>
      </c>
      <c r="H66" s="495" t="s">
        <v>789</v>
      </c>
      <c r="I66" s="478" t="s">
        <v>252</v>
      </c>
      <c r="J66" s="478" t="s">
        <v>56</v>
      </c>
      <c r="K66" s="478" t="s">
        <v>56</v>
      </c>
      <c r="L66" s="500"/>
    </row>
    <row r="67" spans="1:12" x14ac:dyDescent="0.3">
      <c r="A67" s="483">
        <v>58</v>
      </c>
      <c r="B67" s="478" t="s">
        <v>222</v>
      </c>
      <c r="C67" s="479" t="s">
        <v>773</v>
      </c>
      <c r="D67" s="480" t="s">
        <v>774</v>
      </c>
      <c r="E67" s="481">
        <v>46063</v>
      </c>
      <c r="F67" s="495" t="s">
        <v>790</v>
      </c>
      <c r="G67" s="478" t="s">
        <v>791</v>
      </c>
      <c r="H67" s="495" t="s">
        <v>792</v>
      </c>
      <c r="I67" s="478" t="s">
        <v>777</v>
      </c>
      <c r="J67" s="478" t="s">
        <v>32</v>
      </c>
      <c r="K67" s="478" t="s">
        <v>32</v>
      </c>
      <c r="L67" s="500"/>
    </row>
    <row r="68" spans="1:12" x14ac:dyDescent="0.3">
      <c r="A68" s="483">
        <v>59</v>
      </c>
      <c r="B68" s="478" t="s">
        <v>214</v>
      </c>
      <c r="C68" s="479" t="s">
        <v>773</v>
      </c>
      <c r="D68" s="480" t="s">
        <v>774</v>
      </c>
      <c r="E68" s="481">
        <v>46064</v>
      </c>
      <c r="F68" s="495" t="s">
        <v>788</v>
      </c>
      <c r="G68" s="478" t="s">
        <v>779</v>
      </c>
      <c r="H68" s="495" t="s">
        <v>789</v>
      </c>
      <c r="I68" s="478" t="s">
        <v>252</v>
      </c>
      <c r="J68" s="478" t="s">
        <v>56</v>
      </c>
      <c r="K68" s="478" t="s">
        <v>56</v>
      </c>
      <c r="L68" s="500"/>
    </row>
    <row r="69" spans="1:12" x14ac:dyDescent="0.3">
      <c r="A69" s="483">
        <v>60</v>
      </c>
      <c r="B69" s="478" t="s">
        <v>222</v>
      </c>
      <c r="C69" s="479" t="s">
        <v>773</v>
      </c>
      <c r="D69" s="480" t="s">
        <v>774</v>
      </c>
      <c r="E69" s="481">
        <v>46065</v>
      </c>
      <c r="F69" s="495" t="s">
        <v>790</v>
      </c>
      <c r="G69" s="478" t="s">
        <v>791</v>
      </c>
      <c r="H69" s="495" t="s">
        <v>792</v>
      </c>
      <c r="I69" s="478" t="s">
        <v>777</v>
      </c>
      <c r="J69" s="478" t="s">
        <v>32</v>
      </c>
      <c r="K69" s="478" t="s">
        <v>32</v>
      </c>
      <c r="L69" s="500"/>
    </row>
    <row r="70" spans="1:12" x14ac:dyDescent="0.3">
      <c r="A70" s="483">
        <v>61</v>
      </c>
      <c r="B70" s="478" t="s">
        <v>214</v>
      </c>
      <c r="C70" s="479" t="s">
        <v>773</v>
      </c>
      <c r="D70" s="480" t="s">
        <v>774</v>
      </c>
      <c r="E70" s="481">
        <v>46066</v>
      </c>
      <c r="F70" s="495" t="s">
        <v>788</v>
      </c>
      <c r="G70" s="478" t="s">
        <v>779</v>
      </c>
      <c r="H70" s="495" t="s">
        <v>789</v>
      </c>
      <c r="I70" s="478" t="s">
        <v>252</v>
      </c>
      <c r="J70" s="478" t="s">
        <v>56</v>
      </c>
      <c r="K70" s="478" t="s">
        <v>56</v>
      </c>
      <c r="L70" s="500"/>
    </row>
    <row r="71" spans="1:12" x14ac:dyDescent="0.3">
      <c r="A71" s="483">
        <v>62</v>
      </c>
      <c r="B71" s="478" t="s">
        <v>222</v>
      </c>
      <c r="C71" s="479" t="s">
        <v>773</v>
      </c>
      <c r="D71" s="480" t="s">
        <v>774</v>
      </c>
      <c r="E71" s="481">
        <v>46067</v>
      </c>
      <c r="F71" s="495" t="s">
        <v>790</v>
      </c>
      <c r="G71" s="478" t="s">
        <v>791</v>
      </c>
      <c r="H71" s="495" t="s">
        <v>792</v>
      </c>
      <c r="I71" s="478" t="s">
        <v>777</v>
      </c>
      <c r="J71" s="478" t="s">
        <v>32</v>
      </c>
      <c r="K71" s="478" t="s">
        <v>32</v>
      </c>
      <c r="L71" s="500"/>
    </row>
    <row r="72" spans="1:12" x14ac:dyDescent="0.3">
      <c r="A72" s="483">
        <v>63</v>
      </c>
      <c r="B72" s="478" t="s">
        <v>214</v>
      </c>
      <c r="C72" s="479" t="s">
        <v>773</v>
      </c>
      <c r="D72" s="480" t="s">
        <v>774</v>
      </c>
      <c r="E72" s="481">
        <v>46068</v>
      </c>
      <c r="F72" s="495" t="s">
        <v>788</v>
      </c>
      <c r="G72" s="478" t="s">
        <v>779</v>
      </c>
      <c r="H72" s="495" t="s">
        <v>789</v>
      </c>
      <c r="I72" s="478" t="s">
        <v>252</v>
      </c>
      <c r="J72" s="478" t="s">
        <v>56</v>
      </c>
      <c r="K72" s="478" t="s">
        <v>56</v>
      </c>
      <c r="L72" s="500"/>
    </row>
    <row r="73" spans="1:12" x14ac:dyDescent="0.3">
      <c r="A73" s="483">
        <v>64</v>
      </c>
      <c r="B73" s="478" t="s">
        <v>222</v>
      </c>
      <c r="C73" s="479" t="s">
        <v>773</v>
      </c>
      <c r="D73" s="480" t="s">
        <v>774</v>
      </c>
      <c r="E73" s="481">
        <v>46069</v>
      </c>
      <c r="F73" s="495" t="s">
        <v>790</v>
      </c>
      <c r="G73" s="478" t="s">
        <v>791</v>
      </c>
      <c r="H73" s="495" t="s">
        <v>792</v>
      </c>
      <c r="I73" s="478" t="s">
        <v>777</v>
      </c>
      <c r="J73" s="478" t="s">
        <v>32</v>
      </c>
      <c r="K73" s="478" t="s">
        <v>32</v>
      </c>
      <c r="L73" s="500"/>
    </row>
    <row r="74" spans="1:12" x14ac:dyDescent="0.3">
      <c r="A74" s="483">
        <v>65</v>
      </c>
      <c r="B74" s="478" t="s">
        <v>214</v>
      </c>
      <c r="C74" s="479" t="s">
        <v>773</v>
      </c>
      <c r="D74" s="480" t="s">
        <v>774</v>
      </c>
      <c r="E74" s="481">
        <v>46070</v>
      </c>
      <c r="F74" s="495" t="s">
        <v>788</v>
      </c>
      <c r="G74" s="478" t="s">
        <v>779</v>
      </c>
      <c r="H74" s="495" t="s">
        <v>789</v>
      </c>
      <c r="I74" s="478" t="s">
        <v>252</v>
      </c>
      <c r="J74" s="478" t="s">
        <v>56</v>
      </c>
      <c r="K74" s="478" t="s">
        <v>56</v>
      </c>
      <c r="L74" s="500"/>
    </row>
    <row r="75" spans="1:12" x14ac:dyDescent="0.3">
      <c r="A75" s="483">
        <v>66</v>
      </c>
      <c r="B75" s="478" t="s">
        <v>222</v>
      </c>
      <c r="C75" s="479" t="s">
        <v>773</v>
      </c>
      <c r="D75" s="480" t="s">
        <v>774</v>
      </c>
      <c r="E75" s="481">
        <v>46071</v>
      </c>
      <c r="F75" s="495" t="s">
        <v>790</v>
      </c>
      <c r="G75" s="478" t="s">
        <v>791</v>
      </c>
      <c r="H75" s="495" t="s">
        <v>792</v>
      </c>
      <c r="I75" s="478" t="s">
        <v>777</v>
      </c>
      <c r="J75" s="478" t="s">
        <v>32</v>
      </c>
      <c r="K75" s="478" t="s">
        <v>32</v>
      </c>
      <c r="L75" s="500"/>
    </row>
    <row r="76" spans="1:12" x14ac:dyDescent="0.3">
      <c r="A76" s="483">
        <v>67</v>
      </c>
      <c r="B76" s="478" t="s">
        <v>214</v>
      </c>
      <c r="C76" s="479" t="s">
        <v>773</v>
      </c>
      <c r="D76" s="480" t="s">
        <v>774</v>
      </c>
      <c r="E76" s="481">
        <v>46072</v>
      </c>
      <c r="F76" s="495" t="s">
        <v>788</v>
      </c>
      <c r="G76" s="478" t="s">
        <v>779</v>
      </c>
      <c r="H76" s="495" t="s">
        <v>789</v>
      </c>
      <c r="I76" s="478" t="s">
        <v>252</v>
      </c>
      <c r="J76" s="478" t="s">
        <v>56</v>
      </c>
      <c r="K76" s="478" t="s">
        <v>56</v>
      </c>
      <c r="L76" s="500"/>
    </row>
    <row r="77" spans="1:12" x14ac:dyDescent="0.3">
      <c r="A77" s="483">
        <v>68</v>
      </c>
      <c r="B77" s="478" t="s">
        <v>222</v>
      </c>
      <c r="C77" s="479" t="s">
        <v>773</v>
      </c>
      <c r="D77" s="480" t="s">
        <v>774</v>
      </c>
      <c r="E77" s="481">
        <v>46073</v>
      </c>
      <c r="F77" s="495" t="s">
        <v>790</v>
      </c>
      <c r="G77" s="478" t="s">
        <v>791</v>
      </c>
      <c r="H77" s="495" t="s">
        <v>792</v>
      </c>
      <c r="I77" s="478" t="s">
        <v>777</v>
      </c>
      <c r="J77" s="478" t="s">
        <v>32</v>
      </c>
      <c r="K77" s="478" t="s">
        <v>32</v>
      </c>
      <c r="L77" s="500"/>
    </row>
    <row r="78" spans="1:12" x14ac:dyDescent="0.3">
      <c r="A78" s="483">
        <v>69</v>
      </c>
      <c r="B78" s="478" t="s">
        <v>214</v>
      </c>
      <c r="C78" s="479" t="s">
        <v>773</v>
      </c>
      <c r="D78" s="480" t="s">
        <v>774</v>
      </c>
      <c r="E78" s="481">
        <v>46074</v>
      </c>
      <c r="F78" s="495" t="s">
        <v>788</v>
      </c>
      <c r="G78" s="478" t="s">
        <v>779</v>
      </c>
      <c r="H78" s="495" t="s">
        <v>789</v>
      </c>
      <c r="I78" s="478" t="s">
        <v>252</v>
      </c>
      <c r="J78" s="478" t="s">
        <v>56</v>
      </c>
      <c r="K78" s="478" t="s">
        <v>56</v>
      </c>
      <c r="L78" s="500"/>
    </row>
    <row r="79" spans="1:12" x14ac:dyDescent="0.3">
      <c r="A79" s="483">
        <v>70</v>
      </c>
      <c r="B79" s="478" t="s">
        <v>222</v>
      </c>
      <c r="C79" s="479" t="s">
        <v>773</v>
      </c>
      <c r="D79" s="480" t="s">
        <v>774</v>
      </c>
      <c r="E79" s="481">
        <v>46075</v>
      </c>
      <c r="F79" s="495" t="s">
        <v>790</v>
      </c>
      <c r="G79" s="478" t="s">
        <v>791</v>
      </c>
      <c r="H79" s="495" t="s">
        <v>792</v>
      </c>
      <c r="I79" s="478" t="s">
        <v>777</v>
      </c>
      <c r="J79" s="478" t="s">
        <v>32</v>
      </c>
      <c r="K79" s="478" t="s">
        <v>32</v>
      </c>
      <c r="L79" s="500"/>
    </row>
    <row r="80" spans="1:12" x14ac:dyDescent="0.3">
      <c r="A80" s="483">
        <v>71</v>
      </c>
      <c r="B80" s="478" t="s">
        <v>214</v>
      </c>
      <c r="C80" s="479" t="s">
        <v>773</v>
      </c>
      <c r="D80" s="480" t="s">
        <v>774</v>
      </c>
      <c r="E80" s="481">
        <v>46076</v>
      </c>
      <c r="F80" s="495" t="s">
        <v>788</v>
      </c>
      <c r="G80" s="478" t="s">
        <v>779</v>
      </c>
      <c r="H80" s="495" t="s">
        <v>789</v>
      </c>
      <c r="I80" s="478" t="s">
        <v>252</v>
      </c>
      <c r="J80" s="478" t="s">
        <v>56</v>
      </c>
      <c r="K80" s="478" t="s">
        <v>56</v>
      </c>
      <c r="L80" s="500"/>
    </row>
    <row r="81" spans="1:12" x14ac:dyDescent="0.3">
      <c r="A81" s="483">
        <v>72</v>
      </c>
      <c r="B81" s="478" t="s">
        <v>222</v>
      </c>
      <c r="C81" s="479" t="s">
        <v>773</v>
      </c>
      <c r="D81" s="480" t="s">
        <v>774</v>
      </c>
      <c r="E81" s="481">
        <v>46077</v>
      </c>
      <c r="F81" s="495" t="s">
        <v>790</v>
      </c>
      <c r="G81" s="478" t="s">
        <v>791</v>
      </c>
      <c r="H81" s="495" t="s">
        <v>792</v>
      </c>
      <c r="I81" s="478" t="s">
        <v>777</v>
      </c>
      <c r="J81" s="478" t="s">
        <v>32</v>
      </c>
      <c r="K81" s="478" t="s">
        <v>32</v>
      </c>
      <c r="L81" s="500"/>
    </row>
    <row r="82" spans="1:12" x14ac:dyDescent="0.3">
      <c r="A82" s="483">
        <v>73</v>
      </c>
      <c r="B82" s="478" t="s">
        <v>214</v>
      </c>
      <c r="C82" s="479" t="s">
        <v>773</v>
      </c>
      <c r="D82" s="480" t="s">
        <v>774</v>
      </c>
      <c r="E82" s="481">
        <v>46078</v>
      </c>
      <c r="F82" s="495" t="s">
        <v>788</v>
      </c>
      <c r="G82" s="478" t="s">
        <v>779</v>
      </c>
      <c r="H82" s="495" t="s">
        <v>789</v>
      </c>
      <c r="I82" s="478" t="s">
        <v>252</v>
      </c>
      <c r="J82" s="478" t="s">
        <v>56</v>
      </c>
      <c r="K82" s="478" t="s">
        <v>56</v>
      </c>
      <c r="L82" s="500"/>
    </row>
    <row r="83" spans="1:12" x14ac:dyDescent="0.3">
      <c r="A83" s="483">
        <v>74</v>
      </c>
      <c r="B83" s="478" t="s">
        <v>222</v>
      </c>
      <c r="C83" s="479" t="s">
        <v>773</v>
      </c>
      <c r="D83" s="480" t="s">
        <v>774</v>
      </c>
      <c r="E83" s="481">
        <v>46079</v>
      </c>
      <c r="F83" s="495" t="s">
        <v>790</v>
      </c>
      <c r="G83" s="478" t="s">
        <v>791</v>
      </c>
      <c r="H83" s="495" t="s">
        <v>792</v>
      </c>
      <c r="I83" s="478" t="s">
        <v>777</v>
      </c>
      <c r="J83" s="478" t="s">
        <v>32</v>
      </c>
      <c r="K83" s="478" t="s">
        <v>32</v>
      </c>
      <c r="L83" s="500"/>
    </row>
    <row r="84" spans="1:12" x14ac:dyDescent="0.3">
      <c r="A84" s="483">
        <v>75</v>
      </c>
      <c r="B84" s="478" t="s">
        <v>214</v>
      </c>
      <c r="C84" s="479" t="s">
        <v>773</v>
      </c>
      <c r="D84" s="480" t="s">
        <v>774</v>
      </c>
      <c r="E84" s="481">
        <v>46080</v>
      </c>
      <c r="F84" s="495" t="s">
        <v>788</v>
      </c>
      <c r="G84" s="478" t="s">
        <v>779</v>
      </c>
      <c r="H84" s="495" t="s">
        <v>789</v>
      </c>
      <c r="I84" s="478" t="s">
        <v>252</v>
      </c>
      <c r="J84" s="478" t="s">
        <v>56</v>
      </c>
      <c r="K84" s="478" t="s">
        <v>56</v>
      </c>
      <c r="L84" s="500"/>
    </row>
    <row r="85" spans="1:12" x14ac:dyDescent="0.3">
      <c r="A85" s="483">
        <v>76</v>
      </c>
      <c r="B85" s="478" t="s">
        <v>222</v>
      </c>
      <c r="C85" s="479" t="s">
        <v>773</v>
      </c>
      <c r="D85" s="480" t="s">
        <v>774</v>
      </c>
      <c r="E85" s="481">
        <v>46081</v>
      </c>
      <c r="F85" s="495" t="s">
        <v>790</v>
      </c>
      <c r="G85" s="478" t="s">
        <v>791</v>
      </c>
      <c r="H85" s="495" t="s">
        <v>792</v>
      </c>
      <c r="I85" s="478" t="s">
        <v>777</v>
      </c>
      <c r="J85" s="478" t="s">
        <v>32</v>
      </c>
      <c r="K85" s="478" t="s">
        <v>32</v>
      </c>
      <c r="L85" s="500"/>
    </row>
    <row r="86" spans="1:12" x14ac:dyDescent="0.3">
      <c r="A86" s="483">
        <v>77</v>
      </c>
      <c r="B86" s="478" t="s">
        <v>214</v>
      </c>
      <c r="C86" s="479" t="s">
        <v>773</v>
      </c>
      <c r="D86" s="480" t="s">
        <v>774</v>
      </c>
      <c r="E86" s="481">
        <v>46082</v>
      </c>
      <c r="F86" s="495" t="s">
        <v>788</v>
      </c>
      <c r="G86" s="478" t="s">
        <v>779</v>
      </c>
      <c r="H86" s="495" t="s">
        <v>789</v>
      </c>
      <c r="I86" s="478" t="s">
        <v>252</v>
      </c>
      <c r="J86" s="478" t="s">
        <v>56</v>
      </c>
      <c r="K86" s="478" t="s">
        <v>56</v>
      </c>
      <c r="L86" s="500"/>
    </row>
    <row r="87" spans="1:12" x14ac:dyDescent="0.3">
      <c r="A87" s="483">
        <v>78</v>
      </c>
      <c r="B87" s="478" t="s">
        <v>222</v>
      </c>
      <c r="C87" s="479" t="s">
        <v>773</v>
      </c>
      <c r="D87" s="480" t="s">
        <v>774</v>
      </c>
      <c r="E87" s="481">
        <v>46083</v>
      </c>
      <c r="F87" s="495" t="s">
        <v>790</v>
      </c>
      <c r="G87" s="478" t="s">
        <v>791</v>
      </c>
      <c r="H87" s="495" t="s">
        <v>792</v>
      </c>
      <c r="I87" s="478" t="s">
        <v>777</v>
      </c>
      <c r="J87" s="478" t="s">
        <v>32</v>
      </c>
      <c r="K87" s="478" t="s">
        <v>32</v>
      </c>
      <c r="L87" s="500"/>
    </row>
    <row r="88" spans="1:12" x14ac:dyDescent="0.3">
      <c r="A88" s="483">
        <v>79</v>
      </c>
      <c r="B88" s="478" t="s">
        <v>214</v>
      </c>
      <c r="C88" s="479" t="s">
        <v>773</v>
      </c>
      <c r="D88" s="480" t="s">
        <v>774</v>
      </c>
      <c r="E88" s="481">
        <v>46084</v>
      </c>
      <c r="F88" s="495" t="s">
        <v>788</v>
      </c>
      <c r="G88" s="478" t="s">
        <v>779</v>
      </c>
      <c r="H88" s="495" t="s">
        <v>789</v>
      </c>
      <c r="I88" s="478" t="s">
        <v>252</v>
      </c>
      <c r="J88" s="478" t="s">
        <v>56</v>
      </c>
      <c r="K88" s="478" t="s">
        <v>56</v>
      </c>
      <c r="L88" s="500"/>
    </row>
    <row r="89" spans="1:12" x14ac:dyDescent="0.3">
      <c r="A89" s="483">
        <v>80</v>
      </c>
      <c r="B89" s="478" t="s">
        <v>222</v>
      </c>
      <c r="C89" s="479" t="s">
        <v>773</v>
      </c>
      <c r="D89" s="480" t="s">
        <v>774</v>
      </c>
      <c r="E89" s="481">
        <v>46085</v>
      </c>
      <c r="F89" s="495" t="s">
        <v>790</v>
      </c>
      <c r="G89" s="478" t="s">
        <v>791</v>
      </c>
      <c r="H89" s="495" t="s">
        <v>792</v>
      </c>
      <c r="I89" s="478" t="s">
        <v>777</v>
      </c>
      <c r="J89" s="478" t="s">
        <v>32</v>
      </c>
      <c r="K89" s="478" t="s">
        <v>32</v>
      </c>
      <c r="L89" s="500"/>
    </row>
    <row r="90" spans="1:12" x14ac:dyDescent="0.3">
      <c r="A90" s="483">
        <v>81</v>
      </c>
      <c r="B90" s="478" t="s">
        <v>214</v>
      </c>
      <c r="C90" s="479" t="s">
        <v>773</v>
      </c>
      <c r="D90" s="480" t="s">
        <v>774</v>
      </c>
      <c r="E90" s="481">
        <v>46086</v>
      </c>
      <c r="F90" s="495" t="s">
        <v>788</v>
      </c>
      <c r="G90" s="478" t="s">
        <v>779</v>
      </c>
      <c r="H90" s="495" t="s">
        <v>789</v>
      </c>
      <c r="I90" s="478" t="s">
        <v>252</v>
      </c>
      <c r="J90" s="478" t="s">
        <v>56</v>
      </c>
      <c r="K90" s="478" t="s">
        <v>56</v>
      </c>
      <c r="L90" s="500"/>
    </row>
    <row r="91" spans="1:12" x14ac:dyDescent="0.3">
      <c r="A91" s="483">
        <v>82</v>
      </c>
      <c r="B91" s="478" t="s">
        <v>222</v>
      </c>
      <c r="C91" s="479" t="s">
        <v>773</v>
      </c>
      <c r="D91" s="480" t="s">
        <v>774</v>
      </c>
      <c r="E91" s="481">
        <v>46087</v>
      </c>
      <c r="F91" s="495" t="s">
        <v>790</v>
      </c>
      <c r="G91" s="478" t="s">
        <v>791</v>
      </c>
      <c r="H91" s="495" t="s">
        <v>792</v>
      </c>
      <c r="I91" s="478" t="s">
        <v>777</v>
      </c>
      <c r="J91" s="478" t="s">
        <v>32</v>
      </c>
      <c r="K91" s="478" t="s">
        <v>32</v>
      </c>
      <c r="L91" s="500"/>
    </row>
    <row r="92" spans="1:12" x14ac:dyDescent="0.3">
      <c r="A92" s="483"/>
      <c r="B92" s="495"/>
      <c r="C92" s="495"/>
      <c r="D92" s="495"/>
      <c r="E92" s="495"/>
      <c r="F92" s="495"/>
      <c r="G92" s="478"/>
      <c r="H92" s="495"/>
      <c r="I92" s="478"/>
      <c r="J92" s="478"/>
      <c r="K92" s="478"/>
      <c r="L92" s="500"/>
    </row>
    <row r="93" spans="1:12" x14ac:dyDescent="0.3">
      <c r="A93" s="483"/>
      <c r="B93" s="495"/>
      <c r="C93" s="495"/>
      <c r="D93" s="495"/>
      <c r="E93" s="495"/>
      <c r="F93" s="495"/>
      <c r="G93" s="478"/>
      <c r="H93" s="495"/>
      <c r="I93" s="478"/>
      <c r="J93" s="478"/>
      <c r="K93" s="478"/>
      <c r="L93" s="500"/>
    </row>
    <row r="94" spans="1:12" x14ac:dyDescent="0.3">
      <c r="A94" s="483"/>
      <c r="B94" s="495"/>
      <c r="C94" s="495"/>
      <c r="D94" s="495"/>
      <c r="E94" s="495"/>
      <c r="F94" s="495"/>
      <c r="G94" s="478"/>
      <c r="H94" s="495"/>
      <c r="I94" s="478"/>
      <c r="J94" s="478"/>
      <c r="K94" s="478"/>
      <c r="L94" s="500"/>
    </row>
    <row r="95" spans="1:12" x14ac:dyDescent="0.3">
      <c r="A95" s="483"/>
      <c r="B95" s="495"/>
      <c r="C95" s="495"/>
      <c r="D95" s="495"/>
      <c r="E95" s="495"/>
      <c r="F95" s="495"/>
      <c r="G95" s="478"/>
      <c r="H95" s="495"/>
      <c r="I95" s="478"/>
      <c r="J95" s="478"/>
      <c r="K95" s="478"/>
      <c r="L95" s="500"/>
    </row>
    <row r="96" spans="1:12" x14ac:dyDescent="0.3">
      <c r="A96" s="483"/>
      <c r="B96" s="495"/>
      <c r="C96" s="495"/>
      <c r="D96" s="495"/>
      <c r="E96" s="495"/>
      <c r="F96" s="495"/>
      <c r="G96" s="478"/>
      <c r="H96" s="495"/>
      <c r="I96" s="478"/>
      <c r="J96" s="478"/>
      <c r="K96" s="478"/>
      <c r="L96" s="500"/>
    </row>
    <row r="97" spans="1:12" x14ac:dyDescent="0.3">
      <c r="A97" s="483"/>
      <c r="B97" s="495"/>
      <c r="C97" s="495"/>
      <c r="D97" s="495"/>
      <c r="E97" s="495"/>
      <c r="F97" s="495"/>
      <c r="G97" s="478"/>
      <c r="H97" s="495"/>
      <c r="I97" s="478"/>
      <c r="J97" s="478"/>
      <c r="K97" s="478"/>
      <c r="L97" s="500"/>
    </row>
    <row r="98" spans="1:12" x14ac:dyDescent="0.3">
      <c r="A98" s="483"/>
      <c r="B98" s="495"/>
      <c r="C98" s="495"/>
      <c r="D98" s="495"/>
      <c r="E98" s="495"/>
      <c r="F98" s="495"/>
      <c r="G98" s="478"/>
      <c r="H98" s="495"/>
      <c r="I98" s="478"/>
      <c r="J98" s="478"/>
      <c r="K98" s="478"/>
      <c r="L98" s="500"/>
    </row>
    <row r="99" spans="1:12" ht="15" thickBot="1" x14ac:dyDescent="0.35">
      <c r="A99" s="485"/>
      <c r="B99" s="501"/>
      <c r="C99" s="501"/>
      <c r="D99" s="501"/>
      <c r="E99" s="501"/>
      <c r="F99" s="501"/>
      <c r="G99" s="486"/>
      <c r="H99" s="501"/>
      <c r="I99" s="486"/>
      <c r="J99" s="486"/>
      <c r="K99" s="486"/>
      <c r="L99" s="502"/>
    </row>
  </sheetData>
  <mergeCells count="14">
    <mergeCell ref="A8:L8"/>
    <mergeCell ref="A5:B5"/>
    <mergeCell ref="C5:L5"/>
    <mergeCell ref="A6:B6"/>
    <mergeCell ref="C6:L6"/>
    <mergeCell ref="A7:B7"/>
    <mergeCell ref="C7:H7"/>
    <mergeCell ref="A1:L1"/>
    <mergeCell ref="A2:B2"/>
    <mergeCell ref="C2:L2"/>
    <mergeCell ref="A3:B3"/>
    <mergeCell ref="C3:L3"/>
    <mergeCell ref="A4:B4"/>
    <mergeCell ref="C4:L4"/>
  </mergeCells>
  <conditionalFormatting sqref="I1:I6">
    <cfRule type="containsText" dxfId="13" priority="3" operator="containsText" text="Closed">
      <formula>NOT(ISERROR(SEARCH("Closed",I1)))</formula>
    </cfRule>
    <cfRule type="containsText" dxfId="12" priority="4" operator="containsText" text="Open">
      <formula>NOT(ISERROR(SEARCH("Open",I1)))</formula>
    </cfRule>
  </conditionalFormatting>
  <conditionalFormatting sqref="I10:I1048576">
    <cfRule type="containsText" dxfId="11" priority="1" operator="containsText" text="Closed">
      <formula>NOT(ISERROR(SEARCH("Closed",I10)))</formula>
    </cfRule>
    <cfRule type="containsText" dxfId="10" priority="2" operator="containsText" text="Open">
      <formula>NOT(ISERROR(SEARCH("Open",I10)))</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6CE3D-9280-4036-B779-3B707F00224A}">
  <dimension ref="A1:L99"/>
  <sheetViews>
    <sheetView workbookViewId="0">
      <selection activeCell="K23" sqref="K23"/>
    </sheetView>
  </sheetViews>
  <sheetFormatPr defaultColWidth="8.77734375" defaultRowHeight="14.4" x14ac:dyDescent="0.3"/>
  <cols>
    <col min="1" max="1" width="4.77734375" style="476" customWidth="1"/>
    <col min="2" max="2" width="12.33203125" style="494" bestFit="1" customWidth="1"/>
    <col min="3" max="3" width="14.5546875" style="494" bestFit="1" customWidth="1"/>
    <col min="4" max="4" width="10.44140625" style="494" customWidth="1"/>
    <col min="5" max="5" width="12.6640625" style="494" bestFit="1" customWidth="1"/>
    <col min="6" max="6" width="23" style="494" customWidth="1"/>
    <col min="7" max="7" width="14.109375" style="476" customWidth="1"/>
    <col min="8" max="8" width="23.6640625" style="494" customWidth="1"/>
    <col min="9" max="9" width="11.5546875" style="476" customWidth="1"/>
    <col min="10" max="10" width="14.21875" style="476" customWidth="1"/>
    <col min="11" max="11" width="14.33203125" style="476" customWidth="1"/>
    <col min="12" max="12" width="18.77734375" style="494" customWidth="1"/>
    <col min="13" max="16384" width="8.77734375" style="494"/>
  </cols>
  <sheetData>
    <row r="1" spans="1:12" ht="23.4" x14ac:dyDescent="0.3">
      <c r="A1" s="558" t="s">
        <v>793</v>
      </c>
      <c r="B1" s="559"/>
      <c r="C1" s="559"/>
      <c r="D1" s="559"/>
      <c r="E1" s="559"/>
      <c r="F1" s="559"/>
      <c r="G1" s="559"/>
      <c r="H1" s="559"/>
      <c r="I1" s="559"/>
      <c r="J1" s="559"/>
      <c r="K1" s="559"/>
      <c r="L1" s="560"/>
    </row>
    <row r="2" spans="1:12" x14ac:dyDescent="0.3">
      <c r="A2" s="470" t="s">
        <v>750</v>
      </c>
      <c r="B2" s="469"/>
      <c r="C2" s="550" t="s">
        <v>751</v>
      </c>
      <c r="D2" s="550"/>
      <c r="E2" s="550"/>
      <c r="F2" s="550"/>
      <c r="G2" s="550"/>
      <c r="H2" s="550"/>
      <c r="I2" s="550"/>
      <c r="J2" s="550"/>
      <c r="K2" s="550"/>
      <c r="L2" s="551"/>
    </row>
    <row r="3" spans="1:12" x14ac:dyDescent="0.3">
      <c r="A3" s="470" t="s">
        <v>752</v>
      </c>
      <c r="B3" s="469"/>
      <c r="C3" s="550" t="s">
        <v>753</v>
      </c>
      <c r="D3" s="550"/>
      <c r="E3" s="550"/>
      <c r="F3" s="550"/>
      <c r="G3" s="550"/>
      <c r="H3" s="550"/>
      <c r="I3" s="550"/>
      <c r="J3" s="550"/>
      <c r="K3" s="550"/>
      <c r="L3" s="551"/>
    </row>
    <row r="4" spans="1:12" x14ac:dyDescent="0.3">
      <c r="A4" s="470" t="s">
        <v>754</v>
      </c>
      <c r="B4" s="469"/>
      <c r="C4" s="550" t="s">
        <v>755</v>
      </c>
      <c r="D4" s="550"/>
      <c r="E4" s="550"/>
      <c r="F4" s="550"/>
      <c r="G4" s="550"/>
      <c r="H4" s="550"/>
      <c r="I4" s="550"/>
      <c r="J4" s="550"/>
      <c r="K4" s="550"/>
      <c r="L4" s="551"/>
    </row>
    <row r="5" spans="1:12" x14ac:dyDescent="0.3">
      <c r="A5" s="470" t="s">
        <v>241</v>
      </c>
      <c r="B5" s="469"/>
      <c r="C5" s="550" t="s">
        <v>755</v>
      </c>
      <c r="D5" s="550"/>
      <c r="E5" s="550"/>
      <c r="F5" s="550"/>
      <c r="G5" s="550"/>
      <c r="H5" s="550"/>
      <c r="I5" s="550"/>
      <c r="J5" s="550"/>
      <c r="K5" s="550"/>
      <c r="L5" s="551"/>
    </row>
    <row r="6" spans="1:12" x14ac:dyDescent="0.3">
      <c r="A6" s="470" t="s">
        <v>756</v>
      </c>
      <c r="B6" s="469"/>
      <c r="C6" s="550" t="s">
        <v>757</v>
      </c>
      <c r="D6" s="550"/>
      <c r="E6" s="550"/>
      <c r="F6" s="550"/>
      <c r="G6" s="550"/>
      <c r="H6" s="550"/>
      <c r="I6" s="550"/>
      <c r="J6" s="550" t="s">
        <v>758</v>
      </c>
      <c r="K6" s="550"/>
      <c r="L6" s="551"/>
    </row>
    <row r="7" spans="1:12" ht="15" customHeight="1" thickBot="1" x14ac:dyDescent="0.35">
      <c r="A7" s="561" t="s">
        <v>759</v>
      </c>
      <c r="B7" s="562"/>
      <c r="C7" s="563" t="s">
        <v>784</v>
      </c>
      <c r="D7" s="564"/>
      <c r="E7" s="564"/>
      <c r="F7" s="564"/>
      <c r="G7" s="564"/>
      <c r="H7" s="565"/>
      <c r="I7" s="519" t="s">
        <v>761</v>
      </c>
      <c r="J7" s="520">
        <f>COUNTIF(I10:I529,"Open")</f>
        <v>11</v>
      </c>
      <c r="K7" s="519" t="s">
        <v>762</v>
      </c>
      <c r="L7" s="521">
        <f>COUNTIF(I10:I529,"Closed")</f>
        <v>5</v>
      </c>
    </row>
    <row r="8" spans="1:12" ht="15" thickBot="1" x14ac:dyDescent="0.35">
      <c r="A8" s="566"/>
      <c r="B8" s="567"/>
      <c r="C8" s="567"/>
      <c r="D8" s="567"/>
      <c r="E8" s="567"/>
      <c r="F8" s="567"/>
      <c r="G8" s="567"/>
      <c r="H8" s="567"/>
      <c r="I8" s="567"/>
      <c r="J8" s="567"/>
      <c r="K8" s="567"/>
      <c r="L8" s="568"/>
    </row>
    <row r="9" spans="1:12" ht="46.2" customHeight="1" x14ac:dyDescent="0.3">
      <c r="A9" s="496" t="s">
        <v>763</v>
      </c>
      <c r="B9" s="497" t="s">
        <v>483</v>
      </c>
      <c r="C9" s="497" t="s">
        <v>785</v>
      </c>
      <c r="D9" s="497" t="s">
        <v>17</v>
      </c>
      <c r="E9" s="497" t="s">
        <v>786</v>
      </c>
      <c r="F9" s="497" t="s">
        <v>767</v>
      </c>
      <c r="G9" s="497" t="s">
        <v>794</v>
      </c>
      <c r="H9" s="497" t="s">
        <v>795</v>
      </c>
      <c r="I9" s="497" t="s">
        <v>211</v>
      </c>
      <c r="J9" s="498" t="s">
        <v>796</v>
      </c>
      <c r="K9" s="498" t="s">
        <v>797</v>
      </c>
      <c r="L9" s="499" t="s">
        <v>21</v>
      </c>
    </row>
    <row r="10" spans="1:12" x14ac:dyDescent="0.3">
      <c r="A10" s="483">
        <v>1</v>
      </c>
      <c r="B10" s="478" t="s">
        <v>214</v>
      </c>
      <c r="C10" s="479" t="s">
        <v>773</v>
      </c>
      <c r="D10" s="480" t="s">
        <v>774</v>
      </c>
      <c r="E10" s="481">
        <v>46006</v>
      </c>
      <c r="F10" s="495" t="s">
        <v>788</v>
      </c>
      <c r="G10" s="480" t="s">
        <v>798</v>
      </c>
      <c r="H10" s="495" t="s">
        <v>789</v>
      </c>
      <c r="I10" s="478" t="s">
        <v>252</v>
      </c>
      <c r="J10" s="478" t="s">
        <v>56</v>
      </c>
      <c r="K10" s="478" t="s">
        <v>56</v>
      </c>
      <c r="L10" s="500"/>
    </row>
    <row r="11" spans="1:12" x14ac:dyDescent="0.3">
      <c r="A11" s="483">
        <v>2</v>
      </c>
      <c r="B11" s="478" t="s">
        <v>222</v>
      </c>
      <c r="C11" s="479" t="s">
        <v>773</v>
      </c>
      <c r="D11" s="480" t="s">
        <v>774</v>
      </c>
      <c r="E11" s="481">
        <v>46007</v>
      </c>
      <c r="F11" s="495" t="s">
        <v>790</v>
      </c>
      <c r="G11" s="480" t="s">
        <v>799</v>
      </c>
      <c r="H11" s="495" t="s">
        <v>792</v>
      </c>
      <c r="I11" s="478" t="s">
        <v>777</v>
      </c>
      <c r="J11" s="478" t="s">
        <v>32</v>
      </c>
      <c r="K11" s="478" t="s">
        <v>32</v>
      </c>
      <c r="L11" s="500"/>
    </row>
    <row r="12" spans="1:12" x14ac:dyDescent="0.3">
      <c r="A12" s="483">
        <v>3</v>
      </c>
      <c r="B12" s="478" t="s">
        <v>214</v>
      </c>
      <c r="C12" s="479" t="s">
        <v>773</v>
      </c>
      <c r="D12" s="480" t="s">
        <v>774</v>
      </c>
      <c r="E12" s="481">
        <v>46008</v>
      </c>
      <c r="F12" s="495" t="s">
        <v>788</v>
      </c>
      <c r="G12" s="480" t="s">
        <v>800</v>
      </c>
      <c r="H12" s="495" t="s">
        <v>789</v>
      </c>
      <c r="I12" s="478" t="s">
        <v>252</v>
      </c>
      <c r="J12" s="478" t="s">
        <v>56</v>
      </c>
      <c r="K12" s="478" t="s">
        <v>56</v>
      </c>
      <c r="L12" s="500"/>
    </row>
    <row r="13" spans="1:12" x14ac:dyDescent="0.3">
      <c r="A13" s="483">
        <v>4</v>
      </c>
      <c r="B13" s="478" t="s">
        <v>222</v>
      </c>
      <c r="C13" s="479" t="s">
        <v>773</v>
      </c>
      <c r="D13" s="480" t="s">
        <v>774</v>
      </c>
      <c r="E13" s="481">
        <v>46009</v>
      </c>
      <c r="F13" s="495" t="s">
        <v>790</v>
      </c>
      <c r="G13" s="480" t="s">
        <v>801</v>
      </c>
      <c r="H13" s="495" t="s">
        <v>792</v>
      </c>
      <c r="I13" s="478" t="s">
        <v>777</v>
      </c>
      <c r="J13" s="478" t="s">
        <v>32</v>
      </c>
      <c r="K13" s="478" t="s">
        <v>32</v>
      </c>
      <c r="L13" s="500"/>
    </row>
    <row r="14" spans="1:12" x14ac:dyDescent="0.3">
      <c r="A14" s="483">
        <v>5</v>
      </c>
      <c r="B14" s="478" t="s">
        <v>214</v>
      </c>
      <c r="C14" s="479" t="s">
        <v>773</v>
      </c>
      <c r="D14" s="480" t="s">
        <v>774</v>
      </c>
      <c r="E14" s="481">
        <v>46010</v>
      </c>
      <c r="F14" s="495" t="s">
        <v>788</v>
      </c>
      <c r="G14" s="480" t="s">
        <v>802</v>
      </c>
      <c r="H14" s="495" t="s">
        <v>789</v>
      </c>
      <c r="I14" s="478" t="s">
        <v>252</v>
      </c>
      <c r="J14" s="478" t="s">
        <v>56</v>
      </c>
      <c r="K14" s="478" t="s">
        <v>56</v>
      </c>
      <c r="L14" s="500"/>
    </row>
    <row r="15" spans="1:12" x14ac:dyDescent="0.3">
      <c r="A15" s="483">
        <v>6</v>
      </c>
      <c r="B15" s="478" t="s">
        <v>222</v>
      </c>
      <c r="C15" s="479" t="s">
        <v>773</v>
      </c>
      <c r="D15" s="480" t="s">
        <v>774</v>
      </c>
      <c r="E15" s="481">
        <v>46011</v>
      </c>
      <c r="F15" s="495" t="s">
        <v>790</v>
      </c>
      <c r="G15" s="480" t="s">
        <v>798</v>
      </c>
      <c r="H15" s="495" t="s">
        <v>792</v>
      </c>
      <c r="I15" s="478" t="s">
        <v>777</v>
      </c>
      <c r="J15" s="478" t="s">
        <v>32</v>
      </c>
      <c r="K15" s="478" t="s">
        <v>32</v>
      </c>
      <c r="L15" s="500"/>
    </row>
    <row r="16" spans="1:12" x14ac:dyDescent="0.3">
      <c r="A16" s="483">
        <v>7</v>
      </c>
      <c r="B16" s="478" t="s">
        <v>214</v>
      </c>
      <c r="C16" s="479" t="s">
        <v>773</v>
      </c>
      <c r="D16" s="480" t="s">
        <v>774</v>
      </c>
      <c r="E16" s="481">
        <v>46012</v>
      </c>
      <c r="F16" s="495" t="s">
        <v>788</v>
      </c>
      <c r="G16" s="480" t="s">
        <v>799</v>
      </c>
      <c r="H16" s="495" t="s">
        <v>789</v>
      </c>
      <c r="I16" s="478" t="s">
        <v>252</v>
      </c>
      <c r="J16" s="478" t="s">
        <v>56</v>
      </c>
      <c r="K16" s="478" t="s">
        <v>56</v>
      </c>
      <c r="L16" s="500"/>
    </row>
    <row r="17" spans="1:12" x14ac:dyDescent="0.3">
      <c r="A17" s="483">
        <v>8</v>
      </c>
      <c r="B17" s="478" t="s">
        <v>222</v>
      </c>
      <c r="C17" s="479" t="s">
        <v>773</v>
      </c>
      <c r="D17" s="480" t="s">
        <v>774</v>
      </c>
      <c r="E17" s="481">
        <v>46013</v>
      </c>
      <c r="F17" s="495" t="s">
        <v>790</v>
      </c>
      <c r="G17" s="480" t="s">
        <v>800</v>
      </c>
      <c r="H17" s="495" t="s">
        <v>792</v>
      </c>
      <c r="I17" s="478" t="s">
        <v>777</v>
      </c>
      <c r="J17" s="478" t="s">
        <v>32</v>
      </c>
      <c r="K17" s="478" t="s">
        <v>32</v>
      </c>
      <c r="L17" s="500"/>
    </row>
    <row r="18" spans="1:12" x14ac:dyDescent="0.3">
      <c r="A18" s="483">
        <v>9</v>
      </c>
      <c r="B18" s="478" t="s">
        <v>214</v>
      </c>
      <c r="C18" s="479" t="s">
        <v>773</v>
      </c>
      <c r="D18" s="480" t="s">
        <v>774</v>
      </c>
      <c r="E18" s="481">
        <v>46014</v>
      </c>
      <c r="F18" s="495" t="s">
        <v>788</v>
      </c>
      <c r="G18" s="480" t="s">
        <v>801</v>
      </c>
      <c r="H18" s="495" t="s">
        <v>789</v>
      </c>
      <c r="I18" s="478" t="s">
        <v>252</v>
      </c>
      <c r="J18" s="478" t="s">
        <v>56</v>
      </c>
      <c r="K18" s="478" t="s">
        <v>56</v>
      </c>
      <c r="L18" s="500"/>
    </row>
    <row r="19" spans="1:12" x14ac:dyDescent="0.3">
      <c r="A19" s="483">
        <v>10</v>
      </c>
      <c r="B19" s="478" t="s">
        <v>222</v>
      </c>
      <c r="C19" s="479" t="s">
        <v>773</v>
      </c>
      <c r="D19" s="480" t="s">
        <v>774</v>
      </c>
      <c r="E19" s="481">
        <v>46015</v>
      </c>
      <c r="F19" s="495" t="s">
        <v>790</v>
      </c>
      <c r="G19" s="480" t="s">
        <v>802</v>
      </c>
      <c r="H19" s="495" t="s">
        <v>792</v>
      </c>
      <c r="I19" s="478" t="s">
        <v>252</v>
      </c>
      <c r="J19" s="478" t="s">
        <v>32</v>
      </c>
      <c r="K19" s="478" t="s">
        <v>32</v>
      </c>
      <c r="L19" s="500"/>
    </row>
    <row r="20" spans="1:12" x14ac:dyDescent="0.3">
      <c r="A20" s="483">
        <v>11</v>
      </c>
      <c r="B20" s="478" t="s">
        <v>214</v>
      </c>
      <c r="C20" s="479" t="s">
        <v>773</v>
      </c>
      <c r="D20" s="480" t="s">
        <v>774</v>
      </c>
      <c r="E20" s="481">
        <v>46016</v>
      </c>
      <c r="F20" s="495" t="s">
        <v>788</v>
      </c>
      <c r="G20" s="480" t="s">
        <v>798</v>
      </c>
      <c r="H20" s="495" t="s">
        <v>789</v>
      </c>
      <c r="I20" s="478" t="s">
        <v>252</v>
      </c>
      <c r="J20" s="478" t="s">
        <v>56</v>
      </c>
      <c r="K20" s="478" t="s">
        <v>56</v>
      </c>
      <c r="L20" s="500"/>
    </row>
    <row r="21" spans="1:12" x14ac:dyDescent="0.3">
      <c r="A21" s="483">
        <v>12</v>
      </c>
      <c r="B21" s="478" t="s">
        <v>222</v>
      </c>
      <c r="C21" s="479" t="s">
        <v>773</v>
      </c>
      <c r="D21" s="480" t="s">
        <v>774</v>
      </c>
      <c r="E21" s="481">
        <v>46017</v>
      </c>
      <c r="F21" s="495" t="s">
        <v>790</v>
      </c>
      <c r="G21" s="480" t="s">
        <v>799</v>
      </c>
      <c r="H21" s="495" t="s">
        <v>792</v>
      </c>
      <c r="I21" s="478" t="s">
        <v>252</v>
      </c>
      <c r="J21" s="478" t="s">
        <v>32</v>
      </c>
      <c r="K21" s="478" t="s">
        <v>32</v>
      </c>
      <c r="L21" s="500"/>
    </row>
    <row r="22" spans="1:12" x14ac:dyDescent="0.3">
      <c r="A22" s="483">
        <v>13</v>
      </c>
      <c r="B22" s="478" t="s">
        <v>214</v>
      </c>
      <c r="C22" s="479" t="s">
        <v>773</v>
      </c>
      <c r="D22" s="480" t="s">
        <v>774</v>
      </c>
      <c r="E22" s="481">
        <v>46018</v>
      </c>
      <c r="F22" s="495" t="s">
        <v>788</v>
      </c>
      <c r="G22" s="480" t="s">
        <v>800</v>
      </c>
      <c r="H22" s="495" t="s">
        <v>789</v>
      </c>
      <c r="I22" s="478" t="s">
        <v>252</v>
      </c>
      <c r="J22" s="478" t="s">
        <v>56</v>
      </c>
      <c r="K22" s="478" t="s">
        <v>56</v>
      </c>
      <c r="L22" s="500"/>
    </row>
    <row r="23" spans="1:12" x14ac:dyDescent="0.3">
      <c r="A23" s="483">
        <v>14</v>
      </c>
      <c r="B23" s="478" t="s">
        <v>222</v>
      </c>
      <c r="C23" s="479" t="s">
        <v>773</v>
      </c>
      <c r="D23" s="480" t="s">
        <v>774</v>
      </c>
      <c r="E23" s="481">
        <v>46019</v>
      </c>
      <c r="F23" s="495" t="s">
        <v>790</v>
      </c>
      <c r="G23" s="480" t="s">
        <v>801</v>
      </c>
      <c r="H23" s="495" t="s">
        <v>792</v>
      </c>
      <c r="I23" s="478" t="s">
        <v>252</v>
      </c>
      <c r="J23" s="478" t="s">
        <v>32</v>
      </c>
      <c r="K23" s="478" t="s">
        <v>32</v>
      </c>
      <c r="L23" s="500"/>
    </row>
    <row r="24" spans="1:12" x14ac:dyDescent="0.3">
      <c r="A24" s="483">
        <v>15</v>
      </c>
      <c r="B24" s="478" t="s">
        <v>214</v>
      </c>
      <c r="C24" s="479" t="s">
        <v>773</v>
      </c>
      <c r="D24" s="480" t="s">
        <v>774</v>
      </c>
      <c r="E24" s="481">
        <v>46020</v>
      </c>
      <c r="F24" s="495" t="s">
        <v>788</v>
      </c>
      <c r="G24" s="480" t="s">
        <v>802</v>
      </c>
      <c r="H24" s="495" t="s">
        <v>789</v>
      </c>
      <c r="I24" s="478" t="s">
        <v>252</v>
      </c>
      <c r="J24" s="478" t="s">
        <v>56</v>
      </c>
      <c r="K24" s="478" t="s">
        <v>56</v>
      </c>
      <c r="L24" s="500"/>
    </row>
    <row r="25" spans="1:12" x14ac:dyDescent="0.3">
      <c r="A25" s="483">
        <v>16</v>
      </c>
      <c r="B25" s="478" t="s">
        <v>222</v>
      </c>
      <c r="C25" s="479" t="s">
        <v>773</v>
      </c>
      <c r="D25" s="480" t="s">
        <v>774</v>
      </c>
      <c r="E25" s="481">
        <v>46021</v>
      </c>
      <c r="F25" s="495" t="s">
        <v>790</v>
      </c>
      <c r="G25" s="480" t="s">
        <v>798</v>
      </c>
      <c r="H25" s="495" t="s">
        <v>792</v>
      </c>
      <c r="I25" s="478" t="s">
        <v>777</v>
      </c>
      <c r="J25" s="478" t="s">
        <v>32</v>
      </c>
      <c r="K25" s="478" t="s">
        <v>32</v>
      </c>
      <c r="L25" s="500"/>
    </row>
    <row r="26" spans="1:12" x14ac:dyDescent="0.3">
      <c r="A26" s="483"/>
      <c r="B26" s="478"/>
      <c r="C26" s="479"/>
      <c r="D26" s="480"/>
      <c r="E26" s="481"/>
      <c r="F26" s="495"/>
      <c r="G26" s="478"/>
      <c r="H26" s="495"/>
      <c r="I26" s="478"/>
      <c r="J26" s="478"/>
      <c r="K26" s="478"/>
      <c r="L26" s="500"/>
    </row>
    <row r="27" spans="1:12" x14ac:dyDescent="0.3">
      <c r="A27" s="483"/>
      <c r="B27" s="478"/>
      <c r="C27" s="479"/>
      <c r="D27" s="480"/>
      <c r="E27" s="481"/>
      <c r="F27" s="495"/>
      <c r="G27" s="478"/>
      <c r="H27" s="495"/>
      <c r="I27" s="478"/>
      <c r="J27" s="478"/>
      <c r="K27" s="478"/>
      <c r="L27" s="500"/>
    </row>
    <row r="28" spans="1:12" x14ac:dyDescent="0.3">
      <c r="A28" s="483"/>
      <c r="B28" s="478"/>
      <c r="C28" s="479"/>
      <c r="D28" s="480"/>
      <c r="E28" s="481"/>
      <c r="F28" s="495"/>
      <c r="G28" s="478"/>
      <c r="H28" s="495"/>
      <c r="I28" s="478"/>
      <c r="J28" s="478"/>
      <c r="K28" s="478"/>
      <c r="L28" s="500"/>
    </row>
    <row r="29" spans="1:12" x14ac:dyDescent="0.3">
      <c r="A29" s="483"/>
      <c r="B29" s="478"/>
      <c r="C29" s="479"/>
      <c r="D29" s="480"/>
      <c r="E29" s="481"/>
      <c r="F29" s="495"/>
      <c r="G29" s="478"/>
      <c r="H29" s="495"/>
      <c r="I29" s="478"/>
      <c r="J29" s="478"/>
      <c r="K29" s="478"/>
      <c r="L29" s="500"/>
    </row>
    <row r="30" spans="1:12" x14ac:dyDescent="0.3">
      <c r="A30" s="483"/>
      <c r="B30" s="478"/>
      <c r="C30" s="479"/>
      <c r="D30" s="480"/>
      <c r="E30" s="481"/>
      <c r="F30" s="495"/>
      <c r="G30" s="478"/>
      <c r="H30" s="495"/>
      <c r="I30" s="478"/>
      <c r="J30" s="478"/>
      <c r="K30" s="478"/>
      <c r="L30" s="500"/>
    </row>
    <row r="31" spans="1:12" x14ac:dyDescent="0.3">
      <c r="A31" s="483"/>
      <c r="B31" s="478"/>
      <c r="C31" s="479"/>
      <c r="D31" s="480"/>
      <c r="E31" s="481"/>
      <c r="F31" s="495"/>
      <c r="G31" s="478"/>
      <c r="H31" s="495"/>
      <c r="I31" s="478"/>
      <c r="J31" s="478"/>
      <c r="K31" s="478"/>
      <c r="L31" s="500"/>
    </row>
    <row r="32" spans="1:12" x14ac:dyDescent="0.3">
      <c r="A32" s="483"/>
      <c r="B32" s="478"/>
      <c r="C32" s="479"/>
      <c r="D32" s="480"/>
      <c r="E32" s="481"/>
      <c r="F32" s="495"/>
      <c r="G32" s="478"/>
      <c r="H32" s="495"/>
      <c r="I32" s="478"/>
      <c r="J32" s="478"/>
      <c r="K32" s="478"/>
      <c r="L32" s="500"/>
    </row>
    <row r="33" spans="1:12" x14ac:dyDescent="0.3">
      <c r="A33" s="483"/>
      <c r="B33" s="478"/>
      <c r="C33" s="479"/>
      <c r="D33" s="480"/>
      <c r="E33" s="481"/>
      <c r="F33" s="495"/>
      <c r="G33" s="478"/>
      <c r="H33" s="495"/>
      <c r="I33" s="478"/>
      <c r="J33" s="478"/>
      <c r="K33" s="478"/>
      <c r="L33" s="500"/>
    </row>
    <row r="34" spans="1:12" x14ac:dyDescent="0.3">
      <c r="A34" s="483"/>
      <c r="B34" s="478"/>
      <c r="C34" s="479"/>
      <c r="D34" s="480"/>
      <c r="E34" s="481"/>
      <c r="F34" s="495"/>
      <c r="G34" s="478"/>
      <c r="H34" s="495"/>
      <c r="I34" s="478"/>
      <c r="J34" s="478"/>
      <c r="K34" s="478"/>
      <c r="L34" s="500"/>
    </row>
    <row r="35" spans="1:12" x14ac:dyDescent="0.3">
      <c r="A35" s="483"/>
      <c r="B35" s="478"/>
      <c r="C35" s="479"/>
      <c r="D35" s="480"/>
      <c r="E35" s="481"/>
      <c r="F35" s="495"/>
      <c r="G35" s="478"/>
      <c r="H35" s="495"/>
      <c r="I35" s="478"/>
      <c r="J35" s="478"/>
      <c r="K35" s="478"/>
      <c r="L35" s="500"/>
    </row>
    <row r="36" spans="1:12" x14ac:dyDescent="0.3">
      <c r="A36" s="483"/>
      <c r="B36" s="478"/>
      <c r="C36" s="479"/>
      <c r="D36" s="480"/>
      <c r="E36" s="481"/>
      <c r="F36" s="495"/>
      <c r="G36" s="478"/>
      <c r="H36" s="495"/>
      <c r="I36" s="478"/>
      <c r="J36" s="478"/>
      <c r="K36" s="478"/>
      <c r="L36" s="500"/>
    </row>
    <row r="37" spans="1:12" x14ac:dyDescent="0.3">
      <c r="A37" s="483"/>
      <c r="B37" s="478"/>
      <c r="C37" s="479"/>
      <c r="D37" s="480"/>
      <c r="E37" s="481"/>
      <c r="F37" s="495"/>
      <c r="G37" s="478"/>
      <c r="H37" s="495"/>
      <c r="I37" s="478"/>
      <c r="J37" s="478"/>
      <c r="K37" s="478"/>
      <c r="L37" s="500"/>
    </row>
    <row r="38" spans="1:12" x14ac:dyDescent="0.3">
      <c r="A38" s="483"/>
      <c r="B38" s="478"/>
      <c r="C38" s="479"/>
      <c r="D38" s="480"/>
      <c r="E38" s="481"/>
      <c r="F38" s="495"/>
      <c r="G38" s="478"/>
      <c r="H38" s="495"/>
      <c r="I38" s="478"/>
      <c r="J38" s="478"/>
      <c r="K38" s="478"/>
      <c r="L38" s="500"/>
    </row>
    <row r="39" spans="1:12" x14ac:dyDescent="0.3">
      <c r="A39" s="483"/>
      <c r="B39" s="478"/>
      <c r="C39" s="479"/>
      <c r="D39" s="480"/>
      <c r="E39" s="481"/>
      <c r="F39" s="495"/>
      <c r="G39" s="478"/>
      <c r="H39" s="495"/>
      <c r="I39" s="478"/>
      <c r="J39" s="478"/>
      <c r="K39" s="478"/>
      <c r="L39" s="500"/>
    </row>
    <row r="40" spans="1:12" x14ac:dyDescent="0.3">
      <c r="A40" s="483"/>
      <c r="B40" s="478"/>
      <c r="C40" s="479"/>
      <c r="D40" s="480"/>
      <c r="E40" s="481"/>
      <c r="F40" s="495"/>
      <c r="G40" s="478"/>
      <c r="H40" s="495"/>
      <c r="I40" s="478"/>
      <c r="J40" s="478"/>
      <c r="K40" s="478"/>
      <c r="L40" s="500"/>
    </row>
    <row r="41" spans="1:12" x14ac:dyDescent="0.3">
      <c r="A41" s="483"/>
      <c r="B41" s="478"/>
      <c r="C41" s="479"/>
      <c r="D41" s="480"/>
      <c r="E41" s="481"/>
      <c r="F41" s="495"/>
      <c r="G41" s="478"/>
      <c r="H41" s="495"/>
      <c r="I41" s="478"/>
      <c r="J41" s="478"/>
      <c r="K41" s="478"/>
      <c r="L41" s="500"/>
    </row>
    <row r="42" spans="1:12" x14ac:dyDescent="0.3">
      <c r="A42" s="483"/>
      <c r="B42" s="478"/>
      <c r="C42" s="479"/>
      <c r="D42" s="480"/>
      <c r="E42" s="481"/>
      <c r="F42" s="495"/>
      <c r="G42" s="478"/>
      <c r="H42" s="495"/>
      <c r="I42" s="478"/>
      <c r="J42" s="478"/>
      <c r="K42" s="478"/>
      <c r="L42" s="500"/>
    </row>
    <row r="43" spans="1:12" x14ac:dyDescent="0.3">
      <c r="A43" s="483"/>
      <c r="B43" s="478"/>
      <c r="C43" s="479"/>
      <c r="D43" s="480"/>
      <c r="E43" s="481"/>
      <c r="F43" s="495"/>
      <c r="G43" s="478"/>
      <c r="H43" s="495"/>
      <c r="I43" s="478"/>
      <c r="J43" s="478"/>
      <c r="K43" s="478"/>
      <c r="L43" s="500"/>
    </row>
    <row r="44" spans="1:12" x14ac:dyDescent="0.3">
      <c r="A44" s="483"/>
      <c r="B44" s="478"/>
      <c r="C44" s="479"/>
      <c r="D44" s="480"/>
      <c r="E44" s="481"/>
      <c r="F44" s="495"/>
      <c r="G44" s="478"/>
      <c r="H44" s="495"/>
      <c r="I44" s="478"/>
      <c r="J44" s="478"/>
      <c r="K44" s="478"/>
      <c r="L44" s="500"/>
    </row>
    <row r="45" spans="1:12" x14ac:dyDescent="0.3">
      <c r="A45" s="483"/>
      <c r="B45" s="478"/>
      <c r="C45" s="479"/>
      <c r="D45" s="480"/>
      <c r="E45" s="481"/>
      <c r="F45" s="495"/>
      <c r="G45" s="478"/>
      <c r="H45" s="495"/>
      <c r="I45" s="478"/>
      <c r="J45" s="478"/>
      <c r="K45" s="478"/>
      <c r="L45" s="500"/>
    </row>
    <row r="46" spans="1:12" x14ac:dyDescent="0.3">
      <c r="A46" s="483"/>
      <c r="B46" s="478"/>
      <c r="C46" s="479"/>
      <c r="D46" s="480"/>
      <c r="E46" s="481"/>
      <c r="F46" s="495"/>
      <c r="G46" s="478"/>
      <c r="H46" s="495"/>
      <c r="I46" s="478"/>
      <c r="J46" s="478"/>
      <c r="K46" s="478"/>
      <c r="L46" s="500"/>
    </row>
    <row r="47" spans="1:12" x14ac:dyDescent="0.3">
      <c r="A47" s="483"/>
      <c r="B47" s="478"/>
      <c r="C47" s="479"/>
      <c r="D47" s="480"/>
      <c r="E47" s="481"/>
      <c r="F47" s="495"/>
      <c r="G47" s="478"/>
      <c r="H47" s="495"/>
      <c r="I47" s="478"/>
      <c r="J47" s="478"/>
      <c r="K47" s="478"/>
      <c r="L47" s="500"/>
    </row>
    <row r="48" spans="1:12" x14ac:dyDescent="0.3">
      <c r="A48" s="483"/>
      <c r="B48" s="478"/>
      <c r="C48" s="479"/>
      <c r="D48" s="480"/>
      <c r="E48" s="481"/>
      <c r="F48" s="495"/>
      <c r="G48" s="478"/>
      <c r="H48" s="495"/>
      <c r="I48" s="478"/>
      <c r="J48" s="478"/>
      <c r="K48" s="478"/>
      <c r="L48" s="500"/>
    </row>
    <row r="49" spans="1:12" x14ac:dyDescent="0.3">
      <c r="A49" s="483"/>
      <c r="B49" s="478"/>
      <c r="C49" s="479"/>
      <c r="D49" s="480"/>
      <c r="E49" s="481"/>
      <c r="F49" s="495"/>
      <c r="G49" s="478"/>
      <c r="H49" s="495"/>
      <c r="I49" s="478"/>
      <c r="J49" s="478"/>
      <c r="K49" s="478"/>
      <c r="L49" s="500"/>
    </row>
    <row r="50" spans="1:12" x14ac:dyDescent="0.3">
      <c r="A50" s="483"/>
      <c r="B50" s="478"/>
      <c r="C50" s="479"/>
      <c r="D50" s="480"/>
      <c r="E50" s="481"/>
      <c r="F50" s="495"/>
      <c r="G50" s="478"/>
      <c r="H50" s="495"/>
      <c r="I50" s="478"/>
      <c r="J50" s="478"/>
      <c r="K50" s="478"/>
      <c r="L50" s="500"/>
    </row>
    <row r="51" spans="1:12" x14ac:dyDescent="0.3">
      <c r="A51" s="483"/>
      <c r="B51" s="478"/>
      <c r="C51" s="479"/>
      <c r="D51" s="480"/>
      <c r="E51" s="481"/>
      <c r="F51" s="495"/>
      <c r="G51" s="478"/>
      <c r="H51" s="495"/>
      <c r="I51" s="478"/>
      <c r="J51" s="478"/>
      <c r="K51" s="478"/>
      <c r="L51" s="500"/>
    </row>
    <row r="52" spans="1:12" x14ac:dyDescent="0.3">
      <c r="A52" s="483"/>
      <c r="B52" s="478"/>
      <c r="C52" s="479"/>
      <c r="D52" s="480"/>
      <c r="E52" s="481"/>
      <c r="F52" s="495"/>
      <c r="G52" s="478"/>
      <c r="H52" s="495"/>
      <c r="I52" s="478"/>
      <c r="J52" s="478"/>
      <c r="K52" s="478"/>
      <c r="L52" s="500"/>
    </row>
    <row r="53" spans="1:12" x14ac:dyDescent="0.3">
      <c r="A53" s="483"/>
      <c r="B53" s="478"/>
      <c r="C53" s="479"/>
      <c r="D53" s="480"/>
      <c r="E53" s="481"/>
      <c r="F53" s="495"/>
      <c r="G53" s="478"/>
      <c r="H53" s="495"/>
      <c r="I53" s="478"/>
      <c r="J53" s="478"/>
      <c r="K53" s="478"/>
      <c r="L53" s="500"/>
    </row>
    <row r="54" spans="1:12" x14ac:dyDescent="0.3">
      <c r="A54" s="483"/>
      <c r="B54" s="478"/>
      <c r="C54" s="479"/>
      <c r="D54" s="480"/>
      <c r="E54" s="481"/>
      <c r="F54" s="495"/>
      <c r="G54" s="478"/>
      <c r="H54" s="495"/>
      <c r="I54" s="478"/>
      <c r="J54" s="478"/>
      <c r="K54" s="478"/>
      <c r="L54" s="500"/>
    </row>
    <row r="55" spans="1:12" x14ac:dyDescent="0.3">
      <c r="A55" s="483"/>
      <c r="B55" s="478"/>
      <c r="C55" s="479"/>
      <c r="D55" s="480"/>
      <c r="E55" s="481"/>
      <c r="F55" s="495"/>
      <c r="G55" s="478"/>
      <c r="H55" s="495"/>
      <c r="I55" s="478"/>
      <c r="J55" s="478"/>
      <c r="K55" s="478"/>
      <c r="L55" s="500"/>
    </row>
    <row r="56" spans="1:12" x14ac:dyDescent="0.3">
      <c r="A56" s="483"/>
      <c r="B56" s="478"/>
      <c r="C56" s="479"/>
      <c r="D56" s="480"/>
      <c r="E56" s="481"/>
      <c r="F56" s="495"/>
      <c r="G56" s="478"/>
      <c r="H56" s="495"/>
      <c r="I56" s="478"/>
      <c r="J56" s="478"/>
      <c r="K56" s="478"/>
      <c r="L56" s="500"/>
    </row>
    <row r="57" spans="1:12" x14ac:dyDescent="0.3">
      <c r="A57" s="483"/>
      <c r="B57" s="478"/>
      <c r="C57" s="479"/>
      <c r="D57" s="480"/>
      <c r="E57" s="481"/>
      <c r="F57" s="495"/>
      <c r="G57" s="478"/>
      <c r="H57" s="495"/>
      <c r="I57" s="478"/>
      <c r="J57" s="478"/>
      <c r="K57" s="478"/>
      <c r="L57" s="500"/>
    </row>
    <row r="58" spans="1:12" x14ac:dyDescent="0.3">
      <c r="A58" s="483"/>
      <c r="B58" s="478"/>
      <c r="C58" s="479"/>
      <c r="D58" s="480"/>
      <c r="E58" s="481"/>
      <c r="F58" s="495"/>
      <c r="G58" s="478"/>
      <c r="H58" s="495"/>
      <c r="I58" s="478"/>
      <c r="J58" s="478"/>
      <c r="K58" s="478"/>
      <c r="L58" s="500"/>
    </row>
    <row r="59" spans="1:12" x14ac:dyDescent="0.3">
      <c r="A59" s="483"/>
      <c r="B59" s="478"/>
      <c r="C59" s="479"/>
      <c r="D59" s="480"/>
      <c r="E59" s="481"/>
      <c r="F59" s="495"/>
      <c r="G59" s="478"/>
      <c r="H59" s="495"/>
      <c r="I59" s="478"/>
      <c r="J59" s="478"/>
      <c r="K59" s="478"/>
      <c r="L59" s="500"/>
    </row>
    <row r="60" spans="1:12" x14ac:dyDescent="0.3">
      <c r="A60" s="483"/>
      <c r="B60" s="478"/>
      <c r="C60" s="479"/>
      <c r="D60" s="480"/>
      <c r="E60" s="481"/>
      <c r="F60" s="495"/>
      <c r="G60" s="478"/>
      <c r="H60" s="495"/>
      <c r="I60" s="478"/>
      <c r="J60" s="478"/>
      <c r="K60" s="478"/>
      <c r="L60" s="500"/>
    </row>
    <row r="61" spans="1:12" x14ac:dyDescent="0.3">
      <c r="A61" s="483"/>
      <c r="B61" s="478"/>
      <c r="C61" s="479"/>
      <c r="D61" s="480"/>
      <c r="E61" s="481"/>
      <c r="F61" s="495"/>
      <c r="G61" s="478"/>
      <c r="H61" s="495"/>
      <c r="I61" s="478"/>
      <c r="J61" s="478"/>
      <c r="K61" s="478"/>
      <c r="L61" s="500"/>
    </row>
    <row r="62" spans="1:12" x14ac:dyDescent="0.3">
      <c r="A62" s="483"/>
      <c r="B62" s="478"/>
      <c r="C62" s="479"/>
      <c r="D62" s="480"/>
      <c r="E62" s="481"/>
      <c r="F62" s="495"/>
      <c r="G62" s="478"/>
      <c r="H62" s="495"/>
      <c r="I62" s="478"/>
      <c r="J62" s="478"/>
      <c r="K62" s="478"/>
      <c r="L62" s="500"/>
    </row>
    <row r="63" spans="1:12" x14ac:dyDescent="0.3">
      <c r="A63" s="483"/>
      <c r="B63" s="478"/>
      <c r="C63" s="479"/>
      <c r="D63" s="480"/>
      <c r="E63" s="481"/>
      <c r="F63" s="495"/>
      <c r="G63" s="478"/>
      <c r="H63" s="495"/>
      <c r="I63" s="478"/>
      <c r="J63" s="478"/>
      <c r="K63" s="478"/>
      <c r="L63" s="500"/>
    </row>
    <row r="64" spans="1:12" x14ac:dyDescent="0.3">
      <c r="A64" s="483"/>
      <c r="B64" s="478"/>
      <c r="C64" s="479"/>
      <c r="D64" s="480"/>
      <c r="E64" s="481"/>
      <c r="F64" s="495"/>
      <c r="G64" s="478"/>
      <c r="H64" s="495"/>
      <c r="I64" s="478"/>
      <c r="J64" s="478"/>
      <c r="K64" s="478"/>
      <c r="L64" s="500"/>
    </row>
    <row r="65" spans="1:12" x14ac:dyDescent="0.3">
      <c r="A65" s="483"/>
      <c r="B65" s="478"/>
      <c r="C65" s="479"/>
      <c r="D65" s="480"/>
      <c r="E65" s="481"/>
      <c r="F65" s="495"/>
      <c r="G65" s="478"/>
      <c r="H65" s="495"/>
      <c r="I65" s="478"/>
      <c r="J65" s="478"/>
      <c r="K65" s="478"/>
      <c r="L65" s="500"/>
    </row>
    <row r="66" spans="1:12" x14ac:dyDescent="0.3">
      <c r="A66" s="483"/>
      <c r="B66" s="478"/>
      <c r="C66" s="479"/>
      <c r="D66" s="480"/>
      <c r="E66" s="481"/>
      <c r="F66" s="495"/>
      <c r="G66" s="478"/>
      <c r="H66" s="495"/>
      <c r="I66" s="478"/>
      <c r="J66" s="478"/>
      <c r="K66" s="478"/>
      <c r="L66" s="500"/>
    </row>
    <row r="67" spans="1:12" x14ac:dyDescent="0.3">
      <c r="A67" s="483"/>
      <c r="B67" s="478"/>
      <c r="C67" s="479"/>
      <c r="D67" s="480"/>
      <c r="E67" s="481"/>
      <c r="F67" s="495"/>
      <c r="G67" s="478"/>
      <c r="H67" s="495"/>
      <c r="I67" s="478"/>
      <c r="J67" s="478"/>
      <c r="K67" s="478"/>
      <c r="L67" s="500"/>
    </row>
    <row r="68" spans="1:12" x14ac:dyDescent="0.3">
      <c r="A68" s="483"/>
      <c r="B68" s="478"/>
      <c r="C68" s="479"/>
      <c r="D68" s="480"/>
      <c r="E68" s="481"/>
      <c r="F68" s="495"/>
      <c r="G68" s="478"/>
      <c r="H68" s="495"/>
      <c r="I68" s="478"/>
      <c r="J68" s="478"/>
      <c r="K68" s="478"/>
      <c r="L68" s="500"/>
    </row>
    <row r="69" spans="1:12" x14ac:dyDescent="0.3">
      <c r="A69" s="483"/>
      <c r="B69" s="478"/>
      <c r="C69" s="479"/>
      <c r="D69" s="480"/>
      <c r="E69" s="481"/>
      <c r="F69" s="495"/>
      <c r="G69" s="478"/>
      <c r="H69" s="495"/>
      <c r="I69" s="478"/>
      <c r="J69" s="478"/>
      <c r="K69" s="478"/>
      <c r="L69" s="500"/>
    </row>
    <row r="70" spans="1:12" x14ac:dyDescent="0.3">
      <c r="A70" s="483"/>
      <c r="B70" s="478"/>
      <c r="C70" s="479"/>
      <c r="D70" s="480"/>
      <c r="E70" s="481"/>
      <c r="F70" s="495"/>
      <c r="G70" s="478"/>
      <c r="H70" s="495"/>
      <c r="I70" s="478"/>
      <c r="J70" s="478"/>
      <c r="K70" s="478"/>
      <c r="L70" s="500"/>
    </row>
    <row r="71" spans="1:12" x14ac:dyDescent="0.3">
      <c r="A71" s="483"/>
      <c r="B71" s="478"/>
      <c r="C71" s="479"/>
      <c r="D71" s="480"/>
      <c r="E71" s="481"/>
      <c r="F71" s="495"/>
      <c r="G71" s="478"/>
      <c r="H71" s="495"/>
      <c r="I71" s="478"/>
      <c r="J71" s="478"/>
      <c r="K71" s="478"/>
      <c r="L71" s="500"/>
    </row>
    <row r="72" spans="1:12" x14ac:dyDescent="0.3">
      <c r="A72" s="483"/>
      <c r="B72" s="478"/>
      <c r="C72" s="479"/>
      <c r="D72" s="480"/>
      <c r="E72" s="481"/>
      <c r="F72" s="495"/>
      <c r="G72" s="478"/>
      <c r="H72" s="495"/>
      <c r="I72" s="478"/>
      <c r="J72" s="478"/>
      <c r="K72" s="478"/>
      <c r="L72" s="500"/>
    </row>
    <row r="73" spans="1:12" x14ac:dyDescent="0.3">
      <c r="A73" s="483"/>
      <c r="B73" s="478"/>
      <c r="C73" s="479"/>
      <c r="D73" s="480"/>
      <c r="E73" s="481"/>
      <c r="F73" s="495"/>
      <c r="G73" s="478"/>
      <c r="H73" s="495"/>
      <c r="I73" s="478"/>
      <c r="J73" s="478"/>
      <c r="K73" s="478"/>
      <c r="L73" s="500"/>
    </row>
    <row r="74" spans="1:12" x14ac:dyDescent="0.3">
      <c r="A74" s="483"/>
      <c r="B74" s="478"/>
      <c r="C74" s="479"/>
      <c r="D74" s="480"/>
      <c r="E74" s="481"/>
      <c r="F74" s="495"/>
      <c r="G74" s="478"/>
      <c r="H74" s="495"/>
      <c r="I74" s="478"/>
      <c r="J74" s="478"/>
      <c r="K74" s="478"/>
      <c r="L74" s="500"/>
    </row>
    <row r="75" spans="1:12" x14ac:dyDescent="0.3">
      <c r="A75" s="483"/>
      <c r="B75" s="478"/>
      <c r="C75" s="479"/>
      <c r="D75" s="480"/>
      <c r="E75" s="481"/>
      <c r="F75" s="495"/>
      <c r="G75" s="478"/>
      <c r="H75" s="495"/>
      <c r="I75" s="478"/>
      <c r="J75" s="478"/>
      <c r="K75" s="478"/>
      <c r="L75" s="500"/>
    </row>
    <row r="76" spans="1:12" x14ac:dyDescent="0.3">
      <c r="A76" s="483"/>
      <c r="B76" s="478"/>
      <c r="C76" s="479"/>
      <c r="D76" s="480"/>
      <c r="E76" s="481"/>
      <c r="F76" s="495"/>
      <c r="G76" s="478"/>
      <c r="H76" s="495"/>
      <c r="I76" s="478"/>
      <c r="J76" s="478"/>
      <c r="K76" s="478"/>
      <c r="L76" s="500"/>
    </row>
    <row r="77" spans="1:12" x14ac:dyDescent="0.3">
      <c r="A77" s="483"/>
      <c r="B77" s="478"/>
      <c r="C77" s="479"/>
      <c r="D77" s="480"/>
      <c r="E77" s="481"/>
      <c r="F77" s="495"/>
      <c r="G77" s="478"/>
      <c r="H77" s="495"/>
      <c r="I77" s="478"/>
      <c r="J77" s="478"/>
      <c r="K77" s="478"/>
      <c r="L77" s="500"/>
    </row>
    <row r="78" spans="1:12" x14ac:dyDescent="0.3">
      <c r="A78" s="483"/>
      <c r="B78" s="478"/>
      <c r="C78" s="479"/>
      <c r="D78" s="480"/>
      <c r="E78" s="481"/>
      <c r="F78" s="495"/>
      <c r="G78" s="478"/>
      <c r="H78" s="495"/>
      <c r="I78" s="478"/>
      <c r="J78" s="478"/>
      <c r="K78" s="478"/>
      <c r="L78" s="500"/>
    </row>
    <row r="79" spans="1:12" x14ac:dyDescent="0.3">
      <c r="A79" s="483"/>
      <c r="B79" s="478"/>
      <c r="C79" s="479"/>
      <c r="D79" s="480"/>
      <c r="E79" s="481"/>
      <c r="F79" s="495"/>
      <c r="G79" s="478"/>
      <c r="H79" s="495"/>
      <c r="I79" s="478"/>
      <c r="J79" s="478"/>
      <c r="K79" s="478"/>
      <c r="L79" s="500"/>
    </row>
    <row r="80" spans="1:12" x14ac:dyDescent="0.3">
      <c r="A80" s="483"/>
      <c r="B80" s="478"/>
      <c r="C80" s="479"/>
      <c r="D80" s="480"/>
      <c r="E80" s="481"/>
      <c r="F80" s="495"/>
      <c r="G80" s="478"/>
      <c r="H80" s="495"/>
      <c r="I80" s="478"/>
      <c r="J80" s="478"/>
      <c r="K80" s="478"/>
      <c r="L80" s="500"/>
    </row>
    <row r="81" spans="1:12" x14ac:dyDescent="0.3">
      <c r="A81" s="483"/>
      <c r="B81" s="478"/>
      <c r="C81" s="479"/>
      <c r="D81" s="480"/>
      <c r="E81" s="481"/>
      <c r="F81" s="495"/>
      <c r="G81" s="478"/>
      <c r="H81" s="495"/>
      <c r="I81" s="478"/>
      <c r="J81" s="478"/>
      <c r="K81" s="478"/>
      <c r="L81" s="500"/>
    </row>
    <row r="82" spans="1:12" x14ac:dyDescent="0.3">
      <c r="A82" s="483"/>
      <c r="B82" s="478"/>
      <c r="C82" s="479"/>
      <c r="D82" s="480"/>
      <c r="E82" s="481"/>
      <c r="F82" s="495"/>
      <c r="G82" s="478"/>
      <c r="H82" s="495"/>
      <c r="I82" s="478"/>
      <c r="J82" s="478"/>
      <c r="K82" s="478"/>
      <c r="L82" s="500"/>
    </row>
    <row r="83" spans="1:12" x14ac:dyDescent="0.3">
      <c r="A83" s="483"/>
      <c r="B83" s="478"/>
      <c r="C83" s="479"/>
      <c r="D83" s="480"/>
      <c r="E83" s="481"/>
      <c r="F83" s="495"/>
      <c r="G83" s="478"/>
      <c r="H83" s="495"/>
      <c r="I83" s="478"/>
      <c r="J83" s="478"/>
      <c r="K83" s="478"/>
      <c r="L83" s="500"/>
    </row>
    <row r="84" spans="1:12" x14ac:dyDescent="0.3">
      <c r="A84" s="483"/>
      <c r="B84" s="478"/>
      <c r="C84" s="479"/>
      <c r="D84" s="480"/>
      <c r="E84" s="481"/>
      <c r="F84" s="495"/>
      <c r="G84" s="478"/>
      <c r="H84" s="495"/>
      <c r="I84" s="478"/>
      <c r="J84" s="478"/>
      <c r="K84" s="478"/>
      <c r="L84" s="500"/>
    </row>
    <row r="85" spans="1:12" x14ac:dyDescent="0.3">
      <c r="A85" s="483"/>
      <c r="B85" s="478"/>
      <c r="C85" s="479"/>
      <c r="D85" s="480"/>
      <c r="E85" s="481"/>
      <c r="F85" s="495"/>
      <c r="G85" s="478"/>
      <c r="H85" s="495"/>
      <c r="I85" s="478"/>
      <c r="J85" s="478"/>
      <c r="K85" s="478"/>
      <c r="L85" s="500"/>
    </row>
    <row r="86" spans="1:12" x14ac:dyDescent="0.3">
      <c r="A86" s="483"/>
      <c r="B86" s="478"/>
      <c r="C86" s="479"/>
      <c r="D86" s="480"/>
      <c r="E86" s="481"/>
      <c r="F86" s="495"/>
      <c r="G86" s="478"/>
      <c r="H86" s="495"/>
      <c r="I86" s="478"/>
      <c r="J86" s="478"/>
      <c r="K86" s="478"/>
      <c r="L86" s="500"/>
    </row>
    <row r="87" spans="1:12" x14ac:dyDescent="0.3">
      <c r="A87" s="483"/>
      <c r="B87" s="478"/>
      <c r="C87" s="479"/>
      <c r="D87" s="480"/>
      <c r="E87" s="481"/>
      <c r="F87" s="495"/>
      <c r="G87" s="478"/>
      <c r="H87" s="495"/>
      <c r="I87" s="478"/>
      <c r="J87" s="478"/>
      <c r="K87" s="478"/>
      <c r="L87" s="500"/>
    </row>
    <row r="88" spans="1:12" x14ac:dyDescent="0.3">
      <c r="A88" s="483"/>
      <c r="B88" s="478"/>
      <c r="C88" s="479"/>
      <c r="D88" s="480"/>
      <c r="E88" s="481"/>
      <c r="F88" s="495"/>
      <c r="G88" s="478"/>
      <c r="H88" s="495"/>
      <c r="I88" s="478"/>
      <c r="J88" s="478"/>
      <c r="K88" s="478"/>
      <c r="L88" s="500"/>
    </row>
    <row r="89" spans="1:12" x14ac:dyDescent="0.3">
      <c r="A89" s="483"/>
      <c r="B89" s="478"/>
      <c r="C89" s="479"/>
      <c r="D89" s="480"/>
      <c r="E89" s="481"/>
      <c r="F89" s="495"/>
      <c r="G89" s="478"/>
      <c r="H89" s="495"/>
      <c r="I89" s="478"/>
      <c r="J89" s="478"/>
      <c r="K89" s="478"/>
      <c r="L89" s="500"/>
    </row>
    <row r="90" spans="1:12" x14ac:dyDescent="0.3">
      <c r="A90" s="483"/>
      <c r="B90" s="478"/>
      <c r="C90" s="479"/>
      <c r="D90" s="480"/>
      <c r="E90" s="481"/>
      <c r="F90" s="495"/>
      <c r="G90" s="478"/>
      <c r="H90" s="495"/>
      <c r="I90" s="478"/>
      <c r="J90" s="478"/>
      <c r="K90" s="478"/>
      <c r="L90" s="500"/>
    </row>
    <row r="91" spans="1:12" x14ac:dyDescent="0.3">
      <c r="A91" s="483"/>
      <c r="B91" s="478"/>
      <c r="C91" s="479"/>
      <c r="D91" s="480"/>
      <c r="E91" s="481"/>
      <c r="F91" s="495"/>
      <c r="G91" s="478"/>
      <c r="H91" s="495"/>
      <c r="I91" s="478"/>
      <c r="J91" s="478"/>
      <c r="K91" s="478"/>
      <c r="L91" s="500"/>
    </row>
    <row r="92" spans="1:12" x14ac:dyDescent="0.3">
      <c r="A92" s="483"/>
      <c r="B92" s="495"/>
      <c r="C92" s="495"/>
      <c r="D92" s="495"/>
      <c r="E92" s="495"/>
      <c r="F92" s="495"/>
      <c r="G92" s="478"/>
      <c r="H92" s="495"/>
      <c r="I92" s="478"/>
      <c r="J92" s="478"/>
      <c r="K92" s="478"/>
      <c r="L92" s="500"/>
    </row>
    <row r="93" spans="1:12" x14ac:dyDescent="0.3">
      <c r="A93" s="483"/>
      <c r="B93" s="495"/>
      <c r="C93" s="495"/>
      <c r="D93" s="495"/>
      <c r="E93" s="495"/>
      <c r="F93" s="495"/>
      <c r="G93" s="478"/>
      <c r="H93" s="495"/>
      <c r="I93" s="478"/>
      <c r="J93" s="478"/>
      <c r="K93" s="478"/>
      <c r="L93" s="500"/>
    </row>
    <row r="94" spans="1:12" x14ac:dyDescent="0.3">
      <c r="A94" s="483"/>
      <c r="B94" s="495"/>
      <c r="C94" s="495"/>
      <c r="D94" s="495"/>
      <c r="E94" s="495"/>
      <c r="F94" s="495"/>
      <c r="G94" s="478"/>
      <c r="H94" s="495"/>
      <c r="I94" s="478"/>
      <c r="J94" s="478"/>
      <c r="K94" s="478"/>
      <c r="L94" s="500"/>
    </row>
    <row r="95" spans="1:12" x14ac:dyDescent="0.3">
      <c r="A95" s="483"/>
      <c r="B95" s="495"/>
      <c r="C95" s="495"/>
      <c r="D95" s="495"/>
      <c r="E95" s="495"/>
      <c r="F95" s="495"/>
      <c r="G95" s="478"/>
      <c r="H95" s="495"/>
      <c r="I95" s="478"/>
      <c r="J95" s="478"/>
      <c r="K95" s="478"/>
      <c r="L95" s="500"/>
    </row>
    <row r="96" spans="1:12" x14ac:dyDescent="0.3">
      <c r="A96" s="483"/>
      <c r="B96" s="495"/>
      <c r="C96" s="495"/>
      <c r="D96" s="495"/>
      <c r="E96" s="495"/>
      <c r="F96" s="495"/>
      <c r="G96" s="478"/>
      <c r="H96" s="495"/>
      <c r="I96" s="478"/>
      <c r="J96" s="478"/>
      <c r="K96" s="478"/>
      <c r="L96" s="500"/>
    </row>
    <row r="97" spans="1:12" x14ac:dyDescent="0.3">
      <c r="A97" s="483"/>
      <c r="B97" s="495"/>
      <c r="C97" s="495"/>
      <c r="D97" s="495"/>
      <c r="E97" s="495"/>
      <c r="F97" s="495"/>
      <c r="G97" s="478"/>
      <c r="H97" s="495"/>
      <c r="I97" s="478"/>
      <c r="J97" s="478"/>
      <c r="K97" s="478"/>
      <c r="L97" s="500"/>
    </row>
    <row r="98" spans="1:12" x14ac:dyDescent="0.3">
      <c r="A98" s="483"/>
      <c r="B98" s="495"/>
      <c r="C98" s="495"/>
      <c r="D98" s="495"/>
      <c r="E98" s="495"/>
      <c r="F98" s="495"/>
      <c r="G98" s="478"/>
      <c r="H98" s="495"/>
      <c r="I98" s="478"/>
      <c r="J98" s="478"/>
      <c r="K98" s="478"/>
      <c r="L98" s="500"/>
    </row>
    <row r="99" spans="1:12" ht="15" thickBot="1" x14ac:dyDescent="0.35">
      <c r="A99" s="485"/>
      <c r="B99" s="501"/>
      <c r="C99" s="501"/>
      <c r="D99" s="501"/>
      <c r="E99" s="501"/>
      <c r="F99" s="501"/>
      <c r="G99" s="486"/>
      <c r="H99" s="501"/>
      <c r="I99" s="486"/>
      <c r="J99" s="486"/>
      <c r="K99" s="486"/>
      <c r="L99" s="502"/>
    </row>
  </sheetData>
  <mergeCells count="14">
    <mergeCell ref="A8:L8"/>
    <mergeCell ref="A5:B5"/>
    <mergeCell ref="C5:L5"/>
    <mergeCell ref="A6:B6"/>
    <mergeCell ref="C6:L6"/>
    <mergeCell ref="A7:B7"/>
    <mergeCell ref="C7:H7"/>
    <mergeCell ref="A1:L1"/>
    <mergeCell ref="A2:B2"/>
    <mergeCell ref="C2:L2"/>
    <mergeCell ref="A3:B3"/>
    <mergeCell ref="C3:L3"/>
    <mergeCell ref="A4:B4"/>
    <mergeCell ref="C4:L4"/>
  </mergeCells>
  <conditionalFormatting sqref="I1:I6">
    <cfRule type="containsText" dxfId="9" priority="3" operator="containsText" text="Closed">
      <formula>NOT(ISERROR(SEARCH("Closed",I1)))</formula>
    </cfRule>
    <cfRule type="containsText" dxfId="8" priority="4" operator="containsText" text="Open">
      <formula>NOT(ISERROR(SEARCH("Open",I1)))</formula>
    </cfRule>
  </conditionalFormatting>
  <conditionalFormatting sqref="I10:I1048576">
    <cfRule type="containsText" dxfId="7" priority="1" operator="containsText" text="Closed">
      <formula>NOT(ISERROR(SEARCH("Closed",I10)))</formula>
    </cfRule>
    <cfRule type="containsText" dxfId="6" priority="2" operator="containsText" text="Open">
      <formula>NOT(ISERROR(SEARCH("Open",I10)))</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BA69F-7028-4FCC-ABF9-5A91E4E95487}">
  <dimension ref="A1:J42"/>
  <sheetViews>
    <sheetView workbookViewId="0">
      <selection activeCell="F20" sqref="F20"/>
    </sheetView>
  </sheetViews>
  <sheetFormatPr defaultRowHeight="14.4" x14ac:dyDescent="0.3"/>
  <cols>
    <col min="1" max="1" width="8.88671875" style="471"/>
    <col min="2" max="2" width="32.5546875" style="471" bestFit="1" customWidth="1"/>
    <col min="3" max="3" width="22.21875" style="471" customWidth="1"/>
    <col min="4" max="4" width="21.21875" style="471" customWidth="1"/>
    <col min="5" max="5" width="19.77734375" style="471" customWidth="1"/>
    <col min="6" max="6" width="22.5546875" style="471" customWidth="1"/>
    <col min="7" max="7" width="15.44140625" style="471" customWidth="1"/>
    <col min="8" max="8" width="22.109375" style="471" customWidth="1"/>
    <col min="9" max="9" width="16" style="471" customWidth="1"/>
    <col min="10" max="16384" width="8.88671875" style="471"/>
  </cols>
  <sheetData>
    <row r="1" spans="1:10" ht="23.4" x14ac:dyDescent="0.3">
      <c r="A1" s="558" t="s">
        <v>803</v>
      </c>
      <c r="B1" s="559"/>
      <c r="C1" s="559"/>
      <c r="D1" s="559"/>
      <c r="E1" s="559"/>
      <c r="F1" s="559"/>
      <c r="G1" s="559"/>
      <c r="H1" s="559"/>
      <c r="I1" s="560"/>
    </row>
    <row r="2" spans="1:10" x14ac:dyDescent="0.3">
      <c r="A2" s="470" t="s">
        <v>750</v>
      </c>
      <c r="B2" s="469"/>
      <c r="C2" s="550" t="s">
        <v>751</v>
      </c>
      <c r="D2" s="550"/>
      <c r="E2" s="550"/>
      <c r="F2" s="550"/>
      <c r="G2" s="550"/>
      <c r="H2" s="550"/>
      <c r="I2" s="551"/>
    </row>
    <row r="3" spans="1:10" x14ac:dyDescent="0.3">
      <c r="A3" s="470" t="s">
        <v>752</v>
      </c>
      <c r="B3" s="469"/>
      <c r="C3" s="550" t="s">
        <v>753</v>
      </c>
      <c r="D3" s="550"/>
      <c r="E3" s="550"/>
      <c r="F3" s="550"/>
      <c r="G3" s="550"/>
      <c r="H3" s="550"/>
      <c r="I3" s="551"/>
    </row>
    <row r="4" spans="1:10" x14ac:dyDescent="0.3">
      <c r="A4" s="470" t="s">
        <v>754</v>
      </c>
      <c r="B4" s="469"/>
      <c r="C4" s="550" t="s">
        <v>755</v>
      </c>
      <c r="D4" s="550"/>
      <c r="E4" s="550"/>
      <c r="F4" s="550"/>
      <c r="G4" s="550"/>
      <c r="H4" s="550"/>
      <c r="I4" s="551"/>
    </row>
    <row r="5" spans="1:10" x14ac:dyDescent="0.3">
      <c r="A5" s="470" t="s">
        <v>241</v>
      </c>
      <c r="B5" s="469"/>
      <c r="C5" s="550" t="s">
        <v>755</v>
      </c>
      <c r="D5" s="550"/>
      <c r="E5" s="550"/>
      <c r="F5" s="550"/>
      <c r="G5" s="550"/>
      <c r="H5" s="550"/>
      <c r="I5" s="551"/>
    </row>
    <row r="6" spans="1:10" x14ac:dyDescent="0.3">
      <c r="A6" s="470" t="s">
        <v>756</v>
      </c>
      <c r="B6" s="469"/>
      <c r="C6" s="550" t="s">
        <v>757</v>
      </c>
      <c r="D6" s="550"/>
      <c r="E6" s="550"/>
      <c r="F6" s="550"/>
      <c r="G6" s="550" t="s">
        <v>758</v>
      </c>
      <c r="H6" s="550"/>
      <c r="I6" s="551"/>
    </row>
    <row r="7" spans="1:10" ht="15" thickBot="1" x14ac:dyDescent="0.35">
      <c r="A7" s="561" t="s">
        <v>759</v>
      </c>
      <c r="B7" s="562"/>
      <c r="C7" s="563" t="s">
        <v>784</v>
      </c>
      <c r="D7" s="564"/>
      <c r="E7" s="564"/>
      <c r="F7" s="519" t="s">
        <v>804</v>
      </c>
      <c r="G7" s="522">
        <v>45992</v>
      </c>
      <c r="H7" s="519" t="s">
        <v>805</v>
      </c>
      <c r="I7" s="523">
        <v>46019</v>
      </c>
      <c r="J7" s="471">
        <f>I7-G7</f>
        <v>27</v>
      </c>
    </row>
    <row r="8" spans="1:10" ht="28.8" x14ac:dyDescent="0.3">
      <c r="A8" s="524" t="s">
        <v>806</v>
      </c>
      <c r="B8" s="524" t="s">
        <v>807</v>
      </c>
      <c r="C8" s="524" t="s">
        <v>808</v>
      </c>
      <c r="D8" s="524" t="s">
        <v>809</v>
      </c>
      <c r="E8" s="524" t="s">
        <v>810</v>
      </c>
    </row>
    <row r="9" spans="1:10" x14ac:dyDescent="0.3">
      <c r="A9" s="525">
        <v>1</v>
      </c>
      <c r="B9" s="525" t="s">
        <v>811</v>
      </c>
      <c r="C9" s="472">
        <v>7670</v>
      </c>
      <c r="D9" s="472">
        <f>150*9</f>
        <v>1350</v>
      </c>
      <c r="E9" s="471">
        <f>C9+D9</f>
        <v>9020</v>
      </c>
    </row>
    <row r="10" spans="1:10" x14ac:dyDescent="0.3">
      <c r="A10" s="525">
        <v>2</v>
      </c>
      <c r="B10" s="525" t="s">
        <v>812</v>
      </c>
      <c r="C10" s="472">
        <v>20</v>
      </c>
      <c r="D10" s="472">
        <v>7</v>
      </c>
      <c r="E10" s="471">
        <f>C10+D10</f>
        <v>27</v>
      </c>
    </row>
    <row r="11" spans="1:10" ht="18" x14ac:dyDescent="0.3">
      <c r="A11" s="525">
        <v>3</v>
      </c>
      <c r="B11" s="506" t="s">
        <v>813</v>
      </c>
      <c r="C11" s="505">
        <v>32</v>
      </c>
      <c r="D11" s="505">
        <v>7</v>
      </c>
      <c r="E11" s="505">
        <f t="shared" ref="E11:E15" si="0">D11+C11</f>
        <v>39</v>
      </c>
    </row>
    <row r="12" spans="1:10" ht="18" x14ac:dyDescent="0.3">
      <c r="A12" s="525">
        <v>4</v>
      </c>
      <c r="B12" s="506" t="s">
        <v>814</v>
      </c>
      <c r="C12" s="505">
        <v>17</v>
      </c>
      <c r="D12" s="505">
        <v>2</v>
      </c>
      <c r="E12" s="505">
        <f t="shared" si="0"/>
        <v>19</v>
      </c>
    </row>
    <row r="13" spans="1:10" ht="18" x14ac:dyDescent="0.3">
      <c r="A13" s="525">
        <v>5</v>
      </c>
      <c r="B13" s="506" t="s">
        <v>815</v>
      </c>
      <c r="C13" s="505">
        <v>4</v>
      </c>
      <c r="D13" s="505">
        <v>0</v>
      </c>
      <c r="E13" s="505">
        <f t="shared" si="0"/>
        <v>4</v>
      </c>
    </row>
    <row r="14" spans="1:10" ht="18" x14ac:dyDescent="0.3">
      <c r="A14" s="525">
        <v>6</v>
      </c>
      <c r="B14" s="506" t="s">
        <v>816</v>
      </c>
      <c r="C14" s="505">
        <v>1</v>
      </c>
      <c r="D14" s="505">
        <v>0</v>
      </c>
      <c r="E14" s="505">
        <f t="shared" si="0"/>
        <v>1</v>
      </c>
    </row>
    <row r="15" spans="1:10" ht="18" x14ac:dyDescent="0.3">
      <c r="A15" s="525">
        <v>7</v>
      </c>
      <c r="B15" s="506" t="s">
        <v>817</v>
      </c>
      <c r="C15" s="505">
        <v>91</v>
      </c>
      <c r="D15" s="505">
        <v>5</v>
      </c>
      <c r="E15" s="505">
        <f t="shared" si="0"/>
        <v>96</v>
      </c>
    </row>
    <row r="16" spans="1:10" ht="18" x14ac:dyDescent="0.3">
      <c r="A16" s="525">
        <v>8</v>
      </c>
      <c r="B16" s="506" t="s">
        <v>818</v>
      </c>
      <c r="C16" s="505">
        <v>2</v>
      </c>
      <c r="D16" s="505">
        <v>0</v>
      </c>
      <c r="E16" s="505">
        <f>D16+C16</f>
        <v>2</v>
      </c>
    </row>
    <row r="17" spans="1:5" ht="18" x14ac:dyDescent="0.3">
      <c r="A17" s="525">
        <v>9</v>
      </c>
      <c r="B17" s="506" t="s">
        <v>819</v>
      </c>
      <c r="C17" s="505">
        <v>0</v>
      </c>
      <c r="D17" s="505">
        <v>0</v>
      </c>
      <c r="E17" s="505">
        <f t="shared" ref="E17" si="1">D17+C17</f>
        <v>0</v>
      </c>
    </row>
    <row r="18" spans="1:5" ht="18" x14ac:dyDescent="0.3">
      <c r="A18" s="525">
        <v>10</v>
      </c>
      <c r="B18" s="506" t="s">
        <v>820</v>
      </c>
      <c r="C18" s="505">
        <v>0</v>
      </c>
      <c r="D18" s="505">
        <v>0</v>
      </c>
      <c r="E18" s="505">
        <f>D18+C18</f>
        <v>0</v>
      </c>
    </row>
    <row r="19" spans="1:5" ht="18" x14ac:dyDescent="0.3">
      <c r="A19" s="525">
        <v>11</v>
      </c>
      <c r="B19" s="506" t="s">
        <v>798</v>
      </c>
      <c r="C19" s="505">
        <v>2</v>
      </c>
      <c r="D19" s="505">
        <v>0</v>
      </c>
      <c r="E19" s="505">
        <f>D19+C19</f>
        <v>2</v>
      </c>
    </row>
    <row r="28" spans="1:5" ht="36" x14ac:dyDescent="0.3">
      <c r="A28" s="504" t="s">
        <v>806</v>
      </c>
      <c r="B28" s="504" t="s">
        <v>807</v>
      </c>
      <c r="C28" s="504" t="s">
        <v>808</v>
      </c>
      <c r="D28" s="504" t="s">
        <v>809</v>
      </c>
      <c r="E28" s="504" t="s">
        <v>810</v>
      </c>
    </row>
    <row r="29" spans="1:5" ht="18" x14ac:dyDescent="0.3">
      <c r="A29" s="505">
        <v>1</v>
      </c>
      <c r="B29" s="506" t="s">
        <v>811</v>
      </c>
      <c r="C29" s="505">
        <v>76704</v>
      </c>
      <c r="D29" s="505">
        <f>649*8</f>
        <v>5192</v>
      </c>
      <c r="E29" s="505">
        <f>D29+C29</f>
        <v>81896</v>
      </c>
    </row>
    <row r="30" spans="1:5" ht="18" x14ac:dyDescent="0.3">
      <c r="A30" s="505">
        <v>2</v>
      </c>
      <c r="B30" s="506" t="s">
        <v>812</v>
      </c>
      <c r="C30" s="505">
        <v>140</v>
      </c>
      <c r="D30" s="505">
        <v>7</v>
      </c>
      <c r="E30" s="505">
        <f t="shared" ref="E30:E37" si="2">D30+C30</f>
        <v>147</v>
      </c>
    </row>
    <row r="31" spans="1:5" ht="18" x14ac:dyDescent="0.3">
      <c r="A31" s="505">
        <v>3</v>
      </c>
      <c r="B31" s="506" t="s">
        <v>813</v>
      </c>
      <c r="C31" s="505">
        <v>32</v>
      </c>
      <c r="D31" s="505">
        <v>2</v>
      </c>
      <c r="E31" s="505">
        <f t="shared" si="2"/>
        <v>34</v>
      </c>
    </row>
    <row r="32" spans="1:5" ht="18" x14ac:dyDescent="0.3">
      <c r="A32" s="505">
        <v>4</v>
      </c>
      <c r="B32" s="506" t="s">
        <v>814</v>
      </c>
      <c r="C32" s="505">
        <v>17</v>
      </c>
      <c r="D32" s="505">
        <v>0</v>
      </c>
      <c r="E32" s="505">
        <f t="shared" si="2"/>
        <v>17</v>
      </c>
    </row>
    <row r="33" spans="1:5" ht="18" x14ac:dyDescent="0.3">
      <c r="A33" s="505">
        <v>5</v>
      </c>
      <c r="B33" s="506" t="s">
        <v>815</v>
      </c>
      <c r="C33" s="505">
        <v>4</v>
      </c>
      <c r="D33" s="505">
        <v>0</v>
      </c>
      <c r="E33" s="505">
        <f t="shared" si="2"/>
        <v>4</v>
      </c>
    </row>
    <row r="34" spans="1:5" ht="18" x14ac:dyDescent="0.3">
      <c r="A34" s="505">
        <v>6</v>
      </c>
      <c r="B34" s="506" t="s">
        <v>816</v>
      </c>
      <c r="C34" s="505">
        <v>0</v>
      </c>
      <c r="D34" s="505">
        <v>0</v>
      </c>
      <c r="E34" s="505">
        <f t="shared" si="2"/>
        <v>0</v>
      </c>
    </row>
    <row r="35" spans="1:5" ht="18" x14ac:dyDescent="0.3">
      <c r="A35" s="505">
        <v>7</v>
      </c>
      <c r="B35" s="506" t="s">
        <v>817</v>
      </c>
      <c r="C35" s="505">
        <v>91</v>
      </c>
      <c r="D35" s="505">
        <v>5</v>
      </c>
      <c r="E35" s="505">
        <f t="shared" si="2"/>
        <v>96</v>
      </c>
    </row>
    <row r="36" spans="1:5" ht="18" x14ac:dyDescent="0.3">
      <c r="A36" s="505">
        <v>8</v>
      </c>
      <c r="B36" s="506" t="s">
        <v>818</v>
      </c>
      <c r="C36" s="505">
        <v>2</v>
      </c>
      <c r="D36" s="505">
        <v>0</v>
      </c>
      <c r="E36" s="505">
        <f>D36+C36</f>
        <v>2</v>
      </c>
    </row>
    <row r="37" spans="1:5" ht="18" x14ac:dyDescent="0.3">
      <c r="A37" s="505">
        <v>9</v>
      </c>
      <c r="B37" s="506" t="s">
        <v>819</v>
      </c>
      <c r="C37" s="505">
        <v>0</v>
      </c>
      <c r="D37" s="505">
        <v>0</v>
      </c>
      <c r="E37" s="505">
        <f t="shared" si="2"/>
        <v>0</v>
      </c>
    </row>
    <row r="38" spans="1:5" ht="18" x14ac:dyDescent="0.3">
      <c r="A38" s="505">
        <v>10</v>
      </c>
      <c r="B38" s="506" t="s">
        <v>820</v>
      </c>
      <c r="C38" s="505">
        <v>0</v>
      </c>
      <c r="D38" s="505">
        <v>0</v>
      </c>
      <c r="E38" s="505">
        <f>D38+C38</f>
        <v>0</v>
      </c>
    </row>
    <row r="39" spans="1:5" ht="18" x14ac:dyDescent="0.3">
      <c r="A39" s="505">
        <v>11</v>
      </c>
      <c r="B39" s="506" t="s">
        <v>798</v>
      </c>
      <c r="C39" s="505">
        <v>2</v>
      </c>
      <c r="D39" s="505">
        <v>0</v>
      </c>
      <c r="E39" s="505">
        <f>D39+C39</f>
        <v>2</v>
      </c>
    </row>
    <row r="42" spans="1:5" ht="36" x14ac:dyDescent="0.3">
      <c r="A42" s="504" t="s">
        <v>806</v>
      </c>
      <c r="B42" s="504" t="s">
        <v>807</v>
      </c>
      <c r="C42" s="504" t="s">
        <v>808</v>
      </c>
      <c r="D42" s="504" t="s">
        <v>809</v>
      </c>
      <c r="E42" s="504" t="s">
        <v>810</v>
      </c>
    </row>
  </sheetData>
  <mergeCells count="13">
    <mergeCell ref="A5:B5"/>
    <mergeCell ref="C5:I5"/>
    <mergeCell ref="A6:B6"/>
    <mergeCell ref="C6:I6"/>
    <mergeCell ref="A7:B7"/>
    <mergeCell ref="C7:E7"/>
    <mergeCell ref="A1:I1"/>
    <mergeCell ref="A2:B2"/>
    <mergeCell ref="C2:I2"/>
    <mergeCell ref="A3:B3"/>
    <mergeCell ref="C3:I3"/>
    <mergeCell ref="A4:B4"/>
    <mergeCell ref="C4:I4"/>
  </mergeCells>
  <conditionalFormatting sqref="F1:F6">
    <cfRule type="containsText" dxfId="5" priority="1" operator="containsText" text="Closed">
      <formula>NOT(ISERROR(SEARCH("Closed",F1)))</formula>
    </cfRule>
    <cfRule type="containsText" dxfId="4" priority="2" operator="containsText" text="Open">
      <formula>NOT(ISERROR(SEARCH("Open",F1)))</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CD320-577C-4743-9288-0A3F9C3CC0C1}">
  <dimension ref="A1:K36"/>
  <sheetViews>
    <sheetView workbookViewId="0">
      <selection activeCell="P22" sqref="P22"/>
    </sheetView>
  </sheetViews>
  <sheetFormatPr defaultRowHeight="14.4" x14ac:dyDescent="0.3"/>
  <cols>
    <col min="1" max="1" width="14.44140625" style="471" customWidth="1"/>
    <col min="2" max="2" width="9.21875" style="471" customWidth="1"/>
    <col min="3" max="3" width="5.21875" style="471" customWidth="1"/>
    <col min="4" max="16384" width="8.88671875" style="471"/>
  </cols>
  <sheetData>
    <row r="1" spans="1:11" x14ac:dyDescent="0.3">
      <c r="A1" s="569" t="s">
        <v>821</v>
      </c>
      <c r="B1" s="570"/>
      <c r="C1" s="570"/>
      <c r="D1" s="570"/>
      <c r="E1" s="570"/>
      <c r="F1" s="570"/>
      <c r="G1" s="570"/>
      <c r="H1" s="570"/>
      <c r="I1" s="570"/>
      <c r="J1" s="570"/>
      <c r="K1" s="571"/>
    </row>
    <row r="2" spans="1:11" x14ac:dyDescent="0.3">
      <c r="A2" s="572" t="s">
        <v>750</v>
      </c>
      <c r="B2" s="573"/>
      <c r="C2" s="574" t="s">
        <v>751</v>
      </c>
      <c r="D2" s="574"/>
      <c r="E2" s="574"/>
      <c r="F2" s="574"/>
      <c r="G2" s="574"/>
      <c r="H2" s="574"/>
      <c r="I2" s="574"/>
      <c r="J2" s="574"/>
      <c r="K2" s="575"/>
    </row>
    <row r="3" spans="1:11" x14ac:dyDescent="0.3">
      <c r="A3" s="572" t="s">
        <v>752</v>
      </c>
      <c r="B3" s="573"/>
      <c r="C3" s="574" t="s">
        <v>753</v>
      </c>
      <c r="D3" s="574"/>
      <c r="E3" s="574"/>
      <c r="F3" s="574"/>
      <c r="G3" s="574"/>
      <c r="H3" s="574"/>
      <c r="I3" s="574"/>
      <c r="J3" s="574"/>
      <c r="K3" s="575"/>
    </row>
    <row r="4" spans="1:11" x14ac:dyDescent="0.3">
      <c r="A4" s="572" t="s">
        <v>754</v>
      </c>
      <c r="B4" s="573"/>
      <c r="C4" s="574" t="s">
        <v>755</v>
      </c>
      <c r="D4" s="574"/>
      <c r="E4" s="574"/>
      <c r="F4" s="574"/>
      <c r="G4" s="574"/>
      <c r="H4" s="574"/>
      <c r="I4" s="574"/>
      <c r="J4" s="574"/>
      <c r="K4" s="575"/>
    </row>
    <row r="5" spans="1:11" x14ac:dyDescent="0.3">
      <c r="A5" s="572" t="s">
        <v>241</v>
      </c>
      <c r="B5" s="573"/>
      <c r="C5" s="574" t="s">
        <v>755</v>
      </c>
      <c r="D5" s="574"/>
      <c r="E5" s="574"/>
      <c r="F5" s="574"/>
      <c r="G5" s="574"/>
      <c r="H5" s="574"/>
      <c r="I5" s="574"/>
      <c r="J5" s="574"/>
      <c r="K5" s="575"/>
    </row>
    <row r="6" spans="1:11" x14ac:dyDescent="0.3">
      <c r="A6" s="572" t="s">
        <v>756</v>
      </c>
      <c r="B6" s="573"/>
      <c r="C6" s="574" t="s">
        <v>757</v>
      </c>
      <c r="D6" s="574"/>
      <c r="E6" s="574"/>
      <c r="F6" s="574"/>
      <c r="G6" s="574"/>
      <c r="H6" s="574"/>
      <c r="I6" s="574"/>
      <c r="J6" s="574" t="s">
        <v>758</v>
      </c>
      <c r="K6" s="575"/>
    </row>
    <row r="7" spans="1:11" ht="15" thickBot="1" x14ac:dyDescent="0.35">
      <c r="A7" s="576" t="s">
        <v>822</v>
      </c>
      <c r="B7" s="577"/>
      <c r="C7" s="578" t="s">
        <v>823</v>
      </c>
      <c r="D7" s="579"/>
      <c r="E7" s="579"/>
      <c r="F7" s="579"/>
      <c r="G7" s="579"/>
      <c r="H7" s="579"/>
      <c r="I7" s="579"/>
      <c r="J7" s="579"/>
      <c r="K7" s="580"/>
    </row>
    <row r="8" spans="1:11" x14ac:dyDescent="0.3">
      <c r="A8" s="581" t="s">
        <v>824</v>
      </c>
      <c r="B8" s="582"/>
      <c r="C8" s="582"/>
      <c r="D8" s="582"/>
      <c r="E8" s="582"/>
      <c r="F8" s="582"/>
      <c r="G8" s="582"/>
      <c r="H8" s="582"/>
      <c r="I8" s="582"/>
      <c r="J8" s="582"/>
      <c r="K8" s="583"/>
    </row>
    <row r="9" spans="1:11" x14ac:dyDescent="0.3">
      <c r="A9" s="584" t="s">
        <v>825</v>
      </c>
      <c r="B9" s="585"/>
      <c r="C9" s="586" t="s">
        <v>826</v>
      </c>
      <c r="D9" s="587"/>
      <c r="E9" s="587"/>
      <c r="F9" s="587"/>
      <c r="G9" s="587"/>
      <c r="H9" s="587"/>
      <c r="I9" s="587"/>
      <c r="J9" s="587"/>
      <c r="K9" s="588"/>
    </row>
    <row r="10" spans="1:11" x14ac:dyDescent="0.3">
      <c r="A10" s="584" t="s">
        <v>827</v>
      </c>
      <c r="B10" s="585"/>
      <c r="C10" s="589" t="s">
        <v>828</v>
      </c>
      <c r="D10" s="589"/>
      <c r="E10" s="589"/>
      <c r="F10" s="589"/>
      <c r="G10" s="589"/>
      <c r="H10" s="589"/>
      <c r="I10" s="589"/>
      <c r="J10" s="589"/>
      <c r="K10" s="590"/>
    </row>
    <row r="11" spans="1:11" x14ac:dyDescent="0.3">
      <c r="A11" s="584" t="s">
        <v>202</v>
      </c>
      <c r="B11" s="585"/>
      <c r="C11" s="591" t="s">
        <v>829</v>
      </c>
      <c r="D11" s="591"/>
      <c r="E11" s="591"/>
      <c r="F11" s="589"/>
      <c r="G11" s="589"/>
      <c r="H11" s="591"/>
      <c r="I11" s="589"/>
      <c r="J11" s="589"/>
      <c r="K11" s="590"/>
    </row>
    <row r="12" spans="1:11" x14ac:dyDescent="0.3">
      <c r="A12" s="584" t="s">
        <v>830</v>
      </c>
      <c r="B12" s="592"/>
      <c r="C12" s="593" t="b">
        <v>0</v>
      </c>
      <c r="D12" s="510" t="s">
        <v>831</v>
      </c>
      <c r="E12" s="511"/>
      <c r="F12" s="593" t="b">
        <v>0</v>
      </c>
      <c r="G12" s="510" t="s">
        <v>712</v>
      </c>
      <c r="H12" s="511"/>
      <c r="I12" s="593" t="b">
        <v>0</v>
      </c>
      <c r="J12" s="594" t="s">
        <v>699</v>
      </c>
      <c r="K12" s="595"/>
    </row>
    <row r="13" spans="1:11" x14ac:dyDescent="0.3">
      <c r="A13" s="584" t="s">
        <v>832</v>
      </c>
      <c r="B13" s="585"/>
      <c r="C13" s="596" t="s">
        <v>833</v>
      </c>
      <c r="D13" s="597"/>
      <c r="E13" s="597"/>
      <c r="F13" s="597"/>
      <c r="G13" s="597"/>
      <c r="H13" s="597"/>
      <c r="I13" s="597"/>
      <c r="J13" s="597"/>
      <c r="K13" s="598"/>
    </row>
    <row r="14" spans="1:11" ht="15" thickBot="1" x14ac:dyDescent="0.35">
      <c r="A14" s="512"/>
      <c r="B14" s="507"/>
      <c r="C14" s="507"/>
      <c r="D14" s="507"/>
      <c r="E14" s="507"/>
      <c r="F14" s="507"/>
      <c r="G14" s="507"/>
      <c r="H14" s="507"/>
      <c r="I14" s="507"/>
      <c r="J14" s="507"/>
      <c r="K14" s="509"/>
    </row>
    <row r="15" spans="1:11" x14ac:dyDescent="0.3">
      <c r="A15" s="599" t="s">
        <v>834</v>
      </c>
      <c r="B15" s="600"/>
      <c r="C15" s="600"/>
      <c r="D15" s="600"/>
      <c r="E15" s="600"/>
      <c r="F15" s="600"/>
      <c r="G15" s="600"/>
      <c r="H15" s="600"/>
      <c r="I15" s="600"/>
      <c r="J15" s="600"/>
      <c r="K15" s="601"/>
    </row>
    <row r="16" spans="1:11" x14ac:dyDescent="0.3">
      <c r="A16" s="602" t="s">
        <v>835</v>
      </c>
      <c r="B16" s="603"/>
      <c r="C16" s="603" t="s">
        <v>836</v>
      </c>
      <c r="D16" s="603"/>
      <c r="E16" s="603"/>
      <c r="F16" s="603"/>
      <c r="G16" s="603"/>
      <c r="H16" s="603"/>
      <c r="I16" s="603"/>
      <c r="J16" s="603"/>
      <c r="K16" s="604"/>
    </row>
    <row r="17" spans="1:11" ht="15" thickBot="1" x14ac:dyDescent="0.35">
      <c r="A17" s="602" t="s">
        <v>837</v>
      </c>
      <c r="B17" s="603"/>
      <c r="C17" s="603" t="s">
        <v>838</v>
      </c>
      <c r="D17" s="603"/>
      <c r="E17" s="603"/>
      <c r="F17" s="603"/>
      <c r="G17" s="603"/>
      <c r="H17" s="603"/>
      <c r="I17" s="603"/>
      <c r="J17" s="603"/>
      <c r="K17" s="604"/>
    </row>
    <row r="18" spans="1:11" x14ac:dyDescent="0.3">
      <c r="A18" s="599" t="s">
        <v>839</v>
      </c>
      <c r="B18" s="600"/>
      <c r="C18" s="600"/>
      <c r="D18" s="600"/>
      <c r="E18" s="600"/>
      <c r="F18" s="600"/>
      <c r="G18" s="600"/>
      <c r="H18" s="600"/>
      <c r="I18" s="600"/>
      <c r="J18" s="600"/>
      <c r="K18" s="601"/>
    </row>
    <row r="19" spans="1:11" ht="19.05" customHeight="1" x14ac:dyDescent="0.3">
      <c r="A19" s="602" t="s">
        <v>840</v>
      </c>
      <c r="B19" s="603"/>
      <c r="C19" s="603" t="s">
        <v>841</v>
      </c>
      <c r="D19" s="603"/>
      <c r="E19" s="603"/>
      <c r="F19" s="603"/>
      <c r="G19" s="603"/>
      <c r="H19" s="603"/>
      <c r="I19" s="603"/>
      <c r="J19" s="603"/>
      <c r="K19" s="604"/>
    </row>
    <row r="20" spans="1:11" x14ac:dyDescent="0.3">
      <c r="A20" s="602" t="s">
        <v>842</v>
      </c>
      <c r="B20" s="603"/>
      <c r="C20" s="603" t="s">
        <v>843</v>
      </c>
      <c r="D20" s="603"/>
      <c r="E20" s="603"/>
      <c r="F20" s="603"/>
      <c r="G20" s="603"/>
      <c r="H20" s="603"/>
      <c r="I20" s="603"/>
      <c r="J20" s="603"/>
      <c r="K20" s="604"/>
    </row>
    <row r="21" spans="1:11" x14ac:dyDescent="0.3">
      <c r="A21" s="602" t="s">
        <v>279</v>
      </c>
      <c r="B21" s="603"/>
      <c r="C21" s="603" t="s">
        <v>844</v>
      </c>
      <c r="D21" s="603"/>
      <c r="E21" s="603"/>
      <c r="F21" s="603"/>
      <c r="G21" s="603"/>
      <c r="H21" s="603"/>
      <c r="I21" s="603"/>
      <c r="J21" s="603"/>
      <c r="K21" s="604"/>
    </row>
    <row r="22" spans="1:11" ht="15" thickBot="1" x14ac:dyDescent="0.35">
      <c r="A22" s="602" t="s">
        <v>845</v>
      </c>
      <c r="B22" s="603"/>
      <c r="C22" s="603" t="s">
        <v>846</v>
      </c>
      <c r="D22" s="603"/>
      <c r="E22" s="603"/>
      <c r="F22" s="603"/>
      <c r="G22" s="603"/>
      <c r="H22" s="603"/>
      <c r="I22" s="603"/>
      <c r="J22" s="603"/>
      <c r="K22" s="604"/>
    </row>
    <row r="23" spans="1:11" x14ac:dyDescent="0.3">
      <c r="A23" s="599" t="s">
        <v>847</v>
      </c>
      <c r="B23" s="600"/>
      <c r="C23" s="600"/>
      <c r="D23" s="600"/>
      <c r="E23" s="600"/>
      <c r="F23" s="600"/>
      <c r="G23" s="600"/>
      <c r="H23" s="600"/>
      <c r="I23" s="600"/>
      <c r="J23" s="600"/>
      <c r="K23" s="601"/>
    </row>
    <row r="24" spans="1:11" x14ac:dyDescent="0.3">
      <c r="A24" s="605" t="s">
        <v>771</v>
      </c>
      <c r="B24" s="606"/>
      <c r="C24" s="606" t="s">
        <v>848</v>
      </c>
      <c r="D24" s="606"/>
      <c r="E24" s="606"/>
      <c r="F24" s="606"/>
      <c r="G24" s="606"/>
      <c r="H24" s="606"/>
      <c r="I24" s="606"/>
      <c r="J24" s="606"/>
      <c r="K24" s="607"/>
    </row>
    <row r="25" spans="1:11" ht="15" thickBot="1" x14ac:dyDescent="0.35">
      <c r="A25" s="605" t="s">
        <v>772</v>
      </c>
      <c r="B25" s="606"/>
      <c r="C25" s="606" t="s">
        <v>849</v>
      </c>
      <c r="D25" s="606"/>
      <c r="E25" s="606"/>
      <c r="F25" s="606"/>
      <c r="G25" s="606"/>
      <c r="H25" s="606"/>
      <c r="I25" s="606"/>
      <c r="J25" s="606"/>
      <c r="K25" s="607"/>
    </row>
    <row r="26" spans="1:11" x14ac:dyDescent="0.3">
      <c r="A26" s="599" t="s">
        <v>850</v>
      </c>
      <c r="B26" s="600"/>
      <c r="C26" s="600"/>
      <c r="D26" s="600"/>
      <c r="E26" s="600"/>
      <c r="F26" s="600"/>
      <c r="G26" s="600"/>
      <c r="H26" s="600"/>
      <c r="I26" s="600"/>
      <c r="J26" s="600"/>
      <c r="K26" s="601"/>
    </row>
    <row r="27" spans="1:11" x14ac:dyDescent="0.3">
      <c r="A27" s="608" t="s">
        <v>851</v>
      </c>
      <c r="B27" s="609"/>
      <c r="C27" s="609" t="s">
        <v>846</v>
      </c>
      <c r="D27" s="609"/>
      <c r="E27" s="609"/>
      <c r="F27" s="609"/>
      <c r="G27" s="609"/>
      <c r="H27" s="609"/>
      <c r="I27" s="609"/>
      <c r="J27" s="609"/>
      <c r="K27" s="610"/>
    </row>
    <row r="28" spans="1:11" x14ac:dyDescent="0.3">
      <c r="A28" s="605" t="s">
        <v>211</v>
      </c>
      <c r="B28" s="606"/>
      <c r="C28" s="611" t="b">
        <v>0</v>
      </c>
      <c r="D28" s="507" t="s">
        <v>252</v>
      </c>
      <c r="E28" s="507"/>
      <c r="F28" s="507"/>
      <c r="G28" s="507"/>
      <c r="H28" s="507"/>
      <c r="I28" s="507"/>
      <c r="J28" s="507"/>
      <c r="K28" s="509"/>
    </row>
    <row r="29" spans="1:11" x14ac:dyDescent="0.3">
      <c r="A29" s="605"/>
      <c r="B29" s="606"/>
      <c r="C29" s="611" t="b">
        <v>0</v>
      </c>
      <c r="D29" s="507" t="s">
        <v>338</v>
      </c>
      <c r="E29" s="507"/>
      <c r="F29" s="507"/>
      <c r="G29" s="507"/>
      <c r="H29" s="507"/>
      <c r="I29" s="507"/>
      <c r="J29" s="507"/>
      <c r="K29" s="509"/>
    </row>
    <row r="30" spans="1:11" x14ac:dyDescent="0.3">
      <c r="A30" s="605"/>
      <c r="B30" s="606"/>
      <c r="C30" s="611" t="b">
        <v>0</v>
      </c>
      <c r="D30" s="507" t="s">
        <v>777</v>
      </c>
      <c r="E30" s="507"/>
      <c r="F30" s="507"/>
      <c r="G30" s="507"/>
      <c r="H30" s="507"/>
      <c r="I30" s="507"/>
      <c r="J30" s="507"/>
      <c r="K30" s="509"/>
    </row>
    <row r="31" spans="1:11" x14ac:dyDescent="0.3">
      <c r="A31" s="605" t="s">
        <v>852</v>
      </c>
      <c r="B31" s="606"/>
      <c r="C31" s="609" t="s">
        <v>853</v>
      </c>
      <c r="D31" s="609"/>
      <c r="E31" s="609"/>
      <c r="F31" s="609"/>
      <c r="G31" s="609"/>
      <c r="H31" s="609"/>
      <c r="I31" s="609"/>
      <c r="J31" s="609"/>
      <c r="K31" s="610"/>
    </row>
    <row r="32" spans="1:11" x14ac:dyDescent="0.3">
      <c r="A32" s="605"/>
      <c r="B32" s="606"/>
      <c r="C32" s="609" t="s">
        <v>854</v>
      </c>
      <c r="D32" s="609"/>
      <c r="E32" s="609"/>
      <c r="F32" s="609"/>
      <c r="G32" s="609"/>
      <c r="H32" s="609"/>
      <c r="I32" s="609"/>
      <c r="J32" s="609"/>
      <c r="K32" s="610"/>
    </row>
    <row r="33" spans="1:11" x14ac:dyDescent="0.3">
      <c r="A33" s="605" t="s">
        <v>855</v>
      </c>
      <c r="B33" s="606"/>
      <c r="C33" s="609" t="s">
        <v>853</v>
      </c>
      <c r="D33" s="609"/>
      <c r="E33" s="609"/>
      <c r="F33" s="609"/>
      <c r="G33" s="609"/>
      <c r="H33" s="609"/>
      <c r="I33" s="609"/>
      <c r="J33" s="609"/>
      <c r="K33" s="610"/>
    </row>
    <row r="34" spans="1:11" x14ac:dyDescent="0.3">
      <c r="A34" s="605"/>
      <c r="B34" s="606"/>
      <c r="C34" s="609" t="s">
        <v>856</v>
      </c>
      <c r="D34" s="609"/>
      <c r="E34" s="609"/>
      <c r="F34" s="609"/>
      <c r="G34" s="609"/>
      <c r="H34" s="609"/>
      <c r="I34" s="609"/>
      <c r="J34" s="609"/>
      <c r="K34" s="610"/>
    </row>
    <row r="35" spans="1:11" x14ac:dyDescent="0.3">
      <c r="A35" s="605" t="s">
        <v>857</v>
      </c>
      <c r="B35" s="606"/>
      <c r="C35" s="609" t="s">
        <v>853</v>
      </c>
      <c r="D35" s="609"/>
      <c r="E35" s="609"/>
      <c r="F35" s="609"/>
      <c r="G35" s="609"/>
      <c r="H35" s="609"/>
      <c r="I35" s="609"/>
      <c r="J35" s="609"/>
      <c r="K35" s="610"/>
    </row>
    <row r="36" spans="1:11" ht="15" thickBot="1" x14ac:dyDescent="0.35">
      <c r="A36" s="612"/>
      <c r="B36" s="613"/>
      <c r="C36" s="614" t="s">
        <v>858</v>
      </c>
      <c r="D36" s="614"/>
      <c r="E36" s="614"/>
      <c r="F36" s="614"/>
      <c r="G36" s="614"/>
      <c r="H36" s="614"/>
      <c r="I36" s="614"/>
      <c r="J36" s="614"/>
      <c r="K36" s="615"/>
    </row>
  </sheetData>
  <mergeCells count="56">
    <mergeCell ref="A35:B36"/>
    <mergeCell ref="C35:K35"/>
    <mergeCell ref="C36:K36"/>
    <mergeCell ref="A31:B32"/>
    <mergeCell ref="C31:K31"/>
    <mergeCell ref="C32:K32"/>
    <mergeCell ref="A33:B34"/>
    <mergeCell ref="C33:K33"/>
    <mergeCell ref="C34:K34"/>
    <mergeCell ref="A25:B25"/>
    <mergeCell ref="C25:K25"/>
    <mergeCell ref="A26:K26"/>
    <mergeCell ref="A27:B27"/>
    <mergeCell ref="C27:K27"/>
    <mergeCell ref="A28:B30"/>
    <mergeCell ref="A21:B21"/>
    <mergeCell ref="C21:K21"/>
    <mergeCell ref="A22:B22"/>
    <mergeCell ref="C22:K22"/>
    <mergeCell ref="A23:K23"/>
    <mergeCell ref="A24:B24"/>
    <mergeCell ref="C24:K24"/>
    <mergeCell ref="A17:B17"/>
    <mergeCell ref="C17:K17"/>
    <mergeCell ref="A18:K18"/>
    <mergeCell ref="A19:B19"/>
    <mergeCell ref="C19:K19"/>
    <mergeCell ref="A20:B20"/>
    <mergeCell ref="C20:K20"/>
    <mergeCell ref="A12:B12"/>
    <mergeCell ref="J12:K12"/>
    <mergeCell ref="A13:B13"/>
    <mergeCell ref="C13:K13"/>
    <mergeCell ref="A15:K15"/>
    <mergeCell ref="A16:B16"/>
    <mergeCell ref="C16:K16"/>
    <mergeCell ref="A8:K8"/>
    <mergeCell ref="A9:B9"/>
    <mergeCell ref="C9:K9"/>
    <mergeCell ref="A10:B10"/>
    <mergeCell ref="C10:K10"/>
    <mergeCell ref="A11:B11"/>
    <mergeCell ref="C11:K11"/>
    <mergeCell ref="A5:B5"/>
    <mergeCell ref="C5:K5"/>
    <mergeCell ref="A6:B6"/>
    <mergeCell ref="C6:K6"/>
    <mergeCell ref="A7:B7"/>
    <mergeCell ref="C7:K7"/>
    <mergeCell ref="A1:K1"/>
    <mergeCell ref="A2:B2"/>
    <mergeCell ref="C2:K2"/>
    <mergeCell ref="A3:B3"/>
    <mergeCell ref="C3:K3"/>
    <mergeCell ref="A4:B4"/>
    <mergeCell ref="C4:K4"/>
  </mergeCells>
  <conditionalFormatting sqref="I1:I6">
    <cfRule type="containsText" dxfId="3" priority="1" operator="containsText" text="Closed">
      <formula>NOT(ISERROR(SEARCH("Closed",I1)))</formula>
    </cfRule>
    <cfRule type="containsText" dxfId="2" priority="2" operator="containsText" text="Open">
      <formula>NOT(ISERROR(SEARCH("Open",I1)))</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51C24-8FB5-4B45-9148-7A695F79F5E7}">
  <dimension ref="A1:L41"/>
  <sheetViews>
    <sheetView workbookViewId="0">
      <selection activeCell="P20" sqref="P20"/>
    </sheetView>
  </sheetViews>
  <sheetFormatPr defaultRowHeight="14.4" x14ac:dyDescent="0.3"/>
  <cols>
    <col min="1" max="1" width="8.88671875" style="471"/>
    <col min="2" max="2" width="12.77734375" style="471" customWidth="1"/>
    <col min="3" max="3" width="3.77734375" style="471" customWidth="1"/>
    <col min="4" max="8" width="8.77734375" style="471" customWidth="1"/>
    <col min="9" max="11" width="8.88671875" style="471"/>
    <col min="12" max="12" width="8.77734375" style="471" customWidth="1"/>
    <col min="13" max="16384" width="8.88671875" style="471"/>
  </cols>
  <sheetData>
    <row r="1" spans="1:12" ht="18" x14ac:dyDescent="0.3">
      <c r="A1" s="616" t="s">
        <v>859</v>
      </c>
      <c r="B1" s="617"/>
      <c r="C1" s="617"/>
      <c r="D1" s="617"/>
      <c r="E1" s="617"/>
      <c r="F1" s="617"/>
      <c r="G1" s="617"/>
      <c r="H1" s="617"/>
      <c r="I1" s="617"/>
      <c r="J1" s="617"/>
      <c r="K1" s="617"/>
      <c r="L1" s="618"/>
    </row>
    <row r="2" spans="1:12" ht="11.55" customHeight="1" x14ac:dyDescent="0.3">
      <c r="A2" s="619" t="s">
        <v>750</v>
      </c>
      <c r="B2" s="620"/>
      <c r="C2" s="621" t="s">
        <v>751</v>
      </c>
      <c r="D2" s="621"/>
      <c r="E2" s="621"/>
      <c r="F2" s="621"/>
      <c r="G2" s="621"/>
      <c r="H2" s="621"/>
      <c r="I2" s="621"/>
      <c r="J2" s="621"/>
      <c r="K2" s="621"/>
      <c r="L2" s="622"/>
    </row>
    <row r="3" spans="1:12" ht="11.55" customHeight="1" x14ac:dyDescent="0.3">
      <c r="A3" s="619" t="s">
        <v>752</v>
      </c>
      <c r="B3" s="620"/>
      <c r="C3" s="621" t="s">
        <v>753</v>
      </c>
      <c r="D3" s="621"/>
      <c r="E3" s="621"/>
      <c r="F3" s="621"/>
      <c r="G3" s="621"/>
      <c r="H3" s="621"/>
      <c r="I3" s="621"/>
      <c r="J3" s="621"/>
      <c r="K3" s="621"/>
      <c r="L3" s="622"/>
    </row>
    <row r="4" spans="1:12" ht="11.55" customHeight="1" x14ac:dyDescent="0.3">
      <c r="A4" s="619" t="s">
        <v>754</v>
      </c>
      <c r="B4" s="620"/>
      <c r="C4" s="621" t="s">
        <v>755</v>
      </c>
      <c r="D4" s="621"/>
      <c r="E4" s="621"/>
      <c r="F4" s="621"/>
      <c r="G4" s="621"/>
      <c r="H4" s="621"/>
      <c r="I4" s="621"/>
      <c r="J4" s="621"/>
      <c r="K4" s="621"/>
      <c r="L4" s="622"/>
    </row>
    <row r="5" spans="1:12" ht="11.55" customHeight="1" x14ac:dyDescent="0.3">
      <c r="A5" s="619" t="s">
        <v>241</v>
      </c>
      <c r="B5" s="620"/>
      <c r="C5" s="621" t="s">
        <v>755</v>
      </c>
      <c r="D5" s="621"/>
      <c r="E5" s="621"/>
      <c r="F5" s="621"/>
      <c r="G5" s="621"/>
      <c r="H5" s="621"/>
      <c r="I5" s="621"/>
      <c r="J5" s="621"/>
      <c r="K5" s="621"/>
      <c r="L5" s="622"/>
    </row>
    <row r="6" spans="1:12" ht="11.55" customHeight="1" x14ac:dyDescent="0.3">
      <c r="A6" s="619" t="s">
        <v>756</v>
      </c>
      <c r="B6" s="620"/>
      <c r="C6" s="621" t="s">
        <v>757</v>
      </c>
      <c r="D6" s="621"/>
      <c r="E6" s="621"/>
      <c r="F6" s="621"/>
      <c r="G6" s="621"/>
      <c r="H6" s="621"/>
      <c r="I6" s="621"/>
      <c r="J6" s="621" t="s">
        <v>758</v>
      </c>
      <c r="K6" s="621"/>
      <c r="L6" s="622"/>
    </row>
    <row r="7" spans="1:12" ht="11.55" customHeight="1" thickBot="1" x14ac:dyDescent="0.35">
      <c r="A7" s="623" t="s">
        <v>759</v>
      </c>
      <c r="B7" s="624"/>
      <c r="C7" s="625" t="s">
        <v>784</v>
      </c>
      <c r="D7" s="626"/>
      <c r="E7" s="626"/>
      <c r="F7" s="626"/>
      <c r="G7" s="626"/>
      <c r="H7" s="626"/>
      <c r="I7" s="626"/>
      <c r="J7" s="626"/>
      <c r="K7" s="626"/>
      <c r="L7" s="627"/>
    </row>
    <row r="8" spans="1:12" ht="14.55" customHeight="1" thickBot="1" x14ac:dyDescent="0.35">
      <c r="A8" s="513"/>
      <c r="B8" s="514"/>
      <c r="C8" s="515"/>
      <c r="D8" s="515"/>
      <c r="E8" s="515"/>
      <c r="F8" s="515"/>
      <c r="G8" s="515"/>
      <c r="H8" s="515"/>
      <c r="I8" s="515"/>
      <c r="J8" s="515"/>
      <c r="K8" s="515"/>
      <c r="L8" s="516"/>
    </row>
    <row r="9" spans="1:12" x14ac:dyDescent="0.3">
      <c r="A9" s="628" t="s">
        <v>860</v>
      </c>
      <c r="B9" s="629"/>
      <c r="C9" s="629"/>
      <c r="D9" s="629"/>
      <c r="E9" s="629"/>
      <c r="F9" s="629"/>
      <c r="G9" s="629"/>
      <c r="H9" s="629"/>
      <c r="I9" s="629"/>
      <c r="J9" s="629"/>
      <c r="K9" s="629"/>
      <c r="L9" s="630"/>
    </row>
    <row r="10" spans="1:12" x14ac:dyDescent="0.3">
      <c r="A10" s="631" t="s">
        <v>861</v>
      </c>
      <c r="B10" s="632"/>
      <c r="C10" s="611" t="b">
        <v>0</v>
      </c>
      <c r="D10" s="633" t="s">
        <v>862</v>
      </c>
      <c r="E10" s="633"/>
      <c r="F10" s="633"/>
      <c r="G10" s="633"/>
      <c r="H10" s="633"/>
      <c r="I10" s="633"/>
      <c r="J10" s="633"/>
      <c r="K10" s="633"/>
      <c r="L10" s="634"/>
    </row>
    <row r="11" spans="1:12" x14ac:dyDescent="0.3">
      <c r="A11" s="605"/>
      <c r="B11" s="606"/>
      <c r="C11" s="611" t="b">
        <v>0</v>
      </c>
      <c r="D11" s="507" t="s">
        <v>863</v>
      </c>
      <c r="E11" s="507"/>
      <c r="F11" s="507"/>
      <c r="G11" s="507"/>
      <c r="H11" s="507"/>
      <c r="I11" s="507"/>
      <c r="J11" s="507"/>
      <c r="K11" s="507"/>
      <c r="L11" s="509"/>
    </row>
    <row r="12" spans="1:12" x14ac:dyDescent="0.3">
      <c r="A12" s="605"/>
      <c r="B12" s="606"/>
      <c r="C12" s="611" t="b">
        <v>0</v>
      </c>
      <c r="D12" s="507" t="s">
        <v>864</v>
      </c>
      <c r="E12" s="507"/>
      <c r="F12" s="507"/>
      <c r="G12" s="507"/>
      <c r="H12" s="507"/>
      <c r="I12" s="507"/>
      <c r="J12" s="507"/>
      <c r="K12" s="507"/>
      <c r="L12" s="509"/>
    </row>
    <row r="13" spans="1:12" x14ac:dyDescent="0.3">
      <c r="A13" s="605"/>
      <c r="B13" s="606"/>
      <c r="C13" s="611" t="b">
        <v>0</v>
      </c>
      <c r="D13" s="507" t="s">
        <v>865</v>
      </c>
      <c r="E13" s="507"/>
      <c r="F13" s="507"/>
      <c r="G13" s="507"/>
      <c r="H13" s="507"/>
      <c r="I13" s="507"/>
      <c r="J13" s="507"/>
      <c r="K13" s="507"/>
      <c r="L13" s="509"/>
    </row>
    <row r="14" spans="1:12" x14ac:dyDescent="0.3">
      <c r="A14" s="605"/>
      <c r="B14" s="606"/>
      <c r="C14" s="611" t="b">
        <v>0</v>
      </c>
      <c r="D14" s="507" t="s">
        <v>866</v>
      </c>
      <c r="E14" s="507"/>
      <c r="F14" s="507"/>
      <c r="G14" s="507"/>
      <c r="H14" s="507"/>
      <c r="I14" s="507"/>
      <c r="J14" s="507"/>
      <c r="K14" s="507"/>
      <c r="L14" s="509"/>
    </row>
    <row r="15" spans="1:12" x14ac:dyDescent="0.3">
      <c r="A15" s="605"/>
      <c r="B15" s="606"/>
      <c r="C15" s="611" t="b">
        <v>0</v>
      </c>
      <c r="D15" s="507" t="s">
        <v>867</v>
      </c>
      <c r="E15" s="507"/>
      <c r="F15" s="507"/>
      <c r="G15" s="507"/>
      <c r="H15" s="507"/>
      <c r="I15" s="507"/>
      <c r="J15" s="507"/>
      <c r="K15" s="507"/>
      <c r="L15" s="509"/>
    </row>
    <row r="16" spans="1:12" x14ac:dyDescent="0.3">
      <c r="A16" s="608" t="s">
        <v>559</v>
      </c>
      <c r="B16" s="609"/>
      <c r="C16" s="609" t="s">
        <v>868</v>
      </c>
      <c r="D16" s="609"/>
      <c r="E16" s="609"/>
      <c r="F16" s="609"/>
      <c r="G16" s="609"/>
      <c r="H16" s="609"/>
      <c r="I16" s="609"/>
      <c r="J16" s="609"/>
      <c r="K16" s="609"/>
      <c r="L16" s="610"/>
    </row>
    <row r="17" spans="1:12" x14ac:dyDescent="0.3">
      <c r="A17" s="635" t="s">
        <v>483</v>
      </c>
      <c r="B17" s="636"/>
      <c r="C17" s="636" t="s">
        <v>214</v>
      </c>
      <c r="D17" s="636"/>
      <c r="E17" s="636"/>
      <c r="F17" s="636"/>
      <c r="G17" s="636"/>
      <c r="H17" s="636"/>
      <c r="I17" s="636"/>
      <c r="J17" s="636"/>
      <c r="K17" s="636"/>
      <c r="L17" s="637"/>
    </row>
    <row r="18" spans="1:12" x14ac:dyDescent="0.3">
      <c r="A18" s="638" t="s">
        <v>869</v>
      </c>
      <c r="B18" s="639"/>
      <c r="C18" s="639"/>
      <c r="D18" s="639"/>
      <c r="E18" s="639"/>
      <c r="F18" s="639"/>
      <c r="G18" s="639"/>
      <c r="H18" s="639"/>
      <c r="I18" s="639"/>
      <c r="J18" s="639"/>
      <c r="K18" s="639"/>
      <c r="L18" s="640"/>
    </row>
    <row r="19" spans="1:12" x14ac:dyDescent="0.3">
      <c r="A19" s="641" t="s">
        <v>840</v>
      </c>
      <c r="B19" s="633"/>
      <c r="C19" s="507" t="s">
        <v>870</v>
      </c>
      <c r="D19" s="507"/>
      <c r="E19" s="507"/>
      <c r="F19" s="507"/>
      <c r="G19" s="507"/>
      <c r="H19" s="507"/>
      <c r="I19" s="507"/>
      <c r="J19" s="507"/>
      <c r="K19" s="507"/>
      <c r="L19" s="509"/>
    </row>
    <row r="20" spans="1:12" x14ac:dyDescent="0.3">
      <c r="A20" s="608" t="s">
        <v>871</v>
      </c>
      <c r="B20" s="609"/>
      <c r="C20" s="507" t="s">
        <v>872</v>
      </c>
      <c r="D20" s="507"/>
      <c r="E20" s="507"/>
      <c r="F20" s="507"/>
      <c r="G20" s="507"/>
      <c r="H20" s="507"/>
      <c r="I20" s="507"/>
      <c r="J20" s="507"/>
      <c r="K20" s="507"/>
      <c r="L20" s="509"/>
    </row>
    <row r="21" spans="1:12" x14ac:dyDescent="0.3">
      <c r="A21" s="608" t="s">
        <v>873</v>
      </c>
      <c r="B21" s="609"/>
      <c r="C21" s="507" t="s">
        <v>874</v>
      </c>
      <c r="D21" s="507"/>
      <c r="E21" s="507"/>
      <c r="F21" s="507"/>
      <c r="G21" s="507"/>
      <c r="H21" s="507"/>
      <c r="I21" s="507"/>
      <c r="J21" s="507"/>
      <c r="K21" s="507"/>
      <c r="L21" s="509"/>
    </row>
    <row r="22" spans="1:12" x14ac:dyDescent="0.3">
      <c r="A22" s="635" t="s">
        <v>875</v>
      </c>
      <c r="B22" s="636"/>
      <c r="C22" s="507" t="s">
        <v>876</v>
      </c>
      <c r="D22" s="507"/>
      <c r="E22" s="507"/>
      <c r="F22" s="507"/>
      <c r="G22" s="507"/>
      <c r="H22" s="507"/>
      <c r="I22" s="507"/>
      <c r="J22" s="507"/>
      <c r="K22" s="507"/>
      <c r="L22" s="509"/>
    </row>
    <row r="23" spans="1:12" x14ac:dyDescent="0.3">
      <c r="A23" s="638" t="s">
        <v>877</v>
      </c>
      <c r="B23" s="639"/>
      <c r="C23" s="639"/>
      <c r="D23" s="639"/>
      <c r="E23" s="639"/>
      <c r="F23" s="639"/>
      <c r="G23" s="639"/>
      <c r="H23" s="639"/>
      <c r="I23" s="639"/>
      <c r="J23" s="639"/>
      <c r="K23" s="639"/>
      <c r="L23" s="640"/>
    </row>
    <row r="24" spans="1:12" x14ac:dyDescent="0.3">
      <c r="A24" s="631" t="s">
        <v>878</v>
      </c>
      <c r="B24" s="632"/>
      <c r="C24" s="611" t="b">
        <v>0</v>
      </c>
      <c r="D24" s="507" t="s">
        <v>708</v>
      </c>
      <c r="E24" s="507"/>
      <c r="F24" s="507"/>
      <c r="G24" s="507"/>
      <c r="H24" s="507"/>
      <c r="I24" s="507"/>
      <c r="J24" s="507"/>
      <c r="K24" s="507"/>
      <c r="L24" s="509"/>
    </row>
    <row r="25" spans="1:12" x14ac:dyDescent="0.3">
      <c r="A25" s="605"/>
      <c r="B25" s="606"/>
      <c r="C25" s="611" t="b">
        <v>0</v>
      </c>
      <c r="D25" s="507" t="s">
        <v>712</v>
      </c>
      <c r="E25" s="507"/>
      <c r="F25" s="507"/>
      <c r="G25" s="507"/>
      <c r="H25" s="507"/>
      <c r="I25" s="507"/>
      <c r="J25" s="507"/>
      <c r="K25" s="507"/>
      <c r="L25" s="509"/>
    </row>
    <row r="26" spans="1:12" x14ac:dyDescent="0.3">
      <c r="A26" s="605"/>
      <c r="B26" s="606"/>
      <c r="C26" s="611" t="b">
        <v>0</v>
      </c>
      <c r="D26" s="507" t="s">
        <v>699</v>
      </c>
      <c r="E26" s="507"/>
      <c r="F26" s="507"/>
      <c r="G26" s="507"/>
      <c r="H26" s="507"/>
      <c r="I26" s="507"/>
      <c r="J26" s="507"/>
      <c r="K26" s="507"/>
      <c r="L26" s="509"/>
    </row>
    <row r="27" spans="1:12" x14ac:dyDescent="0.3">
      <c r="A27" s="608" t="s">
        <v>879</v>
      </c>
      <c r="B27" s="609"/>
      <c r="C27" s="507" t="s">
        <v>880</v>
      </c>
      <c r="D27" s="507"/>
      <c r="E27" s="507"/>
      <c r="F27" s="507"/>
      <c r="G27" s="507"/>
      <c r="H27" s="507"/>
      <c r="I27" s="507"/>
      <c r="J27" s="507"/>
      <c r="K27" s="507"/>
      <c r="L27" s="509"/>
    </row>
    <row r="28" spans="1:12" x14ac:dyDescent="0.3">
      <c r="A28" s="608" t="s">
        <v>881</v>
      </c>
      <c r="B28" s="609"/>
      <c r="C28" s="507" t="s">
        <v>882</v>
      </c>
      <c r="D28" s="507"/>
      <c r="E28" s="507"/>
      <c r="F28" s="507"/>
      <c r="G28" s="507"/>
      <c r="H28" s="507"/>
      <c r="I28" s="507"/>
      <c r="J28" s="507"/>
      <c r="K28" s="507"/>
      <c r="L28" s="509"/>
    </row>
    <row r="29" spans="1:12" x14ac:dyDescent="0.3">
      <c r="A29" s="608" t="s">
        <v>883</v>
      </c>
      <c r="B29" s="609"/>
      <c r="C29" s="507" t="s">
        <v>884</v>
      </c>
      <c r="D29" s="507"/>
      <c r="E29" s="507"/>
      <c r="F29" s="507"/>
      <c r="G29" s="507"/>
      <c r="H29" s="507"/>
      <c r="I29" s="507"/>
      <c r="J29" s="507"/>
      <c r="K29" s="507"/>
      <c r="L29" s="509"/>
    </row>
    <row r="30" spans="1:12" x14ac:dyDescent="0.3">
      <c r="A30" s="635" t="s">
        <v>885</v>
      </c>
      <c r="B30" s="636"/>
      <c r="C30" s="507" t="s">
        <v>886</v>
      </c>
      <c r="D30" s="507"/>
      <c r="E30" s="507"/>
      <c r="F30" s="507"/>
      <c r="G30" s="507"/>
      <c r="H30" s="507"/>
      <c r="I30" s="507"/>
      <c r="J30" s="507"/>
      <c r="K30" s="507"/>
      <c r="L30" s="509"/>
    </row>
    <row r="31" spans="1:12" x14ac:dyDescent="0.3">
      <c r="A31" s="642" t="s">
        <v>887</v>
      </c>
      <c r="B31" s="643"/>
      <c r="C31" s="639"/>
      <c r="D31" s="639"/>
      <c r="E31" s="639"/>
      <c r="F31" s="639"/>
      <c r="G31" s="639"/>
      <c r="H31" s="639"/>
      <c r="I31" s="639"/>
      <c r="J31" s="639"/>
      <c r="K31" s="639"/>
      <c r="L31" s="640"/>
    </row>
    <row r="32" spans="1:12" x14ac:dyDescent="0.3">
      <c r="A32" s="608" t="s">
        <v>851</v>
      </c>
      <c r="B32" s="609"/>
      <c r="C32" s="507" t="s">
        <v>846</v>
      </c>
      <c r="D32" s="507"/>
      <c r="E32" s="507"/>
      <c r="F32" s="507"/>
      <c r="G32" s="507"/>
      <c r="H32" s="507"/>
      <c r="I32" s="507"/>
      <c r="J32" s="507"/>
      <c r="K32" s="507"/>
      <c r="L32" s="509"/>
    </row>
    <row r="33" spans="1:12" x14ac:dyDescent="0.3">
      <c r="A33" s="605" t="s">
        <v>211</v>
      </c>
      <c r="B33" s="606"/>
      <c r="C33" s="611" t="b">
        <v>0</v>
      </c>
      <c r="D33" s="507" t="s">
        <v>252</v>
      </c>
      <c r="E33" s="507"/>
      <c r="F33" s="507"/>
      <c r="G33" s="507"/>
      <c r="H33" s="507"/>
      <c r="I33" s="507"/>
      <c r="J33" s="507"/>
      <c r="K33" s="507"/>
      <c r="L33" s="509"/>
    </row>
    <row r="34" spans="1:12" x14ac:dyDescent="0.3">
      <c r="A34" s="605"/>
      <c r="B34" s="606"/>
      <c r="C34" s="611" t="b">
        <v>0</v>
      </c>
      <c r="D34" s="507" t="s">
        <v>338</v>
      </c>
      <c r="E34" s="507"/>
      <c r="F34" s="507"/>
      <c r="G34" s="507"/>
      <c r="H34" s="507"/>
      <c r="I34" s="507"/>
      <c r="J34" s="507"/>
      <c r="K34" s="507"/>
      <c r="L34" s="509"/>
    </row>
    <row r="35" spans="1:12" x14ac:dyDescent="0.3">
      <c r="A35" s="605"/>
      <c r="B35" s="606"/>
      <c r="C35" s="611" t="b">
        <v>0</v>
      </c>
      <c r="D35" s="507" t="s">
        <v>777</v>
      </c>
      <c r="E35" s="507"/>
      <c r="F35" s="507"/>
      <c r="G35" s="507"/>
      <c r="H35" s="507"/>
      <c r="I35" s="507"/>
      <c r="J35" s="507"/>
      <c r="K35" s="507"/>
      <c r="L35" s="509"/>
    </row>
    <row r="36" spans="1:12" x14ac:dyDescent="0.3">
      <c r="A36" s="605" t="s">
        <v>852</v>
      </c>
      <c r="B36" s="606"/>
      <c r="C36" s="507" t="s">
        <v>853</v>
      </c>
      <c r="D36" s="507"/>
      <c r="E36" s="507"/>
      <c r="F36" s="507"/>
      <c r="G36" s="507"/>
      <c r="H36" s="507"/>
      <c r="I36" s="507"/>
      <c r="J36" s="507"/>
      <c r="K36" s="507"/>
      <c r="L36" s="509"/>
    </row>
    <row r="37" spans="1:12" x14ac:dyDescent="0.3">
      <c r="A37" s="605"/>
      <c r="B37" s="606"/>
      <c r="C37" s="507" t="s">
        <v>854</v>
      </c>
      <c r="D37" s="507"/>
      <c r="E37" s="507"/>
      <c r="F37" s="507"/>
      <c r="G37" s="507"/>
      <c r="H37" s="507"/>
      <c r="I37" s="507"/>
      <c r="J37" s="507"/>
      <c r="K37" s="507"/>
      <c r="L37" s="509"/>
    </row>
    <row r="38" spans="1:12" x14ac:dyDescent="0.3">
      <c r="A38" s="605" t="s">
        <v>855</v>
      </c>
      <c r="B38" s="606"/>
      <c r="C38" s="507" t="s">
        <v>853</v>
      </c>
      <c r="D38" s="507"/>
      <c r="E38" s="507"/>
      <c r="F38" s="507"/>
      <c r="G38" s="507"/>
      <c r="H38" s="507"/>
      <c r="I38" s="507"/>
      <c r="J38" s="507"/>
      <c r="K38" s="507"/>
      <c r="L38" s="509"/>
    </row>
    <row r="39" spans="1:12" x14ac:dyDescent="0.3">
      <c r="A39" s="605"/>
      <c r="B39" s="606"/>
      <c r="C39" s="507" t="s">
        <v>856</v>
      </c>
      <c r="D39" s="507"/>
      <c r="E39" s="507"/>
      <c r="F39" s="507"/>
      <c r="G39" s="507"/>
      <c r="H39" s="507"/>
      <c r="I39" s="507"/>
      <c r="J39" s="507"/>
      <c r="K39" s="507"/>
      <c r="L39" s="509"/>
    </row>
    <row r="40" spans="1:12" x14ac:dyDescent="0.3">
      <c r="A40" s="605" t="s">
        <v>857</v>
      </c>
      <c r="B40" s="606"/>
      <c r="C40" s="507" t="s">
        <v>853</v>
      </c>
      <c r="D40" s="507"/>
      <c r="E40" s="507"/>
      <c r="F40" s="507"/>
      <c r="G40" s="507"/>
      <c r="H40" s="507"/>
      <c r="I40" s="507"/>
      <c r="J40" s="507"/>
      <c r="K40" s="507"/>
      <c r="L40" s="509"/>
    </row>
    <row r="41" spans="1:12" ht="15" thickBot="1" x14ac:dyDescent="0.35">
      <c r="A41" s="612"/>
      <c r="B41" s="613"/>
      <c r="C41" s="517" t="s">
        <v>858</v>
      </c>
      <c r="D41" s="517"/>
      <c r="E41" s="517"/>
      <c r="F41" s="517"/>
      <c r="G41" s="517"/>
      <c r="H41" s="517"/>
      <c r="I41" s="517"/>
      <c r="J41" s="517"/>
      <c r="K41" s="517"/>
      <c r="L41" s="518"/>
    </row>
  </sheetData>
  <mergeCells count="37">
    <mergeCell ref="A32:B32"/>
    <mergeCell ref="A33:B35"/>
    <mergeCell ref="A36:B37"/>
    <mergeCell ref="A38:B39"/>
    <mergeCell ref="A40:B41"/>
    <mergeCell ref="A24:B26"/>
    <mergeCell ref="A27:B27"/>
    <mergeCell ref="A28:B28"/>
    <mergeCell ref="A29:B29"/>
    <mergeCell ref="A30:B30"/>
    <mergeCell ref="A31:L31"/>
    <mergeCell ref="A18:L18"/>
    <mergeCell ref="A19:B19"/>
    <mergeCell ref="A20:B20"/>
    <mergeCell ref="A21:B21"/>
    <mergeCell ref="A22:B22"/>
    <mergeCell ref="A23:L23"/>
    <mergeCell ref="A9:L9"/>
    <mergeCell ref="A10:B15"/>
    <mergeCell ref="D10:L10"/>
    <mergeCell ref="A16:B16"/>
    <mergeCell ref="C16:L16"/>
    <mergeCell ref="A17:B17"/>
    <mergeCell ref="C17:L17"/>
    <mergeCell ref="A5:B5"/>
    <mergeCell ref="C5:L5"/>
    <mergeCell ref="A6:B6"/>
    <mergeCell ref="C6:L6"/>
    <mergeCell ref="A7:B7"/>
    <mergeCell ref="C7:L7"/>
    <mergeCell ref="A1:L1"/>
    <mergeCell ref="A2:B2"/>
    <mergeCell ref="C2:L2"/>
    <mergeCell ref="A3:B3"/>
    <mergeCell ref="C3:L3"/>
    <mergeCell ref="A4:B4"/>
    <mergeCell ref="C4:L4"/>
  </mergeCells>
  <conditionalFormatting sqref="I1:I6">
    <cfRule type="containsText" dxfId="1" priority="1" operator="containsText" text="Closed">
      <formula>NOT(ISERROR(SEARCH("Closed",I1)))</formula>
    </cfRule>
    <cfRule type="containsText" dxfId="0" priority="2" operator="containsText" text="Open">
      <formula>NOT(ISERROR(SEARCH("Open",I1)))</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8FEB3-97AC-4920-B06B-7A3DCCBD2D4E}">
  <dimension ref="A1:N39"/>
  <sheetViews>
    <sheetView tabSelected="1" workbookViewId="0">
      <selection activeCell="B5" sqref="B5:B6"/>
    </sheetView>
  </sheetViews>
  <sheetFormatPr defaultColWidth="8.88671875" defaultRowHeight="14.4" x14ac:dyDescent="0.3"/>
  <cols>
    <col min="1" max="1" width="3.33203125" style="471" customWidth="1"/>
    <col min="2" max="2" width="25.5546875" style="471" customWidth="1"/>
    <col min="3" max="3" width="9.88671875" style="472" customWidth="1"/>
    <col min="4" max="4" width="25.109375" style="471" customWidth="1"/>
    <col min="5" max="5" width="19.5546875" style="471" customWidth="1"/>
    <col min="6" max="6" width="12.88671875" style="471" customWidth="1"/>
    <col min="7" max="7" width="5.33203125" style="471" customWidth="1"/>
    <col min="8" max="8" width="4.44140625" style="471" customWidth="1"/>
    <col min="9" max="9" width="4.88671875" style="471" bestFit="1" customWidth="1"/>
    <col min="10" max="10" width="31.88671875" style="471" customWidth="1"/>
    <col min="11" max="11" width="5.21875" style="471" customWidth="1"/>
    <col min="12" max="12" width="4.6640625" style="471" customWidth="1"/>
    <col min="13" max="13" width="5.44140625" style="471" customWidth="1"/>
    <col min="14" max="14" width="26.6640625" style="471" customWidth="1"/>
    <col min="15" max="16384" width="8.88671875" style="471"/>
  </cols>
  <sheetData>
    <row r="1" spans="1:14" ht="21" x14ac:dyDescent="0.3">
      <c r="A1" s="644" t="e">
        <v>#VALUE!</v>
      </c>
      <c r="B1" s="645"/>
      <c r="C1" s="646" t="s">
        <v>888</v>
      </c>
      <c r="D1" s="646"/>
      <c r="E1" s="646"/>
      <c r="F1" s="646"/>
      <c r="G1" s="646"/>
      <c r="H1" s="646"/>
      <c r="I1" s="646"/>
      <c r="J1" s="646"/>
      <c r="K1" s="646"/>
      <c r="L1" s="646"/>
      <c r="M1" s="646"/>
      <c r="N1" s="647"/>
    </row>
    <row r="2" spans="1:14" ht="15.6" x14ac:dyDescent="0.3">
      <c r="A2" s="648"/>
      <c r="B2" s="649"/>
      <c r="C2" s="650" t="s">
        <v>889</v>
      </c>
      <c r="D2" s="651"/>
      <c r="E2" s="651"/>
      <c r="F2" s="651"/>
      <c r="G2" s="651"/>
      <c r="H2" s="651"/>
      <c r="I2" s="651"/>
      <c r="J2" s="651"/>
      <c r="K2" s="651"/>
      <c r="L2" s="651"/>
      <c r="M2" s="652"/>
      <c r="N2" s="526" t="s">
        <v>890</v>
      </c>
    </row>
    <row r="3" spans="1:14" ht="15.6" x14ac:dyDescent="0.3">
      <c r="A3" s="653"/>
      <c r="B3" s="654"/>
      <c r="C3" s="655"/>
      <c r="D3" s="656"/>
      <c r="E3" s="656"/>
      <c r="F3" s="656"/>
      <c r="G3" s="656"/>
      <c r="H3" s="656"/>
      <c r="I3" s="656"/>
      <c r="J3" s="656"/>
      <c r="K3" s="656"/>
      <c r="L3" s="656"/>
      <c r="M3" s="657"/>
      <c r="N3" s="527" t="s">
        <v>891</v>
      </c>
    </row>
    <row r="4" spans="1:14" ht="15.6" x14ac:dyDescent="0.3">
      <c r="A4" s="528" t="s">
        <v>892</v>
      </c>
      <c r="B4" s="529"/>
      <c r="C4" s="530"/>
      <c r="D4" s="658" t="s">
        <v>893</v>
      </c>
      <c r="E4" s="659"/>
      <c r="F4" s="658" t="s">
        <v>894</v>
      </c>
      <c r="G4" s="660"/>
      <c r="H4" s="660"/>
      <c r="I4" s="659"/>
      <c r="J4" s="661" t="s">
        <v>895</v>
      </c>
      <c r="K4" s="662"/>
      <c r="L4" s="662"/>
      <c r="M4" s="663"/>
      <c r="N4" s="531" t="s">
        <v>896</v>
      </c>
    </row>
    <row r="5" spans="1:14" s="503" customFormat="1" ht="57" customHeight="1" x14ac:dyDescent="0.3">
      <c r="A5" s="664" t="s">
        <v>897</v>
      </c>
      <c r="B5" s="665" t="s">
        <v>566</v>
      </c>
      <c r="C5" s="666" t="s">
        <v>898</v>
      </c>
      <c r="D5" s="665" t="s">
        <v>899</v>
      </c>
      <c r="E5" s="665" t="s">
        <v>900</v>
      </c>
      <c r="F5" s="667" t="s">
        <v>901</v>
      </c>
      <c r="G5" s="668" t="s">
        <v>902</v>
      </c>
      <c r="H5" s="669"/>
      <c r="I5" s="670"/>
      <c r="J5" s="665" t="s">
        <v>903</v>
      </c>
      <c r="K5" s="671" t="s">
        <v>904</v>
      </c>
      <c r="L5" s="672"/>
      <c r="M5" s="673"/>
      <c r="N5" s="674" t="s">
        <v>905</v>
      </c>
    </row>
    <row r="6" spans="1:14" s="508" customFormat="1" ht="82.5" customHeight="1" x14ac:dyDescent="0.3">
      <c r="A6" s="675"/>
      <c r="B6" s="676"/>
      <c r="C6" s="677"/>
      <c r="D6" s="676"/>
      <c r="E6" s="676"/>
      <c r="F6" s="678"/>
      <c r="G6" s="532" t="s">
        <v>906</v>
      </c>
      <c r="H6" s="532" t="s">
        <v>691</v>
      </c>
      <c r="I6" s="532" t="s">
        <v>907</v>
      </c>
      <c r="J6" s="676"/>
      <c r="K6" s="532" t="s">
        <v>906</v>
      </c>
      <c r="L6" s="532" t="s">
        <v>691</v>
      </c>
      <c r="M6" s="532" t="s">
        <v>907</v>
      </c>
      <c r="N6" s="679"/>
    </row>
    <row r="7" spans="1:14" ht="28.8" x14ac:dyDescent="0.3">
      <c r="A7" s="533" t="s">
        <v>424</v>
      </c>
      <c r="B7" s="534" t="s">
        <v>908</v>
      </c>
      <c r="C7" s="535" t="s">
        <v>909</v>
      </c>
      <c r="D7" s="534" t="s">
        <v>910</v>
      </c>
      <c r="E7" s="534" t="s">
        <v>911</v>
      </c>
      <c r="F7" s="535" t="s">
        <v>32</v>
      </c>
      <c r="G7" s="536">
        <v>3</v>
      </c>
      <c r="H7" s="536">
        <v>3</v>
      </c>
      <c r="I7" s="536">
        <f>G7*H7</f>
        <v>9</v>
      </c>
      <c r="J7" s="534" t="s">
        <v>912</v>
      </c>
      <c r="K7" s="536">
        <v>2</v>
      </c>
      <c r="L7" s="536">
        <v>3</v>
      </c>
      <c r="M7" s="536">
        <f>K7*L7</f>
        <v>6</v>
      </c>
      <c r="N7" s="537"/>
    </row>
    <row r="8" spans="1:14" ht="28.8" x14ac:dyDescent="0.3">
      <c r="A8" s="533" t="s">
        <v>434</v>
      </c>
      <c r="B8" s="534" t="s">
        <v>913</v>
      </c>
      <c r="C8" s="535" t="s">
        <v>914</v>
      </c>
      <c r="D8" s="534" t="s">
        <v>915</v>
      </c>
      <c r="E8" s="534" t="s">
        <v>916</v>
      </c>
      <c r="F8" s="535" t="s">
        <v>56</v>
      </c>
      <c r="G8" s="536">
        <v>3</v>
      </c>
      <c r="H8" s="536">
        <v>2</v>
      </c>
      <c r="I8" s="536">
        <f>G8*H8</f>
        <v>6</v>
      </c>
      <c r="J8" s="534" t="s">
        <v>917</v>
      </c>
      <c r="K8" s="536">
        <v>2</v>
      </c>
      <c r="L8" s="536">
        <v>2</v>
      </c>
      <c r="M8" s="536">
        <f t="shared" ref="M8:M39" si="0">K8*L8</f>
        <v>4</v>
      </c>
      <c r="N8" s="537"/>
    </row>
    <row r="9" spans="1:14" ht="28.8" x14ac:dyDescent="0.3">
      <c r="A9" s="680" t="s">
        <v>444</v>
      </c>
      <c r="B9" s="681" t="s">
        <v>918</v>
      </c>
      <c r="C9" s="535" t="s">
        <v>919</v>
      </c>
      <c r="D9" s="534" t="s">
        <v>920</v>
      </c>
      <c r="E9" s="534" t="s">
        <v>921</v>
      </c>
      <c r="F9" s="535" t="s">
        <v>56</v>
      </c>
      <c r="G9" s="536">
        <v>3</v>
      </c>
      <c r="H9" s="536">
        <v>2</v>
      </c>
      <c r="I9" s="536">
        <f t="shared" ref="I9:I34" si="1">G9*H9</f>
        <v>6</v>
      </c>
      <c r="J9" s="534" t="s">
        <v>922</v>
      </c>
      <c r="K9" s="536">
        <v>1</v>
      </c>
      <c r="L9" s="536">
        <v>2</v>
      </c>
      <c r="M9" s="536">
        <f t="shared" si="0"/>
        <v>2</v>
      </c>
      <c r="N9" s="537"/>
    </row>
    <row r="10" spans="1:14" ht="43.2" x14ac:dyDescent="0.3">
      <c r="A10" s="682"/>
      <c r="B10" s="683"/>
      <c r="C10" s="535" t="s">
        <v>923</v>
      </c>
      <c r="D10" s="534" t="s">
        <v>924</v>
      </c>
      <c r="E10" s="534" t="s">
        <v>925</v>
      </c>
      <c r="F10" s="535" t="s">
        <v>56</v>
      </c>
      <c r="G10" s="536">
        <v>2</v>
      </c>
      <c r="H10" s="536">
        <v>3</v>
      </c>
      <c r="I10" s="536">
        <f t="shared" si="1"/>
        <v>6</v>
      </c>
      <c r="J10" s="534" t="s">
        <v>926</v>
      </c>
      <c r="K10" s="536">
        <v>1</v>
      </c>
      <c r="L10" s="536">
        <v>3</v>
      </c>
      <c r="M10" s="536">
        <f t="shared" si="0"/>
        <v>3</v>
      </c>
      <c r="N10" s="537"/>
    </row>
    <row r="11" spans="1:14" ht="28.8" x14ac:dyDescent="0.3">
      <c r="A11" s="680" t="s">
        <v>927</v>
      </c>
      <c r="B11" s="681" t="s">
        <v>928</v>
      </c>
      <c r="C11" s="535" t="s">
        <v>929</v>
      </c>
      <c r="D11" s="534" t="s">
        <v>930</v>
      </c>
      <c r="E11" s="534" t="s">
        <v>911</v>
      </c>
      <c r="F11" s="535" t="s">
        <v>56</v>
      </c>
      <c r="G11" s="536">
        <v>3</v>
      </c>
      <c r="H11" s="536">
        <v>3</v>
      </c>
      <c r="I11" s="536">
        <f t="shared" si="1"/>
        <v>9</v>
      </c>
      <c r="J11" s="534" t="s">
        <v>931</v>
      </c>
      <c r="K11" s="536">
        <v>1</v>
      </c>
      <c r="L11" s="536">
        <v>3</v>
      </c>
      <c r="M11" s="536">
        <f t="shared" si="0"/>
        <v>3</v>
      </c>
      <c r="N11" s="537"/>
    </row>
    <row r="12" spans="1:14" ht="28.8" x14ac:dyDescent="0.3">
      <c r="A12" s="684"/>
      <c r="B12" s="685"/>
      <c r="C12" s="535" t="s">
        <v>932</v>
      </c>
      <c r="D12" s="534" t="s">
        <v>933</v>
      </c>
      <c r="E12" s="534" t="s">
        <v>911</v>
      </c>
      <c r="F12" s="535" t="s">
        <v>32</v>
      </c>
      <c r="G12" s="536">
        <v>3</v>
      </c>
      <c r="H12" s="536">
        <v>3</v>
      </c>
      <c r="I12" s="536">
        <f t="shared" si="1"/>
        <v>9</v>
      </c>
      <c r="J12" s="534" t="s">
        <v>934</v>
      </c>
      <c r="K12" s="536">
        <v>2</v>
      </c>
      <c r="L12" s="536">
        <v>3</v>
      </c>
      <c r="M12" s="536">
        <f t="shared" si="0"/>
        <v>6</v>
      </c>
      <c r="N12" s="537"/>
    </row>
    <row r="13" spans="1:14" ht="28.8" x14ac:dyDescent="0.3">
      <c r="A13" s="684"/>
      <c r="B13" s="685"/>
      <c r="C13" s="535" t="s">
        <v>935</v>
      </c>
      <c r="D13" s="534" t="s">
        <v>936</v>
      </c>
      <c r="E13" s="539" t="s">
        <v>937</v>
      </c>
      <c r="F13" s="535" t="s">
        <v>32</v>
      </c>
      <c r="G13" s="536">
        <v>3</v>
      </c>
      <c r="H13" s="536">
        <v>3</v>
      </c>
      <c r="I13" s="536">
        <f t="shared" si="1"/>
        <v>9</v>
      </c>
      <c r="J13" s="534" t="s">
        <v>938</v>
      </c>
      <c r="K13" s="536">
        <v>1</v>
      </c>
      <c r="L13" s="536">
        <v>3</v>
      </c>
      <c r="M13" s="536">
        <f t="shared" si="0"/>
        <v>3</v>
      </c>
      <c r="N13" s="537"/>
    </row>
    <row r="14" spans="1:14" x14ac:dyDescent="0.3">
      <c r="A14" s="684"/>
      <c r="B14" s="685"/>
      <c r="C14" s="535" t="s">
        <v>939</v>
      </c>
      <c r="D14" s="534" t="s">
        <v>940</v>
      </c>
      <c r="E14" s="539" t="s">
        <v>937</v>
      </c>
      <c r="F14" s="535" t="s">
        <v>32</v>
      </c>
      <c r="G14" s="536">
        <v>3</v>
      </c>
      <c r="H14" s="536">
        <v>2</v>
      </c>
      <c r="I14" s="536">
        <f t="shared" si="1"/>
        <v>6</v>
      </c>
      <c r="J14" s="534" t="s">
        <v>941</v>
      </c>
      <c r="K14" s="536">
        <v>1</v>
      </c>
      <c r="L14" s="536">
        <v>3</v>
      </c>
      <c r="M14" s="536">
        <f t="shared" si="0"/>
        <v>3</v>
      </c>
      <c r="N14" s="537"/>
    </row>
    <row r="15" spans="1:14" x14ac:dyDescent="0.3">
      <c r="A15" s="684"/>
      <c r="B15" s="685"/>
      <c r="C15" s="535" t="s">
        <v>942</v>
      </c>
      <c r="D15" s="534" t="s">
        <v>943</v>
      </c>
      <c r="E15" s="534" t="s">
        <v>916</v>
      </c>
      <c r="F15" s="535" t="s">
        <v>32</v>
      </c>
      <c r="G15" s="536">
        <v>2</v>
      </c>
      <c r="H15" s="536">
        <v>3</v>
      </c>
      <c r="I15" s="536">
        <f t="shared" si="1"/>
        <v>6</v>
      </c>
      <c r="J15" s="534" t="s">
        <v>944</v>
      </c>
      <c r="K15" s="536">
        <v>1</v>
      </c>
      <c r="L15" s="536">
        <v>3</v>
      </c>
      <c r="M15" s="536">
        <f t="shared" si="0"/>
        <v>3</v>
      </c>
      <c r="N15" s="537"/>
    </row>
    <row r="16" spans="1:14" x14ac:dyDescent="0.3">
      <c r="A16" s="682"/>
      <c r="B16" s="683"/>
      <c r="C16" s="535" t="s">
        <v>945</v>
      </c>
      <c r="D16" s="534" t="s">
        <v>946</v>
      </c>
      <c r="E16" s="534" t="s">
        <v>916</v>
      </c>
      <c r="F16" s="535" t="s">
        <v>56</v>
      </c>
      <c r="G16" s="536">
        <v>2</v>
      </c>
      <c r="H16" s="536">
        <v>1</v>
      </c>
      <c r="I16" s="536">
        <f t="shared" si="1"/>
        <v>2</v>
      </c>
      <c r="J16" s="534" t="s">
        <v>947</v>
      </c>
      <c r="K16" s="536">
        <v>1</v>
      </c>
      <c r="L16" s="536">
        <v>1</v>
      </c>
      <c r="M16" s="536">
        <f t="shared" si="0"/>
        <v>1</v>
      </c>
      <c r="N16" s="537"/>
    </row>
    <row r="17" spans="1:14" ht="43.2" x14ac:dyDescent="0.3">
      <c r="A17" s="680" t="s">
        <v>948</v>
      </c>
      <c r="B17" s="681" t="s">
        <v>512</v>
      </c>
      <c r="C17" s="535" t="s">
        <v>949</v>
      </c>
      <c r="D17" s="534" t="s">
        <v>950</v>
      </c>
      <c r="E17" s="534" t="s">
        <v>951</v>
      </c>
      <c r="F17" s="535" t="s">
        <v>56</v>
      </c>
      <c r="G17" s="536">
        <v>3</v>
      </c>
      <c r="H17" s="536">
        <v>2</v>
      </c>
      <c r="I17" s="536">
        <f t="shared" si="1"/>
        <v>6</v>
      </c>
      <c r="J17" s="534" t="s">
        <v>952</v>
      </c>
      <c r="K17" s="536">
        <v>2</v>
      </c>
      <c r="L17" s="536">
        <v>2</v>
      </c>
      <c r="M17" s="536">
        <f t="shared" si="0"/>
        <v>4</v>
      </c>
      <c r="N17" s="537"/>
    </row>
    <row r="18" spans="1:14" ht="28.8" x14ac:dyDescent="0.3">
      <c r="A18" s="684"/>
      <c r="B18" s="685"/>
      <c r="C18" s="535" t="s">
        <v>953</v>
      </c>
      <c r="D18" s="534" t="s">
        <v>954</v>
      </c>
      <c r="E18" s="534" t="s">
        <v>955</v>
      </c>
      <c r="F18" s="535" t="s">
        <v>56</v>
      </c>
      <c r="G18" s="536">
        <v>3</v>
      </c>
      <c r="H18" s="536">
        <v>2</v>
      </c>
      <c r="I18" s="536">
        <f t="shared" si="1"/>
        <v>6</v>
      </c>
      <c r="J18" s="534" t="s">
        <v>956</v>
      </c>
      <c r="K18" s="536">
        <v>2</v>
      </c>
      <c r="L18" s="536">
        <v>2</v>
      </c>
      <c r="M18" s="536">
        <f t="shared" si="0"/>
        <v>4</v>
      </c>
      <c r="N18" s="537"/>
    </row>
    <row r="19" spans="1:14" ht="28.8" x14ac:dyDescent="0.3">
      <c r="A19" s="684"/>
      <c r="B19" s="685"/>
      <c r="C19" s="535" t="s">
        <v>957</v>
      </c>
      <c r="D19" s="534" t="s">
        <v>958</v>
      </c>
      <c r="E19" s="534" t="s">
        <v>959</v>
      </c>
      <c r="F19" s="535" t="s">
        <v>56</v>
      </c>
      <c r="G19" s="536">
        <v>3</v>
      </c>
      <c r="H19" s="536">
        <v>1</v>
      </c>
      <c r="I19" s="536">
        <f t="shared" si="1"/>
        <v>3</v>
      </c>
      <c r="J19" s="534" t="s">
        <v>960</v>
      </c>
      <c r="K19" s="536">
        <v>1</v>
      </c>
      <c r="L19" s="536">
        <v>1</v>
      </c>
      <c r="M19" s="536">
        <f t="shared" si="0"/>
        <v>1</v>
      </c>
      <c r="N19" s="537"/>
    </row>
    <row r="20" spans="1:14" x14ac:dyDescent="0.3">
      <c r="A20" s="682"/>
      <c r="B20" s="683"/>
      <c r="C20" s="535" t="s">
        <v>961</v>
      </c>
      <c r="D20" s="534" t="s">
        <v>962</v>
      </c>
      <c r="E20" s="534" t="s">
        <v>916</v>
      </c>
      <c r="F20" s="535" t="s">
        <v>56</v>
      </c>
      <c r="G20" s="536">
        <v>2</v>
      </c>
      <c r="H20" s="536">
        <v>2</v>
      </c>
      <c r="I20" s="536">
        <f t="shared" si="1"/>
        <v>4</v>
      </c>
      <c r="J20" s="534" t="s">
        <v>963</v>
      </c>
      <c r="K20" s="536">
        <v>1</v>
      </c>
      <c r="L20" s="536">
        <v>2</v>
      </c>
      <c r="M20" s="536">
        <f t="shared" si="0"/>
        <v>2</v>
      </c>
      <c r="N20" s="537"/>
    </row>
    <row r="21" spans="1:14" ht="28.8" x14ac:dyDescent="0.3">
      <c r="A21" s="680" t="s">
        <v>964</v>
      </c>
      <c r="B21" s="681" t="s">
        <v>965</v>
      </c>
      <c r="C21" s="535" t="s">
        <v>966</v>
      </c>
      <c r="D21" s="534" t="s">
        <v>967</v>
      </c>
      <c r="E21" s="534" t="s">
        <v>968</v>
      </c>
      <c r="F21" s="535" t="s">
        <v>56</v>
      </c>
      <c r="G21" s="536">
        <v>3</v>
      </c>
      <c r="H21" s="536">
        <v>2</v>
      </c>
      <c r="I21" s="536">
        <f t="shared" si="1"/>
        <v>6</v>
      </c>
      <c r="J21" s="534" t="s">
        <v>969</v>
      </c>
      <c r="K21" s="536">
        <v>2</v>
      </c>
      <c r="L21" s="536">
        <v>2</v>
      </c>
      <c r="M21" s="536">
        <f t="shared" si="0"/>
        <v>4</v>
      </c>
      <c r="N21" s="537"/>
    </row>
    <row r="22" spans="1:14" ht="28.8" x14ac:dyDescent="0.3">
      <c r="A22" s="682"/>
      <c r="B22" s="683"/>
      <c r="C22" s="535" t="s">
        <v>970</v>
      </c>
      <c r="D22" s="534" t="s">
        <v>971</v>
      </c>
      <c r="E22" s="534" t="s">
        <v>911</v>
      </c>
      <c r="F22" s="535" t="s">
        <v>32</v>
      </c>
      <c r="G22" s="536">
        <v>2</v>
      </c>
      <c r="H22" s="536">
        <v>2</v>
      </c>
      <c r="I22" s="536">
        <f t="shared" si="1"/>
        <v>4</v>
      </c>
      <c r="J22" s="534" t="s">
        <v>972</v>
      </c>
      <c r="K22" s="536">
        <v>1</v>
      </c>
      <c r="L22" s="536">
        <v>2</v>
      </c>
      <c r="M22" s="536">
        <f t="shared" si="0"/>
        <v>2</v>
      </c>
      <c r="N22" s="537"/>
    </row>
    <row r="23" spans="1:14" x14ac:dyDescent="0.3">
      <c r="A23" s="680" t="s">
        <v>973</v>
      </c>
      <c r="B23" s="686" t="s">
        <v>974</v>
      </c>
      <c r="C23" s="536" t="s">
        <v>975</v>
      </c>
      <c r="D23" s="540" t="s">
        <v>976</v>
      </c>
      <c r="E23" s="540" t="s">
        <v>977</v>
      </c>
      <c r="F23" s="536" t="s">
        <v>56</v>
      </c>
      <c r="G23" s="536">
        <v>2</v>
      </c>
      <c r="H23" s="536">
        <v>3</v>
      </c>
      <c r="I23" s="536">
        <f t="shared" si="1"/>
        <v>6</v>
      </c>
      <c r="J23" s="534" t="s">
        <v>978</v>
      </c>
      <c r="K23" s="536">
        <v>1</v>
      </c>
      <c r="L23" s="536">
        <v>3</v>
      </c>
      <c r="M23" s="536">
        <f t="shared" si="0"/>
        <v>3</v>
      </c>
      <c r="N23" s="537"/>
    </row>
    <row r="24" spans="1:14" x14ac:dyDescent="0.3">
      <c r="A24" s="682"/>
      <c r="B24" s="687"/>
      <c r="C24" s="535" t="s">
        <v>979</v>
      </c>
      <c r="D24" s="534" t="s">
        <v>980</v>
      </c>
      <c r="E24" s="534" t="s">
        <v>911</v>
      </c>
      <c r="F24" s="535" t="s">
        <v>56</v>
      </c>
      <c r="G24" s="536">
        <v>3</v>
      </c>
      <c r="H24" s="536">
        <v>2</v>
      </c>
      <c r="I24" s="536">
        <f t="shared" si="1"/>
        <v>6</v>
      </c>
      <c r="J24" s="534" t="s">
        <v>981</v>
      </c>
      <c r="K24" s="536">
        <v>1</v>
      </c>
      <c r="L24" s="536">
        <v>2</v>
      </c>
      <c r="M24" s="536">
        <f t="shared" si="0"/>
        <v>2</v>
      </c>
      <c r="N24" s="537"/>
    </row>
    <row r="25" spans="1:14" ht="28.95" customHeight="1" x14ac:dyDescent="0.3">
      <c r="A25" s="680" t="s">
        <v>982</v>
      </c>
      <c r="B25" s="681" t="s">
        <v>983</v>
      </c>
      <c r="C25" s="535" t="s">
        <v>984</v>
      </c>
      <c r="D25" s="534" t="s">
        <v>985</v>
      </c>
      <c r="E25" s="534" t="s">
        <v>911</v>
      </c>
      <c r="F25" s="535" t="s">
        <v>32</v>
      </c>
      <c r="G25" s="536">
        <v>2</v>
      </c>
      <c r="H25" s="536">
        <v>4</v>
      </c>
      <c r="I25" s="536">
        <f t="shared" si="1"/>
        <v>8</v>
      </c>
      <c r="J25" s="534" t="s">
        <v>986</v>
      </c>
      <c r="K25" s="536">
        <v>1</v>
      </c>
      <c r="L25" s="536">
        <v>4</v>
      </c>
      <c r="M25" s="536">
        <f t="shared" si="0"/>
        <v>4</v>
      </c>
      <c r="N25" s="537"/>
    </row>
    <row r="26" spans="1:14" x14ac:dyDescent="0.3">
      <c r="A26" s="682"/>
      <c r="B26" s="683"/>
      <c r="C26" s="535" t="s">
        <v>987</v>
      </c>
      <c r="D26" s="534" t="s">
        <v>988</v>
      </c>
      <c r="E26" s="534" t="s">
        <v>911</v>
      </c>
      <c r="F26" s="535" t="s">
        <v>32</v>
      </c>
      <c r="G26" s="536">
        <v>2</v>
      </c>
      <c r="H26" s="536">
        <v>4</v>
      </c>
      <c r="I26" s="536">
        <f t="shared" si="1"/>
        <v>8</v>
      </c>
      <c r="J26" s="534" t="s">
        <v>972</v>
      </c>
      <c r="K26" s="536">
        <v>1</v>
      </c>
      <c r="L26" s="536">
        <v>4</v>
      </c>
      <c r="M26" s="536">
        <f t="shared" si="0"/>
        <v>4</v>
      </c>
      <c r="N26" s="537"/>
    </row>
    <row r="27" spans="1:14" ht="28.8" x14ac:dyDescent="0.3">
      <c r="A27" s="533" t="s">
        <v>989</v>
      </c>
      <c r="B27" s="534" t="s">
        <v>990</v>
      </c>
      <c r="C27" s="535" t="s">
        <v>991</v>
      </c>
      <c r="D27" s="534" t="s">
        <v>992</v>
      </c>
      <c r="E27" s="534" t="s">
        <v>911</v>
      </c>
      <c r="F27" s="535" t="s">
        <v>32</v>
      </c>
      <c r="G27" s="536">
        <v>2</v>
      </c>
      <c r="H27" s="536">
        <v>3</v>
      </c>
      <c r="I27" s="536">
        <f t="shared" si="1"/>
        <v>6</v>
      </c>
      <c r="J27" s="534" t="s">
        <v>993</v>
      </c>
      <c r="K27" s="536">
        <v>1</v>
      </c>
      <c r="L27" s="536">
        <v>3</v>
      </c>
      <c r="M27" s="536">
        <f t="shared" si="0"/>
        <v>3</v>
      </c>
      <c r="N27" s="537"/>
    </row>
    <row r="28" spans="1:14" ht="43.2" x14ac:dyDescent="0.3">
      <c r="A28" s="533" t="s">
        <v>994</v>
      </c>
      <c r="B28" s="534" t="s">
        <v>995</v>
      </c>
      <c r="C28" s="535" t="s">
        <v>996</v>
      </c>
      <c r="D28" s="534" t="s">
        <v>997</v>
      </c>
      <c r="E28" s="534" t="s">
        <v>998</v>
      </c>
      <c r="F28" s="535" t="s">
        <v>32</v>
      </c>
      <c r="G28" s="536">
        <v>2</v>
      </c>
      <c r="H28" s="536">
        <v>5</v>
      </c>
      <c r="I28" s="536">
        <f t="shared" si="1"/>
        <v>10</v>
      </c>
      <c r="J28" s="534" t="s">
        <v>999</v>
      </c>
      <c r="K28" s="536">
        <v>1</v>
      </c>
      <c r="L28" s="536">
        <v>5</v>
      </c>
      <c r="M28" s="536">
        <f t="shared" si="0"/>
        <v>5</v>
      </c>
      <c r="N28" s="537"/>
    </row>
    <row r="29" spans="1:14" ht="43.2" x14ac:dyDescent="0.3">
      <c r="A29" s="680" t="s">
        <v>1000</v>
      </c>
      <c r="B29" s="681" t="s">
        <v>1001</v>
      </c>
      <c r="C29" s="535" t="s">
        <v>1002</v>
      </c>
      <c r="D29" s="534" t="s">
        <v>1003</v>
      </c>
      <c r="E29" s="534" t="s">
        <v>1004</v>
      </c>
      <c r="F29" s="535" t="s">
        <v>56</v>
      </c>
      <c r="G29" s="536">
        <v>3</v>
      </c>
      <c r="H29" s="536">
        <v>1</v>
      </c>
      <c r="I29" s="536">
        <f t="shared" si="1"/>
        <v>3</v>
      </c>
      <c r="J29" s="534" t="s">
        <v>1005</v>
      </c>
      <c r="K29" s="536">
        <v>2</v>
      </c>
      <c r="L29" s="536">
        <v>1</v>
      </c>
      <c r="M29" s="536">
        <f t="shared" si="0"/>
        <v>2</v>
      </c>
      <c r="N29" s="537"/>
    </row>
    <row r="30" spans="1:14" ht="28.8" x14ac:dyDescent="0.3">
      <c r="A30" s="682"/>
      <c r="B30" s="683"/>
      <c r="C30" s="535" t="s">
        <v>1006</v>
      </c>
      <c r="D30" s="534" t="s">
        <v>1007</v>
      </c>
      <c r="E30" s="534" t="s">
        <v>916</v>
      </c>
      <c r="F30" s="535" t="s">
        <v>56</v>
      </c>
      <c r="G30" s="536">
        <v>4</v>
      </c>
      <c r="H30" s="536">
        <v>1</v>
      </c>
      <c r="I30" s="536">
        <f t="shared" si="1"/>
        <v>4</v>
      </c>
      <c r="J30" s="534" t="s">
        <v>1008</v>
      </c>
      <c r="K30" s="536">
        <v>1</v>
      </c>
      <c r="L30" s="536">
        <v>1</v>
      </c>
      <c r="M30" s="536">
        <f t="shared" si="0"/>
        <v>1</v>
      </c>
      <c r="N30" s="537"/>
    </row>
    <row r="31" spans="1:14" ht="28.8" x14ac:dyDescent="0.3">
      <c r="A31" s="533" t="s">
        <v>1009</v>
      </c>
      <c r="B31" s="534" t="s">
        <v>1010</v>
      </c>
      <c r="C31" s="535" t="s">
        <v>1011</v>
      </c>
      <c r="D31" s="534" t="s">
        <v>1012</v>
      </c>
      <c r="E31" s="534" t="s">
        <v>1013</v>
      </c>
      <c r="F31" s="535" t="s">
        <v>32</v>
      </c>
      <c r="G31" s="536">
        <v>4</v>
      </c>
      <c r="H31" s="536">
        <v>5</v>
      </c>
      <c r="I31" s="536">
        <f t="shared" si="1"/>
        <v>20</v>
      </c>
      <c r="J31" s="534" t="s">
        <v>1014</v>
      </c>
      <c r="K31" s="536">
        <v>2</v>
      </c>
      <c r="L31" s="536">
        <v>5</v>
      </c>
      <c r="M31" s="536">
        <f t="shared" si="0"/>
        <v>10</v>
      </c>
      <c r="N31" s="537"/>
    </row>
    <row r="32" spans="1:14" ht="43.2" x14ac:dyDescent="0.3">
      <c r="A32" s="533" t="s">
        <v>1015</v>
      </c>
      <c r="B32" s="534" t="s">
        <v>1016</v>
      </c>
      <c r="C32" s="535" t="s">
        <v>1017</v>
      </c>
      <c r="D32" s="534" t="s">
        <v>930</v>
      </c>
      <c r="E32" s="534" t="s">
        <v>1018</v>
      </c>
      <c r="F32" s="535" t="s">
        <v>56</v>
      </c>
      <c r="G32" s="536">
        <v>2</v>
      </c>
      <c r="H32" s="536">
        <v>3</v>
      </c>
      <c r="I32" s="536">
        <f t="shared" si="1"/>
        <v>6</v>
      </c>
      <c r="J32" s="534" t="s">
        <v>931</v>
      </c>
      <c r="K32" s="536">
        <v>1</v>
      </c>
      <c r="L32" s="536">
        <v>3</v>
      </c>
      <c r="M32" s="536">
        <f t="shared" si="0"/>
        <v>3</v>
      </c>
      <c r="N32" s="537"/>
    </row>
    <row r="33" spans="1:14" ht="43.2" x14ac:dyDescent="0.3">
      <c r="A33" s="680" t="s">
        <v>1019</v>
      </c>
      <c r="B33" s="681" t="s">
        <v>1020</v>
      </c>
      <c r="C33" s="535" t="s">
        <v>1021</v>
      </c>
      <c r="D33" s="534" t="s">
        <v>1022</v>
      </c>
      <c r="E33" s="534" t="s">
        <v>1023</v>
      </c>
      <c r="F33" s="535" t="s">
        <v>32</v>
      </c>
      <c r="G33" s="536">
        <v>2</v>
      </c>
      <c r="H33" s="536">
        <v>5</v>
      </c>
      <c r="I33" s="536">
        <f t="shared" si="1"/>
        <v>10</v>
      </c>
      <c r="J33" s="534" t="s">
        <v>1024</v>
      </c>
      <c r="K33" s="536">
        <v>1</v>
      </c>
      <c r="L33" s="536">
        <v>5</v>
      </c>
      <c r="M33" s="536">
        <f t="shared" si="0"/>
        <v>5</v>
      </c>
      <c r="N33" s="537"/>
    </row>
    <row r="34" spans="1:14" ht="43.2" x14ac:dyDescent="0.3">
      <c r="A34" s="684"/>
      <c r="B34" s="683"/>
      <c r="C34" s="541" t="s">
        <v>1025</v>
      </c>
      <c r="D34" s="538" t="s">
        <v>1026</v>
      </c>
      <c r="E34" s="538" t="s">
        <v>911</v>
      </c>
      <c r="F34" s="541" t="s">
        <v>32</v>
      </c>
      <c r="G34" s="542">
        <v>2</v>
      </c>
      <c r="H34" s="542">
        <v>4</v>
      </c>
      <c r="I34" s="542">
        <f t="shared" si="1"/>
        <v>8</v>
      </c>
      <c r="J34" s="538" t="s">
        <v>1027</v>
      </c>
      <c r="K34" s="542">
        <v>1</v>
      </c>
      <c r="L34" s="542">
        <v>4</v>
      </c>
      <c r="M34" s="542">
        <f t="shared" si="0"/>
        <v>4</v>
      </c>
      <c r="N34" s="543"/>
    </row>
    <row r="35" spans="1:14" ht="21.45" customHeight="1" x14ac:dyDescent="0.3">
      <c r="A35" s="688" t="s">
        <v>1028</v>
      </c>
      <c r="B35" s="689" t="s">
        <v>1029</v>
      </c>
      <c r="C35" s="535" t="s">
        <v>1030</v>
      </c>
      <c r="D35" s="544" t="s">
        <v>1031</v>
      </c>
      <c r="E35" s="544" t="s">
        <v>1032</v>
      </c>
      <c r="F35" s="535" t="s">
        <v>32</v>
      </c>
      <c r="G35" s="536">
        <v>1</v>
      </c>
      <c r="H35" s="536">
        <v>5</v>
      </c>
      <c r="I35" s="536">
        <f>G35*H35</f>
        <v>5</v>
      </c>
      <c r="J35" s="544" t="s">
        <v>1033</v>
      </c>
      <c r="K35" s="536">
        <v>1</v>
      </c>
      <c r="L35" s="536">
        <v>3</v>
      </c>
      <c r="M35" s="536">
        <f t="shared" si="0"/>
        <v>3</v>
      </c>
      <c r="N35" s="537"/>
    </row>
    <row r="36" spans="1:14" ht="28.8" x14ac:dyDescent="0.3">
      <c r="A36" s="688"/>
      <c r="B36" s="690"/>
      <c r="C36" s="536" t="s">
        <v>1034</v>
      </c>
      <c r="D36" s="545" t="s">
        <v>1035</v>
      </c>
      <c r="E36" s="545" t="s">
        <v>1036</v>
      </c>
      <c r="F36" s="536" t="s">
        <v>56</v>
      </c>
      <c r="G36" s="536">
        <v>3</v>
      </c>
      <c r="H36" s="536">
        <v>2</v>
      </c>
      <c r="I36" s="536">
        <f t="shared" ref="I36:I39" si="2">G36*H36</f>
        <v>6</v>
      </c>
      <c r="J36" s="544" t="s">
        <v>1037</v>
      </c>
      <c r="K36" s="536">
        <v>2</v>
      </c>
      <c r="L36" s="536">
        <v>2</v>
      </c>
      <c r="M36" s="536">
        <f t="shared" si="0"/>
        <v>4</v>
      </c>
      <c r="N36" s="537"/>
    </row>
    <row r="37" spans="1:14" ht="43.2" x14ac:dyDescent="0.3">
      <c r="A37" s="688"/>
      <c r="B37" s="690"/>
      <c r="C37" s="536" t="s">
        <v>1038</v>
      </c>
      <c r="D37" s="545" t="s">
        <v>1039</v>
      </c>
      <c r="E37" s="545" t="s">
        <v>1040</v>
      </c>
      <c r="F37" s="536" t="s">
        <v>56</v>
      </c>
      <c r="G37" s="536">
        <v>3</v>
      </c>
      <c r="H37" s="536">
        <v>5</v>
      </c>
      <c r="I37" s="536">
        <f t="shared" si="2"/>
        <v>15</v>
      </c>
      <c r="J37" s="544" t="s">
        <v>1041</v>
      </c>
      <c r="K37" s="536">
        <v>1</v>
      </c>
      <c r="L37" s="536">
        <v>3</v>
      </c>
      <c r="M37" s="536">
        <f t="shared" si="0"/>
        <v>3</v>
      </c>
      <c r="N37" s="537"/>
    </row>
    <row r="38" spans="1:14" ht="28.8" x14ac:dyDescent="0.3">
      <c r="A38" s="688"/>
      <c r="B38" s="690"/>
      <c r="C38" s="536" t="s">
        <v>1042</v>
      </c>
      <c r="D38" s="545" t="s">
        <v>1043</v>
      </c>
      <c r="E38" s="545" t="s">
        <v>1040</v>
      </c>
      <c r="F38" s="536" t="s">
        <v>56</v>
      </c>
      <c r="G38" s="536">
        <v>4</v>
      </c>
      <c r="H38" s="536">
        <v>4</v>
      </c>
      <c r="I38" s="536">
        <f t="shared" si="2"/>
        <v>16</v>
      </c>
      <c r="J38" s="544" t="s">
        <v>1044</v>
      </c>
      <c r="K38" s="536">
        <v>2</v>
      </c>
      <c r="L38" s="536">
        <v>3</v>
      </c>
      <c r="M38" s="536">
        <f t="shared" si="0"/>
        <v>6</v>
      </c>
      <c r="N38" s="537"/>
    </row>
    <row r="39" spans="1:14" ht="29.4" thickBot="1" x14ac:dyDescent="0.35">
      <c r="A39" s="691"/>
      <c r="B39" s="692"/>
      <c r="C39" s="546" t="s">
        <v>1045</v>
      </c>
      <c r="D39" s="547" t="s">
        <v>1046</v>
      </c>
      <c r="E39" s="547" t="s">
        <v>1040</v>
      </c>
      <c r="F39" s="546" t="s">
        <v>56</v>
      </c>
      <c r="G39" s="546">
        <v>2</v>
      </c>
      <c r="H39" s="546">
        <v>4</v>
      </c>
      <c r="I39" s="546">
        <f t="shared" si="2"/>
        <v>8</v>
      </c>
      <c r="J39" s="548" t="s">
        <v>1047</v>
      </c>
      <c r="K39" s="546">
        <v>2</v>
      </c>
      <c r="L39" s="546">
        <v>3</v>
      </c>
      <c r="M39" s="546">
        <f t="shared" si="0"/>
        <v>6</v>
      </c>
      <c r="N39" s="549"/>
    </row>
  </sheetData>
  <mergeCells count="34">
    <mergeCell ref="A33:A34"/>
    <mergeCell ref="B33:B34"/>
    <mergeCell ref="A35:A39"/>
    <mergeCell ref="B35:B39"/>
    <mergeCell ref="A23:A24"/>
    <mergeCell ref="B23:B24"/>
    <mergeCell ref="A25:A26"/>
    <mergeCell ref="B25:B26"/>
    <mergeCell ref="A29:A30"/>
    <mergeCell ref="B29:B30"/>
    <mergeCell ref="A11:A16"/>
    <mergeCell ref="B11:B16"/>
    <mergeCell ref="A17:A20"/>
    <mergeCell ref="B17:B20"/>
    <mergeCell ref="A21:A22"/>
    <mergeCell ref="B21:B22"/>
    <mergeCell ref="G5:I5"/>
    <mergeCell ref="J5:J6"/>
    <mergeCell ref="K5:M5"/>
    <mergeCell ref="N5:N6"/>
    <mergeCell ref="A9:A10"/>
    <mergeCell ref="B9:B10"/>
    <mergeCell ref="A5:A6"/>
    <mergeCell ref="B5:B6"/>
    <mergeCell ref="C5:C6"/>
    <mergeCell ref="D5:D6"/>
    <mergeCell ref="E5:E6"/>
    <mergeCell ref="F5:F6"/>
    <mergeCell ref="A1:B3"/>
    <mergeCell ref="C1:N1"/>
    <mergeCell ref="C2:M3"/>
    <mergeCell ref="D4:E4"/>
    <mergeCell ref="F4:I4"/>
    <mergeCell ref="J4:M4"/>
  </mergeCells>
  <conditionalFormatting sqref="G7:I39">
    <cfRule type="colorScale" priority="2">
      <colorScale>
        <cfvo type="min"/>
        <cfvo type="percentile" val="50"/>
        <cfvo type="max"/>
        <color rgb="FF63BE7B"/>
        <color rgb="FFFFEB84"/>
        <color rgb="FFF8696B"/>
      </colorScale>
    </cfRule>
  </conditionalFormatting>
  <conditionalFormatting sqref="K6">
    <cfRule type="colorScale" priority="4">
      <colorScale>
        <cfvo type="min"/>
        <cfvo type="percentile" val="50"/>
        <cfvo type="max"/>
        <color rgb="FF63BE7B"/>
        <color rgb="FFFFEB84"/>
        <color rgb="FFF8696B"/>
      </colorScale>
    </cfRule>
  </conditionalFormatting>
  <conditionalFormatting sqref="K6:M6">
    <cfRule type="colorScale" priority="5">
      <colorScale>
        <cfvo type="min"/>
        <cfvo type="percentile" val="50"/>
        <cfvo type="max"/>
        <color rgb="FF63BE7B"/>
        <color rgb="FFFFEB84"/>
        <color rgb="FFF8696B"/>
      </colorScale>
    </cfRule>
  </conditionalFormatting>
  <conditionalFormatting sqref="K7:M39">
    <cfRule type="colorScale" priority="1">
      <colorScale>
        <cfvo type="min"/>
        <cfvo type="percentile" val="50"/>
        <cfvo type="max"/>
        <color rgb="FF63BE7B"/>
        <color rgb="FFFFEB84"/>
        <color rgb="FFF8696B"/>
      </colorScale>
    </cfRule>
  </conditionalFormatting>
  <conditionalFormatting sqref="L6">
    <cfRule type="colorScale" priority="3">
      <colorScale>
        <cfvo type="min"/>
        <cfvo type="percentile" val="50"/>
        <cfvo type="max"/>
        <color rgb="FF63BE7B"/>
        <color rgb="FFFFEB84"/>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Master Drawing Register </vt:lpstr>
      <vt:lpstr>Site Drawing Register </vt:lpstr>
      <vt:lpstr>Hinderance Register</vt:lpstr>
      <vt:lpstr>Legal Approval Tracker</vt:lpstr>
      <vt:lpstr>Milestone Dashboard</vt:lpstr>
      <vt:lpstr>SOR Log</vt:lpstr>
      <vt:lpstr>Cube Test</vt:lpstr>
      <vt:lpstr>CAR register</vt:lpstr>
      <vt:lpstr>Weekly Manpower</vt:lpstr>
      <vt:lpstr>Project Cashflow </vt:lpstr>
      <vt:lpstr>Planned Vs Actual </vt:lpstr>
      <vt:lpstr>As per drawing status</vt:lpstr>
      <vt:lpstr>Quality SOR Log</vt:lpstr>
      <vt:lpstr>Risk Register</vt:lpstr>
      <vt:lpstr>Site Instruction</vt:lpstr>
      <vt:lpstr>Unsafe Act Summary</vt:lpstr>
      <vt:lpstr>NCR Summary</vt:lpstr>
      <vt:lpstr>Safety Hours</vt:lpstr>
      <vt:lpstr>NCR</vt:lpstr>
      <vt:lpstr>Observation - Unsafe Act</vt:lpstr>
      <vt:lpstr>HIRA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dc:creator>
  <cp:lastModifiedBy>Info</cp:lastModifiedBy>
  <dcterms:created xsi:type="dcterms:W3CDTF">2026-02-27T05:29:46Z</dcterms:created>
  <dcterms:modified xsi:type="dcterms:W3CDTF">2026-02-27T05:52:00Z</dcterms:modified>
</cp:coreProperties>
</file>