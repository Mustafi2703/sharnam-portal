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S-Curve Calc" sheetId="3" state="visible" r:id="rId5"/>
    <sheet name="Guide" sheetId="4" state="visible" r:id="rId6"/>
  </sheets>
  <definedNames>
    <definedName function="false" hidden="false" localSheetId="0" name="_xlnm.Print_Area" vbProcedure="false">DASHBOARD!$A$1:$V$80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<sst xmlns="http://schemas.openxmlformats.org/spreadsheetml/2006/main" count="436" uniqueCount="336">
  <si>
    <t xml:space="preserve">SPDC</t>
  </si>
  <si>
    <t xml:space="preserve">DAILY PROGRESS REPORT</t>
  </si>
  <si>
    <t xml:space="preserve">Report Date</t>
  </si>
  <si>
    <t xml:space="preserve">Data Date</t>
  </si>
  <si>
    <t xml:space="preserve">PLUMBING, WATER SUPPLY &amp; DRAINAGE PACKAGE</t>
  </si>
  <si>
    <t xml:space="preserve">Report No. / Day</t>
  </si>
  <si>
    <t xml:space="preserve">S-CURVE DATA (not printed)</t>
  </si>
  <si>
    <t xml:space="preserve">Project Name</t>
  </si>
  <si>
    <t xml:space="preserve">Contract / PO Ref.</t>
  </si>
  <si>
    <t xml:space="preserve">PROJECT HEALTH</t>
  </si>
  <si>
    <t xml:space="preserve">DATE</t>
  </si>
  <si>
    <t xml:space="preserve">PLANNED CUM %</t>
  </si>
  <si>
    <t xml:space="preserve">ACTUAL CUM %</t>
  </si>
  <si>
    <t xml:space="preserve">NOTE</t>
  </si>
  <si>
    <t xml:space="preserve">Project Manager</t>
  </si>
  <si>
    <t xml:space="preserve">Contract Completion</t>
  </si>
  <si>
    <t xml:space="preserve">Overall Status</t>
  </si>
  <si>
    <t xml:space="preserve">from INPUT sheet section 14</t>
  </si>
  <si>
    <t xml:space="preserve">Contractor / Vendor</t>
  </si>
  <si>
    <t xml:space="preserve">Calendar / Weather</t>
  </si>
  <si>
    <t xml:space="preserve">Critical / High issues open</t>
  </si>
  <si>
    <t xml:space="preserve">Location</t>
  </si>
  <si>
    <t xml:space="preserve">Contract Value (₹ Lakh)</t>
  </si>
  <si>
    <t xml:space="preserve">Approvals pending &gt; 7 days</t>
  </si>
  <si>
    <t xml:space="preserve">1.  KEY PERFORMANCE INDICATORS  (all calculated — nothing is typed on this sheet)</t>
  </si>
  <si>
    <t xml:space="preserve">PLANNED %</t>
  </si>
  <si>
    <t xml:space="preserve">ACTUAL %</t>
  </si>
  <si>
    <t xml:space="preserve">VARIANCE</t>
  </si>
  <si>
    <t xml:space="preserve">SPI</t>
  </si>
  <si>
    <t xml:space="preserve">EARNED VALUE ₹ L</t>
  </si>
  <si>
    <t xml:space="preserve">VALUE DONE TODAY ₹</t>
  </si>
  <si>
    <t xml:space="preserve">ITEMS DELAYED</t>
  </si>
  <si>
    <t xml:space="preserve">HRS LOST TODAY</t>
  </si>
  <si>
    <t xml:space="preserve">2.  QUANTITY / PHYSICAL PROGRESS  —  ITEM-WISE  (basis of the % complete above)</t>
  </si>
  <si>
    <t xml:space="preserve">◄ today – from the quantity table</t>
  </si>
  <si>
    <t xml:space="preserve">SL</t>
  </si>
  <si>
    <t xml:space="preserve">DESCRIPTION OF ITEM</t>
  </si>
  <si>
    <t xml:space="preserve">UNIT</t>
  </si>
  <si>
    <t xml:space="preserve">SCOPE QTY</t>
  </si>
  <si>
    <t xml:space="preserve">RATE ₹</t>
  </si>
  <si>
    <t xml:space="preserve">WEIGHT-AGE %</t>
  </si>
  <si>
    <t xml:space="preserve">START</t>
  </si>
  <si>
    <t xml:space="preserve">FINISH</t>
  </si>
  <si>
    <t xml:space="preserve">DAYS +/−</t>
  </si>
  <si>
    <t xml:space="preserve">CUM QTY PREV.</t>
  </si>
  <si>
    <t xml:space="preserve">QTY TODAY</t>
  </si>
  <si>
    <t xml:space="preserve">CUM QTY TO DATE</t>
  </si>
  <si>
    <t xml:space="preserve">BALANCE QTY</t>
  </si>
  <si>
    <t xml:space="preserve">% COMPL.</t>
  </si>
  <si>
    <t xml:space="preserve">EARNED ₹ TODAY</t>
  </si>
  <si>
    <t xml:space="preserve">WTD. PLANNED %</t>
  </si>
  <si>
    <t xml:space="preserve">WTD. ACTUAL %</t>
  </si>
  <si>
    <t xml:space="preserve">STATUS</t>
  </si>
  <si>
    <t xml:space="preserve">TOTAL  /  OVERALL PACKAGE PROGRESS</t>
  </si>
  <si>
    <t xml:space="preserve">PROGRAMME</t>
  </si>
  <si>
    <t xml:space="preserve">3.  PROGRESS SUMMARY BY GROUP  (value weighted)</t>
  </si>
  <si>
    <t xml:space="preserve">4.  PROGRESS S-CURVE  (PLANNED vs ACTUAL)</t>
  </si>
  <si>
    <t xml:space="preserve">GROUP</t>
  </si>
  <si>
    <t xml:space="preserve">DESCRIPTION</t>
  </si>
  <si>
    <t xml:space="preserve">WEIGHTAGE</t>
  </si>
  <si>
    <t xml:space="preserve">PLB-10</t>
  </si>
  <si>
    <t xml:space="preserve">Underground Water Supply &amp; Sump</t>
  </si>
  <si>
    <t xml:space="preserve">PLB-20</t>
  </si>
  <si>
    <t xml:space="preserve">Internal Water Supply Piping</t>
  </si>
  <si>
    <t xml:space="preserve">PLB-30</t>
  </si>
  <si>
    <t xml:space="preserve">Soil, Waste, Rainwater &amp; UG Drainage</t>
  </si>
  <si>
    <t xml:space="preserve">PLB-40</t>
  </si>
  <si>
    <t xml:space="preserve">Sanitary Fixtures &amp; CP Fittings</t>
  </si>
  <si>
    <t xml:space="preserve">PLB-50</t>
  </si>
  <si>
    <t xml:space="preserve">Testing, STP Tie-in &amp; Commissioning</t>
  </si>
  <si>
    <t xml:space="preserve">TOTAL</t>
  </si>
  <si>
    <t xml:space="preserve">5.  EARNED VALUE / COMMERCIAL SNAPSHOT  (₹ in Lakh)</t>
  </si>
  <si>
    <t xml:space="preserve">BAC – Contract value of package</t>
  </si>
  <si>
    <t xml:space="preserve">PV – Planned Value  (BAC × Planned %)</t>
  </si>
  <si>
    <t xml:space="preserve">EV – Earned Value  (BAC × Actual %)</t>
  </si>
  <si>
    <t xml:space="preserve">AC – Certified / paid to date</t>
  </si>
  <si>
    <t xml:space="preserve">SV – Schedule Variance  (EV − PV)</t>
  </si>
  <si>
    <t xml:space="preserve">CV – Cost Variance  (EV − AC)</t>
  </si>
  <si>
    <t xml:space="preserve">CPI  |  EAC  (BAC ÷ CPI)</t>
  </si>
  <si>
    <t xml:space="preserve">6.  MANPOWER DEPLOYED TODAY</t>
  </si>
  <si>
    <t xml:space="preserve">7.  EQUIPMENT UTILIZATION TODAY</t>
  </si>
  <si>
    <t xml:space="preserve">8.  KEY MATERIAL AT SITE</t>
  </si>
  <si>
    <t xml:space="preserve">TRADE / CATEGORY</t>
  </si>
  <si>
    <t xml:space="preserve">PLAN</t>
  </si>
  <si>
    <t xml:space="preserve">ACTUAL</t>
  </si>
  <si>
    <t xml:space="preserve">MAN-DAYS</t>
  </si>
  <si>
    <t xml:space="preserve">EQUIPMENT</t>
  </si>
  <si>
    <t xml:space="preserve">QTY</t>
  </si>
  <si>
    <t xml:space="preserve">WORKED HRS</t>
  </si>
  <si>
    <t xml:space="preserve">IDLE HRS</t>
  </si>
  <si>
    <t xml:space="preserve">UTIL. %</t>
  </si>
  <si>
    <t xml:space="preserve">MATERIAL</t>
  </si>
  <si>
    <t xml:space="preserve">OPENING</t>
  </si>
  <si>
    <t xml:space="preserve">RECD.</t>
  </si>
  <si>
    <t xml:space="preserve">CONSUMED</t>
  </si>
  <si>
    <t xml:space="preserve">BALANCE</t>
  </si>
  <si>
    <t xml:space="preserve">TOTAL WORKERS / MAN-DAYS</t>
  </si>
  <si>
    <t xml:space="preserve">TOTAL / AVERAGE</t>
  </si>
  <si>
    <t xml:space="preserve">Balance = Opening + Received − Consumed  ·  carry Balance forward as tomorrow's Opening on the INPUT sheet</t>
  </si>
  <si>
    <t xml:space="preserve">9.  QUALITY CONTROL &amp; TESTS TODAY</t>
  </si>
  <si>
    <t xml:space="preserve">10.  HSE / SAFETY STATISTICS</t>
  </si>
  <si>
    <t xml:space="preserve">11.  DELAY / IDLE TIME LOG TODAY</t>
  </si>
  <si>
    <t xml:space="preserve">CAUSE  (CATEGORY)</t>
  </si>
  <si>
    <t xml:space="preserve">FROM</t>
  </si>
  <si>
    <t xml:space="preserve">TO</t>
  </si>
  <si>
    <t xml:space="preserve">HRS LOST</t>
  </si>
  <si>
    <t xml:space="preserve">EOT</t>
  </si>
  <si>
    <t xml:space="preserve">TOTAL HOURS LOST TODAY</t>
  </si>
  <si>
    <t xml:space="preserve">12.  DRAWINGS / RFI / MATERIAL APPROVALS PENDING</t>
  </si>
  <si>
    <t xml:space="preserve">13.  ISSUES &amp; RISKS  (open items)</t>
  </si>
  <si>
    <t xml:space="preserve">REF. NO.</t>
  </si>
  <si>
    <t xml:space="preserve">RAISED ON</t>
  </si>
  <si>
    <t xml:space="preserve">AGEING</t>
  </si>
  <si>
    <t xml:space="preserve">PENDING WITH</t>
  </si>
  <si>
    <t xml:space="preserve">ISSUE / RISK DESCRIPTION</t>
  </si>
  <si>
    <t xml:space="preserve">SEVERITY</t>
  </si>
  <si>
    <t xml:space="preserve">OWNER</t>
  </si>
  <si>
    <t xml:space="preserve">14.  TODAY'S HIGHLIGHTS</t>
  </si>
  <si>
    <t xml:space="preserve">15.  NEXT DAY PLAN</t>
  </si>
  <si>
    <t xml:space="preserve">16.  DECISIONS / INSTRUCTIONS REQUIRED FROM CLIENT / CONSULTANT / VENDOR</t>
  </si>
  <si>
    <t xml:space="preserve">Prepared By</t>
  </si>
  <si>
    <t xml:space="preserve">Checked By</t>
  </si>
  <si>
    <t xml:space="preserve">Approved By</t>
  </si>
  <si>
    <t xml:space="preserve">Client Representative</t>
  </si>
  <si>
    <t xml:space="preserve">Name / Sign / Date  —  Site Engineer – SPDC</t>
  </si>
  <si>
    <t xml:space="preserve">Name / Sign / Date  —  QA/QC Engineer – SPDC</t>
  </si>
  <si>
    <t xml:space="preserve">Name / Sign / Date  —  Project Manager – SPDC</t>
  </si>
  <si>
    <t xml:space="preserve">Name / Sign / Date  —  For and on behalf of Client</t>
  </si>
  <si>
    <t xml:space="preserve">Sharnam Project Development Consultants &amp; Co. (SPDC), Vadodara  |  Project Management Consultancy  |  THIS SHEET IS ALL FORMULAS — enter data on the INPUT sheet  |  A3 Landscape – Page 1 of 1</t>
  </si>
  <si>
    <t xml:space="preserve">DAILY INPUT SHEET — PLUMBING, WATER SUPPLY &amp; DRAINAGE PACKAGE</t>
  </si>
  <si>
    <t xml:space="preserve">TYPE ONLY IN THE YELLOW CELLS ON THIS SHEET. The DASHBOARD sheet is the printed DPR — it is all formulas and must not be typed over. Fill top to bottom, then print the DASHBOARD to PDF.</t>
  </si>
  <si>
    <t xml:space="preserve">1.  PROJECT HEADER   (change once at the start, then only the dates each day)</t>
  </si>
  <si>
    <t xml:space="preserve">Project name</t>
  </si>
  <si>
    <t xml:space="preserve">&lt;Client / Project Name&gt;</t>
  </si>
  <si>
    <t xml:space="preserve">Project manager</t>
  </si>
  <si>
    <t xml:space="preserve">&lt;PMC Project Manager&gt;</t>
  </si>
  <si>
    <t xml:space="preserve">Contractor / vendor</t>
  </si>
  <si>
    <t xml:space="preserve">&lt;Executing Agency / PEB Vendor&gt;</t>
  </si>
  <si>
    <t xml:space="preserve">&lt;Plot / GIDC / District&gt;</t>
  </si>
  <si>
    <t xml:space="preserve">Prepared by</t>
  </si>
  <si>
    <t xml:space="preserve">Site Engineer – SPDC (PMC)</t>
  </si>
  <si>
    <t xml:space="preserve">Contract / PO reference</t>
  </si>
  <si>
    <t xml:space="preserve">&lt;Work Order No. &amp; Date&gt;</t>
  </si>
  <si>
    <t xml:space="preserve">Contract completion date</t>
  </si>
  <si>
    <t xml:space="preserve">Calendar / working hours</t>
  </si>
  <si>
    <t xml:space="preserve">6 Days / Week – 8 hrs</t>
  </si>
  <si>
    <t xml:space="preserve">Shift hours drive man-days &amp; utilization</t>
  </si>
  <si>
    <t xml:space="preserve">Shift hours per day</t>
  </si>
  <si>
    <t xml:space="preserve">Used for man-days and equipment utilization</t>
  </si>
  <si>
    <t xml:space="preserve">Weather</t>
  </si>
  <si>
    <t xml:space="preserve">Partly Cloudy, 32 °C</t>
  </si>
  <si>
    <t xml:space="preserve">REPORT DATE</t>
  </si>
  <si>
    <t xml:space="preserve">DATA DATE (cut-off)</t>
  </si>
  <si>
    <t xml:space="preserve">Every planned % is measured to this date</t>
  </si>
  <si>
    <t xml:space="preserve">Report number</t>
  </si>
  <si>
    <t xml:space="preserve">DPR/PLB-027</t>
  </si>
  <si>
    <t xml:space="preserve">AC – certified / paid to date (₹ Lakh)</t>
  </si>
  <si>
    <t xml:space="preserve">From the RA bill / cost report</t>
  </si>
  <si>
    <t xml:space="preserve">Cumulative man-days upto previous day</t>
  </si>
  <si>
    <t xml:space="preserve">Cumulative safe man-hours upto prev. day</t>
  </si>
  <si>
    <t xml:space="preserve">Date of last LTI</t>
  </si>
  <si>
    <t xml:space="preserve">Days without LTI counts from here</t>
  </si>
  <si>
    <t xml:space="preserve">2.  QUANTITY PROGRESS   (one row per BOQ / scope item — type today's quantity in the last column)</t>
  </si>
  <si>
    <t xml:space="preserve">SCOPE / BOQ QTY</t>
  </si>
  <si>
    <t xml:space="preserve">CUM QTY UPTO PREV.</t>
  </si>
  <si>
    <t xml:space="preserve">UG HDPE water line 90 mm with fittings</t>
  </si>
  <si>
    <t xml:space="preserve">RM</t>
  </si>
  <si>
    <t xml:space="preserve">UG sump, pump room piping &amp; valves</t>
  </si>
  <si>
    <t xml:space="preserve">LS</t>
  </si>
  <si>
    <t xml:space="preserve">Water meter, valves &amp; masonry chambers</t>
  </si>
  <si>
    <t xml:space="preserve">NOS</t>
  </si>
  <si>
    <t xml:space="preserve">CPVC piping 25 to 50 mm concealed</t>
  </si>
  <si>
    <t xml:space="preserve">GI piping 40 to 80 mm exposed</t>
  </si>
  <si>
    <t xml:space="preserve">Overhead tank connections, valves &amp; float</t>
  </si>
  <si>
    <t xml:space="preserve">SWR / PVC soil &amp; waste pipe 110 mm</t>
  </si>
  <si>
    <t xml:space="preserve">Rainwater downtake pipe 160 mm</t>
  </si>
  <si>
    <t xml:space="preserve">UG drainage line with inspection chambers</t>
  </si>
  <si>
    <t xml:space="preserve">Manholes, gully traps &amp; covers</t>
  </si>
  <si>
    <t xml:space="preserve">WC, wash basin &amp; urinal with fittings</t>
  </si>
  <si>
    <t xml:space="preserve">CP fittings, taps &amp; health faucets</t>
  </si>
  <si>
    <t xml:space="preserve">Water cooler &amp; drinking water stations</t>
  </si>
  <si>
    <t xml:space="preserve">Pressure testing &amp; flushing of lines</t>
  </si>
  <si>
    <t xml:space="preserve">STP tie-in, trial run &amp; commissioning</t>
  </si>
  <si>
    <t xml:space="preserve">3.  MANPOWER DEPLOYED TODAY</t>
  </si>
  <si>
    <t xml:space="preserve">PLANNED NOS</t>
  </si>
  <si>
    <t xml:space="preserve">ACTUAL NOS</t>
  </si>
  <si>
    <t xml:space="preserve">HOURS WORKED</t>
  </si>
  <si>
    <t xml:space="preserve">Plumber</t>
  </si>
  <si>
    <t xml:space="preserve">Pipe Fitter</t>
  </si>
  <si>
    <t xml:space="preserve">Mason – chambers &amp; manholes</t>
  </si>
  <si>
    <t xml:space="preserve">Helper</t>
  </si>
  <si>
    <t xml:space="preserve">Machine Operator</t>
  </si>
  <si>
    <t xml:space="preserve">Supervisor &amp; PMC Staff</t>
  </si>
  <si>
    <t xml:space="preserve">4.  EQUIPMENT DEPLOYED TODAY</t>
  </si>
  <si>
    <t xml:space="preserve">Excavator – JCB 3DX</t>
  </si>
  <si>
    <t xml:space="preserve">Hydro Test Pump</t>
  </si>
  <si>
    <t xml:space="preserve">Threading &amp; Grooving Machine</t>
  </si>
  <si>
    <t xml:space="preserve">Core Cutting Machine</t>
  </si>
  <si>
    <t xml:space="preserve">Drilling &amp; Chasing Machines</t>
  </si>
  <si>
    <t xml:space="preserve">De-watering Pump &amp; DG Set</t>
  </si>
  <si>
    <t xml:space="preserve">5.  MATERIAL AT SITE</t>
  </si>
  <si>
    <t xml:space="preserve">OPENING STOCK</t>
  </si>
  <si>
    <t xml:space="preserve">RECEIVED TODAY</t>
  </si>
  <si>
    <t xml:space="preserve">CONSUMED / ISSUED</t>
  </si>
  <si>
    <t xml:space="preserve">HDPE Pipe 90 mm</t>
  </si>
  <si>
    <t xml:space="preserve">CPVC Pipe &amp; fittings</t>
  </si>
  <si>
    <t xml:space="preserve">SWR / PVC Pipe 110 &amp; 160 mm</t>
  </si>
  <si>
    <t xml:space="preserve">RCC / SW pipe for UG drainage</t>
  </si>
  <si>
    <t xml:space="preserve">Chamber covers, gully traps &amp; frames</t>
  </si>
  <si>
    <t xml:space="preserve">Solvent cement, sealant &amp; fasteners</t>
  </si>
  <si>
    <t xml:space="preserve">LTR</t>
  </si>
  <si>
    <t xml:space="preserve">6.  QUALITY CONTROL &amp; TESTS TODAY</t>
  </si>
  <si>
    <t xml:space="preserve">QUALITY / TEST PARAMETER</t>
  </si>
  <si>
    <t xml:space="preserve">TODAY'S FIGURE</t>
  </si>
  <si>
    <t xml:space="preserve">Pressure test – UG water line 6 kg/cm²</t>
  </si>
  <si>
    <t xml:space="preserve">Section-1 passed</t>
  </si>
  <si>
    <t xml:space="preserve">Slope / invert level check – drainage</t>
  </si>
  <si>
    <t xml:space="preserve">4 chambers verified</t>
  </si>
  <si>
    <t xml:space="preserve">Water tightness test of chambers</t>
  </si>
  <si>
    <t xml:space="preserve">3 taken, all OK</t>
  </si>
  <si>
    <t xml:space="preserve">Bedding &amp; backfill compaction test</t>
  </si>
  <si>
    <t xml:space="preserve">2 tests, 1 re-do</t>
  </si>
  <si>
    <t xml:space="preserve">Chlorination of tested water lines</t>
  </si>
  <si>
    <t xml:space="preserve">Not yet due</t>
  </si>
  <si>
    <t xml:space="preserve">NCRs open / closed today</t>
  </si>
  <si>
    <t xml:space="preserve">1 / 1</t>
  </si>
  <si>
    <t xml:space="preserve">7.  HSE / SAFETY STATISTICS</t>
  </si>
  <si>
    <t xml:space="preserve">HSE PARAMETER</t>
  </si>
  <si>
    <t xml:space="preserve">Safe man-hours – today / cumulative</t>
  </si>
  <si>
    <t xml:space="preserve">290 / 5,180</t>
  </si>
  <si>
    <t xml:space="preserve">Days without LTI</t>
  </si>
  <si>
    <t xml:space="preserve">122</t>
  </si>
  <si>
    <t xml:space="preserve">Excavation permits issued</t>
  </si>
  <si>
    <t xml:space="preserve">2</t>
  </si>
  <si>
    <t xml:space="preserve">Confined space entry – chambers</t>
  </si>
  <si>
    <t xml:space="preserve">1 with gas test</t>
  </si>
  <si>
    <t xml:space="preserve">Trench barricading &amp; signage verified</t>
  </si>
  <si>
    <t xml:space="preserve">Yes</t>
  </si>
  <si>
    <t xml:space="preserve">Safety observations raised / closed</t>
  </si>
  <si>
    <t xml:space="preserve">4 / 3</t>
  </si>
  <si>
    <t xml:space="preserve">8.  DELAY / IDLE TIME LOG TODAY  (enter clock times — hours are calculated)</t>
  </si>
  <si>
    <t xml:space="preserve">CAUSE OF DELAY / IDLE TIME</t>
  </si>
  <si>
    <t xml:space="preserve">CATEGORY</t>
  </si>
  <si>
    <t xml:space="preserve">Sleeves / cutouts not left in slab by civil</t>
  </si>
  <si>
    <t xml:space="preserve">Client / Vendor</t>
  </si>
  <si>
    <t xml:space="preserve">Rain – trench work stopped</t>
  </si>
  <si>
    <t xml:space="preserve">Review</t>
  </si>
  <si>
    <t xml:space="preserve">Chamber cover consignment not received</t>
  </si>
  <si>
    <t xml:space="preserve">Contractor</t>
  </si>
  <si>
    <t xml:space="preserve">No</t>
  </si>
  <si>
    <t xml:space="preserve">9.  DRAWINGS / RFI / MATERIAL APPROVALS PENDING  (ageing is calculated)</t>
  </si>
  <si>
    <t xml:space="preserve">RFI-055</t>
  </si>
  <si>
    <t xml:space="preserve">Toilet layout &amp; fixture positions – approval</t>
  </si>
  <si>
    <t xml:space="preserve">Consultant</t>
  </si>
  <si>
    <t xml:space="preserve">DWG-131</t>
  </si>
  <si>
    <t xml:space="preserve">UG drainage invert levels rev-1</t>
  </si>
  <si>
    <t xml:space="preserve">MAR-049</t>
  </si>
  <si>
    <t xml:space="preserve">CPVC pipe &amp; sanitaryware make approval</t>
  </si>
  <si>
    <t xml:space="preserve">Client</t>
  </si>
  <si>
    <t xml:space="preserve">RFI-056</t>
  </si>
  <si>
    <t xml:space="preserve">STP tie-in point &amp; discharge level</t>
  </si>
  <si>
    <t xml:space="preserve">PMC</t>
  </si>
  <si>
    <t xml:space="preserve">10.  ISSUES &amp; RISKS (open items)</t>
  </si>
  <si>
    <t xml:space="preserve">Sanitaryware &amp; CP fitting make not approved – 10 week procurement risk</t>
  </si>
  <si>
    <t xml:space="preserve">Critical</t>
  </si>
  <si>
    <t xml:space="preserve">Sleeves and cutouts not provided by civil in cast slabs</t>
  </si>
  <si>
    <t xml:space="preserve">High</t>
  </si>
  <si>
    <t xml:space="preserve">UG drainage invert level clash with the road profile at Chamber-9</t>
  </si>
  <si>
    <t xml:space="preserve">Chamber cover consignment short by 8 nos.</t>
  </si>
  <si>
    <t xml:space="preserve">Medium</t>
  </si>
  <si>
    <t xml:space="preserve">11.  TODAY'S HIGHLIGHTS</t>
  </si>
  <si>
    <t xml:space="preserve">UG HDPE water line laid &amp; jointed – 202 RM of 640 RM</t>
  </si>
  <si>
    <t xml:space="preserve">UG drainage line completed up to Chamber-7 – 110 RM</t>
  </si>
  <si>
    <t xml:space="preserve">Pressure test of water line Section-1 passed at 6 kg/cm²</t>
  </si>
  <si>
    <t xml:space="preserve">4 nos. inspection chambers completed with covers</t>
  </si>
  <si>
    <t xml:space="preserve">12.  NEXT DAY PLAN</t>
  </si>
  <si>
    <t xml:space="preserve">Continue UG water line – Chainage 210 to 270</t>
  </si>
  <si>
    <t xml:space="preserve">Drainage line Chamber-7 to Chamber-9 with invert check</t>
  </si>
  <si>
    <t xml:space="preserve">Backfilling of tested water line section</t>
  </si>
  <si>
    <t xml:space="preserve">Follow up sanitaryware make approval with client</t>
  </si>
  <si>
    <t xml:space="preserve">13.  DECISIONS REQUIRED FROM CLIENT / CONSULTANT / VENDOR</t>
  </si>
  <si>
    <t xml:space="preserve">Approval of the sanitaryware and CP fitting make (MAR-049) – 10 week procurement lead time is at risk</t>
  </si>
  <si>
    <t xml:space="preserve">Civil agency to provide the balance sleeves and cutouts in cast slabs – concealed piping cannot start</t>
  </si>
  <si>
    <t xml:space="preserve">Confirmation of UG drainage invert levels at Chamber-9 (DWG-131) – excavation held at that stretch</t>
  </si>
  <si>
    <t xml:space="preserve">14.  S-CURVE ACTUAL HISTORY  (enter once per reporting period — today's point is automatic)</t>
  </si>
  <si>
    <t xml:space="preserve">ACTUAL CUM % ON THAT DATE</t>
  </si>
  <si>
    <t xml:space="preserve">calculated on the S-CURVE CALC sheet — or type the % printed on that day's issued DPR</t>
  </si>
  <si>
    <t xml:space="preserve">◄ calculated on the DASHBOARD</t>
  </si>
  <si>
    <t xml:space="preserve">TODAY — taken from the quantity table, do not type</t>
  </si>
  <si>
    <t xml:space="preserve">leave blank until that date is reported</t>
  </si>
  <si>
    <t xml:space="preserve">S-CURVE CALCULATION — ACTUAL % ON EACH REPORTING DATE (PLUMBING)</t>
  </si>
  <si>
    <t xml:space="preserve">Enter the CUMULATIVE quantity of each item as it stood on each reporting date (from that day's measurement book / issued DPR). The bottom row converts them into the weighted actual % for that date and feeds INPUT section 14 and the S-curve. Once a column is filled it never changes again.</t>
  </si>
  <si>
    <t xml:space="preserve">WEIGHTED ACTUAL % ON THAT DATE</t>
  </si>
  <si>
    <t xml:space="preserve">FORMULA:   Actual % on a date  =  Σ [ item weightage × ( cumulative qty on that date ÷ scope qty ) ]     —     the same weighted calculation the DASHBOARD does for today, only using the quantities as they stood on that earlier date.</t>
  </si>
  <si>
    <t xml:space="preserve">SHORTCUT:  if the DPR was already issued on that date, simply type the Actual % printed on it over the green formula in INPUT section 14 — both routes give the same figure.  NOTE: weightage is taken from the CURRENT rates, so if a rate is revised later, re-issued history will shift slightly; the figures on the DPRs already signed remain the record.</t>
  </si>
  <si>
    <t xml:space="preserve">HOW THIS FILE WORKS — PLUMBING DPR</t>
  </si>
  <si>
    <t xml:space="preserve">Two sheets only</t>
  </si>
  <si>
    <t xml:space="preserve">INPUT — you type here, top to bottom, yellow cells only.  DASHBOARD — the printed DPR, 100% formulas, never typed. Guide — this page.</t>
  </si>
  <si>
    <t xml:space="preserve">Daily routine</t>
  </si>
  <si>
    <t xml:space="preserve">Open INPUT → change Report Date and Data Date → enter today's quantities, manpower, equipment, material, quality, HSE, delays, pending approvals, issues, highlights, next-day plan → open DASHBOARD → print to PDF.</t>
  </si>
  <si>
    <t xml:space="preserve">Adding / removing an item</t>
  </si>
  <si>
    <t xml:space="preserve">Insert or delete a row inside the quantity block on INPUT and the same row position on DASHBOARD; every formula uses ranges, so totals follow.</t>
  </si>
  <si>
    <t xml:space="preserve">Weightage %</t>
  </si>
  <si>
    <t xml:space="preserve">Scope Qty × Rate ÷ Σ(Scope Qty × Rate). Value weightage — always totals 100%.</t>
  </si>
  <si>
    <t xml:space="preserve">Planned %</t>
  </si>
  <si>
    <t xml:space="preserve">IF(Data Date ≥ Finish, 100%, IF(Data Date &lt; Start, 0%, (Data Date − Start + 1) ÷ (Finish − Start + 1))) — the programme prorated to the cut-off date.</t>
  </si>
  <si>
    <t xml:space="preserve">Days +/−</t>
  </si>
  <si>
    <t xml:space="preserve">Finish − Data Date. Negative and red means the item is already past its programmed finish.</t>
  </si>
  <si>
    <t xml:space="preserve">Cum Qty To Date / Balance</t>
  </si>
  <si>
    <t xml:space="preserve">Cum upto previous + Qty today  ·  Scope Qty − Cum to date.</t>
  </si>
  <si>
    <t xml:space="preserve">% Complete</t>
  </si>
  <si>
    <t xml:space="preserve">MIN(Cum Qty To Date ÷ Scope Qty, 1), shown with an in-cell data bar.</t>
  </si>
  <si>
    <t xml:space="preserve">Earned ₹ today</t>
  </si>
  <si>
    <t xml:space="preserve">Qty today × Rate — the value of work done in the day, totalled in the KPI strip.</t>
  </si>
  <si>
    <t xml:space="preserve">Package Planned / Actual %</t>
  </si>
  <si>
    <t xml:space="preserve">Σ(Weightage × Planned %) and Σ(Weightage × % Complete). These two totals drive the KPI strip, group summary, earned value block and S-curve.</t>
  </si>
  <si>
    <t xml:space="preserve">Status</t>
  </si>
  <si>
    <t xml:space="preserve">Not Started / Completed / On Track (actual ≥ planned) / In Progress / Delay — colour coded.</t>
  </si>
  <si>
    <t xml:space="preserve">Group summary</t>
  </si>
  <si>
    <t xml:space="preserve">SUMIFS of the weighted columns by group code ÷ that group's weightage.</t>
  </si>
  <si>
    <t xml:space="preserve">Earned value</t>
  </si>
  <si>
    <t xml:space="preserve">BAC = Σ(Qty × Rate) ÷ 1,00,000 · PV = BAC × Planned % · EV = BAC × Actual % · SV = EV − PV · CV = EV − AC · CPI = EV ÷ AC · EAC = BAC ÷ CPI. Only AC is typed.</t>
  </si>
  <si>
    <t xml:space="preserve">Section 6 / 7 / 8</t>
  </si>
  <si>
    <t xml:space="preserve">Man-days = Actual Nos × hours ÷ shift hours · Utilization = Worked ÷ (Qty × shift hours) · Balance stock = Opening + Received − Consumed.</t>
  </si>
  <si>
    <t xml:space="preserve">Hours lost</t>
  </si>
  <si>
    <t xml:space="preserve">(To − From) × 24 from the clock times on INPUT. EOT count is a COUNTIF of the Yes entries.</t>
  </si>
  <si>
    <t xml:space="preserve">Approval ageing</t>
  </si>
  <si>
    <t xml:space="preserve">Data Date − Raised on; red beyond 7 days, and counted in the Project Health box.</t>
  </si>
  <si>
    <t xml:space="preserve">S-curve actual history</t>
  </si>
  <si>
    <t xml:space="preserve">Actual % on any past date = Σ [ item weightage × (cumulative qty on that date ÷ scope qty) ]. The S-CURVE CALC sheet does this for you — enter each item's cumulative quantity as it stood on each reporting date and the bottom row gives the %, which flows into INPUT section 14. If that day's DPR was already issued, just type the Actual % from it instead.</t>
  </si>
  <si>
    <t xml:space="preserve">S-curve</t>
  </si>
  <si>
    <t xml:space="preserve">Planned line = SUMPRODUCT of every item's weightage × its time-prorated fraction at each date — built entirely from the programme. Actual history comes from INPUT section 14; today's point is taken live from the quantity table.</t>
  </si>
  <si>
    <t xml:space="preserve">Paper</t>
  </si>
  <si>
    <t xml:space="preserve">DASHBOARD is set to A3 landscape, fit to one page. Prints on A4 at about 70% if needed.</t>
  </si>
  <si>
    <t xml:space="preserve">Roll over to the next day</t>
  </si>
  <si>
    <t xml:space="preserve">Save a copy with the new date. On INPUT: move Cum Qty To Date into 'Cum qty upto prev.', move material Balance into Opening, clear Qty Today, update the cumulative man-days and man-hours.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</si>
</sst>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dd\-mmm\-yyyy"/>
    <numFmt numFmtId="166" formatCode="dd\-mmm\-yy"/>
    <numFmt numFmtId="167" formatCode="0.00%"/>
    <numFmt numFmtId="168" formatCode="#,##0"/>
    <numFmt numFmtId="169" formatCode="#,##0.00"/>
    <numFmt numFmtId="170" formatCode="\+0.00%;\-0.00%"/>
    <numFmt numFmtId="171" formatCode="0.00"/>
    <numFmt numFmtId="172" formatCode="#,##0.0"/>
    <numFmt numFmtId="173" formatCode="dd\-mmm"/>
    <numFmt numFmtId="174" formatCode="\+0;\-0"/>
    <numFmt numFmtId="175" formatCode="0.0%"/>
    <numFmt numFmtId="176" formatCode="\+#,##0.00;\-#,##0.00"/>
    <numFmt numFmtId="177" formatCode="0"/>
    <numFmt numFmtId="178" formatCode="0.0"/>
    <numFmt numFmtId="179" formatCode="0%"/>
    <numFmt numFmtId="180" formatCode="hh:mm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0375C"/>
      <name val="Arial"/>
      <family val="0"/>
      <charset val="1"/>
    </font>
    <font>
      <b val="true"/>
      <sz val="15"/>
      <color rgb="FF10375C"/>
      <name val="Arial"/>
      <family val="0"/>
      <charset val="1"/>
    </font>
    <font>
      <b val="true"/>
      <sz val="8"/>
      <name val="Arial"/>
      <family val="0"/>
      <charset val="1"/>
    </font>
    <font>
      <sz val="7.5"/>
      <color rgb="FF1F4E79"/>
      <name val="Arial"/>
      <family val="0"/>
      <charset val="1"/>
    </font>
    <font>
      <b val="true"/>
      <sz val="9.5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.5"/>
      <name val="Arial"/>
      <family val="0"/>
      <charset val="1"/>
    </font>
    <font>
      <b val="true"/>
      <sz val="7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7.5"/>
      <name val="Arial"/>
      <family val="0"/>
      <charset val="1"/>
    </font>
    <font>
      <i val="true"/>
      <sz val="7.5"/>
      <color rgb="FF595959"/>
      <name val="Arial"/>
      <family val="0"/>
      <charset val="1"/>
    </font>
    <font>
      <b val="true"/>
      <sz val="13"/>
      <color rgb="FF10375C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7.5"/>
      <color rgb="FFC00000"/>
      <name val="Arial"/>
      <family val="0"/>
      <charset val="1"/>
    </font>
    <font>
      <b val="true"/>
      <sz val="7.5"/>
      <color rgb="FF1F4E79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i val="true"/>
      <sz val="7"/>
      <name val="Arial"/>
      <family val="0"/>
      <charset val="1"/>
    </font>
    <font>
      <i val="true"/>
      <sz val="7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9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10375C"/>
        <bgColor rgb="FF1F3864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0375C"/>
      </left>
      <right style="medium">
        <color rgb="FF10375C"/>
      </right>
      <top style="medium">
        <color rgb="FF10375C"/>
      </top>
      <bottom style="medium">
        <color rgb="FF10375C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</dxf>
    <dxf>
      <font>
        <name val="Arial"/>
        <charset val="1"/>
        <family val="0"/>
        <b val="1"/>
        <color rgb="FF006100"/>
        <sz val="7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7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7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  <sz val="7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10375C"/>
      <rgbColor rgb="FF339966"/>
      <rgbColor rgb="FF006100"/>
      <rgbColor rgb="FF333300"/>
      <rgbColor rgb="FF993300"/>
      <rgbColor rgb="FF993366"/>
      <rgbColor rgb="FF1F4E7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—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DASHBOARD!Z4</c:f>
              <c:strCache>
                <c:ptCount val="1"/>
                <c:pt idx="0">
                  <c:v>PLANNED CUM %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DASHBOARD!$Z$5:$Z$17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0.00241486920198339</c:v>
                </c:pt>
                <c:pt idx="3">
                  <c:v>0.0137938841171989</c:v>
                </c:pt>
                <c:pt idx="4">
                  <c:v>0.0342723160462109</c:v>
                </c:pt>
                <c:pt idx="5">
                  <c:v>0.058309727665432</c:v>
                </c:pt>
                <c:pt idx="6">
                  <c:v>0.0852406369860424</c:v>
                </c:pt>
                <c:pt idx="7">
                  <c:v>0.112171546306653</c:v>
                </c:pt>
                <c:pt idx="8">
                  <c:v>0.139102455627263</c:v>
                </c:pt>
                <c:pt idx="9">
                  <c:v>0.167365094287203</c:v>
                </c:pt>
                <c:pt idx="10">
                  <c:v>0.203527460179859</c:v>
                </c:pt>
                <c:pt idx="11">
                  <c:v>0.25146039491522</c:v>
                </c:pt>
                <c:pt idx="12">
                  <c:v>0.299273474010043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DASHBOARD!AA4</c:f>
              <c:strCache>
                <c:ptCount val="1"/>
                <c:pt idx="0">
                  <c:v>ACTUAL CUM %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DASHBOARD!$Y$5:$Y$17</c:f>
              <c:strCache>
                <c:ptCount val="13"/>
                <c:pt idx="0">
                  <c:v>01-Jul-26</c:v>
                </c:pt>
                <c:pt idx="1">
                  <c:v>06-Jul-26</c:v>
                </c:pt>
                <c:pt idx="2">
                  <c:v>11-Jul-26</c:v>
                </c:pt>
                <c:pt idx="3">
                  <c:v>16-Jul-26</c:v>
                </c:pt>
                <c:pt idx="4">
                  <c:v>21-Jul-26</c:v>
                </c:pt>
                <c:pt idx="5">
                  <c:v>26-Jul-26</c:v>
                </c:pt>
                <c:pt idx="6">
                  <c:v>31-Jul-26</c:v>
                </c:pt>
                <c:pt idx="7">
                  <c:v>05-Aug-26</c:v>
                </c:pt>
                <c:pt idx="8">
                  <c:v>10-Aug-26</c:v>
                </c:pt>
                <c:pt idx="9">
                  <c:v>15-Aug-26</c:v>
                </c:pt>
                <c:pt idx="10">
                  <c:v>20-Aug-26</c:v>
                </c:pt>
                <c:pt idx="11">
                  <c:v>25-Aug-26</c:v>
                </c:pt>
                <c:pt idx="12">
                  <c:v>30-Aug-26</c:v>
                </c:pt>
              </c:strCache>
            </c:strRef>
          </c:cat>
          <c:val>
            <c:numRef>
              <c:f>DASHBOARD!$AA$5:$AA$17</c:f>
              <c:numCache>
                <c:formatCode>0.00%</c:formatCode>
                <c:ptCount val="13"/>
                <c:pt idx="0">
                  <c:v>0</c:v>
                </c:pt>
                <c:pt idx="1">
                  <c:v>0.0120049551429168</c:v>
                </c:pt>
                <c:pt idx="2">
                  <c:v>0.030008632380555</c:v>
                </c:pt>
                <c:pt idx="3">
                  <c:v>0.0520161694137284</c:v>
                </c:pt>
                <c:pt idx="4">
                  <c:v>0.066745775088671</c:v>
                </c:pt>
                <c:pt idx="5">
                  <c:v>0.066745775088671</c:v>
                </c:pt>
                <c:pt idx="6">
                  <c:v>0.066745775088671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8525744"/>
        <c:axId val="53319299"/>
      </c:lineChart>
      <c:catAx>
        <c:axId val="68525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Reporting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19299"/>
        <c:crosses val="autoZero"/>
        <c:auto val="1"/>
        <c:lblAlgn val="ctr"/>
        <c:lblOffset val="100"/>
        <c:noMultiLvlLbl val="0"/>
      </c:catAx>
      <c:valAx>
        <c:axId val="5331929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257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29</xdr:row>
      <xdr:rowOff>0</xdr:rowOff>
    </xdr:from>
    <xdr:to>
      <xdr:col>21</xdr:col>
      <xdr:colOff>141120</xdr:colOff>
      <xdr:row>42</xdr:row>
      <xdr:rowOff>49680</xdr:rowOff>
    </xdr:to>
    <xdr:graphicFrame>
      <xdr:nvGraphicFramePr>
        <xdr:cNvPr id="0" name="Chart 1"/>
        <xdr:cNvGraphicFramePr/>
      </xdr:nvGraphicFramePr>
      <xdr:xfrm>
        <a:off x="5922000" y="53816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5" min="2" style="0" width="10"/>
    <col collapsed="false" customWidth="true" hidden="false" outlineLevel="0" max="6" min="6" style="0" width="6.51"/>
    <col collapsed="false" customWidth="true" hidden="false" outlineLevel="0" max="7" min="7" style="0" width="9"/>
    <col collapsed="false" customWidth="true" hidden="false" outlineLevel="0" max="8" min="8" style="0" width="8.5"/>
    <col collapsed="false" customWidth="true" hidden="false" outlineLevel="0" max="9" min="9" style="0" width="8"/>
    <col collapsed="false" customWidth="true" hidden="false" outlineLevel="0" max="11" min="10" style="0" width="8.5"/>
    <col collapsed="false" customWidth="true" hidden="false" outlineLevel="0" max="12" min="12" style="0" width="7"/>
    <col collapsed="false" customWidth="true" hidden="false" outlineLevel="0" max="13" min="13" style="0" width="8"/>
    <col collapsed="false" customWidth="true" hidden="false" outlineLevel="0" max="14" min="14" style="0" width="9.51"/>
    <col collapsed="false" customWidth="true" hidden="false" outlineLevel="0" max="15" min="15" style="0" width="8.5"/>
    <col collapsed="false" customWidth="true" hidden="false" outlineLevel="0" max="17" min="16" style="0" width="9.51"/>
    <col collapsed="false" customWidth="true" hidden="false" outlineLevel="0" max="18" min="18" style="0" width="8"/>
    <col collapsed="false" customWidth="true" hidden="false" outlineLevel="0" max="19" min="19" style="0" width="9.51"/>
    <col collapsed="false" customWidth="true" hidden="false" outlineLevel="0" max="21" min="20" style="0" width="8.5"/>
    <col collapsed="false" customWidth="true" hidden="false" outlineLevel="0" max="22" min="22" style="0" width="10"/>
    <col collapsed="false" customWidth="true" hidden="false" outlineLevel="0" max="28" min="25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  <c r="Q1" s="3"/>
      <c r="R1" s="4" t="n">
        <f aca="false">INPUT!$B$14</f>
        <v>46234</v>
      </c>
      <c r="S1" s="4"/>
      <c r="T1" s="4"/>
      <c r="U1" s="4"/>
      <c r="V1" s="4"/>
    </row>
    <row r="2" customFormat="false" ht="15.75" hidden="false" customHeight="true" outlineLevel="0" collapsed="false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3</v>
      </c>
      <c r="P2" s="3"/>
      <c r="Q2" s="3"/>
      <c r="R2" s="4" t="n">
        <f aca="false">INPUT!$B$15</f>
        <v>46234</v>
      </c>
      <c r="S2" s="4"/>
      <c r="T2" s="4"/>
      <c r="U2" s="4"/>
      <c r="V2" s="4"/>
    </row>
    <row r="3" customFormat="false" ht="15.75" hidden="false" customHeight="true" outlineLevel="0" collapsed="false">
      <c r="A3" s="1"/>
      <c r="B3" s="1"/>
      <c r="C3" s="1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3" t="s">
        <v>5</v>
      </c>
      <c r="P3" s="3"/>
      <c r="Q3" s="3"/>
      <c r="R3" s="6" t="str">
        <f aca="false">INPUT!$B$16&amp;"   |   "&amp;TEXT(INPUT!$B$15,"DDDD")</f>
        <v>DPR/PLB-027   |   Friday</v>
      </c>
      <c r="S3" s="6"/>
      <c r="T3" s="6"/>
      <c r="U3" s="6"/>
      <c r="V3" s="6"/>
      <c r="Y3" s="7" t="s">
        <v>6</v>
      </c>
      <c r="Z3" s="7"/>
      <c r="AA3" s="7"/>
      <c r="AB3" s="7"/>
    </row>
    <row r="4" customFormat="false" ht="15" hidden="false" customHeight="true" outlineLevel="0" collapsed="false">
      <c r="A4" s="8" t="s">
        <v>7</v>
      </c>
      <c r="B4" s="8"/>
      <c r="C4" s="9" t="str">
        <f aca="false">INPUT!$B$4</f>
        <v>&lt;Client / Project Name&gt;</v>
      </c>
      <c r="D4" s="9"/>
      <c r="E4" s="9"/>
      <c r="F4" s="9"/>
      <c r="G4" s="9"/>
      <c r="H4" s="9"/>
      <c r="I4" s="8" t="s">
        <v>8</v>
      </c>
      <c r="J4" s="8"/>
      <c r="K4" s="9" t="str">
        <f aca="false">INPUT!$B$9</f>
        <v>&lt;Work Order No. &amp; Date&gt;</v>
      </c>
      <c r="L4" s="9"/>
      <c r="M4" s="9"/>
      <c r="N4" s="9"/>
      <c r="O4" s="7" t="s">
        <v>9</v>
      </c>
      <c r="P4" s="7"/>
      <c r="Q4" s="7"/>
      <c r="R4" s="7"/>
      <c r="S4" s="7"/>
      <c r="T4" s="7"/>
      <c r="U4" s="7"/>
      <c r="V4" s="7"/>
      <c r="Y4" s="10" t="s">
        <v>10</v>
      </c>
      <c r="Z4" s="10" t="s">
        <v>11</v>
      </c>
      <c r="AA4" s="10" t="s">
        <v>12</v>
      </c>
      <c r="AB4" s="10" t="s">
        <v>13</v>
      </c>
    </row>
    <row r="5" customFormat="false" ht="15" hidden="false" customHeight="true" outlineLevel="0" collapsed="false">
      <c r="A5" s="8" t="s">
        <v>14</v>
      </c>
      <c r="B5" s="8"/>
      <c r="C5" s="9" t="str">
        <f aca="false">INPUT!$B$5</f>
        <v>&lt;PMC Project Manager&gt;</v>
      </c>
      <c r="D5" s="9"/>
      <c r="E5" s="9"/>
      <c r="F5" s="9"/>
      <c r="G5" s="9"/>
      <c r="H5" s="9"/>
      <c r="I5" s="8" t="s">
        <v>15</v>
      </c>
      <c r="J5" s="8"/>
      <c r="K5" s="11" t="n">
        <f aca="false">INPUT!$B$10</f>
        <v>46295</v>
      </c>
      <c r="L5" s="11"/>
      <c r="M5" s="11"/>
      <c r="N5" s="11"/>
      <c r="O5" s="8" t="s">
        <v>16</v>
      </c>
      <c r="P5" s="8"/>
      <c r="Q5" s="8"/>
      <c r="R5" s="8"/>
      <c r="S5" s="12" t="str">
        <f aca="false">IF($V$28="ON TRACK","ON PROGRAMME","BEHIND PROGRAMME")</f>
        <v>BEHIND PROGRAMME</v>
      </c>
      <c r="T5" s="12"/>
      <c r="U5" s="12"/>
      <c r="V5" s="12"/>
      <c r="Y5" s="13" t="n">
        <f aca="false">INPUT!$A$125</f>
        <v>46204</v>
      </c>
      <c r="Z5" s="14" t="n">
        <f aca="false">SUMPRODUCT($I$13:$I$27,(($Y5&gt;=$K$13:$K$27)+($Y5&lt;$K$13:$K$27)*($Y5&gt;=$J$13:$J$27)*(($Y5-$J$13:$J$27+1)/($K$13:$K$27-$J$13:$J$27+1))))</f>
        <v>0</v>
      </c>
      <c r="AA5" s="15" t="n">
        <f aca="false">IF(INPUT!$B$125="","",INPUT!$B$125)</f>
        <v>0</v>
      </c>
      <c r="AB5" s="16" t="s">
        <v>17</v>
      </c>
    </row>
    <row r="6" customFormat="false" ht="15" hidden="false" customHeight="true" outlineLevel="0" collapsed="false">
      <c r="A6" s="8" t="s">
        <v>18</v>
      </c>
      <c r="B6" s="8"/>
      <c r="C6" s="9" t="str">
        <f aca="false">INPUT!$B$6</f>
        <v>&lt;Executing Agency / PEB Vendor&gt;</v>
      </c>
      <c r="D6" s="9"/>
      <c r="E6" s="9"/>
      <c r="F6" s="9"/>
      <c r="G6" s="9"/>
      <c r="H6" s="9"/>
      <c r="I6" s="8" t="s">
        <v>19</v>
      </c>
      <c r="J6" s="8"/>
      <c r="K6" s="9" t="str">
        <f aca="false">INPUT!$B$11&amp;"   |   "&amp;INPUT!$B$13</f>
        <v>6 Days / Week – 8 hrs   |   Partly Cloudy, 32 °C</v>
      </c>
      <c r="L6" s="9"/>
      <c r="M6" s="9"/>
      <c r="N6" s="9"/>
      <c r="O6" s="8" t="s">
        <v>20</v>
      </c>
      <c r="P6" s="8"/>
      <c r="Q6" s="8"/>
      <c r="R6" s="8"/>
      <c r="S6" s="17" t="n">
        <f aca="false">COUNTIF(INPUT!$E$101:$E$104,"Critical")+COUNTIF(INPUT!$E$101:$E$104,"High")</f>
        <v>3</v>
      </c>
      <c r="T6" s="17"/>
      <c r="U6" s="17"/>
      <c r="V6" s="17"/>
      <c r="Y6" s="13" t="n">
        <f aca="false">INPUT!$A$126</f>
        <v>46209</v>
      </c>
      <c r="Z6" s="14" t="n">
        <f aca="false">SUMPRODUCT($I$13:$I$27,(($Y6&gt;=$K$13:$K$27)+($Y6&lt;$K$13:$K$27)*($Y6&gt;=$J$13:$J$27)*(($Y6-$J$13:$J$27+1)/($K$13:$K$27-$J$13:$J$27+1))))</f>
        <v>0</v>
      </c>
      <c r="AA6" s="15" t="n">
        <f aca="false">IF(INPUT!$B$126="","",INPUT!$B$126)</f>
        <v>0.0120049551429168</v>
      </c>
      <c r="AB6" s="16" t="s">
        <v>17</v>
      </c>
    </row>
    <row r="7" customFormat="false" ht="15" hidden="false" customHeight="true" outlineLevel="0" collapsed="false">
      <c r="A7" s="8" t="s">
        <v>21</v>
      </c>
      <c r="B7" s="8"/>
      <c r="C7" s="9" t="str">
        <f aca="false">INPUT!$B$7</f>
        <v>&lt;Plot / GIDC / District&gt;</v>
      </c>
      <c r="D7" s="9"/>
      <c r="E7" s="9"/>
      <c r="F7" s="9"/>
      <c r="G7" s="9"/>
      <c r="H7" s="9"/>
      <c r="I7" s="8" t="s">
        <v>22</v>
      </c>
      <c r="J7" s="8"/>
      <c r="K7" s="18" t="n">
        <f aca="false">SUMPRODUCT($G$13:$G$27,$H$13:$H$27)/100000</f>
        <v>76.688</v>
      </c>
      <c r="L7" s="18"/>
      <c r="M7" s="18"/>
      <c r="N7" s="18"/>
      <c r="O7" s="8" t="s">
        <v>23</v>
      </c>
      <c r="P7" s="8"/>
      <c r="Q7" s="8"/>
      <c r="R7" s="8"/>
      <c r="S7" s="17" t="n">
        <f aca="false">SUMPRODUCT((INPUT!$B$15-INPUT!$E$94:$E$97&gt;7)*(INPUT!$A$94:$A$97&lt;&gt;""))</f>
        <v>3</v>
      </c>
      <c r="T7" s="17"/>
      <c r="U7" s="17"/>
      <c r="V7" s="17"/>
      <c r="Y7" s="13" t="n">
        <f aca="false">INPUT!$A$127</f>
        <v>46214</v>
      </c>
      <c r="Z7" s="14" t="n">
        <f aca="false">SUMPRODUCT($I$13:$I$27,(($Y7&gt;=$K$13:$K$27)+($Y7&lt;$K$13:$K$27)*($Y7&gt;=$J$13:$J$27)*(($Y7-$J$13:$J$27+1)/($K$13:$K$27-$J$13:$J$27+1))))</f>
        <v>0.00241486920198339</v>
      </c>
      <c r="AA7" s="15" t="n">
        <f aca="false">IF(INPUT!$B$127="","",INPUT!$B$127)</f>
        <v>0.030008632380555</v>
      </c>
      <c r="AB7" s="16" t="s">
        <v>17</v>
      </c>
    </row>
    <row r="8" customFormat="false" ht="15" hidden="false" customHeight="true" outlineLevel="0" collapsed="false">
      <c r="A8" s="7" t="s">
        <v>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Y8" s="13" t="n">
        <f aca="false">INPUT!$A$128</f>
        <v>46219</v>
      </c>
      <c r="Z8" s="14" t="n">
        <f aca="false">SUMPRODUCT($I$13:$I$27,(($Y8&gt;=$K$13:$K$27)+($Y8&lt;$K$13:$K$27)*($Y8&gt;=$J$13:$J$27)*(($Y8-$J$13:$J$27+1)/($K$13:$K$27-$J$13:$J$27+1))))</f>
        <v>0.0137938841171989</v>
      </c>
      <c r="AA8" s="15" t="n">
        <f aca="false">IF(INPUT!$B$128="","",INPUT!$B$128)</f>
        <v>0.0520161694137284</v>
      </c>
      <c r="AB8" s="16" t="s">
        <v>17</v>
      </c>
    </row>
    <row r="9" customFormat="false" ht="12.75" hidden="false" customHeight="true" outlineLevel="0" collapsed="false">
      <c r="A9" s="10" t="s">
        <v>25</v>
      </c>
      <c r="B9" s="10"/>
      <c r="C9" s="10"/>
      <c r="D9" s="10" t="s">
        <v>26</v>
      </c>
      <c r="E9" s="10"/>
      <c r="F9" s="10"/>
      <c r="G9" s="10" t="s">
        <v>27</v>
      </c>
      <c r="H9" s="10"/>
      <c r="I9" s="10"/>
      <c r="J9" s="10" t="s">
        <v>28</v>
      </c>
      <c r="K9" s="10"/>
      <c r="L9" s="10"/>
      <c r="M9" s="10" t="s">
        <v>29</v>
      </c>
      <c r="N9" s="10"/>
      <c r="O9" s="10"/>
      <c r="P9" s="10" t="s">
        <v>30</v>
      </c>
      <c r="Q9" s="10"/>
      <c r="R9" s="10"/>
      <c r="S9" s="10" t="s">
        <v>31</v>
      </c>
      <c r="T9" s="10"/>
      <c r="U9" s="10" t="s">
        <v>32</v>
      </c>
      <c r="V9" s="10"/>
      <c r="Y9" s="13" t="n">
        <f aca="false">INPUT!$A$129</f>
        <v>46224</v>
      </c>
      <c r="Z9" s="14" t="n">
        <f aca="false">SUMPRODUCT($I$13:$I$27,(($Y9&gt;=$K$13:$K$27)+($Y9&lt;$K$13:$K$27)*($Y9&gt;=$J$13:$J$27)*(($Y9-$J$13:$J$27+1)/($K$13:$K$27-$J$13:$J$27+1))))</f>
        <v>0.0342723160462109</v>
      </c>
      <c r="AA9" s="15" t="n">
        <f aca="false">IF(INPUT!$B$129="","",INPUT!$B$129)</f>
        <v>0.066745775088671</v>
      </c>
      <c r="AB9" s="16" t="s">
        <v>17</v>
      </c>
    </row>
    <row r="10" customFormat="false" ht="21.75" hidden="false" customHeight="true" outlineLevel="0" collapsed="false">
      <c r="A10" s="19" t="n">
        <f aca="false">$T$28</f>
        <v>0.0852406369860424</v>
      </c>
      <c r="B10" s="19"/>
      <c r="C10" s="19"/>
      <c r="D10" s="20" t="n">
        <f aca="false">$U$28</f>
        <v>0.066745775088671</v>
      </c>
      <c r="E10" s="20"/>
      <c r="F10" s="20"/>
      <c r="G10" s="21" t="n">
        <f aca="false">$U$28-$T$28</f>
        <v>-0.0184948618973714</v>
      </c>
      <c r="H10" s="21"/>
      <c r="I10" s="21"/>
      <c r="J10" s="22" t="n">
        <f aca="false">IFERROR($U$28/$T$28,0)</f>
        <v>0.78302764325424</v>
      </c>
      <c r="K10" s="22"/>
      <c r="L10" s="22"/>
      <c r="M10" s="23" t="n">
        <f aca="false">SUMPRODUCT($G$13:$G$27,$H$13:$H$27,$R$13:$R$27)/100000</f>
        <v>5.1186</v>
      </c>
      <c r="N10" s="23"/>
      <c r="O10" s="23"/>
      <c r="P10" s="24" t="n">
        <f aca="false">SUM($S$13:$S$27)</f>
        <v>74760</v>
      </c>
      <c r="Q10" s="24"/>
      <c r="R10" s="24"/>
      <c r="S10" s="25" t="n">
        <f aca="false">COUNTIF($V$13:$V$27,"Delay")</f>
        <v>2</v>
      </c>
      <c r="T10" s="25"/>
      <c r="U10" s="22" t="n">
        <f aca="false">$U$60</f>
        <v>5</v>
      </c>
      <c r="V10" s="22"/>
      <c r="Y10" s="13" t="n">
        <f aca="false">INPUT!$A$130</f>
        <v>46229</v>
      </c>
      <c r="Z10" s="14" t="n">
        <f aca="false">SUMPRODUCT($I$13:$I$27,(($Y10&gt;=$K$13:$K$27)+($Y10&lt;$K$13:$K$27)*($Y10&gt;=$J$13:$J$27)*(($Y10-$J$13:$J$27+1)/($K$13:$K$27-$J$13:$J$27+1))))</f>
        <v>0.058309727665432</v>
      </c>
      <c r="AA10" s="15" t="n">
        <f aca="false">IF(INPUT!$B$130="","",INPUT!$B$130)</f>
        <v>0.066745775088671</v>
      </c>
      <c r="AB10" s="16" t="s">
        <v>17</v>
      </c>
    </row>
    <row r="11" customFormat="false" ht="15" hidden="false" customHeight="true" outlineLevel="0" collapsed="false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Y11" s="13" t="n">
        <f aca="false">INPUT!$A$131</f>
        <v>46234</v>
      </c>
      <c r="Z11" s="14" t="n">
        <f aca="false">SUMPRODUCT($I$13:$I$27,(($Y11&gt;=$K$13:$K$27)+($Y11&lt;$K$13:$K$27)*($Y11&gt;=$J$13:$J$27)*(($Y11-$J$13:$J$27+1)/($K$13:$K$27-$J$13:$J$27+1))))</f>
        <v>0.0852406369860424</v>
      </c>
      <c r="AA11" s="26" t="n">
        <f aca="false">$U$28</f>
        <v>0.066745775088671</v>
      </c>
      <c r="AB11" s="16" t="s">
        <v>34</v>
      </c>
    </row>
    <row r="12" customFormat="false" ht="30" hidden="false" customHeight="true" outlineLevel="0" collapsed="false">
      <c r="A12" s="10" t="s">
        <v>35</v>
      </c>
      <c r="B12" s="10" t="s">
        <v>36</v>
      </c>
      <c r="C12" s="10"/>
      <c r="D12" s="10"/>
      <c r="E12" s="10"/>
      <c r="F12" s="10" t="s">
        <v>37</v>
      </c>
      <c r="G12" s="10" t="s">
        <v>38</v>
      </c>
      <c r="H12" s="10" t="s">
        <v>39</v>
      </c>
      <c r="I12" s="10" t="s">
        <v>40</v>
      </c>
      <c r="J12" s="10" t="s">
        <v>41</v>
      </c>
      <c r="K12" s="10" t="s">
        <v>42</v>
      </c>
      <c r="L12" s="10" t="s">
        <v>43</v>
      </c>
      <c r="M12" s="10" t="s">
        <v>25</v>
      </c>
      <c r="N12" s="10" t="s">
        <v>44</v>
      </c>
      <c r="O12" s="10" t="s">
        <v>45</v>
      </c>
      <c r="P12" s="10" t="s">
        <v>46</v>
      </c>
      <c r="Q12" s="10" t="s">
        <v>47</v>
      </c>
      <c r="R12" s="10" t="s">
        <v>48</v>
      </c>
      <c r="S12" s="10" t="s">
        <v>49</v>
      </c>
      <c r="T12" s="10" t="s">
        <v>50</v>
      </c>
      <c r="U12" s="10" t="s">
        <v>51</v>
      </c>
      <c r="V12" s="10" t="s">
        <v>52</v>
      </c>
      <c r="Y12" s="13" t="n">
        <f aca="false">INPUT!$A$132</f>
        <v>46239</v>
      </c>
      <c r="Z12" s="14" t="n">
        <f aca="false">SUMPRODUCT($I$13:$I$27,(($Y12&gt;=$K$13:$K$27)+($Y12&lt;$K$13:$K$27)*($Y12&gt;=$J$13:$J$27)*(($Y12-$J$13:$J$27+1)/($K$13:$K$27-$J$13:$J$27+1))))</f>
        <v>0.112171546306653</v>
      </c>
      <c r="AA12" s="15" t="str">
        <f aca="false">IF(INPUT!$B$132="","",INPUT!$B$132)</f>
        <v/>
      </c>
      <c r="AB12" s="16" t="s">
        <v>17</v>
      </c>
    </row>
    <row r="13" customFormat="false" ht="12.75" hidden="false" customHeight="true" outlineLevel="0" collapsed="false">
      <c r="A13" s="27" t="n">
        <v>1</v>
      </c>
      <c r="B13" s="9" t="str">
        <f aca="false">INPUT!$B$24</f>
        <v>UG HDPE water line 90 mm with fittings</v>
      </c>
      <c r="C13" s="9"/>
      <c r="D13" s="9"/>
      <c r="E13" s="9"/>
      <c r="F13" s="6" t="str">
        <f aca="false">INPUT!$E$24</f>
        <v>RM</v>
      </c>
      <c r="G13" s="28" t="n">
        <f aca="false">INPUT!$F$24</f>
        <v>640</v>
      </c>
      <c r="H13" s="29" t="n">
        <f aca="false">INPUT!$G$24</f>
        <v>680</v>
      </c>
      <c r="I13" s="15" t="n">
        <f aca="false">IFERROR(G13*H13/SUMPRODUCT($G$13:$G$27,$H$13:$H$27),0)</f>
        <v>0.0567494262466096</v>
      </c>
      <c r="J13" s="30" t="n">
        <f aca="false">INPUT!$H$24</f>
        <v>46213</v>
      </c>
      <c r="K13" s="30" t="n">
        <f aca="false">INPUT!$I$24</f>
        <v>46259</v>
      </c>
      <c r="L13" s="31" t="n">
        <f aca="false">K13-INPUT!$B$15</f>
        <v>25</v>
      </c>
      <c r="M13" s="32" t="n">
        <f aca="false">IF(INPUT!$B$15&gt;=K13,1,IF(INPUT!$B$15&lt;J13,0,(INPUT!$B$15-J13+1)/(K13-J13+1)))</f>
        <v>0.468085106382979</v>
      </c>
      <c r="N13" s="28" t="n">
        <f aca="false">INPUT!$J$24</f>
        <v>180</v>
      </c>
      <c r="O13" s="33" t="n">
        <f aca="false">INPUT!$K$24</f>
        <v>22</v>
      </c>
      <c r="P13" s="34" t="n">
        <f aca="false">N13+O13</f>
        <v>202</v>
      </c>
      <c r="Q13" s="35" t="n">
        <f aca="false">G13-P13</f>
        <v>438</v>
      </c>
      <c r="R13" s="36" t="n">
        <f aca="false">IFERROR(MIN(P13/G13,1),0)</f>
        <v>0.315625</v>
      </c>
      <c r="S13" s="37" t="n">
        <f aca="false">O13*H13</f>
        <v>14960</v>
      </c>
      <c r="T13" s="15" t="n">
        <f aca="false">I13*M13</f>
        <v>0.0265635612218173</v>
      </c>
      <c r="U13" s="15" t="n">
        <f aca="false">I13*R13</f>
        <v>0.0179115376590862</v>
      </c>
      <c r="V13" s="38" t="str">
        <f aca="false">IF(M13=0,"Not Started",IF(R13&gt;=0.999,"Completed",IF(R13&gt;=M13,"On Track",IF(R13&gt;=M13*0.8,"In Progress","Delay"))))</f>
        <v>Delay</v>
      </c>
      <c r="X13" s="39" t="str">
        <f aca="false">INPUT!$A$24</f>
        <v>PLB-10</v>
      </c>
      <c r="Y13" s="13" t="n">
        <f aca="false">INPUT!$A$133</f>
        <v>46244</v>
      </c>
      <c r="Z13" s="14" t="n">
        <f aca="false">SUMPRODUCT($I$13:$I$27,(($Y13&gt;=$K$13:$K$27)+($Y13&lt;$K$13:$K$27)*($Y13&gt;=$J$13:$J$27)*(($Y13-$J$13:$J$27+1)/($K$13:$K$27-$J$13:$J$27+1))))</f>
        <v>0.139102455627263</v>
      </c>
      <c r="AA13" s="15" t="str">
        <f aca="false">IF(INPUT!$B$133="","",INPUT!$B$133)</f>
        <v/>
      </c>
      <c r="AB13" s="16" t="s">
        <v>17</v>
      </c>
    </row>
    <row r="14" customFormat="false" ht="12.75" hidden="false" customHeight="true" outlineLevel="0" collapsed="false">
      <c r="A14" s="27" t="n">
        <v>2</v>
      </c>
      <c r="B14" s="9" t="str">
        <f aca="false">INPUT!$B$25</f>
        <v>UG sump, pump room piping &amp; valves</v>
      </c>
      <c r="C14" s="9"/>
      <c r="D14" s="9"/>
      <c r="E14" s="9"/>
      <c r="F14" s="6" t="str">
        <f aca="false">INPUT!$E$25</f>
        <v>LS</v>
      </c>
      <c r="G14" s="28" t="n">
        <f aca="false">INPUT!$F$25</f>
        <v>1</v>
      </c>
      <c r="H14" s="29" t="n">
        <f aca="false">INPUT!$G$25</f>
        <v>480000</v>
      </c>
      <c r="I14" s="15" t="n">
        <f aca="false">IFERROR(G14*H14/SUMPRODUCT($G$13:$G$27,$H$13:$H$27),0)</f>
        <v>0.0625912789484665</v>
      </c>
      <c r="J14" s="30" t="n">
        <f aca="false">INPUT!$H$25</f>
        <v>46249</v>
      </c>
      <c r="K14" s="30" t="n">
        <f aca="false">INPUT!$I$25</f>
        <v>46295</v>
      </c>
      <c r="L14" s="31" t="n">
        <f aca="false">K14-INPUT!$B$15</f>
        <v>61</v>
      </c>
      <c r="M14" s="32" t="n">
        <f aca="false">IF(INPUT!$B$15&gt;=K14,1,IF(INPUT!$B$15&lt;J14,0,(INPUT!$B$15-J14+1)/(K14-J14+1)))</f>
        <v>0</v>
      </c>
      <c r="N14" s="28" t="n">
        <f aca="false">INPUT!$J$25</f>
        <v>0</v>
      </c>
      <c r="O14" s="33" t="n">
        <f aca="false">INPUT!$K$25</f>
        <v>0</v>
      </c>
      <c r="P14" s="34" t="n">
        <f aca="false">N14+O14</f>
        <v>0</v>
      </c>
      <c r="Q14" s="35" t="n">
        <f aca="false">G14-P14</f>
        <v>1</v>
      </c>
      <c r="R14" s="36" t="n">
        <f aca="false">IFERROR(MIN(P14/G14,1),0)</f>
        <v>0</v>
      </c>
      <c r="S14" s="37" t="n">
        <f aca="false">O14*H14</f>
        <v>0</v>
      </c>
      <c r="T14" s="15" t="n">
        <f aca="false">I14*M14</f>
        <v>0</v>
      </c>
      <c r="U14" s="15" t="n">
        <f aca="false">I14*R14</f>
        <v>0</v>
      </c>
      <c r="V14" s="38" t="str">
        <f aca="false">IF(M14=0,"Not Started",IF(R14&gt;=0.999,"Completed",IF(R14&gt;=M14,"On Track",IF(R14&gt;=M14*0.8,"In Progress","Delay"))))</f>
        <v>Not Started</v>
      </c>
      <c r="X14" s="39" t="str">
        <f aca="false">INPUT!$A$25</f>
        <v>PLB-10</v>
      </c>
      <c r="Y14" s="13" t="n">
        <f aca="false">INPUT!$A$134</f>
        <v>46249</v>
      </c>
      <c r="Z14" s="14" t="n">
        <f aca="false">SUMPRODUCT($I$13:$I$27,(($Y14&gt;=$K$13:$K$27)+($Y14&lt;$K$13:$K$27)*($Y14&gt;=$J$13:$J$27)*(($Y14-$J$13:$J$27+1)/($K$13:$K$27-$J$13:$J$27+1))))</f>
        <v>0.167365094287203</v>
      </c>
      <c r="AA14" s="15" t="str">
        <f aca="false">IF(INPUT!$B$134="","",INPUT!$B$134)</f>
        <v/>
      </c>
      <c r="AB14" s="16" t="s">
        <v>17</v>
      </c>
    </row>
    <row r="15" customFormat="false" ht="12.75" hidden="false" customHeight="true" outlineLevel="0" collapsed="false">
      <c r="A15" s="27" t="n">
        <v>3</v>
      </c>
      <c r="B15" s="9" t="str">
        <f aca="false">INPUT!$B$26</f>
        <v>Water meter, valves &amp; masonry chambers</v>
      </c>
      <c r="C15" s="9"/>
      <c r="D15" s="9"/>
      <c r="E15" s="9"/>
      <c r="F15" s="6" t="str">
        <f aca="false">INPUT!$E$26</f>
        <v>NOS</v>
      </c>
      <c r="G15" s="28" t="n">
        <f aca="false">INPUT!$F$26</f>
        <v>16</v>
      </c>
      <c r="H15" s="29" t="n">
        <f aca="false">INPUT!$G$26</f>
        <v>12500</v>
      </c>
      <c r="I15" s="15" t="n">
        <f aca="false">IFERROR(G15*H15/SUMPRODUCT($G$13:$G$27,$H$13:$H$27),0)</f>
        <v>0.0260796995618611</v>
      </c>
      <c r="J15" s="30" t="n">
        <f aca="false">INPUT!$H$26</f>
        <v>46223</v>
      </c>
      <c r="K15" s="30" t="n">
        <f aca="false">INPUT!$I$26</f>
        <v>46270</v>
      </c>
      <c r="L15" s="31" t="n">
        <f aca="false">K15-INPUT!$B$15</f>
        <v>36</v>
      </c>
      <c r="M15" s="32" t="n">
        <f aca="false">IF(INPUT!$B$15&gt;=K15,1,IF(INPUT!$B$15&lt;J15,0,(INPUT!$B$15-J15+1)/(K15-J15+1)))</f>
        <v>0.25</v>
      </c>
      <c r="N15" s="28" t="n">
        <f aca="false">INPUT!$J$26</f>
        <v>3</v>
      </c>
      <c r="O15" s="33" t="n">
        <f aca="false">INPUT!$K$26</f>
        <v>1</v>
      </c>
      <c r="P15" s="34" t="n">
        <f aca="false">N15+O15</f>
        <v>4</v>
      </c>
      <c r="Q15" s="35" t="n">
        <f aca="false">G15-P15</f>
        <v>12</v>
      </c>
      <c r="R15" s="36" t="n">
        <f aca="false">IFERROR(MIN(P15/G15,1),0)</f>
        <v>0.25</v>
      </c>
      <c r="S15" s="37" t="n">
        <f aca="false">O15*H15</f>
        <v>12500</v>
      </c>
      <c r="T15" s="15" t="n">
        <f aca="false">I15*M15</f>
        <v>0.00651992489046526</v>
      </c>
      <c r="U15" s="15" t="n">
        <f aca="false">I15*R15</f>
        <v>0.00651992489046526</v>
      </c>
      <c r="V15" s="38" t="str">
        <f aca="false">IF(M15=0,"Not Started",IF(R15&gt;=0.999,"Completed",IF(R15&gt;=M15,"On Track",IF(R15&gt;=M15*0.8,"In Progress","Delay"))))</f>
        <v>On Track</v>
      </c>
      <c r="X15" s="39" t="str">
        <f aca="false">INPUT!$A$26</f>
        <v>PLB-10</v>
      </c>
      <c r="Y15" s="13" t="n">
        <f aca="false">INPUT!$A$135</f>
        <v>46254</v>
      </c>
      <c r="Z15" s="14" t="n">
        <f aca="false">SUMPRODUCT($I$13:$I$27,(($Y15&gt;=$K$13:$K$27)+($Y15&lt;$K$13:$K$27)*($Y15&gt;=$J$13:$J$27)*(($Y15-$J$13:$J$27+1)/($K$13:$K$27-$J$13:$J$27+1))))</f>
        <v>0.203527460179859</v>
      </c>
      <c r="AA15" s="15" t="str">
        <f aca="false">IF(INPUT!$B$135="","",INPUT!$B$135)</f>
        <v/>
      </c>
      <c r="AB15" s="16" t="s">
        <v>17</v>
      </c>
    </row>
    <row r="16" customFormat="false" ht="12.75" hidden="false" customHeight="true" outlineLevel="0" collapsed="false">
      <c r="A16" s="27" t="n">
        <v>4</v>
      </c>
      <c r="B16" s="9" t="str">
        <f aca="false">INPUT!$B$27</f>
        <v>CPVC piping 25 to 50 mm concealed</v>
      </c>
      <c r="C16" s="9"/>
      <c r="D16" s="9"/>
      <c r="E16" s="9"/>
      <c r="F16" s="6" t="str">
        <f aca="false">INPUT!$E$27</f>
        <v>RM</v>
      </c>
      <c r="G16" s="28" t="n">
        <f aca="false">INPUT!$F$27</f>
        <v>1450</v>
      </c>
      <c r="H16" s="29" t="n">
        <f aca="false">INPUT!$G$27</f>
        <v>420</v>
      </c>
      <c r="I16" s="15" t="n">
        <f aca="false">IFERROR(G16*H16/SUMPRODUCT($G$13:$G$27,$H$13:$H$27),0)</f>
        <v>0.0794126851658669</v>
      </c>
      <c r="J16" s="30" t="n">
        <f aca="false">INPUT!$H$27</f>
        <v>46254</v>
      </c>
      <c r="K16" s="30" t="n">
        <f aca="false">INPUT!$I$27</f>
        <v>46310</v>
      </c>
      <c r="L16" s="31" t="n">
        <f aca="false">K16-INPUT!$B$15</f>
        <v>76</v>
      </c>
      <c r="M16" s="32" t="n">
        <f aca="false">IF(INPUT!$B$15&gt;=K16,1,IF(INPUT!$B$15&lt;J16,0,(INPUT!$B$15-J16+1)/(K16-J16+1)))</f>
        <v>0</v>
      </c>
      <c r="N16" s="28" t="n">
        <f aca="false">INPUT!$J$27</f>
        <v>0</v>
      </c>
      <c r="O16" s="33" t="n">
        <f aca="false">INPUT!$K$27</f>
        <v>0</v>
      </c>
      <c r="P16" s="34" t="n">
        <f aca="false">N16+O16</f>
        <v>0</v>
      </c>
      <c r="Q16" s="35" t="n">
        <f aca="false">G16-P16</f>
        <v>1450</v>
      </c>
      <c r="R16" s="36" t="n">
        <f aca="false">IFERROR(MIN(P16/G16,1),0)</f>
        <v>0</v>
      </c>
      <c r="S16" s="37" t="n">
        <f aca="false">O16*H16</f>
        <v>0</v>
      </c>
      <c r="T16" s="15" t="n">
        <f aca="false">I16*M16</f>
        <v>0</v>
      </c>
      <c r="U16" s="15" t="n">
        <f aca="false">I16*R16</f>
        <v>0</v>
      </c>
      <c r="V16" s="38" t="str">
        <f aca="false">IF(M16=0,"Not Started",IF(R16&gt;=0.999,"Completed",IF(R16&gt;=M16,"On Track",IF(R16&gt;=M16*0.8,"In Progress","Delay"))))</f>
        <v>Not Started</v>
      </c>
      <c r="X16" s="39" t="str">
        <f aca="false">INPUT!$A$27</f>
        <v>PLB-20</v>
      </c>
      <c r="Y16" s="13" t="n">
        <f aca="false">INPUT!$A$136</f>
        <v>46259</v>
      </c>
      <c r="Z16" s="14" t="n">
        <f aca="false">SUMPRODUCT($I$13:$I$27,(($Y16&gt;=$K$13:$K$27)+($Y16&lt;$K$13:$K$27)*($Y16&gt;=$J$13:$J$27)*(($Y16-$J$13:$J$27+1)/($K$13:$K$27-$J$13:$J$27+1))))</f>
        <v>0.25146039491522</v>
      </c>
      <c r="AA16" s="15" t="str">
        <f aca="false">IF(INPUT!$B$136="","",INPUT!$B$136)</f>
        <v/>
      </c>
      <c r="AB16" s="16" t="s">
        <v>17</v>
      </c>
    </row>
    <row r="17" customFormat="false" ht="12.75" hidden="false" customHeight="true" outlineLevel="0" collapsed="false">
      <c r="A17" s="27" t="n">
        <v>5</v>
      </c>
      <c r="B17" s="9" t="str">
        <f aca="false">INPUT!$B$28</f>
        <v>GI piping 40 to 80 mm exposed</v>
      </c>
      <c r="C17" s="9"/>
      <c r="D17" s="9"/>
      <c r="E17" s="9"/>
      <c r="F17" s="6" t="str">
        <f aca="false">INPUT!$E$28</f>
        <v>RM</v>
      </c>
      <c r="G17" s="28" t="n">
        <f aca="false">INPUT!$F$28</f>
        <v>620</v>
      </c>
      <c r="H17" s="29" t="n">
        <f aca="false">INPUT!$G$28</f>
        <v>860</v>
      </c>
      <c r="I17" s="15" t="n">
        <f aca="false">IFERROR(G17*H17/SUMPRODUCT($G$13:$G$27,$H$13:$H$27),0)</f>
        <v>0.0695284790319216</v>
      </c>
      <c r="J17" s="30" t="n">
        <f aca="false">INPUT!$H$28</f>
        <v>46259</v>
      </c>
      <c r="K17" s="30" t="n">
        <f aca="false">INPUT!$I$28</f>
        <v>46305</v>
      </c>
      <c r="L17" s="31" t="n">
        <f aca="false">K17-INPUT!$B$15</f>
        <v>71</v>
      </c>
      <c r="M17" s="32" t="n">
        <f aca="false">IF(INPUT!$B$15&gt;=K17,1,IF(INPUT!$B$15&lt;J17,0,(INPUT!$B$15-J17+1)/(K17-J17+1)))</f>
        <v>0</v>
      </c>
      <c r="N17" s="28" t="n">
        <f aca="false">INPUT!$J$28</f>
        <v>0</v>
      </c>
      <c r="O17" s="33" t="n">
        <f aca="false">INPUT!$K$28</f>
        <v>0</v>
      </c>
      <c r="P17" s="34" t="n">
        <f aca="false">N17+O17</f>
        <v>0</v>
      </c>
      <c r="Q17" s="35" t="n">
        <f aca="false">G17-P17</f>
        <v>620</v>
      </c>
      <c r="R17" s="36" t="n">
        <f aca="false">IFERROR(MIN(P17/G17,1),0)</f>
        <v>0</v>
      </c>
      <c r="S17" s="37" t="n">
        <f aca="false">O17*H17</f>
        <v>0</v>
      </c>
      <c r="T17" s="15" t="n">
        <f aca="false">I17*M17</f>
        <v>0</v>
      </c>
      <c r="U17" s="15" t="n">
        <f aca="false">I17*R17</f>
        <v>0</v>
      </c>
      <c r="V17" s="38" t="str">
        <f aca="false">IF(M17=0,"Not Started",IF(R17&gt;=0.999,"Completed",IF(R17&gt;=M17,"On Track",IF(R17&gt;=M17*0.8,"In Progress","Delay"))))</f>
        <v>Not Started</v>
      </c>
      <c r="X17" s="39" t="str">
        <f aca="false">INPUT!$A$28</f>
        <v>PLB-20</v>
      </c>
      <c r="Y17" s="13" t="n">
        <f aca="false">INPUT!$A$137</f>
        <v>46264</v>
      </c>
      <c r="Z17" s="14" t="n">
        <f aca="false">SUMPRODUCT($I$13:$I$27,(($Y17&gt;=$K$13:$K$27)+($Y17&lt;$K$13:$K$27)*($Y17&gt;=$J$13:$J$27)*(($Y17-$J$13:$J$27+1)/($K$13:$K$27-$J$13:$J$27+1))))</f>
        <v>0.299273474010043</v>
      </c>
      <c r="AA17" s="15" t="str">
        <f aca="false">IF(INPUT!$B$137="","",INPUT!$B$137)</f>
        <v/>
      </c>
      <c r="AB17" s="16" t="s">
        <v>17</v>
      </c>
    </row>
    <row r="18" customFormat="false" ht="12.75" hidden="false" customHeight="true" outlineLevel="0" collapsed="false">
      <c r="A18" s="27" t="n">
        <v>6</v>
      </c>
      <c r="B18" s="9" t="str">
        <f aca="false">INPUT!$B$29</f>
        <v>Overhead tank connections, valves &amp; float</v>
      </c>
      <c r="C18" s="9"/>
      <c r="D18" s="9"/>
      <c r="E18" s="9"/>
      <c r="F18" s="6" t="str">
        <f aca="false">INPUT!$E$29</f>
        <v>NOS</v>
      </c>
      <c r="G18" s="28" t="n">
        <f aca="false">INPUT!$F$29</f>
        <v>12</v>
      </c>
      <c r="H18" s="29" t="n">
        <f aca="false">INPUT!$G$29</f>
        <v>9800</v>
      </c>
      <c r="I18" s="15" t="n">
        <f aca="false">IFERROR(G18*H18/SUMPRODUCT($G$13:$G$27,$H$13:$H$27),0)</f>
        <v>0.0153348633423743</v>
      </c>
      <c r="J18" s="30" t="n">
        <f aca="false">INPUT!$H$29</f>
        <v>46285</v>
      </c>
      <c r="K18" s="30" t="n">
        <f aca="false">INPUT!$I$29</f>
        <v>46320</v>
      </c>
      <c r="L18" s="31" t="n">
        <f aca="false">K18-INPUT!$B$15</f>
        <v>86</v>
      </c>
      <c r="M18" s="32" t="n">
        <f aca="false">IF(INPUT!$B$15&gt;=K18,1,IF(INPUT!$B$15&lt;J18,0,(INPUT!$B$15-J18+1)/(K18-J18+1)))</f>
        <v>0</v>
      </c>
      <c r="N18" s="28" t="n">
        <f aca="false">INPUT!$J$29</f>
        <v>0</v>
      </c>
      <c r="O18" s="33" t="n">
        <f aca="false">INPUT!$K$29</f>
        <v>0</v>
      </c>
      <c r="P18" s="34" t="n">
        <f aca="false">N18+O18</f>
        <v>0</v>
      </c>
      <c r="Q18" s="35" t="n">
        <f aca="false">G18-P18</f>
        <v>12</v>
      </c>
      <c r="R18" s="36" t="n">
        <f aca="false">IFERROR(MIN(P18/G18,1),0)</f>
        <v>0</v>
      </c>
      <c r="S18" s="37" t="n">
        <f aca="false">O18*H18</f>
        <v>0</v>
      </c>
      <c r="T18" s="15" t="n">
        <f aca="false">I18*M18</f>
        <v>0</v>
      </c>
      <c r="U18" s="15" t="n">
        <f aca="false">I18*R18</f>
        <v>0</v>
      </c>
      <c r="V18" s="38" t="str">
        <f aca="false">IF(M18=0,"Not Started",IF(R18&gt;=0.999,"Completed",IF(R18&gt;=M18,"On Track",IF(R18&gt;=M18*0.8,"In Progress","Delay"))))</f>
        <v>Not Started</v>
      </c>
      <c r="X18" s="39" t="str">
        <f aca="false">INPUT!$A$29</f>
        <v>PLB-20</v>
      </c>
    </row>
    <row r="19" customFormat="false" ht="12.75" hidden="false" customHeight="true" outlineLevel="0" collapsed="false">
      <c r="A19" s="27" t="n">
        <v>7</v>
      </c>
      <c r="B19" s="9" t="str">
        <f aca="false">INPUT!$B$30</f>
        <v>SWR / PVC soil &amp; waste pipe 110 mm</v>
      </c>
      <c r="C19" s="9"/>
      <c r="D19" s="9"/>
      <c r="E19" s="9"/>
      <c r="F19" s="6" t="str">
        <f aca="false">INPUT!$E$30</f>
        <v>RM</v>
      </c>
      <c r="G19" s="28" t="n">
        <f aca="false">INPUT!$F$30</f>
        <v>980</v>
      </c>
      <c r="H19" s="29" t="n">
        <f aca="false">INPUT!$G$30</f>
        <v>480</v>
      </c>
      <c r="I19" s="15" t="n">
        <f aca="false">IFERROR(G19*H19/SUMPRODUCT($G$13:$G$27,$H$13:$H$27),0)</f>
        <v>0.0613394533694972</v>
      </c>
      <c r="J19" s="30" t="n">
        <f aca="false">INPUT!$H$30</f>
        <v>46254</v>
      </c>
      <c r="K19" s="30" t="n">
        <f aca="false">INPUT!$I$30</f>
        <v>46305</v>
      </c>
      <c r="L19" s="31" t="n">
        <f aca="false">K19-INPUT!$B$15</f>
        <v>71</v>
      </c>
      <c r="M19" s="32" t="n">
        <f aca="false">IF(INPUT!$B$15&gt;=K19,1,IF(INPUT!$B$15&lt;J19,0,(INPUT!$B$15-J19+1)/(K19-J19+1)))</f>
        <v>0</v>
      </c>
      <c r="N19" s="28" t="n">
        <f aca="false">INPUT!$J$30</f>
        <v>0</v>
      </c>
      <c r="O19" s="33" t="n">
        <f aca="false">INPUT!$K$30</f>
        <v>0</v>
      </c>
      <c r="P19" s="34" t="n">
        <f aca="false">N19+O19</f>
        <v>0</v>
      </c>
      <c r="Q19" s="35" t="n">
        <f aca="false">G19-P19</f>
        <v>980</v>
      </c>
      <c r="R19" s="36" t="n">
        <f aca="false">IFERROR(MIN(P19/G19,1),0)</f>
        <v>0</v>
      </c>
      <c r="S19" s="37" t="n">
        <f aca="false">O19*H19</f>
        <v>0</v>
      </c>
      <c r="T19" s="15" t="n">
        <f aca="false">I19*M19</f>
        <v>0</v>
      </c>
      <c r="U19" s="15" t="n">
        <f aca="false">I19*R19</f>
        <v>0</v>
      </c>
      <c r="V19" s="38" t="str">
        <f aca="false">IF(M19=0,"Not Started",IF(R19&gt;=0.999,"Completed",IF(R19&gt;=M19,"On Track",IF(R19&gt;=M19*0.8,"In Progress","Delay"))))</f>
        <v>Not Started</v>
      </c>
      <c r="X19" s="39" t="str">
        <f aca="false">INPUT!$A$30</f>
        <v>PLB-30</v>
      </c>
    </row>
    <row r="20" customFormat="false" ht="12.75" hidden="false" customHeight="true" outlineLevel="0" collapsed="false">
      <c r="A20" s="27" t="n">
        <v>8</v>
      </c>
      <c r="B20" s="9" t="str">
        <f aca="false">INPUT!$B$31</f>
        <v>Rainwater downtake pipe 160 mm</v>
      </c>
      <c r="C20" s="9"/>
      <c r="D20" s="9"/>
      <c r="E20" s="9"/>
      <c r="F20" s="6" t="str">
        <f aca="false">INPUT!$E$31</f>
        <v>RM</v>
      </c>
      <c r="G20" s="28" t="n">
        <f aca="false">INPUT!$F$31</f>
        <v>720</v>
      </c>
      <c r="H20" s="29" t="n">
        <f aca="false">INPUT!$G$31</f>
        <v>620</v>
      </c>
      <c r="I20" s="15" t="n">
        <f aca="false">IFERROR(G20*H20/SUMPRODUCT($G$13:$G$27,$H$13:$H$27),0)</f>
        <v>0.0582098894220739</v>
      </c>
      <c r="J20" s="30" t="n">
        <f aca="false">INPUT!$H$31</f>
        <v>46266</v>
      </c>
      <c r="K20" s="30" t="n">
        <f aca="false">INPUT!$I$31</f>
        <v>46315</v>
      </c>
      <c r="L20" s="31" t="n">
        <f aca="false">K20-INPUT!$B$15</f>
        <v>81</v>
      </c>
      <c r="M20" s="32" t="n">
        <f aca="false">IF(INPUT!$B$15&gt;=K20,1,IF(INPUT!$B$15&lt;J20,0,(INPUT!$B$15-J20+1)/(K20-J20+1)))</f>
        <v>0</v>
      </c>
      <c r="N20" s="28" t="n">
        <f aca="false">INPUT!$J$31</f>
        <v>0</v>
      </c>
      <c r="O20" s="33" t="n">
        <f aca="false">INPUT!$K$31</f>
        <v>0</v>
      </c>
      <c r="P20" s="34" t="n">
        <f aca="false">N20+O20</f>
        <v>0</v>
      </c>
      <c r="Q20" s="35" t="n">
        <f aca="false">G20-P20</f>
        <v>720</v>
      </c>
      <c r="R20" s="36" t="n">
        <f aca="false">IFERROR(MIN(P20/G20,1),0)</f>
        <v>0</v>
      </c>
      <c r="S20" s="37" t="n">
        <f aca="false">O20*H20</f>
        <v>0</v>
      </c>
      <c r="T20" s="15" t="n">
        <f aca="false">I20*M20</f>
        <v>0</v>
      </c>
      <c r="U20" s="15" t="n">
        <f aca="false">I20*R20</f>
        <v>0</v>
      </c>
      <c r="V20" s="38" t="str">
        <f aca="false">IF(M20=0,"Not Started",IF(R20&gt;=0.999,"Completed",IF(R20&gt;=M20,"On Track",IF(R20&gt;=M20*0.8,"In Progress","Delay"))))</f>
        <v>Not Started</v>
      </c>
      <c r="X20" s="39" t="str">
        <f aca="false">INPUT!$A$31</f>
        <v>PLB-30</v>
      </c>
    </row>
    <row r="21" customFormat="false" ht="12.75" hidden="false" customHeight="true" outlineLevel="0" collapsed="false">
      <c r="A21" s="27" t="n">
        <v>9</v>
      </c>
      <c r="B21" s="9" t="str">
        <f aca="false">INPUT!$B$32</f>
        <v>UG drainage line with inspection chambers</v>
      </c>
      <c r="C21" s="9"/>
      <c r="D21" s="9"/>
      <c r="E21" s="9"/>
      <c r="F21" s="6" t="str">
        <f aca="false">INPUT!$E$32</f>
        <v>RM</v>
      </c>
      <c r="G21" s="28" t="n">
        <f aca="false">INPUT!$F$32</f>
        <v>540</v>
      </c>
      <c r="H21" s="29" t="n">
        <f aca="false">INPUT!$G$32</f>
        <v>2200</v>
      </c>
      <c r="I21" s="15" t="n">
        <f aca="false">IFERROR(G21*H21/SUMPRODUCT($G$13:$G$27,$H$13:$H$27),0)</f>
        <v>0.154913415397455</v>
      </c>
      <c r="J21" s="30" t="n">
        <f aca="false">INPUT!$H$32</f>
        <v>46218</v>
      </c>
      <c r="K21" s="30" t="n">
        <f aca="false">INPUT!$I$32</f>
        <v>46275</v>
      </c>
      <c r="L21" s="31" t="n">
        <f aca="false">K21-INPUT!$B$15</f>
        <v>41</v>
      </c>
      <c r="M21" s="32" t="n">
        <f aca="false">IF(INPUT!$B$15&gt;=K21,1,IF(INPUT!$B$15&lt;J21,0,(INPUT!$B$15-J21+1)/(K21-J21+1)))</f>
        <v>0.293103448275862</v>
      </c>
      <c r="N21" s="28" t="n">
        <f aca="false">INPUT!$J$32</f>
        <v>96</v>
      </c>
      <c r="O21" s="33" t="n">
        <f aca="false">INPUT!$K$32</f>
        <v>14</v>
      </c>
      <c r="P21" s="34" t="n">
        <f aca="false">N21+O21</f>
        <v>110</v>
      </c>
      <c r="Q21" s="35" t="n">
        <f aca="false">G21-P21</f>
        <v>430</v>
      </c>
      <c r="R21" s="36" t="n">
        <f aca="false">IFERROR(MIN(P21/G21,1),0)</f>
        <v>0.203703703703704</v>
      </c>
      <c r="S21" s="37" t="n">
        <f aca="false">O21*H21</f>
        <v>30800</v>
      </c>
      <c r="T21" s="15" t="n">
        <f aca="false">I21*M21</f>
        <v>0.045405656237185</v>
      </c>
      <c r="U21" s="15" t="n">
        <f aca="false">I21*R21</f>
        <v>0.0315564364698519</v>
      </c>
      <c r="V21" s="38" t="str">
        <f aca="false">IF(M21=0,"Not Started",IF(R21&gt;=0.999,"Completed",IF(R21&gt;=M21,"On Track",IF(R21&gt;=M21*0.8,"In Progress","Delay"))))</f>
        <v>Delay</v>
      </c>
      <c r="X21" s="39" t="str">
        <f aca="false">INPUT!$A$32</f>
        <v>PLB-30</v>
      </c>
    </row>
    <row r="22" customFormat="false" ht="12.75" hidden="false" customHeight="true" outlineLevel="0" collapsed="false">
      <c r="A22" s="27" t="n">
        <v>10</v>
      </c>
      <c r="B22" s="9" t="str">
        <f aca="false">INPUT!$B$33</f>
        <v>Manholes, gully traps &amp; covers</v>
      </c>
      <c r="C22" s="9"/>
      <c r="D22" s="9"/>
      <c r="E22" s="9"/>
      <c r="F22" s="6" t="str">
        <f aca="false">INPUT!$E$33</f>
        <v>NOS</v>
      </c>
      <c r="G22" s="28" t="n">
        <f aca="false">INPUT!$F$33</f>
        <v>26</v>
      </c>
      <c r="H22" s="29" t="n">
        <f aca="false">INPUT!$G$33</f>
        <v>16500</v>
      </c>
      <c r="I22" s="15" t="n">
        <f aca="false">IFERROR(G22*H22/SUMPRODUCT($G$13:$G$27,$H$13:$H$27),0)</f>
        <v>0.055940955560192</v>
      </c>
      <c r="J22" s="30" t="n">
        <f aca="false">INPUT!$H$33</f>
        <v>46228</v>
      </c>
      <c r="K22" s="30" t="n">
        <f aca="false">INPUT!$I$33</f>
        <v>46285</v>
      </c>
      <c r="L22" s="31" t="n">
        <f aca="false">K22-INPUT!$B$15</f>
        <v>51</v>
      </c>
      <c r="M22" s="32" t="n">
        <f aca="false">IF(INPUT!$B$15&gt;=K22,1,IF(INPUT!$B$15&lt;J22,0,(INPUT!$B$15-J22+1)/(K22-J22+1)))</f>
        <v>0.120689655172414</v>
      </c>
      <c r="N22" s="28" t="n">
        <f aca="false">INPUT!$J$33</f>
        <v>4</v>
      </c>
      <c r="O22" s="33" t="n">
        <f aca="false">INPUT!$K$33</f>
        <v>1</v>
      </c>
      <c r="P22" s="34" t="n">
        <f aca="false">N22+O22</f>
        <v>5</v>
      </c>
      <c r="Q22" s="35" t="n">
        <f aca="false">G22-P22</f>
        <v>21</v>
      </c>
      <c r="R22" s="36" t="n">
        <f aca="false">IFERROR(MIN(P22/G22,1),0)</f>
        <v>0.192307692307692</v>
      </c>
      <c r="S22" s="37" t="n">
        <f aca="false">O22*H22</f>
        <v>16500</v>
      </c>
      <c r="T22" s="15" t="n">
        <f aca="false">I22*M22</f>
        <v>0.00675149463657489</v>
      </c>
      <c r="U22" s="15" t="n">
        <f aca="false">I22*R22</f>
        <v>0.0107578760692677</v>
      </c>
      <c r="V22" s="38" t="str">
        <f aca="false">IF(M22=0,"Not Started",IF(R22&gt;=0.999,"Completed",IF(R22&gt;=M22,"On Track",IF(R22&gt;=M22*0.8,"In Progress","Delay"))))</f>
        <v>On Track</v>
      </c>
      <c r="X22" s="39" t="str">
        <f aca="false">INPUT!$A$33</f>
        <v>PLB-30</v>
      </c>
    </row>
    <row r="23" customFormat="false" ht="12.75" hidden="false" customHeight="true" outlineLevel="0" collapsed="false">
      <c r="A23" s="27" t="n">
        <v>11</v>
      </c>
      <c r="B23" s="9" t="str">
        <f aca="false">INPUT!$B$34</f>
        <v>WC, wash basin &amp; urinal with fittings</v>
      </c>
      <c r="C23" s="9"/>
      <c r="D23" s="9"/>
      <c r="E23" s="9"/>
      <c r="F23" s="6" t="str">
        <f aca="false">INPUT!$E$34</f>
        <v>NOS</v>
      </c>
      <c r="G23" s="28" t="n">
        <f aca="false">INPUT!$F$34</f>
        <v>68</v>
      </c>
      <c r="H23" s="29" t="n">
        <f aca="false">INPUT!$G$34</f>
        <v>14500</v>
      </c>
      <c r="I23" s="15" t="n">
        <f aca="false">IFERROR(G23*H23/SUMPRODUCT($G$13:$G$27,$H$13:$H$27),0)</f>
        <v>0.128572918839975</v>
      </c>
      <c r="J23" s="30" t="n">
        <f aca="false">INPUT!$H$34</f>
        <v>46296</v>
      </c>
      <c r="K23" s="30" t="n">
        <f aca="false">INPUT!$I$34</f>
        <v>46341</v>
      </c>
      <c r="L23" s="31" t="n">
        <f aca="false">K23-INPUT!$B$15</f>
        <v>107</v>
      </c>
      <c r="M23" s="32" t="n">
        <f aca="false">IF(INPUT!$B$15&gt;=K23,1,IF(INPUT!$B$15&lt;J23,0,(INPUT!$B$15-J23+1)/(K23-J23+1)))</f>
        <v>0</v>
      </c>
      <c r="N23" s="28" t="n">
        <f aca="false">INPUT!$J$34</f>
        <v>0</v>
      </c>
      <c r="O23" s="33" t="n">
        <f aca="false">INPUT!$K$34</f>
        <v>0</v>
      </c>
      <c r="P23" s="34" t="n">
        <f aca="false">N23+O23</f>
        <v>0</v>
      </c>
      <c r="Q23" s="35" t="n">
        <f aca="false">G23-P23</f>
        <v>68</v>
      </c>
      <c r="R23" s="36" t="n">
        <f aca="false">IFERROR(MIN(P23/G23,1),0)</f>
        <v>0</v>
      </c>
      <c r="S23" s="37" t="n">
        <f aca="false">O23*H23</f>
        <v>0</v>
      </c>
      <c r="T23" s="15" t="n">
        <f aca="false">I23*M23</f>
        <v>0</v>
      </c>
      <c r="U23" s="15" t="n">
        <f aca="false">I23*R23</f>
        <v>0</v>
      </c>
      <c r="V23" s="38" t="str">
        <f aca="false">IF(M23=0,"Not Started",IF(R23&gt;=0.999,"Completed",IF(R23&gt;=M23,"On Track",IF(R23&gt;=M23*0.8,"In Progress","Delay"))))</f>
        <v>Not Started</v>
      </c>
      <c r="X23" s="39" t="str">
        <f aca="false">INPUT!$A$34</f>
        <v>PLB-40</v>
      </c>
    </row>
    <row r="24" customFormat="false" ht="12.75" hidden="false" customHeight="true" outlineLevel="0" collapsed="false">
      <c r="A24" s="27" t="n">
        <v>12</v>
      </c>
      <c r="B24" s="9" t="str">
        <f aca="false">INPUT!$B$35</f>
        <v>CP fittings, taps &amp; health faucets</v>
      </c>
      <c r="C24" s="9"/>
      <c r="D24" s="9"/>
      <c r="E24" s="9"/>
      <c r="F24" s="6" t="str">
        <f aca="false">INPUT!$E$35</f>
        <v>NOS</v>
      </c>
      <c r="G24" s="28" t="n">
        <f aca="false">INPUT!$F$35</f>
        <v>120</v>
      </c>
      <c r="H24" s="29" t="n">
        <f aca="false">INPUT!$G$35</f>
        <v>3200</v>
      </c>
      <c r="I24" s="15" t="n">
        <f aca="false">IFERROR(G24*H24/SUMPRODUCT($G$13:$G$27,$H$13:$H$27),0)</f>
        <v>0.0500730231587732</v>
      </c>
      <c r="J24" s="30" t="n">
        <f aca="false">INPUT!$H$35</f>
        <v>46305</v>
      </c>
      <c r="K24" s="30" t="n">
        <f aca="false">INPUT!$I$35</f>
        <v>46346</v>
      </c>
      <c r="L24" s="31" t="n">
        <f aca="false">K24-INPUT!$B$15</f>
        <v>112</v>
      </c>
      <c r="M24" s="32" t="n">
        <f aca="false">IF(INPUT!$B$15&gt;=K24,1,IF(INPUT!$B$15&lt;J24,0,(INPUT!$B$15-J24+1)/(K24-J24+1)))</f>
        <v>0</v>
      </c>
      <c r="N24" s="28" t="n">
        <f aca="false">INPUT!$J$35</f>
        <v>0</v>
      </c>
      <c r="O24" s="33" t="n">
        <f aca="false">INPUT!$K$35</f>
        <v>0</v>
      </c>
      <c r="P24" s="34" t="n">
        <f aca="false">N24+O24</f>
        <v>0</v>
      </c>
      <c r="Q24" s="35" t="n">
        <f aca="false">G24-P24</f>
        <v>120</v>
      </c>
      <c r="R24" s="36" t="n">
        <f aca="false">IFERROR(MIN(P24/G24,1),0)</f>
        <v>0</v>
      </c>
      <c r="S24" s="37" t="n">
        <f aca="false">O24*H24</f>
        <v>0</v>
      </c>
      <c r="T24" s="15" t="n">
        <f aca="false">I24*M24</f>
        <v>0</v>
      </c>
      <c r="U24" s="15" t="n">
        <f aca="false">I24*R24</f>
        <v>0</v>
      </c>
      <c r="V24" s="38" t="str">
        <f aca="false">IF(M24=0,"Not Started",IF(R24&gt;=0.999,"Completed",IF(R24&gt;=M24,"On Track",IF(R24&gt;=M24*0.8,"In Progress","Delay"))))</f>
        <v>Not Started</v>
      </c>
      <c r="X24" s="39" t="str">
        <f aca="false">INPUT!$A$35</f>
        <v>PLB-40</v>
      </c>
    </row>
    <row r="25" customFormat="false" ht="12.75" hidden="false" customHeight="true" outlineLevel="0" collapsed="false">
      <c r="A25" s="27" t="n">
        <v>13</v>
      </c>
      <c r="B25" s="9" t="str">
        <f aca="false">INPUT!$B$36</f>
        <v>Water cooler &amp; drinking water stations</v>
      </c>
      <c r="C25" s="9"/>
      <c r="D25" s="9"/>
      <c r="E25" s="9"/>
      <c r="F25" s="6" t="str">
        <f aca="false">INPUT!$E$36</f>
        <v>NOS</v>
      </c>
      <c r="G25" s="28" t="n">
        <f aca="false">INPUT!$F$36</f>
        <v>8</v>
      </c>
      <c r="H25" s="29" t="n">
        <f aca="false">INPUT!$G$36</f>
        <v>42000</v>
      </c>
      <c r="I25" s="15" t="n">
        <f aca="false">IFERROR(G25*H25/SUMPRODUCT($G$13:$G$27,$H$13:$H$27),0)</f>
        <v>0.0438138952639266</v>
      </c>
      <c r="J25" s="30" t="n">
        <f aca="false">INPUT!$H$36</f>
        <v>46327</v>
      </c>
      <c r="K25" s="30" t="n">
        <f aca="false">INPUT!$I$36</f>
        <v>46351</v>
      </c>
      <c r="L25" s="31" t="n">
        <f aca="false">K25-INPUT!$B$15</f>
        <v>117</v>
      </c>
      <c r="M25" s="32" t="n">
        <f aca="false">IF(INPUT!$B$15&gt;=K25,1,IF(INPUT!$B$15&lt;J25,0,(INPUT!$B$15-J25+1)/(K25-J25+1)))</f>
        <v>0</v>
      </c>
      <c r="N25" s="28" t="n">
        <f aca="false">INPUT!$J$36</f>
        <v>0</v>
      </c>
      <c r="O25" s="33" t="n">
        <f aca="false">INPUT!$K$36</f>
        <v>0</v>
      </c>
      <c r="P25" s="34" t="n">
        <f aca="false">N25+O25</f>
        <v>0</v>
      </c>
      <c r="Q25" s="35" t="n">
        <f aca="false">G25-P25</f>
        <v>8</v>
      </c>
      <c r="R25" s="36" t="n">
        <f aca="false">IFERROR(MIN(P25/G25,1),0)</f>
        <v>0</v>
      </c>
      <c r="S25" s="37" t="n">
        <f aca="false">O25*H25</f>
        <v>0</v>
      </c>
      <c r="T25" s="15" t="n">
        <f aca="false">I25*M25</f>
        <v>0</v>
      </c>
      <c r="U25" s="15" t="n">
        <f aca="false">I25*R25</f>
        <v>0</v>
      </c>
      <c r="V25" s="38" t="str">
        <f aca="false">IF(M25=0,"Not Started",IF(R25&gt;=0.999,"Completed",IF(R25&gt;=M25,"On Track",IF(R25&gt;=M25*0.8,"In Progress","Delay"))))</f>
        <v>Not Started</v>
      </c>
      <c r="X25" s="39" t="str">
        <f aca="false">INPUT!$A$36</f>
        <v>PLB-40</v>
      </c>
    </row>
    <row r="26" customFormat="false" ht="12.75" hidden="false" customHeight="true" outlineLevel="0" collapsed="false">
      <c r="A26" s="27" t="n">
        <v>14</v>
      </c>
      <c r="B26" s="9" t="str">
        <f aca="false">INPUT!$B$37</f>
        <v>Pressure testing &amp; flushing of lines</v>
      </c>
      <c r="C26" s="9"/>
      <c r="D26" s="9"/>
      <c r="E26" s="9"/>
      <c r="F26" s="6" t="str">
        <f aca="false">INPUT!$E$37</f>
        <v>RM</v>
      </c>
      <c r="G26" s="28" t="n">
        <f aca="false">INPUT!$F$37</f>
        <v>3200</v>
      </c>
      <c r="H26" s="29" t="n">
        <f aca="false">INPUT!$G$37</f>
        <v>95</v>
      </c>
      <c r="I26" s="15" t="n">
        <f aca="false">IFERROR(G26*H26/SUMPRODUCT($G$13:$G$27,$H$13:$H$27),0)</f>
        <v>0.0396411433340288</v>
      </c>
      <c r="J26" s="30" t="n">
        <f aca="false">INPUT!$H$37</f>
        <v>46310</v>
      </c>
      <c r="K26" s="30" t="n">
        <f aca="false">INPUT!$I$37</f>
        <v>46356</v>
      </c>
      <c r="L26" s="31" t="n">
        <f aca="false">K26-INPUT!$B$15</f>
        <v>122</v>
      </c>
      <c r="M26" s="32" t="n">
        <f aca="false">IF(INPUT!$B$15&gt;=K26,1,IF(INPUT!$B$15&lt;J26,0,(INPUT!$B$15-J26+1)/(K26-J26+1)))</f>
        <v>0</v>
      </c>
      <c r="N26" s="28" t="n">
        <f aca="false">INPUT!$J$37</f>
        <v>0</v>
      </c>
      <c r="O26" s="33" t="n">
        <f aca="false">INPUT!$K$37</f>
        <v>0</v>
      </c>
      <c r="P26" s="34" t="n">
        <f aca="false">N26+O26</f>
        <v>0</v>
      </c>
      <c r="Q26" s="35" t="n">
        <f aca="false">G26-P26</f>
        <v>3200</v>
      </c>
      <c r="R26" s="36" t="n">
        <f aca="false">IFERROR(MIN(P26/G26,1),0)</f>
        <v>0</v>
      </c>
      <c r="S26" s="37" t="n">
        <f aca="false">O26*H26</f>
        <v>0</v>
      </c>
      <c r="T26" s="15" t="n">
        <f aca="false">I26*M26</f>
        <v>0</v>
      </c>
      <c r="U26" s="15" t="n">
        <f aca="false">I26*R26</f>
        <v>0</v>
      </c>
      <c r="V26" s="38" t="str">
        <f aca="false">IF(M26=0,"Not Started",IF(R26&gt;=0.999,"Completed",IF(R26&gt;=M26,"On Track",IF(R26&gt;=M26*0.8,"In Progress","Delay"))))</f>
        <v>Not Started</v>
      </c>
      <c r="X26" s="39" t="str">
        <f aca="false">INPUT!$A$37</f>
        <v>PLB-50</v>
      </c>
    </row>
    <row r="27" customFormat="false" ht="12.75" hidden="false" customHeight="true" outlineLevel="0" collapsed="false">
      <c r="A27" s="27" t="n">
        <v>15</v>
      </c>
      <c r="B27" s="9" t="str">
        <f aca="false">INPUT!$B$38</f>
        <v>STP tie-in, trial run &amp; commissioning</v>
      </c>
      <c r="C27" s="9"/>
      <c r="D27" s="9"/>
      <c r="E27" s="9"/>
      <c r="F27" s="6" t="str">
        <f aca="false">INPUT!$E$38</f>
        <v>LS</v>
      </c>
      <c r="G27" s="28" t="n">
        <f aca="false">INPUT!$F$38</f>
        <v>1</v>
      </c>
      <c r="H27" s="29" t="n">
        <f aca="false">INPUT!$G$38</f>
        <v>750000</v>
      </c>
      <c r="I27" s="15" t="n">
        <f aca="false">IFERROR(G27*H27/SUMPRODUCT($G$13:$G$27,$H$13:$H$27),0)</f>
        <v>0.0977988733569789</v>
      </c>
      <c r="J27" s="30" t="n">
        <f aca="false">INPUT!$H$38</f>
        <v>46341</v>
      </c>
      <c r="K27" s="30" t="n">
        <f aca="false">INPUT!$I$38</f>
        <v>46366</v>
      </c>
      <c r="L27" s="31" t="n">
        <f aca="false">K27-INPUT!$B$15</f>
        <v>132</v>
      </c>
      <c r="M27" s="32" t="n">
        <f aca="false">IF(INPUT!$B$15&gt;=K27,1,IF(INPUT!$B$15&lt;J27,0,(INPUT!$B$15-J27+1)/(K27-J27+1)))</f>
        <v>0</v>
      </c>
      <c r="N27" s="28" t="n">
        <f aca="false">INPUT!$J$38</f>
        <v>0</v>
      </c>
      <c r="O27" s="33" t="n">
        <f aca="false">INPUT!$K$38</f>
        <v>0</v>
      </c>
      <c r="P27" s="34" t="n">
        <f aca="false">N27+O27</f>
        <v>0</v>
      </c>
      <c r="Q27" s="35" t="n">
        <f aca="false">G27-P27</f>
        <v>1</v>
      </c>
      <c r="R27" s="36" t="n">
        <f aca="false">IFERROR(MIN(P27/G27,1),0)</f>
        <v>0</v>
      </c>
      <c r="S27" s="37" t="n">
        <f aca="false">O27*H27</f>
        <v>0</v>
      </c>
      <c r="T27" s="15" t="n">
        <f aca="false">I27*M27</f>
        <v>0</v>
      </c>
      <c r="U27" s="15" t="n">
        <f aca="false">I27*R27</f>
        <v>0</v>
      </c>
      <c r="V27" s="38" t="str">
        <f aca="false">IF(M27=0,"Not Started",IF(R27&gt;=0.999,"Completed",IF(R27&gt;=M27,"On Track",IF(R27&gt;=M27*0.8,"In Progress","Delay"))))</f>
        <v>Not Started</v>
      </c>
      <c r="X27" s="39" t="str">
        <f aca="false">INPUT!$A$38</f>
        <v>PLB-50</v>
      </c>
    </row>
    <row r="28" customFormat="false" ht="15.75" hidden="false" customHeight="true" outlineLevel="0" collapsed="false">
      <c r="A28" s="40" t="s">
        <v>53</v>
      </c>
      <c r="B28" s="40"/>
      <c r="C28" s="40"/>
      <c r="D28" s="40"/>
      <c r="E28" s="40"/>
      <c r="F28" s="41" t="str">
        <f aca="false">"₹ "&amp;TEXT(SUMPRODUCT($G$13:$G$27,$H$13:$H$27)/100000,"#,##0.0")&amp;" Lakh"</f>
        <v>₹ 76.7 Lakh</v>
      </c>
      <c r="G28" s="41"/>
      <c r="H28" s="41"/>
      <c r="I28" s="42" t="n">
        <f aca="false">SUM(I13:I27)</f>
        <v>1</v>
      </c>
      <c r="J28" s="41" t="s">
        <v>54</v>
      </c>
      <c r="K28" s="41"/>
      <c r="L28" s="41"/>
      <c r="M28" s="42" t="n">
        <f aca="false">T28</f>
        <v>0.0852406369860424</v>
      </c>
      <c r="N28" s="41"/>
      <c r="O28" s="41"/>
      <c r="P28" s="41"/>
      <c r="Q28" s="41"/>
      <c r="R28" s="42" t="n">
        <f aca="false">U28</f>
        <v>0.066745775088671</v>
      </c>
      <c r="S28" s="43" t="n">
        <f aca="false">SUM(S13:S27)</f>
        <v>74760</v>
      </c>
      <c r="T28" s="44" t="n">
        <f aca="false">SUM(T13:T27)</f>
        <v>0.0852406369860424</v>
      </c>
      <c r="U28" s="44" t="n">
        <f aca="false">SUM(U13:U27)</f>
        <v>0.066745775088671</v>
      </c>
      <c r="V28" s="41" t="str">
        <f aca="false">IF(U28&gt;=T28,"ON TRACK","BEHIND")</f>
        <v>BEHIND</v>
      </c>
    </row>
    <row r="29" customFormat="false" ht="15" hidden="false" customHeight="true" outlineLevel="0" collapsed="false">
      <c r="A29" s="7" t="s">
        <v>55</v>
      </c>
      <c r="B29" s="7"/>
      <c r="C29" s="7"/>
      <c r="D29" s="7"/>
      <c r="E29" s="7"/>
      <c r="F29" s="7"/>
      <c r="G29" s="7"/>
      <c r="H29" s="7"/>
      <c r="I29" s="7"/>
      <c r="J29" s="7"/>
      <c r="K29" s="7" t="s">
        <v>56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customFormat="false" ht="24" hidden="false" customHeight="true" outlineLevel="0" collapsed="false">
      <c r="A30" s="10" t="s">
        <v>57</v>
      </c>
      <c r="B30" s="10"/>
      <c r="C30" s="10" t="s">
        <v>58</v>
      </c>
      <c r="D30" s="10"/>
      <c r="E30" s="10"/>
      <c r="F30" s="10" t="s">
        <v>59</v>
      </c>
      <c r="G30" s="10"/>
      <c r="H30" s="10" t="s">
        <v>25</v>
      </c>
      <c r="I30" s="10" t="s">
        <v>26</v>
      </c>
      <c r="J30" s="10" t="s">
        <v>28</v>
      </c>
    </row>
    <row r="31" customFormat="false" ht="18" hidden="false" customHeight="true" outlineLevel="0" collapsed="false">
      <c r="A31" s="45" t="s">
        <v>60</v>
      </c>
      <c r="B31" s="45"/>
      <c r="C31" s="46" t="s">
        <v>61</v>
      </c>
      <c r="D31" s="46"/>
      <c r="E31" s="46"/>
      <c r="F31" s="32" t="n">
        <f aca="false">SUMIFS($I$13:$I$27,$X$13:$X$27,$A31)</f>
        <v>0.145420404756937</v>
      </c>
      <c r="G31" s="32"/>
      <c r="H31" s="32" t="n">
        <f aca="false">IFERROR(SUMIFS($T$13:$T$27,$X$13:$X$27,$A31)/F31,0)</f>
        <v>0.227502365762081</v>
      </c>
      <c r="I31" s="36" t="n">
        <f aca="false">IFERROR(SUMIFS($U$13:$U$27,$X$13:$X$27,$A31)/F31,0)</f>
        <v>0.168005738880918</v>
      </c>
      <c r="J31" s="47" t="n">
        <f aca="false">IFERROR(I31/H31,"")</f>
        <v>0.738479084901546</v>
      </c>
    </row>
    <row r="32" customFormat="false" ht="18" hidden="false" customHeight="true" outlineLevel="0" collapsed="false">
      <c r="A32" s="45" t="s">
        <v>62</v>
      </c>
      <c r="B32" s="45"/>
      <c r="C32" s="46" t="s">
        <v>63</v>
      </c>
      <c r="D32" s="46"/>
      <c r="E32" s="46"/>
      <c r="F32" s="32" t="n">
        <f aca="false">SUMIFS($I$13:$I$27,$X$13:$X$27,$A32)</f>
        <v>0.164276027540163</v>
      </c>
      <c r="G32" s="32"/>
      <c r="H32" s="32" t="n">
        <f aca="false">IFERROR(SUMIFS($T$13:$T$27,$X$13:$X$27,$A32)/F32,0)</f>
        <v>0</v>
      </c>
      <c r="I32" s="36" t="n">
        <f aca="false">IFERROR(SUMIFS($U$13:$U$27,$X$13:$X$27,$A32)/F32,0)</f>
        <v>0</v>
      </c>
      <c r="J32" s="47" t="str">
        <f aca="false">IFERROR(I32/H32,"")</f>
        <v/>
      </c>
    </row>
    <row r="33" customFormat="false" ht="18" hidden="false" customHeight="true" outlineLevel="0" collapsed="false">
      <c r="A33" s="45" t="s">
        <v>64</v>
      </c>
      <c r="B33" s="45"/>
      <c r="C33" s="46" t="s">
        <v>65</v>
      </c>
      <c r="D33" s="46"/>
      <c r="E33" s="46"/>
      <c r="F33" s="32" t="n">
        <f aca="false">SUMIFS($I$13:$I$27,$X$13:$X$27,$A33)</f>
        <v>0.330403713749218</v>
      </c>
      <c r="G33" s="32"/>
      <c r="H33" s="32" t="n">
        <f aca="false">IFERROR(SUMIFS($T$13:$T$27,$X$13:$X$27,$A33)/F33,0)</f>
        <v>0.157858851772314</v>
      </c>
      <c r="I33" s="36" t="n">
        <f aca="false">IFERROR(SUMIFS($U$13:$U$27,$X$13:$X$27,$A33)/F33,0)</f>
        <v>0.128068513694846</v>
      </c>
      <c r="J33" s="47" t="n">
        <f aca="false">IFERROR(I33/H33,"")</f>
        <v>0.811284969179706</v>
      </c>
    </row>
    <row r="34" customFormat="false" ht="18" hidden="false" customHeight="true" outlineLevel="0" collapsed="false">
      <c r="A34" s="45" t="s">
        <v>66</v>
      </c>
      <c r="B34" s="45"/>
      <c r="C34" s="46" t="s">
        <v>67</v>
      </c>
      <c r="D34" s="46"/>
      <c r="E34" s="46"/>
      <c r="F34" s="32" t="n">
        <f aca="false">SUMIFS($I$13:$I$27,$X$13:$X$27,$A34)</f>
        <v>0.222459837262675</v>
      </c>
      <c r="G34" s="32"/>
      <c r="H34" s="32" t="n">
        <f aca="false">IFERROR(SUMIFS($T$13:$T$27,$X$13:$X$27,$A34)/F34,0)</f>
        <v>0</v>
      </c>
      <c r="I34" s="36" t="n">
        <f aca="false">IFERROR(SUMIFS($U$13:$U$27,$X$13:$X$27,$A34)/F34,0)</f>
        <v>0</v>
      </c>
      <c r="J34" s="47" t="str">
        <f aca="false">IFERROR(I34/H34,"")</f>
        <v/>
      </c>
    </row>
    <row r="35" customFormat="false" ht="18" hidden="false" customHeight="true" outlineLevel="0" collapsed="false">
      <c r="A35" s="45" t="s">
        <v>68</v>
      </c>
      <c r="B35" s="45"/>
      <c r="C35" s="46" t="s">
        <v>69</v>
      </c>
      <c r="D35" s="46"/>
      <c r="E35" s="46"/>
      <c r="F35" s="32" t="n">
        <f aca="false">SUMIFS($I$13:$I$27,$X$13:$X$27,$A35)</f>
        <v>0.137440016691008</v>
      </c>
      <c r="G35" s="32"/>
      <c r="H35" s="32" t="n">
        <f aca="false">IFERROR(SUMIFS($T$13:$T$27,$X$13:$X$27,$A35)/F35,0)</f>
        <v>0</v>
      </c>
      <c r="I35" s="36" t="n">
        <f aca="false">IFERROR(SUMIFS($U$13:$U$27,$X$13:$X$27,$A35)/F35,0)</f>
        <v>0</v>
      </c>
      <c r="J35" s="47" t="str">
        <f aca="false">IFERROR(I35/H35,"")</f>
        <v/>
      </c>
    </row>
    <row r="36" customFormat="false" ht="15" hidden="false" customHeight="false" outlineLevel="0" collapsed="false">
      <c r="A36" s="40" t="s">
        <v>70</v>
      </c>
      <c r="B36" s="40"/>
      <c r="C36" s="40"/>
      <c r="D36" s="40"/>
      <c r="E36" s="40"/>
      <c r="F36" s="42" t="n">
        <f aca="false">SUM(F31:F35)</f>
        <v>1</v>
      </c>
      <c r="G36" s="42"/>
      <c r="H36" s="42" t="n">
        <f aca="false">$T$28</f>
        <v>0.0852406369860424</v>
      </c>
      <c r="I36" s="42" t="n">
        <f aca="false">$U$28</f>
        <v>0.066745775088671</v>
      </c>
      <c r="J36" s="48" t="n">
        <f aca="false">IFERROR(I36/H36,"")</f>
        <v>0.78302764325424</v>
      </c>
    </row>
    <row r="37" customFormat="false" ht="15" hidden="false" customHeight="true" outlineLevel="0" collapsed="false">
      <c r="A37" s="7" t="s">
        <v>71</v>
      </c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3.5" hidden="false" customHeight="true" outlineLevel="0" collapsed="false">
      <c r="A38" s="8" t="s">
        <v>72</v>
      </c>
      <c r="B38" s="8"/>
      <c r="C38" s="8"/>
      <c r="D38" s="8"/>
      <c r="E38" s="8"/>
      <c r="F38" s="8"/>
      <c r="G38" s="8"/>
      <c r="H38" s="34" t="n">
        <f aca="false">SUMPRODUCT($G$13:$G$27,$H$13:$H$27)/100000</f>
        <v>76.688</v>
      </c>
      <c r="I38" s="34"/>
      <c r="J38" s="34"/>
    </row>
    <row r="39" customFormat="false" ht="13.5" hidden="false" customHeight="true" outlineLevel="0" collapsed="false">
      <c r="A39" s="8" t="s">
        <v>73</v>
      </c>
      <c r="B39" s="8"/>
      <c r="C39" s="8"/>
      <c r="D39" s="8"/>
      <c r="E39" s="8"/>
      <c r="F39" s="8"/>
      <c r="G39" s="8"/>
      <c r="H39" s="34" t="n">
        <f aca="false">$H$38*$T$28</f>
        <v>6.53693396918562</v>
      </c>
      <c r="I39" s="34"/>
      <c r="J39" s="34"/>
    </row>
    <row r="40" customFormat="false" ht="13.5" hidden="false" customHeight="true" outlineLevel="0" collapsed="false">
      <c r="A40" s="8" t="s">
        <v>74</v>
      </c>
      <c r="B40" s="8"/>
      <c r="C40" s="8"/>
      <c r="D40" s="8"/>
      <c r="E40" s="8"/>
      <c r="F40" s="8"/>
      <c r="G40" s="8"/>
      <c r="H40" s="34" t="n">
        <f aca="false">$H$38*$U$28</f>
        <v>5.1186</v>
      </c>
      <c r="I40" s="34"/>
      <c r="J40" s="34"/>
    </row>
    <row r="41" customFormat="false" ht="13.5" hidden="false" customHeight="true" outlineLevel="0" collapsed="false">
      <c r="A41" s="8" t="s">
        <v>75</v>
      </c>
      <c r="B41" s="8"/>
      <c r="C41" s="8"/>
      <c r="D41" s="8"/>
      <c r="E41" s="8"/>
      <c r="F41" s="8"/>
      <c r="G41" s="8"/>
      <c r="H41" s="34" t="n">
        <f aca="false">INPUT!$B$17</f>
        <v>5.4</v>
      </c>
      <c r="I41" s="34"/>
      <c r="J41" s="34"/>
    </row>
    <row r="42" customFormat="false" ht="13.5" hidden="false" customHeight="true" outlineLevel="0" collapsed="false">
      <c r="A42" s="8" t="s">
        <v>76</v>
      </c>
      <c r="B42" s="8"/>
      <c r="C42" s="8"/>
      <c r="D42" s="8"/>
      <c r="E42" s="8"/>
      <c r="F42" s="8"/>
      <c r="G42" s="8"/>
      <c r="H42" s="49" t="n">
        <f aca="false">H40-H39</f>
        <v>-1.41833396918562</v>
      </c>
      <c r="I42" s="49"/>
      <c r="J42" s="49"/>
    </row>
    <row r="43" customFormat="false" ht="13.5" hidden="false" customHeight="true" outlineLevel="0" collapsed="false">
      <c r="A43" s="8" t="s">
        <v>77</v>
      </c>
      <c r="B43" s="8"/>
      <c r="C43" s="8"/>
      <c r="D43" s="8"/>
      <c r="E43" s="8"/>
      <c r="F43" s="8"/>
      <c r="G43" s="8"/>
      <c r="H43" s="49" t="n">
        <f aca="false">H40-H41</f>
        <v>-0.2814</v>
      </c>
      <c r="I43" s="49"/>
      <c r="J43" s="49"/>
    </row>
    <row r="44" customFormat="false" ht="13.5" hidden="false" customHeight="true" outlineLevel="0" collapsed="false">
      <c r="A44" s="8" t="s">
        <v>78</v>
      </c>
      <c r="B44" s="8"/>
      <c r="C44" s="8"/>
      <c r="D44" s="8"/>
      <c r="E44" s="8"/>
      <c r="F44" s="8"/>
      <c r="G44" s="8"/>
      <c r="H44" s="45" t="str">
        <f aca="false">TEXT(IFERROR(H40/H41,0),"0.00")&amp;"   |   ₹ "&amp;TEXT(IFERROR($H$38/(H40/H41),0),"#,##0.0")&amp;" L"</f>
        <v>0.95   |   ₹ 80.9 L</v>
      </c>
      <c r="I44" s="45"/>
      <c r="J44" s="45"/>
    </row>
    <row r="45" customFormat="false" ht="15" hidden="false" customHeight="true" outlineLevel="0" collapsed="false">
      <c r="A45" s="7" t="s">
        <v>79</v>
      </c>
      <c r="B45" s="7"/>
      <c r="C45" s="7"/>
      <c r="D45" s="7"/>
      <c r="E45" s="7"/>
      <c r="F45" s="7"/>
      <c r="G45" s="7"/>
      <c r="H45" s="7" t="s">
        <v>80</v>
      </c>
      <c r="I45" s="7"/>
      <c r="J45" s="7"/>
      <c r="K45" s="7"/>
      <c r="L45" s="7"/>
      <c r="M45" s="7"/>
      <c r="N45" s="7"/>
      <c r="O45" s="7" t="s">
        <v>81</v>
      </c>
      <c r="P45" s="7"/>
      <c r="Q45" s="7"/>
      <c r="R45" s="7"/>
      <c r="S45" s="7"/>
      <c r="T45" s="7"/>
      <c r="U45" s="7"/>
      <c r="V45" s="7"/>
    </row>
    <row r="46" customFormat="false" ht="27.75" hidden="false" customHeight="true" outlineLevel="0" collapsed="false">
      <c r="A46" s="10" t="s">
        <v>82</v>
      </c>
      <c r="B46" s="10"/>
      <c r="C46" s="10"/>
      <c r="D46" s="10" t="s">
        <v>83</v>
      </c>
      <c r="E46" s="10" t="s">
        <v>84</v>
      </c>
      <c r="F46" s="10" t="s">
        <v>85</v>
      </c>
      <c r="G46" s="10"/>
      <c r="H46" s="10" t="s">
        <v>86</v>
      </c>
      <c r="I46" s="10"/>
      <c r="J46" s="10"/>
      <c r="K46" s="10" t="s">
        <v>87</v>
      </c>
      <c r="L46" s="10" t="s">
        <v>88</v>
      </c>
      <c r="M46" s="10" t="s">
        <v>89</v>
      </c>
      <c r="N46" s="10" t="s">
        <v>90</v>
      </c>
      <c r="O46" s="10" t="s">
        <v>91</v>
      </c>
      <c r="P46" s="10"/>
      <c r="Q46" s="10"/>
      <c r="R46" s="10" t="s">
        <v>37</v>
      </c>
      <c r="S46" s="10" t="s">
        <v>92</v>
      </c>
      <c r="T46" s="10" t="s">
        <v>93</v>
      </c>
      <c r="U46" s="10" t="s">
        <v>94</v>
      </c>
      <c r="V46" s="10" t="s">
        <v>95</v>
      </c>
    </row>
    <row r="47" customFormat="false" ht="12.75" hidden="false" customHeight="true" outlineLevel="0" collapsed="false">
      <c r="A47" s="9" t="str">
        <f aca="false">INPUT!$A$42</f>
        <v>Plumber</v>
      </c>
      <c r="B47" s="9"/>
      <c r="C47" s="9"/>
      <c r="D47" s="50" t="n">
        <f aca="false">INPUT!$D$42</f>
        <v>10</v>
      </c>
      <c r="E47" s="50" t="n">
        <f aca="false">INPUT!$E$42</f>
        <v>8</v>
      </c>
      <c r="F47" s="51" t="n">
        <f aca="false">IFERROR(E47*INPUT!$F$42/INPUT!$B$12,0)</f>
        <v>8.5</v>
      </c>
      <c r="G47" s="51"/>
      <c r="H47" s="9" t="str">
        <f aca="false">INPUT!$A$51</f>
        <v>Excavator – JCB 3DX</v>
      </c>
      <c r="I47" s="9"/>
      <c r="J47" s="9"/>
      <c r="K47" s="50" t="n">
        <f aca="false">INPUT!$D$51</f>
        <v>1</v>
      </c>
      <c r="L47" s="52" t="n">
        <f aca="false">INPUT!$E$51</f>
        <v>5.5</v>
      </c>
      <c r="M47" s="52" t="n">
        <f aca="false">INPUT!$F$51</f>
        <v>2.5</v>
      </c>
      <c r="N47" s="53" t="n">
        <f aca="false">IFERROR(L47/(K47*INPUT!$B$12),0)</f>
        <v>0.6875</v>
      </c>
      <c r="O47" s="9" t="str">
        <f aca="false">INPUT!$A$60</f>
        <v>HDPE Pipe 90 mm</v>
      </c>
      <c r="P47" s="9"/>
      <c r="Q47" s="9"/>
      <c r="R47" s="6" t="str">
        <f aca="false">INPUT!$D$60</f>
        <v>RM</v>
      </c>
      <c r="S47" s="29" t="n">
        <f aca="false">INPUT!$E$60</f>
        <v>320</v>
      </c>
      <c r="T47" s="29" t="n">
        <f aca="false">INPUT!$F$60</f>
        <v>60</v>
      </c>
      <c r="U47" s="29" t="n">
        <f aca="false">INPUT!$G$60</f>
        <v>22</v>
      </c>
      <c r="V47" s="54" t="n">
        <f aca="false">S47+T47-U47</f>
        <v>358</v>
      </c>
    </row>
    <row r="48" customFormat="false" ht="12.75" hidden="false" customHeight="true" outlineLevel="0" collapsed="false">
      <c r="A48" s="9" t="str">
        <f aca="false">INPUT!$A$43</f>
        <v>Pipe Fitter</v>
      </c>
      <c r="B48" s="9"/>
      <c r="C48" s="9"/>
      <c r="D48" s="50" t="n">
        <f aca="false">INPUT!$D$43</f>
        <v>6</v>
      </c>
      <c r="E48" s="50" t="n">
        <f aca="false">INPUT!$E$43</f>
        <v>5</v>
      </c>
      <c r="F48" s="51" t="n">
        <f aca="false">IFERROR(E48*INPUT!$F$43/INPUT!$B$12,0)</f>
        <v>5.3125</v>
      </c>
      <c r="G48" s="51"/>
      <c r="H48" s="9" t="str">
        <f aca="false">INPUT!$A$52</f>
        <v>Hydro Test Pump</v>
      </c>
      <c r="I48" s="9"/>
      <c r="J48" s="9"/>
      <c r="K48" s="50" t="n">
        <f aca="false">INPUT!$D$52</f>
        <v>1</v>
      </c>
      <c r="L48" s="52" t="n">
        <f aca="false">INPUT!$E$52</f>
        <v>2.5</v>
      </c>
      <c r="M48" s="52" t="n">
        <f aca="false">INPUT!$F$52</f>
        <v>5.5</v>
      </c>
      <c r="N48" s="53" t="n">
        <f aca="false">IFERROR(L48/(K48*INPUT!$B$12),0)</f>
        <v>0.3125</v>
      </c>
      <c r="O48" s="9" t="str">
        <f aca="false">INPUT!$A$61</f>
        <v>CPVC Pipe &amp; fittings</v>
      </c>
      <c r="P48" s="9"/>
      <c r="Q48" s="9"/>
      <c r="R48" s="6" t="str">
        <f aca="false">INPUT!$D$61</f>
        <v>RM</v>
      </c>
      <c r="S48" s="29" t="n">
        <f aca="false">INPUT!$E$61</f>
        <v>0</v>
      </c>
      <c r="T48" s="29" t="n">
        <f aca="false">INPUT!$F$61</f>
        <v>0</v>
      </c>
      <c r="U48" s="29" t="n">
        <f aca="false">INPUT!$G$61</f>
        <v>0</v>
      </c>
      <c r="V48" s="54" t="n">
        <f aca="false">S48+T48-U48</f>
        <v>0</v>
      </c>
    </row>
    <row r="49" customFormat="false" ht="12.75" hidden="false" customHeight="true" outlineLevel="0" collapsed="false">
      <c r="A49" s="9" t="str">
        <f aca="false">INPUT!$A$44</f>
        <v>Mason – chambers &amp; manholes</v>
      </c>
      <c r="B49" s="9"/>
      <c r="C49" s="9"/>
      <c r="D49" s="50" t="n">
        <f aca="false">INPUT!$D$44</f>
        <v>6</v>
      </c>
      <c r="E49" s="50" t="n">
        <f aca="false">INPUT!$E$44</f>
        <v>6</v>
      </c>
      <c r="F49" s="51" t="n">
        <f aca="false">IFERROR(E49*INPUT!$F$44/INPUT!$B$12,0)</f>
        <v>6</v>
      </c>
      <c r="G49" s="51"/>
      <c r="H49" s="9" t="str">
        <f aca="false">INPUT!$A$53</f>
        <v>Threading &amp; Grooving Machine</v>
      </c>
      <c r="I49" s="9"/>
      <c r="J49" s="9"/>
      <c r="K49" s="50" t="n">
        <f aca="false">INPUT!$D$53</f>
        <v>2</v>
      </c>
      <c r="L49" s="52" t="n">
        <f aca="false">INPUT!$E$53</f>
        <v>9</v>
      </c>
      <c r="M49" s="52" t="n">
        <f aca="false">INPUT!$F$53</f>
        <v>7</v>
      </c>
      <c r="N49" s="53" t="n">
        <f aca="false">IFERROR(L49/(K49*INPUT!$B$12),0)</f>
        <v>0.5625</v>
      </c>
      <c r="O49" s="9" t="str">
        <f aca="false">INPUT!$A$62</f>
        <v>SWR / PVC Pipe 110 &amp; 160 mm</v>
      </c>
      <c r="P49" s="9"/>
      <c r="Q49" s="9"/>
      <c r="R49" s="6" t="str">
        <f aca="false">INPUT!$D$62</f>
        <v>RM</v>
      </c>
      <c r="S49" s="29" t="n">
        <f aca="false">INPUT!$E$62</f>
        <v>240</v>
      </c>
      <c r="T49" s="29" t="n">
        <f aca="false">INPUT!$F$62</f>
        <v>0</v>
      </c>
      <c r="U49" s="29" t="n">
        <f aca="false">INPUT!$G$62</f>
        <v>0</v>
      </c>
      <c r="V49" s="54" t="n">
        <f aca="false">S49+T49-U49</f>
        <v>240</v>
      </c>
    </row>
    <row r="50" customFormat="false" ht="12.75" hidden="false" customHeight="true" outlineLevel="0" collapsed="false">
      <c r="A50" s="9" t="str">
        <f aca="false">INPUT!$A$45</f>
        <v>Helper</v>
      </c>
      <c r="B50" s="9"/>
      <c r="C50" s="9"/>
      <c r="D50" s="50" t="n">
        <f aca="false">INPUT!$D$45</f>
        <v>12</v>
      </c>
      <c r="E50" s="50" t="n">
        <f aca="false">INPUT!$E$45</f>
        <v>10</v>
      </c>
      <c r="F50" s="51" t="n">
        <f aca="false">IFERROR(E50*INPUT!$F$45/INPUT!$B$12,0)</f>
        <v>10.625</v>
      </c>
      <c r="G50" s="51"/>
      <c r="H50" s="9" t="str">
        <f aca="false">INPUT!$A$54</f>
        <v>Core Cutting Machine</v>
      </c>
      <c r="I50" s="9"/>
      <c r="J50" s="9"/>
      <c r="K50" s="50" t="n">
        <f aca="false">INPUT!$D$54</f>
        <v>2</v>
      </c>
      <c r="L50" s="52" t="n">
        <f aca="false">INPUT!$E$54</f>
        <v>6</v>
      </c>
      <c r="M50" s="52" t="n">
        <f aca="false">INPUT!$F$54</f>
        <v>10</v>
      </c>
      <c r="N50" s="53" t="n">
        <f aca="false">IFERROR(L50/(K50*INPUT!$B$12),0)</f>
        <v>0.375</v>
      </c>
      <c r="O50" s="9" t="str">
        <f aca="false">INPUT!$A$63</f>
        <v>RCC / SW pipe for UG drainage</v>
      </c>
      <c r="P50" s="9"/>
      <c r="Q50" s="9"/>
      <c r="R50" s="6" t="str">
        <f aca="false">INPUT!$D$63</f>
        <v>RM</v>
      </c>
      <c r="S50" s="29" t="n">
        <f aca="false">INPUT!$E$63</f>
        <v>180</v>
      </c>
      <c r="T50" s="29" t="n">
        <f aca="false">INPUT!$F$63</f>
        <v>40</v>
      </c>
      <c r="U50" s="29" t="n">
        <f aca="false">INPUT!$G$63</f>
        <v>14</v>
      </c>
      <c r="V50" s="54" t="n">
        <f aca="false">S50+T50-U50</f>
        <v>206</v>
      </c>
    </row>
    <row r="51" customFormat="false" ht="12.75" hidden="false" customHeight="true" outlineLevel="0" collapsed="false">
      <c r="A51" s="9" t="str">
        <f aca="false">INPUT!$A$46</f>
        <v>Machine Operator</v>
      </c>
      <c r="B51" s="9"/>
      <c r="C51" s="9"/>
      <c r="D51" s="50" t="n">
        <f aca="false">INPUT!$D$46</f>
        <v>2</v>
      </c>
      <c r="E51" s="50" t="n">
        <f aca="false">INPUT!$E$46</f>
        <v>2</v>
      </c>
      <c r="F51" s="51" t="n">
        <f aca="false">IFERROR(E51*INPUT!$F$46/INPUT!$B$12,0)</f>
        <v>2</v>
      </c>
      <c r="G51" s="51"/>
      <c r="H51" s="9" t="str">
        <f aca="false">INPUT!$A$55</f>
        <v>Drilling &amp; Chasing Machines</v>
      </c>
      <c r="I51" s="9"/>
      <c r="J51" s="9"/>
      <c r="K51" s="50" t="n">
        <f aca="false">INPUT!$D$55</f>
        <v>6</v>
      </c>
      <c r="L51" s="52" t="n">
        <f aca="false">INPUT!$E$55</f>
        <v>28</v>
      </c>
      <c r="M51" s="52" t="n">
        <f aca="false">INPUT!$F$55</f>
        <v>20</v>
      </c>
      <c r="N51" s="53" t="n">
        <f aca="false">IFERROR(L51/(K51*INPUT!$B$12),0)</f>
        <v>0.583333333333333</v>
      </c>
      <c r="O51" s="9" t="str">
        <f aca="false">INPUT!$A$64</f>
        <v>Chamber covers, gully traps &amp; frames</v>
      </c>
      <c r="P51" s="9"/>
      <c r="Q51" s="9"/>
      <c r="R51" s="6" t="str">
        <f aca="false">INPUT!$D$64</f>
        <v>NOS</v>
      </c>
      <c r="S51" s="29" t="n">
        <f aca="false">INPUT!$E$64</f>
        <v>18</v>
      </c>
      <c r="T51" s="29" t="n">
        <f aca="false">INPUT!$F$64</f>
        <v>4</v>
      </c>
      <c r="U51" s="29" t="n">
        <f aca="false">INPUT!$G$64</f>
        <v>1</v>
      </c>
      <c r="V51" s="54" t="n">
        <f aca="false">S51+T51-U51</f>
        <v>21</v>
      </c>
    </row>
    <row r="52" customFormat="false" ht="12.75" hidden="false" customHeight="true" outlineLevel="0" collapsed="false">
      <c r="A52" s="9" t="str">
        <f aca="false">INPUT!$A$47</f>
        <v>Supervisor &amp; PMC Staff</v>
      </c>
      <c r="B52" s="9"/>
      <c r="C52" s="9"/>
      <c r="D52" s="50" t="n">
        <f aca="false">INPUT!$D$47</f>
        <v>3</v>
      </c>
      <c r="E52" s="50" t="n">
        <f aca="false">INPUT!$E$47</f>
        <v>3</v>
      </c>
      <c r="F52" s="51" t="n">
        <f aca="false">IFERROR(E52*INPUT!$F$47/INPUT!$B$12,0)</f>
        <v>3.375</v>
      </c>
      <c r="G52" s="51"/>
      <c r="H52" s="9" t="str">
        <f aca="false">INPUT!$A$56</f>
        <v>De-watering Pump &amp; DG Set</v>
      </c>
      <c r="I52" s="9"/>
      <c r="J52" s="9"/>
      <c r="K52" s="50" t="n">
        <f aca="false">INPUT!$D$56</f>
        <v>3</v>
      </c>
      <c r="L52" s="52" t="n">
        <f aca="false">INPUT!$E$56</f>
        <v>16</v>
      </c>
      <c r="M52" s="52" t="n">
        <f aca="false">INPUT!$F$56</f>
        <v>8</v>
      </c>
      <c r="N52" s="53" t="n">
        <f aca="false">IFERROR(L52/(K52*INPUT!$B$12),0)</f>
        <v>0.666666666666667</v>
      </c>
      <c r="O52" s="9" t="str">
        <f aca="false">INPUT!$A$65</f>
        <v>Solvent cement, sealant &amp; fasteners</v>
      </c>
      <c r="P52" s="9"/>
      <c r="Q52" s="9"/>
      <c r="R52" s="6" t="str">
        <f aca="false">INPUT!$D$65</f>
        <v>LTR</v>
      </c>
      <c r="S52" s="29" t="n">
        <f aca="false">INPUT!$E$65</f>
        <v>60</v>
      </c>
      <c r="T52" s="29" t="n">
        <f aca="false">INPUT!$F$65</f>
        <v>15</v>
      </c>
      <c r="U52" s="29" t="n">
        <f aca="false">INPUT!$G$65</f>
        <v>8</v>
      </c>
      <c r="V52" s="54" t="n">
        <f aca="false">S52+T52-U52</f>
        <v>67</v>
      </c>
    </row>
    <row r="53" customFormat="false" ht="15" hidden="false" customHeight="true" outlineLevel="0" collapsed="false">
      <c r="A53" s="40" t="s">
        <v>96</v>
      </c>
      <c r="B53" s="40"/>
      <c r="C53" s="40"/>
      <c r="D53" s="41" t="n">
        <f aca="false">SUM(D47:D52)</f>
        <v>39</v>
      </c>
      <c r="E53" s="41" t="n">
        <f aca="false">SUM(E47:E52)</f>
        <v>34</v>
      </c>
      <c r="F53" s="55" t="n">
        <f aca="false">SUM(F47:F52)</f>
        <v>35.8125</v>
      </c>
      <c r="G53" s="55"/>
      <c r="H53" s="40" t="s">
        <v>97</v>
      </c>
      <c r="I53" s="40"/>
      <c r="J53" s="40"/>
      <c r="K53" s="55" t="n">
        <f aca="false">SUM(K47:K52)</f>
        <v>15</v>
      </c>
      <c r="L53" s="55" t="n">
        <f aca="false">SUM(L47:L52)</f>
        <v>67</v>
      </c>
      <c r="M53" s="55" t="n">
        <f aca="false">SUM(M47:M52)</f>
        <v>53</v>
      </c>
      <c r="N53" s="56" t="n">
        <f aca="false">IFERROR(L53/(K53*INPUT!$B$12),0)</f>
        <v>0.558333333333333</v>
      </c>
      <c r="O53" s="57" t="s">
        <v>98</v>
      </c>
      <c r="P53" s="57"/>
      <c r="Q53" s="57"/>
      <c r="R53" s="57"/>
      <c r="S53" s="57"/>
      <c r="T53" s="57"/>
      <c r="U53" s="57"/>
      <c r="V53" s="57"/>
    </row>
    <row r="54" customFormat="false" ht="15" hidden="false" customHeight="true" outlineLevel="0" collapsed="false">
      <c r="A54" s="7" t="s">
        <v>99</v>
      </c>
      <c r="B54" s="7"/>
      <c r="C54" s="7"/>
      <c r="D54" s="7"/>
      <c r="E54" s="7"/>
      <c r="F54" s="7"/>
      <c r="G54" s="7"/>
      <c r="H54" s="7" t="s">
        <v>100</v>
      </c>
      <c r="I54" s="7"/>
      <c r="J54" s="7"/>
      <c r="K54" s="7"/>
      <c r="L54" s="7"/>
      <c r="M54" s="7"/>
      <c r="N54" s="7"/>
      <c r="O54" s="7" t="s">
        <v>101</v>
      </c>
      <c r="P54" s="7"/>
      <c r="Q54" s="7"/>
      <c r="R54" s="7"/>
      <c r="S54" s="7"/>
      <c r="T54" s="7"/>
      <c r="U54" s="7"/>
      <c r="V54" s="7"/>
    </row>
    <row r="55" customFormat="false" ht="12.75" hidden="false" customHeight="true" outlineLevel="0" collapsed="false">
      <c r="A55" s="9" t="str">
        <f aca="false">INPUT!$A$69</f>
        <v>Pressure test – UG water line 6 kg/cm²</v>
      </c>
      <c r="B55" s="9"/>
      <c r="C55" s="9"/>
      <c r="D55" s="9"/>
      <c r="E55" s="9"/>
      <c r="F55" s="45" t="str">
        <f aca="false">INPUT!$D$69</f>
        <v>Section-1 passed</v>
      </c>
      <c r="G55" s="45"/>
      <c r="H55" s="9" t="str">
        <f aca="false">INPUT!$A$78</f>
        <v>Safe man-hours – today / cumulative</v>
      </c>
      <c r="I55" s="9"/>
      <c r="J55" s="9"/>
      <c r="K55" s="9"/>
      <c r="L55" s="9"/>
      <c r="M55" s="45" t="str">
        <f aca="false">INPUT!$D$78</f>
        <v>290 / 5,180</v>
      </c>
      <c r="N55" s="45"/>
      <c r="O55" s="10" t="s">
        <v>102</v>
      </c>
      <c r="P55" s="10"/>
      <c r="Q55" s="10"/>
      <c r="R55" s="10"/>
      <c r="S55" s="10" t="s">
        <v>103</v>
      </c>
      <c r="T55" s="10" t="s">
        <v>104</v>
      </c>
      <c r="U55" s="10" t="s">
        <v>105</v>
      </c>
      <c r="V55" s="10" t="s">
        <v>106</v>
      </c>
    </row>
    <row r="56" customFormat="false" ht="12.75" hidden="false" customHeight="true" outlineLevel="0" collapsed="false">
      <c r="A56" s="9" t="str">
        <f aca="false">INPUT!$A$70</f>
        <v>Slope / invert level check – drainage</v>
      </c>
      <c r="B56" s="9"/>
      <c r="C56" s="9"/>
      <c r="D56" s="9"/>
      <c r="E56" s="9"/>
      <c r="F56" s="45" t="str">
        <f aca="false">INPUT!$D$70</f>
        <v>4 chambers verified</v>
      </c>
      <c r="G56" s="45"/>
      <c r="H56" s="9" t="str">
        <f aca="false">INPUT!$A$79</f>
        <v>Days without LTI</v>
      </c>
      <c r="I56" s="9"/>
      <c r="J56" s="9"/>
      <c r="K56" s="9"/>
      <c r="L56" s="9"/>
      <c r="M56" s="45" t="str">
        <f aca="false">INPUT!$D$79</f>
        <v>122</v>
      </c>
      <c r="N56" s="45"/>
      <c r="O56" s="9" t="str">
        <f aca="false">IF(INPUT!$A$87="","",INPUT!$A$87&amp;"  ("&amp;INPUT!$D$87&amp;")")</f>
        <v>Sleeves / cutouts not left in slab by civil  (Client / Vendor)</v>
      </c>
      <c r="P56" s="9"/>
      <c r="Q56" s="9"/>
      <c r="R56" s="9"/>
      <c r="S56" s="58" t="n">
        <f aca="false">INPUT!$E$87</f>
        <v>0.395833333333333</v>
      </c>
      <c r="T56" s="58" t="n">
        <f aca="false">INPUT!$F$87</f>
        <v>0.5</v>
      </c>
      <c r="U56" s="47" t="n">
        <f aca="false">IF(INPUT!$E$87="","",(INPUT!$F$87-INPUT!$E$87)*24)</f>
        <v>2.5</v>
      </c>
      <c r="V56" s="45" t="str">
        <f aca="false">INPUT!$G$87</f>
        <v>Yes</v>
      </c>
    </row>
    <row r="57" customFormat="false" ht="12.75" hidden="false" customHeight="true" outlineLevel="0" collapsed="false">
      <c r="A57" s="9" t="str">
        <f aca="false">INPUT!$A$71</f>
        <v>Water tightness test of chambers</v>
      </c>
      <c r="B57" s="9"/>
      <c r="C57" s="9"/>
      <c r="D57" s="9"/>
      <c r="E57" s="9"/>
      <c r="F57" s="45" t="str">
        <f aca="false">INPUT!$D$71</f>
        <v>3 taken, all OK</v>
      </c>
      <c r="G57" s="45"/>
      <c r="H57" s="9" t="str">
        <f aca="false">INPUT!$A$80</f>
        <v>Excavation permits issued</v>
      </c>
      <c r="I57" s="9"/>
      <c r="J57" s="9"/>
      <c r="K57" s="9"/>
      <c r="L57" s="9"/>
      <c r="M57" s="45" t="str">
        <f aca="false">INPUT!$D$80</f>
        <v>2</v>
      </c>
      <c r="N57" s="45"/>
      <c r="O57" s="9" t="str">
        <f aca="false">IF(INPUT!$A$88="","",INPUT!$A$88&amp;"  ("&amp;INPUT!$D$88&amp;")")</f>
        <v>Rain – trench work stopped  (Weather)</v>
      </c>
      <c r="P57" s="9"/>
      <c r="Q57" s="9"/>
      <c r="R57" s="9"/>
      <c r="S57" s="58" t="n">
        <f aca="false">INPUT!$E$88</f>
        <v>0.604166666666667</v>
      </c>
      <c r="T57" s="58" t="n">
        <f aca="false">INPUT!$F$88</f>
        <v>0.666666666666667</v>
      </c>
      <c r="U57" s="47" t="n">
        <f aca="false">IF(INPUT!$E$88="","",(INPUT!$F$88-INPUT!$E$88)*24)</f>
        <v>1.5</v>
      </c>
      <c r="V57" s="45" t="str">
        <f aca="false">INPUT!$G$88</f>
        <v>Review</v>
      </c>
    </row>
    <row r="58" customFormat="false" ht="12.75" hidden="false" customHeight="true" outlineLevel="0" collapsed="false">
      <c r="A58" s="9" t="str">
        <f aca="false">INPUT!$A$72</f>
        <v>Bedding &amp; backfill compaction test</v>
      </c>
      <c r="B58" s="9"/>
      <c r="C58" s="9"/>
      <c r="D58" s="9"/>
      <c r="E58" s="9"/>
      <c r="F58" s="45" t="str">
        <f aca="false">INPUT!$D$72</f>
        <v>2 tests, 1 re-do</v>
      </c>
      <c r="G58" s="45"/>
      <c r="H58" s="9" t="str">
        <f aca="false">INPUT!$A$81</f>
        <v>Confined space entry – chambers</v>
      </c>
      <c r="I58" s="9"/>
      <c r="J58" s="9"/>
      <c r="K58" s="9"/>
      <c r="L58" s="9"/>
      <c r="M58" s="45" t="str">
        <f aca="false">INPUT!$D$81</f>
        <v>1 with gas test</v>
      </c>
      <c r="N58" s="45"/>
      <c r="O58" s="9" t="str">
        <f aca="false">IF(INPUT!$A$89="","",INPUT!$A$89&amp;"  ("&amp;INPUT!$D$89&amp;")")</f>
        <v>Chamber cover consignment not received  (Contractor)</v>
      </c>
      <c r="P58" s="9"/>
      <c r="Q58" s="9"/>
      <c r="R58" s="9"/>
      <c r="S58" s="58" t="n">
        <f aca="false">INPUT!$E$89</f>
        <v>0.458333333333333</v>
      </c>
      <c r="T58" s="58" t="n">
        <f aca="false">INPUT!$F$89</f>
        <v>0.5</v>
      </c>
      <c r="U58" s="47" t="n">
        <f aca="false">IF(INPUT!$E$89="","",(INPUT!$F$89-INPUT!$E$89)*24)</f>
        <v>1</v>
      </c>
      <c r="V58" s="45" t="str">
        <f aca="false">INPUT!$G$89</f>
        <v>No</v>
      </c>
    </row>
    <row r="59" customFormat="false" ht="12.75" hidden="false" customHeight="true" outlineLevel="0" collapsed="false">
      <c r="A59" s="9" t="str">
        <f aca="false">INPUT!$A$73</f>
        <v>Chlorination of tested water lines</v>
      </c>
      <c r="B59" s="9"/>
      <c r="C59" s="9"/>
      <c r="D59" s="9"/>
      <c r="E59" s="9"/>
      <c r="F59" s="45" t="str">
        <f aca="false">INPUT!$D$73</f>
        <v>Not yet due</v>
      </c>
      <c r="G59" s="45"/>
      <c r="H59" s="9" t="str">
        <f aca="false">INPUT!$A$82</f>
        <v>Trench barricading &amp; signage verified</v>
      </c>
      <c r="I59" s="9"/>
      <c r="J59" s="9"/>
      <c r="K59" s="9"/>
      <c r="L59" s="9"/>
      <c r="M59" s="45" t="str">
        <f aca="false">INPUT!$D$82</f>
        <v>Yes</v>
      </c>
      <c r="N59" s="45"/>
      <c r="O59" s="9" t="str">
        <f aca="false">IF(INPUT!$A$90="","",INPUT!$A$90&amp;"  ("&amp;INPUT!$D$90&amp;")")</f>
        <v/>
      </c>
      <c r="P59" s="9"/>
      <c r="Q59" s="9"/>
      <c r="R59" s="9"/>
      <c r="S59" s="58" t="n">
        <f aca="false">INPUT!$E$90</f>
        <v>0</v>
      </c>
      <c r="T59" s="58" t="n">
        <f aca="false">INPUT!$F$90</f>
        <v>0</v>
      </c>
      <c r="U59" s="47" t="str">
        <f aca="false">IF(INPUT!$E$90="","",(INPUT!$F$90-INPUT!$E$90)*24)</f>
        <v/>
      </c>
      <c r="V59" s="45" t="n">
        <f aca="false">INPUT!$G$90</f>
        <v>0</v>
      </c>
    </row>
    <row r="60" customFormat="false" ht="12.75" hidden="false" customHeight="true" outlineLevel="0" collapsed="false">
      <c r="A60" s="9" t="str">
        <f aca="false">INPUT!$A$74</f>
        <v>NCRs open / closed today</v>
      </c>
      <c r="B60" s="9"/>
      <c r="C60" s="9"/>
      <c r="D60" s="9"/>
      <c r="E60" s="9"/>
      <c r="F60" s="45" t="str">
        <f aca="false">INPUT!$D$74</f>
        <v>1 / 1</v>
      </c>
      <c r="G60" s="45"/>
      <c r="H60" s="9" t="str">
        <f aca="false">INPUT!$A$83</f>
        <v>Safety observations raised / closed</v>
      </c>
      <c r="I60" s="9"/>
      <c r="J60" s="9"/>
      <c r="K60" s="9"/>
      <c r="L60" s="9"/>
      <c r="M60" s="45" t="str">
        <f aca="false">INPUT!$D$83</f>
        <v>4 / 3</v>
      </c>
      <c r="N60" s="45"/>
      <c r="O60" s="40" t="s">
        <v>107</v>
      </c>
      <c r="P60" s="40"/>
      <c r="Q60" s="40"/>
      <c r="R60" s="40"/>
      <c r="S60" s="40"/>
      <c r="T60" s="40"/>
      <c r="U60" s="48" t="n">
        <f aca="false">SUM(U56:U59)</f>
        <v>5</v>
      </c>
      <c r="V60" s="41" t="str">
        <f aca="false">COUNTIF(V56:V59,"Yes")&amp;" EOT"</f>
        <v>1 EOT</v>
      </c>
    </row>
    <row r="61" customFormat="false" ht="15" hidden="false" customHeight="true" outlineLevel="0" collapsed="false">
      <c r="A61" s="7" t="s">
        <v>108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 t="s">
        <v>109</v>
      </c>
      <c r="M61" s="7"/>
      <c r="N61" s="7"/>
      <c r="O61" s="7"/>
      <c r="P61" s="7"/>
      <c r="Q61" s="7"/>
      <c r="R61" s="7"/>
      <c r="S61" s="7"/>
      <c r="T61" s="7"/>
      <c r="U61" s="7"/>
      <c r="V61" s="7"/>
    </row>
    <row r="62" customFormat="false" ht="21.75" hidden="false" customHeight="true" outlineLevel="0" collapsed="false">
      <c r="A62" s="10" t="s">
        <v>110</v>
      </c>
      <c r="B62" s="10"/>
      <c r="C62" s="10" t="s">
        <v>58</v>
      </c>
      <c r="D62" s="10"/>
      <c r="E62" s="10"/>
      <c r="F62" s="10"/>
      <c r="G62" s="10"/>
      <c r="H62" s="10"/>
      <c r="I62" s="10" t="s">
        <v>111</v>
      </c>
      <c r="J62" s="10" t="s">
        <v>112</v>
      </c>
      <c r="K62" s="10" t="s">
        <v>113</v>
      </c>
      <c r="L62" s="10" t="s">
        <v>114</v>
      </c>
      <c r="M62" s="10"/>
      <c r="N62" s="10"/>
      <c r="O62" s="10"/>
      <c r="P62" s="10"/>
      <c r="Q62" s="10"/>
      <c r="R62" s="10"/>
      <c r="S62" s="10" t="s">
        <v>115</v>
      </c>
      <c r="T62" s="10"/>
      <c r="U62" s="10" t="s">
        <v>116</v>
      </c>
      <c r="V62" s="10"/>
    </row>
    <row r="63" customFormat="false" ht="12.75" hidden="false" customHeight="true" outlineLevel="0" collapsed="false">
      <c r="A63" s="6" t="str">
        <f aca="false">INPUT!$A$94</f>
        <v>RFI-055</v>
      </c>
      <c r="B63" s="6"/>
      <c r="C63" s="9" t="str">
        <f aca="false">INPUT!$B$94</f>
        <v>Toilet layout &amp; fixture positions – approval</v>
      </c>
      <c r="D63" s="9"/>
      <c r="E63" s="9"/>
      <c r="F63" s="9"/>
      <c r="G63" s="9"/>
      <c r="H63" s="9"/>
      <c r="I63" s="30" t="n">
        <f aca="false">INPUT!$E$94</f>
        <v>46225</v>
      </c>
      <c r="J63" s="54" t="n">
        <f aca="false">IF(INPUT!$E$94="","",INPUT!$B$15-INPUT!$E$94)</f>
        <v>9</v>
      </c>
      <c r="K63" s="6" t="str">
        <f aca="false">INPUT!$F$94</f>
        <v>Consultant</v>
      </c>
      <c r="L63" s="9" t="str">
        <f aca="false">IF(INPUT!$A$101="","","⚠  "&amp;INPUT!$A$101)</f>
        <v>⚠  Sanitaryware &amp; CP fitting make not approved – 10 week procurement risk</v>
      </c>
      <c r="M63" s="9"/>
      <c r="N63" s="9"/>
      <c r="O63" s="9"/>
      <c r="P63" s="9"/>
      <c r="Q63" s="9"/>
      <c r="R63" s="9"/>
      <c r="S63" s="45" t="str">
        <f aca="false">INPUT!$E$101</f>
        <v>Critical</v>
      </c>
      <c r="T63" s="45"/>
      <c r="U63" s="6" t="str">
        <f aca="false">INPUT!$F$101</f>
        <v>Client</v>
      </c>
      <c r="V63" s="6"/>
    </row>
    <row r="64" customFormat="false" ht="12.75" hidden="false" customHeight="true" outlineLevel="0" collapsed="false">
      <c r="A64" s="6" t="str">
        <f aca="false">INPUT!$A$95</f>
        <v>DWG-131</v>
      </c>
      <c r="B64" s="6"/>
      <c r="C64" s="9" t="str">
        <f aca="false">INPUT!$B$95</f>
        <v>UG drainage invert levels rev-1</v>
      </c>
      <c r="D64" s="9"/>
      <c r="E64" s="9"/>
      <c r="F64" s="9"/>
      <c r="G64" s="9"/>
      <c r="H64" s="9"/>
      <c r="I64" s="30" t="n">
        <f aca="false">INPUT!$E$95</f>
        <v>46222</v>
      </c>
      <c r="J64" s="54" t="n">
        <f aca="false">IF(INPUT!$E$95="","",INPUT!$B$15-INPUT!$E$95)</f>
        <v>12</v>
      </c>
      <c r="K64" s="6" t="str">
        <f aca="false">INPUT!$F$95</f>
        <v>Consultant</v>
      </c>
      <c r="L64" s="9" t="str">
        <f aca="false">IF(INPUT!$A$102="","","⚠  "&amp;INPUT!$A$102)</f>
        <v>⚠  Sleeves and cutouts not provided by civil in cast slabs</v>
      </c>
      <c r="M64" s="9"/>
      <c r="N64" s="9"/>
      <c r="O64" s="9"/>
      <c r="P64" s="9"/>
      <c r="Q64" s="9"/>
      <c r="R64" s="9"/>
      <c r="S64" s="45" t="str">
        <f aca="false">INPUT!$E$102</f>
        <v>High</v>
      </c>
      <c r="T64" s="45"/>
      <c r="U64" s="6" t="str">
        <f aca="false">INPUT!$F$102</f>
        <v>Contractor</v>
      </c>
      <c r="V64" s="6"/>
    </row>
    <row r="65" customFormat="false" ht="12.75" hidden="false" customHeight="true" outlineLevel="0" collapsed="false">
      <c r="A65" s="6" t="str">
        <f aca="false">INPUT!$A$96</f>
        <v>MAR-049</v>
      </c>
      <c r="B65" s="6"/>
      <c r="C65" s="9" t="str">
        <f aca="false">INPUT!$B$96</f>
        <v>CPVC pipe &amp; sanitaryware make approval</v>
      </c>
      <c r="D65" s="9"/>
      <c r="E65" s="9"/>
      <c r="F65" s="9"/>
      <c r="G65" s="9"/>
      <c r="H65" s="9"/>
      <c r="I65" s="30" t="n">
        <f aca="false">INPUT!$E$96</f>
        <v>46220</v>
      </c>
      <c r="J65" s="54" t="n">
        <f aca="false">IF(INPUT!$E$96="","",INPUT!$B$15-INPUT!$E$96)</f>
        <v>14</v>
      </c>
      <c r="K65" s="6" t="str">
        <f aca="false">INPUT!$F$96</f>
        <v>Client</v>
      </c>
      <c r="L65" s="9" t="str">
        <f aca="false">IF(INPUT!$A$103="","","⚠  "&amp;INPUT!$A$103)</f>
        <v>⚠  UG drainage invert level clash with the road profile at Chamber-9</v>
      </c>
      <c r="M65" s="9"/>
      <c r="N65" s="9"/>
      <c r="O65" s="9"/>
      <c r="P65" s="9"/>
      <c r="Q65" s="9"/>
      <c r="R65" s="9"/>
      <c r="S65" s="45" t="str">
        <f aca="false">INPUT!$E$103</f>
        <v>High</v>
      </c>
      <c r="T65" s="45"/>
      <c r="U65" s="6" t="str">
        <f aca="false">INPUT!$F$103</f>
        <v>Consultant</v>
      </c>
      <c r="V65" s="6"/>
    </row>
    <row r="66" customFormat="false" ht="12.75" hidden="false" customHeight="true" outlineLevel="0" collapsed="false">
      <c r="A66" s="6" t="str">
        <f aca="false">INPUT!$A$97</f>
        <v>RFI-056</v>
      </c>
      <c r="B66" s="6"/>
      <c r="C66" s="9" t="str">
        <f aca="false">INPUT!$B$97</f>
        <v>STP tie-in point &amp; discharge level</v>
      </c>
      <c r="D66" s="9"/>
      <c r="E66" s="9"/>
      <c r="F66" s="9"/>
      <c r="G66" s="9"/>
      <c r="H66" s="9"/>
      <c r="I66" s="30" t="n">
        <f aca="false">INPUT!$E$97</f>
        <v>46231</v>
      </c>
      <c r="J66" s="54" t="n">
        <f aca="false">IF(INPUT!$E$97="","",INPUT!$B$15-INPUT!$E$97)</f>
        <v>3</v>
      </c>
      <c r="K66" s="6" t="str">
        <f aca="false">INPUT!$F$97</f>
        <v>PMC</v>
      </c>
      <c r="L66" s="9" t="str">
        <f aca="false">IF(INPUT!$A$104="","","⚠  "&amp;INPUT!$A$104)</f>
        <v>⚠  Chamber cover consignment short by 8 nos.</v>
      </c>
      <c r="M66" s="9"/>
      <c r="N66" s="9"/>
      <c r="O66" s="9"/>
      <c r="P66" s="9"/>
      <c r="Q66" s="9"/>
      <c r="R66" s="9"/>
      <c r="S66" s="45" t="str">
        <f aca="false">INPUT!$E$104</f>
        <v>Medium</v>
      </c>
      <c r="T66" s="45"/>
      <c r="U66" s="6" t="str">
        <f aca="false">INPUT!$F$104</f>
        <v>Contractor</v>
      </c>
      <c r="V66" s="6"/>
    </row>
    <row r="67" customFormat="false" ht="15" hidden="false" customHeight="true" outlineLevel="0" collapsed="false">
      <c r="A67" s="7" t="s">
        <v>117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 t="s">
        <v>118</v>
      </c>
      <c r="M67" s="7"/>
      <c r="N67" s="7"/>
      <c r="O67" s="7"/>
      <c r="P67" s="7"/>
      <c r="Q67" s="7"/>
      <c r="R67" s="7"/>
      <c r="S67" s="7"/>
      <c r="T67" s="7"/>
      <c r="U67" s="7"/>
      <c r="V67" s="7"/>
    </row>
    <row r="68" customFormat="false" ht="12.75" hidden="false" customHeight="true" outlineLevel="0" collapsed="false">
      <c r="A68" s="9" t="str">
        <f aca="false">IF(INPUT!$A$107="","","★  "&amp;INPUT!$A$107)</f>
        <v>★  UG HDPE water line laid &amp; jointed – 202 RM of 640 RM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 t="str">
        <f aca="false">IF(INPUT!$A$113="","","➜  "&amp;INPUT!$A$113)</f>
        <v>➜  Continue UG water line – Chainage 210 to 270</v>
      </c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2.75" hidden="false" customHeight="true" outlineLevel="0" collapsed="false">
      <c r="A69" s="9" t="str">
        <f aca="false">IF(INPUT!$A$108="","","★  "&amp;INPUT!$A$108)</f>
        <v>★  UG drainage line completed up to Chamber-7 – 110 RM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 t="str">
        <f aca="false">IF(INPUT!$A$114="","","➜  "&amp;INPUT!$A$114)</f>
        <v>➜  Drainage line Chamber-7 to Chamber-9 with invert check</v>
      </c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2.75" hidden="false" customHeight="true" outlineLevel="0" collapsed="false">
      <c r="A70" s="9" t="str">
        <f aca="false">IF(INPUT!$A$109="","","★  "&amp;INPUT!$A$109)</f>
        <v>★  Pressure test of water line Section-1 passed at 6 kg/cm²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 t="str">
        <f aca="false">IF(INPUT!$A$115="","","➜  "&amp;INPUT!$A$115)</f>
        <v>➜  Backfilling of tested water line section</v>
      </c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2.75" hidden="false" customHeight="true" outlineLevel="0" collapsed="false">
      <c r="A71" s="9" t="str">
        <f aca="false">IF(INPUT!$A$110="","","★  "&amp;INPUT!$A$110)</f>
        <v>★  4 nos. inspection chambers completed with covers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 t="str">
        <f aca="false">IF(INPUT!$A$116="","","➜  "&amp;INPUT!$A$116)</f>
        <v>➜  Follow up sanitaryware make approval with client</v>
      </c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5" hidden="false" customHeight="true" outlineLevel="0" collapsed="false">
      <c r="A72" s="7" t="s">
        <v>119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customFormat="false" ht="12.75" hidden="false" customHeight="true" outlineLevel="0" collapsed="false">
      <c r="A73" s="9" t="str">
        <f aca="false">IF(INPUT!$A$119="","","1.   "&amp;INPUT!$A$119)</f>
        <v>1.   Approval of the sanitaryware and CP fitting make (MAR-049) – 10 week procurement lead time is at risk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2.75" hidden="false" customHeight="true" outlineLevel="0" collapsed="false">
      <c r="A74" s="9" t="str">
        <f aca="false">IF(INPUT!$A$120="","","2.   "&amp;INPUT!$A$120)</f>
        <v>2.   Civil agency to provide the balance sleeves and cutouts in cast slabs – concealed piping cannot start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2.75" hidden="false" customHeight="true" outlineLevel="0" collapsed="false">
      <c r="A75" s="9" t="str">
        <f aca="false">IF(INPUT!$A$121="","","3.   "&amp;INPUT!$A$121)</f>
        <v>3.   Confirmation of UG drainage invert levels at Chamber-9 (DWG-131) – excavation held at that stretch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6" hidden="false" customHeight="true" outlineLevel="0" collapsed="false"/>
    <row r="77" customFormat="false" ht="13.5" hidden="false" customHeight="true" outlineLevel="0" collapsed="false">
      <c r="A77" s="59" t="s">
        <v>120</v>
      </c>
      <c r="B77" s="59"/>
      <c r="C77" s="59"/>
      <c r="D77" s="59"/>
      <c r="E77" s="59"/>
      <c r="F77" s="59" t="s">
        <v>121</v>
      </c>
      <c r="G77" s="59"/>
      <c r="H77" s="59"/>
      <c r="I77" s="59"/>
      <c r="J77" s="59"/>
      <c r="K77" s="59" t="s">
        <v>122</v>
      </c>
      <c r="L77" s="59"/>
      <c r="M77" s="59"/>
      <c r="N77" s="59"/>
      <c r="O77" s="59"/>
      <c r="P77" s="59" t="s">
        <v>123</v>
      </c>
      <c r="Q77" s="59"/>
      <c r="R77" s="59"/>
      <c r="S77" s="59"/>
      <c r="T77" s="59"/>
      <c r="U77" s="59"/>
      <c r="V77" s="59"/>
    </row>
    <row r="78" customFormat="false" ht="27.75" hidden="false" customHeight="tru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customFormat="false" ht="12.75" hidden="false" customHeight="true" outlineLevel="0" collapsed="false">
      <c r="A79" s="60" t="s">
        <v>124</v>
      </c>
      <c r="B79" s="60"/>
      <c r="C79" s="60"/>
      <c r="D79" s="60"/>
      <c r="E79" s="60"/>
      <c r="F79" s="60" t="s">
        <v>125</v>
      </c>
      <c r="G79" s="60"/>
      <c r="H79" s="60"/>
      <c r="I79" s="60"/>
      <c r="J79" s="60"/>
      <c r="K79" s="60" t="s">
        <v>126</v>
      </c>
      <c r="L79" s="60"/>
      <c r="M79" s="60"/>
      <c r="N79" s="60"/>
      <c r="O79" s="60"/>
      <c r="P79" s="60" t="s">
        <v>127</v>
      </c>
      <c r="Q79" s="60"/>
      <c r="R79" s="60"/>
      <c r="S79" s="60"/>
      <c r="T79" s="60"/>
      <c r="U79" s="60"/>
      <c r="V79" s="60"/>
    </row>
    <row r="80" customFormat="false" ht="15" hidden="false" customHeight="true" outlineLevel="0" collapsed="false">
      <c r="A80" s="61" t="s">
        <v>128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</row>
  </sheetData>
  <mergeCells count="230">
    <mergeCell ref="A1:C3"/>
    <mergeCell ref="D1:N2"/>
    <mergeCell ref="O1:Q1"/>
    <mergeCell ref="R1:V1"/>
    <mergeCell ref="O2:Q2"/>
    <mergeCell ref="R2:V2"/>
    <mergeCell ref="D3:N3"/>
    <mergeCell ref="O3:Q3"/>
    <mergeCell ref="R3:V3"/>
    <mergeCell ref="Y3:AB3"/>
    <mergeCell ref="A4:B4"/>
    <mergeCell ref="C4:H4"/>
    <mergeCell ref="I4:J4"/>
    <mergeCell ref="K4:N4"/>
    <mergeCell ref="O4:V4"/>
    <mergeCell ref="A5:B5"/>
    <mergeCell ref="C5:H5"/>
    <mergeCell ref="I5:J5"/>
    <mergeCell ref="K5:N5"/>
    <mergeCell ref="O5:R5"/>
    <mergeCell ref="S5:V5"/>
    <mergeCell ref="A6:B6"/>
    <mergeCell ref="C6:H6"/>
    <mergeCell ref="I6:J6"/>
    <mergeCell ref="K6:N6"/>
    <mergeCell ref="O6:R6"/>
    <mergeCell ref="S6:V6"/>
    <mergeCell ref="A7:B7"/>
    <mergeCell ref="C7:H7"/>
    <mergeCell ref="I7:J7"/>
    <mergeCell ref="K7:N7"/>
    <mergeCell ref="O7:R7"/>
    <mergeCell ref="S7:V7"/>
    <mergeCell ref="A8:V8"/>
    <mergeCell ref="A9:C9"/>
    <mergeCell ref="D9:F9"/>
    <mergeCell ref="G9:I9"/>
    <mergeCell ref="J9:L9"/>
    <mergeCell ref="M9:O9"/>
    <mergeCell ref="P9:R9"/>
    <mergeCell ref="S9:T9"/>
    <mergeCell ref="U9:V9"/>
    <mergeCell ref="A10:C10"/>
    <mergeCell ref="D10:F10"/>
    <mergeCell ref="G10:I10"/>
    <mergeCell ref="J10:L10"/>
    <mergeCell ref="M10:O10"/>
    <mergeCell ref="P10:R10"/>
    <mergeCell ref="S10:T10"/>
    <mergeCell ref="U10:V10"/>
    <mergeCell ref="A11:V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8:E28"/>
    <mergeCell ref="F28:H28"/>
    <mergeCell ref="J28:L28"/>
    <mergeCell ref="N28:Q28"/>
    <mergeCell ref="A29:J29"/>
    <mergeCell ref="K29:V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E36"/>
    <mergeCell ref="F36:G36"/>
    <mergeCell ref="A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3:G43"/>
    <mergeCell ref="H43:J43"/>
    <mergeCell ref="A44:G44"/>
    <mergeCell ref="H44:J44"/>
    <mergeCell ref="A45:G45"/>
    <mergeCell ref="H45:N45"/>
    <mergeCell ref="O45:V45"/>
    <mergeCell ref="A46:C46"/>
    <mergeCell ref="F46:G46"/>
    <mergeCell ref="H46:J46"/>
    <mergeCell ref="O46:Q46"/>
    <mergeCell ref="A47:C47"/>
    <mergeCell ref="F47:G47"/>
    <mergeCell ref="H47:J47"/>
    <mergeCell ref="O47:Q47"/>
    <mergeCell ref="A48:C48"/>
    <mergeCell ref="F48:G48"/>
    <mergeCell ref="H48:J48"/>
    <mergeCell ref="O48:Q48"/>
    <mergeCell ref="A49:C49"/>
    <mergeCell ref="F49:G49"/>
    <mergeCell ref="H49:J49"/>
    <mergeCell ref="O49:Q49"/>
    <mergeCell ref="A50:C50"/>
    <mergeCell ref="F50:G50"/>
    <mergeCell ref="H50:J50"/>
    <mergeCell ref="O50:Q50"/>
    <mergeCell ref="A51:C51"/>
    <mergeCell ref="F51:G51"/>
    <mergeCell ref="H51:J51"/>
    <mergeCell ref="O51:Q51"/>
    <mergeCell ref="A52:C52"/>
    <mergeCell ref="F52:G52"/>
    <mergeCell ref="H52:J52"/>
    <mergeCell ref="O52:Q52"/>
    <mergeCell ref="A53:C53"/>
    <mergeCell ref="F53:G53"/>
    <mergeCell ref="H53:J53"/>
    <mergeCell ref="O53:V53"/>
    <mergeCell ref="A54:G54"/>
    <mergeCell ref="H54:N54"/>
    <mergeCell ref="O54:V54"/>
    <mergeCell ref="A55:E55"/>
    <mergeCell ref="F55:G55"/>
    <mergeCell ref="H55:L55"/>
    <mergeCell ref="M55:N55"/>
    <mergeCell ref="O55:R55"/>
    <mergeCell ref="A56:E56"/>
    <mergeCell ref="F56:G56"/>
    <mergeCell ref="H56:L56"/>
    <mergeCell ref="M56:N56"/>
    <mergeCell ref="O56:R56"/>
    <mergeCell ref="A57:E57"/>
    <mergeCell ref="F57:G57"/>
    <mergeCell ref="H57:L57"/>
    <mergeCell ref="M57:N57"/>
    <mergeCell ref="O57:R57"/>
    <mergeCell ref="A58:E58"/>
    <mergeCell ref="F58:G58"/>
    <mergeCell ref="H58:L58"/>
    <mergeCell ref="M58:N58"/>
    <mergeCell ref="O58:R58"/>
    <mergeCell ref="A59:E59"/>
    <mergeCell ref="F59:G59"/>
    <mergeCell ref="H59:L59"/>
    <mergeCell ref="M59:N59"/>
    <mergeCell ref="O59:R59"/>
    <mergeCell ref="A60:E60"/>
    <mergeCell ref="F60:G60"/>
    <mergeCell ref="H60:L60"/>
    <mergeCell ref="M60:N60"/>
    <mergeCell ref="O60:T60"/>
    <mergeCell ref="A61:K61"/>
    <mergeCell ref="L61:V61"/>
    <mergeCell ref="A62:B62"/>
    <mergeCell ref="C62:H62"/>
    <mergeCell ref="L62:R62"/>
    <mergeCell ref="S62:T62"/>
    <mergeCell ref="U62:V62"/>
    <mergeCell ref="A63:B63"/>
    <mergeCell ref="C63:H63"/>
    <mergeCell ref="L63:R63"/>
    <mergeCell ref="S63:T63"/>
    <mergeCell ref="U63:V63"/>
    <mergeCell ref="A64:B64"/>
    <mergeCell ref="C64:H64"/>
    <mergeCell ref="L64:R64"/>
    <mergeCell ref="S64:T64"/>
    <mergeCell ref="U64:V64"/>
    <mergeCell ref="A65:B65"/>
    <mergeCell ref="C65:H65"/>
    <mergeCell ref="L65:R65"/>
    <mergeCell ref="S65:T65"/>
    <mergeCell ref="U65:V65"/>
    <mergeCell ref="A66:B66"/>
    <mergeCell ref="C66:H66"/>
    <mergeCell ref="L66:R66"/>
    <mergeCell ref="S66:T66"/>
    <mergeCell ref="U66:V66"/>
    <mergeCell ref="A67:K67"/>
    <mergeCell ref="L67:V67"/>
    <mergeCell ref="A68:K68"/>
    <mergeCell ref="L68:V68"/>
    <mergeCell ref="A69:K69"/>
    <mergeCell ref="L69:V69"/>
    <mergeCell ref="A70:K70"/>
    <mergeCell ref="L70:V70"/>
    <mergeCell ref="A71:K71"/>
    <mergeCell ref="L71:V71"/>
    <mergeCell ref="A72:V72"/>
    <mergeCell ref="A73:V73"/>
    <mergeCell ref="A74:V74"/>
    <mergeCell ref="A75:V75"/>
    <mergeCell ref="A77:E77"/>
    <mergeCell ref="F77:J77"/>
    <mergeCell ref="K77:O77"/>
    <mergeCell ref="P77:V77"/>
    <mergeCell ref="A78:E78"/>
    <mergeCell ref="F78:J78"/>
    <mergeCell ref="K78:O78"/>
    <mergeCell ref="P78:V78"/>
    <mergeCell ref="A79:E79"/>
    <mergeCell ref="F79:J79"/>
    <mergeCell ref="K79:O79"/>
    <mergeCell ref="P79:V79"/>
    <mergeCell ref="A80:V80"/>
  </mergeCells>
  <conditionalFormatting sqref="V13:V27">
    <cfRule type="cellIs" priority="2" operator="equal" aboveAverage="0" equalAverage="0" bottom="0" percent="0" rank="0" text="" dxfId="0">
      <formula>"Delay"</formula>
    </cfRule>
    <cfRule type="cellIs" priority="3" operator="equal" aboveAverage="0" equalAverage="0" bottom="0" percent="0" rank="0" text="" dxfId="1">
      <formula>"Completed"</formula>
    </cfRule>
    <cfRule type="cellIs" priority="4" operator="equal" aboveAverage="0" equalAverage="0" bottom="0" percent="0" rank="0" text="" dxfId="2">
      <formula>"In Progress"</formula>
    </cfRule>
  </conditionalFormatting>
  <conditionalFormatting sqref="L13:L27">
    <cfRule type="cellIs" priority="5" operator="lessThan" aboveAverage="0" equalAverage="0" bottom="0" percent="0" rank="0" text="" dxfId="3">
      <formula>0</formula>
    </cfRule>
  </conditionalFormatting>
  <conditionalFormatting sqref="R13:R27">
    <cfRule type="dataBar" priority="6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{319E699D-F580-4BCD-9AFF-17C72F965CBC}</x14:id>
        </ext>
      </extLst>
    </cfRule>
  </conditionalFormatting>
  <conditionalFormatting sqref="I31:I35">
    <cfRule type="dataBar" priority="7">
      <dataBar showValue="1" minLength="10" maxLength="9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{BBA0752C-85A8-41B0-A062-50E79E6B9D67}</x14:id>
        </ext>
      </extLst>
    </cfRule>
  </conditionalFormatting>
  <conditionalFormatting sqref="J31:J35">
    <cfRule type="cellIs" priority="8" operator="greaterThanOrEqual" aboveAverage="0" equalAverage="0" bottom="0" percent="0" rank="0" text="" dxfId="4">
      <formula>1</formula>
    </cfRule>
    <cfRule type="cellIs" priority="9" operator="between" aboveAverage="0" equalAverage="0" bottom="0" percent="0" rank="0" text="" dxfId="5">
      <formula>0.8</formula>
      <formula>0.9999</formula>
    </cfRule>
    <cfRule type="cellIs" priority="10" operator="lessThan" aboveAverage="0" equalAverage="0" bottom="0" percent="0" rank="0" text="" dxfId="6">
      <formula>0.8</formula>
    </cfRule>
  </conditionalFormatting>
  <conditionalFormatting sqref="J63:J66">
    <cfRule type="cellIs" priority="11" operator="greaterThan" aboveAverage="0" equalAverage="0" bottom="0" percent="0" rank="0" text="" dxfId="6">
      <formula>7</formula>
    </cfRule>
  </conditionalFormatting>
  <conditionalFormatting sqref="S63:T66">
    <cfRule type="cellIs" priority="12" operator="equal" aboveAverage="0" equalAverage="0" bottom="0" percent="0" rank="0" text="" dxfId="7">
      <formula>"Critical"</formula>
    </cfRule>
    <cfRule type="cellIs" priority="13" operator="equal" aboveAverage="0" equalAverage="0" bottom="0" percent="0" rank="0" text="" dxfId="6">
      <formula>"High"</formula>
    </cfRule>
  </conditionalFormatting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E699D-F580-4BCD-9AFF-17C72F965CB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R13:R27</xm:sqref>
        </x14:conditionalFormatting>
        <x14:conditionalFormatting xmlns:xm="http://schemas.microsoft.com/office/excel/2006/main">
          <x14:cfRule type="dataBar" id="{BBA0752C-85A8-41B0-A062-50E79E6B9D6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C384"/>
              <x14:axisColor rgb="FF000000"/>
            </x14:dataBar>
          </x14:cfRule>
          <xm:sqref>I31:I35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4" hidden="false" customHeight="true" outlineLevel="0" collapsed="false">
      <c r="A1" s="62" t="s">
        <v>129</v>
      </c>
      <c r="B1" s="62"/>
      <c r="C1" s="62"/>
      <c r="D1" s="62"/>
      <c r="E1" s="62"/>
      <c r="F1" s="62"/>
      <c r="G1" s="62"/>
      <c r="H1" s="62"/>
    </row>
    <row r="2" customFormat="false" ht="30" hidden="false" customHeight="true" outlineLevel="0" collapsed="false">
      <c r="A2" s="63" t="s">
        <v>130</v>
      </c>
      <c r="B2" s="63"/>
      <c r="C2" s="63"/>
      <c r="D2" s="63"/>
      <c r="E2" s="63"/>
      <c r="F2" s="63"/>
      <c r="G2" s="63"/>
      <c r="H2" s="63"/>
    </row>
    <row r="3" customFormat="false" ht="18" hidden="false" customHeight="true" outlineLevel="0" collapsed="false">
      <c r="A3" s="64" t="s">
        <v>131</v>
      </c>
      <c r="B3" s="64"/>
      <c r="C3" s="64"/>
      <c r="D3" s="64"/>
      <c r="E3" s="64"/>
      <c r="F3" s="64"/>
      <c r="G3" s="64"/>
      <c r="H3" s="64"/>
    </row>
    <row r="4" customFormat="false" ht="21.75" hidden="false" customHeight="true" outlineLevel="0" collapsed="false">
      <c r="A4" s="65" t="s">
        <v>132</v>
      </c>
      <c r="B4" s="66" t="s">
        <v>133</v>
      </c>
      <c r="C4" s="66"/>
      <c r="D4" s="66"/>
      <c r="E4" s="66"/>
      <c r="F4" s="67"/>
      <c r="G4" s="67"/>
      <c r="H4" s="67"/>
    </row>
    <row r="5" customFormat="false" ht="21.75" hidden="false" customHeight="true" outlineLevel="0" collapsed="false">
      <c r="A5" s="65" t="s">
        <v>134</v>
      </c>
      <c r="B5" s="66" t="s">
        <v>135</v>
      </c>
      <c r="C5" s="66"/>
      <c r="D5" s="66"/>
      <c r="E5" s="66"/>
      <c r="F5" s="67"/>
      <c r="G5" s="67"/>
      <c r="H5" s="67"/>
    </row>
    <row r="6" customFormat="false" ht="21.75" hidden="false" customHeight="true" outlineLevel="0" collapsed="false">
      <c r="A6" s="65" t="s">
        <v>136</v>
      </c>
      <c r="B6" s="66" t="s">
        <v>137</v>
      </c>
      <c r="C6" s="66"/>
      <c r="D6" s="66"/>
      <c r="E6" s="66"/>
      <c r="F6" s="67"/>
      <c r="G6" s="67"/>
      <c r="H6" s="67"/>
    </row>
    <row r="7" customFormat="false" ht="21.75" hidden="false" customHeight="true" outlineLevel="0" collapsed="false">
      <c r="A7" s="65" t="s">
        <v>21</v>
      </c>
      <c r="B7" s="66" t="s">
        <v>138</v>
      </c>
      <c r="C7" s="66"/>
      <c r="D7" s="66"/>
      <c r="E7" s="66"/>
      <c r="F7" s="67"/>
      <c r="G7" s="67"/>
      <c r="H7" s="67"/>
    </row>
    <row r="8" customFormat="false" ht="21.75" hidden="false" customHeight="true" outlineLevel="0" collapsed="false">
      <c r="A8" s="65" t="s">
        <v>139</v>
      </c>
      <c r="B8" s="66" t="s">
        <v>140</v>
      </c>
      <c r="C8" s="66"/>
      <c r="D8" s="66"/>
      <c r="E8" s="66"/>
      <c r="F8" s="67"/>
      <c r="G8" s="67"/>
      <c r="H8" s="67"/>
    </row>
    <row r="9" customFormat="false" ht="21.75" hidden="false" customHeight="true" outlineLevel="0" collapsed="false">
      <c r="A9" s="65" t="s">
        <v>141</v>
      </c>
      <c r="B9" s="66" t="s">
        <v>142</v>
      </c>
      <c r="C9" s="66"/>
      <c r="D9" s="66"/>
      <c r="E9" s="66"/>
      <c r="F9" s="67"/>
      <c r="G9" s="67"/>
      <c r="H9" s="67"/>
    </row>
    <row r="10" customFormat="false" ht="21.75" hidden="false" customHeight="true" outlineLevel="0" collapsed="false">
      <c r="A10" s="65" t="s">
        <v>143</v>
      </c>
      <c r="B10" s="68" t="n">
        <v>46295</v>
      </c>
      <c r="C10" s="68"/>
      <c r="D10" s="68"/>
      <c r="E10" s="68"/>
      <c r="F10" s="67"/>
      <c r="G10" s="67"/>
      <c r="H10" s="67"/>
    </row>
    <row r="11" customFormat="false" ht="21.75" hidden="false" customHeight="true" outlineLevel="0" collapsed="false">
      <c r="A11" s="65" t="s">
        <v>144</v>
      </c>
      <c r="B11" s="66" t="s">
        <v>145</v>
      </c>
      <c r="C11" s="66"/>
      <c r="D11" s="66"/>
      <c r="E11" s="66"/>
      <c r="F11" s="67" t="s">
        <v>146</v>
      </c>
      <c r="G11" s="67"/>
      <c r="H11" s="67"/>
    </row>
    <row r="12" customFormat="false" ht="21.75" hidden="false" customHeight="true" outlineLevel="0" collapsed="false">
      <c r="A12" s="65" t="s">
        <v>147</v>
      </c>
      <c r="B12" s="69" t="n">
        <v>8</v>
      </c>
      <c r="C12" s="69"/>
      <c r="D12" s="69"/>
      <c r="E12" s="69"/>
      <c r="F12" s="67" t="s">
        <v>148</v>
      </c>
      <c r="G12" s="67"/>
      <c r="H12" s="67"/>
    </row>
    <row r="13" customFormat="false" ht="21.75" hidden="false" customHeight="true" outlineLevel="0" collapsed="false">
      <c r="A13" s="65" t="s">
        <v>149</v>
      </c>
      <c r="B13" s="66" t="s">
        <v>150</v>
      </c>
      <c r="C13" s="66"/>
      <c r="D13" s="66"/>
      <c r="E13" s="66"/>
      <c r="F13" s="67"/>
      <c r="G13" s="67"/>
      <c r="H13" s="67"/>
    </row>
    <row r="14" customFormat="false" ht="21.75" hidden="false" customHeight="true" outlineLevel="0" collapsed="false">
      <c r="A14" s="65" t="s">
        <v>151</v>
      </c>
      <c r="B14" s="68" t="n">
        <v>46234</v>
      </c>
      <c r="C14" s="68"/>
      <c r="D14" s="68"/>
      <c r="E14" s="68"/>
      <c r="F14" s="67"/>
      <c r="G14" s="67"/>
      <c r="H14" s="67"/>
    </row>
    <row r="15" customFormat="false" ht="21.75" hidden="false" customHeight="true" outlineLevel="0" collapsed="false">
      <c r="A15" s="65" t="s">
        <v>152</v>
      </c>
      <c r="B15" s="68" t="n">
        <v>46234</v>
      </c>
      <c r="C15" s="68"/>
      <c r="D15" s="68"/>
      <c r="E15" s="68"/>
      <c r="F15" s="67" t="s">
        <v>153</v>
      </c>
      <c r="G15" s="67"/>
      <c r="H15" s="67"/>
    </row>
    <row r="16" customFormat="false" ht="21.75" hidden="false" customHeight="true" outlineLevel="0" collapsed="false">
      <c r="A16" s="65" t="s">
        <v>154</v>
      </c>
      <c r="B16" s="66" t="s">
        <v>155</v>
      </c>
      <c r="C16" s="66"/>
      <c r="D16" s="66"/>
      <c r="E16" s="66"/>
      <c r="F16" s="67"/>
      <c r="G16" s="67"/>
      <c r="H16" s="67"/>
    </row>
    <row r="17" customFormat="false" ht="21.75" hidden="false" customHeight="true" outlineLevel="0" collapsed="false">
      <c r="A17" s="65" t="s">
        <v>156</v>
      </c>
      <c r="B17" s="70" t="n">
        <v>5.4</v>
      </c>
      <c r="C17" s="70"/>
      <c r="D17" s="70"/>
      <c r="E17" s="70"/>
      <c r="F17" s="67" t="s">
        <v>157</v>
      </c>
      <c r="G17" s="67"/>
      <c r="H17" s="67"/>
    </row>
    <row r="18" customFormat="false" ht="21.75" hidden="false" customHeight="true" outlineLevel="0" collapsed="false">
      <c r="A18" s="65" t="s">
        <v>158</v>
      </c>
      <c r="B18" s="71" t="n">
        <v>1180</v>
      </c>
      <c r="C18" s="71"/>
      <c r="D18" s="71"/>
      <c r="E18" s="71"/>
      <c r="F18" s="67"/>
      <c r="G18" s="67"/>
      <c r="H18" s="67"/>
    </row>
    <row r="19" customFormat="false" ht="21.75" hidden="false" customHeight="true" outlineLevel="0" collapsed="false">
      <c r="A19" s="65" t="s">
        <v>159</v>
      </c>
      <c r="B19" s="71" t="n">
        <v>42150</v>
      </c>
      <c r="C19" s="71"/>
      <c r="D19" s="71"/>
      <c r="E19" s="71"/>
      <c r="F19" s="67"/>
      <c r="G19" s="67"/>
      <c r="H19" s="67"/>
    </row>
    <row r="20" customFormat="false" ht="21.75" hidden="false" customHeight="true" outlineLevel="0" collapsed="false">
      <c r="A20" s="65" t="s">
        <v>160</v>
      </c>
      <c r="B20" s="68" t="n">
        <v>46112</v>
      </c>
      <c r="C20" s="68"/>
      <c r="D20" s="68"/>
      <c r="E20" s="68"/>
      <c r="F20" s="67" t="s">
        <v>161</v>
      </c>
      <c r="G20" s="67"/>
      <c r="H20" s="67"/>
    </row>
    <row r="22" customFormat="false" ht="18" hidden="false" customHeight="true" outlineLevel="0" collapsed="false">
      <c r="A22" s="64" t="s">
        <v>162</v>
      </c>
      <c r="B22" s="64"/>
      <c r="C22" s="64"/>
      <c r="D22" s="64"/>
      <c r="E22" s="64"/>
      <c r="F22" s="64"/>
      <c r="G22" s="64"/>
      <c r="H22" s="64"/>
    </row>
    <row r="23" customFormat="false" ht="27.75" hidden="false" customHeight="true" outlineLevel="0" collapsed="false">
      <c r="A23" s="72" t="s">
        <v>57</v>
      </c>
      <c r="B23" s="72" t="s">
        <v>36</v>
      </c>
      <c r="C23" s="72"/>
      <c r="D23" s="72"/>
      <c r="E23" s="72" t="s">
        <v>37</v>
      </c>
      <c r="F23" s="72" t="s">
        <v>163</v>
      </c>
      <c r="G23" s="72" t="s">
        <v>39</v>
      </c>
      <c r="H23" s="72" t="s">
        <v>41</v>
      </c>
      <c r="I23" s="72" t="s">
        <v>42</v>
      </c>
      <c r="J23" s="72" t="s">
        <v>164</v>
      </c>
      <c r="K23" s="72" t="s">
        <v>45</v>
      </c>
    </row>
    <row r="24" customFormat="false" ht="15.75" hidden="false" customHeight="true" outlineLevel="0" collapsed="false">
      <c r="A24" s="73" t="s">
        <v>60</v>
      </c>
      <c r="B24" s="66" t="s">
        <v>165</v>
      </c>
      <c r="C24" s="66"/>
      <c r="D24" s="66"/>
      <c r="E24" s="73" t="s">
        <v>166</v>
      </c>
      <c r="F24" s="74" t="n">
        <v>640</v>
      </c>
      <c r="G24" s="75" t="n">
        <v>680</v>
      </c>
      <c r="H24" s="76" t="n">
        <v>46213</v>
      </c>
      <c r="I24" s="76" t="n">
        <v>46259</v>
      </c>
      <c r="J24" s="74" t="n">
        <v>180</v>
      </c>
      <c r="K24" s="74" t="n">
        <v>22</v>
      </c>
    </row>
    <row r="25" customFormat="false" ht="15.75" hidden="false" customHeight="true" outlineLevel="0" collapsed="false">
      <c r="A25" s="73" t="s">
        <v>60</v>
      </c>
      <c r="B25" s="66" t="s">
        <v>167</v>
      </c>
      <c r="C25" s="66"/>
      <c r="D25" s="66"/>
      <c r="E25" s="73" t="s">
        <v>168</v>
      </c>
      <c r="F25" s="74" t="n">
        <v>1</v>
      </c>
      <c r="G25" s="75" t="n">
        <v>480000</v>
      </c>
      <c r="H25" s="76" t="n">
        <v>46249</v>
      </c>
      <c r="I25" s="76" t="n">
        <v>46295</v>
      </c>
      <c r="J25" s="74" t="n">
        <v>0</v>
      </c>
      <c r="K25" s="74" t="n">
        <v>0</v>
      </c>
    </row>
    <row r="26" customFormat="false" ht="15.75" hidden="false" customHeight="true" outlineLevel="0" collapsed="false">
      <c r="A26" s="73" t="s">
        <v>60</v>
      </c>
      <c r="B26" s="66" t="s">
        <v>169</v>
      </c>
      <c r="C26" s="66"/>
      <c r="D26" s="66"/>
      <c r="E26" s="73" t="s">
        <v>170</v>
      </c>
      <c r="F26" s="74" t="n">
        <v>16</v>
      </c>
      <c r="G26" s="75" t="n">
        <v>12500</v>
      </c>
      <c r="H26" s="76" t="n">
        <v>46223</v>
      </c>
      <c r="I26" s="76" t="n">
        <v>46270</v>
      </c>
      <c r="J26" s="74" t="n">
        <v>3</v>
      </c>
      <c r="K26" s="74" t="n">
        <v>1</v>
      </c>
    </row>
    <row r="27" customFormat="false" ht="15.75" hidden="false" customHeight="true" outlineLevel="0" collapsed="false">
      <c r="A27" s="73" t="s">
        <v>62</v>
      </c>
      <c r="B27" s="66" t="s">
        <v>171</v>
      </c>
      <c r="C27" s="66"/>
      <c r="D27" s="66"/>
      <c r="E27" s="73" t="s">
        <v>166</v>
      </c>
      <c r="F27" s="74" t="n">
        <v>1450</v>
      </c>
      <c r="G27" s="75" t="n">
        <v>420</v>
      </c>
      <c r="H27" s="76" t="n">
        <v>46254</v>
      </c>
      <c r="I27" s="76" t="n">
        <v>46310</v>
      </c>
      <c r="J27" s="74" t="n">
        <v>0</v>
      </c>
      <c r="K27" s="74" t="n">
        <v>0</v>
      </c>
    </row>
    <row r="28" customFormat="false" ht="15.75" hidden="false" customHeight="true" outlineLevel="0" collapsed="false">
      <c r="A28" s="73" t="s">
        <v>62</v>
      </c>
      <c r="B28" s="66" t="s">
        <v>172</v>
      </c>
      <c r="C28" s="66"/>
      <c r="D28" s="66"/>
      <c r="E28" s="73" t="s">
        <v>166</v>
      </c>
      <c r="F28" s="74" t="n">
        <v>620</v>
      </c>
      <c r="G28" s="75" t="n">
        <v>860</v>
      </c>
      <c r="H28" s="76" t="n">
        <v>46259</v>
      </c>
      <c r="I28" s="76" t="n">
        <v>46305</v>
      </c>
      <c r="J28" s="74" t="n">
        <v>0</v>
      </c>
      <c r="K28" s="74" t="n">
        <v>0</v>
      </c>
    </row>
    <row r="29" customFormat="false" ht="15.75" hidden="false" customHeight="true" outlineLevel="0" collapsed="false">
      <c r="A29" s="73" t="s">
        <v>62</v>
      </c>
      <c r="B29" s="66" t="s">
        <v>173</v>
      </c>
      <c r="C29" s="66"/>
      <c r="D29" s="66"/>
      <c r="E29" s="73" t="s">
        <v>170</v>
      </c>
      <c r="F29" s="74" t="n">
        <v>12</v>
      </c>
      <c r="G29" s="75" t="n">
        <v>9800</v>
      </c>
      <c r="H29" s="76" t="n">
        <v>46285</v>
      </c>
      <c r="I29" s="76" t="n">
        <v>46320</v>
      </c>
      <c r="J29" s="74" t="n">
        <v>0</v>
      </c>
      <c r="K29" s="74" t="n">
        <v>0</v>
      </c>
    </row>
    <row r="30" customFormat="false" ht="15.75" hidden="false" customHeight="true" outlineLevel="0" collapsed="false">
      <c r="A30" s="73" t="s">
        <v>64</v>
      </c>
      <c r="B30" s="66" t="s">
        <v>174</v>
      </c>
      <c r="C30" s="66"/>
      <c r="D30" s="66"/>
      <c r="E30" s="73" t="s">
        <v>166</v>
      </c>
      <c r="F30" s="74" t="n">
        <v>980</v>
      </c>
      <c r="G30" s="75" t="n">
        <v>480</v>
      </c>
      <c r="H30" s="76" t="n">
        <v>46254</v>
      </c>
      <c r="I30" s="76" t="n">
        <v>46305</v>
      </c>
      <c r="J30" s="74" t="n">
        <v>0</v>
      </c>
      <c r="K30" s="74" t="n">
        <v>0</v>
      </c>
    </row>
    <row r="31" customFormat="false" ht="15.75" hidden="false" customHeight="true" outlineLevel="0" collapsed="false">
      <c r="A31" s="73" t="s">
        <v>64</v>
      </c>
      <c r="B31" s="66" t="s">
        <v>175</v>
      </c>
      <c r="C31" s="66"/>
      <c r="D31" s="66"/>
      <c r="E31" s="73" t="s">
        <v>166</v>
      </c>
      <c r="F31" s="74" t="n">
        <v>720</v>
      </c>
      <c r="G31" s="75" t="n">
        <v>620</v>
      </c>
      <c r="H31" s="76" t="n">
        <v>46266</v>
      </c>
      <c r="I31" s="76" t="n">
        <v>46315</v>
      </c>
      <c r="J31" s="74" t="n">
        <v>0</v>
      </c>
      <c r="K31" s="74" t="n">
        <v>0</v>
      </c>
    </row>
    <row r="32" customFormat="false" ht="15.75" hidden="false" customHeight="true" outlineLevel="0" collapsed="false">
      <c r="A32" s="73" t="s">
        <v>64</v>
      </c>
      <c r="B32" s="66" t="s">
        <v>176</v>
      </c>
      <c r="C32" s="66"/>
      <c r="D32" s="66"/>
      <c r="E32" s="73" t="s">
        <v>166</v>
      </c>
      <c r="F32" s="74" t="n">
        <v>540</v>
      </c>
      <c r="G32" s="75" t="n">
        <v>2200</v>
      </c>
      <c r="H32" s="76" t="n">
        <v>46218</v>
      </c>
      <c r="I32" s="76" t="n">
        <v>46275</v>
      </c>
      <c r="J32" s="74" t="n">
        <v>96</v>
      </c>
      <c r="K32" s="74" t="n">
        <v>14</v>
      </c>
    </row>
    <row r="33" customFormat="false" ht="15.75" hidden="false" customHeight="true" outlineLevel="0" collapsed="false">
      <c r="A33" s="73" t="s">
        <v>64</v>
      </c>
      <c r="B33" s="66" t="s">
        <v>177</v>
      </c>
      <c r="C33" s="66"/>
      <c r="D33" s="66"/>
      <c r="E33" s="73" t="s">
        <v>170</v>
      </c>
      <c r="F33" s="74" t="n">
        <v>26</v>
      </c>
      <c r="G33" s="75" t="n">
        <v>16500</v>
      </c>
      <c r="H33" s="76" t="n">
        <v>46228</v>
      </c>
      <c r="I33" s="76" t="n">
        <v>46285</v>
      </c>
      <c r="J33" s="74" t="n">
        <v>4</v>
      </c>
      <c r="K33" s="74" t="n">
        <v>1</v>
      </c>
    </row>
    <row r="34" customFormat="false" ht="15.75" hidden="false" customHeight="true" outlineLevel="0" collapsed="false">
      <c r="A34" s="73" t="s">
        <v>66</v>
      </c>
      <c r="B34" s="66" t="s">
        <v>178</v>
      </c>
      <c r="C34" s="66"/>
      <c r="D34" s="66"/>
      <c r="E34" s="73" t="s">
        <v>170</v>
      </c>
      <c r="F34" s="74" t="n">
        <v>68</v>
      </c>
      <c r="G34" s="75" t="n">
        <v>14500</v>
      </c>
      <c r="H34" s="76" t="n">
        <v>46296</v>
      </c>
      <c r="I34" s="76" t="n">
        <v>46341</v>
      </c>
      <c r="J34" s="74" t="n">
        <v>0</v>
      </c>
      <c r="K34" s="74" t="n">
        <v>0</v>
      </c>
    </row>
    <row r="35" customFormat="false" ht="15.75" hidden="false" customHeight="true" outlineLevel="0" collapsed="false">
      <c r="A35" s="73" t="s">
        <v>66</v>
      </c>
      <c r="B35" s="66" t="s">
        <v>179</v>
      </c>
      <c r="C35" s="66"/>
      <c r="D35" s="66"/>
      <c r="E35" s="73" t="s">
        <v>170</v>
      </c>
      <c r="F35" s="74" t="n">
        <v>120</v>
      </c>
      <c r="G35" s="75" t="n">
        <v>3200</v>
      </c>
      <c r="H35" s="76" t="n">
        <v>46305</v>
      </c>
      <c r="I35" s="76" t="n">
        <v>46346</v>
      </c>
      <c r="J35" s="74" t="n">
        <v>0</v>
      </c>
      <c r="K35" s="74" t="n">
        <v>0</v>
      </c>
    </row>
    <row r="36" customFormat="false" ht="15.75" hidden="false" customHeight="true" outlineLevel="0" collapsed="false">
      <c r="A36" s="73" t="s">
        <v>66</v>
      </c>
      <c r="B36" s="66" t="s">
        <v>180</v>
      </c>
      <c r="C36" s="66"/>
      <c r="D36" s="66"/>
      <c r="E36" s="73" t="s">
        <v>170</v>
      </c>
      <c r="F36" s="74" t="n">
        <v>8</v>
      </c>
      <c r="G36" s="75" t="n">
        <v>42000</v>
      </c>
      <c r="H36" s="76" t="n">
        <v>46327</v>
      </c>
      <c r="I36" s="76" t="n">
        <v>46351</v>
      </c>
      <c r="J36" s="74" t="n">
        <v>0</v>
      </c>
      <c r="K36" s="74" t="n">
        <v>0</v>
      </c>
    </row>
    <row r="37" customFormat="false" ht="15.75" hidden="false" customHeight="true" outlineLevel="0" collapsed="false">
      <c r="A37" s="73" t="s">
        <v>68</v>
      </c>
      <c r="B37" s="66" t="s">
        <v>181</v>
      </c>
      <c r="C37" s="66"/>
      <c r="D37" s="66"/>
      <c r="E37" s="73" t="s">
        <v>166</v>
      </c>
      <c r="F37" s="74" t="n">
        <v>3200</v>
      </c>
      <c r="G37" s="75" t="n">
        <v>95</v>
      </c>
      <c r="H37" s="76" t="n">
        <v>46310</v>
      </c>
      <c r="I37" s="76" t="n">
        <v>46356</v>
      </c>
      <c r="J37" s="74" t="n">
        <v>0</v>
      </c>
      <c r="K37" s="74" t="n">
        <v>0</v>
      </c>
    </row>
    <row r="38" customFormat="false" ht="15.75" hidden="false" customHeight="true" outlineLevel="0" collapsed="false">
      <c r="A38" s="73" t="s">
        <v>68</v>
      </c>
      <c r="B38" s="66" t="s">
        <v>182</v>
      </c>
      <c r="C38" s="66"/>
      <c r="D38" s="66"/>
      <c r="E38" s="73" t="s">
        <v>168</v>
      </c>
      <c r="F38" s="74" t="n">
        <v>1</v>
      </c>
      <c r="G38" s="75" t="n">
        <v>750000</v>
      </c>
      <c r="H38" s="76" t="n">
        <v>46341</v>
      </c>
      <c r="I38" s="76" t="n">
        <v>46366</v>
      </c>
      <c r="J38" s="74" t="n">
        <v>0</v>
      </c>
      <c r="K38" s="74" t="n">
        <v>0</v>
      </c>
    </row>
    <row r="40" customFormat="false" ht="18" hidden="false" customHeight="true" outlineLevel="0" collapsed="false">
      <c r="A40" s="64" t="s">
        <v>183</v>
      </c>
      <c r="B40" s="64"/>
      <c r="C40" s="64"/>
      <c r="D40" s="64"/>
      <c r="E40" s="64"/>
      <c r="F40" s="64"/>
      <c r="G40" s="64"/>
      <c r="H40" s="64"/>
    </row>
    <row r="41" customFormat="false" ht="25.5" hidden="false" customHeight="true" outlineLevel="0" collapsed="false">
      <c r="A41" s="72" t="s">
        <v>82</v>
      </c>
      <c r="B41" s="72"/>
      <c r="C41" s="72"/>
      <c r="D41" s="72" t="s">
        <v>184</v>
      </c>
      <c r="E41" s="72" t="s">
        <v>185</v>
      </c>
      <c r="F41" s="72" t="s">
        <v>186</v>
      </c>
    </row>
    <row r="42" customFormat="false" ht="15.75" hidden="false" customHeight="true" outlineLevel="0" collapsed="false">
      <c r="A42" s="66" t="s">
        <v>187</v>
      </c>
      <c r="B42" s="66"/>
      <c r="C42" s="66"/>
      <c r="D42" s="77" t="n">
        <v>10</v>
      </c>
      <c r="E42" s="77" t="n">
        <v>8</v>
      </c>
      <c r="F42" s="78" t="n">
        <v>8.5</v>
      </c>
    </row>
    <row r="43" customFormat="false" ht="15.75" hidden="false" customHeight="true" outlineLevel="0" collapsed="false">
      <c r="A43" s="66" t="s">
        <v>188</v>
      </c>
      <c r="B43" s="66"/>
      <c r="C43" s="66"/>
      <c r="D43" s="77" t="n">
        <v>6</v>
      </c>
      <c r="E43" s="77" t="n">
        <v>5</v>
      </c>
      <c r="F43" s="78" t="n">
        <v>8.5</v>
      </c>
    </row>
    <row r="44" customFormat="false" ht="15.75" hidden="false" customHeight="true" outlineLevel="0" collapsed="false">
      <c r="A44" s="66" t="s">
        <v>189</v>
      </c>
      <c r="B44" s="66"/>
      <c r="C44" s="66"/>
      <c r="D44" s="77" t="n">
        <v>6</v>
      </c>
      <c r="E44" s="77" t="n">
        <v>6</v>
      </c>
      <c r="F44" s="78" t="n">
        <v>8</v>
      </c>
    </row>
    <row r="45" customFormat="false" ht="15.75" hidden="false" customHeight="true" outlineLevel="0" collapsed="false">
      <c r="A45" s="66" t="s">
        <v>190</v>
      </c>
      <c r="B45" s="66"/>
      <c r="C45" s="66"/>
      <c r="D45" s="77" t="n">
        <v>12</v>
      </c>
      <c r="E45" s="77" t="n">
        <v>10</v>
      </c>
      <c r="F45" s="78" t="n">
        <v>8.5</v>
      </c>
    </row>
    <row r="46" customFormat="false" ht="15.75" hidden="false" customHeight="true" outlineLevel="0" collapsed="false">
      <c r="A46" s="66" t="s">
        <v>191</v>
      </c>
      <c r="B46" s="66"/>
      <c r="C46" s="66"/>
      <c r="D46" s="77" t="n">
        <v>2</v>
      </c>
      <c r="E46" s="77" t="n">
        <v>2</v>
      </c>
      <c r="F46" s="78" t="n">
        <v>8</v>
      </c>
    </row>
    <row r="47" customFormat="false" ht="15.75" hidden="false" customHeight="true" outlineLevel="0" collapsed="false">
      <c r="A47" s="66" t="s">
        <v>192</v>
      </c>
      <c r="B47" s="66"/>
      <c r="C47" s="66"/>
      <c r="D47" s="77" t="n">
        <v>3</v>
      </c>
      <c r="E47" s="77" t="n">
        <v>3</v>
      </c>
      <c r="F47" s="78" t="n">
        <v>9</v>
      </c>
    </row>
    <row r="49" customFormat="false" ht="18" hidden="false" customHeight="true" outlineLevel="0" collapsed="false">
      <c r="A49" s="64" t="s">
        <v>193</v>
      </c>
      <c r="B49" s="64"/>
      <c r="C49" s="64"/>
      <c r="D49" s="64"/>
      <c r="E49" s="64"/>
      <c r="F49" s="64"/>
      <c r="G49" s="64"/>
      <c r="H49" s="64"/>
    </row>
    <row r="50" customFormat="false" ht="25.5" hidden="false" customHeight="true" outlineLevel="0" collapsed="false">
      <c r="A50" s="72" t="s">
        <v>86</v>
      </c>
      <c r="B50" s="72"/>
      <c r="C50" s="72"/>
      <c r="D50" s="72" t="s">
        <v>87</v>
      </c>
      <c r="E50" s="72" t="s">
        <v>88</v>
      </c>
      <c r="F50" s="72" t="s">
        <v>89</v>
      </c>
    </row>
    <row r="51" customFormat="false" ht="15.75" hidden="false" customHeight="true" outlineLevel="0" collapsed="false">
      <c r="A51" s="66" t="s">
        <v>194</v>
      </c>
      <c r="B51" s="66"/>
      <c r="C51" s="66"/>
      <c r="D51" s="77" t="n">
        <v>1</v>
      </c>
      <c r="E51" s="78" t="n">
        <v>5.5</v>
      </c>
      <c r="F51" s="78" t="n">
        <v>2.5</v>
      </c>
    </row>
    <row r="52" customFormat="false" ht="15.75" hidden="false" customHeight="true" outlineLevel="0" collapsed="false">
      <c r="A52" s="66" t="s">
        <v>195</v>
      </c>
      <c r="B52" s="66"/>
      <c r="C52" s="66"/>
      <c r="D52" s="77" t="n">
        <v>1</v>
      </c>
      <c r="E52" s="78" t="n">
        <v>2.5</v>
      </c>
      <c r="F52" s="78" t="n">
        <v>5.5</v>
      </c>
    </row>
    <row r="53" customFormat="false" ht="15.75" hidden="false" customHeight="true" outlineLevel="0" collapsed="false">
      <c r="A53" s="66" t="s">
        <v>196</v>
      </c>
      <c r="B53" s="66"/>
      <c r="C53" s="66"/>
      <c r="D53" s="77" t="n">
        <v>2</v>
      </c>
      <c r="E53" s="78" t="n">
        <v>9</v>
      </c>
      <c r="F53" s="78" t="n">
        <v>7</v>
      </c>
    </row>
    <row r="54" customFormat="false" ht="15.75" hidden="false" customHeight="true" outlineLevel="0" collapsed="false">
      <c r="A54" s="66" t="s">
        <v>197</v>
      </c>
      <c r="B54" s="66"/>
      <c r="C54" s="66"/>
      <c r="D54" s="77" t="n">
        <v>2</v>
      </c>
      <c r="E54" s="78" t="n">
        <v>6</v>
      </c>
      <c r="F54" s="78" t="n">
        <v>10</v>
      </c>
    </row>
    <row r="55" customFormat="false" ht="15.75" hidden="false" customHeight="true" outlineLevel="0" collapsed="false">
      <c r="A55" s="66" t="s">
        <v>198</v>
      </c>
      <c r="B55" s="66"/>
      <c r="C55" s="66"/>
      <c r="D55" s="77" t="n">
        <v>6</v>
      </c>
      <c r="E55" s="78" t="n">
        <v>28</v>
      </c>
      <c r="F55" s="78" t="n">
        <v>20</v>
      </c>
    </row>
    <row r="56" customFormat="false" ht="15.75" hidden="false" customHeight="true" outlineLevel="0" collapsed="false">
      <c r="A56" s="66" t="s">
        <v>199</v>
      </c>
      <c r="B56" s="66"/>
      <c r="C56" s="66"/>
      <c r="D56" s="77" t="n">
        <v>3</v>
      </c>
      <c r="E56" s="78" t="n">
        <v>16</v>
      </c>
      <c r="F56" s="78" t="n">
        <v>8</v>
      </c>
    </row>
    <row r="58" customFormat="false" ht="18" hidden="false" customHeight="true" outlineLevel="0" collapsed="false">
      <c r="A58" s="64" t="s">
        <v>200</v>
      </c>
      <c r="B58" s="64"/>
      <c r="C58" s="64"/>
      <c r="D58" s="64"/>
      <c r="E58" s="64"/>
      <c r="F58" s="64"/>
      <c r="G58" s="64"/>
      <c r="H58" s="64"/>
    </row>
    <row r="59" customFormat="false" ht="25.5" hidden="false" customHeight="true" outlineLevel="0" collapsed="false">
      <c r="A59" s="72" t="s">
        <v>91</v>
      </c>
      <c r="B59" s="72"/>
      <c r="C59" s="72"/>
      <c r="D59" s="72" t="s">
        <v>37</v>
      </c>
      <c r="E59" s="72" t="s">
        <v>201</v>
      </c>
      <c r="F59" s="72" t="s">
        <v>202</v>
      </c>
      <c r="G59" s="72" t="s">
        <v>203</v>
      </c>
    </row>
    <row r="60" customFormat="false" ht="15.75" hidden="false" customHeight="true" outlineLevel="0" collapsed="false">
      <c r="A60" s="66" t="s">
        <v>204</v>
      </c>
      <c r="B60" s="66"/>
      <c r="C60" s="66"/>
      <c r="D60" s="73" t="s">
        <v>166</v>
      </c>
      <c r="E60" s="75" t="n">
        <v>320</v>
      </c>
      <c r="F60" s="75" t="n">
        <v>60</v>
      </c>
      <c r="G60" s="75" t="n">
        <v>22</v>
      </c>
    </row>
    <row r="61" customFormat="false" ht="15.75" hidden="false" customHeight="true" outlineLevel="0" collapsed="false">
      <c r="A61" s="66" t="s">
        <v>205</v>
      </c>
      <c r="B61" s="66"/>
      <c r="C61" s="66"/>
      <c r="D61" s="73" t="s">
        <v>166</v>
      </c>
      <c r="E61" s="75" t="n">
        <v>0</v>
      </c>
      <c r="F61" s="75" t="n">
        <v>0</v>
      </c>
      <c r="G61" s="75" t="n">
        <v>0</v>
      </c>
    </row>
    <row r="62" customFormat="false" ht="15.75" hidden="false" customHeight="true" outlineLevel="0" collapsed="false">
      <c r="A62" s="66" t="s">
        <v>206</v>
      </c>
      <c r="B62" s="66"/>
      <c r="C62" s="66"/>
      <c r="D62" s="73" t="s">
        <v>166</v>
      </c>
      <c r="E62" s="75" t="n">
        <v>240</v>
      </c>
      <c r="F62" s="75" t="n">
        <v>0</v>
      </c>
      <c r="G62" s="75" t="n">
        <v>0</v>
      </c>
    </row>
    <row r="63" customFormat="false" ht="15.75" hidden="false" customHeight="true" outlineLevel="0" collapsed="false">
      <c r="A63" s="66" t="s">
        <v>207</v>
      </c>
      <c r="B63" s="66"/>
      <c r="C63" s="66"/>
      <c r="D63" s="73" t="s">
        <v>166</v>
      </c>
      <c r="E63" s="75" t="n">
        <v>180</v>
      </c>
      <c r="F63" s="75" t="n">
        <v>40</v>
      </c>
      <c r="G63" s="75" t="n">
        <v>14</v>
      </c>
    </row>
    <row r="64" customFormat="false" ht="15.75" hidden="false" customHeight="true" outlineLevel="0" collapsed="false">
      <c r="A64" s="66" t="s">
        <v>208</v>
      </c>
      <c r="B64" s="66"/>
      <c r="C64" s="66"/>
      <c r="D64" s="73" t="s">
        <v>170</v>
      </c>
      <c r="E64" s="75" t="n">
        <v>18</v>
      </c>
      <c r="F64" s="75" t="n">
        <v>4</v>
      </c>
      <c r="G64" s="75" t="n">
        <v>1</v>
      </c>
    </row>
    <row r="65" customFormat="false" ht="15.75" hidden="false" customHeight="true" outlineLevel="0" collapsed="false">
      <c r="A65" s="66" t="s">
        <v>209</v>
      </c>
      <c r="B65" s="66"/>
      <c r="C65" s="66"/>
      <c r="D65" s="73" t="s">
        <v>210</v>
      </c>
      <c r="E65" s="75" t="n">
        <v>60</v>
      </c>
      <c r="F65" s="75" t="n">
        <v>15</v>
      </c>
      <c r="G65" s="75" t="n">
        <v>8</v>
      </c>
    </row>
    <row r="67" customFormat="false" ht="18" hidden="false" customHeight="true" outlineLevel="0" collapsed="false">
      <c r="A67" s="64" t="s">
        <v>211</v>
      </c>
      <c r="B67" s="64"/>
      <c r="C67" s="64"/>
      <c r="D67" s="64"/>
      <c r="E67" s="64"/>
      <c r="F67" s="64"/>
      <c r="G67" s="64"/>
      <c r="H67" s="64"/>
    </row>
    <row r="68" customFormat="false" ht="25.5" hidden="false" customHeight="true" outlineLevel="0" collapsed="false">
      <c r="A68" s="72" t="s">
        <v>212</v>
      </c>
      <c r="B68" s="72"/>
      <c r="C68" s="72"/>
      <c r="D68" s="72" t="s">
        <v>213</v>
      </c>
      <c r="E68" s="72"/>
    </row>
    <row r="69" customFormat="false" ht="15.75" hidden="false" customHeight="true" outlineLevel="0" collapsed="false">
      <c r="A69" s="66" t="s">
        <v>214</v>
      </c>
      <c r="B69" s="66"/>
      <c r="C69" s="66"/>
      <c r="D69" s="66" t="s">
        <v>215</v>
      </c>
      <c r="E69" s="66"/>
    </row>
    <row r="70" customFormat="false" ht="15.75" hidden="false" customHeight="true" outlineLevel="0" collapsed="false">
      <c r="A70" s="66" t="s">
        <v>216</v>
      </c>
      <c r="B70" s="66"/>
      <c r="C70" s="66"/>
      <c r="D70" s="66" t="s">
        <v>217</v>
      </c>
      <c r="E70" s="66"/>
    </row>
    <row r="71" customFormat="false" ht="15.75" hidden="false" customHeight="true" outlineLevel="0" collapsed="false">
      <c r="A71" s="66" t="s">
        <v>218</v>
      </c>
      <c r="B71" s="66"/>
      <c r="C71" s="66"/>
      <c r="D71" s="66" t="s">
        <v>219</v>
      </c>
      <c r="E71" s="66"/>
    </row>
    <row r="72" customFormat="false" ht="15.75" hidden="false" customHeight="true" outlineLevel="0" collapsed="false">
      <c r="A72" s="66" t="s">
        <v>220</v>
      </c>
      <c r="B72" s="66"/>
      <c r="C72" s="66"/>
      <c r="D72" s="66" t="s">
        <v>221</v>
      </c>
      <c r="E72" s="66"/>
    </row>
    <row r="73" customFormat="false" ht="15.75" hidden="false" customHeight="true" outlineLevel="0" collapsed="false">
      <c r="A73" s="66" t="s">
        <v>222</v>
      </c>
      <c r="B73" s="66"/>
      <c r="C73" s="66"/>
      <c r="D73" s="66" t="s">
        <v>223</v>
      </c>
      <c r="E73" s="66"/>
    </row>
    <row r="74" customFormat="false" ht="15.75" hidden="false" customHeight="true" outlineLevel="0" collapsed="false">
      <c r="A74" s="66" t="s">
        <v>224</v>
      </c>
      <c r="B74" s="66"/>
      <c r="C74" s="66"/>
      <c r="D74" s="66" t="s">
        <v>225</v>
      </c>
      <c r="E74" s="66"/>
    </row>
    <row r="76" customFormat="false" ht="18" hidden="false" customHeight="true" outlineLevel="0" collapsed="false">
      <c r="A76" s="64" t="s">
        <v>226</v>
      </c>
      <c r="B76" s="64"/>
      <c r="C76" s="64"/>
      <c r="D76" s="64"/>
      <c r="E76" s="64"/>
      <c r="F76" s="64"/>
      <c r="G76" s="64"/>
      <c r="H76" s="64"/>
    </row>
    <row r="77" customFormat="false" ht="25.5" hidden="false" customHeight="true" outlineLevel="0" collapsed="false">
      <c r="A77" s="72" t="s">
        <v>227</v>
      </c>
      <c r="B77" s="72"/>
      <c r="C77" s="72"/>
      <c r="D77" s="72" t="s">
        <v>213</v>
      </c>
      <c r="E77" s="72"/>
    </row>
    <row r="78" customFormat="false" ht="15.75" hidden="false" customHeight="true" outlineLevel="0" collapsed="false">
      <c r="A78" s="66" t="s">
        <v>228</v>
      </c>
      <c r="B78" s="66"/>
      <c r="C78" s="66"/>
      <c r="D78" s="66" t="s">
        <v>229</v>
      </c>
      <c r="E78" s="66"/>
    </row>
    <row r="79" customFormat="false" ht="15.75" hidden="false" customHeight="true" outlineLevel="0" collapsed="false">
      <c r="A79" s="66" t="s">
        <v>230</v>
      </c>
      <c r="B79" s="66"/>
      <c r="C79" s="66"/>
      <c r="D79" s="66" t="s">
        <v>231</v>
      </c>
      <c r="E79" s="66"/>
    </row>
    <row r="80" customFormat="false" ht="15.75" hidden="false" customHeight="true" outlineLevel="0" collapsed="false">
      <c r="A80" s="66" t="s">
        <v>232</v>
      </c>
      <c r="B80" s="66"/>
      <c r="C80" s="66"/>
      <c r="D80" s="66" t="s">
        <v>233</v>
      </c>
      <c r="E80" s="66"/>
    </row>
    <row r="81" customFormat="false" ht="15.75" hidden="false" customHeight="true" outlineLevel="0" collapsed="false">
      <c r="A81" s="66" t="s">
        <v>234</v>
      </c>
      <c r="B81" s="66"/>
      <c r="C81" s="66"/>
      <c r="D81" s="66" t="s">
        <v>235</v>
      </c>
      <c r="E81" s="66"/>
    </row>
    <row r="82" customFormat="false" ht="15.75" hidden="false" customHeight="true" outlineLevel="0" collapsed="false">
      <c r="A82" s="66" t="s">
        <v>236</v>
      </c>
      <c r="B82" s="66"/>
      <c r="C82" s="66"/>
      <c r="D82" s="66" t="s">
        <v>237</v>
      </c>
      <c r="E82" s="66"/>
    </row>
    <row r="83" customFormat="false" ht="15.75" hidden="false" customHeight="true" outlineLevel="0" collapsed="false">
      <c r="A83" s="66" t="s">
        <v>238</v>
      </c>
      <c r="B83" s="66"/>
      <c r="C83" s="66"/>
      <c r="D83" s="66" t="s">
        <v>239</v>
      </c>
      <c r="E83" s="66"/>
    </row>
    <row r="85" customFormat="false" ht="18" hidden="false" customHeight="true" outlineLevel="0" collapsed="false">
      <c r="A85" s="64" t="s">
        <v>240</v>
      </c>
      <c r="B85" s="64"/>
      <c r="C85" s="64"/>
      <c r="D85" s="64"/>
      <c r="E85" s="64"/>
      <c r="F85" s="64"/>
      <c r="G85" s="64"/>
      <c r="H85" s="64"/>
    </row>
    <row r="86" customFormat="false" ht="25.5" hidden="false" customHeight="true" outlineLevel="0" collapsed="false">
      <c r="A86" s="72" t="s">
        <v>241</v>
      </c>
      <c r="B86" s="72"/>
      <c r="C86" s="72"/>
      <c r="D86" s="72" t="s">
        <v>242</v>
      </c>
      <c r="E86" s="72" t="s">
        <v>103</v>
      </c>
      <c r="F86" s="72" t="s">
        <v>104</v>
      </c>
      <c r="G86" s="72" t="s">
        <v>106</v>
      </c>
    </row>
    <row r="87" customFormat="false" ht="15.75" hidden="false" customHeight="true" outlineLevel="0" collapsed="false">
      <c r="A87" s="66" t="s">
        <v>243</v>
      </c>
      <c r="B87" s="66"/>
      <c r="C87" s="66"/>
      <c r="D87" s="73" t="s">
        <v>244</v>
      </c>
      <c r="E87" s="79" t="n">
        <v>0.395833333333333</v>
      </c>
      <c r="F87" s="79" t="n">
        <v>0.5</v>
      </c>
      <c r="G87" s="73" t="s">
        <v>237</v>
      </c>
    </row>
    <row r="88" customFormat="false" ht="15.75" hidden="false" customHeight="true" outlineLevel="0" collapsed="false">
      <c r="A88" s="66" t="s">
        <v>245</v>
      </c>
      <c r="B88" s="66"/>
      <c r="C88" s="66"/>
      <c r="D88" s="73" t="s">
        <v>149</v>
      </c>
      <c r="E88" s="79" t="n">
        <v>0.604166666666667</v>
      </c>
      <c r="F88" s="79" t="n">
        <v>0.666666666666667</v>
      </c>
      <c r="G88" s="73" t="s">
        <v>246</v>
      </c>
    </row>
    <row r="89" customFormat="false" ht="15.75" hidden="false" customHeight="true" outlineLevel="0" collapsed="false">
      <c r="A89" s="66" t="s">
        <v>247</v>
      </c>
      <c r="B89" s="66"/>
      <c r="C89" s="66"/>
      <c r="D89" s="73" t="s">
        <v>248</v>
      </c>
      <c r="E89" s="79" t="n">
        <v>0.458333333333333</v>
      </c>
      <c r="F89" s="79" t="n">
        <v>0.5</v>
      </c>
      <c r="G89" s="73" t="s">
        <v>249</v>
      </c>
    </row>
    <row r="90" customFormat="false" ht="15.75" hidden="false" customHeight="true" outlineLevel="0" collapsed="false">
      <c r="A90" s="66"/>
      <c r="B90" s="66"/>
      <c r="C90" s="66"/>
      <c r="D90" s="73"/>
      <c r="E90" s="79"/>
      <c r="F90" s="79"/>
      <c r="G90" s="73"/>
    </row>
    <row r="92" customFormat="false" ht="18" hidden="false" customHeight="true" outlineLevel="0" collapsed="false">
      <c r="A92" s="64" t="s">
        <v>250</v>
      </c>
      <c r="B92" s="64"/>
      <c r="C92" s="64"/>
      <c r="D92" s="64"/>
      <c r="E92" s="64"/>
      <c r="F92" s="64"/>
      <c r="G92" s="64"/>
      <c r="H92" s="64"/>
    </row>
    <row r="93" customFormat="false" ht="25.5" hidden="false" customHeight="true" outlineLevel="0" collapsed="false">
      <c r="A93" s="72" t="s">
        <v>110</v>
      </c>
      <c r="B93" s="72" t="s">
        <v>58</v>
      </c>
      <c r="C93" s="72"/>
      <c r="D93" s="72"/>
      <c r="E93" s="72" t="s">
        <v>111</v>
      </c>
      <c r="F93" s="72" t="s">
        <v>113</v>
      </c>
      <c r="G93" s="72"/>
    </row>
    <row r="94" customFormat="false" ht="15.75" hidden="false" customHeight="true" outlineLevel="0" collapsed="false">
      <c r="A94" s="73" t="s">
        <v>251</v>
      </c>
      <c r="B94" s="66" t="s">
        <v>252</v>
      </c>
      <c r="C94" s="66"/>
      <c r="D94" s="66"/>
      <c r="E94" s="76" t="n">
        <v>46225</v>
      </c>
      <c r="F94" s="66" t="s">
        <v>253</v>
      </c>
      <c r="G94" s="66"/>
    </row>
    <row r="95" customFormat="false" ht="15.75" hidden="false" customHeight="true" outlineLevel="0" collapsed="false">
      <c r="A95" s="73" t="s">
        <v>254</v>
      </c>
      <c r="B95" s="66" t="s">
        <v>255</v>
      </c>
      <c r="C95" s="66"/>
      <c r="D95" s="66"/>
      <c r="E95" s="76" t="n">
        <v>46222</v>
      </c>
      <c r="F95" s="66" t="s">
        <v>253</v>
      </c>
      <c r="G95" s="66"/>
    </row>
    <row r="96" customFormat="false" ht="15.75" hidden="false" customHeight="true" outlineLevel="0" collapsed="false">
      <c r="A96" s="73" t="s">
        <v>256</v>
      </c>
      <c r="B96" s="66" t="s">
        <v>257</v>
      </c>
      <c r="C96" s="66"/>
      <c r="D96" s="66"/>
      <c r="E96" s="76" t="n">
        <v>46220</v>
      </c>
      <c r="F96" s="66" t="s">
        <v>258</v>
      </c>
      <c r="G96" s="66"/>
    </row>
    <row r="97" customFormat="false" ht="15.75" hidden="false" customHeight="true" outlineLevel="0" collapsed="false">
      <c r="A97" s="73" t="s">
        <v>259</v>
      </c>
      <c r="B97" s="66" t="s">
        <v>260</v>
      </c>
      <c r="C97" s="66"/>
      <c r="D97" s="66"/>
      <c r="E97" s="76" t="n">
        <v>46231</v>
      </c>
      <c r="F97" s="66" t="s">
        <v>261</v>
      </c>
      <c r="G97" s="66"/>
    </row>
    <row r="99" customFormat="false" ht="18" hidden="false" customHeight="true" outlineLevel="0" collapsed="false">
      <c r="A99" s="64" t="s">
        <v>262</v>
      </c>
      <c r="B99" s="64"/>
      <c r="C99" s="64"/>
      <c r="D99" s="64"/>
      <c r="E99" s="64"/>
      <c r="F99" s="64"/>
      <c r="G99" s="64"/>
      <c r="H99" s="64"/>
    </row>
    <row r="100" customFormat="false" ht="25.5" hidden="false" customHeight="true" outlineLevel="0" collapsed="false">
      <c r="A100" s="72" t="s">
        <v>114</v>
      </c>
      <c r="B100" s="72"/>
      <c r="C100" s="72"/>
      <c r="D100" s="72"/>
      <c r="E100" s="72" t="s">
        <v>115</v>
      </c>
      <c r="F100" s="72" t="s">
        <v>116</v>
      </c>
      <c r="G100" s="72"/>
    </row>
    <row r="101" customFormat="false" ht="15.75" hidden="false" customHeight="true" outlineLevel="0" collapsed="false">
      <c r="A101" s="66" t="s">
        <v>263</v>
      </c>
      <c r="B101" s="66"/>
      <c r="C101" s="66"/>
      <c r="D101" s="66"/>
      <c r="E101" s="73" t="s">
        <v>264</v>
      </c>
      <c r="F101" s="66" t="s">
        <v>258</v>
      </c>
      <c r="G101" s="66"/>
    </row>
    <row r="102" customFormat="false" ht="15.75" hidden="false" customHeight="true" outlineLevel="0" collapsed="false">
      <c r="A102" s="66" t="s">
        <v>265</v>
      </c>
      <c r="B102" s="66"/>
      <c r="C102" s="66"/>
      <c r="D102" s="66"/>
      <c r="E102" s="73" t="s">
        <v>266</v>
      </c>
      <c r="F102" s="66" t="s">
        <v>248</v>
      </c>
      <c r="G102" s="66"/>
    </row>
    <row r="103" customFormat="false" ht="15.75" hidden="false" customHeight="true" outlineLevel="0" collapsed="false">
      <c r="A103" s="66" t="s">
        <v>267</v>
      </c>
      <c r="B103" s="66"/>
      <c r="C103" s="66"/>
      <c r="D103" s="66"/>
      <c r="E103" s="73" t="s">
        <v>266</v>
      </c>
      <c r="F103" s="66" t="s">
        <v>253</v>
      </c>
      <c r="G103" s="66"/>
    </row>
    <row r="104" customFormat="false" ht="15.75" hidden="false" customHeight="true" outlineLevel="0" collapsed="false">
      <c r="A104" s="66" t="s">
        <v>268</v>
      </c>
      <c r="B104" s="66"/>
      <c r="C104" s="66"/>
      <c r="D104" s="66"/>
      <c r="E104" s="73" t="s">
        <v>269</v>
      </c>
      <c r="F104" s="66" t="s">
        <v>248</v>
      </c>
      <c r="G104" s="66"/>
    </row>
    <row r="106" customFormat="false" ht="18" hidden="false" customHeight="true" outlineLevel="0" collapsed="false">
      <c r="A106" s="64" t="s">
        <v>270</v>
      </c>
      <c r="B106" s="64"/>
      <c r="C106" s="64"/>
      <c r="D106" s="64"/>
      <c r="E106" s="64"/>
      <c r="F106" s="64"/>
      <c r="G106" s="64"/>
      <c r="H106" s="64"/>
    </row>
    <row r="107" customFormat="false" ht="15.75" hidden="false" customHeight="true" outlineLevel="0" collapsed="false">
      <c r="A107" s="66" t="s">
        <v>271</v>
      </c>
      <c r="B107" s="66"/>
      <c r="C107" s="66"/>
      <c r="D107" s="66"/>
      <c r="E107" s="66"/>
      <c r="F107" s="66"/>
      <c r="G107" s="66"/>
      <c r="H107" s="66"/>
    </row>
    <row r="108" customFormat="false" ht="15.75" hidden="false" customHeight="true" outlineLevel="0" collapsed="false">
      <c r="A108" s="66" t="s">
        <v>272</v>
      </c>
      <c r="B108" s="66"/>
      <c r="C108" s="66"/>
      <c r="D108" s="66"/>
      <c r="E108" s="66"/>
      <c r="F108" s="66"/>
      <c r="G108" s="66"/>
      <c r="H108" s="66"/>
    </row>
    <row r="109" customFormat="false" ht="15.75" hidden="false" customHeight="true" outlineLevel="0" collapsed="false">
      <c r="A109" s="66" t="s">
        <v>273</v>
      </c>
      <c r="B109" s="66"/>
      <c r="C109" s="66"/>
      <c r="D109" s="66"/>
      <c r="E109" s="66"/>
      <c r="F109" s="66"/>
      <c r="G109" s="66"/>
      <c r="H109" s="66"/>
    </row>
    <row r="110" customFormat="false" ht="15.75" hidden="false" customHeight="true" outlineLevel="0" collapsed="false">
      <c r="A110" s="66" t="s">
        <v>274</v>
      </c>
      <c r="B110" s="66"/>
      <c r="C110" s="66"/>
      <c r="D110" s="66"/>
      <c r="E110" s="66"/>
      <c r="F110" s="66"/>
      <c r="G110" s="66"/>
      <c r="H110" s="66"/>
    </row>
    <row r="112" customFormat="false" ht="18" hidden="false" customHeight="true" outlineLevel="0" collapsed="false">
      <c r="A112" s="64" t="s">
        <v>275</v>
      </c>
      <c r="B112" s="64"/>
      <c r="C112" s="64"/>
      <c r="D112" s="64"/>
      <c r="E112" s="64"/>
      <c r="F112" s="64"/>
      <c r="G112" s="64"/>
      <c r="H112" s="64"/>
    </row>
    <row r="113" customFormat="false" ht="15.75" hidden="false" customHeight="true" outlineLevel="0" collapsed="false">
      <c r="A113" s="66" t="s">
        <v>276</v>
      </c>
      <c r="B113" s="66"/>
      <c r="C113" s="66"/>
      <c r="D113" s="66"/>
      <c r="E113" s="66"/>
      <c r="F113" s="66"/>
      <c r="G113" s="66"/>
      <c r="H113" s="66"/>
    </row>
    <row r="114" customFormat="false" ht="15.75" hidden="false" customHeight="true" outlineLevel="0" collapsed="false">
      <c r="A114" s="66" t="s">
        <v>277</v>
      </c>
      <c r="B114" s="66"/>
      <c r="C114" s="66"/>
      <c r="D114" s="66"/>
      <c r="E114" s="66"/>
      <c r="F114" s="66"/>
      <c r="G114" s="66"/>
      <c r="H114" s="66"/>
    </row>
    <row r="115" customFormat="false" ht="15.75" hidden="false" customHeight="true" outlineLevel="0" collapsed="false">
      <c r="A115" s="66" t="s">
        <v>278</v>
      </c>
      <c r="B115" s="66"/>
      <c r="C115" s="66"/>
      <c r="D115" s="66"/>
      <c r="E115" s="66"/>
      <c r="F115" s="66"/>
      <c r="G115" s="66"/>
      <c r="H115" s="66"/>
    </row>
    <row r="116" customFormat="false" ht="15.75" hidden="false" customHeight="true" outlineLevel="0" collapsed="false">
      <c r="A116" s="66" t="s">
        <v>279</v>
      </c>
      <c r="B116" s="66"/>
      <c r="C116" s="66"/>
      <c r="D116" s="66"/>
      <c r="E116" s="66"/>
      <c r="F116" s="66"/>
      <c r="G116" s="66"/>
      <c r="H116" s="66"/>
    </row>
    <row r="118" customFormat="false" ht="18" hidden="false" customHeight="true" outlineLevel="0" collapsed="false">
      <c r="A118" s="64" t="s">
        <v>280</v>
      </c>
      <c r="B118" s="64"/>
      <c r="C118" s="64"/>
      <c r="D118" s="64"/>
      <c r="E118" s="64"/>
      <c r="F118" s="64"/>
      <c r="G118" s="64"/>
      <c r="H118" s="64"/>
    </row>
    <row r="119" customFormat="false" ht="15.75" hidden="false" customHeight="true" outlineLevel="0" collapsed="false">
      <c r="A119" s="66" t="s">
        <v>281</v>
      </c>
      <c r="B119" s="66"/>
      <c r="C119" s="66"/>
      <c r="D119" s="66"/>
      <c r="E119" s="66"/>
      <c r="F119" s="66"/>
      <c r="G119" s="66"/>
      <c r="H119" s="66"/>
    </row>
    <row r="120" customFormat="false" ht="15.75" hidden="false" customHeight="true" outlineLevel="0" collapsed="false">
      <c r="A120" s="66" t="s">
        <v>282</v>
      </c>
      <c r="B120" s="66"/>
      <c r="C120" s="66"/>
      <c r="D120" s="66"/>
      <c r="E120" s="66"/>
      <c r="F120" s="66"/>
      <c r="G120" s="66"/>
      <c r="H120" s="66"/>
    </row>
    <row r="121" customFormat="false" ht="15.75" hidden="false" customHeight="true" outlineLevel="0" collapsed="false">
      <c r="A121" s="66" t="s">
        <v>283</v>
      </c>
      <c r="B121" s="66"/>
      <c r="C121" s="66"/>
      <c r="D121" s="66"/>
      <c r="E121" s="66"/>
      <c r="F121" s="66"/>
      <c r="G121" s="66"/>
      <c r="H121" s="66"/>
    </row>
    <row r="123" customFormat="false" ht="18" hidden="false" customHeight="true" outlineLevel="0" collapsed="false">
      <c r="A123" s="64" t="s">
        <v>284</v>
      </c>
      <c r="B123" s="64"/>
      <c r="C123" s="64"/>
      <c r="D123" s="64"/>
      <c r="E123" s="64"/>
      <c r="F123" s="64"/>
      <c r="G123" s="64"/>
      <c r="H123" s="64"/>
    </row>
    <row r="124" customFormat="false" ht="21.75" hidden="false" customHeight="true" outlineLevel="0" collapsed="false">
      <c r="A124" s="72" t="s">
        <v>10</v>
      </c>
      <c r="B124" s="72" t="s">
        <v>285</v>
      </c>
      <c r="C124" s="72"/>
      <c r="D124" s="72" t="s">
        <v>13</v>
      </c>
      <c r="E124" s="72"/>
      <c r="F124" s="72"/>
      <c r="G124" s="72"/>
      <c r="H124" s="72"/>
    </row>
    <row r="125" customFormat="false" ht="15" hidden="false" customHeight="true" outlineLevel="0" collapsed="false">
      <c r="A125" s="80" t="n">
        <v>46204</v>
      </c>
      <c r="B125" s="81" t="n">
        <f aca="false">'S-Curve Calc'!F20</f>
        <v>0</v>
      </c>
      <c r="C125" s="81"/>
      <c r="D125" s="67" t="s">
        <v>286</v>
      </c>
      <c r="E125" s="67"/>
      <c r="F125" s="67"/>
      <c r="G125" s="67"/>
      <c r="H125" s="67"/>
    </row>
    <row r="126" customFormat="false" ht="15" hidden="false" customHeight="true" outlineLevel="0" collapsed="false">
      <c r="A126" s="80" t="n">
        <v>46209</v>
      </c>
      <c r="B126" s="81" t="n">
        <f aca="false">'S-Curve Calc'!G20</f>
        <v>0.0120049551429168</v>
      </c>
      <c r="C126" s="81"/>
      <c r="D126" s="67" t="s">
        <v>286</v>
      </c>
      <c r="E126" s="67"/>
      <c r="F126" s="67"/>
      <c r="G126" s="67"/>
      <c r="H126" s="67"/>
    </row>
    <row r="127" customFormat="false" ht="15" hidden="false" customHeight="true" outlineLevel="0" collapsed="false">
      <c r="A127" s="80" t="n">
        <v>46214</v>
      </c>
      <c r="B127" s="81" t="n">
        <f aca="false">'S-Curve Calc'!H20</f>
        <v>0.030008632380555</v>
      </c>
      <c r="C127" s="81"/>
      <c r="D127" s="67" t="s">
        <v>286</v>
      </c>
      <c r="E127" s="67"/>
      <c r="F127" s="67"/>
      <c r="G127" s="67"/>
      <c r="H127" s="67"/>
    </row>
    <row r="128" customFormat="false" ht="15" hidden="false" customHeight="true" outlineLevel="0" collapsed="false">
      <c r="A128" s="80" t="n">
        <v>46219</v>
      </c>
      <c r="B128" s="81" t="n">
        <f aca="false">'S-Curve Calc'!I20</f>
        <v>0.0520161694137284</v>
      </c>
      <c r="C128" s="81"/>
      <c r="D128" s="67" t="s">
        <v>286</v>
      </c>
      <c r="E128" s="67"/>
      <c r="F128" s="67"/>
      <c r="G128" s="67"/>
      <c r="H128" s="67"/>
    </row>
    <row r="129" customFormat="false" ht="15" hidden="false" customHeight="true" outlineLevel="0" collapsed="false">
      <c r="A129" s="80" t="n">
        <v>46224</v>
      </c>
      <c r="B129" s="81" t="n">
        <f aca="false">'S-Curve Calc'!J20</f>
        <v>0.066745775088671</v>
      </c>
      <c r="C129" s="81"/>
      <c r="D129" s="67" t="s">
        <v>286</v>
      </c>
      <c r="E129" s="67"/>
      <c r="F129" s="67"/>
      <c r="G129" s="67"/>
      <c r="H129" s="67"/>
    </row>
    <row r="130" customFormat="false" ht="15" hidden="false" customHeight="true" outlineLevel="0" collapsed="false">
      <c r="A130" s="80" t="n">
        <v>46229</v>
      </c>
      <c r="B130" s="81" t="n">
        <f aca="false">'S-Curve Calc'!K20</f>
        <v>0.066745775088671</v>
      </c>
      <c r="C130" s="81"/>
      <c r="D130" s="67" t="s">
        <v>286</v>
      </c>
      <c r="E130" s="67"/>
      <c r="F130" s="67"/>
      <c r="G130" s="67"/>
      <c r="H130" s="67"/>
    </row>
    <row r="131" customFormat="false" ht="15" hidden="false" customHeight="true" outlineLevel="0" collapsed="false">
      <c r="A131" s="80" t="n">
        <v>46234</v>
      </c>
      <c r="B131" s="82" t="s">
        <v>287</v>
      </c>
      <c r="C131" s="82"/>
      <c r="D131" s="67" t="s">
        <v>288</v>
      </c>
      <c r="E131" s="67"/>
      <c r="F131" s="67"/>
      <c r="G131" s="67"/>
      <c r="H131" s="67"/>
    </row>
    <row r="132" customFormat="false" ht="15" hidden="false" customHeight="true" outlineLevel="0" collapsed="false">
      <c r="A132" s="80" t="n">
        <v>46239</v>
      </c>
      <c r="B132" s="83"/>
      <c r="C132" s="83"/>
      <c r="D132" s="67" t="s">
        <v>289</v>
      </c>
      <c r="E132" s="67"/>
      <c r="F132" s="67"/>
      <c r="G132" s="67"/>
      <c r="H132" s="67"/>
    </row>
    <row r="133" customFormat="false" ht="15" hidden="false" customHeight="true" outlineLevel="0" collapsed="false">
      <c r="A133" s="80" t="n">
        <v>46244</v>
      </c>
      <c r="B133" s="83"/>
      <c r="C133" s="83"/>
      <c r="D133" s="67" t="s">
        <v>289</v>
      </c>
      <c r="E133" s="67"/>
      <c r="F133" s="67"/>
      <c r="G133" s="67"/>
      <c r="H133" s="67"/>
    </row>
    <row r="134" customFormat="false" ht="15" hidden="false" customHeight="true" outlineLevel="0" collapsed="false">
      <c r="A134" s="80" t="n">
        <v>46249</v>
      </c>
      <c r="B134" s="83"/>
      <c r="C134" s="83"/>
      <c r="D134" s="67" t="s">
        <v>289</v>
      </c>
      <c r="E134" s="67"/>
      <c r="F134" s="67"/>
      <c r="G134" s="67"/>
      <c r="H134" s="67"/>
    </row>
    <row r="135" customFormat="false" ht="15" hidden="false" customHeight="true" outlineLevel="0" collapsed="false">
      <c r="A135" s="80" t="n">
        <v>46254</v>
      </c>
      <c r="B135" s="83"/>
      <c r="C135" s="83"/>
      <c r="D135" s="67" t="s">
        <v>289</v>
      </c>
      <c r="E135" s="67"/>
      <c r="F135" s="67"/>
      <c r="G135" s="67"/>
      <c r="H135" s="67"/>
    </row>
    <row r="136" customFormat="false" ht="15" hidden="false" customHeight="true" outlineLevel="0" collapsed="false">
      <c r="A136" s="80" t="n">
        <v>46259</v>
      </c>
      <c r="B136" s="83"/>
      <c r="C136" s="83"/>
      <c r="D136" s="67" t="s">
        <v>289</v>
      </c>
      <c r="E136" s="67"/>
      <c r="F136" s="67"/>
      <c r="G136" s="67"/>
      <c r="H136" s="67"/>
    </row>
    <row r="137" customFormat="false" ht="15" hidden="false" customHeight="true" outlineLevel="0" collapsed="false">
      <c r="A137" s="80" t="n">
        <v>46264</v>
      </c>
      <c r="B137" s="83"/>
      <c r="C137" s="83"/>
      <c r="D137" s="67" t="s">
        <v>289</v>
      </c>
      <c r="E137" s="67"/>
      <c r="F137" s="67"/>
      <c r="G137" s="67"/>
      <c r="H137" s="67"/>
    </row>
  </sheetData>
  <mergeCells count="179">
    <mergeCell ref="A1:H1"/>
    <mergeCell ref="A2:H2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A22:H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A40:H40"/>
    <mergeCell ref="A41:C41"/>
    <mergeCell ref="A42:C42"/>
    <mergeCell ref="A43:C43"/>
    <mergeCell ref="A44:C44"/>
    <mergeCell ref="A45:C45"/>
    <mergeCell ref="A46:C46"/>
    <mergeCell ref="A47:C47"/>
    <mergeCell ref="A49:H49"/>
    <mergeCell ref="A50:C50"/>
    <mergeCell ref="A51:C51"/>
    <mergeCell ref="A52:C52"/>
    <mergeCell ref="A53:C53"/>
    <mergeCell ref="A54:C54"/>
    <mergeCell ref="A55:C55"/>
    <mergeCell ref="A56:C56"/>
    <mergeCell ref="A58:H58"/>
    <mergeCell ref="A59:C59"/>
    <mergeCell ref="A60:C60"/>
    <mergeCell ref="A61:C61"/>
    <mergeCell ref="A62:C62"/>
    <mergeCell ref="A63:C63"/>
    <mergeCell ref="A64:C64"/>
    <mergeCell ref="A65:C65"/>
    <mergeCell ref="A67:H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6:H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5:H85"/>
    <mergeCell ref="A86:C86"/>
    <mergeCell ref="A87:C87"/>
    <mergeCell ref="A88:C88"/>
    <mergeCell ref="A89:C89"/>
    <mergeCell ref="A90:C90"/>
    <mergeCell ref="A92:H92"/>
    <mergeCell ref="B93:D93"/>
    <mergeCell ref="F93:G93"/>
    <mergeCell ref="B94:D94"/>
    <mergeCell ref="F94:G94"/>
    <mergeCell ref="B95:D95"/>
    <mergeCell ref="F95:G95"/>
    <mergeCell ref="B96:D96"/>
    <mergeCell ref="F96:G96"/>
    <mergeCell ref="B97:D97"/>
    <mergeCell ref="F97:G97"/>
    <mergeCell ref="A99:H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6:H106"/>
    <mergeCell ref="A107:H107"/>
    <mergeCell ref="A108:H108"/>
    <mergeCell ref="A109:H109"/>
    <mergeCell ref="A110:H110"/>
    <mergeCell ref="A112:H112"/>
    <mergeCell ref="A113:H113"/>
    <mergeCell ref="A114:H114"/>
    <mergeCell ref="A115:H115"/>
    <mergeCell ref="A116:H116"/>
    <mergeCell ref="A118:H118"/>
    <mergeCell ref="A119:H119"/>
    <mergeCell ref="A120:H120"/>
    <mergeCell ref="A121:H121"/>
    <mergeCell ref="A123:H123"/>
    <mergeCell ref="B124:C124"/>
    <mergeCell ref="D124:H124"/>
    <mergeCell ref="B125:C125"/>
    <mergeCell ref="D125:H125"/>
    <mergeCell ref="B126:C126"/>
    <mergeCell ref="D126:H126"/>
    <mergeCell ref="B127:C127"/>
    <mergeCell ref="D127:H127"/>
    <mergeCell ref="B128:C128"/>
    <mergeCell ref="D128:H128"/>
    <mergeCell ref="B129:C129"/>
    <mergeCell ref="D129:H129"/>
    <mergeCell ref="B130:C130"/>
    <mergeCell ref="D130:H130"/>
    <mergeCell ref="B131:C131"/>
    <mergeCell ref="D131:H131"/>
    <mergeCell ref="B132:C132"/>
    <mergeCell ref="D132:H132"/>
    <mergeCell ref="B133:C133"/>
    <mergeCell ref="D133:H133"/>
    <mergeCell ref="B134:C134"/>
    <mergeCell ref="D134:H134"/>
    <mergeCell ref="B135:C135"/>
    <mergeCell ref="D135:H135"/>
    <mergeCell ref="B136:C136"/>
    <mergeCell ref="D136:H136"/>
    <mergeCell ref="B137:C137"/>
    <mergeCell ref="D137:H137"/>
  </mergeCells>
  <dataValidations count="4">
    <dataValidation allowBlank="true" errorStyle="stop" operator="between" showDropDown="false" showErrorMessage="false" showInputMessage="false" sqref="A24:A38" type="list">
      <formula1>"PLB-10,PLB-20,PLB-30,PLB-40,PLB-50"</formula1>
      <formula2>0</formula2>
    </dataValidation>
    <dataValidation allowBlank="true" errorStyle="stop" operator="between" showDropDown="false" showErrorMessage="false" showInputMessage="false" sqref="D87:D90" type="list">
      <formula1>"Weather,Client / Vendor,Consultant,Contractor,Statutory,Force Majeure"</formula1>
      <formula2>0</formula2>
    </dataValidation>
    <dataValidation allowBlank="true" errorStyle="stop" operator="between" showDropDown="false" showErrorMessage="false" showInputMessage="false" sqref="G87:G90" type="list">
      <formula1>"Yes,No,Review"</formula1>
      <formula2>0</formula2>
    </dataValidation>
    <dataValidation allowBlank="true" errorStyle="stop" operator="between" showDropDown="false" showErrorMessage="false" showInputMessage="false" sqref="E101:E104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18" min="4" style="0" width="11"/>
  </cols>
  <sheetData>
    <row r="1" customFormat="false" ht="21.75" hidden="false" customHeight="true" outlineLevel="0" collapsed="false">
      <c r="A1" s="84" t="s">
        <v>290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customFormat="false" ht="30" hidden="false" customHeight="true" outlineLevel="0" collapsed="false">
      <c r="A2" s="63" t="s">
        <v>291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</row>
    <row r="4" customFormat="false" ht="30" hidden="false" customHeight="true" outlineLevel="0" collapsed="false">
      <c r="A4" s="72" t="s">
        <v>35</v>
      </c>
      <c r="B4" s="72" t="s">
        <v>36</v>
      </c>
      <c r="C4" s="72" t="s">
        <v>37</v>
      </c>
      <c r="D4" s="72" t="s">
        <v>38</v>
      </c>
      <c r="E4" s="72" t="s">
        <v>40</v>
      </c>
      <c r="F4" s="85" t="n">
        <v>46204</v>
      </c>
      <c r="G4" s="85" t="n">
        <v>46209</v>
      </c>
      <c r="H4" s="85" t="n">
        <v>46214</v>
      </c>
      <c r="I4" s="85" t="n">
        <v>46219</v>
      </c>
      <c r="J4" s="85" t="n">
        <v>46224</v>
      </c>
      <c r="K4" s="85" t="n">
        <v>46229</v>
      </c>
      <c r="L4" s="85" t="n">
        <v>46234</v>
      </c>
      <c r="M4" s="85" t="n">
        <v>46239</v>
      </c>
      <c r="N4" s="85" t="n">
        <v>46244</v>
      </c>
      <c r="O4" s="85" t="n">
        <v>46249</v>
      </c>
      <c r="P4" s="85" t="n">
        <v>46254</v>
      </c>
      <c r="Q4" s="85" t="n">
        <v>46259</v>
      </c>
      <c r="R4" s="85" t="n">
        <v>46264</v>
      </c>
    </row>
    <row r="5" customFormat="false" ht="15.75" hidden="false" customHeight="true" outlineLevel="0" collapsed="false">
      <c r="A5" s="86" t="n">
        <v>1</v>
      </c>
      <c r="B5" s="87" t="str">
        <f aca="false">INPUT!$B$24</f>
        <v>UG HDPE water line 90 mm with fittings</v>
      </c>
      <c r="C5" s="88" t="str">
        <f aca="false">INPUT!$E$24</f>
        <v>RM</v>
      </c>
      <c r="D5" s="89" t="n">
        <f aca="false">INPUT!$F$24</f>
        <v>640</v>
      </c>
      <c r="E5" s="90" t="n">
        <f aca="false">IFERROR(INPUT!$F$24*INPUT!$G$24/SUMPRODUCT(INPUT!$F$24:$F$38,INPUT!$G$24:$G$38),0)</f>
        <v>0.0567494262466096</v>
      </c>
      <c r="F5" s="74" t="n">
        <v>0</v>
      </c>
      <c r="G5" s="74" t="n">
        <v>36.32</v>
      </c>
      <c r="H5" s="74" t="n">
        <v>90.79</v>
      </c>
      <c r="I5" s="74" t="n">
        <v>157.37</v>
      </c>
      <c r="J5" s="74" t="n">
        <v>202</v>
      </c>
      <c r="K5" s="74" t="n">
        <v>202</v>
      </c>
      <c r="L5" s="74"/>
      <c r="M5" s="74"/>
      <c r="N5" s="74"/>
      <c r="O5" s="74"/>
      <c r="P5" s="74"/>
      <c r="Q5" s="74"/>
      <c r="R5" s="74"/>
    </row>
    <row r="6" customFormat="false" ht="15.75" hidden="false" customHeight="true" outlineLevel="0" collapsed="false">
      <c r="A6" s="86" t="n">
        <v>2</v>
      </c>
      <c r="B6" s="87" t="str">
        <f aca="false">INPUT!$B$25</f>
        <v>UG sump, pump room piping &amp; valves</v>
      </c>
      <c r="C6" s="88" t="str">
        <f aca="false">INPUT!$E$25</f>
        <v>LS</v>
      </c>
      <c r="D6" s="89" t="n">
        <f aca="false">INPUT!$F$25</f>
        <v>1</v>
      </c>
      <c r="E6" s="90" t="n">
        <f aca="false">IFERROR(INPUT!$F$25*INPUT!$G$25/SUMPRODUCT(INPUT!$F$24:$F$38,INPUT!$G$24:$G$38),0)</f>
        <v>0.0625912789484665</v>
      </c>
      <c r="F6" s="74" t="n">
        <v>0</v>
      </c>
      <c r="G6" s="74" t="n">
        <v>0</v>
      </c>
      <c r="H6" s="74" t="n">
        <v>0</v>
      </c>
      <c r="I6" s="74" t="n">
        <v>0</v>
      </c>
      <c r="J6" s="74" t="n">
        <v>0</v>
      </c>
      <c r="K6" s="74" t="n">
        <v>0</v>
      </c>
      <c r="L6" s="74"/>
      <c r="M6" s="74"/>
      <c r="N6" s="74"/>
      <c r="O6" s="74"/>
      <c r="P6" s="74"/>
      <c r="Q6" s="74"/>
      <c r="R6" s="74"/>
    </row>
    <row r="7" customFormat="false" ht="15.75" hidden="false" customHeight="true" outlineLevel="0" collapsed="false">
      <c r="A7" s="86" t="n">
        <v>3</v>
      </c>
      <c r="B7" s="87" t="str">
        <f aca="false">INPUT!$B$26</f>
        <v>Water meter, valves &amp; masonry chambers</v>
      </c>
      <c r="C7" s="88" t="str">
        <f aca="false">INPUT!$E$26</f>
        <v>NOS</v>
      </c>
      <c r="D7" s="89" t="n">
        <f aca="false">INPUT!$F$26</f>
        <v>16</v>
      </c>
      <c r="E7" s="90" t="n">
        <f aca="false">IFERROR(INPUT!$F$26*INPUT!$G$26/SUMPRODUCT(INPUT!$F$24:$F$38,INPUT!$G$24:$G$38),0)</f>
        <v>0.0260796995618611</v>
      </c>
      <c r="F7" s="74" t="n">
        <v>0</v>
      </c>
      <c r="G7" s="74" t="n">
        <v>0.72</v>
      </c>
      <c r="H7" s="74" t="n">
        <v>1.8</v>
      </c>
      <c r="I7" s="74" t="n">
        <v>3.12</v>
      </c>
      <c r="J7" s="74" t="n">
        <v>4</v>
      </c>
      <c r="K7" s="74" t="n">
        <v>4</v>
      </c>
      <c r="L7" s="74"/>
      <c r="M7" s="74"/>
      <c r="N7" s="74"/>
      <c r="O7" s="74"/>
      <c r="P7" s="74"/>
      <c r="Q7" s="74"/>
      <c r="R7" s="74"/>
    </row>
    <row r="8" customFormat="false" ht="15.75" hidden="false" customHeight="true" outlineLevel="0" collapsed="false">
      <c r="A8" s="86" t="n">
        <v>4</v>
      </c>
      <c r="B8" s="87" t="str">
        <f aca="false">INPUT!$B$27</f>
        <v>CPVC piping 25 to 50 mm concealed</v>
      </c>
      <c r="C8" s="88" t="str">
        <f aca="false">INPUT!$E$27</f>
        <v>RM</v>
      </c>
      <c r="D8" s="89" t="n">
        <f aca="false">INPUT!$F$27</f>
        <v>1450</v>
      </c>
      <c r="E8" s="90" t="n">
        <f aca="false">IFERROR(INPUT!$F$27*INPUT!$G$27/SUMPRODUCT(INPUT!$F$24:$F$38,INPUT!$G$24:$G$38),0)</f>
        <v>0.0794126851658669</v>
      </c>
      <c r="F8" s="74" t="n">
        <v>0</v>
      </c>
      <c r="G8" s="74" t="n">
        <v>0</v>
      </c>
      <c r="H8" s="74" t="n">
        <v>0</v>
      </c>
      <c r="I8" s="74" t="n">
        <v>0</v>
      </c>
      <c r="J8" s="74" t="n">
        <v>0</v>
      </c>
      <c r="K8" s="74" t="n">
        <v>0</v>
      </c>
      <c r="L8" s="74"/>
      <c r="M8" s="74"/>
      <c r="N8" s="74"/>
      <c r="O8" s="74"/>
      <c r="P8" s="74"/>
      <c r="Q8" s="74"/>
      <c r="R8" s="74"/>
    </row>
    <row r="9" customFormat="false" ht="15.75" hidden="false" customHeight="true" outlineLevel="0" collapsed="false">
      <c r="A9" s="86" t="n">
        <v>5</v>
      </c>
      <c r="B9" s="87" t="str">
        <f aca="false">INPUT!$B$28</f>
        <v>GI piping 40 to 80 mm exposed</v>
      </c>
      <c r="C9" s="88" t="str">
        <f aca="false">INPUT!$E$28</f>
        <v>RM</v>
      </c>
      <c r="D9" s="89" t="n">
        <f aca="false">INPUT!$F$28</f>
        <v>620</v>
      </c>
      <c r="E9" s="90" t="n">
        <f aca="false">IFERROR(INPUT!$F$28*INPUT!$G$28/SUMPRODUCT(INPUT!$F$24:$F$38,INPUT!$G$24:$G$38),0)</f>
        <v>0.0695284790319216</v>
      </c>
      <c r="F9" s="74" t="n">
        <v>0</v>
      </c>
      <c r="G9" s="74" t="n">
        <v>0</v>
      </c>
      <c r="H9" s="74" t="n">
        <v>0</v>
      </c>
      <c r="I9" s="74" t="n">
        <v>0</v>
      </c>
      <c r="J9" s="74" t="n">
        <v>0</v>
      </c>
      <c r="K9" s="74" t="n">
        <v>0</v>
      </c>
      <c r="L9" s="74"/>
      <c r="M9" s="74"/>
      <c r="N9" s="74"/>
      <c r="O9" s="74"/>
      <c r="P9" s="74"/>
      <c r="Q9" s="74"/>
      <c r="R9" s="74"/>
    </row>
    <row r="10" customFormat="false" ht="15.75" hidden="false" customHeight="true" outlineLevel="0" collapsed="false">
      <c r="A10" s="86" t="n">
        <v>6</v>
      </c>
      <c r="B10" s="87" t="str">
        <f aca="false">INPUT!$B$29</f>
        <v>Overhead tank connections, valves &amp; float</v>
      </c>
      <c r="C10" s="88" t="str">
        <f aca="false">INPUT!$E$29</f>
        <v>NOS</v>
      </c>
      <c r="D10" s="89" t="n">
        <f aca="false">INPUT!$F$29</f>
        <v>12</v>
      </c>
      <c r="E10" s="90" t="n">
        <f aca="false">IFERROR(INPUT!$F$29*INPUT!$G$29/SUMPRODUCT(INPUT!$F$24:$F$38,INPUT!$G$24:$G$38),0)</f>
        <v>0.0153348633423743</v>
      </c>
      <c r="F10" s="74" t="n">
        <v>0</v>
      </c>
      <c r="G10" s="74" t="n">
        <v>0</v>
      </c>
      <c r="H10" s="74" t="n">
        <v>0</v>
      </c>
      <c r="I10" s="74" t="n">
        <v>0</v>
      </c>
      <c r="J10" s="74" t="n">
        <v>0</v>
      </c>
      <c r="K10" s="74" t="n">
        <v>0</v>
      </c>
      <c r="L10" s="74"/>
      <c r="M10" s="74"/>
      <c r="N10" s="74"/>
      <c r="O10" s="74"/>
      <c r="P10" s="74"/>
      <c r="Q10" s="74"/>
      <c r="R10" s="74"/>
    </row>
    <row r="11" customFormat="false" ht="15.75" hidden="false" customHeight="true" outlineLevel="0" collapsed="false">
      <c r="A11" s="86" t="n">
        <v>7</v>
      </c>
      <c r="B11" s="87" t="str">
        <f aca="false">INPUT!$B$30</f>
        <v>SWR / PVC soil &amp; waste pipe 110 mm</v>
      </c>
      <c r="C11" s="88" t="str">
        <f aca="false">INPUT!$E$30</f>
        <v>RM</v>
      </c>
      <c r="D11" s="89" t="n">
        <f aca="false">INPUT!$F$30</f>
        <v>980</v>
      </c>
      <c r="E11" s="90" t="n">
        <f aca="false">IFERROR(INPUT!$F$30*INPUT!$G$30/SUMPRODUCT(INPUT!$F$24:$F$38,INPUT!$G$24:$G$38),0)</f>
        <v>0.0613394533694972</v>
      </c>
      <c r="F11" s="74" t="n">
        <v>0</v>
      </c>
      <c r="G11" s="74" t="n">
        <v>0</v>
      </c>
      <c r="H11" s="74" t="n">
        <v>0</v>
      </c>
      <c r="I11" s="74" t="n">
        <v>0</v>
      </c>
      <c r="J11" s="74" t="n">
        <v>0</v>
      </c>
      <c r="K11" s="74" t="n">
        <v>0</v>
      </c>
      <c r="L11" s="74"/>
      <c r="M11" s="74"/>
      <c r="N11" s="74"/>
      <c r="O11" s="74"/>
      <c r="P11" s="74"/>
      <c r="Q11" s="74"/>
      <c r="R11" s="74"/>
    </row>
    <row r="12" customFormat="false" ht="15.75" hidden="false" customHeight="true" outlineLevel="0" collapsed="false">
      <c r="A12" s="86" t="n">
        <v>8</v>
      </c>
      <c r="B12" s="87" t="str">
        <f aca="false">INPUT!$B$31</f>
        <v>Rainwater downtake pipe 160 mm</v>
      </c>
      <c r="C12" s="88" t="str">
        <f aca="false">INPUT!$E$31</f>
        <v>RM</v>
      </c>
      <c r="D12" s="89" t="n">
        <f aca="false">INPUT!$F$31</f>
        <v>720</v>
      </c>
      <c r="E12" s="90" t="n">
        <f aca="false">IFERROR(INPUT!$F$31*INPUT!$G$31/SUMPRODUCT(INPUT!$F$24:$F$38,INPUT!$G$24:$G$38),0)</f>
        <v>0.0582098894220739</v>
      </c>
      <c r="F12" s="74" t="n">
        <v>0</v>
      </c>
      <c r="G12" s="74" t="n">
        <v>0</v>
      </c>
      <c r="H12" s="74" t="n">
        <v>0</v>
      </c>
      <c r="I12" s="74" t="n">
        <v>0</v>
      </c>
      <c r="J12" s="74" t="n">
        <v>0</v>
      </c>
      <c r="K12" s="74" t="n">
        <v>0</v>
      </c>
      <c r="L12" s="74"/>
      <c r="M12" s="74"/>
      <c r="N12" s="74"/>
      <c r="O12" s="74"/>
      <c r="P12" s="74"/>
      <c r="Q12" s="74"/>
      <c r="R12" s="74"/>
    </row>
    <row r="13" customFormat="false" ht="15.75" hidden="false" customHeight="true" outlineLevel="0" collapsed="false">
      <c r="A13" s="86" t="n">
        <v>9</v>
      </c>
      <c r="B13" s="87" t="str">
        <f aca="false">INPUT!$B$32</f>
        <v>UG drainage line with inspection chambers</v>
      </c>
      <c r="C13" s="88" t="str">
        <f aca="false">INPUT!$E$32</f>
        <v>RM</v>
      </c>
      <c r="D13" s="89" t="n">
        <f aca="false">INPUT!$F$32</f>
        <v>540</v>
      </c>
      <c r="E13" s="90" t="n">
        <f aca="false">IFERROR(INPUT!$F$32*INPUT!$G$32/SUMPRODUCT(INPUT!$F$24:$F$38,INPUT!$G$24:$G$38),0)</f>
        <v>0.154913415397455</v>
      </c>
      <c r="F13" s="74" t="n">
        <v>0</v>
      </c>
      <c r="G13" s="74" t="n">
        <v>19.78</v>
      </c>
      <c r="H13" s="74" t="n">
        <v>49.44</v>
      </c>
      <c r="I13" s="74" t="n">
        <v>85.7</v>
      </c>
      <c r="J13" s="74" t="n">
        <v>110</v>
      </c>
      <c r="K13" s="74" t="n">
        <v>110</v>
      </c>
      <c r="L13" s="74"/>
      <c r="M13" s="74"/>
      <c r="N13" s="74"/>
      <c r="O13" s="74"/>
      <c r="P13" s="74"/>
      <c r="Q13" s="74"/>
      <c r="R13" s="74"/>
    </row>
    <row r="14" customFormat="false" ht="15.75" hidden="false" customHeight="true" outlineLevel="0" collapsed="false">
      <c r="A14" s="86" t="n">
        <v>10</v>
      </c>
      <c r="B14" s="87" t="str">
        <f aca="false">INPUT!$B$33</f>
        <v>Manholes, gully traps &amp; covers</v>
      </c>
      <c r="C14" s="88" t="str">
        <f aca="false">INPUT!$E$33</f>
        <v>NOS</v>
      </c>
      <c r="D14" s="89" t="n">
        <f aca="false">INPUT!$F$33</f>
        <v>26</v>
      </c>
      <c r="E14" s="90" t="n">
        <f aca="false">IFERROR(INPUT!$F$33*INPUT!$G$33/SUMPRODUCT(INPUT!$F$24:$F$38,INPUT!$G$24:$G$38),0)</f>
        <v>0.055940955560192</v>
      </c>
      <c r="F14" s="74" t="n">
        <v>0</v>
      </c>
      <c r="G14" s="74" t="n">
        <v>0.9</v>
      </c>
      <c r="H14" s="74" t="n">
        <v>2.25</v>
      </c>
      <c r="I14" s="74" t="n">
        <v>3.9</v>
      </c>
      <c r="J14" s="74" t="n">
        <v>5</v>
      </c>
      <c r="K14" s="74" t="n">
        <v>5</v>
      </c>
      <c r="L14" s="74"/>
      <c r="M14" s="74"/>
      <c r="N14" s="74"/>
      <c r="O14" s="74"/>
      <c r="P14" s="74"/>
      <c r="Q14" s="74"/>
      <c r="R14" s="74"/>
    </row>
    <row r="15" customFormat="false" ht="15.75" hidden="false" customHeight="true" outlineLevel="0" collapsed="false">
      <c r="A15" s="86" t="n">
        <v>11</v>
      </c>
      <c r="B15" s="87" t="str">
        <f aca="false">INPUT!$B$34</f>
        <v>WC, wash basin &amp; urinal with fittings</v>
      </c>
      <c r="C15" s="88" t="str">
        <f aca="false">INPUT!$E$34</f>
        <v>NOS</v>
      </c>
      <c r="D15" s="89" t="n">
        <f aca="false">INPUT!$F$34</f>
        <v>68</v>
      </c>
      <c r="E15" s="90" t="n">
        <f aca="false">IFERROR(INPUT!$F$34*INPUT!$G$34/SUMPRODUCT(INPUT!$F$24:$F$38,INPUT!$G$24:$G$38),0)</f>
        <v>0.128572918839975</v>
      </c>
      <c r="F15" s="74" t="n">
        <v>0</v>
      </c>
      <c r="G15" s="74" t="n">
        <v>0</v>
      </c>
      <c r="H15" s="74" t="n">
        <v>0</v>
      </c>
      <c r="I15" s="74" t="n">
        <v>0</v>
      </c>
      <c r="J15" s="74" t="n">
        <v>0</v>
      </c>
      <c r="K15" s="74" t="n">
        <v>0</v>
      </c>
      <c r="L15" s="74"/>
      <c r="M15" s="74"/>
      <c r="N15" s="74"/>
      <c r="O15" s="74"/>
      <c r="P15" s="74"/>
      <c r="Q15" s="74"/>
      <c r="R15" s="74"/>
    </row>
    <row r="16" customFormat="false" ht="15.75" hidden="false" customHeight="true" outlineLevel="0" collapsed="false">
      <c r="A16" s="86" t="n">
        <v>12</v>
      </c>
      <c r="B16" s="87" t="str">
        <f aca="false">INPUT!$B$35</f>
        <v>CP fittings, taps &amp; health faucets</v>
      </c>
      <c r="C16" s="88" t="str">
        <f aca="false">INPUT!$E$35</f>
        <v>NOS</v>
      </c>
      <c r="D16" s="89" t="n">
        <f aca="false">INPUT!$F$35</f>
        <v>120</v>
      </c>
      <c r="E16" s="90" t="n">
        <f aca="false">IFERROR(INPUT!$F$35*INPUT!$G$35/SUMPRODUCT(INPUT!$F$24:$F$38,INPUT!$G$24:$G$38),0)</f>
        <v>0.0500730231587732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  <c r="K16" s="74" t="n">
        <v>0</v>
      </c>
      <c r="L16" s="74"/>
      <c r="M16" s="74"/>
      <c r="N16" s="74"/>
      <c r="O16" s="74"/>
      <c r="P16" s="74"/>
      <c r="Q16" s="74"/>
      <c r="R16" s="74"/>
    </row>
    <row r="17" customFormat="false" ht="15.75" hidden="false" customHeight="true" outlineLevel="0" collapsed="false">
      <c r="A17" s="86" t="n">
        <v>13</v>
      </c>
      <c r="B17" s="87" t="str">
        <f aca="false">INPUT!$B$36</f>
        <v>Water cooler &amp; drinking water stations</v>
      </c>
      <c r="C17" s="88" t="str">
        <f aca="false">INPUT!$E$36</f>
        <v>NOS</v>
      </c>
      <c r="D17" s="89" t="n">
        <f aca="false">INPUT!$F$36</f>
        <v>8</v>
      </c>
      <c r="E17" s="90" t="n">
        <f aca="false">IFERROR(INPUT!$F$36*INPUT!$G$36/SUMPRODUCT(INPUT!$F$24:$F$38,INPUT!$G$24:$G$38),0)</f>
        <v>0.0438138952639266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  <c r="K17" s="74" t="n">
        <v>0</v>
      </c>
      <c r="L17" s="74"/>
      <c r="M17" s="74"/>
      <c r="N17" s="74"/>
      <c r="O17" s="74"/>
      <c r="P17" s="74"/>
      <c r="Q17" s="74"/>
      <c r="R17" s="74"/>
    </row>
    <row r="18" customFormat="false" ht="15.75" hidden="false" customHeight="true" outlineLevel="0" collapsed="false">
      <c r="A18" s="86" t="n">
        <v>14</v>
      </c>
      <c r="B18" s="87" t="str">
        <f aca="false">INPUT!$B$37</f>
        <v>Pressure testing &amp; flushing of lines</v>
      </c>
      <c r="C18" s="88" t="str">
        <f aca="false">INPUT!$E$37</f>
        <v>RM</v>
      </c>
      <c r="D18" s="89" t="n">
        <f aca="false">INPUT!$F$37</f>
        <v>3200</v>
      </c>
      <c r="E18" s="90" t="n">
        <f aca="false">IFERROR(INPUT!$F$37*INPUT!$G$37/SUMPRODUCT(INPUT!$F$24:$F$38,INPUT!$G$24:$G$38),0)</f>
        <v>0.0396411433340288</v>
      </c>
      <c r="F18" s="74" t="n">
        <v>0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</v>
      </c>
      <c r="L18" s="74"/>
      <c r="M18" s="74"/>
      <c r="N18" s="74"/>
      <c r="O18" s="74"/>
      <c r="P18" s="74"/>
      <c r="Q18" s="74"/>
      <c r="R18" s="74"/>
    </row>
    <row r="19" customFormat="false" ht="15.75" hidden="false" customHeight="true" outlineLevel="0" collapsed="false">
      <c r="A19" s="86" t="n">
        <v>15</v>
      </c>
      <c r="B19" s="87" t="str">
        <f aca="false">INPUT!$B$38</f>
        <v>STP tie-in, trial run &amp; commissioning</v>
      </c>
      <c r="C19" s="88" t="str">
        <f aca="false">INPUT!$E$38</f>
        <v>LS</v>
      </c>
      <c r="D19" s="89" t="n">
        <f aca="false">INPUT!$F$38</f>
        <v>1</v>
      </c>
      <c r="E19" s="90" t="n">
        <f aca="false">IFERROR(INPUT!$F$38*INPUT!$G$38/SUMPRODUCT(INPUT!$F$24:$F$38,INPUT!$G$24:$G$38),0)</f>
        <v>0.0977988733569789</v>
      </c>
      <c r="F19" s="74" t="n">
        <v>0</v>
      </c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  <c r="L19" s="74"/>
      <c r="M19" s="74"/>
      <c r="N19" s="74"/>
      <c r="O19" s="74"/>
      <c r="P19" s="74"/>
      <c r="Q19" s="74"/>
      <c r="R19" s="74"/>
    </row>
    <row r="20" customFormat="false" ht="19.5" hidden="false" customHeight="true" outlineLevel="0" collapsed="false">
      <c r="A20" s="40" t="s">
        <v>292</v>
      </c>
      <c r="B20" s="40"/>
      <c r="C20" s="40"/>
      <c r="D20" s="41"/>
      <c r="E20" s="42" t="n">
        <f aca="false">SUM(E5:E19)</f>
        <v>1</v>
      </c>
      <c r="F20" s="44" t="n">
        <f aca="false">IFERROR(SUMPRODUCT($E$5:$E$19,F5:F19,1/$D$5:$D$19),0)</f>
        <v>0</v>
      </c>
      <c r="G20" s="44" t="n">
        <f aca="false">IFERROR(SUMPRODUCT($E$5:$E$19,G5:G19,1/$D$5:$D$19),0)</f>
        <v>0.0120049551429168</v>
      </c>
      <c r="H20" s="44" t="n">
        <f aca="false">IFERROR(SUMPRODUCT($E$5:$E$19,H5:H19,1/$D$5:$D$19),0)</f>
        <v>0.030008632380555</v>
      </c>
      <c r="I20" s="44" t="n">
        <f aca="false">IFERROR(SUMPRODUCT($E$5:$E$19,I5:I19,1/$D$5:$D$19),0)</f>
        <v>0.0520161694137284</v>
      </c>
      <c r="J20" s="44" t="n">
        <f aca="false">IFERROR(SUMPRODUCT($E$5:$E$19,J5:J19,1/$D$5:$D$19),0)</f>
        <v>0.066745775088671</v>
      </c>
      <c r="K20" s="44" t="n">
        <f aca="false">IFERROR(SUMPRODUCT($E$5:$E$19,K5:K19,1/$D$5:$D$19),0)</f>
        <v>0.066745775088671</v>
      </c>
      <c r="L20" s="44" t="n">
        <f aca="false">IFERROR(SUMPRODUCT($E$5:$E$19,L5:L19,1/$D$5:$D$19),0)</f>
        <v>0</v>
      </c>
      <c r="M20" s="44" t="n">
        <f aca="false">IFERROR(SUMPRODUCT($E$5:$E$19,M5:M19,1/$D$5:$D$19),0)</f>
        <v>0</v>
      </c>
      <c r="N20" s="44" t="n">
        <f aca="false">IFERROR(SUMPRODUCT($E$5:$E$19,N5:N19,1/$D$5:$D$19),0)</f>
        <v>0</v>
      </c>
      <c r="O20" s="44" t="n">
        <f aca="false">IFERROR(SUMPRODUCT($E$5:$E$19,O5:O19,1/$D$5:$D$19),0)</f>
        <v>0</v>
      </c>
      <c r="P20" s="44" t="n">
        <f aca="false">IFERROR(SUMPRODUCT($E$5:$E$19,P5:P19,1/$D$5:$D$19),0)</f>
        <v>0</v>
      </c>
      <c r="Q20" s="44" t="n">
        <f aca="false">IFERROR(SUMPRODUCT($E$5:$E$19,Q5:Q19,1/$D$5:$D$19),0)</f>
        <v>0</v>
      </c>
      <c r="R20" s="44" t="n">
        <f aca="false">IFERROR(SUMPRODUCT($E$5:$E$19,R5:R19,1/$D$5:$D$19),0)</f>
        <v>0</v>
      </c>
    </row>
    <row r="22" customFormat="false" ht="25.5" hidden="false" customHeight="true" outlineLevel="0" collapsed="false">
      <c r="A22" s="91" t="s">
        <v>293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</row>
    <row r="23" customFormat="false" ht="30" hidden="false" customHeight="true" outlineLevel="0" collapsed="false">
      <c r="A23" s="92" t="s">
        <v>294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</row>
  </sheetData>
  <mergeCells count="5">
    <mergeCell ref="A1:R1"/>
    <mergeCell ref="A2:R2"/>
    <mergeCell ref="A20:C20"/>
    <mergeCell ref="A22:R22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21.75" hidden="false" customHeight="true" outlineLevel="0" collapsed="false">
      <c r="A1" s="84" t="s">
        <v>295</v>
      </c>
      <c r="B1" s="84"/>
      <c r="C1" s="84"/>
    </row>
    <row r="3" customFormat="false" ht="31.5" hidden="false" customHeight="true" outlineLevel="0" collapsed="false">
      <c r="B3" s="93" t="s">
        <v>296</v>
      </c>
      <c r="C3" s="94" t="s">
        <v>297</v>
      </c>
    </row>
    <row r="4" customFormat="false" ht="31.5" hidden="false" customHeight="true" outlineLevel="0" collapsed="false">
      <c r="B4" s="93" t="s">
        <v>298</v>
      </c>
      <c r="C4" s="94" t="s">
        <v>299</v>
      </c>
    </row>
    <row r="5" customFormat="false" ht="31.5" hidden="false" customHeight="true" outlineLevel="0" collapsed="false">
      <c r="B5" s="95" t="s">
        <v>300</v>
      </c>
      <c r="C5" s="94" t="s">
        <v>301</v>
      </c>
    </row>
    <row r="6" customFormat="false" ht="31.5" hidden="false" customHeight="true" outlineLevel="0" collapsed="false">
      <c r="B6" s="95" t="s">
        <v>302</v>
      </c>
      <c r="C6" s="94" t="s">
        <v>303</v>
      </c>
    </row>
    <row r="7" customFormat="false" ht="31.5" hidden="false" customHeight="true" outlineLevel="0" collapsed="false">
      <c r="B7" s="95" t="s">
        <v>304</v>
      </c>
      <c r="C7" s="94" t="s">
        <v>305</v>
      </c>
    </row>
    <row r="8" customFormat="false" ht="31.5" hidden="false" customHeight="true" outlineLevel="0" collapsed="false">
      <c r="B8" s="95" t="s">
        <v>306</v>
      </c>
      <c r="C8" s="94" t="s">
        <v>307</v>
      </c>
    </row>
    <row r="9" customFormat="false" ht="31.5" hidden="false" customHeight="true" outlineLevel="0" collapsed="false">
      <c r="B9" s="95" t="s">
        <v>308</v>
      </c>
      <c r="C9" s="94" t="s">
        <v>309</v>
      </c>
    </row>
    <row r="10" customFormat="false" ht="31.5" hidden="false" customHeight="true" outlineLevel="0" collapsed="false">
      <c r="B10" s="95" t="s">
        <v>310</v>
      </c>
      <c r="C10" s="94" t="s">
        <v>311</v>
      </c>
    </row>
    <row r="11" customFormat="false" ht="31.5" hidden="false" customHeight="true" outlineLevel="0" collapsed="false">
      <c r="B11" s="95" t="s">
        <v>312</v>
      </c>
      <c r="C11" s="94" t="s">
        <v>313</v>
      </c>
    </row>
    <row r="12" customFormat="false" ht="31.5" hidden="false" customHeight="true" outlineLevel="0" collapsed="false">
      <c r="B12" s="95" t="s">
        <v>314</v>
      </c>
      <c r="C12" s="94" t="s">
        <v>315</v>
      </c>
    </row>
    <row r="13" customFormat="false" ht="31.5" hidden="false" customHeight="true" outlineLevel="0" collapsed="false">
      <c r="B13" s="95" t="s">
        <v>316</v>
      </c>
      <c r="C13" s="94" t="s">
        <v>317</v>
      </c>
    </row>
    <row r="14" customFormat="false" ht="31.5" hidden="false" customHeight="true" outlineLevel="0" collapsed="false">
      <c r="B14" s="95" t="s">
        <v>318</v>
      </c>
      <c r="C14" s="94" t="s">
        <v>319</v>
      </c>
    </row>
    <row r="15" customFormat="false" ht="31.5" hidden="false" customHeight="true" outlineLevel="0" collapsed="false">
      <c r="B15" s="95" t="s">
        <v>320</v>
      </c>
      <c r="C15" s="94" t="s">
        <v>321</v>
      </c>
    </row>
    <row r="16" customFormat="false" ht="31.5" hidden="false" customHeight="true" outlineLevel="0" collapsed="false">
      <c r="B16" s="95" t="s">
        <v>322</v>
      </c>
      <c r="C16" s="94" t="s">
        <v>323</v>
      </c>
    </row>
    <row r="17" customFormat="false" ht="31.5" hidden="false" customHeight="true" outlineLevel="0" collapsed="false">
      <c r="B17" s="95" t="s">
        <v>324</v>
      </c>
      <c r="C17" s="94" t="s">
        <v>325</v>
      </c>
    </row>
    <row r="18" customFormat="false" ht="31.5" hidden="false" customHeight="true" outlineLevel="0" collapsed="false">
      <c r="B18" s="95" t="s">
        <v>326</v>
      </c>
      <c r="C18" s="94" t="s">
        <v>327</v>
      </c>
    </row>
    <row r="19" customFormat="false" ht="31.5" hidden="false" customHeight="true" outlineLevel="0" collapsed="false">
      <c r="B19" s="95" t="s">
        <v>328</v>
      </c>
      <c r="C19" s="94" t="s">
        <v>329</v>
      </c>
    </row>
    <row r="20" customFormat="false" ht="31.5" hidden="false" customHeight="true" outlineLevel="0" collapsed="false">
      <c r="B20" s="95" t="s">
        <v>330</v>
      </c>
      <c r="C20" s="94" t="s">
        <v>331</v>
      </c>
    </row>
    <row r="21" customFormat="false" ht="31.5" hidden="false" customHeight="true" outlineLevel="0" collapsed="false">
      <c r="B21" s="95" t="s">
        <v>332</v>
      </c>
      <c r="C21" s="94" t="s">
        <v>333</v>
      </c>
    </row>
    <row r="22" customFormat="false" ht="31.5" hidden="false" customHeight="true" outlineLevel="0" collapsed="false">
      <c r="B22" s="95" t="s">
        <v>334</v>
      </c>
      <c r="C22" s="94" t="s">
        <v>335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2026-08-06T18:04:07Z</dcterms:created>
  <dc:creator>openpyxl</dc:creator>
  <dc:description/>
  <dc:language>en-US</dc:language>
  <cp:lastModifiedBy/>
  <dcterms:modified xsi:type="dcterms:W3CDTF">2026-08-06T18:04:32Z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