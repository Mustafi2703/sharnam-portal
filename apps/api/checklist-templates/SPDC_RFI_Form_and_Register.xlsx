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_ME" sheetId="1" state="visible" r:id="rId3"/>
    <sheet name="01_CONTROL" sheetId="2" state="visible" r:id="rId4"/>
    <sheet name="03_RFI_FORM" sheetId="3" state="visible" r:id="rId5"/>
    <sheet name="04_RFI_REGISTER" sheetId="4" state="visible" r:id="rId6"/>
    <sheet name="05_DASHBOARD" sheetId="5" state="visible" r:id="rId7"/>
  </sheets>
  <definedNames>
    <definedName function="false" hidden="false" localSheetId="2" name="_xlnm.Print_Area" vbProcedure="false">03_RFI_FORM!$A$1:$H$64</definedName>
    <definedName function="false" hidden="true" localSheetId="3" name="_xlnm._FilterDatabase" vbProcedure="false">04_RFI_REGISTER!$A$4:$AG$304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<sst xmlns="http://schemas.openxmlformats.org/spreadsheetml/2006/main" count="437" uniqueCount="317">
  <si>
    <t xml:space="preserve">RFI  -  REQUEST FOR INFORMATION  |  FORM, REGISTER &amp; DASHBOARD</t>
  </si>
  <si>
    <t xml:space="preserve">Sharnam Project Development Consultants &amp; Co. (SPDC), Vadodara</t>
  </si>
  <si>
    <t xml:space="preserve">A.  WHAT THIS IS</t>
  </si>
  <si>
    <t xml:space="preserve">Scope</t>
  </si>
  <si>
    <t xml:space="preserve">The design query trail: a contractor or site engineer asks a question about a drawing or specification, a consultant answers it, and SPDC certifies the answer released the work front. Not the same as a Request for Inspection, which is the separate site QA form.</t>
  </si>
  <si>
    <t xml:space="preserve">Structure</t>
  </si>
  <si>
    <t xml:space="preserve">One register, one printable form and one dashboard. The form is a view of the register, not a separate document - pick an RFI number on 03_RFI_FORM and the whole sheet fills from the register row.</t>
  </si>
  <si>
    <t xml:space="preserve">B.  SHEETS</t>
  </si>
  <si>
    <t xml:space="preserve">01_CONTROL</t>
  </si>
  <si>
    <t xml:space="preserve">Project particulars, form number, priority-to-response-days table, all pick-lists, and the house rules.</t>
  </si>
  <si>
    <t xml:space="preserve">03_RFI_FORM</t>
  </si>
  <si>
    <t xml:space="preserve">One-page A4 printable RFI. Choose the number in the yellow cell at the top. Print it, get it signed, file it against the number.</t>
  </si>
  <si>
    <t xml:space="preserve">04_RFI_REGISTER</t>
  </si>
  <si>
    <t xml:space="preserve">One row per RFI, 33 columns. Reply-required date, days taken, SLA status and age bucket are all computed.</t>
  </si>
  <si>
    <t xml:space="preserve">05_DASHBOARD</t>
  </si>
  <si>
    <t xml:space="preserve">Headline counts, ageing, and breakdowns by discipline and by responsible party.</t>
  </si>
  <si>
    <t xml:space="preserve">C.  THE SIX FIELDS THAT MAKE AN RFI REGISTER WORK</t>
  </si>
  <si>
    <t xml:space="preserve">1.  Drawing ref AND revision</t>
  </si>
  <si>
    <t xml:space="preserve">Roughly half of all discrepancy RFIs turn out to be someone working from a superseded sheet. Recording the revision settles that in one line instead of a meeting.</t>
  </si>
  <si>
    <t xml:space="preserve">2.  Contractor's proposed solution</t>
  </si>
  <si>
    <t xml:space="preserve">The party at the workface usually knows the practical answer. Requiring a proposal converts the RFI from a question into something the consultant can approve or amend, which is far faster. An RFI without one is returned.</t>
  </si>
  <si>
    <t xml:space="preserve">3.  Priority set by the PMC</t>
  </si>
  <si>
    <t xml:space="preserve">Not by the originator - otherwise everything arrives marked CRITICAL. Priority drives the response days, which drives the reply-required date, which drives the overdue flag.</t>
  </si>
  <si>
    <t xml:space="preserve">4.  Responsible party</t>
  </si>
  <si>
    <t xml:space="preserve">The single most useful column in the file. It is what turns a list of open queries into an accountable one, and it is what section D of the dashboard reports on.</t>
  </si>
  <si>
    <t xml:space="preserve">5.  Date responded, separate from date closed</t>
  </si>
  <si>
    <t xml:space="preserve">Answered means the consultant replied. Closed means SPDC verified the reply is workable and released the front. Collapsing the two hides SPDC's own backlog.</t>
  </si>
  <si>
    <t xml:space="preserve">6.  Change / VO reference</t>
  </si>
  <si>
    <t xml:space="preserve">An RFI is not a variation. When a response changes scope, raise a change notice and cross-reference it here. A priced change buried inside an RFI response is a dispute waiting to happen.</t>
  </si>
  <si>
    <t xml:space="preserve">D.  HOW THE SLA CLOCK WORKS</t>
  </si>
  <si>
    <t xml:space="preserve">Reply required by</t>
  </si>
  <si>
    <t xml:space="preserve">Date raised plus the response days for the priority - CRITICAL 3, HIGH 7, NORMAL 14, LOW 21. Adjust the table on 01_CONTROL to match the contract if it specifies its own periods.</t>
  </si>
  <si>
    <t xml:space="preserve">SLA status column</t>
  </si>
  <si>
    <t xml:space="preserve">While unanswered it counts down, then flips to OVERDUE with the number of days. Once answered it records whether the reply landed on time or late - which is the record you need if delay is ever argued.</t>
  </si>
  <si>
    <t xml:space="preserve">A caution</t>
  </si>
  <si>
    <t xml:space="preserve">The clock in this file runs from the date raised. Most contracts run it from the date received by the consultant. If the two differ materially on your project, add a received-date column before the first dispute, not after.</t>
  </si>
  <si>
    <t xml:space="preserve">E.  BEFORE FIRST USE</t>
  </si>
  <si>
    <t xml:space="preserve">Delete the samples</t>
  </si>
  <si>
    <t xml:space="preserve">Eight worked examples are loaded in peach. They are drawn from the shed project and show a closed RFI, one answered late, one awaiting close-out, and one with cost and time impact claimed.</t>
  </si>
  <si>
    <t xml:space="preserve">Confirm the response periods</t>
  </si>
  <si>
    <t xml:space="preserve">The 3 / 7 / 14 / 21 day table is an SPDC standard, not a contract term. Check the contract's information-release clause and align it.</t>
  </si>
  <si>
    <t xml:space="preserve">Fix the numbering</t>
  </si>
  <si>
    <t xml:space="preserve">SPDC-RFI-nnn, sequential, never reused, never renumbered. Superseded queries are marked Void with a reason and a fresh number is raised.</t>
  </si>
  <si>
    <t xml:space="preserve">RFI CONTROL, MASTERS &amp; RESPONSE STANDARDS</t>
  </si>
  <si>
    <t xml:space="preserve">Project particulars, numbering, priority response times and the pick-lists that drive the register. Blue cells are inputs.</t>
  </si>
  <si>
    <t xml:space="preserve">1.  PROJECT PARTICULARS  (these print on every RFI form)</t>
  </si>
  <si>
    <t xml:space="preserve">PROJECT</t>
  </si>
  <si>
    <t xml:space="preserve">Industrial Shed 50,000 sqft, Package-1 Civil &amp; Package-2 PEB</t>
  </si>
  <si>
    <t xml:space="preserve">EMPLOYER</t>
  </si>
  <si>
    <t xml:space="preserve">Enter employer / client name</t>
  </si>
  <si>
    <t xml:space="preserve">CONTRACT_NO</t>
  </si>
  <si>
    <t xml:space="preserve">Enter contract / work order no</t>
  </si>
  <si>
    <t xml:space="preserve">PMC</t>
  </si>
  <si>
    <t xml:space="preserve">Sharnam Project Development Consultants &amp; Co., Vadodara</t>
  </si>
  <si>
    <t xml:space="preserve">FORM_NO</t>
  </si>
  <si>
    <t xml:space="preserve">SPDC/QMS/F-RFI-01</t>
  </si>
  <si>
    <t xml:space="preserve">SPDC form number printed on the RFI</t>
  </si>
  <si>
    <t xml:space="preserve">FORM_REV</t>
  </si>
  <si>
    <t xml:space="preserve">R0</t>
  </si>
  <si>
    <t xml:space="preserve">RFI_PREFIX</t>
  </si>
  <si>
    <t xml:space="preserve">SPDC-RFI</t>
  </si>
  <si>
    <t xml:space="preserve">Numbering: PREFIX-nnn, sequential, never reused</t>
  </si>
  <si>
    <t xml:space="preserve">2.  PRIORITY &amp; RESPONSE TIME  (the contractual clock this register runs on)</t>
  </si>
  <si>
    <t xml:space="preserve">PRIORITY</t>
  </si>
  <si>
    <t xml:space="preserve">RESPONSE DAYS</t>
  </si>
  <si>
    <t xml:space="preserve">WHEN TO USE</t>
  </si>
  <si>
    <t xml:space="preserve">CRITICAL</t>
  </si>
  <si>
    <t xml:space="preserve">Work is stopped at the front, or a pour / erection sequence cannot proceed without the answer</t>
  </si>
  <si>
    <t xml:space="preserve">HIGH</t>
  </si>
  <si>
    <t xml:space="preserve">Work starts within two weeks and cannot be sequenced around the query</t>
  </si>
  <si>
    <t xml:space="preserve">NORMAL</t>
  </si>
  <si>
    <t xml:space="preserve">Standard design clarification with float in the programme</t>
  </si>
  <si>
    <t xml:space="preserve">LOW</t>
  </si>
  <si>
    <t xml:space="preserve">Future work fronts, finishes selections, non-critical detail</t>
  </si>
  <si>
    <t xml:space="preserve">3.  PICK-LISTS</t>
  </si>
  <si>
    <t xml:space="preserve">DISCIPLINE</t>
  </si>
  <si>
    <t xml:space="preserve">CATEGORY</t>
  </si>
  <si>
    <t xml:space="preserve">RESPONSIBLE</t>
  </si>
  <si>
    <t xml:space="preserve">STATUS</t>
  </si>
  <si>
    <t xml:space="preserve">Architectural</t>
  </si>
  <si>
    <t xml:space="preserve">Drawing discrepancy</t>
  </si>
  <si>
    <t xml:space="preserve">Architect</t>
  </si>
  <si>
    <t xml:space="preserve">Open</t>
  </si>
  <si>
    <t xml:space="preserve">Structural</t>
  </si>
  <si>
    <t xml:space="preserve">Missing information</t>
  </si>
  <si>
    <t xml:space="preserve">Structural Consultant</t>
  </si>
  <si>
    <t xml:space="preserve">Under review</t>
  </si>
  <si>
    <t xml:space="preserve">Civil</t>
  </si>
  <si>
    <t xml:space="preserve">Design clarification</t>
  </si>
  <si>
    <t xml:space="preserve">MEP Consultant</t>
  </si>
  <si>
    <t xml:space="preserve">Answered</t>
  </si>
  <si>
    <t xml:space="preserve">PEB</t>
  </si>
  <si>
    <t xml:space="preserve">Specification conflict</t>
  </si>
  <si>
    <t xml:space="preserve">PEB Vendor</t>
  </si>
  <si>
    <t xml:space="preserve">Closed</t>
  </si>
  <si>
    <t xml:space="preserve">Electrical</t>
  </si>
  <si>
    <t xml:space="preserve">Site constraint</t>
  </si>
  <si>
    <t xml:space="preserve">PMC (SPDC)</t>
  </si>
  <si>
    <t xml:space="preserve">Void / withdrawn</t>
  </si>
  <si>
    <t xml:space="preserve">Plumbing</t>
  </si>
  <si>
    <t xml:space="preserve">Material substitution</t>
  </si>
  <si>
    <t xml:space="preserve">Employer</t>
  </si>
  <si>
    <t xml:space="preserve">Firefighting</t>
  </si>
  <si>
    <t xml:space="preserve">Statutory requirement</t>
  </si>
  <si>
    <t xml:space="preserve">Statutory Authority</t>
  </si>
  <si>
    <t xml:space="preserve">HVAC</t>
  </si>
  <si>
    <t xml:space="preserve">Interface / coordination</t>
  </si>
  <si>
    <t xml:space="preserve">External Infra</t>
  </si>
  <si>
    <t xml:space="preserve">General</t>
  </si>
  <si>
    <t xml:space="preserve">4.  HOUSE RULES  -  APPLY THESE OR THE REGISTER STOPS BEING USEFUL</t>
  </si>
  <si>
    <t xml:space="preserve">-</t>
  </si>
  <si>
    <t xml:space="preserve">One question per RFI. Bundled queries get partially answered and then sit open forever.</t>
  </si>
  <si>
    <t xml:space="preserve">An RFI without the contractor's proposed solution is returned unanswered. The party at the workface usually knows the practical answer.</t>
  </si>
  <si>
    <t xml:space="preserve">The response clock starts on the date received by the consultant, not the date the contractor wrote it.</t>
  </si>
  <si>
    <t xml:space="preserve">An RFI is not a variation. If the answer changes scope, raise a change notice and cross-reference it - never let a priced change hide inside an RFI response.</t>
  </si>
  <si>
    <t xml:space="preserve">Priority is set by the PMC, not by the originator. Everything arrives marked CRITICAL otherwise.</t>
  </si>
  <si>
    <t xml:space="preserve">Close-out is a separate act from answering. Answered means the consultant replied; Closed means the reply was adequate and the work front is released.</t>
  </si>
  <si>
    <t xml:space="preserve">Never reuse or renumber an RFI. Superseded queries are marked Void with the reason, and a new number is raised.</t>
  </si>
  <si>
    <t xml:space="preserve">Every RFI that touches a drawing must name the drawing number AND its revision - half of all discrepancy RFIs are someone working from a superseded sheet.</t>
  </si>
  <si>
    <t xml:space="preserve">SHARNAM PROJECT DEVELOPMENT CONSULTANTS &amp; CO.</t>
  </si>
  <si>
    <t xml:space="preserve">REQUEST FOR INFORMATION  (RFI)</t>
  </si>
  <si>
    <t xml:space="preserve">SELECT RFI NO</t>
  </si>
  <si>
    <t xml:space="preserve">SPDC-RFI-001</t>
  </si>
  <si>
    <t xml:space="preserve">Pick a number - every field below fills from the register</t>
  </si>
  <si>
    <t xml:space="preserve">1.  PROJECT PARTICULARS</t>
  </si>
  <si>
    <t xml:space="preserve">Project</t>
  </si>
  <si>
    <t xml:space="preserve">Employer / Client</t>
  </si>
  <si>
    <t xml:space="preserve">Contract No</t>
  </si>
  <si>
    <t xml:space="preserve">Project Management</t>
  </si>
  <si>
    <t xml:space="preserve">Package</t>
  </si>
  <si>
    <t xml:space="preserve">2.  RFI PARTICULARS</t>
  </si>
  <si>
    <t xml:space="preserve">RFI No</t>
  </si>
  <si>
    <t xml:space="preserve">Revision</t>
  </si>
  <si>
    <t xml:space="preserve">Date raised</t>
  </si>
  <si>
    <t xml:space="preserve">Priority</t>
  </si>
  <si>
    <t xml:space="preserve">Response time (days)</t>
  </si>
  <si>
    <t xml:space="preserve">Originator</t>
  </si>
  <si>
    <t xml:space="preserve">Discipline</t>
  </si>
  <si>
    <t xml:space="preserve">Category</t>
  </si>
  <si>
    <t xml:space="preserve">Responsible party</t>
  </si>
  <si>
    <t xml:space="preserve">Subject</t>
  </si>
  <si>
    <t xml:space="preserve">Location / grid / level</t>
  </si>
  <si>
    <t xml:space="preserve">Drawing ref</t>
  </si>
  <si>
    <t xml:space="preserve">Drawing rev</t>
  </si>
  <si>
    <t xml:space="preserve">Specification clause</t>
  </si>
  <si>
    <t xml:space="preserve">3.  QUERY RAISED</t>
  </si>
  <si>
    <t xml:space="preserve">4.  SOLUTION PROPOSED BY ORIGINATOR   (an RFI without this is returned unanswered)</t>
  </si>
  <si>
    <t xml:space="preserve">5.  IMPACT CLAIMED BY ORIGINATOR</t>
  </si>
  <si>
    <t xml:space="preserve">Cost impact claimed</t>
  </si>
  <si>
    <t xml:space="preserve">Estimated amount (INR)</t>
  </si>
  <si>
    <t xml:space="preserve">Time impact claimed</t>
  </si>
  <si>
    <t xml:space="preserve">Estimated delay (days)</t>
  </si>
  <si>
    <t xml:space="preserve">A claimed impact does not create an entitlement. If the response changes scope, a change notice is raised separately and cross-referenced below.</t>
  </si>
  <si>
    <t xml:space="preserve">6.  RESPONSE</t>
  </si>
  <si>
    <t xml:space="preserve">Responded by</t>
  </si>
  <si>
    <t xml:space="preserve">Date of response</t>
  </si>
  <si>
    <t xml:space="preserve">7.  PMC REVIEW &amp; CLOSE-OUT</t>
  </si>
  <si>
    <t xml:space="preserve">Status</t>
  </si>
  <si>
    <t xml:space="preserve">Date closed</t>
  </si>
  <si>
    <t xml:space="preserve">Days taken</t>
  </si>
  <si>
    <t xml:space="preserve">SLA status</t>
  </si>
  <si>
    <t xml:space="preserve">Change / VO reference</t>
  </si>
  <si>
    <t xml:space="preserve">Attachments</t>
  </si>
  <si>
    <t xml:space="preserve">PMC remarks</t>
  </si>
  <si>
    <t xml:space="preserve">8.  SIGNATURES</t>
  </si>
  <si>
    <t xml:space="preserve">Raised by  (Contractor)</t>
  </si>
  <si>
    <t xml:space="preserve">Reviewed by  (SPDC PMC)</t>
  </si>
  <si>
    <t xml:space="preserve">Responded by  (Consultant)</t>
  </si>
  <si>
    <t xml:space="preserve">Accepted &amp; closed by  (SPDC PMC)</t>
  </si>
  <si>
    <t xml:space="preserve">Name
Signature
Date</t>
  </si>
  <si>
    <t xml:space="preserve">Distribution: Contractor / Design Consultant / Employer's Representative / SPDC Document Control.  This form is a controlled record - file the signed copy against the RFI number in the project document register.</t>
  </si>
  <si>
    <t xml:space="preserve">RFI REGISTER</t>
  </si>
  <si>
    <t xml:space="preserve">One row per RFI. Ageing, SLA status and bucket columns are computed - do not type into them.</t>
  </si>
  <si>
    <t xml:space="preserve">RFI NO</t>
  </si>
  <si>
    <t xml:space="preserve">REV</t>
  </si>
  <si>
    <t xml:space="preserve">PACKAGE</t>
  </si>
  <si>
    <t xml:space="preserve">SUBJECT</t>
  </si>
  <si>
    <t xml:space="preserve">LOCATION / GRID</t>
  </si>
  <si>
    <t xml:space="preserve">DWG REF</t>
  </si>
  <si>
    <t xml:space="preserve">DWG REV</t>
  </si>
  <si>
    <t xml:space="preserve">SPEC CLAUSE</t>
  </si>
  <si>
    <t xml:space="preserve">QUERY RAISED</t>
  </si>
  <si>
    <t xml:space="preserve">CONTRACTOR'S PROPOSED SOLUTION</t>
  </si>
  <si>
    <t xml:space="preserve">ORIGINATOR</t>
  </si>
  <si>
    <t xml:space="preserve">DATE RAISED</t>
  </si>
  <si>
    <t xml:space="preserve">SLA DAYS</t>
  </si>
  <si>
    <t xml:space="preserve">REPLY REQUIRED BY</t>
  </si>
  <si>
    <t xml:space="preserve">RESPONSIBLE PARTY</t>
  </si>
  <si>
    <t xml:space="preserve">DATE RESPONDED</t>
  </si>
  <si>
    <t xml:space="preserve">RESPONSE</t>
  </si>
  <si>
    <t xml:space="preserve">RESPONDED BY</t>
  </si>
  <si>
    <t xml:space="preserve">DATE CLOSED</t>
  </si>
  <si>
    <t xml:space="preserve">DAYS TAKEN</t>
  </si>
  <si>
    <t xml:space="preserve">SLA STATUS</t>
  </si>
  <si>
    <t xml:space="preserve">AGE BUCKET</t>
  </si>
  <si>
    <t xml:space="preserve">COST IMPACT</t>
  </si>
  <si>
    <t xml:space="preserve">EST. COST (INR)</t>
  </si>
  <si>
    <t xml:space="preserve">TIME IMPACT</t>
  </si>
  <si>
    <t xml:space="preserve">EST. DELAY (d)</t>
  </si>
  <si>
    <t xml:space="preserve">CHANGE / VO REF</t>
  </si>
  <si>
    <t xml:space="preserve">ATTACHMENTS</t>
  </si>
  <si>
    <t xml:space="preserve">PMC REMARKS</t>
  </si>
  <si>
    <t xml:space="preserve">P1-CIVIL</t>
  </si>
  <si>
    <t xml:space="preserve">Pile cap PC-F1 top level differs between foundation layout and section</t>
  </si>
  <si>
    <t xml:space="preserve">Zone-1, Grid B/3</t>
  </si>
  <si>
    <t xml:space="preserve">2601-F-101</t>
  </si>
  <si>
    <t xml:space="preserve">R2</t>
  </si>
  <si>
    <t xml:space="preserve">Cl. 5.2</t>
  </si>
  <si>
    <t xml:space="preserve">Foundation layout 2601-F-101 R2 shows pile cap top at -1.200 m from FFL. Section A-A on 2601-F-105 R1 shows -1.350 m for the same cap. Which level governs?</t>
  </si>
  <si>
    <t xml:space="preserve">Adopt -1.350 m as per the section, since it maintains the 75 mm cover over the pile projection shown on the pile schedule.</t>
  </si>
  <si>
    <t xml:space="preserve">Contractor QS</t>
  </si>
  <si>
    <t xml:space="preserve">Section A-A governs. Cap top level is -1.350 m from FFL. Layout drawing to be revised to R3.</t>
  </si>
  <si>
    <t xml:space="preserve">S. Mehta</t>
  </si>
  <si>
    <t xml:space="preserve">No</t>
  </si>
  <si>
    <t xml:space="preserve">Mark-up sketch</t>
  </si>
  <si>
    <t xml:space="preserve">Layout reissued R3 on 08-Jun</t>
  </si>
  <si>
    <t xml:space="preserve">SPDC-RFI-002</t>
  </si>
  <si>
    <t xml:space="preserve">Anchor bolt template dimensions not shown for pedestal type PED-C2</t>
  </si>
  <si>
    <t xml:space="preserve">Zone-2, Grid F/12</t>
  </si>
  <si>
    <t xml:space="preserve">2601-F-102</t>
  </si>
  <si>
    <t xml:space="preserve">R1</t>
  </si>
  <si>
    <t xml:space="preserve">Pedestal schedule gives bolt circle for PED-C1 only. PED-C2 carries a different base plate per PEB GA. Template dimensions required before pedestal shuttering.</t>
  </si>
  <si>
    <t xml:space="preserve">Issue template dimensions from the PEB vendor's base plate drawing BP-04.</t>
  </si>
  <si>
    <t xml:space="preserve">Site Engineer</t>
  </si>
  <si>
    <t xml:space="preserve">Template dimensions issued vide BP-04 R1. Bolt circle 450 mm, 4 nos M30 x 750, projection 90 mm.</t>
  </si>
  <si>
    <t xml:space="preserve">PEB Design Cell</t>
  </si>
  <si>
    <t xml:space="preserve">Yes</t>
  </si>
  <si>
    <t xml:space="preserve">BP-04 R1</t>
  </si>
  <si>
    <t xml:space="preserve">Two-day delay to Zone-2 pedestals absorbed in float</t>
  </si>
  <si>
    <t xml:space="preserve">SPDC-RFI-003</t>
  </si>
  <si>
    <t xml:space="preserve">Saw-cut joint layout for industrial flooring not issued</t>
  </si>
  <si>
    <t xml:space="preserve">Zone-1 &amp; 2, full floor</t>
  </si>
  <si>
    <t xml:space="preserve">2601-C-210</t>
  </si>
  <si>
    <t xml:space="preserve">Cl. 9.4</t>
  </si>
  <si>
    <t xml:space="preserve">Flooring drawing shows 150 mm VDF but no joint layout. Panel size, joint depth and dowel details required to plan the pour sequence.</t>
  </si>
  <si>
    <t xml:space="preserve">Adopt 4.5 m x 4.5 m panels with saw-cut to one-fourth depth and 12 mm dowels at construction joints.</t>
  </si>
  <si>
    <t xml:space="preserve">Proposed layout sketch</t>
  </si>
  <si>
    <t xml:space="preserve">Chased twice; the flooring pour front is now waiting on this</t>
  </si>
  <si>
    <t xml:space="preserve">SPDC-RFI-004</t>
  </si>
  <si>
    <t xml:space="preserve">Toilet dado tile height - BOQ says full height, drawing shows 1200 mm</t>
  </si>
  <si>
    <t xml:space="preserve">Toilet block, GF</t>
  </si>
  <si>
    <t xml:space="preserve">2601-A-140</t>
  </si>
  <si>
    <t xml:space="preserve">Cl. 12.3</t>
  </si>
  <si>
    <t xml:space="preserve">BOQ item 12.03 reads full height glazed dado. Drawing 2601-A-140 R1 shows dado to 1200 mm only. Confirm which applies for measurement and ordering.</t>
  </si>
  <si>
    <t xml:space="preserve">Adopt full height as per BOQ, since tile ordering is already based on the BOQ quantity.</t>
  </si>
  <si>
    <t xml:space="preserve">Full height dado applies. Drawing to be corrected at next revision. No change in BOQ quantity.</t>
  </si>
  <si>
    <t xml:space="preserve">R. Desai</t>
  </si>
  <si>
    <t xml:space="preserve">SPDC-RFI-005</t>
  </si>
  <si>
    <t xml:space="preserve">P2-PEB</t>
  </si>
  <si>
    <t xml:space="preserve">Base plate shim pack thickness where pedestal top is 8 mm low</t>
  </si>
  <si>
    <t xml:space="preserve">Zone-1, Grid C/5</t>
  </si>
  <si>
    <t xml:space="preserve">BP-02</t>
  </si>
  <si>
    <t xml:space="preserve">Joint anchor bolt survey records pedestal top 8 mm below design at three locations. Confirm permissible shim pack and whether grouting detail changes.</t>
  </si>
  <si>
    <t xml:space="preserve">Provide 8 mm MS shim pack in two plates under base plate and increase GP2 grout thickness accordingly.</t>
  </si>
  <si>
    <t xml:space="preserve">Shim pack acceptable up to 10 mm total in maximum two plates, plates to be 100 x 100 minimum. Grout thickness to suit. Torque unchanged.</t>
  </si>
  <si>
    <t xml:space="preserve">Survey record</t>
  </si>
  <si>
    <t xml:space="preserve">Awaiting PMC close-out after site verification</t>
  </si>
  <si>
    <t xml:space="preserve">SPDC-RFI-006</t>
  </si>
  <si>
    <t xml:space="preserve">Storm water drain invert clashes with existing GIDC line at chainage 180</t>
  </si>
  <si>
    <t xml:space="preserve">External, Ch. 180</t>
  </si>
  <si>
    <t xml:space="preserve">2601-C-310</t>
  </si>
  <si>
    <t xml:space="preserve">Existing 450 mm GIDC line encountered at 1.1 m depth, clashing with the proposed drain invert of 1.35 m. Realignment or level change required.</t>
  </si>
  <si>
    <t xml:space="preserve">Lower the drain locally to 1.6 m and provide a crossing chamber, or divert 6 m north of the existing line.</t>
  </si>
  <si>
    <t xml:space="preserve">CN-07 raised</t>
  </si>
  <si>
    <t xml:space="preserve">Survey of existing line</t>
  </si>
  <si>
    <t xml:space="preserve">Cost and time impact claimed - to be assessed under CN-07</t>
  </si>
  <si>
    <t xml:space="preserve">SPDC-RFI-007</t>
  </si>
  <si>
    <t xml:space="preserve">Alternative make proposed for two-hour fire rated doors</t>
  </si>
  <si>
    <t xml:space="preserve">Toilet &amp; office block</t>
  </si>
  <si>
    <t xml:space="preserve">2601-A-152</t>
  </si>
  <si>
    <t xml:space="preserve">Cl. 14.2</t>
  </si>
  <si>
    <t xml:space="preserve">Specified make has a 12-week lead time against a required date of 20-Sep. Alternative make offered with equivalent two-hour certification.</t>
  </si>
  <si>
    <t xml:space="preserve">Approve the alternative make against submitted test certificate and CBRI listing, at no change in rate.</t>
  </si>
  <si>
    <t xml:space="preserve">Test certificate</t>
  </si>
  <si>
    <t xml:space="preserve">Lead time is the real issue - escalate in writing this week</t>
  </si>
  <si>
    <t xml:space="preserve">SPDC-RFI-008</t>
  </si>
  <si>
    <t xml:space="preserve">Lap position permitted in grade beam bottom bars</t>
  </si>
  <si>
    <t xml:space="preserve">Zone-1, GB-01</t>
  </si>
  <si>
    <t xml:space="preserve">2601-F-103</t>
  </si>
  <si>
    <t xml:space="preserve">Cl. 5.8</t>
  </si>
  <si>
    <t xml:space="preserve">Grade beam length 6.0 m exceeds a single 12 m bar only in continuous runs. Confirm permitted lap zones for bottom reinforcement.</t>
  </si>
  <si>
    <t xml:space="preserve">Lap bottom bars within the middle third of the span, staggered by 600 mm, as per general notes.</t>
  </si>
  <si>
    <t xml:space="preserve">Affects RA-03 lap certification</t>
  </si>
  <si>
    <t xml:space="preserve">RFI DASHBOARD</t>
  </si>
  <si>
    <t xml:space="preserve">Live from the register. Read this before every design coordination meeting.</t>
  </si>
  <si>
    <t xml:space="preserve">A.  HEADLINE</t>
  </si>
  <si>
    <t xml:space="preserve">Total RFIs raised</t>
  </si>
  <si>
    <t xml:space="preserve">Awaiting response (no reply yet)</t>
  </si>
  <si>
    <t xml:space="preserve">OVERDUE against SLA</t>
  </si>
  <si>
    <t xml:space="preserve">Answered but not yet closed</t>
  </si>
  <si>
    <t xml:space="preserve">Average days to respond (answered only)</t>
  </si>
  <si>
    <t xml:space="preserve">RFIs with cost impact claimed</t>
  </si>
  <si>
    <t xml:space="preserve">Value of cost impact claimed (INR)</t>
  </si>
  <si>
    <t xml:space="preserve">RFIs with time impact claimed</t>
  </si>
  <si>
    <t xml:space="preserve">B.  AGEING OF RFIs AWAITING RESPONSE</t>
  </si>
  <si>
    <t xml:space="preserve">COUNT</t>
  </si>
  <si>
    <t xml:space="preserve">COMMENT</t>
  </si>
  <si>
    <t xml:space="preserve">0-7 d</t>
  </si>
  <si>
    <t xml:space="preserve">Within normal turnaround</t>
  </si>
  <si>
    <t xml:space="preserve">8-14 d</t>
  </si>
  <si>
    <t xml:space="preserve">Chase the consultant</t>
  </si>
  <si>
    <t xml:space="preserve">15-30 d</t>
  </si>
  <si>
    <t xml:space="preserve">Escalate at the weekly design meeting</t>
  </si>
  <si>
    <t xml:space="preserve">over 30 d</t>
  </si>
  <si>
    <t xml:space="preserve">Escalate in writing - this is a programme risk, not a paperwork issue</t>
  </si>
  <si>
    <t xml:space="preserve">C.  BY DISCIPLINE</t>
  </si>
  <si>
    <t xml:space="preserve">RAISED</t>
  </si>
  <si>
    <t xml:space="preserve">AWAITING RESPONSE</t>
  </si>
  <si>
    <t xml:space="preserve">OVERDUE</t>
  </si>
  <si>
    <t xml:space="preserve">CLOSED</t>
  </si>
  <si>
    <t xml:space="preserve">D.  BY RESPONSIBLE PARTY  -  who is holding the project up</t>
  </si>
  <si>
    <t xml:space="preserve">AVG DAYS TO RESPOND</t>
  </si>
  <si>
    <t xml:space="preserve">E.  WHAT TO DO WITH THIS SHEET</t>
  </si>
  <si>
    <t xml:space="preserve">Section D is the one that changes behaviour. Bring it to the design coordination meeting as it stands - a consultant with four overdue RFIs argues differently when the number is on the screen.</t>
  </si>
  <si>
    <t xml:space="preserve">Anything in the over-30-day bucket goes into the monthly report as a programme risk with the affected activity named, not into a list of open items.</t>
  </si>
  <si>
    <t xml:space="preserve">An RFI marked Answered but not Closed means SPDC has not yet verified the reply is workable. That is SPDC's own backlog - clear it before chasing anyone else.</t>
  </si>
  <si>
    <t xml:space="preserve">Cost and time impacts here are claimed, not agreed. Reconcile the claimed column against the change notices actually raised, monthly.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</si>
</sst>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\-yyyy"/>
    <numFmt numFmtId="166" formatCode="General"/>
    <numFmt numFmtId="167" formatCode="#,##0"/>
    <numFmt numFmtId="168" formatCode="dd\-mmm\-yy"/>
    <numFmt numFmtId="169" formatCode="0"/>
    <numFmt numFmtId="170" formatCode="#,##0.0"/>
    <numFmt numFmtId="171" formatCode="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008000"/>
      <name val="Arial"/>
      <family val="0"/>
      <charset val="1"/>
    </font>
    <font>
      <b val="true"/>
      <sz val="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0000FF"/>
      <name val="Arial"/>
      <family val="0"/>
      <charset val="1"/>
    </font>
    <font>
      <sz val="8"/>
      <color rgb="FF0000FF"/>
      <name val="Arial"/>
      <family val="0"/>
      <charset val="1"/>
    </font>
    <font>
      <b val="true"/>
      <sz val="8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1F6F6B"/>
      </patternFill>
    </fill>
    <fill>
      <patternFill patternType="solid">
        <fgColor rgb="FFFFF2CC"/>
        <bgColor rgb="FFFDF3E7"/>
      </patternFill>
    </fill>
    <fill>
      <patternFill patternType="solid">
        <fgColor rgb="FF843C0C"/>
        <bgColor rgb="FF993366"/>
      </patternFill>
    </fill>
    <fill>
      <patternFill patternType="solid">
        <fgColor rgb="FFD9D9D9"/>
        <bgColor rgb="FFFCE4E4"/>
      </patternFill>
    </fill>
    <fill>
      <patternFill patternType="solid">
        <fgColor rgb="FFF2F2F2"/>
        <bgColor rgb="FFFDF3E7"/>
      </patternFill>
    </fill>
    <fill>
      <patternFill patternType="solid">
        <fgColor rgb="FF1F6F6B"/>
        <bgColor rgb="FF2E5C8A"/>
      </patternFill>
    </fill>
    <fill>
      <patternFill patternType="solid">
        <fgColor rgb="FFFDF3E7"/>
        <bgColor rgb="FFF2F2F2"/>
      </patternFill>
    </fill>
    <fill>
      <patternFill patternType="solid">
        <fgColor rgb="FFFCE4E4"/>
        <bgColor rgb="FFFDF3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E5C8A"/>
          <bgColor rgb="FF000000"/>
        </patternFill>
      </fill>
    </dxf>
    <dxf>
      <fill>
        <patternFill patternType="solid">
          <fgColor rgb="FFFDF3E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6B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F3E7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55555"/>
      <rgbColor rgb="FFA6A6A6"/>
      <rgbColor rgb="FF1F3864"/>
      <rgbColor rgb="FF339966"/>
      <rgbColor rgb="FF003300"/>
      <rgbColor rgb="FF333300"/>
      <rgbColor rgb="FF843C0C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8"/>
  </cols>
  <sheetData>
    <row r="1" customFormat="false" ht="24" hidden="false" customHeight="tru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</row>
    <row r="4" customFormat="false" ht="16.5" hidden="false" customHeight="true" outlineLevel="0" collapsed="false">
      <c r="A4" s="4" t="s">
        <v>2</v>
      </c>
      <c r="B4" s="5"/>
      <c r="C4" s="5"/>
      <c r="D4" s="5"/>
      <c r="E4" s="5"/>
      <c r="F4" s="5"/>
    </row>
    <row r="5" customFormat="false" ht="42" hidden="false" customHeight="true" outlineLevel="0" collapsed="false">
      <c r="A5" s="6" t="s">
        <v>3</v>
      </c>
      <c r="B5" s="7" t="s">
        <v>4</v>
      </c>
    </row>
    <row r="6" customFormat="false" ht="42" hidden="false" customHeight="true" outlineLevel="0" collapsed="false">
      <c r="A6" s="6" t="s">
        <v>5</v>
      </c>
      <c r="B6" s="7" t="s">
        <v>6</v>
      </c>
    </row>
    <row r="8" customFormat="false" ht="16.5" hidden="false" customHeight="true" outlineLevel="0" collapsed="false">
      <c r="A8" s="4" t="s">
        <v>7</v>
      </c>
      <c r="B8" s="5"/>
      <c r="C8" s="5"/>
      <c r="D8" s="5"/>
      <c r="E8" s="5"/>
      <c r="F8" s="5"/>
    </row>
    <row r="9" customFormat="false" ht="42" hidden="false" customHeight="true" outlineLevel="0" collapsed="false">
      <c r="A9" s="6" t="s">
        <v>8</v>
      </c>
      <c r="B9" s="7" t="s">
        <v>9</v>
      </c>
    </row>
    <row r="10" customFormat="false" ht="42" hidden="false" customHeight="true" outlineLevel="0" collapsed="false">
      <c r="A10" s="6" t="s">
        <v>10</v>
      </c>
      <c r="B10" s="7" t="s">
        <v>11</v>
      </c>
    </row>
    <row r="11" customFormat="false" ht="42" hidden="false" customHeight="true" outlineLevel="0" collapsed="false">
      <c r="A11" s="6" t="s">
        <v>12</v>
      </c>
      <c r="B11" s="7" t="s">
        <v>13</v>
      </c>
    </row>
    <row r="12" customFormat="false" ht="42" hidden="false" customHeight="true" outlineLevel="0" collapsed="false">
      <c r="A12" s="6" t="s">
        <v>14</v>
      </c>
      <c r="B12" s="7" t="s">
        <v>15</v>
      </c>
    </row>
    <row r="14" customFormat="false" ht="16.5" hidden="false" customHeight="true" outlineLevel="0" collapsed="false">
      <c r="A14" s="4" t="s">
        <v>16</v>
      </c>
      <c r="B14" s="5"/>
      <c r="C14" s="5"/>
      <c r="D14" s="5"/>
      <c r="E14" s="5"/>
      <c r="F14" s="5"/>
    </row>
    <row r="15" customFormat="false" ht="42" hidden="false" customHeight="true" outlineLevel="0" collapsed="false">
      <c r="A15" s="6" t="s">
        <v>17</v>
      </c>
      <c r="B15" s="7" t="s">
        <v>18</v>
      </c>
    </row>
    <row r="16" customFormat="false" ht="42" hidden="false" customHeight="true" outlineLevel="0" collapsed="false">
      <c r="A16" s="6" t="s">
        <v>19</v>
      </c>
      <c r="B16" s="7" t="s">
        <v>20</v>
      </c>
    </row>
    <row r="17" customFormat="false" ht="42" hidden="false" customHeight="true" outlineLevel="0" collapsed="false">
      <c r="A17" s="6" t="s">
        <v>21</v>
      </c>
      <c r="B17" s="7" t="s">
        <v>22</v>
      </c>
    </row>
    <row r="18" customFormat="false" ht="42" hidden="false" customHeight="true" outlineLevel="0" collapsed="false">
      <c r="A18" s="6" t="s">
        <v>23</v>
      </c>
      <c r="B18" s="7" t="s">
        <v>24</v>
      </c>
    </row>
    <row r="19" customFormat="false" ht="42" hidden="false" customHeight="true" outlineLevel="0" collapsed="false">
      <c r="A19" s="6" t="s">
        <v>25</v>
      </c>
      <c r="B19" s="7" t="s">
        <v>26</v>
      </c>
    </row>
    <row r="20" customFormat="false" ht="42" hidden="false" customHeight="true" outlineLevel="0" collapsed="false">
      <c r="A20" s="6" t="s">
        <v>27</v>
      </c>
      <c r="B20" s="7" t="s">
        <v>28</v>
      </c>
    </row>
    <row r="22" customFormat="false" ht="16.5" hidden="false" customHeight="true" outlineLevel="0" collapsed="false">
      <c r="A22" s="4" t="s">
        <v>29</v>
      </c>
      <c r="B22" s="5"/>
      <c r="C22" s="5"/>
      <c r="D22" s="5"/>
      <c r="E22" s="5"/>
      <c r="F22" s="5"/>
    </row>
    <row r="23" customFormat="false" ht="42" hidden="false" customHeight="true" outlineLevel="0" collapsed="false">
      <c r="A23" s="6" t="s">
        <v>30</v>
      </c>
      <c r="B23" s="7" t="s">
        <v>31</v>
      </c>
    </row>
    <row r="24" customFormat="false" ht="42" hidden="false" customHeight="true" outlineLevel="0" collapsed="false">
      <c r="A24" s="6" t="s">
        <v>32</v>
      </c>
      <c r="B24" s="7" t="s">
        <v>33</v>
      </c>
    </row>
    <row r="25" customFormat="false" ht="42" hidden="false" customHeight="true" outlineLevel="0" collapsed="false">
      <c r="A25" s="6" t="s">
        <v>34</v>
      </c>
      <c r="B25" s="7" t="s">
        <v>35</v>
      </c>
    </row>
    <row r="27" customFormat="false" ht="16.5" hidden="false" customHeight="true" outlineLevel="0" collapsed="false">
      <c r="A27" s="4" t="s">
        <v>36</v>
      </c>
      <c r="B27" s="5"/>
      <c r="C27" s="5"/>
      <c r="D27" s="5"/>
      <c r="E27" s="5"/>
      <c r="F27" s="5"/>
    </row>
    <row r="28" customFormat="false" ht="42" hidden="false" customHeight="true" outlineLevel="0" collapsed="false">
      <c r="A28" s="6" t="s">
        <v>37</v>
      </c>
      <c r="B28" s="7" t="s">
        <v>38</v>
      </c>
    </row>
    <row r="29" customFormat="false" ht="42" hidden="false" customHeight="true" outlineLevel="0" collapsed="false">
      <c r="A29" s="6" t="s">
        <v>39</v>
      </c>
      <c r="B29" s="7" t="s">
        <v>40</v>
      </c>
    </row>
    <row r="30" customFormat="false" ht="42" hidden="false" customHeight="true" outlineLevel="0" collapsed="false">
      <c r="A30" s="6" t="s">
        <v>41</v>
      </c>
      <c r="B30" s="7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4"/>
    <col collapsed="false" customWidth="true" hidden="false" outlineLevel="0" max="3" min="3" style="0" width="62"/>
    <col collapsed="false" customWidth="true" hidden="false" outlineLevel="0" max="5" min="4" style="0" width="20"/>
    <col collapsed="false" customWidth="true" hidden="false" outlineLevel="0" max="6" min="6" style="0" width="16"/>
  </cols>
  <sheetData>
    <row r="1" customFormat="false" ht="24" hidden="false" customHeight="true" outlineLevel="0" collapsed="false">
      <c r="A1" s="1" t="s">
        <v>43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44</v>
      </c>
    </row>
    <row r="4" customFormat="false" ht="16.5" hidden="false" customHeight="true" outlineLevel="0" collapsed="false">
      <c r="A4" s="4" t="s">
        <v>45</v>
      </c>
      <c r="B4" s="5"/>
      <c r="C4" s="5"/>
      <c r="D4" s="5"/>
      <c r="E4" s="5"/>
      <c r="F4" s="5"/>
    </row>
    <row r="5" customFormat="false" ht="15" hidden="false" customHeight="false" outlineLevel="0" collapsed="false">
      <c r="A5" s="8" t="s">
        <v>46</v>
      </c>
      <c r="B5" s="9" t="s">
        <v>47</v>
      </c>
      <c r="C5" s="10"/>
    </row>
    <row r="6" customFormat="false" ht="15" hidden="false" customHeight="false" outlineLevel="0" collapsed="false">
      <c r="A6" s="8" t="s">
        <v>48</v>
      </c>
      <c r="B6" s="9" t="s">
        <v>49</v>
      </c>
      <c r="C6" s="10"/>
    </row>
    <row r="7" customFormat="false" ht="15" hidden="false" customHeight="false" outlineLevel="0" collapsed="false">
      <c r="A7" s="8" t="s">
        <v>50</v>
      </c>
      <c r="B7" s="9" t="s">
        <v>51</v>
      </c>
      <c r="C7" s="10"/>
    </row>
    <row r="8" customFormat="false" ht="15" hidden="false" customHeight="false" outlineLevel="0" collapsed="false">
      <c r="A8" s="8" t="s">
        <v>52</v>
      </c>
      <c r="B8" s="9" t="s">
        <v>53</v>
      </c>
      <c r="C8" s="10"/>
    </row>
    <row r="9" customFormat="false" ht="15" hidden="false" customHeight="false" outlineLevel="0" collapsed="false">
      <c r="A9" s="8" t="s">
        <v>54</v>
      </c>
      <c r="B9" s="9" t="s">
        <v>55</v>
      </c>
      <c r="C9" s="10" t="s">
        <v>56</v>
      </c>
    </row>
    <row r="10" customFormat="false" ht="15" hidden="false" customHeight="false" outlineLevel="0" collapsed="false">
      <c r="A10" s="8" t="s">
        <v>57</v>
      </c>
      <c r="B10" s="9" t="s">
        <v>58</v>
      </c>
      <c r="C10" s="10"/>
    </row>
    <row r="11" customFormat="false" ht="15" hidden="false" customHeight="false" outlineLevel="0" collapsed="false">
      <c r="A11" s="8" t="s">
        <v>59</v>
      </c>
      <c r="B11" s="9" t="s">
        <v>60</v>
      </c>
      <c r="C11" s="10" t="s">
        <v>61</v>
      </c>
    </row>
    <row r="13" customFormat="false" ht="16.5" hidden="false" customHeight="true" outlineLevel="0" collapsed="false">
      <c r="A13" s="11" t="s">
        <v>62</v>
      </c>
      <c r="B13" s="12"/>
      <c r="C13" s="12"/>
      <c r="D13" s="12"/>
      <c r="E13" s="12"/>
      <c r="F13" s="12"/>
    </row>
    <row r="14" customFormat="false" ht="15" hidden="false" customHeight="false" outlineLevel="0" collapsed="false">
      <c r="A14" s="13" t="s">
        <v>63</v>
      </c>
      <c r="B14" s="13" t="s">
        <v>64</v>
      </c>
      <c r="C14" s="13" t="s">
        <v>65</v>
      </c>
    </row>
    <row r="15" customFormat="false" ht="22.35" hidden="false" customHeight="false" outlineLevel="0" collapsed="false">
      <c r="A15" s="8" t="s">
        <v>66</v>
      </c>
      <c r="B15" s="14" t="n">
        <v>3</v>
      </c>
      <c r="C15" s="15" t="s">
        <v>67</v>
      </c>
    </row>
    <row r="16" customFormat="false" ht="15" hidden="false" customHeight="false" outlineLevel="0" collapsed="false">
      <c r="A16" s="8" t="s">
        <v>68</v>
      </c>
      <c r="B16" s="14" t="n">
        <v>7</v>
      </c>
      <c r="C16" s="15" t="s">
        <v>69</v>
      </c>
    </row>
    <row r="17" customFormat="false" ht="15" hidden="false" customHeight="false" outlineLevel="0" collapsed="false">
      <c r="A17" s="8" t="s">
        <v>70</v>
      </c>
      <c r="B17" s="14" t="n">
        <v>14</v>
      </c>
      <c r="C17" s="15" t="s">
        <v>71</v>
      </c>
    </row>
    <row r="18" customFormat="false" ht="15" hidden="false" customHeight="false" outlineLevel="0" collapsed="false">
      <c r="A18" s="8" t="s">
        <v>72</v>
      </c>
      <c r="B18" s="14" t="n">
        <v>21</v>
      </c>
      <c r="C18" s="15" t="s">
        <v>73</v>
      </c>
    </row>
    <row r="20" customFormat="false" ht="16.5" hidden="false" customHeight="true" outlineLevel="0" collapsed="false">
      <c r="A20" s="4" t="s">
        <v>74</v>
      </c>
      <c r="B20" s="5"/>
      <c r="C20" s="5"/>
      <c r="D20" s="5"/>
      <c r="E20" s="5"/>
      <c r="F20" s="5"/>
    </row>
    <row r="21" customFormat="false" ht="15" hidden="false" customHeight="false" outlineLevel="0" collapsed="false">
      <c r="A21" s="13" t="s">
        <v>75</v>
      </c>
      <c r="B21" s="13" t="s">
        <v>76</v>
      </c>
      <c r="C21" s="13" t="s">
        <v>77</v>
      </c>
      <c r="D21" s="13" t="s">
        <v>78</v>
      </c>
    </row>
    <row r="22" customFormat="false" ht="15" hidden="false" customHeight="false" outlineLevel="0" collapsed="false">
      <c r="A22" s="16" t="s">
        <v>79</v>
      </c>
      <c r="B22" s="16" t="s">
        <v>80</v>
      </c>
      <c r="C22" s="16" t="s">
        <v>81</v>
      </c>
      <c r="D22" s="16" t="s">
        <v>82</v>
      </c>
    </row>
    <row r="23" customFormat="false" ht="15" hidden="false" customHeight="false" outlineLevel="0" collapsed="false">
      <c r="A23" s="16" t="s">
        <v>83</v>
      </c>
      <c r="B23" s="16" t="s">
        <v>84</v>
      </c>
      <c r="C23" s="16" t="s">
        <v>85</v>
      </c>
      <c r="D23" s="16" t="s">
        <v>86</v>
      </c>
    </row>
    <row r="24" customFormat="false" ht="15" hidden="false" customHeight="false" outlineLevel="0" collapsed="false">
      <c r="A24" s="16" t="s">
        <v>87</v>
      </c>
      <c r="B24" s="16" t="s">
        <v>88</v>
      </c>
      <c r="C24" s="16" t="s">
        <v>89</v>
      </c>
      <c r="D24" s="16" t="s">
        <v>90</v>
      </c>
    </row>
    <row r="25" customFormat="false" ht="15" hidden="false" customHeight="false" outlineLevel="0" collapsed="false">
      <c r="A25" s="16" t="s">
        <v>91</v>
      </c>
      <c r="B25" s="16" t="s">
        <v>92</v>
      </c>
      <c r="C25" s="16" t="s">
        <v>93</v>
      </c>
      <c r="D25" s="16" t="s">
        <v>94</v>
      </c>
    </row>
    <row r="26" customFormat="false" ht="15" hidden="false" customHeight="false" outlineLevel="0" collapsed="false">
      <c r="A26" s="16" t="s">
        <v>95</v>
      </c>
      <c r="B26" s="16" t="s">
        <v>96</v>
      </c>
      <c r="C26" s="16" t="s">
        <v>97</v>
      </c>
      <c r="D26" s="16" t="s">
        <v>98</v>
      </c>
    </row>
    <row r="27" customFormat="false" ht="15" hidden="false" customHeight="false" outlineLevel="0" collapsed="false">
      <c r="A27" s="16" t="s">
        <v>99</v>
      </c>
      <c r="B27" s="16" t="s">
        <v>100</v>
      </c>
      <c r="C27" s="16" t="s">
        <v>101</v>
      </c>
    </row>
    <row r="28" customFormat="false" ht="15" hidden="false" customHeight="false" outlineLevel="0" collapsed="false">
      <c r="A28" s="16" t="s">
        <v>102</v>
      </c>
      <c r="B28" s="16" t="s">
        <v>103</v>
      </c>
      <c r="C28" s="16" t="s">
        <v>104</v>
      </c>
    </row>
    <row r="29" customFormat="false" ht="15" hidden="false" customHeight="false" outlineLevel="0" collapsed="false">
      <c r="A29" s="16" t="s">
        <v>105</v>
      </c>
      <c r="B29" s="16" t="s">
        <v>106</v>
      </c>
    </row>
    <row r="30" customFormat="false" ht="15" hidden="false" customHeight="false" outlineLevel="0" collapsed="false">
      <c r="A30" s="16" t="s">
        <v>107</v>
      </c>
    </row>
    <row r="31" customFormat="false" ht="15" hidden="false" customHeight="false" outlineLevel="0" collapsed="false">
      <c r="A31" s="16" t="s">
        <v>108</v>
      </c>
    </row>
    <row r="33" customFormat="false" ht="16.5" hidden="false" customHeight="true" outlineLevel="0" collapsed="false">
      <c r="A33" s="4" t="s">
        <v>109</v>
      </c>
      <c r="B33" s="5"/>
      <c r="C33" s="5"/>
      <c r="D33" s="5"/>
      <c r="E33" s="5"/>
      <c r="F33" s="5"/>
    </row>
    <row r="34" customFormat="false" ht="15" hidden="false" customHeight="false" outlineLevel="0" collapsed="false">
      <c r="A34" s="17" t="s">
        <v>110</v>
      </c>
      <c r="B34" s="16" t="s">
        <v>111</v>
      </c>
    </row>
    <row r="35" customFormat="false" ht="22.35" hidden="false" customHeight="false" outlineLevel="0" collapsed="false">
      <c r="A35" s="17" t="s">
        <v>110</v>
      </c>
      <c r="B35" s="16" t="s">
        <v>112</v>
      </c>
    </row>
    <row r="36" customFormat="false" ht="22.35" hidden="false" customHeight="false" outlineLevel="0" collapsed="false">
      <c r="A36" s="17" t="s">
        <v>110</v>
      </c>
      <c r="B36" s="16" t="s">
        <v>113</v>
      </c>
    </row>
    <row r="37" customFormat="false" ht="22.35" hidden="false" customHeight="false" outlineLevel="0" collapsed="false">
      <c r="A37" s="17" t="s">
        <v>110</v>
      </c>
      <c r="B37" s="16" t="s">
        <v>114</v>
      </c>
    </row>
    <row r="38" customFormat="false" ht="15" hidden="false" customHeight="false" outlineLevel="0" collapsed="false">
      <c r="A38" s="17" t="s">
        <v>110</v>
      </c>
      <c r="B38" s="16" t="s">
        <v>115</v>
      </c>
    </row>
    <row r="39" customFormat="false" ht="22.35" hidden="false" customHeight="false" outlineLevel="0" collapsed="false">
      <c r="A39" s="17" t="s">
        <v>110</v>
      </c>
      <c r="B39" s="16" t="s">
        <v>116</v>
      </c>
    </row>
    <row r="40" customFormat="false" ht="22.35" hidden="false" customHeight="false" outlineLevel="0" collapsed="false">
      <c r="A40" s="17" t="s">
        <v>110</v>
      </c>
      <c r="B40" s="16" t="s">
        <v>117</v>
      </c>
    </row>
    <row r="41" customFormat="false" ht="22.35" hidden="false" customHeight="false" outlineLevel="0" collapsed="false">
      <c r="A41" s="17" t="s">
        <v>110</v>
      </c>
      <c r="B41" s="16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8" min="7" style="0" width="16"/>
  </cols>
  <sheetData>
    <row r="1" customFormat="false" ht="24" hidden="false" customHeight="true" outlineLevel="0" collapsed="false">
      <c r="A1" s="18" t="s">
        <v>119</v>
      </c>
      <c r="B1" s="18"/>
      <c r="C1" s="18"/>
      <c r="D1" s="18"/>
      <c r="E1" s="18"/>
      <c r="F1" s="18"/>
      <c r="G1" s="18"/>
      <c r="H1" s="18"/>
    </row>
    <row r="2" customFormat="false" ht="19.5" hidden="false" customHeight="true" outlineLevel="0" collapsed="false">
      <c r="A2" s="19" t="s">
        <v>120</v>
      </c>
      <c r="B2" s="19"/>
      <c r="C2" s="19"/>
      <c r="D2" s="19"/>
      <c r="E2" s="19"/>
      <c r="F2" s="19"/>
      <c r="G2" s="19"/>
      <c r="H2" s="19"/>
    </row>
    <row r="3" customFormat="false" ht="15" hidden="false" customHeight="false" outlineLevel="0" collapsed="false">
      <c r="A3" s="20" t="str">
        <f aca="false">"Form No: "&amp;01_CONTROL!$B$9</f>
        <v>Form No: SPDC/QMS/F-RFI-01</v>
      </c>
      <c r="B3" s="20"/>
      <c r="C3" s="20"/>
      <c r="D3" s="20"/>
      <c r="E3" s="20"/>
      <c r="F3" s="21" t="str">
        <f aca="false">"Form Rev: "&amp;01_CONTROL!$B$10</f>
        <v>Form Rev: R0</v>
      </c>
      <c r="G3" s="21"/>
      <c r="H3" s="21"/>
    </row>
    <row r="5" customFormat="false" ht="21.75" hidden="false" customHeight="true" outlineLevel="0" collapsed="false">
      <c r="A5" s="22" t="s">
        <v>121</v>
      </c>
      <c r="B5" s="22"/>
      <c r="C5" s="23" t="s">
        <v>122</v>
      </c>
      <c r="D5" s="23"/>
      <c r="E5" s="15" t="s">
        <v>123</v>
      </c>
      <c r="F5" s="15"/>
      <c r="G5" s="15"/>
      <c r="H5" s="15"/>
    </row>
    <row r="7" customFormat="false" ht="16.5" hidden="false" customHeight="true" outlineLevel="0" collapsed="false">
      <c r="A7" s="4" t="s">
        <v>124</v>
      </c>
      <c r="B7" s="5"/>
      <c r="C7" s="5"/>
      <c r="D7" s="5"/>
      <c r="E7" s="5"/>
      <c r="F7" s="5"/>
      <c r="G7" s="5"/>
      <c r="H7" s="5"/>
    </row>
    <row r="8" customFormat="false" ht="18" hidden="false" customHeight="true" outlineLevel="0" collapsed="false">
      <c r="A8" s="24" t="s">
        <v>125</v>
      </c>
      <c r="B8" s="24"/>
      <c r="C8" s="25" t="str">
        <f aca="false">01_CONTROL!$B$5</f>
        <v>Industrial Shed 50,000 sqft, Package-1 Civil &amp; Package-2 PEB</v>
      </c>
      <c r="D8" s="25"/>
      <c r="E8" s="25"/>
      <c r="F8" s="25"/>
      <c r="G8" s="25"/>
      <c r="H8" s="25"/>
    </row>
    <row r="9" customFormat="false" ht="18" hidden="false" customHeight="true" outlineLevel="0" collapsed="false">
      <c r="A9" s="24" t="s">
        <v>126</v>
      </c>
      <c r="B9" s="24"/>
      <c r="C9" s="25" t="str">
        <f aca="false">01_CONTROL!$B$6</f>
        <v>Enter employer / client name</v>
      </c>
      <c r="D9" s="25"/>
      <c r="E9" s="24" t="s">
        <v>127</v>
      </c>
      <c r="F9" s="24"/>
      <c r="G9" s="25" t="str">
        <f aca="false">01_CONTROL!$B$7</f>
        <v>Enter contract / work order no</v>
      </c>
      <c r="H9" s="25"/>
    </row>
    <row r="10" customFormat="false" ht="18" hidden="false" customHeight="true" outlineLevel="0" collapsed="false">
      <c r="A10" s="24" t="s">
        <v>128</v>
      </c>
      <c r="B10" s="24"/>
      <c r="C10" s="25" t="str">
        <f aca="false">01_CONTROL!$B$8</f>
        <v>Sharnam Project Development Consultants &amp; Co., Vadodara</v>
      </c>
      <c r="D10" s="25"/>
      <c r="E10" s="24" t="s">
        <v>129</v>
      </c>
      <c r="F10" s="24"/>
      <c r="G10" s="25" t="str">
        <f aca="false">IFERROR(INDEX(04_RFI_REGISTER!$C$5:$C$304,MATCH($C$5,04_RFI_REGISTER!$A$5:$A$304,0)),"")</f>
        <v>P1-CIVIL</v>
      </c>
      <c r="H10" s="25"/>
    </row>
    <row r="12" customFormat="false" ht="16.5" hidden="false" customHeight="true" outlineLevel="0" collapsed="false">
      <c r="A12" s="4" t="s">
        <v>130</v>
      </c>
      <c r="B12" s="5"/>
      <c r="C12" s="5"/>
      <c r="D12" s="5"/>
      <c r="E12" s="5"/>
      <c r="F12" s="5"/>
      <c r="G12" s="5"/>
      <c r="H12" s="5"/>
    </row>
    <row r="13" customFormat="false" ht="18" hidden="false" customHeight="true" outlineLevel="0" collapsed="false">
      <c r="A13" s="24" t="s">
        <v>131</v>
      </c>
      <c r="B13" s="24"/>
      <c r="C13" s="25" t="str">
        <f aca="false">IFERROR(INDEX(04_RFI_REGISTER!$A$5:$A$304,MATCH($C$5,04_RFI_REGISTER!$A$5:$A$304,0)),"")</f>
        <v>SPDC-RFI-001</v>
      </c>
      <c r="D13" s="25"/>
      <c r="E13" s="24" t="s">
        <v>132</v>
      </c>
      <c r="F13" s="24"/>
      <c r="G13" s="25" t="n">
        <f aca="false">IFERROR(INDEX(04_RFI_REGISTER!$B$5:$B$304,MATCH($C$5,04_RFI_REGISTER!$A$5:$A$304,0)),"")</f>
        <v>0</v>
      </c>
      <c r="H13" s="25"/>
    </row>
    <row r="14" customFormat="false" ht="18" hidden="false" customHeight="true" outlineLevel="0" collapsed="false">
      <c r="A14" s="24" t="s">
        <v>133</v>
      </c>
      <c r="B14" s="24"/>
      <c r="C14" s="26" t="n">
        <f aca="false">IFERROR(INDEX(04_RFI_REGISTER!$N$5:$N$304,MATCH($C$5,04_RFI_REGISTER!$A$5:$A$304,0)),"")</f>
        <v>46175</v>
      </c>
      <c r="D14" s="26"/>
      <c r="E14" s="24" t="s">
        <v>134</v>
      </c>
      <c r="F14" s="24"/>
      <c r="G14" s="26" t="str">
        <f aca="false">IFERROR(INDEX(04_RFI_REGISTER!$O$5:$O$304,MATCH($C$5,04_RFI_REGISTER!$A$5:$A$304,0)),"")</f>
        <v>CRITICAL</v>
      </c>
      <c r="H14" s="26"/>
    </row>
    <row r="15" customFormat="false" ht="18" hidden="false" customHeight="true" outlineLevel="0" collapsed="false">
      <c r="A15" s="24" t="s">
        <v>30</v>
      </c>
      <c r="B15" s="24"/>
      <c r="C15" s="27" t="n">
        <f aca="false">IFERROR(INDEX(04_RFI_REGISTER!$Q$5:$Q$304,MATCH($C$5,04_RFI_REGISTER!$A$5:$A$304,0)),"")</f>
        <v>46178</v>
      </c>
      <c r="D15" s="27"/>
      <c r="E15" s="24" t="s">
        <v>135</v>
      </c>
      <c r="F15" s="24"/>
      <c r="G15" s="28" t="n">
        <f aca="false">IFERROR(INDEX(04_RFI_REGISTER!$P$5:$P$304,MATCH($C$5,04_RFI_REGISTER!$A$5:$A$304,0)),"")</f>
        <v>3</v>
      </c>
      <c r="H15" s="28"/>
    </row>
    <row r="16" customFormat="false" ht="18" hidden="false" customHeight="true" outlineLevel="0" collapsed="false">
      <c r="A16" s="24" t="s">
        <v>136</v>
      </c>
      <c r="B16" s="24"/>
      <c r="C16" s="25" t="str">
        <f aca="false">IFERROR(INDEX(04_RFI_REGISTER!$M$5:$M$304,MATCH($C$5,04_RFI_REGISTER!$A$5:$A$304,0)),"")</f>
        <v>Contractor QS</v>
      </c>
      <c r="D16" s="25"/>
      <c r="E16" s="24" t="s">
        <v>137</v>
      </c>
      <c r="F16" s="24"/>
      <c r="G16" s="25" t="str">
        <f aca="false">IFERROR(INDEX(04_RFI_REGISTER!$D$5:$D$304,MATCH($C$5,04_RFI_REGISTER!$A$5:$A$304,0)),"")</f>
        <v>Structural</v>
      </c>
      <c r="H16" s="25"/>
    </row>
    <row r="17" customFormat="false" ht="18" hidden="false" customHeight="true" outlineLevel="0" collapsed="false">
      <c r="A17" s="24" t="s">
        <v>138</v>
      </c>
      <c r="B17" s="24"/>
      <c r="C17" s="25" t="str">
        <f aca="false">IFERROR(INDEX(04_RFI_REGISTER!$E$5:$E$304,MATCH($C$5,04_RFI_REGISTER!$A$5:$A$304,0)),"")</f>
        <v>Drawing discrepancy</v>
      </c>
      <c r="D17" s="25"/>
      <c r="E17" s="24" t="s">
        <v>139</v>
      </c>
      <c r="F17" s="24"/>
      <c r="G17" s="25" t="str">
        <f aca="false">IFERROR(INDEX(04_RFI_REGISTER!$R$5:$R$304,MATCH($C$5,04_RFI_REGISTER!$A$5:$A$304,0)),"")</f>
        <v>Structural Consultant</v>
      </c>
      <c r="H17" s="25"/>
    </row>
    <row r="18" customFormat="false" ht="30" hidden="false" customHeight="true" outlineLevel="0" collapsed="false">
      <c r="A18" s="24" t="s">
        <v>140</v>
      </c>
      <c r="B18" s="24"/>
      <c r="C18" s="29" t="str">
        <f aca="false">IFERROR(INDEX(04_RFI_REGISTER!$F$5:$F$304,MATCH($C$5,04_RFI_REGISTER!$A$5:$A$304,0)),"")</f>
        <v>Pile cap PC-F1 top level differs between foundation layout and section</v>
      </c>
      <c r="D18" s="29"/>
      <c r="E18" s="29"/>
      <c r="F18" s="29"/>
      <c r="G18" s="29"/>
      <c r="H18" s="29"/>
    </row>
    <row r="19" customFormat="false" ht="18" hidden="false" customHeight="true" outlineLevel="0" collapsed="false">
      <c r="A19" s="24" t="s">
        <v>141</v>
      </c>
      <c r="B19" s="24"/>
      <c r="C19" s="25" t="str">
        <f aca="false">IFERROR(INDEX(04_RFI_REGISTER!$G$5:$G$304,MATCH($C$5,04_RFI_REGISTER!$A$5:$A$304,0)),"")</f>
        <v>Zone-1, Grid B/3</v>
      </c>
      <c r="D19" s="25"/>
      <c r="E19" s="25"/>
      <c r="F19" s="25"/>
      <c r="G19" s="25"/>
      <c r="H19" s="25"/>
    </row>
    <row r="20" customFormat="false" ht="18" hidden="false" customHeight="true" outlineLevel="0" collapsed="false">
      <c r="A20" s="24" t="s">
        <v>142</v>
      </c>
      <c r="B20" s="24"/>
      <c r="C20" s="25" t="str">
        <f aca="false">IFERROR(INDEX(04_RFI_REGISTER!$H$5:$H$304,MATCH($C$5,04_RFI_REGISTER!$A$5:$A$304,0)),"")</f>
        <v>2601-F-101</v>
      </c>
      <c r="D20" s="25"/>
      <c r="E20" s="24" t="s">
        <v>143</v>
      </c>
      <c r="F20" s="24"/>
      <c r="G20" s="25" t="str">
        <f aca="false">IFERROR(INDEX(04_RFI_REGISTER!$I$5:$I$304,MATCH($C$5,04_RFI_REGISTER!$A$5:$A$304,0)),"")</f>
        <v>R2</v>
      </c>
      <c r="H20" s="25"/>
    </row>
    <row r="21" customFormat="false" ht="18" hidden="false" customHeight="true" outlineLevel="0" collapsed="false">
      <c r="A21" s="24" t="s">
        <v>144</v>
      </c>
      <c r="B21" s="24"/>
      <c r="C21" s="25" t="str">
        <f aca="false">IFERROR(INDEX(04_RFI_REGISTER!$J$5:$J$304,MATCH($C$5,04_RFI_REGISTER!$A$5:$A$304,0)),"")</f>
        <v>Cl. 5.2</v>
      </c>
      <c r="D21" s="25"/>
      <c r="E21" s="25"/>
      <c r="F21" s="25"/>
      <c r="G21" s="25"/>
      <c r="H21" s="25"/>
    </row>
    <row r="23" customFormat="false" ht="16.5" hidden="false" customHeight="true" outlineLevel="0" collapsed="false">
      <c r="A23" s="4" t="s">
        <v>145</v>
      </c>
      <c r="B23" s="5"/>
      <c r="C23" s="5"/>
      <c r="D23" s="5"/>
      <c r="E23" s="5"/>
      <c r="F23" s="5"/>
      <c r="G23" s="5"/>
      <c r="H23" s="5"/>
    </row>
    <row r="24" customFormat="false" ht="15" hidden="false" customHeight="true" outlineLevel="0" collapsed="false">
      <c r="A24" s="30" t="str">
        <f aca="false">IFERROR(INDEX(04_RFI_REGISTER!$K$5:$K$304,MATCH($C$5,04_RFI_REGISTER!$A$5:$A$304,0)),"")</f>
        <v>Foundation layout 2601-F-101 R2 shows pile cap top at -1.200 m from FFL. Section A-A on 2601-F-105 R1 shows -1.350 m for the same cap. Which level governs?</v>
      </c>
      <c r="B24" s="30"/>
      <c r="C24" s="30"/>
      <c r="D24" s="30"/>
      <c r="E24" s="30"/>
      <c r="F24" s="30"/>
      <c r="G24" s="30"/>
      <c r="H24" s="30"/>
    </row>
    <row r="25" customFormat="false" ht="15" hidden="false" customHeight="true" outlineLevel="0" collapsed="false">
      <c r="A25" s="30"/>
      <c r="B25" s="30"/>
      <c r="C25" s="30"/>
      <c r="D25" s="30"/>
      <c r="E25" s="30"/>
      <c r="F25" s="30"/>
      <c r="G25" s="30"/>
      <c r="H25" s="30"/>
    </row>
    <row r="26" customFormat="false" ht="15" hidden="false" customHeight="true" outlineLevel="0" collapsed="false">
      <c r="A26" s="30"/>
      <c r="B26" s="30"/>
      <c r="C26" s="30"/>
      <c r="D26" s="30"/>
      <c r="E26" s="30"/>
      <c r="F26" s="30"/>
      <c r="G26" s="30"/>
      <c r="H26" s="30"/>
    </row>
    <row r="27" customFormat="false" ht="15" hidden="false" customHeight="true" outlineLevel="0" collapsed="false">
      <c r="A27" s="30"/>
      <c r="B27" s="30"/>
      <c r="C27" s="30"/>
      <c r="D27" s="30"/>
      <c r="E27" s="30"/>
      <c r="F27" s="30"/>
      <c r="G27" s="30"/>
      <c r="H27" s="30"/>
    </row>
    <row r="28" customFormat="false" ht="15" hidden="false" customHeight="true" outlineLevel="0" collapsed="false">
      <c r="A28" s="30"/>
      <c r="B28" s="30"/>
      <c r="C28" s="30"/>
      <c r="D28" s="30"/>
      <c r="E28" s="30"/>
      <c r="F28" s="30"/>
      <c r="G28" s="30"/>
      <c r="H28" s="30"/>
    </row>
    <row r="30" customFormat="false" ht="16.5" hidden="false" customHeight="true" outlineLevel="0" collapsed="false">
      <c r="A30" s="31" t="s">
        <v>146</v>
      </c>
      <c r="B30" s="32"/>
      <c r="C30" s="32"/>
      <c r="D30" s="32"/>
      <c r="E30" s="32"/>
      <c r="F30" s="32"/>
      <c r="G30" s="32"/>
      <c r="H30" s="32"/>
    </row>
    <row r="31" customFormat="false" ht="15" hidden="false" customHeight="true" outlineLevel="0" collapsed="false">
      <c r="A31" s="30" t="str">
        <f aca="false">IFERROR(INDEX(04_RFI_REGISTER!$L$5:$L$304,MATCH($C$5,04_RFI_REGISTER!$A$5:$A$304,0)),"")</f>
        <v>Adopt -1.350 m as per the section, since it maintains the 75 mm cover over the pile projection shown on the pile schedule.</v>
      </c>
      <c r="B31" s="30"/>
      <c r="C31" s="30"/>
      <c r="D31" s="30"/>
      <c r="E31" s="30"/>
      <c r="F31" s="30"/>
      <c r="G31" s="30"/>
      <c r="H31" s="30"/>
    </row>
    <row r="32" customFormat="false" ht="15" hidden="false" customHeight="true" outlineLevel="0" collapsed="false">
      <c r="A32" s="30"/>
      <c r="B32" s="30"/>
      <c r="C32" s="30"/>
      <c r="D32" s="30"/>
      <c r="E32" s="30"/>
      <c r="F32" s="30"/>
      <c r="G32" s="30"/>
      <c r="H32" s="30"/>
    </row>
    <row r="33" customFormat="false" ht="15" hidden="false" customHeight="true" outlineLevel="0" collapsed="false">
      <c r="A33" s="30"/>
      <c r="B33" s="30"/>
      <c r="C33" s="30"/>
      <c r="D33" s="30"/>
      <c r="E33" s="30"/>
      <c r="F33" s="30"/>
      <c r="G33" s="30"/>
      <c r="H33" s="30"/>
    </row>
    <row r="34" customFormat="false" ht="15" hidden="false" customHeight="true" outlineLevel="0" collapsed="false">
      <c r="A34" s="30"/>
      <c r="B34" s="30"/>
      <c r="C34" s="30"/>
      <c r="D34" s="30"/>
      <c r="E34" s="30"/>
      <c r="F34" s="30"/>
      <c r="G34" s="30"/>
      <c r="H34" s="30"/>
    </row>
    <row r="36" customFormat="false" ht="16.5" hidden="false" customHeight="true" outlineLevel="0" collapsed="false">
      <c r="A36" s="11" t="s">
        <v>147</v>
      </c>
      <c r="B36" s="12"/>
      <c r="C36" s="12"/>
      <c r="D36" s="12"/>
      <c r="E36" s="12"/>
      <c r="F36" s="12"/>
      <c r="G36" s="12"/>
      <c r="H36" s="12"/>
    </row>
    <row r="37" customFormat="false" ht="18" hidden="false" customHeight="true" outlineLevel="0" collapsed="false">
      <c r="A37" s="24" t="s">
        <v>148</v>
      </c>
      <c r="B37" s="24"/>
      <c r="C37" s="25" t="str">
        <f aca="false">IFERROR(INDEX(04_RFI_REGISTER!$AA$5:$AA$304,MATCH($C$5,04_RFI_REGISTER!$A$5:$A$304,0)),"")</f>
        <v>No</v>
      </c>
      <c r="D37" s="25"/>
      <c r="E37" s="24" t="s">
        <v>149</v>
      </c>
      <c r="F37" s="24"/>
      <c r="G37" s="33" t="n">
        <f aca="false">IFERROR(INDEX(04_RFI_REGISTER!$AB$5:$AB$304,MATCH($C$5,04_RFI_REGISTER!$A$5:$A$304,0)),"")</f>
        <v>0</v>
      </c>
      <c r="H37" s="33"/>
    </row>
    <row r="38" customFormat="false" ht="18" hidden="false" customHeight="true" outlineLevel="0" collapsed="false">
      <c r="A38" s="24" t="s">
        <v>150</v>
      </c>
      <c r="B38" s="24"/>
      <c r="C38" s="25" t="str">
        <f aca="false">IFERROR(INDEX(04_RFI_REGISTER!$AC$5:$AC$304,MATCH($C$5,04_RFI_REGISTER!$A$5:$A$304,0)),"")</f>
        <v>No</v>
      </c>
      <c r="D38" s="25"/>
      <c r="E38" s="24" t="s">
        <v>151</v>
      </c>
      <c r="F38" s="24"/>
      <c r="G38" s="25" t="n">
        <f aca="false">IFERROR(INDEX(04_RFI_REGISTER!$AD$5:$AD$304,MATCH($C$5,04_RFI_REGISTER!$A$5:$A$304,0)),"")</f>
        <v>0</v>
      </c>
      <c r="H38" s="25"/>
    </row>
    <row r="39" customFormat="false" ht="24" hidden="false" customHeight="true" outlineLevel="0" collapsed="false">
      <c r="A39" s="15" t="s">
        <v>152</v>
      </c>
      <c r="B39" s="15"/>
      <c r="C39" s="15"/>
      <c r="D39" s="15"/>
      <c r="E39" s="15"/>
      <c r="F39" s="15"/>
      <c r="G39" s="15"/>
      <c r="H39" s="15"/>
    </row>
    <row r="41" customFormat="false" ht="16.5" hidden="false" customHeight="true" outlineLevel="0" collapsed="false">
      <c r="A41" s="4" t="s">
        <v>153</v>
      </c>
      <c r="B41" s="5"/>
      <c r="C41" s="5"/>
      <c r="D41" s="5"/>
      <c r="E41" s="5"/>
      <c r="F41" s="5"/>
      <c r="G41" s="5"/>
      <c r="H41" s="5"/>
    </row>
    <row r="42" customFormat="false" ht="15" hidden="false" customHeight="true" outlineLevel="0" collapsed="false">
      <c r="A42" s="30" t="str">
        <f aca="false">IFERROR(INDEX(04_RFI_REGISTER!$T$5:$T$304,MATCH($C$5,04_RFI_REGISTER!$A$5:$A$304,0)),"")</f>
        <v>Section A-A governs. Cap top level is -1.350 m from FFL. Layout drawing to be revised to R3.</v>
      </c>
      <c r="B42" s="30"/>
      <c r="C42" s="30"/>
      <c r="D42" s="30"/>
      <c r="E42" s="30"/>
      <c r="F42" s="30"/>
      <c r="G42" s="30"/>
      <c r="H42" s="30"/>
    </row>
    <row r="43" customFormat="false" ht="15" hidden="false" customHeight="true" outlineLevel="0" collapsed="false">
      <c r="A43" s="30"/>
      <c r="B43" s="30"/>
      <c r="C43" s="30"/>
      <c r="D43" s="30"/>
      <c r="E43" s="30"/>
      <c r="F43" s="30"/>
      <c r="G43" s="30"/>
      <c r="H43" s="30"/>
    </row>
    <row r="44" customFormat="false" ht="15" hidden="false" customHeight="true" outlineLevel="0" collapsed="false">
      <c r="A44" s="30"/>
      <c r="B44" s="30"/>
      <c r="C44" s="30"/>
      <c r="D44" s="30"/>
      <c r="E44" s="30"/>
      <c r="F44" s="30"/>
      <c r="G44" s="30"/>
      <c r="H44" s="30"/>
    </row>
    <row r="45" customFormat="false" ht="15" hidden="false" customHeight="true" outlineLevel="0" collapsed="false">
      <c r="A45" s="30"/>
      <c r="B45" s="30"/>
      <c r="C45" s="30"/>
      <c r="D45" s="30"/>
      <c r="E45" s="30"/>
      <c r="F45" s="30"/>
      <c r="G45" s="30"/>
      <c r="H45" s="30"/>
    </row>
    <row r="46" customFormat="false" ht="15" hidden="false" customHeight="true" outlineLevel="0" collapsed="false">
      <c r="A46" s="30"/>
      <c r="B46" s="30"/>
      <c r="C46" s="30"/>
      <c r="D46" s="30"/>
      <c r="E46" s="30"/>
      <c r="F46" s="30"/>
      <c r="G46" s="30"/>
      <c r="H46" s="30"/>
    </row>
    <row r="47" customFormat="false" ht="15" hidden="false" customHeight="true" outlineLevel="0" collapsed="false">
      <c r="A47" s="30"/>
      <c r="B47" s="30"/>
      <c r="C47" s="30"/>
      <c r="D47" s="30"/>
      <c r="E47" s="30"/>
      <c r="F47" s="30"/>
      <c r="G47" s="30"/>
      <c r="H47" s="30"/>
    </row>
    <row r="49" customFormat="false" ht="18" hidden="false" customHeight="true" outlineLevel="0" collapsed="false">
      <c r="A49" s="24" t="s">
        <v>154</v>
      </c>
      <c r="B49" s="24"/>
      <c r="C49" s="26" t="str">
        <f aca="false">IFERROR(INDEX(04_RFI_REGISTER!$U$5:$U$304,MATCH($C$5,04_RFI_REGISTER!$A$5:$A$304,0)),"")</f>
        <v>S. Mehta</v>
      </c>
      <c r="D49" s="26"/>
      <c r="E49" s="24" t="s">
        <v>155</v>
      </c>
      <c r="F49" s="24"/>
      <c r="G49" s="26" t="n">
        <f aca="false">IFERROR(INDEX(04_RFI_REGISTER!$S$5:$S$304,MATCH($C$5,04_RFI_REGISTER!$A$5:$A$304,0)),"")</f>
        <v>46177</v>
      </c>
      <c r="H49" s="26"/>
    </row>
    <row r="51" customFormat="false" ht="16.5" hidden="false" customHeight="true" outlineLevel="0" collapsed="false">
      <c r="A51" s="4" t="s">
        <v>156</v>
      </c>
      <c r="B51" s="5"/>
      <c r="C51" s="5"/>
      <c r="D51" s="5"/>
      <c r="E51" s="5"/>
      <c r="F51" s="5"/>
      <c r="G51" s="5"/>
      <c r="H51" s="5"/>
    </row>
    <row r="52" customFormat="false" ht="18" hidden="false" customHeight="true" outlineLevel="0" collapsed="false">
      <c r="A52" s="24" t="s">
        <v>157</v>
      </c>
      <c r="B52" s="24"/>
      <c r="C52" s="26" t="str">
        <f aca="false">IFERROR(INDEX(04_RFI_REGISTER!$V$5:$V$304,MATCH($C$5,04_RFI_REGISTER!$A$5:$A$304,0)),"")</f>
        <v>Closed</v>
      </c>
      <c r="D52" s="26"/>
      <c r="E52" s="24" t="s">
        <v>158</v>
      </c>
      <c r="F52" s="24"/>
      <c r="G52" s="26" t="n">
        <f aca="false">IFERROR(INDEX(04_RFI_REGISTER!$W$5:$W$304,MATCH($C$5,04_RFI_REGISTER!$A$5:$A$304,0)),"")</f>
        <v>46178</v>
      </c>
      <c r="H52" s="26"/>
    </row>
    <row r="53" customFormat="false" ht="18" hidden="false" customHeight="true" outlineLevel="0" collapsed="false">
      <c r="A53" s="24" t="s">
        <v>159</v>
      </c>
      <c r="B53" s="24"/>
      <c r="C53" s="28" t="n">
        <f aca="false">IFERROR(INDEX(04_RFI_REGISTER!$X$5:$X$304,MATCH($C$5,04_RFI_REGISTER!$A$5:$A$304,0)),"")</f>
        <v>2</v>
      </c>
      <c r="D53" s="28"/>
      <c r="E53" s="24" t="s">
        <v>160</v>
      </c>
      <c r="F53" s="24"/>
      <c r="G53" s="34" t="str">
        <f aca="false">IFERROR(INDEX(04_RFI_REGISTER!$Y$5:$Y$304,MATCH($C$5,04_RFI_REGISTER!$A$5:$A$304,0)),"")</f>
        <v>Answered on time</v>
      </c>
      <c r="H53" s="34"/>
    </row>
    <row r="54" customFormat="false" ht="18" hidden="false" customHeight="true" outlineLevel="0" collapsed="false">
      <c r="A54" s="24" t="s">
        <v>161</v>
      </c>
      <c r="B54" s="24"/>
      <c r="C54" s="25" t="n">
        <f aca="false">IFERROR(INDEX(04_RFI_REGISTER!$AE$5:$AE$304,MATCH($C$5,04_RFI_REGISTER!$A$5:$A$304,0)),"")</f>
        <v>0</v>
      </c>
      <c r="D54" s="25"/>
      <c r="E54" s="24" t="s">
        <v>162</v>
      </c>
      <c r="F54" s="24"/>
      <c r="G54" s="25" t="str">
        <f aca="false">IFERROR(INDEX(04_RFI_REGISTER!$AF$5:$AF$304,MATCH($C$5,04_RFI_REGISTER!$A$5:$A$304,0)),"")</f>
        <v>Mark-up sketch</v>
      </c>
      <c r="H54" s="25"/>
    </row>
    <row r="55" customFormat="false" ht="15" hidden="false" customHeight="true" outlineLevel="0" collapsed="false">
      <c r="A55" s="24" t="s">
        <v>163</v>
      </c>
      <c r="B55" s="24"/>
      <c r="C55" s="30" t="str">
        <f aca="false">IFERROR(INDEX(04_RFI_REGISTER!$AG$5:$AG$304,MATCH($C$5,04_RFI_REGISTER!$A$5:$A$304,0)),"")</f>
        <v>Layout reissued R3 on 08-Jun</v>
      </c>
      <c r="D55" s="30"/>
      <c r="E55" s="30"/>
      <c r="F55" s="30"/>
      <c r="G55" s="30"/>
      <c r="H55" s="30"/>
    </row>
    <row r="56" customFormat="false" ht="15" hidden="false" customHeight="false" outlineLevel="0" collapsed="false">
      <c r="A56" s="35"/>
      <c r="B56" s="35"/>
      <c r="C56" s="30"/>
      <c r="D56" s="30"/>
      <c r="E56" s="30"/>
      <c r="F56" s="30"/>
      <c r="G56" s="30"/>
      <c r="H56" s="30"/>
    </row>
    <row r="58" customFormat="false" ht="16.5" hidden="false" customHeight="true" outlineLevel="0" collapsed="false">
      <c r="A58" s="4" t="s">
        <v>164</v>
      </c>
      <c r="B58" s="5"/>
      <c r="C58" s="5"/>
      <c r="D58" s="5"/>
      <c r="E58" s="5"/>
      <c r="F58" s="5"/>
      <c r="G58" s="5"/>
      <c r="H58" s="5"/>
    </row>
    <row r="59" customFormat="false" ht="25.5" hidden="false" customHeight="true" outlineLevel="0" collapsed="false">
      <c r="A59" s="36" t="s">
        <v>165</v>
      </c>
      <c r="B59" s="36"/>
      <c r="C59" s="36" t="s">
        <v>166</v>
      </c>
      <c r="D59" s="36"/>
      <c r="E59" s="36" t="s">
        <v>167</v>
      </c>
      <c r="F59" s="36"/>
      <c r="G59" s="36" t="s">
        <v>168</v>
      </c>
      <c r="H59" s="36"/>
    </row>
    <row r="60" customFormat="false" ht="15.75" hidden="false" customHeight="true" outlineLevel="0" collapsed="false">
      <c r="A60" s="37" t="s">
        <v>169</v>
      </c>
      <c r="B60" s="37"/>
      <c r="C60" s="37" t="s">
        <v>169</v>
      </c>
      <c r="D60" s="37"/>
      <c r="E60" s="37" t="s">
        <v>169</v>
      </c>
      <c r="F60" s="37"/>
      <c r="G60" s="37" t="s">
        <v>169</v>
      </c>
      <c r="H60" s="37"/>
    </row>
    <row r="61" customFormat="false" ht="15.75" hidden="false" customHeight="true" outlineLevel="0" collapsed="false">
      <c r="A61" s="37"/>
      <c r="B61" s="37"/>
      <c r="C61" s="37"/>
      <c r="D61" s="37"/>
      <c r="E61" s="37"/>
      <c r="F61" s="37"/>
      <c r="G61" s="37"/>
      <c r="H61" s="37"/>
    </row>
    <row r="62" customFormat="false" ht="15.75" hidden="false" customHeight="true" outlineLevel="0" collapsed="false">
      <c r="A62" s="37"/>
      <c r="B62" s="37"/>
      <c r="C62" s="37"/>
      <c r="D62" s="37"/>
      <c r="E62" s="37"/>
      <c r="F62" s="37"/>
      <c r="G62" s="37"/>
      <c r="H62" s="37"/>
    </row>
    <row r="64" customFormat="false" ht="22.35" hidden="false" customHeight="true" outlineLevel="0" collapsed="false">
      <c r="A64" s="38" t="s">
        <v>170</v>
      </c>
      <c r="B64" s="38"/>
      <c r="C64" s="38"/>
      <c r="D64" s="38"/>
      <c r="E64" s="38"/>
      <c r="F64" s="38"/>
      <c r="G64" s="38"/>
      <c r="H64" s="38"/>
    </row>
  </sheetData>
  <mergeCells count="87">
    <mergeCell ref="A1:H1"/>
    <mergeCell ref="A2:H2"/>
    <mergeCell ref="A3:E3"/>
    <mergeCell ref="F3:H3"/>
    <mergeCell ref="A5:B5"/>
    <mergeCell ref="C5:D5"/>
    <mergeCell ref="E5:H5"/>
    <mergeCell ref="A8:B8"/>
    <mergeCell ref="C8:H8"/>
    <mergeCell ref="A9:B9"/>
    <mergeCell ref="C9:D9"/>
    <mergeCell ref="E9:F9"/>
    <mergeCell ref="G9:H9"/>
    <mergeCell ref="A10:B10"/>
    <mergeCell ref="C10:D10"/>
    <mergeCell ref="E10:F10"/>
    <mergeCell ref="G10:H10"/>
    <mergeCell ref="A13:B13"/>
    <mergeCell ref="C13:D13"/>
    <mergeCell ref="E13:F13"/>
    <mergeCell ref="G13:H13"/>
    <mergeCell ref="A14:B14"/>
    <mergeCell ref="C14:D14"/>
    <mergeCell ref="E14:F14"/>
    <mergeCell ref="G14:H14"/>
    <mergeCell ref="A15:B15"/>
    <mergeCell ref="C15:D15"/>
    <mergeCell ref="E15:F15"/>
    <mergeCell ref="G15:H15"/>
    <mergeCell ref="A16:B16"/>
    <mergeCell ref="C16:D16"/>
    <mergeCell ref="E16:F16"/>
    <mergeCell ref="G16:H16"/>
    <mergeCell ref="A17:B17"/>
    <mergeCell ref="C17:D17"/>
    <mergeCell ref="E17:F17"/>
    <mergeCell ref="G17:H17"/>
    <mergeCell ref="A18:B18"/>
    <mergeCell ref="C18:H18"/>
    <mergeCell ref="A19:B19"/>
    <mergeCell ref="C19:H19"/>
    <mergeCell ref="A20:B20"/>
    <mergeCell ref="C20:D20"/>
    <mergeCell ref="E20:F20"/>
    <mergeCell ref="G20:H20"/>
    <mergeCell ref="A21:B21"/>
    <mergeCell ref="C21:H21"/>
    <mergeCell ref="A24:H28"/>
    <mergeCell ref="A31:H34"/>
    <mergeCell ref="A37:B37"/>
    <mergeCell ref="C37:D37"/>
    <mergeCell ref="E37:F37"/>
    <mergeCell ref="G37:H37"/>
    <mergeCell ref="A38:B38"/>
    <mergeCell ref="C38:D38"/>
    <mergeCell ref="E38:F38"/>
    <mergeCell ref="G38:H38"/>
    <mergeCell ref="A39:H39"/>
    <mergeCell ref="A42:H47"/>
    <mergeCell ref="A49:B49"/>
    <mergeCell ref="C49:D49"/>
    <mergeCell ref="E49:F49"/>
    <mergeCell ref="G49:H49"/>
    <mergeCell ref="A52:B52"/>
    <mergeCell ref="C52:D52"/>
    <mergeCell ref="E52:F52"/>
    <mergeCell ref="G52:H52"/>
    <mergeCell ref="A53:B53"/>
    <mergeCell ref="C53:D53"/>
    <mergeCell ref="E53:F53"/>
    <mergeCell ref="G53:H53"/>
    <mergeCell ref="A54:B54"/>
    <mergeCell ref="C54:D54"/>
    <mergeCell ref="E54:F54"/>
    <mergeCell ref="G54:H54"/>
    <mergeCell ref="A55:B55"/>
    <mergeCell ref="C55:H56"/>
    <mergeCell ref="A56:B56"/>
    <mergeCell ref="A59:B59"/>
    <mergeCell ref="C59:D59"/>
    <mergeCell ref="E59:F59"/>
    <mergeCell ref="G59:H59"/>
    <mergeCell ref="A60:B62"/>
    <mergeCell ref="C60:D62"/>
    <mergeCell ref="E60:F62"/>
    <mergeCell ref="G60:H62"/>
    <mergeCell ref="A64:H64"/>
  </mergeCells>
  <dataValidations count="1">
    <dataValidation allowBlank="true" errorStyle="stop" operator="between" showDropDown="false" showErrorMessage="false" showInputMessage="false" sqref="C5" type="list">
      <formula1>04_RFI_REGISTER!$A$5:$A$304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52"/>
    <col collapsed="false" customWidth="true" hidden="false" outlineLevel="0" max="12" min="12" style="0" width="42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7"/>
    <col collapsed="false" customWidth="true" hidden="false" outlineLevel="0" max="17" min="17" style="0" width="13"/>
    <col collapsed="false" customWidth="true" hidden="false" outlineLevel="0" max="18" min="18" style="0" width="16"/>
    <col collapsed="false" customWidth="true" hidden="false" outlineLevel="0" max="19" min="19" style="0" width="12"/>
    <col collapsed="false" customWidth="true" hidden="false" outlineLevel="0" max="20" min="20" style="0" width="52"/>
    <col collapsed="false" customWidth="true" hidden="false" outlineLevel="0" max="21" min="21" style="0" width="14"/>
    <col collapsed="false" customWidth="true" hidden="false" outlineLevel="0" max="22" min="22" style="0" width="12"/>
    <col collapsed="false" customWidth="true" hidden="false" outlineLevel="0" max="23" min="23" style="0" width="11"/>
    <col collapsed="false" customWidth="true" hidden="false" outlineLevel="0" max="24" min="24" style="0" width="9"/>
    <col collapsed="false" customWidth="true" hidden="false" outlineLevel="0" max="25" min="25" style="0" width="17"/>
    <col collapsed="false" customWidth="true" hidden="false" outlineLevel="0" max="26" min="26" style="0" width="11"/>
    <col collapsed="false" customWidth="true" hidden="false" outlineLevel="0" max="27" min="27" style="0" width="9"/>
    <col collapsed="false" customWidth="true" hidden="false" outlineLevel="0" max="28" min="28" style="0" width="13"/>
    <col collapsed="false" customWidth="true" hidden="false" outlineLevel="0" max="30" min="29" style="0" width="9"/>
    <col collapsed="false" customWidth="true" hidden="false" outlineLevel="0" max="31" min="31" style="0" width="13"/>
    <col collapsed="false" customWidth="true" hidden="false" outlineLevel="0" max="32" min="32" style="0" width="20"/>
    <col collapsed="false" customWidth="true" hidden="false" outlineLevel="0" max="33" min="33" style="0" width="30"/>
  </cols>
  <sheetData>
    <row r="1" customFormat="false" ht="24" hidden="false" customHeight="true" outlineLevel="0" collapsed="false">
      <c r="A1" s="1" t="s">
        <v>171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5" hidden="false" customHeight="false" outlineLevel="0" collapsed="false">
      <c r="A2" s="3" t="s">
        <v>172</v>
      </c>
    </row>
    <row r="4" customFormat="false" ht="36" hidden="false" customHeight="true" outlineLevel="0" collapsed="false">
      <c r="A4" s="39" t="s">
        <v>173</v>
      </c>
      <c r="B4" s="39" t="s">
        <v>174</v>
      </c>
      <c r="C4" s="39" t="s">
        <v>175</v>
      </c>
      <c r="D4" s="39" t="s">
        <v>75</v>
      </c>
      <c r="E4" s="39" t="s">
        <v>76</v>
      </c>
      <c r="F4" s="39" t="s">
        <v>176</v>
      </c>
      <c r="G4" s="39" t="s">
        <v>177</v>
      </c>
      <c r="H4" s="39" t="s">
        <v>178</v>
      </c>
      <c r="I4" s="39" t="s">
        <v>179</v>
      </c>
      <c r="J4" s="39" t="s">
        <v>180</v>
      </c>
      <c r="K4" s="39" t="s">
        <v>181</v>
      </c>
      <c r="L4" s="39" t="s">
        <v>182</v>
      </c>
      <c r="M4" s="39" t="s">
        <v>183</v>
      </c>
      <c r="N4" s="39" t="s">
        <v>184</v>
      </c>
      <c r="O4" s="39" t="s">
        <v>63</v>
      </c>
      <c r="P4" s="39" t="s">
        <v>185</v>
      </c>
      <c r="Q4" s="39" t="s">
        <v>186</v>
      </c>
      <c r="R4" s="39" t="s">
        <v>187</v>
      </c>
      <c r="S4" s="39" t="s">
        <v>188</v>
      </c>
      <c r="T4" s="39" t="s">
        <v>189</v>
      </c>
      <c r="U4" s="39" t="s">
        <v>190</v>
      </c>
      <c r="V4" s="39" t="s">
        <v>78</v>
      </c>
      <c r="W4" s="39" t="s">
        <v>191</v>
      </c>
      <c r="X4" s="39" t="s">
        <v>192</v>
      </c>
      <c r="Y4" s="39" t="s">
        <v>193</v>
      </c>
      <c r="Z4" s="39" t="s">
        <v>194</v>
      </c>
      <c r="AA4" s="39" t="s">
        <v>195</v>
      </c>
      <c r="AB4" s="39" t="s">
        <v>196</v>
      </c>
      <c r="AC4" s="39" t="s">
        <v>197</v>
      </c>
      <c r="AD4" s="39" t="s">
        <v>198</v>
      </c>
      <c r="AE4" s="39" t="s">
        <v>199</v>
      </c>
      <c r="AF4" s="39" t="s">
        <v>200</v>
      </c>
      <c r="AG4" s="39" t="s">
        <v>201</v>
      </c>
    </row>
    <row r="5" customFormat="false" ht="42" hidden="false" customHeight="true" outlineLevel="0" collapsed="false">
      <c r="A5" s="40" t="s">
        <v>122</v>
      </c>
      <c r="B5" s="41" t="n">
        <v>0</v>
      </c>
      <c r="C5" s="41" t="s">
        <v>202</v>
      </c>
      <c r="D5" s="41" t="s">
        <v>83</v>
      </c>
      <c r="E5" s="41" t="s">
        <v>80</v>
      </c>
      <c r="F5" s="42" t="s">
        <v>203</v>
      </c>
      <c r="G5" s="41" t="s">
        <v>204</v>
      </c>
      <c r="H5" s="41" t="s">
        <v>205</v>
      </c>
      <c r="I5" s="41" t="s">
        <v>206</v>
      </c>
      <c r="J5" s="41" t="s">
        <v>207</v>
      </c>
      <c r="K5" s="42" t="s">
        <v>208</v>
      </c>
      <c r="L5" s="42" t="s">
        <v>209</v>
      </c>
      <c r="M5" s="41" t="s">
        <v>210</v>
      </c>
      <c r="N5" s="43" t="n">
        <v>46175</v>
      </c>
      <c r="O5" s="41" t="s">
        <v>66</v>
      </c>
      <c r="P5" s="44" t="n">
        <f aca="false">IF($A5="","",IFERROR(INDEX(01_CONTROL!$B$15:$B$18,MATCH($O5,01_CONTROL!$A$15:$A$18,0)),14))</f>
        <v>3</v>
      </c>
      <c r="Q5" s="45" t="n">
        <f aca="false">IF($A5="","",IF($N5="","",$N5+$P5))</f>
        <v>46178</v>
      </c>
      <c r="R5" s="41" t="s">
        <v>85</v>
      </c>
      <c r="S5" s="43" t="n">
        <v>46177</v>
      </c>
      <c r="T5" s="42" t="s">
        <v>211</v>
      </c>
      <c r="U5" s="41" t="s">
        <v>212</v>
      </c>
      <c r="V5" s="41" t="s">
        <v>94</v>
      </c>
      <c r="W5" s="43" t="n">
        <v>46178</v>
      </c>
      <c r="X5" s="44" t="n">
        <f aca="true">IF($A5="","",IF($N5="","",IF($S5="",TODAY()-$N5,$S5-$N5)))</f>
        <v>2</v>
      </c>
      <c r="Y5" s="46" t="str">
        <f aca="true">IF($A5="","",IF(OR($V5="Closed",$V5="Void / withdrawn"),IF($S5="","Closed without response",IF($S5&gt;$Q5,"Answered late","Answered on time")),IF($S5&lt;&gt;"",IF($S5&gt;$Q5,"Answered late","Answered on time"),IF(TODAY()&gt;$Q5,"OVERDUE "&amp;TEXT(TODAY()-$Q5,"0")&amp;" d",TEXT($Q5-TODAY(),"0")&amp;" d left"))))</f>
        <v>Answered on time</v>
      </c>
      <c r="Z5" s="44" t="str">
        <f aca="false">IF($A5="","",IF($S5&lt;&gt;"","",IF($X5&lt;=7,"0-7 d",IF($X5&lt;=14,"8-14 d",IF($X5&lt;=30,"15-30 d","over 30 d")))))</f>
        <v/>
      </c>
      <c r="AA5" s="41" t="s">
        <v>213</v>
      </c>
      <c r="AB5" s="47" t="n">
        <v>0</v>
      </c>
      <c r="AC5" s="41" t="s">
        <v>213</v>
      </c>
      <c r="AD5" s="41" t="n">
        <v>0</v>
      </c>
      <c r="AE5" s="41"/>
      <c r="AF5" s="41" t="s">
        <v>214</v>
      </c>
      <c r="AG5" s="42" t="s">
        <v>215</v>
      </c>
    </row>
    <row r="6" customFormat="false" ht="42" hidden="false" customHeight="true" outlineLevel="0" collapsed="false">
      <c r="A6" s="40" t="s">
        <v>216</v>
      </c>
      <c r="B6" s="41" t="n">
        <v>0</v>
      </c>
      <c r="C6" s="41" t="s">
        <v>202</v>
      </c>
      <c r="D6" s="41" t="s">
        <v>83</v>
      </c>
      <c r="E6" s="41" t="s">
        <v>84</v>
      </c>
      <c r="F6" s="42" t="s">
        <v>217</v>
      </c>
      <c r="G6" s="41" t="s">
        <v>218</v>
      </c>
      <c r="H6" s="41" t="s">
        <v>219</v>
      </c>
      <c r="I6" s="41" t="s">
        <v>220</v>
      </c>
      <c r="J6" s="41" t="s">
        <v>110</v>
      </c>
      <c r="K6" s="42" t="s">
        <v>221</v>
      </c>
      <c r="L6" s="42" t="s">
        <v>222</v>
      </c>
      <c r="M6" s="41" t="s">
        <v>223</v>
      </c>
      <c r="N6" s="43" t="n">
        <v>46188</v>
      </c>
      <c r="O6" s="41" t="s">
        <v>66</v>
      </c>
      <c r="P6" s="44" t="n">
        <f aca="false">IF($A6="","",IFERROR(INDEX(01_CONTROL!$B$15:$B$18,MATCH($O6,01_CONTROL!$A$15:$A$18,0)),14))</f>
        <v>3</v>
      </c>
      <c r="Q6" s="45" t="n">
        <f aca="false">IF($A6="","",IF($N6="","",$N6+$P6))</f>
        <v>46191</v>
      </c>
      <c r="R6" s="41" t="s">
        <v>93</v>
      </c>
      <c r="S6" s="43" t="n">
        <v>46192</v>
      </c>
      <c r="T6" s="42" t="s">
        <v>224</v>
      </c>
      <c r="U6" s="41" t="s">
        <v>225</v>
      </c>
      <c r="V6" s="41" t="s">
        <v>94</v>
      </c>
      <c r="W6" s="43" t="n">
        <v>46195</v>
      </c>
      <c r="X6" s="44" t="n">
        <f aca="true">IF($A6="","",IF($N6="","",IF($S6="",TODAY()-$N6,$S6-$N6)))</f>
        <v>4</v>
      </c>
      <c r="Y6" s="46" t="str">
        <f aca="true">IF($A6="","",IF(OR($V6="Closed",$V6="Void / withdrawn"),IF($S6="","Closed without response",IF($S6&gt;$Q6,"Answered late","Answered on time")),IF($S6&lt;&gt;"",IF($S6&gt;$Q6,"Answered late","Answered on time"),IF(TODAY()&gt;$Q6,"OVERDUE "&amp;TEXT(TODAY()-$Q6,"0")&amp;" d",TEXT($Q6-TODAY(),"0")&amp;" d left"))))</f>
        <v>Answered late</v>
      </c>
      <c r="Z6" s="44" t="str">
        <f aca="false">IF($A6="","",IF($S6&lt;&gt;"","",IF($X6&lt;=7,"0-7 d",IF($X6&lt;=14,"8-14 d",IF($X6&lt;=30,"15-30 d","over 30 d")))))</f>
        <v/>
      </c>
      <c r="AA6" s="41" t="s">
        <v>213</v>
      </c>
      <c r="AB6" s="47" t="n">
        <v>0</v>
      </c>
      <c r="AC6" s="41" t="s">
        <v>226</v>
      </c>
      <c r="AD6" s="41" t="n">
        <v>2</v>
      </c>
      <c r="AE6" s="41"/>
      <c r="AF6" s="41" t="s">
        <v>227</v>
      </c>
      <c r="AG6" s="42" t="s">
        <v>228</v>
      </c>
    </row>
    <row r="7" customFormat="false" ht="42" hidden="false" customHeight="true" outlineLevel="0" collapsed="false">
      <c r="A7" s="40" t="s">
        <v>229</v>
      </c>
      <c r="B7" s="41" t="n">
        <v>0</v>
      </c>
      <c r="C7" s="41" t="s">
        <v>202</v>
      </c>
      <c r="D7" s="41" t="s">
        <v>87</v>
      </c>
      <c r="E7" s="41" t="s">
        <v>88</v>
      </c>
      <c r="F7" s="42" t="s">
        <v>230</v>
      </c>
      <c r="G7" s="41" t="s">
        <v>231</v>
      </c>
      <c r="H7" s="41" t="s">
        <v>232</v>
      </c>
      <c r="I7" s="41" t="s">
        <v>58</v>
      </c>
      <c r="J7" s="41" t="s">
        <v>233</v>
      </c>
      <c r="K7" s="42" t="s">
        <v>234</v>
      </c>
      <c r="L7" s="42" t="s">
        <v>235</v>
      </c>
      <c r="M7" s="41" t="s">
        <v>210</v>
      </c>
      <c r="N7" s="43" t="n">
        <v>46209</v>
      </c>
      <c r="O7" s="41" t="s">
        <v>68</v>
      </c>
      <c r="P7" s="44" t="n">
        <f aca="false">IF($A7="","",IFERROR(INDEX(01_CONTROL!$B$15:$B$18,MATCH($O7,01_CONTROL!$A$15:$A$18,0)),14))</f>
        <v>7</v>
      </c>
      <c r="Q7" s="45" t="n">
        <f aca="false">IF($A7="","",IF($N7="","",$N7+$P7))</f>
        <v>46216</v>
      </c>
      <c r="R7" s="41" t="s">
        <v>85</v>
      </c>
      <c r="S7" s="43"/>
      <c r="T7" s="42"/>
      <c r="U7" s="41"/>
      <c r="V7" s="41" t="s">
        <v>86</v>
      </c>
      <c r="W7" s="43"/>
      <c r="X7" s="44" t="n">
        <f aca="true">IF($A7="","",IF($N7="","",IF($S7="",TODAY()-$N7,$S7-$N7)))</f>
        <v>44</v>
      </c>
      <c r="Y7" s="46" t="str">
        <f aca="true">IF($A7="","",IF(OR($V7="Closed",$V7="Void / withdrawn"),IF($S7="","Closed without response",IF($S7&gt;$Q7,"Answered late","Answered on time")),IF($S7&lt;&gt;"",IF($S7&gt;$Q7,"Answered late","Answered on time"),IF(TODAY()&gt;$Q7,"OVERDUE "&amp;TEXT(TODAY()-$Q7,"0")&amp;" d",TEXT($Q7-TODAY(),"0")&amp;" d left"))))</f>
        <v>OVERDUE 37 d</v>
      </c>
      <c r="Z7" s="44" t="str">
        <f aca="false">IF($A7="","",IF($S7&lt;&gt;"","",IF($X7&lt;=7,"0-7 d",IF($X7&lt;=14,"8-14 d",IF($X7&lt;=30,"15-30 d","over 30 d")))))</f>
        <v>over 30 d</v>
      </c>
      <c r="AA7" s="41" t="s">
        <v>213</v>
      </c>
      <c r="AB7" s="47" t="n">
        <v>0</v>
      </c>
      <c r="AC7" s="41" t="s">
        <v>213</v>
      </c>
      <c r="AD7" s="41" t="n">
        <v>0</v>
      </c>
      <c r="AE7" s="41"/>
      <c r="AF7" s="41" t="s">
        <v>236</v>
      </c>
      <c r="AG7" s="42" t="s">
        <v>237</v>
      </c>
    </row>
    <row r="8" customFormat="false" ht="42" hidden="false" customHeight="true" outlineLevel="0" collapsed="false">
      <c r="A8" s="40" t="s">
        <v>238</v>
      </c>
      <c r="B8" s="41" t="n">
        <v>0</v>
      </c>
      <c r="C8" s="41" t="s">
        <v>202</v>
      </c>
      <c r="D8" s="41" t="s">
        <v>79</v>
      </c>
      <c r="E8" s="41" t="s">
        <v>92</v>
      </c>
      <c r="F8" s="42" t="s">
        <v>239</v>
      </c>
      <c r="G8" s="41" t="s">
        <v>240</v>
      </c>
      <c r="H8" s="41" t="s">
        <v>241</v>
      </c>
      <c r="I8" s="41" t="s">
        <v>220</v>
      </c>
      <c r="J8" s="41" t="s">
        <v>242</v>
      </c>
      <c r="K8" s="42" t="s">
        <v>243</v>
      </c>
      <c r="L8" s="42" t="s">
        <v>244</v>
      </c>
      <c r="M8" s="41" t="s">
        <v>210</v>
      </c>
      <c r="N8" s="43" t="n">
        <v>46215</v>
      </c>
      <c r="O8" s="41" t="s">
        <v>70</v>
      </c>
      <c r="P8" s="44" t="n">
        <f aca="false">IF($A8="","",IFERROR(INDEX(01_CONTROL!$B$15:$B$18,MATCH($O8,01_CONTROL!$A$15:$A$18,0)),14))</f>
        <v>14</v>
      </c>
      <c r="Q8" s="45" t="n">
        <f aca="false">IF($A8="","",IF($N8="","",$N8+$P8))</f>
        <v>46229</v>
      </c>
      <c r="R8" s="41" t="s">
        <v>81</v>
      </c>
      <c r="S8" s="43" t="n">
        <v>46223</v>
      </c>
      <c r="T8" s="42" t="s">
        <v>245</v>
      </c>
      <c r="U8" s="41" t="s">
        <v>246</v>
      </c>
      <c r="V8" s="41" t="s">
        <v>94</v>
      </c>
      <c r="W8" s="43" t="n">
        <v>46225</v>
      </c>
      <c r="X8" s="44" t="n">
        <f aca="true">IF($A8="","",IF($N8="","",IF($S8="",TODAY()-$N8,$S8-$N8)))</f>
        <v>8</v>
      </c>
      <c r="Y8" s="46" t="str">
        <f aca="true">IF($A8="","",IF(OR($V8="Closed",$V8="Void / withdrawn"),IF($S8="","Closed without response",IF($S8&gt;$Q8,"Answered late","Answered on time")),IF($S8&lt;&gt;"",IF($S8&gt;$Q8,"Answered late","Answered on time"),IF(TODAY()&gt;$Q8,"OVERDUE "&amp;TEXT(TODAY()-$Q8,"0")&amp;" d",TEXT($Q8-TODAY(),"0")&amp;" d left"))))</f>
        <v>Answered on time</v>
      </c>
      <c r="Z8" s="44" t="str">
        <f aca="false">IF($A8="","",IF($S8&lt;&gt;"","",IF($X8&lt;=7,"0-7 d",IF($X8&lt;=14,"8-14 d",IF($X8&lt;=30,"15-30 d","over 30 d")))))</f>
        <v/>
      </c>
      <c r="AA8" s="41" t="s">
        <v>213</v>
      </c>
      <c r="AB8" s="47" t="n">
        <v>0</v>
      </c>
      <c r="AC8" s="41" t="s">
        <v>213</v>
      </c>
      <c r="AD8" s="41" t="n">
        <v>0</v>
      </c>
      <c r="AE8" s="41"/>
      <c r="AF8" s="41"/>
      <c r="AG8" s="42"/>
    </row>
    <row r="9" customFormat="false" ht="42" hidden="false" customHeight="true" outlineLevel="0" collapsed="false">
      <c r="A9" s="40" t="s">
        <v>247</v>
      </c>
      <c r="B9" s="41" t="n">
        <v>0</v>
      </c>
      <c r="C9" s="41" t="s">
        <v>248</v>
      </c>
      <c r="D9" s="41" t="s">
        <v>91</v>
      </c>
      <c r="E9" s="41" t="s">
        <v>106</v>
      </c>
      <c r="F9" s="42" t="s">
        <v>249</v>
      </c>
      <c r="G9" s="41" t="s">
        <v>250</v>
      </c>
      <c r="H9" s="41" t="s">
        <v>251</v>
      </c>
      <c r="I9" s="41" t="s">
        <v>220</v>
      </c>
      <c r="J9" s="41" t="s">
        <v>110</v>
      </c>
      <c r="K9" s="42" t="s">
        <v>252</v>
      </c>
      <c r="L9" s="42" t="s">
        <v>253</v>
      </c>
      <c r="M9" s="41" t="s">
        <v>223</v>
      </c>
      <c r="N9" s="43" t="n">
        <v>46221</v>
      </c>
      <c r="O9" s="41" t="s">
        <v>68</v>
      </c>
      <c r="P9" s="44" t="n">
        <f aca="false">IF($A9="","",IFERROR(INDEX(01_CONTROL!$B$15:$B$18,MATCH($O9,01_CONTROL!$A$15:$A$18,0)),14))</f>
        <v>7</v>
      </c>
      <c r="Q9" s="45" t="n">
        <f aca="false">IF($A9="","",IF($N9="","",$N9+$P9))</f>
        <v>46228</v>
      </c>
      <c r="R9" s="41" t="s">
        <v>93</v>
      </c>
      <c r="S9" s="43" t="n">
        <v>46230</v>
      </c>
      <c r="T9" s="42" t="s">
        <v>254</v>
      </c>
      <c r="U9" s="41" t="s">
        <v>225</v>
      </c>
      <c r="V9" s="41" t="s">
        <v>90</v>
      </c>
      <c r="W9" s="43"/>
      <c r="X9" s="44" t="n">
        <f aca="true">IF($A9="","",IF($N9="","",IF($S9="",TODAY()-$N9,$S9-$N9)))</f>
        <v>9</v>
      </c>
      <c r="Y9" s="46" t="str">
        <f aca="true">IF($A9="","",IF(OR($V9="Closed",$V9="Void / withdrawn"),IF($S9="","Closed without response",IF($S9&gt;$Q9,"Answered late","Answered on time")),IF($S9&lt;&gt;"",IF($S9&gt;$Q9,"Answered late","Answered on time"),IF(TODAY()&gt;$Q9,"OVERDUE "&amp;TEXT(TODAY()-$Q9,"0")&amp;" d",TEXT($Q9-TODAY(),"0")&amp;" d left"))))</f>
        <v>Answered late</v>
      </c>
      <c r="Z9" s="44" t="str">
        <f aca="false">IF($A9="","",IF($S9&lt;&gt;"","",IF($X9&lt;=7,"0-7 d",IF($X9&lt;=14,"8-14 d",IF($X9&lt;=30,"15-30 d","over 30 d")))))</f>
        <v/>
      </c>
      <c r="AA9" s="41" t="s">
        <v>213</v>
      </c>
      <c r="AB9" s="47" t="n">
        <v>0</v>
      </c>
      <c r="AC9" s="41" t="s">
        <v>213</v>
      </c>
      <c r="AD9" s="41" t="n">
        <v>0</v>
      </c>
      <c r="AE9" s="41"/>
      <c r="AF9" s="41" t="s">
        <v>255</v>
      </c>
      <c r="AG9" s="42" t="s">
        <v>256</v>
      </c>
    </row>
    <row r="10" customFormat="false" ht="42" hidden="false" customHeight="true" outlineLevel="0" collapsed="false">
      <c r="A10" s="40" t="s">
        <v>257</v>
      </c>
      <c r="B10" s="41" t="n">
        <v>0</v>
      </c>
      <c r="C10" s="41" t="s">
        <v>202</v>
      </c>
      <c r="D10" s="41" t="s">
        <v>87</v>
      </c>
      <c r="E10" s="41" t="s">
        <v>96</v>
      </c>
      <c r="F10" s="42" t="s">
        <v>258</v>
      </c>
      <c r="G10" s="41" t="s">
        <v>259</v>
      </c>
      <c r="H10" s="41" t="s">
        <v>260</v>
      </c>
      <c r="I10" s="41" t="s">
        <v>58</v>
      </c>
      <c r="J10" s="41" t="s">
        <v>110</v>
      </c>
      <c r="K10" s="42" t="s">
        <v>261</v>
      </c>
      <c r="L10" s="42" t="s">
        <v>262</v>
      </c>
      <c r="M10" s="41" t="s">
        <v>223</v>
      </c>
      <c r="N10" s="43" t="n">
        <v>46238</v>
      </c>
      <c r="O10" s="41" t="s">
        <v>68</v>
      </c>
      <c r="P10" s="44" t="n">
        <f aca="false">IF($A10="","",IFERROR(INDEX(01_CONTROL!$B$15:$B$18,MATCH($O10,01_CONTROL!$A$15:$A$18,0)),14))</f>
        <v>7</v>
      </c>
      <c r="Q10" s="45" t="n">
        <f aca="false">IF($A10="","",IF($N10="","",$N10+$P10))</f>
        <v>46245</v>
      </c>
      <c r="R10" s="41" t="s">
        <v>97</v>
      </c>
      <c r="S10" s="43"/>
      <c r="T10" s="42"/>
      <c r="U10" s="41"/>
      <c r="V10" s="41" t="s">
        <v>82</v>
      </c>
      <c r="W10" s="43"/>
      <c r="X10" s="44" t="n">
        <f aca="true">IF($A10="","",IF($N10="","",IF($S10="",TODAY()-$N10,$S10-$N10)))</f>
        <v>15</v>
      </c>
      <c r="Y10" s="46" t="str">
        <f aca="true">IF($A10="","",IF(OR($V10="Closed",$V10="Void / withdrawn"),IF($S10="","Closed without response",IF($S10&gt;$Q10,"Answered late","Answered on time")),IF($S10&lt;&gt;"",IF($S10&gt;$Q10,"Answered late","Answered on time"),IF(TODAY()&gt;$Q10,"OVERDUE "&amp;TEXT(TODAY()-$Q10,"0")&amp;" d",TEXT($Q10-TODAY(),"0")&amp;" d left"))))</f>
        <v>OVERDUE 8 d</v>
      </c>
      <c r="Z10" s="44" t="str">
        <f aca="false">IF($A10="","",IF($S10&lt;&gt;"","",IF($X10&lt;=7,"0-7 d",IF($X10&lt;=14,"8-14 d",IF($X10&lt;=30,"15-30 d","over 30 d")))))</f>
        <v>15-30 d</v>
      </c>
      <c r="AA10" s="41" t="s">
        <v>226</v>
      </c>
      <c r="AB10" s="47" t="n">
        <v>185000</v>
      </c>
      <c r="AC10" s="41" t="s">
        <v>226</v>
      </c>
      <c r="AD10" s="41" t="n">
        <v>5</v>
      </c>
      <c r="AE10" s="41" t="s">
        <v>263</v>
      </c>
      <c r="AF10" s="41" t="s">
        <v>264</v>
      </c>
      <c r="AG10" s="42" t="s">
        <v>265</v>
      </c>
    </row>
    <row r="11" customFormat="false" ht="42" hidden="false" customHeight="true" outlineLevel="0" collapsed="false">
      <c r="A11" s="40" t="s">
        <v>266</v>
      </c>
      <c r="B11" s="41" t="n">
        <v>0</v>
      </c>
      <c r="C11" s="41" t="s">
        <v>202</v>
      </c>
      <c r="D11" s="41" t="s">
        <v>79</v>
      </c>
      <c r="E11" s="41" t="s">
        <v>100</v>
      </c>
      <c r="F11" s="42" t="s">
        <v>267</v>
      </c>
      <c r="G11" s="41" t="s">
        <v>268</v>
      </c>
      <c r="H11" s="41" t="s">
        <v>269</v>
      </c>
      <c r="I11" s="41" t="s">
        <v>58</v>
      </c>
      <c r="J11" s="41" t="s">
        <v>270</v>
      </c>
      <c r="K11" s="42" t="s">
        <v>271</v>
      </c>
      <c r="L11" s="42" t="s">
        <v>272</v>
      </c>
      <c r="M11" s="41" t="s">
        <v>210</v>
      </c>
      <c r="N11" s="43" t="n">
        <v>46244</v>
      </c>
      <c r="O11" s="41" t="s">
        <v>70</v>
      </c>
      <c r="P11" s="44" t="n">
        <f aca="false">IF($A11="","",IFERROR(INDEX(01_CONTROL!$B$15:$B$18,MATCH($O11,01_CONTROL!$A$15:$A$18,0)),14))</f>
        <v>14</v>
      </c>
      <c r="Q11" s="45" t="n">
        <f aca="false">IF($A11="","",IF($N11="","",$N11+$P11))</f>
        <v>46258</v>
      </c>
      <c r="R11" s="41" t="s">
        <v>81</v>
      </c>
      <c r="S11" s="43"/>
      <c r="T11" s="42"/>
      <c r="U11" s="41"/>
      <c r="V11" s="41" t="s">
        <v>82</v>
      </c>
      <c r="W11" s="43"/>
      <c r="X11" s="44" t="n">
        <f aca="true">IF($A11="","",IF($N11="","",IF($S11="",TODAY()-$N11,$S11-$N11)))</f>
        <v>9</v>
      </c>
      <c r="Y11" s="46" t="str">
        <f aca="true">IF($A11="","",IF(OR($V11="Closed",$V11="Void / withdrawn"),IF($S11="","Closed without response",IF($S11&gt;$Q11,"Answered late","Answered on time")),IF($S11&lt;&gt;"",IF($S11&gt;$Q11,"Answered late","Answered on time"),IF(TODAY()&gt;$Q11,"OVERDUE "&amp;TEXT(TODAY()-$Q11,"0")&amp;" d",TEXT($Q11-TODAY(),"0")&amp;" d left"))))</f>
        <v>5 d left</v>
      </c>
      <c r="Z11" s="44" t="str">
        <f aca="false">IF($A11="","",IF($S11&lt;&gt;"","",IF($X11&lt;=7,"0-7 d",IF($X11&lt;=14,"8-14 d",IF($X11&lt;=30,"15-30 d","over 30 d")))))</f>
        <v>8-14 d</v>
      </c>
      <c r="AA11" s="41" t="s">
        <v>213</v>
      </c>
      <c r="AB11" s="47" t="n">
        <v>0</v>
      </c>
      <c r="AC11" s="41" t="s">
        <v>226</v>
      </c>
      <c r="AD11" s="41" t="n">
        <v>0</v>
      </c>
      <c r="AE11" s="41"/>
      <c r="AF11" s="41" t="s">
        <v>273</v>
      </c>
      <c r="AG11" s="42" t="s">
        <v>274</v>
      </c>
    </row>
    <row r="12" customFormat="false" ht="42" hidden="false" customHeight="true" outlineLevel="0" collapsed="false">
      <c r="A12" s="40" t="s">
        <v>275</v>
      </c>
      <c r="B12" s="41" t="n">
        <v>0</v>
      </c>
      <c r="C12" s="41" t="s">
        <v>202</v>
      </c>
      <c r="D12" s="41" t="s">
        <v>83</v>
      </c>
      <c r="E12" s="41" t="s">
        <v>88</v>
      </c>
      <c r="F12" s="42" t="s">
        <v>276</v>
      </c>
      <c r="G12" s="41" t="s">
        <v>277</v>
      </c>
      <c r="H12" s="41" t="s">
        <v>278</v>
      </c>
      <c r="I12" s="41" t="s">
        <v>220</v>
      </c>
      <c r="J12" s="41" t="s">
        <v>279</v>
      </c>
      <c r="K12" s="42" t="s">
        <v>280</v>
      </c>
      <c r="L12" s="42" t="s">
        <v>281</v>
      </c>
      <c r="M12" s="41" t="s">
        <v>210</v>
      </c>
      <c r="N12" s="43" t="n">
        <v>46248</v>
      </c>
      <c r="O12" s="41" t="s">
        <v>70</v>
      </c>
      <c r="P12" s="44" t="n">
        <f aca="false">IF($A12="","",IFERROR(INDEX(01_CONTROL!$B$15:$B$18,MATCH($O12,01_CONTROL!$A$15:$A$18,0)),14))</f>
        <v>14</v>
      </c>
      <c r="Q12" s="45" t="n">
        <f aca="false">IF($A12="","",IF($N12="","",$N12+$P12))</f>
        <v>46262</v>
      </c>
      <c r="R12" s="41" t="s">
        <v>85</v>
      </c>
      <c r="S12" s="43"/>
      <c r="T12" s="42"/>
      <c r="U12" s="41"/>
      <c r="V12" s="41" t="s">
        <v>82</v>
      </c>
      <c r="W12" s="43"/>
      <c r="X12" s="44" t="n">
        <f aca="true">IF($A12="","",IF($N12="","",IF($S12="",TODAY()-$N12,$S12-$N12)))</f>
        <v>5</v>
      </c>
      <c r="Y12" s="46" t="str">
        <f aca="true">IF($A12="","",IF(OR($V12="Closed",$V12="Void / withdrawn"),IF($S12="","Closed without response",IF($S12&gt;$Q12,"Answered late","Answered on time")),IF($S12&lt;&gt;"",IF($S12&gt;$Q12,"Answered late","Answered on time"),IF(TODAY()&gt;$Q12,"OVERDUE "&amp;TEXT(TODAY()-$Q12,"0")&amp;" d",TEXT($Q12-TODAY(),"0")&amp;" d left"))))</f>
        <v>9 d left</v>
      </c>
      <c r="Z12" s="44" t="str">
        <f aca="false">IF($A12="","",IF($S12&lt;&gt;"","",IF($X12&lt;=7,"0-7 d",IF($X12&lt;=14,"8-14 d",IF($X12&lt;=30,"15-30 d","over 30 d")))))</f>
        <v>0-7 d</v>
      </c>
      <c r="AA12" s="41" t="s">
        <v>213</v>
      </c>
      <c r="AB12" s="47" t="n">
        <v>0</v>
      </c>
      <c r="AC12" s="41" t="s">
        <v>213</v>
      </c>
      <c r="AD12" s="41" t="n">
        <v>0</v>
      </c>
      <c r="AE12" s="41"/>
      <c r="AF12" s="41"/>
      <c r="AG12" s="42" t="s">
        <v>282</v>
      </c>
    </row>
    <row r="13" customFormat="false" ht="15" hidden="false" customHeight="true" outlineLevel="0" collapsed="false">
      <c r="A13" s="48"/>
      <c r="B13" s="49"/>
      <c r="C13" s="49"/>
      <c r="D13" s="49"/>
      <c r="E13" s="49"/>
      <c r="F13" s="50"/>
      <c r="G13" s="49"/>
      <c r="H13" s="49"/>
      <c r="I13" s="49"/>
      <c r="J13" s="49"/>
      <c r="K13" s="50"/>
      <c r="L13" s="50"/>
      <c r="M13" s="49"/>
      <c r="N13" s="51"/>
      <c r="O13" s="49"/>
      <c r="P13" s="44" t="str">
        <f aca="false">IF($A13="","",IFERROR(INDEX(01_CONTROL!$B$15:$B$18,MATCH($O13,01_CONTROL!$A$15:$A$18,0)),14))</f>
        <v/>
      </c>
      <c r="Q13" s="45" t="str">
        <f aca="false">IF($A13="","",IF($N13="","",$N13+$P13))</f>
        <v/>
      </c>
      <c r="R13" s="49"/>
      <c r="S13" s="51"/>
      <c r="T13" s="50"/>
      <c r="U13" s="49"/>
      <c r="V13" s="49"/>
      <c r="W13" s="51"/>
      <c r="X13" s="44" t="str">
        <f aca="true">IF($A13="","",IF($N13="","",IF($S13="",TODAY()-$N13,$S13-$N13)))</f>
        <v/>
      </c>
      <c r="Y13" s="46" t="str">
        <f aca="true">IF($A13="","",IF(OR($V13="Closed",$V13="Void / withdrawn"),IF($S13="","Closed without response",IF($S13&gt;$Q13,"Answered late","Answered on time")),IF($S13&lt;&gt;"",IF($S13&gt;$Q13,"Answered late","Answered on time"),IF(TODAY()&gt;$Q13,"OVERDUE "&amp;TEXT(TODAY()-$Q13,"0")&amp;" d",TEXT($Q13-TODAY(),"0")&amp;" d left"))))</f>
        <v/>
      </c>
      <c r="Z13" s="44" t="str">
        <f aca="false">IF($A13="","",IF($S13&lt;&gt;"","",IF($X13&lt;=7,"0-7 d",IF($X13&lt;=14,"8-14 d",IF($X13&lt;=30,"15-30 d","over 30 d")))))</f>
        <v/>
      </c>
      <c r="AA13" s="49"/>
      <c r="AB13" s="52"/>
      <c r="AC13" s="49"/>
      <c r="AD13" s="49"/>
      <c r="AE13" s="49"/>
      <c r="AF13" s="49"/>
      <c r="AG13" s="50"/>
    </row>
    <row r="14" customFormat="false" ht="15" hidden="false" customHeight="true" outlineLevel="0" collapsed="false">
      <c r="A14" s="48"/>
      <c r="B14" s="49"/>
      <c r="C14" s="49"/>
      <c r="D14" s="49"/>
      <c r="E14" s="49"/>
      <c r="F14" s="50"/>
      <c r="G14" s="49"/>
      <c r="H14" s="49"/>
      <c r="I14" s="49"/>
      <c r="J14" s="49"/>
      <c r="K14" s="50"/>
      <c r="L14" s="50"/>
      <c r="M14" s="49"/>
      <c r="N14" s="51"/>
      <c r="O14" s="49"/>
      <c r="P14" s="44" t="str">
        <f aca="false">IF($A14="","",IFERROR(INDEX(01_CONTROL!$B$15:$B$18,MATCH($O14,01_CONTROL!$A$15:$A$18,0)),14))</f>
        <v/>
      </c>
      <c r="Q14" s="45" t="str">
        <f aca="false">IF($A14="","",IF($N14="","",$N14+$P14))</f>
        <v/>
      </c>
      <c r="R14" s="49"/>
      <c r="S14" s="51"/>
      <c r="T14" s="50"/>
      <c r="U14" s="49"/>
      <c r="V14" s="49"/>
      <c r="W14" s="51"/>
      <c r="X14" s="44" t="str">
        <f aca="true">IF($A14="","",IF($N14="","",IF($S14="",TODAY()-$N14,$S14-$N14)))</f>
        <v/>
      </c>
      <c r="Y14" s="46" t="str">
        <f aca="true">IF($A14="","",IF(OR($V14="Closed",$V14="Void / withdrawn"),IF($S14="","Closed without response",IF($S14&gt;$Q14,"Answered late","Answered on time")),IF($S14&lt;&gt;"",IF($S14&gt;$Q14,"Answered late","Answered on time"),IF(TODAY()&gt;$Q14,"OVERDUE "&amp;TEXT(TODAY()-$Q14,"0")&amp;" d",TEXT($Q14-TODAY(),"0")&amp;" d left"))))</f>
        <v/>
      </c>
      <c r="Z14" s="44" t="str">
        <f aca="false">IF($A14="","",IF($S14&lt;&gt;"","",IF($X14&lt;=7,"0-7 d",IF($X14&lt;=14,"8-14 d",IF($X14&lt;=30,"15-30 d","over 30 d")))))</f>
        <v/>
      </c>
      <c r="AA14" s="49"/>
      <c r="AB14" s="52"/>
      <c r="AC14" s="49"/>
      <c r="AD14" s="49"/>
      <c r="AE14" s="49"/>
      <c r="AF14" s="49"/>
      <c r="AG14" s="50"/>
    </row>
    <row r="15" customFormat="false" ht="15" hidden="false" customHeight="true" outlineLevel="0" collapsed="false">
      <c r="A15" s="48"/>
      <c r="B15" s="49"/>
      <c r="C15" s="49"/>
      <c r="D15" s="49"/>
      <c r="E15" s="49"/>
      <c r="F15" s="50"/>
      <c r="G15" s="49"/>
      <c r="H15" s="49"/>
      <c r="I15" s="49"/>
      <c r="J15" s="49"/>
      <c r="K15" s="50"/>
      <c r="L15" s="50"/>
      <c r="M15" s="49"/>
      <c r="N15" s="51"/>
      <c r="O15" s="49"/>
      <c r="P15" s="44" t="str">
        <f aca="false">IF($A15="","",IFERROR(INDEX(01_CONTROL!$B$15:$B$18,MATCH($O15,01_CONTROL!$A$15:$A$18,0)),14))</f>
        <v/>
      </c>
      <c r="Q15" s="45" t="str">
        <f aca="false">IF($A15="","",IF($N15="","",$N15+$P15))</f>
        <v/>
      </c>
      <c r="R15" s="49"/>
      <c r="S15" s="51"/>
      <c r="T15" s="50"/>
      <c r="U15" s="49"/>
      <c r="V15" s="49"/>
      <c r="W15" s="51"/>
      <c r="X15" s="44" t="str">
        <f aca="true">IF($A15="","",IF($N15="","",IF($S15="",TODAY()-$N15,$S15-$N15)))</f>
        <v/>
      </c>
      <c r="Y15" s="46" t="str">
        <f aca="true">IF($A15="","",IF(OR($V15="Closed",$V15="Void / withdrawn"),IF($S15="","Closed without response",IF($S15&gt;$Q15,"Answered late","Answered on time")),IF($S15&lt;&gt;"",IF($S15&gt;$Q15,"Answered late","Answered on time"),IF(TODAY()&gt;$Q15,"OVERDUE "&amp;TEXT(TODAY()-$Q15,"0")&amp;" d",TEXT($Q15-TODAY(),"0")&amp;" d left"))))</f>
        <v/>
      </c>
      <c r="Z15" s="44" t="str">
        <f aca="false">IF($A15="","",IF($S15&lt;&gt;"","",IF($X15&lt;=7,"0-7 d",IF($X15&lt;=14,"8-14 d",IF($X15&lt;=30,"15-30 d","over 30 d")))))</f>
        <v/>
      </c>
      <c r="AA15" s="49"/>
      <c r="AB15" s="52"/>
      <c r="AC15" s="49"/>
      <c r="AD15" s="49"/>
      <c r="AE15" s="49"/>
      <c r="AF15" s="49"/>
      <c r="AG15" s="50"/>
    </row>
    <row r="16" customFormat="false" ht="15" hidden="false" customHeight="true" outlineLevel="0" collapsed="false">
      <c r="A16" s="48"/>
      <c r="B16" s="49"/>
      <c r="C16" s="49"/>
      <c r="D16" s="49"/>
      <c r="E16" s="49"/>
      <c r="F16" s="50"/>
      <c r="G16" s="49"/>
      <c r="H16" s="49"/>
      <c r="I16" s="49"/>
      <c r="J16" s="49"/>
      <c r="K16" s="50"/>
      <c r="L16" s="50"/>
      <c r="M16" s="49"/>
      <c r="N16" s="51"/>
      <c r="O16" s="49"/>
      <c r="P16" s="44" t="str">
        <f aca="false">IF($A16="","",IFERROR(INDEX(01_CONTROL!$B$15:$B$18,MATCH($O16,01_CONTROL!$A$15:$A$18,0)),14))</f>
        <v/>
      </c>
      <c r="Q16" s="45" t="str">
        <f aca="false">IF($A16="","",IF($N16="","",$N16+$P16))</f>
        <v/>
      </c>
      <c r="R16" s="49"/>
      <c r="S16" s="51"/>
      <c r="T16" s="50"/>
      <c r="U16" s="49"/>
      <c r="V16" s="49"/>
      <c r="W16" s="51"/>
      <c r="X16" s="44" t="str">
        <f aca="true">IF($A16="","",IF($N16="","",IF($S16="",TODAY()-$N16,$S16-$N16)))</f>
        <v/>
      </c>
      <c r="Y16" s="46" t="str">
        <f aca="true">IF($A16="","",IF(OR($V16="Closed",$V16="Void / withdrawn"),IF($S16="","Closed without response",IF($S16&gt;$Q16,"Answered late","Answered on time")),IF($S16&lt;&gt;"",IF($S16&gt;$Q16,"Answered late","Answered on time"),IF(TODAY()&gt;$Q16,"OVERDUE "&amp;TEXT(TODAY()-$Q16,"0")&amp;" d",TEXT($Q16-TODAY(),"0")&amp;" d left"))))</f>
        <v/>
      </c>
      <c r="Z16" s="44" t="str">
        <f aca="false">IF($A16="","",IF($S16&lt;&gt;"","",IF($X16&lt;=7,"0-7 d",IF($X16&lt;=14,"8-14 d",IF($X16&lt;=30,"15-30 d","over 30 d")))))</f>
        <v/>
      </c>
      <c r="AA16" s="49"/>
      <c r="AB16" s="52"/>
      <c r="AC16" s="49"/>
      <c r="AD16" s="49"/>
      <c r="AE16" s="49"/>
      <c r="AF16" s="49"/>
      <c r="AG16" s="50"/>
    </row>
    <row r="17" customFormat="false" ht="15" hidden="false" customHeight="true" outlineLevel="0" collapsed="false">
      <c r="A17" s="48"/>
      <c r="B17" s="49"/>
      <c r="C17" s="49"/>
      <c r="D17" s="49"/>
      <c r="E17" s="49"/>
      <c r="F17" s="50"/>
      <c r="G17" s="49"/>
      <c r="H17" s="49"/>
      <c r="I17" s="49"/>
      <c r="J17" s="49"/>
      <c r="K17" s="50"/>
      <c r="L17" s="50"/>
      <c r="M17" s="49"/>
      <c r="N17" s="51"/>
      <c r="O17" s="49"/>
      <c r="P17" s="44" t="str">
        <f aca="false">IF($A17="","",IFERROR(INDEX(01_CONTROL!$B$15:$B$18,MATCH($O17,01_CONTROL!$A$15:$A$18,0)),14))</f>
        <v/>
      </c>
      <c r="Q17" s="45" t="str">
        <f aca="false">IF($A17="","",IF($N17="","",$N17+$P17))</f>
        <v/>
      </c>
      <c r="R17" s="49"/>
      <c r="S17" s="51"/>
      <c r="T17" s="50"/>
      <c r="U17" s="49"/>
      <c r="V17" s="49"/>
      <c r="W17" s="51"/>
      <c r="X17" s="44" t="str">
        <f aca="true">IF($A17="","",IF($N17="","",IF($S17="",TODAY()-$N17,$S17-$N17)))</f>
        <v/>
      </c>
      <c r="Y17" s="46" t="str">
        <f aca="true">IF($A17="","",IF(OR($V17="Closed",$V17="Void / withdrawn"),IF($S17="","Closed without response",IF($S17&gt;$Q17,"Answered late","Answered on time")),IF($S17&lt;&gt;"",IF($S17&gt;$Q17,"Answered late","Answered on time"),IF(TODAY()&gt;$Q17,"OVERDUE "&amp;TEXT(TODAY()-$Q17,"0")&amp;" d",TEXT($Q17-TODAY(),"0")&amp;" d left"))))</f>
        <v/>
      </c>
      <c r="Z17" s="44" t="str">
        <f aca="false">IF($A17="","",IF($S17&lt;&gt;"","",IF($X17&lt;=7,"0-7 d",IF($X17&lt;=14,"8-14 d",IF($X17&lt;=30,"15-30 d","over 30 d")))))</f>
        <v/>
      </c>
      <c r="AA17" s="49"/>
      <c r="AB17" s="52"/>
      <c r="AC17" s="49"/>
      <c r="AD17" s="49"/>
      <c r="AE17" s="49"/>
      <c r="AF17" s="49"/>
      <c r="AG17" s="50"/>
    </row>
    <row r="18" customFormat="false" ht="15" hidden="false" customHeight="true" outlineLevel="0" collapsed="false">
      <c r="A18" s="48"/>
      <c r="B18" s="49"/>
      <c r="C18" s="49"/>
      <c r="D18" s="49"/>
      <c r="E18" s="49"/>
      <c r="F18" s="50"/>
      <c r="G18" s="49"/>
      <c r="H18" s="49"/>
      <c r="I18" s="49"/>
      <c r="J18" s="49"/>
      <c r="K18" s="50"/>
      <c r="L18" s="50"/>
      <c r="M18" s="49"/>
      <c r="N18" s="51"/>
      <c r="O18" s="49"/>
      <c r="P18" s="44" t="str">
        <f aca="false">IF($A18="","",IFERROR(INDEX(01_CONTROL!$B$15:$B$18,MATCH($O18,01_CONTROL!$A$15:$A$18,0)),14))</f>
        <v/>
      </c>
      <c r="Q18" s="45" t="str">
        <f aca="false">IF($A18="","",IF($N18="","",$N18+$P18))</f>
        <v/>
      </c>
      <c r="R18" s="49"/>
      <c r="S18" s="51"/>
      <c r="T18" s="50"/>
      <c r="U18" s="49"/>
      <c r="V18" s="49"/>
      <c r="W18" s="51"/>
      <c r="X18" s="44" t="str">
        <f aca="true">IF($A18="","",IF($N18="","",IF($S18="",TODAY()-$N18,$S18-$N18)))</f>
        <v/>
      </c>
      <c r="Y18" s="46" t="str">
        <f aca="true">IF($A18="","",IF(OR($V18="Closed",$V18="Void / withdrawn"),IF($S18="","Closed without response",IF($S18&gt;$Q18,"Answered late","Answered on time")),IF($S18&lt;&gt;"",IF($S18&gt;$Q18,"Answered late","Answered on time"),IF(TODAY()&gt;$Q18,"OVERDUE "&amp;TEXT(TODAY()-$Q18,"0")&amp;" d",TEXT($Q18-TODAY(),"0")&amp;" d left"))))</f>
        <v/>
      </c>
      <c r="Z18" s="44" t="str">
        <f aca="false">IF($A18="","",IF($S18&lt;&gt;"","",IF($X18&lt;=7,"0-7 d",IF($X18&lt;=14,"8-14 d",IF($X18&lt;=30,"15-30 d","over 30 d")))))</f>
        <v/>
      </c>
      <c r="AA18" s="49"/>
      <c r="AB18" s="52"/>
      <c r="AC18" s="49"/>
      <c r="AD18" s="49"/>
      <c r="AE18" s="49"/>
      <c r="AF18" s="49"/>
      <c r="AG18" s="50"/>
    </row>
    <row r="19" customFormat="false" ht="15" hidden="false" customHeight="true" outlineLevel="0" collapsed="false">
      <c r="A19" s="48"/>
      <c r="B19" s="49"/>
      <c r="C19" s="49"/>
      <c r="D19" s="49"/>
      <c r="E19" s="49"/>
      <c r="F19" s="50"/>
      <c r="G19" s="49"/>
      <c r="H19" s="49"/>
      <c r="I19" s="49"/>
      <c r="J19" s="49"/>
      <c r="K19" s="50"/>
      <c r="L19" s="50"/>
      <c r="M19" s="49"/>
      <c r="N19" s="51"/>
      <c r="O19" s="49"/>
      <c r="P19" s="44" t="str">
        <f aca="false">IF($A19="","",IFERROR(INDEX(01_CONTROL!$B$15:$B$18,MATCH($O19,01_CONTROL!$A$15:$A$18,0)),14))</f>
        <v/>
      </c>
      <c r="Q19" s="45" t="str">
        <f aca="false">IF($A19="","",IF($N19="","",$N19+$P19))</f>
        <v/>
      </c>
      <c r="R19" s="49"/>
      <c r="S19" s="51"/>
      <c r="T19" s="50"/>
      <c r="U19" s="49"/>
      <c r="V19" s="49"/>
      <c r="W19" s="51"/>
      <c r="X19" s="44" t="str">
        <f aca="true">IF($A19="","",IF($N19="","",IF($S19="",TODAY()-$N19,$S19-$N19)))</f>
        <v/>
      </c>
      <c r="Y19" s="46" t="str">
        <f aca="true">IF($A19="","",IF(OR($V19="Closed",$V19="Void / withdrawn"),IF($S19="","Closed without response",IF($S19&gt;$Q19,"Answered late","Answered on time")),IF($S19&lt;&gt;"",IF($S19&gt;$Q19,"Answered late","Answered on time"),IF(TODAY()&gt;$Q19,"OVERDUE "&amp;TEXT(TODAY()-$Q19,"0")&amp;" d",TEXT($Q19-TODAY(),"0")&amp;" d left"))))</f>
        <v/>
      </c>
      <c r="Z19" s="44" t="str">
        <f aca="false">IF($A19="","",IF($S19&lt;&gt;"","",IF($X19&lt;=7,"0-7 d",IF($X19&lt;=14,"8-14 d",IF($X19&lt;=30,"15-30 d","over 30 d")))))</f>
        <v/>
      </c>
      <c r="AA19" s="49"/>
      <c r="AB19" s="52"/>
      <c r="AC19" s="49"/>
      <c r="AD19" s="49"/>
      <c r="AE19" s="49"/>
      <c r="AF19" s="49"/>
      <c r="AG19" s="50"/>
    </row>
    <row r="20" customFormat="false" ht="15" hidden="false" customHeight="true" outlineLevel="0" collapsed="false">
      <c r="A20" s="48"/>
      <c r="B20" s="49"/>
      <c r="C20" s="49"/>
      <c r="D20" s="49"/>
      <c r="E20" s="49"/>
      <c r="F20" s="50"/>
      <c r="G20" s="49"/>
      <c r="H20" s="49"/>
      <c r="I20" s="49"/>
      <c r="J20" s="49"/>
      <c r="K20" s="50"/>
      <c r="L20" s="50"/>
      <c r="M20" s="49"/>
      <c r="N20" s="51"/>
      <c r="O20" s="49"/>
      <c r="P20" s="44" t="str">
        <f aca="false">IF($A20="","",IFERROR(INDEX(01_CONTROL!$B$15:$B$18,MATCH($O20,01_CONTROL!$A$15:$A$18,0)),14))</f>
        <v/>
      </c>
      <c r="Q20" s="45" t="str">
        <f aca="false">IF($A20="","",IF($N20="","",$N20+$P20))</f>
        <v/>
      </c>
      <c r="R20" s="49"/>
      <c r="S20" s="51"/>
      <c r="T20" s="50"/>
      <c r="U20" s="49"/>
      <c r="V20" s="49"/>
      <c r="W20" s="51"/>
      <c r="X20" s="44" t="str">
        <f aca="true">IF($A20="","",IF($N20="","",IF($S20="",TODAY()-$N20,$S20-$N20)))</f>
        <v/>
      </c>
      <c r="Y20" s="46" t="str">
        <f aca="true">IF($A20="","",IF(OR($V20="Closed",$V20="Void / withdrawn"),IF($S20="","Closed without response",IF($S20&gt;$Q20,"Answered late","Answered on time")),IF($S20&lt;&gt;"",IF($S20&gt;$Q20,"Answered late","Answered on time"),IF(TODAY()&gt;$Q20,"OVERDUE "&amp;TEXT(TODAY()-$Q20,"0")&amp;" d",TEXT($Q20-TODAY(),"0")&amp;" d left"))))</f>
        <v/>
      </c>
      <c r="Z20" s="44" t="str">
        <f aca="false">IF($A20="","",IF($S20&lt;&gt;"","",IF($X20&lt;=7,"0-7 d",IF($X20&lt;=14,"8-14 d",IF($X20&lt;=30,"15-30 d","over 30 d")))))</f>
        <v/>
      </c>
      <c r="AA20" s="49"/>
      <c r="AB20" s="52"/>
      <c r="AC20" s="49"/>
      <c r="AD20" s="49"/>
      <c r="AE20" s="49"/>
      <c r="AF20" s="49"/>
      <c r="AG20" s="50"/>
    </row>
    <row r="21" customFormat="false" ht="15" hidden="false" customHeight="true" outlineLevel="0" collapsed="false">
      <c r="A21" s="48"/>
      <c r="B21" s="49"/>
      <c r="C21" s="49"/>
      <c r="D21" s="49"/>
      <c r="E21" s="49"/>
      <c r="F21" s="50"/>
      <c r="G21" s="49"/>
      <c r="H21" s="49"/>
      <c r="I21" s="49"/>
      <c r="J21" s="49"/>
      <c r="K21" s="50"/>
      <c r="L21" s="50"/>
      <c r="M21" s="49"/>
      <c r="N21" s="51"/>
      <c r="O21" s="49"/>
      <c r="P21" s="44" t="str">
        <f aca="false">IF($A21="","",IFERROR(INDEX(01_CONTROL!$B$15:$B$18,MATCH($O21,01_CONTROL!$A$15:$A$18,0)),14))</f>
        <v/>
      </c>
      <c r="Q21" s="45" t="str">
        <f aca="false">IF($A21="","",IF($N21="","",$N21+$P21))</f>
        <v/>
      </c>
      <c r="R21" s="49"/>
      <c r="S21" s="51"/>
      <c r="T21" s="50"/>
      <c r="U21" s="49"/>
      <c r="V21" s="49"/>
      <c r="W21" s="51"/>
      <c r="X21" s="44" t="str">
        <f aca="true">IF($A21="","",IF($N21="","",IF($S21="",TODAY()-$N21,$S21-$N21)))</f>
        <v/>
      </c>
      <c r="Y21" s="46" t="str">
        <f aca="true">IF($A21="","",IF(OR($V21="Closed",$V21="Void / withdrawn"),IF($S21="","Closed without response",IF($S21&gt;$Q21,"Answered late","Answered on time")),IF($S21&lt;&gt;"",IF($S21&gt;$Q21,"Answered late","Answered on time"),IF(TODAY()&gt;$Q21,"OVERDUE "&amp;TEXT(TODAY()-$Q21,"0")&amp;" d",TEXT($Q21-TODAY(),"0")&amp;" d left"))))</f>
        <v/>
      </c>
      <c r="Z21" s="44" t="str">
        <f aca="false">IF($A21="","",IF($S21&lt;&gt;"","",IF($X21&lt;=7,"0-7 d",IF($X21&lt;=14,"8-14 d",IF($X21&lt;=30,"15-30 d","over 30 d")))))</f>
        <v/>
      </c>
      <c r="AA21" s="49"/>
      <c r="AB21" s="52"/>
      <c r="AC21" s="49"/>
      <c r="AD21" s="49"/>
      <c r="AE21" s="49"/>
      <c r="AF21" s="49"/>
      <c r="AG21" s="50"/>
    </row>
    <row r="22" customFormat="false" ht="15" hidden="false" customHeight="true" outlineLevel="0" collapsed="false">
      <c r="A22" s="48"/>
      <c r="B22" s="49"/>
      <c r="C22" s="49"/>
      <c r="D22" s="49"/>
      <c r="E22" s="49"/>
      <c r="F22" s="50"/>
      <c r="G22" s="49"/>
      <c r="H22" s="49"/>
      <c r="I22" s="49"/>
      <c r="J22" s="49"/>
      <c r="K22" s="50"/>
      <c r="L22" s="50"/>
      <c r="M22" s="49"/>
      <c r="N22" s="51"/>
      <c r="O22" s="49"/>
      <c r="P22" s="44" t="str">
        <f aca="false">IF($A22="","",IFERROR(INDEX(01_CONTROL!$B$15:$B$18,MATCH($O22,01_CONTROL!$A$15:$A$18,0)),14))</f>
        <v/>
      </c>
      <c r="Q22" s="45" t="str">
        <f aca="false">IF($A22="","",IF($N22="","",$N22+$P22))</f>
        <v/>
      </c>
      <c r="R22" s="49"/>
      <c r="S22" s="51"/>
      <c r="T22" s="50"/>
      <c r="U22" s="49"/>
      <c r="V22" s="49"/>
      <c r="W22" s="51"/>
      <c r="X22" s="44" t="str">
        <f aca="true">IF($A22="","",IF($N22="","",IF($S22="",TODAY()-$N22,$S22-$N22)))</f>
        <v/>
      </c>
      <c r="Y22" s="46" t="str">
        <f aca="true">IF($A22="","",IF(OR($V22="Closed",$V22="Void / withdrawn"),IF($S22="","Closed without response",IF($S22&gt;$Q22,"Answered late","Answered on time")),IF($S22&lt;&gt;"",IF($S22&gt;$Q22,"Answered late","Answered on time"),IF(TODAY()&gt;$Q22,"OVERDUE "&amp;TEXT(TODAY()-$Q22,"0")&amp;" d",TEXT($Q22-TODAY(),"0")&amp;" d left"))))</f>
        <v/>
      </c>
      <c r="Z22" s="44" t="str">
        <f aca="false">IF($A22="","",IF($S22&lt;&gt;"","",IF($X22&lt;=7,"0-7 d",IF($X22&lt;=14,"8-14 d",IF($X22&lt;=30,"15-30 d","over 30 d")))))</f>
        <v/>
      </c>
      <c r="AA22" s="49"/>
      <c r="AB22" s="52"/>
      <c r="AC22" s="49"/>
      <c r="AD22" s="49"/>
      <c r="AE22" s="49"/>
      <c r="AF22" s="49"/>
      <c r="AG22" s="50"/>
    </row>
    <row r="23" customFormat="false" ht="15" hidden="false" customHeight="true" outlineLevel="0" collapsed="false">
      <c r="A23" s="48"/>
      <c r="B23" s="49"/>
      <c r="C23" s="49"/>
      <c r="D23" s="49"/>
      <c r="E23" s="49"/>
      <c r="F23" s="50"/>
      <c r="G23" s="49"/>
      <c r="H23" s="49"/>
      <c r="I23" s="49"/>
      <c r="J23" s="49"/>
      <c r="K23" s="50"/>
      <c r="L23" s="50"/>
      <c r="M23" s="49"/>
      <c r="N23" s="51"/>
      <c r="O23" s="49"/>
      <c r="P23" s="44" t="str">
        <f aca="false">IF($A23="","",IFERROR(INDEX(01_CONTROL!$B$15:$B$18,MATCH($O23,01_CONTROL!$A$15:$A$18,0)),14))</f>
        <v/>
      </c>
      <c r="Q23" s="45" t="str">
        <f aca="false">IF($A23="","",IF($N23="","",$N23+$P23))</f>
        <v/>
      </c>
      <c r="R23" s="49"/>
      <c r="S23" s="51"/>
      <c r="T23" s="50"/>
      <c r="U23" s="49"/>
      <c r="V23" s="49"/>
      <c r="W23" s="51"/>
      <c r="X23" s="44" t="str">
        <f aca="true">IF($A23="","",IF($N23="","",IF($S23="",TODAY()-$N23,$S23-$N23)))</f>
        <v/>
      </c>
      <c r="Y23" s="46" t="str">
        <f aca="true">IF($A23="","",IF(OR($V23="Closed",$V23="Void / withdrawn"),IF($S23="","Closed without response",IF($S23&gt;$Q23,"Answered late","Answered on time")),IF($S23&lt;&gt;"",IF($S23&gt;$Q23,"Answered late","Answered on time"),IF(TODAY()&gt;$Q23,"OVERDUE "&amp;TEXT(TODAY()-$Q23,"0")&amp;" d",TEXT($Q23-TODAY(),"0")&amp;" d left"))))</f>
        <v/>
      </c>
      <c r="Z23" s="44" t="str">
        <f aca="false">IF($A23="","",IF($S23&lt;&gt;"","",IF($X23&lt;=7,"0-7 d",IF($X23&lt;=14,"8-14 d",IF($X23&lt;=30,"15-30 d","over 30 d")))))</f>
        <v/>
      </c>
      <c r="AA23" s="49"/>
      <c r="AB23" s="52"/>
      <c r="AC23" s="49"/>
      <c r="AD23" s="49"/>
      <c r="AE23" s="49"/>
      <c r="AF23" s="49"/>
      <c r="AG23" s="50"/>
    </row>
    <row r="24" customFormat="false" ht="15" hidden="false" customHeight="true" outlineLevel="0" collapsed="false">
      <c r="A24" s="48"/>
      <c r="B24" s="49"/>
      <c r="C24" s="49"/>
      <c r="D24" s="49"/>
      <c r="E24" s="49"/>
      <c r="F24" s="50"/>
      <c r="G24" s="49"/>
      <c r="H24" s="49"/>
      <c r="I24" s="49"/>
      <c r="J24" s="49"/>
      <c r="K24" s="50"/>
      <c r="L24" s="50"/>
      <c r="M24" s="49"/>
      <c r="N24" s="51"/>
      <c r="O24" s="49"/>
      <c r="P24" s="44" t="str">
        <f aca="false">IF($A24="","",IFERROR(INDEX(01_CONTROL!$B$15:$B$18,MATCH($O24,01_CONTROL!$A$15:$A$18,0)),14))</f>
        <v/>
      </c>
      <c r="Q24" s="45" t="str">
        <f aca="false">IF($A24="","",IF($N24="","",$N24+$P24))</f>
        <v/>
      </c>
      <c r="R24" s="49"/>
      <c r="S24" s="51"/>
      <c r="T24" s="50"/>
      <c r="U24" s="49"/>
      <c r="V24" s="49"/>
      <c r="W24" s="51"/>
      <c r="X24" s="44" t="str">
        <f aca="true">IF($A24="","",IF($N24="","",IF($S24="",TODAY()-$N24,$S24-$N24)))</f>
        <v/>
      </c>
      <c r="Y24" s="46" t="str">
        <f aca="true">IF($A24="","",IF(OR($V24="Closed",$V24="Void / withdrawn"),IF($S24="","Closed without response",IF($S24&gt;$Q24,"Answered late","Answered on time")),IF($S24&lt;&gt;"",IF($S24&gt;$Q24,"Answered late","Answered on time"),IF(TODAY()&gt;$Q24,"OVERDUE "&amp;TEXT(TODAY()-$Q24,"0")&amp;" d",TEXT($Q24-TODAY(),"0")&amp;" d left"))))</f>
        <v/>
      </c>
      <c r="Z24" s="44" t="str">
        <f aca="false">IF($A24="","",IF($S24&lt;&gt;"","",IF($X24&lt;=7,"0-7 d",IF($X24&lt;=14,"8-14 d",IF($X24&lt;=30,"15-30 d","over 30 d")))))</f>
        <v/>
      </c>
      <c r="AA24" s="49"/>
      <c r="AB24" s="52"/>
      <c r="AC24" s="49"/>
      <c r="AD24" s="49"/>
      <c r="AE24" s="49"/>
      <c r="AF24" s="49"/>
      <c r="AG24" s="50"/>
    </row>
    <row r="25" customFormat="false" ht="15" hidden="false" customHeight="true" outlineLevel="0" collapsed="false">
      <c r="A25" s="48"/>
      <c r="B25" s="49"/>
      <c r="C25" s="49"/>
      <c r="D25" s="49"/>
      <c r="E25" s="49"/>
      <c r="F25" s="50"/>
      <c r="G25" s="49"/>
      <c r="H25" s="49"/>
      <c r="I25" s="49"/>
      <c r="J25" s="49"/>
      <c r="K25" s="50"/>
      <c r="L25" s="50"/>
      <c r="M25" s="49"/>
      <c r="N25" s="51"/>
      <c r="O25" s="49"/>
      <c r="P25" s="44" t="str">
        <f aca="false">IF($A25="","",IFERROR(INDEX(01_CONTROL!$B$15:$B$18,MATCH($O25,01_CONTROL!$A$15:$A$18,0)),14))</f>
        <v/>
      </c>
      <c r="Q25" s="45" t="str">
        <f aca="false">IF($A25="","",IF($N25="","",$N25+$P25))</f>
        <v/>
      </c>
      <c r="R25" s="49"/>
      <c r="S25" s="51"/>
      <c r="T25" s="50"/>
      <c r="U25" s="49"/>
      <c r="V25" s="49"/>
      <c r="W25" s="51"/>
      <c r="X25" s="44" t="str">
        <f aca="true">IF($A25="","",IF($N25="","",IF($S25="",TODAY()-$N25,$S25-$N25)))</f>
        <v/>
      </c>
      <c r="Y25" s="46" t="str">
        <f aca="true">IF($A25="","",IF(OR($V25="Closed",$V25="Void / withdrawn"),IF($S25="","Closed without response",IF($S25&gt;$Q25,"Answered late","Answered on time")),IF($S25&lt;&gt;"",IF($S25&gt;$Q25,"Answered late","Answered on time"),IF(TODAY()&gt;$Q25,"OVERDUE "&amp;TEXT(TODAY()-$Q25,"0")&amp;" d",TEXT($Q25-TODAY(),"0")&amp;" d left"))))</f>
        <v/>
      </c>
      <c r="Z25" s="44" t="str">
        <f aca="false">IF($A25="","",IF($S25&lt;&gt;"","",IF($X25&lt;=7,"0-7 d",IF($X25&lt;=14,"8-14 d",IF($X25&lt;=30,"15-30 d","over 30 d")))))</f>
        <v/>
      </c>
      <c r="AA25" s="49"/>
      <c r="AB25" s="52"/>
      <c r="AC25" s="49"/>
      <c r="AD25" s="49"/>
      <c r="AE25" s="49"/>
      <c r="AF25" s="49"/>
      <c r="AG25" s="50"/>
    </row>
    <row r="26" customFormat="false" ht="15" hidden="false" customHeight="true" outlineLevel="0" collapsed="false">
      <c r="A26" s="48"/>
      <c r="B26" s="49"/>
      <c r="C26" s="49"/>
      <c r="D26" s="49"/>
      <c r="E26" s="49"/>
      <c r="F26" s="50"/>
      <c r="G26" s="49"/>
      <c r="H26" s="49"/>
      <c r="I26" s="49"/>
      <c r="J26" s="49"/>
      <c r="K26" s="50"/>
      <c r="L26" s="50"/>
      <c r="M26" s="49"/>
      <c r="N26" s="51"/>
      <c r="O26" s="49"/>
      <c r="P26" s="44" t="str">
        <f aca="false">IF($A26="","",IFERROR(INDEX(01_CONTROL!$B$15:$B$18,MATCH($O26,01_CONTROL!$A$15:$A$18,0)),14))</f>
        <v/>
      </c>
      <c r="Q26" s="45" t="str">
        <f aca="false">IF($A26="","",IF($N26="","",$N26+$P26))</f>
        <v/>
      </c>
      <c r="R26" s="49"/>
      <c r="S26" s="51"/>
      <c r="T26" s="50"/>
      <c r="U26" s="49"/>
      <c r="V26" s="49"/>
      <c r="W26" s="51"/>
      <c r="X26" s="44" t="str">
        <f aca="true">IF($A26="","",IF($N26="","",IF($S26="",TODAY()-$N26,$S26-$N26)))</f>
        <v/>
      </c>
      <c r="Y26" s="46" t="str">
        <f aca="true">IF($A26="","",IF(OR($V26="Closed",$V26="Void / withdrawn"),IF($S26="","Closed without response",IF($S26&gt;$Q26,"Answered late","Answered on time")),IF($S26&lt;&gt;"",IF($S26&gt;$Q26,"Answered late","Answered on time"),IF(TODAY()&gt;$Q26,"OVERDUE "&amp;TEXT(TODAY()-$Q26,"0")&amp;" d",TEXT($Q26-TODAY(),"0")&amp;" d left"))))</f>
        <v/>
      </c>
      <c r="Z26" s="44" t="str">
        <f aca="false">IF($A26="","",IF($S26&lt;&gt;"","",IF($X26&lt;=7,"0-7 d",IF($X26&lt;=14,"8-14 d",IF($X26&lt;=30,"15-30 d","over 30 d")))))</f>
        <v/>
      </c>
      <c r="AA26" s="49"/>
      <c r="AB26" s="52"/>
      <c r="AC26" s="49"/>
      <c r="AD26" s="49"/>
      <c r="AE26" s="49"/>
      <c r="AF26" s="49"/>
      <c r="AG26" s="50"/>
    </row>
    <row r="27" customFormat="false" ht="15" hidden="false" customHeight="true" outlineLevel="0" collapsed="false">
      <c r="A27" s="48"/>
      <c r="B27" s="49"/>
      <c r="C27" s="49"/>
      <c r="D27" s="49"/>
      <c r="E27" s="49"/>
      <c r="F27" s="50"/>
      <c r="G27" s="49"/>
      <c r="H27" s="49"/>
      <c r="I27" s="49"/>
      <c r="J27" s="49"/>
      <c r="K27" s="50"/>
      <c r="L27" s="50"/>
      <c r="M27" s="49"/>
      <c r="N27" s="51"/>
      <c r="O27" s="49"/>
      <c r="P27" s="44" t="str">
        <f aca="false">IF($A27="","",IFERROR(INDEX(01_CONTROL!$B$15:$B$18,MATCH($O27,01_CONTROL!$A$15:$A$18,0)),14))</f>
        <v/>
      </c>
      <c r="Q27" s="45" t="str">
        <f aca="false">IF($A27="","",IF($N27="","",$N27+$P27))</f>
        <v/>
      </c>
      <c r="R27" s="49"/>
      <c r="S27" s="51"/>
      <c r="T27" s="50"/>
      <c r="U27" s="49"/>
      <c r="V27" s="49"/>
      <c r="W27" s="51"/>
      <c r="X27" s="44" t="str">
        <f aca="true">IF($A27="","",IF($N27="","",IF($S27="",TODAY()-$N27,$S27-$N27)))</f>
        <v/>
      </c>
      <c r="Y27" s="46" t="str">
        <f aca="true">IF($A27="","",IF(OR($V27="Closed",$V27="Void / withdrawn"),IF($S27="","Closed without response",IF($S27&gt;$Q27,"Answered late","Answered on time")),IF($S27&lt;&gt;"",IF($S27&gt;$Q27,"Answered late","Answered on time"),IF(TODAY()&gt;$Q27,"OVERDUE "&amp;TEXT(TODAY()-$Q27,"0")&amp;" d",TEXT($Q27-TODAY(),"0")&amp;" d left"))))</f>
        <v/>
      </c>
      <c r="Z27" s="44" t="str">
        <f aca="false">IF($A27="","",IF($S27&lt;&gt;"","",IF($X27&lt;=7,"0-7 d",IF($X27&lt;=14,"8-14 d",IF($X27&lt;=30,"15-30 d","over 30 d")))))</f>
        <v/>
      </c>
      <c r="AA27" s="49"/>
      <c r="AB27" s="52"/>
      <c r="AC27" s="49"/>
      <c r="AD27" s="49"/>
      <c r="AE27" s="49"/>
      <c r="AF27" s="49"/>
      <c r="AG27" s="50"/>
    </row>
    <row r="28" customFormat="false" ht="15" hidden="false" customHeight="true" outlineLevel="0" collapsed="false">
      <c r="A28" s="48"/>
      <c r="B28" s="49"/>
      <c r="C28" s="49"/>
      <c r="D28" s="49"/>
      <c r="E28" s="49"/>
      <c r="F28" s="50"/>
      <c r="G28" s="49"/>
      <c r="H28" s="49"/>
      <c r="I28" s="49"/>
      <c r="J28" s="49"/>
      <c r="K28" s="50"/>
      <c r="L28" s="50"/>
      <c r="M28" s="49"/>
      <c r="N28" s="51"/>
      <c r="O28" s="49"/>
      <c r="P28" s="44" t="str">
        <f aca="false">IF($A28="","",IFERROR(INDEX(01_CONTROL!$B$15:$B$18,MATCH($O28,01_CONTROL!$A$15:$A$18,0)),14))</f>
        <v/>
      </c>
      <c r="Q28" s="45" t="str">
        <f aca="false">IF($A28="","",IF($N28="","",$N28+$P28))</f>
        <v/>
      </c>
      <c r="R28" s="49"/>
      <c r="S28" s="51"/>
      <c r="T28" s="50"/>
      <c r="U28" s="49"/>
      <c r="V28" s="49"/>
      <c r="W28" s="51"/>
      <c r="X28" s="44" t="str">
        <f aca="true">IF($A28="","",IF($N28="","",IF($S28="",TODAY()-$N28,$S28-$N28)))</f>
        <v/>
      </c>
      <c r="Y28" s="46" t="str">
        <f aca="true">IF($A28="","",IF(OR($V28="Closed",$V28="Void / withdrawn"),IF($S28="","Closed without response",IF($S28&gt;$Q28,"Answered late","Answered on time")),IF($S28&lt;&gt;"",IF($S28&gt;$Q28,"Answered late","Answered on time"),IF(TODAY()&gt;$Q28,"OVERDUE "&amp;TEXT(TODAY()-$Q28,"0")&amp;" d",TEXT($Q28-TODAY(),"0")&amp;" d left"))))</f>
        <v/>
      </c>
      <c r="Z28" s="44" t="str">
        <f aca="false">IF($A28="","",IF($S28&lt;&gt;"","",IF($X28&lt;=7,"0-7 d",IF($X28&lt;=14,"8-14 d",IF($X28&lt;=30,"15-30 d","over 30 d")))))</f>
        <v/>
      </c>
      <c r="AA28" s="49"/>
      <c r="AB28" s="52"/>
      <c r="AC28" s="49"/>
      <c r="AD28" s="49"/>
      <c r="AE28" s="49"/>
      <c r="AF28" s="49"/>
      <c r="AG28" s="50"/>
    </row>
    <row r="29" customFormat="false" ht="15" hidden="false" customHeight="true" outlineLevel="0" collapsed="false">
      <c r="A29" s="48"/>
      <c r="B29" s="49"/>
      <c r="C29" s="49"/>
      <c r="D29" s="49"/>
      <c r="E29" s="49"/>
      <c r="F29" s="50"/>
      <c r="G29" s="49"/>
      <c r="H29" s="49"/>
      <c r="I29" s="49"/>
      <c r="J29" s="49"/>
      <c r="K29" s="50"/>
      <c r="L29" s="50"/>
      <c r="M29" s="49"/>
      <c r="N29" s="51"/>
      <c r="O29" s="49"/>
      <c r="P29" s="44" t="str">
        <f aca="false">IF($A29="","",IFERROR(INDEX(01_CONTROL!$B$15:$B$18,MATCH($O29,01_CONTROL!$A$15:$A$18,0)),14))</f>
        <v/>
      </c>
      <c r="Q29" s="45" t="str">
        <f aca="false">IF($A29="","",IF($N29="","",$N29+$P29))</f>
        <v/>
      </c>
      <c r="R29" s="49"/>
      <c r="S29" s="51"/>
      <c r="T29" s="50"/>
      <c r="U29" s="49"/>
      <c r="V29" s="49"/>
      <c r="W29" s="51"/>
      <c r="X29" s="44" t="str">
        <f aca="true">IF($A29="","",IF($N29="","",IF($S29="",TODAY()-$N29,$S29-$N29)))</f>
        <v/>
      </c>
      <c r="Y29" s="46" t="str">
        <f aca="true">IF($A29="","",IF(OR($V29="Closed",$V29="Void / withdrawn"),IF($S29="","Closed without response",IF($S29&gt;$Q29,"Answered late","Answered on time")),IF($S29&lt;&gt;"",IF($S29&gt;$Q29,"Answered late","Answered on time"),IF(TODAY()&gt;$Q29,"OVERDUE "&amp;TEXT(TODAY()-$Q29,"0")&amp;" d",TEXT($Q29-TODAY(),"0")&amp;" d left"))))</f>
        <v/>
      </c>
      <c r="Z29" s="44" t="str">
        <f aca="false">IF($A29="","",IF($S29&lt;&gt;"","",IF($X29&lt;=7,"0-7 d",IF($X29&lt;=14,"8-14 d",IF($X29&lt;=30,"15-30 d","over 30 d")))))</f>
        <v/>
      </c>
      <c r="AA29" s="49"/>
      <c r="AB29" s="52"/>
      <c r="AC29" s="49"/>
      <c r="AD29" s="49"/>
      <c r="AE29" s="49"/>
      <c r="AF29" s="49"/>
      <c r="AG29" s="50"/>
    </row>
    <row r="30" customFormat="false" ht="15" hidden="false" customHeight="true" outlineLevel="0" collapsed="false">
      <c r="A30" s="48"/>
      <c r="B30" s="49"/>
      <c r="C30" s="49"/>
      <c r="D30" s="49"/>
      <c r="E30" s="49"/>
      <c r="F30" s="50"/>
      <c r="G30" s="49"/>
      <c r="H30" s="49"/>
      <c r="I30" s="49"/>
      <c r="J30" s="49"/>
      <c r="K30" s="50"/>
      <c r="L30" s="50"/>
      <c r="M30" s="49"/>
      <c r="N30" s="51"/>
      <c r="O30" s="49"/>
      <c r="P30" s="44" t="str">
        <f aca="false">IF($A30="","",IFERROR(INDEX(01_CONTROL!$B$15:$B$18,MATCH($O30,01_CONTROL!$A$15:$A$18,0)),14))</f>
        <v/>
      </c>
      <c r="Q30" s="45" t="str">
        <f aca="false">IF($A30="","",IF($N30="","",$N30+$P30))</f>
        <v/>
      </c>
      <c r="R30" s="49"/>
      <c r="S30" s="51"/>
      <c r="T30" s="50"/>
      <c r="U30" s="49"/>
      <c r="V30" s="49"/>
      <c r="W30" s="51"/>
      <c r="X30" s="44" t="str">
        <f aca="true">IF($A30="","",IF($N30="","",IF($S30="",TODAY()-$N30,$S30-$N30)))</f>
        <v/>
      </c>
      <c r="Y30" s="46" t="str">
        <f aca="true">IF($A30="","",IF(OR($V30="Closed",$V30="Void / withdrawn"),IF($S30="","Closed without response",IF($S30&gt;$Q30,"Answered late","Answered on time")),IF($S30&lt;&gt;"",IF($S30&gt;$Q30,"Answered late","Answered on time"),IF(TODAY()&gt;$Q30,"OVERDUE "&amp;TEXT(TODAY()-$Q30,"0")&amp;" d",TEXT($Q30-TODAY(),"0")&amp;" d left"))))</f>
        <v/>
      </c>
      <c r="Z30" s="44" t="str">
        <f aca="false">IF($A30="","",IF($S30&lt;&gt;"","",IF($X30&lt;=7,"0-7 d",IF($X30&lt;=14,"8-14 d",IF($X30&lt;=30,"15-30 d","over 30 d")))))</f>
        <v/>
      </c>
      <c r="AA30" s="49"/>
      <c r="AB30" s="52"/>
      <c r="AC30" s="49"/>
      <c r="AD30" s="49"/>
      <c r="AE30" s="49"/>
      <c r="AF30" s="49"/>
      <c r="AG30" s="50"/>
    </row>
    <row r="31" customFormat="false" ht="15" hidden="false" customHeight="true" outlineLevel="0" collapsed="false">
      <c r="A31" s="48"/>
      <c r="B31" s="49"/>
      <c r="C31" s="49"/>
      <c r="D31" s="49"/>
      <c r="E31" s="49"/>
      <c r="F31" s="50"/>
      <c r="G31" s="49"/>
      <c r="H31" s="49"/>
      <c r="I31" s="49"/>
      <c r="J31" s="49"/>
      <c r="K31" s="50"/>
      <c r="L31" s="50"/>
      <c r="M31" s="49"/>
      <c r="N31" s="51"/>
      <c r="O31" s="49"/>
      <c r="P31" s="44" t="str">
        <f aca="false">IF($A31="","",IFERROR(INDEX(01_CONTROL!$B$15:$B$18,MATCH($O31,01_CONTROL!$A$15:$A$18,0)),14))</f>
        <v/>
      </c>
      <c r="Q31" s="45" t="str">
        <f aca="false">IF($A31="","",IF($N31="","",$N31+$P31))</f>
        <v/>
      </c>
      <c r="R31" s="49"/>
      <c r="S31" s="51"/>
      <c r="T31" s="50"/>
      <c r="U31" s="49"/>
      <c r="V31" s="49"/>
      <c r="W31" s="51"/>
      <c r="X31" s="44" t="str">
        <f aca="true">IF($A31="","",IF($N31="","",IF($S31="",TODAY()-$N31,$S31-$N31)))</f>
        <v/>
      </c>
      <c r="Y31" s="46" t="str">
        <f aca="true">IF($A31="","",IF(OR($V31="Closed",$V31="Void / withdrawn"),IF($S31="","Closed without response",IF($S31&gt;$Q31,"Answered late","Answered on time")),IF($S31&lt;&gt;"",IF($S31&gt;$Q31,"Answered late","Answered on time"),IF(TODAY()&gt;$Q31,"OVERDUE "&amp;TEXT(TODAY()-$Q31,"0")&amp;" d",TEXT($Q31-TODAY(),"0")&amp;" d left"))))</f>
        <v/>
      </c>
      <c r="Z31" s="44" t="str">
        <f aca="false">IF($A31="","",IF($S31&lt;&gt;"","",IF($X31&lt;=7,"0-7 d",IF($X31&lt;=14,"8-14 d",IF($X31&lt;=30,"15-30 d","over 30 d")))))</f>
        <v/>
      </c>
      <c r="AA31" s="49"/>
      <c r="AB31" s="52"/>
      <c r="AC31" s="49"/>
      <c r="AD31" s="49"/>
      <c r="AE31" s="49"/>
      <c r="AF31" s="49"/>
      <c r="AG31" s="50"/>
    </row>
    <row r="32" customFormat="false" ht="15" hidden="false" customHeight="true" outlineLevel="0" collapsed="false">
      <c r="A32" s="48"/>
      <c r="B32" s="49"/>
      <c r="C32" s="49"/>
      <c r="D32" s="49"/>
      <c r="E32" s="49"/>
      <c r="F32" s="50"/>
      <c r="G32" s="49"/>
      <c r="H32" s="49"/>
      <c r="I32" s="49"/>
      <c r="J32" s="49"/>
      <c r="K32" s="50"/>
      <c r="L32" s="50"/>
      <c r="M32" s="49"/>
      <c r="N32" s="51"/>
      <c r="O32" s="49"/>
      <c r="P32" s="44" t="str">
        <f aca="false">IF($A32="","",IFERROR(INDEX(01_CONTROL!$B$15:$B$18,MATCH($O32,01_CONTROL!$A$15:$A$18,0)),14))</f>
        <v/>
      </c>
      <c r="Q32" s="45" t="str">
        <f aca="false">IF($A32="","",IF($N32="","",$N32+$P32))</f>
        <v/>
      </c>
      <c r="R32" s="49"/>
      <c r="S32" s="51"/>
      <c r="T32" s="50"/>
      <c r="U32" s="49"/>
      <c r="V32" s="49"/>
      <c r="W32" s="51"/>
      <c r="X32" s="44" t="str">
        <f aca="true">IF($A32="","",IF($N32="","",IF($S32="",TODAY()-$N32,$S32-$N32)))</f>
        <v/>
      </c>
      <c r="Y32" s="46" t="str">
        <f aca="true">IF($A32="","",IF(OR($V32="Closed",$V32="Void / withdrawn"),IF($S32="","Closed without response",IF($S32&gt;$Q32,"Answered late","Answered on time")),IF($S32&lt;&gt;"",IF($S32&gt;$Q32,"Answered late","Answered on time"),IF(TODAY()&gt;$Q32,"OVERDUE "&amp;TEXT(TODAY()-$Q32,"0")&amp;" d",TEXT($Q32-TODAY(),"0")&amp;" d left"))))</f>
        <v/>
      </c>
      <c r="Z32" s="44" t="str">
        <f aca="false">IF($A32="","",IF($S32&lt;&gt;"","",IF($X32&lt;=7,"0-7 d",IF($X32&lt;=14,"8-14 d",IF($X32&lt;=30,"15-30 d","over 30 d")))))</f>
        <v/>
      </c>
      <c r="AA32" s="49"/>
      <c r="AB32" s="52"/>
      <c r="AC32" s="49"/>
      <c r="AD32" s="49"/>
      <c r="AE32" s="49"/>
      <c r="AF32" s="49"/>
      <c r="AG32" s="50"/>
    </row>
    <row r="33" customFormat="false" ht="15" hidden="false" customHeight="true" outlineLevel="0" collapsed="false">
      <c r="A33" s="48"/>
      <c r="B33" s="49"/>
      <c r="C33" s="49"/>
      <c r="D33" s="49"/>
      <c r="E33" s="49"/>
      <c r="F33" s="50"/>
      <c r="G33" s="49"/>
      <c r="H33" s="49"/>
      <c r="I33" s="49"/>
      <c r="J33" s="49"/>
      <c r="K33" s="50"/>
      <c r="L33" s="50"/>
      <c r="M33" s="49"/>
      <c r="N33" s="51"/>
      <c r="O33" s="49"/>
      <c r="P33" s="44" t="str">
        <f aca="false">IF($A33="","",IFERROR(INDEX(01_CONTROL!$B$15:$B$18,MATCH($O33,01_CONTROL!$A$15:$A$18,0)),14))</f>
        <v/>
      </c>
      <c r="Q33" s="45" t="str">
        <f aca="false">IF($A33="","",IF($N33="","",$N33+$P33))</f>
        <v/>
      </c>
      <c r="R33" s="49"/>
      <c r="S33" s="51"/>
      <c r="T33" s="50"/>
      <c r="U33" s="49"/>
      <c r="V33" s="49"/>
      <c r="W33" s="51"/>
      <c r="X33" s="44" t="str">
        <f aca="true">IF($A33="","",IF($N33="","",IF($S33="",TODAY()-$N33,$S33-$N33)))</f>
        <v/>
      </c>
      <c r="Y33" s="46" t="str">
        <f aca="true">IF($A33="","",IF(OR($V33="Closed",$V33="Void / withdrawn"),IF($S33="","Closed without response",IF($S33&gt;$Q33,"Answered late","Answered on time")),IF($S33&lt;&gt;"",IF($S33&gt;$Q33,"Answered late","Answered on time"),IF(TODAY()&gt;$Q33,"OVERDUE "&amp;TEXT(TODAY()-$Q33,"0")&amp;" d",TEXT($Q33-TODAY(),"0")&amp;" d left"))))</f>
        <v/>
      </c>
      <c r="Z33" s="44" t="str">
        <f aca="false">IF($A33="","",IF($S33&lt;&gt;"","",IF($X33&lt;=7,"0-7 d",IF($X33&lt;=14,"8-14 d",IF($X33&lt;=30,"15-30 d","over 30 d")))))</f>
        <v/>
      </c>
      <c r="AA33" s="49"/>
      <c r="AB33" s="52"/>
      <c r="AC33" s="49"/>
      <c r="AD33" s="49"/>
      <c r="AE33" s="49"/>
      <c r="AF33" s="49"/>
      <c r="AG33" s="50"/>
    </row>
    <row r="34" customFormat="false" ht="15" hidden="false" customHeight="true" outlineLevel="0" collapsed="false">
      <c r="A34" s="48"/>
      <c r="B34" s="49"/>
      <c r="C34" s="49"/>
      <c r="D34" s="49"/>
      <c r="E34" s="49"/>
      <c r="F34" s="50"/>
      <c r="G34" s="49"/>
      <c r="H34" s="49"/>
      <c r="I34" s="49"/>
      <c r="J34" s="49"/>
      <c r="K34" s="50"/>
      <c r="L34" s="50"/>
      <c r="M34" s="49"/>
      <c r="N34" s="51"/>
      <c r="O34" s="49"/>
      <c r="P34" s="44" t="str">
        <f aca="false">IF($A34="","",IFERROR(INDEX(01_CONTROL!$B$15:$B$18,MATCH($O34,01_CONTROL!$A$15:$A$18,0)),14))</f>
        <v/>
      </c>
      <c r="Q34" s="45" t="str">
        <f aca="false">IF($A34="","",IF($N34="","",$N34+$P34))</f>
        <v/>
      </c>
      <c r="R34" s="49"/>
      <c r="S34" s="51"/>
      <c r="T34" s="50"/>
      <c r="U34" s="49"/>
      <c r="V34" s="49"/>
      <c r="W34" s="51"/>
      <c r="X34" s="44" t="str">
        <f aca="true">IF($A34="","",IF($N34="","",IF($S34="",TODAY()-$N34,$S34-$N34)))</f>
        <v/>
      </c>
      <c r="Y34" s="46" t="str">
        <f aca="true">IF($A34="","",IF(OR($V34="Closed",$V34="Void / withdrawn"),IF($S34="","Closed without response",IF($S34&gt;$Q34,"Answered late","Answered on time")),IF($S34&lt;&gt;"",IF($S34&gt;$Q34,"Answered late","Answered on time"),IF(TODAY()&gt;$Q34,"OVERDUE "&amp;TEXT(TODAY()-$Q34,"0")&amp;" d",TEXT($Q34-TODAY(),"0")&amp;" d left"))))</f>
        <v/>
      </c>
      <c r="Z34" s="44" t="str">
        <f aca="false">IF($A34="","",IF($S34&lt;&gt;"","",IF($X34&lt;=7,"0-7 d",IF($X34&lt;=14,"8-14 d",IF($X34&lt;=30,"15-30 d","over 30 d")))))</f>
        <v/>
      </c>
      <c r="AA34" s="49"/>
      <c r="AB34" s="52"/>
      <c r="AC34" s="49"/>
      <c r="AD34" s="49"/>
      <c r="AE34" s="49"/>
      <c r="AF34" s="49"/>
      <c r="AG34" s="50"/>
    </row>
    <row r="35" customFormat="false" ht="15" hidden="false" customHeight="true" outlineLevel="0" collapsed="false">
      <c r="A35" s="48"/>
      <c r="B35" s="49"/>
      <c r="C35" s="49"/>
      <c r="D35" s="49"/>
      <c r="E35" s="49"/>
      <c r="F35" s="50"/>
      <c r="G35" s="49"/>
      <c r="H35" s="49"/>
      <c r="I35" s="49"/>
      <c r="J35" s="49"/>
      <c r="K35" s="50"/>
      <c r="L35" s="50"/>
      <c r="M35" s="49"/>
      <c r="N35" s="51"/>
      <c r="O35" s="49"/>
      <c r="P35" s="44" t="str">
        <f aca="false">IF($A35="","",IFERROR(INDEX(01_CONTROL!$B$15:$B$18,MATCH($O35,01_CONTROL!$A$15:$A$18,0)),14))</f>
        <v/>
      </c>
      <c r="Q35" s="45" t="str">
        <f aca="false">IF($A35="","",IF($N35="","",$N35+$P35))</f>
        <v/>
      </c>
      <c r="R35" s="49"/>
      <c r="S35" s="51"/>
      <c r="T35" s="50"/>
      <c r="U35" s="49"/>
      <c r="V35" s="49"/>
      <c r="W35" s="51"/>
      <c r="X35" s="44" t="str">
        <f aca="true">IF($A35="","",IF($N35="","",IF($S35="",TODAY()-$N35,$S35-$N35)))</f>
        <v/>
      </c>
      <c r="Y35" s="46" t="str">
        <f aca="true">IF($A35="","",IF(OR($V35="Closed",$V35="Void / withdrawn"),IF($S35="","Closed without response",IF($S35&gt;$Q35,"Answered late","Answered on time")),IF($S35&lt;&gt;"",IF($S35&gt;$Q35,"Answered late","Answered on time"),IF(TODAY()&gt;$Q35,"OVERDUE "&amp;TEXT(TODAY()-$Q35,"0")&amp;" d",TEXT($Q35-TODAY(),"0")&amp;" d left"))))</f>
        <v/>
      </c>
      <c r="Z35" s="44" t="str">
        <f aca="false">IF($A35="","",IF($S35&lt;&gt;"","",IF($X35&lt;=7,"0-7 d",IF($X35&lt;=14,"8-14 d",IF($X35&lt;=30,"15-30 d","over 30 d")))))</f>
        <v/>
      </c>
      <c r="AA35" s="49"/>
      <c r="AB35" s="52"/>
      <c r="AC35" s="49"/>
      <c r="AD35" s="49"/>
      <c r="AE35" s="49"/>
      <c r="AF35" s="49"/>
      <c r="AG35" s="50"/>
    </row>
    <row r="36" customFormat="false" ht="15" hidden="false" customHeight="true" outlineLevel="0" collapsed="false">
      <c r="A36" s="48"/>
      <c r="B36" s="49"/>
      <c r="C36" s="49"/>
      <c r="D36" s="49"/>
      <c r="E36" s="49"/>
      <c r="F36" s="50"/>
      <c r="G36" s="49"/>
      <c r="H36" s="49"/>
      <c r="I36" s="49"/>
      <c r="J36" s="49"/>
      <c r="K36" s="50"/>
      <c r="L36" s="50"/>
      <c r="M36" s="49"/>
      <c r="N36" s="51"/>
      <c r="O36" s="49"/>
      <c r="P36" s="44" t="str">
        <f aca="false">IF($A36="","",IFERROR(INDEX(01_CONTROL!$B$15:$B$18,MATCH($O36,01_CONTROL!$A$15:$A$18,0)),14))</f>
        <v/>
      </c>
      <c r="Q36" s="45" t="str">
        <f aca="false">IF($A36="","",IF($N36="","",$N36+$P36))</f>
        <v/>
      </c>
      <c r="R36" s="49"/>
      <c r="S36" s="51"/>
      <c r="T36" s="50"/>
      <c r="U36" s="49"/>
      <c r="V36" s="49"/>
      <c r="W36" s="51"/>
      <c r="X36" s="44" t="str">
        <f aca="true">IF($A36="","",IF($N36="","",IF($S36="",TODAY()-$N36,$S36-$N36)))</f>
        <v/>
      </c>
      <c r="Y36" s="46" t="str">
        <f aca="true">IF($A36="","",IF(OR($V36="Closed",$V36="Void / withdrawn"),IF($S36="","Closed without response",IF($S36&gt;$Q36,"Answered late","Answered on time")),IF($S36&lt;&gt;"",IF($S36&gt;$Q36,"Answered late","Answered on time"),IF(TODAY()&gt;$Q36,"OVERDUE "&amp;TEXT(TODAY()-$Q36,"0")&amp;" d",TEXT($Q36-TODAY(),"0")&amp;" d left"))))</f>
        <v/>
      </c>
      <c r="Z36" s="44" t="str">
        <f aca="false">IF($A36="","",IF($S36&lt;&gt;"","",IF($X36&lt;=7,"0-7 d",IF($X36&lt;=14,"8-14 d",IF($X36&lt;=30,"15-30 d","over 30 d")))))</f>
        <v/>
      </c>
      <c r="AA36" s="49"/>
      <c r="AB36" s="52"/>
      <c r="AC36" s="49"/>
      <c r="AD36" s="49"/>
      <c r="AE36" s="49"/>
      <c r="AF36" s="49"/>
      <c r="AG36" s="50"/>
    </row>
    <row r="37" customFormat="false" ht="15" hidden="false" customHeight="true" outlineLevel="0" collapsed="false">
      <c r="A37" s="48"/>
      <c r="B37" s="49"/>
      <c r="C37" s="49"/>
      <c r="D37" s="49"/>
      <c r="E37" s="49"/>
      <c r="F37" s="50"/>
      <c r="G37" s="49"/>
      <c r="H37" s="49"/>
      <c r="I37" s="49"/>
      <c r="J37" s="49"/>
      <c r="K37" s="50"/>
      <c r="L37" s="50"/>
      <c r="M37" s="49"/>
      <c r="N37" s="51"/>
      <c r="O37" s="49"/>
      <c r="P37" s="44" t="str">
        <f aca="false">IF($A37="","",IFERROR(INDEX(01_CONTROL!$B$15:$B$18,MATCH($O37,01_CONTROL!$A$15:$A$18,0)),14))</f>
        <v/>
      </c>
      <c r="Q37" s="45" t="str">
        <f aca="false">IF($A37="","",IF($N37="","",$N37+$P37))</f>
        <v/>
      </c>
      <c r="R37" s="49"/>
      <c r="S37" s="51"/>
      <c r="T37" s="50"/>
      <c r="U37" s="49"/>
      <c r="V37" s="49"/>
      <c r="W37" s="51"/>
      <c r="X37" s="44" t="str">
        <f aca="true">IF($A37="","",IF($N37="","",IF($S37="",TODAY()-$N37,$S37-$N37)))</f>
        <v/>
      </c>
      <c r="Y37" s="46" t="str">
        <f aca="true">IF($A37="","",IF(OR($V37="Closed",$V37="Void / withdrawn"),IF($S37="","Closed without response",IF($S37&gt;$Q37,"Answered late","Answered on time")),IF($S37&lt;&gt;"",IF($S37&gt;$Q37,"Answered late","Answered on time"),IF(TODAY()&gt;$Q37,"OVERDUE "&amp;TEXT(TODAY()-$Q37,"0")&amp;" d",TEXT($Q37-TODAY(),"0")&amp;" d left"))))</f>
        <v/>
      </c>
      <c r="Z37" s="44" t="str">
        <f aca="false">IF($A37="","",IF($S37&lt;&gt;"","",IF($X37&lt;=7,"0-7 d",IF($X37&lt;=14,"8-14 d",IF($X37&lt;=30,"15-30 d","over 30 d")))))</f>
        <v/>
      </c>
      <c r="AA37" s="49"/>
      <c r="AB37" s="52"/>
      <c r="AC37" s="49"/>
      <c r="AD37" s="49"/>
      <c r="AE37" s="49"/>
      <c r="AF37" s="49"/>
      <c r="AG37" s="50"/>
    </row>
    <row r="38" customFormat="false" ht="15" hidden="false" customHeight="true" outlineLevel="0" collapsed="false">
      <c r="A38" s="48"/>
      <c r="B38" s="49"/>
      <c r="C38" s="49"/>
      <c r="D38" s="49"/>
      <c r="E38" s="49"/>
      <c r="F38" s="50"/>
      <c r="G38" s="49"/>
      <c r="H38" s="49"/>
      <c r="I38" s="49"/>
      <c r="J38" s="49"/>
      <c r="K38" s="50"/>
      <c r="L38" s="50"/>
      <c r="M38" s="49"/>
      <c r="N38" s="51"/>
      <c r="O38" s="49"/>
      <c r="P38" s="44" t="str">
        <f aca="false">IF($A38="","",IFERROR(INDEX(01_CONTROL!$B$15:$B$18,MATCH($O38,01_CONTROL!$A$15:$A$18,0)),14))</f>
        <v/>
      </c>
      <c r="Q38" s="45" t="str">
        <f aca="false">IF($A38="","",IF($N38="","",$N38+$P38))</f>
        <v/>
      </c>
      <c r="R38" s="49"/>
      <c r="S38" s="51"/>
      <c r="T38" s="50"/>
      <c r="U38" s="49"/>
      <c r="V38" s="49"/>
      <c r="W38" s="51"/>
      <c r="X38" s="44" t="str">
        <f aca="true">IF($A38="","",IF($N38="","",IF($S38="",TODAY()-$N38,$S38-$N38)))</f>
        <v/>
      </c>
      <c r="Y38" s="46" t="str">
        <f aca="true">IF($A38="","",IF(OR($V38="Closed",$V38="Void / withdrawn"),IF($S38="","Closed without response",IF($S38&gt;$Q38,"Answered late","Answered on time")),IF($S38&lt;&gt;"",IF($S38&gt;$Q38,"Answered late","Answered on time"),IF(TODAY()&gt;$Q38,"OVERDUE "&amp;TEXT(TODAY()-$Q38,"0")&amp;" d",TEXT($Q38-TODAY(),"0")&amp;" d left"))))</f>
        <v/>
      </c>
      <c r="Z38" s="44" t="str">
        <f aca="false">IF($A38="","",IF($S38&lt;&gt;"","",IF($X38&lt;=7,"0-7 d",IF($X38&lt;=14,"8-14 d",IF($X38&lt;=30,"15-30 d","over 30 d")))))</f>
        <v/>
      </c>
      <c r="AA38" s="49"/>
      <c r="AB38" s="52"/>
      <c r="AC38" s="49"/>
      <c r="AD38" s="49"/>
      <c r="AE38" s="49"/>
      <c r="AF38" s="49"/>
      <c r="AG38" s="50"/>
    </row>
    <row r="39" customFormat="false" ht="15" hidden="false" customHeight="true" outlineLevel="0" collapsed="false">
      <c r="A39" s="48"/>
      <c r="B39" s="49"/>
      <c r="C39" s="49"/>
      <c r="D39" s="49"/>
      <c r="E39" s="49"/>
      <c r="F39" s="50"/>
      <c r="G39" s="49"/>
      <c r="H39" s="49"/>
      <c r="I39" s="49"/>
      <c r="J39" s="49"/>
      <c r="K39" s="50"/>
      <c r="L39" s="50"/>
      <c r="M39" s="49"/>
      <c r="N39" s="51"/>
      <c r="O39" s="49"/>
      <c r="P39" s="44" t="str">
        <f aca="false">IF($A39="","",IFERROR(INDEX(01_CONTROL!$B$15:$B$18,MATCH($O39,01_CONTROL!$A$15:$A$18,0)),14))</f>
        <v/>
      </c>
      <c r="Q39" s="45" t="str">
        <f aca="false">IF($A39="","",IF($N39="","",$N39+$P39))</f>
        <v/>
      </c>
      <c r="R39" s="49"/>
      <c r="S39" s="51"/>
      <c r="T39" s="50"/>
      <c r="U39" s="49"/>
      <c r="V39" s="49"/>
      <c r="W39" s="51"/>
      <c r="X39" s="44" t="str">
        <f aca="true">IF($A39="","",IF($N39="","",IF($S39="",TODAY()-$N39,$S39-$N39)))</f>
        <v/>
      </c>
      <c r="Y39" s="46" t="str">
        <f aca="true">IF($A39="","",IF(OR($V39="Closed",$V39="Void / withdrawn"),IF($S39="","Closed without response",IF($S39&gt;$Q39,"Answered late","Answered on time")),IF($S39&lt;&gt;"",IF($S39&gt;$Q39,"Answered late","Answered on time"),IF(TODAY()&gt;$Q39,"OVERDUE "&amp;TEXT(TODAY()-$Q39,"0")&amp;" d",TEXT($Q39-TODAY(),"0")&amp;" d left"))))</f>
        <v/>
      </c>
      <c r="Z39" s="44" t="str">
        <f aca="false">IF($A39="","",IF($S39&lt;&gt;"","",IF($X39&lt;=7,"0-7 d",IF($X39&lt;=14,"8-14 d",IF($X39&lt;=30,"15-30 d","over 30 d")))))</f>
        <v/>
      </c>
      <c r="AA39" s="49"/>
      <c r="AB39" s="52"/>
      <c r="AC39" s="49"/>
      <c r="AD39" s="49"/>
      <c r="AE39" s="49"/>
      <c r="AF39" s="49"/>
      <c r="AG39" s="50"/>
    </row>
    <row r="40" customFormat="false" ht="15" hidden="false" customHeight="true" outlineLevel="0" collapsed="false">
      <c r="A40" s="48"/>
      <c r="B40" s="49"/>
      <c r="C40" s="49"/>
      <c r="D40" s="49"/>
      <c r="E40" s="49"/>
      <c r="F40" s="50"/>
      <c r="G40" s="49"/>
      <c r="H40" s="49"/>
      <c r="I40" s="49"/>
      <c r="J40" s="49"/>
      <c r="K40" s="50"/>
      <c r="L40" s="50"/>
      <c r="M40" s="49"/>
      <c r="N40" s="51"/>
      <c r="O40" s="49"/>
      <c r="P40" s="44" t="str">
        <f aca="false">IF($A40="","",IFERROR(INDEX(01_CONTROL!$B$15:$B$18,MATCH($O40,01_CONTROL!$A$15:$A$18,0)),14))</f>
        <v/>
      </c>
      <c r="Q40" s="45" t="str">
        <f aca="false">IF($A40="","",IF($N40="","",$N40+$P40))</f>
        <v/>
      </c>
      <c r="R40" s="49"/>
      <c r="S40" s="51"/>
      <c r="T40" s="50"/>
      <c r="U40" s="49"/>
      <c r="V40" s="49"/>
      <c r="W40" s="51"/>
      <c r="X40" s="44" t="str">
        <f aca="true">IF($A40="","",IF($N40="","",IF($S40="",TODAY()-$N40,$S40-$N40)))</f>
        <v/>
      </c>
      <c r="Y40" s="46" t="str">
        <f aca="true">IF($A40="","",IF(OR($V40="Closed",$V40="Void / withdrawn"),IF($S40="","Closed without response",IF($S40&gt;$Q40,"Answered late","Answered on time")),IF($S40&lt;&gt;"",IF($S40&gt;$Q40,"Answered late","Answered on time"),IF(TODAY()&gt;$Q40,"OVERDUE "&amp;TEXT(TODAY()-$Q40,"0")&amp;" d",TEXT($Q40-TODAY(),"0")&amp;" d left"))))</f>
        <v/>
      </c>
      <c r="Z40" s="44" t="str">
        <f aca="false">IF($A40="","",IF($S40&lt;&gt;"","",IF($X40&lt;=7,"0-7 d",IF($X40&lt;=14,"8-14 d",IF($X40&lt;=30,"15-30 d","over 30 d")))))</f>
        <v/>
      </c>
      <c r="AA40" s="49"/>
      <c r="AB40" s="52"/>
      <c r="AC40" s="49"/>
      <c r="AD40" s="49"/>
      <c r="AE40" s="49"/>
      <c r="AF40" s="49"/>
      <c r="AG40" s="50"/>
    </row>
    <row r="41" customFormat="false" ht="15" hidden="false" customHeight="true" outlineLevel="0" collapsed="false">
      <c r="A41" s="48"/>
      <c r="B41" s="49"/>
      <c r="C41" s="49"/>
      <c r="D41" s="49"/>
      <c r="E41" s="49"/>
      <c r="F41" s="50"/>
      <c r="G41" s="49"/>
      <c r="H41" s="49"/>
      <c r="I41" s="49"/>
      <c r="J41" s="49"/>
      <c r="K41" s="50"/>
      <c r="L41" s="50"/>
      <c r="M41" s="49"/>
      <c r="N41" s="51"/>
      <c r="O41" s="49"/>
      <c r="P41" s="44" t="str">
        <f aca="false">IF($A41="","",IFERROR(INDEX(01_CONTROL!$B$15:$B$18,MATCH($O41,01_CONTROL!$A$15:$A$18,0)),14))</f>
        <v/>
      </c>
      <c r="Q41" s="45" t="str">
        <f aca="false">IF($A41="","",IF($N41="","",$N41+$P41))</f>
        <v/>
      </c>
      <c r="R41" s="49"/>
      <c r="S41" s="51"/>
      <c r="T41" s="50"/>
      <c r="U41" s="49"/>
      <c r="V41" s="49"/>
      <c r="W41" s="51"/>
      <c r="X41" s="44" t="str">
        <f aca="true">IF($A41="","",IF($N41="","",IF($S41="",TODAY()-$N41,$S41-$N41)))</f>
        <v/>
      </c>
      <c r="Y41" s="46" t="str">
        <f aca="true">IF($A41="","",IF(OR($V41="Closed",$V41="Void / withdrawn"),IF($S41="","Closed without response",IF($S41&gt;$Q41,"Answered late","Answered on time")),IF($S41&lt;&gt;"",IF($S41&gt;$Q41,"Answered late","Answered on time"),IF(TODAY()&gt;$Q41,"OVERDUE "&amp;TEXT(TODAY()-$Q41,"0")&amp;" d",TEXT($Q41-TODAY(),"0")&amp;" d left"))))</f>
        <v/>
      </c>
      <c r="Z41" s="44" t="str">
        <f aca="false">IF($A41="","",IF($S41&lt;&gt;"","",IF($X41&lt;=7,"0-7 d",IF($X41&lt;=14,"8-14 d",IF($X41&lt;=30,"15-30 d","over 30 d")))))</f>
        <v/>
      </c>
      <c r="AA41" s="49"/>
      <c r="AB41" s="52"/>
      <c r="AC41" s="49"/>
      <c r="AD41" s="49"/>
      <c r="AE41" s="49"/>
      <c r="AF41" s="49"/>
      <c r="AG41" s="50"/>
    </row>
    <row r="42" customFormat="false" ht="15" hidden="false" customHeight="true" outlineLevel="0" collapsed="false">
      <c r="A42" s="48"/>
      <c r="B42" s="49"/>
      <c r="C42" s="49"/>
      <c r="D42" s="49"/>
      <c r="E42" s="49"/>
      <c r="F42" s="50"/>
      <c r="G42" s="49"/>
      <c r="H42" s="49"/>
      <c r="I42" s="49"/>
      <c r="J42" s="49"/>
      <c r="K42" s="50"/>
      <c r="L42" s="50"/>
      <c r="M42" s="49"/>
      <c r="N42" s="51"/>
      <c r="O42" s="49"/>
      <c r="P42" s="44" t="str">
        <f aca="false">IF($A42="","",IFERROR(INDEX(01_CONTROL!$B$15:$B$18,MATCH($O42,01_CONTROL!$A$15:$A$18,0)),14))</f>
        <v/>
      </c>
      <c r="Q42" s="45" t="str">
        <f aca="false">IF($A42="","",IF($N42="","",$N42+$P42))</f>
        <v/>
      </c>
      <c r="R42" s="49"/>
      <c r="S42" s="51"/>
      <c r="T42" s="50"/>
      <c r="U42" s="49"/>
      <c r="V42" s="49"/>
      <c r="W42" s="51"/>
      <c r="X42" s="44" t="str">
        <f aca="true">IF($A42="","",IF($N42="","",IF($S42="",TODAY()-$N42,$S42-$N42)))</f>
        <v/>
      </c>
      <c r="Y42" s="46" t="str">
        <f aca="true">IF($A42="","",IF(OR($V42="Closed",$V42="Void / withdrawn"),IF($S42="","Closed without response",IF($S42&gt;$Q42,"Answered late","Answered on time")),IF($S42&lt;&gt;"",IF($S42&gt;$Q42,"Answered late","Answered on time"),IF(TODAY()&gt;$Q42,"OVERDUE "&amp;TEXT(TODAY()-$Q42,"0")&amp;" d",TEXT($Q42-TODAY(),"0")&amp;" d left"))))</f>
        <v/>
      </c>
      <c r="Z42" s="44" t="str">
        <f aca="false">IF($A42="","",IF($S42&lt;&gt;"","",IF($X42&lt;=7,"0-7 d",IF($X42&lt;=14,"8-14 d",IF($X42&lt;=30,"15-30 d","over 30 d")))))</f>
        <v/>
      </c>
      <c r="AA42" s="49"/>
      <c r="AB42" s="52"/>
      <c r="AC42" s="49"/>
      <c r="AD42" s="49"/>
      <c r="AE42" s="49"/>
      <c r="AF42" s="49"/>
      <c r="AG42" s="50"/>
    </row>
    <row r="43" customFormat="false" ht="15" hidden="false" customHeight="true" outlineLevel="0" collapsed="false">
      <c r="A43" s="48"/>
      <c r="B43" s="49"/>
      <c r="C43" s="49"/>
      <c r="D43" s="49"/>
      <c r="E43" s="49"/>
      <c r="F43" s="50"/>
      <c r="G43" s="49"/>
      <c r="H43" s="49"/>
      <c r="I43" s="49"/>
      <c r="J43" s="49"/>
      <c r="K43" s="50"/>
      <c r="L43" s="50"/>
      <c r="M43" s="49"/>
      <c r="N43" s="51"/>
      <c r="O43" s="49"/>
      <c r="P43" s="44" t="str">
        <f aca="false">IF($A43="","",IFERROR(INDEX(01_CONTROL!$B$15:$B$18,MATCH($O43,01_CONTROL!$A$15:$A$18,0)),14))</f>
        <v/>
      </c>
      <c r="Q43" s="45" t="str">
        <f aca="false">IF($A43="","",IF($N43="","",$N43+$P43))</f>
        <v/>
      </c>
      <c r="R43" s="49"/>
      <c r="S43" s="51"/>
      <c r="T43" s="50"/>
      <c r="U43" s="49"/>
      <c r="V43" s="49"/>
      <c r="W43" s="51"/>
      <c r="X43" s="44" t="str">
        <f aca="true">IF($A43="","",IF($N43="","",IF($S43="",TODAY()-$N43,$S43-$N43)))</f>
        <v/>
      </c>
      <c r="Y43" s="46" t="str">
        <f aca="true">IF($A43="","",IF(OR($V43="Closed",$V43="Void / withdrawn"),IF($S43="","Closed without response",IF($S43&gt;$Q43,"Answered late","Answered on time")),IF($S43&lt;&gt;"",IF($S43&gt;$Q43,"Answered late","Answered on time"),IF(TODAY()&gt;$Q43,"OVERDUE "&amp;TEXT(TODAY()-$Q43,"0")&amp;" d",TEXT($Q43-TODAY(),"0")&amp;" d left"))))</f>
        <v/>
      </c>
      <c r="Z43" s="44" t="str">
        <f aca="false">IF($A43="","",IF($S43&lt;&gt;"","",IF($X43&lt;=7,"0-7 d",IF($X43&lt;=14,"8-14 d",IF($X43&lt;=30,"15-30 d","over 30 d")))))</f>
        <v/>
      </c>
      <c r="AA43" s="49"/>
      <c r="AB43" s="52"/>
      <c r="AC43" s="49"/>
      <c r="AD43" s="49"/>
      <c r="AE43" s="49"/>
      <c r="AF43" s="49"/>
      <c r="AG43" s="50"/>
    </row>
    <row r="44" customFormat="false" ht="15" hidden="false" customHeight="true" outlineLevel="0" collapsed="false">
      <c r="A44" s="48"/>
      <c r="B44" s="49"/>
      <c r="C44" s="49"/>
      <c r="D44" s="49"/>
      <c r="E44" s="49"/>
      <c r="F44" s="50"/>
      <c r="G44" s="49"/>
      <c r="H44" s="49"/>
      <c r="I44" s="49"/>
      <c r="J44" s="49"/>
      <c r="K44" s="50"/>
      <c r="L44" s="50"/>
      <c r="M44" s="49"/>
      <c r="N44" s="51"/>
      <c r="O44" s="49"/>
      <c r="P44" s="44" t="str">
        <f aca="false">IF($A44="","",IFERROR(INDEX(01_CONTROL!$B$15:$B$18,MATCH($O44,01_CONTROL!$A$15:$A$18,0)),14))</f>
        <v/>
      </c>
      <c r="Q44" s="45" t="str">
        <f aca="false">IF($A44="","",IF($N44="","",$N44+$P44))</f>
        <v/>
      </c>
      <c r="R44" s="49"/>
      <c r="S44" s="51"/>
      <c r="T44" s="50"/>
      <c r="U44" s="49"/>
      <c r="V44" s="49"/>
      <c r="W44" s="51"/>
      <c r="X44" s="44" t="str">
        <f aca="true">IF($A44="","",IF($N44="","",IF($S44="",TODAY()-$N44,$S44-$N44)))</f>
        <v/>
      </c>
      <c r="Y44" s="46" t="str">
        <f aca="true">IF($A44="","",IF(OR($V44="Closed",$V44="Void / withdrawn"),IF($S44="","Closed without response",IF($S44&gt;$Q44,"Answered late","Answered on time")),IF($S44&lt;&gt;"",IF($S44&gt;$Q44,"Answered late","Answered on time"),IF(TODAY()&gt;$Q44,"OVERDUE "&amp;TEXT(TODAY()-$Q44,"0")&amp;" d",TEXT($Q44-TODAY(),"0")&amp;" d left"))))</f>
        <v/>
      </c>
      <c r="Z44" s="44" t="str">
        <f aca="false">IF($A44="","",IF($S44&lt;&gt;"","",IF($X44&lt;=7,"0-7 d",IF($X44&lt;=14,"8-14 d",IF($X44&lt;=30,"15-30 d","over 30 d")))))</f>
        <v/>
      </c>
      <c r="AA44" s="49"/>
      <c r="AB44" s="52"/>
      <c r="AC44" s="49"/>
      <c r="AD44" s="49"/>
      <c r="AE44" s="49"/>
      <c r="AF44" s="49"/>
      <c r="AG44" s="50"/>
    </row>
    <row r="45" customFormat="false" ht="15" hidden="false" customHeight="true" outlineLevel="0" collapsed="false">
      <c r="A45" s="48"/>
      <c r="B45" s="49"/>
      <c r="C45" s="49"/>
      <c r="D45" s="49"/>
      <c r="E45" s="49"/>
      <c r="F45" s="50"/>
      <c r="G45" s="49"/>
      <c r="H45" s="49"/>
      <c r="I45" s="49"/>
      <c r="J45" s="49"/>
      <c r="K45" s="50"/>
      <c r="L45" s="50"/>
      <c r="M45" s="49"/>
      <c r="N45" s="51"/>
      <c r="O45" s="49"/>
      <c r="P45" s="44" t="str">
        <f aca="false">IF($A45="","",IFERROR(INDEX(01_CONTROL!$B$15:$B$18,MATCH($O45,01_CONTROL!$A$15:$A$18,0)),14))</f>
        <v/>
      </c>
      <c r="Q45" s="45" t="str">
        <f aca="false">IF($A45="","",IF($N45="","",$N45+$P45))</f>
        <v/>
      </c>
      <c r="R45" s="49"/>
      <c r="S45" s="51"/>
      <c r="T45" s="50"/>
      <c r="U45" s="49"/>
      <c r="V45" s="49"/>
      <c r="W45" s="51"/>
      <c r="X45" s="44" t="str">
        <f aca="true">IF($A45="","",IF($N45="","",IF($S45="",TODAY()-$N45,$S45-$N45)))</f>
        <v/>
      </c>
      <c r="Y45" s="46" t="str">
        <f aca="true">IF($A45="","",IF(OR($V45="Closed",$V45="Void / withdrawn"),IF($S45="","Closed without response",IF($S45&gt;$Q45,"Answered late","Answered on time")),IF($S45&lt;&gt;"",IF($S45&gt;$Q45,"Answered late","Answered on time"),IF(TODAY()&gt;$Q45,"OVERDUE "&amp;TEXT(TODAY()-$Q45,"0")&amp;" d",TEXT($Q45-TODAY(),"0")&amp;" d left"))))</f>
        <v/>
      </c>
      <c r="Z45" s="44" t="str">
        <f aca="false">IF($A45="","",IF($S45&lt;&gt;"","",IF($X45&lt;=7,"0-7 d",IF($X45&lt;=14,"8-14 d",IF($X45&lt;=30,"15-30 d","over 30 d")))))</f>
        <v/>
      </c>
      <c r="AA45" s="49"/>
      <c r="AB45" s="52"/>
      <c r="AC45" s="49"/>
      <c r="AD45" s="49"/>
      <c r="AE45" s="49"/>
      <c r="AF45" s="49"/>
      <c r="AG45" s="50"/>
    </row>
    <row r="46" customFormat="false" ht="15" hidden="false" customHeight="true" outlineLevel="0" collapsed="false">
      <c r="A46" s="48"/>
      <c r="B46" s="49"/>
      <c r="C46" s="49"/>
      <c r="D46" s="49"/>
      <c r="E46" s="49"/>
      <c r="F46" s="50"/>
      <c r="G46" s="49"/>
      <c r="H46" s="49"/>
      <c r="I46" s="49"/>
      <c r="J46" s="49"/>
      <c r="K46" s="50"/>
      <c r="L46" s="50"/>
      <c r="M46" s="49"/>
      <c r="N46" s="51"/>
      <c r="O46" s="49"/>
      <c r="P46" s="44" t="str">
        <f aca="false">IF($A46="","",IFERROR(INDEX(01_CONTROL!$B$15:$B$18,MATCH($O46,01_CONTROL!$A$15:$A$18,0)),14))</f>
        <v/>
      </c>
      <c r="Q46" s="45" t="str">
        <f aca="false">IF($A46="","",IF($N46="","",$N46+$P46))</f>
        <v/>
      </c>
      <c r="R46" s="49"/>
      <c r="S46" s="51"/>
      <c r="T46" s="50"/>
      <c r="U46" s="49"/>
      <c r="V46" s="49"/>
      <c r="W46" s="51"/>
      <c r="X46" s="44" t="str">
        <f aca="true">IF($A46="","",IF($N46="","",IF($S46="",TODAY()-$N46,$S46-$N46)))</f>
        <v/>
      </c>
      <c r="Y46" s="46" t="str">
        <f aca="true">IF($A46="","",IF(OR($V46="Closed",$V46="Void / withdrawn"),IF($S46="","Closed without response",IF($S46&gt;$Q46,"Answered late","Answered on time")),IF($S46&lt;&gt;"",IF($S46&gt;$Q46,"Answered late","Answered on time"),IF(TODAY()&gt;$Q46,"OVERDUE "&amp;TEXT(TODAY()-$Q46,"0")&amp;" d",TEXT($Q46-TODAY(),"0")&amp;" d left"))))</f>
        <v/>
      </c>
      <c r="Z46" s="44" t="str">
        <f aca="false">IF($A46="","",IF($S46&lt;&gt;"","",IF($X46&lt;=7,"0-7 d",IF($X46&lt;=14,"8-14 d",IF($X46&lt;=30,"15-30 d","over 30 d")))))</f>
        <v/>
      </c>
      <c r="AA46" s="49"/>
      <c r="AB46" s="52"/>
      <c r="AC46" s="49"/>
      <c r="AD46" s="49"/>
      <c r="AE46" s="49"/>
      <c r="AF46" s="49"/>
      <c r="AG46" s="50"/>
    </row>
    <row r="47" customFormat="false" ht="15" hidden="false" customHeight="true" outlineLevel="0" collapsed="false">
      <c r="A47" s="48"/>
      <c r="B47" s="49"/>
      <c r="C47" s="49"/>
      <c r="D47" s="49"/>
      <c r="E47" s="49"/>
      <c r="F47" s="50"/>
      <c r="G47" s="49"/>
      <c r="H47" s="49"/>
      <c r="I47" s="49"/>
      <c r="J47" s="49"/>
      <c r="K47" s="50"/>
      <c r="L47" s="50"/>
      <c r="M47" s="49"/>
      <c r="N47" s="51"/>
      <c r="O47" s="49"/>
      <c r="P47" s="44" t="str">
        <f aca="false">IF($A47="","",IFERROR(INDEX(01_CONTROL!$B$15:$B$18,MATCH($O47,01_CONTROL!$A$15:$A$18,0)),14))</f>
        <v/>
      </c>
      <c r="Q47" s="45" t="str">
        <f aca="false">IF($A47="","",IF($N47="","",$N47+$P47))</f>
        <v/>
      </c>
      <c r="R47" s="49"/>
      <c r="S47" s="51"/>
      <c r="T47" s="50"/>
      <c r="U47" s="49"/>
      <c r="V47" s="49"/>
      <c r="W47" s="51"/>
      <c r="X47" s="44" t="str">
        <f aca="true">IF($A47="","",IF($N47="","",IF($S47="",TODAY()-$N47,$S47-$N47)))</f>
        <v/>
      </c>
      <c r="Y47" s="46" t="str">
        <f aca="true">IF($A47="","",IF(OR($V47="Closed",$V47="Void / withdrawn"),IF($S47="","Closed without response",IF($S47&gt;$Q47,"Answered late","Answered on time")),IF($S47&lt;&gt;"",IF($S47&gt;$Q47,"Answered late","Answered on time"),IF(TODAY()&gt;$Q47,"OVERDUE "&amp;TEXT(TODAY()-$Q47,"0")&amp;" d",TEXT($Q47-TODAY(),"0")&amp;" d left"))))</f>
        <v/>
      </c>
      <c r="Z47" s="44" t="str">
        <f aca="false">IF($A47="","",IF($S47&lt;&gt;"","",IF($X47&lt;=7,"0-7 d",IF($X47&lt;=14,"8-14 d",IF($X47&lt;=30,"15-30 d","over 30 d")))))</f>
        <v/>
      </c>
      <c r="AA47" s="49"/>
      <c r="AB47" s="52"/>
      <c r="AC47" s="49"/>
      <c r="AD47" s="49"/>
      <c r="AE47" s="49"/>
      <c r="AF47" s="49"/>
      <c r="AG47" s="50"/>
    </row>
    <row r="48" customFormat="false" ht="15" hidden="false" customHeight="true" outlineLevel="0" collapsed="false">
      <c r="A48" s="48"/>
      <c r="B48" s="49"/>
      <c r="C48" s="49"/>
      <c r="D48" s="49"/>
      <c r="E48" s="49"/>
      <c r="F48" s="50"/>
      <c r="G48" s="49"/>
      <c r="H48" s="49"/>
      <c r="I48" s="49"/>
      <c r="J48" s="49"/>
      <c r="K48" s="50"/>
      <c r="L48" s="50"/>
      <c r="M48" s="49"/>
      <c r="N48" s="51"/>
      <c r="O48" s="49"/>
      <c r="P48" s="44" t="str">
        <f aca="false">IF($A48="","",IFERROR(INDEX(01_CONTROL!$B$15:$B$18,MATCH($O48,01_CONTROL!$A$15:$A$18,0)),14))</f>
        <v/>
      </c>
      <c r="Q48" s="45" t="str">
        <f aca="false">IF($A48="","",IF($N48="","",$N48+$P48))</f>
        <v/>
      </c>
      <c r="R48" s="49"/>
      <c r="S48" s="51"/>
      <c r="T48" s="50"/>
      <c r="U48" s="49"/>
      <c r="V48" s="49"/>
      <c r="W48" s="51"/>
      <c r="X48" s="44" t="str">
        <f aca="true">IF($A48="","",IF($N48="","",IF($S48="",TODAY()-$N48,$S48-$N48)))</f>
        <v/>
      </c>
      <c r="Y48" s="46" t="str">
        <f aca="true">IF($A48="","",IF(OR($V48="Closed",$V48="Void / withdrawn"),IF($S48="","Closed without response",IF($S48&gt;$Q48,"Answered late","Answered on time")),IF($S48&lt;&gt;"",IF($S48&gt;$Q48,"Answered late","Answered on time"),IF(TODAY()&gt;$Q48,"OVERDUE "&amp;TEXT(TODAY()-$Q48,"0")&amp;" d",TEXT($Q48-TODAY(),"0")&amp;" d left"))))</f>
        <v/>
      </c>
      <c r="Z48" s="44" t="str">
        <f aca="false">IF($A48="","",IF($S48&lt;&gt;"","",IF($X48&lt;=7,"0-7 d",IF($X48&lt;=14,"8-14 d",IF($X48&lt;=30,"15-30 d","over 30 d")))))</f>
        <v/>
      </c>
      <c r="AA48" s="49"/>
      <c r="AB48" s="52"/>
      <c r="AC48" s="49"/>
      <c r="AD48" s="49"/>
      <c r="AE48" s="49"/>
      <c r="AF48" s="49"/>
      <c r="AG48" s="50"/>
    </row>
    <row r="49" customFormat="false" ht="15" hidden="false" customHeight="true" outlineLevel="0" collapsed="false">
      <c r="A49" s="48"/>
      <c r="B49" s="49"/>
      <c r="C49" s="49"/>
      <c r="D49" s="49"/>
      <c r="E49" s="49"/>
      <c r="F49" s="50"/>
      <c r="G49" s="49"/>
      <c r="H49" s="49"/>
      <c r="I49" s="49"/>
      <c r="J49" s="49"/>
      <c r="K49" s="50"/>
      <c r="L49" s="50"/>
      <c r="M49" s="49"/>
      <c r="N49" s="51"/>
      <c r="O49" s="49"/>
      <c r="P49" s="44" t="str">
        <f aca="false">IF($A49="","",IFERROR(INDEX(01_CONTROL!$B$15:$B$18,MATCH($O49,01_CONTROL!$A$15:$A$18,0)),14))</f>
        <v/>
      </c>
      <c r="Q49" s="45" t="str">
        <f aca="false">IF($A49="","",IF($N49="","",$N49+$P49))</f>
        <v/>
      </c>
      <c r="R49" s="49"/>
      <c r="S49" s="51"/>
      <c r="T49" s="50"/>
      <c r="U49" s="49"/>
      <c r="V49" s="49"/>
      <c r="W49" s="51"/>
      <c r="X49" s="44" t="str">
        <f aca="true">IF($A49="","",IF($N49="","",IF($S49="",TODAY()-$N49,$S49-$N49)))</f>
        <v/>
      </c>
      <c r="Y49" s="46" t="str">
        <f aca="true">IF($A49="","",IF(OR($V49="Closed",$V49="Void / withdrawn"),IF($S49="","Closed without response",IF($S49&gt;$Q49,"Answered late","Answered on time")),IF($S49&lt;&gt;"",IF($S49&gt;$Q49,"Answered late","Answered on time"),IF(TODAY()&gt;$Q49,"OVERDUE "&amp;TEXT(TODAY()-$Q49,"0")&amp;" d",TEXT($Q49-TODAY(),"0")&amp;" d left"))))</f>
        <v/>
      </c>
      <c r="Z49" s="44" t="str">
        <f aca="false">IF($A49="","",IF($S49&lt;&gt;"","",IF($X49&lt;=7,"0-7 d",IF($X49&lt;=14,"8-14 d",IF($X49&lt;=30,"15-30 d","over 30 d")))))</f>
        <v/>
      </c>
      <c r="AA49" s="49"/>
      <c r="AB49" s="52"/>
      <c r="AC49" s="49"/>
      <c r="AD49" s="49"/>
      <c r="AE49" s="49"/>
      <c r="AF49" s="49"/>
      <c r="AG49" s="50"/>
    </row>
    <row r="50" customFormat="false" ht="15" hidden="false" customHeight="true" outlineLevel="0" collapsed="false">
      <c r="A50" s="48"/>
      <c r="B50" s="49"/>
      <c r="C50" s="49"/>
      <c r="D50" s="49"/>
      <c r="E50" s="49"/>
      <c r="F50" s="50"/>
      <c r="G50" s="49"/>
      <c r="H50" s="49"/>
      <c r="I50" s="49"/>
      <c r="J50" s="49"/>
      <c r="K50" s="50"/>
      <c r="L50" s="50"/>
      <c r="M50" s="49"/>
      <c r="N50" s="51"/>
      <c r="O50" s="49"/>
      <c r="P50" s="44" t="str">
        <f aca="false">IF($A50="","",IFERROR(INDEX(01_CONTROL!$B$15:$B$18,MATCH($O50,01_CONTROL!$A$15:$A$18,0)),14))</f>
        <v/>
      </c>
      <c r="Q50" s="45" t="str">
        <f aca="false">IF($A50="","",IF($N50="","",$N50+$P50))</f>
        <v/>
      </c>
      <c r="R50" s="49"/>
      <c r="S50" s="51"/>
      <c r="T50" s="50"/>
      <c r="U50" s="49"/>
      <c r="V50" s="49"/>
      <c r="W50" s="51"/>
      <c r="X50" s="44" t="str">
        <f aca="true">IF($A50="","",IF($N50="","",IF($S50="",TODAY()-$N50,$S50-$N50)))</f>
        <v/>
      </c>
      <c r="Y50" s="46" t="str">
        <f aca="true">IF($A50="","",IF(OR($V50="Closed",$V50="Void / withdrawn"),IF($S50="","Closed without response",IF($S50&gt;$Q50,"Answered late","Answered on time")),IF($S50&lt;&gt;"",IF($S50&gt;$Q50,"Answered late","Answered on time"),IF(TODAY()&gt;$Q50,"OVERDUE "&amp;TEXT(TODAY()-$Q50,"0")&amp;" d",TEXT($Q50-TODAY(),"0")&amp;" d left"))))</f>
        <v/>
      </c>
      <c r="Z50" s="44" t="str">
        <f aca="false">IF($A50="","",IF($S50&lt;&gt;"","",IF($X50&lt;=7,"0-7 d",IF($X50&lt;=14,"8-14 d",IF($X50&lt;=30,"15-30 d","over 30 d")))))</f>
        <v/>
      </c>
      <c r="AA50" s="49"/>
      <c r="AB50" s="52"/>
      <c r="AC50" s="49"/>
      <c r="AD50" s="49"/>
      <c r="AE50" s="49"/>
      <c r="AF50" s="49"/>
      <c r="AG50" s="50"/>
    </row>
    <row r="51" customFormat="false" ht="15" hidden="false" customHeight="true" outlineLevel="0" collapsed="false">
      <c r="A51" s="48"/>
      <c r="B51" s="49"/>
      <c r="C51" s="49"/>
      <c r="D51" s="49"/>
      <c r="E51" s="49"/>
      <c r="F51" s="50"/>
      <c r="G51" s="49"/>
      <c r="H51" s="49"/>
      <c r="I51" s="49"/>
      <c r="J51" s="49"/>
      <c r="K51" s="50"/>
      <c r="L51" s="50"/>
      <c r="M51" s="49"/>
      <c r="N51" s="51"/>
      <c r="O51" s="49"/>
      <c r="P51" s="44" t="str">
        <f aca="false">IF($A51="","",IFERROR(INDEX(01_CONTROL!$B$15:$B$18,MATCH($O51,01_CONTROL!$A$15:$A$18,0)),14))</f>
        <v/>
      </c>
      <c r="Q51" s="45" t="str">
        <f aca="false">IF($A51="","",IF($N51="","",$N51+$P51))</f>
        <v/>
      </c>
      <c r="R51" s="49"/>
      <c r="S51" s="51"/>
      <c r="T51" s="50"/>
      <c r="U51" s="49"/>
      <c r="V51" s="49"/>
      <c r="W51" s="51"/>
      <c r="X51" s="44" t="str">
        <f aca="true">IF($A51="","",IF($N51="","",IF($S51="",TODAY()-$N51,$S51-$N51)))</f>
        <v/>
      </c>
      <c r="Y51" s="46" t="str">
        <f aca="true">IF($A51="","",IF(OR($V51="Closed",$V51="Void / withdrawn"),IF($S51="","Closed without response",IF($S51&gt;$Q51,"Answered late","Answered on time")),IF($S51&lt;&gt;"",IF($S51&gt;$Q51,"Answered late","Answered on time"),IF(TODAY()&gt;$Q51,"OVERDUE "&amp;TEXT(TODAY()-$Q51,"0")&amp;" d",TEXT($Q51-TODAY(),"0")&amp;" d left"))))</f>
        <v/>
      </c>
      <c r="Z51" s="44" t="str">
        <f aca="false">IF($A51="","",IF($S51&lt;&gt;"","",IF($X51&lt;=7,"0-7 d",IF($X51&lt;=14,"8-14 d",IF($X51&lt;=30,"15-30 d","over 30 d")))))</f>
        <v/>
      </c>
      <c r="AA51" s="49"/>
      <c r="AB51" s="52"/>
      <c r="AC51" s="49"/>
      <c r="AD51" s="49"/>
      <c r="AE51" s="49"/>
      <c r="AF51" s="49"/>
      <c r="AG51" s="50"/>
    </row>
    <row r="52" customFormat="false" ht="15" hidden="false" customHeight="true" outlineLevel="0" collapsed="false">
      <c r="A52" s="48"/>
      <c r="B52" s="49"/>
      <c r="C52" s="49"/>
      <c r="D52" s="49"/>
      <c r="E52" s="49"/>
      <c r="F52" s="50"/>
      <c r="G52" s="49"/>
      <c r="H52" s="49"/>
      <c r="I52" s="49"/>
      <c r="J52" s="49"/>
      <c r="K52" s="50"/>
      <c r="L52" s="50"/>
      <c r="M52" s="49"/>
      <c r="N52" s="51"/>
      <c r="O52" s="49"/>
      <c r="P52" s="44" t="str">
        <f aca="false">IF($A52="","",IFERROR(INDEX(01_CONTROL!$B$15:$B$18,MATCH($O52,01_CONTROL!$A$15:$A$18,0)),14))</f>
        <v/>
      </c>
      <c r="Q52" s="45" t="str">
        <f aca="false">IF($A52="","",IF($N52="","",$N52+$P52))</f>
        <v/>
      </c>
      <c r="R52" s="49"/>
      <c r="S52" s="51"/>
      <c r="T52" s="50"/>
      <c r="U52" s="49"/>
      <c r="V52" s="49"/>
      <c r="W52" s="51"/>
      <c r="X52" s="44" t="str">
        <f aca="true">IF($A52="","",IF($N52="","",IF($S52="",TODAY()-$N52,$S52-$N52)))</f>
        <v/>
      </c>
      <c r="Y52" s="46" t="str">
        <f aca="true">IF($A52="","",IF(OR($V52="Closed",$V52="Void / withdrawn"),IF($S52="","Closed without response",IF($S52&gt;$Q52,"Answered late","Answered on time")),IF($S52&lt;&gt;"",IF($S52&gt;$Q52,"Answered late","Answered on time"),IF(TODAY()&gt;$Q52,"OVERDUE "&amp;TEXT(TODAY()-$Q52,"0")&amp;" d",TEXT($Q52-TODAY(),"0")&amp;" d left"))))</f>
        <v/>
      </c>
      <c r="Z52" s="44" t="str">
        <f aca="false">IF($A52="","",IF($S52&lt;&gt;"","",IF($X52&lt;=7,"0-7 d",IF($X52&lt;=14,"8-14 d",IF($X52&lt;=30,"15-30 d","over 30 d")))))</f>
        <v/>
      </c>
      <c r="AA52" s="49"/>
      <c r="AB52" s="52"/>
      <c r="AC52" s="49"/>
      <c r="AD52" s="49"/>
      <c r="AE52" s="49"/>
      <c r="AF52" s="49"/>
      <c r="AG52" s="50"/>
    </row>
    <row r="53" customFormat="false" ht="15" hidden="false" customHeight="true" outlineLevel="0" collapsed="false">
      <c r="A53" s="48"/>
      <c r="B53" s="49"/>
      <c r="C53" s="49"/>
      <c r="D53" s="49"/>
      <c r="E53" s="49"/>
      <c r="F53" s="50"/>
      <c r="G53" s="49"/>
      <c r="H53" s="49"/>
      <c r="I53" s="49"/>
      <c r="J53" s="49"/>
      <c r="K53" s="50"/>
      <c r="L53" s="50"/>
      <c r="M53" s="49"/>
      <c r="N53" s="51"/>
      <c r="O53" s="49"/>
      <c r="P53" s="44" t="str">
        <f aca="false">IF($A53="","",IFERROR(INDEX(01_CONTROL!$B$15:$B$18,MATCH($O53,01_CONTROL!$A$15:$A$18,0)),14))</f>
        <v/>
      </c>
      <c r="Q53" s="45" t="str">
        <f aca="false">IF($A53="","",IF($N53="","",$N53+$P53))</f>
        <v/>
      </c>
      <c r="R53" s="49"/>
      <c r="S53" s="51"/>
      <c r="T53" s="50"/>
      <c r="U53" s="49"/>
      <c r="V53" s="49"/>
      <c r="W53" s="51"/>
      <c r="X53" s="44" t="str">
        <f aca="true">IF($A53="","",IF($N53="","",IF($S53="",TODAY()-$N53,$S53-$N53)))</f>
        <v/>
      </c>
      <c r="Y53" s="46" t="str">
        <f aca="true">IF($A53="","",IF(OR($V53="Closed",$V53="Void / withdrawn"),IF($S53="","Closed without response",IF($S53&gt;$Q53,"Answered late","Answered on time")),IF($S53&lt;&gt;"",IF($S53&gt;$Q53,"Answered late","Answered on time"),IF(TODAY()&gt;$Q53,"OVERDUE "&amp;TEXT(TODAY()-$Q53,"0")&amp;" d",TEXT($Q53-TODAY(),"0")&amp;" d left"))))</f>
        <v/>
      </c>
      <c r="Z53" s="44" t="str">
        <f aca="false">IF($A53="","",IF($S53&lt;&gt;"","",IF($X53&lt;=7,"0-7 d",IF($X53&lt;=14,"8-14 d",IF($X53&lt;=30,"15-30 d","over 30 d")))))</f>
        <v/>
      </c>
      <c r="AA53" s="49"/>
      <c r="AB53" s="52"/>
      <c r="AC53" s="49"/>
      <c r="AD53" s="49"/>
      <c r="AE53" s="49"/>
      <c r="AF53" s="49"/>
      <c r="AG53" s="50"/>
    </row>
    <row r="54" customFormat="false" ht="15" hidden="false" customHeight="true" outlineLevel="0" collapsed="false">
      <c r="A54" s="48"/>
      <c r="B54" s="49"/>
      <c r="C54" s="49"/>
      <c r="D54" s="49"/>
      <c r="E54" s="49"/>
      <c r="F54" s="50"/>
      <c r="G54" s="49"/>
      <c r="H54" s="49"/>
      <c r="I54" s="49"/>
      <c r="J54" s="49"/>
      <c r="K54" s="50"/>
      <c r="L54" s="50"/>
      <c r="M54" s="49"/>
      <c r="N54" s="51"/>
      <c r="O54" s="49"/>
      <c r="P54" s="44" t="str">
        <f aca="false">IF($A54="","",IFERROR(INDEX(01_CONTROL!$B$15:$B$18,MATCH($O54,01_CONTROL!$A$15:$A$18,0)),14))</f>
        <v/>
      </c>
      <c r="Q54" s="45" t="str">
        <f aca="false">IF($A54="","",IF($N54="","",$N54+$P54))</f>
        <v/>
      </c>
      <c r="R54" s="49"/>
      <c r="S54" s="51"/>
      <c r="T54" s="50"/>
      <c r="U54" s="49"/>
      <c r="V54" s="49"/>
      <c r="W54" s="51"/>
      <c r="X54" s="44" t="str">
        <f aca="true">IF($A54="","",IF($N54="","",IF($S54="",TODAY()-$N54,$S54-$N54)))</f>
        <v/>
      </c>
      <c r="Y54" s="46" t="str">
        <f aca="true">IF($A54="","",IF(OR($V54="Closed",$V54="Void / withdrawn"),IF($S54="","Closed without response",IF($S54&gt;$Q54,"Answered late","Answered on time")),IF($S54&lt;&gt;"",IF($S54&gt;$Q54,"Answered late","Answered on time"),IF(TODAY()&gt;$Q54,"OVERDUE "&amp;TEXT(TODAY()-$Q54,"0")&amp;" d",TEXT($Q54-TODAY(),"0")&amp;" d left"))))</f>
        <v/>
      </c>
      <c r="Z54" s="44" t="str">
        <f aca="false">IF($A54="","",IF($S54&lt;&gt;"","",IF($X54&lt;=7,"0-7 d",IF($X54&lt;=14,"8-14 d",IF($X54&lt;=30,"15-30 d","over 30 d")))))</f>
        <v/>
      </c>
      <c r="AA54" s="49"/>
      <c r="AB54" s="52"/>
      <c r="AC54" s="49"/>
      <c r="AD54" s="49"/>
      <c r="AE54" s="49"/>
      <c r="AF54" s="49"/>
      <c r="AG54" s="50"/>
    </row>
    <row r="55" customFormat="false" ht="15" hidden="false" customHeight="true" outlineLevel="0" collapsed="false">
      <c r="A55" s="48"/>
      <c r="B55" s="49"/>
      <c r="C55" s="49"/>
      <c r="D55" s="49"/>
      <c r="E55" s="49"/>
      <c r="F55" s="50"/>
      <c r="G55" s="49"/>
      <c r="H55" s="49"/>
      <c r="I55" s="49"/>
      <c r="J55" s="49"/>
      <c r="K55" s="50"/>
      <c r="L55" s="50"/>
      <c r="M55" s="49"/>
      <c r="N55" s="51"/>
      <c r="O55" s="49"/>
      <c r="P55" s="44" t="str">
        <f aca="false">IF($A55="","",IFERROR(INDEX(01_CONTROL!$B$15:$B$18,MATCH($O55,01_CONTROL!$A$15:$A$18,0)),14))</f>
        <v/>
      </c>
      <c r="Q55" s="45" t="str">
        <f aca="false">IF($A55="","",IF($N55="","",$N55+$P55))</f>
        <v/>
      </c>
      <c r="R55" s="49"/>
      <c r="S55" s="51"/>
      <c r="T55" s="50"/>
      <c r="U55" s="49"/>
      <c r="V55" s="49"/>
      <c r="W55" s="51"/>
      <c r="X55" s="44" t="str">
        <f aca="true">IF($A55="","",IF($N55="","",IF($S55="",TODAY()-$N55,$S55-$N55)))</f>
        <v/>
      </c>
      <c r="Y55" s="46" t="str">
        <f aca="true">IF($A55="","",IF(OR($V55="Closed",$V55="Void / withdrawn"),IF($S55="","Closed without response",IF($S55&gt;$Q55,"Answered late","Answered on time")),IF($S55&lt;&gt;"",IF($S55&gt;$Q55,"Answered late","Answered on time"),IF(TODAY()&gt;$Q55,"OVERDUE "&amp;TEXT(TODAY()-$Q55,"0")&amp;" d",TEXT($Q55-TODAY(),"0")&amp;" d left"))))</f>
        <v/>
      </c>
      <c r="Z55" s="44" t="str">
        <f aca="false">IF($A55="","",IF($S55&lt;&gt;"","",IF($X55&lt;=7,"0-7 d",IF($X55&lt;=14,"8-14 d",IF($X55&lt;=30,"15-30 d","over 30 d")))))</f>
        <v/>
      </c>
      <c r="AA55" s="49"/>
      <c r="AB55" s="52"/>
      <c r="AC55" s="49"/>
      <c r="AD55" s="49"/>
      <c r="AE55" s="49"/>
      <c r="AF55" s="49"/>
      <c r="AG55" s="50"/>
    </row>
    <row r="56" customFormat="false" ht="15" hidden="false" customHeight="true" outlineLevel="0" collapsed="false">
      <c r="A56" s="48"/>
      <c r="B56" s="49"/>
      <c r="C56" s="49"/>
      <c r="D56" s="49"/>
      <c r="E56" s="49"/>
      <c r="F56" s="50"/>
      <c r="G56" s="49"/>
      <c r="H56" s="49"/>
      <c r="I56" s="49"/>
      <c r="J56" s="49"/>
      <c r="K56" s="50"/>
      <c r="L56" s="50"/>
      <c r="M56" s="49"/>
      <c r="N56" s="51"/>
      <c r="O56" s="49"/>
      <c r="P56" s="44" t="str">
        <f aca="false">IF($A56="","",IFERROR(INDEX(01_CONTROL!$B$15:$B$18,MATCH($O56,01_CONTROL!$A$15:$A$18,0)),14))</f>
        <v/>
      </c>
      <c r="Q56" s="45" t="str">
        <f aca="false">IF($A56="","",IF($N56="","",$N56+$P56))</f>
        <v/>
      </c>
      <c r="R56" s="49"/>
      <c r="S56" s="51"/>
      <c r="T56" s="50"/>
      <c r="U56" s="49"/>
      <c r="V56" s="49"/>
      <c r="W56" s="51"/>
      <c r="X56" s="44" t="str">
        <f aca="true">IF($A56="","",IF($N56="","",IF($S56="",TODAY()-$N56,$S56-$N56)))</f>
        <v/>
      </c>
      <c r="Y56" s="46" t="str">
        <f aca="true">IF($A56="","",IF(OR($V56="Closed",$V56="Void / withdrawn"),IF($S56="","Closed without response",IF($S56&gt;$Q56,"Answered late","Answered on time")),IF($S56&lt;&gt;"",IF($S56&gt;$Q56,"Answered late","Answered on time"),IF(TODAY()&gt;$Q56,"OVERDUE "&amp;TEXT(TODAY()-$Q56,"0")&amp;" d",TEXT($Q56-TODAY(),"0")&amp;" d left"))))</f>
        <v/>
      </c>
      <c r="Z56" s="44" t="str">
        <f aca="false">IF($A56="","",IF($S56&lt;&gt;"","",IF($X56&lt;=7,"0-7 d",IF($X56&lt;=14,"8-14 d",IF($X56&lt;=30,"15-30 d","over 30 d")))))</f>
        <v/>
      </c>
      <c r="AA56" s="49"/>
      <c r="AB56" s="52"/>
      <c r="AC56" s="49"/>
      <c r="AD56" s="49"/>
      <c r="AE56" s="49"/>
      <c r="AF56" s="49"/>
      <c r="AG56" s="50"/>
    </row>
    <row r="57" customFormat="false" ht="15" hidden="false" customHeight="true" outlineLevel="0" collapsed="false">
      <c r="A57" s="48"/>
      <c r="B57" s="49"/>
      <c r="C57" s="49"/>
      <c r="D57" s="49"/>
      <c r="E57" s="49"/>
      <c r="F57" s="50"/>
      <c r="G57" s="49"/>
      <c r="H57" s="49"/>
      <c r="I57" s="49"/>
      <c r="J57" s="49"/>
      <c r="K57" s="50"/>
      <c r="L57" s="50"/>
      <c r="M57" s="49"/>
      <c r="N57" s="51"/>
      <c r="O57" s="49"/>
      <c r="P57" s="44" t="str">
        <f aca="false">IF($A57="","",IFERROR(INDEX(01_CONTROL!$B$15:$B$18,MATCH($O57,01_CONTROL!$A$15:$A$18,0)),14))</f>
        <v/>
      </c>
      <c r="Q57" s="45" t="str">
        <f aca="false">IF($A57="","",IF($N57="","",$N57+$P57))</f>
        <v/>
      </c>
      <c r="R57" s="49"/>
      <c r="S57" s="51"/>
      <c r="T57" s="50"/>
      <c r="U57" s="49"/>
      <c r="V57" s="49"/>
      <c r="W57" s="51"/>
      <c r="X57" s="44" t="str">
        <f aca="true">IF($A57="","",IF($N57="","",IF($S57="",TODAY()-$N57,$S57-$N57)))</f>
        <v/>
      </c>
      <c r="Y57" s="46" t="str">
        <f aca="true">IF($A57="","",IF(OR($V57="Closed",$V57="Void / withdrawn"),IF($S57="","Closed without response",IF($S57&gt;$Q57,"Answered late","Answered on time")),IF($S57&lt;&gt;"",IF($S57&gt;$Q57,"Answered late","Answered on time"),IF(TODAY()&gt;$Q57,"OVERDUE "&amp;TEXT(TODAY()-$Q57,"0")&amp;" d",TEXT($Q57-TODAY(),"0")&amp;" d left"))))</f>
        <v/>
      </c>
      <c r="Z57" s="44" t="str">
        <f aca="false">IF($A57="","",IF($S57&lt;&gt;"","",IF($X57&lt;=7,"0-7 d",IF($X57&lt;=14,"8-14 d",IF($X57&lt;=30,"15-30 d","over 30 d")))))</f>
        <v/>
      </c>
      <c r="AA57" s="49"/>
      <c r="AB57" s="52"/>
      <c r="AC57" s="49"/>
      <c r="AD57" s="49"/>
      <c r="AE57" s="49"/>
      <c r="AF57" s="49"/>
      <c r="AG57" s="50"/>
    </row>
    <row r="58" customFormat="false" ht="15" hidden="false" customHeight="true" outlineLevel="0" collapsed="false">
      <c r="A58" s="48"/>
      <c r="B58" s="49"/>
      <c r="C58" s="49"/>
      <c r="D58" s="49"/>
      <c r="E58" s="49"/>
      <c r="F58" s="50"/>
      <c r="G58" s="49"/>
      <c r="H58" s="49"/>
      <c r="I58" s="49"/>
      <c r="J58" s="49"/>
      <c r="K58" s="50"/>
      <c r="L58" s="50"/>
      <c r="M58" s="49"/>
      <c r="N58" s="51"/>
      <c r="O58" s="49"/>
      <c r="P58" s="44" t="str">
        <f aca="false">IF($A58="","",IFERROR(INDEX(01_CONTROL!$B$15:$B$18,MATCH($O58,01_CONTROL!$A$15:$A$18,0)),14))</f>
        <v/>
      </c>
      <c r="Q58" s="45" t="str">
        <f aca="false">IF($A58="","",IF($N58="","",$N58+$P58))</f>
        <v/>
      </c>
      <c r="R58" s="49"/>
      <c r="S58" s="51"/>
      <c r="T58" s="50"/>
      <c r="U58" s="49"/>
      <c r="V58" s="49"/>
      <c r="W58" s="51"/>
      <c r="X58" s="44" t="str">
        <f aca="true">IF($A58="","",IF($N58="","",IF($S58="",TODAY()-$N58,$S58-$N58)))</f>
        <v/>
      </c>
      <c r="Y58" s="46" t="str">
        <f aca="true">IF($A58="","",IF(OR($V58="Closed",$V58="Void / withdrawn"),IF($S58="","Closed without response",IF($S58&gt;$Q58,"Answered late","Answered on time")),IF($S58&lt;&gt;"",IF($S58&gt;$Q58,"Answered late","Answered on time"),IF(TODAY()&gt;$Q58,"OVERDUE "&amp;TEXT(TODAY()-$Q58,"0")&amp;" d",TEXT($Q58-TODAY(),"0")&amp;" d left"))))</f>
        <v/>
      </c>
      <c r="Z58" s="44" t="str">
        <f aca="false">IF($A58="","",IF($S58&lt;&gt;"","",IF($X58&lt;=7,"0-7 d",IF($X58&lt;=14,"8-14 d",IF($X58&lt;=30,"15-30 d","over 30 d")))))</f>
        <v/>
      </c>
      <c r="AA58" s="49"/>
      <c r="AB58" s="52"/>
      <c r="AC58" s="49"/>
      <c r="AD58" s="49"/>
      <c r="AE58" s="49"/>
      <c r="AF58" s="49"/>
      <c r="AG58" s="50"/>
    </row>
    <row r="59" customFormat="false" ht="15" hidden="false" customHeight="true" outlineLevel="0" collapsed="false">
      <c r="A59" s="48"/>
      <c r="B59" s="49"/>
      <c r="C59" s="49"/>
      <c r="D59" s="49"/>
      <c r="E59" s="49"/>
      <c r="F59" s="50"/>
      <c r="G59" s="49"/>
      <c r="H59" s="49"/>
      <c r="I59" s="49"/>
      <c r="J59" s="49"/>
      <c r="K59" s="50"/>
      <c r="L59" s="50"/>
      <c r="M59" s="49"/>
      <c r="N59" s="51"/>
      <c r="O59" s="49"/>
      <c r="P59" s="44" t="str">
        <f aca="false">IF($A59="","",IFERROR(INDEX(01_CONTROL!$B$15:$B$18,MATCH($O59,01_CONTROL!$A$15:$A$18,0)),14))</f>
        <v/>
      </c>
      <c r="Q59" s="45" t="str">
        <f aca="false">IF($A59="","",IF($N59="","",$N59+$P59))</f>
        <v/>
      </c>
      <c r="R59" s="49"/>
      <c r="S59" s="51"/>
      <c r="T59" s="50"/>
      <c r="U59" s="49"/>
      <c r="V59" s="49"/>
      <c r="W59" s="51"/>
      <c r="X59" s="44" t="str">
        <f aca="true">IF($A59="","",IF($N59="","",IF($S59="",TODAY()-$N59,$S59-$N59)))</f>
        <v/>
      </c>
      <c r="Y59" s="46" t="str">
        <f aca="true">IF($A59="","",IF(OR($V59="Closed",$V59="Void / withdrawn"),IF($S59="","Closed without response",IF($S59&gt;$Q59,"Answered late","Answered on time")),IF($S59&lt;&gt;"",IF($S59&gt;$Q59,"Answered late","Answered on time"),IF(TODAY()&gt;$Q59,"OVERDUE "&amp;TEXT(TODAY()-$Q59,"0")&amp;" d",TEXT($Q59-TODAY(),"0")&amp;" d left"))))</f>
        <v/>
      </c>
      <c r="Z59" s="44" t="str">
        <f aca="false">IF($A59="","",IF($S59&lt;&gt;"","",IF($X59&lt;=7,"0-7 d",IF($X59&lt;=14,"8-14 d",IF($X59&lt;=30,"15-30 d","over 30 d")))))</f>
        <v/>
      </c>
      <c r="AA59" s="49"/>
      <c r="AB59" s="52"/>
      <c r="AC59" s="49"/>
      <c r="AD59" s="49"/>
      <c r="AE59" s="49"/>
      <c r="AF59" s="49"/>
      <c r="AG59" s="50"/>
    </row>
    <row r="60" customFormat="false" ht="15" hidden="false" customHeight="true" outlineLevel="0" collapsed="false">
      <c r="A60" s="48"/>
      <c r="B60" s="49"/>
      <c r="C60" s="49"/>
      <c r="D60" s="49"/>
      <c r="E60" s="49"/>
      <c r="F60" s="50"/>
      <c r="G60" s="49"/>
      <c r="H60" s="49"/>
      <c r="I60" s="49"/>
      <c r="J60" s="49"/>
      <c r="K60" s="50"/>
      <c r="L60" s="50"/>
      <c r="M60" s="49"/>
      <c r="N60" s="51"/>
      <c r="O60" s="49"/>
      <c r="P60" s="44" t="str">
        <f aca="false">IF($A60="","",IFERROR(INDEX(01_CONTROL!$B$15:$B$18,MATCH($O60,01_CONTROL!$A$15:$A$18,0)),14))</f>
        <v/>
      </c>
      <c r="Q60" s="45" t="str">
        <f aca="false">IF($A60="","",IF($N60="","",$N60+$P60))</f>
        <v/>
      </c>
      <c r="R60" s="49"/>
      <c r="S60" s="51"/>
      <c r="T60" s="50"/>
      <c r="U60" s="49"/>
      <c r="V60" s="49"/>
      <c r="W60" s="51"/>
      <c r="X60" s="44" t="str">
        <f aca="true">IF($A60="","",IF($N60="","",IF($S60="",TODAY()-$N60,$S60-$N60)))</f>
        <v/>
      </c>
      <c r="Y60" s="46" t="str">
        <f aca="true">IF($A60="","",IF(OR($V60="Closed",$V60="Void / withdrawn"),IF($S60="","Closed without response",IF($S60&gt;$Q60,"Answered late","Answered on time")),IF($S60&lt;&gt;"",IF($S60&gt;$Q60,"Answered late","Answered on time"),IF(TODAY()&gt;$Q60,"OVERDUE "&amp;TEXT(TODAY()-$Q60,"0")&amp;" d",TEXT($Q60-TODAY(),"0")&amp;" d left"))))</f>
        <v/>
      </c>
      <c r="Z60" s="44" t="str">
        <f aca="false">IF($A60="","",IF($S60&lt;&gt;"","",IF($X60&lt;=7,"0-7 d",IF($X60&lt;=14,"8-14 d",IF($X60&lt;=30,"15-30 d","over 30 d")))))</f>
        <v/>
      </c>
      <c r="AA60" s="49"/>
      <c r="AB60" s="52"/>
      <c r="AC60" s="49"/>
      <c r="AD60" s="49"/>
      <c r="AE60" s="49"/>
      <c r="AF60" s="49"/>
      <c r="AG60" s="50"/>
    </row>
    <row r="61" customFormat="false" ht="15" hidden="false" customHeight="true" outlineLevel="0" collapsed="false">
      <c r="A61" s="48"/>
      <c r="B61" s="49"/>
      <c r="C61" s="49"/>
      <c r="D61" s="49"/>
      <c r="E61" s="49"/>
      <c r="F61" s="50"/>
      <c r="G61" s="49"/>
      <c r="H61" s="49"/>
      <c r="I61" s="49"/>
      <c r="J61" s="49"/>
      <c r="K61" s="50"/>
      <c r="L61" s="50"/>
      <c r="M61" s="49"/>
      <c r="N61" s="51"/>
      <c r="O61" s="49"/>
      <c r="P61" s="44" t="str">
        <f aca="false">IF($A61="","",IFERROR(INDEX(01_CONTROL!$B$15:$B$18,MATCH($O61,01_CONTROL!$A$15:$A$18,0)),14))</f>
        <v/>
      </c>
      <c r="Q61" s="45" t="str">
        <f aca="false">IF($A61="","",IF($N61="","",$N61+$P61))</f>
        <v/>
      </c>
      <c r="R61" s="49"/>
      <c r="S61" s="51"/>
      <c r="T61" s="50"/>
      <c r="U61" s="49"/>
      <c r="V61" s="49"/>
      <c r="W61" s="51"/>
      <c r="X61" s="44" t="str">
        <f aca="true">IF($A61="","",IF($N61="","",IF($S61="",TODAY()-$N61,$S61-$N61)))</f>
        <v/>
      </c>
      <c r="Y61" s="46" t="str">
        <f aca="true">IF($A61="","",IF(OR($V61="Closed",$V61="Void / withdrawn"),IF($S61="","Closed without response",IF($S61&gt;$Q61,"Answered late","Answered on time")),IF($S61&lt;&gt;"",IF($S61&gt;$Q61,"Answered late","Answered on time"),IF(TODAY()&gt;$Q61,"OVERDUE "&amp;TEXT(TODAY()-$Q61,"0")&amp;" d",TEXT($Q61-TODAY(),"0")&amp;" d left"))))</f>
        <v/>
      </c>
      <c r="Z61" s="44" t="str">
        <f aca="false">IF($A61="","",IF($S61&lt;&gt;"","",IF($X61&lt;=7,"0-7 d",IF($X61&lt;=14,"8-14 d",IF($X61&lt;=30,"15-30 d","over 30 d")))))</f>
        <v/>
      </c>
      <c r="AA61" s="49"/>
      <c r="AB61" s="52"/>
      <c r="AC61" s="49"/>
      <c r="AD61" s="49"/>
      <c r="AE61" s="49"/>
      <c r="AF61" s="49"/>
      <c r="AG61" s="50"/>
    </row>
    <row r="62" customFormat="false" ht="15" hidden="false" customHeight="true" outlineLevel="0" collapsed="false">
      <c r="A62" s="48"/>
      <c r="B62" s="49"/>
      <c r="C62" s="49"/>
      <c r="D62" s="49"/>
      <c r="E62" s="49"/>
      <c r="F62" s="50"/>
      <c r="G62" s="49"/>
      <c r="H62" s="49"/>
      <c r="I62" s="49"/>
      <c r="J62" s="49"/>
      <c r="K62" s="50"/>
      <c r="L62" s="50"/>
      <c r="M62" s="49"/>
      <c r="N62" s="51"/>
      <c r="O62" s="49"/>
      <c r="P62" s="44" t="str">
        <f aca="false">IF($A62="","",IFERROR(INDEX(01_CONTROL!$B$15:$B$18,MATCH($O62,01_CONTROL!$A$15:$A$18,0)),14))</f>
        <v/>
      </c>
      <c r="Q62" s="45" t="str">
        <f aca="false">IF($A62="","",IF($N62="","",$N62+$P62))</f>
        <v/>
      </c>
      <c r="R62" s="49"/>
      <c r="S62" s="51"/>
      <c r="T62" s="50"/>
      <c r="U62" s="49"/>
      <c r="V62" s="49"/>
      <c r="W62" s="51"/>
      <c r="X62" s="44" t="str">
        <f aca="true">IF($A62="","",IF($N62="","",IF($S62="",TODAY()-$N62,$S62-$N62)))</f>
        <v/>
      </c>
      <c r="Y62" s="46" t="str">
        <f aca="true">IF($A62="","",IF(OR($V62="Closed",$V62="Void / withdrawn"),IF($S62="","Closed without response",IF($S62&gt;$Q62,"Answered late","Answered on time")),IF($S62&lt;&gt;"",IF($S62&gt;$Q62,"Answered late","Answered on time"),IF(TODAY()&gt;$Q62,"OVERDUE "&amp;TEXT(TODAY()-$Q62,"0")&amp;" d",TEXT($Q62-TODAY(),"0")&amp;" d left"))))</f>
        <v/>
      </c>
      <c r="Z62" s="44" t="str">
        <f aca="false">IF($A62="","",IF($S62&lt;&gt;"","",IF($X62&lt;=7,"0-7 d",IF($X62&lt;=14,"8-14 d",IF($X62&lt;=30,"15-30 d","over 30 d")))))</f>
        <v/>
      </c>
      <c r="AA62" s="49"/>
      <c r="AB62" s="52"/>
      <c r="AC62" s="49"/>
      <c r="AD62" s="49"/>
      <c r="AE62" s="49"/>
      <c r="AF62" s="49"/>
      <c r="AG62" s="50"/>
    </row>
    <row r="63" customFormat="false" ht="15" hidden="false" customHeight="true" outlineLevel="0" collapsed="false">
      <c r="A63" s="48"/>
      <c r="B63" s="49"/>
      <c r="C63" s="49"/>
      <c r="D63" s="49"/>
      <c r="E63" s="49"/>
      <c r="F63" s="50"/>
      <c r="G63" s="49"/>
      <c r="H63" s="49"/>
      <c r="I63" s="49"/>
      <c r="J63" s="49"/>
      <c r="K63" s="50"/>
      <c r="L63" s="50"/>
      <c r="M63" s="49"/>
      <c r="N63" s="51"/>
      <c r="O63" s="49"/>
      <c r="P63" s="44" t="str">
        <f aca="false">IF($A63="","",IFERROR(INDEX(01_CONTROL!$B$15:$B$18,MATCH($O63,01_CONTROL!$A$15:$A$18,0)),14))</f>
        <v/>
      </c>
      <c r="Q63" s="45" t="str">
        <f aca="false">IF($A63="","",IF($N63="","",$N63+$P63))</f>
        <v/>
      </c>
      <c r="R63" s="49"/>
      <c r="S63" s="51"/>
      <c r="T63" s="50"/>
      <c r="U63" s="49"/>
      <c r="V63" s="49"/>
      <c r="W63" s="51"/>
      <c r="X63" s="44" t="str">
        <f aca="true">IF($A63="","",IF($N63="","",IF($S63="",TODAY()-$N63,$S63-$N63)))</f>
        <v/>
      </c>
      <c r="Y63" s="46" t="str">
        <f aca="true">IF($A63="","",IF(OR($V63="Closed",$V63="Void / withdrawn"),IF($S63="","Closed without response",IF($S63&gt;$Q63,"Answered late","Answered on time")),IF($S63&lt;&gt;"",IF($S63&gt;$Q63,"Answered late","Answered on time"),IF(TODAY()&gt;$Q63,"OVERDUE "&amp;TEXT(TODAY()-$Q63,"0")&amp;" d",TEXT($Q63-TODAY(),"0")&amp;" d left"))))</f>
        <v/>
      </c>
      <c r="Z63" s="44" t="str">
        <f aca="false">IF($A63="","",IF($S63&lt;&gt;"","",IF($X63&lt;=7,"0-7 d",IF($X63&lt;=14,"8-14 d",IF($X63&lt;=30,"15-30 d","over 30 d")))))</f>
        <v/>
      </c>
      <c r="AA63" s="49"/>
      <c r="AB63" s="52"/>
      <c r="AC63" s="49"/>
      <c r="AD63" s="49"/>
      <c r="AE63" s="49"/>
      <c r="AF63" s="49"/>
      <c r="AG63" s="50"/>
    </row>
    <row r="64" customFormat="false" ht="15" hidden="false" customHeight="true" outlineLevel="0" collapsed="false">
      <c r="A64" s="48"/>
      <c r="B64" s="49"/>
      <c r="C64" s="49"/>
      <c r="D64" s="49"/>
      <c r="E64" s="49"/>
      <c r="F64" s="50"/>
      <c r="G64" s="49"/>
      <c r="H64" s="49"/>
      <c r="I64" s="49"/>
      <c r="J64" s="49"/>
      <c r="K64" s="50"/>
      <c r="L64" s="50"/>
      <c r="M64" s="49"/>
      <c r="N64" s="51"/>
      <c r="O64" s="49"/>
      <c r="P64" s="44" t="str">
        <f aca="false">IF($A64="","",IFERROR(INDEX(01_CONTROL!$B$15:$B$18,MATCH($O64,01_CONTROL!$A$15:$A$18,0)),14))</f>
        <v/>
      </c>
      <c r="Q64" s="45" t="str">
        <f aca="false">IF($A64="","",IF($N64="","",$N64+$P64))</f>
        <v/>
      </c>
      <c r="R64" s="49"/>
      <c r="S64" s="51"/>
      <c r="T64" s="50"/>
      <c r="U64" s="49"/>
      <c r="V64" s="49"/>
      <c r="W64" s="51"/>
      <c r="X64" s="44" t="str">
        <f aca="true">IF($A64="","",IF($N64="","",IF($S64="",TODAY()-$N64,$S64-$N64)))</f>
        <v/>
      </c>
      <c r="Y64" s="46" t="str">
        <f aca="true">IF($A64="","",IF(OR($V64="Closed",$V64="Void / withdrawn"),IF($S64="","Closed without response",IF($S64&gt;$Q64,"Answered late","Answered on time")),IF($S64&lt;&gt;"",IF($S64&gt;$Q64,"Answered late","Answered on time"),IF(TODAY()&gt;$Q64,"OVERDUE "&amp;TEXT(TODAY()-$Q64,"0")&amp;" d",TEXT($Q64-TODAY(),"0")&amp;" d left"))))</f>
        <v/>
      </c>
      <c r="Z64" s="44" t="str">
        <f aca="false">IF($A64="","",IF($S64&lt;&gt;"","",IF($X64&lt;=7,"0-7 d",IF($X64&lt;=14,"8-14 d",IF($X64&lt;=30,"15-30 d","over 30 d")))))</f>
        <v/>
      </c>
      <c r="AA64" s="49"/>
      <c r="AB64" s="52"/>
      <c r="AC64" s="49"/>
      <c r="AD64" s="49"/>
      <c r="AE64" s="49"/>
      <c r="AF64" s="49"/>
      <c r="AG64" s="50"/>
    </row>
    <row r="65" customFormat="false" ht="15" hidden="false" customHeight="true" outlineLevel="0" collapsed="false">
      <c r="A65" s="48"/>
      <c r="B65" s="49"/>
      <c r="C65" s="49"/>
      <c r="D65" s="49"/>
      <c r="E65" s="49"/>
      <c r="F65" s="50"/>
      <c r="G65" s="49"/>
      <c r="H65" s="49"/>
      <c r="I65" s="49"/>
      <c r="J65" s="49"/>
      <c r="K65" s="50"/>
      <c r="L65" s="50"/>
      <c r="M65" s="49"/>
      <c r="N65" s="51"/>
      <c r="O65" s="49"/>
      <c r="P65" s="44" t="str">
        <f aca="false">IF($A65="","",IFERROR(INDEX(01_CONTROL!$B$15:$B$18,MATCH($O65,01_CONTROL!$A$15:$A$18,0)),14))</f>
        <v/>
      </c>
      <c r="Q65" s="45" t="str">
        <f aca="false">IF($A65="","",IF($N65="","",$N65+$P65))</f>
        <v/>
      </c>
      <c r="R65" s="49"/>
      <c r="S65" s="51"/>
      <c r="T65" s="50"/>
      <c r="U65" s="49"/>
      <c r="V65" s="49"/>
      <c r="W65" s="51"/>
      <c r="X65" s="44" t="str">
        <f aca="true">IF($A65="","",IF($N65="","",IF($S65="",TODAY()-$N65,$S65-$N65)))</f>
        <v/>
      </c>
      <c r="Y65" s="46" t="str">
        <f aca="true">IF($A65="","",IF(OR($V65="Closed",$V65="Void / withdrawn"),IF($S65="","Closed without response",IF($S65&gt;$Q65,"Answered late","Answered on time")),IF($S65&lt;&gt;"",IF($S65&gt;$Q65,"Answered late","Answered on time"),IF(TODAY()&gt;$Q65,"OVERDUE "&amp;TEXT(TODAY()-$Q65,"0")&amp;" d",TEXT($Q65-TODAY(),"0")&amp;" d left"))))</f>
        <v/>
      </c>
      <c r="Z65" s="44" t="str">
        <f aca="false">IF($A65="","",IF($S65&lt;&gt;"","",IF($X65&lt;=7,"0-7 d",IF($X65&lt;=14,"8-14 d",IF($X65&lt;=30,"15-30 d","over 30 d")))))</f>
        <v/>
      </c>
      <c r="AA65" s="49"/>
      <c r="AB65" s="52"/>
      <c r="AC65" s="49"/>
      <c r="AD65" s="49"/>
      <c r="AE65" s="49"/>
      <c r="AF65" s="49"/>
      <c r="AG65" s="50"/>
    </row>
    <row r="66" customFormat="false" ht="15" hidden="false" customHeight="true" outlineLevel="0" collapsed="false">
      <c r="A66" s="48"/>
      <c r="B66" s="49"/>
      <c r="C66" s="49"/>
      <c r="D66" s="49"/>
      <c r="E66" s="49"/>
      <c r="F66" s="50"/>
      <c r="G66" s="49"/>
      <c r="H66" s="49"/>
      <c r="I66" s="49"/>
      <c r="J66" s="49"/>
      <c r="K66" s="50"/>
      <c r="L66" s="50"/>
      <c r="M66" s="49"/>
      <c r="N66" s="51"/>
      <c r="O66" s="49"/>
      <c r="P66" s="44" t="str">
        <f aca="false">IF($A66="","",IFERROR(INDEX(01_CONTROL!$B$15:$B$18,MATCH($O66,01_CONTROL!$A$15:$A$18,0)),14))</f>
        <v/>
      </c>
      <c r="Q66" s="45" t="str">
        <f aca="false">IF($A66="","",IF($N66="","",$N66+$P66))</f>
        <v/>
      </c>
      <c r="R66" s="49"/>
      <c r="S66" s="51"/>
      <c r="T66" s="50"/>
      <c r="U66" s="49"/>
      <c r="V66" s="49"/>
      <c r="W66" s="51"/>
      <c r="X66" s="44" t="str">
        <f aca="true">IF($A66="","",IF($N66="","",IF($S66="",TODAY()-$N66,$S66-$N66)))</f>
        <v/>
      </c>
      <c r="Y66" s="46" t="str">
        <f aca="true">IF($A66="","",IF(OR($V66="Closed",$V66="Void / withdrawn"),IF($S66="","Closed without response",IF($S66&gt;$Q66,"Answered late","Answered on time")),IF($S66&lt;&gt;"",IF($S66&gt;$Q66,"Answered late","Answered on time"),IF(TODAY()&gt;$Q66,"OVERDUE "&amp;TEXT(TODAY()-$Q66,"0")&amp;" d",TEXT($Q66-TODAY(),"0")&amp;" d left"))))</f>
        <v/>
      </c>
      <c r="Z66" s="44" t="str">
        <f aca="false">IF($A66="","",IF($S66&lt;&gt;"","",IF($X66&lt;=7,"0-7 d",IF($X66&lt;=14,"8-14 d",IF($X66&lt;=30,"15-30 d","over 30 d")))))</f>
        <v/>
      </c>
      <c r="AA66" s="49"/>
      <c r="AB66" s="52"/>
      <c r="AC66" s="49"/>
      <c r="AD66" s="49"/>
      <c r="AE66" s="49"/>
      <c r="AF66" s="49"/>
      <c r="AG66" s="50"/>
    </row>
    <row r="67" customFormat="false" ht="15" hidden="false" customHeight="true" outlineLevel="0" collapsed="false">
      <c r="A67" s="48"/>
      <c r="B67" s="49"/>
      <c r="C67" s="49"/>
      <c r="D67" s="49"/>
      <c r="E67" s="49"/>
      <c r="F67" s="50"/>
      <c r="G67" s="49"/>
      <c r="H67" s="49"/>
      <c r="I67" s="49"/>
      <c r="J67" s="49"/>
      <c r="K67" s="50"/>
      <c r="L67" s="50"/>
      <c r="M67" s="49"/>
      <c r="N67" s="51"/>
      <c r="O67" s="49"/>
      <c r="P67" s="44" t="str">
        <f aca="false">IF($A67="","",IFERROR(INDEX(01_CONTROL!$B$15:$B$18,MATCH($O67,01_CONTROL!$A$15:$A$18,0)),14))</f>
        <v/>
      </c>
      <c r="Q67" s="45" t="str">
        <f aca="false">IF($A67="","",IF($N67="","",$N67+$P67))</f>
        <v/>
      </c>
      <c r="R67" s="49"/>
      <c r="S67" s="51"/>
      <c r="T67" s="50"/>
      <c r="U67" s="49"/>
      <c r="V67" s="49"/>
      <c r="W67" s="51"/>
      <c r="X67" s="44" t="str">
        <f aca="true">IF($A67="","",IF($N67="","",IF($S67="",TODAY()-$N67,$S67-$N67)))</f>
        <v/>
      </c>
      <c r="Y67" s="46" t="str">
        <f aca="true">IF($A67="","",IF(OR($V67="Closed",$V67="Void / withdrawn"),IF($S67="","Closed without response",IF($S67&gt;$Q67,"Answered late","Answered on time")),IF($S67&lt;&gt;"",IF($S67&gt;$Q67,"Answered late","Answered on time"),IF(TODAY()&gt;$Q67,"OVERDUE "&amp;TEXT(TODAY()-$Q67,"0")&amp;" d",TEXT($Q67-TODAY(),"0")&amp;" d left"))))</f>
        <v/>
      </c>
      <c r="Z67" s="44" t="str">
        <f aca="false">IF($A67="","",IF($S67&lt;&gt;"","",IF($X67&lt;=7,"0-7 d",IF($X67&lt;=14,"8-14 d",IF($X67&lt;=30,"15-30 d","over 30 d")))))</f>
        <v/>
      </c>
      <c r="AA67" s="49"/>
      <c r="AB67" s="52"/>
      <c r="AC67" s="49"/>
      <c r="AD67" s="49"/>
      <c r="AE67" s="49"/>
      <c r="AF67" s="49"/>
      <c r="AG67" s="50"/>
    </row>
    <row r="68" customFormat="false" ht="15" hidden="false" customHeight="true" outlineLevel="0" collapsed="false">
      <c r="A68" s="48"/>
      <c r="B68" s="49"/>
      <c r="C68" s="49"/>
      <c r="D68" s="49"/>
      <c r="E68" s="49"/>
      <c r="F68" s="50"/>
      <c r="G68" s="49"/>
      <c r="H68" s="49"/>
      <c r="I68" s="49"/>
      <c r="J68" s="49"/>
      <c r="K68" s="50"/>
      <c r="L68" s="50"/>
      <c r="M68" s="49"/>
      <c r="N68" s="51"/>
      <c r="O68" s="49"/>
      <c r="P68" s="44" t="str">
        <f aca="false">IF($A68="","",IFERROR(INDEX(01_CONTROL!$B$15:$B$18,MATCH($O68,01_CONTROL!$A$15:$A$18,0)),14))</f>
        <v/>
      </c>
      <c r="Q68" s="45" t="str">
        <f aca="false">IF($A68="","",IF($N68="","",$N68+$P68))</f>
        <v/>
      </c>
      <c r="R68" s="49"/>
      <c r="S68" s="51"/>
      <c r="T68" s="50"/>
      <c r="U68" s="49"/>
      <c r="V68" s="49"/>
      <c r="W68" s="51"/>
      <c r="X68" s="44" t="str">
        <f aca="true">IF($A68="","",IF($N68="","",IF($S68="",TODAY()-$N68,$S68-$N68)))</f>
        <v/>
      </c>
      <c r="Y68" s="46" t="str">
        <f aca="true">IF($A68="","",IF(OR($V68="Closed",$V68="Void / withdrawn"),IF($S68="","Closed without response",IF($S68&gt;$Q68,"Answered late","Answered on time")),IF($S68&lt;&gt;"",IF($S68&gt;$Q68,"Answered late","Answered on time"),IF(TODAY()&gt;$Q68,"OVERDUE "&amp;TEXT(TODAY()-$Q68,"0")&amp;" d",TEXT($Q68-TODAY(),"0")&amp;" d left"))))</f>
        <v/>
      </c>
      <c r="Z68" s="44" t="str">
        <f aca="false">IF($A68="","",IF($S68&lt;&gt;"","",IF($X68&lt;=7,"0-7 d",IF($X68&lt;=14,"8-14 d",IF($X68&lt;=30,"15-30 d","over 30 d")))))</f>
        <v/>
      </c>
      <c r="AA68" s="49"/>
      <c r="AB68" s="52"/>
      <c r="AC68" s="49"/>
      <c r="AD68" s="49"/>
      <c r="AE68" s="49"/>
      <c r="AF68" s="49"/>
      <c r="AG68" s="50"/>
    </row>
    <row r="69" customFormat="false" ht="15" hidden="false" customHeight="true" outlineLevel="0" collapsed="false">
      <c r="A69" s="48"/>
      <c r="B69" s="49"/>
      <c r="C69" s="49"/>
      <c r="D69" s="49"/>
      <c r="E69" s="49"/>
      <c r="F69" s="50"/>
      <c r="G69" s="49"/>
      <c r="H69" s="49"/>
      <c r="I69" s="49"/>
      <c r="J69" s="49"/>
      <c r="K69" s="50"/>
      <c r="L69" s="50"/>
      <c r="M69" s="49"/>
      <c r="N69" s="51"/>
      <c r="O69" s="49"/>
      <c r="P69" s="44" t="str">
        <f aca="false">IF($A69="","",IFERROR(INDEX(01_CONTROL!$B$15:$B$18,MATCH($O69,01_CONTROL!$A$15:$A$18,0)),14))</f>
        <v/>
      </c>
      <c r="Q69" s="45" t="str">
        <f aca="false">IF($A69="","",IF($N69="","",$N69+$P69))</f>
        <v/>
      </c>
      <c r="R69" s="49"/>
      <c r="S69" s="51"/>
      <c r="T69" s="50"/>
      <c r="U69" s="49"/>
      <c r="V69" s="49"/>
      <c r="W69" s="51"/>
      <c r="X69" s="44" t="str">
        <f aca="true">IF($A69="","",IF($N69="","",IF($S69="",TODAY()-$N69,$S69-$N69)))</f>
        <v/>
      </c>
      <c r="Y69" s="46" t="str">
        <f aca="true">IF($A69="","",IF(OR($V69="Closed",$V69="Void / withdrawn"),IF($S69="","Closed without response",IF($S69&gt;$Q69,"Answered late","Answered on time")),IF($S69&lt;&gt;"",IF($S69&gt;$Q69,"Answered late","Answered on time"),IF(TODAY()&gt;$Q69,"OVERDUE "&amp;TEXT(TODAY()-$Q69,"0")&amp;" d",TEXT($Q69-TODAY(),"0")&amp;" d left"))))</f>
        <v/>
      </c>
      <c r="Z69" s="44" t="str">
        <f aca="false">IF($A69="","",IF($S69&lt;&gt;"","",IF($X69&lt;=7,"0-7 d",IF($X69&lt;=14,"8-14 d",IF($X69&lt;=30,"15-30 d","over 30 d")))))</f>
        <v/>
      </c>
      <c r="AA69" s="49"/>
      <c r="AB69" s="52"/>
      <c r="AC69" s="49"/>
      <c r="AD69" s="49"/>
      <c r="AE69" s="49"/>
      <c r="AF69" s="49"/>
      <c r="AG69" s="50"/>
    </row>
    <row r="70" customFormat="false" ht="15" hidden="false" customHeight="true" outlineLevel="0" collapsed="false">
      <c r="A70" s="48"/>
      <c r="B70" s="49"/>
      <c r="C70" s="49"/>
      <c r="D70" s="49"/>
      <c r="E70" s="49"/>
      <c r="F70" s="50"/>
      <c r="G70" s="49"/>
      <c r="H70" s="49"/>
      <c r="I70" s="49"/>
      <c r="J70" s="49"/>
      <c r="K70" s="50"/>
      <c r="L70" s="50"/>
      <c r="M70" s="49"/>
      <c r="N70" s="51"/>
      <c r="O70" s="49"/>
      <c r="P70" s="44" t="str">
        <f aca="false">IF($A70="","",IFERROR(INDEX(01_CONTROL!$B$15:$B$18,MATCH($O70,01_CONTROL!$A$15:$A$18,0)),14))</f>
        <v/>
      </c>
      <c r="Q70" s="45" t="str">
        <f aca="false">IF($A70="","",IF($N70="","",$N70+$P70))</f>
        <v/>
      </c>
      <c r="R70" s="49"/>
      <c r="S70" s="51"/>
      <c r="T70" s="50"/>
      <c r="U70" s="49"/>
      <c r="V70" s="49"/>
      <c r="W70" s="51"/>
      <c r="X70" s="44" t="str">
        <f aca="true">IF($A70="","",IF($N70="","",IF($S70="",TODAY()-$N70,$S70-$N70)))</f>
        <v/>
      </c>
      <c r="Y70" s="46" t="str">
        <f aca="true">IF($A70="","",IF(OR($V70="Closed",$V70="Void / withdrawn"),IF($S70="","Closed without response",IF($S70&gt;$Q70,"Answered late","Answered on time")),IF($S70&lt;&gt;"",IF($S70&gt;$Q70,"Answered late","Answered on time"),IF(TODAY()&gt;$Q70,"OVERDUE "&amp;TEXT(TODAY()-$Q70,"0")&amp;" d",TEXT($Q70-TODAY(),"0")&amp;" d left"))))</f>
        <v/>
      </c>
      <c r="Z70" s="44" t="str">
        <f aca="false">IF($A70="","",IF($S70&lt;&gt;"","",IF($X70&lt;=7,"0-7 d",IF($X70&lt;=14,"8-14 d",IF($X70&lt;=30,"15-30 d","over 30 d")))))</f>
        <v/>
      </c>
      <c r="AA70" s="49"/>
      <c r="AB70" s="52"/>
      <c r="AC70" s="49"/>
      <c r="AD70" s="49"/>
      <c r="AE70" s="49"/>
      <c r="AF70" s="49"/>
      <c r="AG70" s="50"/>
    </row>
    <row r="71" customFormat="false" ht="15" hidden="false" customHeight="true" outlineLevel="0" collapsed="false">
      <c r="A71" s="48"/>
      <c r="B71" s="49"/>
      <c r="C71" s="49"/>
      <c r="D71" s="49"/>
      <c r="E71" s="49"/>
      <c r="F71" s="50"/>
      <c r="G71" s="49"/>
      <c r="H71" s="49"/>
      <c r="I71" s="49"/>
      <c r="J71" s="49"/>
      <c r="K71" s="50"/>
      <c r="L71" s="50"/>
      <c r="M71" s="49"/>
      <c r="N71" s="51"/>
      <c r="O71" s="49"/>
      <c r="P71" s="44" t="str">
        <f aca="false">IF($A71="","",IFERROR(INDEX(01_CONTROL!$B$15:$B$18,MATCH($O71,01_CONTROL!$A$15:$A$18,0)),14))</f>
        <v/>
      </c>
      <c r="Q71" s="45" t="str">
        <f aca="false">IF($A71="","",IF($N71="","",$N71+$P71))</f>
        <v/>
      </c>
      <c r="R71" s="49"/>
      <c r="S71" s="51"/>
      <c r="T71" s="50"/>
      <c r="U71" s="49"/>
      <c r="V71" s="49"/>
      <c r="W71" s="51"/>
      <c r="X71" s="44" t="str">
        <f aca="true">IF($A71="","",IF($N71="","",IF($S71="",TODAY()-$N71,$S71-$N71)))</f>
        <v/>
      </c>
      <c r="Y71" s="46" t="str">
        <f aca="true">IF($A71="","",IF(OR($V71="Closed",$V71="Void / withdrawn"),IF($S71="","Closed without response",IF($S71&gt;$Q71,"Answered late","Answered on time")),IF($S71&lt;&gt;"",IF($S71&gt;$Q71,"Answered late","Answered on time"),IF(TODAY()&gt;$Q71,"OVERDUE "&amp;TEXT(TODAY()-$Q71,"0")&amp;" d",TEXT($Q71-TODAY(),"0")&amp;" d left"))))</f>
        <v/>
      </c>
      <c r="Z71" s="44" t="str">
        <f aca="false">IF($A71="","",IF($S71&lt;&gt;"","",IF($X71&lt;=7,"0-7 d",IF($X71&lt;=14,"8-14 d",IF($X71&lt;=30,"15-30 d","over 30 d")))))</f>
        <v/>
      </c>
      <c r="AA71" s="49"/>
      <c r="AB71" s="52"/>
      <c r="AC71" s="49"/>
      <c r="AD71" s="49"/>
      <c r="AE71" s="49"/>
      <c r="AF71" s="49"/>
      <c r="AG71" s="50"/>
    </row>
    <row r="72" customFormat="false" ht="15" hidden="false" customHeight="true" outlineLevel="0" collapsed="false">
      <c r="A72" s="48"/>
      <c r="B72" s="49"/>
      <c r="C72" s="49"/>
      <c r="D72" s="49"/>
      <c r="E72" s="49"/>
      <c r="F72" s="50"/>
      <c r="G72" s="49"/>
      <c r="H72" s="49"/>
      <c r="I72" s="49"/>
      <c r="J72" s="49"/>
      <c r="K72" s="50"/>
      <c r="L72" s="50"/>
      <c r="M72" s="49"/>
      <c r="N72" s="51"/>
      <c r="O72" s="49"/>
      <c r="P72" s="44" t="str">
        <f aca="false">IF($A72="","",IFERROR(INDEX(01_CONTROL!$B$15:$B$18,MATCH($O72,01_CONTROL!$A$15:$A$18,0)),14))</f>
        <v/>
      </c>
      <c r="Q72" s="45" t="str">
        <f aca="false">IF($A72="","",IF($N72="","",$N72+$P72))</f>
        <v/>
      </c>
      <c r="R72" s="49"/>
      <c r="S72" s="51"/>
      <c r="T72" s="50"/>
      <c r="U72" s="49"/>
      <c r="V72" s="49"/>
      <c r="W72" s="51"/>
      <c r="X72" s="44" t="str">
        <f aca="true">IF($A72="","",IF($N72="","",IF($S72="",TODAY()-$N72,$S72-$N72)))</f>
        <v/>
      </c>
      <c r="Y72" s="46" t="str">
        <f aca="true">IF($A72="","",IF(OR($V72="Closed",$V72="Void / withdrawn"),IF($S72="","Closed without response",IF($S72&gt;$Q72,"Answered late","Answered on time")),IF($S72&lt;&gt;"",IF($S72&gt;$Q72,"Answered late","Answered on time"),IF(TODAY()&gt;$Q72,"OVERDUE "&amp;TEXT(TODAY()-$Q72,"0")&amp;" d",TEXT($Q72-TODAY(),"0")&amp;" d left"))))</f>
        <v/>
      </c>
      <c r="Z72" s="44" t="str">
        <f aca="false">IF($A72="","",IF($S72&lt;&gt;"","",IF($X72&lt;=7,"0-7 d",IF($X72&lt;=14,"8-14 d",IF($X72&lt;=30,"15-30 d","over 30 d")))))</f>
        <v/>
      </c>
      <c r="AA72" s="49"/>
      <c r="AB72" s="52"/>
      <c r="AC72" s="49"/>
      <c r="AD72" s="49"/>
      <c r="AE72" s="49"/>
      <c r="AF72" s="49"/>
      <c r="AG72" s="50"/>
    </row>
    <row r="73" customFormat="false" ht="15" hidden="false" customHeight="true" outlineLevel="0" collapsed="false">
      <c r="A73" s="48"/>
      <c r="B73" s="49"/>
      <c r="C73" s="49"/>
      <c r="D73" s="49"/>
      <c r="E73" s="49"/>
      <c r="F73" s="50"/>
      <c r="G73" s="49"/>
      <c r="H73" s="49"/>
      <c r="I73" s="49"/>
      <c r="J73" s="49"/>
      <c r="K73" s="50"/>
      <c r="L73" s="50"/>
      <c r="M73" s="49"/>
      <c r="N73" s="51"/>
      <c r="O73" s="49"/>
      <c r="P73" s="44" t="str">
        <f aca="false">IF($A73="","",IFERROR(INDEX(01_CONTROL!$B$15:$B$18,MATCH($O73,01_CONTROL!$A$15:$A$18,0)),14))</f>
        <v/>
      </c>
      <c r="Q73" s="45" t="str">
        <f aca="false">IF($A73="","",IF($N73="","",$N73+$P73))</f>
        <v/>
      </c>
      <c r="R73" s="49"/>
      <c r="S73" s="51"/>
      <c r="T73" s="50"/>
      <c r="U73" s="49"/>
      <c r="V73" s="49"/>
      <c r="W73" s="51"/>
      <c r="X73" s="44" t="str">
        <f aca="true">IF($A73="","",IF($N73="","",IF($S73="",TODAY()-$N73,$S73-$N73)))</f>
        <v/>
      </c>
      <c r="Y73" s="46" t="str">
        <f aca="true">IF($A73="","",IF(OR($V73="Closed",$V73="Void / withdrawn"),IF($S73="","Closed without response",IF($S73&gt;$Q73,"Answered late","Answered on time")),IF($S73&lt;&gt;"",IF($S73&gt;$Q73,"Answered late","Answered on time"),IF(TODAY()&gt;$Q73,"OVERDUE "&amp;TEXT(TODAY()-$Q73,"0")&amp;" d",TEXT($Q73-TODAY(),"0")&amp;" d left"))))</f>
        <v/>
      </c>
      <c r="Z73" s="44" t="str">
        <f aca="false">IF($A73="","",IF($S73&lt;&gt;"","",IF($X73&lt;=7,"0-7 d",IF($X73&lt;=14,"8-14 d",IF($X73&lt;=30,"15-30 d","over 30 d")))))</f>
        <v/>
      </c>
      <c r="AA73" s="49"/>
      <c r="AB73" s="52"/>
      <c r="AC73" s="49"/>
      <c r="AD73" s="49"/>
      <c r="AE73" s="49"/>
      <c r="AF73" s="49"/>
      <c r="AG73" s="50"/>
    </row>
    <row r="74" customFormat="false" ht="15" hidden="false" customHeight="true" outlineLevel="0" collapsed="false">
      <c r="A74" s="48"/>
      <c r="B74" s="49"/>
      <c r="C74" s="49"/>
      <c r="D74" s="49"/>
      <c r="E74" s="49"/>
      <c r="F74" s="50"/>
      <c r="G74" s="49"/>
      <c r="H74" s="49"/>
      <c r="I74" s="49"/>
      <c r="J74" s="49"/>
      <c r="K74" s="50"/>
      <c r="L74" s="50"/>
      <c r="M74" s="49"/>
      <c r="N74" s="51"/>
      <c r="O74" s="49"/>
      <c r="P74" s="44" t="str">
        <f aca="false">IF($A74="","",IFERROR(INDEX(01_CONTROL!$B$15:$B$18,MATCH($O74,01_CONTROL!$A$15:$A$18,0)),14))</f>
        <v/>
      </c>
      <c r="Q74" s="45" t="str">
        <f aca="false">IF($A74="","",IF($N74="","",$N74+$P74))</f>
        <v/>
      </c>
      <c r="R74" s="49"/>
      <c r="S74" s="51"/>
      <c r="T74" s="50"/>
      <c r="U74" s="49"/>
      <c r="V74" s="49"/>
      <c r="W74" s="51"/>
      <c r="X74" s="44" t="str">
        <f aca="true">IF($A74="","",IF($N74="","",IF($S74="",TODAY()-$N74,$S74-$N74)))</f>
        <v/>
      </c>
      <c r="Y74" s="46" t="str">
        <f aca="true">IF($A74="","",IF(OR($V74="Closed",$V74="Void / withdrawn"),IF($S74="","Closed without response",IF($S74&gt;$Q74,"Answered late","Answered on time")),IF($S74&lt;&gt;"",IF($S74&gt;$Q74,"Answered late","Answered on time"),IF(TODAY()&gt;$Q74,"OVERDUE "&amp;TEXT(TODAY()-$Q74,"0")&amp;" d",TEXT($Q74-TODAY(),"0")&amp;" d left"))))</f>
        <v/>
      </c>
      <c r="Z74" s="44" t="str">
        <f aca="false">IF($A74="","",IF($S74&lt;&gt;"","",IF($X74&lt;=7,"0-7 d",IF($X74&lt;=14,"8-14 d",IF($X74&lt;=30,"15-30 d","over 30 d")))))</f>
        <v/>
      </c>
      <c r="AA74" s="49"/>
      <c r="AB74" s="52"/>
      <c r="AC74" s="49"/>
      <c r="AD74" s="49"/>
      <c r="AE74" s="49"/>
      <c r="AF74" s="49"/>
      <c r="AG74" s="50"/>
    </row>
    <row r="75" customFormat="false" ht="15" hidden="false" customHeight="true" outlineLevel="0" collapsed="false">
      <c r="A75" s="48"/>
      <c r="B75" s="49"/>
      <c r="C75" s="49"/>
      <c r="D75" s="49"/>
      <c r="E75" s="49"/>
      <c r="F75" s="50"/>
      <c r="G75" s="49"/>
      <c r="H75" s="49"/>
      <c r="I75" s="49"/>
      <c r="J75" s="49"/>
      <c r="K75" s="50"/>
      <c r="L75" s="50"/>
      <c r="M75" s="49"/>
      <c r="N75" s="51"/>
      <c r="O75" s="49"/>
      <c r="P75" s="44" t="str">
        <f aca="false">IF($A75="","",IFERROR(INDEX(01_CONTROL!$B$15:$B$18,MATCH($O75,01_CONTROL!$A$15:$A$18,0)),14))</f>
        <v/>
      </c>
      <c r="Q75" s="45" t="str">
        <f aca="false">IF($A75="","",IF($N75="","",$N75+$P75))</f>
        <v/>
      </c>
      <c r="R75" s="49"/>
      <c r="S75" s="51"/>
      <c r="T75" s="50"/>
      <c r="U75" s="49"/>
      <c r="V75" s="49"/>
      <c r="W75" s="51"/>
      <c r="X75" s="44" t="str">
        <f aca="true">IF($A75="","",IF($N75="","",IF($S75="",TODAY()-$N75,$S75-$N75)))</f>
        <v/>
      </c>
      <c r="Y75" s="46" t="str">
        <f aca="true">IF($A75="","",IF(OR($V75="Closed",$V75="Void / withdrawn"),IF($S75="","Closed without response",IF($S75&gt;$Q75,"Answered late","Answered on time")),IF($S75&lt;&gt;"",IF($S75&gt;$Q75,"Answered late","Answered on time"),IF(TODAY()&gt;$Q75,"OVERDUE "&amp;TEXT(TODAY()-$Q75,"0")&amp;" d",TEXT($Q75-TODAY(),"0")&amp;" d left"))))</f>
        <v/>
      </c>
      <c r="Z75" s="44" t="str">
        <f aca="false">IF($A75="","",IF($S75&lt;&gt;"","",IF($X75&lt;=7,"0-7 d",IF($X75&lt;=14,"8-14 d",IF($X75&lt;=30,"15-30 d","over 30 d")))))</f>
        <v/>
      </c>
      <c r="AA75" s="49"/>
      <c r="AB75" s="52"/>
      <c r="AC75" s="49"/>
      <c r="AD75" s="49"/>
      <c r="AE75" s="49"/>
      <c r="AF75" s="49"/>
      <c r="AG75" s="50"/>
    </row>
    <row r="76" customFormat="false" ht="15" hidden="false" customHeight="true" outlineLevel="0" collapsed="false">
      <c r="A76" s="48"/>
      <c r="B76" s="49"/>
      <c r="C76" s="49"/>
      <c r="D76" s="49"/>
      <c r="E76" s="49"/>
      <c r="F76" s="50"/>
      <c r="G76" s="49"/>
      <c r="H76" s="49"/>
      <c r="I76" s="49"/>
      <c r="J76" s="49"/>
      <c r="K76" s="50"/>
      <c r="L76" s="50"/>
      <c r="M76" s="49"/>
      <c r="N76" s="51"/>
      <c r="O76" s="49"/>
      <c r="P76" s="44" t="str">
        <f aca="false">IF($A76="","",IFERROR(INDEX(01_CONTROL!$B$15:$B$18,MATCH($O76,01_CONTROL!$A$15:$A$18,0)),14))</f>
        <v/>
      </c>
      <c r="Q76" s="45" t="str">
        <f aca="false">IF($A76="","",IF($N76="","",$N76+$P76))</f>
        <v/>
      </c>
      <c r="R76" s="49"/>
      <c r="S76" s="51"/>
      <c r="T76" s="50"/>
      <c r="U76" s="49"/>
      <c r="V76" s="49"/>
      <c r="W76" s="51"/>
      <c r="X76" s="44" t="str">
        <f aca="true">IF($A76="","",IF($N76="","",IF($S76="",TODAY()-$N76,$S76-$N76)))</f>
        <v/>
      </c>
      <c r="Y76" s="46" t="str">
        <f aca="true">IF($A76="","",IF(OR($V76="Closed",$V76="Void / withdrawn"),IF($S76="","Closed without response",IF($S76&gt;$Q76,"Answered late","Answered on time")),IF($S76&lt;&gt;"",IF($S76&gt;$Q76,"Answered late","Answered on time"),IF(TODAY()&gt;$Q76,"OVERDUE "&amp;TEXT(TODAY()-$Q76,"0")&amp;" d",TEXT($Q76-TODAY(),"0")&amp;" d left"))))</f>
        <v/>
      </c>
      <c r="Z76" s="44" t="str">
        <f aca="false">IF($A76="","",IF($S76&lt;&gt;"","",IF($X76&lt;=7,"0-7 d",IF($X76&lt;=14,"8-14 d",IF($X76&lt;=30,"15-30 d","over 30 d")))))</f>
        <v/>
      </c>
      <c r="AA76" s="49"/>
      <c r="AB76" s="52"/>
      <c r="AC76" s="49"/>
      <c r="AD76" s="49"/>
      <c r="AE76" s="49"/>
      <c r="AF76" s="49"/>
      <c r="AG76" s="50"/>
    </row>
    <row r="77" customFormat="false" ht="15" hidden="false" customHeight="true" outlineLevel="0" collapsed="false">
      <c r="A77" s="48"/>
      <c r="B77" s="49"/>
      <c r="C77" s="49"/>
      <c r="D77" s="49"/>
      <c r="E77" s="49"/>
      <c r="F77" s="50"/>
      <c r="G77" s="49"/>
      <c r="H77" s="49"/>
      <c r="I77" s="49"/>
      <c r="J77" s="49"/>
      <c r="K77" s="50"/>
      <c r="L77" s="50"/>
      <c r="M77" s="49"/>
      <c r="N77" s="51"/>
      <c r="O77" s="49"/>
      <c r="P77" s="44" t="str">
        <f aca="false">IF($A77="","",IFERROR(INDEX(01_CONTROL!$B$15:$B$18,MATCH($O77,01_CONTROL!$A$15:$A$18,0)),14))</f>
        <v/>
      </c>
      <c r="Q77" s="45" t="str">
        <f aca="false">IF($A77="","",IF($N77="","",$N77+$P77))</f>
        <v/>
      </c>
      <c r="R77" s="49"/>
      <c r="S77" s="51"/>
      <c r="T77" s="50"/>
      <c r="U77" s="49"/>
      <c r="V77" s="49"/>
      <c r="W77" s="51"/>
      <c r="X77" s="44" t="str">
        <f aca="true">IF($A77="","",IF($N77="","",IF($S77="",TODAY()-$N77,$S77-$N77)))</f>
        <v/>
      </c>
      <c r="Y77" s="46" t="str">
        <f aca="true">IF($A77="","",IF(OR($V77="Closed",$V77="Void / withdrawn"),IF($S77="","Closed without response",IF($S77&gt;$Q77,"Answered late","Answered on time")),IF($S77&lt;&gt;"",IF($S77&gt;$Q77,"Answered late","Answered on time"),IF(TODAY()&gt;$Q77,"OVERDUE "&amp;TEXT(TODAY()-$Q77,"0")&amp;" d",TEXT($Q77-TODAY(),"0")&amp;" d left"))))</f>
        <v/>
      </c>
      <c r="Z77" s="44" t="str">
        <f aca="false">IF($A77="","",IF($S77&lt;&gt;"","",IF($X77&lt;=7,"0-7 d",IF($X77&lt;=14,"8-14 d",IF($X77&lt;=30,"15-30 d","over 30 d")))))</f>
        <v/>
      </c>
      <c r="AA77" s="49"/>
      <c r="AB77" s="52"/>
      <c r="AC77" s="49"/>
      <c r="AD77" s="49"/>
      <c r="AE77" s="49"/>
      <c r="AF77" s="49"/>
      <c r="AG77" s="50"/>
    </row>
    <row r="78" customFormat="false" ht="15" hidden="false" customHeight="true" outlineLevel="0" collapsed="false">
      <c r="A78" s="48"/>
      <c r="B78" s="49"/>
      <c r="C78" s="49"/>
      <c r="D78" s="49"/>
      <c r="E78" s="49"/>
      <c r="F78" s="50"/>
      <c r="G78" s="49"/>
      <c r="H78" s="49"/>
      <c r="I78" s="49"/>
      <c r="J78" s="49"/>
      <c r="K78" s="50"/>
      <c r="L78" s="50"/>
      <c r="M78" s="49"/>
      <c r="N78" s="51"/>
      <c r="O78" s="49"/>
      <c r="P78" s="44" t="str">
        <f aca="false">IF($A78="","",IFERROR(INDEX(01_CONTROL!$B$15:$B$18,MATCH($O78,01_CONTROL!$A$15:$A$18,0)),14))</f>
        <v/>
      </c>
      <c r="Q78" s="45" t="str">
        <f aca="false">IF($A78="","",IF($N78="","",$N78+$P78))</f>
        <v/>
      </c>
      <c r="R78" s="49"/>
      <c r="S78" s="51"/>
      <c r="T78" s="50"/>
      <c r="U78" s="49"/>
      <c r="V78" s="49"/>
      <c r="W78" s="51"/>
      <c r="X78" s="44" t="str">
        <f aca="true">IF($A78="","",IF($N78="","",IF($S78="",TODAY()-$N78,$S78-$N78)))</f>
        <v/>
      </c>
      <c r="Y78" s="46" t="str">
        <f aca="true">IF($A78="","",IF(OR($V78="Closed",$V78="Void / withdrawn"),IF($S78="","Closed without response",IF($S78&gt;$Q78,"Answered late","Answered on time")),IF($S78&lt;&gt;"",IF($S78&gt;$Q78,"Answered late","Answered on time"),IF(TODAY()&gt;$Q78,"OVERDUE "&amp;TEXT(TODAY()-$Q78,"0")&amp;" d",TEXT($Q78-TODAY(),"0")&amp;" d left"))))</f>
        <v/>
      </c>
      <c r="Z78" s="44" t="str">
        <f aca="false">IF($A78="","",IF($S78&lt;&gt;"","",IF($X78&lt;=7,"0-7 d",IF($X78&lt;=14,"8-14 d",IF($X78&lt;=30,"15-30 d","over 30 d")))))</f>
        <v/>
      </c>
      <c r="AA78" s="49"/>
      <c r="AB78" s="52"/>
      <c r="AC78" s="49"/>
      <c r="AD78" s="49"/>
      <c r="AE78" s="49"/>
      <c r="AF78" s="49"/>
      <c r="AG78" s="50"/>
    </row>
    <row r="79" customFormat="false" ht="15" hidden="false" customHeight="true" outlineLevel="0" collapsed="false">
      <c r="A79" s="48"/>
      <c r="B79" s="49"/>
      <c r="C79" s="49"/>
      <c r="D79" s="49"/>
      <c r="E79" s="49"/>
      <c r="F79" s="50"/>
      <c r="G79" s="49"/>
      <c r="H79" s="49"/>
      <c r="I79" s="49"/>
      <c r="J79" s="49"/>
      <c r="K79" s="50"/>
      <c r="L79" s="50"/>
      <c r="M79" s="49"/>
      <c r="N79" s="51"/>
      <c r="O79" s="49"/>
      <c r="P79" s="44" t="str">
        <f aca="false">IF($A79="","",IFERROR(INDEX(01_CONTROL!$B$15:$B$18,MATCH($O79,01_CONTROL!$A$15:$A$18,0)),14))</f>
        <v/>
      </c>
      <c r="Q79" s="45" t="str">
        <f aca="false">IF($A79="","",IF($N79="","",$N79+$P79))</f>
        <v/>
      </c>
      <c r="R79" s="49"/>
      <c r="S79" s="51"/>
      <c r="T79" s="50"/>
      <c r="U79" s="49"/>
      <c r="V79" s="49"/>
      <c r="W79" s="51"/>
      <c r="X79" s="44" t="str">
        <f aca="true">IF($A79="","",IF($N79="","",IF($S79="",TODAY()-$N79,$S79-$N79)))</f>
        <v/>
      </c>
      <c r="Y79" s="46" t="str">
        <f aca="true">IF($A79="","",IF(OR($V79="Closed",$V79="Void / withdrawn"),IF($S79="","Closed without response",IF($S79&gt;$Q79,"Answered late","Answered on time")),IF($S79&lt;&gt;"",IF($S79&gt;$Q79,"Answered late","Answered on time"),IF(TODAY()&gt;$Q79,"OVERDUE "&amp;TEXT(TODAY()-$Q79,"0")&amp;" d",TEXT($Q79-TODAY(),"0")&amp;" d left"))))</f>
        <v/>
      </c>
      <c r="Z79" s="44" t="str">
        <f aca="false">IF($A79="","",IF($S79&lt;&gt;"","",IF($X79&lt;=7,"0-7 d",IF($X79&lt;=14,"8-14 d",IF($X79&lt;=30,"15-30 d","over 30 d")))))</f>
        <v/>
      </c>
      <c r="AA79" s="49"/>
      <c r="AB79" s="52"/>
      <c r="AC79" s="49"/>
      <c r="AD79" s="49"/>
      <c r="AE79" s="49"/>
      <c r="AF79" s="49"/>
      <c r="AG79" s="50"/>
    </row>
    <row r="80" customFormat="false" ht="15" hidden="false" customHeight="true" outlineLevel="0" collapsed="false">
      <c r="A80" s="48"/>
      <c r="B80" s="49"/>
      <c r="C80" s="49"/>
      <c r="D80" s="49"/>
      <c r="E80" s="49"/>
      <c r="F80" s="50"/>
      <c r="G80" s="49"/>
      <c r="H80" s="49"/>
      <c r="I80" s="49"/>
      <c r="J80" s="49"/>
      <c r="K80" s="50"/>
      <c r="L80" s="50"/>
      <c r="M80" s="49"/>
      <c r="N80" s="51"/>
      <c r="O80" s="49"/>
      <c r="P80" s="44" t="str">
        <f aca="false">IF($A80="","",IFERROR(INDEX(01_CONTROL!$B$15:$B$18,MATCH($O80,01_CONTROL!$A$15:$A$18,0)),14))</f>
        <v/>
      </c>
      <c r="Q80" s="45" t="str">
        <f aca="false">IF($A80="","",IF($N80="","",$N80+$P80))</f>
        <v/>
      </c>
      <c r="R80" s="49"/>
      <c r="S80" s="51"/>
      <c r="T80" s="50"/>
      <c r="U80" s="49"/>
      <c r="V80" s="49"/>
      <c r="W80" s="51"/>
      <c r="X80" s="44" t="str">
        <f aca="true">IF($A80="","",IF($N80="","",IF($S80="",TODAY()-$N80,$S80-$N80)))</f>
        <v/>
      </c>
      <c r="Y80" s="46" t="str">
        <f aca="true">IF($A80="","",IF(OR($V80="Closed",$V80="Void / withdrawn"),IF($S80="","Closed without response",IF($S80&gt;$Q80,"Answered late","Answered on time")),IF($S80&lt;&gt;"",IF($S80&gt;$Q80,"Answered late","Answered on time"),IF(TODAY()&gt;$Q80,"OVERDUE "&amp;TEXT(TODAY()-$Q80,"0")&amp;" d",TEXT($Q80-TODAY(),"0")&amp;" d left"))))</f>
        <v/>
      </c>
      <c r="Z80" s="44" t="str">
        <f aca="false">IF($A80="","",IF($S80&lt;&gt;"","",IF($X80&lt;=7,"0-7 d",IF($X80&lt;=14,"8-14 d",IF($X80&lt;=30,"15-30 d","over 30 d")))))</f>
        <v/>
      </c>
      <c r="AA80" s="49"/>
      <c r="AB80" s="52"/>
      <c r="AC80" s="49"/>
      <c r="AD80" s="49"/>
      <c r="AE80" s="49"/>
      <c r="AF80" s="49"/>
      <c r="AG80" s="50"/>
    </row>
    <row r="81" customFormat="false" ht="15" hidden="false" customHeight="true" outlineLevel="0" collapsed="false">
      <c r="A81" s="48"/>
      <c r="B81" s="49"/>
      <c r="C81" s="49"/>
      <c r="D81" s="49"/>
      <c r="E81" s="49"/>
      <c r="F81" s="50"/>
      <c r="G81" s="49"/>
      <c r="H81" s="49"/>
      <c r="I81" s="49"/>
      <c r="J81" s="49"/>
      <c r="K81" s="50"/>
      <c r="L81" s="50"/>
      <c r="M81" s="49"/>
      <c r="N81" s="51"/>
      <c r="O81" s="49"/>
      <c r="P81" s="44" t="str">
        <f aca="false">IF($A81="","",IFERROR(INDEX(01_CONTROL!$B$15:$B$18,MATCH($O81,01_CONTROL!$A$15:$A$18,0)),14))</f>
        <v/>
      </c>
      <c r="Q81" s="45" t="str">
        <f aca="false">IF($A81="","",IF($N81="","",$N81+$P81))</f>
        <v/>
      </c>
      <c r="R81" s="49"/>
      <c r="S81" s="51"/>
      <c r="T81" s="50"/>
      <c r="U81" s="49"/>
      <c r="V81" s="49"/>
      <c r="W81" s="51"/>
      <c r="X81" s="44" t="str">
        <f aca="true">IF($A81="","",IF($N81="","",IF($S81="",TODAY()-$N81,$S81-$N81)))</f>
        <v/>
      </c>
      <c r="Y81" s="46" t="str">
        <f aca="true">IF($A81="","",IF(OR($V81="Closed",$V81="Void / withdrawn"),IF($S81="","Closed without response",IF($S81&gt;$Q81,"Answered late","Answered on time")),IF($S81&lt;&gt;"",IF($S81&gt;$Q81,"Answered late","Answered on time"),IF(TODAY()&gt;$Q81,"OVERDUE "&amp;TEXT(TODAY()-$Q81,"0")&amp;" d",TEXT($Q81-TODAY(),"0")&amp;" d left"))))</f>
        <v/>
      </c>
      <c r="Z81" s="44" t="str">
        <f aca="false">IF($A81="","",IF($S81&lt;&gt;"","",IF($X81&lt;=7,"0-7 d",IF($X81&lt;=14,"8-14 d",IF($X81&lt;=30,"15-30 d","over 30 d")))))</f>
        <v/>
      </c>
      <c r="AA81" s="49"/>
      <c r="AB81" s="52"/>
      <c r="AC81" s="49"/>
      <c r="AD81" s="49"/>
      <c r="AE81" s="49"/>
      <c r="AF81" s="49"/>
      <c r="AG81" s="50"/>
    </row>
    <row r="82" customFormat="false" ht="15" hidden="false" customHeight="true" outlineLevel="0" collapsed="false">
      <c r="A82" s="48"/>
      <c r="B82" s="49"/>
      <c r="C82" s="49"/>
      <c r="D82" s="49"/>
      <c r="E82" s="49"/>
      <c r="F82" s="50"/>
      <c r="G82" s="49"/>
      <c r="H82" s="49"/>
      <c r="I82" s="49"/>
      <c r="J82" s="49"/>
      <c r="K82" s="50"/>
      <c r="L82" s="50"/>
      <c r="M82" s="49"/>
      <c r="N82" s="51"/>
      <c r="O82" s="49"/>
      <c r="P82" s="44" t="str">
        <f aca="false">IF($A82="","",IFERROR(INDEX(01_CONTROL!$B$15:$B$18,MATCH($O82,01_CONTROL!$A$15:$A$18,0)),14))</f>
        <v/>
      </c>
      <c r="Q82" s="45" t="str">
        <f aca="false">IF($A82="","",IF($N82="","",$N82+$P82))</f>
        <v/>
      </c>
      <c r="R82" s="49"/>
      <c r="S82" s="51"/>
      <c r="T82" s="50"/>
      <c r="U82" s="49"/>
      <c r="V82" s="49"/>
      <c r="W82" s="51"/>
      <c r="X82" s="44" t="str">
        <f aca="true">IF($A82="","",IF($N82="","",IF($S82="",TODAY()-$N82,$S82-$N82)))</f>
        <v/>
      </c>
      <c r="Y82" s="46" t="str">
        <f aca="true">IF($A82="","",IF(OR($V82="Closed",$V82="Void / withdrawn"),IF($S82="","Closed without response",IF($S82&gt;$Q82,"Answered late","Answered on time")),IF($S82&lt;&gt;"",IF($S82&gt;$Q82,"Answered late","Answered on time"),IF(TODAY()&gt;$Q82,"OVERDUE "&amp;TEXT(TODAY()-$Q82,"0")&amp;" d",TEXT($Q82-TODAY(),"0")&amp;" d left"))))</f>
        <v/>
      </c>
      <c r="Z82" s="44" t="str">
        <f aca="false">IF($A82="","",IF($S82&lt;&gt;"","",IF($X82&lt;=7,"0-7 d",IF($X82&lt;=14,"8-14 d",IF($X82&lt;=30,"15-30 d","over 30 d")))))</f>
        <v/>
      </c>
      <c r="AA82" s="49"/>
      <c r="AB82" s="52"/>
      <c r="AC82" s="49"/>
      <c r="AD82" s="49"/>
      <c r="AE82" s="49"/>
      <c r="AF82" s="49"/>
      <c r="AG82" s="50"/>
    </row>
    <row r="83" customFormat="false" ht="15" hidden="false" customHeight="true" outlineLevel="0" collapsed="false">
      <c r="A83" s="48"/>
      <c r="B83" s="49"/>
      <c r="C83" s="49"/>
      <c r="D83" s="49"/>
      <c r="E83" s="49"/>
      <c r="F83" s="50"/>
      <c r="G83" s="49"/>
      <c r="H83" s="49"/>
      <c r="I83" s="49"/>
      <c r="J83" s="49"/>
      <c r="K83" s="50"/>
      <c r="L83" s="50"/>
      <c r="M83" s="49"/>
      <c r="N83" s="51"/>
      <c r="O83" s="49"/>
      <c r="P83" s="44" t="str">
        <f aca="false">IF($A83="","",IFERROR(INDEX(01_CONTROL!$B$15:$B$18,MATCH($O83,01_CONTROL!$A$15:$A$18,0)),14))</f>
        <v/>
      </c>
      <c r="Q83" s="45" t="str">
        <f aca="false">IF($A83="","",IF($N83="","",$N83+$P83))</f>
        <v/>
      </c>
      <c r="R83" s="49"/>
      <c r="S83" s="51"/>
      <c r="T83" s="50"/>
      <c r="U83" s="49"/>
      <c r="V83" s="49"/>
      <c r="W83" s="51"/>
      <c r="X83" s="44" t="str">
        <f aca="true">IF($A83="","",IF($N83="","",IF($S83="",TODAY()-$N83,$S83-$N83)))</f>
        <v/>
      </c>
      <c r="Y83" s="46" t="str">
        <f aca="true">IF($A83="","",IF(OR($V83="Closed",$V83="Void / withdrawn"),IF($S83="","Closed without response",IF($S83&gt;$Q83,"Answered late","Answered on time")),IF($S83&lt;&gt;"",IF($S83&gt;$Q83,"Answered late","Answered on time"),IF(TODAY()&gt;$Q83,"OVERDUE "&amp;TEXT(TODAY()-$Q83,"0")&amp;" d",TEXT($Q83-TODAY(),"0")&amp;" d left"))))</f>
        <v/>
      </c>
      <c r="Z83" s="44" t="str">
        <f aca="false">IF($A83="","",IF($S83&lt;&gt;"","",IF($X83&lt;=7,"0-7 d",IF($X83&lt;=14,"8-14 d",IF($X83&lt;=30,"15-30 d","over 30 d")))))</f>
        <v/>
      </c>
      <c r="AA83" s="49"/>
      <c r="AB83" s="52"/>
      <c r="AC83" s="49"/>
      <c r="AD83" s="49"/>
      <c r="AE83" s="49"/>
      <c r="AF83" s="49"/>
      <c r="AG83" s="50"/>
    </row>
    <row r="84" customFormat="false" ht="15" hidden="false" customHeight="true" outlineLevel="0" collapsed="false">
      <c r="A84" s="48"/>
      <c r="B84" s="49"/>
      <c r="C84" s="49"/>
      <c r="D84" s="49"/>
      <c r="E84" s="49"/>
      <c r="F84" s="50"/>
      <c r="G84" s="49"/>
      <c r="H84" s="49"/>
      <c r="I84" s="49"/>
      <c r="J84" s="49"/>
      <c r="K84" s="50"/>
      <c r="L84" s="50"/>
      <c r="M84" s="49"/>
      <c r="N84" s="51"/>
      <c r="O84" s="49"/>
      <c r="P84" s="44" t="str">
        <f aca="false">IF($A84="","",IFERROR(INDEX(01_CONTROL!$B$15:$B$18,MATCH($O84,01_CONTROL!$A$15:$A$18,0)),14))</f>
        <v/>
      </c>
      <c r="Q84" s="45" t="str">
        <f aca="false">IF($A84="","",IF($N84="","",$N84+$P84))</f>
        <v/>
      </c>
      <c r="R84" s="49"/>
      <c r="S84" s="51"/>
      <c r="T84" s="50"/>
      <c r="U84" s="49"/>
      <c r="V84" s="49"/>
      <c r="W84" s="51"/>
      <c r="X84" s="44" t="str">
        <f aca="true">IF($A84="","",IF($N84="","",IF($S84="",TODAY()-$N84,$S84-$N84)))</f>
        <v/>
      </c>
      <c r="Y84" s="46" t="str">
        <f aca="true">IF($A84="","",IF(OR($V84="Closed",$V84="Void / withdrawn"),IF($S84="","Closed without response",IF($S84&gt;$Q84,"Answered late","Answered on time")),IF($S84&lt;&gt;"",IF($S84&gt;$Q84,"Answered late","Answered on time"),IF(TODAY()&gt;$Q84,"OVERDUE "&amp;TEXT(TODAY()-$Q84,"0")&amp;" d",TEXT($Q84-TODAY(),"0")&amp;" d left"))))</f>
        <v/>
      </c>
      <c r="Z84" s="44" t="str">
        <f aca="false">IF($A84="","",IF($S84&lt;&gt;"","",IF($X84&lt;=7,"0-7 d",IF($X84&lt;=14,"8-14 d",IF($X84&lt;=30,"15-30 d","over 30 d")))))</f>
        <v/>
      </c>
      <c r="AA84" s="49"/>
      <c r="AB84" s="52"/>
      <c r="AC84" s="49"/>
      <c r="AD84" s="49"/>
      <c r="AE84" s="49"/>
      <c r="AF84" s="49"/>
      <c r="AG84" s="50"/>
    </row>
    <row r="85" customFormat="false" ht="15" hidden="false" customHeight="true" outlineLevel="0" collapsed="false">
      <c r="A85" s="48"/>
      <c r="B85" s="49"/>
      <c r="C85" s="49"/>
      <c r="D85" s="49"/>
      <c r="E85" s="49"/>
      <c r="F85" s="50"/>
      <c r="G85" s="49"/>
      <c r="H85" s="49"/>
      <c r="I85" s="49"/>
      <c r="J85" s="49"/>
      <c r="K85" s="50"/>
      <c r="L85" s="50"/>
      <c r="M85" s="49"/>
      <c r="N85" s="51"/>
      <c r="O85" s="49"/>
      <c r="P85" s="44" t="str">
        <f aca="false">IF($A85="","",IFERROR(INDEX(01_CONTROL!$B$15:$B$18,MATCH($O85,01_CONTROL!$A$15:$A$18,0)),14))</f>
        <v/>
      </c>
      <c r="Q85" s="45" t="str">
        <f aca="false">IF($A85="","",IF($N85="","",$N85+$P85))</f>
        <v/>
      </c>
      <c r="R85" s="49"/>
      <c r="S85" s="51"/>
      <c r="T85" s="50"/>
      <c r="U85" s="49"/>
      <c r="V85" s="49"/>
      <c r="W85" s="51"/>
      <c r="X85" s="44" t="str">
        <f aca="true">IF($A85="","",IF($N85="","",IF($S85="",TODAY()-$N85,$S85-$N85)))</f>
        <v/>
      </c>
      <c r="Y85" s="46" t="str">
        <f aca="true">IF($A85="","",IF(OR($V85="Closed",$V85="Void / withdrawn"),IF($S85="","Closed without response",IF($S85&gt;$Q85,"Answered late","Answered on time")),IF($S85&lt;&gt;"",IF($S85&gt;$Q85,"Answered late","Answered on time"),IF(TODAY()&gt;$Q85,"OVERDUE "&amp;TEXT(TODAY()-$Q85,"0")&amp;" d",TEXT($Q85-TODAY(),"0")&amp;" d left"))))</f>
        <v/>
      </c>
      <c r="Z85" s="44" t="str">
        <f aca="false">IF($A85="","",IF($S85&lt;&gt;"","",IF($X85&lt;=7,"0-7 d",IF($X85&lt;=14,"8-14 d",IF($X85&lt;=30,"15-30 d","over 30 d")))))</f>
        <v/>
      </c>
      <c r="AA85" s="49"/>
      <c r="AB85" s="52"/>
      <c r="AC85" s="49"/>
      <c r="AD85" s="49"/>
      <c r="AE85" s="49"/>
      <c r="AF85" s="49"/>
      <c r="AG85" s="50"/>
    </row>
    <row r="86" customFormat="false" ht="15" hidden="false" customHeight="true" outlineLevel="0" collapsed="false">
      <c r="A86" s="48"/>
      <c r="B86" s="49"/>
      <c r="C86" s="49"/>
      <c r="D86" s="49"/>
      <c r="E86" s="49"/>
      <c r="F86" s="50"/>
      <c r="G86" s="49"/>
      <c r="H86" s="49"/>
      <c r="I86" s="49"/>
      <c r="J86" s="49"/>
      <c r="K86" s="50"/>
      <c r="L86" s="50"/>
      <c r="M86" s="49"/>
      <c r="N86" s="51"/>
      <c r="O86" s="49"/>
      <c r="P86" s="44" t="str">
        <f aca="false">IF($A86="","",IFERROR(INDEX(01_CONTROL!$B$15:$B$18,MATCH($O86,01_CONTROL!$A$15:$A$18,0)),14))</f>
        <v/>
      </c>
      <c r="Q86" s="45" t="str">
        <f aca="false">IF($A86="","",IF($N86="","",$N86+$P86))</f>
        <v/>
      </c>
      <c r="R86" s="49"/>
      <c r="S86" s="51"/>
      <c r="T86" s="50"/>
      <c r="U86" s="49"/>
      <c r="V86" s="49"/>
      <c r="W86" s="51"/>
      <c r="X86" s="44" t="str">
        <f aca="true">IF($A86="","",IF($N86="","",IF($S86="",TODAY()-$N86,$S86-$N86)))</f>
        <v/>
      </c>
      <c r="Y86" s="46" t="str">
        <f aca="true">IF($A86="","",IF(OR($V86="Closed",$V86="Void / withdrawn"),IF($S86="","Closed without response",IF($S86&gt;$Q86,"Answered late","Answered on time")),IF($S86&lt;&gt;"",IF($S86&gt;$Q86,"Answered late","Answered on time"),IF(TODAY()&gt;$Q86,"OVERDUE "&amp;TEXT(TODAY()-$Q86,"0")&amp;" d",TEXT($Q86-TODAY(),"0")&amp;" d left"))))</f>
        <v/>
      </c>
      <c r="Z86" s="44" t="str">
        <f aca="false">IF($A86="","",IF($S86&lt;&gt;"","",IF($X86&lt;=7,"0-7 d",IF($X86&lt;=14,"8-14 d",IF($X86&lt;=30,"15-30 d","over 30 d")))))</f>
        <v/>
      </c>
      <c r="AA86" s="49"/>
      <c r="AB86" s="52"/>
      <c r="AC86" s="49"/>
      <c r="AD86" s="49"/>
      <c r="AE86" s="49"/>
      <c r="AF86" s="49"/>
      <c r="AG86" s="50"/>
    </row>
    <row r="87" customFormat="false" ht="15" hidden="false" customHeight="true" outlineLevel="0" collapsed="false">
      <c r="A87" s="48"/>
      <c r="B87" s="49"/>
      <c r="C87" s="49"/>
      <c r="D87" s="49"/>
      <c r="E87" s="49"/>
      <c r="F87" s="50"/>
      <c r="G87" s="49"/>
      <c r="H87" s="49"/>
      <c r="I87" s="49"/>
      <c r="J87" s="49"/>
      <c r="K87" s="50"/>
      <c r="L87" s="50"/>
      <c r="M87" s="49"/>
      <c r="N87" s="51"/>
      <c r="O87" s="49"/>
      <c r="P87" s="44" t="str">
        <f aca="false">IF($A87="","",IFERROR(INDEX(01_CONTROL!$B$15:$B$18,MATCH($O87,01_CONTROL!$A$15:$A$18,0)),14))</f>
        <v/>
      </c>
      <c r="Q87" s="45" t="str">
        <f aca="false">IF($A87="","",IF($N87="","",$N87+$P87))</f>
        <v/>
      </c>
      <c r="R87" s="49"/>
      <c r="S87" s="51"/>
      <c r="T87" s="50"/>
      <c r="U87" s="49"/>
      <c r="V87" s="49"/>
      <c r="W87" s="51"/>
      <c r="X87" s="44" t="str">
        <f aca="true">IF($A87="","",IF($N87="","",IF($S87="",TODAY()-$N87,$S87-$N87)))</f>
        <v/>
      </c>
      <c r="Y87" s="46" t="str">
        <f aca="true">IF($A87="","",IF(OR($V87="Closed",$V87="Void / withdrawn"),IF($S87="","Closed without response",IF($S87&gt;$Q87,"Answered late","Answered on time")),IF($S87&lt;&gt;"",IF($S87&gt;$Q87,"Answered late","Answered on time"),IF(TODAY()&gt;$Q87,"OVERDUE "&amp;TEXT(TODAY()-$Q87,"0")&amp;" d",TEXT($Q87-TODAY(),"0")&amp;" d left"))))</f>
        <v/>
      </c>
      <c r="Z87" s="44" t="str">
        <f aca="false">IF($A87="","",IF($S87&lt;&gt;"","",IF($X87&lt;=7,"0-7 d",IF($X87&lt;=14,"8-14 d",IF($X87&lt;=30,"15-30 d","over 30 d")))))</f>
        <v/>
      </c>
      <c r="AA87" s="49"/>
      <c r="AB87" s="52"/>
      <c r="AC87" s="49"/>
      <c r="AD87" s="49"/>
      <c r="AE87" s="49"/>
      <c r="AF87" s="49"/>
      <c r="AG87" s="50"/>
    </row>
    <row r="88" customFormat="false" ht="15" hidden="false" customHeight="true" outlineLevel="0" collapsed="false">
      <c r="A88" s="48"/>
      <c r="B88" s="49"/>
      <c r="C88" s="49"/>
      <c r="D88" s="49"/>
      <c r="E88" s="49"/>
      <c r="F88" s="50"/>
      <c r="G88" s="49"/>
      <c r="H88" s="49"/>
      <c r="I88" s="49"/>
      <c r="J88" s="49"/>
      <c r="K88" s="50"/>
      <c r="L88" s="50"/>
      <c r="M88" s="49"/>
      <c r="N88" s="51"/>
      <c r="O88" s="49"/>
      <c r="P88" s="44" t="str">
        <f aca="false">IF($A88="","",IFERROR(INDEX(01_CONTROL!$B$15:$B$18,MATCH($O88,01_CONTROL!$A$15:$A$18,0)),14))</f>
        <v/>
      </c>
      <c r="Q88" s="45" t="str">
        <f aca="false">IF($A88="","",IF($N88="","",$N88+$P88))</f>
        <v/>
      </c>
      <c r="R88" s="49"/>
      <c r="S88" s="51"/>
      <c r="T88" s="50"/>
      <c r="U88" s="49"/>
      <c r="V88" s="49"/>
      <c r="W88" s="51"/>
      <c r="X88" s="44" t="str">
        <f aca="true">IF($A88="","",IF($N88="","",IF($S88="",TODAY()-$N88,$S88-$N88)))</f>
        <v/>
      </c>
      <c r="Y88" s="46" t="str">
        <f aca="true">IF($A88="","",IF(OR($V88="Closed",$V88="Void / withdrawn"),IF($S88="","Closed without response",IF($S88&gt;$Q88,"Answered late","Answered on time")),IF($S88&lt;&gt;"",IF($S88&gt;$Q88,"Answered late","Answered on time"),IF(TODAY()&gt;$Q88,"OVERDUE "&amp;TEXT(TODAY()-$Q88,"0")&amp;" d",TEXT($Q88-TODAY(),"0")&amp;" d left"))))</f>
        <v/>
      </c>
      <c r="Z88" s="44" t="str">
        <f aca="false">IF($A88="","",IF($S88&lt;&gt;"","",IF($X88&lt;=7,"0-7 d",IF($X88&lt;=14,"8-14 d",IF($X88&lt;=30,"15-30 d","over 30 d")))))</f>
        <v/>
      </c>
      <c r="AA88" s="49"/>
      <c r="AB88" s="52"/>
      <c r="AC88" s="49"/>
      <c r="AD88" s="49"/>
      <c r="AE88" s="49"/>
      <c r="AF88" s="49"/>
      <c r="AG88" s="50"/>
    </row>
    <row r="89" customFormat="false" ht="15" hidden="false" customHeight="true" outlineLevel="0" collapsed="false">
      <c r="A89" s="48"/>
      <c r="B89" s="49"/>
      <c r="C89" s="49"/>
      <c r="D89" s="49"/>
      <c r="E89" s="49"/>
      <c r="F89" s="50"/>
      <c r="G89" s="49"/>
      <c r="H89" s="49"/>
      <c r="I89" s="49"/>
      <c r="J89" s="49"/>
      <c r="K89" s="50"/>
      <c r="L89" s="50"/>
      <c r="M89" s="49"/>
      <c r="N89" s="51"/>
      <c r="O89" s="49"/>
      <c r="P89" s="44" t="str">
        <f aca="false">IF($A89="","",IFERROR(INDEX(01_CONTROL!$B$15:$B$18,MATCH($O89,01_CONTROL!$A$15:$A$18,0)),14))</f>
        <v/>
      </c>
      <c r="Q89" s="45" t="str">
        <f aca="false">IF($A89="","",IF($N89="","",$N89+$P89))</f>
        <v/>
      </c>
      <c r="R89" s="49"/>
      <c r="S89" s="51"/>
      <c r="T89" s="50"/>
      <c r="U89" s="49"/>
      <c r="V89" s="49"/>
      <c r="W89" s="51"/>
      <c r="X89" s="44" t="str">
        <f aca="true">IF($A89="","",IF($N89="","",IF($S89="",TODAY()-$N89,$S89-$N89)))</f>
        <v/>
      </c>
      <c r="Y89" s="46" t="str">
        <f aca="true">IF($A89="","",IF(OR($V89="Closed",$V89="Void / withdrawn"),IF($S89="","Closed without response",IF($S89&gt;$Q89,"Answered late","Answered on time")),IF($S89&lt;&gt;"",IF($S89&gt;$Q89,"Answered late","Answered on time"),IF(TODAY()&gt;$Q89,"OVERDUE "&amp;TEXT(TODAY()-$Q89,"0")&amp;" d",TEXT($Q89-TODAY(),"0")&amp;" d left"))))</f>
        <v/>
      </c>
      <c r="Z89" s="44" t="str">
        <f aca="false">IF($A89="","",IF($S89&lt;&gt;"","",IF($X89&lt;=7,"0-7 d",IF($X89&lt;=14,"8-14 d",IF($X89&lt;=30,"15-30 d","over 30 d")))))</f>
        <v/>
      </c>
      <c r="AA89" s="49"/>
      <c r="AB89" s="52"/>
      <c r="AC89" s="49"/>
      <c r="AD89" s="49"/>
      <c r="AE89" s="49"/>
      <c r="AF89" s="49"/>
      <c r="AG89" s="50"/>
    </row>
    <row r="90" customFormat="false" ht="15" hidden="false" customHeight="true" outlineLevel="0" collapsed="false">
      <c r="A90" s="48"/>
      <c r="B90" s="49"/>
      <c r="C90" s="49"/>
      <c r="D90" s="49"/>
      <c r="E90" s="49"/>
      <c r="F90" s="50"/>
      <c r="G90" s="49"/>
      <c r="H90" s="49"/>
      <c r="I90" s="49"/>
      <c r="J90" s="49"/>
      <c r="K90" s="50"/>
      <c r="L90" s="50"/>
      <c r="M90" s="49"/>
      <c r="N90" s="51"/>
      <c r="O90" s="49"/>
      <c r="P90" s="44" t="str">
        <f aca="false">IF($A90="","",IFERROR(INDEX(01_CONTROL!$B$15:$B$18,MATCH($O90,01_CONTROL!$A$15:$A$18,0)),14))</f>
        <v/>
      </c>
      <c r="Q90" s="45" t="str">
        <f aca="false">IF($A90="","",IF($N90="","",$N90+$P90))</f>
        <v/>
      </c>
      <c r="R90" s="49"/>
      <c r="S90" s="51"/>
      <c r="T90" s="50"/>
      <c r="U90" s="49"/>
      <c r="V90" s="49"/>
      <c r="W90" s="51"/>
      <c r="X90" s="44" t="str">
        <f aca="true">IF($A90="","",IF($N90="","",IF($S90="",TODAY()-$N90,$S90-$N90)))</f>
        <v/>
      </c>
      <c r="Y90" s="46" t="str">
        <f aca="true">IF($A90="","",IF(OR($V90="Closed",$V90="Void / withdrawn"),IF($S90="","Closed without response",IF($S90&gt;$Q90,"Answered late","Answered on time")),IF($S90&lt;&gt;"",IF($S90&gt;$Q90,"Answered late","Answered on time"),IF(TODAY()&gt;$Q90,"OVERDUE "&amp;TEXT(TODAY()-$Q90,"0")&amp;" d",TEXT($Q90-TODAY(),"0")&amp;" d left"))))</f>
        <v/>
      </c>
      <c r="Z90" s="44" t="str">
        <f aca="false">IF($A90="","",IF($S90&lt;&gt;"","",IF($X90&lt;=7,"0-7 d",IF($X90&lt;=14,"8-14 d",IF($X90&lt;=30,"15-30 d","over 30 d")))))</f>
        <v/>
      </c>
      <c r="AA90" s="49"/>
      <c r="AB90" s="52"/>
      <c r="AC90" s="49"/>
      <c r="AD90" s="49"/>
      <c r="AE90" s="49"/>
      <c r="AF90" s="49"/>
      <c r="AG90" s="50"/>
    </row>
    <row r="91" customFormat="false" ht="15" hidden="false" customHeight="true" outlineLevel="0" collapsed="false">
      <c r="A91" s="48"/>
      <c r="B91" s="49"/>
      <c r="C91" s="49"/>
      <c r="D91" s="49"/>
      <c r="E91" s="49"/>
      <c r="F91" s="50"/>
      <c r="G91" s="49"/>
      <c r="H91" s="49"/>
      <c r="I91" s="49"/>
      <c r="J91" s="49"/>
      <c r="K91" s="50"/>
      <c r="L91" s="50"/>
      <c r="M91" s="49"/>
      <c r="N91" s="51"/>
      <c r="O91" s="49"/>
      <c r="P91" s="44" t="str">
        <f aca="false">IF($A91="","",IFERROR(INDEX(01_CONTROL!$B$15:$B$18,MATCH($O91,01_CONTROL!$A$15:$A$18,0)),14))</f>
        <v/>
      </c>
      <c r="Q91" s="45" t="str">
        <f aca="false">IF($A91="","",IF($N91="","",$N91+$P91))</f>
        <v/>
      </c>
      <c r="R91" s="49"/>
      <c r="S91" s="51"/>
      <c r="T91" s="50"/>
      <c r="U91" s="49"/>
      <c r="V91" s="49"/>
      <c r="W91" s="51"/>
      <c r="X91" s="44" t="str">
        <f aca="true">IF($A91="","",IF($N91="","",IF($S91="",TODAY()-$N91,$S91-$N91)))</f>
        <v/>
      </c>
      <c r="Y91" s="46" t="str">
        <f aca="true">IF($A91="","",IF(OR($V91="Closed",$V91="Void / withdrawn"),IF($S91="","Closed without response",IF($S91&gt;$Q91,"Answered late","Answered on time")),IF($S91&lt;&gt;"",IF($S91&gt;$Q91,"Answered late","Answered on time"),IF(TODAY()&gt;$Q91,"OVERDUE "&amp;TEXT(TODAY()-$Q91,"0")&amp;" d",TEXT($Q91-TODAY(),"0")&amp;" d left"))))</f>
        <v/>
      </c>
      <c r="Z91" s="44" t="str">
        <f aca="false">IF($A91="","",IF($S91&lt;&gt;"","",IF($X91&lt;=7,"0-7 d",IF($X91&lt;=14,"8-14 d",IF($X91&lt;=30,"15-30 d","over 30 d")))))</f>
        <v/>
      </c>
      <c r="AA91" s="49"/>
      <c r="AB91" s="52"/>
      <c r="AC91" s="49"/>
      <c r="AD91" s="49"/>
      <c r="AE91" s="49"/>
      <c r="AF91" s="49"/>
      <c r="AG91" s="50"/>
    </row>
    <row r="92" customFormat="false" ht="15" hidden="false" customHeight="true" outlineLevel="0" collapsed="false">
      <c r="A92" s="48"/>
      <c r="B92" s="49"/>
      <c r="C92" s="49"/>
      <c r="D92" s="49"/>
      <c r="E92" s="49"/>
      <c r="F92" s="50"/>
      <c r="G92" s="49"/>
      <c r="H92" s="49"/>
      <c r="I92" s="49"/>
      <c r="J92" s="49"/>
      <c r="K92" s="50"/>
      <c r="L92" s="50"/>
      <c r="M92" s="49"/>
      <c r="N92" s="51"/>
      <c r="O92" s="49"/>
      <c r="P92" s="44" t="str">
        <f aca="false">IF($A92="","",IFERROR(INDEX(01_CONTROL!$B$15:$B$18,MATCH($O92,01_CONTROL!$A$15:$A$18,0)),14))</f>
        <v/>
      </c>
      <c r="Q92" s="45" t="str">
        <f aca="false">IF($A92="","",IF($N92="","",$N92+$P92))</f>
        <v/>
      </c>
      <c r="R92" s="49"/>
      <c r="S92" s="51"/>
      <c r="T92" s="50"/>
      <c r="U92" s="49"/>
      <c r="V92" s="49"/>
      <c r="W92" s="51"/>
      <c r="X92" s="44" t="str">
        <f aca="true">IF($A92="","",IF($N92="","",IF($S92="",TODAY()-$N92,$S92-$N92)))</f>
        <v/>
      </c>
      <c r="Y92" s="46" t="str">
        <f aca="true">IF($A92="","",IF(OR($V92="Closed",$V92="Void / withdrawn"),IF($S92="","Closed without response",IF($S92&gt;$Q92,"Answered late","Answered on time")),IF($S92&lt;&gt;"",IF($S92&gt;$Q92,"Answered late","Answered on time"),IF(TODAY()&gt;$Q92,"OVERDUE "&amp;TEXT(TODAY()-$Q92,"0")&amp;" d",TEXT($Q92-TODAY(),"0")&amp;" d left"))))</f>
        <v/>
      </c>
      <c r="Z92" s="44" t="str">
        <f aca="false">IF($A92="","",IF($S92&lt;&gt;"","",IF($X92&lt;=7,"0-7 d",IF($X92&lt;=14,"8-14 d",IF($X92&lt;=30,"15-30 d","over 30 d")))))</f>
        <v/>
      </c>
      <c r="AA92" s="49"/>
      <c r="AB92" s="52"/>
      <c r="AC92" s="49"/>
      <c r="AD92" s="49"/>
      <c r="AE92" s="49"/>
      <c r="AF92" s="49"/>
      <c r="AG92" s="50"/>
    </row>
    <row r="93" customFormat="false" ht="15" hidden="false" customHeight="true" outlineLevel="0" collapsed="false">
      <c r="A93" s="48"/>
      <c r="B93" s="49"/>
      <c r="C93" s="49"/>
      <c r="D93" s="49"/>
      <c r="E93" s="49"/>
      <c r="F93" s="50"/>
      <c r="G93" s="49"/>
      <c r="H93" s="49"/>
      <c r="I93" s="49"/>
      <c r="J93" s="49"/>
      <c r="K93" s="50"/>
      <c r="L93" s="50"/>
      <c r="M93" s="49"/>
      <c r="N93" s="51"/>
      <c r="O93" s="49"/>
      <c r="P93" s="44" t="str">
        <f aca="false">IF($A93="","",IFERROR(INDEX(01_CONTROL!$B$15:$B$18,MATCH($O93,01_CONTROL!$A$15:$A$18,0)),14))</f>
        <v/>
      </c>
      <c r="Q93" s="45" t="str">
        <f aca="false">IF($A93="","",IF($N93="","",$N93+$P93))</f>
        <v/>
      </c>
      <c r="R93" s="49"/>
      <c r="S93" s="51"/>
      <c r="T93" s="50"/>
      <c r="U93" s="49"/>
      <c r="V93" s="49"/>
      <c r="W93" s="51"/>
      <c r="X93" s="44" t="str">
        <f aca="true">IF($A93="","",IF($N93="","",IF($S93="",TODAY()-$N93,$S93-$N93)))</f>
        <v/>
      </c>
      <c r="Y93" s="46" t="str">
        <f aca="true">IF($A93="","",IF(OR($V93="Closed",$V93="Void / withdrawn"),IF($S93="","Closed without response",IF($S93&gt;$Q93,"Answered late","Answered on time")),IF($S93&lt;&gt;"",IF($S93&gt;$Q93,"Answered late","Answered on time"),IF(TODAY()&gt;$Q93,"OVERDUE "&amp;TEXT(TODAY()-$Q93,"0")&amp;" d",TEXT($Q93-TODAY(),"0")&amp;" d left"))))</f>
        <v/>
      </c>
      <c r="Z93" s="44" t="str">
        <f aca="false">IF($A93="","",IF($S93&lt;&gt;"","",IF($X93&lt;=7,"0-7 d",IF($X93&lt;=14,"8-14 d",IF($X93&lt;=30,"15-30 d","over 30 d")))))</f>
        <v/>
      </c>
      <c r="AA93" s="49"/>
      <c r="AB93" s="52"/>
      <c r="AC93" s="49"/>
      <c r="AD93" s="49"/>
      <c r="AE93" s="49"/>
      <c r="AF93" s="49"/>
      <c r="AG93" s="50"/>
    </row>
    <row r="94" customFormat="false" ht="15" hidden="false" customHeight="true" outlineLevel="0" collapsed="false">
      <c r="A94" s="48"/>
      <c r="B94" s="49"/>
      <c r="C94" s="49"/>
      <c r="D94" s="49"/>
      <c r="E94" s="49"/>
      <c r="F94" s="50"/>
      <c r="G94" s="49"/>
      <c r="H94" s="49"/>
      <c r="I94" s="49"/>
      <c r="J94" s="49"/>
      <c r="K94" s="50"/>
      <c r="L94" s="50"/>
      <c r="M94" s="49"/>
      <c r="N94" s="51"/>
      <c r="O94" s="49"/>
      <c r="P94" s="44" t="str">
        <f aca="false">IF($A94="","",IFERROR(INDEX(01_CONTROL!$B$15:$B$18,MATCH($O94,01_CONTROL!$A$15:$A$18,0)),14))</f>
        <v/>
      </c>
      <c r="Q94" s="45" t="str">
        <f aca="false">IF($A94="","",IF($N94="","",$N94+$P94))</f>
        <v/>
      </c>
      <c r="R94" s="49"/>
      <c r="S94" s="51"/>
      <c r="T94" s="50"/>
      <c r="U94" s="49"/>
      <c r="V94" s="49"/>
      <c r="W94" s="51"/>
      <c r="X94" s="44" t="str">
        <f aca="true">IF($A94="","",IF($N94="","",IF($S94="",TODAY()-$N94,$S94-$N94)))</f>
        <v/>
      </c>
      <c r="Y94" s="46" t="str">
        <f aca="true">IF($A94="","",IF(OR($V94="Closed",$V94="Void / withdrawn"),IF($S94="","Closed without response",IF($S94&gt;$Q94,"Answered late","Answered on time")),IF($S94&lt;&gt;"",IF($S94&gt;$Q94,"Answered late","Answered on time"),IF(TODAY()&gt;$Q94,"OVERDUE "&amp;TEXT(TODAY()-$Q94,"0")&amp;" d",TEXT($Q94-TODAY(),"0")&amp;" d left"))))</f>
        <v/>
      </c>
      <c r="Z94" s="44" t="str">
        <f aca="false">IF($A94="","",IF($S94&lt;&gt;"","",IF($X94&lt;=7,"0-7 d",IF($X94&lt;=14,"8-14 d",IF($X94&lt;=30,"15-30 d","over 30 d")))))</f>
        <v/>
      </c>
      <c r="AA94" s="49"/>
      <c r="AB94" s="52"/>
      <c r="AC94" s="49"/>
      <c r="AD94" s="49"/>
      <c r="AE94" s="49"/>
      <c r="AF94" s="49"/>
      <c r="AG94" s="50"/>
    </row>
    <row r="95" customFormat="false" ht="15" hidden="false" customHeight="true" outlineLevel="0" collapsed="false">
      <c r="A95" s="48"/>
      <c r="B95" s="49"/>
      <c r="C95" s="49"/>
      <c r="D95" s="49"/>
      <c r="E95" s="49"/>
      <c r="F95" s="50"/>
      <c r="G95" s="49"/>
      <c r="H95" s="49"/>
      <c r="I95" s="49"/>
      <c r="J95" s="49"/>
      <c r="K95" s="50"/>
      <c r="L95" s="50"/>
      <c r="M95" s="49"/>
      <c r="N95" s="51"/>
      <c r="O95" s="49"/>
      <c r="P95" s="44" t="str">
        <f aca="false">IF($A95="","",IFERROR(INDEX(01_CONTROL!$B$15:$B$18,MATCH($O95,01_CONTROL!$A$15:$A$18,0)),14))</f>
        <v/>
      </c>
      <c r="Q95" s="45" t="str">
        <f aca="false">IF($A95="","",IF($N95="","",$N95+$P95))</f>
        <v/>
      </c>
      <c r="R95" s="49"/>
      <c r="S95" s="51"/>
      <c r="T95" s="50"/>
      <c r="U95" s="49"/>
      <c r="V95" s="49"/>
      <c r="W95" s="51"/>
      <c r="X95" s="44" t="str">
        <f aca="true">IF($A95="","",IF($N95="","",IF($S95="",TODAY()-$N95,$S95-$N95)))</f>
        <v/>
      </c>
      <c r="Y95" s="46" t="str">
        <f aca="true">IF($A95="","",IF(OR($V95="Closed",$V95="Void / withdrawn"),IF($S95="","Closed without response",IF($S95&gt;$Q95,"Answered late","Answered on time")),IF($S95&lt;&gt;"",IF($S95&gt;$Q95,"Answered late","Answered on time"),IF(TODAY()&gt;$Q95,"OVERDUE "&amp;TEXT(TODAY()-$Q95,"0")&amp;" d",TEXT($Q95-TODAY(),"0")&amp;" d left"))))</f>
        <v/>
      </c>
      <c r="Z95" s="44" t="str">
        <f aca="false">IF($A95="","",IF($S95&lt;&gt;"","",IF($X95&lt;=7,"0-7 d",IF($X95&lt;=14,"8-14 d",IF($X95&lt;=30,"15-30 d","over 30 d")))))</f>
        <v/>
      </c>
      <c r="AA95" s="49"/>
      <c r="AB95" s="52"/>
      <c r="AC95" s="49"/>
      <c r="AD95" s="49"/>
      <c r="AE95" s="49"/>
      <c r="AF95" s="49"/>
      <c r="AG95" s="50"/>
    </row>
    <row r="96" customFormat="false" ht="15" hidden="false" customHeight="true" outlineLevel="0" collapsed="false">
      <c r="A96" s="48"/>
      <c r="B96" s="49"/>
      <c r="C96" s="49"/>
      <c r="D96" s="49"/>
      <c r="E96" s="49"/>
      <c r="F96" s="50"/>
      <c r="G96" s="49"/>
      <c r="H96" s="49"/>
      <c r="I96" s="49"/>
      <c r="J96" s="49"/>
      <c r="K96" s="50"/>
      <c r="L96" s="50"/>
      <c r="M96" s="49"/>
      <c r="N96" s="51"/>
      <c r="O96" s="49"/>
      <c r="P96" s="44" t="str">
        <f aca="false">IF($A96="","",IFERROR(INDEX(01_CONTROL!$B$15:$B$18,MATCH($O96,01_CONTROL!$A$15:$A$18,0)),14))</f>
        <v/>
      </c>
      <c r="Q96" s="45" t="str">
        <f aca="false">IF($A96="","",IF($N96="","",$N96+$P96))</f>
        <v/>
      </c>
      <c r="R96" s="49"/>
      <c r="S96" s="51"/>
      <c r="T96" s="50"/>
      <c r="U96" s="49"/>
      <c r="V96" s="49"/>
      <c r="W96" s="51"/>
      <c r="X96" s="44" t="str">
        <f aca="true">IF($A96="","",IF($N96="","",IF($S96="",TODAY()-$N96,$S96-$N96)))</f>
        <v/>
      </c>
      <c r="Y96" s="46" t="str">
        <f aca="true">IF($A96="","",IF(OR($V96="Closed",$V96="Void / withdrawn"),IF($S96="","Closed without response",IF($S96&gt;$Q96,"Answered late","Answered on time")),IF($S96&lt;&gt;"",IF($S96&gt;$Q96,"Answered late","Answered on time"),IF(TODAY()&gt;$Q96,"OVERDUE "&amp;TEXT(TODAY()-$Q96,"0")&amp;" d",TEXT($Q96-TODAY(),"0")&amp;" d left"))))</f>
        <v/>
      </c>
      <c r="Z96" s="44" t="str">
        <f aca="false">IF($A96="","",IF($S96&lt;&gt;"","",IF($X96&lt;=7,"0-7 d",IF($X96&lt;=14,"8-14 d",IF($X96&lt;=30,"15-30 d","over 30 d")))))</f>
        <v/>
      </c>
      <c r="AA96" s="49"/>
      <c r="AB96" s="52"/>
      <c r="AC96" s="49"/>
      <c r="AD96" s="49"/>
      <c r="AE96" s="49"/>
      <c r="AF96" s="49"/>
      <c r="AG96" s="50"/>
    </row>
    <row r="97" customFormat="false" ht="15" hidden="false" customHeight="true" outlineLevel="0" collapsed="false">
      <c r="A97" s="48"/>
      <c r="B97" s="49"/>
      <c r="C97" s="49"/>
      <c r="D97" s="49"/>
      <c r="E97" s="49"/>
      <c r="F97" s="50"/>
      <c r="G97" s="49"/>
      <c r="H97" s="49"/>
      <c r="I97" s="49"/>
      <c r="J97" s="49"/>
      <c r="K97" s="50"/>
      <c r="L97" s="50"/>
      <c r="M97" s="49"/>
      <c r="N97" s="51"/>
      <c r="O97" s="49"/>
      <c r="P97" s="44" t="str">
        <f aca="false">IF($A97="","",IFERROR(INDEX(01_CONTROL!$B$15:$B$18,MATCH($O97,01_CONTROL!$A$15:$A$18,0)),14))</f>
        <v/>
      </c>
      <c r="Q97" s="45" t="str">
        <f aca="false">IF($A97="","",IF($N97="","",$N97+$P97))</f>
        <v/>
      </c>
      <c r="R97" s="49"/>
      <c r="S97" s="51"/>
      <c r="T97" s="50"/>
      <c r="U97" s="49"/>
      <c r="V97" s="49"/>
      <c r="W97" s="51"/>
      <c r="X97" s="44" t="str">
        <f aca="true">IF($A97="","",IF($N97="","",IF($S97="",TODAY()-$N97,$S97-$N97)))</f>
        <v/>
      </c>
      <c r="Y97" s="46" t="str">
        <f aca="true">IF($A97="","",IF(OR($V97="Closed",$V97="Void / withdrawn"),IF($S97="","Closed without response",IF($S97&gt;$Q97,"Answered late","Answered on time")),IF($S97&lt;&gt;"",IF($S97&gt;$Q97,"Answered late","Answered on time"),IF(TODAY()&gt;$Q97,"OVERDUE "&amp;TEXT(TODAY()-$Q97,"0")&amp;" d",TEXT($Q97-TODAY(),"0")&amp;" d left"))))</f>
        <v/>
      </c>
      <c r="Z97" s="44" t="str">
        <f aca="false">IF($A97="","",IF($S97&lt;&gt;"","",IF($X97&lt;=7,"0-7 d",IF($X97&lt;=14,"8-14 d",IF($X97&lt;=30,"15-30 d","over 30 d")))))</f>
        <v/>
      </c>
      <c r="AA97" s="49"/>
      <c r="AB97" s="52"/>
      <c r="AC97" s="49"/>
      <c r="AD97" s="49"/>
      <c r="AE97" s="49"/>
      <c r="AF97" s="49"/>
      <c r="AG97" s="50"/>
    </row>
    <row r="98" customFormat="false" ht="15" hidden="false" customHeight="true" outlineLevel="0" collapsed="false">
      <c r="A98" s="48"/>
      <c r="B98" s="49"/>
      <c r="C98" s="49"/>
      <c r="D98" s="49"/>
      <c r="E98" s="49"/>
      <c r="F98" s="50"/>
      <c r="G98" s="49"/>
      <c r="H98" s="49"/>
      <c r="I98" s="49"/>
      <c r="J98" s="49"/>
      <c r="K98" s="50"/>
      <c r="L98" s="50"/>
      <c r="M98" s="49"/>
      <c r="N98" s="51"/>
      <c r="O98" s="49"/>
      <c r="P98" s="44" t="str">
        <f aca="false">IF($A98="","",IFERROR(INDEX(01_CONTROL!$B$15:$B$18,MATCH($O98,01_CONTROL!$A$15:$A$18,0)),14))</f>
        <v/>
      </c>
      <c r="Q98" s="45" t="str">
        <f aca="false">IF($A98="","",IF($N98="","",$N98+$P98))</f>
        <v/>
      </c>
      <c r="R98" s="49"/>
      <c r="S98" s="51"/>
      <c r="T98" s="50"/>
      <c r="U98" s="49"/>
      <c r="V98" s="49"/>
      <c r="W98" s="51"/>
      <c r="X98" s="44" t="str">
        <f aca="true">IF($A98="","",IF($N98="","",IF($S98="",TODAY()-$N98,$S98-$N98)))</f>
        <v/>
      </c>
      <c r="Y98" s="46" t="str">
        <f aca="true">IF($A98="","",IF(OR($V98="Closed",$V98="Void / withdrawn"),IF($S98="","Closed without response",IF($S98&gt;$Q98,"Answered late","Answered on time")),IF($S98&lt;&gt;"",IF($S98&gt;$Q98,"Answered late","Answered on time"),IF(TODAY()&gt;$Q98,"OVERDUE "&amp;TEXT(TODAY()-$Q98,"0")&amp;" d",TEXT($Q98-TODAY(),"0")&amp;" d left"))))</f>
        <v/>
      </c>
      <c r="Z98" s="44" t="str">
        <f aca="false">IF($A98="","",IF($S98&lt;&gt;"","",IF($X98&lt;=7,"0-7 d",IF($X98&lt;=14,"8-14 d",IF($X98&lt;=30,"15-30 d","over 30 d")))))</f>
        <v/>
      </c>
      <c r="AA98" s="49"/>
      <c r="AB98" s="52"/>
      <c r="AC98" s="49"/>
      <c r="AD98" s="49"/>
      <c r="AE98" s="49"/>
      <c r="AF98" s="49"/>
      <c r="AG98" s="50"/>
    </row>
    <row r="99" customFormat="false" ht="15" hidden="false" customHeight="true" outlineLevel="0" collapsed="false">
      <c r="A99" s="48"/>
      <c r="B99" s="49"/>
      <c r="C99" s="49"/>
      <c r="D99" s="49"/>
      <c r="E99" s="49"/>
      <c r="F99" s="50"/>
      <c r="G99" s="49"/>
      <c r="H99" s="49"/>
      <c r="I99" s="49"/>
      <c r="J99" s="49"/>
      <c r="K99" s="50"/>
      <c r="L99" s="50"/>
      <c r="M99" s="49"/>
      <c r="N99" s="51"/>
      <c r="O99" s="49"/>
      <c r="P99" s="44" t="str">
        <f aca="false">IF($A99="","",IFERROR(INDEX(01_CONTROL!$B$15:$B$18,MATCH($O99,01_CONTROL!$A$15:$A$18,0)),14))</f>
        <v/>
      </c>
      <c r="Q99" s="45" t="str">
        <f aca="false">IF($A99="","",IF($N99="","",$N99+$P99))</f>
        <v/>
      </c>
      <c r="R99" s="49"/>
      <c r="S99" s="51"/>
      <c r="T99" s="50"/>
      <c r="U99" s="49"/>
      <c r="V99" s="49"/>
      <c r="W99" s="51"/>
      <c r="X99" s="44" t="str">
        <f aca="true">IF($A99="","",IF($N99="","",IF($S99="",TODAY()-$N99,$S99-$N99)))</f>
        <v/>
      </c>
      <c r="Y99" s="46" t="str">
        <f aca="true">IF($A99="","",IF(OR($V99="Closed",$V99="Void / withdrawn"),IF($S99="","Closed without response",IF($S99&gt;$Q99,"Answered late","Answered on time")),IF($S99&lt;&gt;"",IF($S99&gt;$Q99,"Answered late","Answered on time"),IF(TODAY()&gt;$Q99,"OVERDUE "&amp;TEXT(TODAY()-$Q99,"0")&amp;" d",TEXT($Q99-TODAY(),"0")&amp;" d left"))))</f>
        <v/>
      </c>
      <c r="Z99" s="44" t="str">
        <f aca="false">IF($A99="","",IF($S99&lt;&gt;"","",IF($X99&lt;=7,"0-7 d",IF($X99&lt;=14,"8-14 d",IF($X99&lt;=30,"15-30 d","over 30 d")))))</f>
        <v/>
      </c>
      <c r="AA99" s="49"/>
      <c r="AB99" s="52"/>
      <c r="AC99" s="49"/>
      <c r="AD99" s="49"/>
      <c r="AE99" s="49"/>
      <c r="AF99" s="49"/>
      <c r="AG99" s="50"/>
    </row>
    <row r="100" customFormat="false" ht="15" hidden="false" customHeight="true" outlineLevel="0" collapsed="false">
      <c r="A100" s="48"/>
      <c r="B100" s="49"/>
      <c r="C100" s="49"/>
      <c r="D100" s="49"/>
      <c r="E100" s="49"/>
      <c r="F100" s="50"/>
      <c r="G100" s="49"/>
      <c r="H100" s="49"/>
      <c r="I100" s="49"/>
      <c r="J100" s="49"/>
      <c r="K100" s="50"/>
      <c r="L100" s="50"/>
      <c r="M100" s="49"/>
      <c r="N100" s="51"/>
      <c r="O100" s="49"/>
      <c r="P100" s="44" t="str">
        <f aca="false">IF($A100="","",IFERROR(INDEX(01_CONTROL!$B$15:$B$18,MATCH($O100,01_CONTROL!$A$15:$A$18,0)),14))</f>
        <v/>
      </c>
      <c r="Q100" s="45" t="str">
        <f aca="false">IF($A100="","",IF($N100="","",$N100+$P100))</f>
        <v/>
      </c>
      <c r="R100" s="49"/>
      <c r="S100" s="51"/>
      <c r="T100" s="50"/>
      <c r="U100" s="49"/>
      <c r="V100" s="49"/>
      <c r="W100" s="51"/>
      <c r="X100" s="44" t="str">
        <f aca="true">IF($A100="","",IF($N100="","",IF($S100="",TODAY()-$N100,$S100-$N100)))</f>
        <v/>
      </c>
      <c r="Y100" s="46" t="str">
        <f aca="true">IF($A100="","",IF(OR($V100="Closed",$V100="Void / withdrawn"),IF($S100="","Closed without response",IF($S100&gt;$Q100,"Answered late","Answered on time")),IF($S100&lt;&gt;"",IF($S100&gt;$Q100,"Answered late","Answered on time"),IF(TODAY()&gt;$Q100,"OVERDUE "&amp;TEXT(TODAY()-$Q100,"0")&amp;" d",TEXT($Q100-TODAY(),"0")&amp;" d left"))))</f>
        <v/>
      </c>
      <c r="Z100" s="44" t="str">
        <f aca="false">IF($A100="","",IF($S100&lt;&gt;"","",IF($X100&lt;=7,"0-7 d",IF($X100&lt;=14,"8-14 d",IF($X100&lt;=30,"15-30 d","over 30 d")))))</f>
        <v/>
      </c>
      <c r="AA100" s="49"/>
      <c r="AB100" s="52"/>
      <c r="AC100" s="49"/>
      <c r="AD100" s="49"/>
      <c r="AE100" s="49"/>
      <c r="AF100" s="49"/>
      <c r="AG100" s="50"/>
    </row>
    <row r="101" customFormat="false" ht="15" hidden="false" customHeight="true" outlineLevel="0" collapsed="false">
      <c r="A101" s="48"/>
      <c r="B101" s="49"/>
      <c r="C101" s="49"/>
      <c r="D101" s="49"/>
      <c r="E101" s="49"/>
      <c r="F101" s="50"/>
      <c r="G101" s="49"/>
      <c r="H101" s="49"/>
      <c r="I101" s="49"/>
      <c r="J101" s="49"/>
      <c r="K101" s="50"/>
      <c r="L101" s="50"/>
      <c r="M101" s="49"/>
      <c r="N101" s="51"/>
      <c r="O101" s="49"/>
      <c r="P101" s="44" t="str">
        <f aca="false">IF($A101="","",IFERROR(INDEX(01_CONTROL!$B$15:$B$18,MATCH($O101,01_CONTROL!$A$15:$A$18,0)),14))</f>
        <v/>
      </c>
      <c r="Q101" s="45" t="str">
        <f aca="false">IF($A101="","",IF($N101="","",$N101+$P101))</f>
        <v/>
      </c>
      <c r="R101" s="49"/>
      <c r="S101" s="51"/>
      <c r="T101" s="50"/>
      <c r="U101" s="49"/>
      <c r="V101" s="49"/>
      <c r="W101" s="51"/>
      <c r="X101" s="44" t="str">
        <f aca="true">IF($A101="","",IF($N101="","",IF($S101="",TODAY()-$N101,$S101-$N101)))</f>
        <v/>
      </c>
      <c r="Y101" s="46" t="str">
        <f aca="true">IF($A101="","",IF(OR($V101="Closed",$V101="Void / withdrawn"),IF($S101="","Closed without response",IF($S101&gt;$Q101,"Answered late","Answered on time")),IF($S101&lt;&gt;"",IF($S101&gt;$Q101,"Answered late","Answered on time"),IF(TODAY()&gt;$Q101,"OVERDUE "&amp;TEXT(TODAY()-$Q101,"0")&amp;" d",TEXT($Q101-TODAY(),"0")&amp;" d left"))))</f>
        <v/>
      </c>
      <c r="Z101" s="44" t="str">
        <f aca="false">IF($A101="","",IF($S101&lt;&gt;"","",IF($X101&lt;=7,"0-7 d",IF($X101&lt;=14,"8-14 d",IF($X101&lt;=30,"15-30 d","over 30 d")))))</f>
        <v/>
      </c>
      <c r="AA101" s="49"/>
      <c r="AB101" s="52"/>
      <c r="AC101" s="49"/>
      <c r="AD101" s="49"/>
      <c r="AE101" s="49"/>
      <c r="AF101" s="49"/>
      <c r="AG101" s="50"/>
    </row>
    <row r="102" customFormat="false" ht="15" hidden="false" customHeight="true" outlineLevel="0" collapsed="false">
      <c r="A102" s="48"/>
      <c r="B102" s="49"/>
      <c r="C102" s="49"/>
      <c r="D102" s="49"/>
      <c r="E102" s="49"/>
      <c r="F102" s="50"/>
      <c r="G102" s="49"/>
      <c r="H102" s="49"/>
      <c r="I102" s="49"/>
      <c r="J102" s="49"/>
      <c r="K102" s="50"/>
      <c r="L102" s="50"/>
      <c r="M102" s="49"/>
      <c r="N102" s="51"/>
      <c r="O102" s="49"/>
      <c r="P102" s="44" t="str">
        <f aca="false">IF($A102="","",IFERROR(INDEX(01_CONTROL!$B$15:$B$18,MATCH($O102,01_CONTROL!$A$15:$A$18,0)),14))</f>
        <v/>
      </c>
      <c r="Q102" s="45" t="str">
        <f aca="false">IF($A102="","",IF($N102="","",$N102+$P102))</f>
        <v/>
      </c>
      <c r="R102" s="49"/>
      <c r="S102" s="51"/>
      <c r="T102" s="50"/>
      <c r="U102" s="49"/>
      <c r="V102" s="49"/>
      <c r="W102" s="51"/>
      <c r="X102" s="44" t="str">
        <f aca="true">IF($A102="","",IF($N102="","",IF($S102="",TODAY()-$N102,$S102-$N102)))</f>
        <v/>
      </c>
      <c r="Y102" s="46" t="str">
        <f aca="true">IF($A102="","",IF(OR($V102="Closed",$V102="Void / withdrawn"),IF($S102="","Closed without response",IF($S102&gt;$Q102,"Answered late","Answered on time")),IF($S102&lt;&gt;"",IF($S102&gt;$Q102,"Answered late","Answered on time"),IF(TODAY()&gt;$Q102,"OVERDUE "&amp;TEXT(TODAY()-$Q102,"0")&amp;" d",TEXT($Q102-TODAY(),"0")&amp;" d left"))))</f>
        <v/>
      </c>
      <c r="Z102" s="44" t="str">
        <f aca="false">IF($A102="","",IF($S102&lt;&gt;"","",IF($X102&lt;=7,"0-7 d",IF($X102&lt;=14,"8-14 d",IF($X102&lt;=30,"15-30 d","over 30 d")))))</f>
        <v/>
      </c>
      <c r="AA102" s="49"/>
      <c r="AB102" s="52"/>
      <c r="AC102" s="49"/>
      <c r="AD102" s="49"/>
      <c r="AE102" s="49"/>
      <c r="AF102" s="49"/>
      <c r="AG102" s="50"/>
    </row>
    <row r="103" customFormat="false" ht="15" hidden="false" customHeight="true" outlineLevel="0" collapsed="false">
      <c r="A103" s="48"/>
      <c r="B103" s="49"/>
      <c r="C103" s="49"/>
      <c r="D103" s="49"/>
      <c r="E103" s="49"/>
      <c r="F103" s="50"/>
      <c r="G103" s="49"/>
      <c r="H103" s="49"/>
      <c r="I103" s="49"/>
      <c r="J103" s="49"/>
      <c r="K103" s="50"/>
      <c r="L103" s="50"/>
      <c r="M103" s="49"/>
      <c r="N103" s="51"/>
      <c r="O103" s="49"/>
      <c r="P103" s="44" t="str">
        <f aca="false">IF($A103="","",IFERROR(INDEX(01_CONTROL!$B$15:$B$18,MATCH($O103,01_CONTROL!$A$15:$A$18,0)),14))</f>
        <v/>
      </c>
      <c r="Q103" s="45" t="str">
        <f aca="false">IF($A103="","",IF($N103="","",$N103+$P103))</f>
        <v/>
      </c>
      <c r="R103" s="49"/>
      <c r="S103" s="51"/>
      <c r="T103" s="50"/>
      <c r="U103" s="49"/>
      <c r="V103" s="49"/>
      <c r="W103" s="51"/>
      <c r="X103" s="44" t="str">
        <f aca="true">IF($A103="","",IF($N103="","",IF($S103="",TODAY()-$N103,$S103-$N103)))</f>
        <v/>
      </c>
      <c r="Y103" s="46" t="str">
        <f aca="true">IF($A103="","",IF(OR($V103="Closed",$V103="Void / withdrawn"),IF($S103="","Closed without response",IF($S103&gt;$Q103,"Answered late","Answered on time")),IF($S103&lt;&gt;"",IF($S103&gt;$Q103,"Answered late","Answered on time"),IF(TODAY()&gt;$Q103,"OVERDUE "&amp;TEXT(TODAY()-$Q103,"0")&amp;" d",TEXT($Q103-TODAY(),"0")&amp;" d left"))))</f>
        <v/>
      </c>
      <c r="Z103" s="44" t="str">
        <f aca="false">IF($A103="","",IF($S103&lt;&gt;"","",IF($X103&lt;=7,"0-7 d",IF($X103&lt;=14,"8-14 d",IF($X103&lt;=30,"15-30 d","over 30 d")))))</f>
        <v/>
      </c>
      <c r="AA103" s="49"/>
      <c r="AB103" s="52"/>
      <c r="AC103" s="49"/>
      <c r="AD103" s="49"/>
      <c r="AE103" s="49"/>
      <c r="AF103" s="49"/>
      <c r="AG103" s="50"/>
    </row>
    <row r="104" customFormat="false" ht="15" hidden="false" customHeight="true" outlineLevel="0" collapsed="false">
      <c r="A104" s="48"/>
      <c r="B104" s="49"/>
      <c r="C104" s="49"/>
      <c r="D104" s="49"/>
      <c r="E104" s="49"/>
      <c r="F104" s="50"/>
      <c r="G104" s="49"/>
      <c r="H104" s="49"/>
      <c r="I104" s="49"/>
      <c r="J104" s="49"/>
      <c r="K104" s="50"/>
      <c r="L104" s="50"/>
      <c r="M104" s="49"/>
      <c r="N104" s="51"/>
      <c r="O104" s="49"/>
      <c r="P104" s="44" t="str">
        <f aca="false">IF($A104="","",IFERROR(INDEX(01_CONTROL!$B$15:$B$18,MATCH($O104,01_CONTROL!$A$15:$A$18,0)),14))</f>
        <v/>
      </c>
      <c r="Q104" s="45" t="str">
        <f aca="false">IF($A104="","",IF($N104="","",$N104+$P104))</f>
        <v/>
      </c>
      <c r="R104" s="49"/>
      <c r="S104" s="51"/>
      <c r="T104" s="50"/>
      <c r="U104" s="49"/>
      <c r="V104" s="49"/>
      <c r="W104" s="51"/>
      <c r="X104" s="44" t="str">
        <f aca="true">IF($A104="","",IF($N104="","",IF($S104="",TODAY()-$N104,$S104-$N104)))</f>
        <v/>
      </c>
      <c r="Y104" s="46" t="str">
        <f aca="true">IF($A104="","",IF(OR($V104="Closed",$V104="Void / withdrawn"),IF($S104="","Closed without response",IF($S104&gt;$Q104,"Answered late","Answered on time")),IF($S104&lt;&gt;"",IF($S104&gt;$Q104,"Answered late","Answered on time"),IF(TODAY()&gt;$Q104,"OVERDUE "&amp;TEXT(TODAY()-$Q104,"0")&amp;" d",TEXT($Q104-TODAY(),"0")&amp;" d left"))))</f>
        <v/>
      </c>
      <c r="Z104" s="44" t="str">
        <f aca="false">IF($A104="","",IF($S104&lt;&gt;"","",IF($X104&lt;=7,"0-7 d",IF($X104&lt;=14,"8-14 d",IF($X104&lt;=30,"15-30 d","over 30 d")))))</f>
        <v/>
      </c>
      <c r="AA104" s="49"/>
      <c r="AB104" s="52"/>
      <c r="AC104" s="49"/>
      <c r="AD104" s="49"/>
      <c r="AE104" s="49"/>
      <c r="AF104" s="49"/>
      <c r="AG104" s="50"/>
    </row>
    <row r="105" customFormat="false" ht="15" hidden="false" customHeight="true" outlineLevel="0" collapsed="false">
      <c r="A105" s="48"/>
      <c r="B105" s="49"/>
      <c r="C105" s="49"/>
      <c r="D105" s="49"/>
      <c r="E105" s="49"/>
      <c r="F105" s="50"/>
      <c r="G105" s="49"/>
      <c r="H105" s="49"/>
      <c r="I105" s="49"/>
      <c r="J105" s="49"/>
      <c r="K105" s="50"/>
      <c r="L105" s="50"/>
      <c r="M105" s="49"/>
      <c r="N105" s="51"/>
      <c r="O105" s="49"/>
      <c r="P105" s="44" t="str">
        <f aca="false">IF($A105="","",IFERROR(INDEX(01_CONTROL!$B$15:$B$18,MATCH($O105,01_CONTROL!$A$15:$A$18,0)),14))</f>
        <v/>
      </c>
      <c r="Q105" s="45" t="str">
        <f aca="false">IF($A105="","",IF($N105="","",$N105+$P105))</f>
        <v/>
      </c>
      <c r="R105" s="49"/>
      <c r="S105" s="51"/>
      <c r="T105" s="50"/>
      <c r="U105" s="49"/>
      <c r="V105" s="49"/>
      <c r="W105" s="51"/>
      <c r="X105" s="44" t="str">
        <f aca="true">IF($A105="","",IF($N105="","",IF($S105="",TODAY()-$N105,$S105-$N105)))</f>
        <v/>
      </c>
      <c r="Y105" s="46" t="str">
        <f aca="true">IF($A105="","",IF(OR($V105="Closed",$V105="Void / withdrawn"),IF($S105="","Closed without response",IF($S105&gt;$Q105,"Answered late","Answered on time")),IF($S105&lt;&gt;"",IF($S105&gt;$Q105,"Answered late","Answered on time"),IF(TODAY()&gt;$Q105,"OVERDUE "&amp;TEXT(TODAY()-$Q105,"0")&amp;" d",TEXT($Q105-TODAY(),"0")&amp;" d left"))))</f>
        <v/>
      </c>
      <c r="Z105" s="44" t="str">
        <f aca="false">IF($A105="","",IF($S105&lt;&gt;"","",IF($X105&lt;=7,"0-7 d",IF($X105&lt;=14,"8-14 d",IF($X105&lt;=30,"15-30 d","over 30 d")))))</f>
        <v/>
      </c>
      <c r="AA105" s="49"/>
      <c r="AB105" s="52"/>
      <c r="AC105" s="49"/>
      <c r="AD105" s="49"/>
      <c r="AE105" s="49"/>
      <c r="AF105" s="49"/>
      <c r="AG105" s="50"/>
    </row>
    <row r="106" customFormat="false" ht="15" hidden="false" customHeight="true" outlineLevel="0" collapsed="false">
      <c r="A106" s="48"/>
      <c r="B106" s="49"/>
      <c r="C106" s="49"/>
      <c r="D106" s="49"/>
      <c r="E106" s="49"/>
      <c r="F106" s="50"/>
      <c r="G106" s="49"/>
      <c r="H106" s="49"/>
      <c r="I106" s="49"/>
      <c r="J106" s="49"/>
      <c r="K106" s="50"/>
      <c r="L106" s="50"/>
      <c r="M106" s="49"/>
      <c r="N106" s="51"/>
      <c r="O106" s="49"/>
      <c r="P106" s="44" t="str">
        <f aca="false">IF($A106="","",IFERROR(INDEX(01_CONTROL!$B$15:$B$18,MATCH($O106,01_CONTROL!$A$15:$A$18,0)),14))</f>
        <v/>
      </c>
      <c r="Q106" s="45" t="str">
        <f aca="false">IF($A106="","",IF($N106="","",$N106+$P106))</f>
        <v/>
      </c>
      <c r="R106" s="49"/>
      <c r="S106" s="51"/>
      <c r="T106" s="50"/>
      <c r="U106" s="49"/>
      <c r="V106" s="49"/>
      <c r="W106" s="51"/>
      <c r="X106" s="44" t="str">
        <f aca="true">IF($A106="","",IF($N106="","",IF($S106="",TODAY()-$N106,$S106-$N106)))</f>
        <v/>
      </c>
      <c r="Y106" s="46" t="str">
        <f aca="true">IF($A106="","",IF(OR($V106="Closed",$V106="Void / withdrawn"),IF($S106="","Closed without response",IF($S106&gt;$Q106,"Answered late","Answered on time")),IF($S106&lt;&gt;"",IF($S106&gt;$Q106,"Answered late","Answered on time"),IF(TODAY()&gt;$Q106,"OVERDUE "&amp;TEXT(TODAY()-$Q106,"0")&amp;" d",TEXT($Q106-TODAY(),"0")&amp;" d left"))))</f>
        <v/>
      </c>
      <c r="Z106" s="44" t="str">
        <f aca="false">IF($A106="","",IF($S106&lt;&gt;"","",IF($X106&lt;=7,"0-7 d",IF($X106&lt;=14,"8-14 d",IF($X106&lt;=30,"15-30 d","over 30 d")))))</f>
        <v/>
      </c>
      <c r="AA106" s="49"/>
      <c r="AB106" s="52"/>
      <c r="AC106" s="49"/>
      <c r="AD106" s="49"/>
      <c r="AE106" s="49"/>
      <c r="AF106" s="49"/>
      <c r="AG106" s="50"/>
    </row>
    <row r="107" customFormat="false" ht="15" hidden="false" customHeight="true" outlineLevel="0" collapsed="false">
      <c r="A107" s="48"/>
      <c r="B107" s="49"/>
      <c r="C107" s="49"/>
      <c r="D107" s="49"/>
      <c r="E107" s="49"/>
      <c r="F107" s="50"/>
      <c r="G107" s="49"/>
      <c r="H107" s="49"/>
      <c r="I107" s="49"/>
      <c r="J107" s="49"/>
      <c r="K107" s="50"/>
      <c r="L107" s="50"/>
      <c r="M107" s="49"/>
      <c r="N107" s="51"/>
      <c r="O107" s="49"/>
      <c r="P107" s="44" t="str">
        <f aca="false">IF($A107="","",IFERROR(INDEX(01_CONTROL!$B$15:$B$18,MATCH($O107,01_CONTROL!$A$15:$A$18,0)),14))</f>
        <v/>
      </c>
      <c r="Q107" s="45" t="str">
        <f aca="false">IF($A107="","",IF($N107="","",$N107+$P107))</f>
        <v/>
      </c>
      <c r="R107" s="49"/>
      <c r="S107" s="51"/>
      <c r="T107" s="50"/>
      <c r="U107" s="49"/>
      <c r="V107" s="49"/>
      <c r="W107" s="51"/>
      <c r="X107" s="44" t="str">
        <f aca="true">IF($A107="","",IF($N107="","",IF($S107="",TODAY()-$N107,$S107-$N107)))</f>
        <v/>
      </c>
      <c r="Y107" s="46" t="str">
        <f aca="true">IF($A107="","",IF(OR($V107="Closed",$V107="Void / withdrawn"),IF($S107="","Closed without response",IF($S107&gt;$Q107,"Answered late","Answered on time")),IF($S107&lt;&gt;"",IF($S107&gt;$Q107,"Answered late","Answered on time"),IF(TODAY()&gt;$Q107,"OVERDUE "&amp;TEXT(TODAY()-$Q107,"0")&amp;" d",TEXT($Q107-TODAY(),"0")&amp;" d left"))))</f>
        <v/>
      </c>
      <c r="Z107" s="44" t="str">
        <f aca="false">IF($A107="","",IF($S107&lt;&gt;"","",IF($X107&lt;=7,"0-7 d",IF($X107&lt;=14,"8-14 d",IF($X107&lt;=30,"15-30 d","over 30 d")))))</f>
        <v/>
      </c>
      <c r="AA107" s="49"/>
      <c r="AB107" s="52"/>
      <c r="AC107" s="49"/>
      <c r="AD107" s="49"/>
      <c r="AE107" s="49"/>
      <c r="AF107" s="49"/>
      <c r="AG107" s="50"/>
    </row>
    <row r="108" customFormat="false" ht="15" hidden="false" customHeight="true" outlineLevel="0" collapsed="false">
      <c r="A108" s="48"/>
      <c r="B108" s="49"/>
      <c r="C108" s="49"/>
      <c r="D108" s="49"/>
      <c r="E108" s="49"/>
      <c r="F108" s="50"/>
      <c r="G108" s="49"/>
      <c r="H108" s="49"/>
      <c r="I108" s="49"/>
      <c r="J108" s="49"/>
      <c r="K108" s="50"/>
      <c r="L108" s="50"/>
      <c r="M108" s="49"/>
      <c r="N108" s="51"/>
      <c r="O108" s="49"/>
      <c r="P108" s="44" t="str">
        <f aca="false">IF($A108="","",IFERROR(INDEX(01_CONTROL!$B$15:$B$18,MATCH($O108,01_CONTROL!$A$15:$A$18,0)),14))</f>
        <v/>
      </c>
      <c r="Q108" s="45" t="str">
        <f aca="false">IF($A108="","",IF($N108="","",$N108+$P108))</f>
        <v/>
      </c>
      <c r="R108" s="49"/>
      <c r="S108" s="51"/>
      <c r="T108" s="50"/>
      <c r="U108" s="49"/>
      <c r="V108" s="49"/>
      <c r="W108" s="51"/>
      <c r="X108" s="44" t="str">
        <f aca="true">IF($A108="","",IF($N108="","",IF($S108="",TODAY()-$N108,$S108-$N108)))</f>
        <v/>
      </c>
      <c r="Y108" s="46" t="str">
        <f aca="true">IF($A108="","",IF(OR($V108="Closed",$V108="Void / withdrawn"),IF($S108="","Closed without response",IF($S108&gt;$Q108,"Answered late","Answered on time")),IF($S108&lt;&gt;"",IF($S108&gt;$Q108,"Answered late","Answered on time"),IF(TODAY()&gt;$Q108,"OVERDUE "&amp;TEXT(TODAY()-$Q108,"0")&amp;" d",TEXT($Q108-TODAY(),"0")&amp;" d left"))))</f>
        <v/>
      </c>
      <c r="Z108" s="44" t="str">
        <f aca="false">IF($A108="","",IF($S108&lt;&gt;"","",IF($X108&lt;=7,"0-7 d",IF($X108&lt;=14,"8-14 d",IF($X108&lt;=30,"15-30 d","over 30 d")))))</f>
        <v/>
      </c>
      <c r="AA108" s="49"/>
      <c r="AB108" s="52"/>
      <c r="AC108" s="49"/>
      <c r="AD108" s="49"/>
      <c r="AE108" s="49"/>
      <c r="AF108" s="49"/>
      <c r="AG108" s="50"/>
    </row>
    <row r="109" customFormat="false" ht="15" hidden="false" customHeight="true" outlineLevel="0" collapsed="false">
      <c r="A109" s="48"/>
      <c r="B109" s="49"/>
      <c r="C109" s="49"/>
      <c r="D109" s="49"/>
      <c r="E109" s="49"/>
      <c r="F109" s="50"/>
      <c r="G109" s="49"/>
      <c r="H109" s="49"/>
      <c r="I109" s="49"/>
      <c r="J109" s="49"/>
      <c r="K109" s="50"/>
      <c r="L109" s="50"/>
      <c r="M109" s="49"/>
      <c r="N109" s="51"/>
      <c r="O109" s="49"/>
      <c r="P109" s="44" t="str">
        <f aca="false">IF($A109="","",IFERROR(INDEX(01_CONTROL!$B$15:$B$18,MATCH($O109,01_CONTROL!$A$15:$A$18,0)),14))</f>
        <v/>
      </c>
      <c r="Q109" s="45" t="str">
        <f aca="false">IF($A109="","",IF($N109="","",$N109+$P109))</f>
        <v/>
      </c>
      <c r="R109" s="49"/>
      <c r="S109" s="51"/>
      <c r="T109" s="50"/>
      <c r="U109" s="49"/>
      <c r="V109" s="49"/>
      <c r="W109" s="51"/>
      <c r="X109" s="44" t="str">
        <f aca="true">IF($A109="","",IF($N109="","",IF($S109="",TODAY()-$N109,$S109-$N109)))</f>
        <v/>
      </c>
      <c r="Y109" s="46" t="str">
        <f aca="true">IF($A109="","",IF(OR($V109="Closed",$V109="Void / withdrawn"),IF($S109="","Closed without response",IF($S109&gt;$Q109,"Answered late","Answered on time")),IF($S109&lt;&gt;"",IF($S109&gt;$Q109,"Answered late","Answered on time"),IF(TODAY()&gt;$Q109,"OVERDUE "&amp;TEXT(TODAY()-$Q109,"0")&amp;" d",TEXT($Q109-TODAY(),"0")&amp;" d left"))))</f>
        <v/>
      </c>
      <c r="Z109" s="44" t="str">
        <f aca="false">IF($A109="","",IF($S109&lt;&gt;"","",IF($X109&lt;=7,"0-7 d",IF($X109&lt;=14,"8-14 d",IF($X109&lt;=30,"15-30 d","over 30 d")))))</f>
        <v/>
      </c>
      <c r="AA109" s="49"/>
      <c r="AB109" s="52"/>
      <c r="AC109" s="49"/>
      <c r="AD109" s="49"/>
      <c r="AE109" s="49"/>
      <c r="AF109" s="49"/>
      <c r="AG109" s="50"/>
    </row>
    <row r="110" customFormat="false" ht="15" hidden="false" customHeight="true" outlineLevel="0" collapsed="false">
      <c r="A110" s="48"/>
      <c r="B110" s="49"/>
      <c r="C110" s="49"/>
      <c r="D110" s="49"/>
      <c r="E110" s="49"/>
      <c r="F110" s="50"/>
      <c r="G110" s="49"/>
      <c r="H110" s="49"/>
      <c r="I110" s="49"/>
      <c r="J110" s="49"/>
      <c r="K110" s="50"/>
      <c r="L110" s="50"/>
      <c r="M110" s="49"/>
      <c r="N110" s="51"/>
      <c r="O110" s="49"/>
      <c r="P110" s="44" t="str">
        <f aca="false">IF($A110="","",IFERROR(INDEX(01_CONTROL!$B$15:$B$18,MATCH($O110,01_CONTROL!$A$15:$A$18,0)),14))</f>
        <v/>
      </c>
      <c r="Q110" s="45" t="str">
        <f aca="false">IF($A110="","",IF($N110="","",$N110+$P110))</f>
        <v/>
      </c>
      <c r="R110" s="49"/>
      <c r="S110" s="51"/>
      <c r="T110" s="50"/>
      <c r="U110" s="49"/>
      <c r="V110" s="49"/>
      <c r="W110" s="51"/>
      <c r="X110" s="44" t="str">
        <f aca="true">IF($A110="","",IF($N110="","",IF($S110="",TODAY()-$N110,$S110-$N110)))</f>
        <v/>
      </c>
      <c r="Y110" s="46" t="str">
        <f aca="true">IF($A110="","",IF(OR($V110="Closed",$V110="Void / withdrawn"),IF($S110="","Closed without response",IF($S110&gt;$Q110,"Answered late","Answered on time")),IF($S110&lt;&gt;"",IF($S110&gt;$Q110,"Answered late","Answered on time"),IF(TODAY()&gt;$Q110,"OVERDUE "&amp;TEXT(TODAY()-$Q110,"0")&amp;" d",TEXT($Q110-TODAY(),"0")&amp;" d left"))))</f>
        <v/>
      </c>
      <c r="Z110" s="44" t="str">
        <f aca="false">IF($A110="","",IF($S110&lt;&gt;"","",IF($X110&lt;=7,"0-7 d",IF($X110&lt;=14,"8-14 d",IF($X110&lt;=30,"15-30 d","over 30 d")))))</f>
        <v/>
      </c>
      <c r="AA110" s="49"/>
      <c r="AB110" s="52"/>
      <c r="AC110" s="49"/>
      <c r="AD110" s="49"/>
      <c r="AE110" s="49"/>
      <c r="AF110" s="49"/>
      <c r="AG110" s="50"/>
    </row>
    <row r="111" customFormat="false" ht="15" hidden="false" customHeight="true" outlineLevel="0" collapsed="false">
      <c r="A111" s="48"/>
      <c r="B111" s="49"/>
      <c r="C111" s="49"/>
      <c r="D111" s="49"/>
      <c r="E111" s="49"/>
      <c r="F111" s="50"/>
      <c r="G111" s="49"/>
      <c r="H111" s="49"/>
      <c r="I111" s="49"/>
      <c r="J111" s="49"/>
      <c r="K111" s="50"/>
      <c r="L111" s="50"/>
      <c r="M111" s="49"/>
      <c r="N111" s="51"/>
      <c r="O111" s="49"/>
      <c r="P111" s="44" t="str">
        <f aca="false">IF($A111="","",IFERROR(INDEX(01_CONTROL!$B$15:$B$18,MATCH($O111,01_CONTROL!$A$15:$A$18,0)),14))</f>
        <v/>
      </c>
      <c r="Q111" s="45" t="str">
        <f aca="false">IF($A111="","",IF($N111="","",$N111+$P111))</f>
        <v/>
      </c>
      <c r="R111" s="49"/>
      <c r="S111" s="51"/>
      <c r="T111" s="50"/>
      <c r="U111" s="49"/>
      <c r="V111" s="49"/>
      <c r="W111" s="51"/>
      <c r="X111" s="44" t="str">
        <f aca="true">IF($A111="","",IF($N111="","",IF($S111="",TODAY()-$N111,$S111-$N111)))</f>
        <v/>
      </c>
      <c r="Y111" s="46" t="str">
        <f aca="true">IF($A111="","",IF(OR($V111="Closed",$V111="Void / withdrawn"),IF($S111="","Closed without response",IF($S111&gt;$Q111,"Answered late","Answered on time")),IF($S111&lt;&gt;"",IF($S111&gt;$Q111,"Answered late","Answered on time"),IF(TODAY()&gt;$Q111,"OVERDUE "&amp;TEXT(TODAY()-$Q111,"0")&amp;" d",TEXT($Q111-TODAY(),"0")&amp;" d left"))))</f>
        <v/>
      </c>
      <c r="Z111" s="44" t="str">
        <f aca="false">IF($A111="","",IF($S111&lt;&gt;"","",IF($X111&lt;=7,"0-7 d",IF($X111&lt;=14,"8-14 d",IF($X111&lt;=30,"15-30 d","over 30 d")))))</f>
        <v/>
      </c>
      <c r="AA111" s="49"/>
      <c r="AB111" s="52"/>
      <c r="AC111" s="49"/>
      <c r="AD111" s="49"/>
      <c r="AE111" s="49"/>
      <c r="AF111" s="49"/>
      <c r="AG111" s="50"/>
    </row>
    <row r="112" customFormat="false" ht="15" hidden="false" customHeight="true" outlineLevel="0" collapsed="false">
      <c r="A112" s="48"/>
      <c r="B112" s="49"/>
      <c r="C112" s="49"/>
      <c r="D112" s="49"/>
      <c r="E112" s="49"/>
      <c r="F112" s="50"/>
      <c r="G112" s="49"/>
      <c r="H112" s="49"/>
      <c r="I112" s="49"/>
      <c r="J112" s="49"/>
      <c r="K112" s="50"/>
      <c r="L112" s="50"/>
      <c r="M112" s="49"/>
      <c r="N112" s="51"/>
      <c r="O112" s="49"/>
      <c r="P112" s="44" t="str">
        <f aca="false">IF($A112="","",IFERROR(INDEX(01_CONTROL!$B$15:$B$18,MATCH($O112,01_CONTROL!$A$15:$A$18,0)),14))</f>
        <v/>
      </c>
      <c r="Q112" s="45" t="str">
        <f aca="false">IF($A112="","",IF($N112="","",$N112+$P112))</f>
        <v/>
      </c>
      <c r="R112" s="49"/>
      <c r="S112" s="51"/>
      <c r="T112" s="50"/>
      <c r="U112" s="49"/>
      <c r="V112" s="49"/>
      <c r="W112" s="51"/>
      <c r="X112" s="44" t="str">
        <f aca="true">IF($A112="","",IF($N112="","",IF($S112="",TODAY()-$N112,$S112-$N112)))</f>
        <v/>
      </c>
      <c r="Y112" s="46" t="str">
        <f aca="true">IF($A112="","",IF(OR($V112="Closed",$V112="Void / withdrawn"),IF($S112="","Closed without response",IF($S112&gt;$Q112,"Answered late","Answered on time")),IF($S112&lt;&gt;"",IF($S112&gt;$Q112,"Answered late","Answered on time"),IF(TODAY()&gt;$Q112,"OVERDUE "&amp;TEXT(TODAY()-$Q112,"0")&amp;" d",TEXT($Q112-TODAY(),"0")&amp;" d left"))))</f>
        <v/>
      </c>
      <c r="Z112" s="44" t="str">
        <f aca="false">IF($A112="","",IF($S112&lt;&gt;"","",IF($X112&lt;=7,"0-7 d",IF($X112&lt;=14,"8-14 d",IF($X112&lt;=30,"15-30 d","over 30 d")))))</f>
        <v/>
      </c>
      <c r="AA112" s="49"/>
      <c r="AB112" s="52"/>
      <c r="AC112" s="49"/>
      <c r="AD112" s="49"/>
      <c r="AE112" s="49"/>
      <c r="AF112" s="49"/>
      <c r="AG112" s="50"/>
    </row>
    <row r="113" customFormat="false" ht="15" hidden="false" customHeight="true" outlineLevel="0" collapsed="false">
      <c r="A113" s="48"/>
      <c r="B113" s="49"/>
      <c r="C113" s="49"/>
      <c r="D113" s="49"/>
      <c r="E113" s="49"/>
      <c r="F113" s="50"/>
      <c r="G113" s="49"/>
      <c r="H113" s="49"/>
      <c r="I113" s="49"/>
      <c r="J113" s="49"/>
      <c r="K113" s="50"/>
      <c r="L113" s="50"/>
      <c r="M113" s="49"/>
      <c r="N113" s="51"/>
      <c r="O113" s="49"/>
      <c r="P113" s="44" t="str">
        <f aca="false">IF($A113="","",IFERROR(INDEX(01_CONTROL!$B$15:$B$18,MATCH($O113,01_CONTROL!$A$15:$A$18,0)),14))</f>
        <v/>
      </c>
      <c r="Q113" s="45" t="str">
        <f aca="false">IF($A113="","",IF($N113="","",$N113+$P113))</f>
        <v/>
      </c>
      <c r="R113" s="49"/>
      <c r="S113" s="51"/>
      <c r="T113" s="50"/>
      <c r="U113" s="49"/>
      <c r="V113" s="49"/>
      <c r="W113" s="51"/>
      <c r="X113" s="44" t="str">
        <f aca="true">IF($A113="","",IF($N113="","",IF($S113="",TODAY()-$N113,$S113-$N113)))</f>
        <v/>
      </c>
      <c r="Y113" s="46" t="str">
        <f aca="true">IF($A113="","",IF(OR($V113="Closed",$V113="Void / withdrawn"),IF($S113="","Closed without response",IF($S113&gt;$Q113,"Answered late","Answered on time")),IF($S113&lt;&gt;"",IF($S113&gt;$Q113,"Answered late","Answered on time"),IF(TODAY()&gt;$Q113,"OVERDUE "&amp;TEXT(TODAY()-$Q113,"0")&amp;" d",TEXT($Q113-TODAY(),"0")&amp;" d left"))))</f>
        <v/>
      </c>
      <c r="Z113" s="44" t="str">
        <f aca="false">IF($A113="","",IF($S113&lt;&gt;"","",IF($X113&lt;=7,"0-7 d",IF($X113&lt;=14,"8-14 d",IF($X113&lt;=30,"15-30 d","over 30 d")))))</f>
        <v/>
      </c>
      <c r="AA113" s="49"/>
      <c r="AB113" s="52"/>
      <c r="AC113" s="49"/>
      <c r="AD113" s="49"/>
      <c r="AE113" s="49"/>
      <c r="AF113" s="49"/>
      <c r="AG113" s="50"/>
    </row>
    <row r="114" customFormat="false" ht="15" hidden="false" customHeight="true" outlineLevel="0" collapsed="false">
      <c r="A114" s="48"/>
      <c r="B114" s="49"/>
      <c r="C114" s="49"/>
      <c r="D114" s="49"/>
      <c r="E114" s="49"/>
      <c r="F114" s="50"/>
      <c r="G114" s="49"/>
      <c r="H114" s="49"/>
      <c r="I114" s="49"/>
      <c r="J114" s="49"/>
      <c r="K114" s="50"/>
      <c r="L114" s="50"/>
      <c r="M114" s="49"/>
      <c r="N114" s="51"/>
      <c r="O114" s="49"/>
      <c r="P114" s="44" t="str">
        <f aca="false">IF($A114="","",IFERROR(INDEX(01_CONTROL!$B$15:$B$18,MATCH($O114,01_CONTROL!$A$15:$A$18,0)),14))</f>
        <v/>
      </c>
      <c r="Q114" s="45" t="str">
        <f aca="false">IF($A114="","",IF($N114="","",$N114+$P114))</f>
        <v/>
      </c>
      <c r="R114" s="49"/>
      <c r="S114" s="51"/>
      <c r="T114" s="50"/>
      <c r="U114" s="49"/>
      <c r="V114" s="49"/>
      <c r="W114" s="51"/>
      <c r="X114" s="44" t="str">
        <f aca="true">IF($A114="","",IF($N114="","",IF($S114="",TODAY()-$N114,$S114-$N114)))</f>
        <v/>
      </c>
      <c r="Y114" s="46" t="str">
        <f aca="true">IF($A114="","",IF(OR($V114="Closed",$V114="Void / withdrawn"),IF($S114="","Closed without response",IF($S114&gt;$Q114,"Answered late","Answered on time")),IF($S114&lt;&gt;"",IF($S114&gt;$Q114,"Answered late","Answered on time"),IF(TODAY()&gt;$Q114,"OVERDUE "&amp;TEXT(TODAY()-$Q114,"0")&amp;" d",TEXT($Q114-TODAY(),"0")&amp;" d left"))))</f>
        <v/>
      </c>
      <c r="Z114" s="44" t="str">
        <f aca="false">IF($A114="","",IF($S114&lt;&gt;"","",IF($X114&lt;=7,"0-7 d",IF($X114&lt;=14,"8-14 d",IF($X114&lt;=30,"15-30 d","over 30 d")))))</f>
        <v/>
      </c>
      <c r="AA114" s="49"/>
      <c r="AB114" s="52"/>
      <c r="AC114" s="49"/>
      <c r="AD114" s="49"/>
      <c r="AE114" s="49"/>
      <c r="AF114" s="49"/>
      <c r="AG114" s="50"/>
    </row>
    <row r="115" customFormat="false" ht="15" hidden="false" customHeight="true" outlineLevel="0" collapsed="false">
      <c r="A115" s="48"/>
      <c r="B115" s="49"/>
      <c r="C115" s="49"/>
      <c r="D115" s="49"/>
      <c r="E115" s="49"/>
      <c r="F115" s="50"/>
      <c r="G115" s="49"/>
      <c r="H115" s="49"/>
      <c r="I115" s="49"/>
      <c r="J115" s="49"/>
      <c r="K115" s="50"/>
      <c r="L115" s="50"/>
      <c r="M115" s="49"/>
      <c r="N115" s="51"/>
      <c r="O115" s="49"/>
      <c r="P115" s="44" t="str">
        <f aca="false">IF($A115="","",IFERROR(INDEX(01_CONTROL!$B$15:$B$18,MATCH($O115,01_CONTROL!$A$15:$A$18,0)),14))</f>
        <v/>
      </c>
      <c r="Q115" s="45" t="str">
        <f aca="false">IF($A115="","",IF($N115="","",$N115+$P115))</f>
        <v/>
      </c>
      <c r="R115" s="49"/>
      <c r="S115" s="51"/>
      <c r="T115" s="50"/>
      <c r="U115" s="49"/>
      <c r="V115" s="49"/>
      <c r="W115" s="51"/>
      <c r="X115" s="44" t="str">
        <f aca="true">IF($A115="","",IF($N115="","",IF($S115="",TODAY()-$N115,$S115-$N115)))</f>
        <v/>
      </c>
      <c r="Y115" s="46" t="str">
        <f aca="true">IF($A115="","",IF(OR($V115="Closed",$V115="Void / withdrawn"),IF($S115="","Closed without response",IF($S115&gt;$Q115,"Answered late","Answered on time")),IF($S115&lt;&gt;"",IF($S115&gt;$Q115,"Answered late","Answered on time"),IF(TODAY()&gt;$Q115,"OVERDUE "&amp;TEXT(TODAY()-$Q115,"0")&amp;" d",TEXT($Q115-TODAY(),"0")&amp;" d left"))))</f>
        <v/>
      </c>
      <c r="Z115" s="44" t="str">
        <f aca="false">IF($A115="","",IF($S115&lt;&gt;"","",IF($X115&lt;=7,"0-7 d",IF($X115&lt;=14,"8-14 d",IF($X115&lt;=30,"15-30 d","over 30 d")))))</f>
        <v/>
      </c>
      <c r="AA115" s="49"/>
      <c r="AB115" s="52"/>
      <c r="AC115" s="49"/>
      <c r="AD115" s="49"/>
      <c r="AE115" s="49"/>
      <c r="AF115" s="49"/>
      <c r="AG115" s="50"/>
    </row>
    <row r="116" customFormat="false" ht="15" hidden="false" customHeight="true" outlineLevel="0" collapsed="false">
      <c r="A116" s="48"/>
      <c r="B116" s="49"/>
      <c r="C116" s="49"/>
      <c r="D116" s="49"/>
      <c r="E116" s="49"/>
      <c r="F116" s="50"/>
      <c r="G116" s="49"/>
      <c r="H116" s="49"/>
      <c r="I116" s="49"/>
      <c r="J116" s="49"/>
      <c r="K116" s="50"/>
      <c r="L116" s="50"/>
      <c r="M116" s="49"/>
      <c r="N116" s="51"/>
      <c r="O116" s="49"/>
      <c r="P116" s="44" t="str">
        <f aca="false">IF($A116="","",IFERROR(INDEX(01_CONTROL!$B$15:$B$18,MATCH($O116,01_CONTROL!$A$15:$A$18,0)),14))</f>
        <v/>
      </c>
      <c r="Q116" s="45" t="str">
        <f aca="false">IF($A116="","",IF($N116="","",$N116+$P116))</f>
        <v/>
      </c>
      <c r="R116" s="49"/>
      <c r="S116" s="51"/>
      <c r="T116" s="50"/>
      <c r="U116" s="49"/>
      <c r="V116" s="49"/>
      <c r="W116" s="51"/>
      <c r="X116" s="44" t="str">
        <f aca="true">IF($A116="","",IF($N116="","",IF($S116="",TODAY()-$N116,$S116-$N116)))</f>
        <v/>
      </c>
      <c r="Y116" s="46" t="str">
        <f aca="true">IF($A116="","",IF(OR($V116="Closed",$V116="Void / withdrawn"),IF($S116="","Closed without response",IF($S116&gt;$Q116,"Answered late","Answered on time")),IF($S116&lt;&gt;"",IF($S116&gt;$Q116,"Answered late","Answered on time"),IF(TODAY()&gt;$Q116,"OVERDUE "&amp;TEXT(TODAY()-$Q116,"0")&amp;" d",TEXT($Q116-TODAY(),"0")&amp;" d left"))))</f>
        <v/>
      </c>
      <c r="Z116" s="44" t="str">
        <f aca="false">IF($A116="","",IF($S116&lt;&gt;"","",IF($X116&lt;=7,"0-7 d",IF($X116&lt;=14,"8-14 d",IF($X116&lt;=30,"15-30 d","over 30 d")))))</f>
        <v/>
      </c>
      <c r="AA116" s="49"/>
      <c r="AB116" s="52"/>
      <c r="AC116" s="49"/>
      <c r="AD116" s="49"/>
      <c r="AE116" s="49"/>
      <c r="AF116" s="49"/>
      <c r="AG116" s="50"/>
    </row>
    <row r="117" customFormat="false" ht="15" hidden="false" customHeight="true" outlineLevel="0" collapsed="false">
      <c r="A117" s="48"/>
      <c r="B117" s="49"/>
      <c r="C117" s="49"/>
      <c r="D117" s="49"/>
      <c r="E117" s="49"/>
      <c r="F117" s="50"/>
      <c r="G117" s="49"/>
      <c r="H117" s="49"/>
      <c r="I117" s="49"/>
      <c r="J117" s="49"/>
      <c r="K117" s="50"/>
      <c r="L117" s="50"/>
      <c r="M117" s="49"/>
      <c r="N117" s="51"/>
      <c r="O117" s="49"/>
      <c r="P117" s="44" t="str">
        <f aca="false">IF($A117="","",IFERROR(INDEX(01_CONTROL!$B$15:$B$18,MATCH($O117,01_CONTROL!$A$15:$A$18,0)),14))</f>
        <v/>
      </c>
      <c r="Q117" s="45" t="str">
        <f aca="false">IF($A117="","",IF($N117="","",$N117+$P117))</f>
        <v/>
      </c>
      <c r="R117" s="49"/>
      <c r="S117" s="51"/>
      <c r="T117" s="50"/>
      <c r="U117" s="49"/>
      <c r="V117" s="49"/>
      <c r="W117" s="51"/>
      <c r="X117" s="44" t="str">
        <f aca="true">IF($A117="","",IF($N117="","",IF($S117="",TODAY()-$N117,$S117-$N117)))</f>
        <v/>
      </c>
      <c r="Y117" s="46" t="str">
        <f aca="true">IF($A117="","",IF(OR($V117="Closed",$V117="Void / withdrawn"),IF($S117="","Closed without response",IF($S117&gt;$Q117,"Answered late","Answered on time")),IF($S117&lt;&gt;"",IF($S117&gt;$Q117,"Answered late","Answered on time"),IF(TODAY()&gt;$Q117,"OVERDUE "&amp;TEXT(TODAY()-$Q117,"0")&amp;" d",TEXT($Q117-TODAY(),"0")&amp;" d left"))))</f>
        <v/>
      </c>
      <c r="Z117" s="44" t="str">
        <f aca="false">IF($A117="","",IF($S117&lt;&gt;"","",IF($X117&lt;=7,"0-7 d",IF($X117&lt;=14,"8-14 d",IF($X117&lt;=30,"15-30 d","over 30 d")))))</f>
        <v/>
      </c>
      <c r="AA117" s="49"/>
      <c r="AB117" s="52"/>
      <c r="AC117" s="49"/>
      <c r="AD117" s="49"/>
      <c r="AE117" s="49"/>
      <c r="AF117" s="49"/>
      <c r="AG117" s="50"/>
    </row>
    <row r="118" customFormat="false" ht="15" hidden="false" customHeight="true" outlineLevel="0" collapsed="false">
      <c r="A118" s="48"/>
      <c r="B118" s="49"/>
      <c r="C118" s="49"/>
      <c r="D118" s="49"/>
      <c r="E118" s="49"/>
      <c r="F118" s="50"/>
      <c r="G118" s="49"/>
      <c r="H118" s="49"/>
      <c r="I118" s="49"/>
      <c r="J118" s="49"/>
      <c r="K118" s="50"/>
      <c r="L118" s="50"/>
      <c r="M118" s="49"/>
      <c r="N118" s="51"/>
      <c r="O118" s="49"/>
      <c r="P118" s="44" t="str">
        <f aca="false">IF($A118="","",IFERROR(INDEX(01_CONTROL!$B$15:$B$18,MATCH($O118,01_CONTROL!$A$15:$A$18,0)),14))</f>
        <v/>
      </c>
      <c r="Q118" s="45" t="str">
        <f aca="false">IF($A118="","",IF($N118="","",$N118+$P118))</f>
        <v/>
      </c>
      <c r="R118" s="49"/>
      <c r="S118" s="51"/>
      <c r="T118" s="50"/>
      <c r="U118" s="49"/>
      <c r="V118" s="49"/>
      <c r="W118" s="51"/>
      <c r="X118" s="44" t="str">
        <f aca="true">IF($A118="","",IF($N118="","",IF($S118="",TODAY()-$N118,$S118-$N118)))</f>
        <v/>
      </c>
      <c r="Y118" s="46" t="str">
        <f aca="true">IF($A118="","",IF(OR($V118="Closed",$V118="Void / withdrawn"),IF($S118="","Closed without response",IF($S118&gt;$Q118,"Answered late","Answered on time")),IF($S118&lt;&gt;"",IF($S118&gt;$Q118,"Answered late","Answered on time"),IF(TODAY()&gt;$Q118,"OVERDUE "&amp;TEXT(TODAY()-$Q118,"0")&amp;" d",TEXT($Q118-TODAY(),"0")&amp;" d left"))))</f>
        <v/>
      </c>
      <c r="Z118" s="44" t="str">
        <f aca="false">IF($A118="","",IF($S118&lt;&gt;"","",IF($X118&lt;=7,"0-7 d",IF($X118&lt;=14,"8-14 d",IF($X118&lt;=30,"15-30 d","over 30 d")))))</f>
        <v/>
      </c>
      <c r="AA118" s="49"/>
      <c r="AB118" s="52"/>
      <c r="AC118" s="49"/>
      <c r="AD118" s="49"/>
      <c r="AE118" s="49"/>
      <c r="AF118" s="49"/>
      <c r="AG118" s="50"/>
    </row>
    <row r="119" customFormat="false" ht="15" hidden="false" customHeight="true" outlineLevel="0" collapsed="false">
      <c r="A119" s="48"/>
      <c r="B119" s="49"/>
      <c r="C119" s="49"/>
      <c r="D119" s="49"/>
      <c r="E119" s="49"/>
      <c r="F119" s="50"/>
      <c r="G119" s="49"/>
      <c r="H119" s="49"/>
      <c r="I119" s="49"/>
      <c r="J119" s="49"/>
      <c r="K119" s="50"/>
      <c r="L119" s="50"/>
      <c r="M119" s="49"/>
      <c r="N119" s="51"/>
      <c r="O119" s="49"/>
      <c r="P119" s="44" t="str">
        <f aca="false">IF($A119="","",IFERROR(INDEX(01_CONTROL!$B$15:$B$18,MATCH($O119,01_CONTROL!$A$15:$A$18,0)),14))</f>
        <v/>
      </c>
      <c r="Q119" s="45" t="str">
        <f aca="false">IF($A119="","",IF($N119="","",$N119+$P119))</f>
        <v/>
      </c>
      <c r="R119" s="49"/>
      <c r="S119" s="51"/>
      <c r="T119" s="50"/>
      <c r="U119" s="49"/>
      <c r="V119" s="49"/>
      <c r="W119" s="51"/>
      <c r="X119" s="44" t="str">
        <f aca="true">IF($A119="","",IF($N119="","",IF($S119="",TODAY()-$N119,$S119-$N119)))</f>
        <v/>
      </c>
      <c r="Y119" s="46" t="str">
        <f aca="true">IF($A119="","",IF(OR($V119="Closed",$V119="Void / withdrawn"),IF($S119="","Closed without response",IF($S119&gt;$Q119,"Answered late","Answered on time")),IF($S119&lt;&gt;"",IF($S119&gt;$Q119,"Answered late","Answered on time"),IF(TODAY()&gt;$Q119,"OVERDUE "&amp;TEXT(TODAY()-$Q119,"0")&amp;" d",TEXT($Q119-TODAY(),"0")&amp;" d left"))))</f>
        <v/>
      </c>
      <c r="Z119" s="44" t="str">
        <f aca="false">IF($A119="","",IF($S119&lt;&gt;"","",IF($X119&lt;=7,"0-7 d",IF($X119&lt;=14,"8-14 d",IF($X119&lt;=30,"15-30 d","over 30 d")))))</f>
        <v/>
      </c>
      <c r="AA119" s="49"/>
      <c r="AB119" s="52"/>
      <c r="AC119" s="49"/>
      <c r="AD119" s="49"/>
      <c r="AE119" s="49"/>
      <c r="AF119" s="49"/>
      <c r="AG119" s="50"/>
    </row>
    <row r="120" customFormat="false" ht="15" hidden="false" customHeight="true" outlineLevel="0" collapsed="false">
      <c r="A120" s="48"/>
      <c r="B120" s="49"/>
      <c r="C120" s="49"/>
      <c r="D120" s="49"/>
      <c r="E120" s="49"/>
      <c r="F120" s="50"/>
      <c r="G120" s="49"/>
      <c r="H120" s="49"/>
      <c r="I120" s="49"/>
      <c r="J120" s="49"/>
      <c r="K120" s="50"/>
      <c r="L120" s="50"/>
      <c r="M120" s="49"/>
      <c r="N120" s="51"/>
      <c r="O120" s="49"/>
      <c r="P120" s="44" t="str">
        <f aca="false">IF($A120="","",IFERROR(INDEX(01_CONTROL!$B$15:$B$18,MATCH($O120,01_CONTROL!$A$15:$A$18,0)),14))</f>
        <v/>
      </c>
      <c r="Q120" s="45" t="str">
        <f aca="false">IF($A120="","",IF($N120="","",$N120+$P120))</f>
        <v/>
      </c>
      <c r="R120" s="49"/>
      <c r="S120" s="51"/>
      <c r="T120" s="50"/>
      <c r="U120" s="49"/>
      <c r="V120" s="49"/>
      <c r="W120" s="51"/>
      <c r="X120" s="44" t="str">
        <f aca="true">IF($A120="","",IF($N120="","",IF($S120="",TODAY()-$N120,$S120-$N120)))</f>
        <v/>
      </c>
      <c r="Y120" s="46" t="str">
        <f aca="true">IF($A120="","",IF(OR($V120="Closed",$V120="Void / withdrawn"),IF($S120="","Closed without response",IF($S120&gt;$Q120,"Answered late","Answered on time")),IF($S120&lt;&gt;"",IF($S120&gt;$Q120,"Answered late","Answered on time"),IF(TODAY()&gt;$Q120,"OVERDUE "&amp;TEXT(TODAY()-$Q120,"0")&amp;" d",TEXT($Q120-TODAY(),"0")&amp;" d left"))))</f>
        <v/>
      </c>
      <c r="Z120" s="44" t="str">
        <f aca="false">IF($A120="","",IF($S120&lt;&gt;"","",IF($X120&lt;=7,"0-7 d",IF($X120&lt;=14,"8-14 d",IF($X120&lt;=30,"15-30 d","over 30 d")))))</f>
        <v/>
      </c>
      <c r="AA120" s="49"/>
      <c r="AB120" s="52"/>
      <c r="AC120" s="49"/>
      <c r="AD120" s="49"/>
      <c r="AE120" s="49"/>
      <c r="AF120" s="49"/>
      <c r="AG120" s="50"/>
    </row>
    <row r="121" customFormat="false" ht="15" hidden="false" customHeight="true" outlineLevel="0" collapsed="false">
      <c r="A121" s="48"/>
      <c r="B121" s="49"/>
      <c r="C121" s="49"/>
      <c r="D121" s="49"/>
      <c r="E121" s="49"/>
      <c r="F121" s="50"/>
      <c r="G121" s="49"/>
      <c r="H121" s="49"/>
      <c r="I121" s="49"/>
      <c r="J121" s="49"/>
      <c r="K121" s="50"/>
      <c r="L121" s="50"/>
      <c r="M121" s="49"/>
      <c r="N121" s="51"/>
      <c r="O121" s="49"/>
      <c r="P121" s="44" t="str">
        <f aca="false">IF($A121="","",IFERROR(INDEX(01_CONTROL!$B$15:$B$18,MATCH($O121,01_CONTROL!$A$15:$A$18,0)),14))</f>
        <v/>
      </c>
      <c r="Q121" s="45" t="str">
        <f aca="false">IF($A121="","",IF($N121="","",$N121+$P121))</f>
        <v/>
      </c>
      <c r="R121" s="49"/>
      <c r="S121" s="51"/>
      <c r="T121" s="50"/>
      <c r="U121" s="49"/>
      <c r="V121" s="49"/>
      <c r="W121" s="51"/>
      <c r="X121" s="44" t="str">
        <f aca="true">IF($A121="","",IF($N121="","",IF($S121="",TODAY()-$N121,$S121-$N121)))</f>
        <v/>
      </c>
      <c r="Y121" s="46" t="str">
        <f aca="true">IF($A121="","",IF(OR($V121="Closed",$V121="Void / withdrawn"),IF($S121="","Closed without response",IF($S121&gt;$Q121,"Answered late","Answered on time")),IF($S121&lt;&gt;"",IF($S121&gt;$Q121,"Answered late","Answered on time"),IF(TODAY()&gt;$Q121,"OVERDUE "&amp;TEXT(TODAY()-$Q121,"0")&amp;" d",TEXT($Q121-TODAY(),"0")&amp;" d left"))))</f>
        <v/>
      </c>
      <c r="Z121" s="44" t="str">
        <f aca="false">IF($A121="","",IF($S121&lt;&gt;"","",IF($X121&lt;=7,"0-7 d",IF($X121&lt;=14,"8-14 d",IF($X121&lt;=30,"15-30 d","over 30 d")))))</f>
        <v/>
      </c>
      <c r="AA121" s="49"/>
      <c r="AB121" s="52"/>
      <c r="AC121" s="49"/>
      <c r="AD121" s="49"/>
      <c r="AE121" s="49"/>
      <c r="AF121" s="49"/>
      <c r="AG121" s="50"/>
    </row>
    <row r="122" customFormat="false" ht="15" hidden="false" customHeight="true" outlineLevel="0" collapsed="false">
      <c r="A122" s="48"/>
      <c r="B122" s="49"/>
      <c r="C122" s="49"/>
      <c r="D122" s="49"/>
      <c r="E122" s="49"/>
      <c r="F122" s="50"/>
      <c r="G122" s="49"/>
      <c r="H122" s="49"/>
      <c r="I122" s="49"/>
      <c r="J122" s="49"/>
      <c r="K122" s="50"/>
      <c r="L122" s="50"/>
      <c r="M122" s="49"/>
      <c r="N122" s="51"/>
      <c r="O122" s="49"/>
      <c r="P122" s="44" t="str">
        <f aca="false">IF($A122="","",IFERROR(INDEX(01_CONTROL!$B$15:$B$18,MATCH($O122,01_CONTROL!$A$15:$A$18,0)),14))</f>
        <v/>
      </c>
      <c r="Q122" s="45" t="str">
        <f aca="false">IF($A122="","",IF($N122="","",$N122+$P122))</f>
        <v/>
      </c>
      <c r="R122" s="49"/>
      <c r="S122" s="51"/>
      <c r="T122" s="50"/>
      <c r="U122" s="49"/>
      <c r="V122" s="49"/>
      <c r="W122" s="51"/>
      <c r="X122" s="44" t="str">
        <f aca="true">IF($A122="","",IF($N122="","",IF($S122="",TODAY()-$N122,$S122-$N122)))</f>
        <v/>
      </c>
      <c r="Y122" s="46" t="str">
        <f aca="true">IF($A122="","",IF(OR($V122="Closed",$V122="Void / withdrawn"),IF($S122="","Closed without response",IF($S122&gt;$Q122,"Answered late","Answered on time")),IF($S122&lt;&gt;"",IF($S122&gt;$Q122,"Answered late","Answered on time"),IF(TODAY()&gt;$Q122,"OVERDUE "&amp;TEXT(TODAY()-$Q122,"0")&amp;" d",TEXT($Q122-TODAY(),"0")&amp;" d left"))))</f>
        <v/>
      </c>
      <c r="Z122" s="44" t="str">
        <f aca="false">IF($A122="","",IF($S122&lt;&gt;"","",IF($X122&lt;=7,"0-7 d",IF($X122&lt;=14,"8-14 d",IF($X122&lt;=30,"15-30 d","over 30 d")))))</f>
        <v/>
      </c>
      <c r="AA122" s="49"/>
      <c r="AB122" s="52"/>
      <c r="AC122" s="49"/>
      <c r="AD122" s="49"/>
      <c r="AE122" s="49"/>
      <c r="AF122" s="49"/>
      <c r="AG122" s="50"/>
    </row>
    <row r="123" customFormat="false" ht="15" hidden="false" customHeight="true" outlineLevel="0" collapsed="false">
      <c r="A123" s="48"/>
      <c r="B123" s="49"/>
      <c r="C123" s="49"/>
      <c r="D123" s="49"/>
      <c r="E123" s="49"/>
      <c r="F123" s="50"/>
      <c r="G123" s="49"/>
      <c r="H123" s="49"/>
      <c r="I123" s="49"/>
      <c r="J123" s="49"/>
      <c r="K123" s="50"/>
      <c r="L123" s="50"/>
      <c r="M123" s="49"/>
      <c r="N123" s="51"/>
      <c r="O123" s="49"/>
      <c r="P123" s="44" t="str">
        <f aca="false">IF($A123="","",IFERROR(INDEX(01_CONTROL!$B$15:$B$18,MATCH($O123,01_CONTROL!$A$15:$A$18,0)),14))</f>
        <v/>
      </c>
      <c r="Q123" s="45" t="str">
        <f aca="false">IF($A123="","",IF($N123="","",$N123+$P123))</f>
        <v/>
      </c>
      <c r="R123" s="49"/>
      <c r="S123" s="51"/>
      <c r="T123" s="50"/>
      <c r="U123" s="49"/>
      <c r="V123" s="49"/>
      <c r="W123" s="51"/>
      <c r="X123" s="44" t="str">
        <f aca="true">IF($A123="","",IF($N123="","",IF($S123="",TODAY()-$N123,$S123-$N123)))</f>
        <v/>
      </c>
      <c r="Y123" s="46" t="str">
        <f aca="true">IF($A123="","",IF(OR($V123="Closed",$V123="Void / withdrawn"),IF($S123="","Closed without response",IF($S123&gt;$Q123,"Answered late","Answered on time")),IF($S123&lt;&gt;"",IF($S123&gt;$Q123,"Answered late","Answered on time"),IF(TODAY()&gt;$Q123,"OVERDUE "&amp;TEXT(TODAY()-$Q123,"0")&amp;" d",TEXT($Q123-TODAY(),"0")&amp;" d left"))))</f>
        <v/>
      </c>
      <c r="Z123" s="44" t="str">
        <f aca="false">IF($A123="","",IF($S123&lt;&gt;"","",IF($X123&lt;=7,"0-7 d",IF($X123&lt;=14,"8-14 d",IF($X123&lt;=30,"15-30 d","over 30 d")))))</f>
        <v/>
      </c>
      <c r="AA123" s="49"/>
      <c r="AB123" s="52"/>
      <c r="AC123" s="49"/>
      <c r="AD123" s="49"/>
      <c r="AE123" s="49"/>
      <c r="AF123" s="49"/>
      <c r="AG123" s="50"/>
    </row>
    <row r="124" customFormat="false" ht="15" hidden="false" customHeight="true" outlineLevel="0" collapsed="false">
      <c r="A124" s="48"/>
      <c r="B124" s="49"/>
      <c r="C124" s="49"/>
      <c r="D124" s="49"/>
      <c r="E124" s="49"/>
      <c r="F124" s="50"/>
      <c r="G124" s="49"/>
      <c r="H124" s="49"/>
      <c r="I124" s="49"/>
      <c r="J124" s="49"/>
      <c r="K124" s="50"/>
      <c r="L124" s="50"/>
      <c r="M124" s="49"/>
      <c r="N124" s="51"/>
      <c r="O124" s="49"/>
      <c r="P124" s="44" t="str">
        <f aca="false">IF($A124="","",IFERROR(INDEX(01_CONTROL!$B$15:$B$18,MATCH($O124,01_CONTROL!$A$15:$A$18,0)),14))</f>
        <v/>
      </c>
      <c r="Q124" s="45" t="str">
        <f aca="false">IF($A124="","",IF($N124="","",$N124+$P124))</f>
        <v/>
      </c>
      <c r="R124" s="49"/>
      <c r="S124" s="51"/>
      <c r="T124" s="50"/>
      <c r="U124" s="49"/>
      <c r="V124" s="49"/>
      <c r="W124" s="51"/>
      <c r="X124" s="44" t="str">
        <f aca="true">IF($A124="","",IF($N124="","",IF($S124="",TODAY()-$N124,$S124-$N124)))</f>
        <v/>
      </c>
      <c r="Y124" s="46" t="str">
        <f aca="true">IF($A124="","",IF(OR($V124="Closed",$V124="Void / withdrawn"),IF($S124="","Closed without response",IF($S124&gt;$Q124,"Answered late","Answered on time")),IF($S124&lt;&gt;"",IF($S124&gt;$Q124,"Answered late","Answered on time"),IF(TODAY()&gt;$Q124,"OVERDUE "&amp;TEXT(TODAY()-$Q124,"0")&amp;" d",TEXT($Q124-TODAY(),"0")&amp;" d left"))))</f>
        <v/>
      </c>
      <c r="Z124" s="44" t="str">
        <f aca="false">IF($A124="","",IF($S124&lt;&gt;"","",IF($X124&lt;=7,"0-7 d",IF($X124&lt;=14,"8-14 d",IF($X124&lt;=30,"15-30 d","over 30 d")))))</f>
        <v/>
      </c>
      <c r="AA124" s="49"/>
      <c r="AB124" s="52"/>
      <c r="AC124" s="49"/>
      <c r="AD124" s="49"/>
      <c r="AE124" s="49"/>
      <c r="AF124" s="49"/>
      <c r="AG124" s="50"/>
    </row>
    <row r="125" customFormat="false" ht="15" hidden="false" customHeight="true" outlineLevel="0" collapsed="false">
      <c r="A125" s="48"/>
      <c r="B125" s="49"/>
      <c r="C125" s="49"/>
      <c r="D125" s="49"/>
      <c r="E125" s="49"/>
      <c r="F125" s="50"/>
      <c r="G125" s="49"/>
      <c r="H125" s="49"/>
      <c r="I125" s="49"/>
      <c r="J125" s="49"/>
      <c r="K125" s="50"/>
      <c r="L125" s="50"/>
      <c r="M125" s="49"/>
      <c r="N125" s="51"/>
      <c r="O125" s="49"/>
      <c r="P125" s="44" t="str">
        <f aca="false">IF($A125="","",IFERROR(INDEX(01_CONTROL!$B$15:$B$18,MATCH($O125,01_CONTROL!$A$15:$A$18,0)),14))</f>
        <v/>
      </c>
      <c r="Q125" s="45" t="str">
        <f aca="false">IF($A125="","",IF($N125="","",$N125+$P125))</f>
        <v/>
      </c>
      <c r="R125" s="49"/>
      <c r="S125" s="51"/>
      <c r="T125" s="50"/>
      <c r="U125" s="49"/>
      <c r="V125" s="49"/>
      <c r="W125" s="51"/>
      <c r="X125" s="44" t="str">
        <f aca="true">IF($A125="","",IF($N125="","",IF($S125="",TODAY()-$N125,$S125-$N125)))</f>
        <v/>
      </c>
      <c r="Y125" s="46" t="str">
        <f aca="true">IF($A125="","",IF(OR($V125="Closed",$V125="Void / withdrawn"),IF($S125="","Closed without response",IF($S125&gt;$Q125,"Answered late","Answered on time")),IF($S125&lt;&gt;"",IF($S125&gt;$Q125,"Answered late","Answered on time"),IF(TODAY()&gt;$Q125,"OVERDUE "&amp;TEXT(TODAY()-$Q125,"0")&amp;" d",TEXT($Q125-TODAY(),"0")&amp;" d left"))))</f>
        <v/>
      </c>
      <c r="Z125" s="44" t="str">
        <f aca="false">IF($A125="","",IF($S125&lt;&gt;"","",IF($X125&lt;=7,"0-7 d",IF($X125&lt;=14,"8-14 d",IF($X125&lt;=30,"15-30 d","over 30 d")))))</f>
        <v/>
      </c>
      <c r="AA125" s="49"/>
      <c r="AB125" s="52"/>
      <c r="AC125" s="49"/>
      <c r="AD125" s="49"/>
      <c r="AE125" s="49"/>
      <c r="AF125" s="49"/>
      <c r="AG125" s="50"/>
    </row>
    <row r="126" customFormat="false" ht="15" hidden="false" customHeight="true" outlineLevel="0" collapsed="false">
      <c r="A126" s="48"/>
      <c r="B126" s="49"/>
      <c r="C126" s="49"/>
      <c r="D126" s="49"/>
      <c r="E126" s="49"/>
      <c r="F126" s="50"/>
      <c r="G126" s="49"/>
      <c r="H126" s="49"/>
      <c r="I126" s="49"/>
      <c r="J126" s="49"/>
      <c r="K126" s="50"/>
      <c r="L126" s="50"/>
      <c r="M126" s="49"/>
      <c r="N126" s="51"/>
      <c r="O126" s="49"/>
      <c r="P126" s="44" t="str">
        <f aca="false">IF($A126="","",IFERROR(INDEX(01_CONTROL!$B$15:$B$18,MATCH($O126,01_CONTROL!$A$15:$A$18,0)),14))</f>
        <v/>
      </c>
      <c r="Q126" s="45" t="str">
        <f aca="false">IF($A126="","",IF($N126="","",$N126+$P126))</f>
        <v/>
      </c>
      <c r="R126" s="49"/>
      <c r="S126" s="51"/>
      <c r="T126" s="50"/>
      <c r="U126" s="49"/>
      <c r="V126" s="49"/>
      <c r="W126" s="51"/>
      <c r="X126" s="44" t="str">
        <f aca="true">IF($A126="","",IF($N126="","",IF($S126="",TODAY()-$N126,$S126-$N126)))</f>
        <v/>
      </c>
      <c r="Y126" s="46" t="str">
        <f aca="true">IF($A126="","",IF(OR($V126="Closed",$V126="Void / withdrawn"),IF($S126="","Closed without response",IF($S126&gt;$Q126,"Answered late","Answered on time")),IF($S126&lt;&gt;"",IF($S126&gt;$Q126,"Answered late","Answered on time"),IF(TODAY()&gt;$Q126,"OVERDUE "&amp;TEXT(TODAY()-$Q126,"0")&amp;" d",TEXT($Q126-TODAY(),"0")&amp;" d left"))))</f>
        <v/>
      </c>
      <c r="Z126" s="44" t="str">
        <f aca="false">IF($A126="","",IF($S126&lt;&gt;"","",IF($X126&lt;=7,"0-7 d",IF($X126&lt;=14,"8-14 d",IF($X126&lt;=30,"15-30 d","over 30 d")))))</f>
        <v/>
      </c>
      <c r="AA126" s="49"/>
      <c r="AB126" s="52"/>
      <c r="AC126" s="49"/>
      <c r="AD126" s="49"/>
      <c r="AE126" s="49"/>
      <c r="AF126" s="49"/>
      <c r="AG126" s="50"/>
    </row>
    <row r="127" customFormat="false" ht="15" hidden="false" customHeight="true" outlineLevel="0" collapsed="false">
      <c r="A127" s="48"/>
      <c r="B127" s="49"/>
      <c r="C127" s="49"/>
      <c r="D127" s="49"/>
      <c r="E127" s="49"/>
      <c r="F127" s="50"/>
      <c r="G127" s="49"/>
      <c r="H127" s="49"/>
      <c r="I127" s="49"/>
      <c r="J127" s="49"/>
      <c r="K127" s="50"/>
      <c r="L127" s="50"/>
      <c r="M127" s="49"/>
      <c r="N127" s="51"/>
      <c r="O127" s="49"/>
      <c r="P127" s="44" t="str">
        <f aca="false">IF($A127="","",IFERROR(INDEX(01_CONTROL!$B$15:$B$18,MATCH($O127,01_CONTROL!$A$15:$A$18,0)),14))</f>
        <v/>
      </c>
      <c r="Q127" s="45" t="str">
        <f aca="false">IF($A127="","",IF($N127="","",$N127+$P127))</f>
        <v/>
      </c>
      <c r="R127" s="49"/>
      <c r="S127" s="51"/>
      <c r="T127" s="50"/>
      <c r="U127" s="49"/>
      <c r="V127" s="49"/>
      <c r="W127" s="51"/>
      <c r="X127" s="44" t="str">
        <f aca="true">IF($A127="","",IF($N127="","",IF($S127="",TODAY()-$N127,$S127-$N127)))</f>
        <v/>
      </c>
      <c r="Y127" s="46" t="str">
        <f aca="true">IF($A127="","",IF(OR($V127="Closed",$V127="Void / withdrawn"),IF($S127="","Closed without response",IF($S127&gt;$Q127,"Answered late","Answered on time")),IF($S127&lt;&gt;"",IF($S127&gt;$Q127,"Answered late","Answered on time"),IF(TODAY()&gt;$Q127,"OVERDUE "&amp;TEXT(TODAY()-$Q127,"0")&amp;" d",TEXT($Q127-TODAY(),"0")&amp;" d left"))))</f>
        <v/>
      </c>
      <c r="Z127" s="44" t="str">
        <f aca="false">IF($A127="","",IF($S127&lt;&gt;"","",IF($X127&lt;=7,"0-7 d",IF($X127&lt;=14,"8-14 d",IF($X127&lt;=30,"15-30 d","over 30 d")))))</f>
        <v/>
      </c>
      <c r="AA127" s="49"/>
      <c r="AB127" s="52"/>
      <c r="AC127" s="49"/>
      <c r="AD127" s="49"/>
      <c r="AE127" s="49"/>
      <c r="AF127" s="49"/>
      <c r="AG127" s="50"/>
    </row>
    <row r="128" customFormat="false" ht="15" hidden="false" customHeight="true" outlineLevel="0" collapsed="false">
      <c r="A128" s="48"/>
      <c r="B128" s="49"/>
      <c r="C128" s="49"/>
      <c r="D128" s="49"/>
      <c r="E128" s="49"/>
      <c r="F128" s="50"/>
      <c r="G128" s="49"/>
      <c r="H128" s="49"/>
      <c r="I128" s="49"/>
      <c r="J128" s="49"/>
      <c r="K128" s="50"/>
      <c r="L128" s="50"/>
      <c r="M128" s="49"/>
      <c r="N128" s="51"/>
      <c r="O128" s="49"/>
      <c r="P128" s="44" t="str">
        <f aca="false">IF($A128="","",IFERROR(INDEX(01_CONTROL!$B$15:$B$18,MATCH($O128,01_CONTROL!$A$15:$A$18,0)),14))</f>
        <v/>
      </c>
      <c r="Q128" s="45" t="str">
        <f aca="false">IF($A128="","",IF($N128="","",$N128+$P128))</f>
        <v/>
      </c>
      <c r="R128" s="49"/>
      <c r="S128" s="51"/>
      <c r="T128" s="50"/>
      <c r="U128" s="49"/>
      <c r="V128" s="49"/>
      <c r="W128" s="51"/>
      <c r="X128" s="44" t="str">
        <f aca="true">IF($A128="","",IF($N128="","",IF($S128="",TODAY()-$N128,$S128-$N128)))</f>
        <v/>
      </c>
      <c r="Y128" s="46" t="str">
        <f aca="true">IF($A128="","",IF(OR($V128="Closed",$V128="Void / withdrawn"),IF($S128="","Closed without response",IF($S128&gt;$Q128,"Answered late","Answered on time")),IF($S128&lt;&gt;"",IF($S128&gt;$Q128,"Answered late","Answered on time"),IF(TODAY()&gt;$Q128,"OVERDUE "&amp;TEXT(TODAY()-$Q128,"0")&amp;" d",TEXT($Q128-TODAY(),"0")&amp;" d left"))))</f>
        <v/>
      </c>
      <c r="Z128" s="44" t="str">
        <f aca="false">IF($A128="","",IF($S128&lt;&gt;"","",IF($X128&lt;=7,"0-7 d",IF($X128&lt;=14,"8-14 d",IF($X128&lt;=30,"15-30 d","over 30 d")))))</f>
        <v/>
      </c>
      <c r="AA128" s="49"/>
      <c r="AB128" s="52"/>
      <c r="AC128" s="49"/>
      <c r="AD128" s="49"/>
      <c r="AE128" s="49"/>
      <c r="AF128" s="49"/>
      <c r="AG128" s="50"/>
    </row>
    <row r="129" customFormat="false" ht="15" hidden="false" customHeight="true" outlineLevel="0" collapsed="false">
      <c r="A129" s="48"/>
      <c r="B129" s="49"/>
      <c r="C129" s="49"/>
      <c r="D129" s="49"/>
      <c r="E129" s="49"/>
      <c r="F129" s="50"/>
      <c r="G129" s="49"/>
      <c r="H129" s="49"/>
      <c r="I129" s="49"/>
      <c r="J129" s="49"/>
      <c r="K129" s="50"/>
      <c r="L129" s="50"/>
      <c r="M129" s="49"/>
      <c r="N129" s="51"/>
      <c r="O129" s="49"/>
      <c r="P129" s="44" t="str">
        <f aca="false">IF($A129="","",IFERROR(INDEX(01_CONTROL!$B$15:$B$18,MATCH($O129,01_CONTROL!$A$15:$A$18,0)),14))</f>
        <v/>
      </c>
      <c r="Q129" s="45" t="str">
        <f aca="false">IF($A129="","",IF($N129="","",$N129+$P129))</f>
        <v/>
      </c>
      <c r="R129" s="49"/>
      <c r="S129" s="51"/>
      <c r="T129" s="50"/>
      <c r="U129" s="49"/>
      <c r="V129" s="49"/>
      <c r="W129" s="51"/>
      <c r="X129" s="44" t="str">
        <f aca="true">IF($A129="","",IF($N129="","",IF($S129="",TODAY()-$N129,$S129-$N129)))</f>
        <v/>
      </c>
      <c r="Y129" s="46" t="str">
        <f aca="true">IF($A129="","",IF(OR($V129="Closed",$V129="Void / withdrawn"),IF($S129="","Closed without response",IF($S129&gt;$Q129,"Answered late","Answered on time")),IF($S129&lt;&gt;"",IF($S129&gt;$Q129,"Answered late","Answered on time"),IF(TODAY()&gt;$Q129,"OVERDUE "&amp;TEXT(TODAY()-$Q129,"0")&amp;" d",TEXT($Q129-TODAY(),"0")&amp;" d left"))))</f>
        <v/>
      </c>
      <c r="Z129" s="44" t="str">
        <f aca="false">IF($A129="","",IF($S129&lt;&gt;"","",IF($X129&lt;=7,"0-7 d",IF($X129&lt;=14,"8-14 d",IF($X129&lt;=30,"15-30 d","over 30 d")))))</f>
        <v/>
      </c>
      <c r="AA129" s="49"/>
      <c r="AB129" s="52"/>
      <c r="AC129" s="49"/>
      <c r="AD129" s="49"/>
      <c r="AE129" s="49"/>
      <c r="AF129" s="49"/>
      <c r="AG129" s="50"/>
    </row>
    <row r="130" customFormat="false" ht="15" hidden="false" customHeight="true" outlineLevel="0" collapsed="false">
      <c r="A130" s="48"/>
      <c r="B130" s="49"/>
      <c r="C130" s="49"/>
      <c r="D130" s="49"/>
      <c r="E130" s="49"/>
      <c r="F130" s="50"/>
      <c r="G130" s="49"/>
      <c r="H130" s="49"/>
      <c r="I130" s="49"/>
      <c r="J130" s="49"/>
      <c r="K130" s="50"/>
      <c r="L130" s="50"/>
      <c r="M130" s="49"/>
      <c r="N130" s="51"/>
      <c r="O130" s="49"/>
      <c r="P130" s="44" t="str">
        <f aca="false">IF($A130="","",IFERROR(INDEX(01_CONTROL!$B$15:$B$18,MATCH($O130,01_CONTROL!$A$15:$A$18,0)),14))</f>
        <v/>
      </c>
      <c r="Q130" s="45" t="str">
        <f aca="false">IF($A130="","",IF($N130="","",$N130+$P130))</f>
        <v/>
      </c>
      <c r="R130" s="49"/>
      <c r="S130" s="51"/>
      <c r="T130" s="50"/>
      <c r="U130" s="49"/>
      <c r="V130" s="49"/>
      <c r="W130" s="51"/>
      <c r="X130" s="44" t="str">
        <f aca="true">IF($A130="","",IF($N130="","",IF($S130="",TODAY()-$N130,$S130-$N130)))</f>
        <v/>
      </c>
      <c r="Y130" s="46" t="str">
        <f aca="true">IF($A130="","",IF(OR($V130="Closed",$V130="Void / withdrawn"),IF($S130="","Closed without response",IF($S130&gt;$Q130,"Answered late","Answered on time")),IF($S130&lt;&gt;"",IF($S130&gt;$Q130,"Answered late","Answered on time"),IF(TODAY()&gt;$Q130,"OVERDUE "&amp;TEXT(TODAY()-$Q130,"0")&amp;" d",TEXT($Q130-TODAY(),"0")&amp;" d left"))))</f>
        <v/>
      </c>
      <c r="Z130" s="44" t="str">
        <f aca="false">IF($A130="","",IF($S130&lt;&gt;"","",IF($X130&lt;=7,"0-7 d",IF($X130&lt;=14,"8-14 d",IF($X130&lt;=30,"15-30 d","over 30 d")))))</f>
        <v/>
      </c>
      <c r="AA130" s="49"/>
      <c r="AB130" s="52"/>
      <c r="AC130" s="49"/>
      <c r="AD130" s="49"/>
      <c r="AE130" s="49"/>
      <c r="AF130" s="49"/>
      <c r="AG130" s="50"/>
    </row>
    <row r="131" customFormat="false" ht="15" hidden="false" customHeight="true" outlineLevel="0" collapsed="false">
      <c r="A131" s="48"/>
      <c r="B131" s="49"/>
      <c r="C131" s="49"/>
      <c r="D131" s="49"/>
      <c r="E131" s="49"/>
      <c r="F131" s="50"/>
      <c r="G131" s="49"/>
      <c r="H131" s="49"/>
      <c r="I131" s="49"/>
      <c r="J131" s="49"/>
      <c r="K131" s="50"/>
      <c r="L131" s="50"/>
      <c r="M131" s="49"/>
      <c r="N131" s="51"/>
      <c r="O131" s="49"/>
      <c r="P131" s="44" t="str">
        <f aca="false">IF($A131="","",IFERROR(INDEX(01_CONTROL!$B$15:$B$18,MATCH($O131,01_CONTROL!$A$15:$A$18,0)),14))</f>
        <v/>
      </c>
      <c r="Q131" s="45" t="str">
        <f aca="false">IF($A131="","",IF($N131="","",$N131+$P131))</f>
        <v/>
      </c>
      <c r="R131" s="49"/>
      <c r="S131" s="51"/>
      <c r="T131" s="50"/>
      <c r="U131" s="49"/>
      <c r="V131" s="49"/>
      <c r="W131" s="51"/>
      <c r="X131" s="44" t="str">
        <f aca="true">IF($A131="","",IF($N131="","",IF($S131="",TODAY()-$N131,$S131-$N131)))</f>
        <v/>
      </c>
      <c r="Y131" s="46" t="str">
        <f aca="true">IF($A131="","",IF(OR($V131="Closed",$V131="Void / withdrawn"),IF($S131="","Closed without response",IF($S131&gt;$Q131,"Answered late","Answered on time")),IF($S131&lt;&gt;"",IF($S131&gt;$Q131,"Answered late","Answered on time"),IF(TODAY()&gt;$Q131,"OVERDUE "&amp;TEXT(TODAY()-$Q131,"0")&amp;" d",TEXT($Q131-TODAY(),"0")&amp;" d left"))))</f>
        <v/>
      </c>
      <c r="Z131" s="44" t="str">
        <f aca="false">IF($A131="","",IF($S131&lt;&gt;"","",IF($X131&lt;=7,"0-7 d",IF($X131&lt;=14,"8-14 d",IF($X131&lt;=30,"15-30 d","over 30 d")))))</f>
        <v/>
      </c>
      <c r="AA131" s="49"/>
      <c r="AB131" s="52"/>
      <c r="AC131" s="49"/>
      <c r="AD131" s="49"/>
      <c r="AE131" s="49"/>
      <c r="AF131" s="49"/>
      <c r="AG131" s="50"/>
    </row>
    <row r="132" customFormat="false" ht="15" hidden="false" customHeight="true" outlineLevel="0" collapsed="false">
      <c r="A132" s="48"/>
      <c r="B132" s="49"/>
      <c r="C132" s="49"/>
      <c r="D132" s="49"/>
      <c r="E132" s="49"/>
      <c r="F132" s="50"/>
      <c r="G132" s="49"/>
      <c r="H132" s="49"/>
      <c r="I132" s="49"/>
      <c r="J132" s="49"/>
      <c r="K132" s="50"/>
      <c r="L132" s="50"/>
      <c r="M132" s="49"/>
      <c r="N132" s="51"/>
      <c r="O132" s="49"/>
      <c r="P132" s="44" t="str">
        <f aca="false">IF($A132="","",IFERROR(INDEX(01_CONTROL!$B$15:$B$18,MATCH($O132,01_CONTROL!$A$15:$A$18,0)),14))</f>
        <v/>
      </c>
      <c r="Q132" s="45" t="str">
        <f aca="false">IF($A132="","",IF($N132="","",$N132+$P132))</f>
        <v/>
      </c>
      <c r="R132" s="49"/>
      <c r="S132" s="51"/>
      <c r="T132" s="50"/>
      <c r="U132" s="49"/>
      <c r="V132" s="49"/>
      <c r="W132" s="51"/>
      <c r="X132" s="44" t="str">
        <f aca="true">IF($A132="","",IF($N132="","",IF($S132="",TODAY()-$N132,$S132-$N132)))</f>
        <v/>
      </c>
      <c r="Y132" s="46" t="str">
        <f aca="true">IF($A132="","",IF(OR($V132="Closed",$V132="Void / withdrawn"),IF($S132="","Closed without response",IF($S132&gt;$Q132,"Answered late","Answered on time")),IF($S132&lt;&gt;"",IF($S132&gt;$Q132,"Answered late","Answered on time"),IF(TODAY()&gt;$Q132,"OVERDUE "&amp;TEXT(TODAY()-$Q132,"0")&amp;" d",TEXT($Q132-TODAY(),"0")&amp;" d left"))))</f>
        <v/>
      </c>
      <c r="Z132" s="44" t="str">
        <f aca="false">IF($A132="","",IF($S132&lt;&gt;"","",IF($X132&lt;=7,"0-7 d",IF($X132&lt;=14,"8-14 d",IF($X132&lt;=30,"15-30 d","over 30 d")))))</f>
        <v/>
      </c>
      <c r="AA132" s="49"/>
      <c r="AB132" s="52"/>
      <c r="AC132" s="49"/>
      <c r="AD132" s="49"/>
      <c r="AE132" s="49"/>
      <c r="AF132" s="49"/>
      <c r="AG132" s="50"/>
    </row>
    <row r="133" customFormat="false" ht="15" hidden="false" customHeight="true" outlineLevel="0" collapsed="false">
      <c r="A133" s="48"/>
      <c r="B133" s="49"/>
      <c r="C133" s="49"/>
      <c r="D133" s="49"/>
      <c r="E133" s="49"/>
      <c r="F133" s="50"/>
      <c r="G133" s="49"/>
      <c r="H133" s="49"/>
      <c r="I133" s="49"/>
      <c r="J133" s="49"/>
      <c r="K133" s="50"/>
      <c r="L133" s="50"/>
      <c r="M133" s="49"/>
      <c r="N133" s="51"/>
      <c r="O133" s="49"/>
      <c r="P133" s="44" t="str">
        <f aca="false">IF($A133="","",IFERROR(INDEX(01_CONTROL!$B$15:$B$18,MATCH($O133,01_CONTROL!$A$15:$A$18,0)),14))</f>
        <v/>
      </c>
      <c r="Q133" s="45" t="str">
        <f aca="false">IF($A133="","",IF($N133="","",$N133+$P133))</f>
        <v/>
      </c>
      <c r="R133" s="49"/>
      <c r="S133" s="51"/>
      <c r="T133" s="50"/>
      <c r="U133" s="49"/>
      <c r="V133" s="49"/>
      <c r="W133" s="51"/>
      <c r="X133" s="44" t="str">
        <f aca="true">IF($A133="","",IF($N133="","",IF($S133="",TODAY()-$N133,$S133-$N133)))</f>
        <v/>
      </c>
      <c r="Y133" s="46" t="str">
        <f aca="true">IF($A133="","",IF(OR($V133="Closed",$V133="Void / withdrawn"),IF($S133="","Closed without response",IF($S133&gt;$Q133,"Answered late","Answered on time")),IF($S133&lt;&gt;"",IF($S133&gt;$Q133,"Answered late","Answered on time"),IF(TODAY()&gt;$Q133,"OVERDUE "&amp;TEXT(TODAY()-$Q133,"0")&amp;" d",TEXT($Q133-TODAY(),"0")&amp;" d left"))))</f>
        <v/>
      </c>
      <c r="Z133" s="44" t="str">
        <f aca="false">IF($A133="","",IF($S133&lt;&gt;"","",IF($X133&lt;=7,"0-7 d",IF($X133&lt;=14,"8-14 d",IF($X133&lt;=30,"15-30 d","over 30 d")))))</f>
        <v/>
      </c>
      <c r="AA133" s="49"/>
      <c r="AB133" s="52"/>
      <c r="AC133" s="49"/>
      <c r="AD133" s="49"/>
      <c r="AE133" s="49"/>
      <c r="AF133" s="49"/>
      <c r="AG133" s="50"/>
    </row>
    <row r="134" customFormat="false" ht="15" hidden="false" customHeight="true" outlineLevel="0" collapsed="false">
      <c r="A134" s="48"/>
      <c r="B134" s="49"/>
      <c r="C134" s="49"/>
      <c r="D134" s="49"/>
      <c r="E134" s="49"/>
      <c r="F134" s="50"/>
      <c r="G134" s="49"/>
      <c r="H134" s="49"/>
      <c r="I134" s="49"/>
      <c r="J134" s="49"/>
      <c r="K134" s="50"/>
      <c r="L134" s="50"/>
      <c r="M134" s="49"/>
      <c r="N134" s="51"/>
      <c r="O134" s="49"/>
      <c r="P134" s="44" t="str">
        <f aca="false">IF($A134="","",IFERROR(INDEX(01_CONTROL!$B$15:$B$18,MATCH($O134,01_CONTROL!$A$15:$A$18,0)),14))</f>
        <v/>
      </c>
      <c r="Q134" s="45" t="str">
        <f aca="false">IF($A134="","",IF($N134="","",$N134+$P134))</f>
        <v/>
      </c>
      <c r="R134" s="49"/>
      <c r="S134" s="51"/>
      <c r="T134" s="50"/>
      <c r="U134" s="49"/>
      <c r="V134" s="49"/>
      <c r="W134" s="51"/>
      <c r="X134" s="44" t="str">
        <f aca="true">IF($A134="","",IF($N134="","",IF($S134="",TODAY()-$N134,$S134-$N134)))</f>
        <v/>
      </c>
      <c r="Y134" s="46" t="str">
        <f aca="true">IF($A134="","",IF(OR($V134="Closed",$V134="Void / withdrawn"),IF($S134="","Closed without response",IF($S134&gt;$Q134,"Answered late","Answered on time")),IF($S134&lt;&gt;"",IF($S134&gt;$Q134,"Answered late","Answered on time"),IF(TODAY()&gt;$Q134,"OVERDUE "&amp;TEXT(TODAY()-$Q134,"0")&amp;" d",TEXT($Q134-TODAY(),"0")&amp;" d left"))))</f>
        <v/>
      </c>
      <c r="Z134" s="44" t="str">
        <f aca="false">IF($A134="","",IF($S134&lt;&gt;"","",IF($X134&lt;=7,"0-7 d",IF($X134&lt;=14,"8-14 d",IF($X134&lt;=30,"15-30 d","over 30 d")))))</f>
        <v/>
      </c>
      <c r="AA134" s="49"/>
      <c r="AB134" s="52"/>
      <c r="AC134" s="49"/>
      <c r="AD134" s="49"/>
      <c r="AE134" s="49"/>
      <c r="AF134" s="49"/>
      <c r="AG134" s="50"/>
    </row>
    <row r="135" customFormat="false" ht="15" hidden="false" customHeight="true" outlineLevel="0" collapsed="false">
      <c r="A135" s="48"/>
      <c r="B135" s="49"/>
      <c r="C135" s="49"/>
      <c r="D135" s="49"/>
      <c r="E135" s="49"/>
      <c r="F135" s="50"/>
      <c r="G135" s="49"/>
      <c r="H135" s="49"/>
      <c r="I135" s="49"/>
      <c r="J135" s="49"/>
      <c r="K135" s="50"/>
      <c r="L135" s="50"/>
      <c r="M135" s="49"/>
      <c r="N135" s="51"/>
      <c r="O135" s="49"/>
      <c r="P135" s="44" t="str">
        <f aca="false">IF($A135="","",IFERROR(INDEX(01_CONTROL!$B$15:$B$18,MATCH($O135,01_CONTROL!$A$15:$A$18,0)),14))</f>
        <v/>
      </c>
      <c r="Q135" s="45" t="str">
        <f aca="false">IF($A135="","",IF($N135="","",$N135+$P135))</f>
        <v/>
      </c>
      <c r="R135" s="49"/>
      <c r="S135" s="51"/>
      <c r="T135" s="50"/>
      <c r="U135" s="49"/>
      <c r="V135" s="49"/>
      <c r="W135" s="51"/>
      <c r="X135" s="44" t="str">
        <f aca="true">IF($A135="","",IF($N135="","",IF($S135="",TODAY()-$N135,$S135-$N135)))</f>
        <v/>
      </c>
      <c r="Y135" s="46" t="str">
        <f aca="true">IF($A135="","",IF(OR($V135="Closed",$V135="Void / withdrawn"),IF($S135="","Closed without response",IF($S135&gt;$Q135,"Answered late","Answered on time")),IF($S135&lt;&gt;"",IF($S135&gt;$Q135,"Answered late","Answered on time"),IF(TODAY()&gt;$Q135,"OVERDUE "&amp;TEXT(TODAY()-$Q135,"0")&amp;" d",TEXT($Q135-TODAY(),"0")&amp;" d left"))))</f>
        <v/>
      </c>
      <c r="Z135" s="44" t="str">
        <f aca="false">IF($A135="","",IF($S135&lt;&gt;"","",IF($X135&lt;=7,"0-7 d",IF($X135&lt;=14,"8-14 d",IF($X135&lt;=30,"15-30 d","over 30 d")))))</f>
        <v/>
      </c>
      <c r="AA135" s="49"/>
      <c r="AB135" s="52"/>
      <c r="AC135" s="49"/>
      <c r="AD135" s="49"/>
      <c r="AE135" s="49"/>
      <c r="AF135" s="49"/>
      <c r="AG135" s="50"/>
    </row>
    <row r="136" customFormat="false" ht="15" hidden="false" customHeight="true" outlineLevel="0" collapsed="false">
      <c r="A136" s="48"/>
      <c r="B136" s="49"/>
      <c r="C136" s="49"/>
      <c r="D136" s="49"/>
      <c r="E136" s="49"/>
      <c r="F136" s="50"/>
      <c r="G136" s="49"/>
      <c r="H136" s="49"/>
      <c r="I136" s="49"/>
      <c r="J136" s="49"/>
      <c r="K136" s="50"/>
      <c r="L136" s="50"/>
      <c r="M136" s="49"/>
      <c r="N136" s="51"/>
      <c r="O136" s="49"/>
      <c r="P136" s="44" t="str">
        <f aca="false">IF($A136="","",IFERROR(INDEX(01_CONTROL!$B$15:$B$18,MATCH($O136,01_CONTROL!$A$15:$A$18,0)),14))</f>
        <v/>
      </c>
      <c r="Q136" s="45" t="str">
        <f aca="false">IF($A136="","",IF($N136="","",$N136+$P136))</f>
        <v/>
      </c>
      <c r="R136" s="49"/>
      <c r="S136" s="51"/>
      <c r="T136" s="50"/>
      <c r="U136" s="49"/>
      <c r="V136" s="49"/>
      <c r="W136" s="51"/>
      <c r="X136" s="44" t="str">
        <f aca="true">IF($A136="","",IF($N136="","",IF($S136="",TODAY()-$N136,$S136-$N136)))</f>
        <v/>
      </c>
      <c r="Y136" s="46" t="str">
        <f aca="true">IF($A136="","",IF(OR($V136="Closed",$V136="Void / withdrawn"),IF($S136="","Closed without response",IF($S136&gt;$Q136,"Answered late","Answered on time")),IF($S136&lt;&gt;"",IF($S136&gt;$Q136,"Answered late","Answered on time"),IF(TODAY()&gt;$Q136,"OVERDUE "&amp;TEXT(TODAY()-$Q136,"0")&amp;" d",TEXT($Q136-TODAY(),"0")&amp;" d left"))))</f>
        <v/>
      </c>
      <c r="Z136" s="44" t="str">
        <f aca="false">IF($A136="","",IF($S136&lt;&gt;"","",IF($X136&lt;=7,"0-7 d",IF($X136&lt;=14,"8-14 d",IF($X136&lt;=30,"15-30 d","over 30 d")))))</f>
        <v/>
      </c>
      <c r="AA136" s="49"/>
      <c r="AB136" s="52"/>
      <c r="AC136" s="49"/>
      <c r="AD136" s="49"/>
      <c r="AE136" s="49"/>
      <c r="AF136" s="49"/>
      <c r="AG136" s="50"/>
    </row>
    <row r="137" customFormat="false" ht="15" hidden="false" customHeight="true" outlineLevel="0" collapsed="false">
      <c r="A137" s="48"/>
      <c r="B137" s="49"/>
      <c r="C137" s="49"/>
      <c r="D137" s="49"/>
      <c r="E137" s="49"/>
      <c r="F137" s="50"/>
      <c r="G137" s="49"/>
      <c r="H137" s="49"/>
      <c r="I137" s="49"/>
      <c r="J137" s="49"/>
      <c r="K137" s="50"/>
      <c r="L137" s="50"/>
      <c r="M137" s="49"/>
      <c r="N137" s="51"/>
      <c r="O137" s="49"/>
      <c r="P137" s="44" t="str">
        <f aca="false">IF($A137="","",IFERROR(INDEX(01_CONTROL!$B$15:$B$18,MATCH($O137,01_CONTROL!$A$15:$A$18,0)),14))</f>
        <v/>
      </c>
      <c r="Q137" s="45" t="str">
        <f aca="false">IF($A137="","",IF($N137="","",$N137+$P137))</f>
        <v/>
      </c>
      <c r="R137" s="49"/>
      <c r="S137" s="51"/>
      <c r="T137" s="50"/>
      <c r="U137" s="49"/>
      <c r="V137" s="49"/>
      <c r="W137" s="51"/>
      <c r="X137" s="44" t="str">
        <f aca="true">IF($A137="","",IF($N137="","",IF($S137="",TODAY()-$N137,$S137-$N137)))</f>
        <v/>
      </c>
      <c r="Y137" s="46" t="str">
        <f aca="true">IF($A137="","",IF(OR($V137="Closed",$V137="Void / withdrawn"),IF($S137="","Closed without response",IF($S137&gt;$Q137,"Answered late","Answered on time")),IF($S137&lt;&gt;"",IF($S137&gt;$Q137,"Answered late","Answered on time"),IF(TODAY()&gt;$Q137,"OVERDUE "&amp;TEXT(TODAY()-$Q137,"0")&amp;" d",TEXT($Q137-TODAY(),"0")&amp;" d left"))))</f>
        <v/>
      </c>
      <c r="Z137" s="44" t="str">
        <f aca="false">IF($A137="","",IF($S137&lt;&gt;"","",IF($X137&lt;=7,"0-7 d",IF($X137&lt;=14,"8-14 d",IF($X137&lt;=30,"15-30 d","over 30 d")))))</f>
        <v/>
      </c>
      <c r="AA137" s="49"/>
      <c r="AB137" s="52"/>
      <c r="AC137" s="49"/>
      <c r="AD137" s="49"/>
      <c r="AE137" s="49"/>
      <c r="AF137" s="49"/>
      <c r="AG137" s="50"/>
    </row>
    <row r="138" customFormat="false" ht="15" hidden="false" customHeight="true" outlineLevel="0" collapsed="false">
      <c r="A138" s="48"/>
      <c r="B138" s="49"/>
      <c r="C138" s="49"/>
      <c r="D138" s="49"/>
      <c r="E138" s="49"/>
      <c r="F138" s="50"/>
      <c r="G138" s="49"/>
      <c r="H138" s="49"/>
      <c r="I138" s="49"/>
      <c r="J138" s="49"/>
      <c r="K138" s="50"/>
      <c r="L138" s="50"/>
      <c r="M138" s="49"/>
      <c r="N138" s="51"/>
      <c r="O138" s="49"/>
      <c r="P138" s="44" t="str">
        <f aca="false">IF($A138="","",IFERROR(INDEX(01_CONTROL!$B$15:$B$18,MATCH($O138,01_CONTROL!$A$15:$A$18,0)),14))</f>
        <v/>
      </c>
      <c r="Q138" s="45" t="str">
        <f aca="false">IF($A138="","",IF($N138="","",$N138+$P138))</f>
        <v/>
      </c>
      <c r="R138" s="49"/>
      <c r="S138" s="51"/>
      <c r="T138" s="50"/>
      <c r="U138" s="49"/>
      <c r="V138" s="49"/>
      <c r="W138" s="51"/>
      <c r="X138" s="44" t="str">
        <f aca="true">IF($A138="","",IF($N138="","",IF($S138="",TODAY()-$N138,$S138-$N138)))</f>
        <v/>
      </c>
      <c r="Y138" s="46" t="str">
        <f aca="true">IF($A138="","",IF(OR($V138="Closed",$V138="Void / withdrawn"),IF($S138="","Closed without response",IF($S138&gt;$Q138,"Answered late","Answered on time")),IF($S138&lt;&gt;"",IF($S138&gt;$Q138,"Answered late","Answered on time"),IF(TODAY()&gt;$Q138,"OVERDUE "&amp;TEXT(TODAY()-$Q138,"0")&amp;" d",TEXT($Q138-TODAY(),"0")&amp;" d left"))))</f>
        <v/>
      </c>
      <c r="Z138" s="44" t="str">
        <f aca="false">IF($A138="","",IF($S138&lt;&gt;"","",IF($X138&lt;=7,"0-7 d",IF($X138&lt;=14,"8-14 d",IF($X138&lt;=30,"15-30 d","over 30 d")))))</f>
        <v/>
      </c>
      <c r="AA138" s="49"/>
      <c r="AB138" s="52"/>
      <c r="AC138" s="49"/>
      <c r="AD138" s="49"/>
      <c r="AE138" s="49"/>
      <c r="AF138" s="49"/>
      <c r="AG138" s="50"/>
    </row>
    <row r="139" customFormat="false" ht="15" hidden="false" customHeight="true" outlineLevel="0" collapsed="false">
      <c r="A139" s="48"/>
      <c r="B139" s="49"/>
      <c r="C139" s="49"/>
      <c r="D139" s="49"/>
      <c r="E139" s="49"/>
      <c r="F139" s="50"/>
      <c r="G139" s="49"/>
      <c r="H139" s="49"/>
      <c r="I139" s="49"/>
      <c r="J139" s="49"/>
      <c r="K139" s="50"/>
      <c r="L139" s="50"/>
      <c r="M139" s="49"/>
      <c r="N139" s="51"/>
      <c r="O139" s="49"/>
      <c r="P139" s="44" t="str">
        <f aca="false">IF($A139="","",IFERROR(INDEX(01_CONTROL!$B$15:$B$18,MATCH($O139,01_CONTROL!$A$15:$A$18,0)),14))</f>
        <v/>
      </c>
      <c r="Q139" s="45" t="str">
        <f aca="false">IF($A139="","",IF($N139="","",$N139+$P139))</f>
        <v/>
      </c>
      <c r="R139" s="49"/>
      <c r="S139" s="51"/>
      <c r="T139" s="50"/>
      <c r="U139" s="49"/>
      <c r="V139" s="49"/>
      <c r="W139" s="51"/>
      <c r="X139" s="44" t="str">
        <f aca="true">IF($A139="","",IF($N139="","",IF($S139="",TODAY()-$N139,$S139-$N139)))</f>
        <v/>
      </c>
      <c r="Y139" s="46" t="str">
        <f aca="true">IF($A139="","",IF(OR($V139="Closed",$V139="Void / withdrawn"),IF($S139="","Closed without response",IF($S139&gt;$Q139,"Answered late","Answered on time")),IF($S139&lt;&gt;"",IF($S139&gt;$Q139,"Answered late","Answered on time"),IF(TODAY()&gt;$Q139,"OVERDUE "&amp;TEXT(TODAY()-$Q139,"0")&amp;" d",TEXT($Q139-TODAY(),"0")&amp;" d left"))))</f>
        <v/>
      </c>
      <c r="Z139" s="44" t="str">
        <f aca="false">IF($A139="","",IF($S139&lt;&gt;"","",IF($X139&lt;=7,"0-7 d",IF($X139&lt;=14,"8-14 d",IF($X139&lt;=30,"15-30 d","over 30 d")))))</f>
        <v/>
      </c>
      <c r="AA139" s="49"/>
      <c r="AB139" s="52"/>
      <c r="AC139" s="49"/>
      <c r="AD139" s="49"/>
      <c r="AE139" s="49"/>
      <c r="AF139" s="49"/>
      <c r="AG139" s="50"/>
    </row>
    <row r="140" customFormat="false" ht="15" hidden="false" customHeight="true" outlineLevel="0" collapsed="false">
      <c r="A140" s="48"/>
      <c r="B140" s="49"/>
      <c r="C140" s="49"/>
      <c r="D140" s="49"/>
      <c r="E140" s="49"/>
      <c r="F140" s="50"/>
      <c r="G140" s="49"/>
      <c r="H140" s="49"/>
      <c r="I140" s="49"/>
      <c r="J140" s="49"/>
      <c r="K140" s="50"/>
      <c r="L140" s="50"/>
      <c r="M140" s="49"/>
      <c r="N140" s="51"/>
      <c r="O140" s="49"/>
      <c r="P140" s="44" t="str">
        <f aca="false">IF($A140="","",IFERROR(INDEX(01_CONTROL!$B$15:$B$18,MATCH($O140,01_CONTROL!$A$15:$A$18,0)),14))</f>
        <v/>
      </c>
      <c r="Q140" s="45" t="str">
        <f aca="false">IF($A140="","",IF($N140="","",$N140+$P140))</f>
        <v/>
      </c>
      <c r="R140" s="49"/>
      <c r="S140" s="51"/>
      <c r="T140" s="50"/>
      <c r="U140" s="49"/>
      <c r="V140" s="49"/>
      <c r="W140" s="51"/>
      <c r="X140" s="44" t="str">
        <f aca="true">IF($A140="","",IF($N140="","",IF($S140="",TODAY()-$N140,$S140-$N140)))</f>
        <v/>
      </c>
      <c r="Y140" s="46" t="str">
        <f aca="true">IF($A140="","",IF(OR($V140="Closed",$V140="Void / withdrawn"),IF($S140="","Closed without response",IF($S140&gt;$Q140,"Answered late","Answered on time")),IF($S140&lt;&gt;"",IF($S140&gt;$Q140,"Answered late","Answered on time"),IF(TODAY()&gt;$Q140,"OVERDUE "&amp;TEXT(TODAY()-$Q140,"0")&amp;" d",TEXT($Q140-TODAY(),"0")&amp;" d left"))))</f>
        <v/>
      </c>
      <c r="Z140" s="44" t="str">
        <f aca="false">IF($A140="","",IF($S140&lt;&gt;"","",IF($X140&lt;=7,"0-7 d",IF($X140&lt;=14,"8-14 d",IF($X140&lt;=30,"15-30 d","over 30 d")))))</f>
        <v/>
      </c>
      <c r="AA140" s="49"/>
      <c r="AB140" s="52"/>
      <c r="AC140" s="49"/>
      <c r="AD140" s="49"/>
      <c r="AE140" s="49"/>
      <c r="AF140" s="49"/>
      <c r="AG140" s="50"/>
    </row>
    <row r="141" customFormat="false" ht="15" hidden="false" customHeight="true" outlineLevel="0" collapsed="false">
      <c r="A141" s="48"/>
      <c r="B141" s="49"/>
      <c r="C141" s="49"/>
      <c r="D141" s="49"/>
      <c r="E141" s="49"/>
      <c r="F141" s="50"/>
      <c r="G141" s="49"/>
      <c r="H141" s="49"/>
      <c r="I141" s="49"/>
      <c r="J141" s="49"/>
      <c r="K141" s="50"/>
      <c r="L141" s="50"/>
      <c r="M141" s="49"/>
      <c r="N141" s="51"/>
      <c r="O141" s="49"/>
      <c r="P141" s="44" t="str">
        <f aca="false">IF($A141="","",IFERROR(INDEX(01_CONTROL!$B$15:$B$18,MATCH($O141,01_CONTROL!$A$15:$A$18,0)),14))</f>
        <v/>
      </c>
      <c r="Q141" s="45" t="str">
        <f aca="false">IF($A141="","",IF($N141="","",$N141+$P141))</f>
        <v/>
      </c>
      <c r="R141" s="49"/>
      <c r="S141" s="51"/>
      <c r="T141" s="50"/>
      <c r="U141" s="49"/>
      <c r="V141" s="49"/>
      <c r="W141" s="51"/>
      <c r="X141" s="44" t="str">
        <f aca="true">IF($A141="","",IF($N141="","",IF($S141="",TODAY()-$N141,$S141-$N141)))</f>
        <v/>
      </c>
      <c r="Y141" s="46" t="str">
        <f aca="true">IF($A141="","",IF(OR($V141="Closed",$V141="Void / withdrawn"),IF($S141="","Closed without response",IF($S141&gt;$Q141,"Answered late","Answered on time")),IF($S141&lt;&gt;"",IF($S141&gt;$Q141,"Answered late","Answered on time"),IF(TODAY()&gt;$Q141,"OVERDUE "&amp;TEXT(TODAY()-$Q141,"0")&amp;" d",TEXT($Q141-TODAY(),"0")&amp;" d left"))))</f>
        <v/>
      </c>
      <c r="Z141" s="44" t="str">
        <f aca="false">IF($A141="","",IF($S141&lt;&gt;"","",IF($X141&lt;=7,"0-7 d",IF($X141&lt;=14,"8-14 d",IF($X141&lt;=30,"15-30 d","over 30 d")))))</f>
        <v/>
      </c>
      <c r="AA141" s="49"/>
      <c r="AB141" s="52"/>
      <c r="AC141" s="49"/>
      <c r="AD141" s="49"/>
      <c r="AE141" s="49"/>
      <c r="AF141" s="49"/>
      <c r="AG141" s="50"/>
    </row>
    <row r="142" customFormat="false" ht="15" hidden="false" customHeight="true" outlineLevel="0" collapsed="false">
      <c r="A142" s="48"/>
      <c r="B142" s="49"/>
      <c r="C142" s="49"/>
      <c r="D142" s="49"/>
      <c r="E142" s="49"/>
      <c r="F142" s="50"/>
      <c r="G142" s="49"/>
      <c r="H142" s="49"/>
      <c r="I142" s="49"/>
      <c r="J142" s="49"/>
      <c r="K142" s="50"/>
      <c r="L142" s="50"/>
      <c r="M142" s="49"/>
      <c r="N142" s="51"/>
      <c r="O142" s="49"/>
      <c r="P142" s="44" t="str">
        <f aca="false">IF($A142="","",IFERROR(INDEX(01_CONTROL!$B$15:$B$18,MATCH($O142,01_CONTROL!$A$15:$A$18,0)),14))</f>
        <v/>
      </c>
      <c r="Q142" s="45" t="str">
        <f aca="false">IF($A142="","",IF($N142="","",$N142+$P142))</f>
        <v/>
      </c>
      <c r="R142" s="49"/>
      <c r="S142" s="51"/>
      <c r="T142" s="50"/>
      <c r="U142" s="49"/>
      <c r="V142" s="49"/>
      <c r="W142" s="51"/>
      <c r="X142" s="44" t="str">
        <f aca="true">IF($A142="","",IF($N142="","",IF($S142="",TODAY()-$N142,$S142-$N142)))</f>
        <v/>
      </c>
      <c r="Y142" s="46" t="str">
        <f aca="true">IF($A142="","",IF(OR($V142="Closed",$V142="Void / withdrawn"),IF($S142="","Closed without response",IF($S142&gt;$Q142,"Answered late","Answered on time")),IF($S142&lt;&gt;"",IF($S142&gt;$Q142,"Answered late","Answered on time"),IF(TODAY()&gt;$Q142,"OVERDUE "&amp;TEXT(TODAY()-$Q142,"0")&amp;" d",TEXT($Q142-TODAY(),"0")&amp;" d left"))))</f>
        <v/>
      </c>
      <c r="Z142" s="44" t="str">
        <f aca="false">IF($A142="","",IF($S142&lt;&gt;"","",IF($X142&lt;=7,"0-7 d",IF($X142&lt;=14,"8-14 d",IF($X142&lt;=30,"15-30 d","over 30 d")))))</f>
        <v/>
      </c>
      <c r="AA142" s="49"/>
      <c r="AB142" s="52"/>
      <c r="AC142" s="49"/>
      <c r="AD142" s="49"/>
      <c r="AE142" s="49"/>
      <c r="AF142" s="49"/>
      <c r="AG142" s="50"/>
    </row>
    <row r="143" customFormat="false" ht="15" hidden="false" customHeight="true" outlineLevel="0" collapsed="false">
      <c r="A143" s="48"/>
      <c r="B143" s="49"/>
      <c r="C143" s="49"/>
      <c r="D143" s="49"/>
      <c r="E143" s="49"/>
      <c r="F143" s="50"/>
      <c r="G143" s="49"/>
      <c r="H143" s="49"/>
      <c r="I143" s="49"/>
      <c r="J143" s="49"/>
      <c r="K143" s="50"/>
      <c r="L143" s="50"/>
      <c r="M143" s="49"/>
      <c r="N143" s="51"/>
      <c r="O143" s="49"/>
      <c r="P143" s="44" t="str">
        <f aca="false">IF($A143="","",IFERROR(INDEX(01_CONTROL!$B$15:$B$18,MATCH($O143,01_CONTROL!$A$15:$A$18,0)),14))</f>
        <v/>
      </c>
      <c r="Q143" s="45" t="str">
        <f aca="false">IF($A143="","",IF($N143="","",$N143+$P143))</f>
        <v/>
      </c>
      <c r="R143" s="49"/>
      <c r="S143" s="51"/>
      <c r="T143" s="50"/>
      <c r="U143" s="49"/>
      <c r="V143" s="49"/>
      <c r="W143" s="51"/>
      <c r="X143" s="44" t="str">
        <f aca="true">IF($A143="","",IF($N143="","",IF($S143="",TODAY()-$N143,$S143-$N143)))</f>
        <v/>
      </c>
      <c r="Y143" s="46" t="str">
        <f aca="true">IF($A143="","",IF(OR($V143="Closed",$V143="Void / withdrawn"),IF($S143="","Closed without response",IF($S143&gt;$Q143,"Answered late","Answered on time")),IF($S143&lt;&gt;"",IF($S143&gt;$Q143,"Answered late","Answered on time"),IF(TODAY()&gt;$Q143,"OVERDUE "&amp;TEXT(TODAY()-$Q143,"0")&amp;" d",TEXT($Q143-TODAY(),"0")&amp;" d left"))))</f>
        <v/>
      </c>
      <c r="Z143" s="44" t="str">
        <f aca="false">IF($A143="","",IF($S143&lt;&gt;"","",IF($X143&lt;=7,"0-7 d",IF($X143&lt;=14,"8-14 d",IF($X143&lt;=30,"15-30 d","over 30 d")))))</f>
        <v/>
      </c>
      <c r="AA143" s="49"/>
      <c r="AB143" s="52"/>
      <c r="AC143" s="49"/>
      <c r="AD143" s="49"/>
      <c r="AE143" s="49"/>
      <c r="AF143" s="49"/>
      <c r="AG143" s="50"/>
    </row>
    <row r="144" customFormat="false" ht="15" hidden="false" customHeight="true" outlineLevel="0" collapsed="false">
      <c r="A144" s="48"/>
      <c r="B144" s="49"/>
      <c r="C144" s="49"/>
      <c r="D144" s="49"/>
      <c r="E144" s="49"/>
      <c r="F144" s="50"/>
      <c r="G144" s="49"/>
      <c r="H144" s="49"/>
      <c r="I144" s="49"/>
      <c r="J144" s="49"/>
      <c r="K144" s="50"/>
      <c r="L144" s="50"/>
      <c r="M144" s="49"/>
      <c r="N144" s="51"/>
      <c r="O144" s="49"/>
      <c r="P144" s="44" t="str">
        <f aca="false">IF($A144="","",IFERROR(INDEX(01_CONTROL!$B$15:$B$18,MATCH($O144,01_CONTROL!$A$15:$A$18,0)),14))</f>
        <v/>
      </c>
      <c r="Q144" s="45" t="str">
        <f aca="false">IF($A144="","",IF($N144="","",$N144+$P144))</f>
        <v/>
      </c>
      <c r="R144" s="49"/>
      <c r="S144" s="51"/>
      <c r="T144" s="50"/>
      <c r="U144" s="49"/>
      <c r="V144" s="49"/>
      <c r="W144" s="51"/>
      <c r="X144" s="44" t="str">
        <f aca="true">IF($A144="","",IF($N144="","",IF($S144="",TODAY()-$N144,$S144-$N144)))</f>
        <v/>
      </c>
      <c r="Y144" s="46" t="str">
        <f aca="true">IF($A144="","",IF(OR($V144="Closed",$V144="Void / withdrawn"),IF($S144="","Closed without response",IF($S144&gt;$Q144,"Answered late","Answered on time")),IF($S144&lt;&gt;"",IF($S144&gt;$Q144,"Answered late","Answered on time"),IF(TODAY()&gt;$Q144,"OVERDUE "&amp;TEXT(TODAY()-$Q144,"0")&amp;" d",TEXT($Q144-TODAY(),"0")&amp;" d left"))))</f>
        <v/>
      </c>
      <c r="Z144" s="44" t="str">
        <f aca="false">IF($A144="","",IF($S144&lt;&gt;"","",IF($X144&lt;=7,"0-7 d",IF($X144&lt;=14,"8-14 d",IF($X144&lt;=30,"15-30 d","over 30 d")))))</f>
        <v/>
      </c>
      <c r="AA144" s="49"/>
      <c r="AB144" s="52"/>
      <c r="AC144" s="49"/>
      <c r="AD144" s="49"/>
      <c r="AE144" s="49"/>
      <c r="AF144" s="49"/>
      <c r="AG144" s="50"/>
    </row>
    <row r="145" customFormat="false" ht="15" hidden="false" customHeight="true" outlineLevel="0" collapsed="false">
      <c r="A145" s="48"/>
      <c r="B145" s="49"/>
      <c r="C145" s="49"/>
      <c r="D145" s="49"/>
      <c r="E145" s="49"/>
      <c r="F145" s="50"/>
      <c r="G145" s="49"/>
      <c r="H145" s="49"/>
      <c r="I145" s="49"/>
      <c r="J145" s="49"/>
      <c r="K145" s="50"/>
      <c r="L145" s="50"/>
      <c r="M145" s="49"/>
      <c r="N145" s="51"/>
      <c r="O145" s="49"/>
      <c r="P145" s="44" t="str">
        <f aca="false">IF($A145="","",IFERROR(INDEX(01_CONTROL!$B$15:$B$18,MATCH($O145,01_CONTROL!$A$15:$A$18,0)),14))</f>
        <v/>
      </c>
      <c r="Q145" s="45" t="str">
        <f aca="false">IF($A145="","",IF($N145="","",$N145+$P145))</f>
        <v/>
      </c>
      <c r="R145" s="49"/>
      <c r="S145" s="51"/>
      <c r="T145" s="50"/>
      <c r="U145" s="49"/>
      <c r="V145" s="49"/>
      <c r="W145" s="51"/>
      <c r="X145" s="44" t="str">
        <f aca="true">IF($A145="","",IF($N145="","",IF($S145="",TODAY()-$N145,$S145-$N145)))</f>
        <v/>
      </c>
      <c r="Y145" s="46" t="str">
        <f aca="true">IF($A145="","",IF(OR($V145="Closed",$V145="Void / withdrawn"),IF($S145="","Closed without response",IF($S145&gt;$Q145,"Answered late","Answered on time")),IF($S145&lt;&gt;"",IF($S145&gt;$Q145,"Answered late","Answered on time"),IF(TODAY()&gt;$Q145,"OVERDUE "&amp;TEXT(TODAY()-$Q145,"0")&amp;" d",TEXT($Q145-TODAY(),"0")&amp;" d left"))))</f>
        <v/>
      </c>
      <c r="Z145" s="44" t="str">
        <f aca="false">IF($A145="","",IF($S145&lt;&gt;"","",IF($X145&lt;=7,"0-7 d",IF($X145&lt;=14,"8-14 d",IF($X145&lt;=30,"15-30 d","over 30 d")))))</f>
        <v/>
      </c>
      <c r="AA145" s="49"/>
      <c r="AB145" s="52"/>
      <c r="AC145" s="49"/>
      <c r="AD145" s="49"/>
      <c r="AE145" s="49"/>
      <c r="AF145" s="49"/>
      <c r="AG145" s="50"/>
    </row>
    <row r="146" customFormat="false" ht="15" hidden="false" customHeight="true" outlineLevel="0" collapsed="false">
      <c r="A146" s="48"/>
      <c r="B146" s="49"/>
      <c r="C146" s="49"/>
      <c r="D146" s="49"/>
      <c r="E146" s="49"/>
      <c r="F146" s="50"/>
      <c r="G146" s="49"/>
      <c r="H146" s="49"/>
      <c r="I146" s="49"/>
      <c r="J146" s="49"/>
      <c r="K146" s="50"/>
      <c r="L146" s="50"/>
      <c r="M146" s="49"/>
      <c r="N146" s="51"/>
      <c r="O146" s="49"/>
      <c r="P146" s="44" t="str">
        <f aca="false">IF($A146="","",IFERROR(INDEX(01_CONTROL!$B$15:$B$18,MATCH($O146,01_CONTROL!$A$15:$A$18,0)),14))</f>
        <v/>
      </c>
      <c r="Q146" s="45" t="str">
        <f aca="false">IF($A146="","",IF($N146="","",$N146+$P146))</f>
        <v/>
      </c>
      <c r="R146" s="49"/>
      <c r="S146" s="51"/>
      <c r="T146" s="50"/>
      <c r="U146" s="49"/>
      <c r="V146" s="49"/>
      <c r="W146" s="51"/>
      <c r="X146" s="44" t="str">
        <f aca="true">IF($A146="","",IF($N146="","",IF($S146="",TODAY()-$N146,$S146-$N146)))</f>
        <v/>
      </c>
      <c r="Y146" s="46" t="str">
        <f aca="true">IF($A146="","",IF(OR($V146="Closed",$V146="Void / withdrawn"),IF($S146="","Closed without response",IF($S146&gt;$Q146,"Answered late","Answered on time")),IF($S146&lt;&gt;"",IF($S146&gt;$Q146,"Answered late","Answered on time"),IF(TODAY()&gt;$Q146,"OVERDUE "&amp;TEXT(TODAY()-$Q146,"0")&amp;" d",TEXT($Q146-TODAY(),"0")&amp;" d left"))))</f>
        <v/>
      </c>
      <c r="Z146" s="44" t="str">
        <f aca="false">IF($A146="","",IF($S146&lt;&gt;"","",IF($X146&lt;=7,"0-7 d",IF($X146&lt;=14,"8-14 d",IF($X146&lt;=30,"15-30 d","over 30 d")))))</f>
        <v/>
      </c>
      <c r="AA146" s="49"/>
      <c r="AB146" s="52"/>
      <c r="AC146" s="49"/>
      <c r="AD146" s="49"/>
      <c r="AE146" s="49"/>
      <c r="AF146" s="49"/>
      <c r="AG146" s="50"/>
    </row>
    <row r="147" customFormat="false" ht="15" hidden="false" customHeight="true" outlineLevel="0" collapsed="false">
      <c r="A147" s="48"/>
      <c r="B147" s="49"/>
      <c r="C147" s="49"/>
      <c r="D147" s="49"/>
      <c r="E147" s="49"/>
      <c r="F147" s="50"/>
      <c r="G147" s="49"/>
      <c r="H147" s="49"/>
      <c r="I147" s="49"/>
      <c r="J147" s="49"/>
      <c r="K147" s="50"/>
      <c r="L147" s="50"/>
      <c r="M147" s="49"/>
      <c r="N147" s="51"/>
      <c r="O147" s="49"/>
      <c r="P147" s="44" t="str">
        <f aca="false">IF($A147="","",IFERROR(INDEX(01_CONTROL!$B$15:$B$18,MATCH($O147,01_CONTROL!$A$15:$A$18,0)),14))</f>
        <v/>
      </c>
      <c r="Q147" s="45" t="str">
        <f aca="false">IF($A147="","",IF($N147="","",$N147+$P147))</f>
        <v/>
      </c>
      <c r="R147" s="49"/>
      <c r="S147" s="51"/>
      <c r="T147" s="50"/>
      <c r="U147" s="49"/>
      <c r="V147" s="49"/>
      <c r="W147" s="51"/>
      <c r="X147" s="44" t="str">
        <f aca="true">IF($A147="","",IF($N147="","",IF($S147="",TODAY()-$N147,$S147-$N147)))</f>
        <v/>
      </c>
      <c r="Y147" s="46" t="str">
        <f aca="true">IF($A147="","",IF(OR($V147="Closed",$V147="Void / withdrawn"),IF($S147="","Closed without response",IF($S147&gt;$Q147,"Answered late","Answered on time")),IF($S147&lt;&gt;"",IF($S147&gt;$Q147,"Answered late","Answered on time"),IF(TODAY()&gt;$Q147,"OVERDUE "&amp;TEXT(TODAY()-$Q147,"0")&amp;" d",TEXT($Q147-TODAY(),"0")&amp;" d left"))))</f>
        <v/>
      </c>
      <c r="Z147" s="44" t="str">
        <f aca="false">IF($A147="","",IF($S147&lt;&gt;"","",IF($X147&lt;=7,"0-7 d",IF($X147&lt;=14,"8-14 d",IF($X147&lt;=30,"15-30 d","over 30 d")))))</f>
        <v/>
      </c>
      <c r="AA147" s="49"/>
      <c r="AB147" s="52"/>
      <c r="AC147" s="49"/>
      <c r="AD147" s="49"/>
      <c r="AE147" s="49"/>
      <c r="AF147" s="49"/>
      <c r="AG147" s="50"/>
    </row>
    <row r="148" customFormat="false" ht="15" hidden="false" customHeight="true" outlineLevel="0" collapsed="false">
      <c r="A148" s="48"/>
      <c r="B148" s="49"/>
      <c r="C148" s="49"/>
      <c r="D148" s="49"/>
      <c r="E148" s="49"/>
      <c r="F148" s="50"/>
      <c r="G148" s="49"/>
      <c r="H148" s="49"/>
      <c r="I148" s="49"/>
      <c r="J148" s="49"/>
      <c r="K148" s="50"/>
      <c r="L148" s="50"/>
      <c r="M148" s="49"/>
      <c r="N148" s="51"/>
      <c r="O148" s="49"/>
      <c r="P148" s="44" t="str">
        <f aca="false">IF($A148="","",IFERROR(INDEX(01_CONTROL!$B$15:$B$18,MATCH($O148,01_CONTROL!$A$15:$A$18,0)),14))</f>
        <v/>
      </c>
      <c r="Q148" s="45" t="str">
        <f aca="false">IF($A148="","",IF($N148="","",$N148+$P148))</f>
        <v/>
      </c>
      <c r="R148" s="49"/>
      <c r="S148" s="51"/>
      <c r="T148" s="50"/>
      <c r="U148" s="49"/>
      <c r="V148" s="49"/>
      <c r="W148" s="51"/>
      <c r="X148" s="44" t="str">
        <f aca="true">IF($A148="","",IF($N148="","",IF($S148="",TODAY()-$N148,$S148-$N148)))</f>
        <v/>
      </c>
      <c r="Y148" s="46" t="str">
        <f aca="true">IF($A148="","",IF(OR($V148="Closed",$V148="Void / withdrawn"),IF($S148="","Closed without response",IF($S148&gt;$Q148,"Answered late","Answered on time")),IF($S148&lt;&gt;"",IF($S148&gt;$Q148,"Answered late","Answered on time"),IF(TODAY()&gt;$Q148,"OVERDUE "&amp;TEXT(TODAY()-$Q148,"0")&amp;" d",TEXT($Q148-TODAY(),"0")&amp;" d left"))))</f>
        <v/>
      </c>
      <c r="Z148" s="44" t="str">
        <f aca="false">IF($A148="","",IF($S148&lt;&gt;"","",IF($X148&lt;=7,"0-7 d",IF($X148&lt;=14,"8-14 d",IF($X148&lt;=30,"15-30 d","over 30 d")))))</f>
        <v/>
      </c>
      <c r="AA148" s="49"/>
      <c r="AB148" s="52"/>
      <c r="AC148" s="49"/>
      <c r="AD148" s="49"/>
      <c r="AE148" s="49"/>
      <c r="AF148" s="49"/>
      <c r="AG148" s="50"/>
    </row>
    <row r="149" customFormat="false" ht="15" hidden="false" customHeight="true" outlineLevel="0" collapsed="false">
      <c r="A149" s="48"/>
      <c r="B149" s="49"/>
      <c r="C149" s="49"/>
      <c r="D149" s="49"/>
      <c r="E149" s="49"/>
      <c r="F149" s="50"/>
      <c r="G149" s="49"/>
      <c r="H149" s="49"/>
      <c r="I149" s="49"/>
      <c r="J149" s="49"/>
      <c r="K149" s="50"/>
      <c r="L149" s="50"/>
      <c r="M149" s="49"/>
      <c r="N149" s="51"/>
      <c r="O149" s="49"/>
      <c r="P149" s="44" t="str">
        <f aca="false">IF($A149="","",IFERROR(INDEX(01_CONTROL!$B$15:$B$18,MATCH($O149,01_CONTROL!$A$15:$A$18,0)),14))</f>
        <v/>
      </c>
      <c r="Q149" s="45" t="str">
        <f aca="false">IF($A149="","",IF($N149="","",$N149+$P149))</f>
        <v/>
      </c>
      <c r="R149" s="49"/>
      <c r="S149" s="51"/>
      <c r="T149" s="50"/>
      <c r="U149" s="49"/>
      <c r="V149" s="49"/>
      <c r="W149" s="51"/>
      <c r="X149" s="44" t="str">
        <f aca="true">IF($A149="","",IF($N149="","",IF($S149="",TODAY()-$N149,$S149-$N149)))</f>
        <v/>
      </c>
      <c r="Y149" s="46" t="str">
        <f aca="true">IF($A149="","",IF(OR($V149="Closed",$V149="Void / withdrawn"),IF($S149="","Closed without response",IF($S149&gt;$Q149,"Answered late","Answered on time")),IF($S149&lt;&gt;"",IF($S149&gt;$Q149,"Answered late","Answered on time"),IF(TODAY()&gt;$Q149,"OVERDUE "&amp;TEXT(TODAY()-$Q149,"0")&amp;" d",TEXT($Q149-TODAY(),"0")&amp;" d left"))))</f>
        <v/>
      </c>
      <c r="Z149" s="44" t="str">
        <f aca="false">IF($A149="","",IF($S149&lt;&gt;"","",IF($X149&lt;=7,"0-7 d",IF($X149&lt;=14,"8-14 d",IF($X149&lt;=30,"15-30 d","over 30 d")))))</f>
        <v/>
      </c>
      <c r="AA149" s="49"/>
      <c r="AB149" s="52"/>
      <c r="AC149" s="49"/>
      <c r="AD149" s="49"/>
      <c r="AE149" s="49"/>
      <c r="AF149" s="49"/>
      <c r="AG149" s="50"/>
    </row>
    <row r="150" customFormat="false" ht="15" hidden="false" customHeight="true" outlineLevel="0" collapsed="false">
      <c r="A150" s="48"/>
      <c r="B150" s="49"/>
      <c r="C150" s="49"/>
      <c r="D150" s="49"/>
      <c r="E150" s="49"/>
      <c r="F150" s="50"/>
      <c r="G150" s="49"/>
      <c r="H150" s="49"/>
      <c r="I150" s="49"/>
      <c r="J150" s="49"/>
      <c r="K150" s="50"/>
      <c r="L150" s="50"/>
      <c r="M150" s="49"/>
      <c r="N150" s="51"/>
      <c r="O150" s="49"/>
      <c r="P150" s="44" t="str">
        <f aca="false">IF($A150="","",IFERROR(INDEX(01_CONTROL!$B$15:$B$18,MATCH($O150,01_CONTROL!$A$15:$A$18,0)),14))</f>
        <v/>
      </c>
      <c r="Q150" s="45" t="str">
        <f aca="false">IF($A150="","",IF($N150="","",$N150+$P150))</f>
        <v/>
      </c>
      <c r="R150" s="49"/>
      <c r="S150" s="51"/>
      <c r="T150" s="50"/>
      <c r="U150" s="49"/>
      <c r="V150" s="49"/>
      <c r="W150" s="51"/>
      <c r="X150" s="44" t="str">
        <f aca="true">IF($A150="","",IF($N150="","",IF($S150="",TODAY()-$N150,$S150-$N150)))</f>
        <v/>
      </c>
      <c r="Y150" s="46" t="str">
        <f aca="true">IF($A150="","",IF(OR($V150="Closed",$V150="Void / withdrawn"),IF($S150="","Closed without response",IF($S150&gt;$Q150,"Answered late","Answered on time")),IF($S150&lt;&gt;"",IF($S150&gt;$Q150,"Answered late","Answered on time"),IF(TODAY()&gt;$Q150,"OVERDUE "&amp;TEXT(TODAY()-$Q150,"0")&amp;" d",TEXT($Q150-TODAY(),"0")&amp;" d left"))))</f>
        <v/>
      </c>
      <c r="Z150" s="44" t="str">
        <f aca="false">IF($A150="","",IF($S150&lt;&gt;"","",IF($X150&lt;=7,"0-7 d",IF($X150&lt;=14,"8-14 d",IF($X150&lt;=30,"15-30 d","over 30 d")))))</f>
        <v/>
      </c>
      <c r="AA150" s="49"/>
      <c r="AB150" s="52"/>
      <c r="AC150" s="49"/>
      <c r="AD150" s="49"/>
      <c r="AE150" s="49"/>
      <c r="AF150" s="49"/>
      <c r="AG150" s="50"/>
    </row>
    <row r="151" customFormat="false" ht="15" hidden="false" customHeight="true" outlineLevel="0" collapsed="false">
      <c r="A151" s="48"/>
      <c r="B151" s="49"/>
      <c r="C151" s="49"/>
      <c r="D151" s="49"/>
      <c r="E151" s="49"/>
      <c r="F151" s="50"/>
      <c r="G151" s="49"/>
      <c r="H151" s="49"/>
      <c r="I151" s="49"/>
      <c r="J151" s="49"/>
      <c r="K151" s="50"/>
      <c r="L151" s="50"/>
      <c r="M151" s="49"/>
      <c r="N151" s="51"/>
      <c r="O151" s="49"/>
      <c r="P151" s="44" t="str">
        <f aca="false">IF($A151="","",IFERROR(INDEX(01_CONTROL!$B$15:$B$18,MATCH($O151,01_CONTROL!$A$15:$A$18,0)),14))</f>
        <v/>
      </c>
      <c r="Q151" s="45" t="str">
        <f aca="false">IF($A151="","",IF($N151="","",$N151+$P151))</f>
        <v/>
      </c>
      <c r="R151" s="49"/>
      <c r="S151" s="51"/>
      <c r="T151" s="50"/>
      <c r="U151" s="49"/>
      <c r="V151" s="49"/>
      <c r="W151" s="51"/>
      <c r="X151" s="44" t="str">
        <f aca="true">IF($A151="","",IF($N151="","",IF($S151="",TODAY()-$N151,$S151-$N151)))</f>
        <v/>
      </c>
      <c r="Y151" s="46" t="str">
        <f aca="true">IF($A151="","",IF(OR($V151="Closed",$V151="Void / withdrawn"),IF($S151="","Closed without response",IF($S151&gt;$Q151,"Answered late","Answered on time")),IF($S151&lt;&gt;"",IF($S151&gt;$Q151,"Answered late","Answered on time"),IF(TODAY()&gt;$Q151,"OVERDUE "&amp;TEXT(TODAY()-$Q151,"0")&amp;" d",TEXT($Q151-TODAY(),"0")&amp;" d left"))))</f>
        <v/>
      </c>
      <c r="Z151" s="44" t="str">
        <f aca="false">IF($A151="","",IF($S151&lt;&gt;"","",IF($X151&lt;=7,"0-7 d",IF($X151&lt;=14,"8-14 d",IF($X151&lt;=30,"15-30 d","over 30 d")))))</f>
        <v/>
      </c>
      <c r="AA151" s="49"/>
      <c r="AB151" s="52"/>
      <c r="AC151" s="49"/>
      <c r="AD151" s="49"/>
      <c r="AE151" s="49"/>
      <c r="AF151" s="49"/>
      <c r="AG151" s="50"/>
    </row>
    <row r="152" customFormat="false" ht="15" hidden="false" customHeight="true" outlineLevel="0" collapsed="false">
      <c r="A152" s="48"/>
      <c r="B152" s="49"/>
      <c r="C152" s="49"/>
      <c r="D152" s="49"/>
      <c r="E152" s="49"/>
      <c r="F152" s="50"/>
      <c r="G152" s="49"/>
      <c r="H152" s="49"/>
      <c r="I152" s="49"/>
      <c r="J152" s="49"/>
      <c r="K152" s="50"/>
      <c r="L152" s="50"/>
      <c r="M152" s="49"/>
      <c r="N152" s="51"/>
      <c r="O152" s="49"/>
      <c r="P152" s="44" t="str">
        <f aca="false">IF($A152="","",IFERROR(INDEX(01_CONTROL!$B$15:$B$18,MATCH($O152,01_CONTROL!$A$15:$A$18,0)),14))</f>
        <v/>
      </c>
      <c r="Q152" s="45" t="str">
        <f aca="false">IF($A152="","",IF($N152="","",$N152+$P152))</f>
        <v/>
      </c>
      <c r="R152" s="49"/>
      <c r="S152" s="51"/>
      <c r="T152" s="50"/>
      <c r="U152" s="49"/>
      <c r="V152" s="49"/>
      <c r="W152" s="51"/>
      <c r="X152" s="44" t="str">
        <f aca="true">IF($A152="","",IF($N152="","",IF($S152="",TODAY()-$N152,$S152-$N152)))</f>
        <v/>
      </c>
      <c r="Y152" s="46" t="str">
        <f aca="true">IF($A152="","",IF(OR($V152="Closed",$V152="Void / withdrawn"),IF($S152="","Closed without response",IF($S152&gt;$Q152,"Answered late","Answered on time")),IF($S152&lt;&gt;"",IF($S152&gt;$Q152,"Answered late","Answered on time"),IF(TODAY()&gt;$Q152,"OVERDUE "&amp;TEXT(TODAY()-$Q152,"0")&amp;" d",TEXT($Q152-TODAY(),"0")&amp;" d left"))))</f>
        <v/>
      </c>
      <c r="Z152" s="44" t="str">
        <f aca="false">IF($A152="","",IF($S152&lt;&gt;"","",IF($X152&lt;=7,"0-7 d",IF($X152&lt;=14,"8-14 d",IF($X152&lt;=30,"15-30 d","over 30 d")))))</f>
        <v/>
      </c>
      <c r="AA152" s="49"/>
      <c r="AB152" s="52"/>
      <c r="AC152" s="49"/>
      <c r="AD152" s="49"/>
      <c r="AE152" s="49"/>
      <c r="AF152" s="49"/>
      <c r="AG152" s="50"/>
    </row>
    <row r="153" customFormat="false" ht="15" hidden="false" customHeight="true" outlineLevel="0" collapsed="false">
      <c r="A153" s="48"/>
      <c r="B153" s="49"/>
      <c r="C153" s="49"/>
      <c r="D153" s="49"/>
      <c r="E153" s="49"/>
      <c r="F153" s="50"/>
      <c r="G153" s="49"/>
      <c r="H153" s="49"/>
      <c r="I153" s="49"/>
      <c r="J153" s="49"/>
      <c r="K153" s="50"/>
      <c r="L153" s="50"/>
      <c r="M153" s="49"/>
      <c r="N153" s="51"/>
      <c r="O153" s="49"/>
      <c r="P153" s="44" t="str">
        <f aca="false">IF($A153="","",IFERROR(INDEX(01_CONTROL!$B$15:$B$18,MATCH($O153,01_CONTROL!$A$15:$A$18,0)),14))</f>
        <v/>
      </c>
      <c r="Q153" s="45" t="str">
        <f aca="false">IF($A153="","",IF($N153="","",$N153+$P153))</f>
        <v/>
      </c>
      <c r="R153" s="49"/>
      <c r="S153" s="51"/>
      <c r="T153" s="50"/>
      <c r="U153" s="49"/>
      <c r="V153" s="49"/>
      <c r="W153" s="51"/>
      <c r="X153" s="44" t="str">
        <f aca="true">IF($A153="","",IF($N153="","",IF($S153="",TODAY()-$N153,$S153-$N153)))</f>
        <v/>
      </c>
      <c r="Y153" s="46" t="str">
        <f aca="true">IF($A153="","",IF(OR($V153="Closed",$V153="Void / withdrawn"),IF($S153="","Closed without response",IF($S153&gt;$Q153,"Answered late","Answered on time")),IF($S153&lt;&gt;"",IF($S153&gt;$Q153,"Answered late","Answered on time"),IF(TODAY()&gt;$Q153,"OVERDUE "&amp;TEXT(TODAY()-$Q153,"0")&amp;" d",TEXT($Q153-TODAY(),"0")&amp;" d left"))))</f>
        <v/>
      </c>
      <c r="Z153" s="44" t="str">
        <f aca="false">IF($A153="","",IF($S153&lt;&gt;"","",IF($X153&lt;=7,"0-7 d",IF($X153&lt;=14,"8-14 d",IF($X153&lt;=30,"15-30 d","over 30 d")))))</f>
        <v/>
      </c>
      <c r="AA153" s="49"/>
      <c r="AB153" s="52"/>
      <c r="AC153" s="49"/>
      <c r="AD153" s="49"/>
      <c r="AE153" s="49"/>
      <c r="AF153" s="49"/>
      <c r="AG153" s="50"/>
    </row>
    <row r="154" customFormat="false" ht="15" hidden="false" customHeight="true" outlineLevel="0" collapsed="false">
      <c r="A154" s="48"/>
      <c r="B154" s="49"/>
      <c r="C154" s="49"/>
      <c r="D154" s="49"/>
      <c r="E154" s="49"/>
      <c r="F154" s="50"/>
      <c r="G154" s="49"/>
      <c r="H154" s="49"/>
      <c r="I154" s="49"/>
      <c r="J154" s="49"/>
      <c r="K154" s="50"/>
      <c r="L154" s="50"/>
      <c r="M154" s="49"/>
      <c r="N154" s="51"/>
      <c r="O154" s="49"/>
      <c r="P154" s="44" t="str">
        <f aca="false">IF($A154="","",IFERROR(INDEX(01_CONTROL!$B$15:$B$18,MATCH($O154,01_CONTROL!$A$15:$A$18,0)),14))</f>
        <v/>
      </c>
      <c r="Q154" s="45" t="str">
        <f aca="false">IF($A154="","",IF($N154="","",$N154+$P154))</f>
        <v/>
      </c>
      <c r="R154" s="49"/>
      <c r="S154" s="51"/>
      <c r="T154" s="50"/>
      <c r="U154" s="49"/>
      <c r="V154" s="49"/>
      <c r="W154" s="51"/>
      <c r="X154" s="44" t="str">
        <f aca="true">IF($A154="","",IF($N154="","",IF($S154="",TODAY()-$N154,$S154-$N154)))</f>
        <v/>
      </c>
      <c r="Y154" s="46" t="str">
        <f aca="true">IF($A154="","",IF(OR($V154="Closed",$V154="Void / withdrawn"),IF($S154="","Closed without response",IF($S154&gt;$Q154,"Answered late","Answered on time")),IF($S154&lt;&gt;"",IF($S154&gt;$Q154,"Answered late","Answered on time"),IF(TODAY()&gt;$Q154,"OVERDUE "&amp;TEXT(TODAY()-$Q154,"0")&amp;" d",TEXT($Q154-TODAY(),"0")&amp;" d left"))))</f>
        <v/>
      </c>
      <c r="Z154" s="44" t="str">
        <f aca="false">IF($A154="","",IF($S154&lt;&gt;"","",IF($X154&lt;=7,"0-7 d",IF($X154&lt;=14,"8-14 d",IF($X154&lt;=30,"15-30 d","over 30 d")))))</f>
        <v/>
      </c>
      <c r="AA154" s="49"/>
      <c r="AB154" s="52"/>
      <c r="AC154" s="49"/>
      <c r="AD154" s="49"/>
      <c r="AE154" s="49"/>
      <c r="AF154" s="49"/>
      <c r="AG154" s="50"/>
    </row>
    <row r="155" customFormat="false" ht="15" hidden="false" customHeight="true" outlineLevel="0" collapsed="false">
      <c r="A155" s="48"/>
      <c r="B155" s="49"/>
      <c r="C155" s="49"/>
      <c r="D155" s="49"/>
      <c r="E155" s="49"/>
      <c r="F155" s="50"/>
      <c r="G155" s="49"/>
      <c r="H155" s="49"/>
      <c r="I155" s="49"/>
      <c r="J155" s="49"/>
      <c r="K155" s="50"/>
      <c r="L155" s="50"/>
      <c r="M155" s="49"/>
      <c r="N155" s="51"/>
      <c r="O155" s="49"/>
      <c r="P155" s="44" t="str">
        <f aca="false">IF($A155="","",IFERROR(INDEX(01_CONTROL!$B$15:$B$18,MATCH($O155,01_CONTROL!$A$15:$A$18,0)),14))</f>
        <v/>
      </c>
      <c r="Q155" s="45" t="str">
        <f aca="false">IF($A155="","",IF($N155="","",$N155+$P155))</f>
        <v/>
      </c>
      <c r="R155" s="49"/>
      <c r="S155" s="51"/>
      <c r="T155" s="50"/>
      <c r="U155" s="49"/>
      <c r="V155" s="49"/>
      <c r="W155" s="51"/>
      <c r="X155" s="44" t="str">
        <f aca="true">IF($A155="","",IF($N155="","",IF($S155="",TODAY()-$N155,$S155-$N155)))</f>
        <v/>
      </c>
      <c r="Y155" s="46" t="str">
        <f aca="true">IF($A155="","",IF(OR($V155="Closed",$V155="Void / withdrawn"),IF($S155="","Closed without response",IF($S155&gt;$Q155,"Answered late","Answered on time")),IF($S155&lt;&gt;"",IF($S155&gt;$Q155,"Answered late","Answered on time"),IF(TODAY()&gt;$Q155,"OVERDUE "&amp;TEXT(TODAY()-$Q155,"0")&amp;" d",TEXT($Q155-TODAY(),"0")&amp;" d left"))))</f>
        <v/>
      </c>
      <c r="Z155" s="44" t="str">
        <f aca="false">IF($A155="","",IF($S155&lt;&gt;"","",IF($X155&lt;=7,"0-7 d",IF($X155&lt;=14,"8-14 d",IF($X155&lt;=30,"15-30 d","over 30 d")))))</f>
        <v/>
      </c>
      <c r="AA155" s="49"/>
      <c r="AB155" s="52"/>
      <c r="AC155" s="49"/>
      <c r="AD155" s="49"/>
      <c r="AE155" s="49"/>
      <c r="AF155" s="49"/>
      <c r="AG155" s="50"/>
    </row>
    <row r="156" customFormat="false" ht="15" hidden="false" customHeight="true" outlineLevel="0" collapsed="false">
      <c r="A156" s="48"/>
      <c r="B156" s="49"/>
      <c r="C156" s="49"/>
      <c r="D156" s="49"/>
      <c r="E156" s="49"/>
      <c r="F156" s="50"/>
      <c r="G156" s="49"/>
      <c r="H156" s="49"/>
      <c r="I156" s="49"/>
      <c r="J156" s="49"/>
      <c r="K156" s="50"/>
      <c r="L156" s="50"/>
      <c r="M156" s="49"/>
      <c r="N156" s="51"/>
      <c r="O156" s="49"/>
      <c r="P156" s="44" t="str">
        <f aca="false">IF($A156="","",IFERROR(INDEX(01_CONTROL!$B$15:$B$18,MATCH($O156,01_CONTROL!$A$15:$A$18,0)),14))</f>
        <v/>
      </c>
      <c r="Q156" s="45" t="str">
        <f aca="false">IF($A156="","",IF($N156="","",$N156+$P156))</f>
        <v/>
      </c>
      <c r="R156" s="49"/>
      <c r="S156" s="51"/>
      <c r="T156" s="50"/>
      <c r="U156" s="49"/>
      <c r="V156" s="49"/>
      <c r="W156" s="51"/>
      <c r="X156" s="44" t="str">
        <f aca="true">IF($A156="","",IF($N156="","",IF($S156="",TODAY()-$N156,$S156-$N156)))</f>
        <v/>
      </c>
      <c r="Y156" s="46" t="str">
        <f aca="true">IF($A156="","",IF(OR($V156="Closed",$V156="Void / withdrawn"),IF($S156="","Closed without response",IF($S156&gt;$Q156,"Answered late","Answered on time")),IF($S156&lt;&gt;"",IF($S156&gt;$Q156,"Answered late","Answered on time"),IF(TODAY()&gt;$Q156,"OVERDUE "&amp;TEXT(TODAY()-$Q156,"0")&amp;" d",TEXT($Q156-TODAY(),"0")&amp;" d left"))))</f>
        <v/>
      </c>
      <c r="Z156" s="44" t="str">
        <f aca="false">IF($A156="","",IF($S156&lt;&gt;"","",IF($X156&lt;=7,"0-7 d",IF($X156&lt;=14,"8-14 d",IF($X156&lt;=30,"15-30 d","over 30 d")))))</f>
        <v/>
      </c>
      <c r="AA156" s="49"/>
      <c r="AB156" s="52"/>
      <c r="AC156" s="49"/>
      <c r="AD156" s="49"/>
      <c r="AE156" s="49"/>
      <c r="AF156" s="49"/>
      <c r="AG156" s="50"/>
    </row>
    <row r="157" customFormat="false" ht="15" hidden="false" customHeight="true" outlineLevel="0" collapsed="false">
      <c r="A157" s="48"/>
      <c r="B157" s="49"/>
      <c r="C157" s="49"/>
      <c r="D157" s="49"/>
      <c r="E157" s="49"/>
      <c r="F157" s="50"/>
      <c r="G157" s="49"/>
      <c r="H157" s="49"/>
      <c r="I157" s="49"/>
      <c r="J157" s="49"/>
      <c r="K157" s="50"/>
      <c r="L157" s="50"/>
      <c r="M157" s="49"/>
      <c r="N157" s="51"/>
      <c r="O157" s="49"/>
      <c r="P157" s="44" t="str">
        <f aca="false">IF($A157="","",IFERROR(INDEX(01_CONTROL!$B$15:$B$18,MATCH($O157,01_CONTROL!$A$15:$A$18,0)),14))</f>
        <v/>
      </c>
      <c r="Q157" s="45" t="str">
        <f aca="false">IF($A157="","",IF($N157="","",$N157+$P157))</f>
        <v/>
      </c>
      <c r="R157" s="49"/>
      <c r="S157" s="51"/>
      <c r="T157" s="50"/>
      <c r="U157" s="49"/>
      <c r="V157" s="49"/>
      <c r="W157" s="51"/>
      <c r="X157" s="44" t="str">
        <f aca="true">IF($A157="","",IF($N157="","",IF($S157="",TODAY()-$N157,$S157-$N157)))</f>
        <v/>
      </c>
      <c r="Y157" s="46" t="str">
        <f aca="true">IF($A157="","",IF(OR($V157="Closed",$V157="Void / withdrawn"),IF($S157="","Closed without response",IF($S157&gt;$Q157,"Answered late","Answered on time")),IF($S157&lt;&gt;"",IF($S157&gt;$Q157,"Answered late","Answered on time"),IF(TODAY()&gt;$Q157,"OVERDUE "&amp;TEXT(TODAY()-$Q157,"0")&amp;" d",TEXT($Q157-TODAY(),"0")&amp;" d left"))))</f>
        <v/>
      </c>
      <c r="Z157" s="44" t="str">
        <f aca="false">IF($A157="","",IF($S157&lt;&gt;"","",IF($X157&lt;=7,"0-7 d",IF($X157&lt;=14,"8-14 d",IF($X157&lt;=30,"15-30 d","over 30 d")))))</f>
        <v/>
      </c>
      <c r="AA157" s="49"/>
      <c r="AB157" s="52"/>
      <c r="AC157" s="49"/>
      <c r="AD157" s="49"/>
      <c r="AE157" s="49"/>
      <c r="AF157" s="49"/>
      <c r="AG157" s="50"/>
    </row>
    <row r="158" customFormat="false" ht="15" hidden="false" customHeight="true" outlineLevel="0" collapsed="false">
      <c r="A158" s="48"/>
      <c r="B158" s="49"/>
      <c r="C158" s="49"/>
      <c r="D158" s="49"/>
      <c r="E158" s="49"/>
      <c r="F158" s="50"/>
      <c r="G158" s="49"/>
      <c r="H158" s="49"/>
      <c r="I158" s="49"/>
      <c r="J158" s="49"/>
      <c r="K158" s="50"/>
      <c r="L158" s="50"/>
      <c r="M158" s="49"/>
      <c r="N158" s="51"/>
      <c r="O158" s="49"/>
      <c r="P158" s="44" t="str">
        <f aca="false">IF($A158="","",IFERROR(INDEX(01_CONTROL!$B$15:$B$18,MATCH($O158,01_CONTROL!$A$15:$A$18,0)),14))</f>
        <v/>
      </c>
      <c r="Q158" s="45" t="str">
        <f aca="false">IF($A158="","",IF($N158="","",$N158+$P158))</f>
        <v/>
      </c>
      <c r="R158" s="49"/>
      <c r="S158" s="51"/>
      <c r="T158" s="50"/>
      <c r="U158" s="49"/>
      <c r="V158" s="49"/>
      <c r="W158" s="51"/>
      <c r="X158" s="44" t="str">
        <f aca="true">IF($A158="","",IF($N158="","",IF($S158="",TODAY()-$N158,$S158-$N158)))</f>
        <v/>
      </c>
      <c r="Y158" s="46" t="str">
        <f aca="true">IF($A158="","",IF(OR($V158="Closed",$V158="Void / withdrawn"),IF($S158="","Closed without response",IF($S158&gt;$Q158,"Answered late","Answered on time")),IF($S158&lt;&gt;"",IF($S158&gt;$Q158,"Answered late","Answered on time"),IF(TODAY()&gt;$Q158,"OVERDUE "&amp;TEXT(TODAY()-$Q158,"0")&amp;" d",TEXT($Q158-TODAY(),"0")&amp;" d left"))))</f>
        <v/>
      </c>
      <c r="Z158" s="44" t="str">
        <f aca="false">IF($A158="","",IF($S158&lt;&gt;"","",IF($X158&lt;=7,"0-7 d",IF($X158&lt;=14,"8-14 d",IF($X158&lt;=30,"15-30 d","over 30 d")))))</f>
        <v/>
      </c>
      <c r="AA158" s="49"/>
      <c r="AB158" s="52"/>
      <c r="AC158" s="49"/>
      <c r="AD158" s="49"/>
      <c r="AE158" s="49"/>
      <c r="AF158" s="49"/>
      <c r="AG158" s="50"/>
    </row>
    <row r="159" customFormat="false" ht="15" hidden="false" customHeight="true" outlineLevel="0" collapsed="false">
      <c r="A159" s="48"/>
      <c r="B159" s="49"/>
      <c r="C159" s="49"/>
      <c r="D159" s="49"/>
      <c r="E159" s="49"/>
      <c r="F159" s="50"/>
      <c r="G159" s="49"/>
      <c r="H159" s="49"/>
      <c r="I159" s="49"/>
      <c r="J159" s="49"/>
      <c r="K159" s="50"/>
      <c r="L159" s="50"/>
      <c r="M159" s="49"/>
      <c r="N159" s="51"/>
      <c r="O159" s="49"/>
      <c r="P159" s="44" t="str">
        <f aca="false">IF($A159="","",IFERROR(INDEX(01_CONTROL!$B$15:$B$18,MATCH($O159,01_CONTROL!$A$15:$A$18,0)),14))</f>
        <v/>
      </c>
      <c r="Q159" s="45" t="str">
        <f aca="false">IF($A159="","",IF($N159="","",$N159+$P159))</f>
        <v/>
      </c>
      <c r="R159" s="49"/>
      <c r="S159" s="51"/>
      <c r="T159" s="50"/>
      <c r="U159" s="49"/>
      <c r="V159" s="49"/>
      <c r="W159" s="51"/>
      <c r="X159" s="44" t="str">
        <f aca="true">IF($A159="","",IF($N159="","",IF($S159="",TODAY()-$N159,$S159-$N159)))</f>
        <v/>
      </c>
      <c r="Y159" s="46" t="str">
        <f aca="true">IF($A159="","",IF(OR($V159="Closed",$V159="Void / withdrawn"),IF($S159="","Closed without response",IF($S159&gt;$Q159,"Answered late","Answered on time")),IF($S159&lt;&gt;"",IF($S159&gt;$Q159,"Answered late","Answered on time"),IF(TODAY()&gt;$Q159,"OVERDUE "&amp;TEXT(TODAY()-$Q159,"0")&amp;" d",TEXT($Q159-TODAY(),"0")&amp;" d left"))))</f>
        <v/>
      </c>
      <c r="Z159" s="44" t="str">
        <f aca="false">IF($A159="","",IF($S159&lt;&gt;"","",IF($X159&lt;=7,"0-7 d",IF($X159&lt;=14,"8-14 d",IF($X159&lt;=30,"15-30 d","over 30 d")))))</f>
        <v/>
      </c>
      <c r="AA159" s="49"/>
      <c r="AB159" s="52"/>
      <c r="AC159" s="49"/>
      <c r="AD159" s="49"/>
      <c r="AE159" s="49"/>
      <c r="AF159" s="49"/>
      <c r="AG159" s="50"/>
    </row>
    <row r="160" customFormat="false" ht="15" hidden="false" customHeight="true" outlineLevel="0" collapsed="false">
      <c r="A160" s="48"/>
      <c r="B160" s="49"/>
      <c r="C160" s="49"/>
      <c r="D160" s="49"/>
      <c r="E160" s="49"/>
      <c r="F160" s="50"/>
      <c r="G160" s="49"/>
      <c r="H160" s="49"/>
      <c r="I160" s="49"/>
      <c r="J160" s="49"/>
      <c r="K160" s="50"/>
      <c r="L160" s="50"/>
      <c r="M160" s="49"/>
      <c r="N160" s="51"/>
      <c r="O160" s="49"/>
      <c r="P160" s="44" t="str">
        <f aca="false">IF($A160="","",IFERROR(INDEX(01_CONTROL!$B$15:$B$18,MATCH($O160,01_CONTROL!$A$15:$A$18,0)),14))</f>
        <v/>
      </c>
      <c r="Q160" s="45" t="str">
        <f aca="false">IF($A160="","",IF($N160="","",$N160+$P160))</f>
        <v/>
      </c>
      <c r="R160" s="49"/>
      <c r="S160" s="51"/>
      <c r="T160" s="50"/>
      <c r="U160" s="49"/>
      <c r="V160" s="49"/>
      <c r="W160" s="51"/>
      <c r="X160" s="44" t="str">
        <f aca="true">IF($A160="","",IF($N160="","",IF($S160="",TODAY()-$N160,$S160-$N160)))</f>
        <v/>
      </c>
      <c r="Y160" s="46" t="str">
        <f aca="true">IF($A160="","",IF(OR($V160="Closed",$V160="Void / withdrawn"),IF($S160="","Closed without response",IF($S160&gt;$Q160,"Answered late","Answered on time")),IF($S160&lt;&gt;"",IF($S160&gt;$Q160,"Answered late","Answered on time"),IF(TODAY()&gt;$Q160,"OVERDUE "&amp;TEXT(TODAY()-$Q160,"0")&amp;" d",TEXT($Q160-TODAY(),"0")&amp;" d left"))))</f>
        <v/>
      </c>
      <c r="Z160" s="44" t="str">
        <f aca="false">IF($A160="","",IF($S160&lt;&gt;"","",IF($X160&lt;=7,"0-7 d",IF($X160&lt;=14,"8-14 d",IF($X160&lt;=30,"15-30 d","over 30 d")))))</f>
        <v/>
      </c>
      <c r="AA160" s="49"/>
      <c r="AB160" s="52"/>
      <c r="AC160" s="49"/>
      <c r="AD160" s="49"/>
      <c r="AE160" s="49"/>
      <c r="AF160" s="49"/>
      <c r="AG160" s="50"/>
    </row>
    <row r="161" customFormat="false" ht="15" hidden="false" customHeight="true" outlineLevel="0" collapsed="false">
      <c r="A161" s="48"/>
      <c r="B161" s="49"/>
      <c r="C161" s="49"/>
      <c r="D161" s="49"/>
      <c r="E161" s="49"/>
      <c r="F161" s="50"/>
      <c r="G161" s="49"/>
      <c r="H161" s="49"/>
      <c r="I161" s="49"/>
      <c r="J161" s="49"/>
      <c r="K161" s="50"/>
      <c r="L161" s="50"/>
      <c r="M161" s="49"/>
      <c r="N161" s="51"/>
      <c r="O161" s="49"/>
      <c r="P161" s="44" t="str">
        <f aca="false">IF($A161="","",IFERROR(INDEX(01_CONTROL!$B$15:$B$18,MATCH($O161,01_CONTROL!$A$15:$A$18,0)),14))</f>
        <v/>
      </c>
      <c r="Q161" s="45" t="str">
        <f aca="false">IF($A161="","",IF($N161="","",$N161+$P161))</f>
        <v/>
      </c>
      <c r="R161" s="49"/>
      <c r="S161" s="51"/>
      <c r="T161" s="50"/>
      <c r="U161" s="49"/>
      <c r="V161" s="49"/>
      <c r="W161" s="51"/>
      <c r="X161" s="44" t="str">
        <f aca="true">IF($A161="","",IF($N161="","",IF($S161="",TODAY()-$N161,$S161-$N161)))</f>
        <v/>
      </c>
      <c r="Y161" s="46" t="str">
        <f aca="true">IF($A161="","",IF(OR($V161="Closed",$V161="Void / withdrawn"),IF($S161="","Closed without response",IF($S161&gt;$Q161,"Answered late","Answered on time")),IF($S161&lt;&gt;"",IF($S161&gt;$Q161,"Answered late","Answered on time"),IF(TODAY()&gt;$Q161,"OVERDUE "&amp;TEXT(TODAY()-$Q161,"0")&amp;" d",TEXT($Q161-TODAY(),"0")&amp;" d left"))))</f>
        <v/>
      </c>
      <c r="Z161" s="44" t="str">
        <f aca="false">IF($A161="","",IF($S161&lt;&gt;"","",IF($X161&lt;=7,"0-7 d",IF($X161&lt;=14,"8-14 d",IF($X161&lt;=30,"15-30 d","over 30 d")))))</f>
        <v/>
      </c>
      <c r="AA161" s="49"/>
      <c r="AB161" s="52"/>
      <c r="AC161" s="49"/>
      <c r="AD161" s="49"/>
      <c r="AE161" s="49"/>
      <c r="AF161" s="49"/>
      <c r="AG161" s="50"/>
    </row>
    <row r="162" customFormat="false" ht="15" hidden="false" customHeight="true" outlineLevel="0" collapsed="false">
      <c r="A162" s="48"/>
      <c r="B162" s="49"/>
      <c r="C162" s="49"/>
      <c r="D162" s="49"/>
      <c r="E162" s="49"/>
      <c r="F162" s="50"/>
      <c r="G162" s="49"/>
      <c r="H162" s="49"/>
      <c r="I162" s="49"/>
      <c r="J162" s="49"/>
      <c r="K162" s="50"/>
      <c r="L162" s="50"/>
      <c r="M162" s="49"/>
      <c r="N162" s="51"/>
      <c r="O162" s="49"/>
      <c r="P162" s="44" t="str">
        <f aca="false">IF($A162="","",IFERROR(INDEX(01_CONTROL!$B$15:$B$18,MATCH($O162,01_CONTROL!$A$15:$A$18,0)),14))</f>
        <v/>
      </c>
      <c r="Q162" s="45" t="str">
        <f aca="false">IF($A162="","",IF($N162="","",$N162+$P162))</f>
        <v/>
      </c>
      <c r="R162" s="49"/>
      <c r="S162" s="51"/>
      <c r="T162" s="50"/>
      <c r="U162" s="49"/>
      <c r="V162" s="49"/>
      <c r="W162" s="51"/>
      <c r="X162" s="44" t="str">
        <f aca="true">IF($A162="","",IF($N162="","",IF($S162="",TODAY()-$N162,$S162-$N162)))</f>
        <v/>
      </c>
      <c r="Y162" s="46" t="str">
        <f aca="true">IF($A162="","",IF(OR($V162="Closed",$V162="Void / withdrawn"),IF($S162="","Closed without response",IF($S162&gt;$Q162,"Answered late","Answered on time")),IF($S162&lt;&gt;"",IF($S162&gt;$Q162,"Answered late","Answered on time"),IF(TODAY()&gt;$Q162,"OVERDUE "&amp;TEXT(TODAY()-$Q162,"0")&amp;" d",TEXT($Q162-TODAY(),"0")&amp;" d left"))))</f>
        <v/>
      </c>
      <c r="Z162" s="44" t="str">
        <f aca="false">IF($A162="","",IF($S162&lt;&gt;"","",IF($X162&lt;=7,"0-7 d",IF($X162&lt;=14,"8-14 d",IF($X162&lt;=30,"15-30 d","over 30 d")))))</f>
        <v/>
      </c>
      <c r="AA162" s="49"/>
      <c r="AB162" s="52"/>
      <c r="AC162" s="49"/>
      <c r="AD162" s="49"/>
      <c r="AE162" s="49"/>
      <c r="AF162" s="49"/>
      <c r="AG162" s="50"/>
    </row>
    <row r="163" customFormat="false" ht="15" hidden="false" customHeight="true" outlineLevel="0" collapsed="false">
      <c r="A163" s="48"/>
      <c r="B163" s="49"/>
      <c r="C163" s="49"/>
      <c r="D163" s="49"/>
      <c r="E163" s="49"/>
      <c r="F163" s="50"/>
      <c r="G163" s="49"/>
      <c r="H163" s="49"/>
      <c r="I163" s="49"/>
      <c r="J163" s="49"/>
      <c r="K163" s="50"/>
      <c r="L163" s="50"/>
      <c r="M163" s="49"/>
      <c r="N163" s="51"/>
      <c r="O163" s="49"/>
      <c r="P163" s="44" t="str">
        <f aca="false">IF($A163="","",IFERROR(INDEX(01_CONTROL!$B$15:$B$18,MATCH($O163,01_CONTROL!$A$15:$A$18,0)),14))</f>
        <v/>
      </c>
      <c r="Q163" s="45" t="str">
        <f aca="false">IF($A163="","",IF($N163="","",$N163+$P163))</f>
        <v/>
      </c>
      <c r="R163" s="49"/>
      <c r="S163" s="51"/>
      <c r="T163" s="50"/>
      <c r="U163" s="49"/>
      <c r="V163" s="49"/>
      <c r="W163" s="51"/>
      <c r="X163" s="44" t="str">
        <f aca="true">IF($A163="","",IF($N163="","",IF($S163="",TODAY()-$N163,$S163-$N163)))</f>
        <v/>
      </c>
      <c r="Y163" s="46" t="str">
        <f aca="true">IF($A163="","",IF(OR($V163="Closed",$V163="Void / withdrawn"),IF($S163="","Closed without response",IF($S163&gt;$Q163,"Answered late","Answered on time")),IF($S163&lt;&gt;"",IF($S163&gt;$Q163,"Answered late","Answered on time"),IF(TODAY()&gt;$Q163,"OVERDUE "&amp;TEXT(TODAY()-$Q163,"0")&amp;" d",TEXT($Q163-TODAY(),"0")&amp;" d left"))))</f>
        <v/>
      </c>
      <c r="Z163" s="44" t="str">
        <f aca="false">IF($A163="","",IF($S163&lt;&gt;"","",IF($X163&lt;=7,"0-7 d",IF($X163&lt;=14,"8-14 d",IF($X163&lt;=30,"15-30 d","over 30 d")))))</f>
        <v/>
      </c>
      <c r="AA163" s="49"/>
      <c r="AB163" s="52"/>
      <c r="AC163" s="49"/>
      <c r="AD163" s="49"/>
      <c r="AE163" s="49"/>
      <c r="AF163" s="49"/>
      <c r="AG163" s="50"/>
    </row>
    <row r="164" customFormat="false" ht="15" hidden="false" customHeight="true" outlineLevel="0" collapsed="false">
      <c r="A164" s="48"/>
      <c r="B164" s="49"/>
      <c r="C164" s="49"/>
      <c r="D164" s="49"/>
      <c r="E164" s="49"/>
      <c r="F164" s="50"/>
      <c r="G164" s="49"/>
      <c r="H164" s="49"/>
      <c r="I164" s="49"/>
      <c r="J164" s="49"/>
      <c r="K164" s="50"/>
      <c r="L164" s="50"/>
      <c r="M164" s="49"/>
      <c r="N164" s="51"/>
      <c r="O164" s="49"/>
      <c r="P164" s="44" t="str">
        <f aca="false">IF($A164="","",IFERROR(INDEX(01_CONTROL!$B$15:$B$18,MATCH($O164,01_CONTROL!$A$15:$A$18,0)),14))</f>
        <v/>
      </c>
      <c r="Q164" s="45" t="str">
        <f aca="false">IF($A164="","",IF($N164="","",$N164+$P164))</f>
        <v/>
      </c>
      <c r="R164" s="49"/>
      <c r="S164" s="51"/>
      <c r="T164" s="50"/>
      <c r="U164" s="49"/>
      <c r="V164" s="49"/>
      <c r="W164" s="51"/>
      <c r="X164" s="44" t="str">
        <f aca="true">IF($A164="","",IF($N164="","",IF($S164="",TODAY()-$N164,$S164-$N164)))</f>
        <v/>
      </c>
      <c r="Y164" s="46" t="str">
        <f aca="true">IF($A164="","",IF(OR($V164="Closed",$V164="Void / withdrawn"),IF($S164="","Closed without response",IF($S164&gt;$Q164,"Answered late","Answered on time")),IF($S164&lt;&gt;"",IF($S164&gt;$Q164,"Answered late","Answered on time"),IF(TODAY()&gt;$Q164,"OVERDUE "&amp;TEXT(TODAY()-$Q164,"0")&amp;" d",TEXT($Q164-TODAY(),"0")&amp;" d left"))))</f>
        <v/>
      </c>
      <c r="Z164" s="44" t="str">
        <f aca="false">IF($A164="","",IF($S164&lt;&gt;"","",IF($X164&lt;=7,"0-7 d",IF($X164&lt;=14,"8-14 d",IF($X164&lt;=30,"15-30 d","over 30 d")))))</f>
        <v/>
      </c>
      <c r="AA164" s="49"/>
      <c r="AB164" s="52"/>
      <c r="AC164" s="49"/>
      <c r="AD164" s="49"/>
      <c r="AE164" s="49"/>
      <c r="AF164" s="49"/>
      <c r="AG164" s="50"/>
    </row>
    <row r="165" customFormat="false" ht="15" hidden="false" customHeight="true" outlineLevel="0" collapsed="false">
      <c r="A165" s="48"/>
      <c r="B165" s="49"/>
      <c r="C165" s="49"/>
      <c r="D165" s="49"/>
      <c r="E165" s="49"/>
      <c r="F165" s="50"/>
      <c r="G165" s="49"/>
      <c r="H165" s="49"/>
      <c r="I165" s="49"/>
      <c r="J165" s="49"/>
      <c r="K165" s="50"/>
      <c r="L165" s="50"/>
      <c r="M165" s="49"/>
      <c r="N165" s="51"/>
      <c r="O165" s="49"/>
      <c r="P165" s="44" t="str">
        <f aca="false">IF($A165="","",IFERROR(INDEX(01_CONTROL!$B$15:$B$18,MATCH($O165,01_CONTROL!$A$15:$A$18,0)),14))</f>
        <v/>
      </c>
      <c r="Q165" s="45" t="str">
        <f aca="false">IF($A165="","",IF($N165="","",$N165+$P165))</f>
        <v/>
      </c>
      <c r="R165" s="49"/>
      <c r="S165" s="51"/>
      <c r="T165" s="50"/>
      <c r="U165" s="49"/>
      <c r="V165" s="49"/>
      <c r="W165" s="51"/>
      <c r="X165" s="44" t="str">
        <f aca="true">IF($A165="","",IF($N165="","",IF($S165="",TODAY()-$N165,$S165-$N165)))</f>
        <v/>
      </c>
      <c r="Y165" s="46" t="str">
        <f aca="true">IF($A165="","",IF(OR($V165="Closed",$V165="Void / withdrawn"),IF($S165="","Closed without response",IF($S165&gt;$Q165,"Answered late","Answered on time")),IF($S165&lt;&gt;"",IF($S165&gt;$Q165,"Answered late","Answered on time"),IF(TODAY()&gt;$Q165,"OVERDUE "&amp;TEXT(TODAY()-$Q165,"0")&amp;" d",TEXT($Q165-TODAY(),"0")&amp;" d left"))))</f>
        <v/>
      </c>
      <c r="Z165" s="44" t="str">
        <f aca="false">IF($A165="","",IF($S165&lt;&gt;"","",IF($X165&lt;=7,"0-7 d",IF($X165&lt;=14,"8-14 d",IF($X165&lt;=30,"15-30 d","over 30 d")))))</f>
        <v/>
      </c>
      <c r="AA165" s="49"/>
      <c r="AB165" s="52"/>
      <c r="AC165" s="49"/>
      <c r="AD165" s="49"/>
      <c r="AE165" s="49"/>
      <c r="AF165" s="49"/>
      <c r="AG165" s="50"/>
    </row>
    <row r="166" customFormat="false" ht="15" hidden="false" customHeight="true" outlineLevel="0" collapsed="false">
      <c r="A166" s="48"/>
      <c r="B166" s="49"/>
      <c r="C166" s="49"/>
      <c r="D166" s="49"/>
      <c r="E166" s="49"/>
      <c r="F166" s="50"/>
      <c r="G166" s="49"/>
      <c r="H166" s="49"/>
      <c r="I166" s="49"/>
      <c r="J166" s="49"/>
      <c r="K166" s="50"/>
      <c r="L166" s="50"/>
      <c r="M166" s="49"/>
      <c r="N166" s="51"/>
      <c r="O166" s="49"/>
      <c r="P166" s="44" t="str">
        <f aca="false">IF($A166="","",IFERROR(INDEX(01_CONTROL!$B$15:$B$18,MATCH($O166,01_CONTROL!$A$15:$A$18,0)),14))</f>
        <v/>
      </c>
      <c r="Q166" s="45" t="str">
        <f aca="false">IF($A166="","",IF($N166="","",$N166+$P166))</f>
        <v/>
      </c>
      <c r="R166" s="49"/>
      <c r="S166" s="51"/>
      <c r="T166" s="50"/>
      <c r="U166" s="49"/>
      <c r="V166" s="49"/>
      <c r="W166" s="51"/>
      <c r="X166" s="44" t="str">
        <f aca="true">IF($A166="","",IF($N166="","",IF($S166="",TODAY()-$N166,$S166-$N166)))</f>
        <v/>
      </c>
      <c r="Y166" s="46" t="str">
        <f aca="true">IF($A166="","",IF(OR($V166="Closed",$V166="Void / withdrawn"),IF($S166="","Closed without response",IF($S166&gt;$Q166,"Answered late","Answered on time")),IF($S166&lt;&gt;"",IF($S166&gt;$Q166,"Answered late","Answered on time"),IF(TODAY()&gt;$Q166,"OVERDUE "&amp;TEXT(TODAY()-$Q166,"0")&amp;" d",TEXT($Q166-TODAY(),"0")&amp;" d left"))))</f>
        <v/>
      </c>
      <c r="Z166" s="44" t="str">
        <f aca="false">IF($A166="","",IF($S166&lt;&gt;"","",IF($X166&lt;=7,"0-7 d",IF($X166&lt;=14,"8-14 d",IF($X166&lt;=30,"15-30 d","over 30 d")))))</f>
        <v/>
      </c>
      <c r="AA166" s="49"/>
      <c r="AB166" s="52"/>
      <c r="AC166" s="49"/>
      <c r="AD166" s="49"/>
      <c r="AE166" s="49"/>
      <c r="AF166" s="49"/>
      <c r="AG166" s="50"/>
    </row>
    <row r="167" customFormat="false" ht="15" hidden="false" customHeight="true" outlineLevel="0" collapsed="false">
      <c r="A167" s="48"/>
      <c r="B167" s="49"/>
      <c r="C167" s="49"/>
      <c r="D167" s="49"/>
      <c r="E167" s="49"/>
      <c r="F167" s="50"/>
      <c r="G167" s="49"/>
      <c r="H167" s="49"/>
      <c r="I167" s="49"/>
      <c r="J167" s="49"/>
      <c r="K167" s="50"/>
      <c r="L167" s="50"/>
      <c r="M167" s="49"/>
      <c r="N167" s="51"/>
      <c r="O167" s="49"/>
      <c r="P167" s="44" t="str">
        <f aca="false">IF($A167="","",IFERROR(INDEX(01_CONTROL!$B$15:$B$18,MATCH($O167,01_CONTROL!$A$15:$A$18,0)),14))</f>
        <v/>
      </c>
      <c r="Q167" s="45" t="str">
        <f aca="false">IF($A167="","",IF($N167="","",$N167+$P167))</f>
        <v/>
      </c>
      <c r="R167" s="49"/>
      <c r="S167" s="51"/>
      <c r="T167" s="50"/>
      <c r="U167" s="49"/>
      <c r="V167" s="49"/>
      <c r="W167" s="51"/>
      <c r="X167" s="44" t="str">
        <f aca="true">IF($A167="","",IF($N167="","",IF($S167="",TODAY()-$N167,$S167-$N167)))</f>
        <v/>
      </c>
      <c r="Y167" s="46" t="str">
        <f aca="true">IF($A167="","",IF(OR($V167="Closed",$V167="Void / withdrawn"),IF($S167="","Closed without response",IF($S167&gt;$Q167,"Answered late","Answered on time")),IF($S167&lt;&gt;"",IF($S167&gt;$Q167,"Answered late","Answered on time"),IF(TODAY()&gt;$Q167,"OVERDUE "&amp;TEXT(TODAY()-$Q167,"0")&amp;" d",TEXT($Q167-TODAY(),"0")&amp;" d left"))))</f>
        <v/>
      </c>
      <c r="Z167" s="44" t="str">
        <f aca="false">IF($A167="","",IF($S167&lt;&gt;"","",IF($X167&lt;=7,"0-7 d",IF($X167&lt;=14,"8-14 d",IF($X167&lt;=30,"15-30 d","over 30 d")))))</f>
        <v/>
      </c>
      <c r="AA167" s="49"/>
      <c r="AB167" s="52"/>
      <c r="AC167" s="49"/>
      <c r="AD167" s="49"/>
      <c r="AE167" s="49"/>
      <c r="AF167" s="49"/>
      <c r="AG167" s="50"/>
    </row>
    <row r="168" customFormat="false" ht="15" hidden="false" customHeight="true" outlineLevel="0" collapsed="false">
      <c r="A168" s="48"/>
      <c r="B168" s="49"/>
      <c r="C168" s="49"/>
      <c r="D168" s="49"/>
      <c r="E168" s="49"/>
      <c r="F168" s="50"/>
      <c r="G168" s="49"/>
      <c r="H168" s="49"/>
      <c r="I168" s="49"/>
      <c r="J168" s="49"/>
      <c r="K168" s="50"/>
      <c r="L168" s="50"/>
      <c r="M168" s="49"/>
      <c r="N168" s="51"/>
      <c r="O168" s="49"/>
      <c r="P168" s="44" t="str">
        <f aca="false">IF($A168="","",IFERROR(INDEX(01_CONTROL!$B$15:$B$18,MATCH($O168,01_CONTROL!$A$15:$A$18,0)),14))</f>
        <v/>
      </c>
      <c r="Q168" s="45" t="str">
        <f aca="false">IF($A168="","",IF($N168="","",$N168+$P168))</f>
        <v/>
      </c>
      <c r="R168" s="49"/>
      <c r="S168" s="51"/>
      <c r="T168" s="50"/>
      <c r="U168" s="49"/>
      <c r="V168" s="49"/>
      <c r="W168" s="51"/>
      <c r="X168" s="44" t="str">
        <f aca="true">IF($A168="","",IF($N168="","",IF($S168="",TODAY()-$N168,$S168-$N168)))</f>
        <v/>
      </c>
      <c r="Y168" s="46" t="str">
        <f aca="true">IF($A168="","",IF(OR($V168="Closed",$V168="Void / withdrawn"),IF($S168="","Closed without response",IF($S168&gt;$Q168,"Answered late","Answered on time")),IF($S168&lt;&gt;"",IF($S168&gt;$Q168,"Answered late","Answered on time"),IF(TODAY()&gt;$Q168,"OVERDUE "&amp;TEXT(TODAY()-$Q168,"0")&amp;" d",TEXT($Q168-TODAY(),"0")&amp;" d left"))))</f>
        <v/>
      </c>
      <c r="Z168" s="44" t="str">
        <f aca="false">IF($A168="","",IF($S168&lt;&gt;"","",IF($X168&lt;=7,"0-7 d",IF($X168&lt;=14,"8-14 d",IF($X168&lt;=30,"15-30 d","over 30 d")))))</f>
        <v/>
      </c>
      <c r="AA168" s="49"/>
      <c r="AB168" s="52"/>
      <c r="AC168" s="49"/>
      <c r="AD168" s="49"/>
      <c r="AE168" s="49"/>
      <c r="AF168" s="49"/>
      <c r="AG168" s="50"/>
    </row>
    <row r="169" customFormat="false" ht="15" hidden="false" customHeight="true" outlineLevel="0" collapsed="false">
      <c r="A169" s="48"/>
      <c r="B169" s="49"/>
      <c r="C169" s="49"/>
      <c r="D169" s="49"/>
      <c r="E169" s="49"/>
      <c r="F169" s="50"/>
      <c r="G169" s="49"/>
      <c r="H169" s="49"/>
      <c r="I169" s="49"/>
      <c r="J169" s="49"/>
      <c r="K169" s="50"/>
      <c r="L169" s="50"/>
      <c r="M169" s="49"/>
      <c r="N169" s="51"/>
      <c r="O169" s="49"/>
      <c r="P169" s="44" t="str">
        <f aca="false">IF($A169="","",IFERROR(INDEX(01_CONTROL!$B$15:$B$18,MATCH($O169,01_CONTROL!$A$15:$A$18,0)),14))</f>
        <v/>
      </c>
      <c r="Q169" s="45" t="str">
        <f aca="false">IF($A169="","",IF($N169="","",$N169+$P169))</f>
        <v/>
      </c>
      <c r="R169" s="49"/>
      <c r="S169" s="51"/>
      <c r="T169" s="50"/>
      <c r="U169" s="49"/>
      <c r="V169" s="49"/>
      <c r="W169" s="51"/>
      <c r="X169" s="44" t="str">
        <f aca="true">IF($A169="","",IF($N169="","",IF($S169="",TODAY()-$N169,$S169-$N169)))</f>
        <v/>
      </c>
      <c r="Y169" s="46" t="str">
        <f aca="true">IF($A169="","",IF(OR($V169="Closed",$V169="Void / withdrawn"),IF($S169="","Closed without response",IF($S169&gt;$Q169,"Answered late","Answered on time")),IF($S169&lt;&gt;"",IF($S169&gt;$Q169,"Answered late","Answered on time"),IF(TODAY()&gt;$Q169,"OVERDUE "&amp;TEXT(TODAY()-$Q169,"0")&amp;" d",TEXT($Q169-TODAY(),"0")&amp;" d left"))))</f>
        <v/>
      </c>
      <c r="Z169" s="44" t="str">
        <f aca="false">IF($A169="","",IF($S169&lt;&gt;"","",IF($X169&lt;=7,"0-7 d",IF($X169&lt;=14,"8-14 d",IF($X169&lt;=30,"15-30 d","over 30 d")))))</f>
        <v/>
      </c>
      <c r="AA169" s="49"/>
      <c r="AB169" s="52"/>
      <c r="AC169" s="49"/>
      <c r="AD169" s="49"/>
      <c r="AE169" s="49"/>
      <c r="AF169" s="49"/>
      <c r="AG169" s="50"/>
    </row>
    <row r="170" customFormat="false" ht="15" hidden="false" customHeight="true" outlineLevel="0" collapsed="false">
      <c r="A170" s="48"/>
      <c r="B170" s="49"/>
      <c r="C170" s="49"/>
      <c r="D170" s="49"/>
      <c r="E170" s="49"/>
      <c r="F170" s="50"/>
      <c r="G170" s="49"/>
      <c r="H170" s="49"/>
      <c r="I170" s="49"/>
      <c r="J170" s="49"/>
      <c r="K170" s="50"/>
      <c r="L170" s="50"/>
      <c r="M170" s="49"/>
      <c r="N170" s="51"/>
      <c r="O170" s="49"/>
      <c r="P170" s="44" t="str">
        <f aca="false">IF($A170="","",IFERROR(INDEX(01_CONTROL!$B$15:$B$18,MATCH($O170,01_CONTROL!$A$15:$A$18,0)),14))</f>
        <v/>
      </c>
      <c r="Q170" s="45" t="str">
        <f aca="false">IF($A170="","",IF($N170="","",$N170+$P170))</f>
        <v/>
      </c>
      <c r="R170" s="49"/>
      <c r="S170" s="51"/>
      <c r="T170" s="50"/>
      <c r="U170" s="49"/>
      <c r="V170" s="49"/>
      <c r="W170" s="51"/>
      <c r="X170" s="44" t="str">
        <f aca="true">IF($A170="","",IF($N170="","",IF($S170="",TODAY()-$N170,$S170-$N170)))</f>
        <v/>
      </c>
      <c r="Y170" s="46" t="str">
        <f aca="true">IF($A170="","",IF(OR($V170="Closed",$V170="Void / withdrawn"),IF($S170="","Closed without response",IF($S170&gt;$Q170,"Answered late","Answered on time")),IF($S170&lt;&gt;"",IF($S170&gt;$Q170,"Answered late","Answered on time"),IF(TODAY()&gt;$Q170,"OVERDUE "&amp;TEXT(TODAY()-$Q170,"0")&amp;" d",TEXT($Q170-TODAY(),"0")&amp;" d left"))))</f>
        <v/>
      </c>
      <c r="Z170" s="44" t="str">
        <f aca="false">IF($A170="","",IF($S170&lt;&gt;"","",IF($X170&lt;=7,"0-7 d",IF($X170&lt;=14,"8-14 d",IF($X170&lt;=30,"15-30 d","over 30 d")))))</f>
        <v/>
      </c>
      <c r="AA170" s="49"/>
      <c r="AB170" s="52"/>
      <c r="AC170" s="49"/>
      <c r="AD170" s="49"/>
      <c r="AE170" s="49"/>
      <c r="AF170" s="49"/>
      <c r="AG170" s="50"/>
    </row>
    <row r="171" customFormat="false" ht="15" hidden="false" customHeight="true" outlineLevel="0" collapsed="false">
      <c r="A171" s="48"/>
      <c r="B171" s="49"/>
      <c r="C171" s="49"/>
      <c r="D171" s="49"/>
      <c r="E171" s="49"/>
      <c r="F171" s="50"/>
      <c r="G171" s="49"/>
      <c r="H171" s="49"/>
      <c r="I171" s="49"/>
      <c r="J171" s="49"/>
      <c r="K171" s="50"/>
      <c r="L171" s="50"/>
      <c r="M171" s="49"/>
      <c r="N171" s="51"/>
      <c r="O171" s="49"/>
      <c r="P171" s="44" t="str">
        <f aca="false">IF($A171="","",IFERROR(INDEX(01_CONTROL!$B$15:$B$18,MATCH($O171,01_CONTROL!$A$15:$A$18,0)),14))</f>
        <v/>
      </c>
      <c r="Q171" s="45" t="str">
        <f aca="false">IF($A171="","",IF($N171="","",$N171+$P171))</f>
        <v/>
      </c>
      <c r="R171" s="49"/>
      <c r="S171" s="51"/>
      <c r="T171" s="50"/>
      <c r="U171" s="49"/>
      <c r="V171" s="49"/>
      <c r="W171" s="51"/>
      <c r="X171" s="44" t="str">
        <f aca="true">IF($A171="","",IF($N171="","",IF($S171="",TODAY()-$N171,$S171-$N171)))</f>
        <v/>
      </c>
      <c r="Y171" s="46" t="str">
        <f aca="true">IF($A171="","",IF(OR($V171="Closed",$V171="Void / withdrawn"),IF($S171="","Closed without response",IF($S171&gt;$Q171,"Answered late","Answered on time")),IF($S171&lt;&gt;"",IF($S171&gt;$Q171,"Answered late","Answered on time"),IF(TODAY()&gt;$Q171,"OVERDUE "&amp;TEXT(TODAY()-$Q171,"0")&amp;" d",TEXT($Q171-TODAY(),"0")&amp;" d left"))))</f>
        <v/>
      </c>
      <c r="Z171" s="44" t="str">
        <f aca="false">IF($A171="","",IF($S171&lt;&gt;"","",IF($X171&lt;=7,"0-7 d",IF($X171&lt;=14,"8-14 d",IF($X171&lt;=30,"15-30 d","over 30 d")))))</f>
        <v/>
      </c>
      <c r="AA171" s="49"/>
      <c r="AB171" s="52"/>
      <c r="AC171" s="49"/>
      <c r="AD171" s="49"/>
      <c r="AE171" s="49"/>
      <c r="AF171" s="49"/>
      <c r="AG171" s="50"/>
    </row>
    <row r="172" customFormat="false" ht="15" hidden="false" customHeight="true" outlineLevel="0" collapsed="false">
      <c r="A172" s="48"/>
      <c r="B172" s="49"/>
      <c r="C172" s="49"/>
      <c r="D172" s="49"/>
      <c r="E172" s="49"/>
      <c r="F172" s="50"/>
      <c r="G172" s="49"/>
      <c r="H172" s="49"/>
      <c r="I172" s="49"/>
      <c r="J172" s="49"/>
      <c r="K172" s="50"/>
      <c r="L172" s="50"/>
      <c r="M172" s="49"/>
      <c r="N172" s="51"/>
      <c r="O172" s="49"/>
      <c r="P172" s="44" t="str">
        <f aca="false">IF($A172="","",IFERROR(INDEX(01_CONTROL!$B$15:$B$18,MATCH($O172,01_CONTROL!$A$15:$A$18,0)),14))</f>
        <v/>
      </c>
      <c r="Q172" s="45" t="str">
        <f aca="false">IF($A172="","",IF($N172="","",$N172+$P172))</f>
        <v/>
      </c>
      <c r="R172" s="49"/>
      <c r="S172" s="51"/>
      <c r="T172" s="50"/>
      <c r="U172" s="49"/>
      <c r="V172" s="49"/>
      <c r="W172" s="51"/>
      <c r="X172" s="44" t="str">
        <f aca="true">IF($A172="","",IF($N172="","",IF($S172="",TODAY()-$N172,$S172-$N172)))</f>
        <v/>
      </c>
      <c r="Y172" s="46" t="str">
        <f aca="true">IF($A172="","",IF(OR($V172="Closed",$V172="Void / withdrawn"),IF($S172="","Closed without response",IF($S172&gt;$Q172,"Answered late","Answered on time")),IF($S172&lt;&gt;"",IF($S172&gt;$Q172,"Answered late","Answered on time"),IF(TODAY()&gt;$Q172,"OVERDUE "&amp;TEXT(TODAY()-$Q172,"0")&amp;" d",TEXT($Q172-TODAY(),"0")&amp;" d left"))))</f>
        <v/>
      </c>
      <c r="Z172" s="44" t="str">
        <f aca="false">IF($A172="","",IF($S172&lt;&gt;"","",IF($X172&lt;=7,"0-7 d",IF($X172&lt;=14,"8-14 d",IF($X172&lt;=30,"15-30 d","over 30 d")))))</f>
        <v/>
      </c>
      <c r="AA172" s="49"/>
      <c r="AB172" s="52"/>
      <c r="AC172" s="49"/>
      <c r="AD172" s="49"/>
      <c r="AE172" s="49"/>
      <c r="AF172" s="49"/>
      <c r="AG172" s="50"/>
    </row>
    <row r="173" customFormat="false" ht="15" hidden="false" customHeight="true" outlineLevel="0" collapsed="false">
      <c r="A173" s="48"/>
      <c r="B173" s="49"/>
      <c r="C173" s="49"/>
      <c r="D173" s="49"/>
      <c r="E173" s="49"/>
      <c r="F173" s="50"/>
      <c r="G173" s="49"/>
      <c r="H173" s="49"/>
      <c r="I173" s="49"/>
      <c r="J173" s="49"/>
      <c r="K173" s="50"/>
      <c r="L173" s="50"/>
      <c r="M173" s="49"/>
      <c r="N173" s="51"/>
      <c r="O173" s="49"/>
      <c r="P173" s="44" t="str">
        <f aca="false">IF($A173="","",IFERROR(INDEX(01_CONTROL!$B$15:$B$18,MATCH($O173,01_CONTROL!$A$15:$A$18,0)),14))</f>
        <v/>
      </c>
      <c r="Q173" s="45" t="str">
        <f aca="false">IF($A173="","",IF($N173="","",$N173+$P173))</f>
        <v/>
      </c>
      <c r="R173" s="49"/>
      <c r="S173" s="51"/>
      <c r="T173" s="50"/>
      <c r="U173" s="49"/>
      <c r="V173" s="49"/>
      <c r="W173" s="51"/>
      <c r="X173" s="44" t="str">
        <f aca="true">IF($A173="","",IF($N173="","",IF($S173="",TODAY()-$N173,$S173-$N173)))</f>
        <v/>
      </c>
      <c r="Y173" s="46" t="str">
        <f aca="true">IF($A173="","",IF(OR($V173="Closed",$V173="Void / withdrawn"),IF($S173="","Closed without response",IF($S173&gt;$Q173,"Answered late","Answered on time")),IF($S173&lt;&gt;"",IF($S173&gt;$Q173,"Answered late","Answered on time"),IF(TODAY()&gt;$Q173,"OVERDUE "&amp;TEXT(TODAY()-$Q173,"0")&amp;" d",TEXT($Q173-TODAY(),"0")&amp;" d left"))))</f>
        <v/>
      </c>
      <c r="Z173" s="44" t="str">
        <f aca="false">IF($A173="","",IF($S173&lt;&gt;"","",IF($X173&lt;=7,"0-7 d",IF($X173&lt;=14,"8-14 d",IF($X173&lt;=30,"15-30 d","over 30 d")))))</f>
        <v/>
      </c>
      <c r="AA173" s="49"/>
      <c r="AB173" s="52"/>
      <c r="AC173" s="49"/>
      <c r="AD173" s="49"/>
      <c r="AE173" s="49"/>
      <c r="AF173" s="49"/>
      <c r="AG173" s="50"/>
    </row>
    <row r="174" customFormat="false" ht="15" hidden="false" customHeight="true" outlineLevel="0" collapsed="false">
      <c r="A174" s="48"/>
      <c r="B174" s="49"/>
      <c r="C174" s="49"/>
      <c r="D174" s="49"/>
      <c r="E174" s="49"/>
      <c r="F174" s="50"/>
      <c r="G174" s="49"/>
      <c r="H174" s="49"/>
      <c r="I174" s="49"/>
      <c r="J174" s="49"/>
      <c r="K174" s="50"/>
      <c r="L174" s="50"/>
      <c r="M174" s="49"/>
      <c r="N174" s="51"/>
      <c r="O174" s="49"/>
      <c r="P174" s="44" t="str">
        <f aca="false">IF($A174="","",IFERROR(INDEX(01_CONTROL!$B$15:$B$18,MATCH($O174,01_CONTROL!$A$15:$A$18,0)),14))</f>
        <v/>
      </c>
      <c r="Q174" s="45" t="str">
        <f aca="false">IF($A174="","",IF($N174="","",$N174+$P174))</f>
        <v/>
      </c>
      <c r="R174" s="49"/>
      <c r="S174" s="51"/>
      <c r="T174" s="50"/>
      <c r="U174" s="49"/>
      <c r="V174" s="49"/>
      <c r="W174" s="51"/>
      <c r="X174" s="44" t="str">
        <f aca="true">IF($A174="","",IF($N174="","",IF($S174="",TODAY()-$N174,$S174-$N174)))</f>
        <v/>
      </c>
      <c r="Y174" s="46" t="str">
        <f aca="true">IF($A174="","",IF(OR($V174="Closed",$V174="Void / withdrawn"),IF($S174="","Closed without response",IF($S174&gt;$Q174,"Answered late","Answered on time")),IF($S174&lt;&gt;"",IF($S174&gt;$Q174,"Answered late","Answered on time"),IF(TODAY()&gt;$Q174,"OVERDUE "&amp;TEXT(TODAY()-$Q174,"0")&amp;" d",TEXT($Q174-TODAY(),"0")&amp;" d left"))))</f>
        <v/>
      </c>
      <c r="Z174" s="44" t="str">
        <f aca="false">IF($A174="","",IF($S174&lt;&gt;"","",IF($X174&lt;=7,"0-7 d",IF($X174&lt;=14,"8-14 d",IF($X174&lt;=30,"15-30 d","over 30 d")))))</f>
        <v/>
      </c>
      <c r="AA174" s="49"/>
      <c r="AB174" s="52"/>
      <c r="AC174" s="49"/>
      <c r="AD174" s="49"/>
      <c r="AE174" s="49"/>
      <c r="AF174" s="49"/>
      <c r="AG174" s="50"/>
    </row>
    <row r="175" customFormat="false" ht="15" hidden="false" customHeight="true" outlineLevel="0" collapsed="false">
      <c r="A175" s="48"/>
      <c r="B175" s="49"/>
      <c r="C175" s="49"/>
      <c r="D175" s="49"/>
      <c r="E175" s="49"/>
      <c r="F175" s="50"/>
      <c r="G175" s="49"/>
      <c r="H175" s="49"/>
      <c r="I175" s="49"/>
      <c r="J175" s="49"/>
      <c r="K175" s="50"/>
      <c r="L175" s="50"/>
      <c r="M175" s="49"/>
      <c r="N175" s="51"/>
      <c r="O175" s="49"/>
      <c r="P175" s="44" t="str">
        <f aca="false">IF($A175="","",IFERROR(INDEX(01_CONTROL!$B$15:$B$18,MATCH($O175,01_CONTROL!$A$15:$A$18,0)),14))</f>
        <v/>
      </c>
      <c r="Q175" s="45" t="str">
        <f aca="false">IF($A175="","",IF($N175="","",$N175+$P175))</f>
        <v/>
      </c>
      <c r="R175" s="49"/>
      <c r="S175" s="51"/>
      <c r="T175" s="50"/>
      <c r="U175" s="49"/>
      <c r="V175" s="49"/>
      <c r="W175" s="51"/>
      <c r="X175" s="44" t="str">
        <f aca="true">IF($A175="","",IF($N175="","",IF($S175="",TODAY()-$N175,$S175-$N175)))</f>
        <v/>
      </c>
      <c r="Y175" s="46" t="str">
        <f aca="true">IF($A175="","",IF(OR($V175="Closed",$V175="Void / withdrawn"),IF($S175="","Closed without response",IF($S175&gt;$Q175,"Answered late","Answered on time")),IF($S175&lt;&gt;"",IF($S175&gt;$Q175,"Answered late","Answered on time"),IF(TODAY()&gt;$Q175,"OVERDUE "&amp;TEXT(TODAY()-$Q175,"0")&amp;" d",TEXT($Q175-TODAY(),"0")&amp;" d left"))))</f>
        <v/>
      </c>
      <c r="Z175" s="44" t="str">
        <f aca="false">IF($A175="","",IF($S175&lt;&gt;"","",IF($X175&lt;=7,"0-7 d",IF($X175&lt;=14,"8-14 d",IF($X175&lt;=30,"15-30 d","over 30 d")))))</f>
        <v/>
      </c>
      <c r="AA175" s="49"/>
      <c r="AB175" s="52"/>
      <c r="AC175" s="49"/>
      <c r="AD175" s="49"/>
      <c r="AE175" s="49"/>
      <c r="AF175" s="49"/>
      <c r="AG175" s="50"/>
    </row>
    <row r="176" customFormat="false" ht="15" hidden="false" customHeight="true" outlineLevel="0" collapsed="false">
      <c r="A176" s="48"/>
      <c r="B176" s="49"/>
      <c r="C176" s="49"/>
      <c r="D176" s="49"/>
      <c r="E176" s="49"/>
      <c r="F176" s="50"/>
      <c r="G176" s="49"/>
      <c r="H176" s="49"/>
      <c r="I176" s="49"/>
      <c r="J176" s="49"/>
      <c r="K176" s="50"/>
      <c r="L176" s="50"/>
      <c r="M176" s="49"/>
      <c r="N176" s="51"/>
      <c r="O176" s="49"/>
      <c r="P176" s="44" t="str">
        <f aca="false">IF($A176="","",IFERROR(INDEX(01_CONTROL!$B$15:$B$18,MATCH($O176,01_CONTROL!$A$15:$A$18,0)),14))</f>
        <v/>
      </c>
      <c r="Q176" s="45" t="str">
        <f aca="false">IF($A176="","",IF($N176="","",$N176+$P176))</f>
        <v/>
      </c>
      <c r="R176" s="49"/>
      <c r="S176" s="51"/>
      <c r="T176" s="50"/>
      <c r="U176" s="49"/>
      <c r="V176" s="49"/>
      <c r="W176" s="51"/>
      <c r="X176" s="44" t="str">
        <f aca="true">IF($A176="","",IF($N176="","",IF($S176="",TODAY()-$N176,$S176-$N176)))</f>
        <v/>
      </c>
      <c r="Y176" s="46" t="str">
        <f aca="true">IF($A176="","",IF(OR($V176="Closed",$V176="Void / withdrawn"),IF($S176="","Closed without response",IF($S176&gt;$Q176,"Answered late","Answered on time")),IF($S176&lt;&gt;"",IF($S176&gt;$Q176,"Answered late","Answered on time"),IF(TODAY()&gt;$Q176,"OVERDUE "&amp;TEXT(TODAY()-$Q176,"0")&amp;" d",TEXT($Q176-TODAY(),"0")&amp;" d left"))))</f>
        <v/>
      </c>
      <c r="Z176" s="44" t="str">
        <f aca="false">IF($A176="","",IF($S176&lt;&gt;"","",IF($X176&lt;=7,"0-7 d",IF($X176&lt;=14,"8-14 d",IF($X176&lt;=30,"15-30 d","over 30 d")))))</f>
        <v/>
      </c>
      <c r="AA176" s="49"/>
      <c r="AB176" s="52"/>
      <c r="AC176" s="49"/>
      <c r="AD176" s="49"/>
      <c r="AE176" s="49"/>
      <c r="AF176" s="49"/>
      <c r="AG176" s="50"/>
    </row>
    <row r="177" customFormat="false" ht="15" hidden="false" customHeight="true" outlineLevel="0" collapsed="false">
      <c r="A177" s="48"/>
      <c r="B177" s="49"/>
      <c r="C177" s="49"/>
      <c r="D177" s="49"/>
      <c r="E177" s="49"/>
      <c r="F177" s="50"/>
      <c r="G177" s="49"/>
      <c r="H177" s="49"/>
      <c r="I177" s="49"/>
      <c r="J177" s="49"/>
      <c r="K177" s="50"/>
      <c r="L177" s="50"/>
      <c r="M177" s="49"/>
      <c r="N177" s="51"/>
      <c r="O177" s="49"/>
      <c r="P177" s="44" t="str">
        <f aca="false">IF($A177="","",IFERROR(INDEX(01_CONTROL!$B$15:$B$18,MATCH($O177,01_CONTROL!$A$15:$A$18,0)),14))</f>
        <v/>
      </c>
      <c r="Q177" s="45" t="str">
        <f aca="false">IF($A177="","",IF($N177="","",$N177+$P177))</f>
        <v/>
      </c>
      <c r="R177" s="49"/>
      <c r="S177" s="51"/>
      <c r="T177" s="50"/>
      <c r="U177" s="49"/>
      <c r="V177" s="49"/>
      <c r="W177" s="51"/>
      <c r="X177" s="44" t="str">
        <f aca="true">IF($A177="","",IF($N177="","",IF($S177="",TODAY()-$N177,$S177-$N177)))</f>
        <v/>
      </c>
      <c r="Y177" s="46" t="str">
        <f aca="true">IF($A177="","",IF(OR($V177="Closed",$V177="Void / withdrawn"),IF($S177="","Closed without response",IF($S177&gt;$Q177,"Answered late","Answered on time")),IF($S177&lt;&gt;"",IF($S177&gt;$Q177,"Answered late","Answered on time"),IF(TODAY()&gt;$Q177,"OVERDUE "&amp;TEXT(TODAY()-$Q177,"0")&amp;" d",TEXT($Q177-TODAY(),"0")&amp;" d left"))))</f>
        <v/>
      </c>
      <c r="Z177" s="44" t="str">
        <f aca="false">IF($A177="","",IF($S177&lt;&gt;"","",IF($X177&lt;=7,"0-7 d",IF($X177&lt;=14,"8-14 d",IF($X177&lt;=30,"15-30 d","over 30 d")))))</f>
        <v/>
      </c>
      <c r="AA177" s="49"/>
      <c r="AB177" s="52"/>
      <c r="AC177" s="49"/>
      <c r="AD177" s="49"/>
      <c r="AE177" s="49"/>
      <c r="AF177" s="49"/>
      <c r="AG177" s="50"/>
    </row>
    <row r="178" customFormat="false" ht="15" hidden="false" customHeight="true" outlineLevel="0" collapsed="false">
      <c r="A178" s="48"/>
      <c r="B178" s="49"/>
      <c r="C178" s="49"/>
      <c r="D178" s="49"/>
      <c r="E178" s="49"/>
      <c r="F178" s="50"/>
      <c r="G178" s="49"/>
      <c r="H178" s="49"/>
      <c r="I178" s="49"/>
      <c r="J178" s="49"/>
      <c r="K178" s="50"/>
      <c r="L178" s="50"/>
      <c r="M178" s="49"/>
      <c r="N178" s="51"/>
      <c r="O178" s="49"/>
      <c r="P178" s="44" t="str">
        <f aca="false">IF($A178="","",IFERROR(INDEX(01_CONTROL!$B$15:$B$18,MATCH($O178,01_CONTROL!$A$15:$A$18,0)),14))</f>
        <v/>
      </c>
      <c r="Q178" s="45" t="str">
        <f aca="false">IF($A178="","",IF($N178="","",$N178+$P178))</f>
        <v/>
      </c>
      <c r="R178" s="49"/>
      <c r="S178" s="51"/>
      <c r="T178" s="50"/>
      <c r="U178" s="49"/>
      <c r="V178" s="49"/>
      <c r="W178" s="51"/>
      <c r="X178" s="44" t="str">
        <f aca="true">IF($A178="","",IF($N178="","",IF($S178="",TODAY()-$N178,$S178-$N178)))</f>
        <v/>
      </c>
      <c r="Y178" s="46" t="str">
        <f aca="true">IF($A178="","",IF(OR($V178="Closed",$V178="Void / withdrawn"),IF($S178="","Closed without response",IF($S178&gt;$Q178,"Answered late","Answered on time")),IF($S178&lt;&gt;"",IF($S178&gt;$Q178,"Answered late","Answered on time"),IF(TODAY()&gt;$Q178,"OVERDUE "&amp;TEXT(TODAY()-$Q178,"0")&amp;" d",TEXT($Q178-TODAY(),"0")&amp;" d left"))))</f>
        <v/>
      </c>
      <c r="Z178" s="44" t="str">
        <f aca="false">IF($A178="","",IF($S178&lt;&gt;"","",IF($X178&lt;=7,"0-7 d",IF($X178&lt;=14,"8-14 d",IF($X178&lt;=30,"15-30 d","over 30 d")))))</f>
        <v/>
      </c>
      <c r="AA178" s="49"/>
      <c r="AB178" s="52"/>
      <c r="AC178" s="49"/>
      <c r="AD178" s="49"/>
      <c r="AE178" s="49"/>
      <c r="AF178" s="49"/>
      <c r="AG178" s="50"/>
    </row>
    <row r="179" customFormat="false" ht="15" hidden="false" customHeight="true" outlineLevel="0" collapsed="false">
      <c r="A179" s="48"/>
      <c r="B179" s="49"/>
      <c r="C179" s="49"/>
      <c r="D179" s="49"/>
      <c r="E179" s="49"/>
      <c r="F179" s="50"/>
      <c r="G179" s="49"/>
      <c r="H179" s="49"/>
      <c r="I179" s="49"/>
      <c r="J179" s="49"/>
      <c r="K179" s="50"/>
      <c r="L179" s="50"/>
      <c r="M179" s="49"/>
      <c r="N179" s="51"/>
      <c r="O179" s="49"/>
      <c r="P179" s="44" t="str">
        <f aca="false">IF($A179="","",IFERROR(INDEX(01_CONTROL!$B$15:$B$18,MATCH($O179,01_CONTROL!$A$15:$A$18,0)),14))</f>
        <v/>
      </c>
      <c r="Q179" s="45" t="str">
        <f aca="false">IF($A179="","",IF($N179="","",$N179+$P179))</f>
        <v/>
      </c>
      <c r="R179" s="49"/>
      <c r="S179" s="51"/>
      <c r="T179" s="50"/>
      <c r="U179" s="49"/>
      <c r="V179" s="49"/>
      <c r="W179" s="51"/>
      <c r="X179" s="44" t="str">
        <f aca="true">IF($A179="","",IF($N179="","",IF($S179="",TODAY()-$N179,$S179-$N179)))</f>
        <v/>
      </c>
      <c r="Y179" s="46" t="str">
        <f aca="true">IF($A179="","",IF(OR($V179="Closed",$V179="Void / withdrawn"),IF($S179="","Closed without response",IF($S179&gt;$Q179,"Answered late","Answered on time")),IF($S179&lt;&gt;"",IF($S179&gt;$Q179,"Answered late","Answered on time"),IF(TODAY()&gt;$Q179,"OVERDUE "&amp;TEXT(TODAY()-$Q179,"0")&amp;" d",TEXT($Q179-TODAY(),"0")&amp;" d left"))))</f>
        <v/>
      </c>
      <c r="Z179" s="44" t="str">
        <f aca="false">IF($A179="","",IF($S179&lt;&gt;"","",IF($X179&lt;=7,"0-7 d",IF($X179&lt;=14,"8-14 d",IF($X179&lt;=30,"15-30 d","over 30 d")))))</f>
        <v/>
      </c>
      <c r="AA179" s="49"/>
      <c r="AB179" s="52"/>
      <c r="AC179" s="49"/>
      <c r="AD179" s="49"/>
      <c r="AE179" s="49"/>
      <c r="AF179" s="49"/>
      <c r="AG179" s="50"/>
    </row>
    <row r="180" customFormat="false" ht="15" hidden="false" customHeight="true" outlineLevel="0" collapsed="false">
      <c r="A180" s="48"/>
      <c r="B180" s="49"/>
      <c r="C180" s="49"/>
      <c r="D180" s="49"/>
      <c r="E180" s="49"/>
      <c r="F180" s="50"/>
      <c r="G180" s="49"/>
      <c r="H180" s="49"/>
      <c r="I180" s="49"/>
      <c r="J180" s="49"/>
      <c r="K180" s="50"/>
      <c r="L180" s="50"/>
      <c r="M180" s="49"/>
      <c r="N180" s="51"/>
      <c r="O180" s="49"/>
      <c r="P180" s="44" t="str">
        <f aca="false">IF($A180="","",IFERROR(INDEX(01_CONTROL!$B$15:$B$18,MATCH($O180,01_CONTROL!$A$15:$A$18,0)),14))</f>
        <v/>
      </c>
      <c r="Q180" s="45" t="str">
        <f aca="false">IF($A180="","",IF($N180="","",$N180+$P180))</f>
        <v/>
      </c>
      <c r="R180" s="49"/>
      <c r="S180" s="51"/>
      <c r="T180" s="50"/>
      <c r="U180" s="49"/>
      <c r="V180" s="49"/>
      <c r="W180" s="51"/>
      <c r="X180" s="44" t="str">
        <f aca="true">IF($A180="","",IF($N180="","",IF($S180="",TODAY()-$N180,$S180-$N180)))</f>
        <v/>
      </c>
      <c r="Y180" s="46" t="str">
        <f aca="true">IF($A180="","",IF(OR($V180="Closed",$V180="Void / withdrawn"),IF($S180="","Closed without response",IF($S180&gt;$Q180,"Answered late","Answered on time")),IF($S180&lt;&gt;"",IF($S180&gt;$Q180,"Answered late","Answered on time"),IF(TODAY()&gt;$Q180,"OVERDUE "&amp;TEXT(TODAY()-$Q180,"0")&amp;" d",TEXT($Q180-TODAY(),"0")&amp;" d left"))))</f>
        <v/>
      </c>
      <c r="Z180" s="44" t="str">
        <f aca="false">IF($A180="","",IF($S180&lt;&gt;"","",IF($X180&lt;=7,"0-7 d",IF($X180&lt;=14,"8-14 d",IF($X180&lt;=30,"15-30 d","over 30 d")))))</f>
        <v/>
      </c>
      <c r="AA180" s="49"/>
      <c r="AB180" s="52"/>
      <c r="AC180" s="49"/>
      <c r="AD180" s="49"/>
      <c r="AE180" s="49"/>
      <c r="AF180" s="49"/>
      <c r="AG180" s="50"/>
    </row>
    <row r="181" customFormat="false" ht="15" hidden="false" customHeight="true" outlineLevel="0" collapsed="false">
      <c r="A181" s="48"/>
      <c r="B181" s="49"/>
      <c r="C181" s="49"/>
      <c r="D181" s="49"/>
      <c r="E181" s="49"/>
      <c r="F181" s="50"/>
      <c r="G181" s="49"/>
      <c r="H181" s="49"/>
      <c r="I181" s="49"/>
      <c r="J181" s="49"/>
      <c r="K181" s="50"/>
      <c r="L181" s="50"/>
      <c r="M181" s="49"/>
      <c r="N181" s="51"/>
      <c r="O181" s="49"/>
      <c r="P181" s="44" t="str">
        <f aca="false">IF($A181="","",IFERROR(INDEX(01_CONTROL!$B$15:$B$18,MATCH($O181,01_CONTROL!$A$15:$A$18,0)),14))</f>
        <v/>
      </c>
      <c r="Q181" s="45" t="str">
        <f aca="false">IF($A181="","",IF($N181="","",$N181+$P181))</f>
        <v/>
      </c>
      <c r="R181" s="49"/>
      <c r="S181" s="51"/>
      <c r="T181" s="50"/>
      <c r="U181" s="49"/>
      <c r="V181" s="49"/>
      <c r="W181" s="51"/>
      <c r="X181" s="44" t="str">
        <f aca="true">IF($A181="","",IF($N181="","",IF($S181="",TODAY()-$N181,$S181-$N181)))</f>
        <v/>
      </c>
      <c r="Y181" s="46" t="str">
        <f aca="true">IF($A181="","",IF(OR($V181="Closed",$V181="Void / withdrawn"),IF($S181="","Closed without response",IF($S181&gt;$Q181,"Answered late","Answered on time")),IF($S181&lt;&gt;"",IF($S181&gt;$Q181,"Answered late","Answered on time"),IF(TODAY()&gt;$Q181,"OVERDUE "&amp;TEXT(TODAY()-$Q181,"0")&amp;" d",TEXT($Q181-TODAY(),"0")&amp;" d left"))))</f>
        <v/>
      </c>
      <c r="Z181" s="44" t="str">
        <f aca="false">IF($A181="","",IF($S181&lt;&gt;"","",IF($X181&lt;=7,"0-7 d",IF($X181&lt;=14,"8-14 d",IF($X181&lt;=30,"15-30 d","over 30 d")))))</f>
        <v/>
      </c>
      <c r="AA181" s="49"/>
      <c r="AB181" s="52"/>
      <c r="AC181" s="49"/>
      <c r="AD181" s="49"/>
      <c r="AE181" s="49"/>
      <c r="AF181" s="49"/>
      <c r="AG181" s="50"/>
    </row>
    <row r="182" customFormat="false" ht="15" hidden="false" customHeight="true" outlineLevel="0" collapsed="false">
      <c r="A182" s="48"/>
      <c r="B182" s="49"/>
      <c r="C182" s="49"/>
      <c r="D182" s="49"/>
      <c r="E182" s="49"/>
      <c r="F182" s="50"/>
      <c r="G182" s="49"/>
      <c r="H182" s="49"/>
      <c r="I182" s="49"/>
      <c r="J182" s="49"/>
      <c r="K182" s="50"/>
      <c r="L182" s="50"/>
      <c r="M182" s="49"/>
      <c r="N182" s="51"/>
      <c r="O182" s="49"/>
      <c r="P182" s="44" t="str">
        <f aca="false">IF($A182="","",IFERROR(INDEX(01_CONTROL!$B$15:$B$18,MATCH($O182,01_CONTROL!$A$15:$A$18,0)),14))</f>
        <v/>
      </c>
      <c r="Q182" s="45" t="str">
        <f aca="false">IF($A182="","",IF($N182="","",$N182+$P182))</f>
        <v/>
      </c>
      <c r="R182" s="49"/>
      <c r="S182" s="51"/>
      <c r="T182" s="50"/>
      <c r="U182" s="49"/>
      <c r="V182" s="49"/>
      <c r="W182" s="51"/>
      <c r="X182" s="44" t="str">
        <f aca="true">IF($A182="","",IF($N182="","",IF($S182="",TODAY()-$N182,$S182-$N182)))</f>
        <v/>
      </c>
      <c r="Y182" s="46" t="str">
        <f aca="true">IF($A182="","",IF(OR($V182="Closed",$V182="Void / withdrawn"),IF($S182="","Closed without response",IF($S182&gt;$Q182,"Answered late","Answered on time")),IF($S182&lt;&gt;"",IF($S182&gt;$Q182,"Answered late","Answered on time"),IF(TODAY()&gt;$Q182,"OVERDUE "&amp;TEXT(TODAY()-$Q182,"0")&amp;" d",TEXT($Q182-TODAY(),"0")&amp;" d left"))))</f>
        <v/>
      </c>
      <c r="Z182" s="44" t="str">
        <f aca="false">IF($A182="","",IF($S182&lt;&gt;"","",IF($X182&lt;=7,"0-7 d",IF($X182&lt;=14,"8-14 d",IF($X182&lt;=30,"15-30 d","over 30 d")))))</f>
        <v/>
      </c>
      <c r="AA182" s="49"/>
      <c r="AB182" s="52"/>
      <c r="AC182" s="49"/>
      <c r="AD182" s="49"/>
      <c r="AE182" s="49"/>
      <c r="AF182" s="49"/>
      <c r="AG182" s="50"/>
    </row>
    <row r="183" customFormat="false" ht="15" hidden="false" customHeight="true" outlineLevel="0" collapsed="false">
      <c r="A183" s="48"/>
      <c r="B183" s="49"/>
      <c r="C183" s="49"/>
      <c r="D183" s="49"/>
      <c r="E183" s="49"/>
      <c r="F183" s="50"/>
      <c r="G183" s="49"/>
      <c r="H183" s="49"/>
      <c r="I183" s="49"/>
      <c r="J183" s="49"/>
      <c r="K183" s="50"/>
      <c r="L183" s="50"/>
      <c r="M183" s="49"/>
      <c r="N183" s="51"/>
      <c r="O183" s="49"/>
      <c r="P183" s="44" t="str">
        <f aca="false">IF($A183="","",IFERROR(INDEX(01_CONTROL!$B$15:$B$18,MATCH($O183,01_CONTROL!$A$15:$A$18,0)),14))</f>
        <v/>
      </c>
      <c r="Q183" s="45" t="str">
        <f aca="false">IF($A183="","",IF($N183="","",$N183+$P183))</f>
        <v/>
      </c>
      <c r="R183" s="49"/>
      <c r="S183" s="51"/>
      <c r="T183" s="50"/>
      <c r="U183" s="49"/>
      <c r="V183" s="49"/>
      <c r="W183" s="51"/>
      <c r="X183" s="44" t="str">
        <f aca="true">IF($A183="","",IF($N183="","",IF($S183="",TODAY()-$N183,$S183-$N183)))</f>
        <v/>
      </c>
      <c r="Y183" s="46" t="str">
        <f aca="true">IF($A183="","",IF(OR($V183="Closed",$V183="Void / withdrawn"),IF($S183="","Closed without response",IF($S183&gt;$Q183,"Answered late","Answered on time")),IF($S183&lt;&gt;"",IF($S183&gt;$Q183,"Answered late","Answered on time"),IF(TODAY()&gt;$Q183,"OVERDUE "&amp;TEXT(TODAY()-$Q183,"0")&amp;" d",TEXT($Q183-TODAY(),"0")&amp;" d left"))))</f>
        <v/>
      </c>
      <c r="Z183" s="44" t="str">
        <f aca="false">IF($A183="","",IF($S183&lt;&gt;"","",IF($X183&lt;=7,"0-7 d",IF($X183&lt;=14,"8-14 d",IF($X183&lt;=30,"15-30 d","over 30 d")))))</f>
        <v/>
      </c>
      <c r="AA183" s="49"/>
      <c r="AB183" s="52"/>
      <c r="AC183" s="49"/>
      <c r="AD183" s="49"/>
      <c r="AE183" s="49"/>
      <c r="AF183" s="49"/>
      <c r="AG183" s="50"/>
    </row>
    <row r="184" customFormat="false" ht="15" hidden="false" customHeight="true" outlineLevel="0" collapsed="false">
      <c r="A184" s="48"/>
      <c r="B184" s="49"/>
      <c r="C184" s="49"/>
      <c r="D184" s="49"/>
      <c r="E184" s="49"/>
      <c r="F184" s="50"/>
      <c r="G184" s="49"/>
      <c r="H184" s="49"/>
      <c r="I184" s="49"/>
      <c r="J184" s="49"/>
      <c r="K184" s="50"/>
      <c r="L184" s="50"/>
      <c r="M184" s="49"/>
      <c r="N184" s="51"/>
      <c r="O184" s="49"/>
      <c r="P184" s="44" t="str">
        <f aca="false">IF($A184="","",IFERROR(INDEX(01_CONTROL!$B$15:$B$18,MATCH($O184,01_CONTROL!$A$15:$A$18,0)),14))</f>
        <v/>
      </c>
      <c r="Q184" s="45" t="str">
        <f aca="false">IF($A184="","",IF($N184="","",$N184+$P184))</f>
        <v/>
      </c>
      <c r="R184" s="49"/>
      <c r="S184" s="51"/>
      <c r="T184" s="50"/>
      <c r="U184" s="49"/>
      <c r="V184" s="49"/>
      <c r="W184" s="51"/>
      <c r="X184" s="44" t="str">
        <f aca="true">IF($A184="","",IF($N184="","",IF($S184="",TODAY()-$N184,$S184-$N184)))</f>
        <v/>
      </c>
      <c r="Y184" s="46" t="str">
        <f aca="true">IF($A184="","",IF(OR($V184="Closed",$V184="Void / withdrawn"),IF($S184="","Closed without response",IF($S184&gt;$Q184,"Answered late","Answered on time")),IF($S184&lt;&gt;"",IF($S184&gt;$Q184,"Answered late","Answered on time"),IF(TODAY()&gt;$Q184,"OVERDUE "&amp;TEXT(TODAY()-$Q184,"0")&amp;" d",TEXT($Q184-TODAY(),"0")&amp;" d left"))))</f>
        <v/>
      </c>
      <c r="Z184" s="44" t="str">
        <f aca="false">IF($A184="","",IF($S184&lt;&gt;"","",IF($X184&lt;=7,"0-7 d",IF($X184&lt;=14,"8-14 d",IF($X184&lt;=30,"15-30 d","over 30 d")))))</f>
        <v/>
      </c>
      <c r="AA184" s="49"/>
      <c r="AB184" s="52"/>
      <c r="AC184" s="49"/>
      <c r="AD184" s="49"/>
      <c r="AE184" s="49"/>
      <c r="AF184" s="49"/>
      <c r="AG184" s="50"/>
    </row>
    <row r="185" customFormat="false" ht="15" hidden="false" customHeight="true" outlineLevel="0" collapsed="false">
      <c r="A185" s="48"/>
      <c r="B185" s="49"/>
      <c r="C185" s="49"/>
      <c r="D185" s="49"/>
      <c r="E185" s="49"/>
      <c r="F185" s="50"/>
      <c r="G185" s="49"/>
      <c r="H185" s="49"/>
      <c r="I185" s="49"/>
      <c r="J185" s="49"/>
      <c r="K185" s="50"/>
      <c r="L185" s="50"/>
      <c r="M185" s="49"/>
      <c r="N185" s="51"/>
      <c r="O185" s="49"/>
      <c r="P185" s="44" t="str">
        <f aca="false">IF($A185="","",IFERROR(INDEX(01_CONTROL!$B$15:$B$18,MATCH($O185,01_CONTROL!$A$15:$A$18,0)),14))</f>
        <v/>
      </c>
      <c r="Q185" s="45" t="str">
        <f aca="false">IF($A185="","",IF($N185="","",$N185+$P185))</f>
        <v/>
      </c>
      <c r="R185" s="49"/>
      <c r="S185" s="51"/>
      <c r="T185" s="50"/>
      <c r="U185" s="49"/>
      <c r="V185" s="49"/>
      <c r="W185" s="51"/>
      <c r="X185" s="44" t="str">
        <f aca="true">IF($A185="","",IF($N185="","",IF($S185="",TODAY()-$N185,$S185-$N185)))</f>
        <v/>
      </c>
      <c r="Y185" s="46" t="str">
        <f aca="true">IF($A185="","",IF(OR($V185="Closed",$V185="Void / withdrawn"),IF($S185="","Closed without response",IF($S185&gt;$Q185,"Answered late","Answered on time")),IF($S185&lt;&gt;"",IF($S185&gt;$Q185,"Answered late","Answered on time"),IF(TODAY()&gt;$Q185,"OVERDUE "&amp;TEXT(TODAY()-$Q185,"0")&amp;" d",TEXT($Q185-TODAY(),"0")&amp;" d left"))))</f>
        <v/>
      </c>
      <c r="Z185" s="44" t="str">
        <f aca="false">IF($A185="","",IF($S185&lt;&gt;"","",IF($X185&lt;=7,"0-7 d",IF($X185&lt;=14,"8-14 d",IF($X185&lt;=30,"15-30 d","over 30 d")))))</f>
        <v/>
      </c>
      <c r="AA185" s="49"/>
      <c r="AB185" s="52"/>
      <c r="AC185" s="49"/>
      <c r="AD185" s="49"/>
      <c r="AE185" s="49"/>
      <c r="AF185" s="49"/>
      <c r="AG185" s="50"/>
    </row>
    <row r="186" customFormat="false" ht="15" hidden="false" customHeight="true" outlineLevel="0" collapsed="false">
      <c r="A186" s="48"/>
      <c r="B186" s="49"/>
      <c r="C186" s="49"/>
      <c r="D186" s="49"/>
      <c r="E186" s="49"/>
      <c r="F186" s="50"/>
      <c r="G186" s="49"/>
      <c r="H186" s="49"/>
      <c r="I186" s="49"/>
      <c r="J186" s="49"/>
      <c r="K186" s="50"/>
      <c r="L186" s="50"/>
      <c r="M186" s="49"/>
      <c r="N186" s="51"/>
      <c r="O186" s="49"/>
      <c r="P186" s="44" t="str">
        <f aca="false">IF($A186="","",IFERROR(INDEX(01_CONTROL!$B$15:$B$18,MATCH($O186,01_CONTROL!$A$15:$A$18,0)),14))</f>
        <v/>
      </c>
      <c r="Q186" s="45" t="str">
        <f aca="false">IF($A186="","",IF($N186="","",$N186+$P186))</f>
        <v/>
      </c>
      <c r="R186" s="49"/>
      <c r="S186" s="51"/>
      <c r="T186" s="50"/>
      <c r="U186" s="49"/>
      <c r="V186" s="49"/>
      <c r="W186" s="51"/>
      <c r="X186" s="44" t="str">
        <f aca="true">IF($A186="","",IF($N186="","",IF($S186="",TODAY()-$N186,$S186-$N186)))</f>
        <v/>
      </c>
      <c r="Y186" s="46" t="str">
        <f aca="true">IF($A186="","",IF(OR($V186="Closed",$V186="Void / withdrawn"),IF($S186="","Closed without response",IF($S186&gt;$Q186,"Answered late","Answered on time")),IF($S186&lt;&gt;"",IF($S186&gt;$Q186,"Answered late","Answered on time"),IF(TODAY()&gt;$Q186,"OVERDUE "&amp;TEXT(TODAY()-$Q186,"0")&amp;" d",TEXT($Q186-TODAY(),"0")&amp;" d left"))))</f>
        <v/>
      </c>
      <c r="Z186" s="44" t="str">
        <f aca="false">IF($A186="","",IF($S186&lt;&gt;"","",IF($X186&lt;=7,"0-7 d",IF($X186&lt;=14,"8-14 d",IF($X186&lt;=30,"15-30 d","over 30 d")))))</f>
        <v/>
      </c>
      <c r="AA186" s="49"/>
      <c r="AB186" s="52"/>
      <c r="AC186" s="49"/>
      <c r="AD186" s="49"/>
      <c r="AE186" s="49"/>
      <c r="AF186" s="49"/>
      <c r="AG186" s="50"/>
    </row>
    <row r="187" customFormat="false" ht="15" hidden="false" customHeight="true" outlineLevel="0" collapsed="false">
      <c r="A187" s="48"/>
      <c r="B187" s="49"/>
      <c r="C187" s="49"/>
      <c r="D187" s="49"/>
      <c r="E187" s="49"/>
      <c r="F187" s="50"/>
      <c r="G187" s="49"/>
      <c r="H187" s="49"/>
      <c r="I187" s="49"/>
      <c r="J187" s="49"/>
      <c r="K187" s="50"/>
      <c r="L187" s="50"/>
      <c r="M187" s="49"/>
      <c r="N187" s="51"/>
      <c r="O187" s="49"/>
      <c r="P187" s="44" t="str">
        <f aca="false">IF($A187="","",IFERROR(INDEX(01_CONTROL!$B$15:$B$18,MATCH($O187,01_CONTROL!$A$15:$A$18,0)),14))</f>
        <v/>
      </c>
      <c r="Q187" s="45" t="str">
        <f aca="false">IF($A187="","",IF($N187="","",$N187+$P187))</f>
        <v/>
      </c>
      <c r="R187" s="49"/>
      <c r="S187" s="51"/>
      <c r="T187" s="50"/>
      <c r="U187" s="49"/>
      <c r="V187" s="49"/>
      <c r="W187" s="51"/>
      <c r="X187" s="44" t="str">
        <f aca="true">IF($A187="","",IF($N187="","",IF($S187="",TODAY()-$N187,$S187-$N187)))</f>
        <v/>
      </c>
      <c r="Y187" s="46" t="str">
        <f aca="true">IF($A187="","",IF(OR($V187="Closed",$V187="Void / withdrawn"),IF($S187="","Closed without response",IF($S187&gt;$Q187,"Answered late","Answered on time")),IF($S187&lt;&gt;"",IF($S187&gt;$Q187,"Answered late","Answered on time"),IF(TODAY()&gt;$Q187,"OVERDUE "&amp;TEXT(TODAY()-$Q187,"0")&amp;" d",TEXT($Q187-TODAY(),"0")&amp;" d left"))))</f>
        <v/>
      </c>
      <c r="Z187" s="44" t="str">
        <f aca="false">IF($A187="","",IF($S187&lt;&gt;"","",IF($X187&lt;=7,"0-7 d",IF($X187&lt;=14,"8-14 d",IF($X187&lt;=30,"15-30 d","over 30 d")))))</f>
        <v/>
      </c>
      <c r="AA187" s="49"/>
      <c r="AB187" s="52"/>
      <c r="AC187" s="49"/>
      <c r="AD187" s="49"/>
      <c r="AE187" s="49"/>
      <c r="AF187" s="49"/>
      <c r="AG187" s="50"/>
    </row>
    <row r="188" customFormat="false" ht="15" hidden="false" customHeight="true" outlineLevel="0" collapsed="false">
      <c r="A188" s="48"/>
      <c r="B188" s="49"/>
      <c r="C188" s="49"/>
      <c r="D188" s="49"/>
      <c r="E188" s="49"/>
      <c r="F188" s="50"/>
      <c r="G188" s="49"/>
      <c r="H188" s="49"/>
      <c r="I188" s="49"/>
      <c r="J188" s="49"/>
      <c r="K188" s="50"/>
      <c r="L188" s="50"/>
      <c r="M188" s="49"/>
      <c r="N188" s="51"/>
      <c r="O188" s="49"/>
      <c r="P188" s="44" t="str">
        <f aca="false">IF($A188="","",IFERROR(INDEX(01_CONTROL!$B$15:$B$18,MATCH($O188,01_CONTROL!$A$15:$A$18,0)),14))</f>
        <v/>
      </c>
      <c r="Q188" s="45" t="str">
        <f aca="false">IF($A188="","",IF($N188="","",$N188+$P188))</f>
        <v/>
      </c>
      <c r="R188" s="49"/>
      <c r="S188" s="51"/>
      <c r="T188" s="50"/>
      <c r="U188" s="49"/>
      <c r="V188" s="49"/>
      <c r="W188" s="51"/>
      <c r="X188" s="44" t="str">
        <f aca="true">IF($A188="","",IF($N188="","",IF($S188="",TODAY()-$N188,$S188-$N188)))</f>
        <v/>
      </c>
      <c r="Y188" s="46" t="str">
        <f aca="true">IF($A188="","",IF(OR($V188="Closed",$V188="Void / withdrawn"),IF($S188="","Closed without response",IF($S188&gt;$Q188,"Answered late","Answered on time")),IF($S188&lt;&gt;"",IF($S188&gt;$Q188,"Answered late","Answered on time"),IF(TODAY()&gt;$Q188,"OVERDUE "&amp;TEXT(TODAY()-$Q188,"0")&amp;" d",TEXT($Q188-TODAY(),"0")&amp;" d left"))))</f>
        <v/>
      </c>
      <c r="Z188" s="44" t="str">
        <f aca="false">IF($A188="","",IF($S188&lt;&gt;"","",IF($X188&lt;=7,"0-7 d",IF($X188&lt;=14,"8-14 d",IF($X188&lt;=30,"15-30 d","over 30 d")))))</f>
        <v/>
      </c>
      <c r="AA188" s="49"/>
      <c r="AB188" s="52"/>
      <c r="AC188" s="49"/>
      <c r="AD188" s="49"/>
      <c r="AE188" s="49"/>
      <c r="AF188" s="49"/>
      <c r="AG188" s="50"/>
    </row>
    <row r="189" customFormat="false" ht="15" hidden="false" customHeight="true" outlineLevel="0" collapsed="false">
      <c r="A189" s="48"/>
      <c r="B189" s="49"/>
      <c r="C189" s="49"/>
      <c r="D189" s="49"/>
      <c r="E189" s="49"/>
      <c r="F189" s="50"/>
      <c r="G189" s="49"/>
      <c r="H189" s="49"/>
      <c r="I189" s="49"/>
      <c r="J189" s="49"/>
      <c r="K189" s="50"/>
      <c r="L189" s="50"/>
      <c r="M189" s="49"/>
      <c r="N189" s="51"/>
      <c r="O189" s="49"/>
      <c r="P189" s="44" t="str">
        <f aca="false">IF($A189="","",IFERROR(INDEX(01_CONTROL!$B$15:$B$18,MATCH($O189,01_CONTROL!$A$15:$A$18,0)),14))</f>
        <v/>
      </c>
      <c r="Q189" s="45" t="str">
        <f aca="false">IF($A189="","",IF($N189="","",$N189+$P189))</f>
        <v/>
      </c>
      <c r="R189" s="49"/>
      <c r="S189" s="51"/>
      <c r="T189" s="50"/>
      <c r="U189" s="49"/>
      <c r="V189" s="49"/>
      <c r="W189" s="51"/>
      <c r="X189" s="44" t="str">
        <f aca="true">IF($A189="","",IF($N189="","",IF($S189="",TODAY()-$N189,$S189-$N189)))</f>
        <v/>
      </c>
      <c r="Y189" s="46" t="str">
        <f aca="true">IF($A189="","",IF(OR($V189="Closed",$V189="Void / withdrawn"),IF($S189="","Closed without response",IF($S189&gt;$Q189,"Answered late","Answered on time")),IF($S189&lt;&gt;"",IF($S189&gt;$Q189,"Answered late","Answered on time"),IF(TODAY()&gt;$Q189,"OVERDUE "&amp;TEXT(TODAY()-$Q189,"0")&amp;" d",TEXT($Q189-TODAY(),"0")&amp;" d left"))))</f>
        <v/>
      </c>
      <c r="Z189" s="44" t="str">
        <f aca="false">IF($A189="","",IF($S189&lt;&gt;"","",IF($X189&lt;=7,"0-7 d",IF($X189&lt;=14,"8-14 d",IF($X189&lt;=30,"15-30 d","over 30 d")))))</f>
        <v/>
      </c>
      <c r="AA189" s="49"/>
      <c r="AB189" s="52"/>
      <c r="AC189" s="49"/>
      <c r="AD189" s="49"/>
      <c r="AE189" s="49"/>
      <c r="AF189" s="49"/>
      <c r="AG189" s="50"/>
    </row>
    <row r="190" customFormat="false" ht="15" hidden="false" customHeight="true" outlineLevel="0" collapsed="false">
      <c r="A190" s="48"/>
      <c r="B190" s="49"/>
      <c r="C190" s="49"/>
      <c r="D190" s="49"/>
      <c r="E190" s="49"/>
      <c r="F190" s="50"/>
      <c r="G190" s="49"/>
      <c r="H190" s="49"/>
      <c r="I190" s="49"/>
      <c r="J190" s="49"/>
      <c r="K190" s="50"/>
      <c r="L190" s="50"/>
      <c r="M190" s="49"/>
      <c r="N190" s="51"/>
      <c r="O190" s="49"/>
      <c r="P190" s="44" t="str">
        <f aca="false">IF($A190="","",IFERROR(INDEX(01_CONTROL!$B$15:$B$18,MATCH($O190,01_CONTROL!$A$15:$A$18,0)),14))</f>
        <v/>
      </c>
      <c r="Q190" s="45" t="str">
        <f aca="false">IF($A190="","",IF($N190="","",$N190+$P190))</f>
        <v/>
      </c>
      <c r="R190" s="49"/>
      <c r="S190" s="51"/>
      <c r="T190" s="50"/>
      <c r="U190" s="49"/>
      <c r="V190" s="49"/>
      <c r="W190" s="51"/>
      <c r="X190" s="44" t="str">
        <f aca="true">IF($A190="","",IF($N190="","",IF($S190="",TODAY()-$N190,$S190-$N190)))</f>
        <v/>
      </c>
      <c r="Y190" s="46" t="str">
        <f aca="true">IF($A190="","",IF(OR($V190="Closed",$V190="Void / withdrawn"),IF($S190="","Closed without response",IF($S190&gt;$Q190,"Answered late","Answered on time")),IF($S190&lt;&gt;"",IF($S190&gt;$Q190,"Answered late","Answered on time"),IF(TODAY()&gt;$Q190,"OVERDUE "&amp;TEXT(TODAY()-$Q190,"0")&amp;" d",TEXT($Q190-TODAY(),"0")&amp;" d left"))))</f>
        <v/>
      </c>
      <c r="Z190" s="44" t="str">
        <f aca="false">IF($A190="","",IF($S190&lt;&gt;"","",IF($X190&lt;=7,"0-7 d",IF($X190&lt;=14,"8-14 d",IF($X190&lt;=30,"15-30 d","over 30 d")))))</f>
        <v/>
      </c>
      <c r="AA190" s="49"/>
      <c r="AB190" s="52"/>
      <c r="AC190" s="49"/>
      <c r="AD190" s="49"/>
      <c r="AE190" s="49"/>
      <c r="AF190" s="49"/>
      <c r="AG190" s="50"/>
    </row>
    <row r="191" customFormat="false" ht="15" hidden="false" customHeight="true" outlineLevel="0" collapsed="false">
      <c r="A191" s="48"/>
      <c r="B191" s="49"/>
      <c r="C191" s="49"/>
      <c r="D191" s="49"/>
      <c r="E191" s="49"/>
      <c r="F191" s="50"/>
      <c r="G191" s="49"/>
      <c r="H191" s="49"/>
      <c r="I191" s="49"/>
      <c r="J191" s="49"/>
      <c r="K191" s="50"/>
      <c r="L191" s="50"/>
      <c r="M191" s="49"/>
      <c r="N191" s="51"/>
      <c r="O191" s="49"/>
      <c r="P191" s="44" t="str">
        <f aca="false">IF($A191="","",IFERROR(INDEX(01_CONTROL!$B$15:$B$18,MATCH($O191,01_CONTROL!$A$15:$A$18,0)),14))</f>
        <v/>
      </c>
      <c r="Q191" s="45" t="str">
        <f aca="false">IF($A191="","",IF($N191="","",$N191+$P191))</f>
        <v/>
      </c>
      <c r="R191" s="49"/>
      <c r="S191" s="51"/>
      <c r="T191" s="50"/>
      <c r="U191" s="49"/>
      <c r="V191" s="49"/>
      <c r="W191" s="51"/>
      <c r="X191" s="44" t="str">
        <f aca="true">IF($A191="","",IF($N191="","",IF($S191="",TODAY()-$N191,$S191-$N191)))</f>
        <v/>
      </c>
      <c r="Y191" s="46" t="str">
        <f aca="true">IF($A191="","",IF(OR($V191="Closed",$V191="Void / withdrawn"),IF($S191="","Closed without response",IF($S191&gt;$Q191,"Answered late","Answered on time")),IF($S191&lt;&gt;"",IF($S191&gt;$Q191,"Answered late","Answered on time"),IF(TODAY()&gt;$Q191,"OVERDUE "&amp;TEXT(TODAY()-$Q191,"0")&amp;" d",TEXT($Q191-TODAY(),"0")&amp;" d left"))))</f>
        <v/>
      </c>
      <c r="Z191" s="44" t="str">
        <f aca="false">IF($A191="","",IF($S191&lt;&gt;"","",IF($X191&lt;=7,"0-7 d",IF($X191&lt;=14,"8-14 d",IF($X191&lt;=30,"15-30 d","over 30 d")))))</f>
        <v/>
      </c>
      <c r="AA191" s="49"/>
      <c r="AB191" s="52"/>
      <c r="AC191" s="49"/>
      <c r="AD191" s="49"/>
      <c r="AE191" s="49"/>
      <c r="AF191" s="49"/>
      <c r="AG191" s="50"/>
    </row>
    <row r="192" customFormat="false" ht="15" hidden="false" customHeight="true" outlineLevel="0" collapsed="false">
      <c r="A192" s="48"/>
      <c r="B192" s="49"/>
      <c r="C192" s="49"/>
      <c r="D192" s="49"/>
      <c r="E192" s="49"/>
      <c r="F192" s="50"/>
      <c r="G192" s="49"/>
      <c r="H192" s="49"/>
      <c r="I192" s="49"/>
      <c r="J192" s="49"/>
      <c r="K192" s="50"/>
      <c r="L192" s="50"/>
      <c r="M192" s="49"/>
      <c r="N192" s="51"/>
      <c r="O192" s="49"/>
      <c r="P192" s="44" t="str">
        <f aca="false">IF($A192="","",IFERROR(INDEX(01_CONTROL!$B$15:$B$18,MATCH($O192,01_CONTROL!$A$15:$A$18,0)),14))</f>
        <v/>
      </c>
      <c r="Q192" s="45" t="str">
        <f aca="false">IF($A192="","",IF($N192="","",$N192+$P192))</f>
        <v/>
      </c>
      <c r="R192" s="49"/>
      <c r="S192" s="51"/>
      <c r="T192" s="50"/>
      <c r="U192" s="49"/>
      <c r="V192" s="49"/>
      <c r="W192" s="51"/>
      <c r="X192" s="44" t="str">
        <f aca="true">IF($A192="","",IF($N192="","",IF($S192="",TODAY()-$N192,$S192-$N192)))</f>
        <v/>
      </c>
      <c r="Y192" s="46" t="str">
        <f aca="true">IF($A192="","",IF(OR($V192="Closed",$V192="Void / withdrawn"),IF($S192="","Closed without response",IF($S192&gt;$Q192,"Answered late","Answered on time")),IF($S192&lt;&gt;"",IF($S192&gt;$Q192,"Answered late","Answered on time"),IF(TODAY()&gt;$Q192,"OVERDUE "&amp;TEXT(TODAY()-$Q192,"0")&amp;" d",TEXT($Q192-TODAY(),"0")&amp;" d left"))))</f>
        <v/>
      </c>
      <c r="Z192" s="44" t="str">
        <f aca="false">IF($A192="","",IF($S192&lt;&gt;"","",IF($X192&lt;=7,"0-7 d",IF($X192&lt;=14,"8-14 d",IF($X192&lt;=30,"15-30 d","over 30 d")))))</f>
        <v/>
      </c>
      <c r="AA192" s="49"/>
      <c r="AB192" s="52"/>
      <c r="AC192" s="49"/>
      <c r="AD192" s="49"/>
      <c r="AE192" s="49"/>
      <c r="AF192" s="49"/>
      <c r="AG192" s="50"/>
    </row>
    <row r="193" customFormat="false" ht="15" hidden="false" customHeight="true" outlineLevel="0" collapsed="false">
      <c r="A193" s="48"/>
      <c r="B193" s="49"/>
      <c r="C193" s="49"/>
      <c r="D193" s="49"/>
      <c r="E193" s="49"/>
      <c r="F193" s="50"/>
      <c r="G193" s="49"/>
      <c r="H193" s="49"/>
      <c r="I193" s="49"/>
      <c r="J193" s="49"/>
      <c r="K193" s="50"/>
      <c r="L193" s="50"/>
      <c r="M193" s="49"/>
      <c r="N193" s="51"/>
      <c r="O193" s="49"/>
      <c r="P193" s="44" t="str">
        <f aca="false">IF($A193="","",IFERROR(INDEX(01_CONTROL!$B$15:$B$18,MATCH($O193,01_CONTROL!$A$15:$A$18,0)),14))</f>
        <v/>
      </c>
      <c r="Q193" s="45" t="str">
        <f aca="false">IF($A193="","",IF($N193="","",$N193+$P193))</f>
        <v/>
      </c>
      <c r="R193" s="49"/>
      <c r="S193" s="51"/>
      <c r="T193" s="50"/>
      <c r="U193" s="49"/>
      <c r="V193" s="49"/>
      <c r="W193" s="51"/>
      <c r="X193" s="44" t="str">
        <f aca="true">IF($A193="","",IF($N193="","",IF($S193="",TODAY()-$N193,$S193-$N193)))</f>
        <v/>
      </c>
      <c r="Y193" s="46" t="str">
        <f aca="true">IF($A193="","",IF(OR($V193="Closed",$V193="Void / withdrawn"),IF($S193="","Closed without response",IF($S193&gt;$Q193,"Answered late","Answered on time")),IF($S193&lt;&gt;"",IF($S193&gt;$Q193,"Answered late","Answered on time"),IF(TODAY()&gt;$Q193,"OVERDUE "&amp;TEXT(TODAY()-$Q193,"0")&amp;" d",TEXT($Q193-TODAY(),"0")&amp;" d left"))))</f>
        <v/>
      </c>
      <c r="Z193" s="44" t="str">
        <f aca="false">IF($A193="","",IF($S193&lt;&gt;"","",IF($X193&lt;=7,"0-7 d",IF($X193&lt;=14,"8-14 d",IF($X193&lt;=30,"15-30 d","over 30 d")))))</f>
        <v/>
      </c>
      <c r="AA193" s="49"/>
      <c r="AB193" s="52"/>
      <c r="AC193" s="49"/>
      <c r="AD193" s="49"/>
      <c r="AE193" s="49"/>
      <c r="AF193" s="49"/>
      <c r="AG193" s="50"/>
    </row>
    <row r="194" customFormat="false" ht="15" hidden="false" customHeight="true" outlineLevel="0" collapsed="false">
      <c r="A194" s="48"/>
      <c r="B194" s="49"/>
      <c r="C194" s="49"/>
      <c r="D194" s="49"/>
      <c r="E194" s="49"/>
      <c r="F194" s="50"/>
      <c r="G194" s="49"/>
      <c r="H194" s="49"/>
      <c r="I194" s="49"/>
      <c r="J194" s="49"/>
      <c r="K194" s="50"/>
      <c r="L194" s="50"/>
      <c r="M194" s="49"/>
      <c r="N194" s="51"/>
      <c r="O194" s="49"/>
      <c r="P194" s="44" t="str">
        <f aca="false">IF($A194="","",IFERROR(INDEX(01_CONTROL!$B$15:$B$18,MATCH($O194,01_CONTROL!$A$15:$A$18,0)),14))</f>
        <v/>
      </c>
      <c r="Q194" s="45" t="str">
        <f aca="false">IF($A194="","",IF($N194="","",$N194+$P194))</f>
        <v/>
      </c>
      <c r="R194" s="49"/>
      <c r="S194" s="51"/>
      <c r="T194" s="50"/>
      <c r="U194" s="49"/>
      <c r="V194" s="49"/>
      <c r="W194" s="51"/>
      <c r="X194" s="44" t="str">
        <f aca="true">IF($A194="","",IF($N194="","",IF($S194="",TODAY()-$N194,$S194-$N194)))</f>
        <v/>
      </c>
      <c r="Y194" s="46" t="str">
        <f aca="true">IF($A194="","",IF(OR($V194="Closed",$V194="Void / withdrawn"),IF($S194="","Closed without response",IF($S194&gt;$Q194,"Answered late","Answered on time")),IF($S194&lt;&gt;"",IF($S194&gt;$Q194,"Answered late","Answered on time"),IF(TODAY()&gt;$Q194,"OVERDUE "&amp;TEXT(TODAY()-$Q194,"0")&amp;" d",TEXT($Q194-TODAY(),"0")&amp;" d left"))))</f>
        <v/>
      </c>
      <c r="Z194" s="44" t="str">
        <f aca="false">IF($A194="","",IF($S194&lt;&gt;"","",IF($X194&lt;=7,"0-7 d",IF($X194&lt;=14,"8-14 d",IF($X194&lt;=30,"15-30 d","over 30 d")))))</f>
        <v/>
      </c>
      <c r="AA194" s="49"/>
      <c r="AB194" s="52"/>
      <c r="AC194" s="49"/>
      <c r="AD194" s="49"/>
      <c r="AE194" s="49"/>
      <c r="AF194" s="49"/>
      <c r="AG194" s="50"/>
    </row>
    <row r="195" customFormat="false" ht="15" hidden="false" customHeight="true" outlineLevel="0" collapsed="false">
      <c r="A195" s="48"/>
      <c r="B195" s="49"/>
      <c r="C195" s="49"/>
      <c r="D195" s="49"/>
      <c r="E195" s="49"/>
      <c r="F195" s="50"/>
      <c r="G195" s="49"/>
      <c r="H195" s="49"/>
      <c r="I195" s="49"/>
      <c r="J195" s="49"/>
      <c r="K195" s="50"/>
      <c r="L195" s="50"/>
      <c r="M195" s="49"/>
      <c r="N195" s="51"/>
      <c r="O195" s="49"/>
      <c r="P195" s="44" t="str">
        <f aca="false">IF($A195="","",IFERROR(INDEX(01_CONTROL!$B$15:$B$18,MATCH($O195,01_CONTROL!$A$15:$A$18,0)),14))</f>
        <v/>
      </c>
      <c r="Q195" s="45" t="str">
        <f aca="false">IF($A195="","",IF($N195="","",$N195+$P195))</f>
        <v/>
      </c>
      <c r="R195" s="49"/>
      <c r="S195" s="51"/>
      <c r="T195" s="50"/>
      <c r="U195" s="49"/>
      <c r="V195" s="49"/>
      <c r="W195" s="51"/>
      <c r="X195" s="44" t="str">
        <f aca="true">IF($A195="","",IF($N195="","",IF($S195="",TODAY()-$N195,$S195-$N195)))</f>
        <v/>
      </c>
      <c r="Y195" s="46" t="str">
        <f aca="true">IF($A195="","",IF(OR($V195="Closed",$V195="Void / withdrawn"),IF($S195="","Closed without response",IF($S195&gt;$Q195,"Answered late","Answered on time")),IF($S195&lt;&gt;"",IF($S195&gt;$Q195,"Answered late","Answered on time"),IF(TODAY()&gt;$Q195,"OVERDUE "&amp;TEXT(TODAY()-$Q195,"0")&amp;" d",TEXT($Q195-TODAY(),"0")&amp;" d left"))))</f>
        <v/>
      </c>
      <c r="Z195" s="44" t="str">
        <f aca="false">IF($A195="","",IF($S195&lt;&gt;"","",IF($X195&lt;=7,"0-7 d",IF($X195&lt;=14,"8-14 d",IF($X195&lt;=30,"15-30 d","over 30 d")))))</f>
        <v/>
      </c>
      <c r="AA195" s="49"/>
      <c r="AB195" s="52"/>
      <c r="AC195" s="49"/>
      <c r="AD195" s="49"/>
      <c r="AE195" s="49"/>
      <c r="AF195" s="49"/>
      <c r="AG195" s="50"/>
    </row>
    <row r="196" customFormat="false" ht="15" hidden="false" customHeight="true" outlineLevel="0" collapsed="false">
      <c r="A196" s="48"/>
      <c r="B196" s="49"/>
      <c r="C196" s="49"/>
      <c r="D196" s="49"/>
      <c r="E196" s="49"/>
      <c r="F196" s="50"/>
      <c r="G196" s="49"/>
      <c r="H196" s="49"/>
      <c r="I196" s="49"/>
      <c r="J196" s="49"/>
      <c r="K196" s="50"/>
      <c r="L196" s="50"/>
      <c r="M196" s="49"/>
      <c r="N196" s="51"/>
      <c r="O196" s="49"/>
      <c r="P196" s="44" t="str">
        <f aca="false">IF($A196="","",IFERROR(INDEX(01_CONTROL!$B$15:$B$18,MATCH($O196,01_CONTROL!$A$15:$A$18,0)),14))</f>
        <v/>
      </c>
      <c r="Q196" s="45" t="str">
        <f aca="false">IF($A196="","",IF($N196="","",$N196+$P196))</f>
        <v/>
      </c>
      <c r="R196" s="49"/>
      <c r="S196" s="51"/>
      <c r="T196" s="50"/>
      <c r="U196" s="49"/>
      <c r="V196" s="49"/>
      <c r="W196" s="51"/>
      <c r="X196" s="44" t="str">
        <f aca="true">IF($A196="","",IF($N196="","",IF($S196="",TODAY()-$N196,$S196-$N196)))</f>
        <v/>
      </c>
      <c r="Y196" s="46" t="str">
        <f aca="true">IF($A196="","",IF(OR($V196="Closed",$V196="Void / withdrawn"),IF($S196="","Closed without response",IF($S196&gt;$Q196,"Answered late","Answered on time")),IF($S196&lt;&gt;"",IF($S196&gt;$Q196,"Answered late","Answered on time"),IF(TODAY()&gt;$Q196,"OVERDUE "&amp;TEXT(TODAY()-$Q196,"0")&amp;" d",TEXT($Q196-TODAY(),"0")&amp;" d left"))))</f>
        <v/>
      </c>
      <c r="Z196" s="44" t="str">
        <f aca="false">IF($A196="","",IF($S196&lt;&gt;"","",IF($X196&lt;=7,"0-7 d",IF($X196&lt;=14,"8-14 d",IF($X196&lt;=30,"15-30 d","over 30 d")))))</f>
        <v/>
      </c>
      <c r="AA196" s="49"/>
      <c r="AB196" s="52"/>
      <c r="AC196" s="49"/>
      <c r="AD196" s="49"/>
      <c r="AE196" s="49"/>
      <c r="AF196" s="49"/>
      <c r="AG196" s="50"/>
    </row>
    <row r="197" customFormat="false" ht="15" hidden="false" customHeight="true" outlineLevel="0" collapsed="false">
      <c r="A197" s="48"/>
      <c r="B197" s="49"/>
      <c r="C197" s="49"/>
      <c r="D197" s="49"/>
      <c r="E197" s="49"/>
      <c r="F197" s="50"/>
      <c r="G197" s="49"/>
      <c r="H197" s="49"/>
      <c r="I197" s="49"/>
      <c r="J197" s="49"/>
      <c r="K197" s="50"/>
      <c r="L197" s="50"/>
      <c r="M197" s="49"/>
      <c r="N197" s="51"/>
      <c r="O197" s="49"/>
      <c r="P197" s="44" t="str">
        <f aca="false">IF($A197="","",IFERROR(INDEX(01_CONTROL!$B$15:$B$18,MATCH($O197,01_CONTROL!$A$15:$A$18,0)),14))</f>
        <v/>
      </c>
      <c r="Q197" s="45" t="str">
        <f aca="false">IF($A197="","",IF($N197="","",$N197+$P197))</f>
        <v/>
      </c>
      <c r="R197" s="49"/>
      <c r="S197" s="51"/>
      <c r="T197" s="50"/>
      <c r="U197" s="49"/>
      <c r="V197" s="49"/>
      <c r="W197" s="51"/>
      <c r="X197" s="44" t="str">
        <f aca="true">IF($A197="","",IF($N197="","",IF($S197="",TODAY()-$N197,$S197-$N197)))</f>
        <v/>
      </c>
      <c r="Y197" s="46" t="str">
        <f aca="true">IF($A197="","",IF(OR($V197="Closed",$V197="Void / withdrawn"),IF($S197="","Closed without response",IF($S197&gt;$Q197,"Answered late","Answered on time")),IF($S197&lt;&gt;"",IF($S197&gt;$Q197,"Answered late","Answered on time"),IF(TODAY()&gt;$Q197,"OVERDUE "&amp;TEXT(TODAY()-$Q197,"0")&amp;" d",TEXT($Q197-TODAY(),"0")&amp;" d left"))))</f>
        <v/>
      </c>
      <c r="Z197" s="44" t="str">
        <f aca="false">IF($A197="","",IF($S197&lt;&gt;"","",IF($X197&lt;=7,"0-7 d",IF($X197&lt;=14,"8-14 d",IF($X197&lt;=30,"15-30 d","over 30 d")))))</f>
        <v/>
      </c>
      <c r="AA197" s="49"/>
      <c r="AB197" s="52"/>
      <c r="AC197" s="49"/>
      <c r="AD197" s="49"/>
      <c r="AE197" s="49"/>
      <c r="AF197" s="49"/>
      <c r="AG197" s="50"/>
    </row>
    <row r="198" customFormat="false" ht="15" hidden="false" customHeight="true" outlineLevel="0" collapsed="false">
      <c r="A198" s="48"/>
      <c r="B198" s="49"/>
      <c r="C198" s="49"/>
      <c r="D198" s="49"/>
      <c r="E198" s="49"/>
      <c r="F198" s="50"/>
      <c r="G198" s="49"/>
      <c r="H198" s="49"/>
      <c r="I198" s="49"/>
      <c r="J198" s="49"/>
      <c r="K198" s="50"/>
      <c r="L198" s="50"/>
      <c r="M198" s="49"/>
      <c r="N198" s="51"/>
      <c r="O198" s="49"/>
      <c r="P198" s="44" t="str">
        <f aca="false">IF($A198="","",IFERROR(INDEX(01_CONTROL!$B$15:$B$18,MATCH($O198,01_CONTROL!$A$15:$A$18,0)),14))</f>
        <v/>
      </c>
      <c r="Q198" s="45" t="str">
        <f aca="false">IF($A198="","",IF($N198="","",$N198+$P198))</f>
        <v/>
      </c>
      <c r="R198" s="49"/>
      <c r="S198" s="51"/>
      <c r="T198" s="50"/>
      <c r="U198" s="49"/>
      <c r="V198" s="49"/>
      <c r="W198" s="51"/>
      <c r="X198" s="44" t="str">
        <f aca="true">IF($A198="","",IF($N198="","",IF($S198="",TODAY()-$N198,$S198-$N198)))</f>
        <v/>
      </c>
      <c r="Y198" s="46" t="str">
        <f aca="true">IF($A198="","",IF(OR($V198="Closed",$V198="Void / withdrawn"),IF($S198="","Closed without response",IF($S198&gt;$Q198,"Answered late","Answered on time")),IF($S198&lt;&gt;"",IF($S198&gt;$Q198,"Answered late","Answered on time"),IF(TODAY()&gt;$Q198,"OVERDUE "&amp;TEXT(TODAY()-$Q198,"0")&amp;" d",TEXT($Q198-TODAY(),"0")&amp;" d left"))))</f>
        <v/>
      </c>
      <c r="Z198" s="44" t="str">
        <f aca="false">IF($A198="","",IF($S198&lt;&gt;"","",IF($X198&lt;=7,"0-7 d",IF($X198&lt;=14,"8-14 d",IF($X198&lt;=30,"15-30 d","over 30 d")))))</f>
        <v/>
      </c>
      <c r="AA198" s="49"/>
      <c r="AB198" s="52"/>
      <c r="AC198" s="49"/>
      <c r="AD198" s="49"/>
      <c r="AE198" s="49"/>
      <c r="AF198" s="49"/>
      <c r="AG198" s="50"/>
    </row>
    <row r="199" customFormat="false" ht="15" hidden="false" customHeight="true" outlineLevel="0" collapsed="false">
      <c r="A199" s="48"/>
      <c r="B199" s="49"/>
      <c r="C199" s="49"/>
      <c r="D199" s="49"/>
      <c r="E199" s="49"/>
      <c r="F199" s="50"/>
      <c r="G199" s="49"/>
      <c r="H199" s="49"/>
      <c r="I199" s="49"/>
      <c r="J199" s="49"/>
      <c r="K199" s="50"/>
      <c r="L199" s="50"/>
      <c r="M199" s="49"/>
      <c r="N199" s="51"/>
      <c r="O199" s="49"/>
      <c r="P199" s="44" t="str">
        <f aca="false">IF($A199="","",IFERROR(INDEX(01_CONTROL!$B$15:$B$18,MATCH($O199,01_CONTROL!$A$15:$A$18,0)),14))</f>
        <v/>
      </c>
      <c r="Q199" s="45" t="str">
        <f aca="false">IF($A199="","",IF($N199="","",$N199+$P199))</f>
        <v/>
      </c>
      <c r="R199" s="49"/>
      <c r="S199" s="51"/>
      <c r="T199" s="50"/>
      <c r="U199" s="49"/>
      <c r="V199" s="49"/>
      <c r="W199" s="51"/>
      <c r="X199" s="44" t="str">
        <f aca="true">IF($A199="","",IF($N199="","",IF($S199="",TODAY()-$N199,$S199-$N199)))</f>
        <v/>
      </c>
      <c r="Y199" s="46" t="str">
        <f aca="true">IF($A199="","",IF(OR($V199="Closed",$V199="Void / withdrawn"),IF($S199="","Closed without response",IF($S199&gt;$Q199,"Answered late","Answered on time")),IF($S199&lt;&gt;"",IF($S199&gt;$Q199,"Answered late","Answered on time"),IF(TODAY()&gt;$Q199,"OVERDUE "&amp;TEXT(TODAY()-$Q199,"0")&amp;" d",TEXT($Q199-TODAY(),"0")&amp;" d left"))))</f>
        <v/>
      </c>
      <c r="Z199" s="44" t="str">
        <f aca="false">IF($A199="","",IF($S199&lt;&gt;"","",IF($X199&lt;=7,"0-7 d",IF($X199&lt;=14,"8-14 d",IF($X199&lt;=30,"15-30 d","over 30 d")))))</f>
        <v/>
      </c>
      <c r="AA199" s="49"/>
      <c r="AB199" s="52"/>
      <c r="AC199" s="49"/>
      <c r="AD199" s="49"/>
      <c r="AE199" s="49"/>
      <c r="AF199" s="49"/>
      <c r="AG199" s="50"/>
    </row>
    <row r="200" customFormat="false" ht="15" hidden="false" customHeight="true" outlineLevel="0" collapsed="false">
      <c r="A200" s="48"/>
      <c r="B200" s="49"/>
      <c r="C200" s="49"/>
      <c r="D200" s="49"/>
      <c r="E200" s="49"/>
      <c r="F200" s="50"/>
      <c r="G200" s="49"/>
      <c r="H200" s="49"/>
      <c r="I200" s="49"/>
      <c r="J200" s="49"/>
      <c r="K200" s="50"/>
      <c r="L200" s="50"/>
      <c r="M200" s="49"/>
      <c r="N200" s="51"/>
      <c r="O200" s="49"/>
      <c r="P200" s="44" t="str">
        <f aca="false">IF($A200="","",IFERROR(INDEX(01_CONTROL!$B$15:$B$18,MATCH($O200,01_CONTROL!$A$15:$A$18,0)),14))</f>
        <v/>
      </c>
      <c r="Q200" s="45" t="str">
        <f aca="false">IF($A200="","",IF($N200="","",$N200+$P200))</f>
        <v/>
      </c>
      <c r="R200" s="49"/>
      <c r="S200" s="51"/>
      <c r="T200" s="50"/>
      <c r="U200" s="49"/>
      <c r="V200" s="49"/>
      <c r="W200" s="51"/>
      <c r="X200" s="44" t="str">
        <f aca="true">IF($A200="","",IF($N200="","",IF($S200="",TODAY()-$N200,$S200-$N200)))</f>
        <v/>
      </c>
      <c r="Y200" s="46" t="str">
        <f aca="true">IF($A200="","",IF(OR($V200="Closed",$V200="Void / withdrawn"),IF($S200="","Closed without response",IF($S200&gt;$Q200,"Answered late","Answered on time")),IF($S200&lt;&gt;"",IF($S200&gt;$Q200,"Answered late","Answered on time"),IF(TODAY()&gt;$Q200,"OVERDUE "&amp;TEXT(TODAY()-$Q200,"0")&amp;" d",TEXT($Q200-TODAY(),"0")&amp;" d left"))))</f>
        <v/>
      </c>
      <c r="Z200" s="44" t="str">
        <f aca="false">IF($A200="","",IF($S200&lt;&gt;"","",IF($X200&lt;=7,"0-7 d",IF($X200&lt;=14,"8-14 d",IF($X200&lt;=30,"15-30 d","over 30 d")))))</f>
        <v/>
      </c>
      <c r="AA200" s="49"/>
      <c r="AB200" s="52"/>
      <c r="AC200" s="49"/>
      <c r="AD200" s="49"/>
      <c r="AE200" s="49"/>
      <c r="AF200" s="49"/>
      <c r="AG200" s="50"/>
    </row>
    <row r="201" customFormat="false" ht="15" hidden="false" customHeight="true" outlineLevel="0" collapsed="false">
      <c r="A201" s="48"/>
      <c r="B201" s="49"/>
      <c r="C201" s="49"/>
      <c r="D201" s="49"/>
      <c r="E201" s="49"/>
      <c r="F201" s="50"/>
      <c r="G201" s="49"/>
      <c r="H201" s="49"/>
      <c r="I201" s="49"/>
      <c r="J201" s="49"/>
      <c r="K201" s="50"/>
      <c r="L201" s="50"/>
      <c r="M201" s="49"/>
      <c r="N201" s="51"/>
      <c r="O201" s="49"/>
      <c r="P201" s="44" t="str">
        <f aca="false">IF($A201="","",IFERROR(INDEX(01_CONTROL!$B$15:$B$18,MATCH($O201,01_CONTROL!$A$15:$A$18,0)),14))</f>
        <v/>
      </c>
      <c r="Q201" s="45" t="str">
        <f aca="false">IF($A201="","",IF($N201="","",$N201+$P201))</f>
        <v/>
      </c>
      <c r="R201" s="49"/>
      <c r="S201" s="51"/>
      <c r="T201" s="50"/>
      <c r="U201" s="49"/>
      <c r="V201" s="49"/>
      <c r="W201" s="51"/>
      <c r="X201" s="44" t="str">
        <f aca="true">IF($A201="","",IF($N201="","",IF($S201="",TODAY()-$N201,$S201-$N201)))</f>
        <v/>
      </c>
      <c r="Y201" s="46" t="str">
        <f aca="true">IF($A201="","",IF(OR($V201="Closed",$V201="Void / withdrawn"),IF($S201="","Closed without response",IF($S201&gt;$Q201,"Answered late","Answered on time")),IF($S201&lt;&gt;"",IF($S201&gt;$Q201,"Answered late","Answered on time"),IF(TODAY()&gt;$Q201,"OVERDUE "&amp;TEXT(TODAY()-$Q201,"0")&amp;" d",TEXT($Q201-TODAY(),"0")&amp;" d left"))))</f>
        <v/>
      </c>
      <c r="Z201" s="44" t="str">
        <f aca="false">IF($A201="","",IF($S201&lt;&gt;"","",IF($X201&lt;=7,"0-7 d",IF($X201&lt;=14,"8-14 d",IF($X201&lt;=30,"15-30 d","over 30 d")))))</f>
        <v/>
      </c>
      <c r="AA201" s="49"/>
      <c r="AB201" s="52"/>
      <c r="AC201" s="49"/>
      <c r="AD201" s="49"/>
      <c r="AE201" s="49"/>
      <c r="AF201" s="49"/>
      <c r="AG201" s="50"/>
    </row>
    <row r="202" customFormat="false" ht="15" hidden="false" customHeight="true" outlineLevel="0" collapsed="false">
      <c r="A202" s="48"/>
      <c r="B202" s="49"/>
      <c r="C202" s="49"/>
      <c r="D202" s="49"/>
      <c r="E202" s="49"/>
      <c r="F202" s="50"/>
      <c r="G202" s="49"/>
      <c r="H202" s="49"/>
      <c r="I202" s="49"/>
      <c r="J202" s="49"/>
      <c r="K202" s="50"/>
      <c r="L202" s="50"/>
      <c r="M202" s="49"/>
      <c r="N202" s="51"/>
      <c r="O202" s="49"/>
      <c r="P202" s="44" t="str">
        <f aca="false">IF($A202="","",IFERROR(INDEX(01_CONTROL!$B$15:$B$18,MATCH($O202,01_CONTROL!$A$15:$A$18,0)),14))</f>
        <v/>
      </c>
      <c r="Q202" s="45" t="str">
        <f aca="false">IF($A202="","",IF($N202="","",$N202+$P202))</f>
        <v/>
      </c>
      <c r="R202" s="49"/>
      <c r="S202" s="51"/>
      <c r="T202" s="50"/>
      <c r="U202" s="49"/>
      <c r="V202" s="49"/>
      <c r="W202" s="51"/>
      <c r="X202" s="44" t="str">
        <f aca="true">IF($A202="","",IF($N202="","",IF($S202="",TODAY()-$N202,$S202-$N202)))</f>
        <v/>
      </c>
      <c r="Y202" s="46" t="str">
        <f aca="true">IF($A202="","",IF(OR($V202="Closed",$V202="Void / withdrawn"),IF($S202="","Closed without response",IF($S202&gt;$Q202,"Answered late","Answered on time")),IF($S202&lt;&gt;"",IF($S202&gt;$Q202,"Answered late","Answered on time"),IF(TODAY()&gt;$Q202,"OVERDUE "&amp;TEXT(TODAY()-$Q202,"0")&amp;" d",TEXT($Q202-TODAY(),"0")&amp;" d left"))))</f>
        <v/>
      </c>
      <c r="Z202" s="44" t="str">
        <f aca="false">IF($A202="","",IF($S202&lt;&gt;"","",IF($X202&lt;=7,"0-7 d",IF($X202&lt;=14,"8-14 d",IF($X202&lt;=30,"15-30 d","over 30 d")))))</f>
        <v/>
      </c>
      <c r="AA202" s="49"/>
      <c r="AB202" s="52"/>
      <c r="AC202" s="49"/>
      <c r="AD202" s="49"/>
      <c r="AE202" s="49"/>
      <c r="AF202" s="49"/>
      <c r="AG202" s="50"/>
    </row>
    <row r="203" customFormat="false" ht="15" hidden="false" customHeight="true" outlineLevel="0" collapsed="false">
      <c r="A203" s="48"/>
      <c r="B203" s="49"/>
      <c r="C203" s="49"/>
      <c r="D203" s="49"/>
      <c r="E203" s="49"/>
      <c r="F203" s="50"/>
      <c r="G203" s="49"/>
      <c r="H203" s="49"/>
      <c r="I203" s="49"/>
      <c r="J203" s="49"/>
      <c r="K203" s="50"/>
      <c r="L203" s="50"/>
      <c r="M203" s="49"/>
      <c r="N203" s="51"/>
      <c r="O203" s="49"/>
      <c r="P203" s="44" t="str">
        <f aca="false">IF($A203="","",IFERROR(INDEX(01_CONTROL!$B$15:$B$18,MATCH($O203,01_CONTROL!$A$15:$A$18,0)),14))</f>
        <v/>
      </c>
      <c r="Q203" s="45" t="str">
        <f aca="false">IF($A203="","",IF($N203="","",$N203+$P203))</f>
        <v/>
      </c>
      <c r="R203" s="49"/>
      <c r="S203" s="51"/>
      <c r="T203" s="50"/>
      <c r="U203" s="49"/>
      <c r="V203" s="49"/>
      <c r="W203" s="51"/>
      <c r="X203" s="44" t="str">
        <f aca="true">IF($A203="","",IF($N203="","",IF($S203="",TODAY()-$N203,$S203-$N203)))</f>
        <v/>
      </c>
      <c r="Y203" s="46" t="str">
        <f aca="true">IF($A203="","",IF(OR($V203="Closed",$V203="Void / withdrawn"),IF($S203="","Closed without response",IF($S203&gt;$Q203,"Answered late","Answered on time")),IF($S203&lt;&gt;"",IF($S203&gt;$Q203,"Answered late","Answered on time"),IF(TODAY()&gt;$Q203,"OVERDUE "&amp;TEXT(TODAY()-$Q203,"0")&amp;" d",TEXT($Q203-TODAY(),"0")&amp;" d left"))))</f>
        <v/>
      </c>
      <c r="Z203" s="44" t="str">
        <f aca="false">IF($A203="","",IF($S203&lt;&gt;"","",IF($X203&lt;=7,"0-7 d",IF($X203&lt;=14,"8-14 d",IF($X203&lt;=30,"15-30 d","over 30 d")))))</f>
        <v/>
      </c>
      <c r="AA203" s="49"/>
      <c r="AB203" s="52"/>
      <c r="AC203" s="49"/>
      <c r="AD203" s="49"/>
      <c r="AE203" s="49"/>
      <c r="AF203" s="49"/>
      <c r="AG203" s="50"/>
    </row>
    <row r="204" customFormat="false" ht="15" hidden="false" customHeight="true" outlineLevel="0" collapsed="false">
      <c r="A204" s="48"/>
      <c r="B204" s="49"/>
      <c r="C204" s="49"/>
      <c r="D204" s="49"/>
      <c r="E204" s="49"/>
      <c r="F204" s="50"/>
      <c r="G204" s="49"/>
      <c r="H204" s="49"/>
      <c r="I204" s="49"/>
      <c r="J204" s="49"/>
      <c r="K204" s="50"/>
      <c r="L204" s="50"/>
      <c r="M204" s="49"/>
      <c r="N204" s="51"/>
      <c r="O204" s="49"/>
      <c r="P204" s="44" t="str">
        <f aca="false">IF($A204="","",IFERROR(INDEX(01_CONTROL!$B$15:$B$18,MATCH($O204,01_CONTROL!$A$15:$A$18,0)),14))</f>
        <v/>
      </c>
      <c r="Q204" s="45" t="str">
        <f aca="false">IF($A204="","",IF($N204="","",$N204+$P204))</f>
        <v/>
      </c>
      <c r="R204" s="49"/>
      <c r="S204" s="51"/>
      <c r="T204" s="50"/>
      <c r="U204" s="49"/>
      <c r="V204" s="49"/>
      <c r="W204" s="51"/>
      <c r="X204" s="44" t="str">
        <f aca="true">IF($A204="","",IF($N204="","",IF($S204="",TODAY()-$N204,$S204-$N204)))</f>
        <v/>
      </c>
      <c r="Y204" s="46" t="str">
        <f aca="true">IF($A204="","",IF(OR($V204="Closed",$V204="Void / withdrawn"),IF($S204="","Closed without response",IF($S204&gt;$Q204,"Answered late","Answered on time")),IF($S204&lt;&gt;"",IF($S204&gt;$Q204,"Answered late","Answered on time"),IF(TODAY()&gt;$Q204,"OVERDUE "&amp;TEXT(TODAY()-$Q204,"0")&amp;" d",TEXT($Q204-TODAY(),"0")&amp;" d left"))))</f>
        <v/>
      </c>
      <c r="Z204" s="44" t="str">
        <f aca="false">IF($A204="","",IF($S204&lt;&gt;"","",IF($X204&lt;=7,"0-7 d",IF($X204&lt;=14,"8-14 d",IF($X204&lt;=30,"15-30 d","over 30 d")))))</f>
        <v/>
      </c>
      <c r="AA204" s="49"/>
      <c r="AB204" s="52"/>
      <c r="AC204" s="49"/>
      <c r="AD204" s="49"/>
      <c r="AE204" s="49"/>
      <c r="AF204" s="49"/>
      <c r="AG204" s="50"/>
    </row>
    <row r="205" customFormat="false" ht="15" hidden="false" customHeight="true" outlineLevel="0" collapsed="false">
      <c r="A205" s="48"/>
      <c r="B205" s="49"/>
      <c r="C205" s="49"/>
      <c r="D205" s="49"/>
      <c r="E205" s="49"/>
      <c r="F205" s="50"/>
      <c r="G205" s="49"/>
      <c r="H205" s="49"/>
      <c r="I205" s="49"/>
      <c r="J205" s="49"/>
      <c r="K205" s="50"/>
      <c r="L205" s="50"/>
      <c r="M205" s="49"/>
      <c r="N205" s="51"/>
      <c r="O205" s="49"/>
      <c r="P205" s="44" t="str">
        <f aca="false">IF($A205="","",IFERROR(INDEX(01_CONTROL!$B$15:$B$18,MATCH($O205,01_CONTROL!$A$15:$A$18,0)),14))</f>
        <v/>
      </c>
      <c r="Q205" s="45" t="str">
        <f aca="false">IF($A205="","",IF($N205="","",$N205+$P205))</f>
        <v/>
      </c>
      <c r="R205" s="49"/>
      <c r="S205" s="51"/>
      <c r="T205" s="50"/>
      <c r="U205" s="49"/>
      <c r="V205" s="49"/>
      <c r="W205" s="51"/>
      <c r="X205" s="44" t="str">
        <f aca="true">IF($A205="","",IF($N205="","",IF($S205="",TODAY()-$N205,$S205-$N205)))</f>
        <v/>
      </c>
      <c r="Y205" s="46" t="str">
        <f aca="true">IF($A205="","",IF(OR($V205="Closed",$V205="Void / withdrawn"),IF($S205="","Closed without response",IF($S205&gt;$Q205,"Answered late","Answered on time")),IF($S205&lt;&gt;"",IF($S205&gt;$Q205,"Answered late","Answered on time"),IF(TODAY()&gt;$Q205,"OVERDUE "&amp;TEXT(TODAY()-$Q205,"0")&amp;" d",TEXT($Q205-TODAY(),"0")&amp;" d left"))))</f>
        <v/>
      </c>
      <c r="Z205" s="44" t="str">
        <f aca="false">IF($A205="","",IF($S205&lt;&gt;"","",IF($X205&lt;=7,"0-7 d",IF($X205&lt;=14,"8-14 d",IF($X205&lt;=30,"15-30 d","over 30 d")))))</f>
        <v/>
      </c>
      <c r="AA205" s="49"/>
      <c r="AB205" s="52"/>
      <c r="AC205" s="49"/>
      <c r="AD205" s="49"/>
      <c r="AE205" s="49"/>
      <c r="AF205" s="49"/>
      <c r="AG205" s="50"/>
    </row>
    <row r="206" customFormat="false" ht="15" hidden="false" customHeight="true" outlineLevel="0" collapsed="false">
      <c r="A206" s="48"/>
      <c r="B206" s="49"/>
      <c r="C206" s="49"/>
      <c r="D206" s="49"/>
      <c r="E206" s="49"/>
      <c r="F206" s="50"/>
      <c r="G206" s="49"/>
      <c r="H206" s="49"/>
      <c r="I206" s="49"/>
      <c r="J206" s="49"/>
      <c r="K206" s="50"/>
      <c r="L206" s="50"/>
      <c r="M206" s="49"/>
      <c r="N206" s="51"/>
      <c r="O206" s="49"/>
      <c r="P206" s="44" t="str">
        <f aca="false">IF($A206="","",IFERROR(INDEX(01_CONTROL!$B$15:$B$18,MATCH($O206,01_CONTROL!$A$15:$A$18,0)),14))</f>
        <v/>
      </c>
      <c r="Q206" s="45" t="str">
        <f aca="false">IF($A206="","",IF($N206="","",$N206+$P206))</f>
        <v/>
      </c>
      <c r="R206" s="49"/>
      <c r="S206" s="51"/>
      <c r="T206" s="50"/>
      <c r="U206" s="49"/>
      <c r="V206" s="49"/>
      <c r="W206" s="51"/>
      <c r="X206" s="44" t="str">
        <f aca="true">IF($A206="","",IF($N206="","",IF($S206="",TODAY()-$N206,$S206-$N206)))</f>
        <v/>
      </c>
      <c r="Y206" s="46" t="str">
        <f aca="true">IF($A206="","",IF(OR($V206="Closed",$V206="Void / withdrawn"),IF($S206="","Closed without response",IF($S206&gt;$Q206,"Answered late","Answered on time")),IF($S206&lt;&gt;"",IF($S206&gt;$Q206,"Answered late","Answered on time"),IF(TODAY()&gt;$Q206,"OVERDUE "&amp;TEXT(TODAY()-$Q206,"0")&amp;" d",TEXT($Q206-TODAY(),"0")&amp;" d left"))))</f>
        <v/>
      </c>
      <c r="Z206" s="44" t="str">
        <f aca="false">IF($A206="","",IF($S206&lt;&gt;"","",IF($X206&lt;=7,"0-7 d",IF($X206&lt;=14,"8-14 d",IF($X206&lt;=30,"15-30 d","over 30 d")))))</f>
        <v/>
      </c>
      <c r="AA206" s="49"/>
      <c r="AB206" s="52"/>
      <c r="AC206" s="49"/>
      <c r="AD206" s="49"/>
      <c r="AE206" s="49"/>
      <c r="AF206" s="49"/>
      <c r="AG206" s="50"/>
    </row>
    <row r="207" customFormat="false" ht="15" hidden="false" customHeight="true" outlineLevel="0" collapsed="false">
      <c r="A207" s="48"/>
      <c r="B207" s="49"/>
      <c r="C207" s="49"/>
      <c r="D207" s="49"/>
      <c r="E207" s="49"/>
      <c r="F207" s="50"/>
      <c r="G207" s="49"/>
      <c r="H207" s="49"/>
      <c r="I207" s="49"/>
      <c r="J207" s="49"/>
      <c r="K207" s="50"/>
      <c r="L207" s="50"/>
      <c r="M207" s="49"/>
      <c r="N207" s="51"/>
      <c r="O207" s="49"/>
      <c r="P207" s="44" t="str">
        <f aca="false">IF($A207="","",IFERROR(INDEX(01_CONTROL!$B$15:$B$18,MATCH($O207,01_CONTROL!$A$15:$A$18,0)),14))</f>
        <v/>
      </c>
      <c r="Q207" s="45" t="str">
        <f aca="false">IF($A207="","",IF($N207="","",$N207+$P207))</f>
        <v/>
      </c>
      <c r="R207" s="49"/>
      <c r="S207" s="51"/>
      <c r="T207" s="50"/>
      <c r="U207" s="49"/>
      <c r="V207" s="49"/>
      <c r="W207" s="51"/>
      <c r="X207" s="44" t="str">
        <f aca="true">IF($A207="","",IF($N207="","",IF($S207="",TODAY()-$N207,$S207-$N207)))</f>
        <v/>
      </c>
      <c r="Y207" s="46" t="str">
        <f aca="true">IF($A207="","",IF(OR($V207="Closed",$V207="Void / withdrawn"),IF($S207="","Closed without response",IF($S207&gt;$Q207,"Answered late","Answered on time")),IF($S207&lt;&gt;"",IF($S207&gt;$Q207,"Answered late","Answered on time"),IF(TODAY()&gt;$Q207,"OVERDUE "&amp;TEXT(TODAY()-$Q207,"0")&amp;" d",TEXT($Q207-TODAY(),"0")&amp;" d left"))))</f>
        <v/>
      </c>
      <c r="Z207" s="44" t="str">
        <f aca="false">IF($A207="","",IF($S207&lt;&gt;"","",IF($X207&lt;=7,"0-7 d",IF($X207&lt;=14,"8-14 d",IF($X207&lt;=30,"15-30 d","over 30 d")))))</f>
        <v/>
      </c>
      <c r="AA207" s="49"/>
      <c r="AB207" s="52"/>
      <c r="AC207" s="49"/>
      <c r="AD207" s="49"/>
      <c r="AE207" s="49"/>
      <c r="AF207" s="49"/>
      <c r="AG207" s="50"/>
    </row>
    <row r="208" customFormat="false" ht="15" hidden="false" customHeight="true" outlineLevel="0" collapsed="false">
      <c r="A208" s="48"/>
      <c r="B208" s="49"/>
      <c r="C208" s="49"/>
      <c r="D208" s="49"/>
      <c r="E208" s="49"/>
      <c r="F208" s="50"/>
      <c r="G208" s="49"/>
      <c r="H208" s="49"/>
      <c r="I208" s="49"/>
      <c r="J208" s="49"/>
      <c r="K208" s="50"/>
      <c r="L208" s="50"/>
      <c r="M208" s="49"/>
      <c r="N208" s="51"/>
      <c r="O208" s="49"/>
      <c r="P208" s="44" t="str">
        <f aca="false">IF($A208="","",IFERROR(INDEX(01_CONTROL!$B$15:$B$18,MATCH($O208,01_CONTROL!$A$15:$A$18,0)),14))</f>
        <v/>
      </c>
      <c r="Q208" s="45" t="str">
        <f aca="false">IF($A208="","",IF($N208="","",$N208+$P208))</f>
        <v/>
      </c>
      <c r="R208" s="49"/>
      <c r="S208" s="51"/>
      <c r="T208" s="50"/>
      <c r="U208" s="49"/>
      <c r="V208" s="49"/>
      <c r="W208" s="51"/>
      <c r="X208" s="44" t="str">
        <f aca="true">IF($A208="","",IF($N208="","",IF($S208="",TODAY()-$N208,$S208-$N208)))</f>
        <v/>
      </c>
      <c r="Y208" s="46" t="str">
        <f aca="true">IF($A208="","",IF(OR($V208="Closed",$V208="Void / withdrawn"),IF($S208="","Closed without response",IF($S208&gt;$Q208,"Answered late","Answered on time")),IF($S208&lt;&gt;"",IF($S208&gt;$Q208,"Answered late","Answered on time"),IF(TODAY()&gt;$Q208,"OVERDUE "&amp;TEXT(TODAY()-$Q208,"0")&amp;" d",TEXT($Q208-TODAY(),"0")&amp;" d left"))))</f>
        <v/>
      </c>
      <c r="Z208" s="44" t="str">
        <f aca="false">IF($A208="","",IF($S208&lt;&gt;"","",IF($X208&lt;=7,"0-7 d",IF($X208&lt;=14,"8-14 d",IF($X208&lt;=30,"15-30 d","over 30 d")))))</f>
        <v/>
      </c>
      <c r="AA208" s="49"/>
      <c r="AB208" s="52"/>
      <c r="AC208" s="49"/>
      <c r="AD208" s="49"/>
      <c r="AE208" s="49"/>
      <c r="AF208" s="49"/>
      <c r="AG208" s="50"/>
    </row>
    <row r="209" customFormat="false" ht="15" hidden="false" customHeight="true" outlineLevel="0" collapsed="false">
      <c r="A209" s="48"/>
      <c r="B209" s="49"/>
      <c r="C209" s="49"/>
      <c r="D209" s="49"/>
      <c r="E209" s="49"/>
      <c r="F209" s="50"/>
      <c r="G209" s="49"/>
      <c r="H209" s="49"/>
      <c r="I209" s="49"/>
      <c r="J209" s="49"/>
      <c r="K209" s="50"/>
      <c r="L209" s="50"/>
      <c r="M209" s="49"/>
      <c r="N209" s="51"/>
      <c r="O209" s="49"/>
      <c r="P209" s="44" t="str">
        <f aca="false">IF($A209="","",IFERROR(INDEX(01_CONTROL!$B$15:$B$18,MATCH($O209,01_CONTROL!$A$15:$A$18,0)),14))</f>
        <v/>
      </c>
      <c r="Q209" s="45" t="str">
        <f aca="false">IF($A209="","",IF($N209="","",$N209+$P209))</f>
        <v/>
      </c>
      <c r="R209" s="49"/>
      <c r="S209" s="51"/>
      <c r="T209" s="50"/>
      <c r="U209" s="49"/>
      <c r="V209" s="49"/>
      <c r="W209" s="51"/>
      <c r="X209" s="44" t="str">
        <f aca="true">IF($A209="","",IF($N209="","",IF($S209="",TODAY()-$N209,$S209-$N209)))</f>
        <v/>
      </c>
      <c r="Y209" s="46" t="str">
        <f aca="true">IF($A209="","",IF(OR($V209="Closed",$V209="Void / withdrawn"),IF($S209="","Closed without response",IF($S209&gt;$Q209,"Answered late","Answered on time")),IF($S209&lt;&gt;"",IF($S209&gt;$Q209,"Answered late","Answered on time"),IF(TODAY()&gt;$Q209,"OVERDUE "&amp;TEXT(TODAY()-$Q209,"0")&amp;" d",TEXT($Q209-TODAY(),"0")&amp;" d left"))))</f>
        <v/>
      </c>
      <c r="Z209" s="44" t="str">
        <f aca="false">IF($A209="","",IF($S209&lt;&gt;"","",IF($X209&lt;=7,"0-7 d",IF($X209&lt;=14,"8-14 d",IF($X209&lt;=30,"15-30 d","over 30 d")))))</f>
        <v/>
      </c>
      <c r="AA209" s="49"/>
      <c r="AB209" s="52"/>
      <c r="AC209" s="49"/>
      <c r="AD209" s="49"/>
      <c r="AE209" s="49"/>
      <c r="AF209" s="49"/>
      <c r="AG209" s="50"/>
    </row>
    <row r="210" customFormat="false" ht="15" hidden="false" customHeight="true" outlineLevel="0" collapsed="false">
      <c r="A210" s="48"/>
      <c r="B210" s="49"/>
      <c r="C210" s="49"/>
      <c r="D210" s="49"/>
      <c r="E210" s="49"/>
      <c r="F210" s="50"/>
      <c r="G210" s="49"/>
      <c r="H210" s="49"/>
      <c r="I210" s="49"/>
      <c r="J210" s="49"/>
      <c r="K210" s="50"/>
      <c r="L210" s="50"/>
      <c r="M210" s="49"/>
      <c r="N210" s="51"/>
      <c r="O210" s="49"/>
      <c r="P210" s="44" t="str">
        <f aca="false">IF($A210="","",IFERROR(INDEX(01_CONTROL!$B$15:$B$18,MATCH($O210,01_CONTROL!$A$15:$A$18,0)),14))</f>
        <v/>
      </c>
      <c r="Q210" s="45" t="str">
        <f aca="false">IF($A210="","",IF($N210="","",$N210+$P210))</f>
        <v/>
      </c>
      <c r="R210" s="49"/>
      <c r="S210" s="51"/>
      <c r="T210" s="50"/>
      <c r="U210" s="49"/>
      <c r="V210" s="49"/>
      <c r="W210" s="51"/>
      <c r="X210" s="44" t="str">
        <f aca="true">IF($A210="","",IF($N210="","",IF($S210="",TODAY()-$N210,$S210-$N210)))</f>
        <v/>
      </c>
      <c r="Y210" s="46" t="str">
        <f aca="true">IF($A210="","",IF(OR($V210="Closed",$V210="Void / withdrawn"),IF($S210="","Closed without response",IF($S210&gt;$Q210,"Answered late","Answered on time")),IF($S210&lt;&gt;"",IF($S210&gt;$Q210,"Answered late","Answered on time"),IF(TODAY()&gt;$Q210,"OVERDUE "&amp;TEXT(TODAY()-$Q210,"0")&amp;" d",TEXT($Q210-TODAY(),"0")&amp;" d left"))))</f>
        <v/>
      </c>
      <c r="Z210" s="44" t="str">
        <f aca="false">IF($A210="","",IF($S210&lt;&gt;"","",IF($X210&lt;=7,"0-7 d",IF($X210&lt;=14,"8-14 d",IF($X210&lt;=30,"15-30 d","over 30 d")))))</f>
        <v/>
      </c>
      <c r="AA210" s="49"/>
      <c r="AB210" s="52"/>
      <c r="AC210" s="49"/>
      <c r="AD210" s="49"/>
      <c r="AE210" s="49"/>
      <c r="AF210" s="49"/>
      <c r="AG210" s="50"/>
    </row>
    <row r="211" customFormat="false" ht="15" hidden="false" customHeight="true" outlineLevel="0" collapsed="false">
      <c r="A211" s="48"/>
      <c r="B211" s="49"/>
      <c r="C211" s="49"/>
      <c r="D211" s="49"/>
      <c r="E211" s="49"/>
      <c r="F211" s="50"/>
      <c r="G211" s="49"/>
      <c r="H211" s="49"/>
      <c r="I211" s="49"/>
      <c r="J211" s="49"/>
      <c r="K211" s="50"/>
      <c r="L211" s="50"/>
      <c r="M211" s="49"/>
      <c r="N211" s="51"/>
      <c r="O211" s="49"/>
      <c r="P211" s="44" t="str">
        <f aca="false">IF($A211="","",IFERROR(INDEX(01_CONTROL!$B$15:$B$18,MATCH($O211,01_CONTROL!$A$15:$A$18,0)),14))</f>
        <v/>
      </c>
      <c r="Q211" s="45" t="str">
        <f aca="false">IF($A211="","",IF($N211="","",$N211+$P211))</f>
        <v/>
      </c>
      <c r="R211" s="49"/>
      <c r="S211" s="51"/>
      <c r="T211" s="50"/>
      <c r="U211" s="49"/>
      <c r="V211" s="49"/>
      <c r="W211" s="51"/>
      <c r="X211" s="44" t="str">
        <f aca="true">IF($A211="","",IF($N211="","",IF($S211="",TODAY()-$N211,$S211-$N211)))</f>
        <v/>
      </c>
      <c r="Y211" s="46" t="str">
        <f aca="true">IF($A211="","",IF(OR($V211="Closed",$V211="Void / withdrawn"),IF($S211="","Closed without response",IF($S211&gt;$Q211,"Answered late","Answered on time")),IF($S211&lt;&gt;"",IF($S211&gt;$Q211,"Answered late","Answered on time"),IF(TODAY()&gt;$Q211,"OVERDUE "&amp;TEXT(TODAY()-$Q211,"0")&amp;" d",TEXT($Q211-TODAY(),"0")&amp;" d left"))))</f>
        <v/>
      </c>
      <c r="Z211" s="44" t="str">
        <f aca="false">IF($A211="","",IF($S211&lt;&gt;"","",IF($X211&lt;=7,"0-7 d",IF($X211&lt;=14,"8-14 d",IF($X211&lt;=30,"15-30 d","over 30 d")))))</f>
        <v/>
      </c>
      <c r="AA211" s="49"/>
      <c r="AB211" s="52"/>
      <c r="AC211" s="49"/>
      <c r="AD211" s="49"/>
      <c r="AE211" s="49"/>
      <c r="AF211" s="49"/>
      <c r="AG211" s="50"/>
    </row>
    <row r="212" customFormat="false" ht="15" hidden="false" customHeight="true" outlineLevel="0" collapsed="false">
      <c r="A212" s="48"/>
      <c r="B212" s="49"/>
      <c r="C212" s="49"/>
      <c r="D212" s="49"/>
      <c r="E212" s="49"/>
      <c r="F212" s="50"/>
      <c r="G212" s="49"/>
      <c r="H212" s="49"/>
      <c r="I212" s="49"/>
      <c r="J212" s="49"/>
      <c r="K212" s="50"/>
      <c r="L212" s="50"/>
      <c r="M212" s="49"/>
      <c r="N212" s="51"/>
      <c r="O212" s="49"/>
      <c r="P212" s="44" t="str">
        <f aca="false">IF($A212="","",IFERROR(INDEX(01_CONTROL!$B$15:$B$18,MATCH($O212,01_CONTROL!$A$15:$A$18,0)),14))</f>
        <v/>
      </c>
      <c r="Q212" s="45" t="str">
        <f aca="false">IF($A212="","",IF($N212="","",$N212+$P212))</f>
        <v/>
      </c>
      <c r="R212" s="49"/>
      <c r="S212" s="51"/>
      <c r="T212" s="50"/>
      <c r="U212" s="49"/>
      <c r="V212" s="49"/>
      <c r="W212" s="51"/>
      <c r="X212" s="44" t="str">
        <f aca="true">IF($A212="","",IF($N212="","",IF($S212="",TODAY()-$N212,$S212-$N212)))</f>
        <v/>
      </c>
      <c r="Y212" s="46" t="str">
        <f aca="true">IF($A212="","",IF(OR($V212="Closed",$V212="Void / withdrawn"),IF($S212="","Closed without response",IF($S212&gt;$Q212,"Answered late","Answered on time")),IF($S212&lt;&gt;"",IF($S212&gt;$Q212,"Answered late","Answered on time"),IF(TODAY()&gt;$Q212,"OVERDUE "&amp;TEXT(TODAY()-$Q212,"0")&amp;" d",TEXT($Q212-TODAY(),"0")&amp;" d left"))))</f>
        <v/>
      </c>
      <c r="Z212" s="44" t="str">
        <f aca="false">IF($A212="","",IF($S212&lt;&gt;"","",IF($X212&lt;=7,"0-7 d",IF($X212&lt;=14,"8-14 d",IF($X212&lt;=30,"15-30 d","over 30 d")))))</f>
        <v/>
      </c>
      <c r="AA212" s="49"/>
      <c r="AB212" s="52"/>
      <c r="AC212" s="49"/>
      <c r="AD212" s="49"/>
      <c r="AE212" s="49"/>
      <c r="AF212" s="49"/>
      <c r="AG212" s="50"/>
    </row>
    <row r="213" customFormat="false" ht="15" hidden="false" customHeight="true" outlineLevel="0" collapsed="false">
      <c r="A213" s="48"/>
      <c r="B213" s="49"/>
      <c r="C213" s="49"/>
      <c r="D213" s="49"/>
      <c r="E213" s="49"/>
      <c r="F213" s="50"/>
      <c r="G213" s="49"/>
      <c r="H213" s="49"/>
      <c r="I213" s="49"/>
      <c r="J213" s="49"/>
      <c r="K213" s="50"/>
      <c r="L213" s="50"/>
      <c r="M213" s="49"/>
      <c r="N213" s="51"/>
      <c r="O213" s="49"/>
      <c r="P213" s="44" t="str">
        <f aca="false">IF($A213="","",IFERROR(INDEX(01_CONTROL!$B$15:$B$18,MATCH($O213,01_CONTROL!$A$15:$A$18,0)),14))</f>
        <v/>
      </c>
      <c r="Q213" s="45" t="str">
        <f aca="false">IF($A213="","",IF($N213="","",$N213+$P213))</f>
        <v/>
      </c>
      <c r="R213" s="49"/>
      <c r="S213" s="51"/>
      <c r="T213" s="50"/>
      <c r="U213" s="49"/>
      <c r="V213" s="49"/>
      <c r="W213" s="51"/>
      <c r="X213" s="44" t="str">
        <f aca="true">IF($A213="","",IF($N213="","",IF($S213="",TODAY()-$N213,$S213-$N213)))</f>
        <v/>
      </c>
      <c r="Y213" s="46" t="str">
        <f aca="true">IF($A213="","",IF(OR($V213="Closed",$V213="Void / withdrawn"),IF($S213="","Closed without response",IF($S213&gt;$Q213,"Answered late","Answered on time")),IF($S213&lt;&gt;"",IF($S213&gt;$Q213,"Answered late","Answered on time"),IF(TODAY()&gt;$Q213,"OVERDUE "&amp;TEXT(TODAY()-$Q213,"0")&amp;" d",TEXT($Q213-TODAY(),"0")&amp;" d left"))))</f>
        <v/>
      </c>
      <c r="Z213" s="44" t="str">
        <f aca="false">IF($A213="","",IF($S213&lt;&gt;"","",IF($X213&lt;=7,"0-7 d",IF($X213&lt;=14,"8-14 d",IF($X213&lt;=30,"15-30 d","over 30 d")))))</f>
        <v/>
      </c>
      <c r="AA213" s="49"/>
      <c r="AB213" s="52"/>
      <c r="AC213" s="49"/>
      <c r="AD213" s="49"/>
      <c r="AE213" s="49"/>
      <c r="AF213" s="49"/>
      <c r="AG213" s="50"/>
    </row>
    <row r="214" customFormat="false" ht="15" hidden="false" customHeight="true" outlineLevel="0" collapsed="false">
      <c r="A214" s="48"/>
      <c r="B214" s="49"/>
      <c r="C214" s="49"/>
      <c r="D214" s="49"/>
      <c r="E214" s="49"/>
      <c r="F214" s="50"/>
      <c r="G214" s="49"/>
      <c r="H214" s="49"/>
      <c r="I214" s="49"/>
      <c r="J214" s="49"/>
      <c r="K214" s="50"/>
      <c r="L214" s="50"/>
      <c r="M214" s="49"/>
      <c r="N214" s="51"/>
      <c r="O214" s="49"/>
      <c r="P214" s="44" t="str">
        <f aca="false">IF($A214="","",IFERROR(INDEX(01_CONTROL!$B$15:$B$18,MATCH($O214,01_CONTROL!$A$15:$A$18,0)),14))</f>
        <v/>
      </c>
      <c r="Q214" s="45" t="str">
        <f aca="false">IF($A214="","",IF($N214="","",$N214+$P214))</f>
        <v/>
      </c>
      <c r="R214" s="49"/>
      <c r="S214" s="51"/>
      <c r="T214" s="50"/>
      <c r="U214" s="49"/>
      <c r="V214" s="49"/>
      <c r="W214" s="51"/>
      <c r="X214" s="44" t="str">
        <f aca="true">IF($A214="","",IF($N214="","",IF($S214="",TODAY()-$N214,$S214-$N214)))</f>
        <v/>
      </c>
      <c r="Y214" s="46" t="str">
        <f aca="true">IF($A214="","",IF(OR($V214="Closed",$V214="Void / withdrawn"),IF($S214="","Closed without response",IF($S214&gt;$Q214,"Answered late","Answered on time")),IF($S214&lt;&gt;"",IF($S214&gt;$Q214,"Answered late","Answered on time"),IF(TODAY()&gt;$Q214,"OVERDUE "&amp;TEXT(TODAY()-$Q214,"0")&amp;" d",TEXT($Q214-TODAY(),"0")&amp;" d left"))))</f>
        <v/>
      </c>
      <c r="Z214" s="44" t="str">
        <f aca="false">IF($A214="","",IF($S214&lt;&gt;"","",IF($X214&lt;=7,"0-7 d",IF($X214&lt;=14,"8-14 d",IF($X214&lt;=30,"15-30 d","over 30 d")))))</f>
        <v/>
      </c>
      <c r="AA214" s="49"/>
      <c r="AB214" s="52"/>
      <c r="AC214" s="49"/>
      <c r="AD214" s="49"/>
      <c r="AE214" s="49"/>
      <c r="AF214" s="49"/>
      <c r="AG214" s="50"/>
    </row>
    <row r="215" customFormat="false" ht="15" hidden="false" customHeight="true" outlineLevel="0" collapsed="false">
      <c r="A215" s="48"/>
      <c r="B215" s="49"/>
      <c r="C215" s="49"/>
      <c r="D215" s="49"/>
      <c r="E215" s="49"/>
      <c r="F215" s="50"/>
      <c r="G215" s="49"/>
      <c r="H215" s="49"/>
      <c r="I215" s="49"/>
      <c r="J215" s="49"/>
      <c r="K215" s="50"/>
      <c r="L215" s="50"/>
      <c r="M215" s="49"/>
      <c r="N215" s="51"/>
      <c r="O215" s="49"/>
      <c r="P215" s="44" t="str">
        <f aca="false">IF($A215="","",IFERROR(INDEX(01_CONTROL!$B$15:$B$18,MATCH($O215,01_CONTROL!$A$15:$A$18,0)),14))</f>
        <v/>
      </c>
      <c r="Q215" s="45" t="str">
        <f aca="false">IF($A215="","",IF($N215="","",$N215+$P215))</f>
        <v/>
      </c>
      <c r="R215" s="49"/>
      <c r="S215" s="51"/>
      <c r="T215" s="50"/>
      <c r="U215" s="49"/>
      <c r="V215" s="49"/>
      <c r="W215" s="51"/>
      <c r="X215" s="44" t="str">
        <f aca="true">IF($A215="","",IF($N215="","",IF($S215="",TODAY()-$N215,$S215-$N215)))</f>
        <v/>
      </c>
      <c r="Y215" s="46" t="str">
        <f aca="true">IF($A215="","",IF(OR($V215="Closed",$V215="Void / withdrawn"),IF($S215="","Closed without response",IF($S215&gt;$Q215,"Answered late","Answered on time")),IF($S215&lt;&gt;"",IF($S215&gt;$Q215,"Answered late","Answered on time"),IF(TODAY()&gt;$Q215,"OVERDUE "&amp;TEXT(TODAY()-$Q215,"0")&amp;" d",TEXT($Q215-TODAY(),"0")&amp;" d left"))))</f>
        <v/>
      </c>
      <c r="Z215" s="44" t="str">
        <f aca="false">IF($A215="","",IF($S215&lt;&gt;"","",IF($X215&lt;=7,"0-7 d",IF($X215&lt;=14,"8-14 d",IF($X215&lt;=30,"15-30 d","over 30 d")))))</f>
        <v/>
      </c>
      <c r="AA215" s="49"/>
      <c r="AB215" s="52"/>
      <c r="AC215" s="49"/>
      <c r="AD215" s="49"/>
      <c r="AE215" s="49"/>
      <c r="AF215" s="49"/>
      <c r="AG215" s="50"/>
    </row>
    <row r="216" customFormat="false" ht="15" hidden="false" customHeight="true" outlineLevel="0" collapsed="false">
      <c r="A216" s="48"/>
      <c r="B216" s="49"/>
      <c r="C216" s="49"/>
      <c r="D216" s="49"/>
      <c r="E216" s="49"/>
      <c r="F216" s="50"/>
      <c r="G216" s="49"/>
      <c r="H216" s="49"/>
      <c r="I216" s="49"/>
      <c r="J216" s="49"/>
      <c r="K216" s="50"/>
      <c r="L216" s="50"/>
      <c r="M216" s="49"/>
      <c r="N216" s="51"/>
      <c r="O216" s="49"/>
      <c r="P216" s="44" t="str">
        <f aca="false">IF($A216="","",IFERROR(INDEX(01_CONTROL!$B$15:$B$18,MATCH($O216,01_CONTROL!$A$15:$A$18,0)),14))</f>
        <v/>
      </c>
      <c r="Q216" s="45" t="str">
        <f aca="false">IF($A216="","",IF($N216="","",$N216+$P216))</f>
        <v/>
      </c>
      <c r="R216" s="49"/>
      <c r="S216" s="51"/>
      <c r="T216" s="50"/>
      <c r="U216" s="49"/>
      <c r="V216" s="49"/>
      <c r="W216" s="51"/>
      <c r="X216" s="44" t="str">
        <f aca="true">IF($A216="","",IF($N216="","",IF($S216="",TODAY()-$N216,$S216-$N216)))</f>
        <v/>
      </c>
      <c r="Y216" s="46" t="str">
        <f aca="true">IF($A216="","",IF(OR($V216="Closed",$V216="Void / withdrawn"),IF($S216="","Closed without response",IF($S216&gt;$Q216,"Answered late","Answered on time")),IF($S216&lt;&gt;"",IF($S216&gt;$Q216,"Answered late","Answered on time"),IF(TODAY()&gt;$Q216,"OVERDUE "&amp;TEXT(TODAY()-$Q216,"0")&amp;" d",TEXT($Q216-TODAY(),"0")&amp;" d left"))))</f>
        <v/>
      </c>
      <c r="Z216" s="44" t="str">
        <f aca="false">IF($A216="","",IF($S216&lt;&gt;"","",IF($X216&lt;=7,"0-7 d",IF($X216&lt;=14,"8-14 d",IF($X216&lt;=30,"15-30 d","over 30 d")))))</f>
        <v/>
      </c>
      <c r="AA216" s="49"/>
      <c r="AB216" s="52"/>
      <c r="AC216" s="49"/>
      <c r="AD216" s="49"/>
      <c r="AE216" s="49"/>
      <c r="AF216" s="49"/>
      <c r="AG216" s="50"/>
    </row>
    <row r="217" customFormat="false" ht="15" hidden="false" customHeight="true" outlineLevel="0" collapsed="false">
      <c r="A217" s="48"/>
      <c r="B217" s="49"/>
      <c r="C217" s="49"/>
      <c r="D217" s="49"/>
      <c r="E217" s="49"/>
      <c r="F217" s="50"/>
      <c r="G217" s="49"/>
      <c r="H217" s="49"/>
      <c r="I217" s="49"/>
      <c r="J217" s="49"/>
      <c r="K217" s="50"/>
      <c r="L217" s="50"/>
      <c r="M217" s="49"/>
      <c r="N217" s="51"/>
      <c r="O217" s="49"/>
      <c r="P217" s="44" t="str">
        <f aca="false">IF($A217="","",IFERROR(INDEX(01_CONTROL!$B$15:$B$18,MATCH($O217,01_CONTROL!$A$15:$A$18,0)),14))</f>
        <v/>
      </c>
      <c r="Q217" s="45" t="str">
        <f aca="false">IF($A217="","",IF($N217="","",$N217+$P217))</f>
        <v/>
      </c>
      <c r="R217" s="49"/>
      <c r="S217" s="51"/>
      <c r="T217" s="50"/>
      <c r="U217" s="49"/>
      <c r="V217" s="49"/>
      <c r="W217" s="51"/>
      <c r="X217" s="44" t="str">
        <f aca="true">IF($A217="","",IF($N217="","",IF($S217="",TODAY()-$N217,$S217-$N217)))</f>
        <v/>
      </c>
      <c r="Y217" s="46" t="str">
        <f aca="true">IF($A217="","",IF(OR($V217="Closed",$V217="Void / withdrawn"),IF($S217="","Closed without response",IF($S217&gt;$Q217,"Answered late","Answered on time")),IF($S217&lt;&gt;"",IF($S217&gt;$Q217,"Answered late","Answered on time"),IF(TODAY()&gt;$Q217,"OVERDUE "&amp;TEXT(TODAY()-$Q217,"0")&amp;" d",TEXT($Q217-TODAY(),"0")&amp;" d left"))))</f>
        <v/>
      </c>
      <c r="Z217" s="44" t="str">
        <f aca="false">IF($A217="","",IF($S217&lt;&gt;"","",IF($X217&lt;=7,"0-7 d",IF($X217&lt;=14,"8-14 d",IF($X217&lt;=30,"15-30 d","over 30 d")))))</f>
        <v/>
      </c>
      <c r="AA217" s="49"/>
      <c r="AB217" s="52"/>
      <c r="AC217" s="49"/>
      <c r="AD217" s="49"/>
      <c r="AE217" s="49"/>
      <c r="AF217" s="49"/>
      <c r="AG217" s="50"/>
    </row>
    <row r="218" customFormat="false" ht="15" hidden="false" customHeight="true" outlineLevel="0" collapsed="false">
      <c r="A218" s="48"/>
      <c r="B218" s="49"/>
      <c r="C218" s="49"/>
      <c r="D218" s="49"/>
      <c r="E218" s="49"/>
      <c r="F218" s="50"/>
      <c r="G218" s="49"/>
      <c r="H218" s="49"/>
      <c r="I218" s="49"/>
      <c r="J218" s="49"/>
      <c r="K218" s="50"/>
      <c r="L218" s="50"/>
      <c r="M218" s="49"/>
      <c r="N218" s="51"/>
      <c r="O218" s="49"/>
      <c r="P218" s="44" t="str">
        <f aca="false">IF($A218="","",IFERROR(INDEX(01_CONTROL!$B$15:$B$18,MATCH($O218,01_CONTROL!$A$15:$A$18,0)),14))</f>
        <v/>
      </c>
      <c r="Q218" s="45" t="str">
        <f aca="false">IF($A218="","",IF($N218="","",$N218+$P218))</f>
        <v/>
      </c>
      <c r="R218" s="49"/>
      <c r="S218" s="51"/>
      <c r="T218" s="50"/>
      <c r="U218" s="49"/>
      <c r="V218" s="49"/>
      <c r="W218" s="51"/>
      <c r="X218" s="44" t="str">
        <f aca="true">IF($A218="","",IF($N218="","",IF($S218="",TODAY()-$N218,$S218-$N218)))</f>
        <v/>
      </c>
      <c r="Y218" s="46" t="str">
        <f aca="true">IF($A218="","",IF(OR($V218="Closed",$V218="Void / withdrawn"),IF($S218="","Closed without response",IF($S218&gt;$Q218,"Answered late","Answered on time")),IF($S218&lt;&gt;"",IF($S218&gt;$Q218,"Answered late","Answered on time"),IF(TODAY()&gt;$Q218,"OVERDUE "&amp;TEXT(TODAY()-$Q218,"0")&amp;" d",TEXT($Q218-TODAY(),"0")&amp;" d left"))))</f>
        <v/>
      </c>
      <c r="Z218" s="44" t="str">
        <f aca="false">IF($A218="","",IF($S218&lt;&gt;"","",IF($X218&lt;=7,"0-7 d",IF($X218&lt;=14,"8-14 d",IF($X218&lt;=30,"15-30 d","over 30 d")))))</f>
        <v/>
      </c>
      <c r="AA218" s="49"/>
      <c r="AB218" s="52"/>
      <c r="AC218" s="49"/>
      <c r="AD218" s="49"/>
      <c r="AE218" s="49"/>
      <c r="AF218" s="49"/>
      <c r="AG218" s="50"/>
    </row>
    <row r="219" customFormat="false" ht="15" hidden="false" customHeight="true" outlineLevel="0" collapsed="false">
      <c r="A219" s="48"/>
      <c r="B219" s="49"/>
      <c r="C219" s="49"/>
      <c r="D219" s="49"/>
      <c r="E219" s="49"/>
      <c r="F219" s="50"/>
      <c r="G219" s="49"/>
      <c r="H219" s="49"/>
      <c r="I219" s="49"/>
      <c r="J219" s="49"/>
      <c r="K219" s="50"/>
      <c r="L219" s="50"/>
      <c r="M219" s="49"/>
      <c r="N219" s="51"/>
      <c r="O219" s="49"/>
      <c r="P219" s="44" t="str">
        <f aca="false">IF($A219="","",IFERROR(INDEX(01_CONTROL!$B$15:$B$18,MATCH($O219,01_CONTROL!$A$15:$A$18,0)),14))</f>
        <v/>
      </c>
      <c r="Q219" s="45" t="str">
        <f aca="false">IF($A219="","",IF($N219="","",$N219+$P219))</f>
        <v/>
      </c>
      <c r="R219" s="49"/>
      <c r="S219" s="51"/>
      <c r="T219" s="50"/>
      <c r="U219" s="49"/>
      <c r="V219" s="49"/>
      <c r="W219" s="51"/>
      <c r="X219" s="44" t="str">
        <f aca="true">IF($A219="","",IF($N219="","",IF($S219="",TODAY()-$N219,$S219-$N219)))</f>
        <v/>
      </c>
      <c r="Y219" s="46" t="str">
        <f aca="true">IF($A219="","",IF(OR($V219="Closed",$V219="Void / withdrawn"),IF($S219="","Closed without response",IF($S219&gt;$Q219,"Answered late","Answered on time")),IF($S219&lt;&gt;"",IF($S219&gt;$Q219,"Answered late","Answered on time"),IF(TODAY()&gt;$Q219,"OVERDUE "&amp;TEXT(TODAY()-$Q219,"0")&amp;" d",TEXT($Q219-TODAY(),"0")&amp;" d left"))))</f>
        <v/>
      </c>
      <c r="Z219" s="44" t="str">
        <f aca="false">IF($A219="","",IF($S219&lt;&gt;"","",IF($X219&lt;=7,"0-7 d",IF($X219&lt;=14,"8-14 d",IF($X219&lt;=30,"15-30 d","over 30 d")))))</f>
        <v/>
      </c>
      <c r="AA219" s="49"/>
      <c r="AB219" s="52"/>
      <c r="AC219" s="49"/>
      <c r="AD219" s="49"/>
      <c r="AE219" s="49"/>
      <c r="AF219" s="49"/>
      <c r="AG219" s="50"/>
    </row>
    <row r="220" customFormat="false" ht="15" hidden="false" customHeight="true" outlineLevel="0" collapsed="false">
      <c r="A220" s="48"/>
      <c r="B220" s="49"/>
      <c r="C220" s="49"/>
      <c r="D220" s="49"/>
      <c r="E220" s="49"/>
      <c r="F220" s="50"/>
      <c r="G220" s="49"/>
      <c r="H220" s="49"/>
      <c r="I220" s="49"/>
      <c r="J220" s="49"/>
      <c r="K220" s="50"/>
      <c r="L220" s="50"/>
      <c r="M220" s="49"/>
      <c r="N220" s="51"/>
      <c r="O220" s="49"/>
      <c r="P220" s="44" t="str">
        <f aca="false">IF($A220="","",IFERROR(INDEX(01_CONTROL!$B$15:$B$18,MATCH($O220,01_CONTROL!$A$15:$A$18,0)),14))</f>
        <v/>
      </c>
      <c r="Q220" s="45" t="str">
        <f aca="false">IF($A220="","",IF($N220="","",$N220+$P220))</f>
        <v/>
      </c>
      <c r="R220" s="49"/>
      <c r="S220" s="51"/>
      <c r="T220" s="50"/>
      <c r="U220" s="49"/>
      <c r="V220" s="49"/>
      <c r="W220" s="51"/>
      <c r="X220" s="44" t="str">
        <f aca="true">IF($A220="","",IF($N220="","",IF($S220="",TODAY()-$N220,$S220-$N220)))</f>
        <v/>
      </c>
      <c r="Y220" s="46" t="str">
        <f aca="true">IF($A220="","",IF(OR($V220="Closed",$V220="Void / withdrawn"),IF($S220="","Closed without response",IF($S220&gt;$Q220,"Answered late","Answered on time")),IF($S220&lt;&gt;"",IF($S220&gt;$Q220,"Answered late","Answered on time"),IF(TODAY()&gt;$Q220,"OVERDUE "&amp;TEXT(TODAY()-$Q220,"0")&amp;" d",TEXT($Q220-TODAY(),"0")&amp;" d left"))))</f>
        <v/>
      </c>
      <c r="Z220" s="44" t="str">
        <f aca="false">IF($A220="","",IF($S220&lt;&gt;"","",IF($X220&lt;=7,"0-7 d",IF($X220&lt;=14,"8-14 d",IF($X220&lt;=30,"15-30 d","over 30 d")))))</f>
        <v/>
      </c>
      <c r="AA220" s="49"/>
      <c r="AB220" s="52"/>
      <c r="AC220" s="49"/>
      <c r="AD220" s="49"/>
      <c r="AE220" s="49"/>
      <c r="AF220" s="49"/>
      <c r="AG220" s="50"/>
    </row>
    <row r="221" customFormat="false" ht="15" hidden="false" customHeight="true" outlineLevel="0" collapsed="false">
      <c r="A221" s="48"/>
      <c r="B221" s="49"/>
      <c r="C221" s="49"/>
      <c r="D221" s="49"/>
      <c r="E221" s="49"/>
      <c r="F221" s="50"/>
      <c r="G221" s="49"/>
      <c r="H221" s="49"/>
      <c r="I221" s="49"/>
      <c r="J221" s="49"/>
      <c r="K221" s="50"/>
      <c r="L221" s="50"/>
      <c r="M221" s="49"/>
      <c r="N221" s="51"/>
      <c r="O221" s="49"/>
      <c r="P221" s="44" t="str">
        <f aca="false">IF($A221="","",IFERROR(INDEX(01_CONTROL!$B$15:$B$18,MATCH($O221,01_CONTROL!$A$15:$A$18,0)),14))</f>
        <v/>
      </c>
      <c r="Q221" s="45" t="str">
        <f aca="false">IF($A221="","",IF($N221="","",$N221+$P221))</f>
        <v/>
      </c>
      <c r="R221" s="49"/>
      <c r="S221" s="51"/>
      <c r="T221" s="50"/>
      <c r="U221" s="49"/>
      <c r="V221" s="49"/>
      <c r="W221" s="51"/>
      <c r="X221" s="44" t="str">
        <f aca="true">IF($A221="","",IF($N221="","",IF($S221="",TODAY()-$N221,$S221-$N221)))</f>
        <v/>
      </c>
      <c r="Y221" s="46" t="str">
        <f aca="true">IF($A221="","",IF(OR($V221="Closed",$V221="Void / withdrawn"),IF($S221="","Closed without response",IF($S221&gt;$Q221,"Answered late","Answered on time")),IF($S221&lt;&gt;"",IF($S221&gt;$Q221,"Answered late","Answered on time"),IF(TODAY()&gt;$Q221,"OVERDUE "&amp;TEXT(TODAY()-$Q221,"0")&amp;" d",TEXT($Q221-TODAY(),"0")&amp;" d left"))))</f>
        <v/>
      </c>
      <c r="Z221" s="44" t="str">
        <f aca="false">IF($A221="","",IF($S221&lt;&gt;"","",IF($X221&lt;=7,"0-7 d",IF($X221&lt;=14,"8-14 d",IF($X221&lt;=30,"15-30 d","over 30 d")))))</f>
        <v/>
      </c>
      <c r="AA221" s="49"/>
      <c r="AB221" s="52"/>
      <c r="AC221" s="49"/>
      <c r="AD221" s="49"/>
      <c r="AE221" s="49"/>
      <c r="AF221" s="49"/>
      <c r="AG221" s="50"/>
    </row>
    <row r="222" customFormat="false" ht="15" hidden="false" customHeight="true" outlineLevel="0" collapsed="false">
      <c r="A222" s="48"/>
      <c r="B222" s="49"/>
      <c r="C222" s="49"/>
      <c r="D222" s="49"/>
      <c r="E222" s="49"/>
      <c r="F222" s="50"/>
      <c r="G222" s="49"/>
      <c r="H222" s="49"/>
      <c r="I222" s="49"/>
      <c r="J222" s="49"/>
      <c r="K222" s="50"/>
      <c r="L222" s="50"/>
      <c r="M222" s="49"/>
      <c r="N222" s="51"/>
      <c r="O222" s="49"/>
      <c r="P222" s="44" t="str">
        <f aca="false">IF($A222="","",IFERROR(INDEX(01_CONTROL!$B$15:$B$18,MATCH($O222,01_CONTROL!$A$15:$A$18,0)),14))</f>
        <v/>
      </c>
      <c r="Q222" s="45" t="str">
        <f aca="false">IF($A222="","",IF($N222="","",$N222+$P222))</f>
        <v/>
      </c>
      <c r="R222" s="49"/>
      <c r="S222" s="51"/>
      <c r="T222" s="50"/>
      <c r="U222" s="49"/>
      <c r="V222" s="49"/>
      <c r="W222" s="51"/>
      <c r="X222" s="44" t="str">
        <f aca="true">IF($A222="","",IF($N222="","",IF($S222="",TODAY()-$N222,$S222-$N222)))</f>
        <v/>
      </c>
      <c r="Y222" s="46" t="str">
        <f aca="true">IF($A222="","",IF(OR($V222="Closed",$V222="Void / withdrawn"),IF($S222="","Closed without response",IF($S222&gt;$Q222,"Answered late","Answered on time")),IF($S222&lt;&gt;"",IF($S222&gt;$Q222,"Answered late","Answered on time"),IF(TODAY()&gt;$Q222,"OVERDUE "&amp;TEXT(TODAY()-$Q222,"0")&amp;" d",TEXT($Q222-TODAY(),"0")&amp;" d left"))))</f>
        <v/>
      </c>
      <c r="Z222" s="44" t="str">
        <f aca="false">IF($A222="","",IF($S222&lt;&gt;"","",IF($X222&lt;=7,"0-7 d",IF($X222&lt;=14,"8-14 d",IF($X222&lt;=30,"15-30 d","over 30 d")))))</f>
        <v/>
      </c>
      <c r="AA222" s="49"/>
      <c r="AB222" s="52"/>
      <c r="AC222" s="49"/>
      <c r="AD222" s="49"/>
      <c r="AE222" s="49"/>
      <c r="AF222" s="49"/>
      <c r="AG222" s="50"/>
    </row>
    <row r="223" customFormat="false" ht="15" hidden="false" customHeight="true" outlineLevel="0" collapsed="false">
      <c r="A223" s="48"/>
      <c r="B223" s="49"/>
      <c r="C223" s="49"/>
      <c r="D223" s="49"/>
      <c r="E223" s="49"/>
      <c r="F223" s="50"/>
      <c r="G223" s="49"/>
      <c r="H223" s="49"/>
      <c r="I223" s="49"/>
      <c r="J223" s="49"/>
      <c r="K223" s="50"/>
      <c r="L223" s="50"/>
      <c r="M223" s="49"/>
      <c r="N223" s="51"/>
      <c r="O223" s="49"/>
      <c r="P223" s="44" t="str">
        <f aca="false">IF($A223="","",IFERROR(INDEX(01_CONTROL!$B$15:$B$18,MATCH($O223,01_CONTROL!$A$15:$A$18,0)),14))</f>
        <v/>
      </c>
      <c r="Q223" s="45" t="str">
        <f aca="false">IF($A223="","",IF($N223="","",$N223+$P223))</f>
        <v/>
      </c>
      <c r="R223" s="49"/>
      <c r="S223" s="51"/>
      <c r="T223" s="50"/>
      <c r="U223" s="49"/>
      <c r="V223" s="49"/>
      <c r="W223" s="51"/>
      <c r="X223" s="44" t="str">
        <f aca="true">IF($A223="","",IF($N223="","",IF($S223="",TODAY()-$N223,$S223-$N223)))</f>
        <v/>
      </c>
      <c r="Y223" s="46" t="str">
        <f aca="true">IF($A223="","",IF(OR($V223="Closed",$V223="Void / withdrawn"),IF($S223="","Closed without response",IF($S223&gt;$Q223,"Answered late","Answered on time")),IF($S223&lt;&gt;"",IF($S223&gt;$Q223,"Answered late","Answered on time"),IF(TODAY()&gt;$Q223,"OVERDUE "&amp;TEXT(TODAY()-$Q223,"0")&amp;" d",TEXT($Q223-TODAY(),"0")&amp;" d left"))))</f>
        <v/>
      </c>
      <c r="Z223" s="44" t="str">
        <f aca="false">IF($A223="","",IF($S223&lt;&gt;"","",IF($X223&lt;=7,"0-7 d",IF($X223&lt;=14,"8-14 d",IF($X223&lt;=30,"15-30 d","over 30 d")))))</f>
        <v/>
      </c>
      <c r="AA223" s="49"/>
      <c r="AB223" s="52"/>
      <c r="AC223" s="49"/>
      <c r="AD223" s="49"/>
      <c r="AE223" s="49"/>
      <c r="AF223" s="49"/>
      <c r="AG223" s="50"/>
    </row>
    <row r="224" customFormat="false" ht="15" hidden="false" customHeight="true" outlineLevel="0" collapsed="false">
      <c r="A224" s="48"/>
      <c r="B224" s="49"/>
      <c r="C224" s="49"/>
      <c r="D224" s="49"/>
      <c r="E224" s="49"/>
      <c r="F224" s="50"/>
      <c r="G224" s="49"/>
      <c r="H224" s="49"/>
      <c r="I224" s="49"/>
      <c r="J224" s="49"/>
      <c r="K224" s="50"/>
      <c r="L224" s="50"/>
      <c r="M224" s="49"/>
      <c r="N224" s="51"/>
      <c r="O224" s="49"/>
      <c r="P224" s="44" t="str">
        <f aca="false">IF($A224="","",IFERROR(INDEX(01_CONTROL!$B$15:$B$18,MATCH($O224,01_CONTROL!$A$15:$A$18,0)),14))</f>
        <v/>
      </c>
      <c r="Q224" s="45" t="str">
        <f aca="false">IF($A224="","",IF($N224="","",$N224+$P224))</f>
        <v/>
      </c>
      <c r="R224" s="49"/>
      <c r="S224" s="51"/>
      <c r="T224" s="50"/>
      <c r="U224" s="49"/>
      <c r="V224" s="49"/>
      <c r="W224" s="51"/>
      <c r="X224" s="44" t="str">
        <f aca="true">IF($A224="","",IF($N224="","",IF($S224="",TODAY()-$N224,$S224-$N224)))</f>
        <v/>
      </c>
      <c r="Y224" s="46" t="str">
        <f aca="true">IF($A224="","",IF(OR($V224="Closed",$V224="Void / withdrawn"),IF($S224="","Closed without response",IF($S224&gt;$Q224,"Answered late","Answered on time")),IF($S224&lt;&gt;"",IF($S224&gt;$Q224,"Answered late","Answered on time"),IF(TODAY()&gt;$Q224,"OVERDUE "&amp;TEXT(TODAY()-$Q224,"0")&amp;" d",TEXT($Q224-TODAY(),"0")&amp;" d left"))))</f>
        <v/>
      </c>
      <c r="Z224" s="44" t="str">
        <f aca="false">IF($A224="","",IF($S224&lt;&gt;"","",IF($X224&lt;=7,"0-7 d",IF($X224&lt;=14,"8-14 d",IF($X224&lt;=30,"15-30 d","over 30 d")))))</f>
        <v/>
      </c>
      <c r="AA224" s="49"/>
      <c r="AB224" s="52"/>
      <c r="AC224" s="49"/>
      <c r="AD224" s="49"/>
      <c r="AE224" s="49"/>
      <c r="AF224" s="49"/>
      <c r="AG224" s="50"/>
    </row>
    <row r="225" customFormat="false" ht="15" hidden="false" customHeight="true" outlineLevel="0" collapsed="false">
      <c r="A225" s="48"/>
      <c r="B225" s="49"/>
      <c r="C225" s="49"/>
      <c r="D225" s="49"/>
      <c r="E225" s="49"/>
      <c r="F225" s="50"/>
      <c r="G225" s="49"/>
      <c r="H225" s="49"/>
      <c r="I225" s="49"/>
      <c r="J225" s="49"/>
      <c r="K225" s="50"/>
      <c r="L225" s="50"/>
      <c r="M225" s="49"/>
      <c r="N225" s="51"/>
      <c r="O225" s="49"/>
      <c r="P225" s="44" t="str">
        <f aca="false">IF($A225="","",IFERROR(INDEX(01_CONTROL!$B$15:$B$18,MATCH($O225,01_CONTROL!$A$15:$A$18,0)),14))</f>
        <v/>
      </c>
      <c r="Q225" s="45" t="str">
        <f aca="false">IF($A225="","",IF($N225="","",$N225+$P225))</f>
        <v/>
      </c>
      <c r="R225" s="49"/>
      <c r="S225" s="51"/>
      <c r="T225" s="50"/>
      <c r="U225" s="49"/>
      <c r="V225" s="49"/>
      <c r="W225" s="51"/>
      <c r="X225" s="44" t="str">
        <f aca="true">IF($A225="","",IF($N225="","",IF($S225="",TODAY()-$N225,$S225-$N225)))</f>
        <v/>
      </c>
      <c r="Y225" s="46" t="str">
        <f aca="true">IF($A225="","",IF(OR($V225="Closed",$V225="Void / withdrawn"),IF($S225="","Closed without response",IF($S225&gt;$Q225,"Answered late","Answered on time")),IF($S225&lt;&gt;"",IF($S225&gt;$Q225,"Answered late","Answered on time"),IF(TODAY()&gt;$Q225,"OVERDUE "&amp;TEXT(TODAY()-$Q225,"0")&amp;" d",TEXT($Q225-TODAY(),"0")&amp;" d left"))))</f>
        <v/>
      </c>
      <c r="Z225" s="44" t="str">
        <f aca="false">IF($A225="","",IF($S225&lt;&gt;"","",IF($X225&lt;=7,"0-7 d",IF($X225&lt;=14,"8-14 d",IF($X225&lt;=30,"15-30 d","over 30 d")))))</f>
        <v/>
      </c>
      <c r="AA225" s="49"/>
      <c r="AB225" s="52"/>
      <c r="AC225" s="49"/>
      <c r="AD225" s="49"/>
      <c r="AE225" s="49"/>
      <c r="AF225" s="49"/>
      <c r="AG225" s="50"/>
    </row>
    <row r="226" customFormat="false" ht="15" hidden="false" customHeight="true" outlineLevel="0" collapsed="false">
      <c r="A226" s="48"/>
      <c r="B226" s="49"/>
      <c r="C226" s="49"/>
      <c r="D226" s="49"/>
      <c r="E226" s="49"/>
      <c r="F226" s="50"/>
      <c r="G226" s="49"/>
      <c r="H226" s="49"/>
      <c r="I226" s="49"/>
      <c r="J226" s="49"/>
      <c r="K226" s="50"/>
      <c r="L226" s="50"/>
      <c r="M226" s="49"/>
      <c r="N226" s="51"/>
      <c r="O226" s="49"/>
      <c r="P226" s="44" t="str">
        <f aca="false">IF($A226="","",IFERROR(INDEX(01_CONTROL!$B$15:$B$18,MATCH($O226,01_CONTROL!$A$15:$A$18,0)),14))</f>
        <v/>
      </c>
      <c r="Q226" s="45" t="str">
        <f aca="false">IF($A226="","",IF($N226="","",$N226+$P226))</f>
        <v/>
      </c>
      <c r="R226" s="49"/>
      <c r="S226" s="51"/>
      <c r="T226" s="50"/>
      <c r="U226" s="49"/>
      <c r="V226" s="49"/>
      <c r="W226" s="51"/>
      <c r="X226" s="44" t="str">
        <f aca="true">IF($A226="","",IF($N226="","",IF($S226="",TODAY()-$N226,$S226-$N226)))</f>
        <v/>
      </c>
      <c r="Y226" s="46" t="str">
        <f aca="true">IF($A226="","",IF(OR($V226="Closed",$V226="Void / withdrawn"),IF($S226="","Closed without response",IF($S226&gt;$Q226,"Answered late","Answered on time")),IF($S226&lt;&gt;"",IF($S226&gt;$Q226,"Answered late","Answered on time"),IF(TODAY()&gt;$Q226,"OVERDUE "&amp;TEXT(TODAY()-$Q226,"0")&amp;" d",TEXT($Q226-TODAY(),"0")&amp;" d left"))))</f>
        <v/>
      </c>
      <c r="Z226" s="44" t="str">
        <f aca="false">IF($A226="","",IF($S226&lt;&gt;"","",IF($X226&lt;=7,"0-7 d",IF($X226&lt;=14,"8-14 d",IF($X226&lt;=30,"15-30 d","over 30 d")))))</f>
        <v/>
      </c>
      <c r="AA226" s="49"/>
      <c r="AB226" s="52"/>
      <c r="AC226" s="49"/>
      <c r="AD226" s="49"/>
      <c r="AE226" s="49"/>
      <c r="AF226" s="49"/>
      <c r="AG226" s="50"/>
    </row>
    <row r="227" customFormat="false" ht="15" hidden="false" customHeight="true" outlineLevel="0" collapsed="false">
      <c r="A227" s="48"/>
      <c r="B227" s="49"/>
      <c r="C227" s="49"/>
      <c r="D227" s="49"/>
      <c r="E227" s="49"/>
      <c r="F227" s="50"/>
      <c r="G227" s="49"/>
      <c r="H227" s="49"/>
      <c r="I227" s="49"/>
      <c r="J227" s="49"/>
      <c r="K227" s="50"/>
      <c r="L227" s="50"/>
      <c r="M227" s="49"/>
      <c r="N227" s="51"/>
      <c r="O227" s="49"/>
      <c r="P227" s="44" t="str">
        <f aca="false">IF($A227="","",IFERROR(INDEX(01_CONTROL!$B$15:$B$18,MATCH($O227,01_CONTROL!$A$15:$A$18,0)),14))</f>
        <v/>
      </c>
      <c r="Q227" s="45" t="str">
        <f aca="false">IF($A227="","",IF($N227="","",$N227+$P227))</f>
        <v/>
      </c>
      <c r="R227" s="49"/>
      <c r="S227" s="51"/>
      <c r="T227" s="50"/>
      <c r="U227" s="49"/>
      <c r="V227" s="49"/>
      <c r="W227" s="51"/>
      <c r="X227" s="44" t="str">
        <f aca="true">IF($A227="","",IF($N227="","",IF($S227="",TODAY()-$N227,$S227-$N227)))</f>
        <v/>
      </c>
      <c r="Y227" s="46" t="str">
        <f aca="true">IF($A227="","",IF(OR($V227="Closed",$V227="Void / withdrawn"),IF($S227="","Closed without response",IF($S227&gt;$Q227,"Answered late","Answered on time")),IF($S227&lt;&gt;"",IF($S227&gt;$Q227,"Answered late","Answered on time"),IF(TODAY()&gt;$Q227,"OVERDUE "&amp;TEXT(TODAY()-$Q227,"0")&amp;" d",TEXT($Q227-TODAY(),"0")&amp;" d left"))))</f>
        <v/>
      </c>
      <c r="Z227" s="44" t="str">
        <f aca="false">IF($A227="","",IF($S227&lt;&gt;"","",IF($X227&lt;=7,"0-7 d",IF($X227&lt;=14,"8-14 d",IF($X227&lt;=30,"15-30 d","over 30 d")))))</f>
        <v/>
      </c>
      <c r="AA227" s="49"/>
      <c r="AB227" s="52"/>
      <c r="AC227" s="49"/>
      <c r="AD227" s="49"/>
      <c r="AE227" s="49"/>
      <c r="AF227" s="49"/>
      <c r="AG227" s="50"/>
    </row>
    <row r="228" customFormat="false" ht="15" hidden="false" customHeight="true" outlineLevel="0" collapsed="false">
      <c r="A228" s="48"/>
      <c r="B228" s="49"/>
      <c r="C228" s="49"/>
      <c r="D228" s="49"/>
      <c r="E228" s="49"/>
      <c r="F228" s="50"/>
      <c r="G228" s="49"/>
      <c r="H228" s="49"/>
      <c r="I228" s="49"/>
      <c r="J228" s="49"/>
      <c r="K228" s="50"/>
      <c r="L228" s="50"/>
      <c r="M228" s="49"/>
      <c r="N228" s="51"/>
      <c r="O228" s="49"/>
      <c r="P228" s="44" t="str">
        <f aca="false">IF($A228="","",IFERROR(INDEX(01_CONTROL!$B$15:$B$18,MATCH($O228,01_CONTROL!$A$15:$A$18,0)),14))</f>
        <v/>
      </c>
      <c r="Q228" s="45" t="str">
        <f aca="false">IF($A228="","",IF($N228="","",$N228+$P228))</f>
        <v/>
      </c>
      <c r="R228" s="49"/>
      <c r="S228" s="51"/>
      <c r="T228" s="50"/>
      <c r="U228" s="49"/>
      <c r="V228" s="49"/>
      <c r="W228" s="51"/>
      <c r="X228" s="44" t="str">
        <f aca="true">IF($A228="","",IF($N228="","",IF($S228="",TODAY()-$N228,$S228-$N228)))</f>
        <v/>
      </c>
      <c r="Y228" s="46" t="str">
        <f aca="true">IF($A228="","",IF(OR($V228="Closed",$V228="Void / withdrawn"),IF($S228="","Closed without response",IF($S228&gt;$Q228,"Answered late","Answered on time")),IF($S228&lt;&gt;"",IF($S228&gt;$Q228,"Answered late","Answered on time"),IF(TODAY()&gt;$Q228,"OVERDUE "&amp;TEXT(TODAY()-$Q228,"0")&amp;" d",TEXT($Q228-TODAY(),"0")&amp;" d left"))))</f>
        <v/>
      </c>
      <c r="Z228" s="44" t="str">
        <f aca="false">IF($A228="","",IF($S228&lt;&gt;"","",IF($X228&lt;=7,"0-7 d",IF($X228&lt;=14,"8-14 d",IF($X228&lt;=30,"15-30 d","over 30 d")))))</f>
        <v/>
      </c>
      <c r="AA228" s="49"/>
      <c r="AB228" s="52"/>
      <c r="AC228" s="49"/>
      <c r="AD228" s="49"/>
      <c r="AE228" s="49"/>
      <c r="AF228" s="49"/>
      <c r="AG228" s="50"/>
    </row>
    <row r="229" customFormat="false" ht="15" hidden="false" customHeight="true" outlineLevel="0" collapsed="false">
      <c r="A229" s="48"/>
      <c r="B229" s="49"/>
      <c r="C229" s="49"/>
      <c r="D229" s="49"/>
      <c r="E229" s="49"/>
      <c r="F229" s="50"/>
      <c r="G229" s="49"/>
      <c r="H229" s="49"/>
      <c r="I229" s="49"/>
      <c r="J229" s="49"/>
      <c r="K229" s="50"/>
      <c r="L229" s="50"/>
      <c r="M229" s="49"/>
      <c r="N229" s="51"/>
      <c r="O229" s="49"/>
      <c r="P229" s="44" t="str">
        <f aca="false">IF($A229="","",IFERROR(INDEX(01_CONTROL!$B$15:$B$18,MATCH($O229,01_CONTROL!$A$15:$A$18,0)),14))</f>
        <v/>
      </c>
      <c r="Q229" s="45" t="str">
        <f aca="false">IF($A229="","",IF($N229="","",$N229+$P229))</f>
        <v/>
      </c>
      <c r="R229" s="49"/>
      <c r="S229" s="51"/>
      <c r="T229" s="50"/>
      <c r="U229" s="49"/>
      <c r="V229" s="49"/>
      <c r="W229" s="51"/>
      <c r="X229" s="44" t="str">
        <f aca="true">IF($A229="","",IF($N229="","",IF($S229="",TODAY()-$N229,$S229-$N229)))</f>
        <v/>
      </c>
      <c r="Y229" s="46" t="str">
        <f aca="true">IF($A229="","",IF(OR($V229="Closed",$V229="Void / withdrawn"),IF($S229="","Closed without response",IF($S229&gt;$Q229,"Answered late","Answered on time")),IF($S229&lt;&gt;"",IF($S229&gt;$Q229,"Answered late","Answered on time"),IF(TODAY()&gt;$Q229,"OVERDUE "&amp;TEXT(TODAY()-$Q229,"0")&amp;" d",TEXT($Q229-TODAY(),"0")&amp;" d left"))))</f>
        <v/>
      </c>
      <c r="Z229" s="44" t="str">
        <f aca="false">IF($A229="","",IF($S229&lt;&gt;"","",IF($X229&lt;=7,"0-7 d",IF($X229&lt;=14,"8-14 d",IF($X229&lt;=30,"15-30 d","over 30 d")))))</f>
        <v/>
      </c>
      <c r="AA229" s="49"/>
      <c r="AB229" s="52"/>
      <c r="AC229" s="49"/>
      <c r="AD229" s="49"/>
      <c r="AE229" s="49"/>
      <c r="AF229" s="49"/>
      <c r="AG229" s="50"/>
    </row>
    <row r="230" customFormat="false" ht="15" hidden="false" customHeight="true" outlineLevel="0" collapsed="false">
      <c r="A230" s="48"/>
      <c r="B230" s="49"/>
      <c r="C230" s="49"/>
      <c r="D230" s="49"/>
      <c r="E230" s="49"/>
      <c r="F230" s="50"/>
      <c r="G230" s="49"/>
      <c r="H230" s="49"/>
      <c r="I230" s="49"/>
      <c r="J230" s="49"/>
      <c r="K230" s="50"/>
      <c r="L230" s="50"/>
      <c r="M230" s="49"/>
      <c r="N230" s="51"/>
      <c r="O230" s="49"/>
      <c r="P230" s="44" t="str">
        <f aca="false">IF($A230="","",IFERROR(INDEX(01_CONTROL!$B$15:$B$18,MATCH($O230,01_CONTROL!$A$15:$A$18,0)),14))</f>
        <v/>
      </c>
      <c r="Q230" s="45" t="str">
        <f aca="false">IF($A230="","",IF($N230="","",$N230+$P230))</f>
        <v/>
      </c>
      <c r="R230" s="49"/>
      <c r="S230" s="51"/>
      <c r="T230" s="50"/>
      <c r="U230" s="49"/>
      <c r="V230" s="49"/>
      <c r="W230" s="51"/>
      <c r="X230" s="44" t="str">
        <f aca="true">IF($A230="","",IF($N230="","",IF($S230="",TODAY()-$N230,$S230-$N230)))</f>
        <v/>
      </c>
      <c r="Y230" s="46" t="str">
        <f aca="true">IF($A230="","",IF(OR($V230="Closed",$V230="Void / withdrawn"),IF($S230="","Closed without response",IF($S230&gt;$Q230,"Answered late","Answered on time")),IF($S230&lt;&gt;"",IF($S230&gt;$Q230,"Answered late","Answered on time"),IF(TODAY()&gt;$Q230,"OVERDUE "&amp;TEXT(TODAY()-$Q230,"0")&amp;" d",TEXT($Q230-TODAY(),"0")&amp;" d left"))))</f>
        <v/>
      </c>
      <c r="Z230" s="44" t="str">
        <f aca="false">IF($A230="","",IF($S230&lt;&gt;"","",IF($X230&lt;=7,"0-7 d",IF($X230&lt;=14,"8-14 d",IF($X230&lt;=30,"15-30 d","over 30 d")))))</f>
        <v/>
      </c>
      <c r="AA230" s="49"/>
      <c r="AB230" s="52"/>
      <c r="AC230" s="49"/>
      <c r="AD230" s="49"/>
      <c r="AE230" s="49"/>
      <c r="AF230" s="49"/>
      <c r="AG230" s="50"/>
    </row>
    <row r="231" customFormat="false" ht="15" hidden="false" customHeight="true" outlineLevel="0" collapsed="false">
      <c r="A231" s="48"/>
      <c r="B231" s="49"/>
      <c r="C231" s="49"/>
      <c r="D231" s="49"/>
      <c r="E231" s="49"/>
      <c r="F231" s="50"/>
      <c r="G231" s="49"/>
      <c r="H231" s="49"/>
      <c r="I231" s="49"/>
      <c r="J231" s="49"/>
      <c r="K231" s="50"/>
      <c r="L231" s="50"/>
      <c r="M231" s="49"/>
      <c r="N231" s="51"/>
      <c r="O231" s="49"/>
      <c r="P231" s="44" t="str">
        <f aca="false">IF($A231="","",IFERROR(INDEX(01_CONTROL!$B$15:$B$18,MATCH($O231,01_CONTROL!$A$15:$A$18,0)),14))</f>
        <v/>
      </c>
      <c r="Q231" s="45" t="str">
        <f aca="false">IF($A231="","",IF($N231="","",$N231+$P231))</f>
        <v/>
      </c>
      <c r="R231" s="49"/>
      <c r="S231" s="51"/>
      <c r="T231" s="50"/>
      <c r="U231" s="49"/>
      <c r="V231" s="49"/>
      <c r="W231" s="51"/>
      <c r="X231" s="44" t="str">
        <f aca="true">IF($A231="","",IF($N231="","",IF($S231="",TODAY()-$N231,$S231-$N231)))</f>
        <v/>
      </c>
      <c r="Y231" s="46" t="str">
        <f aca="true">IF($A231="","",IF(OR($V231="Closed",$V231="Void / withdrawn"),IF($S231="","Closed without response",IF($S231&gt;$Q231,"Answered late","Answered on time")),IF($S231&lt;&gt;"",IF($S231&gt;$Q231,"Answered late","Answered on time"),IF(TODAY()&gt;$Q231,"OVERDUE "&amp;TEXT(TODAY()-$Q231,"0")&amp;" d",TEXT($Q231-TODAY(),"0")&amp;" d left"))))</f>
        <v/>
      </c>
      <c r="Z231" s="44" t="str">
        <f aca="false">IF($A231="","",IF($S231&lt;&gt;"","",IF($X231&lt;=7,"0-7 d",IF($X231&lt;=14,"8-14 d",IF($X231&lt;=30,"15-30 d","over 30 d")))))</f>
        <v/>
      </c>
      <c r="AA231" s="49"/>
      <c r="AB231" s="52"/>
      <c r="AC231" s="49"/>
      <c r="AD231" s="49"/>
      <c r="AE231" s="49"/>
      <c r="AF231" s="49"/>
      <c r="AG231" s="50"/>
    </row>
    <row r="232" customFormat="false" ht="15" hidden="false" customHeight="true" outlineLevel="0" collapsed="false">
      <c r="A232" s="48"/>
      <c r="B232" s="49"/>
      <c r="C232" s="49"/>
      <c r="D232" s="49"/>
      <c r="E232" s="49"/>
      <c r="F232" s="50"/>
      <c r="G232" s="49"/>
      <c r="H232" s="49"/>
      <c r="I232" s="49"/>
      <c r="J232" s="49"/>
      <c r="K232" s="50"/>
      <c r="L232" s="50"/>
      <c r="M232" s="49"/>
      <c r="N232" s="51"/>
      <c r="O232" s="49"/>
      <c r="P232" s="44" t="str">
        <f aca="false">IF($A232="","",IFERROR(INDEX(01_CONTROL!$B$15:$B$18,MATCH($O232,01_CONTROL!$A$15:$A$18,0)),14))</f>
        <v/>
      </c>
      <c r="Q232" s="45" t="str">
        <f aca="false">IF($A232="","",IF($N232="","",$N232+$P232))</f>
        <v/>
      </c>
      <c r="R232" s="49"/>
      <c r="S232" s="51"/>
      <c r="T232" s="50"/>
      <c r="U232" s="49"/>
      <c r="V232" s="49"/>
      <c r="W232" s="51"/>
      <c r="X232" s="44" t="str">
        <f aca="true">IF($A232="","",IF($N232="","",IF($S232="",TODAY()-$N232,$S232-$N232)))</f>
        <v/>
      </c>
      <c r="Y232" s="46" t="str">
        <f aca="true">IF($A232="","",IF(OR($V232="Closed",$V232="Void / withdrawn"),IF($S232="","Closed without response",IF($S232&gt;$Q232,"Answered late","Answered on time")),IF($S232&lt;&gt;"",IF($S232&gt;$Q232,"Answered late","Answered on time"),IF(TODAY()&gt;$Q232,"OVERDUE "&amp;TEXT(TODAY()-$Q232,"0")&amp;" d",TEXT($Q232-TODAY(),"0")&amp;" d left"))))</f>
        <v/>
      </c>
      <c r="Z232" s="44" t="str">
        <f aca="false">IF($A232="","",IF($S232&lt;&gt;"","",IF($X232&lt;=7,"0-7 d",IF($X232&lt;=14,"8-14 d",IF($X232&lt;=30,"15-30 d","over 30 d")))))</f>
        <v/>
      </c>
      <c r="AA232" s="49"/>
      <c r="AB232" s="52"/>
      <c r="AC232" s="49"/>
      <c r="AD232" s="49"/>
      <c r="AE232" s="49"/>
      <c r="AF232" s="49"/>
      <c r="AG232" s="50"/>
    </row>
    <row r="233" customFormat="false" ht="15" hidden="false" customHeight="true" outlineLevel="0" collapsed="false">
      <c r="A233" s="48"/>
      <c r="B233" s="49"/>
      <c r="C233" s="49"/>
      <c r="D233" s="49"/>
      <c r="E233" s="49"/>
      <c r="F233" s="50"/>
      <c r="G233" s="49"/>
      <c r="H233" s="49"/>
      <c r="I233" s="49"/>
      <c r="J233" s="49"/>
      <c r="K233" s="50"/>
      <c r="L233" s="50"/>
      <c r="M233" s="49"/>
      <c r="N233" s="51"/>
      <c r="O233" s="49"/>
      <c r="P233" s="44" t="str">
        <f aca="false">IF($A233="","",IFERROR(INDEX(01_CONTROL!$B$15:$B$18,MATCH($O233,01_CONTROL!$A$15:$A$18,0)),14))</f>
        <v/>
      </c>
      <c r="Q233" s="45" t="str">
        <f aca="false">IF($A233="","",IF($N233="","",$N233+$P233))</f>
        <v/>
      </c>
      <c r="R233" s="49"/>
      <c r="S233" s="51"/>
      <c r="T233" s="50"/>
      <c r="U233" s="49"/>
      <c r="V233" s="49"/>
      <c r="W233" s="51"/>
      <c r="X233" s="44" t="str">
        <f aca="true">IF($A233="","",IF($N233="","",IF($S233="",TODAY()-$N233,$S233-$N233)))</f>
        <v/>
      </c>
      <c r="Y233" s="46" t="str">
        <f aca="true">IF($A233="","",IF(OR($V233="Closed",$V233="Void / withdrawn"),IF($S233="","Closed without response",IF($S233&gt;$Q233,"Answered late","Answered on time")),IF($S233&lt;&gt;"",IF($S233&gt;$Q233,"Answered late","Answered on time"),IF(TODAY()&gt;$Q233,"OVERDUE "&amp;TEXT(TODAY()-$Q233,"0")&amp;" d",TEXT($Q233-TODAY(),"0")&amp;" d left"))))</f>
        <v/>
      </c>
      <c r="Z233" s="44" t="str">
        <f aca="false">IF($A233="","",IF($S233&lt;&gt;"","",IF($X233&lt;=7,"0-7 d",IF($X233&lt;=14,"8-14 d",IF($X233&lt;=30,"15-30 d","over 30 d")))))</f>
        <v/>
      </c>
      <c r="AA233" s="49"/>
      <c r="AB233" s="52"/>
      <c r="AC233" s="49"/>
      <c r="AD233" s="49"/>
      <c r="AE233" s="49"/>
      <c r="AF233" s="49"/>
      <c r="AG233" s="50"/>
    </row>
    <row r="234" customFormat="false" ht="15" hidden="false" customHeight="true" outlineLevel="0" collapsed="false">
      <c r="A234" s="48"/>
      <c r="B234" s="49"/>
      <c r="C234" s="49"/>
      <c r="D234" s="49"/>
      <c r="E234" s="49"/>
      <c r="F234" s="50"/>
      <c r="G234" s="49"/>
      <c r="H234" s="49"/>
      <c r="I234" s="49"/>
      <c r="J234" s="49"/>
      <c r="K234" s="50"/>
      <c r="L234" s="50"/>
      <c r="M234" s="49"/>
      <c r="N234" s="51"/>
      <c r="O234" s="49"/>
      <c r="P234" s="44" t="str">
        <f aca="false">IF($A234="","",IFERROR(INDEX(01_CONTROL!$B$15:$B$18,MATCH($O234,01_CONTROL!$A$15:$A$18,0)),14))</f>
        <v/>
      </c>
      <c r="Q234" s="45" t="str">
        <f aca="false">IF($A234="","",IF($N234="","",$N234+$P234))</f>
        <v/>
      </c>
      <c r="R234" s="49"/>
      <c r="S234" s="51"/>
      <c r="T234" s="50"/>
      <c r="U234" s="49"/>
      <c r="V234" s="49"/>
      <c r="W234" s="51"/>
      <c r="X234" s="44" t="str">
        <f aca="true">IF($A234="","",IF($N234="","",IF($S234="",TODAY()-$N234,$S234-$N234)))</f>
        <v/>
      </c>
      <c r="Y234" s="46" t="str">
        <f aca="true">IF($A234="","",IF(OR($V234="Closed",$V234="Void / withdrawn"),IF($S234="","Closed without response",IF($S234&gt;$Q234,"Answered late","Answered on time")),IF($S234&lt;&gt;"",IF($S234&gt;$Q234,"Answered late","Answered on time"),IF(TODAY()&gt;$Q234,"OVERDUE "&amp;TEXT(TODAY()-$Q234,"0")&amp;" d",TEXT($Q234-TODAY(),"0")&amp;" d left"))))</f>
        <v/>
      </c>
      <c r="Z234" s="44" t="str">
        <f aca="false">IF($A234="","",IF($S234&lt;&gt;"","",IF($X234&lt;=7,"0-7 d",IF($X234&lt;=14,"8-14 d",IF($X234&lt;=30,"15-30 d","over 30 d")))))</f>
        <v/>
      </c>
      <c r="AA234" s="49"/>
      <c r="AB234" s="52"/>
      <c r="AC234" s="49"/>
      <c r="AD234" s="49"/>
      <c r="AE234" s="49"/>
      <c r="AF234" s="49"/>
      <c r="AG234" s="50"/>
    </row>
    <row r="235" customFormat="false" ht="15" hidden="false" customHeight="true" outlineLevel="0" collapsed="false">
      <c r="A235" s="48"/>
      <c r="B235" s="49"/>
      <c r="C235" s="49"/>
      <c r="D235" s="49"/>
      <c r="E235" s="49"/>
      <c r="F235" s="50"/>
      <c r="G235" s="49"/>
      <c r="H235" s="49"/>
      <c r="I235" s="49"/>
      <c r="J235" s="49"/>
      <c r="K235" s="50"/>
      <c r="L235" s="50"/>
      <c r="M235" s="49"/>
      <c r="N235" s="51"/>
      <c r="O235" s="49"/>
      <c r="P235" s="44" t="str">
        <f aca="false">IF($A235="","",IFERROR(INDEX(01_CONTROL!$B$15:$B$18,MATCH($O235,01_CONTROL!$A$15:$A$18,0)),14))</f>
        <v/>
      </c>
      <c r="Q235" s="45" t="str">
        <f aca="false">IF($A235="","",IF($N235="","",$N235+$P235))</f>
        <v/>
      </c>
      <c r="R235" s="49"/>
      <c r="S235" s="51"/>
      <c r="T235" s="50"/>
      <c r="U235" s="49"/>
      <c r="V235" s="49"/>
      <c r="W235" s="51"/>
      <c r="X235" s="44" t="str">
        <f aca="true">IF($A235="","",IF($N235="","",IF($S235="",TODAY()-$N235,$S235-$N235)))</f>
        <v/>
      </c>
      <c r="Y235" s="46" t="str">
        <f aca="true">IF($A235="","",IF(OR($V235="Closed",$V235="Void / withdrawn"),IF($S235="","Closed without response",IF($S235&gt;$Q235,"Answered late","Answered on time")),IF($S235&lt;&gt;"",IF($S235&gt;$Q235,"Answered late","Answered on time"),IF(TODAY()&gt;$Q235,"OVERDUE "&amp;TEXT(TODAY()-$Q235,"0")&amp;" d",TEXT($Q235-TODAY(),"0")&amp;" d left"))))</f>
        <v/>
      </c>
      <c r="Z235" s="44" t="str">
        <f aca="false">IF($A235="","",IF($S235&lt;&gt;"","",IF($X235&lt;=7,"0-7 d",IF($X235&lt;=14,"8-14 d",IF($X235&lt;=30,"15-30 d","over 30 d")))))</f>
        <v/>
      </c>
      <c r="AA235" s="49"/>
      <c r="AB235" s="52"/>
      <c r="AC235" s="49"/>
      <c r="AD235" s="49"/>
      <c r="AE235" s="49"/>
      <c r="AF235" s="49"/>
      <c r="AG235" s="50"/>
    </row>
    <row r="236" customFormat="false" ht="15" hidden="false" customHeight="true" outlineLevel="0" collapsed="false">
      <c r="A236" s="48"/>
      <c r="B236" s="49"/>
      <c r="C236" s="49"/>
      <c r="D236" s="49"/>
      <c r="E236" s="49"/>
      <c r="F236" s="50"/>
      <c r="G236" s="49"/>
      <c r="H236" s="49"/>
      <c r="I236" s="49"/>
      <c r="J236" s="49"/>
      <c r="K236" s="50"/>
      <c r="L236" s="50"/>
      <c r="M236" s="49"/>
      <c r="N236" s="51"/>
      <c r="O236" s="49"/>
      <c r="P236" s="44" t="str">
        <f aca="false">IF($A236="","",IFERROR(INDEX(01_CONTROL!$B$15:$B$18,MATCH($O236,01_CONTROL!$A$15:$A$18,0)),14))</f>
        <v/>
      </c>
      <c r="Q236" s="45" t="str">
        <f aca="false">IF($A236="","",IF($N236="","",$N236+$P236))</f>
        <v/>
      </c>
      <c r="R236" s="49"/>
      <c r="S236" s="51"/>
      <c r="T236" s="50"/>
      <c r="U236" s="49"/>
      <c r="V236" s="49"/>
      <c r="W236" s="51"/>
      <c r="X236" s="44" t="str">
        <f aca="true">IF($A236="","",IF($N236="","",IF($S236="",TODAY()-$N236,$S236-$N236)))</f>
        <v/>
      </c>
      <c r="Y236" s="46" t="str">
        <f aca="true">IF($A236="","",IF(OR($V236="Closed",$V236="Void / withdrawn"),IF($S236="","Closed without response",IF($S236&gt;$Q236,"Answered late","Answered on time")),IF($S236&lt;&gt;"",IF($S236&gt;$Q236,"Answered late","Answered on time"),IF(TODAY()&gt;$Q236,"OVERDUE "&amp;TEXT(TODAY()-$Q236,"0")&amp;" d",TEXT($Q236-TODAY(),"0")&amp;" d left"))))</f>
        <v/>
      </c>
      <c r="Z236" s="44" t="str">
        <f aca="false">IF($A236="","",IF($S236&lt;&gt;"","",IF($X236&lt;=7,"0-7 d",IF($X236&lt;=14,"8-14 d",IF($X236&lt;=30,"15-30 d","over 30 d")))))</f>
        <v/>
      </c>
      <c r="AA236" s="49"/>
      <c r="AB236" s="52"/>
      <c r="AC236" s="49"/>
      <c r="AD236" s="49"/>
      <c r="AE236" s="49"/>
      <c r="AF236" s="49"/>
      <c r="AG236" s="50"/>
    </row>
    <row r="237" customFormat="false" ht="15" hidden="false" customHeight="true" outlineLevel="0" collapsed="false">
      <c r="A237" s="48"/>
      <c r="B237" s="49"/>
      <c r="C237" s="49"/>
      <c r="D237" s="49"/>
      <c r="E237" s="49"/>
      <c r="F237" s="50"/>
      <c r="G237" s="49"/>
      <c r="H237" s="49"/>
      <c r="I237" s="49"/>
      <c r="J237" s="49"/>
      <c r="K237" s="50"/>
      <c r="L237" s="50"/>
      <c r="M237" s="49"/>
      <c r="N237" s="51"/>
      <c r="O237" s="49"/>
      <c r="P237" s="44" t="str">
        <f aca="false">IF($A237="","",IFERROR(INDEX(01_CONTROL!$B$15:$B$18,MATCH($O237,01_CONTROL!$A$15:$A$18,0)),14))</f>
        <v/>
      </c>
      <c r="Q237" s="45" t="str">
        <f aca="false">IF($A237="","",IF($N237="","",$N237+$P237))</f>
        <v/>
      </c>
      <c r="R237" s="49"/>
      <c r="S237" s="51"/>
      <c r="T237" s="50"/>
      <c r="U237" s="49"/>
      <c r="V237" s="49"/>
      <c r="W237" s="51"/>
      <c r="X237" s="44" t="str">
        <f aca="true">IF($A237="","",IF($N237="","",IF($S237="",TODAY()-$N237,$S237-$N237)))</f>
        <v/>
      </c>
      <c r="Y237" s="46" t="str">
        <f aca="true">IF($A237="","",IF(OR($V237="Closed",$V237="Void / withdrawn"),IF($S237="","Closed without response",IF($S237&gt;$Q237,"Answered late","Answered on time")),IF($S237&lt;&gt;"",IF($S237&gt;$Q237,"Answered late","Answered on time"),IF(TODAY()&gt;$Q237,"OVERDUE "&amp;TEXT(TODAY()-$Q237,"0")&amp;" d",TEXT($Q237-TODAY(),"0")&amp;" d left"))))</f>
        <v/>
      </c>
      <c r="Z237" s="44" t="str">
        <f aca="false">IF($A237="","",IF($S237&lt;&gt;"","",IF($X237&lt;=7,"0-7 d",IF($X237&lt;=14,"8-14 d",IF($X237&lt;=30,"15-30 d","over 30 d")))))</f>
        <v/>
      </c>
      <c r="AA237" s="49"/>
      <c r="AB237" s="52"/>
      <c r="AC237" s="49"/>
      <c r="AD237" s="49"/>
      <c r="AE237" s="49"/>
      <c r="AF237" s="49"/>
      <c r="AG237" s="50"/>
    </row>
    <row r="238" customFormat="false" ht="15" hidden="false" customHeight="true" outlineLevel="0" collapsed="false">
      <c r="A238" s="48"/>
      <c r="B238" s="49"/>
      <c r="C238" s="49"/>
      <c r="D238" s="49"/>
      <c r="E238" s="49"/>
      <c r="F238" s="50"/>
      <c r="G238" s="49"/>
      <c r="H238" s="49"/>
      <c r="I238" s="49"/>
      <c r="J238" s="49"/>
      <c r="K238" s="50"/>
      <c r="L238" s="50"/>
      <c r="M238" s="49"/>
      <c r="N238" s="51"/>
      <c r="O238" s="49"/>
      <c r="P238" s="44" t="str">
        <f aca="false">IF($A238="","",IFERROR(INDEX(01_CONTROL!$B$15:$B$18,MATCH($O238,01_CONTROL!$A$15:$A$18,0)),14))</f>
        <v/>
      </c>
      <c r="Q238" s="45" t="str">
        <f aca="false">IF($A238="","",IF($N238="","",$N238+$P238))</f>
        <v/>
      </c>
      <c r="R238" s="49"/>
      <c r="S238" s="51"/>
      <c r="T238" s="50"/>
      <c r="U238" s="49"/>
      <c r="V238" s="49"/>
      <c r="W238" s="51"/>
      <c r="X238" s="44" t="str">
        <f aca="true">IF($A238="","",IF($N238="","",IF($S238="",TODAY()-$N238,$S238-$N238)))</f>
        <v/>
      </c>
      <c r="Y238" s="46" t="str">
        <f aca="true">IF($A238="","",IF(OR($V238="Closed",$V238="Void / withdrawn"),IF($S238="","Closed without response",IF($S238&gt;$Q238,"Answered late","Answered on time")),IF($S238&lt;&gt;"",IF($S238&gt;$Q238,"Answered late","Answered on time"),IF(TODAY()&gt;$Q238,"OVERDUE "&amp;TEXT(TODAY()-$Q238,"0")&amp;" d",TEXT($Q238-TODAY(),"0")&amp;" d left"))))</f>
        <v/>
      </c>
      <c r="Z238" s="44" t="str">
        <f aca="false">IF($A238="","",IF($S238&lt;&gt;"","",IF($X238&lt;=7,"0-7 d",IF($X238&lt;=14,"8-14 d",IF($X238&lt;=30,"15-30 d","over 30 d")))))</f>
        <v/>
      </c>
      <c r="AA238" s="49"/>
      <c r="AB238" s="52"/>
      <c r="AC238" s="49"/>
      <c r="AD238" s="49"/>
      <c r="AE238" s="49"/>
      <c r="AF238" s="49"/>
      <c r="AG238" s="50"/>
    </row>
    <row r="239" customFormat="false" ht="15" hidden="false" customHeight="true" outlineLevel="0" collapsed="false">
      <c r="A239" s="48"/>
      <c r="B239" s="49"/>
      <c r="C239" s="49"/>
      <c r="D239" s="49"/>
      <c r="E239" s="49"/>
      <c r="F239" s="50"/>
      <c r="G239" s="49"/>
      <c r="H239" s="49"/>
      <c r="I239" s="49"/>
      <c r="J239" s="49"/>
      <c r="K239" s="50"/>
      <c r="L239" s="50"/>
      <c r="M239" s="49"/>
      <c r="N239" s="51"/>
      <c r="O239" s="49"/>
      <c r="P239" s="44" t="str">
        <f aca="false">IF($A239="","",IFERROR(INDEX(01_CONTROL!$B$15:$B$18,MATCH($O239,01_CONTROL!$A$15:$A$18,0)),14))</f>
        <v/>
      </c>
      <c r="Q239" s="45" t="str">
        <f aca="false">IF($A239="","",IF($N239="","",$N239+$P239))</f>
        <v/>
      </c>
      <c r="R239" s="49"/>
      <c r="S239" s="51"/>
      <c r="T239" s="50"/>
      <c r="U239" s="49"/>
      <c r="V239" s="49"/>
      <c r="W239" s="51"/>
      <c r="X239" s="44" t="str">
        <f aca="true">IF($A239="","",IF($N239="","",IF($S239="",TODAY()-$N239,$S239-$N239)))</f>
        <v/>
      </c>
      <c r="Y239" s="46" t="str">
        <f aca="true">IF($A239="","",IF(OR($V239="Closed",$V239="Void / withdrawn"),IF($S239="","Closed without response",IF($S239&gt;$Q239,"Answered late","Answered on time")),IF($S239&lt;&gt;"",IF($S239&gt;$Q239,"Answered late","Answered on time"),IF(TODAY()&gt;$Q239,"OVERDUE "&amp;TEXT(TODAY()-$Q239,"0")&amp;" d",TEXT($Q239-TODAY(),"0")&amp;" d left"))))</f>
        <v/>
      </c>
      <c r="Z239" s="44" t="str">
        <f aca="false">IF($A239="","",IF($S239&lt;&gt;"","",IF($X239&lt;=7,"0-7 d",IF($X239&lt;=14,"8-14 d",IF($X239&lt;=30,"15-30 d","over 30 d")))))</f>
        <v/>
      </c>
      <c r="AA239" s="49"/>
      <c r="AB239" s="52"/>
      <c r="AC239" s="49"/>
      <c r="AD239" s="49"/>
      <c r="AE239" s="49"/>
      <c r="AF239" s="49"/>
      <c r="AG239" s="50"/>
    </row>
    <row r="240" customFormat="false" ht="15" hidden="false" customHeight="true" outlineLevel="0" collapsed="false">
      <c r="A240" s="48"/>
      <c r="B240" s="49"/>
      <c r="C240" s="49"/>
      <c r="D240" s="49"/>
      <c r="E240" s="49"/>
      <c r="F240" s="50"/>
      <c r="G240" s="49"/>
      <c r="H240" s="49"/>
      <c r="I240" s="49"/>
      <c r="J240" s="49"/>
      <c r="K240" s="50"/>
      <c r="L240" s="50"/>
      <c r="M240" s="49"/>
      <c r="N240" s="51"/>
      <c r="O240" s="49"/>
      <c r="P240" s="44" t="str">
        <f aca="false">IF($A240="","",IFERROR(INDEX(01_CONTROL!$B$15:$B$18,MATCH($O240,01_CONTROL!$A$15:$A$18,0)),14))</f>
        <v/>
      </c>
      <c r="Q240" s="45" t="str">
        <f aca="false">IF($A240="","",IF($N240="","",$N240+$P240))</f>
        <v/>
      </c>
      <c r="R240" s="49"/>
      <c r="S240" s="51"/>
      <c r="T240" s="50"/>
      <c r="U240" s="49"/>
      <c r="V240" s="49"/>
      <c r="W240" s="51"/>
      <c r="X240" s="44" t="str">
        <f aca="true">IF($A240="","",IF($N240="","",IF($S240="",TODAY()-$N240,$S240-$N240)))</f>
        <v/>
      </c>
      <c r="Y240" s="46" t="str">
        <f aca="true">IF($A240="","",IF(OR($V240="Closed",$V240="Void / withdrawn"),IF($S240="","Closed without response",IF($S240&gt;$Q240,"Answered late","Answered on time")),IF($S240&lt;&gt;"",IF($S240&gt;$Q240,"Answered late","Answered on time"),IF(TODAY()&gt;$Q240,"OVERDUE "&amp;TEXT(TODAY()-$Q240,"0")&amp;" d",TEXT($Q240-TODAY(),"0")&amp;" d left"))))</f>
        <v/>
      </c>
      <c r="Z240" s="44" t="str">
        <f aca="false">IF($A240="","",IF($S240&lt;&gt;"","",IF($X240&lt;=7,"0-7 d",IF($X240&lt;=14,"8-14 d",IF($X240&lt;=30,"15-30 d","over 30 d")))))</f>
        <v/>
      </c>
      <c r="AA240" s="49"/>
      <c r="AB240" s="52"/>
      <c r="AC240" s="49"/>
      <c r="AD240" s="49"/>
      <c r="AE240" s="49"/>
      <c r="AF240" s="49"/>
      <c r="AG240" s="50"/>
    </row>
    <row r="241" customFormat="false" ht="15" hidden="false" customHeight="true" outlineLevel="0" collapsed="false">
      <c r="A241" s="48"/>
      <c r="B241" s="49"/>
      <c r="C241" s="49"/>
      <c r="D241" s="49"/>
      <c r="E241" s="49"/>
      <c r="F241" s="50"/>
      <c r="G241" s="49"/>
      <c r="H241" s="49"/>
      <c r="I241" s="49"/>
      <c r="J241" s="49"/>
      <c r="K241" s="50"/>
      <c r="L241" s="50"/>
      <c r="M241" s="49"/>
      <c r="N241" s="51"/>
      <c r="O241" s="49"/>
      <c r="P241" s="44" t="str">
        <f aca="false">IF($A241="","",IFERROR(INDEX(01_CONTROL!$B$15:$B$18,MATCH($O241,01_CONTROL!$A$15:$A$18,0)),14))</f>
        <v/>
      </c>
      <c r="Q241" s="45" t="str">
        <f aca="false">IF($A241="","",IF($N241="","",$N241+$P241))</f>
        <v/>
      </c>
      <c r="R241" s="49"/>
      <c r="S241" s="51"/>
      <c r="T241" s="50"/>
      <c r="U241" s="49"/>
      <c r="V241" s="49"/>
      <c r="W241" s="51"/>
      <c r="X241" s="44" t="str">
        <f aca="true">IF($A241="","",IF($N241="","",IF($S241="",TODAY()-$N241,$S241-$N241)))</f>
        <v/>
      </c>
      <c r="Y241" s="46" t="str">
        <f aca="true">IF($A241="","",IF(OR($V241="Closed",$V241="Void / withdrawn"),IF($S241="","Closed without response",IF($S241&gt;$Q241,"Answered late","Answered on time")),IF($S241&lt;&gt;"",IF($S241&gt;$Q241,"Answered late","Answered on time"),IF(TODAY()&gt;$Q241,"OVERDUE "&amp;TEXT(TODAY()-$Q241,"0")&amp;" d",TEXT($Q241-TODAY(),"0")&amp;" d left"))))</f>
        <v/>
      </c>
      <c r="Z241" s="44" t="str">
        <f aca="false">IF($A241="","",IF($S241&lt;&gt;"","",IF($X241&lt;=7,"0-7 d",IF($X241&lt;=14,"8-14 d",IF($X241&lt;=30,"15-30 d","over 30 d")))))</f>
        <v/>
      </c>
      <c r="AA241" s="49"/>
      <c r="AB241" s="52"/>
      <c r="AC241" s="49"/>
      <c r="AD241" s="49"/>
      <c r="AE241" s="49"/>
      <c r="AF241" s="49"/>
      <c r="AG241" s="50"/>
    </row>
    <row r="242" customFormat="false" ht="15" hidden="false" customHeight="true" outlineLevel="0" collapsed="false">
      <c r="A242" s="48"/>
      <c r="B242" s="49"/>
      <c r="C242" s="49"/>
      <c r="D242" s="49"/>
      <c r="E242" s="49"/>
      <c r="F242" s="50"/>
      <c r="G242" s="49"/>
      <c r="H242" s="49"/>
      <c r="I242" s="49"/>
      <c r="J242" s="49"/>
      <c r="K242" s="50"/>
      <c r="L242" s="50"/>
      <c r="M242" s="49"/>
      <c r="N242" s="51"/>
      <c r="O242" s="49"/>
      <c r="P242" s="44" t="str">
        <f aca="false">IF($A242="","",IFERROR(INDEX(01_CONTROL!$B$15:$B$18,MATCH($O242,01_CONTROL!$A$15:$A$18,0)),14))</f>
        <v/>
      </c>
      <c r="Q242" s="45" t="str">
        <f aca="false">IF($A242="","",IF($N242="","",$N242+$P242))</f>
        <v/>
      </c>
      <c r="R242" s="49"/>
      <c r="S242" s="51"/>
      <c r="T242" s="50"/>
      <c r="U242" s="49"/>
      <c r="V242" s="49"/>
      <c r="W242" s="51"/>
      <c r="X242" s="44" t="str">
        <f aca="true">IF($A242="","",IF($N242="","",IF($S242="",TODAY()-$N242,$S242-$N242)))</f>
        <v/>
      </c>
      <c r="Y242" s="46" t="str">
        <f aca="true">IF($A242="","",IF(OR($V242="Closed",$V242="Void / withdrawn"),IF($S242="","Closed without response",IF($S242&gt;$Q242,"Answered late","Answered on time")),IF($S242&lt;&gt;"",IF($S242&gt;$Q242,"Answered late","Answered on time"),IF(TODAY()&gt;$Q242,"OVERDUE "&amp;TEXT(TODAY()-$Q242,"0")&amp;" d",TEXT($Q242-TODAY(),"0")&amp;" d left"))))</f>
        <v/>
      </c>
      <c r="Z242" s="44" t="str">
        <f aca="false">IF($A242="","",IF($S242&lt;&gt;"","",IF($X242&lt;=7,"0-7 d",IF($X242&lt;=14,"8-14 d",IF($X242&lt;=30,"15-30 d","over 30 d")))))</f>
        <v/>
      </c>
      <c r="AA242" s="49"/>
      <c r="AB242" s="52"/>
      <c r="AC242" s="49"/>
      <c r="AD242" s="49"/>
      <c r="AE242" s="49"/>
      <c r="AF242" s="49"/>
      <c r="AG242" s="50"/>
    </row>
    <row r="243" customFormat="false" ht="15" hidden="false" customHeight="true" outlineLevel="0" collapsed="false">
      <c r="A243" s="48"/>
      <c r="B243" s="49"/>
      <c r="C243" s="49"/>
      <c r="D243" s="49"/>
      <c r="E243" s="49"/>
      <c r="F243" s="50"/>
      <c r="G243" s="49"/>
      <c r="H243" s="49"/>
      <c r="I243" s="49"/>
      <c r="J243" s="49"/>
      <c r="K243" s="50"/>
      <c r="L243" s="50"/>
      <c r="M243" s="49"/>
      <c r="N243" s="51"/>
      <c r="O243" s="49"/>
      <c r="P243" s="44" t="str">
        <f aca="false">IF($A243="","",IFERROR(INDEX(01_CONTROL!$B$15:$B$18,MATCH($O243,01_CONTROL!$A$15:$A$18,0)),14))</f>
        <v/>
      </c>
      <c r="Q243" s="45" t="str">
        <f aca="false">IF($A243="","",IF($N243="","",$N243+$P243))</f>
        <v/>
      </c>
      <c r="R243" s="49"/>
      <c r="S243" s="51"/>
      <c r="T243" s="50"/>
      <c r="U243" s="49"/>
      <c r="V243" s="49"/>
      <c r="W243" s="51"/>
      <c r="X243" s="44" t="str">
        <f aca="true">IF($A243="","",IF($N243="","",IF($S243="",TODAY()-$N243,$S243-$N243)))</f>
        <v/>
      </c>
      <c r="Y243" s="46" t="str">
        <f aca="true">IF($A243="","",IF(OR($V243="Closed",$V243="Void / withdrawn"),IF($S243="","Closed without response",IF($S243&gt;$Q243,"Answered late","Answered on time")),IF($S243&lt;&gt;"",IF($S243&gt;$Q243,"Answered late","Answered on time"),IF(TODAY()&gt;$Q243,"OVERDUE "&amp;TEXT(TODAY()-$Q243,"0")&amp;" d",TEXT($Q243-TODAY(),"0")&amp;" d left"))))</f>
        <v/>
      </c>
      <c r="Z243" s="44" t="str">
        <f aca="false">IF($A243="","",IF($S243&lt;&gt;"","",IF($X243&lt;=7,"0-7 d",IF($X243&lt;=14,"8-14 d",IF($X243&lt;=30,"15-30 d","over 30 d")))))</f>
        <v/>
      </c>
      <c r="AA243" s="49"/>
      <c r="AB243" s="52"/>
      <c r="AC243" s="49"/>
      <c r="AD243" s="49"/>
      <c r="AE243" s="49"/>
      <c r="AF243" s="49"/>
      <c r="AG243" s="50"/>
    </row>
    <row r="244" customFormat="false" ht="15" hidden="false" customHeight="true" outlineLevel="0" collapsed="false">
      <c r="A244" s="48"/>
      <c r="B244" s="49"/>
      <c r="C244" s="49"/>
      <c r="D244" s="49"/>
      <c r="E244" s="49"/>
      <c r="F244" s="50"/>
      <c r="G244" s="49"/>
      <c r="H244" s="49"/>
      <c r="I244" s="49"/>
      <c r="J244" s="49"/>
      <c r="K244" s="50"/>
      <c r="L244" s="50"/>
      <c r="M244" s="49"/>
      <c r="N244" s="51"/>
      <c r="O244" s="49"/>
      <c r="P244" s="44" t="str">
        <f aca="false">IF($A244="","",IFERROR(INDEX(01_CONTROL!$B$15:$B$18,MATCH($O244,01_CONTROL!$A$15:$A$18,0)),14))</f>
        <v/>
      </c>
      <c r="Q244" s="45" t="str">
        <f aca="false">IF($A244="","",IF($N244="","",$N244+$P244))</f>
        <v/>
      </c>
      <c r="R244" s="49"/>
      <c r="S244" s="51"/>
      <c r="T244" s="50"/>
      <c r="U244" s="49"/>
      <c r="V244" s="49"/>
      <c r="W244" s="51"/>
      <c r="X244" s="44" t="str">
        <f aca="true">IF($A244="","",IF($N244="","",IF($S244="",TODAY()-$N244,$S244-$N244)))</f>
        <v/>
      </c>
      <c r="Y244" s="46" t="str">
        <f aca="true">IF($A244="","",IF(OR($V244="Closed",$V244="Void / withdrawn"),IF($S244="","Closed without response",IF($S244&gt;$Q244,"Answered late","Answered on time")),IF($S244&lt;&gt;"",IF($S244&gt;$Q244,"Answered late","Answered on time"),IF(TODAY()&gt;$Q244,"OVERDUE "&amp;TEXT(TODAY()-$Q244,"0")&amp;" d",TEXT($Q244-TODAY(),"0")&amp;" d left"))))</f>
        <v/>
      </c>
      <c r="Z244" s="44" t="str">
        <f aca="false">IF($A244="","",IF($S244&lt;&gt;"","",IF($X244&lt;=7,"0-7 d",IF($X244&lt;=14,"8-14 d",IF($X244&lt;=30,"15-30 d","over 30 d")))))</f>
        <v/>
      </c>
      <c r="AA244" s="49"/>
      <c r="AB244" s="52"/>
      <c r="AC244" s="49"/>
      <c r="AD244" s="49"/>
      <c r="AE244" s="49"/>
      <c r="AF244" s="49"/>
      <c r="AG244" s="50"/>
    </row>
    <row r="245" customFormat="false" ht="15" hidden="false" customHeight="true" outlineLevel="0" collapsed="false">
      <c r="A245" s="48"/>
      <c r="B245" s="49"/>
      <c r="C245" s="49"/>
      <c r="D245" s="49"/>
      <c r="E245" s="49"/>
      <c r="F245" s="50"/>
      <c r="G245" s="49"/>
      <c r="H245" s="49"/>
      <c r="I245" s="49"/>
      <c r="J245" s="49"/>
      <c r="K245" s="50"/>
      <c r="L245" s="50"/>
      <c r="M245" s="49"/>
      <c r="N245" s="51"/>
      <c r="O245" s="49"/>
      <c r="P245" s="44" t="str">
        <f aca="false">IF($A245="","",IFERROR(INDEX(01_CONTROL!$B$15:$B$18,MATCH($O245,01_CONTROL!$A$15:$A$18,0)),14))</f>
        <v/>
      </c>
      <c r="Q245" s="45" t="str">
        <f aca="false">IF($A245="","",IF($N245="","",$N245+$P245))</f>
        <v/>
      </c>
      <c r="R245" s="49"/>
      <c r="S245" s="51"/>
      <c r="T245" s="50"/>
      <c r="U245" s="49"/>
      <c r="V245" s="49"/>
      <c r="W245" s="51"/>
      <c r="X245" s="44" t="str">
        <f aca="true">IF($A245="","",IF($N245="","",IF($S245="",TODAY()-$N245,$S245-$N245)))</f>
        <v/>
      </c>
      <c r="Y245" s="46" t="str">
        <f aca="true">IF($A245="","",IF(OR($V245="Closed",$V245="Void / withdrawn"),IF($S245="","Closed without response",IF($S245&gt;$Q245,"Answered late","Answered on time")),IF($S245&lt;&gt;"",IF($S245&gt;$Q245,"Answered late","Answered on time"),IF(TODAY()&gt;$Q245,"OVERDUE "&amp;TEXT(TODAY()-$Q245,"0")&amp;" d",TEXT($Q245-TODAY(),"0")&amp;" d left"))))</f>
        <v/>
      </c>
      <c r="Z245" s="44" t="str">
        <f aca="false">IF($A245="","",IF($S245&lt;&gt;"","",IF($X245&lt;=7,"0-7 d",IF($X245&lt;=14,"8-14 d",IF($X245&lt;=30,"15-30 d","over 30 d")))))</f>
        <v/>
      </c>
      <c r="AA245" s="49"/>
      <c r="AB245" s="52"/>
      <c r="AC245" s="49"/>
      <c r="AD245" s="49"/>
      <c r="AE245" s="49"/>
      <c r="AF245" s="49"/>
      <c r="AG245" s="50"/>
    </row>
    <row r="246" customFormat="false" ht="15" hidden="false" customHeight="true" outlineLevel="0" collapsed="false">
      <c r="A246" s="48"/>
      <c r="B246" s="49"/>
      <c r="C246" s="49"/>
      <c r="D246" s="49"/>
      <c r="E246" s="49"/>
      <c r="F246" s="50"/>
      <c r="G246" s="49"/>
      <c r="H246" s="49"/>
      <c r="I246" s="49"/>
      <c r="J246" s="49"/>
      <c r="K246" s="50"/>
      <c r="L246" s="50"/>
      <c r="M246" s="49"/>
      <c r="N246" s="51"/>
      <c r="O246" s="49"/>
      <c r="P246" s="44" t="str">
        <f aca="false">IF($A246="","",IFERROR(INDEX(01_CONTROL!$B$15:$B$18,MATCH($O246,01_CONTROL!$A$15:$A$18,0)),14))</f>
        <v/>
      </c>
      <c r="Q246" s="45" t="str">
        <f aca="false">IF($A246="","",IF($N246="","",$N246+$P246))</f>
        <v/>
      </c>
      <c r="R246" s="49"/>
      <c r="S246" s="51"/>
      <c r="T246" s="50"/>
      <c r="U246" s="49"/>
      <c r="V246" s="49"/>
      <c r="W246" s="51"/>
      <c r="X246" s="44" t="str">
        <f aca="true">IF($A246="","",IF($N246="","",IF($S246="",TODAY()-$N246,$S246-$N246)))</f>
        <v/>
      </c>
      <c r="Y246" s="46" t="str">
        <f aca="true">IF($A246="","",IF(OR($V246="Closed",$V246="Void / withdrawn"),IF($S246="","Closed without response",IF($S246&gt;$Q246,"Answered late","Answered on time")),IF($S246&lt;&gt;"",IF($S246&gt;$Q246,"Answered late","Answered on time"),IF(TODAY()&gt;$Q246,"OVERDUE "&amp;TEXT(TODAY()-$Q246,"0")&amp;" d",TEXT($Q246-TODAY(),"0")&amp;" d left"))))</f>
        <v/>
      </c>
      <c r="Z246" s="44" t="str">
        <f aca="false">IF($A246="","",IF($S246&lt;&gt;"","",IF($X246&lt;=7,"0-7 d",IF($X246&lt;=14,"8-14 d",IF($X246&lt;=30,"15-30 d","over 30 d")))))</f>
        <v/>
      </c>
      <c r="AA246" s="49"/>
      <c r="AB246" s="52"/>
      <c r="AC246" s="49"/>
      <c r="AD246" s="49"/>
      <c r="AE246" s="49"/>
      <c r="AF246" s="49"/>
      <c r="AG246" s="50"/>
    </row>
    <row r="247" customFormat="false" ht="15" hidden="false" customHeight="true" outlineLevel="0" collapsed="false">
      <c r="A247" s="48"/>
      <c r="B247" s="49"/>
      <c r="C247" s="49"/>
      <c r="D247" s="49"/>
      <c r="E247" s="49"/>
      <c r="F247" s="50"/>
      <c r="G247" s="49"/>
      <c r="H247" s="49"/>
      <c r="I247" s="49"/>
      <c r="J247" s="49"/>
      <c r="K247" s="50"/>
      <c r="L247" s="50"/>
      <c r="M247" s="49"/>
      <c r="N247" s="51"/>
      <c r="O247" s="49"/>
      <c r="P247" s="44" t="str">
        <f aca="false">IF($A247="","",IFERROR(INDEX(01_CONTROL!$B$15:$B$18,MATCH($O247,01_CONTROL!$A$15:$A$18,0)),14))</f>
        <v/>
      </c>
      <c r="Q247" s="45" t="str">
        <f aca="false">IF($A247="","",IF($N247="","",$N247+$P247))</f>
        <v/>
      </c>
      <c r="R247" s="49"/>
      <c r="S247" s="51"/>
      <c r="T247" s="50"/>
      <c r="U247" s="49"/>
      <c r="V247" s="49"/>
      <c r="W247" s="51"/>
      <c r="X247" s="44" t="str">
        <f aca="true">IF($A247="","",IF($N247="","",IF($S247="",TODAY()-$N247,$S247-$N247)))</f>
        <v/>
      </c>
      <c r="Y247" s="46" t="str">
        <f aca="true">IF($A247="","",IF(OR($V247="Closed",$V247="Void / withdrawn"),IF($S247="","Closed without response",IF($S247&gt;$Q247,"Answered late","Answered on time")),IF($S247&lt;&gt;"",IF($S247&gt;$Q247,"Answered late","Answered on time"),IF(TODAY()&gt;$Q247,"OVERDUE "&amp;TEXT(TODAY()-$Q247,"0")&amp;" d",TEXT($Q247-TODAY(),"0")&amp;" d left"))))</f>
        <v/>
      </c>
      <c r="Z247" s="44" t="str">
        <f aca="false">IF($A247="","",IF($S247&lt;&gt;"","",IF($X247&lt;=7,"0-7 d",IF($X247&lt;=14,"8-14 d",IF($X247&lt;=30,"15-30 d","over 30 d")))))</f>
        <v/>
      </c>
      <c r="AA247" s="49"/>
      <c r="AB247" s="52"/>
      <c r="AC247" s="49"/>
      <c r="AD247" s="49"/>
      <c r="AE247" s="49"/>
      <c r="AF247" s="49"/>
      <c r="AG247" s="50"/>
    </row>
    <row r="248" customFormat="false" ht="15" hidden="false" customHeight="true" outlineLevel="0" collapsed="false">
      <c r="A248" s="48"/>
      <c r="B248" s="49"/>
      <c r="C248" s="49"/>
      <c r="D248" s="49"/>
      <c r="E248" s="49"/>
      <c r="F248" s="50"/>
      <c r="G248" s="49"/>
      <c r="H248" s="49"/>
      <c r="I248" s="49"/>
      <c r="J248" s="49"/>
      <c r="K248" s="50"/>
      <c r="L248" s="50"/>
      <c r="M248" s="49"/>
      <c r="N248" s="51"/>
      <c r="O248" s="49"/>
      <c r="P248" s="44" t="str">
        <f aca="false">IF($A248="","",IFERROR(INDEX(01_CONTROL!$B$15:$B$18,MATCH($O248,01_CONTROL!$A$15:$A$18,0)),14))</f>
        <v/>
      </c>
      <c r="Q248" s="45" t="str">
        <f aca="false">IF($A248="","",IF($N248="","",$N248+$P248))</f>
        <v/>
      </c>
      <c r="R248" s="49"/>
      <c r="S248" s="51"/>
      <c r="T248" s="50"/>
      <c r="U248" s="49"/>
      <c r="V248" s="49"/>
      <c r="W248" s="51"/>
      <c r="X248" s="44" t="str">
        <f aca="true">IF($A248="","",IF($N248="","",IF($S248="",TODAY()-$N248,$S248-$N248)))</f>
        <v/>
      </c>
      <c r="Y248" s="46" t="str">
        <f aca="true">IF($A248="","",IF(OR($V248="Closed",$V248="Void / withdrawn"),IF($S248="","Closed without response",IF($S248&gt;$Q248,"Answered late","Answered on time")),IF($S248&lt;&gt;"",IF($S248&gt;$Q248,"Answered late","Answered on time"),IF(TODAY()&gt;$Q248,"OVERDUE "&amp;TEXT(TODAY()-$Q248,"0")&amp;" d",TEXT($Q248-TODAY(),"0")&amp;" d left"))))</f>
        <v/>
      </c>
      <c r="Z248" s="44" t="str">
        <f aca="false">IF($A248="","",IF($S248&lt;&gt;"","",IF($X248&lt;=7,"0-7 d",IF($X248&lt;=14,"8-14 d",IF($X248&lt;=30,"15-30 d","over 30 d")))))</f>
        <v/>
      </c>
      <c r="AA248" s="49"/>
      <c r="AB248" s="52"/>
      <c r="AC248" s="49"/>
      <c r="AD248" s="49"/>
      <c r="AE248" s="49"/>
      <c r="AF248" s="49"/>
      <c r="AG248" s="50"/>
    </row>
    <row r="249" customFormat="false" ht="15" hidden="false" customHeight="true" outlineLevel="0" collapsed="false">
      <c r="A249" s="48"/>
      <c r="B249" s="49"/>
      <c r="C249" s="49"/>
      <c r="D249" s="49"/>
      <c r="E249" s="49"/>
      <c r="F249" s="50"/>
      <c r="G249" s="49"/>
      <c r="H249" s="49"/>
      <c r="I249" s="49"/>
      <c r="J249" s="49"/>
      <c r="K249" s="50"/>
      <c r="L249" s="50"/>
      <c r="M249" s="49"/>
      <c r="N249" s="51"/>
      <c r="O249" s="49"/>
      <c r="P249" s="44" t="str">
        <f aca="false">IF($A249="","",IFERROR(INDEX(01_CONTROL!$B$15:$B$18,MATCH($O249,01_CONTROL!$A$15:$A$18,0)),14))</f>
        <v/>
      </c>
      <c r="Q249" s="45" t="str">
        <f aca="false">IF($A249="","",IF($N249="","",$N249+$P249))</f>
        <v/>
      </c>
      <c r="R249" s="49"/>
      <c r="S249" s="51"/>
      <c r="T249" s="50"/>
      <c r="U249" s="49"/>
      <c r="V249" s="49"/>
      <c r="W249" s="51"/>
      <c r="X249" s="44" t="str">
        <f aca="true">IF($A249="","",IF($N249="","",IF($S249="",TODAY()-$N249,$S249-$N249)))</f>
        <v/>
      </c>
      <c r="Y249" s="46" t="str">
        <f aca="true">IF($A249="","",IF(OR($V249="Closed",$V249="Void / withdrawn"),IF($S249="","Closed without response",IF($S249&gt;$Q249,"Answered late","Answered on time")),IF($S249&lt;&gt;"",IF($S249&gt;$Q249,"Answered late","Answered on time"),IF(TODAY()&gt;$Q249,"OVERDUE "&amp;TEXT(TODAY()-$Q249,"0")&amp;" d",TEXT($Q249-TODAY(),"0")&amp;" d left"))))</f>
        <v/>
      </c>
      <c r="Z249" s="44" t="str">
        <f aca="false">IF($A249="","",IF($S249&lt;&gt;"","",IF($X249&lt;=7,"0-7 d",IF($X249&lt;=14,"8-14 d",IF($X249&lt;=30,"15-30 d","over 30 d")))))</f>
        <v/>
      </c>
      <c r="AA249" s="49"/>
      <c r="AB249" s="52"/>
      <c r="AC249" s="49"/>
      <c r="AD249" s="49"/>
      <c r="AE249" s="49"/>
      <c r="AF249" s="49"/>
      <c r="AG249" s="50"/>
    </row>
    <row r="250" customFormat="false" ht="15" hidden="false" customHeight="true" outlineLevel="0" collapsed="false">
      <c r="A250" s="48"/>
      <c r="B250" s="49"/>
      <c r="C250" s="49"/>
      <c r="D250" s="49"/>
      <c r="E250" s="49"/>
      <c r="F250" s="50"/>
      <c r="G250" s="49"/>
      <c r="H250" s="49"/>
      <c r="I250" s="49"/>
      <c r="J250" s="49"/>
      <c r="K250" s="50"/>
      <c r="L250" s="50"/>
      <c r="M250" s="49"/>
      <c r="N250" s="51"/>
      <c r="O250" s="49"/>
      <c r="P250" s="44" t="str">
        <f aca="false">IF($A250="","",IFERROR(INDEX(01_CONTROL!$B$15:$B$18,MATCH($O250,01_CONTROL!$A$15:$A$18,0)),14))</f>
        <v/>
      </c>
      <c r="Q250" s="45" t="str">
        <f aca="false">IF($A250="","",IF($N250="","",$N250+$P250))</f>
        <v/>
      </c>
      <c r="R250" s="49"/>
      <c r="S250" s="51"/>
      <c r="T250" s="50"/>
      <c r="U250" s="49"/>
      <c r="V250" s="49"/>
      <c r="W250" s="51"/>
      <c r="X250" s="44" t="str">
        <f aca="true">IF($A250="","",IF($N250="","",IF($S250="",TODAY()-$N250,$S250-$N250)))</f>
        <v/>
      </c>
      <c r="Y250" s="46" t="str">
        <f aca="true">IF($A250="","",IF(OR($V250="Closed",$V250="Void / withdrawn"),IF($S250="","Closed without response",IF($S250&gt;$Q250,"Answered late","Answered on time")),IF($S250&lt;&gt;"",IF($S250&gt;$Q250,"Answered late","Answered on time"),IF(TODAY()&gt;$Q250,"OVERDUE "&amp;TEXT(TODAY()-$Q250,"0")&amp;" d",TEXT($Q250-TODAY(),"0")&amp;" d left"))))</f>
        <v/>
      </c>
      <c r="Z250" s="44" t="str">
        <f aca="false">IF($A250="","",IF($S250&lt;&gt;"","",IF($X250&lt;=7,"0-7 d",IF($X250&lt;=14,"8-14 d",IF($X250&lt;=30,"15-30 d","over 30 d")))))</f>
        <v/>
      </c>
      <c r="AA250" s="49"/>
      <c r="AB250" s="52"/>
      <c r="AC250" s="49"/>
      <c r="AD250" s="49"/>
      <c r="AE250" s="49"/>
      <c r="AF250" s="49"/>
      <c r="AG250" s="50"/>
    </row>
    <row r="251" customFormat="false" ht="15" hidden="false" customHeight="true" outlineLevel="0" collapsed="false">
      <c r="A251" s="48"/>
      <c r="B251" s="49"/>
      <c r="C251" s="49"/>
      <c r="D251" s="49"/>
      <c r="E251" s="49"/>
      <c r="F251" s="50"/>
      <c r="G251" s="49"/>
      <c r="H251" s="49"/>
      <c r="I251" s="49"/>
      <c r="J251" s="49"/>
      <c r="K251" s="50"/>
      <c r="L251" s="50"/>
      <c r="M251" s="49"/>
      <c r="N251" s="51"/>
      <c r="O251" s="49"/>
      <c r="P251" s="44" t="str">
        <f aca="false">IF($A251="","",IFERROR(INDEX(01_CONTROL!$B$15:$B$18,MATCH($O251,01_CONTROL!$A$15:$A$18,0)),14))</f>
        <v/>
      </c>
      <c r="Q251" s="45" t="str">
        <f aca="false">IF($A251="","",IF($N251="","",$N251+$P251))</f>
        <v/>
      </c>
      <c r="R251" s="49"/>
      <c r="S251" s="51"/>
      <c r="T251" s="50"/>
      <c r="U251" s="49"/>
      <c r="V251" s="49"/>
      <c r="W251" s="51"/>
      <c r="X251" s="44" t="str">
        <f aca="true">IF($A251="","",IF($N251="","",IF($S251="",TODAY()-$N251,$S251-$N251)))</f>
        <v/>
      </c>
      <c r="Y251" s="46" t="str">
        <f aca="true">IF($A251="","",IF(OR($V251="Closed",$V251="Void / withdrawn"),IF($S251="","Closed without response",IF($S251&gt;$Q251,"Answered late","Answered on time")),IF($S251&lt;&gt;"",IF($S251&gt;$Q251,"Answered late","Answered on time"),IF(TODAY()&gt;$Q251,"OVERDUE "&amp;TEXT(TODAY()-$Q251,"0")&amp;" d",TEXT($Q251-TODAY(),"0")&amp;" d left"))))</f>
        <v/>
      </c>
      <c r="Z251" s="44" t="str">
        <f aca="false">IF($A251="","",IF($S251&lt;&gt;"","",IF($X251&lt;=7,"0-7 d",IF($X251&lt;=14,"8-14 d",IF($X251&lt;=30,"15-30 d","over 30 d")))))</f>
        <v/>
      </c>
      <c r="AA251" s="49"/>
      <c r="AB251" s="52"/>
      <c r="AC251" s="49"/>
      <c r="AD251" s="49"/>
      <c r="AE251" s="49"/>
      <c r="AF251" s="49"/>
      <c r="AG251" s="50"/>
    </row>
    <row r="252" customFormat="false" ht="15" hidden="false" customHeight="true" outlineLevel="0" collapsed="false">
      <c r="A252" s="48"/>
      <c r="B252" s="49"/>
      <c r="C252" s="49"/>
      <c r="D252" s="49"/>
      <c r="E252" s="49"/>
      <c r="F252" s="50"/>
      <c r="G252" s="49"/>
      <c r="H252" s="49"/>
      <c r="I252" s="49"/>
      <c r="J252" s="49"/>
      <c r="K252" s="50"/>
      <c r="L252" s="50"/>
      <c r="M252" s="49"/>
      <c r="N252" s="51"/>
      <c r="O252" s="49"/>
      <c r="P252" s="44" t="str">
        <f aca="false">IF($A252="","",IFERROR(INDEX(01_CONTROL!$B$15:$B$18,MATCH($O252,01_CONTROL!$A$15:$A$18,0)),14))</f>
        <v/>
      </c>
      <c r="Q252" s="45" t="str">
        <f aca="false">IF($A252="","",IF($N252="","",$N252+$P252))</f>
        <v/>
      </c>
      <c r="R252" s="49"/>
      <c r="S252" s="51"/>
      <c r="T252" s="50"/>
      <c r="U252" s="49"/>
      <c r="V252" s="49"/>
      <c r="W252" s="51"/>
      <c r="X252" s="44" t="str">
        <f aca="true">IF($A252="","",IF($N252="","",IF($S252="",TODAY()-$N252,$S252-$N252)))</f>
        <v/>
      </c>
      <c r="Y252" s="46" t="str">
        <f aca="true">IF($A252="","",IF(OR($V252="Closed",$V252="Void / withdrawn"),IF($S252="","Closed without response",IF($S252&gt;$Q252,"Answered late","Answered on time")),IF($S252&lt;&gt;"",IF($S252&gt;$Q252,"Answered late","Answered on time"),IF(TODAY()&gt;$Q252,"OVERDUE "&amp;TEXT(TODAY()-$Q252,"0")&amp;" d",TEXT($Q252-TODAY(),"0")&amp;" d left"))))</f>
        <v/>
      </c>
      <c r="Z252" s="44" t="str">
        <f aca="false">IF($A252="","",IF($S252&lt;&gt;"","",IF($X252&lt;=7,"0-7 d",IF($X252&lt;=14,"8-14 d",IF($X252&lt;=30,"15-30 d","over 30 d")))))</f>
        <v/>
      </c>
      <c r="AA252" s="49"/>
      <c r="AB252" s="52"/>
      <c r="AC252" s="49"/>
      <c r="AD252" s="49"/>
      <c r="AE252" s="49"/>
      <c r="AF252" s="49"/>
      <c r="AG252" s="50"/>
    </row>
    <row r="253" customFormat="false" ht="15" hidden="false" customHeight="true" outlineLevel="0" collapsed="false">
      <c r="A253" s="48"/>
      <c r="B253" s="49"/>
      <c r="C253" s="49"/>
      <c r="D253" s="49"/>
      <c r="E253" s="49"/>
      <c r="F253" s="50"/>
      <c r="G253" s="49"/>
      <c r="H253" s="49"/>
      <c r="I253" s="49"/>
      <c r="J253" s="49"/>
      <c r="K253" s="50"/>
      <c r="L253" s="50"/>
      <c r="M253" s="49"/>
      <c r="N253" s="51"/>
      <c r="O253" s="49"/>
      <c r="P253" s="44" t="str">
        <f aca="false">IF($A253="","",IFERROR(INDEX(01_CONTROL!$B$15:$B$18,MATCH($O253,01_CONTROL!$A$15:$A$18,0)),14))</f>
        <v/>
      </c>
      <c r="Q253" s="45" t="str">
        <f aca="false">IF($A253="","",IF($N253="","",$N253+$P253))</f>
        <v/>
      </c>
      <c r="R253" s="49"/>
      <c r="S253" s="51"/>
      <c r="T253" s="50"/>
      <c r="U253" s="49"/>
      <c r="V253" s="49"/>
      <c r="W253" s="51"/>
      <c r="X253" s="44" t="str">
        <f aca="true">IF($A253="","",IF($N253="","",IF($S253="",TODAY()-$N253,$S253-$N253)))</f>
        <v/>
      </c>
      <c r="Y253" s="46" t="str">
        <f aca="true">IF($A253="","",IF(OR($V253="Closed",$V253="Void / withdrawn"),IF($S253="","Closed without response",IF($S253&gt;$Q253,"Answered late","Answered on time")),IF($S253&lt;&gt;"",IF($S253&gt;$Q253,"Answered late","Answered on time"),IF(TODAY()&gt;$Q253,"OVERDUE "&amp;TEXT(TODAY()-$Q253,"0")&amp;" d",TEXT($Q253-TODAY(),"0")&amp;" d left"))))</f>
        <v/>
      </c>
      <c r="Z253" s="44" t="str">
        <f aca="false">IF($A253="","",IF($S253&lt;&gt;"","",IF($X253&lt;=7,"0-7 d",IF($X253&lt;=14,"8-14 d",IF($X253&lt;=30,"15-30 d","over 30 d")))))</f>
        <v/>
      </c>
      <c r="AA253" s="49"/>
      <c r="AB253" s="52"/>
      <c r="AC253" s="49"/>
      <c r="AD253" s="49"/>
      <c r="AE253" s="49"/>
      <c r="AF253" s="49"/>
      <c r="AG253" s="50"/>
    </row>
    <row r="254" customFormat="false" ht="15" hidden="false" customHeight="true" outlineLevel="0" collapsed="false">
      <c r="A254" s="48"/>
      <c r="B254" s="49"/>
      <c r="C254" s="49"/>
      <c r="D254" s="49"/>
      <c r="E254" s="49"/>
      <c r="F254" s="50"/>
      <c r="G254" s="49"/>
      <c r="H254" s="49"/>
      <c r="I254" s="49"/>
      <c r="J254" s="49"/>
      <c r="K254" s="50"/>
      <c r="L254" s="50"/>
      <c r="M254" s="49"/>
      <c r="N254" s="51"/>
      <c r="O254" s="49"/>
      <c r="P254" s="44" t="str">
        <f aca="false">IF($A254="","",IFERROR(INDEX(01_CONTROL!$B$15:$B$18,MATCH($O254,01_CONTROL!$A$15:$A$18,0)),14))</f>
        <v/>
      </c>
      <c r="Q254" s="45" t="str">
        <f aca="false">IF($A254="","",IF($N254="","",$N254+$P254))</f>
        <v/>
      </c>
      <c r="R254" s="49"/>
      <c r="S254" s="51"/>
      <c r="T254" s="50"/>
      <c r="U254" s="49"/>
      <c r="V254" s="49"/>
      <c r="W254" s="51"/>
      <c r="X254" s="44" t="str">
        <f aca="true">IF($A254="","",IF($N254="","",IF($S254="",TODAY()-$N254,$S254-$N254)))</f>
        <v/>
      </c>
      <c r="Y254" s="46" t="str">
        <f aca="true">IF($A254="","",IF(OR($V254="Closed",$V254="Void / withdrawn"),IF($S254="","Closed without response",IF($S254&gt;$Q254,"Answered late","Answered on time")),IF($S254&lt;&gt;"",IF($S254&gt;$Q254,"Answered late","Answered on time"),IF(TODAY()&gt;$Q254,"OVERDUE "&amp;TEXT(TODAY()-$Q254,"0")&amp;" d",TEXT($Q254-TODAY(),"0")&amp;" d left"))))</f>
        <v/>
      </c>
      <c r="Z254" s="44" t="str">
        <f aca="false">IF($A254="","",IF($S254&lt;&gt;"","",IF($X254&lt;=7,"0-7 d",IF($X254&lt;=14,"8-14 d",IF($X254&lt;=30,"15-30 d","over 30 d")))))</f>
        <v/>
      </c>
      <c r="AA254" s="49"/>
      <c r="AB254" s="52"/>
      <c r="AC254" s="49"/>
      <c r="AD254" s="49"/>
      <c r="AE254" s="49"/>
      <c r="AF254" s="49"/>
      <c r="AG254" s="50"/>
    </row>
    <row r="255" customFormat="false" ht="15" hidden="false" customHeight="true" outlineLevel="0" collapsed="false">
      <c r="A255" s="48"/>
      <c r="B255" s="49"/>
      <c r="C255" s="49"/>
      <c r="D255" s="49"/>
      <c r="E255" s="49"/>
      <c r="F255" s="50"/>
      <c r="G255" s="49"/>
      <c r="H255" s="49"/>
      <c r="I255" s="49"/>
      <c r="J255" s="49"/>
      <c r="K255" s="50"/>
      <c r="L255" s="50"/>
      <c r="M255" s="49"/>
      <c r="N255" s="51"/>
      <c r="O255" s="49"/>
      <c r="P255" s="44" t="str">
        <f aca="false">IF($A255="","",IFERROR(INDEX(01_CONTROL!$B$15:$B$18,MATCH($O255,01_CONTROL!$A$15:$A$18,0)),14))</f>
        <v/>
      </c>
      <c r="Q255" s="45" t="str">
        <f aca="false">IF($A255="","",IF($N255="","",$N255+$P255))</f>
        <v/>
      </c>
      <c r="R255" s="49"/>
      <c r="S255" s="51"/>
      <c r="T255" s="50"/>
      <c r="U255" s="49"/>
      <c r="V255" s="49"/>
      <c r="W255" s="51"/>
      <c r="X255" s="44" t="str">
        <f aca="true">IF($A255="","",IF($N255="","",IF($S255="",TODAY()-$N255,$S255-$N255)))</f>
        <v/>
      </c>
      <c r="Y255" s="46" t="str">
        <f aca="true">IF($A255="","",IF(OR($V255="Closed",$V255="Void / withdrawn"),IF($S255="","Closed without response",IF($S255&gt;$Q255,"Answered late","Answered on time")),IF($S255&lt;&gt;"",IF($S255&gt;$Q255,"Answered late","Answered on time"),IF(TODAY()&gt;$Q255,"OVERDUE "&amp;TEXT(TODAY()-$Q255,"0")&amp;" d",TEXT($Q255-TODAY(),"0")&amp;" d left"))))</f>
        <v/>
      </c>
      <c r="Z255" s="44" t="str">
        <f aca="false">IF($A255="","",IF($S255&lt;&gt;"","",IF($X255&lt;=7,"0-7 d",IF($X255&lt;=14,"8-14 d",IF($X255&lt;=30,"15-30 d","over 30 d")))))</f>
        <v/>
      </c>
      <c r="AA255" s="49"/>
      <c r="AB255" s="52"/>
      <c r="AC255" s="49"/>
      <c r="AD255" s="49"/>
      <c r="AE255" s="49"/>
      <c r="AF255" s="49"/>
      <c r="AG255" s="50"/>
    </row>
    <row r="256" customFormat="false" ht="15" hidden="false" customHeight="true" outlineLevel="0" collapsed="false">
      <c r="A256" s="48"/>
      <c r="B256" s="49"/>
      <c r="C256" s="49"/>
      <c r="D256" s="49"/>
      <c r="E256" s="49"/>
      <c r="F256" s="50"/>
      <c r="G256" s="49"/>
      <c r="H256" s="49"/>
      <c r="I256" s="49"/>
      <c r="J256" s="49"/>
      <c r="K256" s="50"/>
      <c r="L256" s="50"/>
      <c r="M256" s="49"/>
      <c r="N256" s="51"/>
      <c r="O256" s="49"/>
      <c r="P256" s="44" t="str">
        <f aca="false">IF($A256="","",IFERROR(INDEX(01_CONTROL!$B$15:$B$18,MATCH($O256,01_CONTROL!$A$15:$A$18,0)),14))</f>
        <v/>
      </c>
      <c r="Q256" s="45" t="str">
        <f aca="false">IF($A256="","",IF($N256="","",$N256+$P256))</f>
        <v/>
      </c>
      <c r="R256" s="49"/>
      <c r="S256" s="51"/>
      <c r="T256" s="50"/>
      <c r="U256" s="49"/>
      <c r="V256" s="49"/>
      <c r="W256" s="51"/>
      <c r="X256" s="44" t="str">
        <f aca="true">IF($A256="","",IF($N256="","",IF($S256="",TODAY()-$N256,$S256-$N256)))</f>
        <v/>
      </c>
      <c r="Y256" s="46" t="str">
        <f aca="true">IF($A256="","",IF(OR($V256="Closed",$V256="Void / withdrawn"),IF($S256="","Closed without response",IF($S256&gt;$Q256,"Answered late","Answered on time")),IF($S256&lt;&gt;"",IF($S256&gt;$Q256,"Answered late","Answered on time"),IF(TODAY()&gt;$Q256,"OVERDUE "&amp;TEXT(TODAY()-$Q256,"0")&amp;" d",TEXT($Q256-TODAY(),"0")&amp;" d left"))))</f>
        <v/>
      </c>
      <c r="Z256" s="44" t="str">
        <f aca="false">IF($A256="","",IF($S256&lt;&gt;"","",IF($X256&lt;=7,"0-7 d",IF($X256&lt;=14,"8-14 d",IF($X256&lt;=30,"15-30 d","over 30 d")))))</f>
        <v/>
      </c>
      <c r="AA256" s="49"/>
      <c r="AB256" s="52"/>
      <c r="AC256" s="49"/>
      <c r="AD256" s="49"/>
      <c r="AE256" s="49"/>
      <c r="AF256" s="49"/>
      <c r="AG256" s="50"/>
    </row>
    <row r="257" customFormat="false" ht="15" hidden="false" customHeight="true" outlineLevel="0" collapsed="false">
      <c r="A257" s="48"/>
      <c r="B257" s="49"/>
      <c r="C257" s="49"/>
      <c r="D257" s="49"/>
      <c r="E257" s="49"/>
      <c r="F257" s="50"/>
      <c r="G257" s="49"/>
      <c r="H257" s="49"/>
      <c r="I257" s="49"/>
      <c r="J257" s="49"/>
      <c r="K257" s="50"/>
      <c r="L257" s="50"/>
      <c r="M257" s="49"/>
      <c r="N257" s="51"/>
      <c r="O257" s="49"/>
      <c r="P257" s="44" t="str">
        <f aca="false">IF($A257="","",IFERROR(INDEX(01_CONTROL!$B$15:$B$18,MATCH($O257,01_CONTROL!$A$15:$A$18,0)),14))</f>
        <v/>
      </c>
      <c r="Q257" s="45" t="str">
        <f aca="false">IF($A257="","",IF($N257="","",$N257+$P257))</f>
        <v/>
      </c>
      <c r="R257" s="49"/>
      <c r="S257" s="51"/>
      <c r="T257" s="50"/>
      <c r="U257" s="49"/>
      <c r="V257" s="49"/>
      <c r="W257" s="51"/>
      <c r="X257" s="44" t="str">
        <f aca="true">IF($A257="","",IF($N257="","",IF($S257="",TODAY()-$N257,$S257-$N257)))</f>
        <v/>
      </c>
      <c r="Y257" s="46" t="str">
        <f aca="true">IF($A257="","",IF(OR($V257="Closed",$V257="Void / withdrawn"),IF($S257="","Closed without response",IF($S257&gt;$Q257,"Answered late","Answered on time")),IF($S257&lt;&gt;"",IF($S257&gt;$Q257,"Answered late","Answered on time"),IF(TODAY()&gt;$Q257,"OVERDUE "&amp;TEXT(TODAY()-$Q257,"0")&amp;" d",TEXT($Q257-TODAY(),"0")&amp;" d left"))))</f>
        <v/>
      </c>
      <c r="Z257" s="44" t="str">
        <f aca="false">IF($A257="","",IF($S257&lt;&gt;"","",IF($X257&lt;=7,"0-7 d",IF($X257&lt;=14,"8-14 d",IF($X257&lt;=30,"15-30 d","over 30 d")))))</f>
        <v/>
      </c>
      <c r="AA257" s="49"/>
      <c r="AB257" s="52"/>
      <c r="AC257" s="49"/>
      <c r="AD257" s="49"/>
      <c r="AE257" s="49"/>
      <c r="AF257" s="49"/>
      <c r="AG257" s="50"/>
    </row>
    <row r="258" customFormat="false" ht="15" hidden="false" customHeight="true" outlineLevel="0" collapsed="false">
      <c r="A258" s="48"/>
      <c r="B258" s="49"/>
      <c r="C258" s="49"/>
      <c r="D258" s="49"/>
      <c r="E258" s="49"/>
      <c r="F258" s="50"/>
      <c r="G258" s="49"/>
      <c r="H258" s="49"/>
      <c r="I258" s="49"/>
      <c r="J258" s="49"/>
      <c r="K258" s="50"/>
      <c r="L258" s="50"/>
      <c r="M258" s="49"/>
      <c r="N258" s="51"/>
      <c r="O258" s="49"/>
      <c r="P258" s="44" t="str">
        <f aca="false">IF($A258="","",IFERROR(INDEX(01_CONTROL!$B$15:$B$18,MATCH($O258,01_CONTROL!$A$15:$A$18,0)),14))</f>
        <v/>
      </c>
      <c r="Q258" s="45" t="str">
        <f aca="false">IF($A258="","",IF($N258="","",$N258+$P258))</f>
        <v/>
      </c>
      <c r="R258" s="49"/>
      <c r="S258" s="51"/>
      <c r="T258" s="50"/>
      <c r="U258" s="49"/>
      <c r="V258" s="49"/>
      <c r="W258" s="51"/>
      <c r="X258" s="44" t="str">
        <f aca="true">IF($A258="","",IF($N258="","",IF($S258="",TODAY()-$N258,$S258-$N258)))</f>
        <v/>
      </c>
      <c r="Y258" s="46" t="str">
        <f aca="true">IF($A258="","",IF(OR($V258="Closed",$V258="Void / withdrawn"),IF($S258="","Closed without response",IF($S258&gt;$Q258,"Answered late","Answered on time")),IF($S258&lt;&gt;"",IF($S258&gt;$Q258,"Answered late","Answered on time"),IF(TODAY()&gt;$Q258,"OVERDUE "&amp;TEXT(TODAY()-$Q258,"0")&amp;" d",TEXT($Q258-TODAY(),"0")&amp;" d left"))))</f>
        <v/>
      </c>
      <c r="Z258" s="44" t="str">
        <f aca="false">IF($A258="","",IF($S258&lt;&gt;"","",IF($X258&lt;=7,"0-7 d",IF($X258&lt;=14,"8-14 d",IF($X258&lt;=30,"15-30 d","over 30 d")))))</f>
        <v/>
      </c>
      <c r="AA258" s="49"/>
      <c r="AB258" s="52"/>
      <c r="AC258" s="49"/>
      <c r="AD258" s="49"/>
      <c r="AE258" s="49"/>
      <c r="AF258" s="49"/>
      <c r="AG258" s="50"/>
    </row>
    <row r="259" customFormat="false" ht="15" hidden="false" customHeight="true" outlineLevel="0" collapsed="false">
      <c r="A259" s="48"/>
      <c r="B259" s="49"/>
      <c r="C259" s="49"/>
      <c r="D259" s="49"/>
      <c r="E259" s="49"/>
      <c r="F259" s="50"/>
      <c r="G259" s="49"/>
      <c r="H259" s="49"/>
      <c r="I259" s="49"/>
      <c r="J259" s="49"/>
      <c r="K259" s="50"/>
      <c r="L259" s="50"/>
      <c r="M259" s="49"/>
      <c r="N259" s="51"/>
      <c r="O259" s="49"/>
      <c r="P259" s="44" t="str">
        <f aca="false">IF($A259="","",IFERROR(INDEX(01_CONTROL!$B$15:$B$18,MATCH($O259,01_CONTROL!$A$15:$A$18,0)),14))</f>
        <v/>
      </c>
      <c r="Q259" s="45" t="str">
        <f aca="false">IF($A259="","",IF($N259="","",$N259+$P259))</f>
        <v/>
      </c>
      <c r="R259" s="49"/>
      <c r="S259" s="51"/>
      <c r="T259" s="50"/>
      <c r="U259" s="49"/>
      <c r="V259" s="49"/>
      <c r="W259" s="51"/>
      <c r="X259" s="44" t="str">
        <f aca="true">IF($A259="","",IF($N259="","",IF($S259="",TODAY()-$N259,$S259-$N259)))</f>
        <v/>
      </c>
      <c r="Y259" s="46" t="str">
        <f aca="true">IF($A259="","",IF(OR($V259="Closed",$V259="Void / withdrawn"),IF($S259="","Closed without response",IF($S259&gt;$Q259,"Answered late","Answered on time")),IF($S259&lt;&gt;"",IF($S259&gt;$Q259,"Answered late","Answered on time"),IF(TODAY()&gt;$Q259,"OVERDUE "&amp;TEXT(TODAY()-$Q259,"0")&amp;" d",TEXT($Q259-TODAY(),"0")&amp;" d left"))))</f>
        <v/>
      </c>
      <c r="Z259" s="44" t="str">
        <f aca="false">IF($A259="","",IF($S259&lt;&gt;"","",IF($X259&lt;=7,"0-7 d",IF($X259&lt;=14,"8-14 d",IF($X259&lt;=30,"15-30 d","over 30 d")))))</f>
        <v/>
      </c>
      <c r="AA259" s="49"/>
      <c r="AB259" s="52"/>
      <c r="AC259" s="49"/>
      <c r="AD259" s="49"/>
      <c r="AE259" s="49"/>
      <c r="AF259" s="49"/>
      <c r="AG259" s="50"/>
    </row>
    <row r="260" customFormat="false" ht="15" hidden="false" customHeight="true" outlineLevel="0" collapsed="false">
      <c r="A260" s="48"/>
      <c r="B260" s="49"/>
      <c r="C260" s="49"/>
      <c r="D260" s="49"/>
      <c r="E260" s="49"/>
      <c r="F260" s="50"/>
      <c r="G260" s="49"/>
      <c r="H260" s="49"/>
      <c r="I260" s="49"/>
      <c r="J260" s="49"/>
      <c r="K260" s="50"/>
      <c r="L260" s="50"/>
      <c r="M260" s="49"/>
      <c r="N260" s="51"/>
      <c r="O260" s="49"/>
      <c r="P260" s="44" t="str">
        <f aca="false">IF($A260="","",IFERROR(INDEX(01_CONTROL!$B$15:$B$18,MATCH($O260,01_CONTROL!$A$15:$A$18,0)),14))</f>
        <v/>
      </c>
      <c r="Q260" s="45" t="str">
        <f aca="false">IF($A260="","",IF($N260="","",$N260+$P260))</f>
        <v/>
      </c>
      <c r="R260" s="49"/>
      <c r="S260" s="51"/>
      <c r="T260" s="50"/>
      <c r="U260" s="49"/>
      <c r="V260" s="49"/>
      <c r="W260" s="51"/>
      <c r="X260" s="44" t="str">
        <f aca="true">IF($A260="","",IF($N260="","",IF($S260="",TODAY()-$N260,$S260-$N260)))</f>
        <v/>
      </c>
      <c r="Y260" s="46" t="str">
        <f aca="true">IF($A260="","",IF(OR($V260="Closed",$V260="Void / withdrawn"),IF($S260="","Closed without response",IF($S260&gt;$Q260,"Answered late","Answered on time")),IF($S260&lt;&gt;"",IF($S260&gt;$Q260,"Answered late","Answered on time"),IF(TODAY()&gt;$Q260,"OVERDUE "&amp;TEXT(TODAY()-$Q260,"0")&amp;" d",TEXT($Q260-TODAY(),"0")&amp;" d left"))))</f>
        <v/>
      </c>
      <c r="Z260" s="44" t="str">
        <f aca="false">IF($A260="","",IF($S260&lt;&gt;"","",IF($X260&lt;=7,"0-7 d",IF($X260&lt;=14,"8-14 d",IF($X260&lt;=30,"15-30 d","over 30 d")))))</f>
        <v/>
      </c>
      <c r="AA260" s="49"/>
      <c r="AB260" s="52"/>
      <c r="AC260" s="49"/>
      <c r="AD260" s="49"/>
      <c r="AE260" s="49"/>
      <c r="AF260" s="49"/>
      <c r="AG260" s="50"/>
    </row>
    <row r="261" customFormat="false" ht="15" hidden="false" customHeight="true" outlineLevel="0" collapsed="false">
      <c r="A261" s="48"/>
      <c r="B261" s="49"/>
      <c r="C261" s="49"/>
      <c r="D261" s="49"/>
      <c r="E261" s="49"/>
      <c r="F261" s="50"/>
      <c r="G261" s="49"/>
      <c r="H261" s="49"/>
      <c r="I261" s="49"/>
      <c r="J261" s="49"/>
      <c r="K261" s="50"/>
      <c r="L261" s="50"/>
      <c r="M261" s="49"/>
      <c r="N261" s="51"/>
      <c r="O261" s="49"/>
      <c r="P261" s="44" t="str">
        <f aca="false">IF($A261="","",IFERROR(INDEX(01_CONTROL!$B$15:$B$18,MATCH($O261,01_CONTROL!$A$15:$A$18,0)),14))</f>
        <v/>
      </c>
      <c r="Q261" s="45" t="str">
        <f aca="false">IF($A261="","",IF($N261="","",$N261+$P261))</f>
        <v/>
      </c>
      <c r="R261" s="49"/>
      <c r="S261" s="51"/>
      <c r="T261" s="50"/>
      <c r="U261" s="49"/>
      <c r="V261" s="49"/>
      <c r="W261" s="51"/>
      <c r="X261" s="44" t="str">
        <f aca="true">IF($A261="","",IF($N261="","",IF($S261="",TODAY()-$N261,$S261-$N261)))</f>
        <v/>
      </c>
      <c r="Y261" s="46" t="str">
        <f aca="true">IF($A261="","",IF(OR($V261="Closed",$V261="Void / withdrawn"),IF($S261="","Closed without response",IF($S261&gt;$Q261,"Answered late","Answered on time")),IF($S261&lt;&gt;"",IF($S261&gt;$Q261,"Answered late","Answered on time"),IF(TODAY()&gt;$Q261,"OVERDUE "&amp;TEXT(TODAY()-$Q261,"0")&amp;" d",TEXT($Q261-TODAY(),"0")&amp;" d left"))))</f>
        <v/>
      </c>
      <c r="Z261" s="44" t="str">
        <f aca="false">IF($A261="","",IF($S261&lt;&gt;"","",IF($X261&lt;=7,"0-7 d",IF($X261&lt;=14,"8-14 d",IF($X261&lt;=30,"15-30 d","over 30 d")))))</f>
        <v/>
      </c>
      <c r="AA261" s="49"/>
      <c r="AB261" s="52"/>
      <c r="AC261" s="49"/>
      <c r="AD261" s="49"/>
      <c r="AE261" s="49"/>
      <c r="AF261" s="49"/>
      <c r="AG261" s="50"/>
    </row>
    <row r="262" customFormat="false" ht="15" hidden="false" customHeight="true" outlineLevel="0" collapsed="false">
      <c r="A262" s="48"/>
      <c r="B262" s="49"/>
      <c r="C262" s="49"/>
      <c r="D262" s="49"/>
      <c r="E262" s="49"/>
      <c r="F262" s="50"/>
      <c r="G262" s="49"/>
      <c r="H262" s="49"/>
      <c r="I262" s="49"/>
      <c r="J262" s="49"/>
      <c r="K262" s="50"/>
      <c r="L262" s="50"/>
      <c r="M262" s="49"/>
      <c r="N262" s="51"/>
      <c r="O262" s="49"/>
      <c r="P262" s="44" t="str">
        <f aca="false">IF($A262="","",IFERROR(INDEX(01_CONTROL!$B$15:$B$18,MATCH($O262,01_CONTROL!$A$15:$A$18,0)),14))</f>
        <v/>
      </c>
      <c r="Q262" s="45" t="str">
        <f aca="false">IF($A262="","",IF($N262="","",$N262+$P262))</f>
        <v/>
      </c>
      <c r="R262" s="49"/>
      <c r="S262" s="51"/>
      <c r="T262" s="50"/>
      <c r="U262" s="49"/>
      <c r="V262" s="49"/>
      <c r="W262" s="51"/>
      <c r="X262" s="44" t="str">
        <f aca="true">IF($A262="","",IF($N262="","",IF($S262="",TODAY()-$N262,$S262-$N262)))</f>
        <v/>
      </c>
      <c r="Y262" s="46" t="str">
        <f aca="true">IF($A262="","",IF(OR($V262="Closed",$V262="Void / withdrawn"),IF($S262="","Closed without response",IF($S262&gt;$Q262,"Answered late","Answered on time")),IF($S262&lt;&gt;"",IF($S262&gt;$Q262,"Answered late","Answered on time"),IF(TODAY()&gt;$Q262,"OVERDUE "&amp;TEXT(TODAY()-$Q262,"0")&amp;" d",TEXT($Q262-TODAY(),"0")&amp;" d left"))))</f>
        <v/>
      </c>
      <c r="Z262" s="44" t="str">
        <f aca="false">IF($A262="","",IF($S262&lt;&gt;"","",IF($X262&lt;=7,"0-7 d",IF($X262&lt;=14,"8-14 d",IF($X262&lt;=30,"15-30 d","over 30 d")))))</f>
        <v/>
      </c>
      <c r="AA262" s="49"/>
      <c r="AB262" s="52"/>
      <c r="AC262" s="49"/>
      <c r="AD262" s="49"/>
      <c r="AE262" s="49"/>
      <c r="AF262" s="49"/>
      <c r="AG262" s="50"/>
    </row>
    <row r="263" customFormat="false" ht="15" hidden="false" customHeight="true" outlineLevel="0" collapsed="false">
      <c r="A263" s="48"/>
      <c r="B263" s="49"/>
      <c r="C263" s="49"/>
      <c r="D263" s="49"/>
      <c r="E263" s="49"/>
      <c r="F263" s="50"/>
      <c r="G263" s="49"/>
      <c r="H263" s="49"/>
      <c r="I263" s="49"/>
      <c r="J263" s="49"/>
      <c r="K263" s="50"/>
      <c r="L263" s="50"/>
      <c r="M263" s="49"/>
      <c r="N263" s="51"/>
      <c r="O263" s="49"/>
      <c r="P263" s="44" t="str">
        <f aca="false">IF($A263="","",IFERROR(INDEX(01_CONTROL!$B$15:$B$18,MATCH($O263,01_CONTROL!$A$15:$A$18,0)),14))</f>
        <v/>
      </c>
      <c r="Q263" s="45" t="str">
        <f aca="false">IF($A263="","",IF($N263="","",$N263+$P263))</f>
        <v/>
      </c>
      <c r="R263" s="49"/>
      <c r="S263" s="51"/>
      <c r="T263" s="50"/>
      <c r="U263" s="49"/>
      <c r="V263" s="49"/>
      <c r="W263" s="51"/>
      <c r="X263" s="44" t="str">
        <f aca="true">IF($A263="","",IF($N263="","",IF($S263="",TODAY()-$N263,$S263-$N263)))</f>
        <v/>
      </c>
      <c r="Y263" s="46" t="str">
        <f aca="true">IF($A263="","",IF(OR($V263="Closed",$V263="Void / withdrawn"),IF($S263="","Closed without response",IF($S263&gt;$Q263,"Answered late","Answered on time")),IF($S263&lt;&gt;"",IF($S263&gt;$Q263,"Answered late","Answered on time"),IF(TODAY()&gt;$Q263,"OVERDUE "&amp;TEXT(TODAY()-$Q263,"0")&amp;" d",TEXT($Q263-TODAY(),"0")&amp;" d left"))))</f>
        <v/>
      </c>
      <c r="Z263" s="44" t="str">
        <f aca="false">IF($A263="","",IF($S263&lt;&gt;"","",IF($X263&lt;=7,"0-7 d",IF($X263&lt;=14,"8-14 d",IF($X263&lt;=30,"15-30 d","over 30 d")))))</f>
        <v/>
      </c>
      <c r="AA263" s="49"/>
      <c r="AB263" s="52"/>
      <c r="AC263" s="49"/>
      <c r="AD263" s="49"/>
      <c r="AE263" s="49"/>
      <c r="AF263" s="49"/>
      <c r="AG263" s="50"/>
    </row>
    <row r="264" customFormat="false" ht="15" hidden="false" customHeight="true" outlineLevel="0" collapsed="false">
      <c r="A264" s="48"/>
      <c r="B264" s="49"/>
      <c r="C264" s="49"/>
      <c r="D264" s="49"/>
      <c r="E264" s="49"/>
      <c r="F264" s="50"/>
      <c r="G264" s="49"/>
      <c r="H264" s="49"/>
      <c r="I264" s="49"/>
      <c r="J264" s="49"/>
      <c r="K264" s="50"/>
      <c r="L264" s="50"/>
      <c r="M264" s="49"/>
      <c r="N264" s="51"/>
      <c r="O264" s="49"/>
      <c r="P264" s="44" t="str">
        <f aca="false">IF($A264="","",IFERROR(INDEX(01_CONTROL!$B$15:$B$18,MATCH($O264,01_CONTROL!$A$15:$A$18,0)),14))</f>
        <v/>
      </c>
      <c r="Q264" s="45" t="str">
        <f aca="false">IF($A264="","",IF($N264="","",$N264+$P264))</f>
        <v/>
      </c>
      <c r="R264" s="49"/>
      <c r="S264" s="51"/>
      <c r="T264" s="50"/>
      <c r="U264" s="49"/>
      <c r="V264" s="49"/>
      <c r="W264" s="51"/>
      <c r="X264" s="44" t="str">
        <f aca="true">IF($A264="","",IF($N264="","",IF($S264="",TODAY()-$N264,$S264-$N264)))</f>
        <v/>
      </c>
      <c r="Y264" s="46" t="str">
        <f aca="true">IF($A264="","",IF(OR($V264="Closed",$V264="Void / withdrawn"),IF($S264="","Closed without response",IF($S264&gt;$Q264,"Answered late","Answered on time")),IF($S264&lt;&gt;"",IF($S264&gt;$Q264,"Answered late","Answered on time"),IF(TODAY()&gt;$Q264,"OVERDUE "&amp;TEXT(TODAY()-$Q264,"0")&amp;" d",TEXT($Q264-TODAY(),"0")&amp;" d left"))))</f>
        <v/>
      </c>
      <c r="Z264" s="44" t="str">
        <f aca="false">IF($A264="","",IF($S264&lt;&gt;"","",IF($X264&lt;=7,"0-7 d",IF($X264&lt;=14,"8-14 d",IF($X264&lt;=30,"15-30 d","over 30 d")))))</f>
        <v/>
      </c>
      <c r="AA264" s="49"/>
      <c r="AB264" s="52"/>
      <c r="AC264" s="49"/>
      <c r="AD264" s="49"/>
      <c r="AE264" s="49"/>
      <c r="AF264" s="49"/>
      <c r="AG264" s="50"/>
    </row>
    <row r="265" customFormat="false" ht="15" hidden="false" customHeight="true" outlineLevel="0" collapsed="false">
      <c r="A265" s="48"/>
      <c r="B265" s="49"/>
      <c r="C265" s="49"/>
      <c r="D265" s="49"/>
      <c r="E265" s="49"/>
      <c r="F265" s="50"/>
      <c r="G265" s="49"/>
      <c r="H265" s="49"/>
      <c r="I265" s="49"/>
      <c r="J265" s="49"/>
      <c r="K265" s="50"/>
      <c r="L265" s="50"/>
      <c r="M265" s="49"/>
      <c r="N265" s="51"/>
      <c r="O265" s="49"/>
      <c r="P265" s="44" t="str">
        <f aca="false">IF($A265="","",IFERROR(INDEX(01_CONTROL!$B$15:$B$18,MATCH($O265,01_CONTROL!$A$15:$A$18,0)),14))</f>
        <v/>
      </c>
      <c r="Q265" s="45" t="str">
        <f aca="false">IF($A265="","",IF($N265="","",$N265+$P265))</f>
        <v/>
      </c>
      <c r="R265" s="49"/>
      <c r="S265" s="51"/>
      <c r="T265" s="50"/>
      <c r="U265" s="49"/>
      <c r="V265" s="49"/>
      <c r="W265" s="51"/>
      <c r="X265" s="44" t="str">
        <f aca="true">IF($A265="","",IF($N265="","",IF($S265="",TODAY()-$N265,$S265-$N265)))</f>
        <v/>
      </c>
      <c r="Y265" s="46" t="str">
        <f aca="true">IF($A265="","",IF(OR($V265="Closed",$V265="Void / withdrawn"),IF($S265="","Closed without response",IF($S265&gt;$Q265,"Answered late","Answered on time")),IF($S265&lt;&gt;"",IF($S265&gt;$Q265,"Answered late","Answered on time"),IF(TODAY()&gt;$Q265,"OVERDUE "&amp;TEXT(TODAY()-$Q265,"0")&amp;" d",TEXT($Q265-TODAY(),"0")&amp;" d left"))))</f>
        <v/>
      </c>
      <c r="Z265" s="44" t="str">
        <f aca="false">IF($A265="","",IF($S265&lt;&gt;"","",IF($X265&lt;=7,"0-7 d",IF($X265&lt;=14,"8-14 d",IF($X265&lt;=30,"15-30 d","over 30 d")))))</f>
        <v/>
      </c>
      <c r="AA265" s="49"/>
      <c r="AB265" s="52"/>
      <c r="AC265" s="49"/>
      <c r="AD265" s="49"/>
      <c r="AE265" s="49"/>
      <c r="AF265" s="49"/>
      <c r="AG265" s="50"/>
    </row>
    <row r="266" customFormat="false" ht="15" hidden="false" customHeight="true" outlineLevel="0" collapsed="false">
      <c r="A266" s="48"/>
      <c r="B266" s="49"/>
      <c r="C266" s="49"/>
      <c r="D266" s="49"/>
      <c r="E266" s="49"/>
      <c r="F266" s="50"/>
      <c r="G266" s="49"/>
      <c r="H266" s="49"/>
      <c r="I266" s="49"/>
      <c r="J266" s="49"/>
      <c r="K266" s="50"/>
      <c r="L266" s="50"/>
      <c r="M266" s="49"/>
      <c r="N266" s="51"/>
      <c r="O266" s="49"/>
      <c r="P266" s="44" t="str">
        <f aca="false">IF($A266="","",IFERROR(INDEX(01_CONTROL!$B$15:$B$18,MATCH($O266,01_CONTROL!$A$15:$A$18,0)),14))</f>
        <v/>
      </c>
      <c r="Q266" s="45" t="str">
        <f aca="false">IF($A266="","",IF($N266="","",$N266+$P266))</f>
        <v/>
      </c>
      <c r="R266" s="49"/>
      <c r="S266" s="51"/>
      <c r="T266" s="50"/>
      <c r="U266" s="49"/>
      <c r="V266" s="49"/>
      <c r="W266" s="51"/>
      <c r="X266" s="44" t="str">
        <f aca="true">IF($A266="","",IF($N266="","",IF($S266="",TODAY()-$N266,$S266-$N266)))</f>
        <v/>
      </c>
      <c r="Y266" s="46" t="str">
        <f aca="true">IF($A266="","",IF(OR($V266="Closed",$V266="Void / withdrawn"),IF($S266="","Closed without response",IF($S266&gt;$Q266,"Answered late","Answered on time")),IF($S266&lt;&gt;"",IF($S266&gt;$Q266,"Answered late","Answered on time"),IF(TODAY()&gt;$Q266,"OVERDUE "&amp;TEXT(TODAY()-$Q266,"0")&amp;" d",TEXT($Q266-TODAY(),"0")&amp;" d left"))))</f>
        <v/>
      </c>
      <c r="Z266" s="44" t="str">
        <f aca="false">IF($A266="","",IF($S266&lt;&gt;"","",IF($X266&lt;=7,"0-7 d",IF($X266&lt;=14,"8-14 d",IF($X266&lt;=30,"15-30 d","over 30 d")))))</f>
        <v/>
      </c>
      <c r="AA266" s="49"/>
      <c r="AB266" s="52"/>
      <c r="AC266" s="49"/>
      <c r="AD266" s="49"/>
      <c r="AE266" s="49"/>
      <c r="AF266" s="49"/>
      <c r="AG266" s="50"/>
    </row>
    <row r="267" customFormat="false" ht="15" hidden="false" customHeight="true" outlineLevel="0" collapsed="false">
      <c r="A267" s="48"/>
      <c r="B267" s="49"/>
      <c r="C267" s="49"/>
      <c r="D267" s="49"/>
      <c r="E267" s="49"/>
      <c r="F267" s="50"/>
      <c r="G267" s="49"/>
      <c r="H267" s="49"/>
      <c r="I267" s="49"/>
      <c r="J267" s="49"/>
      <c r="K267" s="50"/>
      <c r="L267" s="50"/>
      <c r="M267" s="49"/>
      <c r="N267" s="51"/>
      <c r="O267" s="49"/>
      <c r="P267" s="44" t="str">
        <f aca="false">IF($A267="","",IFERROR(INDEX(01_CONTROL!$B$15:$B$18,MATCH($O267,01_CONTROL!$A$15:$A$18,0)),14))</f>
        <v/>
      </c>
      <c r="Q267" s="45" t="str">
        <f aca="false">IF($A267="","",IF($N267="","",$N267+$P267))</f>
        <v/>
      </c>
      <c r="R267" s="49"/>
      <c r="S267" s="51"/>
      <c r="T267" s="50"/>
      <c r="U267" s="49"/>
      <c r="V267" s="49"/>
      <c r="W267" s="51"/>
      <c r="X267" s="44" t="str">
        <f aca="true">IF($A267="","",IF($N267="","",IF($S267="",TODAY()-$N267,$S267-$N267)))</f>
        <v/>
      </c>
      <c r="Y267" s="46" t="str">
        <f aca="true">IF($A267="","",IF(OR($V267="Closed",$V267="Void / withdrawn"),IF($S267="","Closed without response",IF($S267&gt;$Q267,"Answered late","Answered on time")),IF($S267&lt;&gt;"",IF($S267&gt;$Q267,"Answered late","Answered on time"),IF(TODAY()&gt;$Q267,"OVERDUE "&amp;TEXT(TODAY()-$Q267,"0")&amp;" d",TEXT($Q267-TODAY(),"0")&amp;" d left"))))</f>
        <v/>
      </c>
      <c r="Z267" s="44" t="str">
        <f aca="false">IF($A267="","",IF($S267&lt;&gt;"","",IF($X267&lt;=7,"0-7 d",IF($X267&lt;=14,"8-14 d",IF($X267&lt;=30,"15-30 d","over 30 d")))))</f>
        <v/>
      </c>
      <c r="AA267" s="49"/>
      <c r="AB267" s="52"/>
      <c r="AC267" s="49"/>
      <c r="AD267" s="49"/>
      <c r="AE267" s="49"/>
      <c r="AF267" s="49"/>
      <c r="AG267" s="50"/>
    </row>
    <row r="268" customFormat="false" ht="15" hidden="false" customHeight="true" outlineLevel="0" collapsed="false">
      <c r="A268" s="48"/>
      <c r="B268" s="49"/>
      <c r="C268" s="49"/>
      <c r="D268" s="49"/>
      <c r="E268" s="49"/>
      <c r="F268" s="50"/>
      <c r="G268" s="49"/>
      <c r="H268" s="49"/>
      <c r="I268" s="49"/>
      <c r="J268" s="49"/>
      <c r="K268" s="50"/>
      <c r="L268" s="50"/>
      <c r="M268" s="49"/>
      <c r="N268" s="51"/>
      <c r="O268" s="49"/>
      <c r="P268" s="44" t="str">
        <f aca="false">IF($A268="","",IFERROR(INDEX(01_CONTROL!$B$15:$B$18,MATCH($O268,01_CONTROL!$A$15:$A$18,0)),14))</f>
        <v/>
      </c>
      <c r="Q268" s="45" t="str">
        <f aca="false">IF($A268="","",IF($N268="","",$N268+$P268))</f>
        <v/>
      </c>
      <c r="R268" s="49"/>
      <c r="S268" s="51"/>
      <c r="T268" s="50"/>
      <c r="U268" s="49"/>
      <c r="V268" s="49"/>
      <c r="W268" s="51"/>
      <c r="X268" s="44" t="str">
        <f aca="true">IF($A268="","",IF($N268="","",IF($S268="",TODAY()-$N268,$S268-$N268)))</f>
        <v/>
      </c>
      <c r="Y268" s="46" t="str">
        <f aca="true">IF($A268="","",IF(OR($V268="Closed",$V268="Void / withdrawn"),IF($S268="","Closed without response",IF($S268&gt;$Q268,"Answered late","Answered on time")),IF($S268&lt;&gt;"",IF($S268&gt;$Q268,"Answered late","Answered on time"),IF(TODAY()&gt;$Q268,"OVERDUE "&amp;TEXT(TODAY()-$Q268,"0")&amp;" d",TEXT($Q268-TODAY(),"0")&amp;" d left"))))</f>
        <v/>
      </c>
      <c r="Z268" s="44" t="str">
        <f aca="false">IF($A268="","",IF($S268&lt;&gt;"","",IF($X268&lt;=7,"0-7 d",IF($X268&lt;=14,"8-14 d",IF($X268&lt;=30,"15-30 d","over 30 d")))))</f>
        <v/>
      </c>
      <c r="AA268" s="49"/>
      <c r="AB268" s="52"/>
      <c r="AC268" s="49"/>
      <c r="AD268" s="49"/>
      <c r="AE268" s="49"/>
      <c r="AF268" s="49"/>
      <c r="AG268" s="50"/>
    </row>
    <row r="269" customFormat="false" ht="15" hidden="false" customHeight="true" outlineLevel="0" collapsed="false">
      <c r="A269" s="48"/>
      <c r="B269" s="49"/>
      <c r="C269" s="49"/>
      <c r="D269" s="49"/>
      <c r="E269" s="49"/>
      <c r="F269" s="50"/>
      <c r="G269" s="49"/>
      <c r="H269" s="49"/>
      <c r="I269" s="49"/>
      <c r="J269" s="49"/>
      <c r="K269" s="50"/>
      <c r="L269" s="50"/>
      <c r="M269" s="49"/>
      <c r="N269" s="51"/>
      <c r="O269" s="49"/>
      <c r="P269" s="44" t="str">
        <f aca="false">IF($A269="","",IFERROR(INDEX(01_CONTROL!$B$15:$B$18,MATCH($O269,01_CONTROL!$A$15:$A$18,0)),14))</f>
        <v/>
      </c>
      <c r="Q269" s="45" t="str">
        <f aca="false">IF($A269="","",IF($N269="","",$N269+$P269))</f>
        <v/>
      </c>
      <c r="R269" s="49"/>
      <c r="S269" s="51"/>
      <c r="T269" s="50"/>
      <c r="U269" s="49"/>
      <c r="V269" s="49"/>
      <c r="W269" s="51"/>
      <c r="X269" s="44" t="str">
        <f aca="true">IF($A269="","",IF($N269="","",IF($S269="",TODAY()-$N269,$S269-$N269)))</f>
        <v/>
      </c>
      <c r="Y269" s="46" t="str">
        <f aca="true">IF($A269="","",IF(OR($V269="Closed",$V269="Void / withdrawn"),IF($S269="","Closed without response",IF($S269&gt;$Q269,"Answered late","Answered on time")),IF($S269&lt;&gt;"",IF($S269&gt;$Q269,"Answered late","Answered on time"),IF(TODAY()&gt;$Q269,"OVERDUE "&amp;TEXT(TODAY()-$Q269,"0")&amp;" d",TEXT($Q269-TODAY(),"0")&amp;" d left"))))</f>
        <v/>
      </c>
      <c r="Z269" s="44" t="str">
        <f aca="false">IF($A269="","",IF($S269&lt;&gt;"","",IF($X269&lt;=7,"0-7 d",IF($X269&lt;=14,"8-14 d",IF($X269&lt;=30,"15-30 d","over 30 d")))))</f>
        <v/>
      </c>
      <c r="AA269" s="49"/>
      <c r="AB269" s="52"/>
      <c r="AC269" s="49"/>
      <c r="AD269" s="49"/>
      <c r="AE269" s="49"/>
      <c r="AF269" s="49"/>
      <c r="AG269" s="50"/>
    </row>
    <row r="270" customFormat="false" ht="15" hidden="false" customHeight="true" outlineLevel="0" collapsed="false">
      <c r="A270" s="48"/>
      <c r="B270" s="49"/>
      <c r="C270" s="49"/>
      <c r="D270" s="49"/>
      <c r="E270" s="49"/>
      <c r="F270" s="50"/>
      <c r="G270" s="49"/>
      <c r="H270" s="49"/>
      <c r="I270" s="49"/>
      <c r="J270" s="49"/>
      <c r="K270" s="50"/>
      <c r="L270" s="50"/>
      <c r="M270" s="49"/>
      <c r="N270" s="51"/>
      <c r="O270" s="49"/>
      <c r="P270" s="44" t="str">
        <f aca="false">IF($A270="","",IFERROR(INDEX(01_CONTROL!$B$15:$B$18,MATCH($O270,01_CONTROL!$A$15:$A$18,0)),14))</f>
        <v/>
      </c>
      <c r="Q270" s="45" t="str">
        <f aca="false">IF($A270="","",IF($N270="","",$N270+$P270))</f>
        <v/>
      </c>
      <c r="R270" s="49"/>
      <c r="S270" s="51"/>
      <c r="T270" s="50"/>
      <c r="U270" s="49"/>
      <c r="V270" s="49"/>
      <c r="W270" s="51"/>
      <c r="X270" s="44" t="str">
        <f aca="true">IF($A270="","",IF($N270="","",IF($S270="",TODAY()-$N270,$S270-$N270)))</f>
        <v/>
      </c>
      <c r="Y270" s="46" t="str">
        <f aca="true">IF($A270="","",IF(OR($V270="Closed",$V270="Void / withdrawn"),IF($S270="","Closed without response",IF($S270&gt;$Q270,"Answered late","Answered on time")),IF($S270&lt;&gt;"",IF($S270&gt;$Q270,"Answered late","Answered on time"),IF(TODAY()&gt;$Q270,"OVERDUE "&amp;TEXT(TODAY()-$Q270,"0")&amp;" d",TEXT($Q270-TODAY(),"0")&amp;" d left"))))</f>
        <v/>
      </c>
      <c r="Z270" s="44" t="str">
        <f aca="false">IF($A270="","",IF($S270&lt;&gt;"","",IF($X270&lt;=7,"0-7 d",IF($X270&lt;=14,"8-14 d",IF($X270&lt;=30,"15-30 d","over 30 d")))))</f>
        <v/>
      </c>
      <c r="AA270" s="49"/>
      <c r="AB270" s="52"/>
      <c r="AC270" s="49"/>
      <c r="AD270" s="49"/>
      <c r="AE270" s="49"/>
      <c r="AF270" s="49"/>
      <c r="AG270" s="50"/>
    </row>
    <row r="271" customFormat="false" ht="15" hidden="false" customHeight="true" outlineLevel="0" collapsed="false">
      <c r="A271" s="48"/>
      <c r="B271" s="49"/>
      <c r="C271" s="49"/>
      <c r="D271" s="49"/>
      <c r="E271" s="49"/>
      <c r="F271" s="50"/>
      <c r="G271" s="49"/>
      <c r="H271" s="49"/>
      <c r="I271" s="49"/>
      <c r="J271" s="49"/>
      <c r="K271" s="50"/>
      <c r="L271" s="50"/>
      <c r="M271" s="49"/>
      <c r="N271" s="51"/>
      <c r="O271" s="49"/>
      <c r="P271" s="44" t="str">
        <f aca="false">IF($A271="","",IFERROR(INDEX(01_CONTROL!$B$15:$B$18,MATCH($O271,01_CONTROL!$A$15:$A$18,0)),14))</f>
        <v/>
      </c>
      <c r="Q271" s="45" t="str">
        <f aca="false">IF($A271="","",IF($N271="","",$N271+$P271))</f>
        <v/>
      </c>
      <c r="R271" s="49"/>
      <c r="S271" s="51"/>
      <c r="T271" s="50"/>
      <c r="U271" s="49"/>
      <c r="V271" s="49"/>
      <c r="W271" s="51"/>
      <c r="X271" s="44" t="str">
        <f aca="true">IF($A271="","",IF($N271="","",IF($S271="",TODAY()-$N271,$S271-$N271)))</f>
        <v/>
      </c>
      <c r="Y271" s="46" t="str">
        <f aca="true">IF($A271="","",IF(OR($V271="Closed",$V271="Void / withdrawn"),IF($S271="","Closed without response",IF($S271&gt;$Q271,"Answered late","Answered on time")),IF($S271&lt;&gt;"",IF($S271&gt;$Q271,"Answered late","Answered on time"),IF(TODAY()&gt;$Q271,"OVERDUE "&amp;TEXT(TODAY()-$Q271,"0")&amp;" d",TEXT($Q271-TODAY(),"0")&amp;" d left"))))</f>
        <v/>
      </c>
      <c r="Z271" s="44" t="str">
        <f aca="false">IF($A271="","",IF($S271&lt;&gt;"","",IF($X271&lt;=7,"0-7 d",IF($X271&lt;=14,"8-14 d",IF($X271&lt;=30,"15-30 d","over 30 d")))))</f>
        <v/>
      </c>
      <c r="AA271" s="49"/>
      <c r="AB271" s="52"/>
      <c r="AC271" s="49"/>
      <c r="AD271" s="49"/>
      <c r="AE271" s="49"/>
      <c r="AF271" s="49"/>
      <c r="AG271" s="50"/>
    </row>
    <row r="272" customFormat="false" ht="15" hidden="false" customHeight="true" outlineLevel="0" collapsed="false">
      <c r="A272" s="48"/>
      <c r="B272" s="49"/>
      <c r="C272" s="49"/>
      <c r="D272" s="49"/>
      <c r="E272" s="49"/>
      <c r="F272" s="50"/>
      <c r="G272" s="49"/>
      <c r="H272" s="49"/>
      <c r="I272" s="49"/>
      <c r="J272" s="49"/>
      <c r="K272" s="50"/>
      <c r="L272" s="50"/>
      <c r="M272" s="49"/>
      <c r="N272" s="51"/>
      <c r="O272" s="49"/>
      <c r="P272" s="44" t="str">
        <f aca="false">IF($A272="","",IFERROR(INDEX(01_CONTROL!$B$15:$B$18,MATCH($O272,01_CONTROL!$A$15:$A$18,0)),14))</f>
        <v/>
      </c>
      <c r="Q272" s="45" t="str">
        <f aca="false">IF($A272="","",IF($N272="","",$N272+$P272))</f>
        <v/>
      </c>
      <c r="R272" s="49"/>
      <c r="S272" s="51"/>
      <c r="T272" s="50"/>
      <c r="U272" s="49"/>
      <c r="V272" s="49"/>
      <c r="W272" s="51"/>
      <c r="X272" s="44" t="str">
        <f aca="true">IF($A272="","",IF($N272="","",IF($S272="",TODAY()-$N272,$S272-$N272)))</f>
        <v/>
      </c>
      <c r="Y272" s="46" t="str">
        <f aca="true">IF($A272="","",IF(OR($V272="Closed",$V272="Void / withdrawn"),IF($S272="","Closed without response",IF($S272&gt;$Q272,"Answered late","Answered on time")),IF($S272&lt;&gt;"",IF($S272&gt;$Q272,"Answered late","Answered on time"),IF(TODAY()&gt;$Q272,"OVERDUE "&amp;TEXT(TODAY()-$Q272,"0")&amp;" d",TEXT($Q272-TODAY(),"0")&amp;" d left"))))</f>
        <v/>
      </c>
      <c r="Z272" s="44" t="str">
        <f aca="false">IF($A272="","",IF($S272&lt;&gt;"","",IF($X272&lt;=7,"0-7 d",IF($X272&lt;=14,"8-14 d",IF($X272&lt;=30,"15-30 d","over 30 d")))))</f>
        <v/>
      </c>
      <c r="AA272" s="49"/>
      <c r="AB272" s="52"/>
      <c r="AC272" s="49"/>
      <c r="AD272" s="49"/>
      <c r="AE272" s="49"/>
      <c r="AF272" s="49"/>
      <c r="AG272" s="50"/>
    </row>
    <row r="273" customFormat="false" ht="15" hidden="false" customHeight="true" outlineLevel="0" collapsed="false">
      <c r="A273" s="48"/>
      <c r="B273" s="49"/>
      <c r="C273" s="49"/>
      <c r="D273" s="49"/>
      <c r="E273" s="49"/>
      <c r="F273" s="50"/>
      <c r="G273" s="49"/>
      <c r="H273" s="49"/>
      <c r="I273" s="49"/>
      <c r="J273" s="49"/>
      <c r="K273" s="50"/>
      <c r="L273" s="50"/>
      <c r="M273" s="49"/>
      <c r="N273" s="51"/>
      <c r="O273" s="49"/>
      <c r="P273" s="44" t="str">
        <f aca="false">IF($A273="","",IFERROR(INDEX(01_CONTROL!$B$15:$B$18,MATCH($O273,01_CONTROL!$A$15:$A$18,0)),14))</f>
        <v/>
      </c>
      <c r="Q273" s="45" t="str">
        <f aca="false">IF($A273="","",IF($N273="","",$N273+$P273))</f>
        <v/>
      </c>
      <c r="R273" s="49"/>
      <c r="S273" s="51"/>
      <c r="T273" s="50"/>
      <c r="U273" s="49"/>
      <c r="V273" s="49"/>
      <c r="W273" s="51"/>
      <c r="X273" s="44" t="str">
        <f aca="true">IF($A273="","",IF($N273="","",IF($S273="",TODAY()-$N273,$S273-$N273)))</f>
        <v/>
      </c>
      <c r="Y273" s="46" t="str">
        <f aca="true">IF($A273="","",IF(OR($V273="Closed",$V273="Void / withdrawn"),IF($S273="","Closed without response",IF($S273&gt;$Q273,"Answered late","Answered on time")),IF($S273&lt;&gt;"",IF($S273&gt;$Q273,"Answered late","Answered on time"),IF(TODAY()&gt;$Q273,"OVERDUE "&amp;TEXT(TODAY()-$Q273,"0")&amp;" d",TEXT($Q273-TODAY(),"0")&amp;" d left"))))</f>
        <v/>
      </c>
      <c r="Z273" s="44" t="str">
        <f aca="false">IF($A273="","",IF($S273&lt;&gt;"","",IF($X273&lt;=7,"0-7 d",IF($X273&lt;=14,"8-14 d",IF($X273&lt;=30,"15-30 d","over 30 d")))))</f>
        <v/>
      </c>
      <c r="AA273" s="49"/>
      <c r="AB273" s="52"/>
      <c r="AC273" s="49"/>
      <c r="AD273" s="49"/>
      <c r="AE273" s="49"/>
      <c r="AF273" s="49"/>
      <c r="AG273" s="50"/>
    </row>
    <row r="274" customFormat="false" ht="15" hidden="false" customHeight="true" outlineLevel="0" collapsed="false">
      <c r="A274" s="48"/>
      <c r="B274" s="49"/>
      <c r="C274" s="49"/>
      <c r="D274" s="49"/>
      <c r="E274" s="49"/>
      <c r="F274" s="50"/>
      <c r="G274" s="49"/>
      <c r="H274" s="49"/>
      <c r="I274" s="49"/>
      <c r="J274" s="49"/>
      <c r="K274" s="50"/>
      <c r="L274" s="50"/>
      <c r="M274" s="49"/>
      <c r="N274" s="51"/>
      <c r="O274" s="49"/>
      <c r="P274" s="44" t="str">
        <f aca="false">IF($A274="","",IFERROR(INDEX(01_CONTROL!$B$15:$B$18,MATCH($O274,01_CONTROL!$A$15:$A$18,0)),14))</f>
        <v/>
      </c>
      <c r="Q274" s="45" t="str">
        <f aca="false">IF($A274="","",IF($N274="","",$N274+$P274))</f>
        <v/>
      </c>
      <c r="R274" s="49"/>
      <c r="S274" s="51"/>
      <c r="T274" s="50"/>
      <c r="U274" s="49"/>
      <c r="V274" s="49"/>
      <c r="W274" s="51"/>
      <c r="X274" s="44" t="str">
        <f aca="true">IF($A274="","",IF($N274="","",IF($S274="",TODAY()-$N274,$S274-$N274)))</f>
        <v/>
      </c>
      <c r="Y274" s="46" t="str">
        <f aca="true">IF($A274="","",IF(OR($V274="Closed",$V274="Void / withdrawn"),IF($S274="","Closed without response",IF($S274&gt;$Q274,"Answered late","Answered on time")),IF($S274&lt;&gt;"",IF($S274&gt;$Q274,"Answered late","Answered on time"),IF(TODAY()&gt;$Q274,"OVERDUE "&amp;TEXT(TODAY()-$Q274,"0")&amp;" d",TEXT($Q274-TODAY(),"0")&amp;" d left"))))</f>
        <v/>
      </c>
      <c r="Z274" s="44" t="str">
        <f aca="false">IF($A274="","",IF($S274&lt;&gt;"","",IF($X274&lt;=7,"0-7 d",IF($X274&lt;=14,"8-14 d",IF($X274&lt;=30,"15-30 d","over 30 d")))))</f>
        <v/>
      </c>
      <c r="AA274" s="49"/>
      <c r="AB274" s="52"/>
      <c r="AC274" s="49"/>
      <c r="AD274" s="49"/>
      <c r="AE274" s="49"/>
      <c r="AF274" s="49"/>
      <c r="AG274" s="50"/>
    </row>
    <row r="275" customFormat="false" ht="15" hidden="false" customHeight="true" outlineLevel="0" collapsed="false">
      <c r="A275" s="48"/>
      <c r="B275" s="49"/>
      <c r="C275" s="49"/>
      <c r="D275" s="49"/>
      <c r="E275" s="49"/>
      <c r="F275" s="50"/>
      <c r="G275" s="49"/>
      <c r="H275" s="49"/>
      <c r="I275" s="49"/>
      <c r="J275" s="49"/>
      <c r="K275" s="50"/>
      <c r="L275" s="50"/>
      <c r="M275" s="49"/>
      <c r="N275" s="51"/>
      <c r="O275" s="49"/>
      <c r="P275" s="44" t="str">
        <f aca="false">IF($A275="","",IFERROR(INDEX(01_CONTROL!$B$15:$B$18,MATCH($O275,01_CONTROL!$A$15:$A$18,0)),14))</f>
        <v/>
      </c>
      <c r="Q275" s="45" t="str">
        <f aca="false">IF($A275="","",IF($N275="","",$N275+$P275))</f>
        <v/>
      </c>
      <c r="R275" s="49"/>
      <c r="S275" s="51"/>
      <c r="T275" s="50"/>
      <c r="U275" s="49"/>
      <c r="V275" s="49"/>
      <c r="W275" s="51"/>
      <c r="X275" s="44" t="str">
        <f aca="true">IF($A275="","",IF($N275="","",IF($S275="",TODAY()-$N275,$S275-$N275)))</f>
        <v/>
      </c>
      <c r="Y275" s="46" t="str">
        <f aca="true">IF($A275="","",IF(OR($V275="Closed",$V275="Void / withdrawn"),IF($S275="","Closed without response",IF($S275&gt;$Q275,"Answered late","Answered on time")),IF($S275&lt;&gt;"",IF($S275&gt;$Q275,"Answered late","Answered on time"),IF(TODAY()&gt;$Q275,"OVERDUE "&amp;TEXT(TODAY()-$Q275,"0")&amp;" d",TEXT($Q275-TODAY(),"0")&amp;" d left"))))</f>
        <v/>
      </c>
      <c r="Z275" s="44" t="str">
        <f aca="false">IF($A275="","",IF($S275&lt;&gt;"","",IF($X275&lt;=7,"0-7 d",IF($X275&lt;=14,"8-14 d",IF($X275&lt;=30,"15-30 d","over 30 d")))))</f>
        <v/>
      </c>
      <c r="AA275" s="49"/>
      <c r="AB275" s="52"/>
      <c r="AC275" s="49"/>
      <c r="AD275" s="49"/>
      <c r="AE275" s="49"/>
      <c r="AF275" s="49"/>
      <c r="AG275" s="50"/>
    </row>
    <row r="276" customFormat="false" ht="15" hidden="false" customHeight="true" outlineLevel="0" collapsed="false">
      <c r="A276" s="48"/>
      <c r="B276" s="49"/>
      <c r="C276" s="49"/>
      <c r="D276" s="49"/>
      <c r="E276" s="49"/>
      <c r="F276" s="50"/>
      <c r="G276" s="49"/>
      <c r="H276" s="49"/>
      <c r="I276" s="49"/>
      <c r="J276" s="49"/>
      <c r="K276" s="50"/>
      <c r="L276" s="50"/>
      <c r="M276" s="49"/>
      <c r="N276" s="51"/>
      <c r="O276" s="49"/>
      <c r="P276" s="44" t="str">
        <f aca="false">IF($A276="","",IFERROR(INDEX(01_CONTROL!$B$15:$B$18,MATCH($O276,01_CONTROL!$A$15:$A$18,0)),14))</f>
        <v/>
      </c>
      <c r="Q276" s="45" t="str">
        <f aca="false">IF($A276="","",IF($N276="","",$N276+$P276))</f>
        <v/>
      </c>
      <c r="R276" s="49"/>
      <c r="S276" s="51"/>
      <c r="T276" s="50"/>
      <c r="U276" s="49"/>
      <c r="V276" s="49"/>
      <c r="W276" s="51"/>
      <c r="X276" s="44" t="str">
        <f aca="true">IF($A276="","",IF($N276="","",IF($S276="",TODAY()-$N276,$S276-$N276)))</f>
        <v/>
      </c>
      <c r="Y276" s="46" t="str">
        <f aca="true">IF($A276="","",IF(OR($V276="Closed",$V276="Void / withdrawn"),IF($S276="","Closed without response",IF($S276&gt;$Q276,"Answered late","Answered on time")),IF($S276&lt;&gt;"",IF($S276&gt;$Q276,"Answered late","Answered on time"),IF(TODAY()&gt;$Q276,"OVERDUE "&amp;TEXT(TODAY()-$Q276,"0")&amp;" d",TEXT($Q276-TODAY(),"0")&amp;" d left"))))</f>
        <v/>
      </c>
      <c r="Z276" s="44" t="str">
        <f aca="false">IF($A276="","",IF($S276&lt;&gt;"","",IF($X276&lt;=7,"0-7 d",IF($X276&lt;=14,"8-14 d",IF($X276&lt;=30,"15-30 d","over 30 d")))))</f>
        <v/>
      </c>
      <c r="AA276" s="49"/>
      <c r="AB276" s="52"/>
      <c r="AC276" s="49"/>
      <c r="AD276" s="49"/>
      <c r="AE276" s="49"/>
      <c r="AF276" s="49"/>
      <c r="AG276" s="50"/>
    </row>
    <row r="277" customFormat="false" ht="15" hidden="false" customHeight="true" outlineLevel="0" collapsed="false">
      <c r="A277" s="48"/>
      <c r="B277" s="49"/>
      <c r="C277" s="49"/>
      <c r="D277" s="49"/>
      <c r="E277" s="49"/>
      <c r="F277" s="50"/>
      <c r="G277" s="49"/>
      <c r="H277" s="49"/>
      <c r="I277" s="49"/>
      <c r="J277" s="49"/>
      <c r="K277" s="50"/>
      <c r="L277" s="50"/>
      <c r="M277" s="49"/>
      <c r="N277" s="51"/>
      <c r="O277" s="49"/>
      <c r="P277" s="44" t="str">
        <f aca="false">IF($A277="","",IFERROR(INDEX(01_CONTROL!$B$15:$B$18,MATCH($O277,01_CONTROL!$A$15:$A$18,0)),14))</f>
        <v/>
      </c>
      <c r="Q277" s="45" t="str">
        <f aca="false">IF($A277="","",IF($N277="","",$N277+$P277))</f>
        <v/>
      </c>
      <c r="R277" s="49"/>
      <c r="S277" s="51"/>
      <c r="T277" s="50"/>
      <c r="U277" s="49"/>
      <c r="V277" s="49"/>
      <c r="W277" s="51"/>
      <c r="X277" s="44" t="str">
        <f aca="true">IF($A277="","",IF($N277="","",IF($S277="",TODAY()-$N277,$S277-$N277)))</f>
        <v/>
      </c>
      <c r="Y277" s="46" t="str">
        <f aca="true">IF($A277="","",IF(OR($V277="Closed",$V277="Void / withdrawn"),IF($S277="","Closed without response",IF($S277&gt;$Q277,"Answered late","Answered on time")),IF($S277&lt;&gt;"",IF($S277&gt;$Q277,"Answered late","Answered on time"),IF(TODAY()&gt;$Q277,"OVERDUE "&amp;TEXT(TODAY()-$Q277,"0")&amp;" d",TEXT($Q277-TODAY(),"0")&amp;" d left"))))</f>
        <v/>
      </c>
      <c r="Z277" s="44" t="str">
        <f aca="false">IF($A277="","",IF($S277&lt;&gt;"","",IF($X277&lt;=7,"0-7 d",IF($X277&lt;=14,"8-14 d",IF($X277&lt;=30,"15-30 d","over 30 d")))))</f>
        <v/>
      </c>
      <c r="AA277" s="49"/>
      <c r="AB277" s="52"/>
      <c r="AC277" s="49"/>
      <c r="AD277" s="49"/>
      <c r="AE277" s="49"/>
      <c r="AF277" s="49"/>
      <c r="AG277" s="50"/>
    </row>
    <row r="278" customFormat="false" ht="15" hidden="false" customHeight="true" outlineLevel="0" collapsed="false">
      <c r="A278" s="48"/>
      <c r="B278" s="49"/>
      <c r="C278" s="49"/>
      <c r="D278" s="49"/>
      <c r="E278" s="49"/>
      <c r="F278" s="50"/>
      <c r="G278" s="49"/>
      <c r="H278" s="49"/>
      <c r="I278" s="49"/>
      <c r="J278" s="49"/>
      <c r="K278" s="50"/>
      <c r="L278" s="50"/>
      <c r="M278" s="49"/>
      <c r="N278" s="51"/>
      <c r="O278" s="49"/>
      <c r="P278" s="44" t="str">
        <f aca="false">IF($A278="","",IFERROR(INDEX(01_CONTROL!$B$15:$B$18,MATCH($O278,01_CONTROL!$A$15:$A$18,0)),14))</f>
        <v/>
      </c>
      <c r="Q278" s="45" t="str">
        <f aca="false">IF($A278="","",IF($N278="","",$N278+$P278))</f>
        <v/>
      </c>
      <c r="R278" s="49"/>
      <c r="S278" s="51"/>
      <c r="T278" s="50"/>
      <c r="U278" s="49"/>
      <c r="V278" s="49"/>
      <c r="W278" s="51"/>
      <c r="X278" s="44" t="str">
        <f aca="true">IF($A278="","",IF($N278="","",IF($S278="",TODAY()-$N278,$S278-$N278)))</f>
        <v/>
      </c>
      <c r="Y278" s="46" t="str">
        <f aca="true">IF($A278="","",IF(OR($V278="Closed",$V278="Void / withdrawn"),IF($S278="","Closed without response",IF($S278&gt;$Q278,"Answered late","Answered on time")),IF($S278&lt;&gt;"",IF($S278&gt;$Q278,"Answered late","Answered on time"),IF(TODAY()&gt;$Q278,"OVERDUE "&amp;TEXT(TODAY()-$Q278,"0")&amp;" d",TEXT($Q278-TODAY(),"0")&amp;" d left"))))</f>
        <v/>
      </c>
      <c r="Z278" s="44" t="str">
        <f aca="false">IF($A278="","",IF($S278&lt;&gt;"","",IF($X278&lt;=7,"0-7 d",IF($X278&lt;=14,"8-14 d",IF($X278&lt;=30,"15-30 d","over 30 d")))))</f>
        <v/>
      </c>
      <c r="AA278" s="49"/>
      <c r="AB278" s="52"/>
      <c r="AC278" s="49"/>
      <c r="AD278" s="49"/>
      <c r="AE278" s="49"/>
      <c r="AF278" s="49"/>
      <c r="AG278" s="50"/>
    </row>
    <row r="279" customFormat="false" ht="15" hidden="false" customHeight="true" outlineLevel="0" collapsed="false">
      <c r="A279" s="48"/>
      <c r="B279" s="49"/>
      <c r="C279" s="49"/>
      <c r="D279" s="49"/>
      <c r="E279" s="49"/>
      <c r="F279" s="50"/>
      <c r="G279" s="49"/>
      <c r="H279" s="49"/>
      <c r="I279" s="49"/>
      <c r="J279" s="49"/>
      <c r="K279" s="50"/>
      <c r="L279" s="50"/>
      <c r="M279" s="49"/>
      <c r="N279" s="51"/>
      <c r="O279" s="49"/>
      <c r="P279" s="44" t="str">
        <f aca="false">IF($A279="","",IFERROR(INDEX(01_CONTROL!$B$15:$B$18,MATCH($O279,01_CONTROL!$A$15:$A$18,0)),14))</f>
        <v/>
      </c>
      <c r="Q279" s="45" t="str">
        <f aca="false">IF($A279="","",IF($N279="","",$N279+$P279))</f>
        <v/>
      </c>
      <c r="R279" s="49"/>
      <c r="S279" s="51"/>
      <c r="T279" s="50"/>
      <c r="U279" s="49"/>
      <c r="V279" s="49"/>
      <c r="W279" s="51"/>
      <c r="X279" s="44" t="str">
        <f aca="true">IF($A279="","",IF($N279="","",IF($S279="",TODAY()-$N279,$S279-$N279)))</f>
        <v/>
      </c>
      <c r="Y279" s="46" t="str">
        <f aca="true">IF($A279="","",IF(OR($V279="Closed",$V279="Void / withdrawn"),IF($S279="","Closed without response",IF($S279&gt;$Q279,"Answered late","Answered on time")),IF($S279&lt;&gt;"",IF($S279&gt;$Q279,"Answered late","Answered on time"),IF(TODAY()&gt;$Q279,"OVERDUE "&amp;TEXT(TODAY()-$Q279,"0")&amp;" d",TEXT($Q279-TODAY(),"0")&amp;" d left"))))</f>
        <v/>
      </c>
      <c r="Z279" s="44" t="str">
        <f aca="false">IF($A279="","",IF($S279&lt;&gt;"","",IF($X279&lt;=7,"0-7 d",IF($X279&lt;=14,"8-14 d",IF($X279&lt;=30,"15-30 d","over 30 d")))))</f>
        <v/>
      </c>
      <c r="AA279" s="49"/>
      <c r="AB279" s="52"/>
      <c r="AC279" s="49"/>
      <c r="AD279" s="49"/>
      <c r="AE279" s="49"/>
      <c r="AF279" s="49"/>
      <c r="AG279" s="50"/>
    </row>
    <row r="280" customFormat="false" ht="15" hidden="false" customHeight="true" outlineLevel="0" collapsed="false">
      <c r="A280" s="48"/>
      <c r="B280" s="49"/>
      <c r="C280" s="49"/>
      <c r="D280" s="49"/>
      <c r="E280" s="49"/>
      <c r="F280" s="50"/>
      <c r="G280" s="49"/>
      <c r="H280" s="49"/>
      <c r="I280" s="49"/>
      <c r="J280" s="49"/>
      <c r="K280" s="50"/>
      <c r="L280" s="50"/>
      <c r="M280" s="49"/>
      <c r="N280" s="51"/>
      <c r="O280" s="49"/>
      <c r="P280" s="44" t="str">
        <f aca="false">IF($A280="","",IFERROR(INDEX(01_CONTROL!$B$15:$B$18,MATCH($O280,01_CONTROL!$A$15:$A$18,0)),14))</f>
        <v/>
      </c>
      <c r="Q280" s="45" t="str">
        <f aca="false">IF($A280="","",IF($N280="","",$N280+$P280))</f>
        <v/>
      </c>
      <c r="R280" s="49"/>
      <c r="S280" s="51"/>
      <c r="T280" s="50"/>
      <c r="U280" s="49"/>
      <c r="V280" s="49"/>
      <c r="W280" s="51"/>
      <c r="X280" s="44" t="str">
        <f aca="true">IF($A280="","",IF($N280="","",IF($S280="",TODAY()-$N280,$S280-$N280)))</f>
        <v/>
      </c>
      <c r="Y280" s="46" t="str">
        <f aca="true">IF($A280="","",IF(OR($V280="Closed",$V280="Void / withdrawn"),IF($S280="","Closed without response",IF($S280&gt;$Q280,"Answered late","Answered on time")),IF($S280&lt;&gt;"",IF($S280&gt;$Q280,"Answered late","Answered on time"),IF(TODAY()&gt;$Q280,"OVERDUE "&amp;TEXT(TODAY()-$Q280,"0")&amp;" d",TEXT($Q280-TODAY(),"0")&amp;" d left"))))</f>
        <v/>
      </c>
      <c r="Z280" s="44" t="str">
        <f aca="false">IF($A280="","",IF($S280&lt;&gt;"","",IF($X280&lt;=7,"0-7 d",IF($X280&lt;=14,"8-14 d",IF($X280&lt;=30,"15-30 d","over 30 d")))))</f>
        <v/>
      </c>
      <c r="AA280" s="49"/>
      <c r="AB280" s="52"/>
      <c r="AC280" s="49"/>
      <c r="AD280" s="49"/>
      <c r="AE280" s="49"/>
      <c r="AF280" s="49"/>
      <c r="AG280" s="50"/>
    </row>
    <row r="281" customFormat="false" ht="15" hidden="false" customHeight="true" outlineLevel="0" collapsed="false">
      <c r="A281" s="48"/>
      <c r="B281" s="49"/>
      <c r="C281" s="49"/>
      <c r="D281" s="49"/>
      <c r="E281" s="49"/>
      <c r="F281" s="50"/>
      <c r="G281" s="49"/>
      <c r="H281" s="49"/>
      <c r="I281" s="49"/>
      <c r="J281" s="49"/>
      <c r="K281" s="50"/>
      <c r="L281" s="50"/>
      <c r="M281" s="49"/>
      <c r="N281" s="51"/>
      <c r="O281" s="49"/>
      <c r="P281" s="44" t="str">
        <f aca="false">IF($A281="","",IFERROR(INDEX(01_CONTROL!$B$15:$B$18,MATCH($O281,01_CONTROL!$A$15:$A$18,0)),14))</f>
        <v/>
      </c>
      <c r="Q281" s="45" t="str">
        <f aca="false">IF($A281="","",IF($N281="","",$N281+$P281))</f>
        <v/>
      </c>
      <c r="R281" s="49"/>
      <c r="S281" s="51"/>
      <c r="T281" s="50"/>
      <c r="U281" s="49"/>
      <c r="V281" s="49"/>
      <c r="W281" s="51"/>
      <c r="X281" s="44" t="str">
        <f aca="true">IF($A281="","",IF($N281="","",IF($S281="",TODAY()-$N281,$S281-$N281)))</f>
        <v/>
      </c>
      <c r="Y281" s="46" t="str">
        <f aca="true">IF($A281="","",IF(OR($V281="Closed",$V281="Void / withdrawn"),IF($S281="","Closed without response",IF($S281&gt;$Q281,"Answered late","Answered on time")),IF($S281&lt;&gt;"",IF($S281&gt;$Q281,"Answered late","Answered on time"),IF(TODAY()&gt;$Q281,"OVERDUE "&amp;TEXT(TODAY()-$Q281,"0")&amp;" d",TEXT($Q281-TODAY(),"0")&amp;" d left"))))</f>
        <v/>
      </c>
      <c r="Z281" s="44" t="str">
        <f aca="false">IF($A281="","",IF($S281&lt;&gt;"","",IF($X281&lt;=7,"0-7 d",IF($X281&lt;=14,"8-14 d",IF($X281&lt;=30,"15-30 d","over 30 d")))))</f>
        <v/>
      </c>
      <c r="AA281" s="49"/>
      <c r="AB281" s="52"/>
      <c r="AC281" s="49"/>
      <c r="AD281" s="49"/>
      <c r="AE281" s="49"/>
      <c r="AF281" s="49"/>
      <c r="AG281" s="50"/>
    </row>
    <row r="282" customFormat="false" ht="15" hidden="false" customHeight="true" outlineLevel="0" collapsed="false">
      <c r="A282" s="48"/>
      <c r="B282" s="49"/>
      <c r="C282" s="49"/>
      <c r="D282" s="49"/>
      <c r="E282" s="49"/>
      <c r="F282" s="50"/>
      <c r="G282" s="49"/>
      <c r="H282" s="49"/>
      <c r="I282" s="49"/>
      <c r="J282" s="49"/>
      <c r="K282" s="50"/>
      <c r="L282" s="50"/>
      <c r="M282" s="49"/>
      <c r="N282" s="51"/>
      <c r="O282" s="49"/>
      <c r="P282" s="44" t="str">
        <f aca="false">IF($A282="","",IFERROR(INDEX(01_CONTROL!$B$15:$B$18,MATCH($O282,01_CONTROL!$A$15:$A$18,0)),14))</f>
        <v/>
      </c>
      <c r="Q282" s="45" t="str">
        <f aca="false">IF($A282="","",IF($N282="","",$N282+$P282))</f>
        <v/>
      </c>
      <c r="R282" s="49"/>
      <c r="S282" s="51"/>
      <c r="T282" s="50"/>
      <c r="U282" s="49"/>
      <c r="V282" s="49"/>
      <c r="W282" s="51"/>
      <c r="X282" s="44" t="str">
        <f aca="true">IF($A282="","",IF($N282="","",IF($S282="",TODAY()-$N282,$S282-$N282)))</f>
        <v/>
      </c>
      <c r="Y282" s="46" t="str">
        <f aca="true">IF($A282="","",IF(OR($V282="Closed",$V282="Void / withdrawn"),IF($S282="","Closed without response",IF($S282&gt;$Q282,"Answered late","Answered on time")),IF($S282&lt;&gt;"",IF($S282&gt;$Q282,"Answered late","Answered on time"),IF(TODAY()&gt;$Q282,"OVERDUE "&amp;TEXT(TODAY()-$Q282,"0")&amp;" d",TEXT($Q282-TODAY(),"0")&amp;" d left"))))</f>
        <v/>
      </c>
      <c r="Z282" s="44" t="str">
        <f aca="false">IF($A282="","",IF($S282&lt;&gt;"","",IF($X282&lt;=7,"0-7 d",IF($X282&lt;=14,"8-14 d",IF($X282&lt;=30,"15-30 d","over 30 d")))))</f>
        <v/>
      </c>
      <c r="AA282" s="49"/>
      <c r="AB282" s="52"/>
      <c r="AC282" s="49"/>
      <c r="AD282" s="49"/>
      <c r="AE282" s="49"/>
      <c r="AF282" s="49"/>
      <c r="AG282" s="50"/>
    </row>
    <row r="283" customFormat="false" ht="15" hidden="false" customHeight="true" outlineLevel="0" collapsed="false">
      <c r="A283" s="48"/>
      <c r="B283" s="49"/>
      <c r="C283" s="49"/>
      <c r="D283" s="49"/>
      <c r="E283" s="49"/>
      <c r="F283" s="50"/>
      <c r="G283" s="49"/>
      <c r="H283" s="49"/>
      <c r="I283" s="49"/>
      <c r="J283" s="49"/>
      <c r="K283" s="50"/>
      <c r="L283" s="50"/>
      <c r="M283" s="49"/>
      <c r="N283" s="51"/>
      <c r="O283" s="49"/>
      <c r="P283" s="44" t="str">
        <f aca="false">IF($A283="","",IFERROR(INDEX(01_CONTROL!$B$15:$B$18,MATCH($O283,01_CONTROL!$A$15:$A$18,0)),14))</f>
        <v/>
      </c>
      <c r="Q283" s="45" t="str">
        <f aca="false">IF($A283="","",IF($N283="","",$N283+$P283))</f>
        <v/>
      </c>
      <c r="R283" s="49"/>
      <c r="S283" s="51"/>
      <c r="T283" s="50"/>
      <c r="U283" s="49"/>
      <c r="V283" s="49"/>
      <c r="W283" s="51"/>
      <c r="X283" s="44" t="str">
        <f aca="true">IF($A283="","",IF($N283="","",IF($S283="",TODAY()-$N283,$S283-$N283)))</f>
        <v/>
      </c>
      <c r="Y283" s="46" t="str">
        <f aca="true">IF($A283="","",IF(OR($V283="Closed",$V283="Void / withdrawn"),IF($S283="","Closed without response",IF($S283&gt;$Q283,"Answered late","Answered on time")),IF($S283&lt;&gt;"",IF($S283&gt;$Q283,"Answered late","Answered on time"),IF(TODAY()&gt;$Q283,"OVERDUE "&amp;TEXT(TODAY()-$Q283,"0")&amp;" d",TEXT($Q283-TODAY(),"0")&amp;" d left"))))</f>
        <v/>
      </c>
      <c r="Z283" s="44" t="str">
        <f aca="false">IF($A283="","",IF($S283&lt;&gt;"","",IF($X283&lt;=7,"0-7 d",IF($X283&lt;=14,"8-14 d",IF($X283&lt;=30,"15-30 d","over 30 d")))))</f>
        <v/>
      </c>
      <c r="AA283" s="49"/>
      <c r="AB283" s="52"/>
      <c r="AC283" s="49"/>
      <c r="AD283" s="49"/>
      <c r="AE283" s="49"/>
      <c r="AF283" s="49"/>
      <c r="AG283" s="50"/>
    </row>
    <row r="284" customFormat="false" ht="15" hidden="false" customHeight="true" outlineLevel="0" collapsed="false">
      <c r="A284" s="48"/>
      <c r="B284" s="49"/>
      <c r="C284" s="49"/>
      <c r="D284" s="49"/>
      <c r="E284" s="49"/>
      <c r="F284" s="50"/>
      <c r="G284" s="49"/>
      <c r="H284" s="49"/>
      <c r="I284" s="49"/>
      <c r="J284" s="49"/>
      <c r="K284" s="50"/>
      <c r="L284" s="50"/>
      <c r="M284" s="49"/>
      <c r="N284" s="51"/>
      <c r="O284" s="49"/>
      <c r="P284" s="44" t="str">
        <f aca="false">IF($A284="","",IFERROR(INDEX(01_CONTROL!$B$15:$B$18,MATCH($O284,01_CONTROL!$A$15:$A$18,0)),14))</f>
        <v/>
      </c>
      <c r="Q284" s="45" t="str">
        <f aca="false">IF($A284="","",IF($N284="","",$N284+$P284))</f>
        <v/>
      </c>
      <c r="R284" s="49"/>
      <c r="S284" s="51"/>
      <c r="T284" s="50"/>
      <c r="U284" s="49"/>
      <c r="V284" s="49"/>
      <c r="W284" s="51"/>
      <c r="X284" s="44" t="str">
        <f aca="true">IF($A284="","",IF($N284="","",IF($S284="",TODAY()-$N284,$S284-$N284)))</f>
        <v/>
      </c>
      <c r="Y284" s="46" t="str">
        <f aca="true">IF($A284="","",IF(OR($V284="Closed",$V284="Void / withdrawn"),IF($S284="","Closed without response",IF($S284&gt;$Q284,"Answered late","Answered on time")),IF($S284&lt;&gt;"",IF($S284&gt;$Q284,"Answered late","Answered on time"),IF(TODAY()&gt;$Q284,"OVERDUE "&amp;TEXT(TODAY()-$Q284,"0")&amp;" d",TEXT($Q284-TODAY(),"0")&amp;" d left"))))</f>
        <v/>
      </c>
      <c r="Z284" s="44" t="str">
        <f aca="false">IF($A284="","",IF($S284&lt;&gt;"","",IF($X284&lt;=7,"0-7 d",IF($X284&lt;=14,"8-14 d",IF($X284&lt;=30,"15-30 d","over 30 d")))))</f>
        <v/>
      </c>
      <c r="AA284" s="49"/>
      <c r="AB284" s="52"/>
      <c r="AC284" s="49"/>
      <c r="AD284" s="49"/>
      <c r="AE284" s="49"/>
      <c r="AF284" s="49"/>
      <c r="AG284" s="50"/>
    </row>
    <row r="285" customFormat="false" ht="15" hidden="false" customHeight="true" outlineLevel="0" collapsed="false">
      <c r="A285" s="48"/>
      <c r="B285" s="49"/>
      <c r="C285" s="49"/>
      <c r="D285" s="49"/>
      <c r="E285" s="49"/>
      <c r="F285" s="50"/>
      <c r="G285" s="49"/>
      <c r="H285" s="49"/>
      <c r="I285" s="49"/>
      <c r="J285" s="49"/>
      <c r="K285" s="50"/>
      <c r="L285" s="50"/>
      <c r="M285" s="49"/>
      <c r="N285" s="51"/>
      <c r="O285" s="49"/>
      <c r="P285" s="44" t="str">
        <f aca="false">IF($A285="","",IFERROR(INDEX(01_CONTROL!$B$15:$B$18,MATCH($O285,01_CONTROL!$A$15:$A$18,0)),14))</f>
        <v/>
      </c>
      <c r="Q285" s="45" t="str">
        <f aca="false">IF($A285="","",IF($N285="","",$N285+$P285))</f>
        <v/>
      </c>
      <c r="R285" s="49"/>
      <c r="S285" s="51"/>
      <c r="T285" s="50"/>
      <c r="U285" s="49"/>
      <c r="V285" s="49"/>
      <c r="W285" s="51"/>
      <c r="X285" s="44" t="str">
        <f aca="true">IF($A285="","",IF($N285="","",IF($S285="",TODAY()-$N285,$S285-$N285)))</f>
        <v/>
      </c>
      <c r="Y285" s="46" t="str">
        <f aca="true">IF($A285="","",IF(OR($V285="Closed",$V285="Void / withdrawn"),IF($S285="","Closed without response",IF($S285&gt;$Q285,"Answered late","Answered on time")),IF($S285&lt;&gt;"",IF($S285&gt;$Q285,"Answered late","Answered on time"),IF(TODAY()&gt;$Q285,"OVERDUE "&amp;TEXT(TODAY()-$Q285,"0")&amp;" d",TEXT($Q285-TODAY(),"0")&amp;" d left"))))</f>
        <v/>
      </c>
      <c r="Z285" s="44" t="str">
        <f aca="false">IF($A285="","",IF($S285&lt;&gt;"","",IF($X285&lt;=7,"0-7 d",IF($X285&lt;=14,"8-14 d",IF($X285&lt;=30,"15-30 d","over 30 d")))))</f>
        <v/>
      </c>
      <c r="AA285" s="49"/>
      <c r="AB285" s="52"/>
      <c r="AC285" s="49"/>
      <c r="AD285" s="49"/>
      <c r="AE285" s="49"/>
      <c r="AF285" s="49"/>
      <c r="AG285" s="50"/>
    </row>
    <row r="286" customFormat="false" ht="15" hidden="false" customHeight="true" outlineLevel="0" collapsed="false">
      <c r="A286" s="48"/>
      <c r="B286" s="49"/>
      <c r="C286" s="49"/>
      <c r="D286" s="49"/>
      <c r="E286" s="49"/>
      <c r="F286" s="50"/>
      <c r="G286" s="49"/>
      <c r="H286" s="49"/>
      <c r="I286" s="49"/>
      <c r="J286" s="49"/>
      <c r="K286" s="50"/>
      <c r="L286" s="50"/>
      <c r="M286" s="49"/>
      <c r="N286" s="51"/>
      <c r="O286" s="49"/>
      <c r="P286" s="44" t="str">
        <f aca="false">IF($A286="","",IFERROR(INDEX(01_CONTROL!$B$15:$B$18,MATCH($O286,01_CONTROL!$A$15:$A$18,0)),14))</f>
        <v/>
      </c>
      <c r="Q286" s="45" t="str">
        <f aca="false">IF($A286="","",IF($N286="","",$N286+$P286))</f>
        <v/>
      </c>
      <c r="R286" s="49"/>
      <c r="S286" s="51"/>
      <c r="T286" s="50"/>
      <c r="U286" s="49"/>
      <c r="V286" s="49"/>
      <c r="W286" s="51"/>
      <c r="X286" s="44" t="str">
        <f aca="true">IF($A286="","",IF($N286="","",IF($S286="",TODAY()-$N286,$S286-$N286)))</f>
        <v/>
      </c>
      <c r="Y286" s="46" t="str">
        <f aca="true">IF($A286="","",IF(OR($V286="Closed",$V286="Void / withdrawn"),IF($S286="","Closed without response",IF($S286&gt;$Q286,"Answered late","Answered on time")),IF($S286&lt;&gt;"",IF($S286&gt;$Q286,"Answered late","Answered on time"),IF(TODAY()&gt;$Q286,"OVERDUE "&amp;TEXT(TODAY()-$Q286,"0")&amp;" d",TEXT($Q286-TODAY(),"0")&amp;" d left"))))</f>
        <v/>
      </c>
      <c r="Z286" s="44" t="str">
        <f aca="false">IF($A286="","",IF($S286&lt;&gt;"","",IF($X286&lt;=7,"0-7 d",IF($X286&lt;=14,"8-14 d",IF($X286&lt;=30,"15-30 d","over 30 d")))))</f>
        <v/>
      </c>
      <c r="AA286" s="49"/>
      <c r="AB286" s="52"/>
      <c r="AC286" s="49"/>
      <c r="AD286" s="49"/>
      <c r="AE286" s="49"/>
      <c r="AF286" s="49"/>
      <c r="AG286" s="50"/>
    </row>
    <row r="287" customFormat="false" ht="15" hidden="false" customHeight="true" outlineLevel="0" collapsed="false">
      <c r="A287" s="48"/>
      <c r="B287" s="49"/>
      <c r="C287" s="49"/>
      <c r="D287" s="49"/>
      <c r="E287" s="49"/>
      <c r="F287" s="50"/>
      <c r="G287" s="49"/>
      <c r="H287" s="49"/>
      <c r="I287" s="49"/>
      <c r="J287" s="49"/>
      <c r="K287" s="50"/>
      <c r="L287" s="50"/>
      <c r="M287" s="49"/>
      <c r="N287" s="51"/>
      <c r="O287" s="49"/>
      <c r="P287" s="44" t="str">
        <f aca="false">IF($A287="","",IFERROR(INDEX(01_CONTROL!$B$15:$B$18,MATCH($O287,01_CONTROL!$A$15:$A$18,0)),14))</f>
        <v/>
      </c>
      <c r="Q287" s="45" t="str">
        <f aca="false">IF($A287="","",IF($N287="","",$N287+$P287))</f>
        <v/>
      </c>
      <c r="R287" s="49"/>
      <c r="S287" s="51"/>
      <c r="T287" s="50"/>
      <c r="U287" s="49"/>
      <c r="V287" s="49"/>
      <c r="W287" s="51"/>
      <c r="X287" s="44" t="str">
        <f aca="true">IF($A287="","",IF($N287="","",IF($S287="",TODAY()-$N287,$S287-$N287)))</f>
        <v/>
      </c>
      <c r="Y287" s="46" t="str">
        <f aca="true">IF($A287="","",IF(OR($V287="Closed",$V287="Void / withdrawn"),IF($S287="","Closed without response",IF($S287&gt;$Q287,"Answered late","Answered on time")),IF($S287&lt;&gt;"",IF($S287&gt;$Q287,"Answered late","Answered on time"),IF(TODAY()&gt;$Q287,"OVERDUE "&amp;TEXT(TODAY()-$Q287,"0")&amp;" d",TEXT($Q287-TODAY(),"0")&amp;" d left"))))</f>
        <v/>
      </c>
      <c r="Z287" s="44" t="str">
        <f aca="false">IF($A287="","",IF($S287&lt;&gt;"","",IF($X287&lt;=7,"0-7 d",IF($X287&lt;=14,"8-14 d",IF($X287&lt;=30,"15-30 d","over 30 d")))))</f>
        <v/>
      </c>
      <c r="AA287" s="49"/>
      <c r="AB287" s="52"/>
      <c r="AC287" s="49"/>
      <c r="AD287" s="49"/>
      <c r="AE287" s="49"/>
      <c r="AF287" s="49"/>
      <c r="AG287" s="50"/>
    </row>
    <row r="288" customFormat="false" ht="15" hidden="false" customHeight="true" outlineLevel="0" collapsed="false">
      <c r="A288" s="48"/>
      <c r="B288" s="49"/>
      <c r="C288" s="49"/>
      <c r="D288" s="49"/>
      <c r="E288" s="49"/>
      <c r="F288" s="50"/>
      <c r="G288" s="49"/>
      <c r="H288" s="49"/>
      <c r="I288" s="49"/>
      <c r="J288" s="49"/>
      <c r="K288" s="50"/>
      <c r="L288" s="50"/>
      <c r="M288" s="49"/>
      <c r="N288" s="51"/>
      <c r="O288" s="49"/>
      <c r="P288" s="44" t="str">
        <f aca="false">IF($A288="","",IFERROR(INDEX(01_CONTROL!$B$15:$B$18,MATCH($O288,01_CONTROL!$A$15:$A$18,0)),14))</f>
        <v/>
      </c>
      <c r="Q288" s="45" t="str">
        <f aca="false">IF($A288="","",IF($N288="","",$N288+$P288))</f>
        <v/>
      </c>
      <c r="R288" s="49"/>
      <c r="S288" s="51"/>
      <c r="T288" s="50"/>
      <c r="U288" s="49"/>
      <c r="V288" s="49"/>
      <c r="W288" s="51"/>
      <c r="X288" s="44" t="str">
        <f aca="true">IF($A288="","",IF($N288="","",IF($S288="",TODAY()-$N288,$S288-$N288)))</f>
        <v/>
      </c>
      <c r="Y288" s="46" t="str">
        <f aca="true">IF($A288="","",IF(OR($V288="Closed",$V288="Void / withdrawn"),IF($S288="","Closed without response",IF($S288&gt;$Q288,"Answered late","Answered on time")),IF($S288&lt;&gt;"",IF($S288&gt;$Q288,"Answered late","Answered on time"),IF(TODAY()&gt;$Q288,"OVERDUE "&amp;TEXT(TODAY()-$Q288,"0")&amp;" d",TEXT($Q288-TODAY(),"0")&amp;" d left"))))</f>
        <v/>
      </c>
      <c r="Z288" s="44" t="str">
        <f aca="false">IF($A288="","",IF($S288&lt;&gt;"","",IF($X288&lt;=7,"0-7 d",IF($X288&lt;=14,"8-14 d",IF($X288&lt;=30,"15-30 d","over 30 d")))))</f>
        <v/>
      </c>
      <c r="AA288" s="49"/>
      <c r="AB288" s="52"/>
      <c r="AC288" s="49"/>
      <c r="AD288" s="49"/>
      <c r="AE288" s="49"/>
      <c r="AF288" s="49"/>
      <c r="AG288" s="50"/>
    </row>
    <row r="289" customFormat="false" ht="15" hidden="false" customHeight="true" outlineLevel="0" collapsed="false">
      <c r="A289" s="48"/>
      <c r="B289" s="49"/>
      <c r="C289" s="49"/>
      <c r="D289" s="49"/>
      <c r="E289" s="49"/>
      <c r="F289" s="50"/>
      <c r="G289" s="49"/>
      <c r="H289" s="49"/>
      <c r="I289" s="49"/>
      <c r="J289" s="49"/>
      <c r="K289" s="50"/>
      <c r="L289" s="50"/>
      <c r="M289" s="49"/>
      <c r="N289" s="51"/>
      <c r="O289" s="49"/>
      <c r="P289" s="44" t="str">
        <f aca="false">IF($A289="","",IFERROR(INDEX(01_CONTROL!$B$15:$B$18,MATCH($O289,01_CONTROL!$A$15:$A$18,0)),14))</f>
        <v/>
      </c>
      <c r="Q289" s="45" t="str">
        <f aca="false">IF($A289="","",IF($N289="","",$N289+$P289))</f>
        <v/>
      </c>
      <c r="R289" s="49"/>
      <c r="S289" s="51"/>
      <c r="T289" s="50"/>
      <c r="U289" s="49"/>
      <c r="V289" s="49"/>
      <c r="W289" s="51"/>
      <c r="X289" s="44" t="str">
        <f aca="true">IF($A289="","",IF($N289="","",IF($S289="",TODAY()-$N289,$S289-$N289)))</f>
        <v/>
      </c>
      <c r="Y289" s="46" t="str">
        <f aca="true">IF($A289="","",IF(OR($V289="Closed",$V289="Void / withdrawn"),IF($S289="","Closed without response",IF($S289&gt;$Q289,"Answered late","Answered on time")),IF($S289&lt;&gt;"",IF($S289&gt;$Q289,"Answered late","Answered on time"),IF(TODAY()&gt;$Q289,"OVERDUE "&amp;TEXT(TODAY()-$Q289,"0")&amp;" d",TEXT($Q289-TODAY(),"0")&amp;" d left"))))</f>
        <v/>
      </c>
      <c r="Z289" s="44" t="str">
        <f aca="false">IF($A289="","",IF($S289&lt;&gt;"","",IF($X289&lt;=7,"0-7 d",IF($X289&lt;=14,"8-14 d",IF($X289&lt;=30,"15-30 d","over 30 d")))))</f>
        <v/>
      </c>
      <c r="AA289" s="49"/>
      <c r="AB289" s="52"/>
      <c r="AC289" s="49"/>
      <c r="AD289" s="49"/>
      <c r="AE289" s="49"/>
      <c r="AF289" s="49"/>
      <c r="AG289" s="50"/>
    </row>
    <row r="290" customFormat="false" ht="15" hidden="false" customHeight="true" outlineLevel="0" collapsed="false">
      <c r="A290" s="48"/>
      <c r="B290" s="49"/>
      <c r="C290" s="49"/>
      <c r="D290" s="49"/>
      <c r="E290" s="49"/>
      <c r="F290" s="50"/>
      <c r="G290" s="49"/>
      <c r="H290" s="49"/>
      <c r="I290" s="49"/>
      <c r="J290" s="49"/>
      <c r="K290" s="50"/>
      <c r="L290" s="50"/>
      <c r="M290" s="49"/>
      <c r="N290" s="51"/>
      <c r="O290" s="49"/>
      <c r="P290" s="44" t="str">
        <f aca="false">IF($A290="","",IFERROR(INDEX(01_CONTROL!$B$15:$B$18,MATCH($O290,01_CONTROL!$A$15:$A$18,0)),14))</f>
        <v/>
      </c>
      <c r="Q290" s="45" t="str">
        <f aca="false">IF($A290="","",IF($N290="","",$N290+$P290))</f>
        <v/>
      </c>
      <c r="R290" s="49"/>
      <c r="S290" s="51"/>
      <c r="T290" s="50"/>
      <c r="U290" s="49"/>
      <c r="V290" s="49"/>
      <c r="W290" s="51"/>
      <c r="X290" s="44" t="str">
        <f aca="true">IF($A290="","",IF($N290="","",IF($S290="",TODAY()-$N290,$S290-$N290)))</f>
        <v/>
      </c>
      <c r="Y290" s="46" t="str">
        <f aca="true">IF($A290="","",IF(OR($V290="Closed",$V290="Void / withdrawn"),IF($S290="","Closed without response",IF($S290&gt;$Q290,"Answered late","Answered on time")),IF($S290&lt;&gt;"",IF($S290&gt;$Q290,"Answered late","Answered on time"),IF(TODAY()&gt;$Q290,"OVERDUE "&amp;TEXT(TODAY()-$Q290,"0")&amp;" d",TEXT($Q290-TODAY(),"0")&amp;" d left"))))</f>
        <v/>
      </c>
      <c r="Z290" s="44" t="str">
        <f aca="false">IF($A290="","",IF($S290&lt;&gt;"","",IF($X290&lt;=7,"0-7 d",IF($X290&lt;=14,"8-14 d",IF($X290&lt;=30,"15-30 d","over 30 d")))))</f>
        <v/>
      </c>
      <c r="AA290" s="49"/>
      <c r="AB290" s="52"/>
      <c r="AC290" s="49"/>
      <c r="AD290" s="49"/>
      <c r="AE290" s="49"/>
      <c r="AF290" s="49"/>
      <c r="AG290" s="50"/>
    </row>
    <row r="291" customFormat="false" ht="15" hidden="false" customHeight="true" outlineLevel="0" collapsed="false">
      <c r="A291" s="48"/>
      <c r="B291" s="49"/>
      <c r="C291" s="49"/>
      <c r="D291" s="49"/>
      <c r="E291" s="49"/>
      <c r="F291" s="50"/>
      <c r="G291" s="49"/>
      <c r="H291" s="49"/>
      <c r="I291" s="49"/>
      <c r="J291" s="49"/>
      <c r="K291" s="50"/>
      <c r="L291" s="50"/>
      <c r="M291" s="49"/>
      <c r="N291" s="51"/>
      <c r="O291" s="49"/>
      <c r="P291" s="44" t="str">
        <f aca="false">IF($A291="","",IFERROR(INDEX(01_CONTROL!$B$15:$B$18,MATCH($O291,01_CONTROL!$A$15:$A$18,0)),14))</f>
        <v/>
      </c>
      <c r="Q291" s="45" t="str">
        <f aca="false">IF($A291="","",IF($N291="","",$N291+$P291))</f>
        <v/>
      </c>
      <c r="R291" s="49"/>
      <c r="S291" s="51"/>
      <c r="T291" s="50"/>
      <c r="U291" s="49"/>
      <c r="V291" s="49"/>
      <c r="W291" s="51"/>
      <c r="X291" s="44" t="str">
        <f aca="true">IF($A291="","",IF($N291="","",IF($S291="",TODAY()-$N291,$S291-$N291)))</f>
        <v/>
      </c>
      <c r="Y291" s="46" t="str">
        <f aca="true">IF($A291="","",IF(OR($V291="Closed",$V291="Void / withdrawn"),IF($S291="","Closed without response",IF($S291&gt;$Q291,"Answered late","Answered on time")),IF($S291&lt;&gt;"",IF($S291&gt;$Q291,"Answered late","Answered on time"),IF(TODAY()&gt;$Q291,"OVERDUE "&amp;TEXT(TODAY()-$Q291,"0")&amp;" d",TEXT($Q291-TODAY(),"0")&amp;" d left"))))</f>
        <v/>
      </c>
      <c r="Z291" s="44" t="str">
        <f aca="false">IF($A291="","",IF($S291&lt;&gt;"","",IF($X291&lt;=7,"0-7 d",IF($X291&lt;=14,"8-14 d",IF($X291&lt;=30,"15-30 d","over 30 d")))))</f>
        <v/>
      </c>
      <c r="AA291" s="49"/>
      <c r="AB291" s="52"/>
      <c r="AC291" s="49"/>
      <c r="AD291" s="49"/>
      <c r="AE291" s="49"/>
      <c r="AF291" s="49"/>
      <c r="AG291" s="50"/>
    </row>
    <row r="292" customFormat="false" ht="15" hidden="false" customHeight="true" outlineLevel="0" collapsed="false">
      <c r="A292" s="48"/>
      <c r="B292" s="49"/>
      <c r="C292" s="49"/>
      <c r="D292" s="49"/>
      <c r="E292" s="49"/>
      <c r="F292" s="50"/>
      <c r="G292" s="49"/>
      <c r="H292" s="49"/>
      <c r="I292" s="49"/>
      <c r="J292" s="49"/>
      <c r="K292" s="50"/>
      <c r="L292" s="50"/>
      <c r="M292" s="49"/>
      <c r="N292" s="51"/>
      <c r="O292" s="49"/>
      <c r="P292" s="44" t="str">
        <f aca="false">IF($A292="","",IFERROR(INDEX(01_CONTROL!$B$15:$B$18,MATCH($O292,01_CONTROL!$A$15:$A$18,0)),14))</f>
        <v/>
      </c>
      <c r="Q292" s="45" t="str">
        <f aca="false">IF($A292="","",IF($N292="","",$N292+$P292))</f>
        <v/>
      </c>
      <c r="R292" s="49"/>
      <c r="S292" s="51"/>
      <c r="T292" s="50"/>
      <c r="U292" s="49"/>
      <c r="V292" s="49"/>
      <c r="W292" s="51"/>
      <c r="X292" s="44" t="str">
        <f aca="true">IF($A292="","",IF($N292="","",IF($S292="",TODAY()-$N292,$S292-$N292)))</f>
        <v/>
      </c>
      <c r="Y292" s="46" t="str">
        <f aca="true">IF($A292="","",IF(OR($V292="Closed",$V292="Void / withdrawn"),IF($S292="","Closed without response",IF($S292&gt;$Q292,"Answered late","Answered on time")),IF($S292&lt;&gt;"",IF($S292&gt;$Q292,"Answered late","Answered on time"),IF(TODAY()&gt;$Q292,"OVERDUE "&amp;TEXT(TODAY()-$Q292,"0")&amp;" d",TEXT($Q292-TODAY(),"0")&amp;" d left"))))</f>
        <v/>
      </c>
      <c r="Z292" s="44" t="str">
        <f aca="false">IF($A292="","",IF($S292&lt;&gt;"","",IF($X292&lt;=7,"0-7 d",IF($X292&lt;=14,"8-14 d",IF($X292&lt;=30,"15-30 d","over 30 d")))))</f>
        <v/>
      </c>
      <c r="AA292" s="49"/>
      <c r="AB292" s="52"/>
      <c r="AC292" s="49"/>
      <c r="AD292" s="49"/>
      <c r="AE292" s="49"/>
      <c r="AF292" s="49"/>
      <c r="AG292" s="50"/>
    </row>
    <row r="293" customFormat="false" ht="15" hidden="false" customHeight="true" outlineLevel="0" collapsed="false">
      <c r="A293" s="48"/>
      <c r="B293" s="49"/>
      <c r="C293" s="49"/>
      <c r="D293" s="49"/>
      <c r="E293" s="49"/>
      <c r="F293" s="50"/>
      <c r="G293" s="49"/>
      <c r="H293" s="49"/>
      <c r="I293" s="49"/>
      <c r="J293" s="49"/>
      <c r="K293" s="50"/>
      <c r="L293" s="50"/>
      <c r="M293" s="49"/>
      <c r="N293" s="51"/>
      <c r="O293" s="49"/>
      <c r="P293" s="44" t="str">
        <f aca="false">IF($A293="","",IFERROR(INDEX(01_CONTROL!$B$15:$B$18,MATCH($O293,01_CONTROL!$A$15:$A$18,0)),14))</f>
        <v/>
      </c>
      <c r="Q293" s="45" t="str">
        <f aca="false">IF($A293="","",IF($N293="","",$N293+$P293))</f>
        <v/>
      </c>
      <c r="R293" s="49"/>
      <c r="S293" s="51"/>
      <c r="T293" s="50"/>
      <c r="U293" s="49"/>
      <c r="V293" s="49"/>
      <c r="W293" s="51"/>
      <c r="X293" s="44" t="str">
        <f aca="true">IF($A293="","",IF($N293="","",IF($S293="",TODAY()-$N293,$S293-$N293)))</f>
        <v/>
      </c>
      <c r="Y293" s="46" t="str">
        <f aca="true">IF($A293="","",IF(OR($V293="Closed",$V293="Void / withdrawn"),IF($S293="","Closed without response",IF($S293&gt;$Q293,"Answered late","Answered on time")),IF($S293&lt;&gt;"",IF($S293&gt;$Q293,"Answered late","Answered on time"),IF(TODAY()&gt;$Q293,"OVERDUE "&amp;TEXT(TODAY()-$Q293,"0")&amp;" d",TEXT($Q293-TODAY(),"0")&amp;" d left"))))</f>
        <v/>
      </c>
      <c r="Z293" s="44" t="str">
        <f aca="false">IF($A293="","",IF($S293&lt;&gt;"","",IF($X293&lt;=7,"0-7 d",IF($X293&lt;=14,"8-14 d",IF($X293&lt;=30,"15-30 d","over 30 d")))))</f>
        <v/>
      </c>
      <c r="AA293" s="49"/>
      <c r="AB293" s="52"/>
      <c r="AC293" s="49"/>
      <c r="AD293" s="49"/>
      <c r="AE293" s="49"/>
      <c r="AF293" s="49"/>
      <c r="AG293" s="50"/>
    </row>
    <row r="294" customFormat="false" ht="15" hidden="false" customHeight="true" outlineLevel="0" collapsed="false">
      <c r="A294" s="48"/>
      <c r="B294" s="49"/>
      <c r="C294" s="49"/>
      <c r="D294" s="49"/>
      <c r="E294" s="49"/>
      <c r="F294" s="50"/>
      <c r="G294" s="49"/>
      <c r="H294" s="49"/>
      <c r="I294" s="49"/>
      <c r="J294" s="49"/>
      <c r="K294" s="50"/>
      <c r="L294" s="50"/>
      <c r="M294" s="49"/>
      <c r="N294" s="51"/>
      <c r="O294" s="49"/>
      <c r="P294" s="44" t="str">
        <f aca="false">IF($A294="","",IFERROR(INDEX(01_CONTROL!$B$15:$B$18,MATCH($O294,01_CONTROL!$A$15:$A$18,0)),14))</f>
        <v/>
      </c>
      <c r="Q294" s="45" t="str">
        <f aca="false">IF($A294="","",IF($N294="","",$N294+$P294))</f>
        <v/>
      </c>
      <c r="R294" s="49"/>
      <c r="S294" s="51"/>
      <c r="T294" s="50"/>
      <c r="U294" s="49"/>
      <c r="V294" s="49"/>
      <c r="W294" s="51"/>
      <c r="X294" s="44" t="str">
        <f aca="true">IF($A294="","",IF($N294="","",IF($S294="",TODAY()-$N294,$S294-$N294)))</f>
        <v/>
      </c>
      <c r="Y294" s="46" t="str">
        <f aca="true">IF($A294="","",IF(OR($V294="Closed",$V294="Void / withdrawn"),IF($S294="","Closed without response",IF($S294&gt;$Q294,"Answered late","Answered on time")),IF($S294&lt;&gt;"",IF($S294&gt;$Q294,"Answered late","Answered on time"),IF(TODAY()&gt;$Q294,"OVERDUE "&amp;TEXT(TODAY()-$Q294,"0")&amp;" d",TEXT($Q294-TODAY(),"0")&amp;" d left"))))</f>
        <v/>
      </c>
      <c r="Z294" s="44" t="str">
        <f aca="false">IF($A294="","",IF($S294&lt;&gt;"","",IF($X294&lt;=7,"0-7 d",IF($X294&lt;=14,"8-14 d",IF($X294&lt;=30,"15-30 d","over 30 d")))))</f>
        <v/>
      </c>
      <c r="AA294" s="49"/>
      <c r="AB294" s="52"/>
      <c r="AC294" s="49"/>
      <c r="AD294" s="49"/>
      <c r="AE294" s="49"/>
      <c r="AF294" s="49"/>
      <c r="AG294" s="50"/>
    </row>
    <row r="295" customFormat="false" ht="15" hidden="false" customHeight="true" outlineLevel="0" collapsed="false">
      <c r="A295" s="48"/>
      <c r="B295" s="49"/>
      <c r="C295" s="49"/>
      <c r="D295" s="49"/>
      <c r="E295" s="49"/>
      <c r="F295" s="50"/>
      <c r="G295" s="49"/>
      <c r="H295" s="49"/>
      <c r="I295" s="49"/>
      <c r="J295" s="49"/>
      <c r="K295" s="50"/>
      <c r="L295" s="50"/>
      <c r="M295" s="49"/>
      <c r="N295" s="51"/>
      <c r="O295" s="49"/>
      <c r="P295" s="44" t="str">
        <f aca="false">IF($A295="","",IFERROR(INDEX(01_CONTROL!$B$15:$B$18,MATCH($O295,01_CONTROL!$A$15:$A$18,0)),14))</f>
        <v/>
      </c>
      <c r="Q295" s="45" t="str">
        <f aca="false">IF($A295="","",IF($N295="","",$N295+$P295))</f>
        <v/>
      </c>
      <c r="R295" s="49"/>
      <c r="S295" s="51"/>
      <c r="T295" s="50"/>
      <c r="U295" s="49"/>
      <c r="V295" s="49"/>
      <c r="W295" s="51"/>
      <c r="X295" s="44" t="str">
        <f aca="true">IF($A295="","",IF($N295="","",IF($S295="",TODAY()-$N295,$S295-$N295)))</f>
        <v/>
      </c>
      <c r="Y295" s="46" t="str">
        <f aca="true">IF($A295="","",IF(OR($V295="Closed",$V295="Void / withdrawn"),IF($S295="","Closed without response",IF($S295&gt;$Q295,"Answered late","Answered on time")),IF($S295&lt;&gt;"",IF($S295&gt;$Q295,"Answered late","Answered on time"),IF(TODAY()&gt;$Q295,"OVERDUE "&amp;TEXT(TODAY()-$Q295,"0")&amp;" d",TEXT($Q295-TODAY(),"0")&amp;" d left"))))</f>
        <v/>
      </c>
      <c r="Z295" s="44" t="str">
        <f aca="false">IF($A295="","",IF($S295&lt;&gt;"","",IF($X295&lt;=7,"0-7 d",IF($X295&lt;=14,"8-14 d",IF($X295&lt;=30,"15-30 d","over 30 d")))))</f>
        <v/>
      </c>
      <c r="AA295" s="49"/>
      <c r="AB295" s="52"/>
      <c r="AC295" s="49"/>
      <c r="AD295" s="49"/>
      <c r="AE295" s="49"/>
      <c r="AF295" s="49"/>
      <c r="AG295" s="50"/>
    </row>
    <row r="296" customFormat="false" ht="15" hidden="false" customHeight="true" outlineLevel="0" collapsed="false">
      <c r="A296" s="48"/>
      <c r="B296" s="49"/>
      <c r="C296" s="49"/>
      <c r="D296" s="49"/>
      <c r="E296" s="49"/>
      <c r="F296" s="50"/>
      <c r="G296" s="49"/>
      <c r="H296" s="49"/>
      <c r="I296" s="49"/>
      <c r="J296" s="49"/>
      <c r="K296" s="50"/>
      <c r="L296" s="50"/>
      <c r="M296" s="49"/>
      <c r="N296" s="51"/>
      <c r="O296" s="49"/>
      <c r="P296" s="44" t="str">
        <f aca="false">IF($A296="","",IFERROR(INDEX(01_CONTROL!$B$15:$B$18,MATCH($O296,01_CONTROL!$A$15:$A$18,0)),14))</f>
        <v/>
      </c>
      <c r="Q296" s="45" t="str">
        <f aca="false">IF($A296="","",IF($N296="","",$N296+$P296))</f>
        <v/>
      </c>
      <c r="R296" s="49"/>
      <c r="S296" s="51"/>
      <c r="T296" s="50"/>
      <c r="U296" s="49"/>
      <c r="V296" s="49"/>
      <c r="W296" s="51"/>
      <c r="X296" s="44" t="str">
        <f aca="true">IF($A296="","",IF($N296="","",IF($S296="",TODAY()-$N296,$S296-$N296)))</f>
        <v/>
      </c>
      <c r="Y296" s="46" t="str">
        <f aca="true">IF($A296="","",IF(OR($V296="Closed",$V296="Void / withdrawn"),IF($S296="","Closed without response",IF($S296&gt;$Q296,"Answered late","Answered on time")),IF($S296&lt;&gt;"",IF($S296&gt;$Q296,"Answered late","Answered on time"),IF(TODAY()&gt;$Q296,"OVERDUE "&amp;TEXT(TODAY()-$Q296,"0")&amp;" d",TEXT($Q296-TODAY(),"0")&amp;" d left"))))</f>
        <v/>
      </c>
      <c r="Z296" s="44" t="str">
        <f aca="false">IF($A296="","",IF($S296&lt;&gt;"","",IF($X296&lt;=7,"0-7 d",IF($X296&lt;=14,"8-14 d",IF($X296&lt;=30,"15-30 d","over 30 d")))))</f>
        <v/>
      </c>
      <c r="AA296" s="49"/>
      <c r="AB296" s="52"/>
      <c r="AC296" s="49"/>
      <c r="AD296" s="49"/>
      <c r="AE296" s="49"/>
      <c r="AF296" s="49"/>
      <c r="AG296" s="50"/>
    </row>
    <row r="297" customFormat="false" ht="15" hidden="false" customHeight="true" outlineLevel="0" collapsed="false">
      <c r="A297" s="48"/>
      <c r="B297" s="49"/>
      <c r="C297" s="49"/>
      <c r="D297" s="49"/>
      <c r="E297" s="49"/>
      <c r="F297" s="50"/>
      <c r="G297" s="49"/>
      <c r="H297" s="49"/>
      <c r="I297" s="49"/>
      <c r="J297" s="49"/>
      <c r="K297" s="50"/>
      <c r="L297" s="50"/>
      <c r="M297" s="49"/>
      <c r="N297" s="51"/>
      <c r="O297" s="49"/>
      <c r="P297" s="44" t="str">
        <f aca="false">IF($A297="","",IFERROR(INDEX(01_CONTROL!$B$15:$B$18,MATCH($O297,01_CONTROL!$A$15:$A$18,0)),14))</f>
        <v/>
      </c>
      <c r="Q297" s="45" t="str">
        <f aca="false">IF($A297="","",IF($N297="","",$N297+$P297))</f>
        <v/>
      </c>
      <c r="R297" s="49"/>
      <c r="S297" s="51"/>
      <c r="T297" s="50"/>
      <c r="U297" s="49"/>
      <c r="V297" s="49"/>
      <c r="W297" s="51"/>
      <c r="X297" s="44" t="str">
        <f aca="true">IF($A297="","",IF($N297="","",IF($S297="",TODAY()-$N297,$S297-$N297)))</f>
        <v/>
      </c>
      <c r="Y297" s="46" t="str">
        <f aca="true">IF($A297="","",IF(OR($V297="Closed",$V297="Void / withdrawn"),IF($S297="","Closed without response",IF($S297&gt;$Q297,"Answered late","Answered on time")),IF($S297&lt;&gt;"",IF($S297&gt;$Q297,"Answered late","Answered on time"),IF(TODAY()&gt;$Q297,"OVERDUE "&amp;TEXT(TODAY()-$Q297,"0")&amp;" d",TEXT($Q297-TODAY(),"0")&amp;" d left"))))</f>
        <v/>
      </c>
      <c r="Z297" s="44" t="str">
        <f aca="false">IF($A297="","",IF($S297&lt;&gt;"","",IF($X297&lt;=7,"0-7 d",IF($X297&lt;=14,"8-14 d",IF($X297&lt;=30,"15-30 d","over 30 d")))))</f>
        <v/>
      </c>
      <c r="AA297" s="49"/>
      <c r="AB297" s="52"/>
      <c r="AC297" s="49"/>
      <c r="AD297" s="49"/>
      <c r="AE297" s="49"/>
      <c r="AF297" s="49"/>
      <c r="AG297" s="50"/>
    </row>
    <row r="298" customFormat="false" ht="15" hidden="false" customHeight="true" outlineLevel="0" collapsed="false">
      <c r="A298" s="48"/>
      <c r="B298" s="49"/>
      <c r="C298" s="49"/>
      <c r="D298" s="49"/>
      <c r="E298" s="49"/>
      <c r="F298" s="50"/>
      <c r="G298" s="49"/>
      <c r="H298" s="49"/>
      <c r="I298" s="49"/>
      <c r="J298" s="49"/>
      <c r="K298" s="50"/>
      <c r="L298" s="50"/>
      <c r="M298" s="49"/>
      <c r="N298" s="51"/>
      <c r="O298" s="49"/>
      <c r="P298" s="44" t="str">
        <f aca="false">IF($A298="","",IFERROR(INDEX(01_CONTROL!$B$15:$B$18,MATCH($O298,01_CONTROL!$A$15:$A$18,0)),14))</f>
        <v/>
      </c>
      <c r="Q298" s="45" t="str">
        <f aca="false">IF($A298="","",IF($N298="","",$N298+$P298))</f>
        <v/>
      </c>
      <c r="R298" s="49"/>
      <c r="S298" s="51"/>
      <c r="T298" s="50"/>
      <c r="U298" s="49"/>
      <c r="V298" s="49"/>
      <c r="W298" s="51"/>
      <c r="X298" s="44" t="str">
        <f aca="true">IF($A298="","",IF($N298="","",IF($S298="",TODAY()-$N298,$S298-$N298)))</f>
        <v/>
      </c>
      <c r="Y298" s="46" t="str">
        <f aca="true">IF($A298="","",IF(OR($V298="Closed",$V298="Void / withdrawn"),IF($S298="","Closed without response",IF($S298&gt;$Q298,"Answered late","Answered on time")),IF($S298&lt;&gt;"",IF($S298&gt;$Q298,"Answered late","Answered on time"),IF(TODAY()&gt;$Q298,"OVERDUE "&amp;TEXT(TODAY()-$Q298,"0")&amp;" d",TEXT($Q298-TODAY(),"0")&amp;" d left"))))</f>
        <v/>
      </c>
      <c r="Z298" s="44" t="str">
        <f aca="false">IF($A298="","",IF($S298&lt;&gt;"","",IF($X298&lt;=7,"0-7 d",IF($X298&lt;=14,"8-14 d",IF($X298&lt;=30,"15-30 d","over 30 d")))))</f>
        <v/>
      </c>
      <c r="AA298" s="49"/>
      <c r="AB298" s="52"/>
      <c r="AC298" s="49"/>
      <c r="AD298" s="49"/>
      <c r="AE298" s="49"/>
      <c r="AF298" s="49"/>
      <c r="AG298" s="50"/>
    </row>
    <row r="299" customFormat="false" ht="15" hidden="false" customHeight="true" outlineLevel="0" collapsed="false">
      <c r="A299" s="48"/>
      <c r="B299" s="49"/>
      <c r="C299" s="49"/>
      <c r="D299" s="49"/>
      <c r="E299" s="49"/>
      <c r="F299" s="50"/>
      <c r="G299" s="49"/>
      <c r="H299" s="49"/>
      <c r="I299" s="49"/>
      <c r="J299" s="49"/>
      <c r="K299" s="50"/>
      <c r="L299" s="50"/>
      <c r="M299" s="49"/>
      <c r="N299" s="51"/>
      <c r="O299" s="49"/>
      <c r="P299" s="44" t="str">
        <f aca="false">IF($A299="","",IFERROR(INDEX(01_CONTROL!$B$15:$B$18,MATCH($O299,01_CONTROL!$A$15:$A$18,0)),14))</f>
        <v/>
      </c>
      <c r="Q299" s="45" t="str">
        <f aca="false">IF($A299="","",IF($N299="","",$N299+$P299))</f>
        <v/>
      </c>
      <c r="R299" s="49"/>
      <c r="S299" s="51"/>
      <c r="T299" s="50"/>
      <c r="U299" s="49"/>
      <c r="V299" s="49"/>
      <c r="W299" s="51"/>
      <c r="X299" s="44" t="str">
        <f aca="true">IF($A299="","",IF($N299="","",IF($S299="",TODAY()-$N299,$S299-$N299)))</f>
        <v/>
      </c>
      <c r="Y299" s="46" t="str">
        <f aca="true">IF($A299="","",IF(OR($V299="Closed",$V299="Void / withdrawn"),IF($S299="","Closed without response",IF($S299&gt;$Q299,"Answered late","Answered on time")),IF($S299&lt;&gt;"",IF($S299&gt;$Q299,"Answered late","Answered on time"),IF(TODAY()&gt;$Q299,"OVERDUE "&amp;TEXT(TODAY()-$Q299,"0")&amp;" d",TEXT($Q299-TODAY(),"0")&amp;" d left"))))</f>
        <v/>
      </c>
      <c r="Z299" s="44" t="str">
        <f aca="false">IF($A299="","",IF($S299&lt;&gt;"","",IF($X299&lt;=7,"0-7 d",IF($X299&lt;=14,"8-14 d",IF($X299&lt;=30,"15-30 d","over 30 d")))))</f>
        <v/>
      </c>
      <c r="AA299" s="49"/>
      <c r="AB299" s="52"/>
      <c r="AC299" s="49"/>
      <c r="AD299" s="49"/>
      <c r="AE299" s="49"/>
      <c r="AF299" s="49"/>
      <c r="AG299" s="50"/>
    </row>
    <row r="300" customFormat="false" ht="15" hidden="false" customHeight="true" outlineLevel="0" collapsed="false">
      <c r="A300" s="48"/>
      <c r="B300" s="49"/>
      <c r="C300" s="49"/>
      <c r="D300" s="49"/>
      <c r="E300" s="49"/>
      <c r="F300" s="50"/>
      <c r="G300" s="49"/>
      <c r="H300" s="49"/>
      <c r="I300" s="49"/>
      <c r="J300" s="49"/>
      <c r="K300" s="50"/>
      <c r="L300" s="50"/>
      <c r="M300" s="49"/>
      <c r="N300" s="51"/>
      <c r="O300" s="49"/>
      <c r="P300" s="44" t="str">
        <f aca="false">IF($A300="","",IFERROR(INDEX(01_CONTROL!$B$15:$B$18,MATCH($O300,01_CONTROL!$A$15:$A$18,0)),14))</f>
        <v/>
      </c>
      <c r="Q300" s="45" t="str">
        <f aca="false">IF($A300="","",IF($N300="","",$N300+$P300))</f>
        <v/>
      </c>
      <c r="R300" s="49"/>
      <c r="S300" s="51"/>
      <c r="T300" s="50"/>
      <c r="U300" s="49"/>
      <c r="V300" s="49"/>
      <c r="W300" s="51"/>
      <c r="X300" s="44" t="str">
        <f aca="true">IF($A300="","",IF($N300="","",IF($S300="",TODAY()-$N300,$S300-$N300)))</f>
        <v/>
      </c>
      <c r="Y300" s="46" t="str">
        <f aca="true">IF($A300="","",IF(OR($V300="Closed",$V300="Void / withdrawn"),IF($S300="","Closed without response",IF($S300&gt;$Q300,"Answered late","Answered on time")),IF($S300&lt;&gt;"",IF($S300&gt;$Q300,"Answered late","Answered on time"),IF(TODAY()&gt;$Q300,"OVERDUE "&amp;TEXT(TODAY()-$Q300,"0")&amp;" d",TEXT($Q300-TODAY(),"0")&amp;" d left"))))</f>
        <v/>
      </c>
      <c r="Z300" s="44" t="str">
        <f aca="false">IF($A300="","",IF($S300&lt;&gt;"","",IF($X300&lt;=7,"0-7 d",IF($X300&lt;=14,"8-14 d",IF($X300&lt;=30,"15-30 d","over 30 d")))))</f>
        <v/>
      </c>
      <c r="AA300" s="49"/>
      <c r="AB300" s="52"/>
      <c r="AC300" s="49"/>
      <c r="AD300" s="49"/>
      <c r="AE300" s="49"/>
      <c r="AF300" s="49"/>
      <c r="AG300" s="50"/>
    </row>
    <row r="301" customFormat="false" ht="15" hidden="false" customHeight="true" outlineLevel="0" collapsed="false">
      <c r="A301" s="48"/>
      <c r="B301" s="49"/>
      <c r="C301" s="49"/>
      <c r="D301" s="49"/>
      <c r="E301" s="49"/>
      <c r="F301" s="50"/>
      <c r="G301" s="49"/>
      <c r="H301" s="49"/>
      <c r="I301" s="49"/>
      <c r="J301" s="49"/>
      <c r="K301" s="50"/>
      <c r="L301" s="50"/>
      <c r="M301" s="49"/>
      <c r="N301" s="51"/>
      <c r="O301" s="49"/>
      <c r="P301" s="44" t="str">
        <f aca="false">IF($A301="","",IFERROR(INDEX(01_CONTROL!$B$15:$B$18,MATCH($O301,01_CONTROL!$A$15:$A$18,0)),14))</f>
        <v/>
      </c>
      <c r="Q301" s="45" t="str">
        <f aca="false">IF($A301="","",IF($N301="","",$N301+$P301))</f>
        <v/>
      </c>
      <c r="R301" s="49"/>
      <c r="S301" s="51"/>
      <c r="T301" s="50"/>
      <c r="U301" s="49"/>
      <c r="V301" s="49"/>
      <c r="W301" s="51"/>
      <c r="X301" s="44" t="str">
        <f aca="true">IF($A301="","",IF($N301="","",IF($S301="",TODAY()-$N301,$S301-$N301)))</f>
        <v/>
      </c>
      <c r="Y301" s="46" t="str">
        <f aca="true">IF($A301="","",IF(OR($V301="Closed",$V301="Void / withdrawn"),IF($S301="","Closed without response",IF($S301&gt;$Q301,"Answered late","Answered on time")),IF($S301&lt;&gt;"",IF($S301&gt;$Q301,"Answered late","Answered on time"),IF(TODAY()&gt;$Q301,"OVERDUE "&amp;TEXT(TODAY()-$Q301,"0")&amp;" d",TEXT($Q301-TODAY(),"0")&amp;" d left"))))</f>
        <v/>
      </c>
      <c r="Z301" s="44" t="str">
        <f aca="false">IF($A301="","",IF($S301&lt;&gt;"","",IF($X301&lt;=7,"0-7 d",IF($X301&lt;=14,"8-14 d",IF($X301&lt;=30,"15-30 d","over 30 d")))))</f>
        <v/>
      </c>
      <c r="AA301" s="49"/>
      <c r="AB301" s="52"/>
      <c r="AC301" s="49"/>
      <c r="AD301" s="49"/>
      <c r="AE301" s="49"/>
      <c r="AF301" s="49"/>
      <c r="AG301" s="50"/>
    </row>
    <row r="302" customFormat="false" ht="15" hidden="false" customHeight="true" outlineLevel="0" collapsed="false">
      <c r="A302" s="48"/>
      <c r="B302" s="49"/>
      <c r="C302" s="49"/>
      <c r="D302" s="49"/>
      <c r="E302" s="49"/>
      <c r="F302" s="50"/>
      <c r="G302" s="49"/>
      <c r="H302" s="49"/>
      <c r="I302" s="49"/>
      <c r="J302" s="49"/>
      <c r="K302" s="50"/>
      <c r="L302" s="50"/>
      <c r="M302" s="49"/>
      <c r="N302" s="51"/>
      <c r="O302" s="49"/>
      <c r="P302" s="44" t="str">
        <f aca="false">IF($A302="","",IFERROR(INDEX(01_CONTROL!$B$15:$B$18,MATCH($O302,01_CONTROL!$A$15:$A$18,0)),14))</f>
        <v/>
      </c>
      <c r="Q302" s="45" t="str">
        <f aca="false">IF($A302="","",IF($N302="","",$N302+$P302))</f>
        <v/>
      </c>
      <c r="R302" s="49"/>
      <c r="S302" s="51"/>
      <c r="T302" s="50"/>
      <c r="U302" s="49"/>
      <c r="V302" s="49"/>
      <c r="W302" s="51"/>
      <c r="X302" s="44" t="str">
        <f aca="true">IF($A302="","",IF($N302="","",IF($S302="",TODAY()-$N302,$S302-$N302)))</f>
        <v/>
      </c>
      <c r="Y302" s="46" t="str">
        <f aca="true">IF($A302="","",IF(OR($V302="Closed",$V302="Void / withdrawn"),IF($S302="","Closed without response",IF($S302&gt;$Q302,"Answered late","Answered on time")),IF($S302&lt;&gt;"",IF($S302&gt;$Q302,"Answered late","Answered on time"),IF(TODAY()&gt;$Q302,"OVERDUE "&amp;TEXT(TODAY()-$Q302,"0")&amp;" d",TEXT($Q302-TODAY(),"0")&amp;" d left"))))</f>
        <v/>
      </c>
      <c r="Z302" s="44" t="str">
        <f aca="false">IF($A302="","",IF($S302&lt;&gt;"","",IF($X302&lt;=7,"0-7 d",IF($X302&lt;=14,"8-14 d",IF($X302&lt;=30,"15-30 d","over 30 d")))))</f>
        <v/>
      </c>
      <c r="AA302" s="49"/>
      <c r="AB302" s="52"/>
      <c r="AC302" s="49"/>
      <c r="AD302" s="49"/>
      <c r="AE302" s="49"/>
      <c r="AF302" s="49"/>
      <c r="AG302" s="50"/>
    </row>
    <row r="303" customFormat="false" ht="15" hidden="false" customHeight="true" outlineLevel="0" collapsed="false">
      <c r="A303" s="48"/>
      <c r="B303" s="49"/>
      <c r="C303" s="49"/>
      <c r="D303" s="49"/>
      <c r="E303" s="49"/>
      <c r="F303" s="50"/>
      <c r="G303" s="49"/>
      <c r="H303" s="49"/>
      <c r="I303" s="49"/>
      <c r="J303" s="49"/>
      <c r="K303" s="50"/>
      <c r="L303" s="50"/>
      <c r="M303" s="49"/>
      <c r="N303" s="51"/>
      <c r="O303" s="49"/>
      <c r="P303" s="44" t="str">
        <f aca="false">IF($A303="","",IFERROR(INDEX(01_CONTROL!$B$15:$B$18,MATCH($O303,01_CONTROL!$A$15:$A$18,0)),14))</f>
        <v/>
      </c>
      <c r="Q303" s="45" t="str">
        <f aca="false">IF($A303="","",IF($N303="","",$N303+$P303))</f>
        <v/>
      </c>
      <c r="R303" s="49"/>
      <c r="S303" s="51"/>
      <c r="T303" s="50"/>
      <c r="U303" s="49"/>
      <c r="V303" s="49"/>
      <c r="W303" s="51"/>
      <c r="X303" s="44" t="str">
        <f aca="true">IF($A303="","",IF($N303="","",IF($S303="",TODAY()-$N303,$S303-$N303)))</f>
        <v/>
      </c>
      <c r="Y303" s="46" t="str">
        <f aca="true">IF($A303="","",IF(OR($V303="Closed",$V303="Void / withdrawn"),IF($S303="","Closed without response",IF($S303&gt;$Q303,"Answered late","Answered on time")),IF($S303&lt;&gt;"",IF($S303&gt;$Q303,"Answered late","Answered on time"),IF(TODAY()&gt;$Q303,"OVERDUE "&amp;TEXT(TODAY()-$Q303,"0")&amp;" d",TEXT($Q303-TODAY(),"0")&amp;" d left"))))</f>
        <v/>
      </c>
      <c r="Z303" s="44" t="str">
        <f aca="false">IF($A303="","",IF($S303&lt;&gt;"","",IF($X303&lt;=7,"0-7 d",IF($X303&lt;=14,"8-14 d",IF($X303&lt;=30,"15-30 d","over 30 d")))))</f>
        <v/>
      </c>
      <c r="AA303" s="49"/>
      <c r="AB303" s="52"/>
      <c r="AC303" s="49"/>
      <c r="AD303" s="49"/>
      <c r="AE303" s="49"/>
      <c r="AF303" s="49"/>
      <c r="AG303" s="50"/>
    </row>
    <row r="304" customFormat="false" ht="15" hidden="false" customHeight="true" outlineLevel="0" collapsed="false">
      <c r="A304" s="48"/>
      <c r="B304" s="49"/>
      <c r="C304" s="49"/>
      <c r="D304" s="49"/>
      <c r="E304" s="49"/>
      <c r="F304" s="50"/>
      <c r="G304" s="49"/>
      <c r="H304" s="49"/>
      <c r="I304" s="49"/>
      <c r="J304" s="49"/>
      <c r="K304" s="50"/>
      <c r="L304" s="50"/>
      <c r="M304" s="49"/>
      <c r="N304" s="51"/>
      <c r="O304" s="49"/>
      <c r="P304" s="44" t="str">
        <f aca="false">IF($A304="","",IFERROR(INDEX(01_CONTROL!$B$15:$B$18,MATCH($O304,01_CONTROL!$A$15:$A$18,0)),14))</f>
        <v/>
      </c>
      <c r="Q304" s="45" t="str">
        <f aca="false">IF($A304="","",IF($N304="","",$N304+$P304))</f>
        <v/>
      </c>
      <c r="R304" s="49"/>
      <c r="S304" s="51"/>
      <c r="T304" s="50"/>
      <c r="U304" s="49"/>
      <c r="V304" s="49"/>
      <c r="W304" s="51"/>
      <c r="X304" s="44" t="str">
        <f aca="true">IF($A304="","",IF($N304="","",IF($S304="",TODAY()-$N304,$S304-$N304)))</f>
        <v/>
      </c>
      <c r="Y304" s="46" t="str">
        <f aca="true">IF($A304="","",IF(OR($V304="Closed",$V304="Void / withdrawn"),IF($S304="","Closed without response",IF($S304&gt;$Q304,"Answered late","Answered on time")),IF($S304&lt;&gt;"",IF($S304&gt;$Q304,"Answered late","Answered on time"),IF(TODAY()&gt;$Q304,"OVERDUE "&amp;TEXT(TODAY()-$Q304,"0")&amp;" d",TEXT($Q304-TODAY(),"0")&amp;" d left"))))</f>
        <v/>
      </c>
      <c r="Z304" s="44" t="str">
        <f aca="false">IF($A304="","",IF($S304&lt;&gt;"","",IF($X304&lt;=7,"0-7 d",IF($X304&lt;=14,"8-14 d",IF($X304&lt;=30,"15-30 d","over 30 d")))))</f>
        <v/>
      </c>
      <c r="AA304" s="49"/>
      <c r="AB304" s="52"/>
      <c r="AC304" s="49"/>
      <c r="AD304" s="49"/>
      <c r="AE304" s="49"/>
      <c r="AF304" s="49"/>
      <c r="AG304" s="50"/>
    </row>
  </sheetData>
  <autoFilter ref="A4:AG304"/>
  <dataValidations count="6">
    <dataValidation allowBlank="true" errorStyle="stop" operator="between" showDropDown="false" showErrorMessage="false" showInputMessage="false" sqref="D5:D304" type="list">
      <formula1>01_CONTROL!$A$22:$A$31</formula1>
      <formula2>0</formula2>
    </dataValidation>
    <dataValidation allowBlank="true" errorStyle="stop" operator="between" showDropDown="false" showErrorMessage="false" showInputMessage="false" sqref="E5:E304" type="list">
      <formula1>01_CONTROL!$B$22:$B$29</formula1>
      <formula2>0</formula2>
    </dataValidation>
    <dataValidation allowBlank="true" errorStyle="stop" operator="between" showDropDown="false" showErrorMessage="false" showInputMessage="false" sqref="R5:R304" type="list">
      <formula1>01_CONTROL!$C$22:$C$28</formula1>
      <formula2>0</formula2>
    </dataValidation>
    <dataValidation allowBlank="true" errorStyle="stop" operator="between" showDropDown="false" showErrorMessage="false" showInputMessage="false" sqref="V5:V304" type="list">
      <formula1>01_CONTROL!$D$22:$D$26</formula1>
      <formula2>0</formula2>
    </dataValidation>
    <dataValidation allowBlank="true" errorStyle="stop" operator="between" showDropDown="false" showErrorMessage="false" showInputMessage="false" sqref="O5:O304" type="list">
      <formula1>01_CONTROL!$A$15:$A$18</formula1>
      <formula2>0</formula2>
    </dataValidation>
    <dataValidation allowBlank="true" errorStyle="stop" operator="between" showDropDown="false" showErrorMessage="false" showInputMessage="false" sqref="AA5:AA304 AC5:AC3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3" min="3" style="0" width="52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8" min="6" style="0" width="14"/>
  </cols>
  <sheetData>
    <row r="1" customFormat="false" ht="24" hidden="false" customHeight="true" outlineLevel="0" collapsed="false">
      <c r="A1" s="1" t="s">
        <v>283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284</v>
      </c>
    </row>
    <row r="4" customFormat="false" ht="16.5" hidden="false" customHeight="true" outlineLevel="0" collapsed="false">
      <c r="A4" s="4" t="s">
        <v>285</v>
      </c>
      <c r="B4" s="5"/>
      <c r="C4" s="5"/>
      <c r="D4" s="5"/>
      <c r="E4" s="5"/>
      <c r="F4" s="5"/>
      <c r="G4" s="5"/>
      <c r="H4" s="5"/>
    </row>
    <row r="5" customFormat="false" ht="15" hidden="false" customHeight="false" outlineLevel="0" collapsed="false">
      <c r="A5" s="53" t="s">
        <v>286</v>
      </c>
      <c r="B5" s="54"/>
      <c r="C5" s="54"/>
      <c r="D5" s="55" t="n">
        <f aca="false">COUNTIF(04_RFI_REGISTER!$A$5:$A$304,"&lt;&gt;")</f>
        <v>8</v>
      </c>
    </row>
    <row r="6" customFormat="false" ht="15" hidden="false" customHeight="false" outlineLevel="0" collapsed="false">
      <c r="A6" s="53" t="s">
        <v>287</v>
      </c>
      <c r="B6" s="54"/>
      <c r="C6" s="54"/>
      <c r="D6" s="55" t="n">
        <f aca="false">COUNTIFS(04_RFI_REGISTER!$S$5:$S$304,"",04_RFI_REGISTER!$A$5:$A$304,"&lt;&gt;",04_RFI_REGISTER!$V$5:$V$304,"&lt;&gt;Void / withdrawn")</f>
        <v>4</v>
      </c>
    </row>
    <row r="7" customFormat="false" ht="15" hidden="false" customHeight="false" outlineLevel="0" collapsed="false">
      <c r="A7" s="53" t="s">
        <v>288</v>
      </c>
      <c r="B7" s="54"/>
      <c r="C7" s="54"/>
      <c r="D7" s="56" t="n">
        <f aca="false">COUNTIF(04_RFI_REGISTER!$Y$5:$Y$304,"OVERDUE*")</f>
        <v>2</v>
      </c>
    </row>
    <row r="8" customFormat="false" ht="15" hidden="false" customHeight="false" outlineLevel="0" collapsed="false">
      <c r="A8" s="53" t="s">
        <v>289</v>
      </c>
      <c r="B8" s="54"/>
      <c r="C8" s="54"/>
      <c r="D8" s="55" t="n">
        <f aca="false">COUNTIF(04_RFI_REGISTER!$V$5:$V$304,"Answered")</f>
        <v>1</v>
      </c>
    </row>
    <row r="9" customFormat="false" ht="15" hidden="false" customHeight="false" outlineLevel="0" collapsed="false">
      <c r="A9" s="53" t="s">
        <v>94</v>
      </c>
      <c r="B9" s="54"/>
      <c r="C9" s="54"/>
      <c r="D9" s="55" t="n">
        <f aca="false">COUNTIF(04_RFI_REGISTER!$V$5:$V$304,"Closed")</f>
        <v>3</v>
      </c>
    </row>
    <row r="10" customFormat="false" ht="15" hidden="false" customHeight="false" outlineLevel="0" collapsed="false">
      <c r="A10" s="53" t="s">
        <v>290</v>
      </c>
      <c r="B10" s="54"/>
      <c r="C10" s="54"/>
      <c r="D10" s="57" t="n">
        <f aca="false">IFERROR(ROUND(SUMIFS(04_RFI_REGISTER!$X$5:$X$304,04_RFI_REGISTER!$S$5:$S$304,"&lt;&gt;")/COUNTIFS(04_RFI_REGISTER!$S$5:$S$304,"&lt;&gt;"),1),0)</f>
        <v>5.8</v>
      </c>
    </row>
    <row r="11" customFormat="false" ht="15" hidden="false" customHeight="false" outlineLevel="0" collapsed="false">
      <c r="A11" s="53" t="s">
        <v>291</v>
      </c>
      <c r="B11" s="54"/>
      <c r="C11" s="54"/>
      <c r="D11" s="55" t="n">
        <f aca="false">COUNTIF(04_RFI_REGISTER!$AA$5:$AA$304,"Yes")</f>
        <v>1</v>
      </c>
    </row>
    <row r="12" customFormat="false" ht="15" hidden="false" customHeight="false" outlineLevel="0" collapsed="false">
      <c r="A12" s="53" t="s">
        <v>292</v>
      </c>
      <c r="B12" s="54"/>
      <c r="C12" s="54"/>
      <c r="D12" s="58" t="n">
        <f aca="false">SUMIFS(04_RFI_REGISTER!$AB$5:$AB$304,04_RFI_REGISTER!$AA$5:$AA$304,"Yes")</f>
        <v>185000</v>
      </c>
    </row>
    <row r="13" customFormat="false" ht="15" hidden="false" customHeight="false" outlineLevel="0" collapsed="false">
      <c r="A13" s="53" t="s">
        <v>293</v>
      </c>
      <c r="B13" s="54"/>
      <c r="C13" s="54"/>
      <c r="D13" s="55" t="n">
        <f aca="false">COUNTIF(04_RFI_REGISTER!$AC$5:$AC$304,"Yes")</f>
        <v>3</v>
      </c>
    </row>
    <row r="15" customFormat="false" ht="16.5" hidden="false" customHeight="true" outlineLevel="0" collapsed="false">
      <c r="A15" s="4" t="s">
        <v>294</v>
      </c>
      <c r="B15" s="5"/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A16" s="13" t="s">
        <v>194</v>
      </c>
      <c r="B16" s="13" t="s">
        <v>295</v>
      </c>
      <c r="C16" s="13" t="s">
        <v>296</v>
      </c>
    </row>
    <row r="17" customFormat="false" ht="15" hidden="false" customHeight="false" outlineLevel="0" collapsed="false">
      <c r="A17" s="59" t="s">
        <v>297</v>
      </c>
      <c r="B17" s="60" t="n">
        <f aca="false">COUNTIF(04_RFI_REGISTER!$Z$5:$Z$304,$A17)</f>
        <v>1</v>
      </c>
      <c r="C17" s="15" t="s">
        <v>298</v>
      </c>
    </row>
    <row r="18" customFormat="false" ht="15" hidden="false" customHeight="false" outlineLevel="0" collapsed="false">
      <c r="A18" s="59" t="s">
        <v>299</v>
      </c>
      <c r="B18" s="60" t="n">
        <f aca="false">COUNTIF(04_RFI_REGISTER!$Z$5:$Z$304,$A18)</f>
        <v>1</v>
      </c>
      <c r="C18" s="15" t="s">
        <v>300</v>
      </c>
    </row>
    <row r="19" customFormat="false" ht="15" hidden="false" customHeight="false" outlineLevel="0" collapsed="false">
      <c r="A19" s="59" t="s">
        <v>301</v>
      </c>
      <c r="B19" s="60" t="n">
        <f aca="false">COUNTIF(04_RFI_REGISTER!$Z$5:$Z$304,$A19)</f>
        <v>1</v>
      </c>
      <c r="C19" s="15" t="s">
        <v>302</v>
      </c>
    </row>
    <row r="20" customFormat="false" ht="15" hidden="false" customHeight="false" outlineLevel="0" collapsed="false">
      <c r="A20" s="59" t="s">
        <v>303</v>
      </c>
      <c r="B20" s="60" t="n">
        <f aca="false">COUNTIF(04_RFI_REGISTER!$Z$5:$Z$304,$A20)</f>
        <v>1</v>
      </c>
      <c r="C20" s="15" t="s">
        <v>304</v>
      </c>
    </row>
    <row r="22" customFormat="false" ht="16.5" hidden="false" customHeight="true" outlineLevel="0" collapsed="false">
      <c r="A22" s="4" t="s">
        <v>305</v>
      </c>
      <c r="B22" s="5"/>
      <c r="C22" s="5"/>
      <c r="D22" s="5"/>
      <c r="E22" s="5"/>
      <c r="F22" s="5"/>
      <c r="G22" s="5"/>
      <c r="H22" s="5"/>
    </row>
    <row r="23" customFormat="false" ht="15" hidden="false" customHeight="false" outlineLevel="0" collapsed="false">
      <c r="A23" s="13" t="s">
        <v>75</v>
      </c>
      <c r="B23" s="13" t="s">
        <v>306</v>
      </c>
      <c r="C23" s="13" t="s">
        <v>307</v>
      </c>
      <c r="D23" s="13" t="s">
        <v>308</v>
      </c>
      <c r="E23" s="13" t="s">
        <v>309</v>
      </c>
    </row>
    <row r="24" customFormat="false" ht="15" hidden="false" customHeight="false" outlineLevel="0" collapsed="false">
      <c r="A24" s="53" t="s">
        <v>79</v>
      </c>
      <c r="B24" s="61" t="n">
        <f aca="false">COUNTIF(04_RFI_REGISTER!$D$5:$D$304,$A24)</f>
        <v>2</v>
      </c>
      <c r="C24" s="61" t="n">
        <f aca="false">COUNTIFS(04_RFI_REGISTER!$D$5:$D$304,$A24,04_RFI_REGISTER!$S$5:$S$304,"")</f>
        <v>1</v>
      </c>
      <c r="D24" s="46" t="n">
        <f aca="false">COUNTIFS(04_RFI_REGISTER!$D$5:$D$304,$A24,04_RFI_REGISTER!$Y$5:$Y$304,"OVERDUE*")</f>
        <v>0</v>
      </c>
      <c r="E24" s="61" t="n">
        <f aca="false">COUNTIFS(04_RFI_REGISTER!$D$5:$D$304,$A24,04_RFI_REGISTER!$V$5:$V$304,"Closed")</f>
        <v>1</v>
      </c>
    </row>
    <row r="25" customFormat="false" ht="15" hidden="false" customHeight="false" outlineLevel="0" collapsed="false">
      <c r="A25" s="53" t="s">
        <v>83</v>
      </c>
      <c r="B25" s="61" t="n">
        <f aca="false">COUNTIF(04_RFI_REGISTER!$D$5:$D$304,$A25)</f>
        <v>3</v>
      </c>
      <c r="C25" s="61" t="n">
        <f aca="false">COUNTIFS(04_RFI_REGISTER!$D$5:$D$304,$A25,04_RFI_REGISTER!$S$5:$S$304,"")</f>
        <v>1</v>
      </c>
      <c r="D25" s="46" t="n">
        <f aca="false">COUNTIFS(04_RFI_REGISTER!$D$5:$D$304,$A25,04_RFI_REGISTER!$Y$5:$Y$304,"OVERDUE*")</f>
        <v>0</v>
      </c>
      <c r="E25" s="61" t="n">
        <f aca="false">COUNTIFS(04_RFI_REGISTER!$D$5:$D$304,$A25,04_RFI_REGISTER!$V$5:$V$304,"Closed")</f>
        <v>2</v>
      </c>
    </row>
    <row r="26" customFormat="false" ht="15" hidden="false" customHeight="false" outlineLevel="0" collapsed="false">
      <c r="A26" s="53" t="s">
        <v>87</v>
      </c>
      <c r="B26" s="61" t="n">
        <f aca="false">COUNTIF(04_RFI_REGISTER!$D$5:$D$304,$A26)</f>
        <v>2</v>
      </c>
      <c r="C26" s="61" t="n">
        <f aca="false">COUNTIFS(04_RFI_REGISTER!$D$5:$D$304,$A26,04_RFI_REGISTER!$S$5:$S$304,"")</f>
        <v>2</v>
      </c>
      <c r="D26" s="46" t="n">
        <f aca="false">COUNTIFS(04_RFI_REGISTER!$D$5:$D$304,$A26,04_RFI_REGISTER!$Y$5:$Y$304,"OVERDUE*")</f>
        <v>2</v>
      </c>
      <c r="E26" s="61" t="n">
        <f aca="false">COUNTIFS(04_RFI_REGISTER!$D$5:$D$304,$A26,04_RFI_REGISTER!$V$5:$V$304,"Closed")</f>
        <v>0</v>
      </c>
    </row>
    <row r="27" customFormat="false" ht="15" hidden="false" customHeight="false" outlineLevel="0" collapsed="false">
      <c r="A27" s="53" t="s">
        <v>91</v>
      </c>
      <c r="B27" s="61" t="n">
        <f aca="false">COUNTIF(04_RFI_REGISTER!$D$5:$D$304,$A27)</f>
        <v>1</v>
      </c>
      <c r="C27" s="61" t="n">
        <f aca="false">COUNTIFS(04_RFI_REGISTER!$D$5:$D$304,$A27,04_RFI_REGISTER!$S$5:$S$304,"")</f>
        <v>0</v>
      </c>
      <c r="D27" s="46" t="n">
        <f aca="false">COUNTIFS(04_RFI_REGISTER!$D$5:$D$304,$A27,04_RFI_REGISTER!$Y$5:$Y$304,"OVERDUE*")</f>
        <v>0</v>
      </c>
      <c r="E27" s="61" t="n">
        <f aca="false">COUNTIFS(04_RFI_REGISTER!$D$5:$D$304,$A27,04_RFI_REGISTER!$V$5:$V$304,"Closed")</f>
        <v>0</v>
      </c>
    </row>
    <row r="28" customFormat="false" ht="15" hidden="false" customHeight="false" outlineLevel="0" collapsed="false">
      <c r="A28" s="53" t="s">
        <v>95</v>
      </c>
      <c r="B28" s="61" t="n">
        <f aca="false">COUNTIF(04_RFI_REGISTER!$D$5:$D$304,$A28)</f>
        <v>0</v>
      </c>
      <c r="C28" s="61" t="n">
        <f aca="false">COUNTIFS(04_RFI_REGISTER!$D$5:$D$304,$A28,04_RFI_REGISTER!$S$5:$S$304,"")</f>
        <v>0</v>
      </c>
      <c r="D28" s="46" t="n">
        <f aca="false">COUNTIFS(04_RFI_REGISTER!$D$5:$D$304,$A28,04_RFI_REGISTER!$Y$5:$Y$304,"OVERDUE*")</f>
        <v>0</v>
      </c>
      <c r="E28" s="61" t="n">
        <f aca="false">COUNTIFS(04_RFI_REGISTER!$D$5:$D$304,$A28,04_RFI_REGISTER!$V$5:$V$304,"Closed")</f>
        <v>0</v>
      </c>
    </row>
    <row r="29" customFormat="false" ht="15" hidden="false" customHeight="false" outlineLevel="0" collapsed="false">
      <c r="A29" s="53" t="s">
        <v>99</v>
      </c>
      <c r="B29" s="61" t="n">
        <f aca="false">COUNTIF(04_RFI_REGISTER!$D$5:$D$304,$A29)</f>
        <v>0</v>
      </c>
      <c r="C29" s="61" t="n">
        <f aca="false">COUNTIFS(04_RFI_REGISTER!$D$5:$D$304,$A29,04_RFI_REGISTER!$S$5:$S$304,"")</f>
        <v>0</v>
      </c>
      <c r="D29" s="46" t="n">
        <f aca="false">COUNTIFS(04_RFI_REGISTER!$D$5:$D$304,$A29,04_RFI_REGISTER!$Y$5:$Y$304,"OVERDUE*")</f>
        <v>0</v>
      </c>
      <c r="E29" s="61" t="n">
        <f aca="false">COUNTIFS(04_RFI_REGISTER!$D$5:$D$304,$A29,04_RFI_REGISTER!$V$5:$V$304,"Closed")</f>
        <v>0</v>
      </c>
    </row>
    <row r="30" customFormat="false" ht="15" hidden="false" customHeight="false" outlineLevel="0" collapsed="false">
      <c r="A30" s="53" t="s">
        <v>102</v>
      </c>
      <c r="B30" s="61" t="n">
        <f aca="false">COUNTIF(04_RFI_REGISTER!$D$5:$D$304,$A30)</f>
        <v>0</v>
      </c>
      <c r="C30" s="61" t="n">
        <f aca="false">COUNTIFS(04_RFI_REGISTER!$D$5:$D$304,$A30,04_RFI_REGISTER!$S$5:$S$304,"")</f>
        <v>0</v>
      </c>
      <c r="D30" s="46" t="n">
        <f aca="false">COUNTIFS(04_RFI_REGISTER!$D$5:$D$304,$A30,04_RFI_REGISTER!$Y$5:$Y$304,"OVERDUE*")</f>
        <v>0</v>
      </c>
      <c r="E30" s="61" t="n">
        <f aca="false">COUNTIFS(04_RFI_REGISTER!$D$5:$D$304,$A30,04_RFI_REGISTER!$V$5:$V$304,"Closed")</f>
        <v>0</v>
      </c>
    </row>
    <row r="31" customFormat="false" ht="15" hidden="false" customHeight="false" outlineLevel="0" collapsed="false">
      <c r="A31" s="53" t="s">
        <v>105</v>
      </c>
      <c r="B31" s="61" t="n">
        <f aca="false">COUNTIF(04_RFI_REGISTER!$D$5:$D$304,$A31)</f>
        <v>0</v>
      </c>
      <c r="C31" s="61" t="n">
        <f aca="false">COUNTIFS(04_RFI_REGISTER!$D$5:$D$304,$A31,04_RFI_REGISTER!$S$5:$S$304,"")</f>
        <v>0</v>
      </c>
      <c r="D31" s="46" t="n">
        <f aca="false">COUNTIFS(04_RFI_REGISTER!$D$5:$D$304,$A31,04_RFI_REGISTER!$Y$5:$Y$304,"OVERDUE*")</f>
        <v>0</v>
      </c>
      <c r="E31" s="61" t="n">
        <f aca="false">COUNTIFS(04_RFI_REGISTER!$D$5:$D$304,$A31,04_RFI_REGISTER!$V$5:$V$304,"Closed")</f>
        <v>0</v>
      </c>
    </row>
    <row r="32" customFormat="false" ht="15" hidden="false" customHeight="false" outlineLevel="0" collapsed="false">
      <c r="A32" s="53" t="s">
        <v>107</v>
      </c>
      <c r="B32" s="61" t="n">
        <f aca="false">COUNTIF(04_RFI_REGISTER!$D$5:$D$304,$A32)</f>
        <v>0</v>
      </c>
      <c r="C32" s="61" t="n">
        <f aca="false">COUNTIFS(04_RFI_REGISTER!$D$5:$D$304,$A32,04_RFI_REGISTER!$S$5:$S$304,"")</f>
        <v>0</v>
      </c>
      <c r="D32" s="46" t="n">
        <f aca="false">COUNTIFS(04_RFI_REGISTER!$D$5:$D$304,$A32,04_RFI_REGISTER!$Y$5:$Y$304,"OVERDUE*")</f>
        <v>0</v>
      </c>
      <c r="E32" s="61" t="n">
        <f aca="false">COUNTIFS(04_RFI_REGISTER!$D$5:$D$304,$A32,04_RFI_REGISTER!$V$5:$V$304,"Closed")</f>
        <v>0</v>
      </c>
    </row>
    <row r="33" customFormat="false" ht="15" hidden="false" customHeight="false" outlineLevel="0" collapsed="false">
      <c r="A33" s="53" t="s">
        <v>108</v>
      </c>
      <c r="B33" s="61" t="n">
        <f aca="false">COUNTIF(04_RFI_REGISTER!$D$5:$D$304,$A33)</f>
        <v>0</v>
      </c>
      <c r="C33" s="61" t="n">
        <f aca="false">COUNTIFS(04_RFI_REGISTER!$D$5:$D$304,$A33,04_RFI_REGISTER!$S$5:$S$304,"")</f>
        <v>0</v>
      </c>
      <c r="D33" s="46" t="n">
        <f aca="false">COUNTIFS(04_RFI_REGISTER!$D$5:$D$304,$A33,04_RFI_REGISTER!$Y$5:$Y$304,"OVERDUE*")</f>
        <v>0</v>
      </c>
      <c r="E33" s="61" t="n">
        <f aca="false">COUNTIFS(04_RFI_REGISTER!$D$5:$D$304,$A33,04_RFI_REGISTER!$V$5:$V$304,"Closed")</f>
        <v>0</v>
      </c>
    </row>
    <row r="35" customFormat="false" ht="16.5" hidden="false" customHeight="true" outlineLevel="0" collapsed="false">
      <c r="A35" s="11" t="s">
        <v>310</v>
      </c>
      <c r="B35" s="12"/>
      <c r="C35" s="12"/>
      <c r="D35" s="12"/>
      <c r="E35" s="12"/>
      <c r="F35" s="12"/>
      <c r="G35" s="12"/>
      <c r="H35" s="12"/>
    </row>
    <row r="36" customFormat="false" ht="22.35" hidden="false" customHeight="false" outlineLevel="0" collapsed="false">
      <c r="A36" s="13" t="s">
        <v>187</v>
      </c>
      <c r="B36" s="13" t="s">
        <v>306</v>
      </c>
      <c r="C36" s="13" t="s">
        <v>307</v>
      </c>
      <c r="D36" s="13" t="s">
        <v>308</v>
      </c>
      <c r="E36" s="13" t="s">
        <v>311</v>
      </c>
    </row>
    <row r="37" customFormat="false" ht="15" hidden="false" customHeight="false" outlineLevel="0" collapsed="false">
      <c r="A37" s="53" t="s">
        <v>81</v>
      </c>
      <c r="B37" s="61" t="n">
        <f aca="false">COUNTIF(04_RFI_REGISTER!$R$5:$R$304,$A37)</f>
        <v>2</v>
      </c>
      <c r="C37" s="61" t="n">
        <f aca="false">COUNTIFS(04_RFI_REGISTER!$R$5:$R$304,$A37,04_RFI_REGISTER!$S$5:$S$304,"")</f>
        <v>1</v>
      </c>
      <c r="D37" s="46" t="n">
        <f aca="false">COUNTIFS(04_RFI_REGISTER!$R$5:$R$304,$A37,04_RFI_REGISTER!$Y$5:$Y$304,"OVERDUE*")</f>
        <v>0</v>
      </c>
      <c r="E37" s="62" t="n">
        <f aca="false">IFERROR(ROUND(SUMIFS(04_RFI_REGISTER!$X$5:$X$304,04_RFI_REGISTER!$R$5:$R$304,$A37,04_RFI_REGISTER!$S$5:$S$304,"&lt;&gt;")/COUNTIFS(04_RFI_REGISTER!$R$5:$R$304,$A37,04_RFI_REGISTER!$S$5:$S$304,"&lt;&gt;"),1),"-")</f>
        <v>8</v>
      </c>
    </row>
    <row r="38" customFormat="false" ht="15" hidden="false" customHeight="false" outlineLevel="0" collapsed="false">
      <c r="A38" s="53" t="s">
        <v>85</v>
      </c>
      <c r="B38" s="61" t="n">
        <f aca="false">COUNTIF(04_RFI_REGISTER!$R$5:$R$304,$A38)</f>
        <v>3</v>
      </c>
      <c r="C38" s="61" t="n">
        <f aca="false">COUNTIFS(04_RFI_REGISTER!$R$5:$R$304,$A38,04_RFI_REGISTER!$S$5:$S$304,"")</f>
        <v>2</v>
      </c>
      <c r="D38" s="46" t="n">
        <f aca="false">COUNTIFS(04_RFI_REGISTER!$R$5:$R$304,$A38,04_RFI_REGISTER!$Y$5:$Y$304,"OVERDUE*")</f>
        <v>1</v>
      </c>
      <c r="E38" s="62" t="n">
        <f aca="false">IFERROR(ROUND(SUMIFS(04_RFI_REGISTER!$X$5:$X$304,04_RFI_REGISTER!$R$5:$R$304,$A38,04_RFI_REGISTER!$S$5:$S$304,"&lt;&gt;")/COUNTIFS(04_RFI_REGISTER!$R$5:$R$304,$A38,04_RFI_REGISTER!$S$5:$S$304,"&lt;&gt;"),1),"-")</f>
        <v>2</v>
      </c>
    </row>
    <row r="39" customFormat="false" ht="15" hidden="false" customHeight="false" outlineLevel="0" collapsed="false">
      <c r="A39" s="53" t="s">
        <v>89</v>
      </c>
      <c r="B39" s="61" t="n">
        <f aca="false">COUNTIF(04_RFI_REGISTER!$R$5:$R$304,$A39)</f>
        <v>0</v>
      </c>
      <c r="C39" s="61" t="n">
        <f aca="false">COUNTIFS(04_RFI_REGISTER!$R$5:$R$304,$A39,04_RFI_REGISTER!$S$5:$S$304,"")</f>
        <v>0</v>
      </c>
      <c r="D39" s="46" t="n">
        <f aca="false">COUNTIFS(04_RFI_REGISTER!$R$5:$R$304,$A39,04_RFI_REGISTER!$Y$5:$Y$304,"OVERDUE*")</f>
        <v>0</v>
      </c>
      <c r="E39" s="62" t="str">
        <f aca="false">IFERROR(ROUND(SUMIFS(04_RFI_REGISTER!$X$5:$X$304,04_RFI_REGISTER!$R$5:$R$304,$A39,04_RFI_REGISTER!$S$5:$S$304,"&lt;&gt;")/COUNTIFS(04_RFI_REGISTER!$R$5:$R$304,$A39,04_RFI_REGISTER!$S$5:$S$304,"&lt;&gt;"),1),"-")</f>
        <v>-</v>
      </c>
    </row>
    <row r="40" customFormat="false" ht="15" hidden="false" customHeight="false" outlineLevel="0" collapsed="false">
      <c r="A40" s="53" t="s">
        <v>93</v>
      </c>
      <c r="B40" s="61" t="n">
        <f aca="false">COUNTIF(04_RFI_REGISTER!$R$5:$R$304,$A40)</f>
        <v>2</v>
      </c>
      <c r="C40" s="61" t="n">
        <f aca="false">COUNTIFS(04_RFI_REGISTER!$R$5:$R$304,$A40,04_RFI_REGISTER!$S$5:$S$304,"")</f>
        <v>0</v>
      </c>
      <c r="D40" s="46" t="n">
        <f aca="false">COUNTIFS(04_RFI_REGISTER!$R$5:$R$304,$A40,04_RFI_REGISTER!$Y$5:$Y$304,"OVERDUE*")</f>
        <v>0</v>
      </c>
      <c r="E40" s="62" t="n">
        <f aca="false">IFERROR(ROUND(SUMIFS(04_RFI_REGISTER!$X$5:$X$304,04_RFI_REGISTER!$R$5:$R$304,$A40,04_RFI_REGISTER!$S$5:$S$304,"&lt;&gt;")/COUNTIFS(04_RFI_REGISTER!$R$5:$R$304,$A40,04_RFI_REGISTER!$S$5:$S$304,"&lt;&gt;"),1),"-")</f>
        <v>6.5</v>
      </c>
    </row>
    <row r="41" customFormat="false" ht="15" hidden="false" customHeight="false" outlineLevel="0" collapsed="false">
      <c r="A41" s="53" t="s">
        <v>97</v>
      </c>
      <c r="B41" s="61" t="n">
        <f aca="false">COUNTIF(04_RFI_REGISTER!$R$5:$R$304,$A41)</f>
        <v>1</v>
      </c>
      <c r="C41" s="61" t="n">
        <f aca="false">COUNTIFS(04_RFI_REGISTER!$R$5:$R$304,$A41,04_RFI_REGISTER!$S$5:$S$304,"")</f>
        <v>1</v>
      </c>
      <c r="D41" s="46" t="n">
        <f aca="false">COUNTIFS(04_RFI_REGISTER!$R$5:$R$304,$A41,04_RFI_REGISTER!$Y$5:$Y$304,"OVERDUE*")</f>
        <v>1</v>
      </c>
      <c r="E41" s="62" t="str">
        <f aca="false">IFERROR(ROUND(SUMIFS(04_RFI_REGISTER!$X$5:$X$304,04_RFI_REGISTER!$R$5:$R$304,$A41,04_RFI_REGISTER!$S$5:$S$304,"&lt;&gt;")/COUNTIFS(04_RFI_REGISTER!$R$5:$R$304,$A41,04_RFI_REGISTER!$S$5:$S$304,"&lt;&gt;"),1),"-")</f>
        <v>-</v>
      </c>
    </row>
    <row r="42" customFormat="false" ht="15" hidden="false" customHeight="false" outlineLevel="0" collapsed="false">
      <c r="A42" s="53" t="s">
        <v>101</v>
      </c>
      <c r="B42" s="61" t="n">
        <f aca="false">COUNTIF(04_RFI_REGISTER!$R$5:$R$304,$A42)</f>
        <v>0</v>
      </c>
      <c r="C42" s="61" t="n">
        <f aca="false">COUNTIFS(04_RFI_REGISTER!$R$5:$R$304,$A42,04_RFI_REGISTER!$S$5:$S$304,"")</f>
        <v>0</v>
      </c>
      <c r="D42" s="46" t="n">
        <f aca="false">COUNTIFS(04_RFI_REGISTER!$R$5:$R$304,$A42,04_RFI_REGISTER!$Y$5:$Y$304,"OVERDUE*")</f>
        <v>0</v>
      </c>
      <c r="E42" s="62" t="str">
        <f aca="false">IFERROR(ROUND(SUMIFS(04_RFI_REGISTER!$X$5:$X$304,04_RFI_REGISTER!$R$5:$R$304,$A42,04_RFI_REGISTER!$S$5:$S$304,"&lt;&gt;")/COUNTIFS(04_RFI_REGISTER!$R$5:$R$304,$A42,04_RFI_REGISTER!$S$5:$S$304,"&lt;&gt;"),1),"-")</f>
        <v>-</v>
      </c>
    </row>
    <row r="43" customFormat="false" ht="15" hidden="false" customHeight="false" outlineLevel="0" collapsed="false">
      <c r="A43" s="53" t="s">
        <v>104</v>
      </c>
      <c r="B43" s="61" t="n">
        <f aca="false">COUNTIF(04_RFI_REGISTER!$R$5:$R$304,$A43)</f>
        <v>0</v>
      </c>
      <c r="C43" s="61" t="n">
        <f aca="false">COUNTIFS(04_RFI_REGISTER!$R$5:$R$304,$A43,04_RFI_REGISTER!$S$5:$S$304,"")</f>
        <v>0</v>
      </c>
      <c r="D43" s="46" t="n">
        <f aca="false">COUNTIFS(04_RFI_REGISTER!$R$5:$R$304,$A43,04_RFI_REGISTER!$Y$5:$Y$304,"OVERDUE*")</f>
        <v>0</v>
      </c>
      <c r="E43" s="62" t="str">
        <f aca="false">IFERROR(ROUND(SUMIFS(04_RFI_REGISTER!$X$5:$X$304,04_RFI_REGISTER!$R$5:$R$304,$A43,04_RFI_REGISTER!$S$5:$S$304,"&lt;&gt;")/COUNTIFS(04_RFI_REGISTER!$R$5:$R$304,$A43,04_RFI_REGISTER!$S$5:$S$304,"&lt;&gt;"),1),"-")</f>
        <v>-</v>
      </c>
    </row>
    <row r="45" customFormat="false" ht="16.5" hidden="false" customHeight="true" outlineLevel="0" collapsed="false">
      <c r="A45" s="4" t="s">
        <v>312</v>
      </c>
      <c r="B45" s="5"/>
      <c r="C45" s="5"/>
      <c r="D45" s="5"/>
      <c r="E45" s="5"/>
      <c r="F45" s="5"/>
      <c r="G45" s="5"/>
      <c r="H45" s="5"/>
    </row>
    <row r="46" customFormat="false" ht="27.75" hidden="false" customHeight="true" outlineLevel="0" collapsed="false">
      <c r="A46" s="63" t="s">
        <v>110</v>
      </c>
      <c r="B46" s="7" t="s">
        <v>313</v>
      </c>
    </row>
    <row r="47" customFormat="false" ht="27.75" hidden="false" customHeight="true" outlineLevel="0" collapsed="false">
      <c r="A47" s="63" t="s">
        <v>110</v>
      </c>
      <c r="B47" s="7" t="s">
        <v>314</v>
      </c>
    </row>
    <row r="48" customFormat="false" ht="27.75" hidden="false" customHeight="true" outlineLevel="0" collapsed="false">
      <c r="A48" s="63" t="s">
        <v>110</v>
      </c>
      <c r="B48" s="7" t="s">
        <v>315</v>
      </c>
    </row>
    <row r="49" customFormat="false" ht="27.75" hidden="false" customHeight="true" outlineLevel="0" collapsed="false">
      <c r="A49" s="63" t="s">
        <v>110</v>
      </c>
      <c r="B49" s="7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2026-08-19T11:42:13Z</dcterms:created>
  <dc:creator>openpyxl</dc:creator>
  <dc:description/>
  <dc:language>en-US</dc:language>
  <cp:lastModifiedBy/>
  <dcterms:modified xsi:type="dcterms:W3CDTF">2026-08-19T11:42:13Z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