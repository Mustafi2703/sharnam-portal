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fety IR Form" sheetId="1" state="visible" r:id="rId3"/>
    <sheet name="Safety Checklist (General)" sheetId="2" state="visible" r:id="rId4"/>
    <sheet name="Activity Safety Checklists" sheetId="3" state="visible" r:id="rId5"/>
    <sheet name="HSE Register" sheetId="4" state="visible" r:id="rId6"/>
    <sheet name="Procedure &amp; Legend" sheetId="5" state="visible" r:id="rId7"/>
  </sheets>
  <definedNames>
    <definedName function="false" hidden="false" localSheetId="2" name="_xlnm.Print_Titles" vbProcedure="false">'Activity Safety Checklists'!$10:$10</definedName>
    <definedName function="false" hidden="false" localSheetId="3" name="_xlnm.Print_Titles" vbProcedure="false">'HSE Register'!$4:$4</definedName>
    <definedName function="false" hidden="true" localSheetId="3" name="_xlnm._FilterDatabase" vbProcedure="false">'HSE Register'!$B$4:$P$104</definedName>
    <definedName function="false" hidden="false" localSheetId="1" name="_xlnm.Print_Titles" vbProcedure="false">'Safety Checklist (General)'!$10:$10</definedName>
    <definedName function="false" hidden="false" localSheetId="0" name="_xlnm.Print_Area" vbProcedure="false">'Safety IR Form'!$A$1:$L$54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<sst xmlns="http://schemas.openxmlformats.org/spreadsheetml/2006/main" count="330" uniqueCount="293">
  <si>
    <t xml:space="preserve">SHARNAM PROJECT DEVELOPMENT
CONSULTANTS &amp; CO. (SPDC)</t>
  </si>
  <si>
    <t xml:space="preserve">SAFETY INSPECTION &amp; CLEARANCE REQUEST
High-Risk Activity — Pre-Start Clearance</t>
  </si>
  <si>
    <t xml:space="preserve">Doc. No.</t>
  </si>
  <si>
    <t xml:space="preserve">SPDC/HSE/F-01  Rev. 0</t>
  </si>
  <si>
    <t xml:space="preserve">1.  PARTICULARS</t>
  </si>
  <si>
    <t xml:space="preserve">Project / Facility</t>
  </si>
  <si>
    <t xml:space="preserve">Safety IR No.</t>
  </si>
  <si>
    <t xml:space="preserve">Employer / Client</t>
  </si>
  <si>
    <t xml:space="preserve">Date of Raising</t>
  </si>
  <si>
    <t xml:space="preserve">Contractor / Agency</t>
  </si>
  <si>
    <t xml:space="preserve">Package / WO No.</t>
  </si>
  <si>
    <t xml:space="preserve">PMC / Engineer</t>
  </si>
  <si>
    <t xml:space="preserve">SPDC</t>
  </si>
  <si>
    <t xml:space="preserve">Linked Quality IR No.</t>
  </si>
  <si>
    <t xml:space="preserve">2.  ACTIVITY OFFERED FOR SAFETY CLEARANCE</t>
  </si>
  <si>
    <t xml:space="preserve">Type of High-Risk Activity
(tick applicable)</t>
  </si>
  <si>
    <t xml:space="preserve">Excavation &gt; 1.2 m  □      Scaffold erection / handover  □      Work at height / lifeline  □      Lifting operation  □      Hot work / welding  □
Confined space entry  □      Electrical energisation / LOTO  □      Demolition / dismantling  □      Night work  □      Road closure / diversion  □
Material or passenger hoist  □      Heavy formwork / staging  □      Hazardous chemical handling  □      Piling / heavy plant  □      Other: ____________</t>
  </si>
  <si>
    <t xml:space="preserve">Description of Work</t>
  </si>
  <si>
    <t xml:space="preserve">Exact Location / Grid / Level</t>
  </si>
  <si>
    <t xml:space="preserve">Clearance Sought From</t>
  </si>
  <si>
    <t xml:space="preserve">Date / Shift:</t>
  </si>
  <si>
    <t xml:space="preserve">Valid Up To</t>
  </si>
  <si>
    <t xml:space="preserve">Permit to Work No.</t>
  </si>
  <si>
    <t xml:space="preserve">No. of Workers Engaged</t>
  </si>
  <si>
    <t xml:space="preserve">HIRA / JSA Reference</t>
  </si>
  <si>
    <t xml:space="preserve">Approved Method Stmt. No.</t>
  </si>
  <si>
    <t xml:space="preserve">Competent / Authorised Person</t>
  </si>
  <si>
    <t xml:space="preserve">Name &amp; qualification:</t>
  </si>
  <si>
    <t xml:space="preserve">Supervisor in Charge</t>
  </si>
  <si>
    <t xml:space="preserve">Principal Hazards Identified</t>
  </si>
  <si>
    <t xml:space="preserve">Controls in Place</t>
  </si>
  <si>
    <t xml:space="preserve">Residual Risk Rating</t>
  </si>
  <si>
    <t xml:space="preserve">Low  □          Medium  □          High  □</t>
  </si>
  <si>
    <t xml:space="preserve">Emergency Contact</t>
  </si>
  <si>
    <t xml:space="preserve">Minimum notice: 24 hours. A High residual risk activity requires the Client HSE representative to be present at inspection and may not proceed on a conditional clearance.</t>
  </si>
  <si>
    <t xml:space="preserve">3.  CONTRACTOR'S PRE-START SAFETY DECLARATION</t>
  </si>
  <si>
    <t xml:space="preserve">Tick (✓)</t>
  </si>
  <si>
    <t xml:space="preserve">a)  HIRA / JSA prepared, approved and communicated to the entire crew through a documented toolbox talk on the date of work.</t>
  </si>
  <si>
    <t xml:space="preserve">b)  All engaged workers are inducted, medically fit, and trained / certified for the specific activity (height pass, rigger, electrician licence, gas tester as applicable).</t>
  </si>
  <si>
    <t xml:space="preserve">c)  Permit to Work obtained and displayed at the work front; validity covers the full duration requested.</t>
  </si>
  <si>
    <t xml:space="preserve">d)  Plant, lifting tackle, scaffolds and electrical equipment carry valid third-party test / inspection certificates.</t>
  </si>
  <si>
    <t xml:space="preserve">e)  PPE — including task-specific PPE (full body harness with double lanyard, face shield, gas monitor, insulated gloves) — issued and verified in use.</t>
  </si>
  <si>
    <t xml:space="preserve">f)  Work area barricaded, signage displayed, access controlled and adjacent trades notified of the hazard.</t>
  </si>
  <si>
    <t xml:space="preserve">g)  Emergency arrangement in place — rescue plan, first aider, fire extinguisher, assembly point and vehicle access for evacuation.</t>
  </si>
  <si>
    <t xml:space="preserve">h)  Competent / authorised person will remain physically present at the work front for the entire duration of the activity.</t>
  </si>
  <si>
    <t xml:space="preserve">Enclosures</t>
  </si>
  <si>
    <t xml:space="preserve">JSA / HIRA  □    PTW  □    TBT record  □    Scaffold tag / handover cert.  □    TPI certificates  □    Lifting plan  □    Rescue plan  □    Gas test record  □    Other: __________</t>
  </si>
  <si>
    <t xml:space="preserve">Raised By
(Contractor Safety Officer)</t>
  </si>
  <si>
    <t xml:space="preserve">Name:
Sign. &amp; Date:</t>
  </si>
  <si>
    <t xml:space="preserve">Endorsed By
(Contractor Site In-Charge)</t>
  </si>
  <si>
    <t xml:space="preserve">4.  SAFETY INSPECTION RESULT  —  TO BE COMPLETED BY PMC HSE</t>
  </si>
  <si>
    <t xml:space="preserve">Inspection Carried Out On</t>
  </si>
  <si>
    <t xml:space="preserve">Date:</t>
  </si>
  <si>
    <t xml:space="preserve">Time:</t>
  </si>
  <si>
    <t xml:space="preserve">Result</t>
  </si>
  <si>
    <t xml:space="preserve">S1 — CLEARED, work may commence  □          S2 — CLEARED WITH CONDITIONS listed below  □
S3 — NOT CLEARED, rectify and re-offer  □          S4 — STOP WORK NOTICE issued  □</t>
  </si>
  <si>
    <t xml:space="preserve">Clearance Valid From / To</t>
  </si>
  <si>
    <t xml:space="preserve">Stop Work / NC No.</t>
  </si>
  <si>
    <t xml:space="preserve">Conditions of Clearance / Non-Conformities Observed</t>
  </si>
  <si>
    <t xml:space="preserve">Stop-Work Triggers</t>
  </si>
  <si>
    <t xml:space="preserve">This clearance lapses automatically on: change of scope, method or crew · adverse weather (wind &gt; 40 kmph, lightning, heavy rain) · failure or removal of any control listed above · expiry of the PTW · any incident or near miss at the work front.</t>
  </si>
  <si>
    <t xml:space="preserve">Inspected By
(SPDC — PMC HSE)</t>
  </si>
  <si>
    <t xml:space="preserve">Witnessed By
(Client HSE)</t>
  </si>
  <si>
    <t xml:space="preserve">Contractor
Acknowledgement
Sign. &amp; Date:</t>
  </si>
  <si>
    <t xml:space="preserve">5.  CLOSE-OUT</t>
  </si>
  <si>
    <t xml:space="preserve">Action Taken by Contractor</t>
  </si>
  <si>
    <t xml:space="preserve">Verified &amp; Closed by PMC HSE</t>
  </si>
  <si>
    <t xml:space="preserve">Sign. &amp; Date:</t>
  </si>
  <si>
    <t xml:space="preserve">Date of Closure</t>
  </si>
  <si>
    <t xml:space="preserve">Distribution:  Original — PMC HSE file   |   Copy 1 — Contractor safety officer   |   Copy 2 — Client HSE   |   Copy 3 — Work front (displayed with the PTW).
Note:  Grant of this clearance does not transfer to the PMC or the Employer any part of the Contractor's statutory duty of care for the safety of its workmen and of third parties.</t>
  </si>
  <si>
    <t xml:space="preserve">SITE SAFETY INSPECTION CHECKLIST
Periodic Walkthrough — All Areas</t>
  </si>
  <si>
    <t xml:space="preserve">SPDC/HSE/F-02  Rev. 0</t>
  </si>
  <si>
    <t xml:space="preserve">Project / Location</t>
  </si>
  <si>
    <t xml:space="preserve">Inspection No.</t>
  </si>
  <si>
    <t xml:space="preserve">Date &amp; Time</t>
  </si>
  <si>
    <t xml:space="preserve">Area / Zone Inspected</t>
  </si>
  <si>
    <t xml:space="preserve">Inspected By</t>
  </si>
  <si>
    <t xml:space="preserve">Weather / Shift</t>
  </si>
  <si>
    <t xml:space="preserve">Accompanied By</t>
  </si>
  <si>
    <t xml:space="preserve">Sr.</t>
  </si>
  <si>
    <t xml:space="preserve">Inspection Point</t>
  </si>
  <si>
    <t xml:space="preserve">Status</t>
  </si>
  <si>
    <t xml:space="preserve">Risk
Rating</t>
  </si>
  <si>
    <t xml:space="preserve">Observation / Action Required</t>
  </si>
  <si>
    <t xml:space="preserve">Responsibility</t>
  </si>
  <si>
    <t xml:space="preserve">Target Date</t>
  </si>
  <si>
    <t xml:space="preserve">A.  STATUTORY &amp; DOCUMENTATION</t>
  </si>
  <si>
    <t xml:space="preserve">BOCW / factory registration, labour licence and statutory approvals displayed and valid</t>
  </si>
  <si>
    <t xml:space="preserve">HSE plan, HIRA register and emergency preparedness plan approved and current</t>
  </si>
  <si>
    <t xml:space="preserve">Site safety organogram in place; safety officer deployed at required manpower ratio</t>
  </si>
  <si>
    <t xml:space="preserve">Workmen compensation policy, CAR / EAR insurance and third-party cover valid</t>
  </si>
  <si>
    <t xml:space="preserve">Statutory registers, accident register and TPI certificates available for verification</t>
  </si>
  <si>
    <t xml:space="preserve">Induction records, medical fitness and skill certificates maintained for all workmen</t>
  </si>
  <si>
    <t xml:space="preserve">B.  SITE ORGANISATION &amp; WELFARE</t>
  </si>
  <si>
    <t xml:space="preserve">Site boundary secured; gates manned and access controlled with gate pass system</t>
  </si>
  <si>
    <t xml:space="preserve">Signage, hazard boards and emergency contact numbers displayed at prominent locations</t>
  </si>
  <si>
    <t xml:space="preserve">Drinking water, toilets, rest shelter and creche provided as per labour strength</t>
  </si>
  <si>
    <t xml:space="preserve">Labour colony — hygiene, electrical safety, cooking area and fire arrangement satisfactory</t>
  </si>
  <si>
    <t xml:space="preserve">First aid centre equipped, first aider on duty, ambulance / tie-up hospital identified</t>
  </si>
  <si>
    <t xml:space="preserve">C.  PERSONAL PROTECTIVE EQUIPMENT</t>
  </si>
  <si>
    <t xml:space="preserve">Helmet with chin strap worn by all persons on site including visitors and staff</t>
  </si>
  <si>
    <t xml:space="preserve">Safety shoes, hi-vis vest and hand gloves issued and in use</t>
  </si>
  <si>
    <t xml:space="preserve">Task-specific PPE — harness, face shield, welding screen, ear plugs, respirator — in use</t>
  </si>
  <si>
    <t xml:space="preserve">Full body harness with double lanyard anchored above shoulder level for all height work</t>
  </si>
  <si>
    <t xml:space="preserve">PPE condition inspected; damaged items withdrawn and replaced; issue register maintained</t>
  </si>
  <si>
    <t xml:space="preserve">D.  ACCESS, EGRESS &amp; HOUSEKEEPING</t>
  </si>
  <si>
    <t xml:space="preserve">Safe, well-lit access and egress to every work front; no unauthorised short cuts in use</t>
  </si>
  <si>
    <t xml:space="preserve">Floor openings, shafts and edges covered or hard-barricaded with signage</t>
  </si>
  <si>
    <t xml:space="preserve">Walkways free of material, protruding rebar capped, debris cleared daily</t>
  </si>
  <si>
    <t xml:space="preserve">Material stacked stably within designated area, clear of edges and access routes</t>
  </si>
  <si>
    <t xml:space="preserve">Emergency escape routes and assembly points clear, marked and unobstructed</t>
  </si>
  <si>
    <t xml:space="preserve">E.  WORK AT HEIGHT &amp; SCAFFOLDING</t>
  </si>
  <si>
    <t xml:space="preserve">Scaffold erected by trained erectors under a competent supervisor; tagged and current</t>
  </si>
  <si>
    <t xml:space="preserve">Base plates, sole plates, bracing, ties and standards as per approved scaffold design</t>
  </si>
  <si>
    <t xml:space="preserve">Full deck planking, guard rails, mid rails and toe boards provided at all working levels</t>
  </si>
  <si>
    <t xml:space="preserve">Ladder secured, extending 1 m above landing, at correct angle; no makeshift access</t>
  </si>
  <si>
    <t xml:space="preserve">Independent lifeline / anchor points provided; anchorage capacity verified</t>
  </si>
  <si>
    <t xml:space="preserve">Fall arrest, safety net or fan below the work zone provided where required</t>
  </si>
  <si>
    <t xml:space="preserve">Mobile scaffold wheels locked; no person or material on platform while moving</t>
  </si>
  <si>
    <t xml:space="preserve">F.  EXCAVATION, SHORING &amp; CONFINED SPACE</t>
  </si>
  <si>
    <t xml:space="preserve">Underground services located and de-energised / isolated before excavation</t>
  </si>
  <si>
    <t xml:space="preserve">Side slope, benching or shoring as per soil condition and approved design</t>
  </si>
  <si>
    <t xml:space="preserve">Excavated spoil kept minimum 1.5 m from the edge; no plant surcharge near the edge</t>
  </si>
  <si>
    <t xml:space="preserve">Access ladder within 25 m of any working position; dewatering arrangement working</t>
  </si>
  <si>
    <t xml:space="preserve">Excavation hard-barricaded and lit; inspected after rain and before each shift</t>
  </si>
  <si>
    <t xml:space="preserve">Confined space — gas test done, record maintained, ventilation, standby man and rescue plan in place</t>
  </si>
  <si>
    <t xml:space="preserve">G.  LIFTING &amp; MATERIAL HANDLING</t>
  </si>
  <si>
    <t xml:space="preserve">Crane, hoist and lifting tackle TPI certificates valid and available at site</t>
  </si>
  <si>
    <t xml:space="preserve">Load chart displayed; ground bearing, outriggers and packing verified before lift</t>
  </si>
  <si>
    <t xml:space="preserve">Trained rigger and signalman deployed; standard signals in use; no lifting over people</t>
  </si>
  <si>
    <t xml:space="preserve">Slings, shackles, chains and hooks inspected, colour-coded and free of defect</t>
  </si>
  <si>
    <t xml:space="preserve">Lift plan for critical / tandem lifts approved; area barricaded during lifting</t>
  </si>
  <si>
    <t xml:space="preserve">Material hoist — gates, limit switches, overload trip and cage condition satisfactory</t>
  </si>
  <si>
    <t xml:space="preserve">H.  ELECTRICAL SAFETY</t>
  </si>
  <si>
    <t xml:space="preserve">Supply through ELCB / RCD protected DBs; earthing tested and record maintained</t>
  </si>
  <si>
    <t xml:space="preserve">Cables routed overhead or in trench; no cable lying in water or across walkways</t>
  </si>
  <si>
    <t xml:space="preserve">Industrial plugs and sockets used; no bare wire hooking or joints in cables</t>
  </si>
  <si>
    <t xml:space="preserve">Portable tools double insulated, guarded and inspected; damaged tools removed</t>
  </si>
  <si>
    <t xml:space="preserve">Lock-out tag-out applied for maintenance / energisation; only licensed electrician works on live panels</t>
  </si>
  <si>
    <t xml:space="preserve">Temporary lighting adequate for the shift; emergency lighting available</t>
  </si>
  <si>
    <t xml:space="preserve">I.  FIRE PREVENTION &amp; EMERGENCY</t>
  </si>
  <si>
    <t xml:space="preserve">Extinguishers of correct type, pressure and validity placed at fire-risk locations</t>
  </si>
  <si>
    <t xml:space="preserve">Hot work permit issued; fire watch, fire blanket and screens provided; area cleared of combustibles</t>
  </si>
  <si>
    <t xml:space="preserve">Gas cylinders upright, chained, flashback arrestors fitted, stored separately</t>
  </si>
  <si>
    <t xml:space="preserve">Flammable and chemical storage segregated, ventilated, with MSDS and spill kit</t>
  </si>
  <si>
    <t xml:space="preserve">Emergency mock drill conducted at defined frequency; assembly point and head count system in place</t>
  </si>
  <si>
    <t xml:space="preserve">J.  PLANT, EQUIPMENT &amp; VEHICLES</t>
  </si>
  <si>
    <t xml:space="preserve">Operators licensed and authorised; equipment fitness and insurance valid</t>
  </si>
  <si>
    <t xml:space="preserve">Reverse alarm, horn, lights, mirrors and seat belt functional on all mobile plant</t>
  </si>
  <si>
    <t xml:space="preserve">Guards on rotating parts of machines; batching plant and DG set areas barricaded</t>
  </si>
  <si>
    <t xml:space="preserve">Daily pre-start inspection record maintained; defective plant tagged out of service</t>
  </si>
  <si>
    <t xml:space="preserve">Traffic management plan implemented — speed limit, segregation, flagman at crossings</t>
  </si>
  <si>
    <t xml:space="preserve">K.  ENVIRONMENT &amp; OCCUPATIONAL HEALTH</t>
  </si>
  <si>
    <t xml:space="preserve">Dust suppression by water sprinkling; barricading with screens at demolition and cutting</t>
  </si>
  <si>
    <t xml:space="preserve">Waste segregated; hazardous waste stored and disposed through authorised handler</t>
  </si>
  <si>
    <t xml:space="preserve">Noise and vibration controlled; ear protection in high noise zones</t>
  </si>
  <si>
    <t xml:space="preserve">Silica, welding fume, chemical and heat exposure controlled; shade and hydration provided</t>
  </si>
  <si>
    <t xml:space="preserve">Oil and fuel storage bunded; no discharge of slurry or effluent outside site</t>
  </si>
  <si>
    <t xml:space="preserve">L.  TRAINING, COMMUNICATION &amp; PERFORMANCE</t>
  </si>
  <si>
    <t xml:space="preserve">Daily toolbox talk conducted at every work front with attendance record</t>
  </si>
  <si>
    <t xml:space="preserve">Safety committee meeting held at defined frequency with recorded minutes and actions</t>
  </si>
  <si>
    <t xml:space="preserve">Previous inspection findings closed within target date; open points reviewed</t>
  </si>
  <si>
    <t xml:space="preserve">Incidents, near misses and first aid cases reported, investigated and closed</t>
  </si>
  <si>
    <t xml:space="preserve">Safety awards, penalties and observation cards in operation as per contract HSE terms</t>
  </si>
  <si>
    <t xml:space="preserve">INSPECTION SUMMARY</t>
  </si>
  <si>
    <t xml:space="preserve">Points inspected</t>
  </si>
  <si>
    <t xml:space="preserve">Compliant (Yes)</t>
  </si>
  <si>
    <t xml:space="preserve">Non-compliant (No)</t>
  </si>
  <si>
    <t xml:space="preserve">Not applicable (NA)</t>
  </si>
  <si>
    <t xml:space="preserve">Compliance score</t>
  </si>
  <si>
    <t xml:space="preserve">High-risk findings open</t>
  </si>
  <si>
    <t xml:space="preserve">Overall site safety rating</t>
  </si>
  <si>
    <t xml:space="preserve">Inspected by PMC HSE (SPDC)
Name / Sign / Date</t>
  </si>
  <si>
    <t xml:space="preserve">Acknowledged by Contractor
Name / Sign / Date</t>
  </si>
  <si>
    <t xml:space="preserve">A High risk finding requires action the same day and, where the exposure is immediate, a Stop Work Notice. This checklist is the record of the periodic HSE walkthrough and feeds the monthly HSE report.</t>
  </si>
  <si>
    <t xml:space="preserve">ACTIVITY-SPECIFIC PRE-START
SAFETY CHECKLISTS</t>
  </si>
  <si>
    <t xml:space="preserve">SPDC/HSE/F-03  Rev. 0</t>
  </si>
  <si>
    <t xml:space="preserve">A.  SCAFFOLD ERECTION &amp; HANDOVER</t>
  </si>
  <si>
    <t xml:space="preserve">Scaffold design / standard drawing approved for the height and loading intended</t>
  </si>
  <si>
    <t xml:space="preserve">Erected and inspected by trained erector and competent scaffold inspector</t>
  </si>
  <si>
    <t xml:space="preserve">Firm level base, sole plates, base jacks; no founding on loose spoil or slab edge</t>
  </si>
  <si>
    <t xml:space="preserve">Standards plumb, ledgers level, bracing and ties at specified spacing</t>
  </si>
  <si>
    <t xml:space="preserve">Full deck boards secured, guard rail 1 m, mid rail and 150 mm toe board provided</t>
  </si>
  <si>
    <t xml:space="preserve">Safe access ladder or stair tower provided and secured</t>
  </si>
  <si>
    <t xml:space="preserve">Green tag fixed at access point with date and inspector's signature; red tag while incomplete</t>
  </si>
  <si>
    <t xml:space="preserve">Clearance from live electrical lines maintained; no scaffold used for material support</t>
  </si>
  <si>
    <t xml:space="preserve">B.  EXCAVATION (DEPTH &gt; 1.2 m)</t>
  </si>
  <si>
    <t xml:space="preserve">Underground utility drawing verified; scanning done and services marked / isolated</t>
  </si>
  <si>
    <t xml:space="preserve">Slope, benching or shoring designed and approved for soil type and depth</t>
  </si>
  <si>
    <t xml:space="preserve">Spoil, plant and material kept clear of the edge by at least 1.5 m</t>
  </si>
  <si>
    <t xml:space="preserve">Hard barricading with warning tape, signage and night blinkers on all sides</t>
  </si>
  <si>
    <t xml:space="preserve">Ladder access within 25 m of every working position; dewatering pump available</t>
  </si>
  <si>
    <t xml:space="preserve">Competent person inspection recorded before each shift and after rain</t>
  </si>
  <si>
    <t xml:space="preserve">Gas testing done where the excavation may accumulate gases</t>
  </si>
  <si>
    <t xml:space="preserve">C.  LIFTING OPERATION</t>
  </si>
  <si>
    <t xml:space="preserve">Crane TPI, operator licence, rigger and signalman certificates verified</t>
  </si>
  <si>
    <t xml:space="preserve">Ground assessed for bearing; outriggers fully extended on packing / mats</t>
  </si>
  <si>
    <t xml:space="preserve">Load weight, radius and configuration confirmed against load chart; SWL not exceeded</t>
  </si>
  <si>
    <t xml:space="preserve">Slings, shackles and lifting tackle inspected, colour-coded, correct SWL</t>
  </si>
  <si>
    <t xml:space="preserve">Tag lines provided; lifting area barricaded; no personnel under suspended load</t>
  </si>
  <si>
    <t xml:space="preserve">Lift plan approved for critical, blind or tandem lifts; wind speed within limit</t>
  </si>
  <si>
    <t xml:space="preserve">Communication method between operator and signalman agreed and tested</t>
  </si>
  <si>
    <t xml:space="preserve">D.  HOT WORK / WELDING &amp; GAS CUTTING</t>
  </si>
  <si>
    <t xml:space="preserve">Hot work permit issued for the specific location and duration</t>
  </si>
  <si>
    <t xml:space="preserve">Combustibles removed or protected within 10 m; fire blanket and screens in place</t>
  </si>
  <si>
    <t xml:space="preserve">Fire extinguisher of correct type and a trained fire watch stationed at the work front</t>
  </si>
  <si>
    <t xml:space="preserve">Cylinders upright, chained, with flashback arrestors and non-return valves</t>
  </si>
  <si>
    <t xml:space="preserve">Welding machine earthed, cables free of damage, holder insulated</t>
  </si>
  <si>
    <t xml:space="preserve">Fume extraction or ventilation provided; welder using face shield, apron and gloves</t>
  </si>
  <si>
    <t xml:space="preserve">Post-work fire watch maintained for at least 30 minutes after completion</t>
  </si>
  <si>
    <t xml:space="preserve">E.  WORK AT HEIGHT / FRAGILE ROOF</t>
  </si>
  <si>
    <t xml:space="preserve">Fall protection hierarchy applied — edge protection first, then restraint, then arrest</t>
  </si>
  <si>
    <t xml:space="preserve">Anchor points and horizontal lifeline designed, installed and certified</t>
  </si>
  <si>
    <t xml:space="preserve">Full body harness with double lanyard and shock absorber issued; anchored above shoulder</t>
  </si>
  <si>
    <t xml:space="preserve">Rescue plan prepared, rescue equipment available and rescue team briefed</t>
  </si>
  <si>
    <t xml:space="preserve">Fragile sheeting identified, marked and crawl boards or nets provided</t>
  </si>
  <si>
    <t xml:space="preserve">Area below barricaded; tools tethered; no loose material on the working level</t>
  </si>
  <si>
    <t xml:space="preserve">Height pass and medical fitness verified for every worker on the crew</t>
  </si>
  <si>
    <t xml:space="preserve">F.  ELECTRICAL ENERGISATION / LOTO</t>
  </si>
  <si>
    <t xml:space="preserve">Isolation points identified, opened, locked and tagged by the authorised person</t>
  </si>
  <si>
    <t xml:space="preserve">Absence of voltage verified with a tested instrument at the point of work</t>
  </si>
  <si>
    <t xml:space="preserve">Temporary earthing applied where required; capacitors discharged</t>
  </si>
  <si>
    <t xml:space="preserve">Only the person who applied the lock removes it; multi-lock hasp used for multiple crews</t>
  </si>
  <si>
    <t xml:space="preserve">Insulated tools, mats, gloves and arc-rated clothing provided and in use</t>
  </si>
  <si>
    <t xml:space="preserve">Panel area barricaded, signage displayed and unauthorised access prevented</t>
  </si>
  <si>
    <t xml:space="preserve">Energisation notified in writing to all affected agencies before charging</t>
  </si>
  <si>
    <t xml:space="preserve">G.  CONFINED SPACE ENTRY</t>
  </si>
  <si>
    <t xml:space="preserve">Confined space permit issued; space isolated, drained, purged and ventilated</t>
  </si>
  <si>
    <t xml:space="preserve">Gas test for oxygen, flammable and toxic gases done before entry and repeated periodically</t>
  </si>
  <si>
    <t xml:space="preserve">Entry attendant stationed outside for the entire duration; entry log maintained</t>
  </si>
  <si>
    <t xml:space="preserve">Rescue equipment — tripod, harness, retrieval line, SCBA — available and tested</t>
  </si>
  <si>
    <t xml:space="preserve">Communication method established between entrant and attendant</t>
  </si>
  <si>
    <t xml:space="preserve">Low voltage lighting and non-sparking tools used inside the space</t>
  </si>
  <si>
    <t xml:space="preserve">Use the block matching the activity being offered and enclose it with the Safety Inspection &amp; Clearance Request (SPDC/HSE/F-01). Strike out blocks not applicable. A blank cell invalidates the offer.</t>
  </si>
  <si>
    <t xml:space="preserve">HSE REGISTER  |  SAFETY IRs, INSPECTION FINDINGS &amp; OBSERVATIONS</t>
  </si>
  <si>
    <t xml:space="preserve">Enter data in the shaded columns only. Green columns (N, O) are formula-driven. Row 5 is a sample entry — delete before use.</t>
  </si>
  <si>
    <t xml:space="preserve">Ref. No.</t>
  </si>
  <si>
    <t xml:space="preserve">Date Raised</t>
  </si>
  <si>
    <t xml:space="preserve">Type</t>
  </si>
  <si>
    <t xml:space="preserve">Area / Location</t>
  </si>
  <si>
    <t xml:space="preserve">Activity / Finding</t>
  </si>
  <si>
    <t xml:space="preserve">Risk Rating</t>
  </si>
  <si>
    <t xml:space="preserve">Action Required</t>
  </si>
  <si>
    <t xml:space="preserve">Result / Status Given</t>
  </si>
  <si>
    <t xml:space="preserve">Date Closed</t>
  </si>
  <si>
    <t xml:space="preserve">Days Open</t>
  </si>
  <si>
    <t xml:space="preserve">Remarks</t>
  </si>
  <si>
    <t xml:space="preserve">1</t>
  </si>
  <si>
    <t xml:space="preserve">HSE/IR/012</t>
  </si>
  <si>
    <t xml:space="preserve">Safety IR — Clearance</t>
  </si>
  <si>
    <t xml:space="preserve">Zone 2 / Shed roof</t>
  </si>
  <si>
    <t xml:space="preserve">Purlin fixing at 9 m — work at height clearance sought</t>
  </si>
  <si>
    <t xml:space="preserve">High</t>
  </si>
  <si>
    <t xml:space="preserve">Horizontal lifeline to be certified before start</t>
  </si>
  <si>
    <t xml:space="preserve">Contractor Safety Officer</t>
  </si>
  <si>
    <t xml:space="preserve">S2 — Cleared with conditions</t>
  </si>
  <si>
    <t xml:space="preserve">Lifeline TPI produced</t>
  </si>
  <si>
    <t xml:space="preserve">SUMMARY</t>
  </si>
  <si>
    <t xml:space="preserve">Total entries</t>
  </si>
  <si>
    <t xml:space="preserve">High risk</t>
  </si>
  <si>
    <t xml:space="preserve">Medium risk</t>
  </si>
  <si>
    <t xml:space="preserve">Low risk</t>
  </si>
  <si>
    <t xml:space="preserve">Closed</t>
  </si>
  <si>
    <t xml:space="preserve">Overdue</t>
  </si>
  <si>
    <t xml:space="preserve">Open high-risk items</t>
  </si>
  <si>
    <t xml:space="preserve">Closure rate</t>
  </si>
  <si>
    <t xml:space="preserve">Avg. days to close</t>
  </si>
  <si>
    <t xml:space="preserve">HOW TO USE — SITE SAFETY INSPECTION SYSTEM</t>
  </si>
  <si>
    <t xml:space="preserve">Two different things</t>
  </si>
  <si>
    <t xml:space="preserve">The Safety IR (F-01) is a PRE-START clearance for one high-risk activity — it is raised by the contractor and answered before work begins. The Safety Checklist (F-02) is a PERIODIC walkthrough of the whole site by the PMC — nobody requests it, it happens on a fixed cycle. Do not merge the two.</t>
  </si>
  <si>
    <t xml:space="preserve">When a Safety IR is mandatory</t>
  </si>
  <si>
    <t xml:space="preserve">Excavation deeper than 1.2 m · any work at height above 1.8 m without permanent edge protection · scaffold handover · every crane or tandem lift · hot work · confined space entry · electrical energisation and LOTO · demolition · night work · road closure. Routine ground-level work does not need one.</t>
  </si>
  <si>
    <t xml:space="preserve">Relationship to the Permit to Work</t>
  </si>
  <si>
    <t xml:space="preserve">The PTW authorises the work; the Safety IR records that the PMC physically inspected the work front and found the controls actually in place. A PTW issued without an inspected work front is paperwork, not control. Quote the PTW number on the IR.</t>
  </si>
  <si>
    <t xml:space="preserve">Result codes</t>
  </si>
  <si>
    <t xml:space="preserve">S1 — Cleared: commence.
S2 — Cleared with conditions: commence only after the listed conditions are met; conditions are re-verified at the work front.
S3 — Not cleared: rectify and re-offer under a fresh IR number.
S4 — Stop Work Notice: work already in progress is halted; resumption requires a fresh clearance.</t>
  </si>
  <si>
    <t xml:space="preserve">Clearance is time-bound</t>
  </si>
  <si>
    <t xml:space="preserve">A clearance is valid for the shift or the period stated, not for the activity as a whole. It lapses on any change of scope, method or crew, on adverse weather, on PTW expiry, and on any incident at the work front. Re-offer rather than assume the earlier clearance still runs.</t>
  </si>
  <si>
    <t xml:space="preserve">Walkthrough frequency</t>
  </si>
  <si>
    <t xml:space="preserve">Weekly joint inspection by PMC and contractor as a minimum; monthly with the client HSE representative; additionally after any incident, after monsoon onset, and before any new high-risk activity starts on site.</t>
  </si>
  <si>
    <t xml:space="preserve">Risk rating drives the clock</t>
  </si>
  <si>
    <t xml:space="preserve">High — imminent danger: correct immediately or stop the work; not left open overnight.
Medium — correct within 72 hours.
Low — correct within 7 days. Every finding carries a named person and a target date; an unnamed action is not an action.</t>
  </si>
  <si>
    <t xml:space="preserve">Scoring</t>
  </si>
  <si>
    <t xml:space="preserve">The compliance score is Yes divided by (Yes + No) — NA points are excluded so that a partly relevant checklist is not diluted. 95% and above is Satisfactory, 85 to 95% Needs Improvement, below 85% Unsatisfactory. Any open High-risk finding forces Unsatisfactory regardless of score, which is deliberate.</t>
  </si>
  <si>
    <t xml:space="preserve">Register and reporting</t>
  </si>
  <si>
    <t xml:space="preserve">Every Safety IR, inspection finding, observation, near miss and stop-work notice goes into the HSE Register. It drives the monthly HSE report: closure rate, average days to close, open high-risk count, and trend of compliance score by contractor.</t>
  </si>
  <si>
    <t xml:space="preserve">Legal position</t>
  </si>
  <si>
    <t xml:space="preserve">Nothing in this system transfers the contractor's statutory duty of care to the PMC or the employer. Record findings factually, avoid directing the contractor's means and methods, and keep the signed originals — they are the evidence if an incident is investigated.</t>
  </si>
  <si>
    <t xml:space="preserve">COLOUR LEGEND</t>
  </si>
  <si>
    <t xml:space="preserve">Fill-in cell — enter data here.</t>
  </si>
  <si>
    <t xml:space="preserve">Formula cell — calculated automatically, do not overwrite.</t>
  </si>
  <si>
    <t xml:space="preserve">Field label / column header.</t>
  </si>
  <si>
    <t xml:space="preserve">The check points in F-02 and F-03 reflect general Indian construction practice (BOCW Rules, IS 3696, IS 7969, IS 13416 and common contract HSE conditions). Project HSE plan, client standards and statutory requirements override them — review and align before issuing for use on a specific site.</t>
  </si>
</sst>
</file>

<file path=xl/styles.xml><?xml version="1.0" encoding="utf-8"?>
<styleSheet xmlns="http://schemas.openxmlformats.org/spreadsheetml/2006/main">
  <numFmts count="6">
    <numFmt numFmtId="164" formatCode="General"/>
    <numFmt numFmtId="165" formatCode="dd\-mmm\-yy"/>
    <numFmt numFmtId="166" formatCode="0"/>
    <numFmt numFmtId="167" formatCode="0.0%"/>
    <numFmt numFmtId="168" formatCode="0;\-0;\-"/>
    <numFmt numFmtId="169" formatCode="0.0;\-0.0;\-"/>
  </numFmts>
  <fonts count="20">
    <font>
      <sz val="11"/>
      <color theme="1"/>
      <name val="Calibri"/>
      <family val="2"/>
      <charset val="1"/>
    </font>
    <font>
      <sz val="10"/>
      <name val="Arial"/>
      <family val="0"/>
    </font>
    <font>
      <sz val="10"/>
      <name val="Arial"/>
      <family val="0"/>
    </font>
    <font>
      <sz val="10"/>
      <name val="Arial"/>
      <family val="0"/>
    </font>
    <font>
      <b val="true"/>
      <sz val="9.5"/>
      <color rgb="FF000000"/>
      <name val="Arial"/>
      <family val="0"/>
      <charset val="1"/>
    </font>
    <font>
      <b val="true"/>
      <sz val="12.5"/>
      <color rgb="FF000000"/>
      <name val="Arial"/>
      <family val="0"/>
      <charset val="1"/>
    </font>
    <font>
      <b val="true"/>
      <sz val="8"/>
      <color rgb="FF000000"/>
      <name val="Arial"/>
      <family val="0"/>
      <charset val="1"/>
    </font>
    <font>
      <sz val="8"/>
      <color rgb="FF000000"/>
      <name val="Arial"/>
      <family val="0"/>
      <charset val="1"/>
    </font>
    <font>
      <b val="true"/>
      <sz val="9"/>
      <color rgb="FFFFFFFF"/>
      <name val="Arial"/>
      <family val="0"/>
      <charset val="1"/>
    </font>
    <font>
      <b val="true"/>
      <sz val="8.5"/>
      <color rgb="FF000000"/>
      <name val="Arial"/>
      <family val="0"/>
      <charset val="1"/>
    </font>
    <font>
      <sz val="8.5"/>
      <color rgb="FF000000"/>
      <name val="Arial"/>
      <family val="0"/>
      <charset val="1"/>
    </font>
    <font>
      <i val="true"/>
      <sz val="7.5"/>
      <color rgb="FF000000"/>
      <name val="Arial"/>
      <family val="0"/>
      <charset val="1"/>
    </font>
    <font>
      <b val="true"/>
      <sz val="7"/>
      <color rgb="FF000000"/>
      <name val="Arial"/>
      <family val="0"/>
      <charset val="1"/>
    </font>
    <font>
      <b val="true"/>
      <sz val="12"/>
      <color rgb="FF000000"/>
      <name val="Arial"/>
      <family val="0"/>
      <charset val="1"/>
    </font>
    <font>
      <b val="true"/>
      <sz val="9"/>
      <color rgb="FF000000"/>
      <name val="Arial"/>
      <family val="0"/>
      <charset val="1"/>
    </font>
    <font>
      <b val="true"/>
      <sz val="12"/>
      <color rgb="FFFFFFFF"/>
      <name val="Arial"/>
      <family val="0"/>
      <charset val="1"/>
    </font>
    <font>
      <i val="true"/>
      <sz val="8.5"/>
      <color rgb="FF808080"/>
      <name val="Arial"/>
      <family val="0"/>
      <charset val="1"/>
    </font>
    <font>
      <sz val="8.5"/>
      <name val="Arial"/>
      <family val="0"/>
      <charset val="1"/>
    </font>
    <font>
      <b val="true"/>
      <sz val="10"/>
      <color rgb="FFFFFFFF"/>
      <name val="Arial"/>
      <family val="0"/>
      <charset val="1"/>
    </font>
    <font>
      <i val="true"/>
      <sz val="8"/>
      <color rgb="FF000000"/>
      <name val="Arial"/>
      <family val="0"/>
      <charset val="1"/>
    </font>
  </fonts>
  <fills count="7">
    <fill>
      <patternFill patternType="none"/>
    </fill>
    <fill>
      <patternFill patternType="gray125"/>
    </fill>
    <fill>
      <patternFill patternType="solid">
        <fgColor rgb="FFF2F2F2"/>
        <bgColor rgb="FFE2EFDA"/>
      </patternFill>
    </fill>
    <fill>
      <patternFill patternType="solid">
        <fgColor rgb="FFD9D9D9"/>
        <bgColor rgb="FFE2EFDA"/>
      </patternFill>
    </fill>
    <fill>
      <patternFill patternType="solid">
        <fgColor rgb="FF833C00"/>
        <bgColor rgb="FF993366"/>
      </patternFill>
    </fill>
    <fill>
      <patternFill patternType="solid">
        <fgColor rgb="FFFFF2CC"/>
        <bgColor rgb="FFF2F2F2"/>
      </patternFill>
    </fill>
    <fill>
      <patternFill patternType="solid">
        <fgColor rgb="FFE2EFDA"/>
        <bgColor rgb="FFF2F2F2"/>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10" fillId="5" borderId="1" xfId="0" applyFont="true" applyBorder="true" applyAlignment="true" applyProtection="false">
      <alignment horizontal="center" vertical="center" textRotation="0" wrapText="true" indent="0" shrinkToFit="false"/>
      <protection locked="true" hidden="false"/>
    </xf>
    <xf numFmtId="166" fontId="9" fillId="6" borderId="1" xfId="0" applyFont="true" applyBorder="true" applyAlignment="true" applyProtection="false">
      <alignment horizontal="center" vertical="center" textRotation="0" wrapText="true" indent="0" shrinkToFit="false"/>
      <protection locked="true" hidden="false"/>
    </xf>
    <xf numFmtId="167" fontId="9" fillId="6"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5" fontId="16" fillId="5" borderId="1" xfId="0" applyFont="true" applyBorder="true" applyAlignment="true" applyProtection="false">
      <alignment horizontal="center" vertical="center" textRotation="0" wrapText="true" indent="0" shrinkToFit="false"/>
      <protection locked="true" hidden="false"/>
    </xf>
    <xf numFmtId="168" fontId="17"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5" fontId="17" fillId="5"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9" fontId="9"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D9D9"/>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808080"/>
          <bgColor rgb="FF000000"/>
        </patternFill>
      </fill>
    </dxf>
    <dxf>
      <fill>
        <patternFill patternType="solid">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833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5"/>
    <col collapsed="false" customWidth="true" hidden="false" outlineLevel="0" max="11" min="4" style="0" width="13"/>
    <col collapsed="false" customWidth="true" hidden="false" outlineLevel="0" max="12" min="12" style="0" width="3"/>
  </cols>
  <sheetData>
    <row r="1" customFormat="false" ht="6" hidden="false" customHeight="true" outlineLevel="0" collapsed="false"/>
    <row r="2" customFormat="false" ht="27.75" hidden="false" customHeight="true" outlineLevel="0" collapsed="false">
      <c r="B2" s="1" t="s">
        <v>0</v>
      </c>
      <c r="C2" s="1"/>
      <c r="D2" s="1"/>
      <c r="E2" s="2" t="s">
        <v>1</v>
      </c>
      <c r="F2" s="2"/>
      <c r="G2" s="2"/>
      <c r="H2" s="2"/>
      <c r="I2" s="2"/>
      <c r="J2" s="3" t="s">
        <v>2</v>
      </c>
      <c r="K2" s="3"/>
    </row>
    <row r="3" customFormat="false" ht="27.75" hidden="false" customHeight="true" outlineLevel="0" collapsed="false">
      <c r="B3" s="1"/>
      <c r="C3" s="1"/>
      <c r="D3" s="1"/>
      <c r="E3" s="2"/>
      <c r="F3" s="2"/>
      <c r="G3" s="2"/>
      <c r="H3" s="2"/>
      <c r="I3" s="2"/>
      <c r="J3" s="4" t="s">
        <v>3</v>
      </c>
      <c r="K3" s="4"/>
    </row>
    <row r="5" customFormat="false" ht="15" hidden="false" customHeight="true" outlineLevel="0" collapsed="false">
      <c r="B5" s="5" t="s">
        <v>4</v>
      </c>
      <c r="C5" s="5"/>
      <c r="D5" s="5"/>
      <c r="E5" s="5"/>
      <c r="F5" s="5"/>
      <c r="G5" s="5"/>
      <c r="H5" s="5"/>
      <c r="I5" s="5"/>
      <c r="J5" s="5"/>
      <c r="K5" s="5"/>
    </row>
    <row r="6" customFormat="false" ht="15" hidden="false" customHeight="true" outlineLevel="0" collapsed="false">
      <c r="B6" s="6" t="s">
        <v>5</v>
      </c>
      <c r="C6" s="6"/>
      <c r="D6" s="7"/>
      <c r="E6" s="7"/>
      <c r="F6" s="7"/>
      <c r="G6" s="7"/>
      <c r="H6" s="6" t="s">
        <v>6</v>
      </c>
      <c r="I6" s="6"/>
      <c r="J6" s="7"/>
      <c r="K6" s="7"/>
    </row>
    <row r="7" customFormat="false" ht="15" hidden="false" customHeight="true" outlineLevel="0" collapsed="false">
      <c r="B7" s="6" t="s">
        <v>7</v>
      </c>
      <c r="C7" s="6"/>
      <c r="D7" s="7"/>
      <c r="E7" s="7"/>
      <c r="F7" s="7"/>
      <c r="G7" s="7"/>
      <c r="H7" s="6" t="s">
        <v>8</v>
      </c>
      <c r="I7" s="6"/>
      <c r="J7" s="7"/>
      <c r="K7" s="7"/>
    </row>
    <row r="8" customFormat="false" ht="15" hidden="false" customHeight="true" outlineLevel="0" collapsed="false">
      <c r="B8" s="6" t="s">
        <v>9</v>
      </c>
      <c r="C8" s="6"/>
      <c r="D8" s="7"/>
      <c r="E8" s="7"/>
      <c r="F8" s="7"/>
      <c r="G8" s="7"/>
      <c r="H8" s="6" t="s">
        <v>10</v>
      </c>
      <c r="I8" s="6"/>
      <c r="J8" s="7"/>
      <c r="K8" s="7"/>
    </row>
    <row r="9" customFormat="false" ht="15" hidden="false" customHeight="true" outlineLevel="0" collapsed="false">
      <c r="B9" s="6" t="s">
        <v>11</v>
      </c>
      <c r="C9" s="6"/>
      <c r="D9" s="7" t="s">
        <v>12</v>
      </c>
      <c r="E9" s="7"/>
      <c r="F9" s="7"/>
      <c r="G9" s="7"/>
      <c r="H9" s="6" t="s">
        <v>13</v>
      </c>
      <c r="I9" s="6"/>
      <c r="J9" s="7"/>
      <c r="K9" s="7"/>
    </row>
    <row r="11" customFormat="false" ht="15" hidden="false" customHeight="true" outlineLevel="0" collapsed="false">
      <c r="B11" s="5" t="s">
        <v>14</v>
      </c>
      <c r="C11" s="5"/>
      <c r="D11" s="5"/>
      <c r="E11" s="5"/>
      <c r="F11" s="5"/>
      <c r="G11" s="5"/>
      <c r="H11" s="5"/>
      <c r="I11" s="5"/>
      <c r="J11" s="5"/>
      <c r="K11" s="5"/>
    </row>
    <row r="12" customFormat="false" ht="43.5" hidden="false" customHeight="true" outlineLevel="0" collapsed="false">
      <c r="B12" s="6" t="s">
        <v>15</v>
      </c>
      <c r="C12" s="6"/>
      <c r="D12" s="8" t="s">
        <v>16</v>
      </c>
      <c r="E12" s="8"/>
      <c r="F12" s="8"/>
      <c r="G12" s="8"/>
      <c r="H12" s="8"/>
      <c r="I12" s="8"/>
      <c r="J12" s="8"/>
      <c r="K12" s="8"/>
    </row>
    <row r="13" customFormat="false" ht="25.5" hidden="false" customHeight="true" outlineLevel="0" collapsed="false">
      <c r="B13" s="6" t="s">
        <v>17</v>
      </c>
      <c r="C13" s="6"/>
      <c r="D13" s="7"/>
      <c r="E13" s="7"/>
      <c r="F13" s="7"/>
      <c r="G13" s="7"/>
      <c r="H13" s="7"/>
      <c r="I13" s="7"/>
      <c r="J13" s="7"/>
      <c r="K13" s="7"/>
    </row>
    <row r="14" customFormat="false" ht="21.75" hidden="false" customHeight="true" outlineLevel="0" collapsed="false">
      <c r="B14" s="6" t="s">
        <v>18</v>
      </c>
      <c r="C14" s="6"/>
      <c r="D14" s="7"/>
      <c r="E14" s="7"/>
      <c r="F14" s="7"/>
      <c r="G14" s="7"/>
      <c r="H14" s="7"/>
      <c r="I14" s="7"/>
      <c r="J14" s="7"/>
      <c r="K14" s="7"/>
    </row>
    <row r="15" customFormat="false" ht="15" hidden="false" customHeight="true" outlineLevel="0" collapsed="false">
      <c r="B15" s="6" t="s">
        <v>19</v>
      </c>
      <c r="C15" s="6"/>
      <c r="D15" s="9" t="s">
        <v>20</v>
      </c>
      <c r="E15" s="9"/>
      <c r="F15" s="9"/>
      <c r="G15" s="9"/>
      <c r="H15" s="6" t="s">
        <v>21</v>
      </c>
      <c r="I15" s="6"/>
      <c r="J15" s="7"/>
      <c r="K15" s="7"/>
    </row>
    <row r="16" customFormat="false" ht="15" hidden="false" customHeight="true" outlineLevel="0" collapsed="false">
      <c r="B16" s="6" t="s">
        <v>22</v>
      </c>
      <c r="C16" s="6"/>
      <c r="D16" s="7"/>
      <c r="E16" s="7"/>
      <c r="F16" s="7"/>
      <c r="G16" s="7"/>
      <c r="H16" s="6" t="s">
        <v>23</v>
      </c>
      <c r="I16" s="6"/>
      <c r="J16" s="7"/>
      <c r="K16" s="7"/>
    </row>
    <row r="17" customFormat="false" ht="15" hidden="false" customHeight="true" outlineLevel="0" collapsed="false">
      <c r="B17" s="6" t="s">
        <v>24</v>
      </c>
      <c r="C17" s="6"/>
      <c r="D17" s="7"/>
      <c r="E17" s="7"/>
      <c r="F17" s="7"/>
      <c r="G17" s="7"/>
      <c r="H17" s="6" t="s">
        <v>25</v>
      </c>
      <c r="I17" s="6"/>
      <c r="J17" s="7"/>
      <c r="K17" s="7"/>
    </row>
    <row r="18" customFormat="false" ht="15" hidden="false" customHeight="true" outlineLevel="0" collapsed="false">
      <c r="B18" s="6" t="s">
        <v>26</v>
      </c>
      <c r="C18" s="6"/>
      <c r="D18" s="9" t="s">
        <v>27</v>
      </c>
      <c r="E18" s="9"/>
      <c r="F18" s="9"/>
      <c r="G18" s="9"/>
      <c r="H18" s="6" t="s">
        <v>28</v>
      </c>
      <c r="I18" s="6"/>
      <c r="J18" s="7"/>
      <c r="K18" s="7"/>
    </row>
    <row r="19" customFormat="false" ht="21.75" hidden="false" customHeight="true" outlineLevel="0" collapsed="false">
      <c r="B19" s="6" t="s">
        <v>29</v>
      </c>
      <c r="C19" s="6"/>
      <c r="D19" s="7"/>
      <c r="E19" s="7"/>
      <c r="F19" s="7"/>
      <c r="G19" s="7"/>
      <c r="H19" s="7"/>
      <c r="I19" s="7"/>
      <c r="J19" s="7"/>
      <c r="K19" s="7"/>
    </row>
    <row r="20" customFormat="false" ht="21.75" hidden="false" customHeight="true" outlineLevel="0" collapsed="false">
      <c r="B20" s="6" t="s">
        <v>30</v>
      </c>
      <c r="C20" s="6"/>
      <c r="D20" s="7"/>
      <c r="E20" s="7"/>
      <c r="F20" s="7"/>
      <c r="G20" s="7"/>
      <c r="H20" s="7"/>
      <c r="I20" s="7"/>
      <c r="J20" s="7"/>
      <c r="K20" s="7"/>
    </row>
    <row r="21" customFormat="false" ht="15" hidden="false" customHeight="true" outlineLevel="0" collapsed="false">
      <c r="B21" s="6" t="s">
        <v>31</v>
      </c>
      <c r="C21" s="6"/>
      <c r="D21" s="9" t="s">
        <v>32</v>
      </c>
      <c r="E21" s="9"/>
      <c r="F21" s="9"/>
      <c r="G21" s="9"/>
      <c r="H21" s="6" t="s">
        <v>33</v>
      </c>
      <c r="I21" s="6"/>
      <c r="J21" s="7"/>
      <c r="K21" s="7"/>
    </row>
    <row r="22" customFormat="false" ht="12.75" hidden="false" customHeight="true" outlineLevel="0" collapsed="false">
      <c r="B22" s="10" t="s">
        <v>34</v>
      </c>
      <c r="C22" s="10"/>
      <c r="D22" s="10"/>
      <c r="E22" s="10"/>
      <c r="F22" s="10"/>
      <c r="G22" s="10"/>
      <c r="H22" s="10"/>
      <c r="I22" s="10"/>
      <c r="J22" s="10"/>
      <c r="K22" s="10"/>
    </row>
    <row r="24" customFormat="false" ht="15" hidden="false" customHeight="true" outlineLevel="0" collapsed="false">
      <c r="B24" s="5" t="s">
        <v>35</v>
      </c>
      <c r="C24" s="5"/>
      <c r="D24" s="5"/>
      <c r="E24" s="5"/>
      <c r="F24" s="5"/>
      <c r="G24" s="5"/>
      <c r="H24" s="5"/>
      <c r="I24" s="5"/>
      <c r="J24" s="5"/>
      <c r="K24" s="5"/>
    </row>
    <row r="25" customFormat="false" ht="15" hidden="false" customHeight="true" outlineLevel="0" collapsed="false">
      <c r="B25" s="11" t="s">
        <v>36</v>
      </c>
      <c r="C25" s="11"/>
      <c r="D25" s="8" t="s">
        <v>37</v>
      </c>
      <c r="E25" s="8"/>
      <c r="F25" s="8"/>
      <c r="G25" s="8"/>
      <c r="H25" s="8"/>
      <c r="I25" s="8"/>
      <c r="J25" s="8"/>
      <c r="K25" s="8"/>
    </row>
    <row r="26" customFormat="false" ht="15" hidden="false" customHeight="true" outlineLevel="0" collapsed="false">
      <c r="B26" s="12"/>
      <c r="C26" s="12"/>
      <c r="D26" s="8" t="s">
        <v>38</v>
      </c>
      <c r="E26" s="8"/>
      <c r="F26" s="8"/>
      <c r="G26" s="8"/>
      <c r="H26" s="8"/>
      <c r="I26" s="8"/>
      <c r="J26" s="8"/>
      <c r="K26" s="8"/>
    </row>
    <row r="27" customFormat="false" ht="15" hidden="false" customHeight="true" outlineLevel="0" collapsed="false">
      <c r="B27" s="12"/>
      <c r="C27" s="12"/>
      <c r="D27" s="8" t="s">
        <v>39</v>
      </c>
      <c r="E27" s="8"/>
      <c r="F27" s="8"/>
      <c r="G27" s="8"/>
      <c r="H27" s="8"/>
      <c r="I27" s="8"/>
      <c r="J27" s="8"/>
      <c r="K27" s="8"/>
    </row>
    <row r="28" customFormat="false" ht="15" hidden="false" customHeight="true" outlineLevel="0" collapsed="false">
      <c r="B28" s="12"/>
      <c r="C28" s="12"/>
      <c r="D28" s="8" t="s">
        <v>40</v>
      </c>
      <c r="E28" s="8"/>
      <c r="F28" s="8"/>
      <c r="G28" s="8"/>
      <c r="H28" s="8"/>
      <c r="I28" s="8"/>
      <c r="J28" s="8"/>
      <c r="K28" s="8"/>
    </row>
    <row r="29" customFormat="false" ht="15" hidden="false" customHeight="true" outlineLevel="0" collapsed="false">
      <c r="B29" s="12"/>
      <c r="C29" s="12"/>
      <c r="D29" s="8" t="s">
        <v>41</v>
      </c>
      <c r="E29" s="8"/>
      <c r="F29" s="8"/>
      <c r="G29" s="8"/>
      <c r="H29" s="8"/>
      <c r="I29" s="8"/>
      <c r="J29" s="8"/>
      <c r="K29" s="8"/>
    </row>
    <row r="30" customFormat="false" ht="15" hidden="false" customHeight="true" outlineLevel="0" collapsed="false">
      <c r="B30" s="12"/>
      <c r="C30" s="12"/>
      <c r="D30" s="8" t="s">
        <v>42</v>
      </c>
      <c r="E30" s="8"/>
      <c r="F30" s="8"/>
      <c r="G30" s="8"/>
      <c r="H30" s="8"/>
      <c r="I30" s="8"/>
      <c r="J30" s="8"/>
      <c r="K30" s="8"/>
    </row>
    <row r="31" customFormat="false" ht="15" hidden="false" customHeight="true" outlineLevel="0" collapsed="false">
      <c r="B31" s="12"/>
      <c r="C31" s="12"/>
      <c r="D31" s="8" t="s">
        <v>43</v>
      </c>
      <c r="E31" s="8"/>
      <c r="F31" s="8"/>
      <c r="G31" s="8"/>
      <c r="H31" s="8"/>
      <c r="I31" s="8"/>
      <c r="J31" s="8"/>
      <c r="K31" s="8"/>
    </row>
    <row r="32" customFormat="false" ht="15" hidden="false" customHeight="true" outlineLevel="0" collapsed="false">
      <c r="B32" s="12"/>
      <c r="C32" s="12"/>
      <c r="D32" s="8" t="s">
        <v>44</v>
      </c>
      <c r="E32" s="8"/>
      <c r="F32" s="8"/>
      <c r="G32" s="8"/>
      <c r="H32" s="8"/>
      <c r="I32" s="8"/>
      <c r="J32" s="8"/>
      <c r="K32" s="8"/>
    </row>
    <row r="33" customFormat="false" ht="24" hidden="false" customHeight="true" outlineLevel="0" collapsed="false">
      <c r="B33" s="6" t="s">
        <v>45</v>
      </c>
      <c r="C33" s="6"/>
      <c r="D33" s="8" t="s">
        <v>46</v>
      </c>
      <c r="E33" s="8"/>
      <c r="F33" s="8"/>
      <c r="G33" s="8"/>
      <c r="H33" s="8"/>
      <c r="I33" s="8"/>
      <c r="J33" s="8"/>
      <c r="K33" s="8"/>
    </row>
    <row r="34" customFormat="false" ht="31.5" hidden="false" customHeight="true" outlineLevel="0" collapsed="false">
      <c r="B34" s="3" t="s">
        <v>47</v>
      </c>
      <c r="C34" s="3"/>
      <c r="D34" s="9" t="s">
        <v>48</v>
      </c>
      <c r="E34" s="9"/>
      <c r="F34" s="9"/>
      <c r="G34" s="9"/>
      <c r="H34" s="3" t="s">
        <v>49</v>
      </c>
      <c r="I34" s="3"/>
      <c r="J34" s="9" t="s">
        <v>48</v>
      </c>
      <c r="K34" s="9"/>
    </row>
    <row r="36" customFormat="false" ht="15" hidden="false" customHeight="true" outlineLevel="0" collapsed="false">
      <c r="B36" s="5" t="s">
        <v>50</v>
      </c>
      <c r="C36" s="5"/>
      <c r="D36" s="5"/>
      <c r="E36" s="5"/>
      <c r="F36" s="5"/>
      <c r="G36" s="5"/>
      <c r="H36" s="5"/>
      <c r="I36" s="5"/>
      <c r="J36" s="5"/>
      <c r="K36" s="5"/>
    </row>
    <row r="37" customFormat="false" ht="15" hidden="false" customHeight="true" outlineLevel="0" collapsed="false">
      <c r="B37" s="6" t="s">
        <v>51</v>
      </c>
      <c r="C37" s="6"/>
      <c r="D37" s="13" t="s">
        <v>52</v>
      </c>
      <c r="E37" s="13"/>
      <c r="F37" s="7"/>
      <c r="G37" s="7"/>
      <c r="H37" s="13" t="s">
        <v>53</v>
      </c>
      <c r="I37" s="13"/>
      <c r="J37" s="7"/>
      <c r="K37" s="7"/>
    </row>
    <row r="38" customFormat="false" ht="30" hidden="false" customHeight="true" outlineLevel="0" collapsed="false">
      <c r="B38" s="6" t="s">
        <v>54</v>
      </c>
      <c r="C38" s="6"/>
      <c r="D38" s="14" t="s">
        <v>55</v>
      </c>
      <c r="E38" s="14"/>
      <c r="F38" s="14"/>
      <c r="G38" s="14"/>
      <c r="H38" s="14"/>
      <c r="I38" s="14"/>
      <c r="J38" s="14"/>
      <c r="K38" s="14"/>
    </row>
    <row r="39" customFormat="false" ht="15" hidden="false" customHeight="true" outlineLevel="0" collapsed="false">
      <c r="B39" s="6" t="s">
        <v>56</v>
      </c>
      <c r="C39" s="6"/>
      <c r="D39" s="7"/>
      <c r="E39" s="7"/>
      <c r="F39" s="7"/>
      <c r="G39" s="7"/>
      <c r="H39" s="6" t="s">
        <v>57</v>
      </c>
      <c r="I39" s="6"/>
      <c r="J39" s="7"/>
      <c r="K39" s="7"/>
    </row>
    <row r="40" customFormat="false" ht="15" hidden="false" customHeight="true" outlineLevel="0" collapsed="false">
      <c r="B40" s="15" t="s">
        <v>58</v>
      </c>
      <c r="C40" s="15"/>
      <c r="D40" s="15"/>
      <c r="E40" s="15"/>
      <c r="F40" s="15"/>
      <c r="G40" s="15"/>
      <c r="H40" s="15"/>
      <c r="I40" s="15"/>
      <c r="J40" s="15"/>
      <c r="K40" s="15"/>
    </row>
    <row r="41" customFormat="false" ht="15" hidden="false" customHeight="true" outlineLevel="0" collapsed="false">
      <c r="B41" s="7"/>
      <c r="C41" s="7"/>
      <c r="D41" s="7"/>
      <c r="E41" s="7"/>
      <c r="F41" s="7"/>
      <c r="G41" s="7"/>
      <c r="H41" s="7"/>
      <c r="I41" s="7"/>
      <c r="J41" s="7"/>
      <c r="K41" s="7"/>
    </row>
    <row r="42" customFormat="false" ht="15" hidden="false" customHeight="true" outlineLevel="0" collapsed="false">
      <c r="B42" s="7"/>
      <c r="C42" s="7"/>
      <c r="D42" s="7"/>
      <c r="E42" s="7"/>
      <c r="F42" s="7"/>
      <c r="G42" s="7"/>
      <c r="H42" s="7"/>
      <c r="I42" s="7"/>
      <c r="J42" s="7"/>
      <c r="K42" s="7"/>
    </row>
    <row r="43" customFormat="false" ht="15" hidden="false" customHeight="true" outlineLevel="0" collapsed="false">
      <c r="B43" s="7"/>
      <c r="C43" s="7"/>
      <c r="D43" s="7"/>
      <c r="E43" s="7"/>
      <c r="F43" s="7"/>
      <c r="G43" s="7"/>
      <c r="H43" s="7"/>
      <c r="I43" s="7"/>
      <c r="J43" s="7"/>
      <c r="K43" s="7"/>
    </row>
    <row r="44" customFormat="false" ht="15" hidden="false" customHeight="true" outlineLevel="0" collapsed="false">
      <c r="B44" s="7"/>
      <c r="C44" s="7"/>
      <c r="D44" s="7"/>
      <c r="E44" s="7"/>
      <c r="F44" s="7"/>
      <c r="G44" s="7"/>
      <c r="H44" s="7"/>
      <c r="I44" s="7"/>
      <c r="J44" s="7"/>
      <c r="K44" s="7"/>
    </row>
    <row r="45" customFormat="false" ht="15" hidden="false" customHeight="true" outlineLevel="0" collapsed="false">
      <c r="B45" s="7"/>
      <c r="C45" s="7"/>
      <c r="D45" s="7"/>
      <c r="E45" s="7"/>
      <c r="F45" s="7"/>
      <c r="G45" s="7"/>
      <c r="H45" s="7"/>
      <c r="I45" s="7"/>
      <c r="J45" s="7"/>
      <c r="K45" s="7"/>
    </row>
    <row r="46" customFormat="false" ht="21.75" hidden="false" customHeight="true" outlineLevel="0" collapsed="false">
      <c r="B46" s="6" t="s">
        <v>59</v>
      </c>
      <c r="C46" s="6"/>
      <c r="D46" s="16" t="s">
        <v>60</v>
      </c>
      <c r="E46" s="16"/>
      <c r="F46" s="16"/>
      <c r="G46" s="16"/>
      <c r="H46" s="16"/>
      <c r="I46" s="16"/>
      <c r="J46" s="16"/>
      <c r="K46" s="16"/>
    </row>
    <row r="47" customFormat="false" ht="33.75" hidden="false" customHeight="true" outlineLevel="0" collapsed="false">
      <c r="B47" s="3" t="s">
        <v>61</v>
      </c>
      <c r="C47" s="3"/>
      <c r="D47" s="9" t="s">
        <v>48</v>
      </c>
      <c r="E47" s="9"/>
      <c r="F47" s="3" t="s">
        <v>62</v>
      </c>
      <c r="G47" s="3"/>
      <c r="H47" s="9" t="s">
        <v>48</v>
      </c>
      <c r="I47" s="9"/>
      <c r="J47" s="9" t="s">
        <v>63</v>
      </c>
      <c r="K47" s="9"/>
    </row>
    <row r="49" customFormat="false" ht="15" hidden="false" customHeight="true" outlineLevel="0" collapsed="false">
      <c r="B49" s="5" t="s">
        <v>64</v>
      </c>
      <c r="C49" s="5"/>
      <c r="D49" s="5"/>
      <c r="E49" s="5"/>
      <c r="F49" s="5"/>
      <c r="G49" s="5"/>
      <c r="H49" s="5"/>
      <c r="I49" s="5"/>
      <c r="J49" s="5"/>
      <c r="K49" s="5"/>
    </row>
    <row r="50" customFormat="false" ht="24" hidden="false" customHeight="true" outlineLevel="0" collapsed="false">
      <c r="B50" s="6" t="s">
        <v>65</v>
      </c>
      <c r="C50" s="6"/>
      <c r="D50" s="7"/>
      <c r="E50" s="7"/>
      <c r="F50" s="7"/>
      <c r="G50" s="7"/>
      <c r="H50" s="7"/>
      <c r="I50" s="7"/>
      <c r="J50" s="7"/>
      <c r="K50" s="7"/>
    </row>
    <row r="51" customFormat="false" ht="24" hidden="false" customHeight="true" outlineLevel="0" collapsed="false">
      <c r="B51" s="6" t="s">
        <v>66</v>
      </c>
      <c r="C51" s="6"/>
      <c r="D51" s="9" t="s">
        <v>67</v>
      </c>
      <c r="E51" s="9"/>
      <c r="F51" s="9"/>
      <c r="G51" s="9"/>
      <c r="H51" s="6" t="s">
        <v>68</v>
      </c>
      <c r="I51" s="6"/>
      <c r="J51" s="7"/>
      <c r="K51" s="7"/>
    </row>
    <row r="53" customFormat="false" ht="25.5" hidden="false" customHeight="true" outlineLevel="0" collapsed="false">
      <c r="B53" s="16" t="s">
        <v>69</v>
      </c>
      <c r="C53" s="16"/>
      <c r="D53" s="16"/>
      <c r="E53" s="16"/>
      <c r="F53" s="16"/>
      <c r="G53" s="16"/>
      <c r="H53" s="16"/>
      <c r="I53" s="16"/>
      <c r="J53" s="16"/>
      <c r="K53" s="16"/>
    </row>
  </sheetData>
  <mergeCells count="109">
    <mergeCell ref="B2:D3"/>
    <mergeCell ref="E2:I3"/>
    <mergeCell ref="J2:K2"/>
    <mergeCell ref="J3:K3"/>
    <mergeCell ref="B5:K5"/>
    <mergeCell ref="B6:C6"/>
    <mergeCell ref="D6:G6"/>
    <mergeCell ref="H6:I6"/>
    <mergeCell ref="J6:K6"/>
    <mergeCell ref="B7:C7"/>
    <mergeCell ref="D7:G7"/>
    <mergeCell ref="H7:I7"/>
    <mergeCell ref="J7:K7"/>
    <mergeCell ref="B8:C8"/>
    <mergeCell ref="D8:G8"/>
    <mergeCell ref="H8:I8"/>
    <mergeCell ref="J8:K8"/>
    <mergeCell ref="B9:C9"/>
    <mergeCell ref="D9:G9"/>
    <mergeCell ref="H9:I9"/>
    <mergeCell ref="J9:K9"/>
    <mergeCell ref="B11:K11"/>
    <mergeCell ref="B12:C12"/>
    <mergeCell ref="D12:K12"/>
    <mergeCell ref="B13:C13"/>
    <mergeCell ref="D13:K13"/>
    <mergeCell ref="B14:C14"/>
    <mergeCell ref="D14:K14"/>
    <mergeCell ref="B15:C15"/>
    <mergeCell ref="D15:G15"/>
    <mergeCell ref="H15:I15"/>
    <mergeCell ref="J15:K15"/>
    <mergeCell ref="B16:C16"/>
    <mergeCell ref="D16:G16"/>
    <mergeCell ref="H16:I16"/>
    <mergeCell ref="J16:K16"/>
    <mergeCell ref="B17:C17"/>
    <mergeCell ref="D17:G17"/>
    <mergeCell ref="H17:I17"/>
    <mergeCell ref="J17:K17"/>
    <mergeCell ref="B18:C18"/>
    <mergeCell ref="D18:G18"/>
    <mergeCell ref="H18:I18"/>
    <mergeCell ref="J18:K18"/>
    <mergeCell ref="B19:C19"/>
    <mergeCell ref="D19:K19"/>
    <mergeCell ref="B20:C20"/>
    <mergeCell ref="D20:K20"/>
    <mergeCell ref="B21:C21"/>
    <mergeCell ref="D21:G21"/>
    <mergeCell ref="H21:I21"/>
    <mergeCell ref="J21:K21"/>
    <mergeCell ref="B22:K22"/>
    <mergeCell ref="B24:K24"/>
    <mergeCell ref="B25:C25"/>
    <mergeCell ref="D25:K25"/>
    <mergeCell ref="B26:C26"/>
    <mergeCell ref="D26:K26"/>
    <mergeCell ref="B27:C27"/>
    <mergeCell ref="D27:K27"/>
    <mergeCell ref="B28:C28"/>
    <mergeCell ref="D28:K28"/>
    <mergeCell ref="B29:C29"/>
    <mergeCell ref="D29:K29"/>
    <mergeCell ref="B30:C30"/>
    <mergeCell ref="D30:K30"/>
    <mergeCell ref="B31:C31"/>
    <mergeCell ref="D31:K31"/>
    <mergeCell ref="B32:C32"/>
    <mergeCell ref="D32:K32"/>
    <mergeCell ref="B33:C33"/>
    <mergeCell ref="D33:K33"/>
    <mergeCell ref="B34:C34"/>
    <mergeCell ref="D34:G34"/>
    <mergeCell ref="H34:I34"/>
    <mergeCell ref="J34:K34"/>
    <mergeCell ref="B36:K36"/>
    <mergeCell ref="B37:C37"/>
    <mergeCell ref="D37:E37"/>
    <mergeCell ref="F37:G37"/>
    <mergeCell ref="H37:I37"/>
    <mergeCell ref="J37:K37"/>
    <mergeCell ref="B38:C38"/>
    <mergeCell ref="D38:K38"/>
    <mergeCell ref="B39:C39"/>
    <mergeCell ref="D39:G39"/>
    <mergeCell ref="H39:I39"/>
    <mergeCell ref="J39:K39"/>
    <mergeCell ref="B40:K40"/>
    <mergeCell ref="B41:K41"/>
    <mergeCell ref="B42:K42"/>
    <mergeCell ref="B43:K43"/>
    <mergeCell ref="B44:K44"/>
    <mergeCell ref="B45:K45"/>
    <mergeCell ref="B46:C46"/>
    <mergeCell ref="D46:K46"/>
    <mergeCell ref="B47:C47"/>
    <mergeCell ref="D47:E47"/>
    <mergeCell ref="F47:G47"/>
    <mergeCell ref="H47:I47"/>
    <mergeCell ref="J47:K47"/>
    <mergeCell ref="B49:K49"/>
    <mergeCell ref="B50:C50"/>
    <mergeCell ref="D50:K50"/>
    <mergeCell ref="B51:C51"/>
    <mergeCell ref="D51:G51"/>
    <mergeCell ref="H51:I51"/>
    <mergeCell ref="J51:K51"/>
    <mergeCell ref="B53:K53"/>
  </mergeCells>
  <printOptions headings="false" gridLines="false" gridLinesSet="true" horizontalCentered="false" verticalCentered="false"/>
  <pageMargins left="0.4" right="0.4" top="0.4" bottom="0.4"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62"/>
    <col collapsed="false" customWidth="true" hidden="false" outlineLevel="0" max="4" min="4" style="0" width="9"/>
    <col collapsed="false" customWidth="true" hidden="false" outlineLevel="0" max="5" min="5" style="0" width="11"/>
    <col collapsed="false" customWidth="true" hidden="false" outlineLevel="0" max="6" min="6" style="0" width="26"/>
    <col collapsed="false" customWidth="true" hidden="false" outlineLevel="0" max="7" min="7" style="0" width="16"/>
    <col collapsed="false" customWidth="true" hidden="false" outlineLevel="0" max="8" min="8" style="0" width="12"/>
  </cols>
  <sheetData>
    <row r="1" customFormat="false" ht="6" hidden="false" customHeight="true" outlineLevel="0" collapsed="false"/>
    <row r="2" customFormat="false" ht="25.5" hidden="false" customHeight="true" outlineLevel="0" collapsed="false">
      <c r="B2" s="1" t="s">
        <v>0</v>
      </c>
      <c r="C2" s="1"/>
      <c r="D2" s="17" t="s">
        <v>70</v>
      </c>
      <c r="E2" s="17"/>
      <c r="F2" s="17"/>
      <c r="G2" s="3" t="s">
        <v>2</v>
      </c>
      <c r="H2" s="3"/>
    </row>
    <row r="3" customFormat="false" ht="25.5" hidden="false" customHeight="true" outlineLevel="0" collapsed="false">
      <c r="B3" s="1"/>
      <c r="C3" s="1"/>
      <c r="D3" s="17"/>
      <c r="E3" s="17"/>
      <c r="F3" s="17"/>
      <c r="G3" s="4" t="s">
        <v>71</v>
      </c>
      <c r="H3" s="4"/>
    </row>
    <row r="5" customFormat="false" ht="15" hidden="false" customHeight="true" outlineLevel="0" collapsed="false">
      <c r="B5" s="6" t="s">
        <v>72</v>
      </c>
      <c r="C5" s="6"/>
      <c r="D5" s="7"/>
      <c r="E5" s="7"/>
      <c r="F5" s="6" t="s">
        <v>73</v>
      </c>
      <c r="G5" s="7"/>
      <c r="H5" s="7"/>
    </row>
    <row r="6" customFormat="false" ht="15" hidden="false" customHeight="true" outlineLevel="0" collapsed="false">
      <c r="B6" s="6" t="s">
        <v>9</v>
      </c>
      <c r="C6" s="6"/>
      <c r="D6" s="7"/>
      <c r="E6" s="7"/>
      <c r="F6" s="6" t="s">
        <v>74</v>
      </c>
      <c r="G6" s="7"/>
      <c r="H6" s="7"/>
    </row>
    <row r="7" customFormat="false" ht="15" hidden="false" customHeight="true" outlineLevel="0" collapsed="false">
      <c r="B7" s="6" t="s">
        <v>75</v>
      </c>
      <c r="C7" s="6"/>
      <c r="D7" s="7"/>
      <c r="E7" s="7"/>
      <c r="F7" s="6" t="s">
        <v>76</v>
      </c>
      <c r="G7" s="7"/>
      <c r="H7" s="7"/>
    </row>
    <row r="8" customFormat="false" ht="15" hidden="false" customHeight="true" outlineLevel="0" collapsed="false">
      <c r="B8" s="6" t="s">
        <v>77</v>
      </c>
      <c r="C8" s="6"/>
      <c r="D8" s="7"/>
      <c r="E8" s="7"/>
      <c r="F8" s="6" t="s">
        <v>78</v>
      </c>
      <c r="G8" s="7"/>
      <c r="H8" s="7"/>
    </row>
    <row r="10" customFormat="false" ht="27.75" hidden="false" customHeight="true" outlineLevel="0" collapsed="false">
      <c r="B10" s="15" t="s">
        <v>79</v>
      </c>
      <c r="C10" s="15" t="s">
        <v>80</v>
      </c>
      <c r="D10" s="15" t="s">
        <v>81</v>
      </c>
      <c r="E10" s="15" t="s">
        <v>82</v>
      </c>
      <c r="F10" s="15" t="s">
        <v>83</v>
      </c>
      <c r="G10" s="15" t="s">
        <v>84</v>
      </c>
      <c r="H10" s="15" t="s">
        <v>85</v>
      </c>
    </row>
    <row r="11" customFormat="false" ht="15.75" hidden="false" customHeight="true" outlineLevel="0" collapsed="false">
      <c r="B11" s="18" t="s">
        <v>86</v>
      </c>
      <c r="C11" s="18"/>
      <c r="D11" s="18"/>
      <c r="E11" s="18"/>
      <c r="F11" s="18"/>
      <c r="G11" s="18"/>
      <c r="H11" s="18"/>
    </row>
    <row r="12" customFormat="false" ht="15" hidden="false" customHeight="true" outlineLevel="0" collapsed="false">
      <c r="B12" s="19" t="n">
        <v>1</v>
      </c>
      <c r="C12" s="20" t="s">
        <v>87</v>
      </c>
      <c r="D12" s="12"/>
      <c r="E12" s="12"/>
      <c r="F12" s="7"/>
      <c r="G12" s="7"/>
      <c r="H12" s="21"/>
    </row>
    <row r="13" customFormat="false" ht="15" hidden="false" customHeight="true" outlineLevel="0" collapsed="false">
      <c r="B13" s="19" t="n">
        <v>2</v>
      </c>
      <c r="C13" s="20" t="s">
        <v>88</v>
      </c>
      <c r="D13" s="12"/>
      <c r="E13" s="12"/>
      <c r="F13" s="7"/>
      <c r="G13" s="7"/>
      <c r="H13" s="21"/>
    </row>
    <row r="14" customFormat="false" ht="15" hidden="false" customHeight="true" outlineLevel="0" collapsed="false">
      <c r="B14" s="19" t="n">
        <v>3</v>
      </c>
      <c r="C14" s="20" t="s">
        <v>89</v>
      </c>
      <c r="D14" s="12"/>
      <c r="E14" s="12"/>
      <c r="F14" s="7"/>
      <c r="G14" s="7"/>
      <c r="H14" s="21"/>
    </row>
    <row r="15" customFormat="false" ht="15" hidden="false" customHeight="true" outlineLevel="0" collapsed="false">
      <c r="B15" s="19" t="n">
        <v>4</v>
      </c>
      <c r="C15" s="20" t="s">
        <v>90</v>
      </c>
      <c r="D15" s="12"/>
      <c r="E15" s="12"/>
      <c r="F15" s="7"/>
      <c r="G15" s="7"/>
      <c r="H15" s="21"/>
    </row>
    <row r="16" customFormat="false" ht="15" hidden="false" customHeight="true" outlineLevel="0" collapsed="false">
      <c r="B16" s="19" t="n">
        <v>5</v>
      </c>
      <c r="C16" s="20" t="s">
        <v>91</v>
      </c>
      <c r="D16" s="12"/>
      <c r="E16" s="12"/>
      <c r="F16" s="7"/>
      <c r="G16" s="7"/>
      <c r="H16" s="21"/>
    </row>
    <row r="17" customFormat="false" ht="15" hidden="false" customHeight="true" outlineLevel="0" collapsed="false">
      <c r="B17" s="19" t="n">
        <v>6</v>
      </c>
      <c r="C17" s="20" t="s">
        <v>92</v>
      </c>
      <c r="D17" s="12"/>
      <c r="E17" s="12"/>
      <c r="F17" s="7"/>
      <c r="G17" s="7"/>
      <c r="H17" s="21"/>
    </row>
    <row r="18" customFormat="false" ht="15.75" hidden="false" customHeight="true" outlineLevel="0" collapsed="false">
      <c r="B18" s="18" t="s">
        <v>93</v>
      </c>
      <c r="C18" s="18"/>
      <c r="D18" s="18"/>
      <c r="E18" s="18"/>
      <c r="F18" s="18"/>
      <c r="G18" s="18"/>
      <c r="H18" s="18"/>
    </row>
    <row r="19" customFormat="false" ht="15" hidden="false" customHeight="true" outlineLevel="0" collapsed="false">
      <c r="B19" s="19" t="n">
        <v>1</v>
      </c>
      <c r="C19" s="20" t="s">
        <v>94</v>
      </c>
      <c r="D19" s="12"/>
      <c r="E19" s="12"/>
      <c r="F19" s="7"/>
      <c r="G19" s="7"/>
      <c r="H19" s="21"/>
    </row>
    <row r="20" customFormat="false" ht="15" hidden="false" customHeight="true" outlineLevel="0" collapsed="false">
      <c r="B20" s="19" t="n">
        <v>2</v>
      </c>
      <c r="C20" s="20" t="s">
        <v>95</v>
      </c>
      <c r="D20" s="12"/>
      <c r="E20" s="12"/>
      <c r="F20" s="7"/>
      <c r="G20" s="7"/>
      <c r="H20" s="21"/>
    </row>
    <row r="21" customFormat="false" ht="15" hidden="false" customHeight="true" outlineLevel="0" collapsed="false">
      <c r="B21" s="19" t="n">
        <v>3</v>
      </c>
      <c r="C21" s="20" t="s">
        <v>96</v>
      </c>
      <c r="D21" s="12"/>
      <c r="E21" s="12"/>
      <c r="F21" s="7"/>
      <c r="G21" s="7"/>
      <c r="H21" s="21"/>
    </row>
    <row r="22" customFormat="false" ht="15" hidden="false" customHeight="true" outlineLevel="0" collapsed="false">
      <c r="B22" s="19" t="n">
        <v>4</v>
      </c>
      <c r="C22" s="20" t="s">
        <v>97</v>
      </c>
      <c r="D22" s="12"/>
      <c r="E22" s="12"/>
      <c r="F22" s="7"/>
      <c r="G22" s="7"/>
      <c r="H22" s="21"/>
    </row>
    <row r="23" customFormat="false" ht="15" hidden="false" customHeight="true" outlineLevel="0" collapsed="false">
      <c r="B23" s="19" t="n">
        <v>5</v>
      </c>
      <c r="C23" s="20" t="s">
        <v>98</v>
      </c>
      <c r="D23" s="12"/>
      <c r="E23" s="12"/>
      <c r="F23" s="7"/>
      <c r="G23" s="7"/>
      <c r="H23" s="21"/>
    </row>
    <row r="24" customFormat="false" ht="15.75" hidden="false" customHeight="true" outlineLevel="0" collapsed="false">
      <c r="B24" s="18" t="s">
        <v>99</v>
      </c>
      <c r="C24" s="18"/>
      <c r="D24" s="18"/>
      <c r="E24" s="18"/>
      <c r="F24" s="18"/>
      <c r="G24" s="18"/>
      <c r="H24" s="18"/>
    </row>
    <row r="25" customFormat="false" ht="15" hidden="false" customHeight="true" outlineLevel="0" collapsed="false">
      <c r="B25" s="19" t="n">
        <v>1</v>
      </c>
      <c r="C25" s="20" t="s">
        <v>100</v>
      </c>
      <c r="D25" s="12"/>
      <c r="E25" s="12"/>
      <c r="F25" s="7"/>
      <c r="G25" s="7"/>
      <c r="H25" s="21"/>
    </row>
    <row r="26" customFormat="false" ht="15" hidden="false" customHeight="true" outlineLevel="0" collapsed="false">
      <c r="B26" s="19" t="n">
        <v>2</v>
      </c>
      <c r="C26" s="20" t="s">
        <v>101</v>
      </c>
      <c r="D26" s="12"/>
      <c r="E26" s="12"/>
      <c r="F26" s="7"/>
      <c r="G26" s="7"/>
      <c r="H26" s="21"/>
    </row>
    <row r="27" customFormat="false" ht="15" hidden="false" customHeight="true" outlineLevel="0" collapsed="false">
      <c r="B27" s="19" t="n">
        <v>3</v>
      </c>
      <c r="C27" s="20" t="s">
        <v>102</v>
      </c>
      <c r="D27" s="12"/>
      <c r="E27" s="12"/>
      <c r="F27" s="7"/>
      <c r="G27" s="7"/>
      <c r="H27" s="21"/>
    </row>
    <row r="28" customFormat="false" ht="15" hidden="false" customHeight="true" outlineLevel="0" collapsed="false">
      <c r="B28" s="19" t="n">
        <v>4</v>
      </c>
      <c r="C28" s="20" t="s">
        <v>103</v>
      </c>
      <c r="D28" s="12"/>
      <c r="E28" s="12"/>
      <c r="F28" s="7"/>
      <c r="G28" s="7"/>
      <c r="H28" s="21"/>
    </row>
    <row r="29" customFormat="false" ht="15" hidden="false" customHeight="true" outlineLevel="0" collapsed="false">
      <c r="B29" s="19" t="n">
        <v>5</v>
      </c>
      <c r="C29" s="20" t="s">
        <v>104</v>
      </c>
      <c r="D29" s="12"/>
      <c r="E29" s="12"/>
      <c r="F29" s="7"/>
      <c r="G29" s="7"/>
      <c r="H29" s="21"/>
    </row>
    <row r="30" customFormat="false" ht="15.75" hidden="false" customHeight="true" outlineLevel="0" collapsed="false">
      <c r="B30" s="18" t="s">
        <v>105</v>
      </c>
      <c r="C30" s="18"/>
      <c r="D30" s="18"/>
      <c r="E30" s="18"/>
      <c r="F30" s="18"/>
      <c r="G30" s="18"/>
      <c r="H30" s="18"/>
    </row>
    <row r="31" customFormat="false" ht="15" hidden="false" customHeight="true" outlineLevel="0" collapsed="false">
      <c r="B31" s="19" t="n">
        <v>1</v>
      </c>
      <c r="C31" s="20" t="s">
        <v>106</v>
      </c>
      <c r="D31" s="12"/>
      <c r="E31" s="12"/>
      <c r="F31" s="7"/>
      <c r="G31" s="7"/>
      <c r="H31" s="21"/>
    </row>
    <row r="32" customFormat="false" ht="15" hidden="false" customHeight="true" outlineLevel="0" collapsed="false">
      <c r="B32" s="19" t="n">
        <v>2</v>
      </c>
      <c r="C32" s="20" t="s">
        <v>107</v>
      </c>
      <c r="D32" s="12"/>
      <c r="E32" s="12"/>
      <c r="F32" s="7"/>
      <c r="G32" s="7"/>
      <c r="H32" s="21"/>
    </row>
    <row r="33" customFormat="false" ht="15" hidden="false" customHeight="true" outlineLevel="0" collapsed="false">
      <c r="B33" s="19" t="n">
        <v>3</v>
      </c>
      <c r="C33" s="20" t="s">
        <v>108</v>
      </c>
      <c r="D33" s="12"/>
      <c r="E33" s="12"/>
      <c r="F33" s="7"/>
      <c r="G33" s="7"/>
      <c r="H33" s="21"/>
    </row>
    <row r="34" customFormat="false" ht="15" hidden="false" customHeight="true" outlineLevel="0" collapsed="false">
      <c r="B34" s="19" t="n">
        <v>4</v>
      </c>
      <c r="C34" s="20" t="s">
        <v>109</v>
      </c>
      <c r="D34" s="12"/>
      <c r="E34" s="12"/>
      <c r="F34" s="7"/>
      <c r="G34" s="7"/>
      <c r="H34" s="21"/>
    </row>
    <row r="35" customFormat="false" ht="15" hidden="false" customHeight="true" outlineLevel="0" collapsed="false">
      <c r="B35" s="19" t="n">
        <v>5</v>
      </c>
      <c r="C35" s="20" t="s">
        <v>110</v>
      </c>
      <c r="D35" s="12"/>
      <c r="E35" s="12"/>
      <c r="F35" s="7"/>
      <c r="G35" s="7"/>
      <c r="H35" s="21"/>
    </row>
    <row r="36" customFormat="false" ht="15.75" hidden="false" customHeight="true" outlineLevel="0" collapsed="false">
      <c r="B36" s="18" t="s">
        <v>111</v>
      </c>
      <c r="C36" s="18"/>
      <c r="D36" s="18"/>
      <c r="E36" s="18"/>
      <c r="F36" s="18"/>
      <c r="G36" s="18"/>
      <c r="H36" s="18"/>
    </row>
    <row r="37" customFormat="false" ht="15" hidden="false" customHeight="true" outlineLevel="0" collapsed="false">
      <c r="B37" s="19" t="n">
        <v>1</v>
      </c>
      <c r="C37" s="20" t="s">
        <v>112</v>
      </c>
      <c r="D37" s="12"/>
      <c r="E37" s="12"/>
      <c r="F37" s="7"/>
      <c r="G37" s="7"/>
      <c r="H37" s="21"/>
    </row>
    <row r="38" customFormat="false" ht="15" hidden="false" customHeight="true" outlineLevel="0" collapsed="false">
      <c r="B38" s="19" t="n">
        <v>2</v>
      </c>
      <c r="C38" s="20" t="s">
        <v>113</v>
      </c>
      <c r="D38" s="12"/>
      <c r="E38" s="12"/>
      <c r="F38" s="7"/>
      <c r="G38" s="7"/>
      <c r="H38" s="21"/>
    </row>
    <row r="39" customFormat="false" ht="15" hidden="false" customHeight="true" outlineLevel="0" collapsed="false">
      <c r="B39" s="19" t="n">
        <v>3</v>
      </c>
      <c r="C39" s="20" t="s">
        <v>114</v>
      </c>
      <c r="D39" s="12"/>
      <c r="E39" s="12"/>
      <c r="F39" s="7"/>
      <c r="G39" s="7"/>
      <c r="H39" s="21"/>
    </row>
    <row r="40" customFormat="false" ht="15" hidden="false" customHeight="true" outlineLevel="0" collapsed="false">
      <c r="B40" s="19" t="n">
        <v>4</v>
      </c>
      <c r="C40" s="20" t="s">
        <v>115</v>
      </c>
      <c r="D40" s="12"/>
      <c r="E40" s="12"/>
      <c r="F40" s="7"/>
      <c r="G40" s="7"/>
      <c r="H40" s="21"/>
    </row>
    <row r="41" customFormat="false" ht="15" hidden="false" customHeight="true" outlineLevel="0" collapsed="false">
      <c r="B41" s="19" t="n">
        <v>5</v>
      </c>
      <c r="C41" s="20" t="s">
        <v>116</v>
      </c>
      <c r="D41" s="12"/>
      <c r="E41" s="12"/>
      <c r="F41" s="7"/>
      <c r="G41" s="7"/>
      <c r="H41" s="21"/>
    </row>
    <row r="42" customFormat="false" ht="15" hidden="false" customHeight="true" outlineLevel="0" collapsed="false">
      <c r="B42" s="19" t="n">
        <v>6</v>
      </c>
      <c r="C42" s="20" t="s">
        <v>117</v>
      </c>
      <c r="D42" s="12"/>
      <c r="E42" s="12"/>
      <c r="F42" s="7"/>
      <c r="G42" s="7"/>
      <c r="H42" s="21"/>
    </row>
    <row r="43" customFormat="false" ht="15" hidden="false" customHeight="true" outlineLevel="0" collapsed="false">
      <c r="B43" s="19" t="n">
        <v>7</v>
      </c>
      <c r="C43" s="20" t="s">
        <v>118</v>
      </c>
      <c r="D43" s="12"/>
      <c r="E43" s="12"/>
      <c r="F43" s="7"/>
      <c r="G43" s="7"/>
      <c r="H43" s="21"/>
    </row>
    <row r="44" customFormat="false" ht="15.75" hidden="false" customHeight="true" outlineLevel="0" collapsed="false">
      <c r="B44" s="18" t="s">
        <v>119</v>
      </c>
      <c r="C44" s="18"/>
      <c r="D44" s="18"/>
      <c r="E44" s="18"/>
      <c r="F44" s="18"/>
      <c r="G44" s="18"/>
      <c r="H44" s="18"/>
    </row>
    <row r="45" customFormat="false" ht="15" hidden="false" customHeight="true" outlineLevel="0" collapsed="false">
      <c r="B45" s="19" t="n">
        <v>1</v>
      </c>
      <c r="C45" s="20" t="s">
        <v>120</v>
      </c>
      <c r="D45" s="12"/>
      <c r="E45" s="12"/>
      <c r="F45" s="7"/>
      <c r="G45" s="7"/>
      <c r="H45" s="21"/>
    </row>
    <row r="46" customFormat="false" ht="15" hidden="false" customHeight="true" outlineLevel="0" collapsed="false">
      <c r="B46" s="19" t="n">
        <v>2</v>
      </c>
      <c r="C46" s="20" t="s">
        <v>121</v>
      </c>
      <c r="D46" s="12"/>
      <c r="E46" s="12"/>
      <c r="F46" s="7"/>
      <c r="G46" s="7"/>
      <c r="H46" s="21"/>
    </row>
    <row r="47" customFormat="false" ht="15" hidden="false" customHeight="true" outlineLevel="0" collapsed="false">
      <c r="B47" s="19" t="n">
        <v>3</v>
      </c>
      <c r="C47" s="20" t="s">
        <v>122</v>
      </c>
      <c r="D47" s="12"/>
      <c r="E47" s="12"/>
      <c r="F47" s="7"/>
      <c r="G47" s="7"/>
      <c r="H47" s="21"/>
    </row>
    <row r="48" customFormat="false" ht="15" hidden="false" customHeight="true" outlineLevel="0" collapsed="false">
      <c r="B48" s="19" t="n">
        <v>4</v>
      </c>
      <c r="C48" s="20" t="s">
        <v>123</v>
      </c>
      <c r="D48" s="12"/>
      <c r="E48" s="12"/>
      <c r="F48" s="7"/>
      <c r="G48" s="7"/>
      <c r="H48" s="21"/>
    </row>
    <row r="49" customFormat="false" ht="15" hidden="false" customHeight="true" outlineLevel="0" collapsed="false">
      <c r="B49" s="19" t="n">
        <v>5</v>
      </c>
      <c r="C49" s="20" t="s">
        <v>124</v>
      </c>
      <c r="D49" s="12"/>
      <c r="E49" s="12"/>
      <c r="F49" s="7"/>
      <c r="G49" s="7"/>
      <c r="H49" s="21"/>
    </row>
    <row r="50" customFormat="false" ht="15" hidden="false" customHeight="true" outlineLevel="0" collapsed="false">
      <c r="B50" s="19" t="n">
        <v>6</v>
      </c>
      <c r="C50" s="20" t="s">
        <v>125</v>
      </c>
      <c r="D50" s="12"/>
      <c r="E50" s="12"/>
      <c r="F50" s="7"/>
      <c r="G50" s="7"/>
      <c r="H50" s="21"/>
    </row>
    <row r="51" customFormat="false" ht="15.75" hidden="false" customHeight="true" outlineLevel="0" collapsed="false">
      <c r="B51" s="18" t="s">
        <v>126</v>
      </c>
      <c r="C51" s="18"/>
      <c r="D51" s="18"/>
      <c r="E51" s="18"/>
      <c r="F51" s="18"/>
      <c r="G51" s="18"/>
      <c r="H51" s="18"/>
    </row>
    <row r="52" customFormat="false" ht="15" hidden="false" customHeight="true" outlineLevel="0" collapsed="false">
      <c r="B52" s="19" t="n">
        <v>1</v>
      </c>
      <c r="C52" s="20" t="s">
        <v>127</v>
      </c>
      <c r="D52" s="12"/>
      <c r="E52" s="12"/>
      <c r="F52" s="7"/>
      <c r="G52" s="7"/>
      <c r="H52" s="21"/>
    </row>
    <row r="53" customFormat="false" ht="15" hidden="false" customHeight="true" outlineLevel="0" collapsed="false">
      <c r="B53" s="19" t="n">
        <v>2</v>
      </c>
      <c r="C53" s="20" t="s">
        <v>128</v>
      </c>
      <c r="D53" s="12"/>
      <c r="E53" s="12"/>
      <c r="F53" s="7"/>
      <c r="G53" s="7"/>
      <c r="H53" s="21"/>
    </row>
    <row r="54" customFormat="false" ht="15" hidden="false" customHeight="true" outlineLevel="0" collapsed="false">
      <c r="B54" s="19" t="n">
        <v>3</v>
      </c>
      <c r="C54" s="20" t="s">
        <v>129</v>
      </c>
      <c r="D54" s="12"/>
      <c r="E54" s="12"/>
      <c r="F54" s="7"/>
      <c r="G54" s="7"/>
      <c r="H54" s="21"/>
    </row>
    <row r="55" customFormat="false" ht="15" hidden="false" customHeight="true" outlineLevel="0" collapsed="false">
      <c r="B55" s="19" t="n">
        <v>4</v>
      </c>
      <c r="C55" s="20" t="s">
        <v>130</v>
      </c>
      <c r="D55" s="12"/>
      <c r="E55" s="12"/>
      <c r="F55" s="7"/>
      <c r="G55" s="7"/>
      <c r="H55" s="21"/>
    </row>
    <row r="56" customFormat="false" ht="15" hidden="false" customHeight="true" outlineLevel="0" collapsed="false">
      <c r="B56" s="19" t="n">
        <v>5</v>
      </c>
      <c r="C56" s="20" t="s">
        <v>131</v>
      </c>
      <c r="D56" s="12"/>
      <c r="E56" s="12"/>
      <c r="F56" s="7"/>
      <c r="G56" s="7"/>
      <c r="H56" s="21"/>
    </row>
    <row r="57" customFormat="false" ht="15" hidden="false" customHeight="true" outlineLevel="0" collapsed="false">
      <c r="B57" s="19" t="n">
        <v>6</v>
      </c>
      <c r="C57" s="20" t="s">
        <v>132</v>
      </c>
      <c r="D57" s="12"/>
      <c r="E57" s="12"/>
      <c r="F57" s="7"/>
      <c r="G57" s="7"/>
      <c r="H57" s="21"/>
    </row>
    <row r="58" customFormat="false" ht="15.75" hidden="false" customHeight="true" outlineLevel="0" collapsed="false">
      <c r="B58" s="18" t="s">
        <v>133</v>
      </c>
      <c r="C58" s="18"/>
      <c r="D58" s="18"/>
      <c r="E58" s="18"/>
      <c r="F58" s="18"/>
      <c r="G58" s="18"/>
      <c r="H58" s="18"/>
    </row>
    <row r="59" customFormat="false" ht="15" hidden="false" customHeight="true" outlineLevel="0" collapsed="false">
      <c r="B59" s="19" t="n">
        <v>1</v>
      </c>
      <c r="C59" s="20" t="s">
        <v>134</v>
      </c>
      <c r="D59" s="12"/>
      <c r="E59" s="12"/>
      <c r="F59" s="7"/>
      <c r="G59" s="7"/>
      <c r="H59" s="21"/>
    </row>
    <row r="60" customFormat="false" ht="15" hidden="false" customHeight="true" outlineLevel="0" collapsed="false">
      <c r="B60" s="19" t="n">
        <v>2</v>
      </c>
      <c r="C60" s="20" t="s">
        <v>135</v>
      </c>
      <c r="D60" s="12"/>
      <c r="E60" s="12"/>
      <c r="F60" s="7"/>
      <c r="G60" s="7"/>
      <c r="H60" s="21"/>
    </row>
    <row r="61" customFormat="false" ht="15" hidden="false" customHeight="true" outlineLevel="0" collapsed="false">
      <c r="B61" s="19" t="n">
        <v>3</v>
      </c>
      <c r="C61" s="20" t="s">
        <v>136</v>
      </c>
      <c r="D61" s="12"/>
      <c r="E61" s="12"/>
      <c r="F61" s="7"/>
      <c r="G61" s="7"/>
      <c r="H61" s="21"/>
    </row>
    <row r="62" customFormat="false" ht="15" hidden="false" customHeight="true" outlineLevel="0" collapsed="false">
      <c r="B62" s="19" t="n">
        <v>4</v>
      </c>
      <c r="C62" s="20" t="s">
        <v>137</v>
      </c>
      <c r="D62" s="12"/>
      <c r="E62" s="12"/>
      <c r="F62" s="7"/>
      <c r="G62" s="7"/>
      <c r="H62" s="21"/>
    </row>
    <row r="63" customFormat="false" ht="15" hidden="false" customHeight="true" outlineLevel="0" collapsed="false">
      <c r="B63" s="19" t="n">
        <v>5</v>
      </c>
      <c r="C63" s="20" t="s">
        <v>138</v>
      </c>
      <c r="D63" s="12"/>
      <c r="E63" s="12"/>
      <c r="F63" s="7"/>
      <c r="G63" s="7"/>
      <c r="H63" s="21"/>
    </row>
    <row r="64" customFormat="false" ht="15" hidden="false" customHeight="true" outlineLevel="0" collapsed="false">
      <c r="B64" s="19" t="n">
        <v>6</v>
      </c>
      <c r="C64" s="20" t="s">
        <v>139</v>
      </c>
      <c r="D64" s="12"/>
      <c r="E64" s="12"/>
      <c r="F64" s="7"/>
      <c r="G64" s="7"/>
      <c r="H64" s="21"/>
    </row>
    <row r="65" customFormat="false" ht="15.75" hidden="false" customHeight="true" outlineLevel="0" collapsed="false">
      <c r="B65" s="18" t="s">
        <v>140</v>
      </c>
      <c r="C65" s="18"/>
      <c r="D65" s="18"/>
      <c r="E65" s="18"/>
      <c r="F65" s="18"/>
      <c r="G65" s="18"/>
      <c r="H65" s="18"/>
    </row>
    <row r="66" customFormat="false" ht="15" hidden="false" customHeight="true" outlineLevel="0" collapsed="false">
      <c r="B66" s="19" t="n">
        <v>1</v>
      </c>
      <c r="C66" s="20" t="s">
        <v>141</v>
      </c>
      <c r="D66" s="12"/>
      <c r="E66" s="12"/>
      <c r="F66" s="7"/>
      <c r="G66" s="7"/>
      <c r="H66" s="21"/>
    </row>
    <row r="67" customFormat="false" ht="15" hidden="false" customHeight="true" outlineLevel="0" collapsed="false">
      <c r="B67" s="19" t="n">
        <v>2</v>
      </c>
      <c r="C67" s="20" t="s">
        <v>142</v>
      </c>
      <c r="D67" s="12"/>
      <c r="E67" s="12"/>
      <c r="F67" s="7"/>
      <c r="G67" s="7"/>
      <c r="H67" s="21"/>
    </row>
    <row r="68" customFormat="false" ht="15" hidden="false" customHeight="true" outlineLevel="0" collapsed="false">
      <c r="B68" s="19" t="n">
        <v>3</v>
      </c>
      <c r="C68" s="20" t="s">
        <v>143</v>
      </c>
      <c r="D68" s="12"/>
      <c r="E68" s="12"/>
      <c r="F68" s="7"/>
      <c r="G68" s="7"/>
      <c r="H68" s="21"/>
    </row>
    <row r="69" customFormat="false" ht="15" hidden="false" customHeight="true" outlineLevel="0" collapsed="false">
      <c r="B69" s="19" t="n">
        <v>4</v>
      </c>
      <c r="C69" s="20" t="s">
        <v>144</v>
      </c>
      <c r="D69" s="12"/>
      <c r="E69" s="12"/>
      <c r="F69" s="7"/>
      <c r="G69" s="7"/>
      <c r="H69" s="21"/>
    </row>
    <row r="70" customFormat="false" ht="15" hidden="false" customHeight="true" outlineLevel="0" collapsed="false">
      <c r="B70" s="19" t="n">
        <v>5</v>
      </c>
      <c r="C70" s="20" t="s">
        <v>145</v>
      </c>
      <c r="D70" s="12"/>
      <c r="E70" s="12"/>
      <c r="F70" s="7"/>
      <c r="G70" s="7"/>
      <c r="H70" s="21"/>
    </row>
    <row r="71" customFormat="false" ht="15.75" hidden="false" customHeight="true" outlineLevel="0" collapsed="false">
      <c r="B71" s="18" t="s">
        <v>146</v>
      </c>
      <c r="C71" s="18"/>
      <c r="D71" s="18"/>
      <c r="E71" s="18"/>
      <c r="F71" s="18"/>
      <c r="G71" s="18"/>
      <c r="H71" s="18"/>
    </row>
    <row r="72" customFormat="false" ht="15" hidden="false" customHeight="true" outlineLevel="0" collapsed="false">
      <c r="B72" s="19" t="n">
        <v>1</v>
      </c>
      <c r="C72" s="20" t="s">
        <v>147</v>
      </c>
      <c r="D72" s="12"/>
      <c r="E72" s="12"/>
      <c r="F72" s="7"/>
      <c r="G72" s="7"/>
      <c r="H72" s="21"/>
    </row>
    <row r="73" customFormat="false" ht="15" hidden="false" customHeight="true" outlineLevel="0" collapsed="false">
      <c r="B73" s="19" t="n">
        <v>2</v>
      </c>
      <c r="C73" s="20" t="s">
        <v>148</v>
      </c>
      <c r="D73" s="12"/>
      <c r="E73" s="12"/>
      <c r="F73" s="7"/>
      <c r="G73" s="7"/>
      <c r="H73" s="21"/>
    </row>
    <row r="74" customFormat="false" ht="15" hidden="false" customHeight="true" outlineLevel="0" collapsed="false">
      <c r="B74" s="19" t="n">
        <v>3</v>
      </c>
      <c r="C74" s="20" t="s">
        <v>149</v>
      </c>
      <c r="D74" s="12"/>
      <c r="E74" s="12"/>
      <c r="F74" s="7"/>
      <c r="G74" s="7"/>
      <c r="H74" s="21"/>
    </row>
    <row r="75" customFormat="false" ht="15" hidden="false" customHeight="true" outlineLevel="0" collapsed="false">
      <c r="B75" s="19" t="n">
        <v>4</v>
      </c>
      <c r="C75" s="20" t="s">
        <v>150</v>
      </c>
      <c r="D75" s="12"/>
      <c r="E75" s="12"/>
      <c r="F75" s="7"/>
      <c r="G75" s="7"/>
      <c r="H75" s="21"/>
    </row>
    <row r="76" customFormat="false" ht="15" hidden="false" customHeight="true" outlineLevel="0" collapsed="false">
      <c r="B76" s="19" t="n">
        <v>5</v>
      </c>
      <c r="C76" s="20" t="s">
        <v>151</v>
      </c>
      <c r="D76" s="12"/>
      <c r="E76" s="12"/>
      <c r="F76" s="7"/>
      <c r="G76" s="7"/>
      <c r="H76" s="21"/>
    </row>
    <row r="77" customFormat="false" ht="15.75" hidden="false" customHeight="true" outlineLevel="0" collapsed="false">
      <c r="B77" s="18" t="s">
        <v>152</v>
      </c>
      <c r="C77" s="18"/>
      <c r="D77" s="18"/>
      <c r="E77" s="18"/>
      <c r="F77" s="18"/>
      <c r="G77" s="18"/>
      <c r="H77" s="18"/>
    </row>
    <row r="78" customFormat="false" ht="15" hidden="false" customHeight="true" outlineLevel="0" collapsed="false">
      <c r="B78" s="19" t="n">
        <v>1</v>
      </c>
      <c r="C78" s="20" t="s">
        <v>153</v>
      </c>
      <c r="D78" s="12"/>
      <c r="E78" s="12"/>
      <c r="F78" s="7"/>
      <c r="G78" s="7"/>
      <c r="H78" s="21"/>
    </row>
    <row r="79" customFormat="false" ht="15" hidden="false" customHeight="true" outlineLevel="0" collapsed="false">
      <c r="B79" s="19" t="n">
        <v>2</v>
      </c>
      <c r="C79" s="20" t="s">
        <v>154</v>
      </c>
      <c r="D79" s="12"/>
      <c r="E79" s="12"/>
      <c r="F79" s="7"/>
      <c r="G79" s="7"/>
      <c r="H79" s="21"/>
    </row>
    <row r="80" customFormat="false" ht="15" hidden="false" customHeight="true" outlineLevel="0" collapsed="false">
      <c r="B80" s="19" t="n">
        <v>3</v>
      </c>
      <c r="C80" s="20" t="s">
        <v>155</v>
      </c>
      <c r="D80" s="12"/>
      <c r="E80" s="12"/>
      <c r="F80" s="7"/>
      <c r="G80" s="7"/>
      <c r="H80" s="21"/>
    </row>
    <row r="81" customFormat="false" ht="15" hidden="false" customHeight="true" outlineLevel="0" collapsed="false">
      <c r="B81" s="19" t="n">
        <v>4</v>
      </c>
      <c r="C81" s="20" t="s">
        <v>156</v>
      </c>
      <c r="D81" s="12"/>
      <c r="E81" s="12"/>
      <c r="F81" s="7"/>
      <c r="G81" s="7"/>
      <c r="H81" s="21"/>
    </row>
    <row r="82" customFormat="false" ht="15" hidden="false" customHeight="true" outlineLevel="0" collapsed="false">
      <c r="B82" s="19" t="n">
        <v>5</v>
      </c>
      <c r="C82" s="20" t="s">
        <v>157</v>
      </c>
      <c r="D82" s="12"/>
      <c r="E82" s="12"/>
      <c r="F82" s="7"/>
      <c r="G82" s="7"/>
      <c r="H82" s="21"/>
    </row>
    <row r="83" customFormat="false" ht="15.75" hidden="false" customHeight="true" outlineLevel="0" collapsed="false">
      <c r="B83" s="18" t="s">
        <v>158</v>
      </c>
      <c r="C83" s="18"/>
      <c r="D83" s="18"/>
      <c r="E83" s="18"/>
      <c r="F83" s="18"/>
      <c r="G83" s="18"/>
      <c r="H83" s="18"/>
    </row>
    <row r="84" customFormat="false" ht="15" hidden="false" customHeight="true" outlineLevel="0" collapsed="false">
      <c r="B84" s="19" t="n">
        <v>1</v>
      </c>
      <c r="C84" s="20" t="s">
        <v>159</v>
      </c>
      <c r="D84" s="12"/>
      <c r="E84" s="12"/>
      <c r="F84" s="7"/>
      <c r="G84" s="7"/>
      <c r="H84" s="21"/>
    </row>
    <row r="85" customFormat="false" ht="15" hidden="false" customHeight="true" outlineLevel="0" collapsed="false">
      <c r="B85" s="19" t="n">
        <v>2</v>
      </c>
      <c r="C85" s="20" t="s">
        <v>160</v>
      </c>
      <c r="D85" s="12"/>
      <c r="E85" s="12"/>
      <c r="F85" s="7"/>
      <c r="G85" s="7"/>
      <c r="H85" s="21"/>
    </row>
    <row r="86" customFormat="false" ht="15" hidden="false" customHeight="true" outlineLevel="0" collapsed="false">
      <c r="B86" s="19" t="n">
        <v>3</v>
      </c>
      <c r="C86" s="20" t="s">
        <v>161</v>
      </c>
      <c r="D86" s="12"/>
      <c r="E86" s="12"/>
      <c r="F86" s="7"/>
      <c r="G86" s="7"/>
      <c r="H86" s="21"/>
    </row>
    <row r="87" customFormat="false" ht="15" hidden="false" customHeight="true" outlineLevel="0" collapsed="false">
      <c r="B87" s="19" t="n">
        <v>4</v>
      </c>
      <c r="C87" s="20" t="s">
        <v>162</v>
      </c>
      <c r="D87" s="12"/>
      <c r="E87" s="12"/>
      <c r="F87" s="7"/>
      <c r="G87" s="7"/>
      <c r="H87" s="21"/>
    </row>
    <row r="88" customFormat="false" ht="15" hidden="false" customHeight="true" outlineLevel="0" collapsed="false">
      <c r="B88" s="19" t="n">
        <v>5</v>
      </c>
      <c r="C88" s="20" t="s">
        <v>163</v>
      </c>
      <c r="D88" s="12"/>
      <c r="E88" s="12"/>
      <c r="F88" s="7"/>
      <c r="G88" s="7"/>
      <c r="H88" s="21"/>
    </row>
    <row r="90" customFormat="false" ht="15.75" hidden="false" customHeight="true" outlineLevel="0" collapsed="false">
      <c r="B90" s="5" t="s">
        <v>164</v>
      </c>
      <c r="C90" s="5"/>
      <c r="D90" s="5"/>
      <c r="E90" s="5"/>
      <c r="F90" s="5"/>
      <c r="G90" s="5"/>
      <c r="H90" s="5"/>
    </row>
    <row r="91" customFormat="false" ht="15" hidden="false" customHeight="true" outlineLevel="0" collapsed="false">
      <c r="B91" s="6" t="s">
        <v>165</v>
      </c>
      <c r="C91" s="6"/>
      <c r="D91" s="22" t="n">
        <f aca="false">COUNTIF($D$11:$D$88,"&lt;&gt;")</f>
        <v>0</v>
      </c>
      <c r="E91" s="7"/>
      <c r="F91" s="7"/>
      <c r="G91" s="7"/>
      <c r="H91" s="7"/>
    </row>
    <row r="92" customFormat="false" ht="15" hidden="false" customHeight="true" outlineLevel="0" collapsed="false">
      <c r="B92" s="6" t="s">
        <v>166</v>
      </c>
      <c r="C92" s="6"/>
      <c r="D92" s="22" t="n">
        <f aca="false">COUNTIF($D$11:$D$88,"Yes")</f>
        <v>0</v>
      </c>
      <c r="E92" s="7"/>
      <c r="F92" s="7"/>
      <c r="G92" s="7"/>
      <c r="H92" s="7"/>
    </row>
    <row r="93" customFormat="false" ht="15" hidden="false" customHeight="true" outlineLevel="0" collapsed="false">
      <c r="B93" s="6" t="s">
        <v>167</v>
      </c>
      <c r="C93" s="6"/>
      <c r="D93" s="22" t="n">
        <f aca="false">COUNTIF($D$11:$D$88,"No")</f>
        <v>0</v>
      </c>
      <c r="E93" s="7"/>
      <c r="F93" s="7"/>
      <c r="G93" s="7"/>
      <c r="H93" s="7"/>
    </row>
    <row r="94" customFormat="false" ht="15" hidden="false" customHeight="true" outlineLevel="0" collapsed="false">
      <c r="B94" s="6" t="s">
        <v>168</v>
      </c>
      <c r="C94" s="6"/>
      <c r="D94" s="22" t="n">
        <f aca="false">COUNTIF($D$11:$D$88,"NA")</f>
        <v>0</v>
      </c>
      <c r="E94" s="7"/>
      <c r="F94" s="7"/>
      <c r="G94" s="7"/>
      <c r="H94" s="7"/>
    </row>
    <row r="95" customFormat="false" ht="15" hidden="false" customHeight="true" outlineLevel="0" collapsed="false">
      <c r="B95" s="6" t="s">
        <v>169</v>
      </c>
      <c r="C95" s="6"/>
      <c r="D95" s="23" t="str">
        <f aca="false">IFERROR(COUNTIF($D$11:$D$88,"Yes")/(COUNTIF($D$11:$D$88,"Yes")+COUNTIF($D$11:$D$88,"No")),"")</f>
        <v/>
      </c>
      <c r="E95" s="24"/>
      <c r="F95" s="24"/>
      <c r="G95" s="24"/>
      <c r="H95" s="24"/>
    </row>
    <row r="96" customFormat="false" ht="15" hidden="false" customHeight="true" outlineLevel="0" collapsed="false">
      <c r="B96" s="6" t="s">
        <v>170</v>
      </c>
      <c r="C96" s="6"/>
      <c r="D96" s="22" t="n">
        <f aca="false">COUNTIF($E$11:$E$88,"High")</f>
        <v>0</v>
      </c>
      <c r="E96" s="7"/>
      <c r="F96" s="7"/>
      <c r="G96" s="7"/>
      <c r="H96" s="7"/>
    </row>
    <row r="97" customFormat="false" ht="18" hidden="false" customHeight="true" outlineLevel="0" collapsed="false">
      <c r="B97" s="25" t="s">
        <v>171</v>
      </c>
      <c r="C97" s="25"/>
      <c r="D97" s="26" t="str">
        <f aca="false">IF(COUNTIF($D$11:$D$88,"&lt;&gt;")=0,"— inspection not filled —",IF(COUNTIF($E$11:$E$88,"High")&gt;0,"UNSATISFACTORY — high-risk finding open, immediate action required",IF(IFERROR(COUNTIF($D$11:$D$88,"Yes")/(COUNTIF($D$11:$D$88,"Yes")+COUNTIF($D$11:$D$88,"No")),0)&gt;=0.95,"SATISFACTORY",IF(IFERROR(COUNTIF($D$11:$D$88,"Yes")/(COUNTIF($D$11:$D$88,"Yes")+COUNTIF($D$11:$D$88,"No")),0)&gt;=0.85,"NEEDS IMPROVEMENT","UNSATISFACTORY"))))</f>
        <v>— inspection not filled —</v>
      </c>
      <c r="E97" s="26"/>
      <c r="F97" s="26"/>
      <c r="G97" s="26"/>
      <c r="H97" s="26"/>
    </row>
    <row r="99" customFormat="false" ht="31.5" hidden="false" customHeight="true" outlineLevel="0" collapsed="false">
      <c r="B99" s="15" t="s">
        <v>172</v>
      </c>
      <c r="C99" s="15"/>
      <c r="D99" s="7"/>
      <c r="E99" s="7"/>
      <c r="F99" s="15" t="s">
        <v>173</v>
      </c>
      <c r="G99" s="7"/>
      <c r="H99" s="7"/>
    </row>
    <row r="100" customFormat="false" ht="24" hidden="false" customHeight="true" outlineLevel="0" collapsed="false">
      <c r="B100" s="27" t="s">
        <v>174</v>
      </c>
      <c r="C100" s="27"/>
      <c r="D100" s="27"/>
      <c r="E100" s="27"/>
      <c r="F100" s="27"/>
      <c r="G100" s="27"/>
      <c r="H100" s="27"/>
    </row>
  </sheetData>
  <mergeCells count="47">
    <mergeCell ref="B2:C3"/>
    <mergeCell ref="D2:F3"/>
    <mergeCell ref="G2:H2"/>
    <mergeCell ref="G3:H3"/>
    <mergeCell ref="B5:C5"/>
    <mergeCell ref="D5:E5"/>
    <mergeCell ref="G5:H5"/>
    <mergeCell ref="B6:C6"/>
    <mergeCell ref="D6:E6"/>
    <mergeCell ref="G6:H6"/>
    <mergeCell ref="B7:C7"/>
    <mergeCell ref="D7:E7"/>
    <mergeCell ref="G7:H7"/>
    <mergeCell ref="B8:C8"/>
    <mergeCell ref="D8:E8"/>
    <mergeCell ref="G8:H8"/>
    <mergeCell ref="B11:H11"/>
    <mergeCell ref="B18:H18"/>
    <mergeCell ref="B24:H24"/>
    <mergeCell ref="B30:H30"/>
    <mergeCell ref="B36:H36"/>
    <mergeCell ref="B44:H44"/>
    <mergeCell ref="B51:H51"/>
    <mergeCell ref="B58:H58"/>
    <mergeCell ref="B65:H65"/>
    <mergeCell ref="B71:H71"/>
    <mergeCell ref="B77:H77"/>
    <mergeCell ref="B83:H83"/>
    <mergeCell ref="B90:H90"/>
    <mergeCell ref="B91:C91"/>
    <mergeCell ref="E91:H91"/>
    <mergeCell ref="B92:C92"/>
    <mergeCell ref="E92:H92"/>
    <mergeCell ref="B93:C93"/>
    <mergeCell ref="E93:H93"/>
    <mergeCell ref="B94:C94"/>
    <mergeCell ref="E94:H94"/>
    <mergeCell ref="B95:C95"/>
    <mergeCell ref="E95:H95"/>
    <mergeCell ref="B96:C96"/>
    <mergeCell ref="E96:H96"/>
    <mergeCell ref="B97:C97"/>
    <mergeCell ref="D97:H97"/>
    <mergeCell ref="B99:C99"/>
    <mergeCell ref="D99:E99"/>
    <mergeCell ref="G99:H99"/>
    <mergeCell ref="B100:H100"/>
  </mergeCells>
  <dataValidations count="2">
    <dataValidation allowBlank="true" errorStyle="stop" operator="between" showDropDown="false" showErrorMessage="false" showInputMessage="false" sqref="D11:D88" type="list">
      <formula1>"Yes,No,NA"</formula1>
      <formula2>0</formula2>
    </dataValidation>
    <dataValidation allowBlank="true" errorStyle="stop" operator="between" showDropDown="false" showErrorMessage="false" showInputMessage="false" sqref="E11:E8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62"/>
    <col collapsed="false" customWidth="true" hidden="false" outlineLevel="0" max="4" min="4" style="0" width="9"/>
    <col collapsed="false" customWidth="true" hidden="false" outlineLevel="0" max="5" min="5" style="0" width="11"/>
    <col collapsed="false" customWidth="true" hidden="false" outlineLevel="0" max="6" min="6" style="0" width="26"/>
    <col collapsed="false" customWidth="true" hidden="false" outlineLevel="0" max="7" min="7" style="0" width="16"/>
    <col collapsed="false" customWidth="true" hidden="false" outlineLevel="0" max="8" min="8" style="0" width="12"/>
  </cols>
  <sheetData>
    <row r="1" customFormat="false" ht="6" hidden="false" customHeight="true" outlineLevel="0" collapsed="false"/>
    <row r="2" customFormat="false" ht="25.5" hidden="false" customHeight="true" outlineLevel="0" collapsed="false">
      <c r="B2" s="1" t="s">
        <v>0</v>
      </c>
      <c r="C2" s="1"/>
      <c r="D2" s="17" t="s">
        <v>175</v>
      </c>
      <c r="E2" s="17"/>
      <c r="F2" s="17"/>
      <c r="G2" s="3" t="s">
        <v>2</v>
      </c>
      <c r="H2" s="3"/>
    </row>
    <row r="3" customFormat="false" ht="25.5" hidden="false" customHeight="true" outlineLevel="0" collapsed="false">
      <c r="B3" s="1"/>
      <c r="C3" s="1"/>
      <c r="D3" s="17"/>
      <c r="E3" s="17"/>
      <c r="F3" s="17"/>
      <c r="G3" s="4" t="s">
        <v>176</v>
      </c>
      <c r="H3" s="4"/>
    </row>
    <row r="5" customFormat="false" ht="15" hidden="false" customHeight="true" outlineLevel="0" collapsed="false">
      <c r="B5" s="6" t="s">
        <v>72</v>
      </c>
      <c r="C5" s="6"/>
      <c r="D5" s="7"/>
      <c r="E5" s="7"/>
      <c r="F5" s="6" t="s">
        <v>73</v>
      </c>
      <c r="G5" s="7"/>
      <c r="H5" s="7"/>
    </row>
    <row r="6" customFormat="false" ht="15" hidden="false" customHeight="true" outlineLevel="0" collapsed="false">
      <c r="B6" s="6" t="s">
        <v>9</v>
      </c>
      <c r="C6" s="6"/>
      <c r="D6" s="7"/>
      <c r="E6" s="7"/>
      <c r="F6" s="6" t="s">
        <v>74</v>
      </c>
      <c r="G6" s="7"/>
      <c r="H6" s="7"/>
    </row>
    <row r="7" customFormat="false" ht="15" hidden="false" customHeight="true" outlineLevel="0" collapsed="false">
      <c r="B7" s="6" t="s">
        <v>75</v>
      </c>
      <c r="C7" s="6"/>
      <c r="D7" s="7"/>
      <c r="E7" s="7"/>
      <c r="F7" s="6" t="s">
        <v>76</v>
      </c>
      <c r="G7" s="7"/>
      <c r="H7" s="7"/>
    </row>
    <row r="8" customFormat="false" ht="15" hidden="false" customHeight="true" outlineLevel="0" collapsed="false">
      <c r="B8" s="6" t="s">
        <v>77</v>
      </c>
      <c r="C8" s="6"/>
      <c r="D8" s="7"/>
      <c r="E8" s="7"/>
      <c r="F8" s="6" t="s">
        <v>78</v>
      </c>
      <c r="G8" s="7"/>
      <c r="H8" s="7"/>
    </row>
    <row r="10" customFormat="false" ht="27.75" hidden="false" customHeight="true" outlineLevel="0" collapsed="false">
      <c r="B10" s="15" t="s">
        <v>79</v>
      </c>
      <c r="C10" s="15" t="s">
        <v>80</v>
      </c>
      <c r="D10" s="15" t="s">
        <v>81</v>
      </c>
      <c r="E10" s="15" t="s">
        <v>82</v>
      </c>
      <c r="F10" s="15" t="s">
        <v>83</v>
      </c>
      <c r="G10" s="15" t="s">
        <v>84</v>
      </c>
      <c r="H10" s="15" t="s">
        <v>85</v>
      </c>
    </row>
    <row r="11" customFormat="false" ht="15.75" hidden="false" customHeight="true" outlineLevel="0" collapsed="false">
      <c r="B11" s="18" t="s">
        <v>177</v>
      </c>
      <c r="C11" s="18"/>
      <c r="D11" s="18"/>
      <c r="E11" s="18"/>
      <c r="F11" s="18"/>
      <c r="G11" s="18"/>
      <c r="H11" s="18"/>
    </row>
    <row r="12" customFormat="false" ht="15" hidden="false" customHeight="true" outlineLevel="0" collapsed="false">
      <c r="B12" s="19" t="n">
        <v>1</v>
      </c>
      <c r="C12" s="20" t="s">
        <v>178</v>
      </c>
      <c r="D12" s="12"/>
      <c r="E12" s="12"/>
      <c r="F12" s="7"/>
      <c r="G12" s="7"/>
      <c r="H12" s="21"/>
    </row>
    <row r="13" customFormat="false" ht="15" hidden="false" customHeight="true" outlineLevel="0" collapsed="false">
      <c r="B13" s="19" t="n">
        <v>2</v>
      </c>
      <c r="C13" s="20" t="s">
        <v>179</v>
      </c>
      <c r="D13" s="12"/>
      <c r="E13" s="12"/>
      <c r="F13" s="7"/>
      <c r="G13" s="7"/>
      <c r="H13" s="21"/>
    </row>
    <row r="14" customFormat="false" ht="15" hidden="false" customHeight="true" outlineLevel="0" collapsed="false">
      <c r="B14" s="19" t="n">
        <v>3</v>
      </c>
      <c r="C14" s="20" t="s">
        <v>180</v>
      </c>
      <c r="D14" s="12"/>
      <c r="E14" s="12"/>
      <c r="F14" s="7"/>
      <c r="G14" s="7"/>
      <c r="H14" s="21"/>
    </row>
    <row r="15" customFormat="false" ht="15" hidden="false" customHeight="true" outlineLevel="0" collapsed="false">
      <c r="B15" s="19" t="n">
        <v>4</v>
      </c>
      <c r="C15" s="20" t="s">
        <v>181</v>
      </c>
      <c r="D15" s="12"/>
      <c r="E15" s="12"/>
      <c r="F15" s="7"/>
      <c r="G15" s="7"/>
      <c r="H15" s="21"/>
    </row>
    <row r="16" customFormat="false" ht="15" hidden="false" customHeight="true" outlineLevel="0" collapsed="false">
      <c r="B16" s="19" t="n">
        <v>5</v>
      </c>
      <c r="C16" s="20" t="s">
        <v>182</v>
      </c>
      <c r="D16" s="12"/>
      <c r="E16" s="12"/>
      <c r="F16" s="7"/>
      <c r="G16" s="7"/>
      <c r="H16" s="21"/>
    </row>
    <row r="17" customFormat="false" ht="15" hidden="false" customHeight="true" outlineLevel="0" collapsed="false">
      <c r="B17" s="19" t="n">
        <v>6</v>
      </c>
      <c r="C17" s="20" t="s">
        <v>183</v>
      </c>
      <c r="D17" s="12"/>
      <c r="E17" s="12"/>
      <c r="F17" s="7"/>
      <c r="G17" s="7"/>
      <c r="H17" s="21"/>
    </row>
    <row r="18" customFormat="false" ht="15" hidden="false" customHeight="true" outlineLevel="0" collapsed="false">
      <c r="B18" s="19" t="n">
        <v>7</v>
      </c>
      <c r="C18" s="20" t="s">
        <v>184</v>
      </c>
      <c r="D18" s="12"/>
      <c r="E18" s="12"/>
      <c r="F18" s="7"/>
      <c r="G18" s="7"/>
      <c r="H18" s="21"/>
    </row>
    <row r="19" customFormat="false" ht="15" hidden="false" customHeight="true" outlineLevel="0" collapsed="false">
      <c r="B19" s="19" t="n">
        <v>8</v>
      </c>
      <c r="C19" s="20" t="s">
        <v>185</v>
      </c>
      <c r="D19" s="12"/>
      <c r="E19" s="12"/>
      <c r="F19" s="7"/>
      <c r="G19" s="7"/>
      <c r="H19" s="21"/>
    </row>
    <row r="20" customFormat="false" ht="15.75" hidden="false" customHeight="true" outlineLevel="0" collapsed="false">
      <c r="B20" s="18" t="s">
        <v>186</v>
      </c>
      <c r="C20" s="18"/>
      <c r="D20" s="18"/>
      <c r="E20" s="18"/>
      <c r="F20" s="18"/>
      <c r="G20" s="18"/>
      <c r="H20" s="18"/>
    </row>
    <row r="21" customFormat="false" ht="15" hidden="false" customHeight="true" outlineLevel="0" collapsed="false">
      <c r="B21" s="19" t="n">
        <v>1</v>
      </c>
      <c r="C21" s="20" t="s">
        <v>187</v>
      </c>
      <c r="D21" s="12"/>
      <c r="E21" s="12"/>
      <c r="F21" s="7"/>
      <c r="G21" s="7"/>
      <c r="H21" s="21"/>
    </row>
    <row r="22" customFormat="false" ht="15" hidden="false" customHeight="true" outlineLevel="0" collapsed="false">
      <c r="B22" s="19" t="n">
        <v>2</v>
      </c>
      <c r="C22" s="20" t="s">
        <v>188</v>
      </c>
      <c r="D22" s="12"/>
      <c r="E22" s="12"/>
      <c r="F22" s="7"/>
      <c r="G22" s="7"/>
      <c r="H22" s="21"/>
    </row>
    <row r="23" customFormat="false" ht="15" hidden="false" customHeight="true" outlineLevel="0" collapsed="false">
      <c r="B23" s="19" t="n">
        <v>3</v>
      </c>
      <c r="C23" s="20" t="s">
        <v>189</v>
      </c>
      <c r="D23" s="12"/>
      <c r="E23" s="12"/>
      <c r="F23" s="7"/>
      <c r="G23" s="7"/>
      <c r="H23" s="21"/>
    </row>
    <row r="24" customFormat="false" ht="15" hidden="false" customHeight="true" outlineLevel="0" collapsed="false">
      <c r="B24" s="19" t="n">
        <v>4</v>
      </c>
      <c r="C24" s="20" t="s">
        <v>190</v>
      </c>
      <c r="D24" s="12"/>
      <c r="E24" s="12"/>
      <c r="F24" s="7"/>
      <c r="G24" s="7"/>
      <c r="H24" s="21"/>
    </row>
    <row r="25" customFormat="false" ht="15" hidden="false" customHeight="true" outlineLevel="0" collapsed="false">
      <c r="B25" s="19" t="n">
        <v>5</v>
      </c>
      <c r="C25" s="20" t="s">
        <v>191</v>
      </c>
      <c r="D25" s="12"/>
      <c r="E25" s="12"/>
      <c r="F25" s="7"/>
      <c r="G25" s="7"/>
      <c r="H25" s="21"/>
    </row>
    <row r="26" customFormat="false" ht="15" hidden="false" customHeight="true" outlineLevel="0" collapsed="false">
      <c r="B26" s="19" t="n">
        <v>6</v>
      </c>
      <c r="C26" s="20" t="s">
        <v>192</v>
      </c>
      <c r="D26" s="12"/>
      <c r="E26" s="12"/>
      <c r="F26" s="7"/>
      <c r="G26" s="7"/>
      <c r="H26" s="21"/>
    </row>
    <row r="27" customFormat="false" ht="15" hidden="false" customHeight="true" outlineLevel="0" collapsed="false">
      <c r="B27" s="19" t="n">
        <v>7</v>
      </c>
      <c r="C27" s="20" t="s">
        <v>193</v>
      </c>
      <c r="D27" s="12"/>
      <c r="E27" s="12"/>
      <c r="F27" s="7"/>
      <c r="G27" s="7"/>
      <c r="H27" s="21"/>
    </row>
    <row r="28" customFormat="false" ht="15.75" hidden="false" customHeight="true" outlineLevel="0" collapsed="false">
      <c r="B28" s="18" t="s">
        <v>194</v>
      </c>
      <c r="C28" s="18"/>
      <c r="D28" s="18"/>
      <c r="E28" s="18"/>
      <c r="F28" s="18"/>
      <c r="G28" s="18"/>
      <c r="H28" s="18"/>
    </row>
    <row r="29" customFormat="false" ht="15" hidden="false" customHeight="true" outlineLevel="0" collapsed="false">
      <c r="B29" s="19" t="n">
        <v>1</v>
      </c>
      <c r="C29" s="20" t="s">
        <v>195</v>
      </c>
      <c r="D29" s="12"/>
      <c r="E29" s="12"/>
      <c r="F29" s="7"/>
      <c r="G29" s="7"/>
      <c r="H29" s="21"/>
    </row>
    <row r="30" customFormat="false" ht="15" hidden="false" customHeight="true" outlineLevel="0" collapsed="false">
      <c r="B30" s="19" t="n">
        <v>2</v>
      </c>
      <c r="C30" s="20" t="s">
        <v>196</v>
      </c>
      <c r="D30" s="12"/>
      <c r="E30" s="12"/>
      <c r="F30" s="7"/>
      <c r="G30" s="7"/>
      <c r="H30" s="21"/>
    </row>
    <row r="31" customFormat="false" ht="15" hidden="false" customHeight="true" outlineLevel="0" collapsed="false">
      <c r="B31" s="19" t="n">
        <v>3</v>
      </c>
      <c r="C31" s="20" t="s">
        <v>197</v>
      </c>
      <c r="D31" s="12"/>
      <c r="E31" s="12"/>
      <c r="F31" s="7"/>
      <c r="G31" s="7"/>
      <c r="H31" s="21"/>
    </row>
    <row r="32" customFormat="false" ht="15" hidden="false" customHeight="true" outlineLevel="0" collapsed="false">
      <c r="B32" s="19" t="n">
        <v>4</v>
      </c>
      <c r="C32" s="20" t="s">
        <v>198</v>
      </c>
      <c r="D32" s="12"/>
      <c r="E32" s="12"/>
      <c r="F32" s="7"/>
      <c r="G32" s="7"/>
      <c r="H32" s="21"/>
    </row>
    <row r="33" customFormat="false" ht="15" hidden="false" customHeight="true" outlineLevel="0" collapsed="false">
      <c r="B33" s="19" t="n">
        <v>5</v>
      </c>
      <c r="C33" s="20" t="s">
        <v>199</v>
      </c>
      <c r="D33" s="12"/>
      <c r="E33" s="12"/>
      <c r="F33" s="7"/>
      <c r="G33" s="7"/>
      <c r="H33" s="21"/>
    </row>
    <row r="34" customFormat="false" ht="15" hidden="false" customHeight="true" outlineLevel="0" collapsed="false">
      <c r="B34" s="19" t="n">
        <v>6</v>
      </c>
      <c r="C34" s="20" t="s">
        <v>200</v>
      </c>
      <c r="D34" s="12"/>
      <c r="E34" s="12"/>
      <c r="F34" s="7"/>
      <c r="G34" s="7"/>
      <c r="H34" s="21"/>
    </row>
    <row r="35" customFormat="false" ht="15" hidden="false" customHeight="true" outlineLevel="0" collapsed="false">
      <c r="B35" s="19" t="n">
        <v>7</v>
      </c>
      <c r="C35" s="20" t="s">
        <v>201</v>
      </c>
      <c r="D35" s="12"/>
      <c r="E35" s="12"/>
      <c r="F35" s="7"/>
      <c r="G35" s="7"/>
      <c r="H35" s="21"/>
    </row>
    <row r="36" customFormat="false" ht="15.75" hidden="false" customHeight="true" outlineLevel="0" collapsed="false">
      <c r="B36" s="18" t="s">
        <v>202</v>
      </c>
      <c r="C36" s="18"/>
      <c r="D36" s="18"/>
      <c r="E36" s="18"/>
      <c r="F36" s="18"/>
      <c r="G36" s="18"/>
      <c r="H36" s="18"/>
    </row>
    <row r="37" customFormat="false" ht="15" hidden="false" customHeight="true" outlineLevel="0" collapsed="false">
      <c r="B37" s="19" t="n">
        <v>1</v>
      </c>
      <c r="C37" s="20" t="s">
        <v>203</v>
      </c>
      <c r="D37" s="12"/>
      <c r="E37" s="12"/>
      <c r="F37" s="7"/>
      <c r="G37" s="7"/>
      <c r="H37" s="21"/>
    </row>
    <row r="38" customFormat="false" ht="15" hidden="false" customHeight="true" outlineLevel="0" collapsed="false">
      <c r="B38" s="19" t="n">
        <v>2</v>
      </c>
      <c r="C38" s="20" t="s">
        <v>204</v>
      </c>
      <c r="D38" s="12"/>
      <c r="E38" s="12"/>
      <c r="F38" s="7"/>
      <c r="G38" s="7"/>
      <c r="H38" s="21"/>
    </row>
    <row r="39" customFormat="false" ht="15" hidden="false" customHeight="true" outlineLevel="0" collapsed="false">
      <c r="B39" s="19" t="n">
        <v>3</v>
      </c>
      <c r="C39" s="20" t="s">
        <v>205</v>
      </c>
      <c r="D39" s="12"/>
      <c r="E39" s="12"/>
      <c r="F39" s="7"/>
      <c r="G39" s="7"/>
      <c r="H39" s="21"/>
    </row>
    <row r="40" customFormat="false" ht="15" hidden="false" customHeight="true" outlineLevel="0" collapsed="false">
      <c r="B40" s="19" t="n">
        <v>4</v>
      </c>
      <c r="C40" s="20" t="s">
        <v>206</v>
      </c>
      <c r="D40" s="12"/>
      <c r="E40" s="12"/>
      <c r="F40" s="7"/>
      <c r="G40" s="7"/>
      <c r="H40" s="21"/>
    </row>
    <row r="41" customFormat="false" ht="15" hidden="false" customHeight="true" outlineLevel="0" collapsed="false">
      <c r="B41" s="19" t="n">
        <v>5</v>
      </c>
      <c r="C41" s="20" t="s">
        <v>207</v>
      </c>
      <c r="D41" s="12"/>
      <c r="E41" s="12"/>
      <c r="F41" s="7"/>
      <c r="G41" s="7"/>
      <c r="H41" s="21"/>
    </row>
    <row r="42" customFormat="false" ht="15" hidden="false" customHeight="true" outlineLevel="0" collapsed="false">
      <c r="B42" s="19" t="n">
        <v>6</v>
      </c>
      <c r="C42" s="20" t="s">
        <v>208</v>
      </c>
      <c r="D42" s="12"/>
      <c r="E42" s="12"/>
      <c r="F42" s="7"/>
      <c r="G42" s="7"/>
      <c r="H42" s="21"/>
    </row>
    <row r="43" customFormat="false" ht="15" hidden="false" customHeight="true" outlineLevel="0" collapsed="false">
      <c r="B43" s="19" t="n">
        <v>7</v>
      </c>
      <c r="C43" s="20" t="s">
        <v>209</v>
      </c>
      <c r="D43" s="12"/>
      <c r="E43" s="12"/>
      <c r="F43" s="7"/>
      <c r="G43" s="7"/>
      <c r="H43" s="21"/>
    </row>
    <row r="44" customFormat="false" ht="15.75" hidden="false" customHeight="true" outlineLevel="0" collapsed="false">
      <c r="B44" s="18" t="s">
        <v>210</v>
      </c>
      <c r="C44" s="18"/>
      <c r="D44" s="18"/>
      <c r="E44" s="18"/>
      <c r="F44" s="18"/>
      <c r="G44" s="18"/>
      <c r="H44" s="18"/>
    </row>
    <row r="45" customFormat="false" ht="15" hidden="false" customHeight="true" outlineLevel="0" collapsed="false">
      <c r="B45" s="19" t="n">
        <v>1</v>
      </c>
      <c r="C45" s="20" t="s">
        <v>211</v>
      </c>
      <c r="D45" s="12"/>
      <c r="E45" s="12"/>
      <c r="F45" s="7"/>
      <c r="G45" s="7"/>
      <c r="H45" s="21"/>
    </row>
    <row r="46" customFormat="false" ht="15" hidden="false" customHeight="true" outlineLevel="0" collapsed="false">
      <c r="B46" s="19" t="n">
        <v>2</v>
      </c>
      <c r="C46" s="20" t="s">
        <v>212</v>
      </c>
      <c r="D46" s="12"/>
      <c r="E46" s="12"/>
      <c r="F46" s="7"/>
      <c r="G46" s="7"/>
      <c r="H46" s="21"/>
    </row>
    <row r="47" customFormat="false" ht="15" hidden="false" customHeight="true" outlineLevel="0" collapsed="false">
      <c r="B47" s="19" t="n">
        <v>3</v>
      </c>
      <c r="C47" s="20" t="s">
        <v>213</v>
      </c>
      <c r="D47" s="12"/>
      <c r="E47" s="12"/>
      <c r="F47" s="7"/>
      <c r="G47" s="7"/>
      <c r="H47" s="21"/>
    </row>
    <row r="48" customFormat="false" ht="15" hidden="false" customHeight="true" outlineLevel="0" collapsed="false">
      <c r="B48" s="19" t="n">
        <v>4</v>
      </c>
      <c r="C48" s="20" t="s">
        <v>214</v>
      </c>
      <c r="D48" s="12"/>
      <c r="E48" s="12"/>
      <c r="F48" s="7"/>
      <c r="G48" s="7"/>
      <c r="H48" s="21"/>
    </row>
    <row r="49" customFormat="false" ht="15" hidden="false" customHeight="true" outlineLevel="0" collapsed="false">
      <c r="B49" s="19" t="n">
        <v>5</v>
      </c>
      <c r="C49" s="20" t="s">
        <v>215</v>
      </c>
      <c r="D49" s="12"/>
      <c r="E49" s="12"/>
      <c r="F49" s="7"/>
      <c r="G49" s="7"/>
      <c r="H49" s="21"/>
    </row>
    <row r="50" customFormat="false" ht="15" hidden="false" customHeight="true" outlineLevel="0" collapsed="false">
      <c r="B50" s="19" t="n">
        <v>6</v>
      </c>
      <c r="C50" s="20" t="s">
        <v>216</v>
      </c>
      <c r="D50" s="12"/>
      <c r="E50" s="12"/>
      <c r="F50" s="7"/>
      <c r="G50" s="7"/>
      <c r="H50" s="21"/>
    </row>
    <row r="51" customFormat="false" ht="15" hidden="false" customHeight="true" outlineLevel="0" collapsed="false">
      <c r="B51" s="19" t="n">
        <v>7</v>
      </c>
      <c r="C51" s="20" t="s">
        <v>217</v>
      </c>
      <c r="D51" s="12"/>
      <c r="E51" s="12"/>
      <c r="F51" s="7"/>
      <c r="G51" s="7"/>
      <c r="H51" s="21"/>
    </row>
    <row r="52" customFormat="false" ht="15.75" hidden="false" customHeight="true" outlineLevel="0" collapsed="false">
      <c r="B52" s="18" t="s">
        <v>218</v>
      </c>
      <c r="C52" s="18"/>
      <c r="D52" s="18"/>
      <c r="E52" s="18"/>
      <c r="F52" s="18"/>
      <c r="G52" s="18"/>
      <c r="H52" s="18"/>
    </row>
    <row r="53" customFormat="false" ht="15" hidden="false" customHeight="true" outlineLevel="0" collapsed="false">
      <c r="B53" s="19" t="n">
        <v>1</v>
      </c>
      <c r="C53" s="20" t="s">
        <v>219</v>
      </c>
      <c r="D53" s="12"/>
      <c r="E53" s="12"/>
      <c r="F53" s="7"/>
      <c r="G53" s="7"/>
      <c r="H53" s="21"/>
    </row>
    <row r="54" customFormat="false" ht="15" hidden="false" customHeight="true" outlineLevel="0" collapsed="false">
      <c r="B54" s="19" t="n">
        <v>2</v>
      </c>
      <c r="C54" s="20" t="s">
        <v>220</v>
      </c>
      <c r="D54" s="12"/>
      <c r="E54" s="12"/>
      <c r="F54" s="7"/>
      <c r="G54" s="7"/>
      <c r="H54" s="21"/>
    </row>
    <row r="55" customFormat="false" ht="15" hidden="false" customHeight="true" outlineLevel="0" collapsed="false">
      <c r="B55" s="19" t="n">
        <v>3</v>
      </c>
      <c r="C55" s="20" t="s">
        <v>221</v>
      </c>
      <c r="D55" s="12"/>
      <c r="E55" s="12"/>
      <c r="F55" s="7"/>
      <c r="G55" s="7"/>
      <c r="H55" s="21"/>
    </row>
    <row r="56" customFormat="false" ht="15" hidden="false" customHeight="true" outlineLevel="0" collapsed="false">
      <c r="B56" s="19" t="n">
        <v>4</v>
      </c>
      <c r="C56" s="20" t="s">
        <v>222</v>
      </c>
      <c r="D56" s="12"/>
      <c r="E56" s="12"/>
      <c r="F56" s="7"/>
      <c r="G56" s="7"/>
      <c r="H56" s="21"/>
    </row>
    <row r="57" customFormat="false" ht="15" hidden="false" customHeight="true" outlineLevel="0" collapsed="false">
      <c r="B57" s="19" t="n">
        <v>5</v>
      </c>
      <c r="C57" s="20" t="s">
        <v>223</v>
      </c>
      <c r="D57" s="12"/>
      <c r="E57" s="12"/>
      <c r="F57" s="7"/>
      <c r="G57" s="7"/>
      <c r="H57" s="21"/>
    </row>
    <row r="58" customFormat="false" ht="15" hidden="false" customHeight="true" outlineLevel="0" collapsed="false">
      <c r="B58" s="19" t="n">
        <v>6</v>
      </c>
      <c r="C58" s="20" t="s">
        <v>224</v>
      </c>
      <c r="D58" s="12"/>
      <c r="E58" s="12"/>
      <c r="F58" s="7"/>
      <c r="G58" s="7"/>
      <c r="H58" s="21"/>
    </row>
    <row r="59" customFormat="false" ht="15" hidden="false" customHeight="true" outlineLevel="0" collapsed="false">
      <c r="B59" s="19" t="n">
        <v>7</v>
      </c>
      <c r="C59" s="20" t="s">
        <v>225</v>
      </c>
      <c r="D59" s="12"/>
      <c r="E59" s="12"/>
      <c r="F59" s="7"/>
      <c r="G59" s="7"/>
      <c r="H59" s="21"/>
    </row>
    <row r="60" customFormat="false" ht="15.75" hidden="false" customHeight="true" outlineLevel="0" collapsed="false">
      <c r="B60" s="18" t="s">
        <v>226</v>
      </c>
      <c r="C60" s="18"/>
      <c r="D60" s="18"/>
      <c r="E60" s="18"/>
      <c r="F60" s="18"/>
      <c r="G60" s="18"/>
      <c r="H60" s="18"/>
    </row>
    <row r="61" customFormat="false" ht="15" hidden="false" customHeight="true" outlineLevel="0" collapsed="false">
      <c r="B61" s="19" t="n">
        <v>1</v>
      </c>
      <c r="C61" s="20" t="s">
        <v>227</v>
      </c>
      <c r="D61" s="12"/>
      <c r="E61" s="12"/>
      <c r="F61" s="7"/>
      <c r="G61" s="7"/>
      <c r="H61" s="21"/>
    </row>
    <row r="62" customFormat="false" ht="15" hidden="false" customHeight="true" outlineLevel="0" collapsed="false">
      <c r="B62" s="19" t="n">
        <v>2</v>
      </c>
      <c r="C62" s="20" t="s">
        <v>228</v>
      </c>
      <c r="D62" s="12"/>
      <c r="E62" s="12"/>
      <c r="F62" s="7"/>
      <c r="G62" s="7"/>
      <c r="H62" s="21"/>
    </row>
    <row r="63" customFormat="false" ht="15" hidden="false" customHeight="true" outlineLevel="0" collapsed="false">
      <c r="B63" s="19" t="n">
        <v>3</v>
      </c>
      <c r="C63" s="20" t="s">
        <v>229</v>
      </c>
      <c r="D63" s="12"/>
      <c r="E63" s="12"/>
      <c r="F63" s="7"/>
      <c r="G63" s="7"/>
      <c r="H63" s="21"/>
    </row>
    <row r="64" customFormat="false" ht="15" hidden="false" customHeight="true" outlineLevel="0" collapsed="false">
      <c r="B64" s="19" t="n">
        <v>4</v>
      </c>
      <c r="C64" s="20" t="s">
        <v>230</v>
      </c>
      <c r="D64" s="12"/>
      <c r="E64" s="12"/>
      <c r="F64" s="7"/>
      <c r="G64" s="7"/>
      <c r="H64" s="21"/>
    </row>
    <row r="65" customFormat="false" ht="15" hidden="false" customHeight="true" outlineLevel="0" collapsed="false">
      <c r="B65" s="19" t="n">
        <v>5</v>
      </c>
      <c r="C65" s="20" t="s">
        <v>231</v>
      </c>
      <c r="D65" s="12"/>
      <c r="E65" s="12"/>
      <c r="F65" s="7"/>
      <c r="G65" s="7"/>
      <c r="H65" s="21"/>
    </row>
    <row r="66" customFormat="false" ht="15" hidden="false" customHeight="true" outlineLevel="0" collapsed="false">
      <c r="B66" s="19" t="n">
        <v>6</v>
      </c>
      <c r="C66" s="20" t="s">
        <v>232</v>
      </c>
      <c r="D66" s="12"/>
      <c r="E66" s="12"/>
      <c r="F66" s="7"/>
      <c r="G66" s="7"/>
      <c r="H66" s="21"/>
    </row>
    <row r="68" customFormat="false" ht="15.75" hidden="false" customHeight="true" outlineLevel="0" collapsed="false">
      <c r="B68" s="5" t="s">
        <v>164</v>
      </c>
      <c r="C68" s="5"/>
      <c r="D68" s="5"/>
      <c r="E68" s="5"/>
      <c r="F68" s="5"/>
      <c r="G68" s="5"/>
      <c r="H68" s="5"/>
    </row>
    <row r="69" customFormat="false" ht="15" hidden="false" customHeight="true" outlineLevel="0" collapsed="false">
      <c r="B69" s="6" t="s">
        <v>165</v>
      </c>
      <c r="C69" s="6"/>
      <c r="D69" s="22" t="n">
        <f aca="false">COUNTIF($D$11:$D$66,"&lt;&gt;")</f>
        <v>0</v>
      </c>
      <c r="E69" s="7"/>
      <c r="F69" s="7"/>
      <c r="G69" s="7"/>
      <c r="H69" s="7"/>
    </row>
    <row r="70" customFormat="false" ht="15" hidden="false" customHeight="true" outlineLevel="0" collapsed="false">
      <c r="B70" s="6" t="s">
        <v>166</v>
      </c>
      <c r="C70" s="6"/>
      <c r="D70" s="22" t="n">
        <f aca="false">COUNTIF($D$11:$D$66,"Yes")</f>
        <v>0</v>
      </c>
      <c r="E70" s="7"/>
      <c r="F70" s="7"/>
      <c r="G70" s="7"/>
      <c r="H70" s="7"/>
    </row>
    <row r="71" customFormat="false" ht="15" hidden="false" customHeight="true" outlineLevel="0" collapsed="false">
      <c r="B71" s="6" t="s">
        <v>167</v>
      </c>
      <c r="C71" s="6"/>
      <c r="D71" s="22" t="n">
        <f aca="false">COUNTIF($D$11:$D$66,"No")</f>
        <v>0</v>
      </c>
      <c r="E71" s="7"/>
      <c r="F71" s="7"/>
      <c r="G71" s="7"/>
      <c r="H71" s="7"/>
    </row>
    <row r="72" customFormat="false" ht="15" hidden="false" customHeight="true" outlineLevel="0" collapsed="false">
      <c r="B72" s="6" t="s">
        <v>168</v>
      </c>
      <c r="C72" s="6"/>
      <c r="D72" s="22" t="n">
        <f aca="false">COUNTIF($D$11:$D$66,"NA")</f>
        <v>0</v>
      </c>
      <c r="E72" s="7"/>
      <c r="F72" s="7"/>
      <c r="G72" s="7"/>
      <c r="H72" s="7"/>
    </row>
    <row r="73" customFormat="false" ht="15" hidden="false" customHeight="true" outlineLevel="0" collapsed="false">
      <c r="B73" s="6" t="s">
        <v>169</v>
      </c>
      <c r="C73" s="6"/>
      <c r="D73" s="23" t="str">
        <f aca="false">IFERROR(COUNTIF($D$11:$D$66,"Yes")/(COUNTIF($D$11:$D$66,"Yes")+COUNTIF($D$11:$D$66,"No")),"")</f>
        <v/>
      </c>
      <c r="E73" s="24"/>
      <c r="F73" s="24"/>
      <c r="G73" s="24"/>
      <c r="H73" s="24"/>
    </row>
    <row r="74" customFormat="false" ht="15" hidden="false" customHeight="true" outlineLevel="0" collapsed="false">
      <c r="B74" s="6" t="s">
        <v>170</v>
      </c>
      <c r="C74" s="6"/>
      <c r="D74" s="22" t="n">
        <f aca="false">COUNTIF($E$11:$E$66,"High")</f>
        <v>0</v>
      </c>
      <c r="E74" s="7"/>
      <c r="F74" s="7"/>
      <c r="G74" s="7"/>
      <c r="H74" s="7"/>
    </row>
    <row r="75" customFormat="false" ht="18" hidden="false" customHeight="true" outlineLevel="0" collapsed="false">
      <c r="B75" s="25" t="s">
        <v>171</v>
      </c>
      <c r="C75" s="25"/>
      <c r="D75" s="26" t="str">
        <f aca="false">IF(COUNTIF($D$11:$D$66,"&lt;&gt;")=0,"— inspection not filled —",IF(COUNTIF($E$11:$E$66,"High")&gt;0,"UNSATISFACTORY — high-risk finding open, immediate action required",IF(IFERROR(COUNTIF($D$11:$D$66,"Yes")/(COUNTIF($D$11:$D$66,"Yes")+COUNTIF($D$11:$D$66,"No")),0)&gt;=0.95,"SATISFACTORY",IF(IFERROR(COUNTIF($D$11:$D$66,"Yes")/(COUNTIF($D$11:$D$66,"Yes")+COUNTIF($D$11:$D$66,"No")),0)&gt;=0.85,"NEEDS IMPROVEMENT","UNSATISFACTORY"))))</f>
        <v>— inspection not filled —</v>
      </c>
      <c r="E75" s="26"/>
      <c r="F75" s="26"/>
      <c r="G75" s="26"/>
      <c r="H75" s="26"/>
    </row>
    <row r="77" customFormat="false" ht="31.5" hidden="false" customHeight="true" outlineLevel="0" collapsed="false">
      <c r="B77" s="15" t="s">
        <v>172</v>
      </c>
      <c r="C77" s="15"/>
      <c r="D77" s="7"/>
      <c r="E77" s="7"/>
      <c r="F77" s="15" t="s">
        <v>173</v>
      </c>
      <c r="G77" s="7"/>
      <c r="H77" s="7"/>
    </row>
    <row r="78" customFormat="false" ht="24" hidden="false" customHeight="true" outlineLevel="0" collapsed="false">
      <c r="B78" s="27" t="s">
        <v>233</v>
      </c>
      <c r="C78" s="27"/>
      <c r="D78" s="27"/>
      <c r="E78" s="27"/>
      <c r="F78" s="27"/>
      <c r="G78" s="27"/>
      <c r="H78" s="27"/>
    </row>
  </sheetData>
  <mergeCells count="42">
    <mergeCell ref="B2:C3"/>
    <mergeCell ref="D2:F3"/>
    <mergeCell ref="G2:H2"/>
    <mergeCell ref="G3:H3"/>
    <mergeCell ref="B5:C5"/>
    <mergeCell ref="D5:E5"/>
    <mergeCell ref="G5:H5"/>
    <mergeCell ref="B6:C6"/>
    <mergeCell ref="D6:E6"/>
    <mergeCell ref="G6:H6"/>
    <mergeCell ref="B7:C7"/>
    <mergeCell ref="D7:E7"/>
    <mergeCell ref="G7:H7"/>
    <mergeCell ref="B8:C8"/>
    <mergeCell ref="D8:E8"/>
    <mergeCell ref="G8:H8"/>
    <mergeCell ref="B11:H11"/>
    <mergeCell ref="B20:H20"/>
    <mergeCell ref="B28:H28"/>
    <mergeCell ref="B36:H36"/>
    <mergeCell ref="B44:H44"/>
    <mergeCell ref="B52:H52"/>
    <mergeCell ref="B60:H60"/>
    <mergeCell ref="B68:H68"/>
    <mergeCell ref="B69:C69"/>
    <mergeCell ref="E69:H69"/>
    <mergeCell ref="B70:C70"/>
    <mergeCell ref="E70:H70"/>
    <mergeCell ref="B71:C71"/>
    <mergeCell ref="E71:H71"/>
    <mergeCell ref="B72:C72"/>
    <mergeCell ref="E72:H72"/>
    <mergeCell ref="B73:C73"/>
    <mergeCell ref="E73:H73"/>
    <mergeCell ref="B74:C74"/>
    <mergeCell ref="E74:H74"/>
    <mergeCell ref="B75:C75"/>
    <mergeCell ref="D75:H75"/>
    <mergeCell ref="B77:C77"/>
    <mergeCell ref="D77:E77"/>
    <mergeCell ref="G77:H77"/>
    <mergeCell ref="B78:H78"/>
  </mergeCells>
  <dataValidations count="2">
    <dataValidation allowBlank="true" errorStyle="stop" operator="between" showDropDown="false" showErrorMessage="false" showInputMessage="false" sqref="D11:D66" type="list">
      <formula1>"Yes,No,NA"</formula1>
      <formula2>0</formula2>
    </dataValidation>
    <dataValidation allowBlank="true" errorStyle="stop" operator="between" showDropDown="false" showErrorMessage="false" showInputMessage="false" sqref="E11:E66"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14"/>
    <col collapsed="false" customWidth="true" hidden="false" outlineLevel="0" max="4" min="4" style="0" width="12"/>
    <col collapsed="false" customWidth="true" hidden="false" outlineLevel="0" max="5" min="5" style="0" width="17"/>
    <col collapsed="false" customWidth="true" hidden="false" outlineLevel="0" max="6" min="6" style="0" width="20"/>
    <col collapsed="false" customWidth="true" hidden="false" outlineLevel="0" max="7" min="7" style="0" width="38"/>
    <col collapsed="false" customWidth="true" hidden="false" outlineLevel="0" max="8" min="8" style="0" width="11"/>
    <col collapsed="false" customWidth="true" hidden="false" outlineLevel="0" max="9" min="9" style="0" width="32"/>
    <col collapsed="false" customWidth="true" hidden="false" outlineLevel="0" max="10" min="10" style="0" width="16"/>
    <col collapsed="false" customWidth="true" hidden="false" outlineLevel="0" max="11" min="11" style="0" width="12"/>
    <col collapsed="false" customWidth="true" hidden="false" outlineLevel="0" max="12" min="12" style="0" width="18"/>
    <col collapsed="false" customWidth="true" hidden="false" outlineLevel="0" max="13" min="13" style="0" width="12"/>
    <col collapsed="false" customWidth="true" hidden="false" outlineLevel="0" max="14" min="14" style="0" width="10"/>
    <col collapsed="false" customWidth="true" hidden="false" outlineLevel="0" max="15" min="15" style="0" width="18"/>
    <col collapsed="false" customWidth="true" hidden="false" outlineLevel="0" max="16" min="16" style="0" width="22"/>
  </cols>
  <sheetData>
    <row r="1" customFormat="false" ht="6" hidden="false" customHeight="true" outlineLevel="0" collapsed="false"/>
    <row r="2" customFormat="false" ht="24" hidden="false" customHeight="true" outlineLevel="0" collapsed="false">
      <c r="B2" s="28" t="s">
        <v>234</v>
      </c>
      <c r="C2" s="28"/>
      <c r="D2" s="28"/>
      <c r="E2" s="28"/>
      <c r="F2" s="28"/>
      <c r="G2" s="28"/>
      <c r="H2" s="28"/>
      <c r="I2" s="28"/>
      <c r="J2" s="28"/>
      <c r="K2" s="28"/>
      <c r="L2" s="28"/>
      <c r="M2" s="28"/>
      <c r="N2" s="28"/>
      <c r="O2" s="28"/>
      <c r="P2" s="28"/>
    </row>
    <row r="3" customFormat="false" ht="12.75" hidden="false" customHeight="true" outlineLevel="0" collapsed="false">
      <c r="B3" s="10" t="s">
        <v>235</v>
      </c>
      <c r="C3" s="10"/>
      <c r="D3" s="10"/>
      <c r="E3" s="10"/>
      <c r="F3" s="10"/>
      <c r="G3" s="10"/>
      <c r="H3" s="10"/>
      <c r="I3" s="10"/>
      <c r="J3" s="10"/>
      <c r="K3" s="10"/>
      <c r="L3" s="10"/>
      <c r="M3" s="10"/>
      <c r="N3" s="10"/>
      <c r="O3" s="10"/>
      <c r="P3" s="10"/>
    </row>
    <row r="4" customFormat="false" ht="30" hidden="false" customHeight="true" outlineLevel="0" collapsed="false">
      <c r="B4" s="15" t="s">
        <v>79</v>
      </c>
      <c r="C4" s="15" t="s">
        <v>236</v>
      </c>
      <c r="D4" s="15" t="s">
        <v>237</v>
      </c>
      <c r="E4" s="15" t="s">
        <v>238</v>
      </c>
      <c r="F4" s="15" t="s">
        <v>239</v>
      </c>
      <c r="G4" s="15" t="s">
        <v>240</v>
      </c>
      <c r="H4" s="15" t="s">
        <v>241</v>
      </c>
      <c r="I4" s="15" t="s">
        <v>242</v>
      </c>
      <c r="J4" s="15" t="s">
        <v>84</v>
      </c>
      <c r="K4" s="15" t="s">
        <v>85</v>
      </c>
      <c r="L4" s="15" t="s">
        <v>243</v>
      </c>
      <c r="M4" s="15" t="s">
        <v>244</v>
      </c>
      <c r="N4" s="15" t="s">
        <v>245</v>
      </c>
      <c r="O4" s="15" t="s">
        <v>81</v>
      </c>
      <c r="P4" s="15" t="s">
        <v>246</v>
      </c>
    </row>
    <row r="5" customFormat="false" ht="13.5" hidden="false" customHeight="true" outlineLevel="0" collapsed="false">
      <c r="B5" s="29" t="s">
        <v>247</v>
      </c>
      <c r="C5" s="30" t="s">
        <v>248</v>
      </c>
      <c r="D5" s="31" t="n">
        <v>46251</v>
      </c>
      <c r="E5" s="30" t="s">
        <v>249</v>
      </c>
      <c r="F5" s="30" t="s">
        <v>250</v>
      </c>
      <c r="G5" s="30" t="s">
        <v>251</v>
      </c>
      <c r="H5" s="29" t="s">
        <v>252</v>
      </c>
      <c r="I5" s="30" t="s">
        <v>253</v>
      </c>
      <c r="J5" s="30" t="s">
        <v>254</v>
      </c>
      <c r="K5" s="31" t="n">
        <v>46252</v>
      </c>
      <c r="L5" s="29" t="s">
        <v>255</v>
      </c>
      <c r="M5" s="31" t="n">
        <v>46252</v>
      </c>
      <c r="N5" s="32" t="n">
        <f aca="true">IF($D5="","",IF($M5&lt;&gt;"",$M5-$D5,TODAY()-$D5))</f>
        <v>1</v>
      </c>
      <c r="O5" s="33" t="str">
        <f aca="true">IF($C5="","",IF($M5&lt;&gt;"","Closed",IF(AND($K5&lt;&gt;"",$K5&lt;TODAY()),"OVERDUE",IF($H5="High","OPEN — HIGH RISK","Open"))))</f>
        <v>Closed</v>
      </c>
      <c r="P5" s="30" t="s">
        <v>256</v>
      </c>
    </row>
    <row r="6" customFormat="false" ht="13.5" hidden="false" customHeight="true" outlineLevel="0" collapsed="false">
      <c r="B6" s="34"/>
      <c r="C6" s="35"/>
      <c r="D6" s="36"/>
      <c r="E6" s="35"/>
      <c r="F6" s="35"/>
      <c r="G6" s="35"/>
      <c r="H6" s="34"/>
      <c r="I6" s="35"/>
      <c r="J6" s="35"/>
      <c r="K6" s="36"/>
      <c r="L6" s="34"/>
      <c r="M6" s="36"/>
      <c r="N6" s="32" t="str">
        <f aca="true">IF($D6="","",IF($M6&lt;&gt;"",$M6-$D6,TODAY()-$D6))</f>
        <v/>
      </c>
      <c r="O6" s="33" t="str">
        <f aca="true">IF($C6="","",IF($M6&lt;&gt;"","Closed",IF(AND($K6&lt;&gt;"",$K6&lt;TODAY()),"OVERDUE",IF($H6="High","OPEN — HIGH RISK","Open"))))</f>
        <v/>
      </c>
      <c r="P6" s="35"/>
    </row>
    <row r="7" customFormat="false" ht="13.5" hidden="false" customHeight="true" outlineLevel="0" collapsed="false">
      <c r="B7" s="34"/>
      <c r="C7" s="35"/>
      <c r="D7" s="36"/>
      <c r="E7" s="35"/>
      <c r="F7" s="35"/>
      <c r="G7" s="35"/>
      <c r="H7" s="34"/>
      <c r="I7" s="35"/>
      <c r="J7" s="35"/>
      <c r="K7" s="36"/>
      <c r="L7" s="34"/>
      <c r="M7" s="36"/>
      <c r="N7" s="32" t="str">
        <f aca="true">IF($D7="","",IF($M7&lt;&gt;"",$M7-$D7,TODAY()-$D7))</f>
        <v/>
      </c>
      <c r="O7" s="33" t="str">
        <f aca="true">IF($C7="","",IF($M7&lt;&gt;"","Closed",IF(AND($K7&lt;&gt;"",$K7&lt;TODAY()),"OVERDUE",IF($H7="High","OPEN — HIGH RISK","Open"))))</f>
        <v/>
      </c>
      <c r="P7" s="35"/>
    </row>
    <row r="8" customFormat="false" ht="13.5" hidden="false" customHeight="true" outlineLevel="0" collapsed="false">
      <c r="B8" s="34"/>
      <c r="C8" s="35"/>
      <c r="D8" s="36"/>
      <c r="E8" s="35"/>
      <c r="F8" s="35"/>
      <c r="G8" s="35"/>
      <c r="H8" s="34"/>
      <c r="I8" s="35"/>
      <c r="J8" s="35"/>
      <c r="K8" s="36"/>
      <c r="L8" s="34"/>
      <c r="M8" s="36"/>
      <c r="N8" s="32" t="str">
        <f aca="true">IF($D8="","",IF($M8&lt;&gt;"",$M8-$D8,TODAY()-$D8))</f>
        <v/>
      </c>
      <c r="O8" s="33" t="str">
        <f aca="true">IF($C8="","",IF($M8&lt;&gt;"","Closed",IF(AND($K8&lt;&gt;"",$K8&lt;TODAY()),"OVERDUE",IF($H8="High","OPEN — HIGH RISK","Open"))))</f>
        <v/>
      </c>
      <c r="P8" s="35"/>
    </row>
    <row r="9" customFormat="false" ht="13.5" hidden="false" customHeight="true" outlineLevel="0" collapsed="false">
      <c r="B9" s="34"/>
      <c r="C9" s="35"/>
      <c r="D9" s="36"/>
      <c r="E9" s="35"/>
      <c r="F9" s="35"/>
      <c r="G9" s="35"/>
      <c r="H9" s="34"/>
      <c r="I9" s="35"/>
      <c r="J9" s="35"/>
      <c r="K9" s="36"/>
      <c r="L9" s="34"/>
      <c r="M9" s="36"/>
      <c r="N9" s="32" t="str">
        <f aca="true">IF($D9="","",IF($M9&lt;&gt;"",$M9-$D9,TODAY()-$D9))</f>
        <v/>
      </c>
      <c r="O9" s="33" t="str">
        <f aca="true">IF($C9="","",IF($M9&lt;&gt;"","Closed",IF(AND($K9&lt;&gt;"",$K9&lt;TODAY()),"OVERDUE",IF($H9="High","OPEN — HIGH RISK","Open"))))</f>
        <v/>
      </c>
      <c r="P9" s="35"/>
    </row>
    <row r="10" customFormat="false" ht="13.5" hidden="false" customHeight="true" outlineLevel="0" collapsed="false">
      <c r="B10" s="34"/>
      <c r="C10" s="35"/>
      <c r="D10" s="36"/>
      <c r="E10" s="35"/>
      <c r="F10" s="35"/>
      <c r="G10" s="35"/>
      <c r="H10" s="34"/>
      <c r="I10" s="35"/>
      <c r="J10" s="35"/>
      <c r="K10" s="36"/>
      <c r="L10" s="34"/>
      <c r="M10" s="36"/>
      <c r="N10" s="32" t="str">
        <f aca="true">IF($D10="","",IF($M10&lt;&gt;"",$M10-$D10,TODAY()-$D10))</f>
        <v/>
      </c>
      <c r="O10" s="33" t="str">
        <f aca="true">IF($C10="","",IF($M10&lt;&gt;"","Closed",IF(AND($K10&lt;&gt;"",$K10&lt;TODAY()),"OVERDUE",IF($H10="High","OPEN — HIGH RISK","Open"))))</f>
        <v/>
      </c>
      <c r="P10" s="35"/>
    </row>
    <row r="11" customFormat="false" ht="13.5" hidden="false" customHeight="true" outlineLevel="0" collapsed="false">
      <c r="B11" s="34"/>
      <c r="C11" s="35"/>
      <c r="D11" s="36"/>
      <c r="E11" s="35"/>
      <c r="F11" s="35"/>
      <c r="G11" s="35"/>
      <c r="H11" s="34"/>
      <c r="I11" s="35"/>
      <c r="J11" s="35"/>
      <c r="K11" s="36"/>
      <c r="L11" s="34"/>
      <c r="M11" s="36"/>
      <c r="N11" s="32" t="str">
        <f aca="true">IF($D11="","",IF($M11&lt;&gt;"",$M11-$D11,TODAY()-$D11))</f>
        <v/>
      </c>
      <c r="O11" s="33" t="str">
        <f aca="true">IF($C11="","",IF($M11&lt;&gt;"","Closed",IF(AND($K11&lt;&gt;"",$K11&lt;TODAY()),"OVERDUE",IF($H11="High","OPEN — HIGH RISK","Open"))))</f>
        <v/>
      </c>
      <c r="P11" s="35"/>
    </row>
    <row r="12" customFormat="false" ht="13.5" hidden="false" customHeight="true" outlineLevel="0" collapsed="false">
      <c r="B12" s="34"/>
      <c r="C12" s="35"/>
      <c r="D12" s="36"/>
      <c r="E12" s="35"/>
      <c r="F12" s="35"/>
      <c r="G12" s="35"/>
      <c r="H12" s="34"/>
      <c r="I12" s="35"/>
      <c r="J12" s="35"/>
      <c r="K12" s="36"/>
      <c r="L12" s="34"/>
      <c r="M12" s="36"/>
      <c r="N12" s="32" t="str">
        <f aca="true">IF($D12="","",IF($M12&lt;&gt;"",$M12-$D12,TODAY()-$D12))</f>
        <v/>
      </c>
      <c r="O12" s="33" t="str">
        <f aca="true">IF($C12="","",IF($M12&lt;&gt;"","Closed",IF(AND($K12&lt;&gt;"",$K12&lt;TODAY()),"OVERDUE",IF($H12="High","OPEN — HIGH RISK","Open"))))</f>
        <v/>
      </c>
      <c r="P12" s="35"/>
    </row>
    <row r="13" customFormat="false" ht="13.5" hidden="false" customHeight="true" outlineLevel="0" collapsed="false">
      <c r="B13" s="34"/>
      <c r="C13" s="35"/>
      <c r="D13" s="36"/>
      <c r="E13" s="35"/>
      <c r="F13" s="35"/>
      <c r="G13" s="35"/>
      <c r="H13" s="34"/>
      <c r="I13" s="35"/>
      <c r="J13" s="35"/>
      <c r="K13" s="36"/>
      <c r="L13" s="34"/>
      <c r="M13" s="36"/>
      <c r="N13" s="32" t="str">
        <f aca="true">IF($D13="","",IF($M13&lt;&gt;"",$M13-$D13,TODAY()-$D13))</f>
        <v/>
      </c>
      <c r="O13" s="33" t="str">
        <f aca="true">IF($C13="","",IF($M13&lt;&gt;"","Closed",IF(AND($K13&lt;&gt;"",$K13&lt;TODAY()),"OVERDUE",IF($H13="High","OPEN — HIGH RISK","Open"))))</f>
        <v/>
      </c>
      <c r="P13" s="35"/>
    </row>
    <row r="14" customFormat="false" ht="13.5" hidden="false" customHeight="true" outlineLevel="0" collapsed="false">
      <c r="B14" s="34"/>
      <c r="C14" s="35"/>
      <c r="D14" s="36"/>
      <c r="E14" s="35"/>
      <c r="F14" s="35"/>
      <c r="G14" s="35"/>
      <c r="H14" s="34"/>
      <c r="I14" s="35"/>
      <c r="J14" s="35"/>
      <c r="K14" s="36"/>
      <c r="L14" s="34"/>
      <c r="M14" s="36"/>
      <c r="N14" s="32" t="str">
        <f aca="true">IF($D14="","",IF($M14&lt;&gt;"",$M14-$D14,TODAY()-$D14))</f>
        <v/>
      </c>
      <c r="O14" s="33" t="str">
        <f aca="true">IF($C14="","",IF($M14&lt;&gt;"","Closed",IF(AND($K14&lt;&gt;"",$K14&lt;TODAY()),"OVERDUE",IF($H14="High","OPEN — HIGH RISK","Open"))))</f>
        <v/>
      </c>
      <c r="P14" s="35"/>
    </row>
    <row r="15" customFormat="false" ht="13.5" hidden="false" customHeight="true" outlineLevel="0" collapsed="false">
      <c r="B15" s="34"/>
      <c r="C15" s="35"/>
      <c r="D15" s="36"/>
      <c r="E15" s="35"/>
      <c r="F15" s="35"/>
      <c r="G15" s="35"/>
      <c r="H15" s="34"/>
      <c r="I15" s="35"/>
      <c r="J15" s="35"/>
      <c r="K15" s="36"/>
      <c r="L15" s="34"/>
      <c r="M15" s="36"/>
      <c r="N15" s="32" t="str">
        <f aca="true">IF($D15="","",IF($M15&lt;&gt;"",$M15-$D15,TODAY()-$D15))</f>
        <v/>
      </c>
      <c r="O15" s="33" t="str">
        <f aca="true">IF($C15="","",IF($M15&lt;&gt;"","Closed",IF(AND($K15&lt;&gt;"",$K15&lt;TODAY()),"OVERDUE",IF($H15="High","OPEN — HIGH RISK","Open"))))</f>
        <v/>
      </c>
      <c r="P15" s="35"/>
    </row>
    <row r="16" customFormat="false" ht="13.5" hidden="false" customHeight="true" outlineLevel="0" collapsed="false">
      <c r="B16" s="34"/>
      <c r="C16" s="35"/>
      <c r="D16" s="36"/>
      <c r="E16" s="35"/>
      <c r="F16" s="35"/>
      <c r="G16" s="35"/>
      <c r="H16" s="34"/>
      <c r="I16" s="35"/>
      <c r="J16" s="35"/>
      <c r="K16" s="36"/>
      <c r="L16" s="34"/>
      <c r="M16" s="36"/>
      <c r="N16" s="32" t="str">
        <f aca="true">IF($D16="","",IF($M16&lt;&gt;"",$M16-$D16,TODAY()-$D16))</f>
        <v/>
      </c>
      <c r="O16" s="33" t="str">
        <f aca="true">IF($C16="","",IF($M16&lt;&gt;"","Closed",IF(AND($K16&lt;&gt;"",$K16&lt;TODAY()),"OVERDUE",IF($H16="High","OPEN — HIGH RISK","Open"))))</f>
        <v/>
      </c>
      <c r="P16" s="35"/>
    </row>
    <row r="17" customFormat="false" ht="13.5" hidden="false" customHeight="true" outlineLevel="0" collapsed="false">
      <c r="B17" s="34"/>
      <c r="C17" s="35"/>
      <c r="D17" s="36"/>
      <c r="E17" s="35"/>
      <c r="F17" s="35"/>
      <c r="G17" s="35"/>
      <c r="H17" s="34"/>
      <c r="I17" s="35"/>
      <c r="J17" s="35"/>
      <c r="K17" s="36"/>
      <c r="L17" s="34"/>
      <c r="M17" s="36"/>
      <c r="N17" s="32" t="str">
        <f aca="true">IF($D17="","",IF($M17&lt;&gt;"",$M17-$D17,TODAY()-$D17))</f>
        <v/>
      </c>
      <c r="O17" s="33" t="str">
        <f aca="true">IF($C17="","",IF($M17&lt;&gt;"","Closed",IF(AND($K17&lt;&gt;"",$K17&lt;TODAY()),"OVERDUE",IF($H17="High","OPEN — HIGH RISK","Open"))))</f>
        <v/>
      </c>
      <c r="P17" s="35"/>
    </row>
    <row r="18" customFormat="false" ht="13.5" hidden="false" customHeight="true" outlineLevel="0" collapsed="false">
      <c r="B18" s="34"/>
      <c r="C18" s="35"/>
      <c r="D18" s="36"/>
      <c r="E18" s="35"/>
      <c r="F18" s="35"/>
      <c r="G18" s="35"/>
      <c r="H18" s="34"/>
      <c r="I18" s="35"/>
      <c r="J18" s="35"/>
      <c r="K18" s="36"/>
      <c r="L18" s="34"/>
      <c r="M18" s="36"/>
      <c r="N18" s="32" t="str">
        <f aca="true">IF($D18="","",IF($M18&lt;&gt;"",$M18-$D18,TODAY()-$D18))</f>
        <v/>
      </c>
      <c r="O18" s="33" t="str">
        <f aca="true">IF($C18="","",IF($M18&lt;&gt;"","Closed",IF(AND($K18&lt;&gt;"",$K18&lt;TODAY()),"OVERDUE",IF($H18="High","OPEN — HIGH RISK","Open"))))</f>
        <v/>
      </c>
      <c r="P18" s="35"/>
    </row>
    <row r="19" customFormat="false" ht="13.5" hidden="false" customHeight="true" outlineLevel="0" collapsed="false">
      <c r="B19" s="34"/>
      <c r="C19" s="35"/>
      <c r="D19" s="36"/>
      <c r="E19" s="35"/>
      <c r="F19" s="35"/>
      <c r="G19" s="35"/>
      <c r="H19" s="34"/>
      <c r="I19" s="35"/>
      <c r="J19" s="35"/>
      <c r="K19" s="36"/>
      <c r="L19" s="34"/>
      <c r="M19" s="36"/>
      <c r="N19" s="32" t="str">
        <f aca="true">IF($D19="","",IF($M19&lt;&gt;"",$M19-$D19,TODAY()-$D19))</f>
        <v/>
      </c>
      <c r="O19" s="33" t="str">
        <f aca="true">IF($C19="","",IF($M19&lt;&gt;"","Closed",IF(AND($K19&lt;&gt;"",$K19&lt;TODAY()),"OVERDUE",IF($H19="High","OPEN — HIGH RISK","Open"))))</f>
        <v/>
      </c>
      <c r="P19" s="35"/>
    </row>
    <row r="20" customFormat="false" ht="13.5" hidden="false" customHeight="true" outlineLevel="0" collapsed="false">
      <c r="B20" s="34"/>
      <c r="C20" s="35"/>
      <c r="D20" s="36"/>
      <c r="E20" s="35"/>
      <c r="F20" s="35"/>
      <c r="G20" s="35"/>
      <c r="H20" s="34"/>
      <c r="I20" s="35"/>
      <c r="J20" s="35"/>
      <c r="K20" s="36"/>
      <c r="L20" s="34"/>
      <c r="M20" s="36"/>
      <c r="N20" s="32" t="str">
        <f aca="true">IF($D20="","",IF($M20&lt;&gt;"",$M20-$D20,TODAY()-$D20))</f>
        <v/>
      </c>
      <c r="O20" s="33" t="str">
        <f aca="true">IF($C20="","",IF($M20&lt;&gt;"","Closed",IF(AND($K20&lt;&gt;"",$K20&lt;TODAY()),"OVERDUE",IF($H20="High","OPEN — HIGH RISK","Open"))))</f>
        <v/>
      </c>
      <c r="P20" s="35"/>
    </row>
    <row r="21" customFormat="false" ht="13.5" hidden="false" customHeight="true" outlineLevel="0" collapsed="false">
      <c r="B21" s="34"/>
      <c r="C21" s="35"/>
      <c r="D21" s="36"/>
      <c r="E21" s="35"/>
      <c r="F21" s="35"/>
      <c r="G21" s="35"/>
      <c r="H21" s="34"/>
      <c r="I21" s="35"/>
      <c r="J21" s="35"/>
      <c r="K21" s="36"/>
      <c r="L21" s="34"/>
      <c r="M21" s="36"/>
      <c r="N21" s="32" t="str">
        <f aca="true">IF($D21="","",IF($M21&lt;&gt;"",$M21-$D21,TODAY()-$D21))</f>
        <v/>
      </c>
      <c r="O21" s="33" t="str">
        <f aca="true">IF($C21="","",IF($M21&lt;&gt;"","Closed",IF(AND($K21&lt;&gt;"",$K21&lt;TODAY()),"OVERDUE",IF($H21="High","OPEN — HIGH RISK","Open"))))</f>
        <v/>
      </c>
      <c r="P21" s="35"/>
    </row>
    <row r="22" customFormat="false" ht="13.5" hidden="false" customHeight="true" outlineLevel="0" collapsed="false">
      <c r="B22" s="34"/>
      <c r="C22" s="35"/>
      <c r="D22" s="36"/>
      <c r="E22" s="35"/>
      <c r="F22" s="35"/>
      <c r="G22" s="35"/>
      <c r="H22" s="34"/>
      <c r="I22" s="35"/>
      <c r="J22" s="35"/>
      <c r="K22" s="36"/>
      <c r="L22" s="34"/>
      <c r="M22" s="36"/>
      <c r="N22" s="32" t="str">
        <f aca="true">IF($D22="","",IF($M22&lt;&gt;"",$M22-$D22,TODAY()-$D22))</f>
        <v/>
      </c>
      <c r="O22" s="33" t="str">
        <f aca="true">IF($C22="","",IF($M22&lt;&gt;"","Closed",IF(AND($K22&lt;&gt;"",$K22&lt;TODAY()),"OVERDUE",IF($H22="High","OPEN — HIGH RISK","Open"))))</f>
        <v/>
      </c>
      <c r="P22" s="35"/>
    </row>
    <row r="23" customFormat="false" ht="13.5" hidden="false" customHeight="true" outlineLevel="0" collapsed="false">
      <c r="B23" s="34"/>
      <c r="C23" s="35"/>
      <c r="D23" s="36"/>
      <c r="E23" s="35"/>
      <c r="F23" s="35"/>
      <c r="G23" s="35"/>
      <c r="H23" s="34"/>
      <c r="I23" s="35"/>
      <c r="J23" s="35"/>
      <c r="K23" s="36"/>
      <c r="L23" s="34"/>
      <c r="M23" s="36"/>
      <c r="N23" s="32" t="str">
        <f aca="true">IF($D23="","",IF($M23&lt;&gt;"",$M23-$D23,TODAY()-$D23))</f>
        <v/>
      </c>
      <c r="O23" s="33" t="str">
        <f aca="true">IF($C23="","",IF($M23&lt;&gt;"","Closed",IF(AND($K23&lt;&gt;"",$K23&lt;TODAY()),"OVERDUE",IF($H23="High","OPEN — HIGH RISK","Open"))))</f>
        <v/>
      </c>
      <c r="P23" s="35"/>
    </row>
    <row r="24" customFormat="false" ht="13.5" hidden="false" customHeight="true" outlineLevel="0" collapsed="false">
      <c r="B24" s="34"/>
      <c r="C24" s="35"/>
      <c r="D24" s="36"/>
      <c r="E24" s="35"/>
      <c r="F24" s="35"/>
      <c r="G24" s="35"/>
      <c r="H24" s="34"/>
      <c r="I24" s="35"/>
      <c r="J24" s="35"/>
      <c r="K24" s="36"/>
      <c r="L24" s="34"/>
      <c r="M24" s="36"/>
      <c r="N24" s="32" t="str">
        <f aca="true">IF($D24="","",IF($M24&lt;&gt;"",$M24-$D24,TODAY()-$D24))</f>
        <v/>
      </c>
      <c r="O24" s="33" t="str">
        <f aca="true">IF($C24="","",IF($M24&lt;&gt;"","Closed",IF(AND($K24&lt;&gt;"",$K24&lt;TODAY()),"OVERDUE",IF($H24="High","OPEN — HIGH RISK","Open"))))</f>
        <v/>
      </c>
      <c r="P24" s="35"/>
    </row>
    <row r="25" customFormat="false" ht="13.5" hidden="false" customHeight="true" outlineLevel="0" collapsed="false">
      <c r="B25" s="34"/>
      <c r="C25" s="35"/>
      <c r="D25" s="36"/>
      <c r="E25" s="35"/>
      <c r="F25" s="35"/>
      <c r="G25" s="35"/>
      <c r="H25" s="34"/>
      <c r="I25" s="35"/>
      <c r="J25" s="35"/>
      <c r="K25" s="36"/>
      <c r="L25" s="34"/>
      <c r="M25" s="36"/>
      <c r="N25" s="32" t="str">
        <f aca="true">IF($D25="","",IF($M25&lt;&gt;"",$M25-$D25,TODAY()-$D25))</f>
        <v/>
      </c>
      <c r="O25" s="33" t="str">
        <f aca="true">IF($C25="","",IF($M25&lt;&gt;"","Closed",IF(AND($K25&lt;&gt;"",$K25&lt;TODAY()),"OVERDUE",IF($H25="High","OPEN — HIGH RISK","Open"))))</f>
        <v/>
      </c>
      <c r="P25" s="35"/>
    </row>
    <row r="26" customFormat="false" ht="13.5" hidden="false" customHeight="true" outlineLevel="0" collapsed="false">
      <c r="B26" s="34"/>
      <c r="C26" s="35"/>
      <c r="D26" s="36"/>
      <c r="E26" s="35"/>
      <c r="F26" s="35"/>
      <c r="G26" s="35"/>
      <c r="H26" s="34"/>
      <c r="I26" s="35"/>
      <c r="J26" s="35"/>
      <c r="K26" s="36"/>
      <c r="L26" s="34"/>
      <c r="M26" s="36"/>
      <c r="N26" s="32" t="str">
        <f aca="true">IF($D26="","",IF($M26&lt;&gt;"",$M26-$D26,TODAY()-$D26))</f>
        <v/>
      </c>
      <c r="O26" s="33" t="str">
        <f aca="true">IF($C26="","",IF($M26&lt;&gt;"","Closed",IF(AND($K26&lt;&gt;"",$K26&lt;TODAY()),"OVERDUE",IF($H26="High","OPEN — HIGH RISK","Open"))))</f>
        <v/>
      </c>
      <c r="P26" s="35"/>
    </row>
    <row r="27" customFormat="false" ht="13.5" hidden="false" customHeight="true" outlineLevel="0" collapsed="false">
      <c r="B27" s="34"/>
      <c r="C27" s="35"/>
      <c r="D27" s="36"/>
      <c r="E27" s="35"/>
      <c r="F27" s="35"/>
      <c r="G27" s="35"/>
      <c r="H27" s="34"/>
      <c r="I27" s="35"/>
      <c r="J27" s="35"/>
      <c r="K27" s="36"/>
      <c r="L27" s="34"/>
      <c r="M27" s="36"/>
      <c r="N27" s="32" t="str">
        <f aca="true">IF($D27="","",IF($M27&lt;&gt;"",$M27-$D27,TODAY()-$D27))</f>
        <v/>
      </c>
      <c r="O27" s="33" t="str">
        <f aca="true">IF($C27="","",IF($M27&lt;&gt;"","Closed",IF(AND($K27&lt;&gt;"",$K27&lt;TODAY()),"OVERDUE",IF($H27="High","OPEN — HIGH RISK","Open"))))</f>
        <v/>
      </c>
      <c r="P27" s="35"/>
    </row>
    <row r="28" customFormat="false" ht="13.5" hidden="false" customHeight="true" outlineLevel="0" collapsed="false">
      <c r="B28" s="34"/>
      <c r="C28" s="35"/>
      <c r="D28" s="36"/>
      <c r="E28" s="35"/>
      <c r="F28" s="35"/>
      <c r="G28" s="35"/>
      <c r="H28" s="34"/>
      <c r="I28" s="35"/>
      <c r="J28" s="35"/>
      <c r="K28" s="36"/>
      <c r="L28" s="34"/>
      <c r="M28" s="36"/>
      <c r="N28" s="32" t="str">
        <f aca="true">IF($D28="","",IF($M28&lt;&gt;"",$M28-$D28,TODAY()-$D28))</f>
        <v/>
      </c>
      <c r="O28" s="33" t="str">
        <f aca="true">IF($C28="","",IF($M28&lt;&gt;"","Closed",IF(AND($K28&lt;&gt;"",$K28&lt;TODAY()),"OVERDUE",IF($H28="High","OPEN — HIGH RISK","Open"))))</f>
        <v/>
      </c>
      <c r="P28" s="35"/>
    </row>
    <row r="29" customFormat="false" ht="13.5" hidden="false" customHeight="true" outlineLevel="0" collapsed="false">
      <c r="B29" s="34"/>
      <c r="C29" s="35"/>
      <c r="D29" s="36"/>
      <c r="E29" s="35"/>
      <c r="F29" s="35"/>
      <c r="G29" s="35"/>
      <c r="H29" s="34"/>
      <c r="I29" s="35"/>
      <c r="J29" s="35"/>
      <c r="K29" s="36"/>
      <c r="L29" s="34"/>
      <c r="M29" s="36"/>
      <c r="N29" s="32" t="str">
        <f aca="true">IF($D29="","",IF($M29&lt;&gt;"",$M29-$D29,TODAY()-$D29))</f>
        <v/>
      </c>
      <c r="O29" s="33" t="str">
        <f aca="true">IF($C29="","",IF($M29&lt;&gt;"","Closed",IF(AND($K29&lt;&gt;"",$K29&lt;TODAY()),"OVERDUE",IF($H29="High","OPEN — HIGH RISK","Open"))))</f>
        <v/>
      </c>
      <c r="P29" s="35"/>
    </row>
    <row r="30" customFormat="false" ht="13.5" hidden="false" customHeight="true" outlineLevel="0" collapsed="false">
      <c r="B30" s="34"/>
      <c r="C30" s="35"/>
      <c r="D30" s="36"/>
      <c r="E30" s="35"/>
      <c r="F30" s="35"/>
      <c r="G30" s="35"/>
      <c r="H30" s="34"/>
      <c r="I30" s="35"/>
      <c r="J30" s="35"/>
      <c r="K30" s="36"/>
      <c r="L30" s="34"/>
      <c r="M30" s="36"/>
      <c r="N30" s="32" t="str">
        <f aca="true">IF($D30="","",IF($M30&lt;&gt;"",$M30-$D30,TODAY()-$D30))</f>
        <v/>
      </c>
      <c r="O30" s="33" t="str">
        <f aca="true">IF($C30="","",IF($M30&lt;&gt;"","Closed",IF(AND($K30&lt;&gt;"",$K30&lt;TODAY()),"OVERDUE",IF($H30="High","OPEN — HIGH RISK","Open"))))</f>
        <v/>
      </c>
      <c r="P30" s="35"/>
    </row>
    <row r="31" customFormat="false" ht="13.5" hidden="false" customHeight="true" outlineLevel="0" collapsed="false">
      <c r="B31" s="34"/>
      <c r="C31" s="35"/>
      <c r="D31" s="36"/>
      <c r="E31" s="35"/>
      <c r="F31" s="35"/>
      <c r="G31" s="35"/>
      <c r="H31" s="34"/>
      <c r="I31" s="35"/>
      <c r="J31" s="35"/>
      <c r="K31" s="36"/>
      <c r="L31" s="34"/>
      <c r="M31" s="36"/>
      <c r="N31" s="32" t="str">
        <f aca="true">IF($D31="","",IF($M31&lt;&gt;"",$M31-$D31,TODAY()-$D31))</f>
        <v/>
      </c>
      <c r="O31" s="33" t="str">
        <f aca="true">IF($C31="","",IF($M31&lt;&gt;"","Closed",IF(AND($K31&lt;&gt;"",$K31&lt;TODAY()),"OVERDUE",IF($H31="High","OPEN — HIGH RISK","Open"))))</f>
        <v/>
      </c>
      <c r="P31" s="35"/>
    </row>
    <row r="32" customFormat="false" ht="13.5" hidden="false" customHeight="true" outlineLevel="0" collapsed="false">
      <c r="B32" s="34"/>
      <c r="C32" s="35"/>
      <c r="D32" s="36"/>
      <c r="E32" s="35"/>
      <c r="F32" s="35"/>
      <c r="G32" s="35"/>
      <c r="H32" s="34"/>
      <c r="I32" s="35"/>
      <c r="J32" s="35"/>
      <c r="K32" s="36"/>
      <c r="L32" s="34"/>
      <c r="M32" s="36"/>
      <c r="N32" s="32" t="str">
        <f aca="true">IF($D32="","",IF($M32&lt;&gt;"",$M32-$D32,TODAY()-$D32))</f>
        <v/>
      </c>
      <c r="O32" s="33" t="str">
        <f aca="true">IF($C32="","",IF($M32&lt;&gt;"","Closed",IF(AND($K32&lt;&gt;"",$K32&lt;TODAY()),"OVERDUE",IF($H32="High","OPEN — HIGH RISK","Open"))))</f>
        <v/>
      </c>
      <c r="P32" s="35"/>
    </row>
    <row r="33" customFormat="false" ht="13.5" hidden="false" customHeight="true" outlineLevel="0" collapsed="false">
      <c r="B33" s="34"/>
      <c r="C33" s="35"/>
      <c r="D33" s="36"/>
      <c r="E33" s="35"/>
      <c r="F33" s="35"/>
      <c r="G33" s="35"/>
      <c r="H33" s="34"/>
      <c r="I33" s="35"/>
      <c r="J33" s="35"/>
      <c r="K33" s="36"/>
      <c r="L33" s="34"/>
      <c r="M33" s="36"/>
      <c r="N33" s="32" t="str">
        <f aca="true">IF($D33="","",IF($M33&lt;&gt;"",$M33-$D33,TODAY()-$D33))</f>
        <v/>
      </c>
      <c r="O33" s="33" t="str">
        <f aca="true">IF($C33="","",IF($M33&lt;&gt;"","Closed",IF(AND($K33&lt;&gt;"",$K33&lt;TODAY()),"OVERDUE",IF($H33="High","OPEN — HIGH RISK","Open"))))</f>
        <v/>
      </c>
      <c r="P33" s="35"/>
    </row>
    <row r="34" customFormat="false" ht="13.5" hidden="false" customHeight="true" outlineLevel="0" collapsed="false">
      <c r="B34" s="34"/>
      <c r="C34" s="35"/>
      <c r="D34" s="36"/>
      <c r="E34" s="35"/>
      <c r="F34" s="35"/>
      <c r="G34" s="35"/>
      <c r="H34" s="34"/>
      <c r="I34" s="35"/>
      <c r="J34" s="35"/>
      <c r="K34" s="36"/>
      <c r="L34" s="34"/>
      <c r="M34" s="36"/>
      <c r="N34" s="32" t="str">
        <f aca="true">IF($D34="","",IF($M34&lt;&gt;"",$M34-$D34,TODAY()-$D34))</f>
        <v/>
      </c>
      <c r="O34" s="33" t="str">
        <f aca="true">IF($C34="","",IF($M34&lt;&gt;"","Closed",IF(AND($K34&lt;&gt;"",$K34&lt;TODAY()),"OVERDUE",IF($H34="High","OPEN — HIGH RISK","Open"))))</f>
        <v/>
      </c>
      <c r="P34" s="35"/>
    </row>
    <row r="35" customFormat="false" ht="13.5" hidden="false" customHeight="true" outlineLevel="0" collapsed="false">
      <c r="B35" s="34"/>
      <c r="C35" s="35"/>
      <c r="D35" s="36"/>
      <c r="E35" s="35"/>
      <c r="F35" s="35"/>
      <c r="G35" s="35"/>
      <c r="H35" s="34"/>
      <c r="I35" s="35"/>
      <c r="J35" s="35"/>
      <c r="K35" s="36"/>
      <c r="L35" s="34"/>
      <c r="M35" s="36"/>
      <c r="N35" s="32" t="str">
        <f aca="true">IF($D35="","",IF($M35&lt;&gt;"",$M35-$D35,TODAY()-$D35))</f>
        <v/>
      </c>
      <c r="O35" s="33" t="str">
        <f aca="true">IF($C35="","",IF($M35&lt;&gt;"","Closed",IF(AND($K35&lt;&gt;"",$K35&lt;TODAY()),"OVERDUE",IF($H35="High","OPEN — HIGH RISK","Open"))))</f>
        <v/>
      </c>
      <c r="P35" s="35"/>
    </row>
    <row r="36" customFormat="false" ht="13.5" hidden="false" customHeight="true" outlineLevel="0" collapsed="false">
      <c r="B36" s="34"/>
      <c r="C36" s="35"/>
      <c r="D36" s="36"/>
      <c r="E36" s="35"/>
      <c r="F36" s="35"/>
      <c r="G36" s="35"/>
      <c r="H36" s="34"/>
      <c r="I36" s="35"/>
      <c r="J36" s="35"/>
      <c r="K36" s="36"/>
      <c r="L36" s="34"/>
      <c r="M36" s="36"/>
      <c r="N36" s="32" t="str">
        <f aca="true">IF($D36="","",IF($M36&lt;&gt;"",$M36-$D36,TODAY()-$D36))</f>
        <v/>
      </c>
      <c r="O36" s="33" t="str">
        <f aca="true">IF($C36="","",IF($M36&lt;&gt;"","Closed",IF(AND($K36&lt;&gt;"",$K36&lt;TODAY()),"OVERDUE",IF($H36="High","OPEN — HIGH RISK","Open"))))</f>
        <v/>
      </c>
      <c r="P36" s="35"/>
    </row>
    <row r="37" customFormat="false" ht="13.5" hidden="false" customHeight="true" outlineLevel="0" collapsed="false">
      <c r="B37" s="34"/>
      <c r="C37" s="35"/>
      <c r="D37" s="36"/>
      <c r="E37" s="35"/>
      <c r="F37" s="35"/>
      <c r="G37" s="35"/>
      <c r="H37" s="34"/>
      <c r="I37" s="35"/>
      <c r="J37" s="35"/>
      <c r="K37" s="36"/>
      <c r="L37" s="34"/>
      <c r="M37" s="36"/>
      <c r="N37" s="32" t="str">
        <f aca="true">IF($D37="","",IF($M37&lt;&gt;"",$M37-$D37,TODAY()-$D37))</f>
        <v/>
      </c>
      <c r="O37" s="33" t="str">
        <f aca="true">IF($C37="","",IF($M37&lt;&gt;"","Closed",IF(AND($K37&lt;&gt;"",$K37&lt;TODAY()),"OVERDUE",IF($H37="High","OPEN — HIGH RISK","Open"))))</f>
        <v/>
      </c>
      <c r="P37" s="35"/>
    </row>
    <row r="38" customFormat="false" ht="13.5" hidden="false" customHeight="true" outlineLevel="0" collapsed="false">
      <c r="B38" s="34"/>
      <c r="C38" s="35"/>
      <c r="D38" s="36"/>
      <c r="E38" s="35"/>
      <c r="F38" s="35"/>
      <c r="G38" s="35"/>
      <c r="H38" s="34"/>
      <c r="I38" s="35"/>
      <c r="J38" s="35"/>
      <c r="K38" s="36"/>
      <c r="L38" s="34"/>
      <c r="M38" s="36"/>
      <c r="N38" s="32" t="str">
        <f aca="true">IF($D38="","",IF($M38&lt;&gt;"",$M38-$D38,TODAY()-$D38))</f>
        <v/>
      </c>
      <c r="O38" s="33" t="str">
        <f aca="true">IF($C38="","",IF($M38&lt;&gt;"","Closed",IF(AND($K38&lt;&gt;"",$K38&lt;TODAY()),"OVERDUE",IF($H38="High","OPEN — HIGH RISK","Open"))))</f>
        <v/>
      </c>
      <c r="P38" s="35"/>
    </row>
    <row r="39" customFormat="false" ht="13.5" hidden="false" customHeight="true" outlineLevel="0" collapsed="false">
      <c r="B39" s="34"/>
      <c r="C39" s="35"/>
      <c r="D39" s="36"/>
      <c r="E39" s="35"/>
      <c r="F39" s="35"/>
      <c r="G39" s="35"/>
      <c r="H39" s="34"/>
      <c r="I39" s="35"/>
      <c r="J39" s="35"/>
      <c r="K39" s="36"/>
      <c r="L39" s="34"/>
      <c r="M39" s="36"/>
      <c r="N39" s="32" t="str">
        <f aca="true">IF($D39="","",IF($M39&lt;&gt;"",$M39-$D39,TODAY()-$D39))</f>
        <v/>
      </c>
      <c r="O39" s="33" t="str">
        <f aca="true">IF($C39="","",IF($M39&lt;&gt;"","Closed",IF(AND($K39&lt;&gt;"",$K39&lt;TODAY()),"OVERDUE",IF($H39="High","OPEN — HIGH RISK","Open"))))</f>
        <v/>
      </c>
      <c r="P39" s="35"/>
    </row>
    <row r="40" customFormat="false" ht="13.5" hidden="false" customHeight="true" outlineLevel="0" collapsed="false">
      <c r="B40" s="34"/>
      <c r="C40" s="35"/>
      <c r="D40" s="36"/>
      <c r="E40" s="35"/>
      <c r="F40" s="35"/>
      <c r="G40" s="35"/>
      <c r="H40" s="34"/>
      <c r="I40" s="35"/>
      <c r="J40" s="35"/>
      <c r="K40" s="36"/>
      <c r="L40" s="34"/>
      <c r="M40" s="36"/>
      <c r="N40" s="32" t="str">
        <f aca="true">IF($D40="","",IF($M40&lt;&gt;"",$M40-$D40,TODAY()-$D40))</f>
        <v/>
      </c>
      <c r="O40" s="33" t="str">
        <f aca="true">IF($C40="","",IF($M40&lt;&gt;"","Closed",IF(AND($K40&lt;&gt;"",$K40&lt;TODAY()),"OVERDUE",IF($H40="High","OPEN — HIGH RISK","Open"))))</f>
        <v/>
      </c>
      <c r="P40" s="35"/>
    </row>
    <row r="41" customFormat="false" ht="13.5" hidden="false" customHeight="true" outlineLevel="0" collapsed="false">
      <c r="B41" s="34"/>
      <c r="C41" s="35"/>
      <c r="D41" s="36"/>
      <c r="E41" s="35"/>
      <c r="F41" s="35"/>
      <c r="G41" s="35"/>
      <c r="H41" s="34"/>
      <c r="I41" s="35"/>
      <c r="J41" s="35"/>
      <c r="K41" s="36"/>
      <c r="L41" s="34"/>
      <c r="M41" s="36"/>
      <c r="N41" s="32" t="str">
        <f aca="true">IF($D41="","",IF($M41&lt;&gt;"",$M41-$D41,TODAY()-$D41))</f>
        <v/>
      </c>
      <c r="O41" s="33" t="str">
        <f aca="true">IF($C41="","",IF($M41&lt;&gt;"","Closed",IF(AND($K41&lt;&gt;"",$K41&lt;TODAY()),"OVERDUE",IF($H41="High","OPEN — HIGH RISK","Open"))))</f>
        <v/>
      </c>
      <c r="P41" s="35"/>
    </row>
    <row r="42" customFormat="false" ht="13.5" hidden="false" customHeight="true" outlineLevel="0" collapsed="false">
      <c r="B42" s="34"/>
      <c r="C42" s="35"/>
      <c r="D42" s="36"/>
      <c r="E42" s="35"/>
      <c r="F42" s="35"/>
      <c r="G42" s="35"/>
      <c r="H42" s="34"/>
      <c r="I42" s="35"/>
      <c r="J42" s="35"/>
      <c r="K42" s="36"/>
      <c r="L42" s="34"/>
      <c r="M42" s="36"/>
      <c r="N42" s="32" t="str">
        <f aca="true">IF($D42="","",IF($M42&lt;&gt;"",$M42-$D42,TODAY()-$D42))</f>
        <v/>
      </c>
      <c r="O42" s="33" t="str">
        <f aca="true">IF($C42="","",IF($M42&lt;&gt;"","Closed",IF(AND($K42&lt;&gt;"",$K42&lt;TODAY()),"OVERDUE",IF($H42="High","OPEN — HIGH RISK","Open"))))</f>
        <v/>
      </c>
      <c r="P42" s="35"/>
    </row>
    <row r="43" customFormat="false" ht="13.5" hidden="false" customHeight="true" outlineLevel="0" collapsed="false">
      <c r="B43" s="34"/>
      <c r="C43" s="35"/>
      <c r="D43" s="36"/>
      <c r="E43" s="35"/>
      <c r="F43" s="35"/>
      <c r="G43" s="35"/>
      <c r="H43" s="34"/>
      <c r="I43" s="35"/>
      <c r="J43" s="35"/>
      <c r="K43" s="36"/>
      <c r="L43" s="34"/>
      <c r="M43" s="36"/>
      <c r="N43" s="32" t="str">
        <f aca="true">IF($D43="","",IF($M43&lt;&gt;"",$M43-$D43,TODAY()-$D43))</f>
        <v/>
      </c>
      <c r="O43" s="33" t="str">
        <f aca="true">IF($C43="","",IF($M43&lt;&gt;"","Closed",IF(AND($K43&lt;&gt;"",$K43&lt;TODAY()),"OVERDUE",IF($H43="High","OPEN — HIGH RISK","Open"))))</f>
        <v/>
      </c>
      <c r="P43" s="35"/>
    </row>
    <row r="44" customFormat="false" ht="13.5" hidden="false" customHeight="true" outlineLevel="0" collapsed="false">
      <c r="B44" s="34"/>
      <c r="C44" s="35"/>
      <c r="D44" s="36"/>
      <c r="E44" s="35"/>
      <c r="F44" s="35"/>
      <c r="G44" s="35"/>
      <c r="H44" s="34"/>
      <c r="I44" s="35"/>
      <c r="J44" s="35"/>
      <c r="K44" s="36"/>
      <c r="L44" s="34"/>
      <c r="M44" s="36"/>
      <c r="N44" s="32" t="str">
        <f aca="true">IF($D44="","",IF($M44&lt;&gt;"",$M44-$D44,TODAY()-$D44))</f>
        <v/>
      </c>
      <c r="O44" s="33" t="str">
        <f aca="true">IF($C44="","",IF($M44&lt;&gt;"","Closed",IF(AND($K44&lt;&gt;"",$K44&lt;TODAY()),"OVERDUE",IF($H44="High","OPEN — HIGH RISK","Open"))))</f>
        <v/>
      </c>
      <c r="P44" s="35"/>
    </row>
    <row r="45" customFormat="false" ht="13.5" hidden="false" customHeight="true" outlineLevel="0" collapsed="false">
      <c r="B45" s="34"/>
      <c r="C45" s="35"/>
      <c r="D45" s="36"/>
      <c r="E45" s="35"/>
      <c r="F45" s="35"/>
      <c r="G45" s="35"/>
      <c r="H45" s="34"/>
      <c r="I45" s="35"/>
      <c r="J45" s="35"/>
      <c r="K45" s="36"/>
      <c r="L45" s="34"/>
      <c r="M45" s="36"/>
      <c r="N45" s="32" t="str">
        <f aca="true">IF($D45="","",IF($M45&lt;&gt;"",$M45-$D45,TODAY()-$D45))</f>
        <v/>
      </c>
      <c r="O45" s="33" t="str">
        <f aca="true">IF($C45="","",IF($M45&lt;&gt;"","Closed",IF(AND($K45&lt;&gt;"",$K45&lt;TODAY()),"OVERDUE",IF($H45="High","OPEN — HIGH RISK","Open"))))</f>
        <v/>
      </c>
      <c r="P45" s="35"/>
    </row>
    <row r="46" customFormat="false" ht="13.5" hidden="false" customHeight="true" outlineLevel="0" collapsed="false">
      <c r="B46" s="34"/>
      <c r="C46" s="35"/>
      <c r="D46" s="36"/>
      <c r="E46" s="35"/>
      <c r="F46" s="35"/>
      <c r="G46" s="35"/>
      <c r="H46" s="34"/>
      <c r="I46" s="35"/>
      <c r="J46" s="35"/>
      <c r="K46" s="36"/>
      <c r="L46" s="34"/>
      <c r="M46" s="36"/>
      <c r="N46" s="32" t="str">
        <f aca="true">IF($D46="","",IF($M46&lt;&gt;"",$M46-$D46,TODAY()-$D46))</f>
        <v/>
      </c>
      <c r="O46" s="33" t="str">
        <f aca="true">IF($C46="","",IF($M46&lt;&gt;"","Closed",IF(AND($K46&lt;&gt;"",$K46&lt;TODAY()),"OVERDUE",IF($H46="High","OPEN — HIGH RISK","Open"))))</f>
        <v/>
      </c>
      <c r="P46" s="35"/>
    </row>
    <row r="47" customFormat="false" ht="13.5" hidden="false" customHeight="true" outlineLevel="0" collapsed="false">
      <c r="B47" s="34"/>
      <c r="C47" s="35"/>
      <c r="D47" s="36"/>
      <c r="E47" s="35"/>
      <c r="F47" s="35"/>
      <c r="G47" s="35"/>
      <c r="H47" s="34"/>
      <c r="I47" s="35"/>
      <c r="J47" s="35"/>
      <c r="K47" s="36"/>
      <c r="L47" s="34"/>
      <c r="M47" s="36"/>
      <c r="N47" s="32" t="str">
        <f aca="true">IF($D47="","",IF($M47&lt;&gt;"",$M47-$D47,TODAY()-$D47))</f>
        <v/>
      </c>
      <c r="O47" s="33" t="str">
        <f aca="true">IF($C47="","",IF($M47&lt;&gt;"","Closed",IF(AND($K47&lt;&gt;"",$K47&lt;TODAY()),"OVERDUE",IF($H47="High","OPEN — HIGH RISK","Open"))))</f>
        <v/>
      </c>
      <c r="P47" s="35"/>
    </row>
    <row r="48" customFormat="false" ht="13.5" hidden="false" customHeight="true" outlineLevel="0" collapsed="false">
      <c r="B48" s="34"/>
      <c r="C48" s="35"/>
      <c r="D48" s="36"/>
      <c r="E48" s="35"/>
      <c r="F48" s="35"/>
      <c r="G48" s="35"/>
      <c r="H48" s="34"/>
      <c r="I48" s="35"/>
      <c r="J48" s="35"/>
      <c r="K48" s="36"/>
      <c r="L48" s="34"/>
      <c r="M48" s="36"/>
      <c r="N48" s="32" t="str">
        <f aca="true">IF($D48="","",IF($M48&lt;&gt;"",$M48-$D48,TODAY()-$D48))</f>
        <v/>
      </c>
      <c r="O48" s="33" t="str">
        <f aca="true">IF($C48="","",IF($M48&lt;&gt;"","Closed",IF(AND($K48&lt;&gt;"",$K48&lt;TODAY()),"OVERDUE",IF($H48="High","OPEN — HIGH RISK","Open"))))</f>
        <v/>
      </c>
      <c r="P48" s="35"/>
    </row>
    <row r="49" customFormat="false" ht="13.5" hidden="false" customHeight="true" outlineLevel="0" collapsed="false">
      <c r="B49" s="34"/>
      <c r="C49" s="35"/>
      <c r="D49" s="36"/>
      <c r="E49" s="35"/>
      <c r="F49" s="35"/>
      <c r="G49" s="35"/>
      <c r="H49" s="34"/>
      <c r="I49" s="35"/>
      <c r="J49" s="35"/>
      <c r="K49" s="36"/>
      <c r="L49" s="34"/>
      <c r="M49" s="36"/>
      <c r="N49" s="32" t="str">
        <f aca="true">IF($D49="","",IF($M49&lt;&gt;"",$M49-$D49,TODAY()-$D49))</f>
        <v/>
      </c>
      <c r="O49" s="33" t="str">
        <f aca="true">IF($C49="","",IF($M49&lt;&gt;"","Closed",IF(AND($K49&lt;&gt;"",$K49&lt;TODAY()),"OVERDUE",IF($H49="High","OPEN — HIGH RISK","Open"))))</f>
        <v/>
      </c>
      <c r="P49" s="35"/>
    </row>
    <row r="50" customFormat="false" ht="13.5" hidden="false" customHeight="true" outlineLevel="0" collapsed="false">
      <c r="B50" s="34"/>
      <c r="C50" s="35"/>
      <c r="D50" s="36"/>
      <c r="E50" s="35"/>
      <c r="F50" s="35"/>
      <c r="G50" s="35"/>
      <c r="H50" s="34"/>
      <c r="I50" s="35"/>
      <c r="J50" s="35"/>
      <c r="K50" s="36"/>
      <c r="L50" s="34"/>
      <c r="M50" s="36"/>
      <c r="N50" s="32" t="str">
        <f aca="true">IF($D50="","",IF($M50&lt;&gt;"",$M50-$D50,TODAY()-$D50))</f>
        <v/>
      </c>
      <c r="O50" s="33" t="str">
        <f aca="true">IF($C50="","",IF($M50&lt;&gt;"","Closed",IF(AND($K50&lt;&gt;"",$K50&lt;TODAY()),"OVERDUE",IF($H50="High","OPEN — HIGH RISK","Open"))))</f>
        <v/>
      </c>
      <c r="P50" s="35"/>
    </row>
    <row r="51" customFormat="false" ht="13.5" hidden="false" customHeight="true" outlineLevel="0" collapsed="false">
      <c r="B51" s="34"/>
      <c r="C51" s="35"/>
      <c r="D51" s="36"/>
      <c r="E51" s="35"/>
      <c r="F51" s="35"/>
      <c r="G51" s="35"/>
      <c r="H51" s="34"/>
      <c r="I51" s="35"/>
      <c r="J51" s="35"/>
      <c r="K51" s="36"/>
      <c r="L51" s="34"/>
      <c r="M51" s="36"/>
      <c r="N51" s="32" t="str">
        <f aca="true">IF($D51="","",IF($M51&lt;&gt;"",$M51-$D51,TODAY()-$D51))</f>
        <v/>
      </c>
      <c r="O51" s="33" t="str">
        <f aca="true">IF($C51="","",IF($M51&lt;&gt;"","Closed",IF(AND($K51&lt;&gt;"",$K51&lt;TODAY()),"OVERDUE",IF($H51="High","OPEN — HIGH RISK","Open"))))</f>
        <v/>
      </c>
      <c r="P51" s="35"/>
    </row>
    <row r="52" customFormat="false" ht="13.5" hidden="false" customHeight="true" outlineLevel="0" collapsed="false">
      <c r="B52" s="34"/>
      <c r="C52" s="35"/>
      <c r="D52" s="36"/>
      <c r="E52" s="35"/>
      <c r="F52" s="35"/>
      <c r="G52" s="35"/>
      <c r="H52" s="34"/>
      <c r="I52" s="35"/>
      <c r="J52" s="35"/>
      <c r="K52" s="36"/>
      <c r="L52" s="34"/>
      <c r="M52" s="36"/>
      <c r="N52" s="32" t="str">
        <f aca="true">IF($D52="","",IF($M52&lt;&gt;"",$M52-$D52,TODAY()-$D52))</f>
        <v/>
      </c>
      <c r="O52" s="33" t="str">
        <f aca="true">IF($C52="","",IF($M52&lt;&gt;"","Closed",IF(AND($K52&lt;&gt;"",$K52&lt;TODAY()),"OVERDUE",IF($H52="High","OPEN — HIGH RISK","Open"))))</f>
        <v/>
      </c>
      <c r="P52" s="35"/>
    </row>
    <row r="53" customFormat="false" ht="13.5" hidden="false" customHeight="true" outlineLevel="0" collapsed="false">
      <c r="B53" s="34"/>
      <c r="C53" s="35"/>
      <c r="D53" s="36"/>
      <c r="E53" s="35"/>
      <c r="F53" s="35"/>
      <c r="G53" s="35"/>
      <c r="H53" s="34"/>
      <c r="I53" s="35"/>
      <c r="J53" s="35"/>
      <c r="K53" s="36"/>
      <c r="L53" s="34"/>
      <c r="M53" s="36"/>
      <c r="N53" s="32" t="str">
        <f aca="true">IF($D53="","",IF($M53&lt;&gt;"",$M53-$D53,TODAY()-$D53))</f>
        <v/>
      </c>
      <c r="O53" s="33" t="str">
        <f aca="true">IF($C53="","",IF($M53&lt;&gt;"","Closed",IF(AND($K53&lt;&gt;"",$K53&lt;TODAY()),"OVERDUE",IF($H53="High","OPEN — HIGH RISK","Open"))))</f>
        <v/>
      </c>
      <c r="P53" s="35"/>
    </row>
    <row r="54" customFormat="false" ht="13.5" hidden="false" customHeight="true" outlineLevel="0" collapsed="false">
      <c r="B54" s="34"/>
      <c r="C54" s="35"/>
      <c r="D54" s="36"/>
      <c r="E54" s="35"/>
      <c r="F54" s="35"/>
      <c r="G54" s="35"/>
      <c r="H54" s="34"/>
      <c r="I54" s="35"/>
      <c r="J54" s="35"/>
      <c r="K54" s="36"/>
      <c r="L54" s="34"/>
      <c r="M54" s="36"/>
      <c r="N54" s="32" t="str">
        <f aca="true">IF($D54="","",IF($M54&lt;&gt;"",$M54-$D54,TODAY()-$D54))</f>
        <v/>
      </c>
      <c r="O54" s="33" t="str">
        <f aca="true">IF($C54="","",IF($M54&lt;&gt;"","Closed",IF(AND($K54&lt;&gt;"",$K54&lt;TODAY()),"OVERDUE",IF($H54="High","OPEN — HIGH RISK","Open"))))</f>
        <v/>
      </c>
      <c r="P54" s="35"/>
    </row>
    <row r="55" customFormat="false" ht="13.5" hidden="false" customHeight="true" outlineLevel="0" collapsed="false">
      <c r="B55" s="34"/>
      <c r="C55" s="35"/>
      <c r="D55" s="36"/>
      <c r="E55" s="35"/>
      <c r="F55" s="35"/>
      <c r="G55" s="35"/>
      <c r="H55" s="34"/>
      <c r="I55" s="35"/>
      <c r="J55" s="35"/>
      <c r="K55" s="36"/>
      <c r="L55" s="34"/>
      <c r="M55" s="36"/>
      <c r="N55" s="32" t="str">
        <f aca="true">IF($D55="","",IF($M55&lt;&gt;"",$M55-$D55,TODAY()-$D55))</f>
        <v/>
      </c>
      <c r="O55" s="33" t="str">
        <f aca="true">IF($C55="","",IF($M55&lt;&gt;"","Closed",IF(AND($K55&lt;&gt;"",$K55&lt;TODAY()),"OVERDUE",IF($H55="High","OPEN — HIGH RISK","Open"))))</f>
        <v/>
      </c>
      <c r="P55" s="35"/>
    </row>
    <row r="56" customFormat="false" ht="13.5" hidden="false" customHeight="true" outlineLevel="0" collapsed="false">
      <c r="B56" s="34"/>
      <c r="C56" s="35"/>
      <c r="D56" s="36"/>
      <c r="E56" s="35"/>
      <c r="F56" s="35"/>
      <c r="G56" s="35"/>
      <c r="H56" s="34"/>
      <c r="I56" s="35"/>
      <c r="J56" s="35"/>
      <c r="K56" s="36"/>
      <c r="L56" s="34"/>
      <c r="M56" s="36"/>
      <c r="N56" s="32" t="str">
        <f aca="true">IF($D56="","",IF($M56&lt;&gt;"",$M56-$D56,TODAY()-$D56))</f>
        <v/>
      </c>
      <c r="O56" s="33" t="str">
        <f aca="true">IF($C56="","",IF($M56&lt;&gt;"","Closed",IF(AND($K56&lt;&gt;"",$K56&lt;TODAY()),"OVERDUE",IF($H56="High","OPEN — HIGH RISK","Open"))))</f>
        <v/>
      </c>
      <c r="P56" s="35"/>
    </row>
    <row r="57" customFormat="false" ht="13.5" hidden="false" customHeight="true" outlineLevel="0" collapsed="false">
      <c r="B57" s="34"/>
      <c r="C57" s="35"/>
      <c r="D57" s="36"/>
      <c r="E57" s="35"/>
      <c r="F57" s="35"/>
      <c r="G57" s="35"/>
      <c r="H57" s="34"/>
      <c r="I57" s="35"/>
      <c r="J57" s="35"/>
      <c r="K57" s="36"/>
      <c r="L57" s="34"/>
      <c r="M57" s="36"/>
      <c r="N57" s="32" t="str">
        <f aca="true">IF($D57="","",IF($M57&lt;&gt;"",$M57-$D57,TODAY()-$D57))</f>
        <v/>
      </c>
      <c r="O57" s="33" t="str">
        <f aca="true">IF($C57="","",IF($M57&lt;&gt;"","Closed",IF(AND($K57&lt;&gt;"",$K57&lt;TODAY()),"OVERDUE",IF($H57="High","OPEN — HIGH RISK","Open"))))</f>
        <v/>
      </c>
      <c r="P57" s="35"/>
    </row>
    <row r="58" customFormat="false" ht="13.5" hidden="false" customHeight="true" outlineLevel="0" collapsed="false">
      <c r="B58" s="34"/>
      <c r="C58" s="35"/>
      <c r="D58" s="36"/>
      <c r="E58" s="35"/>
      <c r="F58" s="35"/>
      <c r="G58" s="35"/>
      <c r="H58" s="34"/>
      <c r="I58" s="35"/>
      <c r="J58" s="35"/>
      <c r="K58" s="36"/>
      <c r="L58" s="34"/>
      <c r="M58" s="36"/>
      <c r="N58" s="32" t="str">
        <f aca="true">IF($D58="","",IF($M58&lt;&gt;"",$M58-$D58,TODAY()-$D58))</f>
        <v/>
      </c>
      <c r="O58" s="33" t="str">
        <f aca="true">IF($C58="","",IF($M58&lt;&gt;"","Closed",IF(AND($K58&lt;&gt;"",$K58&lt;TODAY()),"OVERDUE",IF($H58="High","OPEN — HIGH RISK","Open"))))</f>
        <v/>
      </c>
      <c r="P58" s="35"/>
    </row>
    <row r="59" customFormat="false" ht="13.5" hidden="false" customHeight="true" outlineLevel="0" collapsed="false">
      <c r="B59" s="34"/>
      <c r="C59" s="35"/>
      <c r="D59" s="36"/>
      <c r="E59" s="35"/>
      <c r="F59" s="35"/>
      <c r="G59" s="35"/>
      <c r="H59" s="34"/>
      <c r="I59" s="35"/>
      <c r="J59" s="35"/>
      <c r="K59" s="36"/>
      <c r="L59" s="34"/>
      <c r="M59" s="36"/>
      <c r="N59" s="32" t="str">
        <f aca="true">IF($D59="","",IF($M59&lt;&gt;"",$M59-$D59,TODAY()-$D59))</f>
        <v/>
      </c>
      <c r="O59" s="33" t="str">
        <f aca="true">IF($C59="","",IF($M59&lt;&gt;"","Closed",IF(AND($K59&lt;&gt;"",$K59&lt;TODAY()),"OVERDUE",IF($H59="High","OPEN — HIGH RISK","Open"))))</f>
        <v/>
      </c>
      <c r="P59" s="35"/>
    </row>
    <row r="60" customFormat="false" ht="13.5" hidden="false" customHeight="true" outlineLevel="0" collapsed="false">
      <c r="B60" s="34"/>
      <c r="C60" s="35"/>
      <c r="D60" s="36"/>
      <c r="E60" s="35"/>
      <c r="F60" s="35"/>
      <c r="G60" s="35"/>
      <c r="H60" s="34"/>
      <c r="I60" s="35"/>
      <c r="J60" s="35"/>
      <c r="K60" s="36"/>
      <c r="L60" s="34"/>
      <c r="M60" s="36"/>
      <c r="N60" s="32" t="str">
        <f aca="true">IF($D60="","",IF($M60&lt;&gt;"",$M60-$D60,TODAY()-$D60))</f>
        <v/>
      </c>
      <c r="O60" s="33" t="str">
        <f aca="true">IF($C60="","",IF($M60&lt;&gt;"","Closed",IF(AND($K60&lt;&gt;"",$K60&lt;TODAY()),"OVERDUE",IF($H60="High","OPEN — HIGH RISK","Open"))))</f>
        <v/>
      </c>
      <c r="P60" s="35"/>
    </row>
    <row r="61" customFormat="false" ht="13.5" hidden="false" customHeight="true" outlineLevel="0" collapsed="false">
      <c r="B61" s="34"/>
      <c r="C61" s="35"/>
      <c r="D61" s="36"/>
      <c r="E61" s="35"/>
      <c r="F61" s="35"/>
      <c r="G61" s="35"/>
      <c r="H61" s="34"/>
      <c r="I61" s="35"/>
      <c r="J61" s="35"/>
      <c r="K61" s="36"/>
      <c r="L61" s="34"/>
      <c r="M61" s="36"/>
      <c r="N61" s="32" t="str">
        <f aca="true">IF($D61="","",IF($M61&lt;&gt;"",$M61-$D61,TODAY()-$D61))</f>
        <v/>
      </c>
      <c r="O61" s="33" t="str">
        <f aca="true">IF($C61="","",IF($M61&lt;&gt;"","Closed",IF(AND($K61&lt;&gt;"",$K61&lt;TODAY()),"OVERDUE",IF($H61="High","OPEN — HIGH RISK","Open"))))</f>
        <v/>
      </c>
      <c r="P61" s="35"/>
    </row>
    <row r="62" customFormat="false" ht="13.5" hidden="false" customHeight="true" outlineLevel="0" collapsed="false">
      <c r="B62" s="34"/>
      <c r="C62" s="35"/>
      <c r="D62" s="36"/>
      <c r="E62" s="35"/>
      <c r="F62" s="35"/>
      <c r="G62" s="35"/>
      <c r="H62" s="34"/>
      <c r="I62" s="35"/>
      <c r="J62" s="35"/>
      <c r="K62" s="36"/>
      <c r="L62" s="34"/>
      <c r="M62" s="36"/>
      <c r="N62" s="32" t="str">
        <f aca="true">IF($D62="","",IF($M62&lt;&gt;"",$M62-$D62,TODAY()-$D62))</f>
        <v/>
      </c>
      <c r="O62" s="33" t="str">
        <f aca="true">IF($C62="","",IF($M62&lt;&gt;"","Closed",IF(AND($K62&lt;&gt;"",$K62&lt;TODAY()),"OVERDUE",IF($H62="High","OPEN — HIGH RISK","Open"))))</f>
        <v/>
      </c>
      <c r="P62" s="35"/>
    </row>
    <row r="63" customFormat="false" ht="13.5" hidden="false" customHeight="true" outlineLevel="0" collapsed="false">
      <c r="B63" s="34"/>
      <c r="C63" s="35"/>
      <c r="D63" s="36"/>
      <c r="E63" s="35"/>
      <c r="F63" s="35"/>
      <c r="G63" s="35"/>
      <c r="H63" s="34"/>
      <c r="I63" s="35"/>
      <c r="J63" s="35"/>
      <c r="K63" s="36"/>
      <c r="L63" s="34"/>
      <c r="M63" s="36"/>
      <c r="N63" s="32" t="str">
        <f aca="true">IF($D63="","",IF($M63&lt;&gt;"",$M63-$D63,TODAY()-$D63))</f>
        <v/>
      </c>
      <c r="O63" s="33" t="str">
        <f aca="true">IF($C63="","",IF($M63&lt;&gt;"","Closed",IF(AND($K63&lt;&gt;"",$K63&lt;TODAY()),"OVERDUE",IF($H63="High","OPEN — HIGH RISK","Open"))))</f>
        <v/>
      </c>
      <c r="P63" s="35"/>
    </row>
    <row r="64" customFormat="false" ht="13.5" hidden="false" customHeight="true" outlineLevel="0" collapsed="false">
      <c r="B64" s="34"/>
      <c r="C64" s="35"/>
      <c r="D64" s="36"/>
      <c r="E64" s="35"/>
      <c r="F64" s="35"/>
      <c r="G64" s="35"/>
      <c r="H64" s="34"/>
      <c r="I64" s="35"/>
      <c r="J64" s="35"/>
      <c r="K64" s="36"/>
      <c r="L64" s="34"/>
      <c r="M64" s="36"/>
      <c r="N64" s="32" t="str">
        <f aca="true">IF($D64="","",IF($M64&lt;&gt;"",$M64-$D64,TODAY()-$D64))</f>
        <v/>
      </c>
      <c r="O64" s="33" t="str">
        <f aca="true">IF($C64="","",IF($M64&lt;&gt;"","Closed",IF(AND($K64&lt;&gt;"",$K64&lt;TODAY()),"OVERDUE",IF($H64="High","OPEN — HIGH RISK","Open"))))</f>
        <v/>
      </c>
      <c r="P64" s="35"/>
    </row>
    <row r="65" customFormat="false" ht="13.5" hidden="false" customHeight="true" outlineLevel="0" collapsed="false">
      <c r="B65" s="34"/>
      <c r="C65" s="35"/>
      <c r="D65" s="36"/>
      <c r="E65" s="35"/>
      <c r="F65" s="35"/>
      <c r="G65" s="35"/>
      <c r="H65" s="34"/>
      <c r="I65" s="35"/>
      <c r="J65" s="35"/>
      <c r="K65" s="36"/>
      <c r="L65" s="34"/>
      <c r="M65" s="36"/>
      <c r="N65" s="32" t="str">
        <f aca="true">IF($D65="","",IF($M65&lt;&gt;"",$M65-$D65,TODAY()-$D65))</f>
        <v/>
      </c>
      <c r="O65" s="33" t="str">
        <f aca="true">IF($C65="","",IF($M65&lt;&gt;"","Closed",IF(AND($K65&lt;&gt;"",$K65&lt;TODAY()),"OVERDUE",IF($H65="High","OPEN — HIGH RISK","Open"))))</f>
        <v/>
      </c>
      <c r="P65" s="35"/>
    </row>
    <row r="66" customFormat="false" ht="13.5" hidden="false" customHeight="true" outlineLevel="0" collapsed="false">
      <c r="B66" s="34"/>
      <c r="C66" s="35"/>
      <c r="D66" s="36"/>
      <c r="E66" s="35"/>
      <c r="F66" s="35"/>
      <c r="G66" s="35"/>
      <c r="H66" s="34"/>
      <c r="I66" s="35"/>
      <c r="J66" s="35"/>
      <c r="K66" s="36"/>
      <c r="L66" s="34"/>
      <c r="M66" s="36"/>
      <c r="N66" s="32" t="str">
        <f aca="true">IF($D66="","",IF($M66&lt;&gt;"",$M66-$D66,TODAY()-$D66))</f>
        <v/>
      </c>
      <c r="O66" s="33" t="str">
        <f aca="true">IF($C66="","",IF($M66&lt;&gt;"","Closed",IF(AND($K66&lt;&gt;"",$K66&lt;TODAY()),"OVERDUE",IF($H66="High","OPEN — HIGH RISK","Open"))))</f>
        <v/>
      </c>
      <c r="P66" s="35"/>
    </row>
    <row r="67" customFormat="false" ht="13.5" hidden="false" customHeight="true" outlineLevel="0" collapsed="false">
      <c r="B67" s="34"/>
      <c r="C67" s="35"/>
      <c r="D67" s="36"/>
      <c r="E67" s="35"/>
      <c r="F67" s="35"/>
      <c r="G67" s="35"/>
      <c r="H67" s="34"/>
      <c r="I67" s="35"/>
      <c r="J67" s="35"/>
      <c r="K67" s="36"/>
      <c r="L67" s="34"/>
      <c r="M67" s="36"/>
      <c r="N67" s="32" t="str">
        <f aca="true">IF($D67="","",IF($M67&lt;&gt;"",$M67-$D67,TODAY()-$D67))</f>
        <v/>
      </c>
      <c r="O67" s="33" t="str">
        <f aca="true">IF($C67="","",IF($M67&lt;&gt;"","Closed",IF(AND($K67&lt;&gt;"",$K67&lt;TODAY()),"OVERDUE",IF($H67="High","OPEN — HIGH RISK","Open"))))</f>
        <v/>
      </c>
      <c r="P67" s="35"/>
    </row>
    <row r="68" customFormat="false" ht="13.5" hidden="false" customHeight="true" outlineLevel="0" collapsed="false">
      <c r="B68" s="34"/>
      <c r="C68" s="35"/>
      <c r="D68" s="36"/>
      <c r="E68" s="35"/>
      <c r="F68" s="35"/>
      <c r="G68" s="35"/>
      <c r="H68" s="34"/>
      <c r="I68" s="35"/>
      <c r="J68" s="35"/>
      <c r="K68" s="36"/>
      <c r="L68" s="34"/>
      <c r="M68" s="36"/>
      <c r="N68" s="32" t="str">
        <f aca="true">IF($D68="","",IF($M68&lt;&gt;"",$M68-$D68,TODAY()-$D68))</f>
        <v/>
      </c>
      <c r="O68" s="33" t="str">
        <f aca="true">IF($C68="","",IF($M68&lt;&gt;"","Closed",IF(AND($K68&lt;&gt;"",$K68&lt;TODAY()),"OVERDUE",IF($H68="High","OPEN — HIGH RISK","Open"))))</f>
        <v/>
      </c>
      <c r="P68" s="35"/>
    </row>
    <row r="69" customFormat="false" ht="13.5" hidden="false" customHeight="true" outlineLevel="0" collapsed="false">
      <c r="B69" s="34"/>
      <c r="C69" s="35"/>
      <c r="D69" s="36"/>
      <c r="E69" s="35"/>
      <c r="F69" s="35"/>
      <c r="G69" s="35"/>
      <c r="H69" s="34"/>
      <c r="I69" s="35"/>
      <c r="J69" s="35"/>
      <c r="K69" s="36"/>
      <c r="L69" s="34"/>
      <c r="M69" s="36"/>
      <c r="N69" s="32" t="str">
        <f aca="true">IF($D69="","",IF($M69&lt;&gt;"",$M69-$D69,TODAY()-$D69))</f>
        <v/>
      </c>
      <c r="O69" s="33" t="str">
        <f aca="true">IF($C69="","",IF($M69&lt;&gt;"","Closed",IF(AND($K69&lt;&gt;"",$K69&lt;TODAY()),"OVERDUE",IF($H69="High","OPEN — HIGH RISK","Open"))))</f>
        <v/>
      </c>
      <c r="P69" s="35"/>
    </row>
    <row r="70" customFormat="false" ht="13.5" hidden="false" customHeight="true" outlineLevel="0" collapsed="false">
      <c r="B70" s="34"/>
      <c r="C70" s="35"/>
      <c r="D70" s="36"/>
      <c r="E70" s="35"/>
      <c r="F70" s="35"/>
      <c r="G70" s="35"/>
      <c r="H70" s="34"/>
      <c r="I70" s="35"/>
      <c r="J70" s="35"/>
      <c r="K70" s="36"/>
      <c r="L70" s="34"/>
      <c r="M70" s="36"/>
      <c r="N70" s="32" t="str">
        <f aca="true">IF($D70="","",IF($M70&lt;&gt;"",$M70-$D70,TODAY()-$D70))</f>
        <v/>
      </c>
      <c r="O70" s="33" t="str">
        <f aca="true">IF($C70="","",IF($M70&lt;&gt;"","Closed",IF(AND($K70&lt;&gt;"",$K70&lt;TODAY()),"OVERDUE",IF($H70="High","OPEN — HIGH RISK","Open"))))</f>
        <v/>
      </c>
      <c r="P70" s="35"/>
    </row>
    <row r="71" customFormat="false" ht="13.5" hidden="false" customHeight="true" outlineLevel="0" collapsed="false">
      <c r="B71" s="34"/>
      <c r="C71" s="35"/>
      <c r="D71" s="36"/>
      <c r="E71" s="35"/>
      <c r="F71" s="35"/>
      <c r="G71" s="35"/>
      <c r="H71" s="34"/>
      <c r="I71" s="35"/>
      <c r="J71" s="35"/>
      <c r="K71" s="36"/>
      <c r="L71" s="34"/>
      <c r="M71" s="36"/>
      <c r="N71" s="32" t="str">
        <f aca="true">IF($D71="","",IF($M71&lt;&gt;"",$M71-$D71,TODAY()-$D71))</f>
        <v/>
      </c>
      <c r="O71" s="33" t="str">
        <f aca="true">IF($C71="","",IF($M71&lt;&gt;"","Closed",IF(AND($K71&lt;&gt;"",$K71&lt;TODAY()),"OVERDUE",IF($H71="High","OPEN — HIGH RISK","Open"))))</f>
        <v/>
      </c>
      <c r="P71" s="35"/>
    </row>
    <row r="72" customFormat="false" ht="13.5" hidden="false" customHeight="true" outlineLevel="0" collapsed="false">
      <c r="B72" s="34"/>
      <c r="C72" s="35"/>
      <c r="D72" s="36"/>
      <c r="E72" s="35"/>
      <c r="F72" s="35"/>
      <c r="G72" s="35"/>
      <c r="H72" s="34"/>
      <c r="I72" s="35"/>
      <c r="J72" s="35"/>
      <c r="K72" s="36"/>
      <c r="L72" s="34"/>
      <c r="M72" s="36"/>
      <c r="N72" s="32" t="str">
        <f aca="true">IF($D72="","",IF($M72&lt;&gt;"",$M72-$D72,TODAY()-$D72))</f>
        <v/>
      </c>
      <c r="O72" s="33" t="str">
        <f aca="true">IF($C72="","",IF($M72&lt;&gt;"","Closed",IF(AND($K72&lt;&gt;"",$K72&lt;TODAY()),"OVERDUE",IF($H72="High","OPEN — HIGH RISK","Open"))))</f>
        <v/>
      </c>
      <c r="P72" s="35"/>
    </row>
    <row r="73" customFormat="false" ht="13.5" hidden="false" customHeight="true" outlineLevel="0" collapsed="false">
      <c r="B73" s="34"/>
      <c r="C73" s="35"/>
      <c r="D73" s="36"/>
      <c r="E73" s="35"/>
      <c r="F73" s="35"/>
      <c r="G73" s="35"/>
      <c r="H73" s="34"/>
      <c r="I73" s="35"/>
      <c r="J73" s="35"/>
      <c r="K73" s="36"/>
      <c r="L73" s="34"/>
      <c r="M73" s="36"/>
      <c r="N73" s="32" t="str">
        <f aca="true">IF($D73="","",IF($M73&lt;&gt;"",$M73-$D73,TODAY()-$D73))</f>
        <v/>
      </c>
      <c r="O73" s="33" t="str">
        <f aca="true">IF($C73="","",IF($M73&lt;&gt;"","Closed",IF(AND($K73&lt;&gt;"",$K73&lt;TODAY()),"OVERDUE",IF($H73="High","OPEN — HIGH RISK","Open"))))</f>
        <v/>
      </c>
      <c r="P73" s="35"/>
    </row>
    <row r="74" customFormat="false" ht="13.5" hidden="false" customHeight="true" outlineLevel="0" collapsed="false">
      <c r="B74" s="34"/>
      <c r="C74" s="35"/>
      <c r="D74" s="36"/>
      <c r="E74" s="35"/>
      <c r="F74" s="35"/>
      <c r="G74" s="35"/>
      <c r="H74" s="34"/>
      <c r="I74" s="35"/>
      <c r="J74" s="35"/>
      <c r="K74" s="36"/>
      <c r="L74" s="34"/>
      <c r="M74" s="36"/>
      <c r="N74" s="32" t="str">
        <f aca="true">IF($D74="","",IF($M74&lt;&gt;"",$M74-$D74,TODAY()-$D74))</f>
        <v/>
      </c>
      <c r="O74" s="33" t="str">
        <f aca="true">IF($C74="","",IF($M74&lt;&gt;"","Closed",IF(AND($K74&lt;&gt;"",$K74&lt;TODAY()),"OVERDUE",IF($H74="High","OPEN — HIGH RISK","Open"))))</f>
        <v/>
      </c>
      <c r="P74" s="35"/>
    </row>
    <row r="75" customFormat="false" ht="13.5" hidden="false" customHeight="true" outlineLevel="0" collapsed="false">
      <c r="B75" s="34"/>
      <c r="C75" s="35"/>
      <c r="D75" s="36"/>
      <c r="E75" s="35"/>
      <c r="F75" s="35"/>
      <c r="G75" s="35"/>
      <c r="H75" s="34"/>
      <c r="I75" s="35"/>
      <c r="J75" s="35"/>
      <c r="K75" s="36"/>
      <c r="L75" s="34"/>
      <c r="M75" s="36"/>
      <c r="N75" s="32" t="str">
        <f aca="true">IF($D75="","",IF($M75&lt;&gt;"",$M75-$D75,TODAY()-$D75))</f>
        <v/>
      </c>
      <c r="O75" s="33" t="str">
        <f aca="true">IF($C75="","",IF($M75&lt;&gt;"","Closed",IF(AND($K75&lt;&gt;"",$K75&lt;TODAY()),"OVERDUE",IF($H75="High","OPEN — HIGH RISK","Open"))))</f>
        <v/>
      </c>
      <c r="P75" s="35"/>
    </row>
    <row r="76" customFormat="false" ht="13.5" hidden="false" customHeight="true" outlineLevel="0" collapsed="false">
      <c r="B76" s="34"/>
      <c r="C76" s="35"/>
      <c r="D76" s="36"/>
      <c r="E76" s="35"/>
      <c r="F76" s="35"/>
      <c r="G76" s="35"/>
      <c r="H76" s="34"/>
      <c r="I76" s="35"/>
      <c r="J76" s="35"/>
      <c r="K76" s="36"/>
      <c r="L76" s="34"/>
      <c r="M76" s="36"/>
      <c r="N76" s="32" t="str">
        <f aca="true">IF($D76="","",IF($M76&lt;&gt;"",$M76-$D76,TODAY()-$D76))</f>
        <v/>
      </c>
      <c r="O76" s="33" t="str">
        <f aca="true">IF($C76="","",IF($M76&lt;&gt;"","Closed",IF(AND($K76&lt;&gt;"",$K76&lt;TODAY()),"OVERDUE",IF($H76="High","OPEN — HIGH RISK","Open"))))</f>
        <v/>
      </c>
      <c r="P76" s="35"/>
    </row>
    <row r="77" customFormat="false" ht="13.5" hidden="false" customHeight="true" outlineLevel="0" collapsed="false">
      <c r="B77" s="34"/>
      <c r="C77" s="35"/>
      <c r="D77" s="36"/>
      <c r="E77" s="35"/>
      <c r="F77" s="35"/>
      <c r="G77" s="35"/>
      <c r="H77" s="34"/>
      <c r="I77" s="35"/>
      <c r="J77" s="35"/>
      <c r="K77" s="36"/>
      <c r="L77" s="34"/>
      <c r="M77" s="36"/>
      <c r="N77" s="32" t="str">
        <f aca="true">IF($D77="","",IF($M77&lt;&gt;"",$M77-$D77,TODAY()-$D77))</f>
        <v/>
      </c>
      <c r="O77" s="33" t="str">
        <f aca="true">IF($C77="","",IF($M77&lt;&gt;"","Closed",IF(AND($K77&lt;&gt;"",$K77&lt;TODAY()),"OVERDUE",IF($H77="High","OPEN — HIGH RISK","Open"))))</f>
        <v/>
      </c>
      <c r="P77" s="35"/>
    </row>
    <row r="78" customFormat="false" ht="13.5" hidden="false" customHeight="true" outlineLevel="0" collapsed="false">
      <c r="B78" s="34"/>
      <c r="C78" s="35"/>
      <c r="D78" s="36"/>
      <c r="E78" s="35"/>
      <c r="F78" s="35"/>
      <c r="G78" s="35"/>
      <c r="H78" s="34"/>
      <c r="I78" s="35"/>
      <c r="J78" s="35"/>
      <c r="K78" s="36"/>
      <c r="L78" s="34"/>
      <c r="M78" s="36"/>
      <c r="N78" s="32" t="str">
        <f aca="true">IF($D78="","",IF($M78&lt;&gt;"",$M78-$D78,TODAY()-$D78))</f>
        <v/>
      </c>
      <c r="O78" s="33" t="str">
        <f aca="true">IF($C78="","",IF($M78&lt;&gt;"","Closed",IF(AND($K78&lt;&gt;"",$K78&lt;TODAY()),"OVERDUE",IF($H78="High","OPEN — HIGH RISK","Open"))))</f>
        <v/>
      </c>
      <c r="P78" s="35"/>
    </row>
    <row r="79" customFormat="false" ht="13.5" hidden="false" customHeight="true" outlineLevel="0" collapsed="false">
      <c r="B79" s="34"/>
      <c r="C79" s="35"/>
      <c r="D79" s="36"/>
      <c r="E79" s="35"/>
      <c r="F79" s="35"/>
      <c r="G79" s="35"/>
      <c r="H79" s="34"/>
      <c r="I79" s="35"/>
      <c r="J79" s="35"/>
      <c r="K79" s="36"/>
      <c r="L79" s="34"/>
      <c r="M79" s="36"/>
      <c r="N79" s="32" t="str">
        <f aca="true">IF($D79="","",IF($M79&lt;&gt;"",$M79-$D79,TODAY()-$D79))</f>
        <v/>
      </c>
      <c r="O79" s="33" t="str">
        <f aca="true">IF($C79="","",IF($M79&lt;&gt;"","Closed",IF(AND($K79&lt;&gt;"",$K79&lt;TODAY()),"OVERDUE",IF($H79="High","OPEN — HIGH RISK","Open"))))</f>
        <v/>
      </c>
      <c r="P79" s="35"/>
    </row>
    <row r="80" customFormat="false" ht="13.5" hidden="false" customHeight="true" outlineLevel="0" collapsed="false">
      <c r="B80" s="34"/>
      <c r="C80" s="35"/>
      <c r="D80" s="36"/>
      <c r="E80" s="35"/>
      <c r="F80" s="35"/>
      <c r="G80" s="35"/>
      <c r="H80" s="34"/>
      <c r="I80" s="35"/>
      <c r="J80" s="35"/>
      <c r="K80" s="36"/>
      <c r="L80" s="34"/>
      <c r="M80" s="36"/>
      <c r="N80" s="32" t="str">
        <f aca="true">IF($D80="","",IF($M80&lt;&gt;"",$M80-$D80,TODAY()-$D80))</f>
        <v/>
      </c>
      <c r="O80" s="33" t="str">
        <f aca="true">IF($C80="","",IF($M80&lt;&gt;"","Closed",IF(AND($K80&lt;&gt;"",$K80&lt;TODAY()),"OVERDUE",IF($H80="High","OPEN — HIGH RISK","Open"))))</f>
        <v/>
      </c>
      <c r="P80" s="35"/>
    </row>
    <row r="81" customFormat="false" ht="13.5" hidden="false" customHeight="true" outlineLevel="0" collapsed="false">
      <c r="B81" s="34"/>
      <c r="C81" s="35"/>
      <c r="D81" s="36"/>
      <c r="E81" s="35"/>
      <c r="F81" s="35"/>
      <c r="G81" s="35"/>
      <c r="H81" s="34"/>
      <c r="I81" s="35"/>
      <c r="J81" s="35"/>
      <c r="K81" s="36"/>
      <c r="L81" s="34"/>
      <c r="M81" s="36"/>
      <c r="N81" s="32" t="str">
        <f aca="true">IF($D81="","",IF($M81&lt;&gt;"",$M81-$D81,TODAY()-$D81))</f>
        <v/>
      </c>
      <c r="O81" s="33" t="str">
        <f aca="true">IF($C81="","",IF($M81&lt;&gt;"","Closed",IF(AND($K81&lt;&gt;"",$K81&lt;TODAY()),"OVERDUE",IF($H81="High","OPEN — HIGH RISK","Open"))))</f>
        <v/>
      </c>
      <c r="P81" s="35"/>
    </row>
    <row r="82" customFormat="false" ht="13.5" hidden="false" customHeight="true" outlineLevel="0" collapsed="false">
      <c r="B82" s="34"/>
      <c r="C82" s="35"/>
      <c r="D82" s="36"/>
      <c r="E82" s="35"/>
      <c r="F82" s="35"/>
      <c r="G82" s="35"/>
      <c r="H82" s="34"/>
      <c r="I82" s="35"/>
      <c r="J82" s="35"/>
      <c r="K82" s="36"/>
      <c r="L82" s="34"/>
      <c r="M82" s="36"/>
      <c r="N82" s="32" t="str">
        <f aca="true">IF($D82="","",IF($M82&lt;&gt;"",$M82-$D82,TODAY()-$D82))</f>
        <v/>
      </c>
      <c r="O82" s="33" t="str">
        <f aca="true">IF($C82="","",IF($M82&lt;&gt;"","Closed",IF(AND($K82&lt;&gt;"",$K82&lt;TODAY()),"OVERDUE",IF($H82="High","OPEN — HIGH RISK","Open"))))</f>
        <v/>
      </c>
      <c r="P82" s="35"/>
    </row>
    <row r="83" customFormat="false" ht="13.5" hidden="false" customHeight="true" outlineLevel="0" collapsed="false">
      <c r="B83" s="34"/>
      <c r="C83" s="35"/>
      <c r="D83" s="36"/>
      <c r="E83" s="35"/>
      <c r="F83" s="35"/>
      <c r="G83" s="35"/>
      <c r="H83" s="34"/>
      <c r="I83" s="35"/>
      <c r="J83" s="35"/>
      <c r="K83" s="36"/>
      <c r="L83" s="34"/>
      <c r="M83" s="36"/>
      <c r="N83" s="32" t="str">
        <f aca="true">IF($D83="","",IF($M83&lt;&gt;"",$M83-$D83,TODAY()-$D83))</f>
        <v/>
      </c>
      <c r="O83" s="33" t="str">
        <f aca="true">IF($C83="","",IF($M83&lt;&gt;"","Closed",IF(AND($K83&lt;&gt;"",$K83&lt;TODAY()),"OVERDUE",IF($H83="High","OPEN — HIGH RISK","Open"))))</f>
        <v/>
      </c>
      <c r="P83" s="35"/>
    </row>
    <row r="84" customFormat="false" ht="13.5" hidden="false" customHeight="true" outlineLevel="0" collapsed="false">
      <c r="B84" s="34"/>
      <c r="C84" s="35"/>
      <c r="D84" s="36"/>
      <c r="E84" s="35"/>
      <c r="F84" s="35"/>
      <c r="G84" s="35"/>
      <c r="H84" s="34"/>
      <c r="I84" s="35"/>
      <c r="J84" s="35"/>
      <c r="K84" s="36"/>
      <c r="L84" s="34"/>
      <c r="M84" s="36"/>
      <c r="N84" s="32" t="str">
        <f aca="true">IF($D84="","",IF($M84&lt;&gt;"",$M84-$D84,TODAY()-$D84))</f>
        <v/>
      </c>
      <c r="O84" s="33" t="str">
        <f aca="true">IF($C84="","",IF($M84&lt;&gt;"","Closed",IF(AND($K84&lt;&gt;"",$K84&lt;TODAY()),"OVERDUE",IF($H84="High","OPEN — HIGH RISK","Open"))))</f>
        <v/>
      </c>
      <c r="P84" s="35"/>
    </row>
    <row r="85" customFormat="false" ht="13.5" hidden="false" customHeight="true" outlineLevel="0" collapsed="false">
      <c r="B85" s="34"/>
      <c r="C85" s="35"/>
      <c r="D85" s="36"/>
      <c r="E85" s="35"/>
      <c r="F85" s="35"/>
      <c r="G85" s="35"/>
      <c r="H85" s="34"/>
      <c r="I85" s="35"/>
      <c r="J85" s="35"/>
      <c r="K85" s="36"/>
      <c r="L85" s="34"/>
      <c r="M85" s="36"/>
      <c r="N85" s="32" t="str">
        <f aca="true">IF($D85="","",IF($M85&lt;&gt;"",$M85-$D85,TODAY()-$D85))</f>
        <v/>
      </c>
      <c r="O85" s="33" t="str">
        <f aca="true">IF($C85="","",IF($M85&lt;&gt;"","Closed",IF(AND($K85&lt;&gt;"",$K85&lt;TODAY()),"OVERDUE",IF($H85="High","OPEN — HIGH RISK","Open"))))</f>
        <v/>
      </c>
      <c r="P85" s="35"/>
    </row>
    <row r="86" customFormat="false" ht="13.5" hidden="false" customHeight="true" outlineLevel="0" collapsed="false">
      <c r="B86" s="34"/>
      <c r="C86" s="35"/>
      <c r="D86" s="36"/>
      <c r="E86" s="35"/>
      <c r="F86" s="35"/>
      <c r="G86" s="35"/>
      <c r="H86" s="34"/>
      <c r="I86" s="35"/>
      <c r="J86" s="35"/>
      <c r="K86" s="36"/>
      <c r="L86" s="34"/>
      <c r="M86" s="36"/>
      <c r="N86" s="32" t="str">
        <f aca="true">IF($D86="","",IF($M86&lt;&gt;"",$M86-$D86,TODAY()-$D86))</f>
        <v/>
      </c>
      <c r="O86" s="33" t="str">
        <f aca="true">IF($C86="","",IF($M86&lt;&gt;"","Closed",IF(AND($K86&lt;&gt;"",$K86&lt;TODAY()),"OVERDUE",IF($H86="High","OPEN — HIGH RISK","Open"))))</f>
        <v/>
      </c>
      <c r="P86" s="35"/>
    </row>
    <row r="87" customFormat="false" ht="13.5" hidden="false" customHeight="true" outlineLevel="0" collapsed="false">
      <c r="B87" s="34"/>
      <c r="C87" s="35"/>
      <c r="D87" s="36"/>
      <c r="E87" s="35"/>
      <c r="F87" s="35"/>
      <c r="G87" s="35"/>
      <c r="H87" s="34"/>
      <c r="I87" s="35"/>
      <c r="J87" s="35"/>
      <c r="K87" s="36"/>
      <c r="L87" s="34"/>
      <c r="M87" s="36"/>
      <c r="N87" s="32" t="str">
        <f aca="true">IF($D87="","",IF($M87&lt;&gt;"",$M87-$D87,TODAY()-$D87))</f>
        <v/>
      </c>
      <c r="O87" s="33" t="str">
        <f aca="true">IF($C87="","",IF($M87&lt;&gt;"","Closed",IF(AND($K87&lt;&gt;"",$K87&lt;TODAY()),"OVERDUE",IF($H87="High","OPEN — HIGH RISK","Open"))))</f>
        <v/>
      </c>
      <c r="P87" s="35"/>
    </row>
    <row r="88" customFormat="false" ht="13.5" hidden="false" customHeight="true" outlineLevel="0" collapsed="false">
      <c r="B88" s="34"/>
      <c r="C88" s="35"/>
      <c r="D88" s="36"/>
      <c r="E88" s="35"/>
      <c r="F88" s="35"/>
      <c r="G88" s="35"/>
      <c r="H88" s="34"/>
      <c r="I88" s="35"/>
      <c r="J88" s="35"/>
      <c r="K88" s="36"/>
      <c r="L88" s="34"/>
      <c r="M88" s="36"/>
      <c r="N88" s="32" t="str">
        <f aca="true">IF($D88="","",IF($M88&lt;&gt;"",$M88-$D88,TODAY()-$D88))</f>
        <v/>
      </c>
      <c r="O88" s="33" t="str">
        <f aca="true">IF($C88="","",IF($M88&lt;&gt;"","Closed",IF(AND($K88&lt;&gt;"",$K88&lt;TODAY()),"OVERDUE",IF($H88="High","OPEN — HIGH RISK","Open"))))</f>
        <v/>
      </c>
      <c r="P88" s="35"/>
    </row>
    <row r="89" customFormat="false" ht="13.5" hidden="false" customHeight="true" outlineLevel="0" collapsed="false">
      <c r="B89" s="34"/>
      <c r="C89" s="35"/>
      <c r="D89" s="36"/>
      <c r="E89" s="35"/>
      <c r="F89" s="35"/>
      <c r="G89" s="35"/>
      <c r="H89" s="34"/>
      <c r="I89" s="35"/>
      <c r="J89" s="35"/>
      <c r="K89" s="36"/>
      <c r="L89" s="34"/>
      <c r="M89" s="36"/>
      <c r="N89" s="32" t="str">
        <f aca="true">IF($D89="","",IF($M89&lt;&gt;"",$M89-$D89,TODAY()-$D89))</f>
        <v/>
      </c>
      <c r="O89" s="33" t="str">
        <f aca="true">IF($C89="","",IF($M89&lt;&gt;"","Closed",IF(AND($K89&lt;&gt;"",$K89&lt;TODAY()),"OVERDUE",IF($H89="High","OPEN — HIGH RISK","Open"))))</f>
        <v/>
      </c>
      <c r="P89" s="35"/>
    </row>
    <row r="90" customFormat="false" ht="13.5" hidden="false" customHeight="true" outlineLevel="0" collapsed="false">
      <c r="B90" s="34"/>
      <c r="C90" s="35"/>
      <c r="D90" s="36"/>
      <c r="E90" s="35"/>
      <c r="F90" s="35"/>
      <c r="G90" s="35"/>
      <c r="H90" s="34"/>
      <c r="I90" s="35"/>
      <c r="J90" s="35"/>
      <c r="K90" s="36"/>
      <c r="L90" s="34"/>
      <c r="M90" s="36"/>
      <c r="N90" s="32" t="str">
        <f aca="true">IF($D90="","",IF($M90&lt;&gt;"",$M90-$D90,TODAY()-$D90))</f>
        <v/>
      </c>
      <c r="O90" s="33" t="str">
        <f aca="true">IF($C90="","",IF($M90&lt;&gt;"","Closed",IF(AND($K90&lt;&gt;"",$K90&lt;TODAY()),"OVERDUE",IF($H90="High","OPEN — HIGH RISK","Open"))))</f>
        <v/>
      </c>
      <c r="P90" s="35"/>
    </row>
    <row r="91" customFormat="false" ht="13.5" hidden="false" customHeight="true" outlineLevel="0" collapsed="false">
      <c r="B91" s="34"/>
      <c r="C91" s="35"/>
      <c r="D91" s="36"/>
      <c r="E91" s="35"/>
      <c r="F91" s="35"/>
      <c r="G91" s="35"/>
      <c r="H91" s="34"/>
      <c r="I91" s="35"/>
      <c r="J91" s="35"/>
      <c r="K91" s="36"/>
      <c r="L91" s="34"/>
      <c r="M91" s="36"/>
      <c r="N91" s="32" t="str">
        <f aca="true">IF($D91="","",IF($M91&lt;&gt;"",$M91-$D91,TODAY()-$D91))</f>
        <v/>
      </c>
      <c r="O91" s="33" t="str">
        <f aca="true">IF($C91="","",IF($M91&lt;&gt;"","Closed",IF(AND($K91&lt;&gt;"",$K91&lt;TODAY()),"OVERDUE",IF($H91="High","OPEN — HIGH RISK","Open"))))</f>
        <v/>
      </c>
      <c r="P91" s="35"/>
    </row>
    <row r="92" customFormat="false" ht="13.5" hidden="false" customHeight="true" outlineLevel="0" collapsed="false">
      <c r="B92" s="34"/>
      <c r="C92" s="35"/>
      <c r="D92" s="36"/>
      <c r="E92" s="35"/>
      <c r="F92" s="35"/>
      <c r="G92" s="35"/>
      <c r="H92" s="34"/>
      <c r="I92" s="35"/>
      <c r="J92" s="35"/>
      <c r="K92" s="36"/>
      <c r="L92" s="34"/>
      <c r="M92" s="36"/>
      <c r="N92" s="32" t="str">
        <f aca="true">IF($D92="","",IF($M92&lt;&gt;"",$M92-$D92,TODAY()-$D92))</f>
        <v/>
      </c>
      <c r="O92" s="33" t="str">
        <f aca="true">IF($C92="","",IF($M92&lt;&gt;"","Closed",IF(AND($K92&lt;&gt;"",$K92&lt;TODAY()),"OVERDUE",IF($H92="High","OPEN — HIGH RISK","Open"))))</f>
        <v/>
      </c>
      <c r="P92" s="35"/>
    </row>
    <row r="93" customFormat="false" ht="13.5" hidden="false" customHeight="true" outlineLevel="0" collapsed="false">
      <c r="B93" s="34"/>
      <c r="C93" s="35"/>
      <c r="D93" s="36"/>
      <c r="E93" s="35"/>
      <c r="F93" s="35"/>
      <c r="G93" s="35"/>
      <c r="H93" s="34"/>
      <c r="I93" s="35"/>
      <c r="J93" s="35"/>
      <c r="K93" s="36"/>
      <c r="L93" s="34"/>
      <c r="M93" s="36"/>
      <c r="N93" s="32" t="str">
        <f aca="true">IF($D93="","",IF($M93&lt;&gt;"",$M93-$D93,TODAY()-$D93))</f>
        <v/>
      </c>
      <c r="O93" s="33" t="str">
        <f aca="true">IF($C93="","",IF($M93&lt;&gt;"","Closed",IF(AND($K93&lt;&gt;"",$K93&lt;TODAY()),"OVERDUE",IF($H93="High","OPEN — HIGH RISK","Open"))))</f>
        <v/>
      </c>
      <c r="P93" s="35"/>
    </row>
    <row r="94" customFormat="false" ht="13.5" hidden="false" customHeight="true" outlineLevel="0" collapsed="false">
      <c r="B94" s="34"/>
      <c r="C94" s="35"/>
      <c r="D94" s="36"/>
      <c r="E94" s="35"/>
      <c r="F94" s="35"/>
      <c r="G94" s="35"/>
      <c r="H94" s="34"/>
      <c r="I94" s="35"/>
      <c r="J94" s="35"/>
      <c r="K94" s="36"/>
      <c r="L94" s="34"/>
      <c r="M94" s="36"/>
      <c r="N94" s="32" t="str">
        <f aca="true">IF($D94="","",IF($M94&lt;&gt;"",$M94-$D94,TODAY()-$D94))</f>
        <v/>
      </c>
      <c r="O94" s="33" t="str">
        <f aca="true">IF($C94="","",IF($M94&lt;&gt;"","Closed",IF(AND($K94&lt;&gt;"",$K94&lt;TODAY()),"OVERDUE",IF($H94="High","OPEN — HIGH RISK","Open"))))</f>
        <v/>
      </c>
      <c r="P94" s="35"/>
    </row>
    <row r="95" customFormat="false" ht="13.5" hidden="false" customHeight="true" outlineLevel="0" collapsed="false">
      <c r="B95" s="34"/>
      <c r="C95" s="35"/>
      <c r="D95" s="36"/>
      <c r="E95" s="35"/>
      <c r="F95" s="35"/>
      <c r="G95" s="35"/>
      <c r="H95" s="34"/>
      <c r="I95" s="35"/>
      <c r="J95" s="35"/>
      <c r="K95" s="36"/>
      <c r="L95" s="34"/>
      <c r="M95" s="36"/>
      <c r="N95" s="32" t="str">
        <f aca="true">IF($D95="","",IF($M95&lt;&gt;"",$M95-$D95,TODAY()-$D95))</f>
        <v/>
      </c>
      <c r="O95" s="33" t="str">
        <f aca="true">IF($C95="","",IF($M95&lt;&gt;"","Closed",IF(AND($K95&lt;&gt;"",$K95&lt;TODAY()),"OVERDUE",IF($H95="High","OPEN — HIGH RISK","Open"))))</f>
        <v/>
      </c>
      <c r="P95" s="35"/>
    </row>
    <row r="96" customFormat="false" ht="13.5" hidden="false" customHeight="true" outlineLevel="0" collapsed="false">
      <c r="B96" s="34"/>
      <c r="C96" s="35"/>
      <c r="D96" s="36"/>
      <c r="E96" s="35"/>
      <c r="F96" s="35"/>
      <c r="G96" s="35"/>
      <c r="H96" s="34"/>
      <c r="I96" s="35"/>
      <c r="J96" s="35"/>
      <c r="K96" s="36"/>
      <c r="L96" s="34"/>
      <c r="M96" s="36"/>
      <c r="N96" s="32" t="str">
        <f aca="true">IF($D96="","",IF($M96&lt;&gt;"",$M96-$D96,TODAY()-$D96))</f>
        <v/>
      </c>
      <c r="O96" s="33" t="str">
        <f aca="true">IF($C96="","",IF($M96&lt;&gt;"","Closed",IF(AND($K96&lt;&gt;"",$K96&lt;TODAY()),"OVERDUE",IF($H96="High","OPEN — HIGH RISK","Open"))))</f>
        <v/>
      </c>
      <c r="P96" s="35"/>
    </row>
    <row r="97" customFormat="false" ht="13.5" hidden="false" customHeight="true" outlineLevel="0" collapsed="false">
      <c r="B97" s="34"/>
      <c r="C97" s="35"/>
      <c r="D97" s="36"/>
      <c r="E97" s="35"/>
      <c r="F97" s="35"/>
      <c r="G97" s="35"/>
      <c r="H97" s="34"/>
      <c r="I97" s="35"/>
      <c r="J97" s="35"/>
      <c r="K97" s="36"/>
      <c r="L97" s="34"/>
      <c r="M97" s="36"/>
      <c r="N97" s="32" t="str">
        <f aca="true">IF($D97="","",IF($M97&lt;&gt;"",$M97-$D97,TODAY()-$D97))</f>
        <v/>
      </c>
      <c r="O97" s="33" t="str">
        <f aca="true">IF($C97="","",IF($M97&lt;&gt;"","Closed",IF(AND($K97&lt;&gt;"",$K97&lt;TODAY()),"OVERDUE",IF($H97="High","OPEN — HIGH RISK","Open"))))</f>
        <v/>
      </c>
      <c r="P97" s="35"/>
    </row>
    <row r="98" customFormat="false" ht="13.5" hidden="false" customHeight="true" outlineLevel="0" collapsed="false">
      <c r="B98" s="34"/>
      <c r="C98" s="35"/>
      <c r="D98" s="36"/>
      <c r="E98" s="35"/>
      <c r="F98" s="35"/>
      <c r="G98" s="35"/>
      <c r="H98" s="34"/>
      <c r="I98" s="35"/>
      <c r="J98" s="35"/>
      <c r="K98" s="36"/>
      <c r="L98" s="34"/>
      <c r="M98" s="36"/>
      <c r="N98" s="32" t="str">
        <f aca="true">IF($D98="","",IF($M98&lt;&gt;"",$M98-$D98,TODAY()-$D98))</f>
        <v/>
      </c>
      <c r="O98" s="33" t="str">
        <f aca="true">IF($C98="","",IF($M98&lt;&gt;"","Closed",IF(AND($K98&lt;&gt;"",$K98&lt;TODAY()),"OVERDUE",IF($H98="High","OPEN — HIGH RISK","Open"))))</f>
        <v/>
      </c>
      <c r="P98" s="35"/>
    </row>
    <row r="99" customFormat="false" ht="13.5" hidden="false" customHeight="true" outlineLevel="0" collapsed="false">
      <c r="B99" s="34"/>
      <c r="C99" s="35"/>
      <c r="D99" s="36"/>
      <c r="E99" s="35"/>
      <c r="F99" s="35"/>
      <c r="G99" s="35"/>
      <c r="H99" s="34"/>
      <c r="I99" s="35"/>
      <c r="J99" s="35"/>
      <c r="K99" s="36"/>
      <c r="L99" s="34"/>
      <c r="M99" s="36"/>
      <c r="N99" s="32" t="str">
        <f aca="true">IF($D99="","",IF($M99&lt;&gt;"",$M99-$D99,TODAY()-$D99))</f>
        <v/>
      </c>
      <c r="O99" s="33" t="str">
        <f aca="true">IF($C99="","",IF($M99&lt;&gt;"","Closed",IF(AND($K99&lt;&gt;"",$K99&lt;TODAY()),"OVERDUE",IF($H99="High","OPEN — HIGH RISK","Open"))))</f>
        <v/>
      </c>
      <c r="P99" s="35"/>
    </row>
    <row r="100" customFormat="false" ht="13.5" hidden="false" customHeight="true" outlineLevel="0" collapsed="false">
      <c r="B100" s="34"/>
      <c r="C100" s="35"/>
      <c r="D100" s="36"/>
      <c r="E100" s="35"/>
      <c r="F100" s="35"/>
      <c r="G100" s="35"/>
      <c r="H100" s="34"/>
      <c r="I100" s="35"/>
      <c r="J100" s="35"/>
      <c r="K100" s="36"/>
      <c r="L100" s="34"/>
      <c r="M100" s="36"/>
      <c r="N100" s="32" t="str">
        <f aca="true">IF($D100="","",IF($M100&lt;&gt;"",$M100-$D100,TODAY()-$D100))</f>
        <v/>
      </c>
      <c r="O100" s="33" t="str">
        <f aca="true">IF($C100="","",IF($M100&lt;&gt;"","Closed",IF(AND($K100&lt;&gt;"",$K100&lt;TODAY()),"OVERDUE",IF($H100="High","OPEN — HIGH RISK","Open"))))</f>
        <v/>
      </c>
      <c r="P100" s="35"/>
    </row>
    <row r="101" customFormat="false" ht="13.5" hidden="false" customHeight="true" outlineLevel="0" collapsed="false">
      <c r="B101" s="34"/>
      <c r="C101" s="35"/>
      <c r="D101" s="36"/>
      <c r="E101" s="35"/>
      <c r="F101" s="35"/>
      <c r="G101" s="35"/>
      <c r="H101" s="34"/>
      <c r="I101" s="35"/>
      <c r="J101" s="35"/>
      <c r="K101" s="36"/>
      <c r="L101" s="34"/>
      <c r="M101" s="36"/>
      <c r="N101" s="32" t="str">
        <f aca="true">IF($D101="","",IF($M101&lt;&gt;"",$M101-$D101,TODAY()-$D101))</f>
        <v/>
      </c>
      <c r="O101" s="33" t="str">
        <f aca="true">IF($C101="","",IF($M101&lt;&gt;"","Closed",IF(AND($K101&lt;&gt;"",$K101&lt;TODAY()),"OVERDUE",IF($H101="High","OPEN — HIGH RISK","Open"))))</f>
        <v/>
      </c>
      <c r="P101" s="35"/>
    </row>
    <row r="102" customFormat="false" ht="13.5" hidden="false" customHeight="true" outlineLevel="0" collapsed="false">
      <c r="B102" s="34"/>
      <c r="C102" s="35"/>
      <c r="D102" s="36"/>
      <c r="E102" s="35"/>
      <c r="F102" s="35"/>
      <c r="G102" s="35"/>
      <c r="H102" s="34"/>
      <c r="I102" s="35"/>
      <c r="J102" s="35"/>
      <c r="K102" s="36"/>
      <c r="L102" s="34"/>
      <c r="M102" s="36"/>
      <c r="N102" s="32" t="str">
        <f aca="true">IF($D102="","",IF($M102&lt;&gt;"",$M102-$D102,TODAY()-$D102))</f>
        <v/>
      </c>
      <c r="O102" s="33" t="str">
        <f aca="true">IF($C102="","",IF($M102&lt;&gt;"","Closed",IF(AND($K102&lt;&gt;"",$K102&lt;TODAY()),"OVERDUE",IF($H102="High","OPEN — HIGH RISK","Open"))))</f>
        <v/>
      </c>
      <c r="P102" s="35"/>
    </row>
    <row r="103" customFormat="false" ht="13.5" hidden="false" customHeight="true" outlineLevel="0" collapsed="false">
      <c r="B103" s="34"/>
      <c r="C103" s="35"/>
      <c r="D103" s="36"/>
      <c r="E103" s="35"/>
      <c r="F103" s="35"/>
      <c r="G103" s="35"/>
      <c r="H103" s="34"/>
      <c r="I103" s="35"/>
      <c r="J103" s="35"/>
      <c r="K103" s="36"/>
      <c r="L103" s="34"/>
      <c r="M103" s="36"/>
      <c r="N103" s="32" t="str">
        <f aca="true">IF($D103="","",IF($M103&lt;&gt;"",$M103-$D103,TODAY()-$D103))</f>
        <v/>
      </c>
      <c r="O103" s="33" t="str">
        <f aca="true">IF($C103="","",IF($M103&lt;&gt;"","Closed",IF(AND($K103&lt;&gt;"",$K103&lt;TODAY()),"OVERDUE",IF($H103="High","OPEN — HIGH RISK","Open"))))</f>
        <v/>
      </c>
      <c r="P103" s="35"/>
    </row>
    <row r="104" customFormat="false" ht="13.5" hidden="false" customHeight="true" outlineLevel="0" collapsed="false">
      <c r="B104" s="34"/>
      <c r="C104" s="35"/>
      <c r="D104" s="36"/>
      <c r="E104" s="35"/>
      <c r="F104" s="35"/>
      <c r="G104" s="35"/>
      <c r="H104" s="34"/>
      <c r="I104" s="35"/>
      <c r="J104" s="35"/>
      <c r="K104" s="36"/>
      <c r="L104" s="34"/>
      <c r="M104" s="36"/>
      <c r="N104" s="32" t="str">
        <f aca="true">IF($D104="","",IF($M104&lt;&gt;"",$M104-$D104,TODAY()-$D104))</f>
        <v/>
      </c>
      <c r="O104" s="33" t="str">
        <f aca="true">IF($C104="","",IF($M104&lt;&gt;"","Closed",IF(AND($K104&lt;&gt;"",$K104&lt;TODAY()),"OVERDUE",IF($H104="High","OPEN — HIGH RISK","Open"))))</f>
        <v/>
      </c>
      <c r="P104" s="35"/>
    </row>
    <row r="106" customFormat="false" ht="18" hidden="false" customHeight="true" outlineLevel="0" collapsed="false">
      <c r="B106" s="37" t="s">
        <v>257</v>
      </c>
      <c r="C106" s="37"/>
      <c r="D106" s="37"/>
    </row>
    <row r="107" customFormat="false" ht="13.5" hidden="false" customHeight="true" outlineLevel="0" collapsed="false">
      <c r="B107" s="38" t="s">
        <v>258</v>
      </c>
      <c r="C107" s="38"/>
      <c r="D107" s="38"/>
      <c r="E107" s="39" t="n">
        <f aca="false">COUNTIF($C5:$C104,"&lt;&gt;")</f>
        <v>1</v>
      </c>
    </row>
    <row r="108" customFormat="false" ht="13.5" hidden="false" customHeight="true" outlineLevel="0" collapsed="false">
      <c r="B108" s="38" t="s">
        <v>259</v>
      </c>
      <c r="C108" s="38"/>
      <c r="D108" s="38"/>
      <c r="E108" s="39" t="n">
        <f aca="false">COUNTIF($H5:$H104,"High")</f>
        <v>1</v>
      </c>
    </row>
    <row r="109" customFormat="false" ht="13.5" hidden="false" customHeight="true" outlineLevel="0" collapsed="false">
      <c r="B109" s="38" t="s">
        <v>260</v>
      </c>
      <c r="C109" s="38"/>
      <c r="D109" s="38"/>
      <c r="E109" s="39" t="n">
        <f aca="false">COUNTIF($H5:$H104,"Medium")</f>
        <v>0</v>
      </c>
    </row>
    <row r="110" customFormat="false" ht="13.5" hidden="false" customHeight="true" outlineLevel="0" collapsed="false">
      <c r="B110" s="38" t="s">
        <v>261</v>
      </c>
      <c r="C110" s="38"/>
      <c r="D110" s="38"/>
      <c r="E110" s="39" t="n">
        <f aca="false">COUNTIF($H5:$H104,"Low")</f>
        <v>0</v>
      </c>
    </row>
    <row r="111" customFormat="false" ht="13.5" hidden="false" customHeight="true" outlineLevel="0" collapsed="false">
      <c r="B111" s="38" t="s">
        <v>262</v>
      </c>
      <c r="C111" s="38"/>
      <c r="D111" s="38"/>
      <c r="E111" s="39" t="n">
        <f aca="false">COUNTIF($O5:$O104,"Closed")</f>
        <v>1</v>
      </c>
    </row>
    <row r="112" customFormat="false" ht="13.5" hidden="false" customHeight="true" outlineLevel="0" collapsed="false">
      <c r="B112" s="38" t="s">
        <v>263</v>
      </c>
      <c r="C112" s="38"/>
      <c r="D112" s="38"/>
      <c r="E112" s="39" t="n">
        <f aca="false">COUNTIF($O5:$O104,"OVERDUE")</f>
        <v>0</v>
      </c>
    </row>
    <row r="113" customFormat="false" ht="13.5" hidden="false" customHeight="true" outlineLevel="0" collapsed="false">
      <c r="B113" s="38" t="s">
        <v>264</v>
      </c>
      <c r="C113" s="38"/>
      <c r="D113" s="38"/>
      <c r="E113" s="39" t="n">
        <f aca="false">COUNTIF($O5:$O104,"OPEN — HIGH RISK")</f>
        <v>0</v>
      </c>
    </row>
    <row r="114" customFormat="false" ht="13.5" hidden="false" customHeight="true" outlineLevel="0" collapsed="false">
      <c r="B114" s="38" t="s">
        <v>265</v>
      </c>
      <c r="C114" s="38"/>
      <c r="D114" s="38"/>
      <c r="E114" s="23" t="n">
        <f aca="false">IFERROR(COUNTIF($O5:$O104,"Closed")/COUNTIF($C5:$C104,"&lt;&gt;"),"")</f>
        <v>1</v>
      </c>
    </row>
    <row r="115" customFormat="false" ht="13.5" hidden="false" customHeight="true" outlineLevel="0" collapsed="false">
      <c r="B115" s="38" t="s">
        <v>266</v>
      </c>
      <c r="C115" s="38"/>
      <c r="D115" s="38"/>
      <c r="E115" s="39" t="n">
        <f aca="false">IFERROR(AVERAGEIF($O5:$O104,"Closed",$N5:$N104),"")</f>
        <v>1</v>
      </c>
    </row>
  </sheetData>
  <autoFilter ref="B4:P104"/>
  <mergeCells count="12">
    <mergeCell ref="B2:P2"/>
    <mergeCell ref="B3:P3"/>
    <mergeCell ref="B106:D106"/>
    <mergeCell ref="B107:D107"/>
    <mergeCell ref="B108:D108"/>
    <mergeCell ref="B109:D109"/>
    <mergeCell ref="B110:D110"/>
    <mergeCell ref="B111:D111"/>
    <mergeCell ref="B112:D112"/>
    <mergeCell ref="B113:D113"/>
    <mergeCell ref="B114:D114"/>
    <mergeCell ref="B115:D115"/>
  </mergeCells>
  <dataValidations count="3">
    <dataValidation allowBlank="true" errorStyle="stop" operator="between" showDropDown="false" showErrorMessage="false" showInputMessage="false" sqref="E5:E104" type="list">
      <formula1>"Safety IR — Clearance,Inspection Finding,Safety Observation,Near Miss,Stop Work Notice,Incident"</formula1>
      <formula2>0</formula2>
    </dataValidation>
    <dataValidation allowBlank="true" errorStyle="stop" operator="between" showDropDown="false" showErrorMessage="false" showInputMessage="false" sqref="H5:H104" type="list">
      <formula1>"High,Medium,Low"</formula1>
      <formula2>0</formula2>
    </dataValidation>
    <dataValidation allowBlank="true" errorStyle="stop" operator="between" showDropDown="false" showErrorMessage="false" showInputMessage="false" sqref="L5:L104" type="list">
      <formula1>"S1 — Cleared,S2 — Cleared with conditions,S3 — Not cleared,S4 — Stop Work"</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88"/>
  </cols>
  <sheetData>
    <row r="2" customFormat="false" ht="24" hidden="false" customHeight="true" outlineLevel="0" collapsed="false">
      <c r="B2" s="28" t="s">
        <v>267</v>
      </c>
      <c r="C2" s="28"/>
    </row>
    <row r="3" customFormat="false" ht="66" hidden="false" customHeight="true" outlineLevel="0" collapsed="false">
      <c r="B3" s="25" t="s">
        <v>268</v>
      </c>
      <c r="C3" s="20" t="s">
        <v>269</v>
      </c>
    </row>
    <row r="4" customFormat="false" ht="66" hidden="false" customHeight="true" outlineLevel="0" collapsed="false">
      <c r="B4" s="25" t="s">
        <v>270</v>
      </c>
      <c r="C4" s="20" t="s">
        <v>271</v>
      </c>
    </row>
    <row r="5" customFormat="false" ht="54" hidden="false" customHeight="true" outlineLevel="0" collapsed="false">
      <c r="B5" s="25" t="s">
        <v>272</v>
      </c>
      <c r="C5" s="20" t="s">
        <v>273</v>
      </c>
    </row>
    <row r="6" customFormat="false" ht="102" hidden="false" customHeight="true" outlineLevel="0" collapsed="false">
      <c r="B6" s="25" t="s">
        <v>274</v>
      </c>
      <c r="C6" s="20" t="s">
        <v>275</v>
      </c>
    </row>
    <row r="7" customFormat="false" ht="54" hidden="false" customHeight="true" outlineLevel="0" collapsed="false">
      <c r="B7" s="25" t="s">
        <v>276</v>
      </c>
      <c r="C7" s="20" t="s">
        <v>277</v>
      </c>
    </row>
    <row r="8" customFormat="false" ht="54" hidden="false" customHeight="true" outlineLevel="0" collapsed="false">
      <c r="B8" s="25" t="s">
        <v>278</v>
      </c>
      <c r="C8" s="20" t="s">
        <v>279</v>
      </c>
    </row>
    <row r="9" customFormat="false" ht="78" hidden="false" customHeight="true" outlineLevel="0" collapsed="false">
      <c r="B9" s="25" t="s">
        <v>280</v>
      </c>
      <c r="C9" s="20" t="s">
        <v>281</v>
      </c>
    </row>
    <row r="10" customFormat="false" ht="66" hidden="false" customHeight="true" outlineLevel="0" collapsed="false">
      <c r="B10" s="25" t="s">
        <v>282</v>
      </c>
      <c r="C10" s="20" t="s">
        <v>283</v>
      </c>
    </row>
    <row r="11" customFormat="false" ht="54" hidden="false" customHeight="true" outlineLevel="0" collapsed="false">
      <c r="B11" s="25" t="s">
        <v>284</v>
      </c>
      <c r="C11" s="20" t="s">
        <v>285</v>
      </c>
    </row>
    <row r="12" customFormat="false" ht="54" hidden="false" customHeight="true" outlineLevel="0" collapsed="false">
      <c r="B12" s="25" t="s">
        <v>286</v>
      </c>
      <c r="C12" s="20" t="s">
        <v>287</v>
      </c>
    </row>
    <row r="14" customFormat="false" ht="18" hidden="false" customHeight="true" outlineLevel="0" collapsed="false">
      <c r="B14" s="37" t="s">
        <v>288</v>
      </c>
      <c r="C14" s="37"/>
    </row>
    <row r="15" customFormat="false" ht="15" hidden="false" customHeight="true" outlineLevel="0" collapsed="false">
      <c r="B15" s="7"/>
      <c r="C15" s="20" t="s">
        <v>289</v>
      </c>
    </row>
    <row r="16" customFormat="false" ht="15" hidden="false" customHeight="true" outlineLevel="0" collapsed="false">
      <c r="B16" s="40"/>
      <c r="C16" s="20" t="s">
        <v>290</v>
      </c>
    </row>
    <row r="17" customFormat="false" ht="15" hidden="false" customHeight="true" outlineLevel="0" collapsed="false">
      <c r="B17" s="38"/>
      <c r="C17" s="20" t="s">
        <v>291</v>
      </c>
    </row>
    <row r="19" customFormat="false" ht="30" hidden="false" customHeight="true" outlineLevel="0" collapsed="false">
      <c r="B19" s="41" t="s">
        <v>292</v>
      </c>
      <c r="C19" s="41"/>
    </row>
  </sheetData>
  <mergeCells count="3">
    <mergeCell ref="B2:C2"/>
    <mergeCell ref="B14:C14"/>
    <mergeCell ref="B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2026-08-19T05:49:00Z</dcterms:created>
  <dc:creator>openpyxl</dc:creator>
  <dc:description/>
  <dc:language>en-US</dc:language>
  <cp:lastModifiedBy/>
  <dcterms:modified xsi:type="dcterms:W3CDTF">2026-08-19T05:49:00Z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