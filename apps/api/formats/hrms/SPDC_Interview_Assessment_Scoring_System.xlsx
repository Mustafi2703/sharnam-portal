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corecard" sheetId="2" state="visible" r:id="rId4"/>
    <sheet name="Framework" sheetId="3" state="visible" r:id="rId5"/>
    <sheet name="Rating_Scale" sheetId="4" state="visible" r:id="rId6"/>
    <sheet name="Selection_Matrix" sheetId="5" state="visible" r:id="rId7"/>
  </sheets>
  <definedNames>
    <definedName function="false" hidden="false" localSheetId="2" name="_xlnm.Print_Area" vbProcedure="false">Framework!$A$1:$Q$30</definedName>
    <definedName function="false" hidden="false" localSheetId="0" name="_xlnm.Print_Area" vbProcedure="false">Guide!$A$1:$F$27</definedName>
    <definedName function="false" hidden="false" localSheetId="3" name="_xlnm.Print_Area" vbProcedure="false">Rating_Scale!$A$1:$F$29</definedName>
    <definedName function="false" hidden="false" localSheetId="1" name="_xlnm.Print_Area" vbProcedure="false">Scorecard!$A$1:$M$60</definedName>
    <definedName function="false" hidden="false" localSheetId="4" name="_xlnm.Print_Area" vbProcedure="false">Selection_Matrix!$A$1:$M$57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Weights set by SPDC HR for each position. Bold = critical parameter (≥ threshold on Rating_Scale!C20). Edit to suit; keep each column at 100%.</t>
        </r>
      </text>
    </comment>
  </commentList>
</comments>
</file>

<file path=xl/sharedStrings.xml><?xml version="1.0" encoding="utf-8"?>
<sst xmlns="http://schemas.openxmlformats.org/spreadsheetml/2006/main" count="391" uniqueCount="339">
  <si>
    <t xml:space="preserve">SHARNAM PROJECT DEVELOPMENT CONSULTANTS &amp; CO. (SPDC)</t>
  </si>
  <si>
    <t xml:space="preserve">INTERVIEW ASSESSMENT &amp; SCORING SYSTEM — USER GUIDE</t>
  </si>
  <si>
    <t xml:space="preserve">Doc No. SPDC/HR/F-INT-01  |  Rev R0  |  Competency-based, weighted, multi-panel evaluation</t>
  </si>
  <si>
    <t xml:space="preserve">PURPOSE</t>
  </si>
  <si>
    <t xml:space="preserve">Standardised, bias-controlled evaluation of candidates on role-weighted competencies, so every panel scores against the same anchored scale and hiring decisions are defensible and comparable.</t>
  </si>
  <si>
    <t xml:space="preserve">WORKBOOK STRUCTURE</t>
  </si>
  <si>
    <t xml:space="preserve">Framework</t>
  </si>
  <si>
    <t xml:space="preserve">Master list of 23 parameters in 5 categories, with behavioural anchors (1 / 3 / 5) and the weight of each parameter for each of the 10 positions. Each role column totals 100%.</t>
  </si>
  <si>
    <t xml:space="preserve">Rating_Scale</t>
  </si>
  <si>
    <t xml:space="preserve">1–5 rating definitions, grade bands, knock-out &amp; calibration rules and interview round weights. All thresholds are editable here.</t>
  </si>
  <si>
    <t xml:space="preserve">Scorecard</t>
  </si>
  <si>
    <t xml:space="preserve">One per candidate per round. Select the position; weights load automatically. Up to 3 panelists score independently; the sheet computes average, weighted score, category profile, grade and recommendation.</t>
  </si>
  <si>
    <t xml:space="preserve">Selection_Matrix</t>
  </si>
  <si>
    <t xml:space="preserve">Register of all candidates. Enter each round's score % from the Scorecard; composite score, rank within position, grade and decision are calculated.</t>
  </si>
  <si>
    <t xml:space="preserve">PROCESS</t>
  </si>
  <si>
    <t xml:space="preserve">Step 1</t>
  </si>
  <si>
    <t xml:space="preserve">HR screening (Round 1) — use the Scorecard with Round = R1; score Fit, Communication and Integrity at minimum.</t>
  </si>
  <si>
    <t xml:space="preserve">Step 2</t>
  </si>
  <si>
    <t xml:space="preserve">Technical interview (Round 2) — panelists score independently BEFORE discussing. Record evidence for every score of 1, 2 or 5.</t>
  </si>
  <si>
    <t xml:space="preserve">Step 3</t>
  </si>
  <si>
    <t xml:space="preserve">Calibration — where the sheet flags 'Calibrate' (panel spread ≥ 2 points), the panel discusses the evidence and may revise scores.</t>
  </si>
  <si>
    <t xml:space="preserve">Step 4</t>
  </si>
  <si>
    <t xml:space="preserve">Management interview (Round 3) — Leadership, Commercial and Client handling for senior roles; culture fit for all.</t>
  </si>
  <si>
    <t xml:space="preserve">Step 5</t>
  </si>
  <si>
    <t xml:space="preserve">Transfer each round's Overall Score % to the Selection_Matrix. Compare candidates within the same position and take the decision.</t>
  </si>
  <si>
    <t xml:space="preserve">DECISION RULES</t>
  </si>
  <si>
    <t xml:space="preserve">Knock-out</t>
  </si>
  <si>
    <t xml:space="preserve">Any CRITICAL parameter (weight ≥ critical threshold for the role, plus Integrity for every role) with panel average below the knock-out threshold makes the candidate Not Recommended, regardless of total score.</t>
  </si>
  <si>
    <t xml:space="preserve">Grades</t>
  </si>
  <si>
    <t xml:space="preserve">A ≥ 85% Strongly Recommended  |  B ≥ 75% Recommended  |  C ≥ 65% Hold / consider for lower grade  |  D &lt; 65% Not Recommended (bands editable in Rating_Scale).</t>
  </si>
  <si>
    <t xml:space="preserve">Fairness</t>
  </si>
  <si>
    <t xml:space="preserve">Score only on evidence heard in the interview. Do not score on age, gender, religion, caste, native place, marital status or any personal attribute unrelated to the job.</t>
  </si>
  <si>
    <t xml:space="preserve">LEGEND</t>
  </si>
  <si>
    <t xml:space="preserve">Input</t>
  </si>
  <si>
    <t xml:space="preserve">Yellow cells with blue text — enter or select values here only.</t>
  </si>
  <si>
    <t xml:space="preserve">Formula</t>
  </si>
  <si>
    <t xml:space="preserve">White cells with black text — calculated; do not overwrite.</t>
  </si>
  <si>
    <t xml:space="preserve">Not applicable</t>
  </si>
  <si>
    <t xml:space="preserve">Grey rows on the Scorecard have 0% weight for the selected position — leave blank.</t>
  </si>
  <si>
    <t xml:space="preserve">Prepared by</t>
  </si>
  <si>
    <t xml:space="preserve">HR &amp; Admin</t>
  </si>
  <si>
    <t xml:space="preserve">Approved by</t>
  </si>
  <si>
    <t xml:space="preserve">Director</t>
  </si>
  <si>
    <t xml:space="preserve">CANDIDATE INTERVIEW SCORECARD</t>
  </si>
  <si>
    <t xml:space="preserve">Score each applicable parameter 1–5 against the anchors in Framework. Record evidence for any score of 1, 2 or 5. Grey rows = not applicable to the selected position.</t>
  </si>
  <si>
    <t xml:space="preserve">Candidate name</t>
  </si>
  <si>
    <t xml:space="preserve">Sample Candidate (example – overwrite)</t>
  </si>
  <si>
    <t xml:space="preserve">Panelist 1 (P1)</t>
  </si>
  <si>
    <t xml:space="preserve">Panelist name</t>
  </si>
  <si>
    <t xml:space="preserve">Position applied</t>
  </si>
  <si>
    <t xml:space="preserve">Senior Site Engineer (Civil)</t>
  </si>
  <si>
    <t xml:space="preserve">Panelist 2 (P2)</t>
  </si>
  <si>
    <t xml:space="preserve">Interview round</t>
  </si>
  <si>
    <t xml:space="preserve">R2 – Technical</t>
  </si>
  <si>
    <t xml:space="preserve">Panelist 3 (P3)</t>
  </si>
  <si>
    <t xml:space="preserve">Interview date</t>
  </si>
  <si>
    <t xml:space="preserve">24-Sep-2026</t>
  </si>
  <si>
    <t xml:space="preserve">Current CTC (₹ LPA)</t>
  </si>
  <si>
    <t xml:space="preserve">Total experience (yrs)</t>
  </si>
  <si>
    <t xml:space="preserve">Expected CTC (₹ LPA)</t>
  </si>
  <si>
    <t xml:space="preserve">Source</t>
  </si>
  <si>
    <t xml:space="preserve">LinkedIn</t>
  </si>
  <si>
    <t xml:space="preserve">Notice period (days)</t>
  </si>
  <si>
    <t xml:space="preserve">SCORE (1–5)</t>
  </si>
  <si>
    <t xml:space="preserve">Code</t>
  </si>
  <si>
    <t xml:space="preserve">Category</t>
  </si>
  <si>
    <t xml:space="preserve">Parameter</t>
  </si>
  <si>
    <t xml:space="preserve">What to assess</t>
  </si>
  <si>
    <t xml:space="preserve">Weight</t>
  </si>
  <si>
    <t xml:space="preserve">P1</t>
  </si>
  <si>
    <t xml:space="preserve">P2</t>
  </si>
  <si>
    <t xml:space="preserve">P3</t>
  </si>
  <si>
    <t xml:space="preserve">Panel avg</t>
  </si>
  <si>
    <t xml:space="preserve">Weighted score</t>
  </si>
  <si>
    <t xml:space="preserve">Critical</t>
  </si>
  <si>
    <t xml:space="preserve">Panel spread</t>
  </si>
  <si>
    <t xml:space="preserve">Evidence / remarks</t>
  </si>
  <si>
    <t xml:space="preserve">Good sequencing logic; weak on permit system – probed twice</t>
  </si>
  <si>
    <t xml:space="preserve">TOTAL</t>
  </si>
  <si>
    <t xml:space="preserve">RESULT SUMMARY</t>
  </si>
  <si>
    <t xml:space="preserve">CATEGORY PROFILE</t>
  </si>
  <si>
    <t xml:space="preserve">Applicable parameters</t>
  </si>
  <si>
    <t xml:space="preserve">Score %</t>
  </si>
  <si>
    <t xml:space="preserve">Parameters scored</t>
  </si>
  <si>
    <t xml:space="preserve">Technical / Functional</t>
  </si>
  <si>
    <t xml:space="preserve">Weight covered by scores</t>
  </si>
  <si>
    <t xml:space="preserve">Commercial &amp; Contract</t>
  </si>
  <si>
    <t xml:space="preserve">OVERALL SCORE %</t>
  </si>
  <si>
    <t xml:space="preserve">Behavioural</t>
  </si>
  <si>
    <t xml:space="preserve">Critical knock-outs</t>
  </si>
  <si>
    <t xml:space="preserve">Leadership</t>
  </si>
  <si>
    <t xml:space="preserve">Calibration flags</t>
  </si>
  <si>
    <t xml:space="preserve">Fit &amp; Motivation</t>
  </si>
  <si>
    <t xml:space="preserve">Completeness</t>
  </si>
  <si>
    <t xml:space="preserve">GRADE</t>
  </si>
  <si>
    <t xml:space="preserve">RECOMMENDATION</t>
  </si>
  <si>
    <t xml:space="preserve">PANEL OBSERVATIONS</t>
  </si>
  <si>
    <t xml:space="preserve">Key strengths</t>
  </si>
  <si>
    <t xml:space="preserve">Development areas / risks</t>
  </si>
  <si>
    <t xml:space="preserve">Reference check required on</t>
  </si>
  <si>
    <t xml:space="preserve">SIGN-OFF</t>
  </si>
  <si>
    <t xml:space="preserve">Panelist 1</t>
  </si>
  <si>
    <t xml:space="preserve">Panelist 2</t>
  </si>
  <si>
    <t xml:space="preserve">Panelist 3</t>
  </si>
  <si>
    <t xml:space="preserve">HR</t>
  </si>
  <si>
    <t xml:space="preserve">Approved by (Director)</t>
  </si>
  <si>
    <t xml:space="preserve">Sign / Date:</t>
  </si>
  <si>
    <t xml:space="preserve">COMPETENCY FRAMEWORK &amp; ROLE WEIGHTAGE MATRIX</t>
  </si>
  <si>
    <t xml:space="preserve">Weights are editable (blue). Each role column must total 100% — see check row. Anchors describe evidence expected at score 1, 3 and 5.</t>
  </si>
  <si>
    <t xml:space="preserve">WEIGHTAGE BY POSITION (%)</t>
  </si>
  <si>
    <t xml:space="preserve">What to assess / probe</t>
  </si>
  <si>
    <t xml:space="preserve">Anchor — Score 1</t>
  </si>
  <si>
    <t xml:space="preserve">Anchor — Score 3</t>
  </si>
  <si>
    <t xml:space="preserve">Anchor — Score 5</t>
  </si>
  <si>
    <t xml:space="preserve">Project Manager (Site)</t>
  </si>
  <si>
    <t xml:space="preserve">Planning Engineer</t>
  </si>
  <si>
    <t xml:space="preserve">Billing / QS Engineer</t>
  </si>
  <si>
    <t xml:space="preserve">Project Coordinator</t>
  </si>
  <si>
    <t xml:space="preserve">Junior Engineer</t>
  </si>
  <si>
    <t xml:space="preserve">QA/QC Engineer</t>
  </si>
  <si>
    <t xml:space="preserve">MEP Engineer</t>
  </si>
  <si>
    <t xml:space="preserve">Safety Officer</t>
  </si>
  <si>
    <t xml:space="preserve">HR &amp; Admin Executive</t>
  </si>
  <si>
    <t xml:space="preserve">T1</t>
  </si>
  <si>
    <t xml:space="preserve">Core domain knowledge (role-specific)</t>
  </si>
  <si>
    <t xml:space="preserve">Codes &amp; standards (IS/NBC/Factory Act/labour law as per role), drawing reading, fundamentals of the discipline</t>
  </si>
  <si>
    <t xml:space="preserve">Gaps in basics; cannot explain standard practice</t>
  </si>
  <si>
    <t xml:space="preserve">Sound working knowledge; answers standard questions correctly</t>
  </si>
  <si>
    <t xml:space="preserve">Deep, current knowledge; cites codes/clauses and applies them to unusual cases</t>
  </si>
  <si>
    <t xml:space="preserve">T2</t>
  </si>
  <si>
    <t xml:space="preserve">Planning &amp; scheduling</t>
  </si>
  <si>
    <t xml:space="preserve">WBS, CPM logic, MSP/P6, look-ahead plans, baseline vs actual, S-curve, recovery planning</t>
  </si>
  <si>
    <t xml:space="preserve">Cannot build or read a schedule</t>
  </si>
  <si>
    <t xml:space="preserve">Builds a logical schedule and tracks progress</t>
  </si>
  <si>
    <t xml:space="preserve">Drives CPM, float and recovery plans; forecasts delays before they happen</t>
  </si>
  <si>
    <t xml:space="preserve">T3</t>
  </si>
  <si>
    <t xml:space="preserve">Estimation, measurement &amp; billing</t>
  </si>
  <si>
    <t xml:space="preserve">Quantity take-off, IS 1200 modes of measurement, BBS, RA bill checking, rate analysis</t>
  </si>
  <si>
    <t xml:space="preserve">Errors in basic quantities; unaware of measurement rules</t>
  </si>
  <si>
    <t xml:space="preserve">Correct quantities &amp; bill checking with minor guidance</t>
  </si>
  <si>
    <t xml:space="preserve">Independently certifies bills, spots over-measurement and rate deviations</t>
  </si>
  <si>
    <t xml:space="preserve">T4</t>
  </si>
  <si>
    <t xml:space="preserve">Quality assurance &amp; inspection</t>
  </si>
  <si>
    <t xml:space="preserve">ITP, material testing, checklists, NCR closure, method statements, third-party inspection</t>
  </si>
  <si>
    <t xml:space="preserve">Treats quality as paperwork only</t>
  </si>
  <si>
    <t xml:space="preserve">Follows ITP and raises NCRs correctly</t>
  </si>
  <si>
    <t xml:space="preserve">Builds QA systems, root-causes defects, prevents repeat NCRs</t>
  </si>
  <si>
    <t xml:space="preserve">T5</t>
  </si>
  <si>
    <t xml:space="preserve">Execution &amp; site management</t>
  </si>
  <si>
    <t xml:space="preserve">Sequencing, method of construction, manpower/material/machinery planning, daily site control</t>
  </si>
  <si>
    <t xml:space="preserve">Theoretical only; little site exposure</t>
  </si>
  <si>
    <t xml:space="preserve">Manages a work front independently</t>
  </si>
  <si>
    <t xml:space="preserve">Runs multiple fronts; anticipates constraints and resolves them on site</t>
  </si>
  <si>
    <t xml:space="preserve">T6</t>
  </si>
  <si>
    <t xml:space="preserve">Health, safety &amp; environment</t>
  </si>
  <si>
    <t xml:space="preserve">HIRA/JSA, work permits, PPE, BOCW/Factory Act compliance, incident reporting &amp; investigation</t>
  </si>
  <si>
    <t xml:space="preserve">Low safety awareness; accepts unsafe acts</t>
  </si>
  <si>
    <t xml:space="preserve">Knows and enforces standard safety practice</t>
  </si>
  <si>
    <t xml:space="preserve">Leads a safety culture; permit systems, audits, zero-harm mindset</t>
  </si>
  <si>
    <t xml:space="preserve">T7</t>
  </si>
  <si>
    <t xml:space="preserve">Software &amp; digital tools</t>
  </si>
  <si>
    <t xml:space="preserve">AutoCAD, MS Project/P6, Excel (advanced), ERP/HRMS, reporting tools as relevant to role</t>
  </si>
  <si>
    <t xml:space="preserve">Basic or no tool use</t>
  </si>
  <si>
    <t xml:space="preserve">Uses role tools competently for daily output</t>
  </si>
  <si>
    <t xml:space="preserve">Expert user; automates reports and dashboards</t>
  </si>
  <si>
    <t xml:space="preserve">C1</t>
  </si>
  <si>
    <t xml:space="preserve">Contract &amp; commercial awareness</t>
  </si>
  <si>
    <t xml:space="preserve">GCC/SCC clauses, scope, variations, extra items, claims, LDs, EOT, notices</t>
  </si>
  <si>
    <t xml:space="preserve">Unaware of contract implications of site actions</t>
  </si>
  <si>
    <t xml:space="preserve">Understands key clauses and variation procedure</t>
  </si>
  <si>
    <t xml:space="preserve">Protects client commercially; handles claims and EOT with evidence</t>
  </si>
  <si>
    <t xml:space="preserve">C2</t>
  </si>
  <si>
    <t xml:space="preserve">Cost control &amp; value engineering</t>
  </si>
  <si>
    <t xml:space="preserve">Budget vs actual, cost-to-complete, wastage control, alternatives that save cost without loss of quality</t>
  </si>
  <si>
    <t xml:space="preserve">No cost sense</t>
  </si>
  <si>
    <t xml:space="preserve">Tracks cost of own scope and flags overruns</t>
  </si>
  <si>
    <t xml:space="preserve">Proposes value engineering with quantified savings</t>
  </si>
  <si>
    <t xml:space="preserve">C3</t>
  </si>
  <si>
    <t xml:space="preserve">Documentation &amp; reporting</t>
  </si>
  <si>
    <t xml:space="preserve">DPR/WPR/MPR, MOM, RFI, submittal logs, registers, record-keeping discipline</t>
  </si>
  <si>
    <t xml:space="preserve">Poor or delayed records</t>
  </si>
  <si>
    <t xml:space="preserve">Timely, accurate reports in standard format</t>
  </si>
  <si>
    <t xml:space="preserve">Reports are decision-ready; audit-proof record trail</t>
  </si>
  <si>
    <t xml:space="preserve">C4</t>
  </si>
  <si>
    <t xml:space="preserve">Contractor &amp; vendor management</t>
  </si>
  <si>
    <t xml:space="preserve">Contractor coordination, follow-up, submittal/approval chasing, performance review</t>
  </si>
  <si>
    <t xml:space="preserve">Avoids or mishandles contractors</t>
  </si>
  <si>
    <t xml:space="preserve">Coordinates contractors to schedule</t>
  </si>
  <si>
    <t xml:space="preserve">Gets performance from contractors firmly and fairly; escalates correctly</t>
  </si>
  <si>
    <t xml:space="preserve">B1</t>
  </si>
  <si>
    <t xml:space="preserve">Problem solving &amp; decision making</t>
  </si>
  <si>
    <t xml:space="preserve">Case-based: structured approach, root cause, options, decision under incomplete data</t>
  </si>
  <si>
    <t xml:space="preserve">Jumps to conclusions or freezes</t>
  </si>
  <si>
    <t xml:space="preserve">Logical approach reaching a workable answer</t>
  </si>
  <si>
    <t xml:space="preserve">Structured, fast, practical decisions with clear trade-offs</t>
  </si>
  <si>
    <t xml:space="preserve">B2</t>
  </si>
  <si>
    <t xml:space="preserve">Communication</t>
  </si>
  <si>
    <t xml:space="preserve">Clarity, listening, written English/Gujarati/Hindi, presentation to client</t>
  </si>
  <si>
    <t xml:space="preserve">Unclear; struggles to explain</t>
  </si>
  <si>
    <t xml:space="preserve">Clear and understandable</t>
  </si>
  <si>
    <t xml:space="preserve">Crisp, persuasive, client-ready communicator</t>
  </si>
  <si>
    <t xml:space="preserve">B3</t>
  </si>
  <si>
    <t xml:space="preserve">Client &amp; stakeholder handling</t>
  </si>
  <si>
    <t xml:space="preserve">Managing client expectations, conflicts, escalations, professional conduct</t>
  </si>
  <si>
    <t xml:space="preserve">Confrontational or passive</t>
  </si>
  <si>
    <t xml:space="preserve">Handles routine stakeholder interaction well</t>
  </si>
  <si>
    <t xml:space="preserve">Builds trust; handles difficult clients calmly and firmly</t>
  </si>
  <si>
    <t xml:space="preserve">B4</t>
  </si>
  <si>
    <t xml:space="preserve">Ownership &amp; accountability</t>
  </si>
  <si>
    <t xml:space="preserve">Examples of owning outcomes, follow-through, admitting mistakes</t>
  </si>
  <si>
    <t xml:space="preserve">Blames others; needs chasing</t>
  </si>
  <si>
    <t xml:space="preserve">Owns assigned tasks and closes them</t>
  </si>
  <si>
    <t xml:space="preserve">Takes ownership beyond role; closes loops without reminders</t>
  </si>
  <si>
    <t xml:space="preserve">B5</t>
  </si>
  <si>
    <t xml:space="preserve">Teamwork &amp; collaboration</t>
  </si>
  <si>
    <t xml:space="preserve">Working with other disciplines, sharing information, supporting colleagues</t>
  </si>
  <si>
    <t xml:space="preserve">Works in isolation</t>
  </si>
  <si>
    <t xml:space="preserve">Cooperative team member</t>
  </si>
  <si>
    <t xml:space="preserve">Actively connects teams and resolves inter-discipline issues</t>
  </si>
  <si>
    <t xml:space="preserve">B6</t>
  </si>
  <si>
    <t xml:space="preserve">Integrity &amp; ethics</t>
  </si>
  <si>
    <t xml:space="preserve">Honesty in examples, stance on vendor favours, measurement/quality compromise scenarios</t>
  </si>
  <si>
    <t xml:space="preserve">Evasive or accepts unethical shortcuts</t>
  </si>
  <si>
    <t xml:space="preserve">Clear ethical stance in scenarios</t>
  </si>
  <si>
    <t xml:space="preserve">Uncompromising integrity with consistent real examples</t>
  </si>
  <si>
    <t xml:space="preserve">B7</t>
  </si>
  <si>
    <t xml:space="preserve">Pressure handling &amp; adaptability</t>
  </si>
  <si>
    <t xml:space="preserve">Deadlines, changing priorities, site crises, night work, learning new systems</t>
  </si>
  <si>
    <t xml:space="preserve">Loses composure under pressure</t>
  </si>
  <si>
    <t xml:space="preserve">Copes with normal pressure</t>
  </si>
  <si>
    <t xml:space="preserve">Performs best under pressure; adapts quickly</t>
  </si>
  <si>
    <t xml:space="preserve">L1</t>
  </si>
  <si>
    <t xml:space="preserve">Team leadership &amp; people management</t>
  </si>
  <si>
    <t xml:space="preserve">Leading engineers/supervisors, delegation, mentoring, performance feedback</t>
  </si>
  <si>
    <t xml:space="preserve">No leadership evidence</t>
  </si>
  <si>
    <t xml:space="preserve">Has led a small team effectively</t>
  </si>
  <si>
    <t xml:space="preserve">Builds and develops high-performing teams</t>
  </si>
  <si>
    <t xml:space="preserve">L2</t>
  </si>
  <si>
    <t xml:space="preserve">Strategic thinking &amp; foresight</t>
  </si>
  <si>
    <t xml:space="preserve">Project-level view, risk anticipation, planning ahead of client needs</t>
  </si>
  <si>
    <t xml:space="preserve">Task-level view only</t>
  </si>
  <si>
    <t xml:space="preserve">Sees project-level impact of issues</t>
  </si>
  <si>
    <t xml:space="preserve">Anticipates risks and shapes project strategy</t>
  </si>
  <si>
    <t xml:space="preserve">F1</t>
  </si>
  <si>
    <t xml:space="preserve">Career stability &amp; motivation</t>
  </si>
  <si>
    <t xml:space="preserve">Tenure pattern, reasons for change, genuine interest in PMC career</t>
  </si>
  <si>
    <t xml:space="preserve">Frequent unexplained changes; weak motivation</t>
  </si>
  <si>
    <t xml:space="preserve">Reasonable tenure and motivation</t>
  </si>
  <si>
    <t xml:space="preserve">Stable record; strong, specific motivation for SPDC</t>
  </si>
  <si>
    <t xml:space="preserve">F2</t>
  </si>
  <si>
    <t xml:space="preserve">Culture fit (SPDC values)</t>
  </si>
  <si>
    <t xml:space="preserve">Discipline, client-first attitude, learning mindset, alignment with SPDC way of working</t>
  </si>
  <si>
    <t xml:space="preserve">Values mismatch</t>
  </si>
  <si>
    <t xml:space="preserve">Aligned with SPDC values</t>
  </si>
  <si>
    <t xml:space="preserve">Strong culture carrier; would raise the team standard</t>
  </si>
  <si>
    <t xml:space="preserve">F3</t>
  </si>
  <si>
    <t xml:space="preserve">Site / travel readiness</t>
  </si>
  <si>
    <t xml:space="preserve">Willingness to relocate, site posting, travel, availability</t>
  </si>
  <si>
    <t xml:space="preserve">Not willing for site / travel</t>
  </si>
  <si>
    <t xml:space="preserve">Willing with minor constraints</t>
  </si>
  <si>
    <t xml:space="preserve">Fully mobile and available</t>
  </si>
  <si>
    <t xml:space="preserve">TOTAL WEIGHT</t>
  </si>
  <si>
    <t xml:space="preserve">CHECK (must be 100%)</t>
  </si>
  <si>
    <t xml:space="preserve">RATING SCALE, GRADE BANDS &amp; DECISION RULES</t>
  </si>
  <si>
    <t xml:space="preserve">All thresholds on this sheet drive the Scorecard and Selection_Matrix. Edit blue cells only.</t>
  </si>
  <si>
    <t xml:space="preserve">Score</t>
  </si>
  <si>
    <t xml:space="preserve">Level</t>
  </si>
  <si>
    <t xml:space="preserve">Definition</t>
  </si>
  <si>
    <t xml:space="preserve">Typical evidence</t>
  </si>
  <si>
    <t xml:space="preserve">Exceptional</t>
  </si>
  <si>
    <t xml:space="preserve">Consistently exceeds the requirement; role-model level</t>
  </si>
  <si>
    <t xml:space="preserve">Multiple specific, verifiable examples; could train others</t>
  </si>
  <si>
    <t xml:space="preserve">Exceeds expectations</t>
  </si>
  <si>
    <t xml:space="preserve">Above the requirement in most respects</t>
  </si>
  <si>
    <t xml:space="preserve">Clear examples with measurable results</t>
  </si>
  <si>
    <t xml:space="preserve">Meets expectations</t>
  </si>
  <si>
    <t xml:space="preserve">Fully meets the requirement of the position</t>
  </si>
  <si>
    <t xml:space="preserve">Adequate examples; answers correct with minor prompting</t>
  </si>
  <si>
    <t xml:space="preserve">Below expectations</t>
  </si>
  <si>
    <t xml:space="preserve">Partially meets; development needed</t>
  </si>
  <si>
    <t xml:space="preserve">Vague examples; answers need significant prompting</t>
  </si>
  <si>
    <t xml:space="preserve">Unsatisfactory</t>
  </si>
  <si>
    <t xml:space="preserve">Does not meet the requirement</t>
  </si>
  <si>
    <t xml:space="preserve">No relevant evidence or incorrect answers</t>
  </si>
  <si>
    <t xml:space="preserve">Grade</t>
  </si>
  <si>
    <t xml:space="preserve">Minimum score %</t>
  </si>
  <si>
    <t xml:space="preserve">Decision</t>
  </si>
  <si>
    <t xml:space="preserve">Action</t>
  </si>
  <si>
    <t xml:space="preserve">A</t>
  </si>
  <si>
    <t xml:space="preserve">Strongly Recommended – Select</t>
  </si>
  <si>
    <t xml:space="preserve">Proceed to offer; negotiate within approved band</t>
  </si>
  <si>
    <t xml:space="preserve">B</t>
  </si>
  <si>
    <t xml:space="preserve">Recommended</t>
  </si>
  <si>
    <t xml:space="preserve">Select if best in pool; reference check mandatory</t>
  </si>
  <si>
    <t xml:space="preserve">C</t>
  </si>
  <si>
    <t xml:space="preserve">Hold / Consider for lower grade</t>
  </si>
  <si>
    <t xml:space="preserve">Keep in pipeline or consider for a junior position</t>
  </si>
  <si>
    <t xml:space="preserve">D</t>
  </si>
  <si>
    <t xml:space="preserve">Not Recommended</t>
  </si>
  <si>
    <t xml:space="preserve">Regret letter within 7 days</t>
  </si>
  <si>
    <t xml:space="preserve">Rule</t>
  </si>
  <si>
    <t xml:space="preserve">Value</t>
  </si>
  <si>
    <t xml:space="preserve">Meaning</t>
  </si>
  <si>
    <t xml:space="preserve">Critical weight</t>
  </si>
  <si>
    <t xml:space="preserve">A parameter with weight at or above this for the selected role is CRITICAL (Integrity B6 is always critical).</t>
  </si>
  <si>
    <t xml:space="preserve">Knock-out average</t>
  </si>
  <si>
    <t xml:space="preserve">Critical parameter with panel average below this value = Not Recommended, irrespective of total score.</t>
  </si>
  <si>
    <t xml:space="preserve">Calibration spread</t>
  </si>
  <si>
    <t xml:space="preserve">Difference between highest and lowest panelist score at or above this triggers a 'Calibrate' flag.</t>
  </si>
  <si>
    <t xml:space="preserve">Round</t>
  </si>
  <si>
    <t xml:space="preserve">Focus</t>
  </si>
  <si>
    <t xml:space="preserve">R1 – HR Screening</t>
  </si>
  <si>
    <t xml:space="preserve">Fit, communication, integrity, stability, CTC &amp; notice alignment</t>
  </si>
  <si>
    <t xml:space="preserve">Technical / functional and commercial parameters, case questions</t>
  </si>
  <si>
    <t xml:space="preserve">R3 – Management</t>
  </si>
  <si>
    <t xml:space="preserve">Leadership, client handling, judgement, culture fit, final approval</t>
  </si>
  <si>
    <t xml:space="preserve">Total</t>
  </si>
  <si>
    <t xml:space="preserve">CANDIDATE SELECTION MATRIX</t>
  </si>
  <si>
    <t xml:space="preserve">Enter each round's OVERALL SCORE % from the Scorecard. Composite uses round weights on Rating_Scale, re-weighted over the rounds completed.</t>
  </si>
  <si>
    <t xml:space="preserve">Candidates evaluated</t>
  </si>
  <si>
    <t xml:space="preserve">Recommended (A/B)</t>
  </si>
  <si>
    <t xml:space="preserve">S.No</t>
  </si>
  <si>
    <t xml:space="preserve">Position</t>
  </si>
  <si>
    <t xml:space="preserve">Date</t>
  </si>
  <si>
    <t xml:space="preserve">R1 HR %</t>
  </si>
  <si>
    <t xml:space="preserve">R2 Tech %</t>
  </si>
  <si>
    <t xml:space="preserve">R3 Mgmt %</t>
  </si>
  <si>
    <t xml:space="preserve">Composite %</t>
  </si>
  <si>
    <t xml:space="preserve">Knock-out (Y/N)</t>
  </si>
  <si>
    <t xml:space="preserve">Rank in position</t>
  </si>
  <si>
    <t xml:space="preserve">Remarks</t>
  </si>
  <si>
    <t xml:space="preserve">Candidate A (example)</t>
  </si>
  <si>
    <t xml:space="preserve">22-Sep-2026</t>
  </si>
  <si>
    <t xml:space="preserve">N</t>
  </si>
  <si>
    <t xml:space="preserve">Candidate B (example)</t>
  </si>
  <si>
    <t xml:space="preserve">23-Sep-2026</t>
  </si>
  <si>
    <t xml:space="preserve">Candidate C (example)</t>
  </si>
  <si>
    <t xml:space="preserve">Y</t>
  </si>
  <si>
    <t xml:space="preserve">Candidate D (example)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</si>
</sst>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;\-0%;\–"/>
    <numFmt numFmtId="166" formatCode="0.0"/>
    <numFmt numFmtId="167" formatCode="0.0%"/>
    <numFmt numFmtId="168" formatCode="0%"/>
    <numFmt numFmtId="169" formatCode="0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005F85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5F85"/>
        <bgColor rgb="FF008080"/>
      </patternFill>
    </fill>
    <fill>
      <patternFill patternType="solid">
        <fgColor rgb="FFE6F0F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E2EFDA"/>
        <bgColor rgb="FFE6F0F4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80808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65911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0000FF"/>
      </font>
    </dxf>
    <dxf>
      <font>
        <name val="Arial"/>
        <charset val="1"/>
        <family val="0"/>
        <b val="1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6E0B4"/>
      <rgbColor rgb="FF808080"/>
      <rgbColor rgb="FFA6A6A6"/>
      <rgbColor rgb="FF993366"/>
      <rgbColor rgb="FFFFF2CC"/>
      <rgbColor rgb="FFE6F0F4"/>
      <rgbColor rgb="FF660066"/>
      <rgbColor rgb="FFFF8080"/>
      <rgbColor rgb="FF005F8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score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Scorecard!I40</c:f>
              <c:strCache>
                <c:ptCount val="1"/>
                <c:pt idx="0">
                  <c:v>Score %</c:v>
                </c:pt>
              </c:strCache>
            </c:strRef>
          </c:tx>
          <c:spPr>
            <a:solidFill>
              <a:srgbClr val="005f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Scorecard!$F$41:$F$45</c:f>
              <c:strCache>
                <c:ptCount val="5"/>
                <c:pt idx="0">
                  <c:v>Technical / Functional</c:v>
                </c:pt>
                <c:pt idx="1">
                  <c:v>Commercial &amp; Contract</c:v>
                </c:pt>
                <c:pt idx="2">
                  <c:v>Behavioural</c:v>
                </c:pt>
                <c:pt idx="3">
                  <c:v>Leadership</c:v>
                </c:pt>
                <c:pt idx="4">
                  <c:v>Fit &amp; Motivation</c:v>
                </c:pt>
              </c:strCache>
            </c:strRef>
          </c:cat>
          <c:val>
            <c:numRef>
              <c:f>Scorecard!$I$41:$I$45</c:f>
              <c:numCache>
                <c:formatCode>0%</c:formatCode>
                <c:ptCount val="5"/>
                <c:pt idx="0">
                  <c:v>0.737254901960784</c:v>
                </c:pt>
                <c:pt idx="1">
                  <c:v>0.679166666666667</c:v>
                </c:pt>
                <c:pt idx="2">
                  <c:v>0.736</c:v>
                </c:pt>
                <c:pt idx="3">
                  <c:v>0.666666666666667</c:v>
                </c:pt>
                <c:pt idx="4">
                  <c:v>0.85</c:v>
                </c:pt>
              </c:numCache>
            </c:numRef>
          </c:val>
        </c:ser>
        <c:gapWidth val="150"/>
        <c:overlap val="0"/>
        <c:axId val="24049661"/>
        <c:axId val="75420550"/>
      </c:barChart>
      <c:catAx>
        <c:axId val="240496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20550"/>
        <c:crosses val="autoZero"/>
        <c:auto val="1"/>
        <c:lblAlgn val="ctr"/>
        <c:lblOffset val="100"/>
        <c:noMultiLvlLbl val="0"/>
      </c:catAx>
      <c:valAx>
        <c:axId val="7542055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9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37</xdr:row>
      <xdr:rowOff>97200</xdr:rowOff>
    </xdr:from>
    <xdr:to>
      <xdr:col>13</xdr:col>
      <xdr:colOff>520560</xdr:colOff>
      <xdr:row>47</xdr:row>
      <xdr:rowOff>74160</xdr:rowOff>
    </xdr:to>
    <xdr:graphicFrame>
      <xdr:nvGraphicFramePr>
        <xdr:cNvPr id="0" name="Chart 1"/>
        <xdr:cNvGraphicFramePr/>
      </xdr:nvGraphicFramePr>
      <xdr:xfrm>
        <a:off x="9163080" y="13077720"/>
        <a:ext cx="4679280" cy="23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2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</row>
    <row r="5" customFormat="false" ht="15" hidden="false" customHeight="false" outlineLevel="0" collapsed="false">
      <c r="B5" s="5" t="s">
        <v>3</v>
      </c>
      <c r="C5" s="5"/>
      <c r="D5" s="5"/>
      <c r="E5" s="5"/>
      <c r="F5" s="5"/>
    </row>
    <row r="6" customFormat="false" ht="42" hidden="false" customHeight="true" outlineLevel="0" collapsed="false">
      <c r="B6" s="6" t="s">
        <v>4</v>
      </c>
      <c r="C6" s="6"/>
      <c r="D6" s="6"/>
      <c r="E6" s="6"/>
      <c r="F6" s="6"/>
    </row>
    <row r="7" customFormat="false" ht="15" hidden="false" customHeight="false" outlineLevel="0" collapsed="false">
      <c r="B7" s="5" t="s">
        <v>5</v>
      </c>
      <c r="C7" s="5"/>
      <c r="D7" s="5"/>
      <c r="E7" s="5"/>
      <c r="F7" s="5"/>
    </row>
    <row r="8" customFormat="false" ht="42" hidden="false" customHeight="true" outlineLevel="0" collapsed="false">
      <c r="B8" s="7" t="s">
        <v>6</v>
      </c>
      <c r="C8" s="6" t="s">
        <v>7</v>
      </c>
      <c r="D8" s="6"/>
      <c r="E8" s="6"/>
      <c r="F8" s="6"/>
    </row>
    <row r="9" customFormat="false" ht="30" hidden="false" customHeight="true" outlineLevel="0" collapsed="false">
      <c r="B9" s="7" t="s">
        <v>8</v>
      </c>
      <c r="C9" s="6" t="s">
        <v>9</v>
      </c>
      <c r="D9" s="6"/>
      <c r="E9" s="6"/>
      <c r="F9" s="6"/>
    </row>
    <row r="10" customFormat="false" ht="42" hidden="false" customHeight="true" outlineLevel="0" collapsed="false">
      <c r="B10" s="7" t="s">
        <v>10</v>
      </c>
      <c r="C10" s="6" t="s">
        <v>11</v>
      </c>
      <c r="D10" s="6"/>
      <c r="E10" s="6"/>
      <c r="F10" s="6"/>
    </row>
    <row r="11" customFormat="false" ht="30" hidden="false" customHeight="true" outlineLevel="0" collapsed="false">
      <c r="B11" s="7" t="s">
        <v>12</v>
      </c>
      <c r="C11" s="6" t="s">
        <v>13</v>
      </c>
      <c r="D11" s="6"/>
      <c r="E11" s="6"/>
      <c r="F11" s="6"/>
    </row>
    <row r="12" customFormat="false" ht="15" hidden="false" customHeight="false" outlineLevel="0" collapsed="false">
      <c r="B12" s="5" t="s">
        <v>14</v>
      </c>
      <c r="C12" s="5"/>
      <c r="D12" s="5"/>
      <c r="E12" s="5"/>
      <c r="F12" s="5"/>
    </row>
    <row r="13" customFormat="false" ht="30" hidden="false" customHeight="true" outlineLevel="0" collapsed="false">
      <c r="B13" s="7" t="s">
        <v>15</v>
      </c>
      <c r="C13" s="6" t="s">
        <v>16</v>
      </c>
      <c r="D13" s="6"/>
      <c r="E13" s="6"/>
      <c r="F13" s="6"/>
    </row>
    <row r="14" customFormat="false" ht="30" hidden="false" customHeight="true" outlineLevel="0" collapsed="false">
      <c r="B14" s="7" t="s">
        <v>17</v>
      </c>
      <c r="C14" s="6" t="s">
        <v>18</v>
      </c>
      <c r="D14" s="6"/>
      <c r="E14" s="6"/>
      <c r="F14" s="6"/>
    </row>
    <row r="15" customFormat="false" ht="30" hidden="false" customHeight="true" outlineLevel="0" collapsed="false">
      <c r="B15" s="7" t="s">
        <v>19</v>
      </c>
      <c r="C15" s="6" t="s">
        <v>20</v>
      </c>
      <c r="D15" s="6"/>
      <c r="E15" s="6"/>
      <c r="F15" s="6"/>
    </row>
    <row r="16" customFormat="false" ht="30" hidden="false" customHeight="true" outlineLevel="0" collapsed="false">
      <c r="B16" s="7" t="s">
        <v>21</v>
      </c>
      <c r="C16" s="6" t="s">
        <v>22</v>
      </c>
      <c r="D16" s="6"/>
      <c r="E16" s="6"/>
      <c r="F16" s="6"/>
    </row>
    <row r="17" customFormat="false" ht="30" hidden="false" customHeight="true" outlineLevel="0" collapsed="false">
      <c r="B17" s="7" t="s">
        <v>23</v>
      </c>
      <c r="C17" s="6" t="s">
        <v>24</v>
      </c>
      <c r="D17" s="6"/>
      <c r="E17" s="6"/>
      <c r="F17" s="6"/>
    </row>
    <row r="18" customFormat="false" ht="15" hidden="false" customHeight="false" outlineLevel="0" collapsed="false">
      <c r="B18" s="5" t="s">
        <v>25</v>
      </c>
      <c r="C18" s="5"/>
      <c r="D18" s="5"/>
      <c r="E18" s="5"/>
      <c r="F18" s="5"/>
    </row>
    <row r="19" customFormat="false" ht="42" hidden="false" customHeight="true" outlineLevel="0" collapsed="false">
      <c r="B19" s="7" t="s">
        <v>26</v>
      </c>
      <c r="C19" s="6" t="s">
        <v>27</v>
      </c>
      <c r="D19" s="6"/>
      <c r="E19" s="6"/>
      <c r="F19" s="6"/>
    </row>
    <row r="20" customFormat="false" ht="42" hidden="false" customHeight="true" outlineLevel="0" collapsed="false">
      <c r="B20" s="7" t="s">
        <v>28</v>
      </c>
      <c r="C20" s="6" t="s">
        <v>29</v>
      </c>
      <c r="D20" s="6"/>
      <c r="E20" s="6"/>
      <c r="F20" s="6"/>
    </row>
    <row r="21" customFormat="false" ht="42" hidden="false" customHeight="true" outlineLevel="0" collapsed="false">
      <c r="B21" s="7" t="s">
        <v>30</v>
      </c>
      <c r="C21" s="6" t="s">
        <v>31</v>
      </c>
      <c r="D21" s="6"/>
      <c r="E21" s="6"/>
      <c r="F21" s="6"/>
    </row>
    <row r="22" customFormat="false" ht="15" hidden="false" customHeight="false" outlineLevel="0" collapsed="false">
      <c r="B22" s="5" t="s">
        <v>32</v>
      </c>
      <c r="C22" s="5"/>
      <c r="D22" s="5"/>
      <c r="E22" s="5"/>
      <c r="F22" s="5"/>
    </row>
    <row r="23" customFormat="false" ht="15" hidden="false" customHeight="true" outlineLevel="0" collapsed="false">
      <c r="B23" s="8" t="s">
        <v>33</v>
      </c>
      <c r="C23" s="6" t="s">
        <v>34</v>
      </c>
      <c r="D23" s="6"/>
      <c r="E23" s="6"/>
      <c r="F23" s="6"/>
    </row>
    <row r="24" customFormat="false" ht="15" hidden="false" customHeight="true" outlineLevel="0" collapsed="false">
      <c r="B24" s="9" t="s">
        <v>35</v>
      </c>
      <c r="C24" s="6" t="s">
        <v>36</v>
      </c>
      <c r="D24" s="6"/>
      <c r="E24" s="6"/>
      <c r="F24" s="6"/>
    </row>
    <row r="25" customFormat="false" ht="15" hidden="false" customHeight="true" outlineLevel="0" collapsed="false">
      <c r="B25" s="10" t="s">
        <v>37</v>
      </c>
      <c r="C25" s="6" t="s">
        <v>38</v>
      </c>
      <c r="D25" s="6"/>
      <c r="E25" s="6"/>
      <c r="F25" s="6"/>
    </row>
    <row r="27" customFormat="false" ht="15" hidden="false" customHeight="false" outlineLevel="0" collapsed="false">
      <c r="B27" s="7" t="s">
        <v>39</v>
      </c>
      <c r="C27" s="11" t="s">
        <v>40</v>
      </c>
      <c r="D27" s="7" t="s">
        <v>41</v>
      </c>
      <c r="E27" s="11" t="s">
        <v>42</v>
      </c>
      <c r="F27" s="11"/>
    </row>
  </sheetData>
  <mergeCells count="24">
    <mergeCell ref="A1:F1"/>
    <mergeCell ref="A2:F2"/>
    <mergeCell ref="A3:F3"/>
    <mergeCell ref="B5:F5"/>
    <mergeCell ref="B6:F6"/>
    <mergeCell ref="B7:F7"/>
    <mergeCell ref="C8:F8"/>
    <mergeCell ref="C9:F9"/>
    <mergeCell ref="C10:F10"/>
    <mergeCell ref="C11:F11"/>
    <mergeCell ref="B12:F12"/>
    <mergeCell ref="C13:F13"/>
    <mergeCell ref="C14:F14"/>
    <mergeCell ref="C15:F15"/>
    <mergeCell ref="C16:F16"/>
    <mergeCell ref="C17:F17"/>
    <mergeCell ref="B18:F18"/>
    <mergeCell ref="C19:F19"/>
    <mergeCell ref="C20:F20"/>
    <mergeCell ref="C21:F21"/>
    <mergeCell ref="B22:F22"/>
    <mergeCell ref="C23:F23"/>
    <mergeCell ref="C24:F24"/>
    <mergeCell ref="C25:F25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&amp;L&amp;"Arial,Regular"SPDC/HR/F-INT-01  Rev R0&amp;R&amp;"Arial,Regular"Page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38"/>
    <col collapsed="false" customWidth="true" hidden="false" outlineLevel="0" max="5" min="5" style="1" width="8"/>
    <col collapsed="false" customWidth="true" hidden="false" outlineLevel="0" max="8" min="6" style="1" width="7"/>
    <col collapsed="false" customWidth="true" hidden="false" outlineLevel="0" max="9" min="9" style="1" width="8"/>
    <col collapsed="false" customWidth="true" hidden="false" outlineLevel="0" max="11" min="10" style="1" width="9"/>
    <col collapsed="false" customWidth="true" hidden="false" outlineLevel="0" max="12" min="12" style="1" width="16"/>
    <col collapsed="false" customWidth="true" hidden="false" outlineLevel="0" max="13" min="13" style="1" width="3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4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customFormat="false" ht="15" hidden="false" customHeight="true" outlineLevel="0" collapsed="false">
      <c r="B5" s="7" t="s">
        <v>45</v>
      </c>
      <c r="C5" s="12" t="s">
        <v>46</v>
      </c>
      <c r="D5" s="12"/>
      <c r="I5" s="13" t="s">
        <v>47</v>
      </c>
      <c r="J5" s="13"/>
      <c r="K5" s="13"/>
      <c r="L5" s="13"/>
      <c r="M5" s="14" t="s">
        <v>48</v>
      </c>
    </row>
    <row r="6" customFormat="false" ht="15" hidden="false" customHeight="true" outlineLevel="0" collapsed="false">
      <c r="B6" s="7" t="s">
        <v>49</v>
      </c>
      <c r="C6" s="12" t="s">
        <v>50</v>
      </c>
      <c r="D6" s="12"/>
      <c r="I6" s="13" t="s">
        <v>51</v>
      </c>
      <c r="J6" s="13"/>
      <c r="K6" s="13"/>
      <c r="L6" s="13"/>
      <c r="M6" s="14" t="s">
        <v>48</v>
      </c>
    </row>
    <row r="7" customFormat="false" ht="15" hidden="false" customHeight="true" outlineLevel="0" collapsed="false">
      <c r="B7" s="7" t="s">
        <v>52</v>
      </c>
      <c r="C7" s="12" t="s">
        <v>53</v>
      </c>
      <c r="D7" s="12"/>
      <c r="I7" s="13" t="s">
        <v>54</v>
      </c>
      <c r="J7" s="13"/>
      <c r="K7" s="13"/>
      <c r="L7" s="13"/>
      <c r="M7" s="14" t="s">
        <v>48</v>
      </c>
    </row>
    <row r="8" customFormat="false" ht="15" hidden="false" customHeight="true" outlineLevel="0" collapsed="false">
      <c r="B8" s="7" t="s">
        <v>55</v>
      </c>
      <c r="C8" s="12" t="s">
        <v>56</v>
      </c>
      <c r="D8" s="12"/>
      <c r="I8" s="13" t="s">
        <v>57</v>
      </c>
      <c r="J8" s="13"/>
      <c r="K8" s="13"/>
      <c r="L8" s="13"/>
      <c r="M8" s="14" t="n">
        <v>7.2</v>
      </c>
    </row>
    <row r="9" customFormat="false" ht="22.35" hidden="false" customHeight="true" outlineLevel="0" collapsed="false">
      <c r="B9" s="7" t="s">
        <v>58</v>
      </c>
      <c r="C9" s="12" t="n">
        <v>8</v>
      </c>
      <c r="D9" s="12"/>
      <c r="I9" s="13" t="s">
        <v>59</v>
      </c>
      <c r="J9" s="13"/>
      <c r="K9" s="13"/>
      <c r="L9" s="13"/>
      <c r="M9" s="14" t="n">
        <v>9</v>
      </c>
    </row>
    <row r="10" customFormat="false" ht="15" hidden="false" customHeight="true" outlineLevel="0" collapsed="false">
      <c r="B10" s="7" t="s">
        <v>60</v>
      </c>
      <c r="C10" s="12" t="s">
        <v>61</v>
      </c>
      <c r="D10" s="12"/>
      <c r="I10" s="13" t="s">
        <v>62</v>
      </c>
      <c r="J10" s="13"/>
      <c r="K10" s="13"/>
      <c r="L10" s="13"/>
      <c r="M10" s="14" t="n">
        <v>30</v>
      </c>
    </row>
    <row r="12" customFormat="false" ht="15" hidden="false" customHeight="true" outlineLevel="0" collapsed="false">
      <c r="F12" s="15" t="s">
        <v>63</v>
      </c>
      <c r="G12" s="15"/>
      <c r="H12" s="15"/>
    </row>
    <row r="13" customFormat="false" ht="30" hidden="false" customHeight="true" outlineLevel="0" collapsed="false">
      <c r="A13" s="16" t="s">
        <v>64</v>
      </c>
      <c r="B13" s="16" t="s">
        <v>65</v>
      </c>
      <c r="C13" s="16" t="s">
        <v>66</v>
      </c>
      <c r="D13" s="16" t="s">
        <v>67</v>
      </c>
      <c r="E13" s="16" t="s">
        <v>68</v>
      </c>
      <c r="F13" s="16" t="s">
        <v>69</v>
      </c>
      <c r="G13" s="16" t="s">
        <v>70</v>
      </c>
      <c r="H13" s="16" t="s">
        <v>71</v>
      </c>
      <c r="I13" s="16" t="s">
        <v>72</v>
      </c>
      <c r="J13" s="16" t="s">
        <v>73</v>
      </c>
      <c r="K13" s="16" t="s">
        <v>74</v>
      </c>
      <c r="L13" s="16" t="s">
        <v>75</v>
      </c>
      <c r="M13" s="16" t="s">
        <v>76</v>
      </c>
    </row>
    <row r="14" customFormat="false" ht="33.75" hidden="false" customHeight="true" outlineLevel="0" collapsed="false">
      <c r="A14" s="17" t="str">
        <f aca="false">Framework!A6</f>
        <v>T1</v>
      </c>
      <c r="B14" s="11" t="str">
        <f aca="false">Framework!B6</f>
        <v>Technical / Functional</v>
      </c>
      <c r="C14" s="9" t="str">
        <f aca="false">Framework!C6</f>
        <v>Core domain knowledge (role-specific)</v>
      </c>
      <c r="D14" s="18" t="str">
        <f aca="false">Framework!D6</f>
        <v>Codes &amp; standards (IS/NBC/Factory Act/labour law as per role), drawing reading, fundamentals of the discipline</v>
      </c>
      <c r="E14" s="19" t="n">
        <f aca="false">IF($C$6="",0,IFERROR(INDEX(Framework!$H$6:$Q$28,MATCH(A14,Framework!$A$6:$A$28,0),MATCH($C$6,Framework!$H$5:$Q$5,0)),0))</f>
        <v>0.12</v>
      </c>
      <c r="F14" s="20" t="n">
        <v>3</v>
      </c>
      <c r="G14" s="20" t="n">
        <v>3</v>
      </c>
      <c r="H14" s="20" t="n">
        <v>4</v>
      </c>
      <c r="I14" s="21" t="n">
        <f aca="false">IF(OR(E14=0,COUNT(F14:H14)=0),"",AVERAGE(F14:H14))</f>
        <v>3.33333333333333</v>
      </c>
      <c r="J14" s="22" t="n">
        <f aca="false">IF(I14="","",I14/5*E14)</f>
        <v>0.08</v>
      </c>
      <c r="K14" s="23" t="str">
        <f aca="false">IF(E14=0,"",IF(OR(E14&gt;=Rating_Scale!$C$20,A14="B6"),"Critical",""))</f>
        <v>Critical</v>
      </c>
      <c r="L14" s="23" t="str">
        <f aca="false">IF(COUNT(F14:H14)&lt;2,"",IF(MAX(F14:H14)-MIN(F14:H14)&gt;=Rating_Scale!$C$22,"Calibrate","OK"))</f>
        <v>OK</v>
      </c>
      <c r="M14" s="14"/>
    </row>
    <row r="15" customFormat="false" ht="33.75" hidden="false" customHeight="true" outlineLevel="0" collapsed="false">
      <c r="A15" s="17" t="str">
        <f aca="false">Framework!A7</f>
        <v>T2</v>
      </c>
      <c r="B15" s="11" t="str">
        <f aca="false">Framework!B7</f>
        <v>Technical / Functional</v>
      </c>
      <c r="C15" s="9" t="str">
        <f aca="false">Framework!C7</f>
        <v>Planning &amp; scheduling</v>
      </c>
      <c r="D15" s="18" t="str">
        <f aca="false">Framework!D7</f>
        <v>WBS, CPM logic, MSP/P6, look-ahead plans, baseline vs actual, S-curve, recovery planning</v>
      </c>
      <c r="E15" s="19" t="n">
        <f aca="false">IF($C$6="",0,IFERROR(INDEX(Framework!$H$6:$Q$28,MATCH(A15,Framework!$A$6:$A$28,0),MATCH($C$6,Framework!$H$5:$Q$5,0)),0))</f>
        <v>0.05</v>
      </c>
      <c r="F15" s="20" t="n">
        <v>4</v>
      </c>
      <c r="G15" s="20" t="n">
        <v>3</v>
      </c>
      <c r="H15" s="20" t="n">
        <v>4</v>
      </c>
      <c r="I15" s="21" t="n">
        <f aca="false">IF(OR(E15=0,COUNT(F15:H15)=0),"",AVERAGE(F15:H15))</f>
        <v>3.66666666666667</v>
      </c>
      <c r="J15" s="22" t="n">
        <f aca="false">IF(I15="","",I15/5*E15)</f>
        <v>0.0366666666666667</v>
      </c>
      <c r="K15" s="23" t="str">
        <f aca="false">IF(E15=0,"",IF(OR(E15&gt;=Rating_Scale!$C$20,A15="B6"),"Critical",""))</f>
        <v/>
      </c>
      <c r="L15" s="23" t="str">
        <f aca="false">IF(COUNT(F15:H15)&lt;2,"",IF(MAX(F15:H15)-MIN(F15:H15)&gt;=Rating_Scale!$C$22,"Calibrate","OK"))</f>
        <v>OK</v>
      </c>
      <c r="M15" s="14"/>
    </row>
    <row r="16" customFormat="false" ht="33.75" hidden="false" customHeight="true" outlineLevel="0" collapsed="false">
      <c r="A16" s="17" t="str">
        <f aca="false">Framework!A8</f>
        <v>T3</v>
      </c>
      <c r="B16" s="11" t="str">
        <f aca="false">Framework!B8</f>
        <v>Technical / Functional</v>
      </c>
      <c r="C16" s="9" t="str">
        <f aca="false">Framework!C8</f>
        <v>Estimation, measurement &amp; billing</v>
      </c>
      <c r="D16" s="18" t="str">
        <f aca="false">Framework!D8</f>
        <v>Quantity take-off, IS 1200 modes of measurement, BBS, RA bill checking, rate analysis</v>
      </c>
      <c r="E16" s="19" t="n">
        <f aca="false">IF($C$6="",0,IFERROR(INDEX(Framework!$H$6:$Q$28,MATCH(A16,Framework!$A$6:$A$28,0),MATCH($C$6,Framework!$H$5:$Q$5,0)),0))</f>
        <v>0.05</v>
      </c>
      <c r="F16" s="20" t="n">
        <v>3</v>
      </c>
      <c r="G16" s="20" t="n">
        <v>3</v>
      </c>
      <c r="H16" s="20" t="n">
        <v>3</v>
      </c>
      <c r="I16" s="21" t="n">
        <f aca="false">IF(OR(E16=0,COUNT(F16:H16)=0),"",AVERAGE(F16:H16))</f>
        <v>3</v>
      </c>
      <c r="J16" s="22" t="n">
        <f aca="false">IF(I16="","",I16/5*E16)</f>
        <v>0.03</v>
      </c>
      <c r="K16" s="23" t="str">
        <f aca="false">IF(E16=0,"",IF(OR(E16&gt;=Rating_Scale!$C$20,A16="B6"),"Critical",""))</f>
        <v/>
      </c>
      <c r="L16" s="23" t="str">
        <f aca="false">IF(COUNT(F16:H16)&lt;2,"",IF(MAX(F16:H16)-MIN(F16:H16)&gt;=Rating_Scale!$C$22,"Calibrate","OK"))</f>
        <v>OK</v>
      </c>
      <c r="M16" s="14"/>
    </row>
    <row r="17" customFormat="false" ht="33.75" hidden="false" customHeight="true" outlineLevel="0" collapsed="false">
      <c r="A17" s="17" t="str">
        <f aca="false">Framework!A9</f>
        <v>T4</v>
      </c>
      <c r="B17" s="11" t="str">
        <f aca="false">Framework!B9</f>
        <v>Technical / Functional</v>
      </c>
      <c r="C17" s="9" t="str">
        <f aca="false">Framework!C9</f>
        <v>Quality assurance &amp; inspection</v>
      </c>
      <c r="D17" s="18" t="str">
        <f aca="false">Framework!D9</f>
        <v>ITP, material testing, checklists, NCR closure, method statements, third-party inspection</v>
      </c>
      <c r="E17" s="19" t="n">
        <f aca="false">IF($C$6="",0,IFERROR(INDEX(Framework!$H$6:$Q$28,MATCH(A17,Framework!$A$6:$A$28,0),MATCH($C$6,Framework!$H$5:$Q$5,0)),0))</f>
        <v>0.07</v>
      </c>
      <c r="F17" s="20" t="n">
        <v>4</v>
      </c>
      <c r="G17" s="20" t="n">
        <v>4</v>
      </c>
      <c r="H17" s="20" t="n">
        <v>4</v>
      </c>
      <c r="I17" s="21" t="n">
        <f aca="false">IF(OR(E17=0,COUNT(F17:H17)=0),"",AVERAGE(F17:H17))</f>
        <v>4</v>
      </c>
      <c r="J17" s="22" t="n">
        <f aca="false">IF(I17="","",I17/5*E17)</f>
        <v>0.056</v>
      </c>
      <c r="K17" s="23" t="str">
        <f aca="false">IF(E17=0,"",IF(OR(E17&gt;=Rating_Scale!$C$20,A17="B6"),"Critical",""))</f>
        <v/>
      </c>
      <c r="L17" s="23" t="str">
        <f aca="false">IF(COUNT(F17:H17)&lt;2,"",IF(MAX(F17:H17)-MIN(F17:H17)&gt;=Rating_Scale!$C$22,"Calibrate","OK"))</f>
        <v>OK</v>
      </c>
      <c r="M17" s="14"/>
    </row>
    <row r="18" customFormat="false" ht="33.75" hidden="false" customHeight="true" outlineLevel="0" collapsed="false">
      <c r="A18" s="17" t="str">
        <f aca="false">Framework!A10</f>
        <v>T5</v>
      </c>
      <c r="B18" s="11" t="str">
        <f aca="false">Framework!B10</f>
        <v>Technical / Functional</v>
      </c>
      <c r="C18" s="9" t="str">
        <f aca="false">Framework!C10</f>
        <v>Execution &amp; site management</v>
      </c>
      <c r="D18" s="18" t="str">
        <f aca="false">Framework!D10</f>
        <v>Sequencing, method of construction, manpower/material/machinery planning, daily site control</v>
      </c>
      <c r="E18" s="19" t="n">
        <f aca="false">IF($C$6="",0,IFERROR(INDEX(Framework!$H$6:$Q$28,MATCH(A18,Framework!$A$6:$A$28,0),MATCH($C$6,Framework!$H$5:$Q$5,0)),0))</f>
        <v>0.14</v>
      </c>
      <c r="F18" s="20" t="n">
        <v>4</v>
      </c>
      <c r="G18" s="20" t="n">
        <v>4</v>
      </c>
      <c r="H18" s="20" t="n">
        <v>5</v>
      </c>
      <c r="I18" s="21" t="n">
        <f aca="false">IF(OR(E18=0,COUNT(F18:H18)=0),"",AVERAGE(F18:H18))</f>
        <v>4.33333333333333</v>
      </c>
      <c r="J18" s="22" t="n">
        <f aca="false">IF(I18="","",I18/5*E18)</f>
        <v>0.121333333333333</v>
      </c>
      <c r="K18" s="23" t="str">
        <f aca="false">IF(E18=0,"",IF(OR(E18&gt;=Rating_Scale!$C$20,A18="B6"),"Critical",""))</f>
        <v>Critical</v>
      </c>
      <c r="L18" s="23" t="str">
        <f aca="false">IF(COUNT(F18:H18)&lt;2,"",IF(MAX(F18:H18)-MIN(F18:H18)&gt;=Rating_Scale!$C$22,"Calibrate","OK"))</f>
        <v>OK</v>
      </c>
      <c r="M18" s="14"/>
    </row>
    <row r="19" customFormat="false" ht="33.75" hidden="false" customHeight="true" outlineLevel="0" collapsed="false">
      <c r="A19" s="17" t="str">
        <f aca="false">Framework!A11</f>
        <v>T6</v>
      </c>
      <c r="B19" s="11" t="str">
        <f aca="false">Framework!B11</f>
        <v>Technical / Functional</v>
      </c>
      <c r="C19" s="9" t="str">
        <f aca="false">Framework!C11</f>
        <v>Health, safety &amp; environment</v>
      </c>
      <c r="D19" s="18" t="str">
        <f aca="false">Framework!D11</f>
        <v>HIRA/JSA, work permits, PPE, BOCW/Factory Act compliance, incident reporting &amp; investigation</v>
      </c>
      <c r="E19" s="19" t="n">
        <f aca="false">IF($C$6="",0,IFERROR(INDEX(Framework!$H$6:$Q$28,MATCH(A19,Framework!$A$6:$A$28,0),MATCH($C$6,Framework!$H$5:$Q$5,0)),0))</f>
        <v>0.06</v>
      </c>
      <c r="F19" s="20" t="n">
        <v>3</v>
      </c>
      <c r="G19" s="20" t="n">
        <v>4</v>
      </c>
      <c r="H19" s="20" t="n">
        <v>3</v>
      </c>
      <c r="I19" s="21" t="n">
        <f aca="false">IF(OR(E19=0,COUNT(F19:H19)=0),"",AVERAGE(F19:H19))</f>
        <v>3.33333333333333</v>
      </c>
      <c r="J19" s="22" t="n">
        <f aca="false">IF(I19="","",I19/5*E19)</f>
        <v>0.04</v>
      </c>
      <c r="K19" s="23" t="str">
        <f aca="false">IF(E19=0,"",IF(OR(E19&gt;=Rating_Scale!$C$20,A19="B6"),"Critical",""))</f>
        <v/>
      </c>
      <c r="L19" s="23" t="str">
        <f aca="false">IF(COUNT(F19:H19)&lt;2,"",IF(MAX(F19:H19)-MIN(F19:H19)&gt;=Rating_Scale!$C$22,"Calibrate","OK"))</f>
        <v>OK</v>
      </c>
      <c r="M19" s="14"/>
    </row>
    <row r="20" customFormat="false" ht="33.75" hidden="false" customHeight="true" outlineLevel="0" collapsed="false">
      <c r="A20" s="17" t="str">
        <f aca="false">Framework!A12</f>
        <v>T7</v>
      </c>
      <c r="B20" s="11" t="str">
        <f aca="false">Framework!B12</f>
        <v>Technical / Functional</v>
      </c>
      <c r="C20" s="9" t="str">
        <f aca="false">Framework!C12</f>
        <v>Software &amp; digital tools</v>
      </c>
      <c r="D20" s="18" t="str">
        <f aca="false">Framework!D12</f>
        <v>AutoCAD, MS Project/P6, Excel (advanced), ERP/HRMS, reporting tools as relevant to role</v>
      </c>
      <c r="E20" s="19" t="n">
        <f aca="false">IF($C$6="",0,IFERROR(INDEX(Framework!$H$6:$Q$28,MATCH(A20,Framework!$A$6:$A$28,0),MATCH($C$6,Framework!$H$5:$Q$5,0)),0))</f>
        <v>0.02</v>
      </c>
      <c r="F20" s="20" t="n">
        <v>3</v>
      </c>
      <c r="G20" s="20" t="n">
        <v>3</v>
      </c>
      <c r="H20" s="20" t="n">
        <v>3</v>
      </c>
      <c r="I20" s="21" t="n">
        <f aca="false">IF(OR(E20=0,COUNT(F20:H20)=0),"",AVERAGE(F20:H20))</f>
        <v>3</v>
      </c>
      <c r="J20" s="22" t="n">
        <f aca="false">IF(I20="","",I20/5*E20)</f>
        <v>0.012</v>
      </c>
      <c r="K20" s="23" t="str">
        <f aca="false">IF(E20=0,"",IF(OR(E20&gt;=Rating_Scale!$C$20,A20="B6"),"Critical",""))</f>
        <v/>
      </c>
      <c r="L20" s="23" t="str">
        <f aca="false">IF(COUNT(F20:H20)&lt;2,"",IF(MAX(F20:H20)-MIN(F20:H20)&gt;=Rating_Scale!$C$22,"Calibrate","OK"))</f>
        <v>OK</v>
      </c>
      <c r="M20" s="14" t="s">
        <v>77</v>
      </c>
    </row>
    <row r="21" customFormat="false" ht="33.75" hidden="false" customHeight="true" outlineLevel="0" collapsed="false">
      <c r="A21" s="17" t="str">
        <f aca="false">Framework!A13</f>
        <v>C1</v>
      </c>
      <c r="B21" s="11" t="str">
        <f aca="false">Framework!B13</f>
        <v>Commercial &amp; Contract</v>
      </c>
      <c r="C21" s="9" t="str">
        <f aca="false">Framework!C13</f>
        <v>Contract &amp; commercial awareness</v>
      </c>
      <c r="D21" s="18" t="str">
        <f aca="false">Framework!D13</f>
        <v>GCC/SCC clauses, scope, variations, extra items, claims, LDs, EOT, notices</v>
      </c>
      <c r="E21" s="19" t="n">
        <f aca="false">IF($C$6="",0,IFERROR(INDEX(Framework!$H$6:$Q$28,MATCH(A21,Framework!$A$6:$A$28,0),MATCH($C$6,Framework!$H$5:$Q$5,0)),0))</f>
        <v>0.03</v>
      </c>
      <c r="F21" s="20" t="n">
        <v>3</v>
      </c>
      <c r="G21" s="20" t="n">
        <v>2</v>
      </c>
      <c r="H21" s="20" t="n">
        <v>3</v>
      </c>
      <c r="I21" s="21" t="n">
        <f aca="false">IF(OR(E21=0,COUNT(F21:H21)=0),"",AVERAGE(F21:H21))</f>
        <v>2.66666666666667</v>
      </c>
      <c r="J21" s="22" t="n">
        <f aca="false">IF(I21="","",I21/5*E21)</f>
        <v>0.016</v>
      </c>
      <c r="K21" s="23" t="str">
        <f aca="false">IF(E21=0,"",IF(OR(E21&gt;=Rating_Scale!$C$20,A21="B6"),"Critical",""))</f>
        <v/>
      </c>
      <c r="L21" s="23" t="str">
        <f aca="false">IF(COUNT(F21:H21)&lt;2,"",IF(MAX(F21:H21)-MIN(F21:H21)&gt;=Rating_Scale!$C$22,"Calibrate","OK"))</f>
        <v>OK</v>
      </c>
      <c r="M21" s="14"/>
    </row>
    <row r="22" customFormat="false" ht="33.75" hidden="false" customHeight="true" outlineLevel="0" collapsed="false">
      <c r="A22" s="17" t="str">
        <f aca="false">Framework!A14</f>
        <v>C2</v>
      </c>
      <c r="B22" s="11" t="str">
        <f aca="false">Framework!B14</f>
        <v>Commercial &amp; Contract</v>
      </c>
      <c r="C22" s="9" t="str">
        <f aca="false">Framework!C14</f>
        <v>Cost control &amp; value engineering</v>
      </c>
      <c r="D22" s="18" t="str">
        <f aca="false">Framework!D14</f>
        <v>Budget vs actual, cost-to-complete, wastage control, alternatives that save cost without loss of quality</v>
      </c>
      <c r="E22" s="19" t="n">
        <f aca="false">IF($C$6="",0,IFERROR(INDEX(Framework!$H$6:$Q$28,MATCH(A22,Framework!$A$6:$A$28,0),MATCH($C$6,Framework!$H$5:$Q$5,0)),0))</f>
        <v>0.03</v>
      </c>
      <c r="F22" s="20" t="n">
        <v>3</v>
      </c>
      <c r="G22" s="20" t="n">
        <v>3</v>
      </c>
      <c r="H22" s="20" t="n">
        <v>3</v>
      </c>
      <c r="I22" s="21" t="n">
        <f aca="false">IF(OR(E22=0,COUNT(F22:H22)=0),"",AVERAGE(F22:H22))</f>
        <v>3</v>
      </c>
      <c r="J22" s="22" t="n">
        <f aca="false">IF(I22="","",I22/5*E22)</f>
        <v>0.018</v>
      </c>
      <c r="K22" s="23" t="str">
        <f aca="false">IF(E22=0,"",IF(OR(E22&gt;=Rating_Scale!$C$20,A22="B6"),"Critical",""))</f>
        <v/>
      </c>
      <c r="L22" s="23" t="str">
        <f aca="false">IF(COUNT(F22:H22)&lt;2,"",IF(MAX(F22:H22)-MIN(F22:H22)&gt;=Rating_Scale!$C$22,"Calibrate","OK"))</f>
        <v>OK</v>
      </c>
      <c r="M22" s="14"/>
    </row>
    <row r="23" customFormat="false" ht="33.75" hidden="false" customHeight="true" outlineLevel="0" collapsed="false">
      <c r="A23" s="17" t="str">
        <f aca="false">Framework!A15</f>
        <v>C3</v>
      </c>
      <c r="B23" s="11" t="str">
        <f aca="false">Framework!B15</f>
        <v>Commercial &amp; Contract</v>
      </c>
      <c r="C23" s="9" t="str">
        <f aca="false">Framework!C15</f>
        <v>Documentation &amp; reporting</v>
      </c>
      <c r="D23" s="18" t="str">
        <f aca="false">Framework!D15</f>
        <v>DPR/WPR/MPR, MOM, RFI, submittal logs, registers, record-keeping discipline</v>
      </c>
      <c r="E23" s="19" t="n">
        <f aca="false">IF($C$6="",0,IFERROR(INDEX(Framework!$H$6:$Q$28,MATCH(A23,Framework!$A$6:$A$28,0),MATCH($C$6,Framework!$H$5:$Q$5,0)),0))</f>
        <v>0.04</v>
      </c>
      <c r="F23" s="20" t="n">
        <v>4</v>
      </c>
      <c r="G23" s="20" t="n">
        <v>3</v>
      </c>
      <c r="H23" s="20" t="n">
        <v>3</v>
      </c>
      <c r="I23" s="21" t="n">
        <f aca="false">IF(OR(E23=0,COUNT(F23:H23)=0),"",AVERAGE(F23:H23))</f>
        <v>3.33333333333333</v>
      </c>
      <c r="J23" s="22" t="n">
        <f aca="false">IF(I23="","",I23/5*E23)</f>
        <v>0.0266666666666667</v>
      </c>
      <c r="K23" s="23" t="str">
        <f aca="false">IF(E23=0,"",IF(OR(E23&gt;=Rating_Scale!$C$20,A23="B6"),"Critical",""))</f>
        <v/>
      </c>
      <c r="L23" s="23" t="str">
        <f aca="false">IF(COUNT(F23:H23)&lt;2,"",IF(MAX(F23:H23)-MIN(F23:H23)&gt;=Rating_Scale!$C$22,"Calibrate","OK"))</f>
        <v>OK</v>
      </c>
      <c r="M23" s="14"/>
    </row>
    <row r="24" customFormat="false" ht="33.75" hidden="false" customHeight="true" outlineLevel="0" collapsed="false">
      <c r="A24" s="17" t="str">
        <f aca="false">Framework!A16</f>
        <v>C4</v>
      </c>
      <c r="B24" s="11" t="str">
        <f aca="false">Framework!B16</f>
        <v>Commercial &amp; Contract</v>
      </c>
      <c r="C24" s="9" t="str">
        <f aca="false">Framework!C16</f>
        <v>Contractor &amp; vendor management</v>
      </c>
      <c r="D24" s="18" t="str">
        <f aca="false">Framework!D16</f>
        <v>Contractor coordination, follow-up, submittal/approval chasing, performance review</v>
      </c>
      <c r="E24" s="19" t="n">
        <f aca="false">IF($C$6="",0,IFERROR(INDEX(Framework!$H$6:$Q$28,MATCH(A24,Framework!$A$6:$A$28,0),MATCH($C$6,Framework!$H$5:$Q$5,0)),0))</f>
        <v>0.06</v>
      </c>
      <c r="F24" s="20" t="n">
        <v>4</v>
      </c>
      <c r="G24" s="20" t="n">
        <v>4</v>
      </c>
      <c r="H24" s="20" t="n">
        <v>4</v>
      </c>
      <c r="I24" s="21" t="n">
        <f aca="false">IF(OR(E24=0,COUNT(F24:H24)=0),"",AVERAGE(F24:H24))</f>
        <v>4</v>
      </c>
      <c r="J24" s="22" t="n">
        <f aca="false">IF(I24="","",I24/5*E24)</f>
        <v>0.048</v>
      </c>
      <c r="K24" s="23" t="str">
        <f aca="false">IF(E24=0,"",IF(OR(E24&gt;=Rating_Scale!$C$20,A24="B6"),"Critical",""))</f>
        <v/>
      </c>
      <c r="L24" s="23" t="str">
        <f aca="false">IF(COUNT(F24:H24)&lt;2,"",IF(MAX(F24:H24)-MIN(F24:H24)&gt;=Rating_Scale!$C$22,"Calibrate","OK"))</f>
        <v>OK</v>
      </c>
      <c r="M24" s="14"/>
    </row>
    <row r="25" customFormat="false" ht="33.75" hidden="false" customHeight="true" outlineLevel="0" collapsed="false">
      <c r="A25" s="17" t="str">
        <f aca="false">Framework!A17</f>
        <v>B1</v>
      </c>
      <c r="B25" s="11" t="str">
        <f aca="false">Framework!B17</f>
        <v>Behavioural</v>
      </c>
      <c r="C25" s="9" t="str">
        <f aca="false">Framework!C17</f>
        <v>Problem solving &amp; decision making</v>
      </c>
      <c r="D25" s="18" t="str">
        <f aca="false">Framework!D17</f>
        <v>Case-based: structured approach, root cause, options, decision under incomplete data</v>
      </c>
      <c r="E25" s="19" t="n">
        <f aca="false">IF($C$6="",0,IFERROR(INDEX(Framework!$H$6:$Q$28,MATCH(A25,Framework!$A$6:$A$28,0),MATCH($C$6,Framework!$H$5:$Q$5,0)),0))</f>
        <v>0.05</v>
      </c>
      <c r="F25" s="20" t="n">
        <v>4</v>
      </c>
      <c r="G25" s="20" t="n">
        <v>3</v>
      </c>
      <c r="H25" s="20" t="n">
        <v>4</v>
      </c>
      <c r="I25" s="21" t="n">
        <f aca="false">IF(OR(E25=0,COUNT(F25:H25)=0),"",AVERAGE(F25:H25))</f>
        <v>3.66666666666667</v>
      </c>
      <c r="J25" s="22" t="n">
        <f aca="false">IF(I25="","",I25/5*E25)</f>
        <v>0.0366666666666667</v>
      </c>
      <c r="K25" s="23" t="str">
        <f aca="false">IF(E25=0,"",IF(OR(E25&gt;=Rating_Scale!$C$20,A25="B6"),"Critical",""))</f>
        <v/>
      </c>
      <c r="L25" s="23" t="str">
        <f aca="false">IF(COUNT(F25:H25)&lt;2,"",IF(MAX(F25:H25)-MIN(F25:H25)&gt;=Rating_Scale!$C$22,"Calibrate","OK"))</f>
        <v>OK</v>
      </c>
      <c r="M25" s="14"/>
    </row>
    <row r="26" customFormat="false" ht="33.75" hidden="false" customHeight="true" outlineLevel="0" collapsed="false">
      <c r="A26" s="17" t="str">
        <f aca="false">Framework!A18</f>
        <v>B2</v>
      </c>
      <c r="B26" s="11" t="str">
        <f aca="false">Framework!B18</f>
        <v>Behavioural</v>
      </c>
      <c r="C26" s="9" t="str">
        <f aca="false">Framework!C18</f>
        <v>Communication</v>
      </c>
      <c r="D26" s="18" t="str">
        <f aca="false">Framework!D18</f>
        <v>Clarity, listening, written English/Gujarati/Hindi, presentation to client</v>
      </c>
      <c r="E26" s="19" t="n">
        <f aca="false">IF($C$6="",0,IFERROR(INDEX(Framework!$H$6:$Q$28,MATCH(A26,Framework!$A$6:$A$28,0),MATCH($C$6,Framework!$H$5:$Q$5,0)),0))</f>
        <v>0.03</v>
      </c>
      <c r="F26" s="20" t="n">
        <v>3</v>
      </c>
      <c r="G26" s="20" t="n">
        <v>3</v>
      </c>
      <c r="H26" s="20" t="n">
        <v>3</v>
      </c>
      <c r="I26" s="21" t="n">
        <f aca="false">IF(OR(E26=0,COUNT(F26:H26)=0),"",AVERAGE(F26:H26))</f>
        <v>3</v>
      </c>
      <c r="J26" s="22" t="n">
        <f aca="false">IF(I26="","",I26/5*E26)</f>
        <v>0.018</v>
      </c>
      <c r="K26" s="23" t="str">
        <f aca="false">IF(E26=0,"",IF(OR(E26&gt;=Rating_Scale!$C$20,A26="B6"),"Critical",""))</f>
        <v/>
      </c>
      <c r="L26" s="23" t="str">
        <f aca="false">IF(COUNT(F26:H26)&lt;2,"",IF(MAX(F26:H26)-MIN(F26:H26)&gt;=Rating_Scale!$C$22,"Calibrate","OK"))</f>
        <v>OK</v>
      </c>
      <c r="M26" s="14"/>
    </row>
    <row r="27" customFormat="false" ht="33.75" hidden="false" customHeight="true" outlineLevel="0" collapsed="false">
      <c r="A27" s="17" t="str">
        <f aca="false">Framework!A19</f>
        <v>B3</v>
      </c>
      <c r="B27" s="11" t="str">
        <f aca="false">Framework!B19</f>
        <v>Behavioural</v>
      </c>
      <c r="C27" s="9" t="str">
        <f aca="false">Framework!C19</f>
        <v>Client &amp; stakeholder handling</v>
      </c>
      <c r="D27" s="18" t="str">
        <f aca="false">Framework!D19</f>
        <v>Managing client expectations, conflicts, escalations, professional conduct</v>
      </c>
      <c r="E27" s="19" t="n">
        <f aca="false">IF($C$6="",0,IFERROR(INDEX(Framework!$H$6:$Q$28,MATCH(A27,Framework!$A$6:$A$28,0),MATCH($C$6,Framework!$H$5:$Q$5,0)),0))</f>
        <v>0.03</v>
      </c>
      <c r="F27" s="20" t="n">
        <v>3</v>
      </c>
      <c r="G27" s="20" t="n">
        <v>4</v>
      </c>
      <c r="H27" s="20" t="n">
        <v>3</v>
      </c>
      <c r="I27" s="21" t="n">
        <f aca="false">IF(OR(E27=0,COUNT(F27:H27)=0),"",AVERAGE(F27:H27))</f>
        <v>3.33333333333333</v>
      </c>
      <c r="J27" s="22" t="n">
        <f aca="false">IF(I27="","",I27/5*E27)</f>
        <v>0.02</v>
      </c>
      <c r="K27" s="23" t="str">
        <f aca="false">IF(E27=0,"",IF(OR(E27&gt;=Rating_Scale!$C$20,A27="B6"),"Critical",""))</f>
        <v/>
      </c>
      <c r="L27" s="23" t="str">
        <f aca="false">IF(COUNT(F27:H27)&lt;2,"",IF(MAX(F27:H27)-MIN(F27:H27)&gt;=Rating_Scale!$C$22,"Calibrate","OK"))</f>
        <v>OK</v>
      </c>
      <c r="M27" s="14"/>
    </row>
    <row r="28" customFormat="false" ht="33.75" hidden="false" customHeight="true" outlineLevel="0" collapsed="false">
      <c r="A28" s="17" t="str">
        <f aca="false">Framework!A20</f>
        <v>B4</v>
      </c>
      <c r="B28" s="11" t="str">
        <f aca="false">Framework!B20</f>
        <v>Behavioural</v>
      </c>
      <c r="C28" s="9" t="str">
        <f aca="false">Framework!C20</f>
        <v>Ownership &amp; accountability</v>
      </c>
      <c r="D28" s="18" t="str">
        <f aca="false">Framework!D20</f>
        <v>Examples of owning outcomes, follow-through, admitting mistakes</v>
      </c>
      <c r="E28" s="19" t="n">
        <f aca="false">IF($C$6="",0,IFERROR(INDEX(Framework!$H$6:$Q$28,MATCH(A28,Framework!$A$6:$A$28,0),MATCH($C$6,Framework!$H$5:$Q$5,0)),0))</f>
        <v>0.04</v>
      </c>
      <c r="F28" s="20" t="n">
        <v>4</v>
      </c>
      <c r="G28" s="20" t="n">
        <v>4</v>
      </c>
      <c r="H28" s="20" t="n">
        <v>4</v>
      </c>
      <c r="I28" s="21" t="n">
        <f aca="false">IF(OR(E28=0,COUNT(F28:H28)=0),"",AVERAGE(F28:H28))</f>
        <v>4</v>
      </c>
      <c r="J28" s="22" t="n">
        <f aca="false">IF(I28="","",I28/5*E28)</f>
        <v>0.032</v>
      </c>
      <c r="K28" s="23" t="str">
        <f aca="false">IF(E28=0,"",IF(OR(E28&gt;=Rating_Scale!$C$20,A28="B6"),"Critical",""))</f>
        <v/>
      </c>
      <c r="L28" s="23" t="str">
        <f aca="false">IF(COUNT(F28:H28)&lt;2,"",IF(MAX(F28:H28)-MIN(F28:H28)&gt;=Rating_Scale!$C$22,"Calibrate","OK"))</f>
        <v>OK</v>
      </c>
      <c r="M28" s="14"/>
    </row>
    <row r="29" customFormat="false" ht="33.75" hidden="false" customHeight="true" outlineLevel="0" collapsed="false">
      <c r="A29" s="17" t="str">
        <f aca="false">Framework!A21</f>
        <v>B5</v>
      </c>
      <c r="B29" s="11" t="str">
        <f aca="false">Framework!B21</f>
        <v>Behavioural</v>
      </c>
      <c r="C29" s="9" t="str">
        <f aca="false">Framework!C21</f>
        <v>Teamwork &amp; collaboration</v>
      </c>
      <c r="D29" s="18" t="str">
        <f aca="false">Framework!D21</f>
        <v>Working with other disciplines, sharing information, supporting colleagues</v>
      </c>
      <c r="E29" s="19" t="n">
        <f aca="false">IF($C$6="",0,IFERROR(INDEX(Framework!$H$6:$Q$28,MATCH(A29,Framework!$A$6:$A$28,0),MATCH($C$6,Framework!$H$5:$Q$5,0)),0))</f>
        <v>0.02</v>
      </c>
      <c r="F29" s="20" t="n">
        <v>3</v>
      </c>
      <c r="G29" s="20" t="n">
        <v>3</v>
      </c>
      <c r="H29" s="20" t="n">
        <v>3</v>
      </c>
      <c r="I29" s="21" t="n">
        <f aca="false">IF(OR(E29=0,COUNT(F29:H29)=0),"",AVERAGE(F29:H29))</f>
        <v>3</v>
      </c>
      <c r="J29" s="22" t="n">
        <f aca="false">IF(I29="","",I29/5*E29)</f>
        <v>0.012</v>
      </c>
      <c r="K29" s="23" t="str">
        <f aca="false">IF(E29=0,"",IF(OR(E29&gt;=Rating_Scale!$C$20,A29="B6"),"Critical",""))</f>
        <v/>
      </c>
      <c r="L29" s="23" t="str">
        <f aca="false">IF(COUNT(F29:H29)&lt;2,"",IF(MAX(F29:H29)-MIN(F29:H29)&gt;=Rating_Scale!$C$22,"Calibrate","OK"))</f>
        <v>OK</v>
      </c>
      <c r="M29" s="14"/>
    </row>
    <row r="30" customFormat="false" ht="33.75" hidden="false" customHeight="true" outlineLevel="0" collapsed="false">
      <c r="A30" s="17" t="str">
        <f aca="false">Framework!A22</f>
        <v>B6</v>
      </c>
      <c r="B30" s="11" t="str">
        <f aca="false">Framework!B22</f>
        <v>Behavioural</v>
      </c>
      <c r="C30" s="9" t="str">
        <f aca="false">Framework!C22</f>
        <v>Integrity &amp; ethics</v>
      </c>
      <c r="D30" s="18" t="str">
        <f aca="false">Framework!D22</f>
        <v>Honesty in examples, stance on vendor favours, measurement/quality compromise scenarios</v>
      </c>
      <c r="E30" s="19" t="n">
        <f aca="false">IF($C$6="",0,IFERROR(INDEX(Framework!$H$6:$Q$28,MATCH(A30,Framework!$A$6:$A$28,0),MATCH($C$6,Framework!$H$5:$Q$5,0)),0))</f>
        <v>0.05</v>
      </c>
      <c r="F30" s="20" t="n">
        <v>5</v>
      </c>
      <c r="G30" s="20" t="n">
        <v>4</v>
      </c>
      <c r="H30" s="20" t="n">
        <v>4</v>
      </c>
      <c r="I30" s="21" t="n">
        <f aca="false">IF(OR(E30=0,COUNT(F30:H30)=0),"",AVERAGE(F30:H30))</f>
        <v>4.33333333333333</v>
      </c>
      <c r="J30" s="22" t="n">
        <f aca="false">IF(I30="","",I30/5*E30)</f>
        <v>0.0433333333333333</v>
      </c>
      <c r="K30" s="23" t="str">
        <f aca="false">IF(E30=0,"",IF(OR(E30&gt;=Rating_Scale!$C$20,A30="B6"),"Critical",""))</f>
        <v>Critical</v>
      </c>
      <c r="L30" s="23" t="str">
        <f aca="false">IF(COUNT(F30:H30)&lt;2,"",IF(MAX(F30:H30)-MIN(F30:H30)&gt;=Rating_Scale!$C$22,"Calibrate","OK"))</f>
        <v>OK</v>
      </c>
      <c r="M30" s="14"/>
    </row>
    <row r="31" customFormat="false" ht="33.75" hidden="false" customHeight="true" outlineLevel="0" collapsed="false">
      <c r="A31" s="17" t="str">
        <f aca="false">Framework!A23</f>
        <v>B7</v>
      </c>
      <c r="B31" s="11" t="str">
        <f aca="false">Framework!B23</f>
        <v>Behavioural</v>
      </c>
      <c r="C31" s="9" t="str">
        <f aca="false">Framework!C23</f>
        <v>Pressure handling &amp; adaptability</v>
      </c>
      <c r="D31" s="18" t="str">
        <f aca="false">Framework!D23</f>
        <v>Deadlines, changing priorities, site crises, night work, learning new systems</v>
      </c>
      <c r="E31" s="19" t="n">
        <f aca="false">IF($C$6="",0,IFERROR(INDEX(Framework!$H$6:$Q$28,MATCH(A31,Framework!$A$6:$A$28,0),MATCH($C$6,Framework!$H$5:$Q$5,0)),0))</f>
        <v>0.03</v>
      </c>
      <c r="F31" s="20" t="n">
        <v>4</v>
      </c>
      <c r="G31" s="20" t="n">
        <v>4</v>
      </c>
      <c r="H31" s="20" t="n">
        <v>3</v>
      </c>
      <c r="I31" s="21" t="n">
        <f aca="false">IF(OR(E31=0,COUNT(F31:H31)=0),"",AVERAGE(F31:H31))</f>
        <v>3.66666666666667</v>
      </c>
      <c r="J31" s="22" t="n">
        <f aca="false">IF(I31="","",I31/5*E31)</f>
        <v>0.022</v>
      </c>
      <c r="K31" s="23" t="str">
        <f aca="false">IF(E31=0,"",IF(OR(E31&gt;=Rating_Scale!$C$20,A31="B6"),"Critical",""))</f>
        <v/>
      </c>
      <c r="L31" s="23" t="str">
        <f aca="false">IF(COUNT(F31:H31)&lt;2,"",IF(MAX(F31:H31)-MIN(F31:H31)&gt;=Rating_Scale!$C$22,"Calibrate","OK"))</f>
        <v>OK</v>
      </c>
      <c r="M31" s="14"/>
    </row>
    <row r="32" customFormat="false" ht="33.75" hidden="false" customHeight="true" outlineLevel="0" collapsed="false">
      <c r="A32" s="17" t="str">
        <f aca="false">Framework!A24</f>
        <v>L1</v>
      </c>
      <c r="B32" s="11" t="str">
        <f aca="false">Framework!B24</f>
        <v>Leadership</v>
      </c>
      <c r="C32" s="9" t="str">
        <f aca="false">Framework!C24</f>
        <v>Team leadership &amp; people management</v>
      </c>
      <c r="D32" s="18" t="str">
        <f aca="false">Framework!D24</f>
        <v>Leading engineers/supervisors, delegation, mentoring, performance feedback</v>
      </c>
      <c r="E32" s="19" t="n">
        <f aca="false">IF($C$6="",0,IFERROR(INDEX(Framework!$H$6:$Q$28,MATCH(A32,Framework!$A$6:$A$28,0),MATCH($C$6,Framework!$H$5:$Q$5,0)),0))</f>
        <v>0.04</v>
      </c>
      <c r="F32" s="20" t="n">
        <v>3</v>
      </c>
      <c r="G32" s="20" t="n">
        <v>3</v>
      </c>
      <c r="H32" s="20" t="n">
        <v>4</v>
      </c>
      <c r="I32" s="21" t="n">
        <f aca="false">IF(OR(E32=0,COUNT(F32:H32)=0),"",AVERAGE(F32:H32))</f>
        <v>3.33333333333333</v>
      </c>
      <c r="J32" s="22" t="n">
        <f aca="false">IF(I32="","",I32/5*E32)</f>
        <v>0.0266666666666667</v>
      </c>
      <c r="K32" s="23" t="str">
        <f aca="false">IF(E32=0,"",IF(OR(E32&gt;=Rating_Scale!$C$20,A32="B6"),"Critical",""))</f>
        <v/>
      </c>
      <c r="L32" s="23" t="str">
        <f aca="false">IF(COUNT(F32:H32)&lt;2,"",IF(MAX(F32:H32)-MIN(F32:H32)&gt;=Rating_Scale!$C$22,"Calibrate","OK"))</f>
        <v>OK</v>
      </c>
      <c r="M32" s="14"/>
    </row>
    <row r="33" customFormat="false" ht="33.75" hidden="false" customHeight="true" outlineLevel="0" collapsed="false">
      <c r="A33" s="17" t="str">
        <f aca="false">Framework!A25</f>
        <v>L2</v>
      </c>
      <c r="B33" s="11" t="str">
        <f aca="false">Framework!B25</f>
        <v>Leadership</v>
      </c>
      <c r="C33" s="9" t="str">
        <f aca="false">Framework!C25</f>
        <v>Strategic thinking &amp; foresight</v>
      </c>
      <c r="D33" s="18" t="str">
        <f aca="false">Framework!D25</f>
        <v>Project-level view, risk anticipation, planning ahead of client needs</v>
      </c>
      <c r="E33" s="19" t="n">
        <f aca="false">IF($C$6="",0,IFERROR(INDEX(Framework!$H$6:$Q$28,MATCH(A33,Framework!$A$6:$A$28,0),MATCH($C$6,Framework!$H$5:$Q$5,0)),0))</f>
        <v>0</v>
      </c>
      <c r="F33" s="20"/>
      <c r="G33" s="20"/>
      <c r="H33" s="20"/>
      <c r="I33" s="21" t="str">
        <f aca="false">IF(OR(E33=0,COUNT(F33:H33)=0),"",AVERAGE(F33:H33))</f>
        <v/>
      </c>
      <c r="J33" s="22" t="str">
        <f aca="false">IF(I33="","",I33/5*E33)</f>
        <v/>
      </c>
      <c r="K33" s="23" t="str">
        <f aca="false">IF(E33=0,"",IF(OR(E33&gt;=Rating_Scale!$C$20,A33="B6"),"Critical",""))</f>
        <v/>
      </c>
      <c r="L33" s="23" t="str">
        <f aca="false">IF(COUNT(F33:H33)&lt;2,"",IF(MAX(F33:H33)-MIN(F33:H33)&gt;=Rating_Scale!$C$22,"Calibrate","OK"))</f>
        <v/>
      </c>
      <c r="M33" s="14"/>
    </row>
    <row r="34" customFormat="false" ht="33.75" hidden="false" customHeight="true" outlineLevel="0" collapsed="false">
      <c r="A34" s="17" t="str">
        <f aca="false">Framework!A26</f>
        <v>F1</v>
      </c>
      <c r="B34" s="11" t="str">
        <f aca="false">Framework!B26</f>
        <v>Fit &amp; Motivation</v>
      </c>
      <c r="C34" s="9" t="str">
        <f aca="false">Framework!C26</f>
        <v>Career stability &amp; motivation</v>
      </c>
      <c r="D34" s="18" t="str">
        <f aca="false">Framework!D26</f>
        <v>Tenure pattern, reasons for change, genuine interest in PMC career</v>
      </c>
      <c r="E34" s="19" t="n">
        <f aca="false">IF($C$6="",0,IFERROR(INDEX(Framework!$H$6:$Q$28,MATCH(A34,Framework!$A$6:$A$28,0),MATCH($C$6,Framework!$H$5:$Q$5,0)),0))</f>
        <v>0.01</v>
      </c>
      <c r="F34" s="20" t="n">
        <v>4</v>
      </c>
      <c r="G34" s="20" t="n">
        <v>4</v>
      </c>
      <c r="H34" s="20" t="n">
        <v>4</v>
      </c>
      <c r="I34" s="21" t="n">
        <f aca="false">IF(OR(E34=0,COUNT(F34:H34)=0),"",AVERAGE(F34:H34))</f>
        <v>4</v>
      </c>
      <c r="J34" s="22" t="n">
        <f aca="false">IF(I34="","",I34/5*E34)</f>
        <v>0.008</v>
      </c>
      <c r="K34" s="23" t="str">
        <f aca="false">IF(E34=0,"",IF(OR(E34&gt;=Rating_Scale!$C$20,A34="B6"),"Critical",""))</f>
        <v/>
      </c>
      <c r="L34" s="23" t="str">
        <f aca="false">IF(COUNT(F34:H34)&lt;2,"",IF(MAX(F34:H34)-MIN(F34:H34)&gt;=Rating_Scale!$C$22,"Calibrate","OK"))</f>
        <v>OK</v>
      </c>
      <c r="M34" s="14"/>
    </row>
    <row r="35" customFormat="false" ht="33.75" hidden="false" customHeight="true" outlineLevel="0" collapsed="false">
      <c r="A35" s="17" t="str">
        <f aca="false">Framework!A27</f>
        <v>F2</v>
      </c>
      <c r="B35" s="11" t="str">
        <f aca="false">Framework!B27</f>
        <v>Fit &amp; Motivation</v>
      </c>
      <c r="C35" s="9" t="str">
        <f aca="false">Framework!C27</f>
        <v>Culture fit (SPDC values)</v>
      </c>
      <c r="D35" s="18" t="str">
        <f aca="false">Framework!D27</f>
        <v>Discipline, client-first attitude, learning mindset, alignment with SPDC way of working</v>
      </c>
      <c r="E35" s="19" t="n">
        <f aca="false">IF($C$6="",0,IFERROR(INDEX(Framework!$H$6:$Q$28,MATCH(A35,Framework!$A$6:$A$28,0),MATCH($C$6,Framework!$H$5:$Q$5,0)),0))</f>
        <v>0.01</v>
      </c>
      <c r="F35" s="20" t="n">
        <v>4</v>
      </c>
      <c r="G35" s="20" t="n">
        <v>3</v>
      </c>
      <c r="H35" s="20" t="n">
        <v>4</v>
      </c>
      <c r="I35" s="21" t="n">
        <f aca="false">IF(OR(E35=0,COUNT(F35:H35)=0),"",AVERAGE(F35:H35))</f>
        <v>3.66666666666667</v>
      </c>
      <c r="J35" s="22" t="n">
        <f aca="false">IF(I35="","",I35/5*E35)</f>
        <v>0.00733333333333333</v>
      </c>
      <c r="K35" s="23" t="str">
        <f aca="false">IF(E35=0,"",IF(OR(E35&gt;=Rating_Scale!$C$20,A35="B6"),"Critical",""))</f>
        <v/>
      </c>
      <c r="L35" s="23" t="str">
        <f aca="false">IF(COUNT(F35:H35)&lt;2,"",IF(MAX(F35:H35)-MIN(F35:H35)&gt;=Rating_Scale!$C$22,"Calibrate","OK"))</f>
        <v>OK</v>
      </c>
      <c r="M35" s="14"/>
    </row>
    <row r="36" customFormat="false" ht="33.75" hidden="false" customHeight="true" outlineLevel="0" collapsed="false">
      <c r="A36" s="17" t="str">
        <f aca="false">Framework!A28</f>
        <v>F3</v>
      </c>
      <c r="B36" s="11" t="str">
        <f aca="false">Framework!B28</f>
        <v>Fit &amp; Motivation</v>
      </c>
      <c r="C36" s="9" t="str">
        <f aca="false">Framework!C28</f>
        <v>Site / travel readiness</v>
      </c>
      <c r="D36" s="18" t="str">
        <f aca="false">Framework!D28</f>
        <v>Willingness to relocate, site posting, travel, availability</v>
      </c>
      <c r="E36" s="19" t="n">
        <f aca="false">IF($C$6="",0,IFERROR(INDEX(Framework!$H$6:$Q$28,MATCH(A36,Framework!$A$6:$A$28,0),MATCH($C$6,Framework!$H$5:$Q$5,0)),0))</f>
        <v>0.02</v>
      </c>
      <c r="F36" s="20" t="n">
        <v>5</v>
      </c>
      <c r="G36" s="20" t="n">
        <v>5</v>
      </c>
      <c r="H36" s="20" t="n">
        <v>4</v>
      </c>
      <c r="I36" s="21" t="n">
        <f aca="false">IF(OR(E36=0,COUNT(F36:H36)=0),"",AVERAGE(F36:H36))</f>
        <v>4.66666666666667</v>
      </c>
      <c r="J36" s="22" t="n">
        <f aca="false">IF(I36="","",I36/5*E36)</f>
        <v>0.0186666666666667</v>
      </c>
      <c r="K36" s="23" t="str">
        <f aca="false">IF(E36=0,"",IF(OR(E36&gt;=Rating_Scale!$C$20,A36="B6"),"Critical",""))</f>
        <v/>
      </c>
      <c r="L36" s="23" t="str">
        <f aca="false">IF(COUNT(F36:H36)&lt;2,"",IF(MAX(F36:H36)-MIN(F36:H36)&gt;=Rating_Scale!$C$22,"Calibrate","OK"))</f>
        <v>OK</v>
      </c>
      <c r="M36" s="14"/>
    </row>
    <row r="37" customFormat="false" ht="15" hidden="false" customHeight="true" outlineLevel="0" collapsed="false">
      <c r="A37" s="24" t="s">
        <v>78</v>
      </c>
      <c r="B37" s="24"/>
      <c r="C37" s="24"/>
      <c r="D37" s="24"/>
      <c r="E37" s="25" t="n">
        <f aca="false">SUM(E14:E36)</f>
        <v>1</v>
      </c>
      <c r="F37" s="26"/>
      <c r="G37" s="26"/>
      <c r="H37" s="26"/>
      <c r="I37" s="26"/>
      <c r="J37" s="27" t="n">
        <f aca="false">SUM(J14:J36)</f>
        <v>0.729333333333333</v>
      </c>
      <c r="K37" s="26"/>
      <c r="L37" s="26"/>
      <c r="M37" s="26"/>
    </row>
    <row r="39" customFormat="false" ht="15" hidden="false" customHeight="true" outlineLevel="0" collapsed="false">
      <c r="A39" s="15" t="s">
        <v>79</v>
      </c>
      <c r="B39" s="15"/>
      <c r="C39" s="15"/>
      <c r="D39" s="15"/>
      <c r="F39" s="15" t="s">
        <v>80</v>
      </c>
      <c r="G39" s="15"/>
      <c r="H39" s="15"/>
      <c r="I39" s="15"/>
    </row>
    <row r="40" customFormat="false" ht="19.5" hidden="false" customHeight="true" outlineLevel="0" collapsed="false">
      <c r="A40" s="13" t="s">
        <v>81</v>
      </c>
      <c r="B40" s="13"/>
      <c r="C40" s="28" t="n">
        <f aca="false">COUNTIF(E14:E36,"&gt;0")</f>
        <v>22</v>
      </c>
      <c r="D40" s="28"/>
      <c r="F40" s="16" t="s">
        <v>65</v>
      </c>
      <c r="G40" s="16"/>
      <c r="H40" s="16" t="s">
        <v>68</v>
      </c>
      <c r="I40" s="16" t="s">
        <v>82</v>
      </c>
    </row>
    <row r="41" customFormat="false" ht="19.5" hidden="false" customHeight="true" outlineLevel="0" collapsed="false">
      <c r="A41" s="13" t="s">
        <v>83</v>
      </c>
      <c r="B41" s="13"/>
      <c r="C41" s="28" t="n">
        <f aca="false">COUNT(I14:I36)</f>
        <v>22</v>
      </c>
      <c r="D41" s="28"/>
      <c r="F41" s="13" t="s">
        <v>84</v>
      </c>
      <c r="G41" s="13"/>
      <c r="H41" s="19" t="n">
        <f aca="false">SUMIF($B$14:$B$36,F41,$E$14:$E$36)</f>
        <v>0.51</v>
      </c>
      <c r="I41" s="29" t="n">
        <f aca="false">IFERROR(SUMIF($B$14:$B$36,F41,$J$14:$J$36)/SUMPRODUCT(($B$14:$B$36=F41)*($I$14:$I$36&lt;&gt;"")*$E$14:$E$36),0)</f>
        <v>0.737254901960784</v>
      </c>
    </row>
    <row r="42" customFormat="false" ht="19.5" hidden="false" customHeight="true" outlineLevel="0" collapsed="false">
      <c r="A42" s="13" t="s">
        <v>85</v>
      </c>
      <c r="B42" s="13"/>
      <c r="C42" s="30" t="n">
        <f aca="false">SUMPRODUCT((I14:I36&lt;&gt;"")*E14:E36)</f>
        <v>1</v>
      </c>
      <c r="D42" s="30"/>
      <c r="F42" s="13" t="s">
        <v>86</v>
      </c>
      <c r="G42" s="13"/>
      <c r="H42" s="19" t="n">
        <f aca="false">SUMIF($B$14:$B$36,F42,$E$14:$E$36)</f>
        <v>0.16</v>
      </c>
      <c r="I42" s="29" t="n">
        <f aca="false">IFERROR(SUMIF($B$14:$B$36,F42,$J$14:$J$36)/SUMPRODUCT(($B$14:$B$36=F42)*($I$14:$I$36&lt;&gt;"")*$E$14:$E$36),0)</f>
        <v>0.679166666666667</v>
      </c>
    </row>
    <row r="43" customFormat="false" ht="19.5" hidden="false" customHeight="true" outlineLevel="0" collapsed="false">
      <c r="A43" s="13" t="s">
        <v>87</v>
      </c>
      <c r="B43" s="13"/>
      <c r="C43" s="31" t="n">
        <f aca="false">IFERROR(J37/C42,0)</f>
        <v>0.729333333333333</v>
      </c>
      <c r="D43" s="31"/>
      <c r="F43" s="13" t="s">
        <v>88</v>
      </c>
      <c r="G43" s="13"/>
      <c r="H43" s="19" t="n">
        <f aca="false">SUMIF($B$14:$B$36,F43,$E$14:$E$36)</f>
        <v>0.25</v>
      </c>
      <c r="I43" s="29" t="n">
        <f aca="false">IFERROR(SUMIF($B$14:$B$36,F43,$J$14:$J$36)/SUMPRODUCT(($B$14:$B$36=F43)*($I$14:$I$36&lt;&gt;"")*$E$14:$E$36),0)</f>
        <v>0.736</v>
      </c>
    </row>
    <row r="44" customFormat="false" ht="19.5" hidden="false" customHeight="true" outlineLevel="0" collapsed="false">
      <c r="A44" s="13" t="s">
        <v>89</v>
      </c>
      <c r="B44" s="13"/>
      <c r="C44" s="28" t="n">
        <f aca="false">COUNTIFS(K14:K36,"Critical",I14:I36,"&lt;"&amp;Rating_Scale!$C$21)</f>
        <v>0</v>
      </c>
      <c r="D44" s="28"/>
      <c r="F44" s="13" t="s">
        <v>90</v>
      </c>
      <c r="G44" s="13"/>
      <c r="H44" s="19" t="n">
        <f aca="false">SUMIF($B$14:$B$36,F44,$E$14:$E$36)</f>
        <v>0.04</v>
      </c>
      <c r="I44" s="29" t="n">
        <f aca="false">IFERROR(SUMIF($B$14:$B$36,F44,$J$14:$J$36)/SUMPRODUCT(($B$14:$B$36=F44)*($I$14:$I$36&lt;&gt;"")*$E$14:$E$36),0)</f>
        <v>0.666666666666667</v>
      </c>
    </row>
    <row r="45" customFormat="false" ht="19.5" hidden="false" customHeight="true" outlineLevel="0" collapsed="false">
      <c r="A45" s="13" t="s">
        <v>91</v>
      </c>
      <c r="B45" s="13"/>
      <c r="C45" s="28" t="n">
        <f aca="false">COUNTIF(L14:L36,"Calibrate")</f>
        <v>0</v>
      </c>
      <c r="D45" s="28"/>
      <c r="F45" s="13" t="s">
        <v>92</v>
      </c>
      <c r="G45" s="13"/>
      <c r="H45" s="19" t="n">
        <f aca="false">SUMIF($B$14:$B$36,F45,$E$14:$E$36)</f>
        <v>0.04</v>
      </c>
      <c r="I45" s="29" t="n">
        <f aca="false">IFERROR(SUMIF($B$14:$B$36,F45,$J$14:$J$36)/SUMPRODUCT(($B$14:$B$36=F45)*($I$14:$I$36&lt;&gt;"")*$E$14:$E$36),0)</f>
        <v>0.85</v>
      </c>
    </row>
    <row r="46" customFormat="false" ht="19.5" hidden="false" customHeight="true" outlineLevel="0" collapsed="false">
      <c r="A46" s="13" t="s">
        <v>93</v>
      </c>
      <c r="B46" s="13"/>
      <c r="C46" s="32" t="str">
        <f aca="false">IF(C41=0,"Not started",IF(C41&lt;C40,"Incomplete – "&amp;(C40-C41)&amp;" parameter(s) not scored","Complete"))</f>
        <v>Complete</v>
      </c>
      <c r="D46" s="32"/>
    </row>
    <row r="47" customFormat="false" ht="19.5" hidden="false" customHeight="true" outlineLevel="0" collapsed="false">
      <c r="A47" s="13" t="s">
        <v>94</v>
      </c>
      <c r="B47" s="13"/>
      <c r="C47" s="33" t="str">
        <f aca="false">IF(C41=0,"",IF(C43&gt;=Rating_Scale!$C$13,"A",IF(C43&gt;=Rating_Scale!$C$14,"B",IF(C43&gt;=Rating_Scale!$C$15,"C","D"))))</f>
        <v>C</v>
      </c>
      <c r="D47" s="33"/>
    </row>
    <row r="48" customFormat="false" ht="19.5" hidden="false" customHeight="true" outlineLevel="0" collapsed="false">
      <c r="A48" s="13" t="s">
        <v>95</v>
      </c>
      <c r="B48" s="13"/>
      <c r="C48" s="33" t="str">
        <f aca="false">IF(C41=0,"Pending",IF(C44&gt;0,"NOT RECOMMENDED – critical parameter below knock-out",INDEX(Rating_Scale!$D$13:$D$16,MATCH(C47,Rating_Scale!$B$13:$B$16,0))))</f>
        <v>Hold / Consider for lower grade</v>
      </c>
      <c r="D48" s="33"/>
    </row>
    <row r="53" customFormat="false" ht="15" hidden="false" customHeight="true" outlineLevel="0" collapsed="false">
      <c r="A53" s="15" t="s">
        <v>96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customFormat="false" ht="30" hidden="false" customHeight="true" outlineLevel="0" collapsed="false">
      <c r="A54" s="13" t="s">
        <v>97</v>
      </c>
      <c r="B54" s="13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customFormat="false" ht="30" hidden="false" customHeight="true" outlineLevel="0" collapsed="false">
      <c r="A55" s="13" t="s">
        <v>98</v>
      </c>
      <c r="B55" s="13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customFormat="false" ht="30" hidden="false" customHeight="true" outlineLevel="0" collapsed="false">
      <c r="A56" s="13" t="s">
        <v>99</v>
      </c>
      <c r="B56" s="13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8" customFormat="false" ht="15" hidden="false" customHeight="true" outlineLevel="0" collapsed="false">
      <c r="A58" s="15" t="s">
        <v>100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customFormat="false" ht="15" hidden="false" customHeight="true" outlineLevel="0" collapsed="false">
      <c r="A59" s="34" t="s">
        <v>101</v>
      </c>
      <c r="B59" s="34"/>
      <c r="C59" s="34"/>
      <c r="D59" s="35" t="s">
        <v>102</v>
      </c>
      <c r="E59" s="34" t="s">
        <v>103</v>
      </c>
      <c r="F59" s="34"/>
      <c r="G59" s="34"/>
      <c r="H59" s="34"/>
      <c r="I59" s="34"/>
      <c r="J59" s="34" t="s">
        <v>104</v>
      </c>
      <c r="K59" s="34"/>
      <c r="L59" s="34" t="s">
        <v>105</v>
      </c>
      <c r="M59" s="34"/>
    </row>
    <row r="60" customFormat="false" ht="36" hidden="false" customHeight="true" outlineLevel="0" collapsed="false">
      <c r="A60" s="36" t="s">
        <v>106</v>
      </c>
      <c r="B60" s="36"/>
      <c r="C60" s="36"/>
      <c r="D60" s="18" t="s">
        <v>106</v>
      </c>
      <c r="E60" s="36" t="s">
        <v>106</v>
      </c>
      <c r="F60" s="36"/>
      <c r="G60" s="36"/>
      <c r="H60" s="36"/>
      <c r="I60" s="36"/>
      <c r="J60" s="36" t="s">
        <v>106</v>
      </c>
      <c r="K60" s="36"/>
      <c r="L60" s="36" t="s">
        <v>106</v>
      </c>
      <c r="M60" s="36"/>
    </row>
  </sheetData>
  <mergeCells count="59">
    <mergeCell ref="A1:M1"/>
    <mergeCell ref="A2:M2"/>
    <mergeCell ref="A3:M3"/>
    <mergeCell ref="C5:D5"/>
    <mergeCell ref="I5:L5"/>
    <mergeCell ref="C6:D6"/>
    <mergeCell ref="I6:L6"/>
    <mergeCell ref="C7:D7"/>
    <mergeCell ref="I7:L7"/>
    <mergeCell ref="C8:D8"/>
    <mergeCell ref="I8:L8"/>
    <mergeCell ref="C9:D9"/>
    <mergeCell ref="I9:L9"/>
    <mergeCell ref="C10:D10"/>
    <mergeCell ref="I10:L10"/>
    <mergeCell ref="F12:H12"/>
    <mergeCell ref="A37:D37"/>
    <mergeCell ref="A39:D39"/>
    <mergeCell ref="F39:I39"/>
    <mergeCell ref="A40:B40"/>
    <mergeCell ref="C40:D40"/>
    <mergeCell ref="F40:G40"/>
    <mergeCell ref="A41:B41"/>
    <mergeCell ref="C41:D41"/>
    <mergeCell ref="F41:G41"/>
    <mergeCell ref="A42:B42"/>
    <mergeCell ref="C42:D42"/>
    <mergeCell ref="F42:G42"/>
    <mergeCell ref="A43:B43"/>
    <mergeCell ref="C43:D43"/>
    <mergeCell ref="F43:G43"/>
    <mergeCell ref="A44:B44"/>
    <mergeCell ref="C44:D44"/>
    <mergeCell ref="F44:G44"/>
    <mergeCell ref="A45:B45"/>
    <mergeCell ref="C45:D45"/>
    <mergeCell ref="F45:G45"/>
    <mergeCell ref="A46:B46"/>
    <mergeCell ref="C46:D46"/>
    <mergeCell ref="A47:B47"/>
    <mergeCell ref="C47:D47"/>
    <mergeCell ref="A48:B48"/>
    <mergeCell ref="C48:D48"/>
    <mergeCell ref="A53:M53"/>
    <mergeCell ref="A54:C54"/>
    <mergeCell ref="D54:M54"/>
    <mergeCell ref="A55:C55"/>
    <mergeCell ref="D55:M55"/>
    <mergeCell ref="A56:C56"/>
    <mergeCell ref="D56:M56"/>
    <mergeCell ref="A58:M58"/>
    <mergeCell ref="A59:C59"/>
    <mergeCell ref="E59:I59"/>
    <mergeCell ref="J59:K59"/>
    <mergeCell ref="L59:M59"/>
    <mergeCell ref="A60:C60"/>
    <mergeCell ref="E60:I60"/>
    <mergeCell ref="J60:K60"/>
    <mergeCell ref="L60:M60"/>
  </mergeCells>
  <conditionalFormatting sqref="A14:M36">
    <cfRule type="expression" priority="2" aboveAverage="0" equalAverage="0" bottom="0" percent="0" rank="0" text="" dxfId="0">
      <formula>$E14=0</formula>
    </cfRule>
  </conditionalFormatting>
  <conditionalFormatting sqref="K14:K36">
    <cfRule type="cellIs" priority="3" operator="equal" aboveAverage="0" equalAverage="0" bottom="0" percent="0" rank="0" text="" dxfId="1">
      <formula>"Critical"</formula>
    </cfRule>
  </conditionalFormatting>
  <conditionalFormatting sqref="L14:L36">
    <cfRule type="cellIs" priority="4" operator="equal" aboveAverage="0" equalAverage="0" bottom="0" percent="0" rank="0" text="" dxfId="2">
      <formula>"Calibrate"</formula>
    </cfRule>
  </conditionalFormatting>
  <conditionalFormatting sqref="I14:I36">
    <cfRule type="expression" priority="5" aboveAverage="0" equalAverage="0" bottom="0" percent="0" rank="0" text="" dxfId="3">
      <formula>AND(ISNUMBER($I14),$K14="Critical",$I14&lt;Rating_Scale!$C$21)</formula>
    </cfRule>
  </conditionalFormatting>
  <conditionalFormatting sqref="C48">
    <cfRule type="expression" priority="6" aboveAverage="0" equalAverage="0" bottom="0" percent="0" rank="0" text="" dxfId="3">
      <formula>LEFT(C48,3)="NOT"</formula>
    </cfRule>
    <cfRule type="expression" priority="7" aboveAverage="0" equalAverage="0" bottom="0" percent="0" rank="0" text="" dxfId="4">
      <formula>OR(C47="A",C47="B")</formula>
    </cfRule>
    <cfRule type="expression" priority="8" aboveAverage="0" equalAverage="0" bottom="0" percent="0" rank="0" text="" dxfId="5">
      <formula>C47="C"</formula>
    </cfRule>
  </conditionalFormatting>
  <dataValidations count="3">
    <dataValidation allowBlank="true" errorStyle="stop" operator="between" showDropDown="false" showErrorMessage="false" showInputMessage="false" sqref="C6" type="list">
      <formula1>Framework!$H$5:$Q$5</formula1>
      <formula2>0</formula2>
    </dataValidation>
    <dataValidation allowBlank="true" errorStyle="stop" operator="between" showDropDown="false" showErrorMessage="false" showInputMessage="false" sqref="C7" type="list">
      <formula1>"R1 – HR Screening,R2 – Technical,R3 – Management"</formula1>
      <formula2>0</formula2>
    </dataValidation>
    <dataValidation allowBlank="true" error="Enter a whole number from 1 to 5" errorStyle="stop" errorTitle="Invalid score" operator="between" showDropDown="false" showErrorMessage="true" showInputMessage="false" sqref="F14:H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&amp;L&amp;"Arial,Regular"SPDC/HR/F-INT-01  Rev R0&amp;R&amp;"Arial,Regular"Page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6"/>
    <col collapsed="false" customWidth="true" hidden="false" outlineLevel="0" max="4" min="4" style="1" width="36"/>
    <col collapsed="false" customWidth="true" hidden="false" outlineLevel="0" max="7" min="5" style="1" width="26"/>
    <col collapsed="false" customWidth="true" hidden="false" outlineLevel="0" max="17" min="8" style="1" width="1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A2" s="3" t="s">
        <v>107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4" t="s">
        <v>108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H4" s="15" t="s">
        <v>109</v>
      </c>
      <c r="I4" s="15"/>
      <c r="J4" s="15"/>
      <c r="K4" s="15"/>
      <c r="L4" s="15"/>
      <c r="M4" s="15"/>
      <c r="N4" s="15"/>
      <c r="O4" s="15"/>
      <c r="P4" s="15"/>
      <c r="Q4" s="15"/>
    </row>
    <row r="5" customFormat="false" ht="42" hidden="false" customHeight="true" outlineLevel="0" collapsed="false">
      <c r="A5" s="16" t="s">
        <v>64</v>
      </c>
      <c r="B5" s="16" t="s">
        <v>65</v>
      </c>
      <c r="C5" s="16" t="s">
        <v>66</v>
      </c>
      <c r="D5" s="16" t="s">
        <v>110</v>
      </c>
      <c r="E5" s="16" t="s">
        <v>111</v>
      </c>
      <c r="F5" s="16" t="s">
        <v>112</v>
      </c>
      <c r="G5" s="16" t="s">
        <v>113</v>
      </c>
      <c r="H5" s="16" t="s">
        <v>114</v>
      </c>
      <c r="I5" s="16" t="s">
        <v>115</v>
      </c>
      <c r="J5" s="16" t="s">
        <v>116</v>
      </c>
      <c r="K5" s="16" t="s">
        <v>117</v>
      </c>
      <c r="L5" s="16" t="s">
        <v>50</v>
      </c>
      <c r="M5" s="16" t="s">
        <v>118</v>
      </c>
      <c r="N5" s="16" t="s">
        <v>119</v>
      </c>
      <c r="O5" s="16" t="s">
        <v>120</v>
      </c>
      <c r="P5" s="16" t="s">
        <v>121</v>
      </c>
      <c r="Q5" s="16" t="s">
        <v>122</v>
      </c>
    </row>
    <row r="6" customFormat="false" ht="48" hidden="false" customHeight="true" outlineLevel="0" collapsed="false">
      <c r="A6" s="17" t="s">
        <v>123</v>
      </c>
      <c r="B6" s="26" t="s">
        <v>84</v>
      </c>
      <c r="C6" s="11" t="s">
        <v>124</v>
      </c>
      <c r="D6" s="11" t="s">
        <v>125</v>
      </c>
      <c r="E6" s="11" t="s">
        <v>126</v>
      </c>
      <c r="F6" s="11" t="s">
        <v>127</v>
      </c>
      <c r="G6" s="11" t="s">
        <v>128</v>
      </c>
      <c r="H6" s="37" t="n">
        <v>0.1</v>
      </c>
      <c r="I6" s="37" t="n">
        <v>0.06</v>
      </c>
      <c r="J6" s="37" t="n">
        <v>0.08</v>
      </c>
      <c r="K6" s="37" t="n">
        <v>0.05</v>
      </c>
      <c r="L6" s="37" t="n">
        <v>0.12</v>
      </c>
      <c r="M6" s="37" t="n">
        <v>0.14</v>
      </c>
      <c r="N6" s="37" t="n">
        <v>0.12</v>
      </c>
      <c r="O6" s="37" t="n">
        <v>0.18</v>
      </c>
      <c r="P6" s="37" t="n">
        <v>0.08</v>
      </c>
      <c r="Q6" s="37" t="n">
        <v>0.2</v>
      </c>
    </row>
    <row r="7" customFormat="false" ht="48" hidden="false" customHeight="true" outlineLevel="0" collapsed="false">
      <c r="A7" s="17" t="s">
        <v>129</v>
      </c>
      <c r="B7" s="26" t="s">
        <v>84</v>
      </c>
      <c r="C7" s="11" t="s">
        <v>130</v>
      </c>
      <c r="D7" s="11" t="s">
        <v>131</v>
      </c>
      <c r="E7" s="11" t="s">
        <v>132</v>
      </c>
      <c r="F7" s="11" t="s">
        <v>133</v>
      </c>
      <c r="G7" s="11" t="s">
        <v>134</v>
      </c>
      <c r="H7" s="37" t="n">
        <v>0.06</v>
      </c>
      <c r="I7" s="37" t="n">
        <v>0.2</v>
      </c>
      <c r="J7" s="37" t="n">
        <v>0.02</v>
      </c>
      <c r="K7" s="37" t="n">
        <v>0.08</v>
      </c>
      <c r="L7" s="37" t="n">
        <v>0.05</v>
      </c>
      <c r="M7" s="37" t="n">
        <v>0.03</v>
      </c>
      <c r="N7" s="37" t="n">
        <v>0</v>
      </c>
      <c r="O7" s="37" t="n">
        <v>0.04</v>
      </c>
      <c r="P7" s="37" t="n">
        <v>0</v>
      </c>
      <c r="Q7" s="37" t="n">
        <v>0</v>
      </c>
    </row>
    <row r="8" customFormat="false" ht="48" hidden="false" customHeight="true" outlineLevel="0" collapsed="false">
      <c r="A8" s="17" t="s">
        <v>135</v>
      </c>
      <c r="B8" s="26" t="s">
        <v>84</v>
      </c>
      <c r="C8" s="11" t="s">
        <v>136</v>
      </c>
      <c r="D8" s="11" t="s">
        <v>137</v>
      </c>
      <c r="E8" s="11" t="s">
        <v>138</v>
      </c>
      <c r="F8" s="11" t="s">
        <v>139</v>
      </c>
      <c r="G8" s="11" t="s">
        <v>140</v>
      </c>
      <c r="H8" s="37" t="n">
        <v>0.03</v>
      </c>
      <c r="I8" s="37" t="n">
        <v>0.04</v>
      </c>
      <c r="J8" s="37" t="n">
        <v>0.22</v>
      </c>
      <c r="K8" s="37" t="n">
        <v>0.03</v>
      </c>
      <c r="L8" s="37" t="n">
        <v>0.05</v>
      </c>
      <c r="M8" s="37" t="n">
        <v>0.06</v>
      </c>
      <c r="N8" s="37" t="n">
        <v>0.03</v>
      </c>
      <c r="O8" s="37" t="n">
        <v>0.05</v>
      </c>
      <c r="P8" s="37" t="n">
        <v>0</v>
      </c>
      <c r="Q8" s="37" t="n">
        <v>0</v>
      </c>
    </row>
    <row r="9" customFormat="false" ht="48" hidden="false" customHeight="true" outlineLevel="0" collapsed="false">
      <c r="A9" s="17" t="s">
        <v>141</v>
      </c>
      <c r="B9" s="26" t="s">
        <v>84</v>
      </c>
      <c r="C9" s="11" t="s">
        <v>142</v>
      </c>
      <c r="D9" s="11" t="s">
        <v>143</v>
      </c>
      <c r="E9" s="11" t="s">
        <v>144</v>
      </c>
      <c r="F9" s="11" t="s">
        <v>145</v>
      </c>
      <c r="G9" s="11" t="s">
        <v>146</v>
      </c>
      <c r="H9" s="37" t="n">
        <v>0.04</v>
      </c>
      <c r="I9" s="37" t="n">
        <v>0</v>
      </c>
      <c r="J9" s="37" t="n">
        <v>0.02</v>
      </c>
      <c r="K9" s="37" t="n">
        <v>0.02</v>
      </c>
      <c r="L9" s="37" t="n">
        <v>0.07</v>
      </c>
      <c r="M9" s="37" t="n">
        <v>0.06</v>
      </c>
      <c r="N9" s="37" t="n">
        <v>0.22</v>
      </c>
      <c r="O9" s="37" t="n">
        <v>0.08</v>
      </c>
      <c r="P9" s="37" t="n">
        <v>0.03</v>
      </c>
      <c r="Q9" s="37" t="n">
        <v>0</v>
      </c>
    </row>
    <row r="10" customFormat="false" ht="48" hidden="false" customHeight="true" outlineLevel="0" collapsed="false">
      <c r="A10" s="17" t="s">
        <v>147</v>
      </c>
      <c r="B10" s="26" t="s">
        <v>84</v>
      </c>
      <c r="C10" s="11" t="s">
        <v>148</v>
      </c>
      <c r="D10" s="11" t="s">
        <v>149</v>
      </c>
      <c r="E10" s="11" t="s">
        <v>150</v>
      </c>
      <c r="F10" s="11" t="s">
        <v>151</v>
      </c>
      <c r="G10" s="11" t="s">
        <v>152</v>
      </c>
      <c r="H10" s="37" t="n">
        <v>0.08</v>
      </c>
      <c r="I10" s="37" t="n">
        <v>0.06</v>
      </c>
      <c r="J10" s="37" t="n">
        <v>0.03</v>
      </c>
      <c r="K10" s="37" t="n">
        <v>0.04</v>
      </c>
      <c r="L10" s="37" t="n">
        <v>0.14</v>
      </c>
      <c r="M10" s="37" t="n">
        <v>0.12</v>
      </c>
      <c r="N10" s="37" t="n">
        <v>0.05</v>
      </c>
      <c r="O10" s="37" t="n">
        <v>0.1</v>
      </c>
      <c r="P10" s="37" t="n">
        <v>0.05</v>
      </c>
      <c r="Q10" s="37" t="n">
        <v>0</v>
      </c>
    </row>
    <row r="11" customFormat="false" ht="48" hidden="false" customHeight="true" outlineLevel="0" collapsed="false">
      <c r="A11" s="17" t="s">
        <v>153</v>
      </c>
      <c r="B11" s="26" t="s">
        <v>84</v>
      </c>
      <c r="C11" s="11" t="s">
        <v>154</v>
      </c>
      <c r="D11" s="11" t="s">
        <v>155</v>
      </c>
      <c r="E11" s="11" t="s">
        <v>156</v>
      </c>
      <c r="F11" s="11" t="s">
        <v>157</v>
      </c>
      <c r="G11" s="11" t="s">
        <v>158</v>
      </c>
      <c r="H11" s="37" t="n">
        <v>0.04</v>
      </c>
      <c r="I11" s="37" t="n">
        <v>0</v>
      </c>
      <c r="J11" s="37" t="n">
        <v>0</v>
      </c>
      <c r="K11" s="37" t="n">
        <v>0.02</v>
      </c>
      <c r="L11" s="37" t="n">
        <v>0.06</v>
      </c>
      <c r="M11" s="37" t="n">
        <v>0.05</v>
      </c>
      <c r="N11" s="37" t="n">
        <v>0.03</v>
      </c>
      <c r="O11" s="37" t="n">
        <v>0.05</v>
      </c>
      <c r="P11" s="37" t="n">
        <v>0.25</v>
      </c>
      <c r="Q11" s="37" t="n">
        <v>0</v>
      </c>
    </row>
    <row r="12" customFormat="false" ht="48" hidden="false" customHeight="true" outlineLevel="0" collapsed="false">
      <c r="A12" s="17" t="s">
        <v>159</v>
      </c>
      <c r="B12" s="26" t="s">
        <v>84</v>
      </c>
      <c r="C12" s="11" t="s">
        <v>160</v>
      </c>
      <c r="D12" s="11" t="s">
        <v>161</v>
      </c>
      <c r="E12" s="11" t="s">
        <v>162</v>
      </c>
      <c r="F12" s="11" t="s">
        <v>163</v>
      </c>
      <c r="G12" s="11" t="s">
        <v>164</v>
      </c>
      <c r="H12" s="37" t="n">
        <v>0.02</v>
      </c>
      <c r="I12" s="37" t="n">
        <v>0.1</v>
      </c>
      <c r="J12" s="37" t="n">
        <v>0.06</v>
      </c>
      <c r="K12" s="37" t="n">
        <v>0.06</v>
      </c>
      <c r="L12" s="37" t="n">
        <v>0.02</v>
      </c>
      <c r="M12" s="37" t="n">
        <v>0.04</v>
      </c>
      <c r="N12" s="37" t="n">
        <v>0.03</v>
      </c>
      <c r="O12" s="37" t="n">
        <v>0.03</v>
      </c>
      <c r="P12" s="37" t="n">
        <v>0.02</v>
      </c>
      <c r="Q12" s="37" t="n">
        <v>0.08</v>
      </c>
    </row>
    <row r="13" customFormat="false" ht="48" hidden="false" customHeight="true" outlineLevel="0" collapsed="false">
      <c r="A13" s="17" t="s">
        <v>165</v>
      </c>
      <c r="B13" s="26" t="s">
        <v>86</v>
      </c>
      <c r="C13" s="11" t="s">
        <v>166</v>
      </c>
      <c r="D13" s="11" t="s">
        <v>167</v>
      </c>
      <c r="E13" s="11" t="s">
        <v>168</v>
      </c>
      <c r="F13" s="11" t="s">
        <v>169</v>
      </c>
      <c r="G13" s="11" t="s">
        <v>170</v>
      </c>
      <c r="H13" s="37" t="n">
        <v>0.08</v>
      </c>
      <c r="I13" s="37" t="n">
        <v>0.05</v>
      </c>
      <c r="J13" s="37" t="n">
        <v>0.12</v>
      </c>
      <c r="K13" s="37" t="n">
        <v>0.05</v>
      </c>
      <c r="L13" s="37" t="n">
        <v>0.03</v>
      </c>
      <c r="M13" s="37" t="n">
        <v>0</v>
      </c>
      <c r="N13" s="37" t="n">
        <v>0.03</v>
      </c>
      <c r="O13" s="37" t="n">
        <v>0.04</v>
      </c>
      <c r="P13" s="37" t="n">
        <v>0.02</v>
      </c>
      <c r="Q13" s="37" t="n">
        <v>0.04</v>
      </c>
    </row>
    <row r="14" customFormat="false" ht="48" hidden="false" customHeight="true" outlineLevel="0" collapsed="false">
      <c r="A14" s="17" t="s">
        <v>171</v>
      </c>
      <c r="B14" s="26" t="s">
        <v>86</v>
      </c>
      <c r="C14" s="11" t="s">
        <v>172</v>
      </c>
      <c r="D14" s="11" t="s">
        <v>173</v>
      </c>
      <c r="E14" s="11" t="s">
        <v>174</v>
      </c>
      <c r="F14" s="11" t="s">
        <v>175</v>
      </c>
      <c r="G14" s="11" t="s">
        <v>176</v>
      </c>
      <c r="H14" s="37" t="n">
        <v>0.06</v>
      </c>
      <c r="I14" s="37" t="n">
        <v>0.06</v>
      </c>
      <c r="J14" s="37" t="n">
        <v>0.08</v>
      </c>
      <c r="K14" s="37" t="n">
        <v>0.03</v>
      </c>
      <c r="L14" s="37" t="n">
        <v>0.03</v>
      </c>
      <c r="M14" s="37" t="n">
        <v>0</v>
      </c>
      <c r="N14" s="37" t="n">
        <v>0</v>
      </c>
      <c r="O14" s="37" t="n">
        <v>0.03</v>
      </c>
      <c r="P14" s="37" t="n">
        <v>0</v>
      </c>
      <c r="Q14" s="37" t="n">
        <v>0.03</v>
      </c>
    </row>
    <row r="15" customFormat="false" ht="48" hidden="false" customHeight="true" outlineLevel="0" collapsed="false">
      <c r="A15" s="17" t="s">
        <v>177</v>
      </c>
      <c r="B15" s="26" t="s">
        <v>86</v>
      </c>
      <c r="C15" s="11" t="s">
        <v>178</v>
      </c>
      <c r="D15" s="11" t="s">
        <v>179</v>
      </c>
      <c r="E15" s="11" t="s">
        <v>180</v>
      </c>
      <c r="F15" s="11" t="s">
        <v>181</v>
      </c>
      <c r="G15" s="11" t="s">
        <v>182</v>
      </c>
      <c r="H15" s="37" t="n">
        <v>0.03</v>
      </c>
      <c r="I15" s="37" t="n">
        <v>0.08</v>
      </c>
      <c r="J15" s="37" t="n">
        <v>0.06</v>
      </c>
      <c r="K15" s="37" t="n">
        <v>0.12</v>
      </c>
      <c r="L15" s="37" t="n">
        <v>0.04</v>
      </c>
      <c r="M15" s="37" t="n">
        <v>0.05</v>
      </c>
      <c r="N15" s="37" t="n">
        <v>0.08</v>
      </c>
      <c r="O15" s="37" t="n">
        <v>0.04</v>
      </c>
      <c r="P15" s="37" t="n">
        <v>0.08</v>
      </c>
      <c r="Q15" s="37" t="n">
        <v>0.1</v>
      </c>
    </row>
    <row r="16" customFormat="false" ht="48" hidden="false" customHeight="true" outlineLevel="0" collapsed="false">
      <c r="A16" s="17" t="s">
        <v>183</v>
      </c>
      <c r="B16" s="26" t="s">
        <v>86</v>
      </c>
      <c r="C16" s="11" t="s">
        <v>184</v>
      </c>
      <c r="D16" s="11" t="s">
        <v>185</v>
      </c>
      <c r="E16" s="11" t="s">
        <v>186</v>
      </c>
      <c r="F16" s="11" t="s">
        <v>187</v>
      </c>
      <c r="G16" s="11" t="s">
        <v>188</v>
      </c>
      <c r="H16" s="37" t="n">
        <v>0.05</v>
      </c>
      <c r="I16" s="37" t="n">
        <v>0.02</v>
      </c>
      <c r="J16" s="37" t="n">
        <v>0.04</v>
      </c>
      <c r="K16" s="37" t="n">
        <v>0.06</v>
      </c>
      <c r="L16" s="37" t="n">
        <v>0.06</v>
      </c>
      <c r="M16" s="37" t="n">
        <v>0.02</v>
      </c>
      <c r="N16" s="37" t="n">
        <v>0.05</v>
      </c>
      <c r="O16" s="37" t="n">
        <v>0.06</v>
      </c>
      <c r="P16" s="37" t="n">
        <v>0.05</v>
      </c>
      <c r="Q16" s="37" t="n">
        <v>0</v>
      </c>
    </row>
    <row r="17" customFormat="false" ht="48" hidden="false" customHeight="true" outlineLevel="0" collapsed="false">
      <c r="A17" s="17" t="s">
        <v>189</v>
      </c>
      <c r="B17" s="26" t="s">
        <v>88</v>
      </c>
      <c r="C17" s="11" t="s">
        <v>190</v>
      </c>
      <c r="D17" s="11" t="s">
        <v>191</v>
      </c>
      <c r="E17" s="11" t="s">
        <v>192</v>
      </c>
      <c r="F17" s="11" t="s">
        <v>193</v>
      </c>
      <c r="G17" s="11" t="s">
        <v>194</v>
      </c>
      <c r="H17" s="37" t="n">
        <v>0.05</v>
      </c>
      <c r="I17" s="37" t="n">
        <v>0.07</v>
      </c>
      <c r="J17" s="37" t="n">
        <v>0.05</v>
      </c>
      <c r="K17" s="37" t="n">
        <v>0.05</v>
      </c>
      <c r="L17" s="37" t="n">
        <v>0.05</v>
      </c>
      <c r="M17" s="37" t="n">
        <v>0.06</v>
      </c>
      <c r="N17" s="37" t="n">
        <v>0.06</v>
      </c>
      <c r="O17" s="37" t="n">
        <v>0.06</v>
      </c>
      <c r="P17" s="37" t="n">
        <v>0.06</v>
      </c>
      <c r="Q17" s="37" t="n">
        <v>0.06</v>
      </c>
    </row>
    <row r="18" customFormat="false" ht="48" hidden="false" customHeight="true" outlineLevel="0" collapsed="false">
      <c r="A18" s="17" t="s">
        <v>195</v>
      </c>
      <c r="B18" s="26" t="s">
        <v>88</v>
      </c>
      <c r="C18" s="11" t="s">
        <v>196</v>
      </c>
      <c r="D18" s="11" t="s">
        <v>197</v>
      </c>
      <c r="E18" s="11" t="s">
        <v>198</v>
      </c>
      <c r="F18" s="11" t="s">
        <v>199</v>
      </c>
      <c r="G18" s="11" t="s">
        <v>200</v>
      </c>
      <c r="H18" s="37" t="n">
        <v>0.04</v>
      </c>
      <c r="I18" s="37" t="n">
        <v>0.05</v>
      </c>
      <c r="J18" s="37" t="n">
        <v>0.03</v>
      </c>
      <c r="K18" s="37" t="n">
        <v>0.1</v>
      </c>
      <c r="L18" s="37" t="n">
        <v>0.03</v>
      </c>
      <c r="M18" s="37" t="n">
        <v>0.04</v>
      </c>
      <c r="N18" s="37" t="n">
        <v>0.04</v>
      </c>
      <c r="O18" s="37" t="n">
        <v>0.04</v>
      </c>
      <c r="P18" s="37" t="n">
        <v>0.06</v>
      </c>
      <c r="Q18" s="37" t="n">
        <v>0.1</v>
      </c>
    </row>
    <row r="19" customFormat="false" ht="48" hidden="false" customHeight="true" outlineLevel="0" collapsed="false">
      <c r="A19" s="17" t="s">
        <v>201</v>
      </c>
      <c r="B19" s="26" t="s">
        <v>88</v>
      </c>
      <c r="C19" s="11" t="s">
        <v>202</v>
      </c>
      <c r="D19" s="11" t="s">
        <v>203</v>
      </c>
      <c r="E19" s="11" t="s">
        <v>204</v>
      </c>
      <c r="F19" s="11" t="s">
        <v>205</v>
      </c>
      <c r="G19" s="11" t="s">
        <v>206</v>
      </c>
      <c r="H19" s="37" t="n">
        <v>0.06</v>
      </c>
      <c r="I19" s="37" t="n">
        <v>0.03</v>
      </c>
      <c r="J19" s="37" t="n">
        <v>0.03</v>
      </c>
      <c r="K19" s="37" t="n">
        <v>0.08</v>
      </c>
      <c r="L19" s="37" t="n">
        <v>0.03</v>
      </c>
      <c r="M19" s="37" t="n">
        <v>0</v>
      </c>
      <c r="N19" s="37" t="n">
        <v>0.04</v>
      </c>
      <c r="O19" s="37" t="n">
        <v>0.04</v>
      </c>
      <c r="P19" s="37" t="n">
        <v>0.03</v>
      </c>
      <c r="Q19" s="37" t="n">
        <v>0.06</v>
      </c>
    </row>
    <row r="20" customFormat="false" ht="48" hidden="false" customHeight="true" outlineLevel="0" collapsed="false">
      <c r="A20" s="17" t="s">
        <v>207</v>
      </c>
      <c r="B20" s="26" t="s">
        <v>88</v>
      </c>
      <c r="C20" s="11" t="s">
        <v>208</v>
      </c>
      <c r="D20" s="11" t="s">
        <v>209</v>
      </c>
      <c r="E20" s="11" t="s">
        <v>210</v>
      </c>
      <c r="F20" s="11" t="s">
        <v>211</v>
      </c>
      <c r="G20" s="11" t="s">
        <v>212</v>
      </c>
      <c r="H20" s="37" t="n">
        <v>0.04</v>
      </c>
      <c r="I20" s="37" t="n">
        <v>0.04</v>
      </c>
      <c r="J20" s="37" t="n">
        <v>0.04</v>
      </c>
      <c r="K20" s="37" t="n">
        <v>0.05</v>
      </c>
      <c r="L20" s="37" t="n">
        <v>0.04</v>
      </c>
      <c r="M20" s="37" t="n">
        <v>0.06</v>
      </c>
      <c r="N20" s="37" t="n">
        <v>0.05</v>
      </c>
      <c r="O20" s="37" t="n">
        <v>0.04</v>
      </c>
      <c r="P20" s="37" t="n">
        <v>0.05</v>
      </c>
      <c r="Q20" s="37" t="n">
        <v>0.06</v>
      </c>
    </row>
    <row r="21" customFormat="false" ht="48" hidden="false" customHeight="true" outlineLevel="0" collapsed="false">
      <c r="A21" s="17" t="s">
        <v>213</v>
      </c>
      <c r="B21" s="26" t="s">
        <v>88</v>
      </c>
      <c r="C21" s="11" t="s">
        <v>214</v>
      </c>
      <c r="D21" s="11" t="s">
        <v>215</v>
      </c>
      <c r="E21" s="11" t="s">
        <v>216</v>
      </c>
      <c r="F21" s="11" t="s">
        <v>217</v>
      </c>
      <c r="G21" s="11" t="s">
        <v>218</v>
      </c>
      <c r="H21" s="37" t="n">
        <v>0.01</v>
      </c>
      <c r="I21" s="37" t="n">
        <v>0.03</v>
      </c>
      <c r="J21" s="37" t="n">
        <v>0.02</v>
      </c>
      <c r="K21" s="37" t="n">
        <v>0.04</v>
      </c>
      <c r="L21" s="37" t="n">
        <v>0.02</v>
      </c>
      <c r="M21" s="37" t="n">
        <v>0.04</v>
      </c>
      <c r="N21" s="37" t="n">
        <v>0.02</v>
      </c>
      <c r="O21" s="37" t="n">
        <v>0.02</v>
      </c>
      <c r="P21" s="37" t="n">
        <v>0.02</v>
      </c>
      <c r="Q21" s="37" t="n">
        <v>0.05</v>
      </c>
    </row>
    <row r="22" customFormat="false" ht="48" hidden="false" customHeight="true" outlineLevel="0" collapsed="false">
      <c r="A22" s="17" t="s">
        <v>219</v>
      </c>
      <c r="B22" s="26" t="s">
        <v>88</v>
      </c>
      <c r="C22" s="11" t="s">
        <v>220</v>
      </c>
      <c r="D22" s="11" t="s">
        <v>221</v>
      </c>
      <c r="E22" s="11" t="s">
        <v>222</v>
      </c>
      <c r="F22" s="11" t="s">
        <v>223</v>
      </c>
      <c r="G22" s="11" t="s">
        <v>224</v>
      </c>
      <c r="H22" s="37" t="n">
        <v>0.05</v>
      </c>
      <c r="I22" s="37" t="n">
        <v>0.05</v>
      </c>
      <c r="J22" s="37" t="n">
        <v>0.06</v>
      </c>
      <c r="K22" s="37" t="n">
        <v>0.05</v>
      </c>
      <c r="L22" s="37" t="n">
        <v>0.05</v>
      </c>
      <c r="M22" s="37" t="n">
        <v>0.06</v>
      </c>
      <c r="N22" s="37" t="n">
        <v>0.07</v>
      </c>
      <c r="O22" s="37" t="n">
        <v>0.05</v>
      </c>
      <c r="P22" s="37" t="n">
        <v>0.07</v>
      </c>
      <c r="Q22" s="37" t="n">
        <v>0.1</v>
      </c>
    </row>
    <row r="23" customFormat="false" ht="48" hidden="false" customHeight="true" outlineLevel="0" collapsed="false">
      <c r="A23" s="17" t="s">
        <v>225</v>
      </c>
      <c r="B23" s="26" t="s">
        <v>88</v>
      </c>
      <c r="C23" s="11" t="s">
        <v>226</v>
      </c>
      <c r="D23" s="11" t="s">
        <v>227</v>
      </c>
      <c r="E23" s="11" t="s">
        <v>228</v>
      </c>
      <c r="F23" s="11" t="s">
        <v>229</v>
      </c>
      <c r="G23" s="11" t="s">
        <v>230</v>
      </c>
      <c r="H23" s="37" t="n">
        <v>0.03</v>
      </c>
      <c r="I23" s="37" t="n">
        <v>0.02</v>
      </c>
      <c r="J23" s="37" t="n">
        <v>0.02</v>
      </c>
      <c r="K23" s="37" t="n">
        <v>0.03</v>
      </c>
      <c r="L23" s="37" t="n">
        <v>0.03</v>
      </c>
      <c r="M23" s="37" t="n">
        <v>0.04</v>
      </c>
      <c r="N23" s="37" t="n">
        <v>0.02</v>
      </c>
      <c r="O23" s="37" t="n">
        <v>0.02</v>
      </c>
      <c r="P23" s="37" t="n">
        <v>0.03</v>
      </c>
      <c r="Q23" s="37" t="n">
        <v>0.03</v>
      </c>
    </row>
    <row r="24" customFormat="false" ht="48" hidden="false" customHeight="true" outlineLevel="0" collapsed="false">
      <c r="A24" s="17" t="s">
        <v>231</v>
      </c>
      <c r="B24" s="26" t="s">
        <v>90</v>
      </c>
      <c r="C24" s="11" t="s">
        <v>232</v>
      </c>
      <c r="D24" s="11" t="s">
        <v>233</v>
      </c>
      <c r="E24" s="11" t="s">
        <v>234</v>
      </c>
      <c r="F24" s="11" t="s">
        <v>235</v>
      </c>
      <c r="G24" s="11" t="s">
        <v>236</v>
      </c>
      <c r="H24" s="37" t="n">
        <v>0.06</v>
      </c>
      <c r="I24" s="37" t="n">
        <v>0</v>
      </c>
      <c r="J24" s="37" t="n">
        <v>0</v>
      </c>
      <c r="K24" s="37" t="n">
        <v>0</v>
      </c>
      <c r="L24" s="37" t="n">
        <v>0.04</v>
      </c>
      <c r="M24" s="37" t="n">
        <v>0</v>
      </c>
      <c r="N24" s="37" t="n">
        <v>0</v>
      </c>
      <c r="O24" s="37" t="n">
        <v>0</v>
      </c>
      <c r="P24" s="37" t="n">
        <v>0.03</v>
      </c>
      <c r="Q24" s="37" t="n">
        <v>0</v>
      </c>
    </row>
    <row r="25" customFormat="false" ht="48" hidden="false" customHeight="true" outlineLevel="0" collapsed="false">
      <c r="A25" s="17" t="s">
        <v>237</v>
      </c>
      <c r="B25" s="26" t="s">
        <v>90</v>
      </c>
      <c r="C25" s="11" t="s">
        <v>238</v>
      </c>
      <c r="D25" s="11" t="s">
        <v>239</v>
      </c>
      <c r="E25" s="11" t="s">
        <v>240</v>
      </c>
      <c r="F25" s="11" t="s">
        <v>241</v>
      </c>
      <c r="G25" s="11" t="s">
        <v>242</v>
      </c>
      <c r="H25" s="37" t="n">
        <v>0.04</v>
      </c>
      <c r="I25" s="37" t="n">
        <v>0.02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</row>
    <row r="26" customFormat="false" ht="48" hidden="false" customHeight="true" outlineLevel="0" collapsed="false">
      <c r="A26" s="17" t="s">
        <v>243</v>
      </c>
      <c r="B26" s="26" t="s">
        <v>92</v>
      </c>
      <c r="C26" s="11" t="s">
        <v>244</v>
      </c>
      <c r="D26" s="11" t="s">
        <v>245</v>
      </c>
      <c r="E26" s="11" t="s">
        <v>246</v>
      </c>
      <c r="F26" s="11" t="s">
        <v>247</v>
      </c>
      <c r="G26" s="11" t="s">
        <v>248</v>
      </c>
      <c r="H26" s="37" t="n">
        <v>0.02</v>
      </c>
      <c r="I26" s="37" t="n">
        <v>0.01</v>
      </c>
      <c r="J26" s="37" t="n">
        <v>0.01</v>
      </c>
      <c r="K26" s="37" t="n">
        <v>0.02</v>
      </c>
      <c r="L26" s="37" t="n">
        <v>0.01</v>
      </c>
      <c r="M26" s="37" t="n">
        <v>0.05</v>
      </c>
      <c r="N26" s="37" t="n">
        <v>0.02</v>
      </c>
      <c r="O26" s="37" t="n">
        <v>0.01</v>
      </c>
      <c r="P26" s="37" t="n">
        <v>0.02</v>
      </c>
      <c r="Q26" s="37" t="n">
        <v>0.04</v>
      </c>
    </row>
    <row r="27" customFormat="false" ht="48" hidden="false" customHeight="true" outlineLevel="0" collapsed="false">
      <c r="A27" s="17" t="s">
        <v>249</v>
      </c>
      <c r="B27" s="26" t="s">
        <v>92</v>
      </c>
      <c r="C27" s="11" t="s">
        <v>250</v>
      </c>
      <c r="D27" s="11" t="s">
        <v>251</v>
      </c>
      <c r="E27" s="11" t="s">
        <v>252</v>
      </c>
      <c r="F27" s="11" t="s">
        <v>253</v>
      </c>
      <c r="G27" s="11" t="s">
        <v>254</v>
      </c>
      <c r="H27" s="37" t="n">
        <v>0.01</v>
      </c>
      <c r="I27" s="37" t="n">
        <v>0.01</v>
      </c>
      <c r="J27" s="37" t="n">
        <v>0.01</v>
      </c>
      <c r="K27" s="37" t="n">
        <v>0.02</v>
      </c>
      <c r="L27" s="37" t="n">
        <v>0.01</v>
      </c>
      <c r="M27" s="37" t="n">
        <v>0.03</v>
      </c>
      <c r="N27" s="37" t="n">
        <v>0.02</v>
      </c>
      <c r="O27" s="37" t="n">
        <v>0.01</v>
      </c>
      <c r="P27" s="37" t="n">
        <v>0.02</v>
      </c>
      <c r="Q27" s="37" t="n">
        <v>0.05</v>
      </c>
    </row>
    <row r="28" customFormat="false" ht="48" hidden="false" customHeight="true" outlineLevel="0" collapsed="false">
      <c r="A28" s="17" t="s">
        <v>255</v>
      </c>
      <c r="B28" s="26" t="s">
        <v>92</v>
      </c>
      <c r="C28" s="11" t="s">
        <v>256</v>
      </c>
      <c r="D28" s="11" t="s">
        <v>257</v>
      </c>
      <c r="E28" s="11" t="s">
        <v>258</v>
      </c>
      <c r="F28" s="11" t="s">
        <v>259</v>
      </c>
      <c r="G28" s="11" t="s">
        <v>260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0.02</v>
      </c>
      <c r="M28" s="37" t="n">
        <v>0.05</v>
      </c>
      <c r="N28" s="37" t="n">
        <v>0.02</v>
      </c>
      <c r="O28" s="37" t="n">
        <v>0.01</v>
      </c>
      <c r="P28" s="37" t="n">
        <v>0.03</v>
      </c>
      <c r="Q28" s="37" t="n">
        <v>0</v>
      </c>
    </row>
    <row r="29" customFormat="false" ht="15" hidden="false" customHeight="true" outlineLevel="0" collapsed="false">
      <c r="A29" s="38" t="s">
        <v>261</v>
      </c>
      <c r="B29" s="38"/>
      <c r="C29" s="38"/>
      <c r="D29" s="38"/>
      <c r="E29" s="38"/>
      <c r="F29" s="38"/>
      <c r="G29" s="38"/>
      <c r="H29" s="25" t="n">
        <f aca="false">SUM(H6:H28)</f>
        <v>1</v>
      </c>
      <c r="I29" s="25" t="n">
        <f aca="false">SUM(I6:I28)</f>
        <v>1</v>
      </c>
      <c r="J29" s="25" t="n">
        <f aca="false">SUM(J6:J28)</f>
        <v>1</v>
      </c>
      <c r="K29" s="25" t="n">
        <f aca="false">SUM(K6:K28)</f>
        <v>1</v>
      </c>
      <c r="L29" s="25" t="n">
        <f aca="false">SUM(L6:L28)</f>
        <v>1</v>
      </c>
      <c r="M29" s="25" t="n">
        <f aca="false">SUM(M6:M28)</f>
        <v>1</v>
      </c>
      <c r="N29" s="25" t="n">
        <f aca="false">SUM(N6:N28)</f>
        <v>1</v>
      </c>
      <c r="O29" s="25" t="n">
        <f aca="false">SUM(O6:O28)</f>
        <v>1</v>
      </c>
      <c r="P29" s="25" t="n">
        <f aca="false">SUM(P6:P28)</f>
        <v>1</v>
      </c>
      <c r="Q29" s="25" t="n">
        <f aca="false">SUM(Q6:Q28)</f>
        <v>1</v>
      </c>
    </row>
    <row r="30" customFormat="false" ht="15" hidden="false" customHeight="true" outlineLevel="0" collapsed="false">
      <c r="A30" s="39" t="s">
        <v>262</v>
      </c>
      <c r="B30" s="39"/>
      <c r="C30" s="39"/>
      <c r="D30" s="39"/>
      <c r="E30" s="39"/>
      <c r="F30" s="39"/>
      <c r="G30" s="39"/>
      <c r="H30" s="17" t="str">
        <f aca="false">IF(ABS(H29-1)&lt;0.0001,"OK","ERROR")</f>
        <v>OK</v>
      </c>
      <c r="I30" s="17" t="str">
        <f aca="false">IF(ABS(I29-1)&lt;0.0001,"OK","ERROR")</f>
        <v>OK</v>
      </c>
      <c r="J30" s="17" t="str">
        <f aca="false">IF(ABS(J29-1)&lt;0.0001,"OK","ERROR")</f>
        <v>OK</v>
      </c>
      <c r="K30" s="17" t="str">
        <f aca="false">IF(ABS(K29-1)&lt;0.0001,"OK","ERROR")</f>
        <v>OK</v>
      </c>
      <c r="L30" s="17" t="str">
        <f aca="false">IF(ABS(L29-1)&lt;0.0001,"OK","ERROR")</f>
        <v>OK</v>
      </c>
      <c r="M30" s="17" t="str">
        <f aca="false">IF(ABS(M29-1)&lt;0.0001,"OK","ERROR")</f>
        <v>OK</v>
      </c>
      <c r="N30" s="17" t="str">
        <f aca="false">IF(ABS(N29-1)&lt;0.0001,"OK","ERROR")</f>
        <v>OK</v>
      </c>
      <c r="O30" s="17" t="str">
        <f aca="false">IF(ABS(O29-1)&lt;0.0001,"OK","ERROR")</f>
        <v>OK</v>
      </c>
      <c r="P30" s="17" t="str">
        <f aca="false">IF(ABS(P29-1)&lt;0.0001,"OK","ERROR")</f>
        <v>OK</v>
      </c>
      <c r="Q30" s="17" t="str">
        <f aca="false">IF(ABS(Q29-1)&lt;0.0001,"OK","ERROR")</f>
        <v>OK</v>
      </c>
    </row>
  </sheetData>
  <mergeCells count="6">
    <mergeCell ref="A1:Q1"/>
    <mergeCell ref="A2:Q2"/>
    <mergeCell ref="A3:Q3"/>
    <mergeCell ref="H4:Q4"/>
    <mergeCell ref="A29:G29"/>
    <mergeCell ref="A30:G30"/>
  </mergeCells>
  <conditionalFormatting sqref="H30:Q30">
    <cfRule type="cellIs" priority="2" operator="equal" aboveAverage="0" equalAverage="0" bottom="0" percent="0" rank="0" text="" dxfId="3">
      <formula>"ERROR"</formula>
    </cfRule>
  </conditionalFormatting>
  <conditionalFormatting sqref="H6:Q28">
    <cfRule type="cellIs" priority="3" operator="greaterThanOrEqual" aboveAverage="0" equalAverage="0" bottom="0" percent="0" rank="0" text="" dxfId="6">
      <formula>Rating_Scale!$C$20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&amp;L&amp;"Arial,Regular"SPDC/HR/F-INT-01  Rev R0&amp;R&amp;"Arial,Regular"Page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50"/>
    <col collapsed="false" customWidth="true" hidden="false" outlineLevel="0" max="6" min="6" style="1" width="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263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264</v>
      </c>
      <c r="B3" s="4"/>
      <c r="C3" s="4"/>
      <c r="D3" s="4"/>
      <c r="E3" s="4"/>
      <c r="F3" s="4"/>
    </row>
    <row r="5" customFormat="false" ht="15" hidden="false" customHeight="false" outlineLevel="0" collapsed="false">
      <c r="B5" s="16" t="s">
        <v>265</v>
      </c>
      <c r="C5" s="16" t="s">
        <v>266</v>
      </c>
      <c r="D5" s="16" t="s">
        <v>267</v>
      </c>
      <c r="E5" s="16" t="s">
        <v>268</v>
      </c>
    </row>
    <row r="6" customFormat="false" ht="27.75" hidden="false" customHeight="true" outlineLevel="0" collapsed="false">
      <c r="B6" s="40" t="n">
        <v>5</v>
      </c>
      <c r="C6" s="9" t="s">
        <v>269</v>
      </c>
      <c r="D6" s="11" t="s">
        <v>270</v>
      </c>
      <c r="E6" s="11" t="s">
        <v>271</v>
      </c>
    </row>
    <row r="7" customFormat="false" ht="27.75" hidden="false" customHeight="true" outlineLevel="0" collapsed="false">
      <c r="B7" s="41" t="n">
        <v>4</v>
      </c>
      <c r="C7" s="9" t="s">
        <v>272</v>
      </c>
      <c r="D7" s="11" t="s">
        <v>273</v>
      </c>
      <c r="E7" s="11" t="s">
        <v>274</v>
      </c>
    </row>
    <row r="8" customFormat="false" ht="27.75" hidden="false" customHeight="true" outlineLevel="0" collapsed="false">
      <c r="B8" s="42" t="n">
        <v>3</v>
      </c>
      <c r="C8" s="9" t="s">
        <v>275</v>
      </c>
      <c r="D8" s="11" t="s">
        <v>276</v>
      </c>
      <c r="E8" s="11" t="s">
        <v>277</v>
      </c>
    </row>
    <row r="9" customFormat="false" ht="27.75" hidden="false" customHeight="true" outlineLevel="0" collapsed="false">
      <c r="B9" s="43" t="n">
        <v>2</v>
      </c>
      <c r="C9" s="9" t="s">
        <v>278</v>
      </c>
      <c r="D9" s="11" t="s">
        <v>279</v>
      </c>
      <c r="E9" s="11" t="s">
        <v>280</v>
      </c>
    </row>
    <row r="10" customFormat="false" ht="27.75" hidden="false" customHeight="true" outlineLevel="0" collapsed="false">
      <c r="B10" s="44" t="n">
        <v>1</v>
      </c>
      <c r="C10" s="9" t="s">
        <v>281</v>
      </c>
      <c r="D10" s="11" t="s">
        <v>282</v>
      </c>
      <c r="E10" s="11" t="s">
        <v>283</v>
      </c>
    </row>
    <row r="12" customFormat="false" ht="15" hidden="false" customHeight="false" outlineLevel="0" collapsed="false">
      <c r="B12" s="16" t="s">
        <v>284</v>
      </c>
      <c r="C12" s="16" t="s">
        <v>285</v>
      </c>
      <c r="D12" s="16" t="s">
        <v>286</v>
      </c>
      <c r="E12" s="16" t="s">
        <v>287</v>
      </c>
    </row>
    <row r="13" customFormat="false" ht="15" hidden="false" customHeight="false" outlineLevel="0" collapsed="false">
      <c r="B13" s="35" t="s">
        <v>288</v>
      </c>
      <c r="C13" s="45" t="n">
        <v>0.85</v>
      </c>
      <c r="D13" s="9" t="s">
        <v>289</v>
      </c>
      <c r="E13" s="11" t="s">
        <v>290</v>
      </c>
    </row>
    <row r="14" customFormat="false" ht="15" hidden="false" customHeight="false" outlineLevel="0" collapsed="false">
      <c r="B14" s="35" t="s">
        <v>291</v>
      </c>
      <c r="C14" s="45" t="n">
        <v>0.75</v>
      </c>
      <c r="D14" s="9" t="s">
        <v>292</v>
      </c>
      <c r="E14" s="11" t="s">
        <v>293</v>
      </c>
    </row>
    <row r="15" customFormat="false" ht="15" hidden="false" customHeight="false" outlineLevel="0" collapsed="false">
      <c r="B15" s="35" t="s">
        <v>294</v>
      </c>
      <c r="C15" s="45" t="n">
        <v>0.65</v>
      </c>
      <c r="D15" s="9" t="s">
        <v>295</v>
      </c>
      <c r="E15" s="11" t="s">
        <v>296</v>
      </c>
    </row>
    <row r="16" customFormat="false" ht="15" hidden="false" customHeight="false" outlineLevel="0" collapsed="false">
      <c r="B16" s="35" t="s">
        <v>297</v>
      </c>
      <c r="C16" s="46" t="n">
        <v>0</v>
      </c>
      <c r="D16" s="9" t="s">
        <v>298</v>
      </c>
      <c r="E16" s="11" t="s">
        <v>299</v>
      </c>
    </row>
    <row r="19" customFormat="false" ht="15" hidden="false" customHeight="true" outlineLevel="0" collapsed="false">
      <c r="B19" s="16" t="s">
        <v>300</v>
      </c>
      <c r="C19" s="16" t="s">
        <v>301</v>
      </c>
      <c r="D19" s="16" t="s">
        <v>302</v>
      </c>
      <c r="E19" s="16"/>
    </row>
    <row r="20" customFormat="false" ht="27.75" hidden="false" customHeight="true" outlineLevel="0" collapsed="false">
      <c r="B20" s="7" t="s">
        <v>303</v>
      </c>
      <c r="C20" s="45" t="n">
        <v>0.1</v>
      </c>
      <c r="D20" s="6" t="s">
        <v>304</v>
      </c>
      <c r="E20" s="6"/>
    </row>
    <row r="21" customFormat="false" ht="27.75" hidden="false" customHeight="true" outlineLevel="0" collapsed="false">
      <c r="B21" s="7" t="s">
        <v>305</v>
      </c>
      <c r="C21" s="47" t="n">
        <v>2.5</v>
      </c>
      <c r="D21" s="6" t="s">
        <v>306</v>
      </c>
      <c r="E21" s="6"/>
    </row>
    <row r="22" customFormat="false" ht="27.75" hidden="false" customHeight="true" outlineLevel="0" collapsed="false">
      <c r="B22" s="7" t="s">
        <v>307</v>
      </c>
      <c r="C22" s="48" t="n">
        <v>2</v>
      </c>
      <c r="D22" s="6" t="s">
        <v>308</v>
      </c>
      <c r="E22" s="6"/>
    </row>
    <row r="25" customFormat="false" ht="15" hidden="false" customHeight="true" outlineLevel="0" collapsed="false">
      <c r="B25" s="16" t="s">
        <v>309</v>
      </c>
      <c r="C25" s="16" t="s">
        <v>68</v>
      </c>
      <c r="D25" s="16" t="s">
        <v>310</v>
      </c>
      <c r="E25" s="16"/>
    </row>
    <row r="26" customFormat="false" ht="15" hidden="false" customHeight="true" outlineLevel="0" collapsed="false">
      <c r="B26" s="7" t="s">
        <v>311</v>
      </c>
      <c r="C26" s="45" t="n">
        <v>0.2</v>
      </c>
      <c r="D26" s="6" t="s">
        <v>312</v>
      </c>
      <c r="E26" s="6"/>
    </row>
    <row r="27" customFormat="false" ht="15" hidden="false" customHeight="true" outlineLevel="0" collapsed="false">
      <c r="B27" s="7" t="s">
        <v>53</v>
      </c>
      <c r="C27" s="45" t="n">
        <v>0.5</v>
      </c>
      <c r="D27" s="6" t="s">
        <v>313</v>
      </c>
      <c r="E27" s="6"/>
    </row>
    <row r="28" customFormat="false" ht="15" hidden="false" customHeight="true" outlineLevel="0" collapsed="false">
      <c r="B28" s="7" t="s">
        <v>314</v>
      </c>
      <c r="C28" s="45" t="n">
        <v>0.3</v>
      </c>
      <c r="D28" s="6" t="s">
        <v>315</v>
      </c>
      <c r="E28" s="6"/>
    </row>
    <row r="29" customFormat="false" ht="15" hidden="false" customHeight="false" outlineLevel="0" collapsed="false">
      <c r="B29" s="7" t="s">
        <v>316</v>
      </c>
      <c r="C29" s="29" t="n">
        <f aca="false">SUM(C26:C28)</f>
        <v>1</v>
      </c>
      <c r="D29" s="49" t="str">
        <f aca="false">IF(ABS(C29-1)&lt;0.0001,"OK","ERROR – round weights must total 100%")</f>
        <v>OK</v>
      </c>
      <c r="E29" s="49"/>
    </row>
  </sheetData>
  <mergeCells count="12">
    <mergeCell ref="A1:F1"/>
    <mergeCell ref="A2:F2"/>
    <mergeCell ref="A3:F3"/>
    <mergeCell ref="D19:E19"/>
    <mergeCell ref="D20:E20"/>
    <mergeCell ref="D21:E21"/>
    <mergeCell ref="D22:E22"/>
    <mergeCell ref="D25:E25"/>
    <mergeCell ref="D26:E26"/>
    <mergeCell ref="D27:E27"/>
    <mergeCell ref="D28:E28"/>
    <mergeCell ref="D29:E29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&amp;L&amp;"Arial,Regular"SPDC/HR/F-INT-01  Rev R0&amp;R&amp;"Arial,Regular"Page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6"/>
    <col collapsed="false" customWidth="true" hidden="false" outlineLevel="0" max="4" min="4" style="1" width="12"/>
    <col collapsed="false" customWidth="true" hidden="false" outlineLevel="0" max="7" min="5" style="1" width="10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32"/>
    <col collapsed="false" customWidth="true" hidden="false" outlineLevel="0" max="13" min="13" style="1" width="3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317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4" t="s">
        <v>318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customFormat="false" ht="15" hidden="false" customHeight="true" outlineLevel="0" collapsed="false">
      <c r="B5" s="13" t="s">
        <v>319</v>
      </c>
      <c r="C5" s="13"/>
      <c r="D5" s="17" t="n">
        <f aca="false">COUNTA(B8:B57)</f>
        <v>4</v>
      </c>
      <c r="E5" s="13" t="s">
        <v>320</v>
      </c>
      <c r="F5" s="13"/>
      <c r="G5" s="13"/>
      <c r="H5" s="17" t="n">
        <f aca="false">COUNTIF(K8:K57,"A")+COUNTIF(K8:K57,"B")-COUNTIFS(I8:I57,"Y",K8:K57,"A")-COUNTIFS(I8:I57,"Y",K8:K57,"B")</f>
        <v>2</v>
      </c>
    </row>
    <row r="7" customFormat="false" ht="30" hidden="false" customHeight="true" outlineLevel="0" collapsed="false">
      <c r="A7" s="16" t="s">
        <v>321</v>
      </c>
      <c r="B7" s="16" t="s">
        <v>45</v>
      </c>
      <c r="C7" s="16" t="s">
        <v>322</v>
      </c>
      <c r="D7" s="16" t="s">
        <v>323</v>
      </c>
      <c r="E7" s="16" t="s">
        <v>324</v>
      </c>
      <c r="F7" s="16" t="s">
        <v>325</v>
      </c>
      <c r="G7" s="16" t="s">
        <v>326</v>
      </c>
      <c r="H7" s="16" t="s">
        <v>327</v>
      </c>
      <c r="I7" s="16" t="s">
        <v>328</v>
      </c>
      <c r="J7" s="16" t="s">
        <v>329</v>
      </c>
      <c r="K7" s="16" t="s">
        <v>284</v>
      </c>
      <c r="L7" s="16" t="s">
        <v>286</v>
      </c>
      <c r="M7" s="16" t="s">
        <v>330</v>
      </c>
    </row>
    <row r="8" customFormat="false" ht="15" hidden="false" customHeight="false" outlineLevel="0" collapsed="false">
      <c r="A8" s="23" t="n">
        <v>1</v>
      </c>
      <c r="B8" s="14" t="s">
        <v>331</v>
      </c>
      <c r="C8" s="14" t="s">
        <v>50</v>
      </c>
      <c r="D8" s="20" t="s">
        <v>332</v>
      </c>
      <c r="E8" s="45" t="n">
        <v>0.78</v>
      </c>
      <c r="F8" s="45" t="n">
        <v>0.82</v>
      </c>
      <c r="G8" s="45" t="n">
        <v>0.8</v>
      </c>
      <c r="H8" s="50" t="n">
        <f aca="false">IF(COUNT(E8:G8)=0,"",(IF(E8="",0,E8*Rating_Scale!$C$26)+IF(F8="",0,F8*Rating_Scale!$C$27)+IF(G8="",0,G8*Rating_Scale!$C$28))/(IF(E8="",0,Rating_Scale!$C$26)+IF(F8="",0,Rating_Scale!$C$27)+IF(G8="",0,Rating_Scale!$C$28)))</f>
        <v>0.806</v>
      </c>
      <c r="I8" s="20" t="s">
        <v>333</v>
      </c>
      <c r="J8" s="51" t="n">
        <f aca="false">IF(OR(H8="",C8=""),"",COUNTIFS($C$8:$C$57,C8,$H$8:$H$57,"&gt;"&amp;H8)+1)</f>
        <v>2</v>
      </c>
      <c r="K8" s="17" t="str">
        <f aca="false">IF(H8="","",IF(H8&gt;=Rating_Scale!$C$13,"A",IF(H8&gt;=Rating_Scale!$C$14,"B",IF(H8&gt;=Rating_Scale!$C$15,"C","D"))))</f>
        <v>B</v>
      </c>
      <c r="L8" s="11" t="str">
        <f aca="false">IF(H8="","",IF(I8="Y","Not Recommended – Knock-out",IF(COUNT(E8:G8)&lt;3,"Interim – rounds pending ("&amp;INDEX(Rating_Scale!$D$13:$D$16,MATCH(K8,Rating_Scale!$B$13:$B$16,0))&amp;")",INDEX(Rating_Scale!$D$13:$D$16,MATCH(K8,Rating_Scale!$B$13:$B$16,0)))))</f>
        <v>Recommended</v>
      </c>
      <c r="M8" s="14"/>
    </row>
    <row r="9" customFormat="false" ht="15" hidden="false" customHeight="false" outlineLevel="0" collapsed="false">
      <c r="A9" s="23" t="n">
        <v>2</v>
      </c>
      <c r="B9" s="14" t="s">
        <v>334</v>
      </c>
      <c r="C9" s="14" t="s">
        <v>50</v>
      </c>
      <c r="D9" s="20" t="s">
        <v>335</v>
      </c>
      <c r="E9" s="45" t="n">
        <v>0.72</v>
      </c>
      <c r="F9" s="45" t="n">
        <v>0.88</v>
      </c>
      <c r="G9" s="45"/>
      <c r="H9" s="50" t="n">
        <f aca="false">IF(COUNT(E9:G9)=0,"",(IF(E9="",0,E9*Rating_Scale!$C$26)+IF(F9="",0,F9*Rating_Scale!$C$27)+IF(G9="",0,G9*Rating_Scale!$C$28))/(IF(E9="",0,Rating_Scale!$C$26)+IF(F9="",0,Rating_Scale!$C$27)+IF(G9="",0,Rating_Scale!$C$28)))</f>
        <v>0.834285714285714</v>
      </c>
      <c r="I9" s="20" t="s">
        <v>333</v>
      </c>
      <c r="J9" s="51" t="n">
        <f aca="false">IF(OR(H9="",C9=""),"",COUNTIFS($C$8:$C$57,C9,$H$8:$H$57,"&gt;"&amp;H9)+1)</f>
        <v>1</v>
      </c>
      <c r="K9" s="17" t="str">
        <f aca="false">IF(H9="","",IF(H9&gt;=Rating_Scale!$C$13,"A",IF(H9&gt;=Rating_Scale!$C$14,"B",IF(H9&gt;=Rating_Scale!$C$15,"C","D"))))</f>
        <v>B</v>
      </c>
      <c r="L9" s="11" t="str">
        <f aca="false">IF(H9="","",IF(I9="Y","Not Recommended – Knock-out",IF(COUNT(E9:G9)&lt;3,"Interim – rounds pending ("&amp;INDEX(Rating_Scale!$D$13:$D$16,MATCH(K9,Rating_Scale!$B$13:$B$16,0))&amp;")",INDEX(Rating_Scale!$D$13:$D$16,MATCH(K9,Rating_Scale!$B$13:$B$16,0)))))</f>
        <v>Interim – rounds pending (Recommended)</v>
      </c>
      <c r="M9" s="14"/>
    </row>
    <row r="10" customFormat="false" ht="15" hidden="false" customHeight="false" outlineLevel="0" collapsed="false">
      <c r="A10" s="23" t="n">
        <v>3</v>
      </c>
      <c r="B10" s="14" t="s">
        <v>336</v>
      </c>
      <c r="C10" s="14" t="s">
        <v>50</v>
      </c>
      <c r="D10" s="20" t="s">
        <v>335</v>
      </c>
      <c r="E10" s="45" t="n">
        <v>0.8</v>
      </c>
      <c r="F10" s="45" t="n">
        <v>0.74</v>
      </c>
      <c r="G10" s="45" t="n">
        <v>0.7</v>
      </c>
      <c r="H10" s="50" t="n">
        <f aca="false">IF(COUNT(E10:G10)=0,"",(IF(E10="",0,E10*Rating_Scale!$C$26)+IF(F10="",0,F10*Rating_Scale!$C$27)+IF(G10="",0,G10*Rating_Scale!$C$28))/(IF(E10="",0,Rating_Scale!$C$26)+IF(F10="",0,Rating_Scale!$C$27)+IF(G10="",0,Rating_Scale!$C$28)))</f>
        <v>0.74</v>
      </c>
      <c r="I10" s="20" t="s">
        <v>337</v>
      </c>
      <c r="J10" s="51" t="n">
        <f aca="false">IF(OR(H10="",C10=""),"",COUNTIFS($C$8:$C$57,C10,$H$8:$H$57,"&gt;"&amp;H10)+1)</f>
        <v>3</v>
      </c>
      <c r="K10" s="17" t="str">
        <f aca="false">IF(H10="","",IF(H10&gt;=Rating_Scale!$C$13,"A",IF(H10&gt;=Rating_Scale!$C$14,"B",IF(H10&gt;=Rating_Scale!$C$15,"C","D"))))</f>
        <v>C</v>
      </c>
      <c r="L10" s="11" t="str">
        <f aca="false">IF(H10="","",IF(I10="Y","Not Recommended – Knock-out",IF(COUNT(E10:G10)&lt;3,"Interim – rounds pending ("&amp;INDEX(Rating_Scale!$D$13:$D$16,MATCH(K10,Rating_Scale!$B$13:$B$16,0))&amp;")",INDEX(Rating_Scale!$D$13:$D$16,MATCH(K10,Rating_Scale!$B$13:$B$16,0)))))</f>
        <v>Not Recommended – Knock-out</v>
      </c>
      <c r="M10" s="14"/>
    </row>
    <row r="11" customFormat="false" ht="22.35" hidden="false" customHeight="false" outlineLevel="0" collapsed="false">
      <c r="A11" s="23" t="n">
        <v>4</v>
      </c>
      <c r="B11" s="14" t="s">
        <v>338</v>
      </c>
      <c r="C11" s="14" t="s">
        <v>115</v>
      </c>
      <c r="D11" s="20" t="s">
        <v>56</v>
      </c>
      <c r="E11" s="45" t="n">
        <v>0.7</v>
      </c>
      <c r="F11" s="45" t="n">
        <v>0.76</v>
      </c>
      <c r="G11" s="45"/>
      <c r="H11" s="50" t="n">
        <f aca="false">IF(COUNT(E11:G11)=0,"",(IF(E11="",0,E11*Rating_Scale!$C$26)+IF(F11="",0,F11*Rating_Scale!$C$27)+IF(G11="",0,G11*Rating_Scale!$C$28))/(IF(E11="",0,Rating_Scale!$C$26)+IF(F11="",0,Rating_Scale!$C$27)+IF(G11="",0,Rating_Scale!$C$28)))</f>
        <v>0.742857142857143</v>
      </c>
      <c r="I11" s="20" t="s">
        <v>333</v>
      </c>
      <c r="J11" s="51" t="n">
        <f aca="false">IF(OR(H11="",C11=""),"",COUNTIFS($C$8:$C$57,C11,$H$8:$H$57,"&gt;"&amp;H11)+1)</f>
        <v>1</v>
      </c>
      <c r="K11" s="17" t="str">
        <f aca="false">IF(H11="","",IF(H11&gt;=Rating_Scale!$C$13,"A",IF(H11&gt;=Rating_Scale!$C$14,"B",IF(H11&gt;=Rating_Scale!$C$15,"C","D"))))</f>
        <v>C</v>
      </c>
      <c r="L11" s="11" t="str">
        <f aca="false">IF(H11="","",IF(I11="Y","Not Recommended – Knock-out",IF(COUNT(E11:G11)&lt;3,"Interim – rounds pending ("&amp;INDEX(Rating_Scale!$D$13:$D$16,MATCH(K11,Rating_Scale!$B$13:$B$16,0))&amp;")",INDEX(Rating_Scale!$D$13:$D$16,MATCH(K11,Rating_Scale!$B$13:$B$16,0)))))</f>
        <v>Interim – rounds pending (Hold / Consider for lower grade)</v>
      </c>
      <c r="M11" s="14"/>
    </row>
    <row r="12" customFormat="false" ht="15" hidden="false" customHeight="false" outlineLevel="0" collapsed="false">
      <c r="A12" s="23" t="n">
        <v>5</v>
      </c>
      <c r="B12" s="14"/>
      <c r="C12" s="14"/>
      <c r="D12" s="20"/>
      <c r="E12" s="45"/>
      <c r="F12" s="45"/>
      <c r="G12" s="45"/>
      <c r="H12" s="50" t="str">
        <f aca="false">IF(COUNT(E12:G12)=0,"",(IF(E12="",0,E12*Rating_Scale!$C$26)+IF(F12="",0,F12*Rating_Scale!$C$27)+IF(G12="",0,G12*Rating_Scale!$C$28))/(IF(E12="",0,Rating_Scale!$C$26)+IF(F12="",0,Rating_Scale!$C$27)+IF(G12="",0,Rating_Scale!$C$28)))</f>
        <v/>
      </c>
      <c r="I12" s="20"/>
      <c r="J12" s="51" t="str">
        <f aca="false">IF(OR(H12="",C12=""),"",COUNTIFS($C$8:$C$57,C12,$H$8:$H$57,"&gt;"&amp;H12)+1)</f>
        <v/>
      </c>
      <c r="K12" s="17" t="str">
        <f aca="false">IF(H12="","",IF(H12&gt;=Rating_Scale!$C$13,"A",IF(H12&gt;=Rating_Scale!$C$14,"B",IF(H12&gt;=Rating_Scale!$C$15,"C","D"))))</f>
        <v/>
      </c>
      <c r="L12" s="11" t="str">
        <f aca="false">IF(H12="","",IF(I12="Y","Not Recommended – Knock-out",IF(COUNT(E12:G12)&lt;3,"Interim – rounds pending ("&amp;INDEX(Rating_Scale!$D$13:$D$16,MATCH(K12,Rating_Scale!$B$13:$B$16,0))&amp;")",INDEX(Rating_Scale!$D$13:$D$16,MATCH(K12,Rating_Scale!$B$13:$B$16,0)))))</f>
        <v/>
      </c>
      <c r="M12" s="14"/>
    </row>
    <row r="13" customFormat="false" ht="15" hidden="false" customHeight="false" outlineLevel="0" collapsed="false">
      <c r="A13" s="23" t="n">
        <v>6</v>
      </c>
      <c r="B13" s="14"/>
      <c r="C13" s="14"/>
      <c r="D13" s="20"/>
      <c r="E13" s="45"/>
      <c r="F13" s="45"/>
      <c r="G13" s="45"/>
      <c r="H13" s="50" t="str">
        <f aca="false">IF(COUNT(E13:G13)=0,"",(IF(E13="",0,E13*Rating_Scale!$C$26)+IF(F13="",0,F13*Rating_Scale!$C$27)+IF(G13="",0,G13*Rating_Scale!$C$28))/(IF(E13="",0,Rating_Scale!$C$26)+IF(F13="",0,Rating_Scale!$C$27)+IF(G13="",0,Rating_Scale!$C$28)))</f>
        <v/>
      </c>
      <c r="I13" s="20"/>
      <c r="J13" s="51" t="str">
        <f aca="false">IF(OR(H13="",C13=""),"",COUNTIFS($C$8:$C$57,C13,$H$8:$H$57,"&gt;"&amp;H13)+1)</f>
        <v/>
      </c>
      <c r="K13" s="17" t="str">
        <f aca="false">IF(H13="","",IF(H13&gt;=Rating_Scale!$C$13,"A",IF(H13&gt;=Rating_Scale!$C$14,"B",IF(H13&gt;=Rating_Scale!$C$15,"C","D"))))</f>
        <v/>
      </c>
      <c r="L13" s="11" t="str">
        <f aca="false">IF(H13="","",IF(I13="Y","Not Recommended – Knock-out",IF(COUNT(E13:G13)&lt;3,"Interim – rounds pending ("&amp;INDEX(Rating_Scale!$D$13:$D$16,MATCH(K13,Rating_Scale!$B$13:$B$16,0))&amp;")",INDEX(Rating_Scale!$D$13:$D$16,MATCH(K13,Rating_Scale!$B$13:$B$16,0)))))</f>
        <v/>
      </c>
      <c r="M13" s="14"/>
    </row>
    <row r="14" customFormat="false" ht="15" hidden="false" customHeight="false" outlineLevel="0" collapsed="false">
      <c r="A14" s="23" t="n">
        <v>7</v>
      </c>
      <c r="B14" s="14"/>
      <c r="C14" s="14"/>
      <c r="D14" s="20"/>
      <c r="E14" s="45"/>
      <c r="F14" s="45"/>
      <c r="G14" s="45"/>
      <c r="H14" s="50" t="str">
        <f aca="false">IF(COUNT(E14:G14)=0,"",(IF(E14="",0,E14*Rating_Scale!$C$26)+IF(F14="",0,F14*Rating_Scale!$C$27)+IF(G14="",0,G14*Rating_Scale!$C$28))/(IF(E14="",0,Rating_Scale!$C$26)+IF(F14="",0,Rating_Scale!$C$27)+IF(G14="",0,Rating_Scale!$C$28)))</f>
        <v/>
      </c>
      <c r="I14" s="20"/>
      <c r="J14" s="51" t="str">
        <f aca="false">IF(OR(H14="",C14=""),"",COUNTIFS($C$8:$C$57,C14,$H$8:$H$57,"&gt;"&amp;H14)+1)</f>
        <v/>
      </c>
      <c r="K14" s="17" t="str">
        <f aca="false">IF(H14="","",IF(H14&gt;=Rating_Scale!$C$13,"A",IF(H14&gt;=Rating_Scale!$C$14,"B",IF(H14&gt;=Rating_Scale!$C$15,"C","D"))))</f>
        <v/>
      </c>
      <c r="L14" s="11" t="str">
        <f aca="false">IF(H14="","",IF(I14="Y","Not Recommended – Knock-out",IF(COUNT(E14:G14)&lt;3,"Interim – rounds pending ("&amp;INDEX(Rating_Scale!$D$13:$D$16,MATCH(K14,Rating_Scale!$B$13:$B$16,0))&amp;")",INDEX(Rating_Scale!$D$13:$D$16,MATCH(K14,Rating_Scale!$B$13:$B$16,0)))))</f>
        <v/>
      </c>
      <c r="M14" s="14"/>
    </row>
    <row r="15" customFormat="false" ht="15" hidden="false" customHeight="false" outlineLevel="0" collapsed="false">
      <c r="A15" s="23" t="n">
        <v>8</v>
      </c>
      <c r="B15" s="14"/>
      <c r="C15" s="14"/>
      <c r="D15" s="20"/>
      <c r="E15" s="45"/>
      <c r="F15" s="45"/>
      <c r="G15" s="45"/>
      <c r="H15" s="50" t="str">
        <f aca="false">IF(COUNT(E15:G15)=0,"",(IF(E15="",0,E15*Rating_Scale!$C$26)+IF(F15="",0,F15*Rating_Scale!$C$27)+IF(G15="",0,G15*Rating_Scale!$C$28))/(IF(E15="",0,Rating_Scale!$C$26)+IF(F15="",0,Rating_Scale!$C$27)+IF(G15="",0,Rating_Scale!$C$28)))</f>
        <v/>
      </c>
      <c r="I15" s="20"/>
      <c r="J15" s="51" t="str">
        <f aca="false">IF(OR(H15="",C15=""),"",COUNTIFS($C$8:$C$57,C15,$H$8:$H$57,"&gt;"&amp;H15)+1)</f>
        <v/>
      </c>
      <c r="K15" s="17" t="str">
        <f aca="false">IF(H15="","",IF(H15&gt;=Rating_Scale!$C$13,"A",IF(H15&gt;=Rating_Scale!$C$14,"B",IF(H15&gt;=Rating_Scale!$C$15,"C","D"))))</f>
        <v/>
      </c>
      <c r="L15" s="11" t="str">
        <f aca="false">IF(H15="","",IF(I15="Y","Not Recommended – Knock-out",IF(COUNT(E15:G15)&lt;3,"Interim – rounds pending ("&amp;INDEX(Rating_Scale!$D$13:$D$16,MATCH(K15,Rating_Scale!$B$13:$B$16,0))&amp;")",INDEX(Rating_Scale!$D$13:$D$16,MATCH(K15,Rating_Scale!$B$13:$B$16,0)))))</f>
        <v/>
      </c>
      <c r="M15" s="14"/>
    </row>
    <row r="16" customFormat="false" ht="15" hidden="false" customHeight="false" outlineLevel="0" collapsed="false">
      <c r="A16" s="23" t="n">
        <v>9</v>
      </c>
      <c r="B16" s="14"/>
      <c r="C16" s="14"/>
      <c r="D16" s="20"/>
      <c r="E16" s="45"/>
      <c r="F16" s="45"/>
      <c r="G16" s="45"/>
      <c r="H16" s="50" t="str">
        <f aca="false">IF(COUNT(E16:G16)=0,"",(IF(E16="",0,E16*Rating_Scale!$C$26)+IF(F16="",0,F16*Rating_Scale!$C$27)+IF(G16="",0,G16*Rating_Scale!$C$28))/(IF(E16="",0,Rating_Scale!$C$26)+IF(F16="",0,Rating_Scale!$C$27)+IF(G16="",0,Rating_Scale!$C$28)))</f>
        <v/>
      </c>
      <c r="I16" s="20"/>
      <c r="J16" s="51" t="str">
        <f aca="false">IF(OR(H16="",C16=""),"",COUNTIFS($C$8:$C$57,C16,$H$8:$H$57,"&gt;"&amp;H16)+1)</f>
        <v/>
      </c>
      <c r="K16" s="17" t="str">
        <f aca="false">IF(H16="","",IF(H16&gt;=Rating_Scale!$C$13,"A",IF(H16&gt;=Rating_Scale!$C$14,"B",IF(H16&gt;=Rating_Scale!$C$15,"C","D"))))</f>
        <v/>
      </c>
      <c r="L16" s="11" t="str">
        <f aca="false">IF(H16="","",IF(I16="Y","Not Recommended – Knock-out",IF(COUNT(E16:G16)&lt;3,"Interim – rounds pending ("&amp;INDEX(Rating_Scale!$D$13:$D$16,MATCH(K16,Rating_Scale!$B$13:$B$16,0))&amp;")",INDEX(Rating_Scale!$D$13:$D$16,MATCH(K16,Rating_Scale!$B$13:$B$16,0)))))</f>
        <v/>
      </c>
      <c r="M16" s="14"/>
    </row>
    <row r="17" customFormat="false" ht="15" hidden="false" customHeight="false" outlineLevel="0" collapsed="false">
      <c r="A17" s="23" t="n">
        <v>10</v>
      </c>
      <c r="B17" s="14"/>
      <c r="C17" s="14"/>
      <c r="D17" s="20"/>
      <c r="E17" s="45"/>
      <c r="F17" s="45"/>
      <c r="G17" s="45"/>
      <c r="H17" s="50" t="str">
        <f aca="false">IF(COUNT(E17:G17)=0,"",(IF(E17="",0,E17*Rating_Scale!$C$26)+IF(F17="",0,F17*Rating_Scale!$C$27)+IF(G17="",0,G17*Rating_Scale!$C$28))/(IF(E17="",0,Rating_Scale!$C$26)+IF(F17="",0,Rating_Scale!$C$27)+IF(G17="",0,Rating_Scale!$C$28)))</f>
        <v/>
      </c>
      <c r="I17" s="20"/>
      <c r="J17" s="51" t="str">
        <f aca="false">IF(OR(H17="",C17=""),"",COUNTIFS($C$8:$C$57,C17,$H$8:$H$57,"&gt;"&amp;H17)+1)</f>
        <v/>
      </c>
      <c r="K17" s="17" t="str">
        <f aca="false">IF(H17="","",IF(H17&gt;=Rating_Scale!$C$13,"A",IF(H17&gt;=Rating_Scale!$C$14,"B",IF(H17&gt;=Rating_Scale!$C$15,"C","D"))))</f>
        <v/>
      </c>
      <c r="L17" s="11" t="str">
        <f aca="false">IF(H17="","",IF(I17="Y","Not Recommended – Knock-out",IF(COUNT(E17:G17)&lt;3,"Interim – rounds pending ("&amp;INDEX(Rating_Scale!$D$13:$D$16,MATCH(K17,Rating_Scale!$B$13:$B$16,0))&amp;")",INDEX(Rating_Scale!$D$13:$D$16,MATCH(K17,Rating_Scale!$B$13:$B$16,0)))))</f>
        <v/>
      </c>
      <c r="M17" s="14"/>
    </row>
    <row r="18" customFormat="false" ht="15" hidden="false" customHeight="false" outlineLevel="0" collapsed="false">
      <c r="A18" s="23" t="n">
        <v>11</v>
      </c>
      <c r="B18" s="14"/>
      <c r="C18" s="14"/>
      <c r="D18" s="20"/>
      <c r="E18" s="45"/>
      <c r="F18" s="45"/>
      <c r="G18" s="45"/>
      <c r="H18" s="50" t="str">
        <f aca="false">IF(COUNT(E18:G18)=0,"",(IF(E18="",0,E18*Rating_Scale!$C$26)+IF(F18="",0,F18*Rating_Scale!$C$27)+IF(G18="",0,G18*Rating_Scale!$C$28))/(IF(E18="",0,Rating_Scale!$C$26)+IF(F18="",0,Rating_Scale!$C$27)+IF(G18="",0,Rating_Scale!$C$28)))</f>
        <v/>
      </c>
      <c r="I18" s="20"/>
      <c r="J18" s="51" t="str">
        <f aca="false">IF(OR(H18="",C18=""),"",COUNTIFS($C$8:$C$57,C18,$H$8:$H$57,"&gt;"&amp;H18)+1)</f>
        <v/>
      </c>
      <c r="K18" s="17" t="str">
        <f aca="false">IF(H18="","",IF(H18&gt;=Rating_Scale!$C$13,"A",IF(H18&gt;=Rating_Scale!$C$14,"B",IF(H18&gt;=Rating_Scale!$C$15,"C","D"))))</f>
        <v/>
      </c>
      <c r="L18" s="11" t="str">
        <f aca="false">IF(H18="","",IF(I18="Y","Not Recommended – Knock-out",IF(COUNT(E18:G18)&lt;3,"Interim – rounds pending ("&amp;INDEX(Rating_Scale!$D$13:$D$16,MATCH(K18,Rating_Scale!$B$13:$B$16,0))&amp;")",INDEX(Rating_Scale!$D$13:$D$16,MATCH(K18,Rating_Scale!$B$13:$B$16,0)))))</f>
        <v/>
      </c>
      <c r="M18" s="14"/>
    </row>
    <row r="19" customFormat="false" ht="15" hidden="false" customHeight="false" outlineLevel="0" collapsed="false">
      <c r="A19" s="23" t="n">
        <v>12</v>
      </c>
      <c r="B19" s="14"/>
      <c r="C19" s="14"/>
      <c r="D19" s="20"/>
      <c r="E19" s="45"/>
      <c r="F19" s="45"/>
      <c r="G19" s="45"/>
      <c r="H19" s="50" t="str">
        <f aca="false">IF(COUNT(E19:G19)=0,"",(IF(E19="",0,E19*Rating_Scale!$C$26)+IF(F19="",0,F19*Rating_Scale!$C$27)+IF(G19="",0,G19*Rating_Scale!$C$28))/(IF(E19="",0,Rating_Scale!$C$26)+IF(F19="",0,Rating_Scale!$C$27)+IF(G19="",0,Rating_Scale!$C$28)))</f>
        <v/>
      </c>
      <c r="I19" s="20"/>
      <c r="J19" s="51" t="str">
        <f aca="false">IF(OR(H19="",C19=""),"",COUNTIFS($C$8:$C$57,C19,$H$8:$H$57,"&gt;"&amp;H19)+1)</f>
        <v/>
      </c>
      <c r="K19" s="17" t="str">
        <f aca="false">IF(H19="","",IF(H19&gt;=Rating_Scale!$C$13,"A",IF(H19&gt;=Rating_Scale!$C$14,"B",IF(H19&gt;=Rating_Scale!$C$15,"C","D"))))</f>
        <v/>
      </c>
      <c r="L19" s="11" t="str">
        <f aca="false">IF(H19="","",IF(I19="Y","Not Recommended – Knock-out",IF(COUNT(E19:G19)&lt;3,"Interim – rounds pending ("&amp;INDEX(Rating_Scale!$D$13:$D$16,MATCH(K19,Rating_Scale!$B$13:$B$16,0))&amp;")",INDEX(Rating_Scale!$D$13:$D$16,MATCH(K19,Rating_Scale!$B$13:$B$16,0)))))</f>
        <v/>
      </c>
      <c r="M19" s="14"/>
    </row>
    <row r="20" customFormat="false" ht="15" hidden="false" customHeight="false" outlineLevel="0" collapsed="false">
      <c r="A20" s="23" t="n">
        <v>13</v>
      </c>
      <c r="B20" s="14"/>
      <c r="C20" s="14"/>
      <c r="D20" s="20"/>
      <c r="E20" s="45"/>
      <c r="F20" s="45"/>
      <c r="G20" s="45"/>
      <c r="H20" s="50" t="str">
        <f aca="false">IF(COUNT(E20:G20)=0,"",(IF(E20="",0,E20*Rating_Scale!$C$26)+IF(F20="",0,F20*Rating_Scale!$C$27)+IF(G20="",0,G20*Rating_Scale!$C$28))/(IF(E20="",0,Rating_Scale!$C$26)+IF(F20="",0,Rating_Scale!$C$27)+IF(G20="",0,Rating_Scale!$C$28)))</f>
        <v/>
      </c>
      <c r="I20" s="20"/>
      <c r="J20" s="51" t="str">
        <f aca="false">IF(OR(H20="",C20=""),"",COUNTIFS($C$8:$C$57,C20,$H$8:$H$57,"&gt;"&amp;H20)+1)</f>
        <v/>
      </c>
      <c r="K20" s="17" t="str">
        <f aca="false">IF(H20="","",IF(H20&gt;=Rating_Scale!$C$13,"A",IF(H20&gt;=Rating_Scale!$C$14,"B",IF(H20&gt;=Rating_Scale!$C$15,"C","D"))))</f>
        <v/>
      </c>
      <c r="L20" s="11" t="str">
        <f aca="false">IF(H20="","",IF(I20="Y","Not Recommended – Knock-out",IF(COUNT(E20:G20)&lt;3,"Interim – rounds pending ("&amp;INDEX(Rating_Scale!$D$13:$D$16,MATCH(K20,Rating_Scale!$B$13:$B$16,0))&amp;")",INDEX(Rating_Scale!$D$13:$D$16,MATCH(K20,Rating_Scale!$B$13:$B$16,0)))))</f>
        <v/>
      </c>
      <c r="M20" s="14"/>
    </row>
    <row r="21" customFormat="false" ht="15" hidden="false" customHeight="false" outlineLevel="0" collapsed="false">
      <c r="A21" s="23" t="n">
        <v>14</v>
      </c>
      <c r="B21" s="14"/>
      <c r="C21" s="14"/>
      <c r="D21" s="20"/>
      <c r="E21" s="45"/>
      <c r="F21" s="45"/>
      <c r="G21" s="45"/>
      <c r="H21" s="50" t="str">
        <f aca="false">IF(COUNT(E21:G21)=0,"",(IF(E21="",0,E21*Rating_Scale!$C$26)+IF(F21="",0,F21*Rating_Scale!$C$27)+IF(G21="",0,G21*Rating_Scale!$C$28))/(IF(E21="",0,Rating_Scale!$C$26)+IF(F21="",0,Rating_Scale!$C$27)+IF(G21="",0,Rating_Scale!$C$28)))</f>
        <v/>
      </c>
      <c r="I21" s="20"/>
      <c r="J21" s="51" t="str">
        <f aca="false">IF(OR(H21="",C21=""),"",COUNTIFS($C$8:$C$57,C21,$H$8:$H$57,"&gt;"&amp;H21)+1)</f>
        <v/>
      </c>
      <c r="K21" s="17" t="str">
        <f aca="false">IF(H21="","",IF(H21&gt;=Rating_Scale!$C$13,"A",IF(H21&gt;=Rating_Scale!$C$14,"B",IF(H21&gt;=Rating_Scale!$C$15,"C","D"))))</f>
        <v/>
      </c>
      <c r="L21" s="11" t="str">
        <f aca="false">IF(H21="","",IF(I21="Y","Not Recommended – Knock-out",IF(COUNT(E21:G21)&lt;3,"Interim – rounds pending ("&amp;INDEX(Rating_Scale!$D$13:$D$16,MATCH(K21,Rating_Scale!$B$13:$B$16,0))&amp;")",INDEX(Rating_Scale!$D$13:$D$16,MATCH(K21,Rating_Scale!$B$13:$B$16,0)))))</f>
        <v/>
      </c>
      <c r="M21" s="14"/>
    </row>
    <row r="22" customFormat="false" ht="15" hidden="false" customHeight="false" outlineLevel="0" collapsed="false">
      <c r="A22" s="23" t="n">
        <v>15</v>
      </c>
      <c r="B22" s="14"/>
      <c r="C22" s="14"/>
      <c r="D22" s="20"/>
      <c r="E22" s="45"/>
      <c r="F22" s="45"/>
      <c r="G22" s="45"/>
      <c r="H22" s="50" t="str">
        <f aca="false">IF(COUNT(E22:G22)=0,"",(IF(E22="",0,E22*Rating_Scale!$C$26)+IF(F22="",0,F22*Rating_Scale!$C$27)+IF(G22="",0,G22*Rating_Scale!$C$28))/(IF(E22="",0,Rating_Scale!$C$26)+IF(F22="",0,Rating_Scale!$C$27)+IF(G22="",0,Rating_Scale!$C$28)))</f>
        <v/>
      </c>
      <c r="I22" s="20"/>
      <c r="J22" s="51" t="str">
        <f aca="false">IF(OR(H22="",C22=""),"",COUNTIFS($C$8:$C$57,C22,$H$8:$H$57,"&gt;"&amp;H22)+1)</f>
        <v/>
      </c>
      <c r="K22" s="17" t="str">
        <f aca="false">IF(H22="","",IF(H22&gt;=Rating_Scale!$C$13,"A",IF(H22&gt;=Rating_Scale!$C$14,"B",IF(H22&gt;=Rating_Scale!$C$15,"C","D"))))</f>
        <v/>
      </c>
      <c r="L22" s="11" t="str">
        <f aca="false">IF(H22="","",IF(I22="Y","Not Recommended – Knock-out",IF(COUNT(E22:G22)&lt;3,"Interim – rounds pending ("&amp;INDEX(Rating_Scale!$D$13:$D$16,MATCH(K22,Rating_Scale!$B$13:$B$16,0))&amp;")",INDEX(Rating_Scale!$D$13:$D$16,MATCH(K22,Rating_Scale!$B$13:$B$16,0)))))</f>
        <v/>
      </c>
      <c r="M22" s="14"/>
    </row>
    <row r="23" customFormat="false" ht="15" hidden="false" customHeight="false" outlineLevel="0" collapsed="false">
      <c r="A23" s="23" t="n">
        <v>16</v>
      </c>
      <c r="B23" s="14"/>
      <c r="C23" s="14"/>
      <c r="D23" s="20"/>
      <c r="E23" s="45"/>
      <c r="F23" s="45"/>
      <c r="G23" s="45"/>
      <c r="H23" s="50" t="str">
        <f aca="false">IF(COUNT(E23:G23)=0,"",(IF(E23="",0,E23*Rating_Scale!$C$26)+IF(F23="",0,F23*Rating_Scale!$C$27)+IF(G23="",0,G23*Rating_Scale!$C$28))/(IF(E23="",0,Rating_Scale!$C$26)+IF(F23="",0,Rating_Scale!$C$27)+IF(G23="",0,Rating_Scale!$C$28)))</f>
        <v/>
      </c>
      <c r="I23" s="20"/>
      <c r="J23" s="51" t="str">
        <f aca="false">IF(OR(H23="",C23=""),"",COUNTIFS($C$8:$C$57,C23,$H$8:$H$57,"&gt;"&amp;H23)+1)</f>
        <v/>
      </c>
      <c r="K23" s="17" t="str">
        <f aca="false">IF(H23="","",IF(H23&gt;=Rating_Scale!$C$13,"A",IF(H23&gt;=Rating_Scale!$C$14,"B",IF(H23&gt;=Rating_Scale!$C$15,"C","D"))))</f>
        <v/>
      </c>
      <c r="L23" s="11" t="str">
        <f aca="false">IF(H23="","",IF(I23="Y","Not Recommended – Knock-out",IF(COUNT(E23:G23)&lt;3,"Interim – rounds pending ("&amp;INDEX(Rating_Scale!$D$13:$D$16,MATCH(K23,Rating_Scale!$B$13:$B$16,0))&amp;")",INDEX(Rating_Scale!$D$13:$D$16,MATCH(K23,Rating_Scale!$B$13:$B$16,0)))))</f>
        <v/>
      </c>
      <c r="M23" s="14"/>
    </row>
    <row r="24" customFormat="false" ht="15" hidden="false" customHeight="false" outlineLevel="0" collapsed="false">
      <c r="A24" s="23" t="n">
        <v>17</v>
      </c>
      <c r="B24" s="14"/>
      <c r="C24" s="14"/>
      <c r="D24" s="20"/>
      <c r="E24" s="45"/>
      <c r="F24" s="45"/>
      <c r="G24" s="45"/>
      <c r="H24" s="50" t="str">
        <f aca="false">IF(COUNT(E24:G24)=0,"",(IF(E24="",0,E24*Rating_Scale!$C$26)+IF(F24="",0,F24*Rating_Scale!$C$27)+IF(G24="",0,G24*Rating_Scale!$C$28))/(IF(E24="",0,Rating_Scale!$C$26)+IF(F24="",0,Rating_Scale!$C$27)+IF(G24="",0,Rating_Scale!$C$28)))</f>
        <v/>
      </c>
      <c r="I24" s="20"/>
      <c r="J24" s="51" t="str">
        <f aca="false">IF(OR(H24="",C24=""),"",COUNTIFS($C$8:$C$57,C24,$H$8:$H$57,"&gt;"&amp;H24)+1)</f>
        <v/>
      </c>
      <c r="K24" s="17" t="str">
        <f aca="false">IF(H24="","",IF(H24&gt;=Rating_Scale!$C$13,"A",IF(H24&gt;=Rating_Scale!$C$14,"B",IF(H24&gt;=Rating_Scale!$C$15,"C","D"))))</f>
        <v/>
      </c>
      <c r="L24" s="11" t="str">
        <f aca="false">IF(H24="","",IF(I24="Y","Not Recommended – Knock-out",IF(COUNT(E24:G24)&lt;3,"Interim – rounds pending ("&amp;INDEX(Rating_Scale!$D$13:$D$16,MATCH(K24,Rating_Scale!$B$13:$B$16,0))&amp;")",INDEX(Rating_Scale!$D$13:$D$16,MATCH(K24,Rating_Scale!$B$13:$B$16,0)))))</f>
        <v/>
      </c>
      <c r="M24" s="14"/>
    </row>
    <row r="25" customFormat="false" ht="15" hidden="false" customHeight="false" outlineLevel="0" collapsed="false">
      <c r="A25" s="23" t="n">
        <v>18</v>
      </c>
      <c r="B25" s="14"/>
      <c r="C25" s="14"/>
      <c r="D25" s="20"/>
      <c r="E25" s="45"/>
      <c r="F25" s="45"/>
      <c r="G25" s="45"/>
      <c r="H25" s="50" t="str">
        <f aca="false">IF(COUNT(E25:G25)=0,"",(IF(E25="",0,E25*Rating_Scale!$C$26)+IF(F25="",0,F25*Rating_Scale!$C$27)+IF(G25="",0,G25*Rating_Scale!$C$28))/(IF(E25="",0,Rating_Scale!$C$26)+IF(F25="",0,Rating_Scale!$C$27)+IF(G25="",0,Rating_Scale!$C$28)))</f>
        <v/>
      </c>
      <c r="I25" s="20"/>
      <c r="J25" s="51" t="str">
        <f aca="false">IF(OR(H25="",C25=""),"",COUNTIFS($C$8:$C$57,C25,$H$8:$H$57,"&gt;"&amp;H25)+1)</f>
        <v/>
      </c>
      <c r="K25" s="17" t="str">
        <f aca="false">IF(H25="","",IF(H25&gt;=Rating_Scale!$C$13,"A",IF(H25&gt;=Rating_Scale!$C$14,"B",IF(H25&gt;=Rating_Scale!$C$15,"C","D"))))</f>
        <v/>
      </c>
      <c r="L25" s="11" t="str">
        <f aca="false">IF(H25="","",IF(I25="Y","Not Recommended – Knock-out",IF(COUNT(E25:G25)&lt;3,"Interim – rounds pending ("&amp;INDEX(Rating_Scale!$D$13:$D$16,MATCH(K25,Rating_Scale!$B$13:$B$16,0))&amp;")",INDEX(Rating_Scale!$D$13:$D$16,MATCH(K25,Rating_Scale!$B$13:$B$16,0)))))</f>
        <v/>
      </c>
      <c r="M25" s="14"/>
    </row>
    <row r="26" customFormat="false" ht="15" hidden="false" customHeight="false" outlineLevel="0" collapsed="false">
      <c r="A26" s="23" t="n">
        <v>19</v>
      </c>
      <c r="B26" s="14"/>
      <c r="C26" s="14"/>
      <c r="D26" s="20"/>
      <c r="E26" s="45"/>
      <c r="F26" s="45"/>
      <c r="G26" s="45"/>
      <c r="H26" s="50" t="str">
        <f aca="false">IF(COUNT(E26:G26)=0,"",(IF(E26="",0,E26*Rating_Scale!$C$26)+IF(F26="",0,F26*Rating_Scale!$C$27)+IF(G26="",0,G26*Rating_Scale!$C$28))/(IF(E26="",0,Rating_Scale!$C$26)+IF(F26="",0,Rating_Scale!$C$27)+IF(G26="",0,Rating_Scale!$C$28)))</f>
        <v/>
      </c>
      <c r="I26" s="20"/>
      <c r="J26" s="51" t="str">
        <f aca="false">IF(OR(H26="",C26=""),"",COUNTIFS($C$8:$C$57,C26,$H$8:$H$57,"&gt;"&amp;H26)+1)</f>
        <v/>
      </c>
      <c r="K26" s="17" t="str">
        <f aca="false">IF(H26="","",IF(H26&gt;=Rating_Scale!$C$13,"A",IF(H26&gt;=Rating_Scale!$C$14,"B",IF(H26&gt;=Rating_Scale!$C$15,"C","D"))))</f>
        <v/>
      </c>
      <c r="L26" s="11" t="str">
        <f aca="false">IF(H26="","",IF(I26="Y","Not Recommended – Knock-out",IF(COUNT(E26:G26)&lt;3,"Interim – rounds pending ("&amp;INDEX(Rating_Scale!$D$13:$D$16,MATCH(K26,Rating_Scale!$B$13:$B$16,0))&amp;")",INDEX(Rating_Scale!$D$13:$D$16,MATCH(K26,Rating_Scale!$B$13:$B$16,0)))))</f>
        <v/>
      </c>
      <c r="M26" s="14"/>
    </row>
    <row r="27" customFormat="false" ht="15" hidden="false" customHeight="false" outlineLevel="0" collapsed="false">
      <c r="A27" s="23" t="n">
        <v>20</v>
      </c>
      <c r="B27" s="14"/>
      <c r="C27" s="14"/>
      <c r="D27" s="20"/>
      <c r="E27" s="45"/>
      <c r="F27" s="45"/>
      <c r="G27" s="45"/>
      <c r="H27" s="50" t="str">
        <f aca="false">IF(COUNT(E27:G27)=0,"",(IF(E27="",0,E27*Rating_Scale!$C$26)+IF(F27="",0,F27*Rating_Scale!$C$27)+IF(G27="",0,G27*Rating_Scale!$C$28))/(IF(E27="",0,Rating_Scale!$C$26)+IF(F27="",0,Rating_Scale!$C$27)+IF(G27="",0,Rating_Scale!$C$28)))</f>
        <v/>
      </c>
      <c r="I27" s="20"/>
      <c r="J27" s="51" t="str">
        <f aca="false">IF(OR(H27="",C27=""),"",COUNTIFS($C$8:$C$57,C27,$H$8:$H$57,"&gt;"&amp;H27)+1)</f>
        <v/>
      </c>
      <c r="K27" s="17" t="str">
        <f aca="false">IF(H27="","",IF(H27&gt;=Rating_Scale!$C$13,"A",IF(H27&gt;=Rating_Scale!$C$14,"B",IF(H27&gt;=Rating_Scale!$C$15,"C","D"))))</f>
        <v/>
      </c>
      <c r="L27" s="11" t="str">
        <f aca="false">IF(H27="","",IF(I27="Y","Not Recommended – Knock-out",IF(COUNT(E27:G27)&lt;3,"Interim – rounds pending ("&amp;INDEX(Rating_Scale!$D$13:$D$16,MATCH(K27,Rating_Scale!$B$13:$B$16,0))&amp;")",INDEX(Rating_Scale!$D$13:$D$16,MATCH(K27,Rating_Scale!$B$13:$B$16,0)))))</f>
        <v/>
      </c>
      <c r="M27" s="14"/>
    </row>
    <row r="28" customFormat="false" ht="15" hidden="false" customHeight="false" outlineLevel="0" collapsed="false">
      <c r="A28" s="23" t="n">
        <v>21</v>
      </c>
      <c r="B28" s="14"/>
      <c r="C28" s="14"/>
      <c r="D28" s="20"/>
      <c r="E28" s="45"/>
      <c r="F28" s="45"/>
      <c r="G28" s="45"/>
      <c r="H28" s="50" t="str">
        <f aca="false">IF(COUNT(E28:G28)=0,"",(IF(E28="",0,E28*Rating_Scale!$C$26)+IF(F28="",0,F28*Rating_Scale!$C$27)+IF(G28="",0,G28*Rating_Scale!$C$28))/(IF(E28="",0,Rating_Scale!$C$26)+IF(F28="",0,Rating_Scale!$C$27)+IF(G28="",0,Rating_Scale!$C$28)))</f>
        <v/>
      </c>
      <c r="I28" s="20"/>
      <c r="J28" s="51" t="str">
        <f aca="false">IF(OR(H28="",C28=""),"",COUNTIFS($C$8:$C$57,C28,$H$8:$H$57,"&gt;"&amp;H28)+1)</f>
        <v/>
      </c>
      <c r="K28" s="17" t="str">
        <f aca="false">IF(H28="","",IF(H28&gt;=Rating_Scale!$C$13,"A",IF(H28&gt;=Rating_Scale!$C$14,"B",IF(H28&gt;=Rating_Scale!$C$15,"C","D"))))</f>
        <v/>
      </c>
      <c r="L28" s="11" t="str">
        <f aca="false">IF(H28="","",IF(I28="Y","Not Recommended – Knock-out",IF(COUNT(E28:G28)&lt;3,"Interim – rounds pending ("&amp;INDEX(Rating_Scale!$D$13:$D$16,MATCH(K28,Rating_Scale!$B$13:$B$16,0))&amp;")",INDEX(Rating_Scale!$D$13:$D$16,MATCH(K28,Rating_Scale!$B$13:$B$16,0)))))</f>
        <v/>
      </c>
      <c r="M28" s="14"/>
    </row>
    <row r="29" customFormat="false" ht="15" hidden="false" customHeight="false" outlineLevel="0" collapsed="false">
      <c r="A29" s="23" t="n">
        <v>22</v>
      </c>
      <c r="B29" s="14"/>
      <c r="C29" s="14"/>
      <c r="D29" s="20"/>
      <c r="E29" s="45"/>
      <c r="F29" s="45"/>
      <c r="G29" s="45"/>
      <c r="H29" s="50" t="str">
        <f aca="false">IF(COUNT(E29:G29)=0,"",(IF(E29="",0,E29*Rating_Scale!$C$26)+IF(F29="",0,F29*Rating_Scale!$C$27)+IF(G29="",0,G29*Rating_Scale!$C$28))/(IF(E29="",0,Rating_Scale!$C$26)+IF(F29="",0,Rating_Scale!$C$27)+IF(G29="",0,Rating_Scale!$C$28)))</f>
        <v/>
      </c>
      <c r="I29" s="20"/>
      <c r="J29" s="51" t="str">
        <f aca="false">IF(OR(H29="",C29=""),"",COUNTIFS($C$8:$C$57,C29,$H$8:$H$57,"&gt;"&amp;H29)+1)</f>
        <v/>
      </c>
      <c r="K29" s="17" t="str">
        <f aca="false">IF(H29="","",IF(H29&gt;=Rating_Scale!$C$13,"A",IF(H29&gt;=Rating_Scale!$C$14,"B",IF(H29&gt;=Rating_Scale!$C$15,"C","D"))))</f>
        <v/>
      </c>
      <c r="L29" s="11" t="str">
        <f aca="false">IF(H29="","",IF(I29="Y","Not Recommended – Knock-out",IF(COUNT(E29:G29)&lt;3,"Interim – rounds pending ("&amp;INDEX(Rating_Scale!$D$13:$D$16,MATCH(K29,Rating_Scale!$B$13:$B$16,0))&amp;")",INDEX(Rating_Scale!$D$13:$D$16,MATCH(K29,Rating_Scale!$B$13:$B$16,0)))))</f>
        <v/>
      </c>
      <c r="M29" s="14"/>
    </row>
    <row r="30" customFormat="false" ht="15" hidden="false" customHeight="false" outlineLevel="0" collapsed="false">
      <c r="A30" s="23" t="n">
        <v>23</v>
      </c>
      <c r="B30" s="14"/>
      <c r="C30" s="14"/>
      <c r="D30" s="20"/>
      <c r="E30" s="45"/>
      <c r="F30" s="45"/>
      <c r="G30" s="45"/>
      <c r="H30" s="50" t="str">
        <f aca="false">IF(COUNT(E30:G30)=0,"",(IF(E30="",0,E30*Rating_Scale!$C$26)+IF(F30="",0,F30*Rating_Scale!$C$27)+IF(G30="",0,G30*Rating_Scale!$C$28))/(IF(E30="",0,Rating_Scale!$C$26)+IF(F30="",0,Rating_Scale!$C$27)+IF(G30="",0,Rating_Scale!$C$28)))</f>
        <v/>
      </c>
      <c r="I30" s="20"/>
      <c r="J30" s="51" t="str">
        <f aca="false">IF(OR(H30="",C30=""),"",COUNTIFS($C$8:$C$57,C30,$H$8:$H$57,"&gt;"&amp;H30)+1)</f>
        <v/>
      </c>
      <c r="K30" s="17" t="str">
        <f aca="false">IF(H30="","",IF(H30&gt;=Rating_Scale!$C$13,"A",IF(H30&gt;=Rating_Scale!$C$14,"B",IF(H30&gt;=Rating_Scale!$C$15,"C","D"))))</f>
        <v/>
      </c>
      <c r="L30" s="11" t="str">
        <f aca="false">IF(H30="","",IF(I30="Y","Not Recommended – Knock-out",IF(COUNT(E30:G30)&lt;3,"Interim – rounds pending ("&amp;INDEX(Rating_Scale!$D$13:$D$16,MATCH(K30,Rating_Scale!$B$13:$B$16,0))&amp;")",INDEX(Rating_Scale!$D$13:$D$16,MATCH(K30,Rating_Scale!$B$13:$B$16,0)))))</f>
        <v/>
      </c>
      <c r="M30" s="14"/>
    </row>
    <row r="31" customFormat="false" ht="15" hidden="false" customHeight="false" outlineLevel="0" collapsed="false">
      <c r="A31" s="23" t="n">
        <v>24</v>
      </c>
      <c r="B31" s="14"/>
      <c r="C31" s="14"/>
      <c r="D31" s="20"/>
      <c r="E31" s="45"/>
      <c r="F31" s="45"/>
      <c r="G31" s="45"/>
      <c r="H31" s="50" t="str">
        <f aca="false">IF(COUNT(E31:G31)=0,"",(IF(E31="",0,E31*Rating_Scale!$C$26)+IF(F31="",0,F31*Rating_Scale!$C$27)+IF(G31="",0,G31*Rating_Scale!$C$28))/(IF(E31="",0,Rating_Scale!$C$26)+IF(F31="",0,Rating_Scale!$C$27)+IF(G31="",0,Rating_Scale!$C$28)))</f>
        <v/>
      </c>
      <c r="I31" s="20"/>
      <c r="J31" s="51" t="str">
        <f aca="false">IF(OR(H31="",C31=""),"",COUNTIFS($C$8:$C$57,C31,$H$8:$H$57,"&gt;"&amp;H31)+1)</f>
        <v/>
      </c>
      <c r="K31" s="17" t="str">
        <f aca="false">IF(H31="","",IF(H31&gt;=Rating_Scale!$C$13,"A",IF(H31&gt;=Rating_Scale!$C$14,"B",IF(H31&gt;=Rating_Scale!$C$15,"C","D"))))</f>
        <v/>
      </c>
      <c r="L31" s="11" t="str">
        <f aca="false">IF(H31="","",IF(I31="Y","Not Recommended – Knock-out",IF(COUNT(E31:G31)&lt;3,"Interim – rounds pending ("&amp;INDEX(Rating_Scale!$D$13:$D$16,MATCH(K31,Rating_Scale!$B$13:$B$16,0))&amp;")",INDEX(Rating_Scale!$D$13:$D$16,MATCH(K31,Rating_Scale!$B$13:$B$16,0)))))</f>
        <v/>
      </c>
      <c r="M31" s="14"/>
    </row>
    <row r="32" customFormat="false" ht="15" hidden="false" customHeight="false" outlineLevel="0" collapsed="false">
      <c r="A32" s="23" t="n">
        <v>25</v>
      </c>
      <c r="B32" s="14"/>
      <c r="C32" s="14"/>
      <c r="D32" s="20"/>
      <c r="E32" s="45"/>
      <c r="F32" s="45"/>
      <c r="G32" s="45"/>
      <c r="H32" s="50" t="str">
        <f aca="false">IF(COUNT(E32:G32)=0,"",(IF(E32="",0,E32*Rating_Scale!$C$26)+IF(F32="",0,F32*Rating_Scale!$C$27)+IF(G32="",0,G32*Rating_Scale!$C$28))/(IF(E32="",0,Rating_Scale!$C$26)+IF(F32="",0,Rating_Scale!$C$27)+IF(G32="",0,Rating_Scale!$C$28)))</f>
        <v/>
      </c>
      <c r="I32" s="20"/>
      <c r="J32" s="51" t="str">
        <f aca="false">IF(OR(H32="",C32=""),"",COUNTIFS($C$8:$C$57,C32,$H$8:$H$57,"&gt;"&amp;H32)+1)</f>
        <v/>
      </c>
      <c r="K32" s="17" t="str">
        <f aca="false">IF(H32="","",IF(H32&gt;=Rating_Scale!$C$13,"A",IF(H32&gt;=Rating_Scale!$C$14,"B",IF(H32&gt;=Rating_Scale!$C$15,"C","D"))))</f>
        <v/>
      </c>
      <c r="L32" s="11" t="str">
        <f aca="false">IF(H32="","",IF(I32="Y","Not Recommended – Knock-out",IF(COUNT(E32:G32)&lt;3,"Interim – rounds pending ("&amp;INDEX(Rating_Scale!$D$13:$D$16,MATCH(K32,Rating_Scale!$B$13:$B$16,0))&amp;")",INDEX(Rating_Scale!$D$13:$D$16,MATCH(K32,Rating_Scale!$B$13:$B$16,0)))))</f>
        <v/>
      </c>
      <c r="M32" s="14"/>
    </row>
    <row r="33" customFormat="false" ht="15" hidden="false" customHeight="false" outlineLevel="0" collapsed="false">
      <c r="A33" s="23" t="n">
        <v>26</v>
      </c>
      <c r="B33" s="14"/>
      <c r="C33" s="14"/>
      <c r="D33" s="20"/>
      <c r="E33" s="45"/>
      <c r="F33" s="45"/>
      <c r="G33" s="45"/>
      <c r="H33" s="50" t="str">
        <f aca="false">IF(COUNT(E33:G33)=0,"",(IF(E33="",0,E33*Rating_Scale!$C$26)+IF(F33="",0,F33*Rating_Scale!$C$27)+IF(G33="",0,G33*Rating_Scale!$C$28))/(IF(E33="",0,Rating_Scale!$C$26)+IF(F33="",0,Rating_Scale!$C$27)+IF(G33="",0,Rating_Scale!$C$28)))</f>
        <v/>
      </c>
      <c r="I33" s="20"/>
      <c r="J33" s="51" t="str">
        <f aca="false">IF(OR(H33="",C33=""),"",COUNTIFS($C$8:$C$57,C33,$H$8:$H$57,"&gt;"&amp;H33)+1)</f>
        <v/>
      </c>
      <c r="K33" s="17" t="str">
        <f aca="false">IF(H33="","",IF(H33&gt;=Rating_Scale!$C$13,"A",IF(H33&gt;=Rating_Scale!$C$14,"B",IF(H33&gt;=Rating_Scale!$C$15,"C","D"))))</f>
        <v/>
      </c>
      <c r="L33" s="11" t="str">
        <f aca="false">IF(H33="","",IF(I33="Y","Not Recommended – Knock-out",IF(COUNT(E33:G33)&lt;3,"Interim – rounds pending ("&amp;INDEX(Rating_Scale!$D$13:$D$16,MATCH(K33,Rating_Scale!$B$13:$B$16,0))&amp;")",INDEX(Rating_Scale!$D$13:$D$16,MATCH(K33,Rating_Scale!$B$13:$B$16,0)))))</f>
        <v/>
      </c>
      <c r="M33" s="14"/>
    </row>
    <row r="34" customFormat="false" ht="15" hidden="false" customHeight="false" outlineLevel="0" collapsed="false">
      <c r="A34" s="23" t="n">
        <v>27</v>
      </c>
      <c r="B34" s="14"/>
      <c r="C34" s="14"/>
      <c r="D34" s="20"/>
      <c r="E34" s="45"/>
      <c r="F34" s="45"/>
      <c r="G34" s="45"/>
      <c r="H34" s="50" t="str">
        <f aca="false">IF(COUNT(E34:G34)=0,"",(IF(E34="",0,E34*Rating_Scale!$C$26)+IF(F34="",0,F34*Rating_Scale!$C$27)+IF(G34="",0,G34*Rating_Scale!$C$28))/(IF(E34="",0,Rating_Scale!$C$26)+IF(F34="",0,Rating_Scale!$C$27)+IF(G34="",0,Rating_Scale!$C$28)))</f>
        <v/>
      </c>
      <c r="I34" s="20"/>
      <c r="J34" s="51" t="str">
        <f aca="false">IF(OR(H34="",C34=""),"",COUNTIFS($C$8:$C$57,C34,$H$8:$H$57,"&gt;"&amp;H34)+1)</f>
        <v/>
      </c>
      <c r="K34" s="17" t="str">
        <f aca="false">IF(H34="","",IF(H34&gt;=Rating_Scale!$C$13,"A",IF(H34&gt;=Rating_Scale!$C$14,"B",IF(H34&gt;=Rating_Scale!$C$15,"C","D"))))</f>
        <v/>
      </c>
      <c r="L34" s="11" t="str">
        <f aca="false">IF(H34="","",IF(I34="Y","Not Recommended – Knock-out",IF(COUNT(E34:G34)&lt;3,"Interim – rounds pending ("&amp;INDEX(Rating_Scale!$D$13:$D$16,MATCH(K34,Rating_Scale!$B$13:$B$16,0))&amp;")",INDEX(Rating_Scale!$D$13:$D$16,MATCH(K34,Rating_Scale!$B$13:$B$16,0)))))</f>
        <v/>
      </c>
      <c r="M34" s="14"/>
    </row>
    <row r="35" customFormat="false" ht="15" hidden="false" customHeight="false" outlineLevel="0" collapsed="false">
      <c r="A35" s="23" t="n">
        <v>28</v>
      </c>
      <c r="B35" s="14"/>
      <c r="C35" s="14"/>
      <c r="D35" s="20"/>
      <c r="E35" s="45"/>
      <c r="F35" s="45"/>
      <c r="G35" s="45"/>
      <c r="H35" s="50" t="str">
        <f aca="false">IF(COUNT(E35:G35)=0,"",(IF(E35="",0,E35*Rating_Scale!$C$26)+IF(F35="",0,F35*Rating_Scale!$C$27)+IF(G35="",0,G35*Rating_Scale!$C$28))/(IF(E35="",0,Rating_Scale!$C$26)+IF(F35="",0,Rating_Scale!$C$27)+IF(G35="",0,Rating_Scale!$C$28)))</f>
        <v/>
      </c>
      <c r="I35" s="20"/>
      <c r="J35" s="51" t="str">
        <f aca="false">IF(OR(H35="",C35=""),"",COUNTIFS($C$8:$C$57,C35,$H$8:$H$57,"&gt;"&amp;H35)+1)</f>
        <v/>
      </c>
      <c r="K35" s="17" t="str">
        <f aca="false">IF(H35="","",IF(H35&gt;=Rating_Scale!$C$13,"A",IF(H35&gt;=Rating_Scale!$C$14,"B",IF(H35&gt;=Rating_Scale!$C$15,"C","D"))))</f>
        <v/>
      </c>
      <c r="L35" s="11" t="str">
        <f aca="false">IF(H35="","",IF(I35="Y","Not Recommended – Knock-out",IF(COUNT(E35:G35)&lt;3,"Interim – rounds pending ("&amp;INDEX(Rating_Scale!$D$13:$D$16,MATCH(K35,Rating_Scale!$B$13:$B$16,0))&amp;")",INDEX(Rating_Scale!$D$13:$D$16,MATCH(K35,Rating_Scale!$B$13:$B$16,0)))))</f>
        <v/>
      </c>
      <c r="M35" s="14"/>
    </row>
    <row r="36" customFormat="false" ht="15" hidden="false" customHeight="false" outlineLevel="0" collapsed="false">
      <c r="A36" s="23" t="n">
        <v>29</v>
      </c>
      <c r="B36" s="14"/>
      <c r="C36" s="14"/>
      <c r="D36" s="20"/>
      <c r="E36" s="45"/>
      <c r="F36" s="45"/>
      <c r="G36" s="45"/>
      <c r="H36" s="50" t="str">
        <f aca="false">IF(COUNT(E36:G36)=0,"",(IF(E36="",0,E36*Rating_Scale!$C$26)+IF(F36="",0,F36*Rating_Scale!$C$27)+IF(G36="",0,G36*Rating_Scale!$C$28))/(IF(E36="",0,Rating_Scale!$C$26)+IF(F36="",0,Rating_Scale!$C$27)+IF(G36="",0,Rating_Scale!$C$28)))</f>
        <v/>
      </c>
      <c r="I36" s="20"/>
      <c r="J36" s="51" t="str">
        <f aca="false">IF(OR(H36="",C36=""),"",COUNTIFS($C$8:$C$57,C36,$H$8:$H$57,"&gt;"&amp;H36)+1)</f>
        <v/>
      </c>
      <c r="K36" s="17" t="str">
        <f aca="false">IF(H36="","",IF(H36&gt;=Rating_Scale!$C$13,"A",IF(H36&gt;=Rating_Scale!$C$14,"B",IF(H36&gt;=Rating_Scale!$C$15,"C","D"))))</f>
        <v/>
      </c>
      <c r="L36" s="11" t="str">
        <f aca="false">IF(H36="","",IF(I36="Y","Not Recommended – Knock-out",IF(COUNT(E36:G36)&lt;3,"Interim – rounds pending ("&amp;INDEX(Rating_Scale!$D$13:$D$16,MATCH(K36,Rating_Scale!$B$13:$B$16,0))&amp;")",INDEX(Rating_Scale!$D$13:$D$16,MATCH(K36,Rating_Scale!$B$13:$B$16,0)))))</f>
        <v/>
      </c>
      <c r="M36" s="14"/>
    </row>
    <row r="37" customFormat="false" ht="15" hidden="false" customHeight="false" outlineLevel="0" collapsed="false">
      <c r="A37" s="23" t="n">
        <v>30</v>
      </c>
      <c r="B37" s="14"/>
      <c r="C37" s="14"/>
      <c r="D37" s="20"/>
      <c r="E37" s="45"/>
      <c r="F37" s="45"/>
      <c r="G37" s="45"/>
      <c r="H37" s="50" t="str">
        <f aca="false">IF(COUNT(E37:G37)=0,"",(IF(E37="",0,E37*Rating_Scale!$C$26)+IF(F37="",0,F37*Rating_Scale!$C$27)+IF(G37="",0,G37*Rating_Scale!$C$28))/(IF(E37="",0,Rating_Scale!$C$26)+IF(F37="",0,Rating_Scale!$C$27)+IF(G37="",0,Rating_Scale!$C$28)))</f>
        <v/>
      </c>
      <c r="I37" s="20"/>
      <c r="J37" s="51" t="str">
        <f aca="false">IF(OR(H37="",C37=""),"",COUNTIFS($C$8:$C$57,C37,$H$8:$H$57,"&gt;"&amp;H37)+1)</f>
        <v/>
      </c>
      <c r="K37" s="17" t="str">
        <f aca="false">IF(H37="","",IF(H37&gt;=Rating_Scale!$C$13,"A",IF(H37&gt;=Rating_Scale!$C$14,"B",IF(H37&gt;=Rating_Scale!$C$15,"C","D"))))</f>
        <v/>
      </c>
      <c r="L37" s="11" t="str">
        <f aca="false">IF(H37="","",IF(I37="Y","Not Recommended – Knock-out",IF(COUNT(E37:G37)&lt;3,"Interim – rounds pending ("&amp;INDEX(Rating_Scale!$D$13:$D$16,MATCH(K37,Rating_Scale!$B$13:$B$16,0))&amp;")",INDEX(Rating_Scale!$D$13:$D$16,MATCH(K37,Rating_Scale!$B$13:$B$16,0)))))</f>
        <v/>
      </c>
      <c r="M37" s="14"/>
    </row>
    <row r="38" customFormat="false" ht="15" hidden="false" customHeight="false" outlineLevel="0" collapsed="false">
      <c r="A38" s="23" t="n">
        <v>31</v>
      </c>
      <c r="B38" s="14"/>
      <c r="C38" s="14"/>
      <c r="D38" s="20"/>
      <c r="E38" s="45"/>
      <c r="F38" s="45"/>
      <c r="G38" s="45"/>
      <c r="H38" s="50" t="str">
        <f aca="false">IF(COUNT(E38:G38)=0,"",(IF(E38="",0,E38*Rating_Scale!$C$26)+IF(F38="",0,F38*Rating_Scale!$C$27)+IF(G38="",0,G38*Rating_Scale!$C$28))/(IF(E38="",0,Rating_Scale!$C$26)+IF(F38="",0,Rating_Scale!$C$27)+IF(G38="",0,Rating_Scale!$C$28)))</f>
        <v/>
      </c>
      <c r="I38" s="20"/>
      <c r="J38" s="51" t="str">
        <f aca="false">IF(OR(H38="",C38=""),"",COUNTIFS($C$8:$C$57,C38,$H$8:$H$57,"&gt;"&amp;H38)+1)</f>
        <v/>
      </c>
      <c r="K38" s="17" t="str">
        <f aca="false">IF(H38="","",IF(H38&gt;=Rating_Scale!$C$13,"A",IF(H38&gt;=Rating_Scale!$C$14,"B",IF(H38&gt;=Rating_Scale!$C$15,"C","D"))))</f>
        <v/>
      </c>
      <c r="L38" s="11" t="str">
        <f aca="false">IF(H38="","",IF(I38="Y","Not Recommended – Knock-out",IF(COUNT(E38:G38)&lt;3,"Interim – rounds pending ("&amp;INDEX(Rating_Scale!$D$13:$D$16,MATCH(K38,Rating_Scale!$B$13:$B$16,0))&amp;")",INDEX(Rating_Scale!$D$13:$D$16,MATCH(K38,Rating_Scale!$B$13:$B$16,0)))))</f>
        <v/>
      </c>
      <c r="M38" s="14"/>
    </row>
    <row r="39" customFormat="false" ht="15" hidden="false" customHeight="false" outlineLevel="0" collapsed="false">
      <c r="A39" s="23" t="n">
        <v>32</v>
      </c>
      <c r="B39" s="14"/>
      <c r="C39" s="14"/>
      <c r="D39" s="20"/>
      <c r="E39" s="45"/>
      <c r="F39" s="45"/>
      <c r="G39" s="45"/>
      <c r="H39" s="50" t="str">
        <f aca="false">IF(COUNT(E39:G39)=0,"",(IF(E39="",0,E39*Rating_Scale!$C$26)+IF(F39="",0,F39*Rating_Scale!$C$27)+IF(G39="",0,G39*Rating_Scale!$C$28))/(IF(E39="",0,Rating_Scale!$C$26)+IF(F39="",0,Rating_Scale!$C$27)+IF(G39="",0,Rating_Scale!$C$28)))</f>
        <v/>
      </c>
      <c r="I39" s="20"/>
      <c r="J39" s="51" t="str">
        <f aca="false">IF(OR(H39="",C39=""),"",COUNTIFS($C$8:$C$57,C39,$H$8:$H$57,"&gt;"&amp;H39)+1)</f>
        <v/>
      </c>
      <c r="K39" s="17" t="str">
        <f aca="false">IF(H39="","",IF(H39&gt;=Rating_Scale!$C$13,"A",IF(H39&gt;=Rating_Scale!$C$14,"B",IF(H39&gt;=Rating_Scale!$C$15,"C","D"))))</f>
        <v/>
      </c>
      <c r="L39" s="11" t="str">
        <f aca="false">IF(H39="","",IF(I39="Y","Not Recommended – Knock-out",IF(COUNT(E39:G39)&lt;3,"Interim – rounds pending ("&amp;INDEX(Rating_Scale!$D$13:$D$16,MATCH(K39,Rating_Scale!$B$13:$B$16,0))&amp;")",INDEX(Rating_Scale!$D$13:$D$16,MATCH(K39,Rating_Scale!$B$13:$B$16,0)))))</f>
        <v/>
      </c>
      <c r="M39" s="14"/>
    </row>
    <row r="40" customFormat="false" ht="15" hidden="false" customHeight="false" outlineLevel="0" collapsed="false">
      <c r="A40" s="23" t="n">
        <v>33</v>
      </c>
      <c r="B40" s="14"/>
      <c r="C40" s="14"/>
      <c r="D40" s="20"/>
      <c r="E40" s="45"/>
      <c r="F40" s="45"/>
      <c r="G40" s="45"/>
      <c r="H40" s="50" t="str">
        <f aca="false">IF(COUNT(E40:G40)=0,"",(IF(E40="",0,E40*Rating_Scale!$C$26)+IF(F40="",0,F40*Rating_Scale!$C$27)+IF(G40="",0,G40*Rating_Scale!$C$28))/(IF(E40="",0,Rating_Scale!$C$26)+IF(F40="",0,Rating_Scale!$C$27)+IF(G40="",0,Rating_Scale!$C$28)))</f>
        <v/>
      </c>
      <c r="I40" s="20"/>
      <c r="J40" s="51" t="str">
        <f aca="false">IF(OR(H40="",C40=""),"",COUNTIFS($C$8:$C$57,C40,$H$8:$H$57,"&gt;"&amp;H40)+1)</f>
        <v/>
      </c>
      <c r="K40" s="17" t="str">
        <f aca="false">IF(H40="","",IF(H40&gt;=Rating_Scale!$C$13,"A",IF(H40&gt;=Rating_Scale!$C$14,"B",IF(H40&gt;=Rating_Scale!$C$15,"C","D"))))</f>
        <v/>
      </c>
      <c r="L40" s="11" t="str">
        <f aca="false">IF(H40="","",IF(I40="Y","Not Recommended – Knock-out",IF(COUNT(E40:G40)&lt;3,"Interim – rounds pending ("&amp;INDEX(Rating_Scale!$D$13:$D$16,MATCH(K40,Rating_Scale!$B$13:$B$16,0))&amp;")",INDEX(Rating_Scale!$D$13:$D$16,MATCH(K40,Rating_Scale!$B$13:$B$16,0)))))</f>
        <v/>
      </c>
      <c r="M40" s="14"/>
    </row>
    <row r="41" customFormat="false" ht="15" hidden="false" customHeight="false" outlineLevel="0" collapsed="false">
      <c r="A41" s="23" t="n">
        <v>34</v>
      </c>
      <c r="B41" s="14"/>
      <c r="C41" s="14"/>
      <c r="D41" s="20"/>
      <c r="E41" s="45"/>
      <c r="F41" s="45"/>
      <c r="G41" s="45"/>
      <c r="H41" s="50" t="str">
        <f aca="false">IF(COUNT(E41:G41)=0,"",(IF(E41="",0,E41*Rating_Scale!$C$26)+IF(F41="",0,F41*Rating_Scale!$C$27)+IF(G41="",0,G41*Rating_Scale!$C$28))/(IF(E41="",0,Rating_Scale!$C$26)+IF(F41="",0,Rating_Scale!$C$27)+IF(G41="",0,Rating_Scale!$C$28)))</f>
        <v/>
      </c>
      <c r="I41" s="20"/>
      <c r="J41" s="51" t="str">
        <f aca="false">IF(OR(H41="",C41=""),"",COUNTIFS($C$8:$C$57,C41,$H$8:$H$57,"&gt;"&amp;H41)+1)</f>
        <v/>
      </c>
      <c r="K41" s="17" t="str">
        <f aca="false">IF(H41="","",IF(H41&gt;=Rating_Scale!$C$13,"A",IF(H41&gt;=Rating_Scale!$C$14,"B",IF(H41&gt;=Rating_Scale!$C$15,"C","D"))))</f>
        <v/>
      </c>
      <c r="L41" s="11" t="str">
        <f aca="false">IF(H41="","",IF(I41="Y","Not Recommended – Knock-out",IF(COUNT(E41:G41)&lt;3,"Interim – rounds pending ("&amp;INDEX(Rating_Scale!$D$13:$D$16,MATCH(K41,Rating_Scale!$B$13:$B$16,0))&amp;")",INDEX(Rating_Scale!$D$13:$D$16,MATCH(K41,Rating_Scale!$B$13:$B$16,0)))))</f>
        <v/>
      </c>
      <c r="M41" s="14"/>
    </row>
    <row r="42" customFormat="false" ht="15" hidden="false" customHeight="false" outlineLevel="0" collapsed="false">
      <c r="A42" s="23" t="n">
        <v>35</v>
      </c>
      <c r="B42" s="14"/>
      <c r="C42" s="14"/>
      <c r="D42" s="20"/>
      <c r="E42" s="45"/>
      <c r="F42" s="45"/>
      <c r="G42" s="45"/>
      <c r="H42" s="50" t="str">
        <f aca="false">IF(COUNT(E42:G42)=0,"",(IF(E42="",0,E42*Rating_Scale!$C$26)+IF(F42="",0,F42*Rating_Scale!$C$27)+IF(G42="",0,G42*Rating_Scale!$C$28))/(IF(E42="",0,Rating_Scale!$C$26)+IF(F42="",0,Rating_Scale!$C$27)+IF(G42="",0,Rating_Scale!$C$28)))</f>
        <v/>
      </c>
      <c r="I42" s="20"/>
      <c r="J42" s="51" t="str">
        <f aca="false">IF(OR(H42="",C42=""),"",COUNTIFS($C$8:$C$57,C42,$H$8:$H$57,"&gt;"&amp;H42)+1)</f>
        <v/>
      </c>
      <c r="K42" s="17" t="str">
        <f aca="false">IF(H42="","",IF(H42&gt;=Rating_Scale!$C$13,"A",IF(H42&gt;=Rating_Scale!$C$14,"B",IF(H42&gt;=Rating_Scale!$C$15,"C","D"))))</f>
        <v/>
      </c>
      <c r="L42" s="11" t="str">
        <f aca="false">IF(H42="","",IF(I42="Y","Not Recommended – Knock-out",IF(COUNT(E42:G42)&lt;3,"Interim – rounds pending ("&amp;INDEX(Rating_Scale!$D$13:$D$16,MATCH(K42,Rating_Scale!$B$13:$B$16,0))&amp;")",INDEX(Rating_Scale!$D$13:$D$16,MATCH(K42,Rating_Scale!$B$13:$B$16,0)))))</f>
        <v/>
      </c>
      <c r="M42" s="14"/>
    </row>
    <row r="43" customFormat="false" ht="15" hidden="false" customHeight="false" outlineLevel="0" collapsed="false">
      <c r="A43" s="23" t="n">
        <v>36</v>
      </c>
      <c r="B43" s="14"/>
      <c r="C43" s="14"/>
      <c r="D43" s="20"/>
      <c r="E43" s="45"/>
      <c r="F43" s="45"/>
      <c r="G43" s="45"/>
      <c r="H43" s="50" t="str">
        <f aca="false">IF(COUNT(E43:G43)=0,"",(IF(E43="",0,E43*Rating_Scale!$C$26)+IF(F43="",0,F43*Rating_Scale!$C$27)+IF(G43="",0,G43*Rating_Scale!$C$28))/(IF(E43="",0,Rating_Scale!$C$26)+IF(F43="",0,Rating_Scale!$C$27)+IF(G43="",0,Rating_Scale!$C$28)))</f>
        <v/>
      </c>
      <c r="I43" s="20"/>
      <c r="J43" s="51" t="str">
        <f aca="false">IF(OR(H43="",C43=""),"",COUNTIFS($C$8:$C$57,C43,$H$8:$H$57,"&gt;"&amp;H43)+1)</f>
        <v/>
      </c>
      <c r="K43" s="17" t="str">
        <f aca="false">IF(H43="","",IF(H43&gt;=Rating_Scale!$C$13,"A",IF(H43&gt;=Rating_Scale!$C$14,"B",IF(H43&gt;=Rating_Scale!$C$15,"C","D"))))</f>
        <v/>
      </c>
      <c r="L43" s="11" t="str">
        <f aca="false">IF(H43="","",IF(I43="Y","Not Recommended – Knock-out",IF(COUNT(E43:G43)&lt;3,"Interim – rounds pending ("&amp;INDEX(Rating_Scale!$D$13:$D$16,MATCH(K43,Rating_Scale!$B$13:$B$16,0))&amp;")",INDEX(Rating_Scale!$D$13:$D$16,MATCH(K43,Rating_Scale!$B$13:$B$16,0)))))</f>
        <v/>
      </c>
      <c r="M43" s="14"/>
    </row>
    <row r="44" customFormat="false" ht="15" hidden="false" customHeight="false" outlineLevel="0" collapsed="false">
      <c r="A44" s="23" t="n">
        <v>37</v>
      </c>
      <c r="B44" s="14"/>
      <c r="C44" s="14"/>
      <c r="D44" s="20"/>
      <c r="E44" s="45"/>
      <c r="F44" s="45"/>
      <c r="G44" s="45"/>
      <c r="H44" s="50" t="str">
        <f aca="false">IF(COUNT(E44:G44)=0,"",(IF(E44="",0,E44*Rating_Scale!$C$26)+IF(F44="",0,F44*Rating_Scale!$C$27)+IF(G44="",0,G44*Rating_Scale!$C$28))/(IF(E44="",0,Rating_Scale!$C$26)+IF(F44="",0,Rating_Scale!$C$27)+IF(G44="",0,Rating_Scale!$C$28)))</f>
        <v/>
      </c>
      <c r="I44" s="20"/>
      <c r="J44" s="51" t="str">
        <f aca="false">IF(OR(H44="",C44=""),"",COUNTIFS($C$8:$C$57,C44,$H$8:$H$57,"&gt;"&amp;H44)+1)</f>
        <v/>
      </c>
      <c r="K44" s="17" t="str">
        <f aca="false">IF(H44="","",IF(H44&gt;=Rating_Scale!$C$13,"A",IF(H44&gt;=Rating_Scale!$C$14,"B",IF(H44&gt;=Rating_Scale!$C$15,"C","D"))))</f>
        <v/>
      </c>
      <c r="L44" s="11" t="str">
        <f aca="false">IF(H44="","",IF(I44="Y","Not Recommended – Knock-out",IF(COUNT(E44:G44)&lt;3,"Interim – rounds pending ("&amp;INDEX(Rating_Scale!$D$13:$D$16,MATCH(K44,Rating_Scale!$B$13:$B$16,0))&amp;")",INDEX(Rating_Scale!$D$13:$D$16,MATCH(K44,Rating_Scale!$B$13:$B$16,0)))))</f>
        <v/>
      </c>
      <c r="M44" s="14"/>
    </row>
    <row r="45" customFormat="false" ht="15" hidden="false" customHeight="false" outlineLevel="0" collapsed="false">
      <c r="A45" s="23" t="n">
        <v>38</v>
      </c>
      <c r="B45" s="14"/>
      <c r="C45" s="14"/>
      <c r="D45" s="20"/>
      <c r="E45" s="45"/>
      <c r="F45" s="45"/>
      <c r="G45" s="45"/>
      <c r="H45" s="50" t="str">
        <f aca="false">IF(COUNT(E45:G45)=0,"",(IF(E45="",0,E45*Rating_Scale!$C$26)+IF(F45="",0,F45*Rating_Scale!$C$27)+IF(G45="",0,G45*Rating_Scale!$C$28))/(IF(E45="",0,Rating_Scale!$C$26)+IF(F45="",0,Rating_Scale!$C$27)+IF(G45="",0,Rating_Scale!$C$28)))</f>
        <v/>
      </c>
      <c r="I45" s="20"/>
      <c r="J45" s="51" t="str">
        <f aca="false">IF(OR(H45="",C45=""),"",COUNTIFS($C$8:$C$57,C45,$H$8:$H$57,"&gt;"&amp;H45)+1)</f>
        <v/>
      </c>
      <c r="K45" s="17" t="str">
        <f aca="false">IF(H45="","",IF(H45&gt;=Rating_Scale!$C$13,"A",IF(H45&gt;=Rating_Scale!$C$14,"B",IF(H45&gt;=Rating_Scale!$C$15,"C","D"))))</f>
        <v/>
      </c>
      <c r="L45" s="11" t="str">
        <f aca="false">IF(H45="","",IF(I45="Y","Not Recommended – Knock-out",IF(COUNT(E45:G45)&lt;3,"Interim – rounds pending ("&amp;INDEX(Rating_Scale!$D$13:$D$16,MATCH(K45,Rating_Scale!$B$13:$B$16,0))&amp;")",INDEX(Rating_Scale!$D$13:$D$16,MATCH(K45,Rating_Scale!$B$13:$B$16,0)))))</f>
        <v/>
      </c>
      <c r="M45" s="14"/>
    </row>
    <row r="46" customFormat="false" ht="15" hidden="false" customHeight="false" outlineLevel="0" collapsed="false">
      <c r="A46" s="23" t="n">
        <v>39</v>
      </c>
      <c r="B46" s="14"/>
      <c r="C46" s="14"/>
      <c r="D46" s="20"/>
      <c r="E46" s="45"/>
      <c r="F46" s="45"/>
      <c r="G46" s="45"/>
      <c r="H46" s="50" t="str">
        <f aca="false">IF(COUNT(E46:G46)=0,"",(IF(E46="",0,E46*Rating_Scale!$C$26)+IF(F46="",0,F46*Rating_Scale!$C$27)+IF(G46="",0,G46*Rating_Scale!$C$28))/(IF(E46="",0,Rating_Scale!$C$26)+IF(F46="",0,Rating_Scale!$C$27)+IF(G46="",0,Rating_Scale!$C$28)))</f>
        <v/>
      </c>
      <c r="I46" s="20"/>
      <c r="J46" s="51" t="str">
        <f aca="false">IF(OR(H46="",C46=""),"",COUNTIFS($C$8:$C$57,C46,$H$8:$H$57,"&gt;"&amp;H46)+1)</f>
        <v/>
      </c>
      <c r="K46" s="17" t="str">
        <f aca="false">IF(H46="","",IF(H46&gt;=Rating_Scale!$C$13,"A",IF(H46&gt;=Rating_Scale!$C$14,"B",IF(H46&gt;=Rating_Scale!$C$15,"C","D"))))</f>
        <v/>
      </c>
      <c r="L46" s="11" t="str">
        <f aca="false">IF(H46="","",IF(I46="Y","Not Recommended – Knock-out",IF(COUNT(E46:G46)&lt;3,"Interim – rounds pending ("&amp;INDEX(Rating_Scale!$D$13:$D$16,MATCH(K46,Rating_Scale!$B$13:$B$16,0))&amp;")",INDEX(Rating_Scale!$D$13:$D$16,MATCH(K46,Rating_Scale!$B$13:$B$16,0)))))</f>
        <v/>
      </c>
      <c r="M46" s="14"/>
    </row>
    <row r="47" customFormat="false" ht="15" hidden="false" customHeight="false" outlineLevel="0" collapsed="false">
      <c r="A47" s="23" t="n">
        <v>40</v>
      </c>
      <c r="B47" s="14"/>
      <c r="C47" s="14"/>
      <c r="D47" s="20"/>
      <c r="E47" s="45"/>
      <c r="F47" s="45"/>
      <c r="G47" s="45"/>
      <c r="H47" s="50" t="str">
        <f aca="false">IF(COUNT(E47:G47)=0,"",(IF(E47="",0,E47*Rating_Scale!$C$26)+IF(F47="",0,F47*Rating_Scale!$C$27)+IF(G47="",0,G47*Rating_Scale!$C$28))/(IF(E47="",0,Rating_Scale!$C$26)+IF(F47="",0,Rating_Scale!$C$27)+IF(G47="",0,Rating_Scale!$C$28)))</f>
        <v/>
      </c>
      <c r="I47" s="20"/>
      <c r="J47" s="51" t="str">
        <f aca="false">IF(OR(H47="",C47=""),"",COUNTIFS($C$8:$C$57,C47,$H$8:$H$57,"&gt;"&amp;H47)+1)</f>
        <v/>
      </c>
      <c r="K47" s="17" t="str">
        <f aca="false">IF(H47="","",IF(H47&gt;=Rating_Scale!$C$13,"A",IF(H47&gt;=Rating_Scale!$C$14,"B",IF(H47&gt;=Rating_Scale!$C$15,"C","D"))))</f>
        <v/>
      </c>
      <c r="L47" s="11" t="str">
        <f aca="false">IF(H47="","",IF(I47="Y","Not Recommended – Knock-out",IF(COUNT(E47:G47)&lt;3,"Interim – rounds pending ("&amp;INDEX(Rating_Scale!$D$13:$D$16,MATCH(K47,Rating_Scale!$B$13:$B$16,0))&amp;")",INDEX(Rating_Scale!$D$13:$D$16,MATCH(K47,Rating_Scale!$B$13:$B$16,0)))))</f>
        <v/>
      </c>
      <c r="M47" s="14"/>
    </row>
    <row r="48" customFormat="false" ht="15" hidden="false" customHeight="false" outlineLevel="0" collapsed="false">
      <c r="A48" s="23" t="n">
        <v>41</v>
      </c>
      <c r="B48" s="14"/>
      <c r="C48" s="14"/>
      <c r="D48" s="20"/>
      <c r="E48" s="45"/>
      <c r="F48" s="45"/>
      <c r="G48" s="45"/>
      <c r="H48" s="50" t="str">
        <f aca="false">IF(COUNT(E48:G48)=0,"",(IF(E48="",0,E48*Rating_Scale!$C$26)+IF(F48="",0,F48*Rating_Scale!$C$27)+IF(G48="",0,G48*Rating_Scale!$C$28))/(IF(E48="",0,Rating_Scale!$C$26)+IF(F48="",0,Rating_Scale!$C$27)+IF(G48="",0,Rating_Scale!$C$28)))</f>
        <v/>
      </c>
      <c r="I48" s="20"/>
      <c r="J48" s="51" t="str">
        <f aca="false">IF(OR(H48="",C48=""),"",COUNTIFS($C$8:$C$57,C48,$H$8:$H$57,"&gt;"&amp;H48)+1)</f>
        <v/>
      </c>
      <c r="K48" s="17" t="str">
        <f aca="false">IF(H48="","",IF(H48&gt;=Rating_Scale!$C$13,"A",IF(H48&gt;=Rating_Scale!$C$14,"B",IF(H48&gt;=Rating_Scale!$C$15,"C","D"))))</f>
        <v/>
      </c>
      <c r="L48" s="11" t="str">
        <f aca="false">IF(H48="","",IF(I48="Y","Not Recommended – Knock-out",IF(COUNT(E48:G48)&lt;3,"Interim – rounds pending ("&amp;INDEX(Rating_Scale!$D$13:$D$16,MATCH(K48,Rating_Scale!$B$13:$B$16,0))&amp;")",INDEX(Rating_Scale!$D$13:$D$16,MATCH(K48,Rating_Scale!$B$13:$B$16,0)))))</f>
        <v/>
      </c>
      <c r="M48" s="14"/>
    </row>
    <row r="49" customFormat="false" ht="15" hidden="false" customHeight="false" outlineLevel="0" collapsed="false">
      <c r="A49" s="23" t="n">
        <v>42</v>
      </c>
      <c r="B49" s="14"/>
      <c r="C49" s="14"/>
      <c r="D49" s="20"/>
      <c r="E49" s="45"/>
      <c r="F49" s="45"/>
      <c r="G49" s="45"/>
      <c r="H49" s="50" t="str">
        <f aca="false">IF(COUNT(E49:G49)=0,"",(IF(E49="",0,E49*Rating_Scale!$C$26)+IF(F49="",0,F49*Rating_Scale!$C$27)+IF(G49="",0,G49*Rating_Scale!$C$28))/(IF(E49="",0,Rating_Scale!$C$26)+IF(F49="",0,Rating_Scale!$C$27)+IF(G49="",0,Rating_Scale!$C$28)))</f>
        <v/>
      </c>
      <c r="I49" s="20"/>
      <c r="J49" s="51" t="str">
        <f aca="false">IF(OR(H49="",C49=""),"",COUNTIFS($C$8:$C$57,C49,$H$8:$H$57,"&gt;"&amp;H49)+1)</f>
        <v/>
      </c>
      <c r="K49" s="17" t="str">
        <f aca="false">IF(H49="","",IF(H49&gt;=Rating_Scale!$C$13,"A",IF(H49&gt;=Rating_Scale!$C$14,"B",IF(H49&gt;=Rating_Scale!$C$15,"C","D"))))</f>
        <v/>
      </c>
      <c r="L49" s="11" t="str">
        <f aca="false">IF(H49="","",IF(I49="Y","Not Recommended – Knock-out",IF(COUNT(E49:G49)&lt;3,"Interim – rounds pending ("&amp;INDEX(Rating_Scale!$D$13:$D$16,MATCH(K49,Rating_Scale!$B$13:$B$16,0))&amp;")",INDEX(Rating_Scale!$D$13:$D$16,MATCH(K49,Rating_Scale!$B$13:$B$16,0)))))</f>
        <v/>
      </c>
      <c r="M49" s="14"/>
    </row>
    <row r="50" customFormat="false" ht="15" hidden="false" customHeight="false" outlineLevel="0" collapsed="false">
      <c r="A50" s="23" t="n">
        <v>43</v>
      </c>
      <c r="B50" s="14"/>
      <c r="C50" s="14"/>
      <c r="D50" s="20"/>
      <c r="E50" s="45"/>
      <c r="F50" s="45"/>
      <c r="G50" s="45"/>
      <c r="H50" s="50" t="str">
        <f aca="false">IF(COUNT(E50:G50)=0,"",(IF(E50="",0,E50*Rating_Scale!$C$26)+IF(F50="",0,F50*Rating_Scale!$C$27)+IF(G50="",0,G50*Rating_Scale!$C$28))/(IF(E50="",0,Rating_Scale!$C$26)+IF(F50="",0,Rating_Scale!$C$27)+IF(G50="",0,Rating_Scale!$C$28)))</f>
        <v/>
      </c>
      <c r="I50" s="20"/>
      <c r="J50" s="51" t="str">
        <f aca="false">IF(OR(H50="",C50=""),"",COUNTIFS($C$8:$C$57,C50,$H$8:$H$57,"&gt;"&amp;H50)+1)</f>
        <v/>
      </c>
      <c r="K50" s="17" t="str">
        <f aca="false">IF(H50="","",IF(H50&gt;=Rating_Scale!$C$13,"A",IF(H50&gt;=Rating_Scale!$C$14,"B",IF(H50&gt;=Rating_Scale!$C$15,"C","D"))))</f>
        <v/>
      </c>
      <c r="L50" s="11" t="str">
        <f aca="false">IF(H50="","",IF(I50="Y","Not Recommended – Knock-out",IF(COUNT(E50:G50)&lt;3,"Interim – rounds pending ("&amp;INDEX(Rating_Scale!$D$13:$D$16,MATCH(K50,Rating_Scale!$B$13:$B$16,0))&amp;")",INDEX(Rating_Scale!$D$13:$D$16,MATCH(K50,Rating_Scale!$B$13:$B$16,0)))))</f>
        <v/>
      </c>
      <c r="M50" s="14"/>
    </row>
    <row r="51" customFormat="false" ht="15" hidden="false" customHeight="false" outlineLevel="0" collapsed="false">
      <c r="A51" s="23" t="n">
        <v>44</v>
      </c>
      <c r="B51" s="14"/>
      <c r="C51" s="14"/>
      <c r="D51" s="20"/>
      <c r="E51" s="45"/>
      <c r="F51" s="45"/>
      <c r="G51" s="45"/>
      <c r="H51" s="50" t="str">
        <f aca="false">IF(COUNT(E51:G51)=0,"",(IF(E51="",0,E51*Rating_Scale!$C$26)+IF(F51="",0,F51*Rating_Scale!$C$27)+IF(G51="",0,G51*Rating_Scale!$C$28))/(IF(E51="",0,Rating_Scale!$C$26)+IF(F51="",0,Rating_Scale!$C$27)+IF(G51="",0,Rating_Scale!$C$28)))</f>
        <v/>
      </c>
      <c r="I51" s="20"/>
      <c r="J51" s="51" t="str">
        <f aca="false">IF(OR(H51="",C51=""),"",COUNTIFS($C$8:$C$57,C51,$H$8:$H$57,"&gt;"&amp;H51)+1)</f>
        <v/>
      </c>
      <c r="K51" s="17" t="str">
        <f aca="false">IF(H51="","",IF(H51&gt;=Rating_Scale!$C$13,"A",IF(H51&gt;=Rating_Scale!$C$14,"B",IF(H51&gt;=Rating_Scale!$C$15,"C","D"))))</f>
        <v/>
      </c>
      <c r="L51" s="11" t="str">
        <f aca="false">IF(H51="","",IF(I51="Y","Not Recommended – Knock-out",IF(COUNT(E51:G51)&lt;3,"Interim – rounds pending ("&amp;INDEX(Rating_Scale!$D$13:$D$16,MATCH(K51,Rating_Scale!$B$13:$B$16,0))&amp;")",INDEX(Rating_Scale!$D$13:$D$16,MATCH(K51,Rating_Scale!$B$13:$B$16,0)))))</f>
        <v/>
      </c>
      <c r="M51" s="14"/>
    </row>
    <row r="52" customFormat="false" ht="15" hidden="false" customHeight="false" outlineLevel="0" collapsed="false">
      <c r="A52" s="23" t="n">
        <v>45</v>
      </c>
      <c r="B52" s="14"/>
      <c r="C52" s="14"/>
      <c r="D52" s="20"/>
      <c r="E52" s="45"/>
      <c r="F52" s="45"/>
      <c r="G52" s="45"/>
      <c r="H52" s="50" t="str">
        <f aca="false">IF(COUNT(E52:G52)=0,"",(IF(E52="",0,E52*Rating_Scale!$C$26)+IF(F52="",0,F52*Rating_Scale!$C$27)+IF(G52="",0,G52*Rating_Scale!$C$28))/(IF(E52="",0,Rating_Scale!$C$26)+IF(F52="",0,Rating_Scale!$C$27)+IF(G52="",0,Rating_Scale!$C$28)))</f>
        <v/>
      </c>
      <c r="I52" s="20"/>
      <c r="J52" s="51" t="str">
        <f aca="false">IF(OR(H52="",C52=""),"",COUNTIFS($C$8:$C$57,C52,$H$8:$H$57,"&gt;"&amp;H52)+1)</f>
        <v/>
      </c>
      <c r="K52" s="17" t="str">
        <f aca="false">IF(H52="","",IF(H52&gt;=Rating_Scale!$C$13,"A",IF(H52&gt;=Rating_Scale!$C$14,"B",IF(H52&gt;=Rating_Scale!$C$15,"C","D"))))</f>
        <v/>
      </c>
      <c r="L52" s="11" t="str">
        <f aca="false">IF(H52="","",IF(I52="Y","Not Recommended – Knock-out",IF(COUNT(E52:G52)&lt;3,"Interim – rounds pending ("&amp;INDEX(Rating_Scale!$D$13:$D$16,MATCH(K52,Rating_Scale!$B$13:$B$16,0))&amp;")",INDEX(Rating_Scale!$D$13:$D$16,MATCH(K52,Rating_Scale!$B$13:$B$16,0)))))</f>
        <v/>
      </c>
      <c r="M52" s="14"/>
    </row>
    <row r="53" customFormat="false" ht="15" hidden="false" customHeight="false" outlineLevel="0" collapsed="false">
      <c r="A53" s="23" t="n">
        <v>46</v>
      </c>
      <c r="B53" s="14"/>
      <c r="C53" s="14"/>
      <c r="D53" s="20"/>
      <c r="E53" s="45"/>
      <c r="F53" s="45"/>
      <c r="G53" s="45"/>
      <c r="H53" s="50" t="str">
        <f aca="false">IF(COUNT(E53:G53)=0,"",(IF(E53="",0,E53*Rating_Scale!$C$26)+IF(F53="",0,F53*Rating_Scale!$C$27)+IF(G53="",0,G53*Rating_Scale!$C$28))/(IF(E53="",0,Rating_Scale!$C$26)+IF(F53="",0,Rating_Scale!$C$27)+IF(G53="",0,Rating_Scale!$C$28)))</f>
        <v/>
      </c>
      <c r="I53" s="20"/>
      <c r="J53" s="51" t="str">
        <f aca="false">IF(OR(H53="",C53=""),"",COUNTIFS($C$8:$C$57,C53,$H$8:$H$57,"&gt;"&amp;H53)+1)</f>
        <v/>
      </c>
      <c r="K53" s="17" t="str">
        <f aca="false">IF(H53="","",IF(H53&gt;=Rating_Scale!$C$13,"A",IF(H53&gt;=Rating_Scale!$C$14,"B",IF(H53&gt;=Rating_Scale!$C$15,"C","D"))))</f>
        <v/>
      </c>
      <c r="L53" s="11" t="str">
        <f aca="false">IF(H53="","",IF(I53="Y","Not Recommended – Knock-out",IF(COUNT(E53:G53)&lt;3,"Interim – rounds pending ("&amp;INDEX(Rating_Scale!$D$13:$D$16,MATCH(K53,Rating_Scale!$B$13:$B$16,0))&amp;")",INDEX(Rating_Scale!$D$13:$D$16,MATCH(K53,Rating_Scale!$B$13:$B$16,0)))))</f>
        <v/>
      </c>
      <c r="M53" s="14"/>
    </row>
    <row r="54" customFormat="false" ht="15" hidden="false" customHeight="false" outlineLevel="0" collapsed="false">
      <c r="A54" s="23" t="n">
        <v>47</v>
      </c>
      <c r="B54" s="14"/>
      <c r="C54" s="14"/>
      <c r="D54" s="20"/>
      <c r="E54" s="45"/>
      <c r="F54" s="45"/>
      <c r="G54" s="45"/>
      <c r="H54" s="50" t="str">
        <f aca="false">IF(COUNT(E54:G54)=0,"",(IF(E54="",0,E54*Rating_Scale!$C$26)+IF(F54="",0,F54*Rating_Scale!$C$27)+IF(G54="",0,G54*Rating_Scale!$C$28))/(IF(E54="",0,Rating_Scale!$C$26)+IF(F54="",0,Rating_Scale!$C$27)+IF(G54="",0,Rating_Scale!$C$28)))</f>
        <v/>
      </c>
      <c r="I54" s="20"/>
      <c r="J54" s="51" t="str">
        <f aca="false">IF(OR(H54="",C54=""),"",COUNTIFS($C$8:$C$57,C54,$H$8:$H$57,"&gt;"&amp;H54)+1)</f>
        <v/>
      </c>
      <c r="K54" s="17" t="str">
        <f aca="false">IF(H54="","",IF(H54&gt;=Rating_Scale!$C$13,"A",IF(H54&gt;=Rating_Scale!$C$14,"B",IF(H54&gt;=Rating_Scale!$C$15,"C","D"))))</f>
        <v/>
      </c>
      <c r="L54" s="11" t="str">
        <f aca="false">IF(H54="","",IF(I54="Y","Not Recommended – Knock-out",IF(COUNT(E54:G54)&lt;3,"Interim – rounds pending ("&amp;INDEX(Rating_Scale!$D$13:$D$16,MATCH(K54,Rating_Scale!$B$13:$B$16,0))&amp;")",INDEX(Rating_Scale!$D$13:$D$16,MATCH(K54,Rating_Scale!$B$13:$B$16,0)))))</f>
        <v/>
      </c>
      <c r="M54" s="14"/>
    </row>
    <row r="55" customFormat="false" ht="15" hidden="false" customHeight="false" outlineLevel="0" collapsed="false">
      <c r="A55" s="23" t="n">
        <v>48</v>
      </c>
      <c r="B55" s="14"/>
      <c r="C55" s="14"/>
      <c r="D55" s="20"/>
      <c r="E55" s="45"/>
      <c r="F55" s="45"/>
      <c r="G55" s="45"/>
      <c r="H55" s="50" t="str">
        <f aca="false">IF(COUNT(E55:G55)=0,"",(IF(E55="",0,E55*Rating_Scale!$C$26)+IF(F55="",0,F55*Rating_Scale!$C$27)+IF(G55="",0,G55*Rating_Scale!$C$28))/(IF(E55="",0,Rating_Scale!$C$26)+IF(F55="",0,Rating_Scale!$C$27)+IF(G55="",0,Rating_Scale!$C$28)))</f>
        <v/>
      </c>
      <c r="I55" s="20"/>
      <c r="J55" s="51" t="str">
        <f aca="false">IF(OR(H55="",C55=""),"",COUNTIFS($C$8:$C$57,C55,$H$8:$H$57,"&gt;"&amp;H55)+1)</f>
        <v/>
      </c>
      <c r="K55" s="17" t="str">
        <f aca="false">IF(H55="","",IF(H55&gt;=Rating_Scale!$C$13,"A",IF(H55&gt;=Rating_Scale!$C$14,"B",IF(H55&gt;=Rating_Scale!$C$15,"C","D"))))</f>
        <v/>
      </c>
      <c r="L55" s="11" t="str">
        <f aca="false">IF(H55="","",IF(I55="Y","Not Recommended – Knock-out",IF(COUNT(E55:G55)&lt;3,"Interim – rounds pending ("&amp;INDEX(Rating_Scale!$D$13:$D$16,MATCH(K55,Rating_Scale!$B$13:$B$16,0))&amp;")",INDEX(Rating_Scale!$D$13:$D$16,MATCH(K55,Rating_Scale!$B$13:$B$16,0)))))</f>
        <v/>
      </c>
      <c r="M55" s="14"/>
    </row>
    <row r="56" customFormat="false" ht="15" hidden="false" customHeight="false" outlineLevel="0" collapsed="false">
      <c r="A56" s="23" t="n">
        <v>49</v>
      </c>
      <c r="B56" s="14"/>
      <c r="C56" s="14"/>
      <c r="D56" s="20"/>
      <c r="E56" s="45"/>
      <c r="F56" s="45"/>
      <c r="G56" s="45"/>
      <c r="H56" s="50" t="str">
        <f aca="false">IF(COUNT(E56:G56)=0,"",(IF(E56="",0,E56*Rating_Scale!$C$26)+IF(F56="",0,F56*Rating_Scale!$C$27)+IF(G56="",0,G56*Rating_Scale!$C$28))/(IF(E56="",0,Rating_Scale!$C$26)+IF(F56="",0,Rating_Scale!$C$27)+IF(G56="",0,Rating_Scale!$C$28)))</f>
        <v/>
      </c>
      <c r="I56" s="20"/>
      <c r="J56" s="51" t="str">
        <f aca="false">IF(OR(H56="",C56=""),"",COUNTIFS($C$8:$C$57,C56,$H$8:$H$57,"&gt;"&amp;H56)+1)</f>
        <v/>
      </c>
      <c r="K56" s="17" t="str">
        <f aca="false">IF(H56="","",IF(H56&gt;=Rating_Scale!$C$13,"A",IF(H56&gt;=Rating_Scale!$C$14,"B",IF(H56&gt;=Rating_Scale!$C$15,"C","D"))))</f>
        <v/>
      </c>
      <c r="L56" s="11" t="str">
        <f aca="false">IF(H56="","",IF(I56="Y","Not Recommended – Knock-out",IF(COUNT(E56:G56)&lt;3,"Interim – rounds pending ("&amp;INDEX(Rating_Scale!$D$13:$D$16,MATCH(K56,Rating_Scale!$B$13:$B$16,0))&amp;")",INDEX(Rating_Scale!$D$13:$D$16,MATCH(K56,Rating_Scale!$B$13:$B$16,0)))))</f>
        <v/>
      </c>
      <c r="M56" s="14"/>
    </row>
    <row r="57" customFormat="false" ht="15" hidden="false" customHeight="false" outlineLevel="0" collapsed="false">
      <c r="A57" s="23" t="n">
        <v>50</v>
      </c>
      <c r="B57" s="14"/>
      <c r="C57" s="14"/>
      <c r="D57" s="20"/>
      <c r="E57" s="45"/>
      <c r="F57" s="45"/>
      <c r="G57" s="45"/>
      <c r="H57" s="50" t="str">
        <f aca="false">IF(COUNT(E57:G57)=0,"",(IF(E57="",0,E57*Rating_Scale!$C$26)+IF(F57="",0,F57*Rating_Scale!$C$27)+IF(G57="",0,G57*Rating_Scale!$C$28))/(IF(E57="",0,Rating_Scale!$C$26)+IF(F57="",0,Rating_Scale!$C$27)+IF(G57="",0,Rating_Scale!$C$28)))</f>
        <v/>
      </c>
      <c r="I57" s="20"/>
      <c r="J57" s="51" t="str">
        <f aca="false">IF(OR(H57="",C57=""),"",COUNTIFS($C$8:$C$57,C57,$H$8:$H$57,"&gt;"&amp;H57)+1)</f>
        <v/>
      </c>
      <c r="K57" s="17" t="str">
        <f aca="false">IF(H57="","",IF(H57&gt;=Rating_Scale!$C$13,"A",IF(H57&gt;=Rating_Scale!$C$14,"B",IF(H57&gt;=Rating_Scale!$C$15,"C","D"))))</f>
        <v/>
      </c>
      <c r="L57" s="11" t="str">
        <f aca="false">IF(H57="","",IF(I57="Y","Not Recommended – Knock-out",IF(COUNT(E57:G57)&lt;3,"Interim – rounds pending ("&amp;INDEX(Rating_Scale!$D$13:$D$16,MATCH(K57,Rating_Scale!$B$13:$B$16,0))&amp;")",INDEX(Rating_Scale!$D$13:$D$16,MATCH(K57,Rating_Scale!$B$13:$B$16,0)))))</f>
        <v/>
      </c>
      <c r="M57" s="14"/>
    </row>
  </sheetData>
  <mergeCells count="5">
    <mergeCell ref="A1:M1"/>
    <mergeCell ref="A2:M2"/>
    <mergeCell ref="A3:M3"/>
    <mergeCell ref="B5:C5"/>
    <mergeCell ref="E5:G5"/>
  </mergeCells>
  <conditionalFormatting sqref="L8:L57">
    <cfRule type="expression" priority="2" aboveAverage="0" equalAverage="0" bottom="0" percent="0" rank="0" text="" dxfId="1">
      <formula>LEFT($L8,3)="Not"</formula>
    </cfRule>
    <cfRule type="expression" priority="3" aboveAverage="0" equalAverage="0" bottom="0" percent="0" rank="0" text="" dxfId="4">
      <formula>LEFT($L8,8)="Strongly"</formula>
    </cfRule>
  </conditionalFormatting>
  <conditionalFormatting sqref="J8:J57">
    <cfRule type="cellIs" priority="4" operator="equal" aboveAverage="0" equalAverage="0" bottom="0" percent="0" rank="0" text="" dxfId="7">
      <formula>1</formula>
    </cfRule>
  </conditionalFormatting>
  <dataValidations count="3">
    <dataValidation allowBlank="true" errorStyle="stop" operator="between" showDropDown="false" showErrorMessage="false" showInputMessage="false" sqref="C8:C57" type="list">
      <formula1>Framework!$H$5:$Q$5</formula1>
      <formula2>0</formula2>
    </dataValidation>
    <dataValidation allowBlank="true" errorStyle="stop" operator="between" showDropDown="false" showErrorMessage="false" showInputMessage="false" sqref="I8:I57" type="list">
      <formula1>"Y,N"</formula1>
      <formula2>0</formula2>
    </dataValidation>
    <dataValidation allowBlank="true" error="Enter a % between 0% and 100%" errorStyle="stop" operator="between" showDropDown="false" showErrorMessage="true" showInputMessage="false" sqref="E8:G57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&amp;L&amp;"Arial,Regular"SPDC/HR/F-INT-01  Rev R0&amp;R&amp;"Arial,Regular"Page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2026-09-23T22:17:22Z</dcterms:created>
  <dc:creator>openpyxl</dc:creator>
  <dc:description/>
  <dc:language>en-US</dc:language>
  <cp:lastModifiedBy/>
  <dcterms:modified xsi:type="dcterms:W3CDTF">2026-09-23T22:17:28Z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