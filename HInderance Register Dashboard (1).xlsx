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rnam II\Submission\Phase 01\"/>
    </mc:Choice>
  </mc:AlternateContent>
  <xr:revisionPtr revIDLastSave="0" documentId="13_ncr:1_{A2E58E6E-36B3-4E22-B9AE-6818904E0ACF}" xr6:coauthVersionLast="47" xr6:coauthVersionMax="47" xr10:uidLastSave="{00000000-0000-0000-0000-000000000000}"/>
  <bookViews>
    <workbookView xWindow="28680" yWindow="-120" windowWidth="29040" windowHeight="15720" xr2:uid="{63D622C9-3C9B-4E7D-B143-B0CD678F59FB}"/>
  </bookViews>
  <sheets>
    <sheet name="Dashboard" sheetId="2" r:id="rId1"/>
    <sheet name="Hinderance Register" sheetId="1" r:id="rId2"/>
    <sheet name="Input" sheetId="3" r:id="rId3"/>
  </sheets>
  <definedNames>
    <definedName name="_xlnm._FilterDatabase" localSheetId="1" hidden="1">'Hinderance Register'!$A$2:$Q$18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L16" i="1"/>
  <c r="J69" i="1" l="1"/>
  <c r="L17" i="1"/>
  <c r="J17" i="1"/>
  <c r="L15" i="1"/>
  <c r="J15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U3" i="1" s="1"/>
  <c r="J3" i="1"/>
  <c r="T3" i="1" l="1"/>
</calcChain>
</file>

<file path=xl/sharedStrings.xml><?xml version="1.0" encoding="utf-8"?>
<sst xmlns="http://schemas.openxmlformats.org/spreadsheetml/2006/main" count="275" uniqueCount="100">
  <si>
    <t>Hinderance Register</t>
  </si>
  <si>
    <t>Sr. No</t>
  </si>
  <si>
    <t>Description of Hindrance</t>
  </si>
  <si>
    <t xml:space="preserve">Location </t>
  </si>
  <si>
    <t xml:space="preserve">Work affected </t>
  </si>
  <si>
    <t xml:space="preserve">Correspondence </t>
  </si>
  <si>
    <t>Type of Hindrance</t>
  </si>
  <si>
    <t>Date of Occurrence</t>
  </si>
  <si>
    <t>Date Resolved</t>
  </si>
  <si>
    <t>No. of Days</t>
  </si>
  <si>
    <t>Critical Activity affected</t>
  </si>
  <si>
    <t>Baseline Start Date</t>
  </si>
  <si>
    <t>Schedule Impact</t>
  </si>
  <si>
    <t>Delay Type</t>
  </si>
  <si>
    <t>Accountable</t>
  </si>
  <si>
    <t>Status</t>
  </si>
  <si>
    <t>Description of Resolution</t>
  </si>
  <si>
    <t>Remarks</t>
  </si>
  <si>
    <t xml:space="preserve">Staircase work </t>
  </si>
  <si>
    <t>Building A</t>
  </si>
  <si>
    <t>Non-overlapping Delay</t>
  </si>
  <si>
    <t>Client</t>
  </si>
  <si>
    <t>Resolved</t>
  </si>
  <si>
    <t>drawing was given on 22-11-2026</t>
  </si>
  <si>
    <t>Column reinforcement and formwork for part 1A</t>
  </si>
  <si>
    <t>Building B</t>
  </si>
  <si>
    <t>drawing was given on 28-12-2027</t>
  </si>
  <si>
    <t>basement 1 slab for Part 1B,1C</t>
  </si>
  <si>
    <t>Building C</t>
  </si>
  <si>
    <t>drawing was given on 17-1-23</t>
  </si>
  <si>
    <t>Basement 1 slab for Part 1D</t>
  </si>
  <si>
    <t>Building D</t>
  </si>
  <si>
    <t>Overlapping Delay</t>
  </si>
  <si>
    <t>Ground floor slab for Block A</t>
  </si>
  <si>
    <t>Building E</t>
  </si>
  <si>
    <t>drawing was given on 8-2-23 for shuttering</t>
  </si>
  <si>
    <t>Basement 3 slab for Part 2</t>
  </si>
  <si>
    <t>drawing was given on 7-2-23 for shuttering</t>
  </si>
  <si>
    <t xml:space="preserve">Lift 4 </t>
  </si>
  <si>
    <t>drawing was given on 24-1-23 and hold decision was given on 31-1-23</t>
  </si>
  <si>
    <t>Stair 5,6,2 - Part 2</t>
  </si>
  <si>
    <t>Block B &amp; C - ground floor slab</t>
  </si>
  <si>
    <t>drawing was given on 19-2-23 for shuttering</t>
  </si>
  <si>
    <t xml:space="preserve">Block A - ground floor </t>
  </si>
  <si>
    <t>Block C - ground floor</t>
  </si>
  <si>
    <t>casting done on 2/3/23</t>
  </si>
  <si>
    <t>Part 2- ramp work</t>
  </si>
  <si>
    <t>Part 1- Stair 1,9</t>
  </si>
  <si>
    <t>Open</t>
  </si>
  <si>
    <t xml:space="preserve">Part 2A- basement 2 </t>
  </si>
  <si>
    <t>drawing was given on 21-3-23 for shuttering</t>
  </si>
  <si>
    <t>Contractor</t>
  </si>
  <si>
    <t>Architecture Consultant</t>
  </si>
  <si>
    <t>Structure Consultant</t>
  </si>
  <si>
    <t>PMC</t>
  </si>
  <si>
    <t>Shutterting</t>
  </si>
  <si>
    <t>Casting</t>
  </si>
  <si>
    <t>Reinforcement</t>
  </si>
  <si>
    <t>Excavation</t>
  </si>
  <si>
    <t>Type of Hinderance</t>
  </si>
  <si>
    <t>Category</t>
  </si>
  <si>
    <t>Category of Hinderance</t>
  </si>
  <si>
    <t>Design &amp; Technical</t>
  </si>
  <si>
    <t>Insufficient skilled manpower</t>
  </si>
  <si>
    <t>Low labour productivity</t>
  </si>
  <si>
    <t>Execution</t>
  </si>
  <si>
    <t>Delay in material delivery</t>
  </si>
  <si>
    <r>
      <t xml:space="preserve">Delay in issue of </t>
    </r>
    <r>
      <rPr>
        <b/>
        <sz val="11"/>
        <color theme="1"/>
        <rFont val="Aptos Narrow"/>
        <family val="2"/>
        <scheme val="minor"/>
      </rPr>
      <t>GFC / IFC drawings</t>
    </r>
  </si>
  <si>
    <t>Incomplete or incorrect drawings</t>
  </si>
  <si>
    <t>Frequent design revisions</t>
  </si>
  <si>
    <t>Delay in shop drawing approvals</t>
  </si>
  <si>
    <t>Design coordination issues (Arch–Struct–MEP)</t>
  </si>
  <si>
    <t>Constructability issues at site</t>
  </si>
  <si>
    <t>Delay in design clarifications (RFIs)</t>
  </si>
  <si>
    <t>Approval</t>
  </si>
  <si>
    <r>
      <t xml:space="preserve">Delay in approval from </t>
    </r>
    <r>
      <rPr>
        <b/>
        <sz val="11"/>
        <color theme="1"/>
        <rFont val="Aptos Narrow"/>
        <family val="2"/>
        <scheme val="minor"/>
      </rPr>
      <t>Client / PMC</t>
    </r>
  </si>
  <si>
    <t>Delay in statutory approvals (Fire, Local Authority, Utilities)</t>
  </si>
  <si>
    <t>Delay in inspection and clearance</t>
  </si>
  <si>
    <t>Delay in mock-up / sample approvals</t>
  </si>
  <si>
    <t>Variation / change order approval delays</t>
  </si>
  <si>
    <t>Work front not available / handed over</t>
  </si>
  <si>
    <t>Site access restrictions</t>
  </si>
  <si>
    <t>Poor coordination between trades</t>
  </si>
  <si>
    <t>Equipment / machinery non-availability</t>
  </si>
  <si>
    <t>Safety stoppages affecting work</t>
  </si>
  <si>
    <t>Material Procurement</t>
  </si>
  <si>
    <t>Long-lead item procurement delays</t>
  </si>
  <si>
    <t>Vendor / supplier non-performance</t>
  </si>
  <si>
    <t>Delay in material approvals</t>
  </si>
  <si>
    <t>Material rejection due to quality issues</t>
  </si>
  <si>
    <t>Import / logistics clearance delays</t>
  </si>
  <si>
    <t>Storage and handling constraints</t>
  </si>
  <si>
    <t>Delay in issue of GFC / IFC drawings</t>
  </si>
  <si>
    <t>Hinderance Dashboard - Project # - Week #</t>
  </si>
  <si>
    <t>Delay in approval from Client / PMC</t>
  </si>
  <si>
    <t>Row Labels</t>
  </si>
  <si>
    <t>(blank)</t>
  </si>
  <si>
    <t>Grand Total</t>
  </si>
  <si>
    <t>Count of Sr. No</t>
  </si>
  <si>
    <t>Sum of Schedule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</si>
</sst>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Rs.&quot;\ * #,##0.00_ ;_ &quot;Rs.&quot;\ * \-#,##0.00_ ;_ &quot;Rs.&quot;\ * &quot;-&quot;??_ ;_ @_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Verdana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393185"/>
        <bgColor rgb="FF393185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8181"/>
        <bgColor indexed="64"/>
      </patternFill>
    </fill>
    <fill>
      <gradientFill>
        <stop position="0">
          <color theme="4" tint="0.40000610370189521"/>
        </stop>
        <stop position="1">
          <color theme="4" tint="-0.49803155613879818"/>
        </stop>
      </gradient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4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0" borderId="0" xfId="1" applyFont="1"/>
    <xf numFmtId="0" fontId="2" fillId="0" borderId="0" xfId="1"/>
    <xf numFmtId="0" fontId="5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7" fillId="0" borderId="2" xfId="2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9" fillId="5" borderId="3" xfId="1" applyFont="1" applyFill="1" applyBorder="1" applyAlignment="1">
      <alignment horizontal="center"/>
    </xf>
    <xf numFmtId="0" fontId="7" fillId="0" borderId="4" xfId="1" applyFont="1" applyBorder="1"/>
    <xf numFmtId="0" fontId="7" fillId="0" borderId="5" xfId="1" applyFont="1" applyBorder="1"/>
    <xf numFmtId="14" fontId="6" fillId="0" borderId="1" xfId="1" applyNumberFormat="1" applyFont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/>
    </xf>
    <xf numFmtId="14" fontId="7" fillId="0" borderId="1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 wrapText="1"/>
    </xf>
    <xf numFmtId="14" fontId="6" fillId="0" borderId="6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 wrapText="1"/>
    </xf>
    <xf numFmtId="14" fontId="7" fillId="0" borderId="6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4" fontId="7" fillId="0" borderId="6" xfId="1" applyNumberFormat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164" fontId="4" fillId="0" borderId="0" xfId="1" applyNumberFormat="1" applyFont="1"/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</cellXfs>
  <cellStyles count="3">
    <cellStyle name="Normal" xfId="0" builtinId="0"/>
    <cellStyle name="Normal 2" xfId="2" xr:uid="{4F4F8FD3-D1BD-4AF7-9E15-36C3DDF4B157}"/>
    <cellStyle name="Normal 4" xfId="1" xr:uid="{EC798D05-EC3C-4485-868F-6617A1D551B5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C77C"/>
      <color rgb="FFE09184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[HInderance Register Dashboard.xlsx]Dashboard!PivotTable1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Critical Activity Affected</a:t>
            </a:r>
          </a:p>
        </c:rich>
      </c:tx>
      <c:layout>
        <c:manualLayout>
          <c:xMode val="edge"/>
          <c:yMode val="edge"/>
          <c:x val="0.47505219267102988"/>
          <c:y val="2.3148713129858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8.748302049888862E-2"/>
          <c:y val="0.13516255201786609"/>
          <c:w val="0.49476409105643376"/>
          <c:h val="0.78231934088329702"/>
        </c:manualLayout>
      </c:layout>
      <c:doughnutChart>
        <c:varyColors val="1"/>
        <c:ser>
          <c:idx val="0"/>
          <c:order val="0"/>
          <c:tx>
            <c:strRef>
              <c:f>Dashboard!$B$120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C1-4A6E-8908-1B222EB8C470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C1-4A6E-8908-1B222EB8C47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C1-4A6E-8908-1B222EB8C470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C1-4A6E-8908-1B222EB8C470}"/>
              </c:ext>
            </c:extLst>
          </c:dPt>
          <c:dPt>
            <c:idx val="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C1-4A6E-8908-1B222EB8C4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Dashboard!$A$121:$A$125</c:f>
              <c:strCache>
                <c:ptCount val="4"/>
                <c:pt idx="0">
                  <c:v>Casting</c:v>
                </c:pt>
                <c:pt idx="1">
                  <c:v>Excavation</c:v>
                </c:pt>
                <c:pt idx="2">
                  <c:v>Reinforcement</c:v>
                </c:pt>
                <c:pt idx="3">
                  <c:v>Shutterting</c:v>
                </c:pt>
              </c:strCache>
            </c:strRef>
          </c:cat>
          <c:val>
            <c:numRef>
              <c:f>Dashboard!$B$121:$B$125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C1-4A6E-8908-1B222EB8C4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522538358236603"/>
          <c:y val="0.56257436571763297"/>
          <c:w val="0.33333317254260308"/>
          <c:h val="0.39729636759698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[HInderance Register Dashboard.xlsx]Dashboard!PivotTable2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Hinderance Category</a:t>
            </a:r>
          </a:p>
        </c:rich>
      </c:tx>
      <c:layout>
        <c:manualLayout>
          <c:xMode val="edge"/>
          <c:yMode val="edge"/>
          <c:x val="0.52981396180512697"/>
          <c:y val="3.5262733943877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12863890872480174"/>
          <c:y val="0.1351439649049688"/>
          <c:w val="0.54034624672286902"/>
          <c:h val="0.76543584086849714"/>
        </c:manualLayout>
      </c:layout>
      <c:doughnutChart>
        <c:varyColors val="1"/>
        <c:ser>
          <c:idx val="0"/>
          <c:order val="0"/>
          <c:tx>
            <c:strRef>
              <c:f>Dashboard!$B$129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AD-43D2-9777-35F58ECE132F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AD-43D2-9777-35F58ECE132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AD-43D2-9777-35F58ECE132F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AD-43D2-9777-35F58ECE132F}"/>
              </c:ext>
            </c:extLst>
          </c:dPt>
          <c:dPt>
            <c:idx val="4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AD-43D2-9777-35F58ECE13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Dashboard!$A$130:$A$134</c:f>
              <c:strCache>
                <c:ptCount val="4"/>
                <c:pt idx="0">
                  <c:v>Approval</c:v>
                </c:pt>
                <c:pt idx="1">
                  <c:v>Design &amp; Technical</c:v>
                </c:pt>
                <c:pt idx="2">
                  <c:v>Execution</c:v>
                </c:pt>
                <c:pt idx="3">
                  <c:v>Material Procurement</c:v>
                </c:pt>
              </c:strCache>
            </c:strRef>
          </c:cat>
          <c:val>
            <c:numRef>
              <c:f>Dashboard!$B$130:$B$134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AD-43D2-9777-35F58ECE13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30506923794279"/>
          <c:y val="0.27777348920528461"/>
          <c:w val="0.26646741036620597"/>
          <c:h val="0.56363762268786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[HInderance Register Dashboard.xlsx]Dashboard!PivotTable3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Sum of Schedule Impact</a:t>
            </a:r>
          </a:p>
        </c:rich>
      </c:tx>
      <c:layout>
        <c:manualLayout>
          <c:xMode val="edge"/>
          <c:yMode val="edge"/>
          <c:x val="0.61480888982664716"/>
          <c:y val="2.7675054143566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Dashboard!$D$121:$D$125</c:f>
              <c:strCache>
                <c:ptCount val="4"/>
                <c:pt idx="0">
                  <c:v>Approval</c:v>
                </c:pt>
                <c:pt idx="1">
                  <c:v>Design &amp; Technical</c:v>
                </c:pt>
                <c:pt idx="2">
                  <c:v>Execution</c:v>
                </c:pt>
                <c:pt idx="3">
                  <c:v>Material Procurement</c:v>
                </c:pt>
              </c:strCache>
            </c:strRef>
          </c:cat>
          <c:val>
            <c:numRef>
              <c:f>Dashboard!$E$121:$E$125</c:f>
              <c:numCache>
                <c:formatCode>General</c:formatCode>
                <c:ptCount val="4"/>
                <c:pt idx="0">
                  <c:v>113</c:v>
                </c:pt>
                <c:pt idx="1">
                  <c:v>81</c:v>
                </c:pt>
                <c:pt idx="2">
                  <c:v>118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4-4DAE-B3FC-EAAC67827A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6462568"/>
        <c:axId val="816463288"/>
      </c:barChart>
      <c:catAx>
        <c:axId val="81646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3288"/>
        <c:crosses val="autoZero"/>
        <c:auto val="1"/>
        <c:lblAlgn val="ctr"/>
        <c:lblOffset val="100"/>
        <c:noMultiLvlLbl val="0"/>
      </c:catAx>
      <c:valAx>
        <c:axId val="81646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6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[HInderance Register Dashboard.xlsx]Dashboard!PivotTable6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of Delay</a:t>
            </a:r>
            <a:endParaRPr lang="en-US"/>
          </a:p>
        </c:rich>
      </c:tx>
      <c:layout>
        <c:manualLayout>
          <c:xMode val="edge"/>
          <c:yMode val="edge"/>
          <c:x val="0.7090901137357829"/>
          <c:y val="2.6831604266736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907476478617258E-2"/>
          <c:y val="0.15289845251742565"/>
          <c:w val="0.66782566805106458"/>
          <c:h val="0.71099929874644707"/>
        </c:manualLayout>
      </c:layout>
      <c:doughnutChart>
        <c:varyColors val="1"/>
        <c:ser>
          <c:idx val="0"/>
          <c:order val="0"/>
          <c:tx>
            <c:strRef>
              <c:f>Dashboard!$E$129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Dashboard!$D$130:$D$132</c:f>
              <c:strCache>
                <c:ptCount val="2"/>
                <c:pt idx="0">
                  <c:v>Non-overlapping Delay</c:v>
                </c:pt>
                <c:pt idx="1">
                  <c:v>Overlapping Delay</c:v>
                </c:pt>
              </c:strCache>
            </c:strRef>
          </c:cat>
          <c:val>
            <c:numRef>
              <c:f>Dashboard!$E$130:$E$132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E-4D98-A7D1-D833A7ACD8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38947322321407"/>
          <c:y val="0.74443815167467808"/>
          <c:w val="0.3066548907688153"/>
          <c:h val="0.22908268823808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[HInderance Register Dashboard.xlsx]Dashboard!PivotTable7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</a:t>
            </a:r>
            <a:r>
              <a:rPr lang="en-US" baseline="0"/>
              <a:t> Hinderance</a:t>
            </a:r>
            <a:endParaRPr lang="en-US"/>
          </a:p>
        </c:rich>
      </c:tx>
      <c:layout>
        <c:manualLayout>
          <c:xMode val="edge"/>
          <c:yMode val="edge"/>
          <c:x val="0.56339415422812278"/>
          <c:y val="2.7815094129854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6.0592421024653002E-2"/>
          <c:y val="0.16546765367131136"/>
          <c:w val="0.42412215577087942"/>
          <c:h val="0.80569774372467629"/>
        </c:manualLayout>
      </c:layout>
      <c:doughnutChart>
        <c:varyColors val="1"/>
        <c:ser>
          <c:idx val="0"/>
          <c:order val="0"/>
          <c:tx>
            <c:strRef>
              <c:f>Dashboard!$E$135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6E-448B-91E7-487F051B18D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6E-448B-91E7-487F051B18DC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6E-448B-91E7-487F051B18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Dashboard!$D$136:$D$139</c:f>
              <c:strCache>
                <c:ptCount val="3"/>
                <c:pt idx="0">
                  <c:v>Open</c:v>
                </c:pt>
                <c:pt idx="1">
                  <c:v>Resolved</c:v>
                </c:pt>
                <c:pt idx="2">
                  <c:v>(blank)</c:v>
                </c:pt>
              </c:strCache>
            </c:strRef>
          </c:cat>
          <c:val>
            <c:numRef>
              <c:f>Dashboard!$E$136:$E$139</c:f>
              <c:numCache>
                <c:formatCode>General</c:formatCode>
                <c:ptCount val="3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6E-448B-91E7-487F051B18D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63611993429876"/>
          <c:y val="0.34977131510030635"/>
          <c:w val="0.2379104831254886"/>
          <c:h val="0.42238263106532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[HInderance Register Dashboard.xlsx]Dashboard!PivotTable5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Dashboard!$A$147:$A$156</c:f>
              <c:multiLvlStrCache>
                <c:ptCount val="7"/>
                <c:lvl>
                  <c:pt idx="0">
                    <c:v>Architecture Consultant</c:v>
                  </c:pt>
                  <c:pt idx="1">
                    <c:v>Contractor</c:v>
                  </c:pt>
                  <c:pt idx="2">
                    <c:v>Architecture Consultant</c:v>
                  </c:pt>
                  <c:pt idx="3">
                    <c:v>Client</c:v>
                  </c:pt>
                  <c:pt idx="4">
                    <c:v>Contractor</c:v>
                  </c:pt>
                  <c:pt idx="5">
                    <c:v>PMC</c:v>
                  </c:pt>
                  <c:pt idx="6">
                    <c:v>Structure Consultant</c:v>
                  </c:pt>
                </c:lvl>
                <c:lvl>
                  <c:pt idx="0">
                    <c:v>Open</c:v>
                  </c:pt>
                  <c:pt idx="2">
                    <c:v>Resolved</c:v>
                  </c:pt>
                </c:lvl>
              </c:multiLvlStrCache>
            </c:multiLvlStrRef>
          </c:cat>
          <c:val>
            <c:numRef>
              <c:f>Dashboard!$B$147:$B$156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9-4434-8859-A947A56641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1453680"/>
        <c:axId val="961454760"/>
      </c:barChart>
      <c:catAx>
        <c:axId val="96145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54760"/>
        <c:crosses val="autoZero"/>
        <c:auto val="1"/>
        <c:lblAlgn val="ctr"/>
        <c:lblOffset val="100"/>
        <c:noMultiLvlLbl val="0"/>
      </c:catAx>
      <c:valAx>
        <c:axId val="96145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5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57935</xdr:colOff>
      <xdr:row>0</xdr:row>
      <xdr:rowOff>96001</xdr:rowOff>
    </xdr:from>
    <xdr:to>
      <xdr:col>16</xdr:col>
      <xdr:colOff>247698</xdr:colOff>
      <xdr:row>1</xdr:row>
      <xdr:rowOff>289448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B17736-46C8-44E2-8AC9-7EB6FF150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6082" y="96001"/>
          <a:ext cx="2008926" cy="682920"/>
        </a:xfrm>
        <a:prstGeom prst="rect">
          <a:avLst/>
        </a:prstGeom>
      </xdr:spPr>
    </xdr:pic>
    <xdr:clientData/>
  </xdr:twoCellAnchor>
  <xdr:twoCellAnchor>
    <xdr:from>
      <xdr:col>0</xdr:col>
      <xdr:colOff>13110</xdr:colOff>
      <xdr:row>0</xdr:row>
      <xdr:rowOff>94096</xdr:rowOff>
    </xdr:from>
    <xdr:to>
      <xdr:col>3</xdr:col>
      <xdr:colOff>80346</xdr:colOff>
      <xdr:row>1</xdr:row>
      <xdr:rowOff>306369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F7C6AB-8680-45AA-9D6A-7FA45ABDCBC6}"/>
            </a:ext>
          </a:extLst>
        </xdr:cNvPr>
        <xdr:cNvSpPr/>
      </xdr:nvSpPr>
      <xdr:spPr>
        <a:xfrm>
          <a:off x="13110" y="94096"/>
          <a:ext cx="1882589" cy="694126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Client Logo</a:t>
          </a:r>
        </a:p>
      </xdr:txBody>
    </xdr:sp>
    <xdr:clientData/>
  </xdr:twoCellAnchor>
  <xdr:twoCellAnchor>
    <xdr:from>
      <xdr:col>0</xdr:col>
      <xdr:colOff>29808</xdr:colOff>
      <xdr:row>2</xdr:row>
      <xdr:rowOff>74631</xdr:rowOff>
    </xdr:from>
    <xdr:to>
      <xdr:col>3</xdr:col>
      <xdr:colOff>511660</xdr:colOff>
      <xdr:row>16</xdr:row>
      <xdr:rowOff>175484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0B7DD4-8BA9-445F-B7C6-2ECAC0884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237229</xdr:colOff>
      <xdr:row>17</xdr:row>
      <xdr:rowOff>94914</xdr:rowOff>
    </xdr:from>
    <xdr:to>
      <xdr:col>16</xdr:col>
      <xdr:colOff>209100</xdr:colOff>
      <xdr:row>35</xdr:row>
      <xdr:rowOff>100853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F6312C-0039-46B0-BF58-89F283972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550994</xdr:colOff>
      <xdr:row>2</xdr:row>
      <xdr:rowOff>98949</xdr:rowOff>
    </xdr:from>
    <xdr:to>
      <xdr:col>8</xdr:col>
      <xdr:colOff>78442</xdr:colOff>
      <xdr:row>17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5328B5-9E8E-422B-8B21-A7AC840F4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324970</xdr:colOff>
      <xdr:row>17</xdr:row>
      <xdr:rowOff>93457</xdr:rowOff>
    </xdr:from>
    <xdr:to>
      <xdr:col>9</xdr:col>
      <xdr:colOff>169992</xdr:colOff>
      <xdr:row>35</xdr:row>
      <xdr:rowOff>95137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AA6BD9-E613-0FCD-E00B-5A7C1EFC9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136377</xdr:colOff>
      <xdr:row>2</xdr:row>
      <xdr:rowOff>93232</xdr:rowOff>
    </xdr:from>
    <xdr:to>
      <xdr:col>16</xdr:col>
      <xdr:colOff>216497</xdr:colOff>
      <xdr:row>16</xdr:row>
      <xdr:rowOff>179293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5F2A9D-CF31-45BB-B6BE-DD4BA7238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17</xdr:row>
      <xdr:rowOff>78441</xdr:rowOff>
    </xdr:from>
    <xdr:to>
      <xdr:col>4</xdr:col>
      <xdr:colOff>283732</xdr:colOff>
      <xdr:row>35</xdr:row>
      <xdr:rowOff>95138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9ED0FA-47C7-432D-BA53-73342F325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33.079919791664" createdVersion="8" refreshedVersion="8" minRefreshableVersion="3" recordCount="101" xr:uid="{538B9CF3-91CE-4A37-81D5-2BD3EEE372DE}">
  <cacheSource type="worksheet">
    <worksheetSource ref="A2:Q1048576" sheet="Hinderance Register"/>
  </cacheSource>
  <cacheFields count="20">
    <cacheField name="Sr. No" numFmtId="0">
      <sharedItems containsString="0" containsBlank="1" containsNumber="1" containsInteger="1" minValue="1" maxValue="15"/>
    </cacheField>
    <cacheField name="Description of Hindrance" numFmtId="0">
      <sharedItems containsBlank="1"/>
    </cacheField>
    <cacheField name="Location " numFmtId="0">
      <sharedItems containsBlank="1"/>
    </cacheField>
    <cacheField name="Critical Activity affected" numFmtId="0">
      <sharedItems containsBlank="1" count="5">
        <s v="Shutterting"/>
        <s v="Casting"/>
        <s v="Reinforcement"/>
        <s v="Excavation"/>
        <m/>
      </sharedItems>
    </cacheField>
    <cacheField name="Correspondence " numFmtId="0">
      <sharedItems containsNonDate="0" containsDate="1" containsString="0" containsBlank="1" minDate="2026-12-26T00:00:00" maxDate="2027-03-15T00:00:00" count="7">
        <d v="2026-12-26T00:00:00"/>
        <d v="2027-01-12T00:00:00"/>
        <d v="2027-01-28T00:00:00"/>
        <d v="2027-02-22T00:00:00"/>
        <d v="2027-02-27T00:00:00"/>
        <d v="2027-03-14T00:00:00"/>
        <m/>
      </sharedItems>
      <fieldGroup par="19"/>
    </cacheField>
    <cacheField name="Category" numFmtId="0">
      <sharedItems containsBlank="1" count="5">
        <s v="Design &amp; Technical"/>
        <s v="Approval"/>
        <s v="Execution"/>
        <s v="Material Procurement"/>
        <m/>
      </sharedItems>
    </cacheField>
    <cacheField name="Type of Hindrance" numFmtId="0">
      <sharedItems containsBlank="1" count="13">
        <s v="Storage and handling constraints"/>
        <s v="Delay in mock-up / sample approvals"/>
        <s v="Variation / change order approval delays"/>
        <s v="Work front not available / handed over"/>
        <s v="Import / logistics clearance delays"/>
        <s v="Delay in statutory approvals (Fire, Local Authority, Utilities)"/>
        <s v="Vendor / supplier non-performance"/>
        <s v="Insufficient skilled manpower"/>
        <s v="Constructability issues at site"/>
        <s v="Delay in issue of GFC / IFC drawings"/>
        <s v="Delay in design clarifications (RFIs)"/>
        <s v="Delay in approval from Client / PMC"/>
        <m/>
      </sharedItems>
    </cacheField>
    <cacheField name="Date of Occurrence" numFmtId="0">
      <sharedItems containsNonDate="0" containsDate="1" containsString="0" containsBlank="1" minDate="2026-11-19T00:00:00" maxDate="2027-03-17T00:00:00"/>
    </cacheField>
    <cacheField name="Date Resolved" numFmtId="0">
      <sharedItems containsNonDate="0" containsDate="1" containsString="0" containsBlank="1" minDate="2026-11-22T00:00:00" maxDate="2027-04-05T00:00:00"/>
    </cacheField>
    <cacheField name="No. of Days" numFmtId="0">
      <sharedItems containsString="0" containsBlank="1" containsNumber="1" containsInteger="1" minValue="0" maxValue="31"/>
    </cacheField>
    <cacheField name="Baseline Start Date" numFmtId="0">
      <sharedItems containsNonDate="0" containsDate="1" containsString="0" containsBlank="1" minDate="2026-11-13T00:00:00" maxDate="2027-02-11T00:00:00"/>
    </cacheField>
    <cacheField name="Schedule Impact" numFmtId="0">
      <sharedItems containsString="0" containsBlank="1" containsNumber="1" containsInteger="1" minValue="5" maxValue="64"/>
    </cacheField>
    <cacheField name="Delay Type" numFmtId="0">
      <sharedItems containsBlank="1" count="3">
        <s v="Overlapping Delay"/>
        <s v="Non-overlapping Delay"/>
        <m/>
      </sharedItems>
    </cacheField>
    <cacheField name="Accountable" numFmtId="0">
      <sharedItems containsBlank="1" count="6">
        <s v="Architecture Consultant"/>
        <s v="Contractor"/>
        <s v="Structure Consultant"/>
        <s v="PMC"/>
        <s v="Client"/>
        <m/>
      </sharedItems>
    </cacheField>
    <cacheField name="Status" numFmtId="0">
      <sharedItems containsBlank="1" count="3">
        <s v="Resolved"/>
        <s v="Open"/>
        <m/>
      </sharedItems>
    </cacheField>
    <cacheField name="Description of Resolution" numFmtId="0">
      <sharedItems containsBlank="1"/>
    </cacheField>
    <cacheField name="Remarks" numFmtId="0">
      <sharedItems containsNonDate="0" containsString="0" containsBlank="1"/>
    </cacheField>
    <cacheField name="Months (Correspondence )" numFmtId="0" databaseField="0">
      <fieldGroup base="4">
        <rangePr groupBy="months" startDate="2026-12-26T00:00:00" endDate="2027-03-15T00:00:00"/>
        <groupItems count="14">
          <s v="&lt;26-1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3-2027"/>
        </groupItems>
      </fieldGroup>
    </cacheField>
    <cacheField name="Quarters (Correspondence )" numFmtId="0" databaseField="0">
      <fieldGroup base="4">
        <rangePr groupBy="quarters" startDate="2026-12-26T00:00:00" endDate="2027-03-15T00:00:00"/>
        <groupItems count="6">
          <s v="&lt;26-12-2026"/>
          <s v="Qtr1"/>
          <s v="Qtr2"/>
          <s v="Qtr3"/>
          <s v="Qtr4"/>
          <s v="&gt;15-03-2027"/>
        </groupItems>
      </fieldGroup>
    </cacheField>
    <cacheField name="Years (Correspondence )" numFmtId="0" databaseField="0">
      <fieldGroup base="4">
        <rangePr groupBy="years" startDate="2026-12-26T00:00:00" endDate="2027-03-15T00:00:00"/>
        <groupItems count="4">
          <s v="&lt;26-12-2026"/>
          <s v="2026"/>
          <s v="2027"/>
          <s v="&gt;15-03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s v="Staircase work "/>
    <s v="Building A"/>
    <x v="0"/>
    <x v="0"/>
    <x v="0"/>
    <x v="0"/>
    <d v="2026-11-19T00:00:00"/>
    <d v="2026-11-22T00:00:00"/>
    <n v="4"/>
    <d v="2026-11-13T00:00:00"/>
    <n v="10"/>
    <x v="0"/>
    <x v="0"/>
    <x v="0"/>
    <s v="drawing was given on 22-11-2026"/>
    <m/>
  </r>
  <r>
    <n v="2"/>
    <s v="Column reinforcement and formwork for part 1A"/>
    <s v="Building B"/>
    <x v="1"/>
    <x v="0"/>
    <x v="1"/>
    <x v="1"/>
    <d v="2026-12-24T00:00:00"/>
    <d v="2026-12-28T00:00:00"/>
    <n v="5"/>
    <d v="2026-12-24T00:00:00"/>
    <n v="5"/>
    <x v="1"/>
    <x v="1"/>
    <x v="0"/>
    <s v="drawing was given on 28-12-2027"/>
    <m/>
  </r>
  <r>
    <n v="3"/>
    <s v="basement 1 slab for Part 1B,1C"/>
    <s v="Building C"/>
    <x v="2"/>
    <x v="1"/>
    <x v="2"/>
    <x v="2"/>
    <d v="2027-01-05T00:00:00"/>
    <d v="2027-01-17T00:00:00"/>
    <n v="13"/>
    <d v="2027-01-06T00:00:00"/>
    <n v="12"/>
    <x v="1"/>
    <x v="2"/>
    <x v="0"/>
    <s v="drawing was given on 17-1-23"/>
    <m/>
  </r>
  <r>
    <n v="4"/>
    <s v="Basement 1 slab for Part 1D"/>
    <s v="Building D"/>
    <x v="3"/>
    <x v="1"/>
    <x v="3"/>
    <x v="3"/>
    <d v="2027-01-12T00:00:00"/>
    <d v="2027-01-17T00:00:00"/>
    <n v="6"/>
    <d v="2026-12-31T00:00:00"/>
    <n v="18"/>
    <x v="0"/>
    <x v="3"/>
    <x v="0"/>
    <s v="drawing was given on 17-1-23"/>
    <m/>
  </r>
  <r>
    <n v="5"/>
    <s v="Ground floor slab for Block A"/>
    <s v="Building E"/>
    <x v="0"/>
    <x v="0"/>
    <x v="3"/>
    <x v="4"/>
    <d v="2027-01-20T00:00:00"/>
    <d v="2027-02-08T00:00:00"/>
    <n v="20"/>
    <d v="2027-01-20T00:00:00"/>
    <n v="20"/>
    <x v="1"/>
    <x v="2"/>
    <x v="0"/>
    <s v="drawing was given on 8-2-23 for shuttering"/>
    <m/>
  </r>
  <r>
    <n v="6"/>
    <s v="Basement 3 slab for Part 2"/>
    <s v="Building A"/>
    <x v="1"/>
    <x v="0"/>
    <x v="1"/>
    <x v="5"/>
    <d v="2027-01-20T00:00:00"/>
    <d v="2027-02-07T00:00:00"/>
    <n v="19"/>
    <d v="2027-01-15T00:00:00"/>
    <n v="24"/>
    <x v="0"/>
    <x v="4"/>
    <x v="0"/>
    <s v="drawing was given on 7-2-23 for shuttering"/>
    <m/>
  </r>
  <r>
    <n v="7"/>
    <s v="Lift 4 "/>
    <s v="Building B"/>
    <x v="2"/>
    <x v="2"/>
    <x v="2"/>
    <x v="6"/>
    <d v="2027-01-18T00:00:00"/>
    <d v="2027-01-31T00:00:00"/>
    <n v="14"/>
    <d v="2027-01-07T00:00:00"/>
    <n v="25"/>
    <x v="1"/>
    <x v="1"/>
    <x v="1"/>
    <s v="drawing was given on 24-1-23 and hold decision was given on 31-1-23"/>
    <m/>
  </r>
  <r>
    <n v="8"/>
    <s v="Stair 5,6,2 - Part 2"/>
    <s v="Building C"/>
    <x v="3"/>
    <x v="3"/>
    <x v="0"/>
    <x v="7"/>
    <d v="2027-02-10T00:00:00"/>
    <d v="2027-03-01T00:00:00"/>
    <n v="20"/>
    <d v="2027-01-15T00:00:00"/>
    <n v="46"/>
    <x v="1"/>
    <x v="0"/>
    <x v="1"/>
    <s v="drawing was given on 8-2-23 for shuttering"/>
    <m/>
  </r>
  <r>
    <n v="9"/>
    <s v="Block B &amp; C - ground floor slab"/>
    <s v="Building D"/>
    <x v="2"/>
    <x v="0"/>
    <x v="1"/>
    <x v="8"/>
    <d v="2027-02-15T00:00:00"/>
    <d v="2027-02-19T00:00:00"/>
    <n v="5"/>
    <d v="2027-01-31T00:00:00"/>
    <n v="20"/>
    <x v="0"/>
    <x v="1"/>
    <x v="0"/>
    <s v="drawing was given on 19-2-23 for shuttering"/>
    <m/>
  </r>
  <r>
    <n v="10"/>
    <s v="Block A - ground floor "/>
    <s v="Building E"/>
    <x v="3"/>
    <x v="0"/>
    <x v="2"/>
    <x v="9"/>
    <d v="2027-02-20T00:00:00"/>
    <d v="2027-02-23T00:00:00"/>
    <n v="4"/>
    <d v="2027-02-07T00:00:00"/>
    <n v="17"/>
    <x v="0"/>
    <x v="2"/>
    <x v="0"/>
    <s v="drawing was given on 8-2-23 for shuttering"/>
    <m/>
  </r>
  <r>
    <n v="11"/>
    <s v="Block C - ground floor"/>
    <s v="Building A"/>
    <x v="0"/>
    <x v="4"/>
    <x v="0"/>
    <x v="9"/>
    <d v="2027-02-26T00:00:00"/>
    <d v="2027-02-28T00:00:00"/>
    <n v="3"/>
    <d v="2027-02-04T00:00:00"/>
    <n v="25"/>
    <x v="0"/>
    <x v="3"/>
    <x v="0"/>
    <m/>
    <m/>
  </r>
  <r>
    <n v="12"/>
    <s v="Block A - ground floor "/>
    <s v="Building B"/>
    <x v="1"/>
    <x v="0"/>
    <x v="2"/>
    <x v="10"/>
    <d v="2027-02-27T00:00:00"/>
    <d v="2027-03-02T00:00:00"/>
    <n v="4"/>
    <d v="2027-02-07T00:00:00"/>
    <n v="24"/>
    <x v="1"/>
    <x v="2"/>
    <x v="0"/>
    <s v="casting done on 2/3/23"/>
    <m/>
  </r>
  <r>
    <n v="13"/>
    <s v="Part 2- ramp work"/>
    <s v="Building C"/>
    <x v="3"/>
    <x v="4"/>
    <x v="3"/>
    <x v="11"/>
    <d v="2027-02-17T00:00:00"/>
    <d v="2027-03-04T00:00:00"/>
    <n v="16"/>
    <d v="2027-01-16T00:00:00"/>
    <n v="48"/>
    <x v="1"/>
    <x v="4"/>
    <x v="0"/>
    <m/>
    <m/>
  </r>
  <r>
    <n v="14"/>
    <s v="Part 1- Stair 1,9"/>
    <s v="Building D"/>
    <x v="0"/>
    <x v="0"/>
    <x v="1"/>
    <x v="5"/>
    <d v="2027-03-05T00:00:00"/>
    <d v="2027-04-04T00:00:00"/>
    <n v="31"/>
    <d v="2027-01-31T00:00:00"/>
    <n v="64"/>
    <x v="0"/>
    <x v="1"/>
    <x v="1"/>
    <m/>
    <m/>
  </r>
  <r>
    <n v="15"/>
    <s v="Part 2A- basement 2 "/>
    <s v="Building E"/>
    <x v="2"/>
    <x v="5"/>
    <x v="2"/>
    <x v="9"/>
    <d v="2027-03-16T00:00:00"/>
    <d v="2027-03-21T00:00:00"/>
    <n v="6"/>
    <d v="2027-02-10T00:00:00"/>
    <n v="40"/>
    <x v="1"/>
    <x v="4"/>
    <x v="0"/>
    <s v="drawing was given on 21-3-23 for shuttering"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n v="0"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0367E-580A-4A0E-855E-D9E46DB1A526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135:E139" firstHeaderRow="1" firstDataRow="1" firstDataCol="1"/>
  <pivotFields count="20">
    <pivotField dataField="1"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r. No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77862-F019-40C1-A4EC-6876B7AF24DA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D129:E132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Sr. No" fld="0" subtotal="count" baseField="12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2BF57-A289-42F4-80DF-B647B40F6E55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6:B156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1"/>
        <item x="3"/>
        <item x="2"/>
        <item h="1"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4"/>
    <field x="13"/>
  </rowFields>
  <rowItems count="10">
    <i>
      <x/>
    </i>
    <i r="1">
      <x/>
    </i>
    <i r="1">
      <x v="2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Sr. No" fld="0" subtotal="count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CCE83-DEB4-44B3-BE7E-9C68E584766B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7:B144" firstHeaderRow="1" firstDataRow="1" firstDataCol="1"/>
  <pivotFields count="20"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chedule Impac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F4C04-7F47-47DB-9DB9-9F8076C1F0D3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20:E125" firstHeaderRow="1" firstDataRow="1" firstDataCol="1"/>
  <pivotFields count="20"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1"/>
        <item x="0"/>
        <item x="2"/>
        <item x="3"/>
        <item h="1"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chedule Impact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58965-887E-4A4A-8D5D-56709F763CFD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29:B134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r. No" fld="0" subtotal="count" baseField="3" baseItem="4"/>
  </dataFields>
  <chartFormats count="6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8B908-28EB-4BBA-94B9-ADB723977B9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0:B125" firstHeaderRow="1" firstDataRow="1" firstDataCol="1"/>
  <pivotFields count="20">
    <pivotField dataField="1"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r. No" fld="0" subtotal="count" baseField="3" baseItem="4"/>
  </dataFields>
  <chartFormats count="6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8A7A-A5C2-48AB-92D4-0A28247E4227}">
  <dimension ref="A1:Q156"/>
  <sheetViews>
    <sheetView tabSelected="1" zoomScale="85" zoomScaleNormal="85" workbookViewId="0">
      <selection activeCell="A62" sqref="A62"/>
    </sheetView>
  </sheetViews>
  <sheetFormatPr defaultRowHeight="14.4" x14ac:dyDescent="0.3"/>
  <cols>
    <col min="1" max="1" width="23.88671875" bestFit="1" customWidth="1"/>
    <col min="2" max="2" width="13.21875" bestFit="1" customWidth="1"/>
    <col min="3" max="3" width="21.44140625" bestFit="1" customWidth="1"/>
    <col min="4" max="4" width="12.88671875" bestFit="1" customWidth="1"/>
    <col min="5" max="6" width="13.21875" bestFit="1" customWidth="1"/>
    <col min="7" max="7" width="7" bestFit="1" customWidth="1"/>
    <col min="8" max="8" width="10.5546875" bestFit="1" customWidth="1"/>
    <col min="17" max="17" width="4.5546875" customWidth="1"/>
  </cols>
  <sheetData>
    <row r="1" spans="1:17" ht="37.799999999999997" customHeight="1" x14ac:dyDescent="0.3">
      <c r="A1" s="45" t="s">
        <v>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</row>
    <row r="2" spans="1:17" ht="30" customHeight="1" thickBot="1" x14ac:dyDescent="0.3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</row>
    <row r="3" spans="1:17" x14ac:dyDescent="0.3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7"/>
    </row>
    <row r="4" spans="1:17" x14ac:dyDescent="0.3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1:17" x14ac:dyDescent="0.3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1:17" x14ac:dyDescent="0.3">
      <c r="A6" s="58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</row>
    <row r="7" spans="1:17" x14ac:dyDescent="0.3">
      <c r="A7" s="58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60"/>
    </row>
    <row r="8" spans="1:17" x14ac:dyDescent="0.3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</row>
    <row r="9" spans="1:17" x14ac:dyDescent="0.3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60"/>
    </row>
    <row r="10" spans="1:17" x14ac:dyDescent="0.3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60"/>
    </row>
    <row r="11" spans="1:17" x14ac:dyDescent="0.3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3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</row>
    <row r="13" spans="1:17" x14ac:dyDescent="0.3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60"/>
    </row>
    <row r="14" spans="1:17" x14ac:dyDescent="0.3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</row>
    <row r="15" spans="1:17" x14ac:dyDescent="0.3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0"/>
    </row>
    <row r="16" spans="1:17" x14ac:dyDescent="0.3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60"/>
    </row>
    <row r="17" spans="1:17" x14ac:dyDescent="0.3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60"/>
    </row>
    <row r="18" spans="1:17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60"/>
    </row>
    <row r="19" spans="1:17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</row>
    <row r="20" spans="1:17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60"/>
    </row>
    <row r="21" spans="1:17" x14ac:dyDescent="0.3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</row>
    <row r="22" spans="1:17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60"/>
    </row>
    <row r="23" spans="1:17" x14ac:dyDescent="0.3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0"/>
    </row>
    <row r="24" spans="1:17" x14ac:dyDescent="0.3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0"/>
    </row>
    <row r="25" spans="1:17" x14ac:dyDescent="0.3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0"/>
    </row>
    <row r="26" spans="1:17" x14ac:dyDescent="0.3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0"/>
    </row>
    <row r="27" spans="1:17" x14ac:dyDescent="0.3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0"/>
    </row>
    <row r="28" spans="1:17" x14ac:dyDescent="0.3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0"/>
    </row>
    <row r="29" spans="1:17" x14ac:dyDescent="0.3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0"/>
    </row>
    <row r="30" spans="1:17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0"/>
    </row>
    <row r="31" spans="1:17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</row>
    <row r="32" spans="1:17" x14ac:dyDescent="0.3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0"/>
    </row>
    <row r="33" spans="1:17" x14ac:dyDescent="0.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0"/>
    </row>
    <row r="34" spans="1:17" x14ac:dyDescent="0.3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0"/>
    </row>
    <row r="35" spans="1:17" x14ac:dyDescent="0.3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0"/>
    </row>
    <row r="36" spans="1:17" ht="15" thickBot="1" x14ac:dyDescent="0.35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3"/>
    </row>
    <row r="120" spans="1:5" x14ac:dyDescent="0.3">
      <c r="A120" s="51" t="s">
        <v>95</v>
      </c>
      <c r="B120" t="s">
        <v>98</v>
      </c>
      <c r="D120" s="51" t="s">
        <v>95</v>
      </c>
      <c r="E120" t="s">
        <v>99</v>
      </c>
    </row>
    <row r="121" spans="1:5" x14ac:dyDescent="0.3">
      <c r="A121" s="52" t="s">
        <v>56</v>
      </c>
      <c r="B121" s="53">
        <v>3</v>
      </c>
      <c r="D121" s="52" t="s">
        <v>74</v>
      </c>
      <c r="E121" s="53">
        <v>113</v>
      </c>
    </row>
    <row r="122" spans="1:5" x14ac:dyDescent="0.3">
      <c r="A122" s="52" t="s">
        <v>58</v>
      </c>
      <c r="B122" s="53">
        <v>4</v>
      </c>
      <c r="D122" s="52" t="s">
        <v>62</v>
      </c>
      <c r="E122" s="53">
        <v>81</v>
      </c>
    </row>
    <row r="123" spans="1:5" x14ac:dyDescent="0.3">
      <c r="A123" s="52" t="s">
        <v>57</v>
      </c>
      <c r="B123" s="53">
        <v>4</v>
      </c>
      <c r="D123" s="52" t="s">
        <v>65</v>
      </c>
      <c r="E123" s="53">
        <v>118</v>
      </c>
    </row>
    <row r="124" spans="1:5" x14ac:dyDescent="0.3">
      <c r="A124" s="52" t="s">
        <v>55</v>
      </c>
      <c r="B124" s="53">
        <v>4</v>
      </c>
      <c r="D124" s="52" t="s">
        <v>85</v>
      </c>
      <c r="E124" s="53">
        <v>86</v>
      </c>
    </row>
    <row r="125" spans="1:5" x14ac:dyDescent="0.3">
      <c r="A125" s="52" t="s">
        <v>97</v>
      </c>
      <c r="B125" s="53">
        <v>15</v>
      </c>
      <c r="D125" s="52" t="s">
        <v>97</v>
      </c>
      <c r="E125" s="53">
        <v>398</v>
      </c>
    </row>
    <row r="129" spans="1:5" x14ac:dyDescent="0.3">
      <c r="A129" s="51" t="s">
        <v>95</v>
      </c>
      <c r="B129" t="s">
        <v>98</v>
      </c>
      <c r="D129" s="51" t="s">
        <v>95</v>
      </c>
      <c r="E129" t="s">
        <v>98</v>
      </c>
    </row>
    <row r="130" spans="1:5" x14ac:dyDescent="0.3">
      <c r="A130" s="52" t="s">
        <v>74</v>
      </c>
      <c r="B130" s="53">
        <v>4</v>
      </c>
      <c r="D130" s="52" t="s">
        <v>20</v>
      </c>
      <c r="E130" s="53">
        <v>8</v>
      </c>
    </row>
    <row r="131" spans="1:5" x14ac:dyDescent="0.3">
      <c r="A131" s="52" t="s">
        <v>62</v>
      </c>
      <c r="B131" s="53">
        <v>3</v>
      </c>
      <c r="D131" s="52" t="s">
        <v>32</v>
      </c>
      <c r="E131" s="53">
        <v>7</v>
      </c>
    </row>
    <row r="132" spans="1:5" x14ac:dyDescent="0.3">
      <c r="A132" s="52" t="s">
        <v>65</v>
      </c>
      <c r="B132" s="53">
        <v>5</v>
      </c>
      <c r="D132" s="52" t="s">
        <v>97</v>
      </c>
      <c r="E132" s="53">
        <v>15</v>
      </c>
    </row>
    <row r="133" spans="1:5" x14ac:dyDescent="0.3">
      <c r="A133" s="52" t="s">
        <v>85</v>
      </c>
      <c r="B133" s="53">
        <v>3</v>
      </c>
    </row>
    <row r="134" spans="1:5" x14ac:dyDescent="0.3">
      <c r="A134" s="52" t="s">
        <v>97</v>
      </c>
      <c r="B134" s="53">
        <v>15</v>
      </c>
    </row>
    <row r="135" spans="1:5" x14ac:dyDescent="0.3">
      <c r="D135" s="51" t="s">
        <v>95</v>
      </c>
      <c r="E135" t="s">
        <v>98</v>
      </c>
    </row>
    <row r="136" spans="1:5" x14ac:dyDescent="0.3">
      <c r="D136" s="52" t="s">
        <v>48</v>
      </c>
      <c r="E136" s="53">
        <v>3</v>
      </c>
    </row>
    <row r="137" spans="1:5" x14ac:dyDescent="0.3">
      <c r="A137" s="51" t="s">
        <v>95</v>
      </c>
      <c r="B137" t="s">
        <v>99</v>
      </c>
      <c r="D137" s="52" t="s">
        <v>22</v>
      </c>
      <c r="E137" s="53">
        <v>12</v>
      </c>
    </row>
    <row r="138" spans="1:5" x14ac:dyDescent="0.3">
      <c r="A138" s="52" t="s">
        <v>52</v>
      </c>
      <c r="B138" s="53">
        <v>56</v>
      </c>
      <c r="D138" s="52" t="s">
        <v>96</v>
      </c>
      <c r="E138" s="53"/>
    </row>
    <row r="139" spans="1:5" x14ac:dyDescent="0.3">
      <c r="A139" s="52" t="s">
        <v>21</v>
      </c>
      <c r="B139" s="53">
        <v>112</v>
      </c>
      <c r="D139" s="52" t="s">
        <v>97</v>
      </c>
      <c r="E139" s="53">
        <v>15</v>
      </c>
    </row>
    <row r="140" spans="1:5" x14ac:dyDescent="0.3">
      <c r="A140" s="52" t="s">
        <v>51</v>
      </c>
      <c r="B140" s="53">
        <v>114</v>
      </c>
    </row>
    <row r="141" spans="1:5" x14ac:dyDescent="0.3">
      <c r="A141" s="52" t="s">
        <v>54</v>
      </c>
      <c r="B141" s="53">
        <v>43</v>
      </c>
    </row>
    <row r="142" spans="1:5" x14ac:dyDescent="0.3">
      <c r="A142" s="52" t="s">
        <v>53</v>
      </c>
      <c r="B142" s="53">
        <v>73</v>
      </c>
    </row>
    <row r="143" spans="1:5" x14ac:dyDescent="0.3">
      <c r="A143" s="52" t="s">
        <v>96</v>
      </c>
      <c r="B143" s="53"/>
    </row>
    <row r="144" spans="1:5" x14ac:dyDescent="0.3">
      <c r="A144" s="52" t="s">
        <v>97</v>
      </c>
      <c r="B144" s="53">
        <v>398</v>
      </c>
    </row>
    <row r="146" spans="1:2" x14ac:dyDescent="0.3">
      <c r="A146" s="51" t="s">
        <v>95</v>
      </c>
      <c r="B146" t="s">
        <v>98</v>
      </c>
    </row>
    <row r="147" spans="1:2" x14ac:dyDescent="0.3">
      <c r="A147" s="52" t="s">
        <v>48</v>
      </c>
      <c r="B147" s="53">
        <v>3</v>
      </c>
    </row>
    <row r="148" spans="1:2" x14ac:dyDescent="0.3">
      <c r="A148" s="54" t="s">
        <v>52</v>
      </c>
      <c r="B148" s="53">
        <v>1</v>
      </c>
    </row>
    <row r="149" spans="1:2" x14ac:dyDescent="0.3">
      <c r="A149" s="54" t="s">
        <v>51</v>
      </c>
      <c r="B149" s="53">
        <v>2</v>
      </c>
    </row>
    <row r="150" spans="1:2" x14ac:dyDescent="0.3">
      <c r="A150" s="52" t="s">
        <v>22</v>
      </c>
      <c r="B150" s="53">
        <v>12</v>
      </c>
    </row>
    <row r="151" spans="1:2" x14ac:dyDescent="0.3">
      <c r="A151" s="54" t="s">
        <v>52</v>
      </c>
      <c r="B151" s="53">
        <v>1</v>
      </c>
    </row>
    <row r="152" spans="1:2" x14ac:dyDescent="0.3">
      <c r="A152" s="54" t="s">
        <v>21</v>
      </c>
      <c r="B152" s="53">
        <v>3</v>
      </c>
    </row>
    <row r="153" spans="1:2" x14ac:dyDescent="0.3">
      <c r="A153" s="54" t="s">
        <v>51</v>
      </c>
      <c r="B153" s="53">
        <v>2</v>
      </c>
    </row>
    <row r="154" spans="1:2" x14ac:dyDescent="0.3">
      <c r="A154" s="54" t="s">
        <v>54</v>
      </c>
      <c r="B154" s="53">
        <v>2</v>
      </c>
    </row>
    <row r="155" spans="1:2" x14ac:dyDescent="0.3">
      <c r="A155" s="54" t="s">
        <v>53</v>
      </c>
      <c r="B155" s="53">
        <v>4</v>
      </c>
    </row>
    <row r="156" spans="1:2" x14ac:dyDescent="0.3">
      <c r="A156" s="52" t="s">
        <v>97</v>
      </c>
      <c r="B156" s="53">
        <v>15</v>
      </c>
    </row>
  </sheetData>
  <mergeCells count="2">
    <mergeCell ref="A1:Q2"/>
    <mergeCell ref="A3:Q36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BD06-BA0B-4808-8F1E-D246E3D61C1C}">
  <dimension ref="A1:AC102"/>
  <sheetViews>
    <sheetView zoomScale="67" zoomScaleNormal="53" workbookViewId="0">
      <pane xSplit="2" ySplit="2" topLeftCell="F1048530" activePane="bottomRight" state="frozen"/>
      <selection pane="topRight" activeCell="C1" sqref="C1"/>
      <selection pane="bottomLeft" activeCell="A3" sqref="A3"/>
      <selection pane="bottomRight" activeCell="A2" sqref="A2:Q1048576"/>
    </sheetView>
  </sheetViews>
  <sheetFormatPr defaultColWidth="14.44140625" defaultRowHeight="15" customHeight="1" x14ac:dyDescent="0.3"/>
  <cols>
    <col min="1" max="1" width="8.5546875" style="3" customWidth="1"/>
    <col min="2" max="2" width="27.6640625" style="3" customWidth="1"/>
    <col min="3" max="3" width="27.109375" style="44" customWidth="1"/>
    <col min="4" max="4" width="25.33203125" style="3" customWidth="1"/>
    <col min="5" max="6" width="30.88671875" style="3" customWidth="1"/>
    <col min="7" max="7" width="25.33203125" style="44" customWidth="1"/>
    <col min="8" max="8" width="24.5546875" style="3" customWidth="1"/>
    <col min="9" max="9" width="28.88671875" style="3" customWidth="1"/>
    <col min="10" max="10" width="16.33203125" style="3" customWidth="1"/>
    <col min="11" max="11" width="16" style="3" customWidth="1"/>
    <col min="12" max="12" width="16.6640625" style="3" customWidth="1"/>
    <col min="13" max="13" width="28.109375" style="3" customWidth="1"/>
    <col min="14" max="14" width="18.6640625" style="3" customWidth="1"/>
    <col min="15" max="15" width="22.44140625" style="3" customWidth="1"/>
    <col min="16" max="16" width="50.109375" style="3" customWidth="1"/>
    <col min="17" max="17" width="54.44140625" style="3" customWidth="1"/>
    <col min="18" max="18" width="9.109375" style="3" customWidth="1"/>
    <col min="19" max="19" width="8.33203125" style="3" customWidth="1"/>
    <col min="20" max="27" width="8.33203125" style="3" hidden="1" customWidth="1"/>
    <col min="28" max="16384" width="14.44140625" style="3"/>
  </cols>
  <sheetData>
    <row r="1" spans="1:27" ht="49.2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80.400000000000006" customHeight="1" x14ac:dyDescent="0.3">
      <c r="A2" s="4" t="s">
        <v>1</v>
      </c>
      <c r="B2" s="4" t="s">
        <v>2</v>
      </c>
      <c r="C2" s="4" t="s">
        <v>3</v>
      </c>
      <c r="D2" s="4" t="s">
        <v>10</v>
      </c>
      <c r="E2" s="4" t="s">
        <v>5</v>
      </c>
      <c r="F2" s="4" t="s">
        <v>60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9.25" customHeight="1" x14ac:dyDescent="0.3">
      <c r="A3" s="6">
        <v>1</v>
      </c>
      <c r="B3" s="7" t="s">
        <v>18</v>
      </c>
      <c r="C3" s="8" t="s">
        <v>19</v>
      </c>
      <c r="D3" s="9" t="s">
        <v>55</v>
      </c>
      <c r="E3" s="20">
        <v>46382</v>
      </c>
      <c r="F3" s="20" t="s">
        <v>62</v>
      </c>
      <c r="G3" s="7" t="s">
        <v>91</v>
      </c>
      <c r="H3" s="10">
        <v>46345</v>
      </c>
      <c r="I3" s="10">
        <v>46348</v>
      </c>
      <c r="J3" s="11">
        <f t="shared" ref="J3:J16" si="0">I3-H3+1</f>
        <v>4</v>
      </c>
      <c r="K3" s="10">
        <v>46339</v>
      </c>
      <c r="L3" s="12">
        <f>I3-K3+1</f>
        <v>10</v>
      </c>
      <c r="M3" s="11" t="s">
        <v>32</v>
      </c>
      <c r="N3" s="13" t="s">
        <v>52</v>
      </c>
      <c r="O3" s="14" t="s">
        <v>22</v>
      </c>
      <c r="P3" s="15" t="s">
        <v>23</v>
      </c>
      <c r="Q3" s="7"/>
      <c r="R3" s="2"/>
      <c r="S3" s="2"/>
      <c r="T3" s="16" t="e">
        <f>MATCH(J3,#REF!,0)</f>
        <v>#REF!</v>
      </c>
      <c r="U3" s="16" t="e">
        <f>MATCH(L3,#REF!,0)</f>
        <v>#REF!</v>
      </c>
      <c r="V3" s="17"/>
      <c r="W3" s="18"/>
      <c r="X3" s="18"/>
      <c r="Y3" s="18"/>
      <c r="Z3" s="18"/>
      <c r="AA3" s="19"/>
    </row>
    <row r="4" spans="1:27" ht="33" customHeight="1" x14ac:dyDescent="0.3">
      <c r="A4" s="6">
        <v>2</v>
      </c>
      <c r="B4" s="7" t="s">
        <v>24</v>
      </c>
      <c r="C4" s="8" t="s">
        <v>25</v>
      </c>
      <c r="D4" s="9" t="s">
        <v>56</v>
      </c>
      <c r="E4" s="20">
        <v>46382</v>
      </c>
      <c r="F4" s="20" t="s">
        <v>74</v>
      </c>
      <c r="G4" s="7" t="s">
        <v>78</v>
      </c>
      <c r="H4" s="10">
        <v>46380</v>
      </c>
      <c r="I4" s="10">
        <v>46384</v>
      </c>
      <c r="J4" s="11">
        <f t="shared" si="0"/>
        <v>5</v>
      </c>
      <c r="K4" s="10">
        <v>46380</v>
      </c>
      <c r="L4" s="12">
        <f>I4-K4+1</f>
        <v>5</v>
      </c>
      <c r="M4" s="11" t="s">
        <v>20</v>
      </c>
      <c r="N4" s="13" t="s">
        <v>51</v>
      </c>
      <c r="O4" s="14" t="s">
        <v>22</v>
      </c>
      <c r="P4" s="15" t="s">
        <v>26</v>
      </c>
      <c r="Q4" s="7"/>
      <c r="R4" s="2"/>
      <c r="S4" s="2"/>
      <c r="T4" s="16"/>
      <c r="U4" s="16"/>
      <c r="V4" s="21"/>
      <c r="W4" s="21"/>
      <c r="X4" s="21"/>
      <c r="Y4" s="21"/>
      <c r="Z4" s="21"/>
      <c r="AA4" s="21"/>
    </row>
    <row r="5" spans="1:27" ht="39" customHeight="1" x14ac:dyDescent="0.3">
      <c r="A5" s="6">
        <v>3</v>
      </c>
      <c r="B5" s="7" t="s">
        <v>27</v>
      </c>
      <c r="C5" s="8" t="s">
        <v>28</v>
      </c>
      <c r="D5" s="9" t="s">
        <v>57</v>
      </c>
      <c r="E5" s="20">
        <v>46399</v>
      </c>
      <c r="F5" s="20" t="s">
        <v>65</v>
      </c>
      <c r="G5" s="7" t="s">
        <v>79</v>
      </c>
      <c r="H5" s="10">
        <v>46392</v>
      </c>
      <c r="I5" s="22">
        <v>46404</v>
      </c>
      <c r="J5" s="11">
        <f t="shared" si="0"/>
        <v>13</v>
      </c>
      <c r="K5" s="10">
        <v>46393</v>
      </c>
      <c r="L5" s="12">
        <f>I5-K5+1</f>
        <v>12</v>
      </c>
      <c r="M5" s="11" t="s">
        <v>20</v>
      </c>
      <c r="N5" s="13" t="s">
        <v>53</v>
      </c>
      <c r="O5" s="14" t="s">
        <v>22</v>
      </c>
      <c r="P5" s="15" t="s">
        <v>29</v>
      </c>
      <c r="Q5" s="6"/>
      <c r="R5" s="2"/>
      <c r="S5" s="2"/>
      <c r="T5" s="16"/>
      <c r="U5" s="16"/>
      <c r="V5" s="2"/>
      <c r="W5" s="2"/>
      <c r="X5" s="2"/>
      <c r="Y5" s="2"/>
      <c r="Z5" s="2"/>
      <c r="AA5" s="2"/>
    </row>
    <row r="6" spans="1:27" ht="39" customHeight="1" x14ac:dyDescent="0.3">
      <c r="A6" s="6">
        <v>4</v>
      </c>
      <c r="B6" s="7" t="s">
        <v>30</v>
      </c>
      <c r="C6" s="8" t="s">
        <v>31</v>
      </c>
      <c r="D6" s="9" t="s">
        <v>58</v>
      </c>
      <c r="E6" s="20">
        <v>46399</v>
      </c>
      <c r="F6" s="20" t="s">
        <v>85</v>
      </c>
      <c r="G6" s="7" t="s">
        <v>80</v>
      </c>
      <c r="H6" s="10">
        <v>46399</v>
      </c>
      <c r="I6" s="22">
        <v>46404</v>
      </c>
      <c r="J6" s="11">
        <f t="shared" si="0"/>
        <v>6</v>
      </c>
      <c r="K6" s="10">
        <v>46387</v>
      </c>
      <c r="L6" s="12">
        <f>I6-K6+1</f>
        <v>18</v>
      </c>
      <c r="M6" s="11" t="s">
        <v>32</v>
      </c>
      <c r="N6" s="13" t="s">
        <v>54</v>
      </c>
      <c r="O6" s="14" t="s">
        <v>22</v>
      </c>
      <c r="P6" s="15" t="s">
        <v>29</v>
      </c>
      <c r="Q6" s="6"/>
      <c r="R6" s="2"/>
      <c r="S6" s="2"/>
      <c r="T6" s="16"/>
      <c r="U6" s="16"/>
      <c r="V6" s="2"/>
      <c r="W6" s="2"/>
      <c r="X6" s="2"/>
      <c r="Y6" s="2"/>
      <c r="Z6" s="2"/>
      <c r="AA6" s="2"/>
    </row>
    <row r="7" spans="1:27" ht="39" customHeight="1" x14ac:dyDescent="0.3">
      <c r="A7" s="6">
        <v>5</v>
      </c>
      <c r="B7" s="7" t="s">
        <v>33</v>
      </c>
      <c r="C7" s="8" t="s">
        <v>34</v>
      </c>
      <c r="D7" s="9" t="s">
        <v>55</v>
      </c>
      <c r="E7" s="20">
        <v>46382</v>
      </c>
      <c r="F7" s="20" t="s">
        <v>85</v>
      </c>
      <c r="G7" s="7" t="s">
        <v>90</v>
      </c>
      <c r="H7" s="10">
        <v>46407</v>
      </c>
      <c r="I7" s="22">
        <v>46426</v>
      </c>
      <c r="J7" s="11">
        <f t="shared" si="0"/>
        <v>20</v>
      </c>
      <c r="K7" s="10">
        <v>46407</v>
      </c>
      <c r="L7" s="12">
        <f>I7-K7+1</f>
        <v>20</v>
      </c>
      <c r="M7" s="11" t="s">
        <v>20</v>
      </c>
      <c r="N7" s="13" t="s">
        <v>53</v>
      </c>
      <c r="O7" s="14" t="s">
        <v>22</v>
      </c>
      <c r="P7" s="15" t="s">
        <v>35</v>
      </c>
      <c r="Q7" s="6"/>
      <c r="R7" s="2"/>
      <c r="S7" s="2"/>
      <c r="T7" s="16"/>
      <c r="U7" s="16"/>
      <c r="V7" s="2"/>
      <c r="W7" s="2"/>
      <c r="X7" s="2"/>
      <c r="Y7" s="2"/>
      <c r="Z7" s="2"/>
      <c r="AA7" s="2"/>
    </row>
    <row r="8" spans="1:27" ht="39" customHeight="1" x14ac:dyDescent="0.3">
      <c r="A8" s="6">
        <v>6</v>
      </c>
      <c r="B8" s="7" t="s">
        <v>36</v>
      </c>
      <c r="C8" s="8" t="s">
        <v>19</v>
      </c>
      <c r="D8" s="9" t="s">
        <v>56</v>
      </c>
      <c r="E8" s="20">
        <v>46382</v>
      </c>
      <c r="F8" s="20" t="s">
        <v>74</v>
      </c>
      <c r="G8" s="7" t="s">
        <v>76</v>
      </c>
      <c r="H8" s="10">
        <v>46407</v>
      </c>
      <c r="I8" s="22">
        <v>46425</v>
      </c>
      <c r="J8" s="11">
        <f t="shared" si="0"/>
        <v>19</v>
      </c>
      <c r="K8" s="10">
        <v>46402</v>
      </c>
      <c r="L8" s="12">
        <f>I8-K8+1</f>
        <v>24</v>
      </c>
      <c r="M8" s="11" t="s">
        <v>32</v>
      </c>
      <c r="N8" s="13" t="s">
        <v>21</v>
      </c>
      <c r="O8" s="14" t="s">
        <v>22</v>
      </c>
      <c r="P8" s="15" t="s">
        <v>37</v>
      </c>
      <c r="Q8" s="6"/>
      <c r="R8" s="2"/>
      <c r="S8" s="2"/>
      <c r="T8" s="16"/>
      <c r="U8" s="16"/>
      <c r="V8" s="2"/>
      <c r="W8" s="2"/>
      <c r="X8" s="2"/>
      <c r="Y8" s="2"/>
      <c r="Z8" s="2"/>
      <c r="AA8" s="2"/>
    </row>
    <row r="9" spans="1:27" ht="39" customHeight="1" x14ac:dyDescent="0.3">
      <c r="A9" s="23">
        <v>7</v>
      </c>
      <c r="B9" s="24" t="s">
        <v>38</v>
      </c>
      <c r="C9" s="8" t="s">
        <v>25</v>
      </c>
      <c r="D9" s="9" t="s">
        <v>57</v>
      </c>
      <c r="E9" s="25">
        <v>46415</v>
      </c>
      <c r="F9" s="20" t="s">
        <v>65</v>
      </c>
      <c r="G9" s="26" t="s">
        <v>87</v>
      </c>
      <c r="H9" s="27">
        <v>46405</v>
      </c>
      <c r="I9" s="27">
        <v>46418</v>
      </c>
      <c r="J9" s="28">
        <f t="shared" si="0"/>
        <v>14</v>
      </c>
      <c r="K9" s="29">
        <v>46394</v>
      </c>
      <c r="L9" s="30">
        <f>I9-K9+1</f>
        <v>25</v>
      </c>
      <c r="M9" s="28" t="s">
        <v>20</v>
      </c>
      <c r="N9" s="31" t="s">
        <v>51</v>
      </c>
      <c r="O9" s="32" t="s">
        <v>48</v>
      </c>
      <c r="P9" s="24" t="s">
        <v>39</v>
      </c>
      <c r="Q9" s="23"/>
      <c r="R9" s="2"/>
      <c r="S9" s="2"/>
      <c r="T9" s="16"/>
      <c r="U9" s="16"/>
      <c r="V9" s="2"/>
      <c r="W9" s="2"/>
      <c r="X9" s="2"/>
      <c r="Y9" s="2"/>
      <c r="Z9" s="2"/>
      <c r="AA9" s="2"/>
    </row>
    <row r="10" spans="1:27" ht="39" customHeight="1" x14ac:dyDescent="0.3">
      <c r="A10" s="6">
        <v>8</v>
      </c>
      <c r="B10" s="7" t="s">
        <v>40</v>
      </c>
      <c r="C10" s="8" t="s">
        <v>28</v>
      </c>
      <c r="D10" s="9" t="s">
        <v>58</v>
      </c>
      <c r="E10" s="33">
        <v>46440</v>
      </c>
      <c r="F10" s="20" t="s">
        <v>62</v>
      </c>
      <c r="G10" s="7" t="s">
        <v>63</v>
      </c>
      <c r="H10" s="22">
        <v>46428</v>
      </c>
      <c r="I10" s="22">
        <v>46447</v>
      </c>
      <c r="J10" s="11">
        <f t="shared" si="0"/>
        <v>20</v>
      </c>
      <c r="K10" s="10">
        <v>46402</v>
      </c>
      <c r="L10" s="12">
        <f>I10-K10+1</f>
        <v>46</v>
      </c>
      <c r="M10" s="11" t="s">
        <v>20</v>
      </c>
      <c r="N10" s="13" t="s">
        <v>52</v>
      </c>
      <c r="O10" s="32" t="s">
        <v>48</v>
      </c>
      <c r="P10" s="15" t="s">
        <v>35</v>
      </c>
      <c r="Q10" s="6"/>
      <c r="R10" s="2"/>
      <c r="S10" s="2"/>
      <c r="T10" s="16"/>
      <c r="U10" s="16"/>
      <c r="V10" s="2"/>
      <c r="W10" s="2"/>
      <c r="X10" s="2"/>
      <c r="Y10" s="2"/>
      <c r="Z10" s="2"/>
      <c r="AA10" s="2"/>
    </row>
    <row r="11" spans="1:27" ht="39" customHeight="1" x14ac:dyDescent="0.3">
      <c r="A11" s="23">
        <v>9</v>
      </c>
      <c r="B11" s="7" t="s">
        <v>41</v>
      </c>
      <c r="C11" s="8" t="s">
        <v>31</v>
      </c>
      <c r="D11" s="9" t="s">
        <v>57</v>
      </c>
      <c r="E11" s="20">
        <v>46382</v>
      </c>
      <c r="F11" s="20" t="s">
        <v>74</v>
      </c>
      <c r="G11" s="7" t="s">
        <v>72</v>
      </c>
      <c r="H11" s="22">
        <v>46433</v>
      </c>
      <c r="I11" s="22">
        <v>46437</v>
      </c>
      <c r="J11" s="11">
        <f t="shared" si="0"/>
        <v>5</v>
      </c>
      <c r="K11" s="10">
        <v>46418</v>
      </c>
      <c r="L11" s="12">
        <f>I11-K11+1</f>
        <v>20</v>
      </c>
      <c r="M11" s="11" t="s">
        <v>32</v>
      </c>
      <c r="N11" s="13" t="s">
        <v>51</v>
      </c>
      <c r="O11" s="32" t="s">
        <v>22</v>
      </c>
      <c r="P11" s="15" t="s">
        <v>42</v>
      </c>
      <c r="Q11" s="6"/>
      <c r="R11" s="2"/>
      <c r="S11" s="2"/>
      <c r="T11" s="16"/>
      <c r="U11" s="16"/>
      <c r="V11" s="2"/>
      <c r="W11" s="2"/>
      <c r="X11" s="2"/>
      <c r="Y11" s="2"/>
      <c r="Z11" s="2"/>
      <c r="AA11" s="2"/>
    </row>
    <row r="12" spans="1:27" ht="39" customHeight="1" x14ac:dyDescent="0.3">
      <c r="A12" s="6">
        <v>10</v>
      </c>
      <c r="B12" s="7" t="s">
        <v>43</v>
      </c>
      <c r="C12" s="8" t="s">
        <v>34</v>
      </c>
      <c r="D12" s="9" t="s">
        <v>58</v>
      </c>
      <c r="E12" s="20">
        <v>46382</v>
      </c>
      <c r="F12" s="20" t="s">
        <v>65</v>
      </c>
      <c r="G12" s="7" t="s">
        <v>92</v>
      </c>
      <c r="H12" s="22">
        <v>46438</v>
      </c>
      <c r="I12" s="22">
        <v>46441</v>
      </c>
      <c r="J12" s="11">
        <f t="shared" si="0"/>
        <v>4</v>
      </c>
      <c r="K12" s="10">
        <v>46425</v>
      </c>
      <c r="L12" s="12">
        <f>I12-K12+1</f>
        <v>17</v>
      </c>
      <c r="M12" s="11" t="s">
        <v>32</v>
      </c>
      <c r="N12" s="13" t="s">
        <v>53</v>
      </c>
      <c r="O12" s="32" t="s">
        <v>22</v>
      </c>
      <c r="P12" s="15" t="s">
        <v>35</v>
      </c>
      <c r="Q12" s="6"/>
      <c r="R12" s="2"/>
      <c r="S12" s="2"/>
      <c r="T12" s="16"/>
      <c r="U12" s="16"/>
      <c r="V12" s="2"/>
      <c r="W12" s="2"/>
      <c r="X12" s="2"/>
      <c r="Y12" s="2"/>
      <c r="Z12" s="2"/>
      <c r="AA12" s="2"/>
    </row>
    <row r="13" spans="1:27" ht="39" customHeight="1" x14ac:dyDescent="0.3">
      <c r="A13" s="23">
        <v>11</v>
      </c>
      <c r="B13" s="7" t="s">
        <v>44</v>
      </c>
      <c r="C13" s="8" t="s">
        <v>19</v>
      </c>
      <c r="D13" s="9" t="s">
        <v>55</v>
      </c>
      <c r="E13" s="33">
        <v>46445</v>
      </c>
      <c r="F13" s="33" t="s">
        <v>62</v>
      </c>
      <c r="G13" s="7" t="s">
        <v>92</v>
      </c>
      <c r="H13" s="22">
        <v>46444</v>
      </c>
      <c r="I13" s="22">
        <v>46446</v>
      </c>
      <c r="J13" s="11">
        <f t="shared" si="0"/>
        <v>3</v>
      </c>
      <c r="K13" s="10">
        <v>46422</v>
      </c>
      <c r="L13" s="12">
        <f>I13-K13+1</f>
        <v>25</v>
      </c>
      <c r="M13" s="11" t="s">
        <v>32</v>
      </c>
      <c r="N13" s="13" t="s">
        <v>54</v>
      </c>
      <c r="O13" s="32" t="s">
        <v>22</v>
      </c>
      <c r="P13" s="7"/>
      <c r="Q13" s="6"/>
      <c r="R13" s="2"/>
      <c r="S13" s="2"/>
      <c r="T13" s="16"/>
      <c r="U13" s="16"/>
      <c r="V13" s="2"/>
      <c r="W13" s="2"/>
      <c r="X13" s="2"/>
      <c r="Y13" s="2"/>
      <c r="Z13" s="2"/>
      <c r="AA13" s="2"/>
    </row>
    <row r="14" spans="1:27" ht="39" customHeight="1" x14ac:dyDescent="0.3">
      <c r="A14" s="6">
        <v>12</v>
      </c>
      <c r="B14" s="7" t="s">
        <v>43</v>
      </c>
      <c r="C14" s="8" t="s">
        <v>25</v>
      </c>
      <c r="D14" s="9" t="s">
        <v>56</v>
      </c>
      <c r="E14" s="20">
        <v>46382</v>
      </c>
      <c r="F14" s="20" t="s">
        <v>65</v>
      </c>
      <c r="G14" s="15" t="s">
        <v>73</v>
      </c>
      <c r="H14" s="22">
        <v>46445</v>
      </c>
      <c r="I14" s="22">
        <v>46448</v>
      </c>
      <c r="J14" s="11">
        <f t="shared" si="0"/>
        <v>4</v>
      </c>
      <c r="K14" s="10">
        <v>46425</v>
      </c>
      <c r="L14" s="12">
        <f>I14-K14+1</f>
        <v>24</v>
      </c>
      <c r="M14" s="11" t="s">
        <v>20</v>
      </c>
      <c r="N14" s="13" t="s">
        <v>53</v>
      </c>
      <c r="O14" s="32" t="s">
        <v>22</v>
      </c>
      <c r="P14" s="7" t="s">
        <v>45</v>
      </c>
      <c r="Q14" s="6"/>
      <c r="R14" s="2"/>
      <c r="S14" s="2"/>
      <c r="T14" s="16"/>
      <c r="U14" s="16"/>
      <c r="V14" s="2"/>
      <c r="W14" s="2"/>
      <c r="X14" s="2"/>
      <c r="Y14" s="2"/>
      <c r="Z14" s="2"/>
      <c r="AA14" s="2"/>
    </row>
    <row r="15" spans="1:27" ht="39" customHeight="1" x14ac:dyDescent="0.3">
      <c r="A15" s="23">
        <v>13</v>
      </c>
      <c r="B15" s="7" t="s">
        <v>46</v>
      </c>
      <c r="C15" s="8" t="s">
        <v>28</v>
      </c>
      <c r="D15" s="9" t="s">
        <v>58</v>
      </c>
      <c r="E15" s="33">
        <v>46445</v>
      </c>
      <c r="F15" s="20" t="s">
        <v>85</v>
      </c>
      <c r="G15" s="15" t="s">
        <v>94</v>
      </c>
      <c r="H15" s="22">
        <v>46435</v>
      </c>
      <c r="I15" s="22">
        <v>46450</v>
      </c>
      <c r="J15" s="11">
        <f t="shared" si="0"/>
        <v>16</v>
      </c>
      <c r="K15" s="10">
        <v>46403</v>
      </c>
      <c r="L15" s="12">
        <f>I15-K15+1</f>
        <v>48</v>
      </c>
      <c r="M15" s="11" t="s">
        <v>20</v>
      </c>
      <c r="N15" s="13" t="s">
        <v>21</v>
      </c>
      <c r="O15" s="32" t="s">
        <v>22</v>
      </c>
      <c r="P15" s="7"/>
      <c r="Q15" s="6"/>
      <c r="R15" s="2"/>
      <c r="S15" s="2"/>
      <c r="T15" s="16"/>
      <c r="U15" s="16"/>
      <c r="V15" s="2"/>
      <c r="W15" s="2"/>
      <c r="X15" s="2"/>
      <c r="Y15" s="2"/>
      <c r="Z15" s="2"/>
      <c r="AA15" s="2"/>
    </row>
    <row r="16" spans="1:27" ht="39" customHeight="1" x14ac:dyDescent="0.3">
      <c r="A16" s="6">
        <v>14</v>
      </c>
      <c r="B16" s="7" t="s">
        <v>47</v>
      </c>
      <c r="C16" s="8" t="s">
        <v>31</v>
      </c>
      <c r="D16" s="9" t="s">
        <v>55</v>
      </c>
      <c r="E16" s="20">
        <v>46382</v>
      </c>
      <c r="F16" s="20" t="s">
        <v>74</v>
      </c>
      <c r="G16" s="7" t="s">
        <v>76</v>
      </c>
      <c r="H16" s="22">
        <v>46451</v>
      </c>
      <c r="I16" s="22">
        <v>46481</v>
      </c>
      <c r="J16" s="11">
        <f t="shared" si="0"/>
        <v>31</v>
      </c>
      <c r="K16" s="10">
        <v>46418</v>
      </c>
      <c r="L16" s="12">
        <f>I16-K16+1</f>
        <v>64</v>
      </c>
      <c r="M16" s="11" t="s">
        <v>32</v>
      </c>
      <c r="N16" s="31" t="s">
        <v>51</v>
      </c>
      <c r="O16" s="34" t="s">
        <v>48</v>
      </c>
      <c r="P16" s="7"/>
      <c r="Q16" s="6"/>
      <c r="R16" s="2"/>
      <c r="S16" s="2"/>
      <c r="T16" s="16"/>
      <c r="U16" s="16"/>
      <c r="V16" s="2"/>
      <c r="W16" s="2"/>
      <c r="X16" s="2"/>
      <c r="Y16" s="2"/>
      <c r="Z16" s="2"/>
      <c r="AA16" s="2"/>
    </row>
    <row r="17" spans="1:27" ht="39" customHeight="1" x14ac:dyDescent="0.3">
      <c r="A17" s="23">
        <v>15</v>
      </c>
      <c r="B17" s="7" t="s">
        <v>49</v>
      </c>
      <c r="C17" s="8" t="s">
        <v>34</v>
      </c>
      <c r="D17" s="9" t="s">
        <v>57</v>
      </c>
      <c r="E17" s="33">
        <v>46460</v>
      </c>
      <c r="F17" s="20" t="s">
        <v>65</v>
      </c>
      <c r="G17" s="7" t="s">
        <v>92</v>
      </c>
      <c r="H17" s="22">
        <v>46462</v>
      </c>
      <c r="I17" s="22">
        <v>46467</v>
      </c>
      <c r="J17" s="11">
        <f>I17-H17+1</f>
        <v>6</v>
      </c>
      <c r="K17" s="10">
        <v>46428</v>
      </c>
      <c r="L17" s="12">
        <f>I17-K17+1</f>
        <v>40</v>
      </c>
      <c r="M17" s="11" t="s">
        <v>20</v>
      </c>
      <c r="N17" s="13" t="s">
        <v>21</v>
      </c>
      <c r="O17" s="32" t="s">
        <v>22</v>
      </c>
      <c r="P17" s="15" t="s">
        <v>50</v>
      </c>
      <c r="Q17" s="6"/>
      <c r="R17" s="2"/>
      <c r="S17" s="2"/>
      <c r="T17" s="16"/>
      <c r="U17" s="16"/>
      <c r="V17" s="2"/>
      <c r="W17" s="2"/>
      <c r="X17" s="2"/>
      <c r="Y17" s="2"/>
      <c r="Z17" s="2"/>
      <c r="AA17" s="2"/>
    </row>
    <row r="18" spans="1:27" ht="41.25" customHeight="1" x14ac:dyDescent="0.3">
      <c r="A18" s="6"/>
      <c r="B18" s="7"/>
      <c r="C18" s="35"/>
      <c r="D18" s="6"/>
      <c r="E18" s="33"/>
      <c r="F18" s="33"/>
      <c r="G18" s="7"/>
      <c r="H18" s="22"/>
      <c r="I18" s="22"/>
      <c r="J18" s="11"/>
      <c r="K18" s="10"/>
      <c r="L18" s="12"/>
      <c r="M18" s="11"/>
      <c r="N18" s="13"/>
      <c r="O18" s="11"/>
      <c r="P18" s="7"/>
      <c r="Q18" s="6"/>
      <c r="R18" s="2"/>
      <c r="S18" s="2"/>
      <c r="T18" s="16"/>
      <c r="U18" s="16"/>
      <c r="V18" s="2"/>
      <c r="W18" s="2"/>
      <c r="X18" s="2"/>
      <c r="Y18" s="2"/>
      <c r="Z18" s="2"/>
      <c r="AA18" s="2"/>
    </row>
    <row r="19" spans="1:27" ht="14.25" customHeight="1" x14ac:dyDescent="0.3">
      <c r="A19" s="2"/>
      <c r="B19" s="2"/>
      <c r="C19" s="36"/>
      <c r="D19" s="16"/>
      <c r="E19" s="16"/>
      <c r="F19" s="16"/>
      <c r="G19" s="3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37"/>
      <c r="B20" s="37"/>
      <c r="C20" s="38"/>
      <c r="D20" s="39"/>
      <c r="E20" s="39"/>
      <c r="F20" s="39"/>
      <c r="G20" s="38"/>
      <c r="H20" s="37"/>
      <c r="I20" s="37"/>
      <c r="J20" s="37"/>
      <c r="K20" s="37"/>
      <c r="L20" s="37"/>
      <c r="N20" s="37"/>
      <c r="P20" s="37"/>
      <c r="Q20" s="37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37"/>
      <c r="B21" s="37"/>
      <c r="C21" s="38"/>
      <c r="D21" s="39"/>
      <c r="E21" s="39"/>
      <c r="F21" s="39"/>
      <c r="G21" s="38"/>
      <c r="H21" s="37"/>
      <c r="I21" s="37"/>
      <c r="J21" s="37"/>
      <c r="K21" s="37"/>
      <c r="L21" s="37"/>
      <c r="N21" s="37"/>
      <c r="P21" s="37"/>
      <c r="Q21" s="37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37"/>
      <c r="B22" s="37"/>
      <c r="C22" s="38"/>
      <c r="D22" s="39"/>
      <c r="E22" s="39"/>
      <c r="F22" s="39"/>
      <c r="G22" s="38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37"/>
      <c r="B23" s="37"/>
      <c r="C23" s="38"/>
      <c r="D23" s="39"/>
      <c r="E23" s="39"/>
      <c r="F23" s="39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/>
      <c r="B24" s="2"/>
      <c r="C24" s="36"/>
      <c r="D24" s="16"/>
      <c r="E24" s="16"/>
      <c r="F24" s="16"/>
      <c r="G24" s="3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/>
      <c r="B25" s="2"/>
      <c r="C25" s="36"/>
      <c r="D25" s="16"/>
      <c r="E25" s="16"/>
      <c r="F25" s="16"/>
      <c r="G25" s="3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/>
      <c r="B26" s="2"/>
      <c r="C26" s="36"/>
      <c r="D26" s="16"/>
      <c r="E26" s="16"/>
      <c r="F26" s="16"/>
      <c r="G26" s="3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/>
      <c r="B27" s="2"/>
      <c r="C27" s="36"/>
      <c r="D27" s="16"/>
      <c r="E27" s="16"/>
      <c r="F27" s="16"/>
      <c r="G27" s="3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/>
      <c r="B28" s="2"/>
      <c r="C28" s="36"/>
      <c r="D28" s="16"/>
      <c r="E28" s="16"/>
      <c r="F28" s="16"/>
      <c r="G28" s="3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/>
      <c r="B29" s="2"/>
      <c r="C29" s="36"/>
      <c r="D29" s="16"/>
      <c r="E29" s="16"/>
      <c r="F29" s="16"/>
      <c r="G29" s="3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/>
      <c r="B30" s="2"/>
      <c r="C30" s="36"/>
      <c r="D30" s="16"/>
      <c r="E30" s="16"/>
      <c r="F30" s="16"/>
      <c r="G30" s="3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/>
      <c r="B31" s="2"/>
      <c r="C31" s="36"/>
      <c r="D31" s="16"/>
      <c r="E31" s="16"/>
      <c r="F31" s="16"/>
      <c r="G31" s="3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/>
      <c r="B32" s="2"/>
      <c r="C32" s="36"/>
      <c r="D32" s="16"/>
      <c r="E32" s="16"/>
      <c r="F32" s="16"/>
      <c r="G32" s="3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/>
      <c r="B33" s="2"/>
      <c r="C33" s="36"/>
      <c r="D33" s="16"/>
      <c r="E33" s="16"/>
      <c r="F33" s="16"/>
      <c r="G33" s="3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/>
      <c r="B34" s="2"/>
      <c r="C34" s="36"/>
      <c r="D34" s="16"/>
      <c r="E34" s="16"/>
      <c r="F34" s="16"/>
      <c r="G34" s="3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/>
      <c r="B35" s="2"/>
      <c r="C35" s="36"/>
      <c r="D35" s="16"/>
      <c r="E35" s="16"/>
      <c r="F35" s="16"/>
      <c r="G35" s="3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/>
      <c r="B36" s="2"/>
      <c r="C36" s="36"/>
      <c r="D36" s="16"/>
      <c r="E36" s="16"/>
      <c r="F36" s="16"/>
      <c r="G36" s="3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/>
      <c r="B37" s="2"/>
      <c r="C37" s="36"/>
      <c r="D37" s="16"/>
      <c r="E37" s="16"/>
      <c r="F37" s="16"/>
      <c r="G37" s="3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/>
      <c r="B38" s="2"/>
      <c r="C38" s="36"/>
      <c r="D38" s="16"/>
      <c r="E38" s="16"/>
      <c r="F38" s="16"/>
      <c r="G38" s="3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/>
      <c r="B39" s="2"/>
      <c r="C39" s="36"/>
      <c r="D39" s="16"/>
      <c r="E39" s="16"/>
      <c r="F39" s="16"/>
      <c r="G39" s="3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/>
      <c r="B40" s="2"/>
      <c r="C40" s="36"/>
      <c r="D40" s="16"/>
      <c r="E40" s="16"/>
      <c r="F40" s="16"/>
      <c r="G40" s="3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/>
      <c r="B41" s="2"/>
      <c r="C41" s="36"/>
      <c r="D41" s="16"/>
      <c r="E41" s="16"/>
      <c r="F41" s="16"/>
      <c r="G41" s="3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/>
      <c r="B42" s="2"/>
      <c r="C42" s="36"/>
      <c r="D42" s="16"/>
      <c r="E42" s="16"/>
      <c r="F42" s="16"/>
      <c r="G42" s="3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/>
      <c r="B43" s="2"/>
      <c r="C43" s="36"/>
      <c r="D43" s="16"/>
      <c r="E43" s="16"/>
      <c r="F43" s="16"/>
      <c r="G43" s="3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/>
      <c r="B44" s="2"/>
      <c r="C44" s="36"/>
      <c r="D44" s="16"/>
      <c r="E44" s="16"/>
      <c r="F44" s="16"/>
      <c r="G44" s="3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/>
      <c r="B45" s="2"/>
      <c r="C45" s="36"/>
      <c r="D45" s="16"/>
      <c r="E45" s="16"/>
      <c r="F45" s="16"/>
      <c r="G45" s="3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/>
      <c r="B46" s="2"/>
      <c r="C46" s="36"/>
      <c r="D46" s="16"/>
      <c r="E46" s="16"/>
      <c r="F46" s="16"/>
      <c r="G46" s="3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/>
      <c r="B47" s="2"/>
      <c r="C47" s="36"/>
      <c r="D47" s="16"/>
      <c r="E47" s="16"/>
      <c r="F47" s="16"/>
      <c r="G47" s="3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/>
      <c r="B48" s="2"/>
      <c r="C48" s="36"/>
      <c r="D48" s="16"/>
      <c r="E48" s="16"/>
      <c r="F48" s="16"/>
      <c r="G48" s="3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/>
      <c r="B49" s="2"/>
      <c r="C49" s="36"/>
      <c r="D49" s="16"/>
      <c r="E49" s="16"/>
      <c r="F49" s="16"/>
      <c r="G49" s="3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/>
      <c r="B50" s="2"/>
      <c r="C50" s="36"/>
      <c r="D50" s="16"/>
      <c r="E50" s="16"/>
      <c r="F50" s="16"/>
      <c r="G50" s="3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/>
      <c r="B51" s="2"/>
      <c r="C51" s="36"/>
      <c r="D51" s="16"/>
      <c r="E51" s="16"/>
      <c r="F51" s="16"/>
      <c r="G51" s="3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/>
      <c r="B52" s="2"/>
      <c r="C52" s="36"/>
      <c r="D52" s="16"/>
      <c r="E52" s="16"/>
      <c r="F52" s="16"/>
      <c r="G52" s="3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/>
      <c r="B53" s="2"/>
      <c r="C53" s="36"/>
      <c r="D53" s="16"/>
      <c r="E53" s="16"/>
      <c r="F53" s="16"/>
      <c r="G53" s="3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/>
      <c r="B54" s="2"/>
      <c r="C54" s="36"/>
      <c r="D54" s="16"/>
      <c r="E54" s="16"/>
      <c r="F54" s="16"/>
      <c r="G54" s="3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/>
      <c r="B55" s="2"/>
      <c r="C55" s="36"/>
      <c r="D55" s="16"/>
      <c r="E55" s="16"/>
      <c r="F55" s="16"/>
      <c r="G55" s="3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/>
      <c r="B56" s="2"/>
      <c r="C56" s="36"/>
      <c r="D56" s="16"/>
      <c r="E56" s="16"/>
      <c r="F56" s="16"/>
      <c r="G56" s="3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/>
      <c r="B57" s="2"/>
      <c r="C57" s="36"/>
      <c r="D57" s="16"/>
      <c r="E57" s="16"/>
      <c r="F57" s="16"/>
      <c r="G57" s="3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/>
      <c r="B58" s="2"/>
      <c r="C58" s="36"/>
      <c r="D58" s="16"/>
      <c r="E58" s="16"/>
      <c r="F58" s="16"/>
      <c r="G58" s="3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/>
      <c r="B59" s="2"/>
      <c r="C59" s="36"/>
      <c r="D59" s="16"/>
      <c r="E59" s="16"/>
      <c r="F59" s="16"/>
      <c r="G59" s="3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/>
      <c r="B60" s="2"/>
      <c r="C60" s="36"/>
      <c r="D60" s="16"/>
      <c r="E60" s="16"/>
      <c r="F60" s="16"/>
      <c r="G60" s="3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/>
      <c r="B61" s="2"/>
      <c r="C61" s="36"/>
      <c r="D61" s="16"/>
      <c r="E61" s="16"/>
      <c r="F61" s="16"/>
      <c r="G61" s="3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/>
      <c r="B62" s="2"/>
      <c r="C62" s="36"/>
      <c r="D62" s="16"/>
      <c r="E62" s="16"/>
      <c r="F62" s="16"/>
      <c r="G62" s="3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/>
      <c r="B63" s="2"/>
      <c r="C63" s="36"/>
      <c r="D63" s="16"/>
      <c r="E63" s="16"/>
      <c r="F63" s="16"/>
      <c r="G63" s="3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/>
      <c r="B64" s="2"/>
      <c r="C64" s="36"/>
      <c r="D64" s="16"/>
      <c r="E64" s="16"/>
      <c r="F64" s="16"/>
      <c r="G64" s="3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/>
      <c r="B65" s="2"/>
      <c r="C65" s="36"/>
      <c r="D65" s="16"/>
      <c r="E65" s="16"/>
      <c r="F65" s="16"/>
      <c r="G65" s="3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/>
      <c r="B66" s="2"/>
      <c r="C66" s="36"/>
      <c r="D66" s="16"/>
      <c r="E66" s="16"/>
      <c r="F66" s="16"/>
      <c r="G66" s="3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/>
      <c r="B67" s="2"/>
      <c r="C67" s="36"/>
      <c r="D67" s="16"/>
      <c r="E67" s="16"/>
      <c r="F67" s="16"/>
      <c r="G67" s="3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/>
      <c r="B68" s="2"/>
      <c r="C68" s="36"/>
      <c r="D68" s="16"/>
      <c r="E68" s="16"/>
      <c r="F68" s="16"/>
      <c r="G68" s="3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/>
      <c r="B69" s="2"/>
      <c r="C69" s="36"/>
      <c r="D69" s="16"/>
      <c r="E69" s="16"/>
      <c r="F69" s="16"/>
      <c r="G69" s="36"/>
      <c r="H69" s="2"/>
      <c r="I69" s="2"/>
      <c r="J69" s="43">
        <f>I69-H69</f>
        <v>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/>
      <c r="B70" s="2"/>
      <c r="C70" s="36"/>
      <c r="D70" s="16"/>
      <c r="E70" s="16"/>
      <c r="F70" s="16"/>
      <c r="G70" s="3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/>
      <c r="B71" s="2"/>
      <c r="C71" s="36"/>
      <c r="D71" s="16"/>
      <c r="E71" s="16"/>
      <c r="F71" s="16"/>
      <c r="G71" s="3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/>
      <c r="B72" s="2"/>
      <c r="C72" s="36"/>
      <c r="D72" s="16"/>
      <c r="E72" s="16"/>
      <c r="F72" s="16"/>
      <c r="G72" s="3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/>
      <c r="B73" s="2"/>
      <c r="C73" s="36"/>
      <c r="D73" s="16"/>
      <c r="E73" s="16"/>
      <c r="F73" s="16"/>
      <c r="G73" s="3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/>
      <c r="B74" s="2"/>
      <c r="C74" s="36"/>
      <c r="D74" s="16"/>
      <c r="E74" s="16"/>
      <c r="F74" s="16"/>
      <c r="G74" s="3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/>
      <c r="B75" s="2"/>
      <c r="C75" s="36"/>
      <c r="D75" s="16"/>
      <c r="E75" s="16"/>
      <c r="F75" s="16"/>
      <c r="G75" s="3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/>
      <c r="B76" s="2"/>
      <c r="C76" s="36"/>
      <c r="D76" s="16"/>
      <c r="E76" s="16"/>
      <c r="F76" s="16"/>
      <c r="G76" s="3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/>
      <c r="B77" s="2"/>
      <c r="C77" s="36"/>
      <c r="D77" s="16"/>
      <c r="E77" s="16"/>
      <c r="F77" s="16"/>
      <c r="G77" s="3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/>
      <c r="B78" s="2"/>
      <c r="C78" s="36"/>
      <c r="D78" s="16"/>
      <c r="E78" s="16"/>
      <c r="F78" s="16"/>
      <c r="G78" s="3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/>
      <c r="B79" s="2"/>
      <c r="C79" s="36"/>
      <c r="D79" s="16"/>
      <c r="E79" s="16"/>
      <c r="F79" s="16"/>
      <c r="G79" s="3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/>
      <c r="B80" s="2"/>
      <c r="C80" s="36"/>
      <c r="D80" s="16"/>
      <c r="E80" s="16"/>
      <c r="F80" s="16"/>
      <c r="G80" s="3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/>
      <c r="B81" s="2"/>
      <c r="C81" s="36"/>
      <c r="D81" s="16"/>
      <c r="E81" s="16"/>
      <c r="F81" s="16"/>
      <c r="G81" s="3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/>
      <c r="B82" s="2"/>
      <c r="C82" s="36"/>
      <c r="D82" s="16"/>
      <c r="E82" s="16"/>
      <c r="F82" s="16"/>
      <c r="G82" s="3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/>
      <c r="B83" s="2"/>
      <c r="C83" s="36"/>
      <c r="D83" s="16"/>
      <c r="E83" s="16"/>
      <c r="F83" s="16"/>
      <c r="G83" s="3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/>
      <c r="B84" s="2"/>
      <c r="C84" s="36"/>
      <c r="D84" s="16"/>
      <c r="E84" s="16"/>
      <c r="F84" s="16"/>
      <c r="G84" s="3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/>
      <c r="B85" s="2"/>
      <c r="C85" s="36"/>
      <c r="D85" s="16"/>
      <c r="E85" s="16"/>
      <c r="F85" s="16"/>
      <c r="G85" s="3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/>
      <c r="B86" s="2"/>
      <c r="C86" s="36"/>
      <c r="D86" s="16"/>
      <c r="E86" s="16"/>
      <c r="F86" s="16"/>
      <c r="G86" s="3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/>
      <c r="B87" s="2"/>
      <c r="C87" s="36"/>
      <c r="D87" s="16"/>
      <c r="E87" s="16"/>
      <c r="F87" s="16"/>
      <c r="G87" s="3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/>
      <c r="B88" s="2"/>
      <c r="C88" s="36"/>
      <c r="D88" s="16"/>
      <c r="E88" s="16"/>
      <c r="F88" s="16"/>
      <c r="G88" s="3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/>
      <c r="B89" s="2"/>
      <c r="C89" s="36"/>
      <c r="D89" s="16"/>
      <c r="E89" s="16"/>
      <c r="F89" s="16"/>
      <c r="G89" s="3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/>
      <c r="B90" s="2"/>
      <c r="C90" s="36"/>
      <c r="D90" s="16"/>
      <c r="E90" s="16"/>
      <c r="F90" s="16"/>
      <c r="G90" s="3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/>
      <c r="B91" s="2"/>
      <c r="C91" s="36"/>
      <c r="D91" s="16"/>
      <c r="E91" s="16"/>
      <c r="F91" s="16"/>
      <c r="G91" s="3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/>
      <c r="B92" s="2"/>
      <c r="C92" s="36"/>
      <c r="D92" s="16"/>
      <c r="E92" s="16"/>
      <c r="F92" s="16"/>
      <c r="G92" s="3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/>
      <c r="B93" s="2"/>
      <c r="C93" s="36"/>
      <c r="D93" s="16"/>
      <c r="E93" s="16"/>
      <c r="F93" s="16"/>
      <c r="G93" s="3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/>
      <c r="B94" s="2"/>
      <c r="C94" s="36"/>
      <c r="D94" s="16"/>
      <c r="E94" s="16"/>
      <c r="F94" s="16"/>
      <c r="G94" s="3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/>
      <c r="B95" s="2"/>
      <c r="C95" s="36"/>
      <c r="D95" s="16"/>
      <c r="E95" s="16"/>
      <c r="F95" s="16"/>
      <c r="G95" s="3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/>
      <c r="B96" s="2"/>
      <c r="C96" s="36"/>
      <c r="D96" s="16"/>
      <c r="E96" s="16"/>
      <c r="F96" s="16"/>
      <c r="G96" s="3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/>
      <c r="B97" s="2"/>
      <c r="C97" s="36"/>
      <c r="D97" s="16"/>
      <c r="E97" s="16"/>
      <c r="F97" s="16"/>
      <c r="G97" s="3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/>
      <c r="B98" s="2"/>
      <c r="C98" s="36"/>
      <c r="D98" s="16"/>
      <c r="E98" s="16"/>
      <c r="F98" s="16"/>
      <c r="G98" s="3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/>
      <c r="B99" s="2"/>
      <c r="C99" s="36"/>
      <c r="D99" s="16"/>
      <c r="E99" s="16"/>
      <c r="F99" s="16"/>
      <c r="G99" s="3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/>
      <c r="B100" s="2"/>
      <c r="C100" s="36"/>
      <c r="D100" s="16"/>
      <c r="E100" s="16"/>
      <c r="F100" s="16"/>
      <c r="G100" s="3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/>
      <c r="B101" s="2"/>
      <c r="C101" s="36"/>
      <c r="D101" s="16"/>
      <c r="E101" s="16"/>
      <c r="F101" s="16"/>
      <c r="G101" s="3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/>
      <c r="B102" s="2"/>
      <c r="C102" s="36"/>
      <c r="D102" s="16"/>
      <c r="E102" s="16"/>
      <c r="F102" s="16"/>
      <c r="G102" s="3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</sheetData>
  <autoFilter ref="A2:Q18" xr:uid="{D7ED7135-77F8-4888-9DA1-41C68C270C5E}"/>
  <mergeCells count="2">
    <mergeCell ref="A1:Q1"/>
    <mergeCell ref="V3:AA3"/>
  </mergeCells>
  <conditionalFormatting sqref="O7:O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048576">
    <cfRule type="containsText" dxfId="1" priority="1" operator="containsText" text="Open">
      <formula>NOT(ISERROR(SEARCH("Open",O3)))</formula>
    </cfRule>
    <cfRule type="containsText" dxfId="0" priority="2" operator="containsText" text="Resolved">
      <formula>NOT(ISERROR(SEARCH("Resolved",O3)))</formula>
    </cfRule>
  </conditionalFormatting>
  <pageMargins left="0.25" right="0.25" top="0.75" bottom="0.75" header="0" footer="0"/>
  <pageSetup paperSize="8" scale="47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5279ADD-E3DC-4144-9A1D-81633D8D9F0E}">
          <x14:formula1>
            <xm:f>Input!$A$2:$A$8</xm:f>
          </x14:formula1>
          <xm:sqref>N3:N1048576</xm:sqref>
        </x14:dataValidation>
        <x14:dataValidation type="list" allowBlank="1" showInputMessage="1" showErrorMessage="1" xr:uid="{1ADC795D-3041-448F-A821-36104AE4B1CF}">
          <x14:formula1>
            <xm:f>Input!$B$2:$B$9</xm:f>
          </x14:formula1>
          <xm:sqref>D3:D1048576</xm:sqref>
        </x14:dataValidation>
        <x14:dataValidation type="list" allowBlank="1" showInputMessage="1" showErrorMessage="1" xr:uid="{8F04FFC0-B70D-49A5-B6C5-4E95678E93E7}">
          <x14:formula1>
            <xm:f>Input!$C$2:$C$48</xm:f>
          </x14:formula1>
          <xm:sqref>G3:G1048576</xm:sqref>
        </x14:dataValidation>
        <x14:dataValidation type="list" allowBlank="1" showInputMessage="1" showErrorMessage="1" xr:uid="{490A0DE2-DFF4-41D1-9A79-0C6E4CC9E401}">
          <x14:formula1>
            <xm:f>Input!$D$2:$D$46</xm:f>
          </x14:formula1>
          <xm:sqref>F3:F1048576</xm:sqref>
        </x14:dataValidation>
        <x14:dataValidation type="list" allowBlank="1" showErrorMessage="1" xr:uid="{93720044-5252-4755-BE47-016D1385E00C}">
          <x14:formula1>
            <xm:f>Input!$E$2:$E$3</xm:f>
          </x14:formula1>
          <xm:sqref>M3:M18</xm:sqref>
        </x14:dataValidation>
        <x14:dataValidation type="list" allowBlank="1" showErrorMessage="1" xr:uid="{1A4F5AFA-128B-40D8-82A3-C1B1938BD615}">
          <x14:formula1>
            <xm:f>Input!$F$2:$F$3</xm:f>
          </x14:formula1>
          <xm:sqref>O3:O18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4648-6499-4EDB-9C41-FB7E8CF2075E}">
  <dimension ref="A1:F27"/>
  <sheetViews>
    <sheetView workbookViewId="0">
      <selection activeCell="A13" sqref="A13"/>
    </sheetView>
  </sheetViews>
  <sheetFormatPr defaultRowHeight="14.4" x14ac:dyDescent="0.3"/>
  <cols>
    <col min="1" max="1" width="21.33203125" bestFit="1" customWidth="1"/>
    <col min="2" max="2" width="18.109375" customWidth="1"/>
    <col min="3" max="3" width="49.77734375" customWidth="1"/>
    <col min="4" max="4" width="21.6640625" customWidth="1"/>
    <col min="5" max="5" width="23.21875" bestFit="1" customWidth="1"/>
    <col min="6" max="6" width="9.5546875" bestFit="1" customWidth="1"/>
  </cols>
  <sheetData>
    <row r="1" spans="1:6" x14ac:dyDescent="0.3">
      <c r="A1" s="4" t="s">
        <v>14</v>
      </c>
      <c r="B1" s="4" t="s">
        <v>4</v>
      </c>
      <c r="C1" s="4" t="s">
        <v>59</v>
      </c>
      <c r="D1" s="4" t="s">
        <v>61</v>
      </c>
      <c r="E1" s="4" t="s">
        <v>13</v>
      </c>
      <c r="F1" s="4" t="s">
        <v>15</v>
      </c>
    </row>
    <row r="2" spans="1:6" x14ac:dyDescent="0.3">
      <c r="A2" t="s">
        <v>21</v>
      </c>
      <c r="B2" t="s">
        <v>55</v>
      </c>
      <c r="C2" t="s">
        <v>67</v>
      </c>
      <c r="D2" t="s">
        <v>62</v>
      </c>
      <c r="E2" s="40" t="s">
        <v>32</v>
      </c>
      <c r="F2" s="41" t="s">
        <v>48</v>
      </c>
    </row>
    <row r="3" spans="1:6" x14ac:dyDescent="0.3">
      <c r="A3" t="s">
        <v>51</v>
      </c>
      <c r="B3" t="s">
        <v>56</v>
      </c>
      <c r="C3" t="s">
        <v>68</v>
      </c>
      <c r="D3" t="s">
        <v>62</v>
      </c>
      <c r="E3" s="40" t="s">
        <v>20</v>
      </c>
      <c r="F3" s="42" t="s">
        <v>22</v>
      </c>
    </row>
    <row r="4" spans="1:6" x14ac:dyDescent="0.3">
      <c r="A4" t="s">
        <v>52</v>
      </c>
      <c r="B4" t="s">
        <v>57</v>
      </c>
      <c r="C4" t="s">
        <v>69</v>
      </c>
      <c r="D4" t="s">
        <v>62</v>
      </c>
    </row>
    <row r="5" spans="1:6" x14ac:dyDescent="0.3">
      <c r="A5" t="s">
        <v>53</v>
      </c>
      <c r="B5" t="s">
        <v>58</v>
      </c>
      <c r="C5" t="s">
        <v>70</v>
      </c>
      <c r="D5" t="s">
        <v>62</v>
      </c>
    </row>
    <row r="6" spans="1:6" x14ac:dyDescent="0.3">
      <c r="A6" t="s">
        <v>54</v>
      </c>
      <c r="C6" t="s">
        <v>71</v>
      </c>
      <c r="D6" t="s">
        <v>62</v>
      </c>
    </row>
    <row r="7" spans="1:6" x14ac:dyDescent="0.3">
      <c r="C7" t="s">
        <v>72</v>
      </c>
      <c r="D7" t="s">
        <v>62</v>
      </c>
    </row>
    <row r="8" spans="1:6" x14ac:dyDescent="0.3">
      <c r="C8" t="s">
        <v>73</v>
      </c>
      <c r="D8" t="s">
        <v>62</v>
      </c>
    </row>
    <row r="9" spans="1:6" x14ac:dyDescent="0.3">
      <c r="C9" t="s">
        <v>75</v>
      </c>
      <c r="D9" t="s">
        <v>74</v>
      </c>
    </row>
    <row r="10" spans="1:6" x14ac:dyDescent="0.3">
      <c r="C10" t="s">
        <v>76</v>
      </c>
      <c r="D10" t="s">
        <v>74</v>
      </c>
    </row>
    <row r="11" spans="1:6" x14ac:dyDescent="0.3">
      <c r="C11" t="s">
        <v>77</v>
      </c>
      <c r="D11" t="s">
        <v>74</v>
      </c>
    </row>
    <row r="12" spans="1:6" x14ac:dyDescent="0.3">
      <c r="C12" t="s">
        <v>78</v>
      </c>
      <c r="D12" t="s">
        <v>74</v>
      </c>
    </row>
    <row r="13" spans="1:6" x14ac:dyDescent="0.3">
      <c r="C13" t="s">
        <v>79</v>
      </c>
      <c r="D13" t="s">
        <v>74</v>
      </c>
    </row>
    <row r="14" spans="1:6" x14ac:dyDescent="0.3">
      <c r="C14" t="s">
        <v>63</v>
      </c>
      <c r="D14" t="s">
        <v>65</v>
      </c>
    </row>
    <row r="15" spans="1:6" x14ac:dyDescent="0.3">
      <c r="C15" t="s">
        <v>64</v>
      </c>
      <c r="D15" t="s">
        <v>65</v>
      </c>
    </row>
    <row r="16" spans="1:6" x14ac:dyDescent="0.3">
      <c r="C16" t="s">
        <v>80</v>
      </c>
      <c r="D16" t="s">
        <v>65</v>
      </c>
    </row>
    <row r="17" spans="3:4" x14ac:dyDescent="0.3">
      <c r="C17" t="s">
        <v>81</v>
      </c>
      <c r="D17" t="s">
        <v>65</v>
      </c>
    </row>
    <row r="18" spans="3:4" x14ac:dyDescent="0.3">
      <c r="C18" t="s">
        <v>82</v>
      </c>
      <c r="D18" t="s">
        <v>65</v>
      </c>
    </row>
    <row r="19" spans="3:4" x14ac:dyDescent="0.3">
      <c r="C19" t="s">
        <v>83</v>
      </c>
      <c r="D19" t="s">
        <v>65</v>
      </c>
    </row>
    <row r="20" spans="3:4" x14ac:dyDescent="0.3">
      <c r="C20" t="s">
        <v>84</v>
      </c>
      <c r="D20" t="s">
        <v>65</v>
      </c>
    </row>
    <row r="21" spans="3:4" x14ac:dyDescent="0.3">
      <c r="C21" t="s">
        <v>66</v>
      </c>
      <c r="D21" t="s">
        <v>85</v>
      </c>
    </row>
    <row r="22" spans="3:4" x14ac:dyDescent="0.3">
      <c r="C22" t="s">
        <v>86</v>
      </c>
      <c r="D22" t="s">
        <v>85</v>
      </c>
    </row>
    <row r="23" spans="3:4" x14ac:dyDescent="0.3">
      <c r="C23" t="s">
        <v>87</v>
      </c>
      <c r="D23" t="s">
        <v>85</v>
      </c>
    </row>
    <row r="24" spans="3:4" x14ac:dyDescent="0.3">
      <c r="C24" t="s">
        <v>88</v>
      </c>
      <c r="D24" t="s">
        <v>85</v>
      </c>
    </row>
    <row r="25" spans="3:4" x14ac:dyDescent="0.3">
      <c r="C25" t="s">
        <v>89</v>
      </c>
      <c r="D25" t="s">
        <v>85</v>
      </c>
    </row>
    <row r="26" spans="3:4" x14ac:dyDescent="0.3">
      <c r="C26" t="s">
        <v>90</v>
      </c>
      <c r="D26" t="s">
        <v>85</v>
      </c>
    </row>
    <row r="27" spans="3:4" x14ac:dyDescent="0.3">
      <c r="C27" t="s">
        <v>91</v>
      </c>
      <c r="D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Hinderance Register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Shah</dc:creator>
  <cp:lastModifiedBy>Saiyam Shah</cp:lastModifiedBy>
  <dcterms:created xsi:type="dcterms:W3CDTF">2026-01-10T19:16:58Z</dcterms:created>
  <dcterms:modified xsi:type="dcterms:W3CDTF">2026-01-10T21:11:20Z</dcterms:modified>
</cp:coreProperties>
</file>