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eneral\WPR\wpr Soft copies\WPR 52\"/>
    </mc:Choice>
  </mc:AlternateContent>
  <xr:revisionPtr revIDLastSave="0" documentId="13_ncr:1_{E77474E8-0090-4BFE-B6AF-2783697BEE10}" xr6:coauthVersionLast="47" xr6:coauthVersionMax="47" xr10:uidLastSave="{00000000-0000-0000-0000-000000000000}"/>
  <bookViews>
    <workbookView xWindow="-110" yWindow="-110" windowWidth="19420" windowHeight="10420" xr2:uid="{313C2EBB-27D8-40CD-B7A7-90DEEA276AE3}"/>
  </bookViews>
  <sheets>
    <sheet name="Invoicen Tracker" sheetId="2" r:id="rId1"/>
    <sheet name="PR Tracker" sheetId="1" r:id="rId2"/>
  </sheets>
  <externalReferences>
    <externalReference r:id="rId3"/>
  </externalReferences>
  <definedNames>
    <definedName name="_xlnm._FilterDatabase" localSheetId="0" hidden="1">'Invoicen Tracker'!$B$1:$B$58</definedName>
    <definedName name="_xlnm.Print_Area" localSheetId="0">'Invoicen Tracker'!$A$1:$H$55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G58" i="2" s="1"/>
  <c r="G52" i="2"/>
  <c r="G63" i="2"/>
  <c r="H63" i="2" s="1"/>
  <c r="N11" i="1"/>
  <c r="M11" i="1"/>
  <c r="H57" i="2"/>
  <c r="G57" i="2"/>
  <c r="H17" i="1" l="1"/>
  <c r="H20" i="1" l="1"/>
  <c r="H19" i="1"/>
  <c r="H18" i="1"/>
  <c r="H14" i="1"/>
  <c r="H15" i="1"/>
  <c r="H16" i="1"/>
  <c r="H13" i="1"/>
  <c r="H12" i="1" l="1"/>
  <c r="H11" i="1" l="1"/>
  <c r="J16" i="2"/>
  <c r="J4" i="2"/>
  <c r="J13" i="2" l="1"/>
  <c r="J10" i="2" l="1"/>
  <c r="J11" i="2" s="1"/>
  <c r="H7" i="1" l="1"/>
  <c r="H4" i="1" l="1"/>
  <c r="H5" i="1"/>
  <c r="H6" i="1"/>
  <c r="H8" i="1"/>
  <c r="H9" i="1"/>
  <c r="H10" i="1"/>
  <c r="H3" i="1" l="1"/>
  <c r="H22" i="1" s="1"/>
</calcChain>
</file>

<file path=xl/sharedStrings.xml><?xml version="1.0" encoding="utf-8"?>
<sst xmlns="http://schemas.openxmlformats.org/spreadsheetml/2006/main" count="236" uniqueCount="97">
  <si>
    <t>Sr No</t>
  </si>
  <si>
    <t xml:space="preserve">PR Type </t>
  </si>
  <si>
    <t>Qty</t>
  </si>
  <si>
    <t>Unit</t>
  </si>
  <si>
    <t>Rate</t>
  </si>
  <si>
    <t>Amount</t>
  </si>
  <si>
    <t>PO</t>
  </si>
  <si>
    <t xml:space="preserve">PR Tracker for Construction Of Worker Dormitory </t>
  </si>
  <si>
    <t>Service</t>
  </si>
  <si>
    <t xml:space="preserve">Net Total </t>
  </si>
  <si>
    <t>Discipline</t>
  </si>
  <si>
    <t>Invoice Processeing Tracker</t>
  </si>
  <si>
    <t>Vendor</t>
  </si>
  <si>
    <t>Name of Work</t>
  </si>
  <si>
    <t>Invoice Rise (Excl. GST)</t>
  </si>
  <si>
    <t xml:space="preserve">Net Total :- </t>
  </si>
  <si>
    <t>COP Status</t>
  </si>
  <si>
    <t xml:space="preserve">Done </t>
  </si>
  <si>
    <t xml:space="preserve">Material Code  </t>
  </si>
  <si>
    <t>PMC CHARGES - DORMITORY SANTEJ</t>
  </si>
  <si>
    <t>CHARGES FOR BOREWELL AS PER DETAIL</t>
  </si>
  <si>
    <t>CHARGES FOR TEMPORARY POWER CONNECTION</t>
  </si>
  <si>
    <t>DESIGN CONSULTANCY CHARGES</t>
  </si>
  <si>
    <t>ANTI-TERMITE FOR DORMITORY BUILDING</t>
  </si>
  <si>
    <t>ELECTRICAL WORK FOR WORKER DORMITORY PHASE-1</t>
  </si>
  <si>
    <t xml:space="preserve">PR No </t>
  </si>
  <si>
    <t>Civil work for Worker Dormitory</t>
  </si>
  <si>
    <t>PMC Services for Worker Dormitory (July-25)</t>
  </si>
  <si>
    <t>PMC Services for Worker Dormitory (Aug-25)</t>
  </si>
  <si>
    <t>Borewell work for Worker Dormitory</t>
  </si>
  <si>
    <t>Temp Electric connection for Dormitory</t>
  </si>
  <si>
    <t>PMC Services for Worker Dormitory (Sep-25)</t>
  </si>
  <si>
    <t>Design consultancy charges</t>
  </si>
  <si>
    <t xml:space="preserve">Invoice No </t>
  </si>
  <si>
    <t>VPA-03-25-26</t>
  </si>
  <si>
    <t>44/25-26</t>
  </si>
  <si>
    <t>Bhavana Infra</t>
  </si>
  <si>
    <t xml:space="preserve">Sharnam </t>
  </si>
  <si>
    <t>Shree Shakti Pump</t>
  </si>
  <si>
    <t>Indian Electric</t>
  </si>
  <si>
    <t>VPA</t>
  </si>
  <si>
    <t>Ashish K Bhavsar</t>
  </si>
  <si>
    <t>Invoice Date</t>
  </si>
  <si>
    <t>32/25-26</t>
  </si>
  <si>
    <t>33/25-26</t>
  </si>
  <si>
    <t>34/25-26</t>
  </si>
  <si>
    <t>38/25-26</t>
  </si>
  <si>
    <t>PMC Services for Worker Dormitory (Nov-25)</t>
  </si>
  <si>
    <t>PMC Services for Worker Dormitory (Oct-25)</t>
  </si>
  <si>
    <t>INV-000003</t>
  </si>
  <si>
    <t>IECI25-26/049</t>
  </si>
  <si>
    <t>Surti Pest Control Service</t>
  </si>
  <si>
    <t>PLUMBING WORK FOR WORKER DORMITORY PHASE-1</t>
  </si>
  <si>
    <t>-</t>
  </si>
  <si>
    <t>PROFORMA-08</t>
  </si>
  <si>
    <t>PMC Services for Worker Dormitory (Dec-25)</t>
  </si>
  <si>
    <t>CIVIL WORK FOR WORKER DORMITORY PHASE-1 &amp; EXTERNAL DEVELOPMENT WORKS</t>
  </si>
  <si>
    <t>PMC Services for Worker Dormitory (Jan-26)</t>
  </si>
  <si>
    <t>57/25-26</t>
  </si>
  <si>
    <t>DORMITORY WINDOW WORK</t>
  </si>
  <si>
    <t>IEC/25-26/101</t>
  </si>
  <si>
    <t>Misc. work at Ground floor slab conduit</t>
  </si>
  <si>
    <t>MISC ELELECTRICAL WORK</t>
  </si>
  <si>
    <t>PMC Services for Worker Dormitory (Feb-26)</t>
  </si>
  <si>
    <t>65/25-26</t>
  </si>
  <si>
    <t>WPC DOOR WORK</t>
  </si>
  <si>
    <t>GAS LINE WORK</t>
  </si>
  <si>
    <t>FIRE FIGHTING WORK</t>
  </si>
  <si>
    <t>METALIUM LOUVERS WORK</t>
  </si>
  <si>
    <t>FURNITURE WORK(Bed &amp; Kitchen Platform)</t>
  </si>
  <si>
    <t>FURNITURE WORK(Wardrobe)</t>
  </si>
  <si>
    <t>Furniture Work - Vinayak Enterprise</t>
  </si>
  <si>
    <t>Vinayak Enterprise</t>
  </si>
  <si>
    <t>External Electric Work</t>
  </si>
  <si>
    <t>WPC Door Work For Dormitory</t>
  </si>
  <si>
    <t>Gajjar Furnitute</t>
  </si>
  <si>
    <t>Wardrobe furniture Work For Dormitory</t>
  </si>
  <si>
    <t>Pitrukrupa</t>
  </si>
  <si>
    <t>Electric work for Worker Dormitory</t>
  </si>
  <si>
    <t>Bed And Platform furniture Work For Dormitory</t>
  </si>
  <si>
    <t>Plumbing work Nayak Novel</t>
  </si>
  <si>
    <t>Nayak Novel India</t>
  </si>
  <si>
    <t>Extenal Civil work for Worker Dormitory</t>
  </si>
  <si>
    <t xml:space="preserve">External Electric Work </t>
  </si>
  <si>
    <t>Electech Engineering</t>
  </si>
  <si>
    <t>Pearl Electric</t>
  </si>
  <si>
    <t>PMC Services for Worker Dormitory (April-26)</t>
  </si>
  <si>
    <t>PMC Services for Worker Dormitory (May-26)</t>
  </si>
  <si>
    <t xml:space="preserve">Gas Line work </t>
  </si>
  <si>
    <t>Jimit &amp; Co.</t>
  </si>
  <si>
    <t>Dining Tables Work</t>
  </si>
  <si>
    <t>Metalium Duct Louvers</t>
  </si>
  <si>
    <t>Metalium</t>
  </si>
  <si>
    <t>Fire Fighting Work</t>
  </si>
  <si>
    <t>PSM Projects</t>
  </si>
  <si>
    <t>linc</t>
  </si>
  <si>
    <t>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</si>
</sst>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3"/>
      <color theme="0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</cellStyleXfs>
  <cellXfs count="49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3" fontId="4" fillId="0" borderId="1" xfId="1" applyFont="1" applyBorder="1"/>
    <xf numFmtId="164" fontId="4" fillId="0" borderId="1" xfId="1" applyNumberFormat="1" applyFont="1" applyBorder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164" fontId="4" fillId="0" borderId="0" xfId="0" applyNumberFormat="1" applyFont="1"/>
    <xf numFmtId="43" fontId="4" fillId="0" borderId="0" xfId="0" applyNumberFormat="1" applyFont="1"/>
    <xf numFmtId="164" fontId="5" fillId="0" borderId="2" xfId="0" applyNumberFormat="1" applyFont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1" xfId="0" applyFont="1" applyBorder="1"/>
    <xf numFmtId="0" fontId="5" fillId="0" borderId="5" xfId="0" applyFont="1" applyBorder="1"/>
    <xf numFmtId="0" fontId="5" fillId="0" borderId="6" xfId="0" applyFont="1" applyBorder="1"/>
    <xf numFmtId="0" fontId="4" fillId="4" borderId="0" xfId="0" applyFont="1" applyFill="1"/>
    <xf numFmtId="0" fontId="4" fillId="5" borderId="0" xfId="0" applyFont="1" applyFill="1"/>
    <xf numFmtId="0" fontId="4" fillId="0" borderId="1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4" fontId="4" fillId="0" borderId="1" xfId="1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43" fontId="4" fillId="0" borderId="14" xfId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4">
    <cellStyle name="Comma" xfId="1" builtinId="3"/>
    <cellStyle name="Comma 2" xfId="2" xr:uid="{07684CAE-59D1-4638-8357-0ECABE7AA08F}"/>
    <cellStyle name="Normal" xfId="0" builtinId="0"/>
    <cellStyle name="Normal 10 2" xfId="3" xr:uid="{AE9B2D58-49E9-43E8-8EF9-AAB5983E076B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3-Projects/10-18-07-2025%20Arvind%20Limited/18-Monthly%20&amp;%20%20Weekly%20Reports/Weekly%20Report/19.%2004-11-2025%20to%2010-12-2025/WPR%20sept%204%20Dec%20to%2010%20Dec.xlsx" TargetMode="External"/><Relationship Id="rId2" Type="http://schemas.openxmlformats.org/officeDocument/2006/relationships/externalLinkPath" Target="file:///D:\3-Projects\10-18-07-2025%20Arvind%20Limited\18-Monthly%20&amp;%20%20Weekly%20Reports\Weekly%20Report\19.%2004-11-2025%20to%2010-12-2025\WPR%20sept%204%20Dec%20to%2010%20Dec.xlsx" TargetMode="External"/><Relationship Id="rId1" Type="http://schemas.openxmlformats.org/officeDocument/2006/relationships/externalLinkPath" Target="/3-Projects/10-18-07-2025%20Arvind%20Limited/18-Monthly%20&amp;%20%20Weekly%20Reports/Weekly%20Report/19.%2004-11-2025%20to%2010-12-2025/WPR%20sept%204%20Dec%20to%2010%20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nderance Register"/>
      <sheetName val="Risk Register"/>
      <sheetName val="Legal Approval Tracker"/>
      <sheetName val="Procurement tracker"/>
      <sheetName val="Procurement Status"/>
      <sheetName val="Weekly Manpower"/>
      <sheetName val="Project Cashflow "/>
      <sheetName val="HSE Statistic"/>
      <sheetName val="Quality Statistic"/>
      <sheetName val="Cube Test"/>
      <sheetName val="Planned Vs Actual "/>
      <sheetName val="Value Addition"/>
      <sheetName val="As per drawing status"/>
      <sheetName val="Design status"/>
      <sheetName val="MockUp Schedule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F16">
            <v>16584801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5B02-E6E2-4098-9DFB-B5D3E982C838}">
  <sheetPr codeName="Sheet2"/>
  <dimension ref="A1:K63"/>
  <sheetViews>
    <sheetView tabSelected="1" view="pageBreakPreview" topLeftCell="A48" zoomScaleNormal="100" zoomScaleSheetLayoutView="100" workbookViewId="0">
      <selection activeCell="E59" sqref="E59"/>
    </sheetView>
  </sheetViews>
  <sheetFormatPr defaultColWidth="8.90625" defaultRowHeight="16.5" x14ac:dyDescent="0.5"/>
  <cols>
    <col min="1" max="1" width="6.26953125" style="1" bestFit="1" customWidth="1"/>
    <col min="2" max="2" width="45.26953125" style="1" customWidth="1"/>
    <col min="3" max="3" width="18.08984375" style="1" bestFit="1" customWidth="1"/>
    <col min="4" max="4" width="21.1796875" style="1" customWidth="1"/>
    <col min="5" max="5" width="25.54296875" style="1" bestFit="1" customWidth="1"/>
    <col min="6" max="6" width="13" style="1" bestFit="1" customWidth="1"/>
    <col min="7" max="7" width="14.90625" style="1" bestFit="1" customWidth="1"/>
    <col min="8" max="8" width="15.08984375" style="1" customWidth="1"/>
    <col min="9" max="9" width="8.90625" style="1"/>
    <col min="10" max="10" width="16.08984375" style="1" bestFit="1" customWidth="1"/>
    <col min="11" max="11" width="15.6328125" style="1" bestFit="1" customWidth="1"/>
    <col min="12" max="16384" width="8.90625" style="1"/>
  </cols>
  <sheetData>
    <row r="1" spans="1:11" ht="19" x14ac:dyDescent="0.5">
      <c r="A1" s="40" t="s">
        <v>11</v>
      </c>
      <c r="B1" s="41"/>
      <c r="C1" s="41"/>
      <c r="D1" s="41"/>
      <c r="E1" s="41"/>
      <c r="F1" s="41"/>
      <c r="G1" s="41"/>
      <c r="H1" s="42"/>
    </row>
    <row r="2" spans="1:11" ht="33" x14ac:dyDescent="0.5">
      <c r="A2" s="12" t="s">
        <v>0</v>
      </c>
      <c r="B2" s="2" t="s">
        <v>13</v>
      </c>
      <c r="C2" s="2" t="s">
        <v>33</v>
      </c>
      <c r="D2" s="3" t="s">
        <v>6</v>
      </c>
      <c r="E2" s="2" t="s">
        <v>12</v>
      </c>
      <c r="F2" s="2" t="s">
        <v>42</v>
      </c>
      <c r="G2" s="3" t="s">
        <v>14</v>
      </c>
      <c r="H2" s="13" t="s">
        <v>16</v>
      </c>
    </row>
    <row r="3" spans="1:11" x14ac:dyDescent="0.5">
      <c r="A3" s="14">
        <v>1</v>
      </c>
      <c r="B3" s="8" t="s">
        <v>27</v>
      </c>
      <c r="C3" s="8" t="s">
        <v>43</v>
      </c>
      <c r="D3" s="8">
        <v>3100007909</v>
      </c>
      <c r="E3" s="8" t="s">
        <v>37</v>
      </c>
      <c r="F3" s="23">
        <v>45974</v>
      </c>
      <c r="G3" s="24">
        <v>37096.769999999997</v>
      </c>
      <c r="H3" s="25"/>
      <c r="I3" s="9"/>
      <c r="J3" s="9"/>
    </row>
    <row r="4" spans="1:11" ht="17.5" customHeight="1" x14ac:dyDescent="0.5">
      <c r="A4" s="14">
        <v>2</v>
      </c>
      <c r="B4" s="8" t="s">
        <v>28</v>
      </c>
      <c r="C4" s="8" t="s">
        <v>44</v>
      </c>
      <c r="D4" s="8">
        <v>3100007909</v>
      </c>
      <c r="E4" s="8" t="s">
        <v>37</v>
      </c>
      <c r="F4" s="23">
        <v>45974</v>
      </c>
      <c r="G4" s="24">
        <v>115000</v>
      </c>
      <c r="H4" s="25"/>
      <c r="J4" s="10">
        <f>G3+G4+G13+G14+G7</f>
        <v>722795.1</v>
      </c>
    </row>
    <row r="5" spans="1:11" ht="17.5" customHeight="1" x14ac:dyDescent="0.5">
      <c r="A5" s="14">
        <v>3</v>
      </c>
      <c r="B5" s="8" t="s">
        <v>29</v>
      </c>
      <c r="C5" s="8">
        <v>119</v>
      </c>
      <c r="D5" s="8">
        <v>3100007908</v>
      </c>
      <c r="E5" s="8" t="s">
        <v>38</v>
      </c>
      <c r="F5" s="23"/>
      <c r="G5" s="24">
        <v>895230</v>
      </c>
      <c r="H5" s="25" t="s">
        <v>17</v>
      </c>
    </row>
    <row r="6" spans="1:11" x14ac:dyDescent="0.5">
      <c r="A6" s="14">
        <v>5</v>
      </c>
      <c r="B6" s="8" t="s">
        <v>26</v>
      </c>
      <c r="C6" s="8">
        <v>27</v>
      </c>
      <c r="D6" s="8">
        <v>3100007903</v>
      </c>
      <c r="E6" s="8" t="s">
        <v>36</v>
      </c>
      <c r="F6" s="23">
        <v>45918</v>
      </c>
      <c r="G6" s="24">
        <v>4758645.5599999996</v>
      </c>
      <c r="H6" s="25" t="s">
        <v>17</v>
      </c>
    </row>
    <row r="7" spans="1:11" x14ac:dyDescent="0.5">
      <c r="A7" s="14">
        <v>6</v>
      </c>
      <c r="B7" s="8" t="s">
        <v>31</v>
      </c>
      <c r="C7" s="8" t="s">
        <v>45</v>
      </c>
      <c r="D7" s="8">
        <v>3100007909</v>
      </c>
      <c r="E7" s="8" t="s">
        <v>37</v>
      </c>
      <c r="F7" s="23">
        <v>45934</v>
      </c>
      <c r="G7" s="24">
        <v>168333</v>
      </c>
      <c r="H7" s="25"/>
      <c r="J7" s="10"/>
    </row>
    <row r="8" spans="1:11" x14ac:dyDescent="0.5">
      <c r="A8" s="14">
        <v>7</v>
      </c>
      <c r="B8" s="8" t="s">
        <v>32</v>
      </c>
      <c r="C8" s="8" t="s">
        <v>34</v>
      </c>
      <c r="D8" s="8">
        <v>3100008018</v>
      </c>
      <c r="E8" s="8" t="s">
        <v>40</v>
      </c>
      <c r="F8" s="23">
        <v>45934</v>
      </c>
      <c r="G8" s="24">
        <v>750000</v>
      </c>
      <c r="H8" s="25"/>
    </row>
    <row r="9" spans="1:11" x14ac:dyDescent="0.5">
      <c r="A9" s="14">
        <v>8</v>
      </c>
      <c r="B9" s="8" t="s">
        <v>32</v>
      </c>
      <c r="C9" s="8" t="s">
        <v>35</v>
      </c>
      <c r="D9" s="26">
        <v>3100008017</v>
      </c>
      <c r="E9" s="8" t="s">
        <v>41</v>
      </c>
      <c r="F9" s="23">
        <v>45939</v>
      </c>
      <c r="G9" s="24">
        <v>250000</v>
      </c>
      <c r="H9" s="25"/>
    </row>
    <row r="10" spans="1:11" x14ac:dyDescent="0.5">
      <c r="A10" s="14">
        <v>9</v>
      </c>
      <c r="B10" s="8" t="s">
        <v>26</v>
      </c>
      <c r="C10" s="8">
        <v>44</v>
      </c>
      <c r="D10" s="26">
        <v>3100007903</v>
      </c>
      <c r="E10" s="8" t="s">
        <v>36</v>
      </c>
      <c r="F10" s="23">
        <v>45972</v>
      </c>
      <c r="G10" s="24">
        <v>2762022</v>
      </c>
      <c r="H10" s="25" t="s">
        <v>17</v>
      </c>
      <c r="J10" s="10">
        <f>G55-'[1]Project Cashflow '!$F$16</f>
        <v>64750664.085205823</v>
      </c>
    </row>
    <row r="11" spans="1:11" x14ac:dyDescent="0.5">
      <c r="A11" s="14">
        <v>10</v>
      </c>
      <c r="B11" s="8" t="s">
        <v>26</v>
      </c>
      <c r="C11" s="8">
        <v>43</v>
      </c>
      <c r="D11" s="26">
        <v>3100007903</v>
      </c>
      <c r="E11" s="8" t="s">
        <v>36</v>
      </c>
      <c r="F11" s="23">
        <v>45967</v>
      </c>
      <c r="G11" s="24">
        <v>910033</v>
      </c>
      <c r="H11" s="25" t="s">
        <v>17</v>
      </c>
      <c r="J11" s="10">
        <f>J10-G3-G4-G7-G13-G14</f>
        <v>64027868.985205822</v>
      </c>
      <c r="K11" s="10"/>
    </row>
    <row r="12" spans="1:11" x14ac:dyDescent="0.5">
      <c r="A12" s="14">
        <v>11</v>
      </c>
      <c r="B12" s="8" t="s">
        <v>26</v>
      </c>
      <c r="C12" s="8">
        <v>46</v>
      </c>
      <c r="D12" s="26">
        <v>3100007903</v>
      </c>
      <c r="E12" s="8" t="s">
        <v>36</v>
      </c>
      <c r="F12" s="23">
        <v>45985</v>
      </c>
      <c r="G12" s="24">
        <v>988771</v>
      </c>
      <c r="H12" s="25" t="s">
        <v>17</v>
      </c>
      <c r="J12" s="10"/>
    </row>
    <row r="13" spans="1:11" x14ac:dyDescent="0.5">
      <c r="A13" s="14">
        <v>12</v>
      </c>
      <c r="B13" s="8" t="s">
        <v>48</v>
      </c>
      <c r="C13" s="8" t="s">
        <v>49</v>
      </c>
      <c r="D13" s="8">
        <v>3100007909</v>
      </c>
      <c r="E13" s="8" t="s">
        <v>37</v>
      </c>
      <c r="F13" s="23">
        <v>45973</v>
      </c>
      <c r="G13" s="24">
        <v>189032</v>
      </c>
      <c r="H13" s="25"/>
      <c r="J13" s="10">
        <f>G6+G10+G11+G12+G15+G17+G18+G19</f>
        <v>20483679.559999999</v>
      </c>
      <c r="K13" s="10"/>
    </row>
    <row r="14" spans="1:11" x14ac:dyDescent="0.5">
      <c r="A14" s="14">
        <v>13</v>
      </c>
      <c r="B14" s="8" t="s">
        <v>47</v>
      </c>
      <c r="C14" s="8" t="s">
        <v>46</v>
      </c>
      <c r="D14" s="8">
        <v>3100007909</v>
      </c>
      <c r="E14" s="8" t="s">
        <v>37</v>
      </c>
      <c r="F14" s="23">
        <v>45991</v>
      </c>
      <c r="G14" s="24">
        <v>213333.33</v>
      </c>
      <c r="H14" s="25"/>
      <c r="I14" s="20"/>
      <c r="K14" s="10"/>
    </row>
    <row r="15" spans="1:11" x14ac:dyDescent="0.5">
      <c r="A15" s="14">
        <v>14</v>
      </c>
      <c r="B15" s="8" t="s">
        <v>26</v>
      </c>
      <c r="C15" s="8">
        <v>47</v>
      </c>
      <c r="D15" s="26">
        <v>3100007903</v>
      </c>
      <c r="E15" s="8" t="s">
        <v>36</v>
      </c>
      <c r="F15" s="23">
        <v>45996</v>
      </c>
      <c r="G15" s="24">
        <v>5138504</v>
      </c>
      <c r="H15" s="25" t="s">
        <v>17</v>
      </c>
      <c r="I15" s="19"/>
    </row>
    <row r="16" spans="1:11" x14ac:dyDescent="0.5">
      <c r="A16" s="14">
        <v>15</v>
      </c>
      <c r="B16" s="8" t="s">
        <v>30</v>
      </c>
      <c r="C16" s="8" t="s">
        <v>50</v>
      </c>
      <c r="D16" s="27">
        <v>3100007990</v>
      </c>
      <c r="E16" s="8" t="s">
        <v>39</v>
      </c>
      <c r="F16" s="23">
        <v>45982</v>
      </c>
      <c r="G16" s="24">
        <v>333900</v>
      </c>
      <c r="H16" s="25" t="s">
        <v>17</v>
      </c>
      <c r="I16" s="19"/>
      <c r="J16" s="10">
        <f>G15+G17+G18+G19+G20+G21+G22</f>
        <v>12725113</v>
      </c>
      <c r="K16" s="10"/>
    </row>
    <row r="17" spans="1:11" x14ac:dyDescent="0.5">
      <c r="A17" s="14">
        <v>16</v>
      </c>
      <c r="B17" s="8" t="s">
        <v>26</v>
      </c>
      <c r="C17" s="8">
        <v>50</v>
      </c>
      <c r="D17" s="26">
        <v>3100007903</v>
      </c>
      <c r="E17" s="8" t="s">
        <v>36</v>
      </c>
      <c r="F17" s="23">
        <v>46006</v>
      </c>
      <c r="G17" s="24">
        <v>2592839</v>
      </c>
      <c r="H17" s="25" t="s">
        <v>17</v>
      </c>
      <c r="I17" s="19"/>
      <c r="K17" s="10"/>
    </row>
    <row r="18" spans="1:11" x14ac:dyDescent="0.5">
      <c r="A18" s="14">
        <v>17</v>
      </c>
      <c r="B18" s="8" t="s">
        <v>26</v>
      </c>
      <c r="C18" s="8">
        <v>51</v>
      </c>
      <c r="D18" s="26">
        <v>3100007903</v>
      </c>
      <c r="E18" s="8" t="s">
        <v>36</v>
      </c>
      <c r="F18" s="23">
        <v>46007</v>
      </c>
      <c r="G18" s="24">
        <v>2639623</v>
      </c>
      <c r="H18" s="25" t="s">
        <v>17</v>
      </c>
      <c r="I18" s="19"/>
      <c r="K18" s="10"/>
    </row>
    <row r="19" spans="1:11" x14ac:dyDescent="0.5">
      <c r="A19" s="14">
        <v>18</v>
      </c>
      <c r="B19" s="8" t="s">
        <v>26</v>
      </c>
      <c r="C19" s="8">
        <v>52</v>
      </c>
      <c r="D19" s="26">
        <v>3100007903</v>
      </c>
      <c r="E19" s="8" t="s">
        <v>36</v>
      </c>
      <c r="F19" s="23">
        <v>46006</v>
      </c>
      <c r="G19" s="24">
        <v>693242</v>
      </c>
      <c r="H19" s="25" t="s">
        <v>17</v>
      </c>
    </row>
    <row r="20" spans="1:11" x14ac:dyDescent="0.5">
      <c r="A20" s="14">
        <v>19</v>
      </c>
      <c r="B20" s="8" t="s">
        <v>26</v>
      </c>
      <c r="C20" s="8">
        <v>53</v>
      </c>
      <c r="D20" s="26">
        <v>3100007903</v>
      </c>
      <c r="E20" s="8" t="s">
        <v>36</v>
      </c>
      <c r="F20" s="23">
        <v>46021</v>
      </c>
      <c r="G20" s="24">
        <v>771847</v>
      </c>
      <c r="H20" s="25" t="s">
        <v>17</v>
      </c>
    </row>
    <row r="21" spans="1:11" x14ac:dyDescent="0.5">
      <c r="A21" s="14">
        <v>20</v>
      </c>
      <c r="B21" s="8" t="s">
        <v>23</v>
      </c>
      <c r="C21" s="8">
        <v>1582</v>
      </c>
      <c r="D21" s="26">
        <v>3100008035</v>
      </c>
      <c r="E21" s="8" t="s">
        <v>51</v>
      </c>
      <c r="F21" s="23">
        <v>46017</v>
      </c>
      <c r="G21" s="24">
        <v>28424</v>
      </c>
      <c r="H21" s="25" t="s">
        <v>17</v>
      </c>
    </row>
    <row r="22" spans="1:11" x14ac:dyDescent="0.5">
      <c r="A22" s="14">
        <v>21</v>
      </c>
      <c r="B22" s="8" t="s">
        <v>29</v>
      </c>
      <c r="C22" s="8">
        <v>200</v>
      </c>
      <c r="D22" s="8">
        <v>3100007908</v>
      </c>
      <c r="E22" s="8" t="s">
        <v>38</v>
      </c>
      <c r="F22" s="23">
        <v>46017</v>
      </c>
      <c r="G22" s="24">
        <v>860634</v>
      </c>
      <c r="H22" s="25" t="s">
        <v>17</v>
      </c>
    </row>
    <row r="23" spans="1:11" x14ac:dyDescent="0.5">
      <c r="A23" s="14">
        <v>22</v>
      </c>
      <c r="B23" s="8" t="s">
        <v>26</v>
      </c>
      <c r="C23" s="8">
        <v>54</v>
      </c>
      <c r="D23" s="26">
        <v>3100007903</v>
      </c>
      <c r="E23" s="8" t="s">
        <v>36</v>
      </c>
      <c r="F23" s="23">
        <v>46023</v>
      </c>
      <c r="G23" s="24">
        <v>2694318.9</v>
      </c>
      <c r="H23" s="25" t="s">
        <v>17</v>
      </c>
    </row>
    <row r="24" spans="1:11" x14ac:dyDescent="0.5">
      <c r="A24" s="14">
        <v>23</v>
      </c>
      <c r="B24" s="8" t="s">
        <v>55</v>
      </c>
      <c r="C24" s="8" t="s">
        <v>54</v>
      </c>
      <c r="D24" s="8">
        <v>3100007909</v>
      </c>
      <c r="E24" s="8" t="s">
        <v>37</v>
      </c>
      <c r="F24" s="23">
        <v>46023</v>
      </c>
      <c r="G24" s="24">
        <v>212484.84</v>
      </c>
      <c r="H24" s="25"/>
    </row>
    <row r="25" spans="1:11" x14ac:dyDescent="0.5">
      <c r="A25" s="14">
        <v>24</v>
      </c>
      <c r="B25" s="8" t="s">
        <v>57</v>
      </c>
      <c r="C25" s="29" t="s">
        <v>58</v>
      </c>
      <c r="D25" s="26">
        <v>3100007909</v>
      </c>
      <c r="E25" s="8" t="s">
        <v>37</v>
      </c>
      <c r="F25" s="30">
        <v>46053</v>
      </c>
      <c r="G25" s="24">
        <v>215000</v>
      </c>
      <c r="H25" s="25"/>
    </row>
    <row r="26" spans="1:11" x14ac:dyDescent="0.5">
      <c r="A26" s="14">
        <v>25</v>
      </c>
      <c r="B26" s="8" t="s">
        <v>26</v>
      </c>
      <c r="C26" s="8">
        <v>59</v>
      </c>
      <c r="D26" s="26">
        <v>3100007903</v>
      </c>
      <c r="E26" s="8" t="s">
        <v>36</v>
      </c>
      <c r="F26" s="23">
        <v>46055</v>
      </c>
      <c r="G26" s="24">
        <v>613639</v>
      </c>
      <c r="H26" s="25" t="s">
        <v>17</v>
      </c>
    </row>
    <row r="27" spans="1:11" x14ac:dyDescent="0.5">
      <c r="A27" s="14">
        <v>26</v>
      </c>
      <c r="B27" s="8" t="s">
        <v>26</v>
      </c>
      <c r="C27" s="8">
        <v>60</v>
      </c>
      <c r="D27" s="26">
        <v>3100007903</v>
      </c>
      <c r="E27" s="8" t="s">
        <v>36</v>
      </c>
      <c r="F27" s="23">
        <v>46055</v>
      </c>
      <c r="G27" s="24">
        <v>2809477</v>
      </c>
      <c r="H27" s="25" t="s">
        <v>17</v>
      </c>
    </row>
    <row r="28" spans="1:11" x14ac:dyDescent="0.5">
      <c r="A28" s="14">
        <v>27</v>
      </c>
      <c r="B28" s="8" t="s">
        <v>26</v>
      </c>
      <c r="C28" s="8">
        <v>62</v>
      </c>
      <c r="D28" s="26">
        <v>3100007903</v>
      </c>
      <c r="E28" s="8" t="s">
        <v>36</v>
      </c>
      <c r="F28" s="23">
        <v>46063</v>
      </c>
      <c r="G28" s="24">
        <v>215714</v>
      </c>
      <c r="H28" s="25" t="s">
        <v>17</v>
      </c>
    </row>
    <row r="29" spans="1:11" x14ac:dyDescent="0.5">
      <c r="A29" s="14">
        <v>28</v>
      </c>
      <c r="B29" s="8" t="s">
        <v>26</v>
      </c>
      <c r="C29" s="8">
        <v>65</v>
      </c>
      <c r="D29" s="26">
        <v>3100007903</v>
      </c>
      <c r="E29" s="8" t="s">
        <v>36</v>
      </c>
      <c r="F29" s="23">
        <v>46080</v>
      </c>
      <c r="G29" s="24">
        <v>5780020.0999999996</v>
      </c>
      <c r="H29" s="25" t="s">
        <v>17</v>
      </c>
    </row>
    <row r="30" spans="1:11" x14ac:dyDescent="0.5">
      <c r="A30" s="14">
        <v>29</v>
      </c>
      <c r="B30" s="8" t="s">
        <v>26</v>
      </c>
      <c r="C30" s="8">
        <v>67</v>
      </c>
      <c r="D30" s="26">
        <v>3100007903</v>
      </c>
      <c r="E30" s="8" t="s">
        <v>36</v>
      </c>
      <c r="F30" s="23">
        <v>46081</v>
      </c>
      <c r="G30" s="24">
        <v>1841203.45</v>
      </c>
      <c r="H30" s="25" t="s">
        <v>17</v>
      </c>
    </row>
    <row r="31" spans="1:11" x14ac:dyDescent="0.5">
      <c r="A31" s="14">
        <v>30</v>
      </c>
      <c r="B31" s="8" t="s">
        <v>61</v>
      </c>
      <c r="C31" s="8" t="s">
        <v>60</v>
      </c>
      <c r="D31" s="26">
        <v>3100008418</v>
      </c>
      <c r="E31" s="8" t="s">
        <v>39</v>
      </c>
      <c r="F31" s="23">
        <v>46099</v>
      </c>
      <c r="G31" s="24">
        <v>70825</v>
      </c>
      <c r="H31" s="25" t="s">
        <v>17</v>
      </c>
    </row>
    <row r="32" spans="1:11" x14ac:dyDescent="0.5">
      <c r="A32" s="14">
        <v>31</v>
      </c>
      <c r="B32" s="8" t="s">
        <v>63</v>
      </c>
      <c r="C32" s="29" t="s">
        <v>64</v>
      </c>
      <c r="D32" s="26">
        <v>3100007909</v>
      </c>
      <c r="E32" s="8" t="s">
        <v>37</v>
      </c>
      <c r="F32" s="30">
        <v>46081</v>
      </c>
      <c r="G32" s="24">
        <v>211428</v>
      </c>
      <c r="H32" s="25"/>
    </row>
    <row r="33" spans="1:8" x14ac:dyDescent="0.5">
      <c r="A33" s="14">
        <v>32</v>
      </c>
      <c r="B33" s="8" t="s">
        <v>26</v>
      </c>
      <c r="C33" s="31">
        <v>1</v>
      </c>
      <c r="D33" s="26">
        <v>3100007903</v>
      </c>
      <c r="E33" s="8" t="s">
        <v>36</v>
      </c>
      <c r="F33" s="23">
        <v>46119</v>
      </c>
      <c r="G33" s="24">
        <v>459528</v>
      </c>
      <c r="H33" s="25" t="s">
        <v>17</v>
      </c>
    </row>
    <row r="34" spans="1:8" x14ac:dyDescent="0.5">
      <c r="A34" s="14">
        <v>33</v>
      </c>
      <c r="B34" s="8" t="s">
        <v>86</v>
      </c>
      <c r="C34" s="8" t="s">
        <v>53</v>
      </c>
      <c r="D34" s="26">
        <v>3100007909</v>
      </c>
      <c r="E34" s="8" t="s">
        <v>37</v>
      </c>
      <c r="F34" s="30">
        <v>46113</v>
      </c>
      <c r="G34" s="24">
        <v>215000</v>
      </c>
      <c r="H34" s="25"/>
    </row>
    <row r="35" spans="1:8" x14ac:dyDescent="0.5">
      <c r="A35" s="14">
        <v>34</v>
      </c>
      <c r="B35" s="8" t="s">
        <v>71</v>
      </c>
      <c r="C35" s="8" t="s">
        <v>53</v>
      </c>
      <c r="D35" s="26"/>
      <c r="E35" s="8" t="s">
        <v>72</v>
      </c>
      <c r="F35" s="23">
        <v>46141</v>
      </c>
      <c r="G35" s="24">
        <v>38300</v>
      </c>
      <c r="H35" s="25" t="s">
        <v>17</v>
      </c>
    </row>
    <row r="36" spans="1:8" x14ac:dyDescent="0.5">
      <c r="A36" s="32">
        <v>35</v>
      </c>
      <c r="B36" s="8" t="s">
        <v>26</v>
      </c>
      <c r="C36" s="8" t="s">
        <v>53</v>
      </c>
      <c r="D36" s="26"/>
      <c r="E36" s="8" t="s">
        <v>36</v>
      </c>
      <c r="F36" s="23"/>
      <c r="G36" s="24">
        <v>4754242</v>
      </c>
      <c r="H36" s="25" t="s">
        <v>17</v>
      </c>
    </row>
    <row r="37" spans="1:8" x14ac:dyDescent="0.5">
      <c r="A37" s="32">
        <v>36</v>
      </c>
      <c r="B37" s="8" t="s">
        <v>78</v>
      </c>
      <c r="C37" s="8" t="s">
        <v>53</v>
      </c>
      <c r="D37" s="26"/>
      <c r="E37" s="8" t="s">
        <v>85</v>
      </c>
      <c r="F37" s="23"/>
      <c r="G37" s="24">
        <v>3263878.95</v>
      </c>
      <c r="H37" s="25" t="s">
        <v>17</v>
      </c>
    </row>
    <row r="38" spans="1:8" x14ac:dyDescent="0.5">
      <c r="A38" s="32">
        <v>37</v>
      </c>
      <c r="B38" s="8" t="s">
        <v>74</v>
      </c>
      <c r="C38" s="8" t="s">
        <v>53</v>
      </c>
      <c r="D38" s="26"/>
      <c r="E38" s="8" t="s">
        <v>75</v>
      </c>
      <c r="F38" s="23">
        <v>46140</v>
      </c>
      <c r="G38" s="24">
        <v>701535.8</v>
      </c>
      <c r="H38" s="25" t="s">
        <v>17</v>
      </c>
    </row>
    <row r="39" spans="1:8" x14ac:dyDescent="0.5">
      <c r="A39" s="32">
        <v>38</v>
      </c>
      <c r="B39" s="8" t="s">
        <v>76</v>
      </c>
      <c r="C39" s="8" t="s">
        <v>53</v>
      </c>
      <c r="D39" s="26"/>
      <c r="E39" s="8" t="s">
        <v>77</v>
      </c>
      <c r="F39" s="23">
        <v>46153</v>
      </c>
      <c r="G39" s="24">
        <v>2170350</v>
      </c>
      <c r="H39" s="25" t="s">
        <v>17</v>
      </c>
    </row>
    <row r="40" spans="1:8" x14ac:dyDescent="0.5">
      <c r="A40" s="32">
        <v>39</v>
      </c>
      <c r="B40" s="8" t="s">
        <v>79</v>
      </c>
      <c r="C40" s="8" t="s">
        <v>53</v>
      </c>
      <c r="D40" s="26"/>
      <c r="E40" s="8" t="s">
        <v>72</v>
      </c>
      <c r="F40" s="23">
        <v>46160</v>
      </c>
      <c r="G40" s="24">
        <v>791763</v>
      </c>
      <c r="H40" s="25" t="s">
        <v>17</v>
      </c>
    </row>
    <row r="41" spans="1:8" ht="17" customHeight="1" x14ac:dyDescent="0.5">
      <c r="A41" s="32">
        <v>40</v>
      </c>
      <c r="B41" s="8" t="s">
        <v>80</v>
      </c>
      <c r="C41" s="8" t="s">
        <v>53</v>
      </c>
      <c r="D41" s="26"/>
      <c r="E41" s="8" t="s">
        <v>81</v>
      </c>
      <c r="F41" s="23">
        <v>46165</v>
      </c>
      <c r="G41" s="24">
        <v>6505414.6600000001</v>
      </c>
      <c r="H41" s="25" t="s">
        <v>17</v>
      </c>
    </row>
    <row r="42" spans="1:8" x14ac:dyDescent="0.5">
      <c r="A42" s="32">
        <v>41</v>
      </c>
      <c r="B42" s="8" t="s">
        <v>83</v>
      </c>
      <c r="C42" s="8" t="s">
        <v>53</v>
      </c>
      <c r="D42" s="26"/>
      <c r="E42" s="8" t="s">
        <v>84</v>
      </c>
      <c r="F42" s="23">
        <v>46158</v>
      </c>
      <c r="G42" s="24">
        <v>357500</v>
      </c>
      <c r="H42" s="25" t="s">
        <v>17</v>
      </c>
    </row>
    <row r="43" spans="1:8" x14ac:dyDescent="0.5">
      <c r="A43" s="32">
        <v>42</v>
      </c>
      <c r="B43" s="8" t="s">
        <v>26</v>
      </c>
      <c r="C43" s="8" t="s">
        <v>53</v>
      </c>
      <c r="D43" s="26"/>
      <c r="E43" s="8" t="s">
        <v>36</v>
      </c>
      <c r="F43" s="23">
        <v>46174</v>
      </c>
      <c r="G43" s="24">
        <v>7245021.0599999996</v>
      </c>
      <c r="H43" s="25" t="s">
        <v>17</v>
      </c>
    </row>
    <row r="44" spans="1:8" x14ac:dyDescent="0.5">
      <c r="A44" s="32">
        <v>43</v>
      </c>
      <c r="B44" s="8" t="s">
        <v>82</v>
      </c>
      <c r="C44" s="29" t="s">
        <v>53</v>
      </c>
      <c r="D44" s="26"/>
      <c r="E44" s="8" t="s">
        <v>36</v>
      </c>
      <c r="F44" s="23">
        <v>46174</v>
      </c>
      <c r="G44" s="24">
        <v>1323623.98</v>
      </c>
      <c r="H44" s="25" t="s">
        <v>17</v>
      </c>
    </row>
    <row r="45" spans="1:8" x14ac:dyDescent="0.5">
      <c r="A45" s="32">
        <v>44</v>
      </c>
      <c r="B45" s="35" t="s">
        <v>87</v>
      </c>
      <c r="C45" s="35" t="s">
        <v>53</v>
      </c>
      <c r="D45" s="36">
        <v>3100007909</v>
      </c>
      <c r="E45" s="35" t="s">
        <v>37</v>
      </c>
      <c r="F45" s="23">
        <v>46176</v>
      </c>
      <c r="G45" s="37">
        <v>215000</v>
      </c>
      <c r="H45" s="38"/>
    </row>
    <row r="46" spans="1:8" x14ac:dyDescent="0.5">
      <c r="A46" s="32">
        <v>45</v>
      </c>
      <c r="B46" s="35" t="s">
        <v>88</v>
      </c>
      <c r="C46" s="35" t="s">
        <v>53</v>
      </c>
      <c r="D46" s="36">
        <v>3100007910</v>
      </c>
      <c r="E46" s="35" t="s">
        <v>89</v>
      </c>
      <c r="F46" s="23">
        <v>46181</v>
      </c>
      <c r="G46" s="37">
        <v>485541</v>
      </c>
      <c r="H46" s="25" t="s">
        <v>17</v>
      </c>
    </row>
    <row r="47" spans="1:8" x14ac:dyDescent="0.5">
      <c r="A47" s="32">
        <v>46</v>
      </c>
      <c r="B47" s="35" t="s">
        <v>91</v>
      </c>
      <c r="C47" s="35" t="s">
        <v>53</v>
      </c>
      <c r="D47" s="36"/>
      <c r="E47" s="35" t="s">
        <v>92</v>
      </c>
      <c r="F47" s="23">
        <v>46189</v>
      </c>
      <c r="G47" s="37">
        <v>238140</v>
      </c>
      <c r="H47" s="25"/>
    </row>
    <row r="48" spans="1:8" x14ac:dyDescent="0.5">
      <c r="A48" s="32">
        <v>47</v>
      </c>
      <c r="B48" s="8" t="s">
        <v>79</v>
      </c>
      <c r="C48" s="35"/>
      <c r="D48" s="36"/>
      <c r="E48" s="35"/>
      <c r="F48" s="23"/>
      <c r="G48" s="37">
        <v>568320</v>
      </c>
      <c r="H48" s="39" t="s">
        <v>17</v>
      </c>
    </row>
    <row r="49" spans="1:8" x14ac:dyDescent="0.5">
      <c r="A49" s="32">
        <v>48</v>
      </c>
      <c r="B49" s="8" t="s">
        <v>76</v>
      </c>
      <c r="C49" s="8" t="s">
        <v>53</v>
      </c>
      <c r="D49" s="26"/>
      <c r="E49" s="8" t="s">
        <v>77</v>
      </c>
      <c r="F49" s="23"/>
      <c r="G49" s="24">
        <v>2281650</v>
      </c>
      <c r="H49" s="39" t="s">
        <v>17</v>
      </c>
    </row>
    <row r="50" spans="1:8" x14ac:dyDescent="0.5">
      <c r="A50" s="32">
        <v>49</v>
      </c>
      <c r="B50" s="8" t="s">
        <v>93</v>
      </c>
      <c r="C50" s="8" t="s">
        <v>53</v>
      </c>
      <c r="D50" s="26"/>
      <c r="E50" s="8" t="s">
        <v>94</v>
      </c>
      <c r="F50" s="23"/>
      <c r="G50" s="24">
        <v>1217520.3999999999</v>
      </c>
      <c r="H50" s="39"/>
    </row>
    <row r="51" spans="1:8" x14ac:dyDescent="0.5">
      <c r="A51" s="32">
        <v>50</v>
      </c>
      <c r="B51" s="8" t="s">
        <v>78</v>
      </c>
      <c r="C51" s="8" t="s">
        <v>53</v>
      </c>
      <c r="D51" s="26"/>
      <c r="E51" s="8" t="s">
        <v>85</v>
      </c>
      <c r="F51" s="23"/>
      <c r="G51" s="24">
        <v>3515433.3552057999</v>
      </c>
      <c r="H51" s="25"/>
    </row>
    <row r="52" spans="1:8" x14ac:dyDescent="0.5">
      <c r="A52" s="32">
        <v>51</v>
      </c>
      <c r="B52" s="8" t="s">
        <v>71</v>
      </c>
      <c r="C52" s="8" t="s">
        <v>53</v>
      </c>
      <c r="D52" s="26"/>
      <c r="E52" s="8" t="s">
        <v>72</v>
      </c>
      <c r="F52" s="23"/>
      <c r="G52" s="24">
        <f>644355+668220</f>
        <v>1312575</v>
      </c>
      <c r="H52" s="25" t="s">
        <v>17</v>
      </c>
    </row>
    <row r="53" spans="1:8" x14ac:dyDescent="0.5">
      <c r="A53" s="32">
        <v>52</v>
      </c>
      <c r="B53" s="8" t="s">
        <v>83</v>
      </c>
      <c r="C53" s="8" t="s">
        <v>53</v>
      </c>
      <c r="D53" s="26"/>
      <c r="E53" s="8" t="s">
        <v>84</v>
      </c>
      <c r="F53" s="23"/>
      <c r="G53" s="24">
        <v>3350000</v>
      </c>
      <c r="H53" s="25" t="s">
        <v>17</v>
      </c>
    </row>
    <row r="54" spans="1:8" ht="17" thickBot="1" x14ac:dyDescent="0.55000000000000004">
      <c r="A54" s="32">
        <v>53</v>
      </c>
      <c r="B54" s="35" t="s">
        <v>88</v>
      </c>
      <c r="C54" s="35" t="s">
        <v>53</v>
      </c>
      <c r="D54" s="36">
        <v>3100007910</v>
      </c>
      <c r="E54" s="35" t="s">
        <v>89</v>
      </c>
      <c r="F54" s="23">
        <v>46232</v>
      </c>
      <c r="G54" s="37">
        <v>564507.93000000005</v>
      </c>
      <c r="H54" s="25" t="s">
        <v>17</v>
      </c>
    </row>
    <row r="55" spans="1:8" ht="17" thickBot="1" x14ac:dyDescent="0.55000000000000004">
      <c r="A55" s="46" t="s">
        <v>15</v>
      </c>
      <c r="B55" s="47"/>
      <c r="C55" s="47"/>
      <c r="D55" s="47"/>
      <c r="E55" s="47"/>
      <c r="F55" s="48"/>
      <c r="G55" s="28">
        <f>SUM(G3:G54)</f>
        <v>81335465.085205823</v>
      </c>
      <c r="H55" s="28"/>
    </row>
    <row r="57" spans="1:8" x14ac:dyDescent="0.5">
      <c r="G57" s="1">
        <f>111000000</f>
        <v>111000000</v>
      </c>
      <c r="H57" s="1">
        <f>6.44+6.44</f>
        <v>12.88</v>
      </c>
    </row>
    <row r="58" spans="1:8" x14ac:dyDescent="0.5">
      <c r="G58" s="9">
        <f>G57-G55</f>
        <v>29664534.914794177</v>
      </c>
      <c r="H58" s="9"/>
    </row>
    <row r="63" spans="1:8" x14ac:dyDescent="0.5">
      <c r="G63" s="1">
        <f>1720000</f>
        <v>1720000</v>
      </c>
      <c r="H63" s="1">
        <f>G63-1576708</f>
        <v>143292</v>
      </c>
    </row>
  </sheetData>
  <mergeCells count="2">
    <mergeCell ref="A1:H1"/>
    <mergeCell ref="A55:F55"/>
  </mergeCells>
  <phoneticPr fontId="6" type="noConversion"/>
  <conditionalFormatting sqref="D3">
    <cfRule type="duplicateValues" dxfId="16" priority="12"/>
  </conditionalFormatting>
  <conditionalFormatting sqref="D4">
    <cfRule type="duplicateValues" dxfId="15" priority="11"/>
  </conditionalFormatting>
  <conditionalFormatting sqref="D5">
    <cfRule type="duplicateValues" dxfId="14" priority="13"/>
  </conditionalFormatting>
  <conditionalFormatting sqref="D6">
    <cfRule type="duplicateValues" dxfId="13" priority="14"/>
  </conditionalFormatting>
  <conditionalFormatting sqref="D7">
    <cfRule type="duplicateValues" dxfId="12" priority="10"/>
  </conditionalFormatting>
  <conditionalFormatting sqref="D8">
    <cfRule type="duplicateValues" dxfId="11" priority="9"/>
  </conditionalFormatting>
  <conditionalFormatting sqref="D13">
    <cfRule type="duplicateValues" dxfId="10" priority="4"/>
  </conditionalFormatting>
  <conditionalFormatting sqref="D14">
    <cfRule type="duplicateValues" dxfId="9" priority="15"/>
  </conditionalFormatting>
  <conditionalFormatting sqref="D16">
    <cfRule type="duplicateValues" dxfId="8" priority="3"/>
  </conditionalFormatting>
  <conditionalFormatting sqref="D22">
    <cfRule type="duplicateValues" dxfId="7" priority="2"/>
  </conditionalFormatting>
  <conditionalFormatting sqref="D24">
    <cfRule type="duplicateValues" dxfId="6" priority="1"/>
  </conditionalFormatting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8A9B-72BE-494C-B7B1-C67EDE9308BD}">
  <sheetPr codeName="Sheet1"/>
  <dimension ref="A1:N26"/>
  <sheetViews>
    <sheetView zoomScale="70" workbookViewId="0">
      <selection activeCell="I20" sqref="I20"/>
    </sheetView>
  </sheetViews>
  <sheetFormatPr defaultColWidth="8.90625" defaultRowHeight="16.5" x14ac:dyDescent="0.5"/>
  <cols>
    <col min="1" max="1" width="9" style="1" bestFit="1" customWidth="1"/>
    <col min="2" max="3" width="14.6328125" style="1" customWidth="1"/>
    <col min="4" max="4" width="79.26953125" style="7" customWidth="1"/>
    <col min="5" max="5" width="9" style="1" bestFit="1" customWidth="1"/>
    <col min="6" max="6" width="11.453125" style="1" bestFit="1" customWidth="1"/>
    <col min="7" max="7" width="16.36328125" style="1" bestFit="1" customWidth="1"/>
    <col min="8" max="8" width="14.26953125" style="1" bestFit="1" customWidth="1"/>
    <col min="9" max="9" width="15.36328125" style="1" customWidth="1"/>
    <col min="10" max="10" width="15.54296875" style="1" customWidth="1"/>
    <col min="11" max="16384" width="8.90625" style="1"/>
  </cols>
  <sheetData>
    <row r="1" spans="1:14" ht="35" customHeight="1" x14ac:dyDescent="0.5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2"/>
    </row>
    <row r="2" spans="1:14" x14ac:dyDescent="0.5">
      <c r="A2" s="12" t="s">
        <v>0</v>
      </c>
      <c r="B2" s="2" t="s">
        <v>1</v>
      </c>
      <c r="C2" s="2" t="s">
        <v>25</v>
      </c>
      <c r="D2" s="3" t="s">
        <v>10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18</v>
      </c>
      <c r="J2" s="15" t="s">
        <v>6</v>
      </c>
    </row>
    <row r="3" spans="1:14" x14ac:dyDescent="0.5">
      <c r="A3" s="16">
        <v>1</v>
      </c>
      <c r="B3" s="4" t="s">
        <v>8</v>
      </c>
      <c r="C3" s="4">
        <v>1300087731</v>
      </c>
      <c r="D3" s="4" t="s">
        <v>56</v>
      </c>
      <c r="E3" s="4">
        <v>1</v>
      </c>
      <c r="F3" s="4">
        <v>1</v>
      </c>
      <c r="G3" s="5">
        <v>67396394</v>
      </c>
      <c r="H3" s="6">
        <f>F3*G3</f>
        <v>67396394</v>
      </c>
      <c r="I3" s="4">
        <v>3000717</v>
      </c>
      <c r="J3" s="21">
        <v>3100007903</v>
      </c>
    </row>
    <row r="4" spans="1:14" x14ac:dyDescent="0.5">
      <c r="A4" s="16">
        <v>2</v>
      </c>
      <c r="B4" s="4" t="s">
        <v>8</v>
      </c>
      <c r="C4" s="4">
        <v>1300087775</v>
      </c>
      <c r="D4" s="4" t="s">
        <v>20</v>
      </c>
      <c r="E4" s="4">
        <v>1</v>
      </c>
      <c r="F4" s="4">
        <v>1</v>
      </c>
      <c r="G4" s="5">
        <v>1790460</v>
      </c>
      <c r="H4" s="6">
        <f t="shared" ref="H4:H10" si="0">F4*G4</f>
        <v>1790460</v>
      </c>
      <c r="I4" s="4">
        <v>3000717</v>
      </c>
      <c r="J4" s="21">
        <v>3100007908</v>
      </c>
    </row>
    <row r="5" spans="1:14" x14ac:dyDescent="0.5">
      <c r="A5" s="16">
        <v>3</v>
      </c>
      <c r="B5" s="4" t="s">
        <v>8</v>
      </c>
      <c r="C5" s="4">
        <v>1300087776</v>
      </c>
      <c r="D5" s="4" t="s">
        <v>21</v>
      </c>
      <c r="E5" s="4">
        <v>1</v>
      </c>
      <c r="F5" s="4">
        <v>1</v>
      </c>
      <c r="G5" s="5">
        <v>350050</v>
      </c>
      <c r="H5" s="6">
        <f t="shared" si="0"/>
        <v>350050</v>
      </c>
      <c r="I5" s="4">
        <v>3001591</v>
      </c>
      <c r="J5" s="21">
        <v>3100007990</v>
      </c>
    </row>
    <row r="6" spans="1:14" ht="17.5" customHeight="1" x14ac:dyDescent="0.5">
      <c r="A6" s="16">
        <v>4</v>
      </c>
      <c r="B6" s="4" t="s">
        <v>8</v>
      </c>
      <c r="C6" s="4">
        <v>1300087778</v>
      </c>
      <c r="D6" s="4" t="s">
        <v>19</v>
      </c>
      <c r="E6" s="4">
        <v>1</v>
      </c>
      <c r="F6" s="4">
        <v>1</v>
      </c>
      <c r="G6" s="5">
        <v>1720000</v>
      </c>
      <c r="H6" s="6">
        <f t="shared" si="0"/>
        <v>1720000</v>
      </c>
      <c r="I6" s="4">
        <v>3000417</v>
      </c>
      <c r="J6" s="21">
        <v>3100007909</v>
      </c>
    </row>
    <row r="7" spans="1:14" x14ac:dyDescent="0.5">
      <c r="A7" s="16">
        <v>5</v>
      </c>
      <c r="B7" s="4" t="s">
        <v>8</v>
      </c>
      <c r="C7" s="4">
        <v>1300087945</v>
      </c>
      <c r="D7" s="4" t="s">
        <v>22</v>
      </c>
      <c r="E7" s="4">
        <v>1</v>
      </c>
      <c r="F7" s="4">
        <v>1</v>
      </c>
      <c r="G7" s="5">
        <v>750000</v>
      </c>
      <c r="H7" s="6">
        <f>F7*G7</f>
        <v>750000</v>
      </c>
      <c r="I7" s="4">
        <v>3000791</v>
      </c>
      <c r="J7" s="21">
        <v>3100008018</v>
      </c>
    </row>
    <row r="8" spans="1:14" x14ac:dyDescent="0.5">
      <c r="A8" s="16">
        <v>6</v>
      </c>
      <c r="B8" s="4" t="s">
        <v>8</v>
      </c>
      <c r="C8" s="4">
        <v>1300088433</v>
      </c>
      <c r="D8" s="4" t="s">
        <v>22</v>
      </c>
      <c r="E8" s="4">
        <v>1</v>
      </c>
      <c r="F8" s="4">
        <v>1</v>
      </c>
      <c r="G8" s="5">
        <v>740000</v>
      </c>
      <c r="H8" s="6">
        <f t="shared" si="0"/>
        <v>740000</v>
      </c>
      <c r="I8" s="4">
        <v>3000791</v>
      </c>
      <c r="J8" s="21">
        <v>3100008017</v>
      </c>
    </row>
    <row r="9" spans="1:14" x14ac:dyDescent="0.5">
      <c r="A9" s="16">
        <v>7</v>
      </c>
      <c r="B9" s="4" t="s">
        <v>8</v>
      </c>
      <c r="C9" s="4">
        <v>1300088431</v>
      </c>
      <c r="D9" s="4" t="s">
        <v>23</v>
      </c>
      <c r="E9" s="4">
        <v>1</v>
      </c>
      <c r="F9" s="4">
        <v>1</v>
      </c>
      <c r="G9" s="5">
        <v>35532</v>
      </c>
      <c r="H9" s="6">
        <f t="shared" si="0"/>
        <v>35532</v>
      </c>
      <c r="I9" s="4">
        <v>3001591</v>
      </c>
      <c r="J9" s="21">
        <v>3100008035</v>
      </c>
    </row>
    <row r="10" spans="1:14" x14ac:dyDescent="0.5">
      <c r="A10" s="16">
        <v>8</v>
      </c>
      <c r="B10" s="4" t="s">
        <v>8</v>
      </c>
      <c r="C10" s="4">
        <v>1300088933</v>
      </c>
      <c r="D10" s="4" t="s">
        <v>24</v>
      </c>
      <c r="E10" s="4">
        <v>1</v>
      </c>
      <c r="F10" s="4">
        <v>1</v>
      </c>
      <c r="G10" s="5">
        <v>7053515</v>
      </c>
      <c r="H10" s="6">
        <f t="shared" si="0"/>
        <v>7053515</v>
      </c>
      <c r="I10" s="4">
        <v>3001220</v>
      </c>
      <c r="J10" s="21">
        <v>3100007964</v>
      </c>
      <c r="M10" s="1" t="s">
        <v>95</v>
      </c>
      <c r="N10" s="1" t="s">
        <v>96</v>
      </c>
    </row>
    <row r="11" spans="1:14" x14ac:dyDescent="0.5">
      <c r="A11" s="16">
        <v>9</v>
      </c>
      <c r="B11" s="4" t="s">
        <v>8</v>
      </c>
      <c r="C11" s="4">
        <v>1300091487</v>
      </c>
      <c r="D11" s="4" t="s">
        <v>52</v>
      </c>
      <c r="E11" s="4">
        <v>1</v>
      </c>
      <c r="F11" s="4">
        <v>1</v>
      </c>
      <c r="G11" s="5">
        <v>7579647</v>
      </c>
      <c r="H11" s="6">
        <f t="shared" ref="H11" si="1">F11*G11</f>
        <v>7579647</v>
      </c>
      <c r="I11" s="22" t="s">
        <v>53</v>
      </c>
      <c r="J11" s="21">
        <v>3100008191</v>
      </c>
      <c r="M11" s="1">
        <f>601766+149761</f>
        <v>751527</v>
      </c>
      <c r="N11" s="1">
        <f>609550+139900</f>
        <v>749450</v>
      </c>
    </row>
    <row r="12" spans="1:14" x14ac:dyDescent="0.5">
      <c r="A12" s="16">
        <v>10</v>
      </c>
      <c r="B12" s="4" t="s">
        <v>8</v>
      </c>
      <c r="C12" s="4">
        <v>1300094218</v>
      </c>
      <c r="D12" s="4" t="s">
        <v>59</v>
      </c>
      <c r="E12" s="4">
        <v>1</v>
      </c>
      <c r="F12" s="4">
        <v>1</v>
      </c>
      <c r="G12" s="5">
        <v>934315</v>
      </c>
      <c r="H12" s="6">
        <f t="shared" ref="H12" si="2">F12*G12</f>
        <v>934315</v>
      </c>
      <c r="I12" s="22">
        <v>3001076</v>
      </c>
      <c r="J12" s="21">
        <v>3100008357</v>
      </c>
    </row>
    <row r="13" spans="1:14" x14ac:dyDescent="0.5">
      <c r="A13" s="16">
        <v>11</v>
      </c>
      <c r="B13" s="4" t="s">
        <v>8</v>
      </c>
      <c r="C13" s="4">
        <v>1300094219</v>
      </c>
      <c r="D13" s="4" t="s">
        <v>62</v>
      </c>
      <c r="E13" s="4">
        <v>1</v>
      </c>
      <c r="F13" s="4">
        <v>1</v>
      </c>
      <c r="G13" s="5">
        <v>70825</v>
      </c>
      <c r="H13" s="6">
        <f t="shared" ref="H13" si="3">F13*G13</f>
        <v>70825</v>
      </c>
      <c r="I13" s="22">
        <v>3000901</v>
      </c>
      <c r="J13" s="21">
        <v>3100008418</v>
      </c>
    </row>
    <row r="14" spans="1:14" x14ac:dyDescent="0.5">
      <c r="A14" s="16">
        <v>12</v>
      </c>
      <c r="B14" s="4" t="s">
        <v>8</v>
      </c>
      <c r="C14" s="4"/>
      <c r="D14" s="4" t="s">
        <v>69</v>
      </c>
      <c r="E14" s="4">
        <v>1</v>
      </c>
      <c r="F14" s="4">
        <v>1</v>
      </c>
      <c r="G14" s="5">
        <v>2742300</v>
      </c>
      <c r="H14" s="6">
        <f t="shared" ref="H14:H16" si="4">F14*G14</f>
        <v>2742300</v>
      </c>
      <c r="I14" s="22" t="s">
        <v>53</v>
      </c>
      <c r="J14" s="21">
        <v>3100008445</v>
      </c>
    </row>
    <row r="15" spans="1:14" x14ac:dyDescent="0.5">
      <c r="A15" s="16">
        <v>13</v>
      </c>
      <c r="B15" s="4" t="s">
        <v>8</v>
      </c>
      <c r="C15" s="4">
        <v>1300096253</v>
      </c>
      <c r="D15" s="4" t="s">
        <v>65</v>
      </c>
      <c r="E15" s="4">
        <v>1</v>
      </c>
      <c r="F15" s="4">
        <v>1</v>
      </c>
      <c r="G15" s="5">
        <v>1014880</v>
      </c>
      <c r="H15" s="6">
        <f t="shared" si="4"/>
        <v>1014880</v>
      </c>
      <c r="I15" s="22">
        <v>3001066</v>
      </c>
      <c r="J15" s="21">
        <v>3100008581</v>
      </c>
    </row>
    <row r="16" spans="1:14" x14ac:dyDescent="0.5">
      <c r="A16" s="16">
        <v>14</v>
      </c>
      <c r="B16" s="4" t="s">
        <v>8</v>
      </c>
      <c r="C16" s="4">
        <v>1300095557</v>
      </c>
      <c r="D16" s="4" t="s">
        <v>66</v>
      </c>
      <c r="E16" s="4">
        <v>1</v>
      </c>
      <c r="F16" s="4">
        <v>1</v>
      </c>
      <c r="G16" s="5">
        <v>1050550</v>
      </c>
      <c r="H16" s="6">
        <f t="shared" si="4"/>
        <v>1050550</v>
      </c>
      <c r="I16" s="22">
        <v>3000449</v>
      </c>
      <c r="J16" s="33">
        <v>3100008498</v>
      </c>
    </row>
    <row r="17" spans="1:10" x14ac:dyDescent="0.5">
      <c r="A17" s="16">
        <v>13</v>
      </c>
      <c r="B17" s="4" t="s">
        <v>8</v>
      </c>
      <c r="C17" s="4">
        <v>1300096252</v>
      </c>
      <c r="D17" s="4" t="s">
        <v>67</v>
      </c>
      <c r="E17" s="4">
        <v>1</v>
      </c>
      <c r="F17" s="4">
        <v>1</v>
      </c>
      <c r="G17" s="5">
        <v>2341330</v>
      </c>
      <c r="H17" s="6">
        <f>F17*G17</f>
        <v>2341330</v>
      </c>
      <c r="I17" s="22">
        <v>3000939</v>
      </c>
      <c r="J17" s="21">
        <v>3100008552</v>
      </c>
    </row>
    <row r="18" spans="1:10" x14ac:dyDescent="0.5">
      <c r="A18" s="16">
        <v>15</v>
      </c>
      <c r="B18" s="4" t="s">
        <v>8</v>
      </c>
      <c r="C18" s="4">
        <v>1300096254</v>
      </c>
      <c r="D18" s="4" t="s">
        <v>68</v>
      </c>
      <c r="E18" s="4">
        <v>1</v>
      </c>
      <c r="F18" s="4">
        <v>1</v>
      </c>
      <c r="G18" s="6">
        <v>258336</v>
      </c>
      <c r="H18" s="6">
        <f t="shared" ref="H18:H20" si="5">F18*G18</f>
        <v>258336</v>
      </c>
      <c r="I18" s="22">
        <v>3001066</v>
      </c>
      <c r="J18" s="21">
        <v>3100008591</v>
      </c>
    </row>
    <row r="19" spans="1:10" x14ac:dyDescent="0.5">
      <c r="A19" s="16">
        <v>16</v>
      </c>
      <c r="B19" s="4" t="s">
        <v>8</v>
      </c>
      <c r="C19" s="4"/>
      <c r="D19" s="4" t="s">
        <v>70</v>
      </c>
      <c r="E19" s="4">
        <v>1</v>
      </c>
      <c r="F19" s="4">
        <v>1</v>
      </c>
      <c r="G19" s="6">
        <v>5088000</v>
      </c>
      <c r="H19" s="6">
        <f t="shared" si="5"/>
        <v>5088000</v>
      </c>
      <c r="I19" s="22">
        <v>3001066</v>
      </c>
      <c r="J19" s="21">
        <v>3100008575</v>
      </c>
    </row>
    <row r="20" spans="1:10" x14ac:dyDescent="0.5">
      <c r="A20" s="16">
        <v>17</v>
      </c>
      <c r="B20" s="4" t="s">
        <v>8</v>
      </c>
      <c r="C20" s="4"/>
      <c r="D20" s="4" t="s">
        <v>73</v>
      </c>
      <c r="E20" s="4">
        <v>1</v>
      </c>
      <c r="F20" s="4">
        <v>1</v>
      </c>
      <c r="G20" s="6">
        <v>4850000</v>
      </c>
      <c r="H20" s="6">
        <f t="shared" si="5"/>
        <v>4850000</v>
      </c>
      <c r="I20" s="22">
        <v>3000901</v>
      </c>
      <c r="J20" s="21">
        <v>3100008668</v>
      </c>
    </row>
    <row r="21" spans="1:10" ht="17" thickBot="1" x14ac:dyDescent="0.55000000000000004">
      <c r="A21" s="34">
        <v>19</v>
      </c>
      <c r="B21" s="4" t="s">
        <v>8</v>
      </c>
      <c r="C21" s="4"/>
      <c r="D21" s="4" t="s">
        <v>90</v>
      </c>
      <c r="E21" s="4">
        <v>1</v>
      </c>
      <c r="F21" s="4">
        <v>1</v>
      </c>
      <c r="G21" s="6">
        <v>707000</v>
      </c>
      <c r="H21" s="6">
        <v>707000</v>
      </c>
      <c r="I21" s="22"/>
      <c r="J21" s="21"/>
    </row>
    <row r="22" spans="1:10" ht="17" thickBot="1" x14ac:dyDescent="0.55000000000000004">
      <c r="A22" s="43" t="s">
        <v>9</v>
      </c>
      <c r="B22" s="44"/>
      <c r="C22" s="44"/>
      <c r="D22" s="44"/>
      <c r="E22" s="44"/>
      <c r="F22" s="44"/>
      <c r="G22" s="45"/>
      <c r="H22" s="11">
        <f>SUM(H3:H21)</f>
        <v>106473134</v>
      </c>
      <c r="I22" s="17"/>
      <c r="J22" s="18"/>
    </row>
    <row r="26" spans="1:10" x14ac:dyDescent="0.5">
      <c r="J26" s="10"/>
    </row>
  </sheetData>
  <mergeCells count="2">
    <mergeCell ref="A1:J1"/>
    <mergeCell ref="A22:G22"/>
  </mergeCells>
  <phoneticPr fontId="6" type="noConversion"/>
  <conditionalFormatting sqref="C3">
    <cfRule type="duplicateValues" dxfId="5" priority="5"/>
  </conditionalFormatting>
  <conditionalFormatting sqref="C4:C6 C8:C21">
    <cfRule type="duplicateValues" dxfId="4" priority="16"/>
  </conditionalFormatting>
  <conditionalFormatting sqref="C7">
    <cfRule type="duplicateValues" dxfId="3" priority="4"/>
  </conditionalFormatting>
  <conditionalFormatting sqref="J3">
    <cfRule type="duplicateValues" dxfId="2" priority="7"/>
  </conditionalFormatting>
  <conditionalFormatting sqref="J4:J15 J17:J21">
    <cfRule type="duplicateValues" dxfId="1" priority="19"/>
  </conditionalFormatting>
  <conditionalFormatting sqref="J1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Invoicen Tracker</vt:lpstr>
      <vt:lpstr>PR Tracker</vt:lpstr>
      <vt:lpstr>'Invoicen Tracker'!Print_Area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Sharnam Project  Development Consultant</cp:lastModifiedBy>
  <cp:lastPrinted>2025-11-20T05:38:32Z</cp:lastPrinted>
  <dcterms:created xsi:type="dcterms:W3CDTF">2025-10-03T12:23:06Z</dcterms:created>
  <dcterms:modified xsi:type="dcterms:W3CDTF">2026-07-30T07:55:35Z</dcterms:modified>
</cp:coreProperties>
</file>