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3-Projects\10-18-07-2025 Arvind Limited\18-Monthly &amp;  Weekly Reports\Weekly Report\52. 23-07-2026 to 29-07-2026\"/>
    </mc:Choice>
  </mc:AlternateContent>
  <xr:revisionPtr revIDLastSave="0" documentId="13_ncr:1_{5E471279-B9C3-4BB4-B792-7896FF86FB4E}" xr6:coauthVersionLast="47" xr6:coauthVersionMax="47" xr10:uidLastSave="{00000000-0000-0000-0000-000000000000}"/>
  <bookViews>
    <workbookView xWindow="-108" yWindow="-108" windowWidth="23256" windowHeight="12456" xr2:uid="{00000000-000D-0000-FFFF-FFFF00000000}"/>
  </bookViews>
  <sheets>
    <sheet name="Anup-II" sheetId="1" r:id="rId1"/>
  </sheets>
  <externalReferences>
    <externalReference r:id="rId2"/>
    <externalReference r:id="rId3"/>
    <externalReference r:id="rId4"/>
    <externalReference r:id="rId5"/>
  </externalReferences>
  <definedNames>
    <definedName name="CHOOSE" localSheetId="0">#REF!</definedName>
    <definedName name="CHOOSE">#REF!</definedName>
    <definedName name="crfChangeAmount" localSheetId="0">#REF!</definedName>
    <definedName name="crfChangeAmount">#REF!</definedName>
    <definedName name="crfChangeBenefit" localSheetId="0">#REF!</definedName>
    <definedName name="crfChangeBenefit">#REF!</definedName>
    <definedName name="crfChangeDesc" localSheetId="0">#REF!</definedName>
    <definedName name="crfChangeDesc">#REF!</definedName>
    <definedName name="crfChangeEffect" localSheetId="0">#REF!</definedName>
    <definedName name="crfChangeEffect">#REF!</definedName>
    <definedName name="crfChangeReason" localSheetId="0">#REF!</definedName>
    <definedName name="crfChangeReason">#REF!</definedName>
    <definedName name="crfControl" localSheetId="0">#REF!</definedName>
    <definedName name="crfControl">#REF!</definedName>
    <definedName name="crfCorpPurch" localSheetId="0">#REF!</definedName>
    <definedName name="crfCorpPurch">#REF!</definedName>
    <definedName name="crfCostBasis" localSheetId="0">#REF!</definedName>
    <definedName name="crfCostBasis">#REF!</definedName>
    <definedName name="crfDecisionBy" localSheetId="0">#REF!</definedName>
    <definedName name="crfDecisionBy">#REF!</definedName>
    <definedName name="crfFM" localSheetId="0">#REF!</definedName>
    <definedName name="crfFM">#REF!</definedName>
    <definedName name="crfGroupResp" localSheetId="0">#REF!</definedName>
    <definedName name="crfGroupResp">#REF!</definedName>
    <definedName name="crfIT" localSheetId="0">#REF!</definedName>
    <definedName name="crfIT">#REF!</definedName>
    <definedName name="crfITSecurity" localSheetId="0">#REF!</definedName>
    <definedName name="crfITSecurity">#REF!</definedName>
    <definedName name="crfOther" localSheetId="0">#REF!</definedName>
    <definedName name="crfOther">#REF!</definedName>
    <definedName name="crfProgramMan" localSheetId="0">#REF!</definedName>
    <definedName name="crfProgramMan">#REF!</definedName>
    <definedName name="crfProjectMan" localSheetId="0">#REF!</definedName>
    <definedName name="crfProjectMan">#REF!</definedName>
    <definedName name="crfRequestNo" localSheetId="0">#REF!</definedName>
    <definedName name="crfRequestNo">#REF!</definedName>
    <definedName name="crfSPRE" localSheetId="0">#REF!</definedName>
    <definedName name="crfSPRE">#REF!</definedName>
    <definedName name="CurrencyAll" localSheetId="0">#REF!</definedName>
    <definedName name="CurrencyAll">#REF!</definedName>
    <definedName name="CurrencyName" localSheetId="0">#REF!</definedName>
    <definedName name="CurrencyName">#REF!</definedName>
    <definedName name="CurrencySymbol" localSheetId="0">#REF!</definedName>
    <definedName name="CurrencySymbol">#REF!</definedName>
    <definedName name="CurrencyToEuro" localSheetId="0">#REF!</definedName>
    <definedName name="CurrencyToEuro">#REF!</definedName>
    <definedName name="DC_1" localSheetId="0">#REF!</definedName>
    <definedName name="DC_1">#REF!</definedName>
    <definedName name="dc_1_no" localSheetId="0">#REF!</definedName>
    <definedName name="dc_1_no">#REF!</definedName>
    <definedName name="dc_1_pending" localSheetId="0">#REF!</definedName>
    <definedName name="dc_1_pending">#REF!</definedName>
    <definedName name="DC_10" localSheetId="0">#REF!</definedName>
    <definedName name="DC_10">#REF!</definedName>
    <definedName name="dc_10_no" localSheetId="0">#REF!</definedName>
    <definedName name="dc_10_no">#REF!</definedName>
    <definedName name="dc_10_pending" localSheetId="0">#REF!</definedName>
    <definedName name="dc_10_pending">#REF!</definedName>
    <definedName name="DC_11" localSheetId="0">#REF!</definedName>
    <definedName name="DC_11">#REF!</definedName>
    <definedName name="dc_11_no" localSheetId="0">#REF!</definedName>
    <definedName name="dc_11_no">#REF!</definedName>
    <definedName name="dc_11_pending" localSheetId="0">#REF!</definedName>
    <definedName name="dc_11_pending">#REF!</definedName>
    <definedName name="DC_12" localSheetId="0">#REF!</definedName>
    <definedName name="DC_12">#REF!</definedName>
    <definedName name="dc_12_no" localSheetId="0">#REF!</definedName>
    <definedName name="dc_12_no">#REF!</definedName>
    <definedName name="dc_12_pending" localSheetId="0">#REF!</definedName>
    <definedName name="dc_12_pending">#REF!</definedName>
    <definedName name="DC_2" localSheetId="0">#REF!</definedName>
    <definedName name="DC_2">#REF!</definedName>
    <definedName name="dc_2_no" localSheetId="0">#REF!</definedName>
    <definedName name="dc_2_no">#REF!</definedName>
    <definedName name="dc_2_pending" localSheetId="0">#REF!</definedName>
    <definedName name="dc_2_pending">#REF!</definedName>
    <definedName name="DC_3" localSheetId="0">#REF!</definedName>
    <definedName name="DC_3">#REF!</definedName>
    <definedName name="dc_3_no" localSheetId="0">#REF!</definedName>
    <definedName name="dc_3_no">#REF!</definedName>
    <definedName name="dc_3_pending" localSheetId="0">#REF!</definedName>
    <definedName name="dc_3_pending">#REF!</definedName>
    <definedName name="DC_4" localSheetId="0">#REF!</definedName>
    <definedName name="DC_4">#REF!</definedName>
    <definedName name="dc_4_no" localSheetId="0">#REF!</definedName>
    <definedName name="dc_4_no">#REF!</definedName>
    <definedName name="dc_4_pending" localSheetId="0">#REF!</definedName>
    <definedName name="dc_4_pending">#REF!</definedName>
    <definedName name="DC_5" localSheetId="0">#REF!</definedName>
    <definedName name="DC_5">#REF!</definedName>
    <definedName name="dc_5_no" localSheetId="0">#REF!</definedName>
    <definedName name="dc_5_no">#REF!</definedName>
    <definedName name="dc_5_pending" localSheetId="0">#REF!</definedName>
    <definedName name="dc_5_pending">#REF!</definedName>
    <definedName name="DC_6" localSheetId="0">#REF!</definedName>
    <definedName name="DC_6">#REF!</definedName>
    <definedName name="dc_6_no" localSheetId="0">#REF!</definedName>
    <definedName name="dc_6_no">#REF!</definedName>
    <definedName name="dc_6_pending" localSheetId="0">#REF!</definedName>
    <definedName name="dc_6_pending">#REF!</definedName>
    <definedName name="DC_7" localSheetId="0">#REF!</definedName>
    <definedName name="DC_7">#REF!</definedName>
    <definedName name="dc_7_no" localSheetId="0">#REF!</definedName>
    <definedName name="dc_7_no">#REF!</definedName>
    <definedName name="dc_7_pending" localSheetId="0">#REF!</definedName>
    <definedName name="dc_7_pending">#REF!</definedName>
    <definedName name="DC_8" localSheetId="0">#REF!</definedName>
    <definedName name="DC_8">#REF!</definedName>
    <definedName name="dc_8_no" localSheetId="0">#REF!</definedName>
    <definedName name="dc_8_no">#REF!</definedName>
    <definedName name="dc_8_pending" localSheetId="0">#REF!</definedName>
    <definedName name="dc_8_pending">#REF!</definedName>
    <definedName name="DC_9" localSheetId="0">#REF!</definedName>
    <definedName name="DC_9">#REF!</definedName>
    <definedName name="dc_9_no" localSheetId="0">#REF!</definedName>
    <definedName name="dc_9_no">#REF!</definedName>
    <definedName name="dc_9_pending" localSheetId="0">#REF!</definedName>
    <definedName name="dc_9_pending">#REF!</definedName>
    <definedName name="DC_Project_Status_Active_2" localSheetId="0">#REF!</definedName>
    <definedName name="DC_Project_Status_Active_2">#REF!</definedName>
    <definedName name="DC_Project_Status_Report_Query" localSheetId="0">#REF!</definedName>
    <definedName name="DC_Project_Status_Report_Query">#REF!</definedName>
    <definedName name="DCSR" localSheetId="0">#REF!</definedName>
    <definedName name="DCSR">#REF!</definedName>
    <definedName name="fe_1" localSheetId="0">#REF!</definedName>
    <definedName name="fe_1">#REF!</definedName>
    <definedName name="fe_1_no" localSheetId="0">#REF!</definedName>
    <definedName name="fe_1_no">#REF!</definedName>
    <definedName name="fe_1_pending" localSheetId="0">#REF!</definedName>
    <definedName name="fe_1_pending">#REF!</definedName>
    <definedName name="fe_10" localSheetId="0">#REF!</definedName>
    <definedName name="fe_10">#REF!</definedName>
    <definedName name="fe_10_no" localSheetId="0">#REF!</definedName>
    <definedName name="fe_10_no">#REF!</definedName>
    <definedName name="fe_10_pending" localSheetId="0">#REF!</definedName>
    <definedName name="fe_10_pending">#REF!</definedName>
    <definedName name="fe_11" localSheetId="0">#REF!</definedName>
    <definedName name="fe_11">#REF!</definedName>
    <definedName name="fe_11_no" localSheetId="0">#REF!</definedName>
    <definedName name="fe_11_no">#REF!</definedName>
    <definedName name="fe_11_pending" localSheetId="0">#REF!</definedName>
    <definedName name="fe_11_pending">#REF!</definedName>
    <definedName name="fe_12" localSheetId="0">#REF!</definedName>
    <definedName name="fe_12">#REF!</definedName>
    <definedName name="fe_12_no" localSheetId="0">#REF!</definedName>
    <definedName name="fe_12_no">#REF!</definedName>
    <definedName name="fe_12_pending" localSheetId="0">#REF!</definedName>
    <definedName name="fe_12_pending">#REF!</definedName>
    <definedName name="fe_13" localSheetId="0">#REF!</definedName>
    <definedName name="fe_13">#REF!</definedName>
    <definedName name="fe_13_no" localSheetId="0">#REF!</definedName>
    <definedName name="fe_13_no">#REF!</definedName>
    <definedName name="fe_13_pending" localSheetId="0">#REF!</definedName>
    <definedName name="fe_13_pending">#REF!</definedName>
    <definedName name="fe_14" localSheetId="0">#REF!</definedName>
    <definedName name="fe_14">#REF!</definedName>
    <definedName name="fe_14_no" localSheetId="0">#REF!</definedName>
    <definedName name="fe_14_no">#REF!</definedName>
    <definedName name="fe_14_pending" localSheetId="0">#REF!</definedName>
    <definedName name="fe_14_pending">#REF!</definedName>
    <definedName name="fe_15" localSheetId="0">#REF!</definedName>
    <definedName name="fe_15">#REF!</definedName>
    <definedName name="fe_15_no" localSheetId="0">#REF!</definedName>
    <definedName name="fe_15_no">#REF!</definedName>
    <definedName name="fe_15_pending" localSheetId="0">#REF!</definedName>
    <definedName name="fe_15_pending">#REF!</definedName>
    <definedName name="fe_2" localSheetId="0">#REF!</definedName>
    <definedName name="fe_2">#REF!</definedName>
    <definedName name="fe_2_no" localSheetId="0">#REF!</definedName>
    <definedName name="fe_2_no">#REF!</definedName>
    <definedName name="fe_2_pending" localSheetId="0">#REF!</definedName>
    <definedName name="fe_2_pending">#REF!</definedName>
    <definedName name="fe_3" localSheetId="0">#REF!</definedName>
    <definedName name="fe_3">#REF!</definedName>
    <definedName name="fe_3_no" localSheetId="0">#REF!</definedName>
    <definedName name="fe_3_no">#REF!</definedName>
    <definedName name="fe_3_pending" localSheetId="0">#REF!</definedName>
    <definedName name="fe_3_pending">#REF!</definedName>
    <definedName name="fe_4" localSheetId="0">#REF!</definedName>
    <definedName name="fe_4">#REF!</definedName>
    <definedName name="fe_4_no" localSheetId="0">#REF!</definedName>
    <definedName name="fe_4_no">#REF!</definedName>
    <definedName name="fe_4_pending" localSheetId="0">#REF!</definedName>
    <definedName name="fe_4_pending">#REF!</definedName>
    <definedName name="fe_5" localSheetId="0">#REF!</definedName>
    <definedName name="fe_5">#REF!</definedName>
    <definedName name="fe_5_no" localSheetId="0">#REF!</definedName>
    <definedName name="fe_5_no">#REF!</definedName>
    <definedName name="fe_5_pending" localSheetId="0">#REF!</definedName>
    <definedName name="fe_5_pending">#REF!</definedName>
    <definedName name="fe_6" localSheetId="0">#REF!</definedName>
    <definedName name="fe_6">#REF!</definedName>
    <definedName name="fe_6_no" localSheetId="0">#REF!</definedName>
    <definedName name="fe_6_no">#REF!</definedName>
    <definedName name="fe_6_pending" localSheetId="0">#REF!</definedName>
    <definedName name="fe_6_pending">#REF!</definedName>
    <definedName name="fe_7" localSheetId="0">#REF!</definedName>
    <definedName name="fe_7">#REF!</definedName>
    <definedName name="fe_7_no" localSheetId="0">#REF!</definedName>
    <definedName name="fe_7_no">#REF!</definedName>
    <definedName name="fe_7_pending" localSheetId="0">#REF!</definedName>
    <definedName name="fe_7_pending">#REF!</definedName>
    <definedName name="fe_8" localSheetId="0">#REF!</definedName>
    <definedName name="fe_8">#REF!</definedName>
    <definedName name="fe_8_no" localSheetId="0">#REF!</definedName>
    <definedName name="fe_8_no">#REF!</definedName>
    <definedName name="fe_8_pending" localSheetId="0">#REF!</definedName>
    <definedName name="fe_8_pending">#REF!</definedName>
    <definedName name="fe_9" localSheetId="0">#REF!</definedName>
    <definedName name="fe_9">#REF!</definedName>
    <definedName name="fe_9_no" localSheetId="0">#REF!</definedName>
    <definedName name="fe_9_no">#REF!</definedName>
    <definedName name="fe_9_pending" localSheetId="0">#REF!</definedName>
    <definedName name="fe_9_pending">#REF!</definedName>
    <definedName name="MC_1" localSheetId="0">#REF!</definedName>
    <definedName name="MC_1">#REF!</definedName>
    <definedName name="mc_1_no" localSheetId="0">#REF!</definedName>
    <definedName name="mc_1_no">#REF!</definedName>
    <definedName name="mc_1_pending" localSheetId="0">#REF!</definedName>
    <definedName name="mc_1_pending">#REF!</definedName>
    <definedName name="MsrStandard" localSheetId="0">#REF!</definedName>
    <definedName name="MsrStandard">#REF!</definedName>
    <definedName name="PC_1" localSheetId="0">#REF!</definedName>
    <definedName name="PC_1">#REF!</definedName>
    <definedName name="PC_1_No" localSheetId="0">#REF!</definedName>
    <definedName name="PC_1_No">#REF!</definedName>
    <definedName name="pc_1_pending" localSheetId="0">#REF!</definedName>
    <definedName name="pc_1_pending">#REF!</definedName>
    <definedName name="pc_10" localSheetId="0">#REF!</definedName>
    <definedName name="pc_10">#REF!</definedName>
    <definedName name="pc_10_no" localSheetId="0">#REF!</definedName>
    <definedName name="pc_10_no">#REF!</definedName>
    <definedName name="pc_10_pending" localSheetId="0">#REF!</definedName>
    <definedName name="pc_10_pending">#REF!</definedName>
    <definedName name="pc_11" localSheetId="0">#REF!</definedName>
    <definedName name="pc_11">#REF!</definedName>
    <definedName name="pc_11_no" localSheetId="0">#REF!</definedName>
    <definedName name="pc_11_no">#REF!</definedName>
    <definedName name="pc_11_pending" localSheetId="0">#REF!</definedName>
    <definedName name="pc_11_pending">#REF!</definedName>
    <definedName name="PC_2" localSheetId="0">#REF!</definedName>
    <definedName name="PC_2">#REF!</definedName>
    <definedName name="pc_2_no" localSheetId="0">#REF!</definedName>
    <definedName name="pc_2_no">#REF!</definedName>
    <definedName name="pc_2_pending" localSheetId="0">#REF!</definedName>
    <definedName name="pc_2_pending">#REF!</definedName>
    <definedName name="PC_3" localSheetId="0">#REF!</definedName>
    <definedName name="PC_3">#REF!</definedName>
    <definedName name="pc_3_no" localSheetId="0">#REF!</definedName>
    <definedName name="pc_3_no">#REF!</definedName>
    <definedName name="pc_3_pending" localSheetId="0">#REF!</definedName>
    <definedName name="pc_3_pending">#REF!</definedName>
    <definedName name="PC_4" localSheetId="0">#REF!</definedName>
    <definedName name="PC_4">#REF!</definedName>
    <definedName name="pc_4_no" localSheetId="0">#REF!</definedName>
    <definedName name="pc_4_no">#REF!</definedName>
    <definedName name="pc_4_pending" localSheetId="0">#REF!</definedName>
    <definedName name="pc_4_pending">#REF!</definedName>
    <definedName name="PC_5" localSheetId="0">#REF!</definedName>
    <definedName name="PC_5">#REF!</definedName>
    <definedName name="pc_5_no" localSheetId="0">#REF!</definedName>
    <definedName name="pc_5_no">#REF!</definedName>
    <definedName name="pc_5_pending" localSheetId="0">#REF!</definedName>
    <definedName name="pc_5_pending">#REF!</definedName>
    <definedName name="PC_6" localSheetId="0">#REF!</definedName>
    <definedName name="PC_6">#REF!</definedName>
    <definedName name="pc_6_no" localSheetId="0">#REF!</definedName>
    <definedName name="pc_6_no">#REF!</definedName>
    <definedName name="pc_6_pending" localSheetId="0">#REF!</definedName>
    <definedName name="pc_6_pending">#REF!</definedName>
    <definedName name="pc_7" localSheetId="0">#REF!</definedName>
    <definedName name="pc_7">#REF!</definedName>
    <definedName name="pc_7_no" localSheetId="0">#REF!</definedName>
    <definedName name="pc_7_no">#REF!</definedName>
    <definedName name="pc_7_pending" localSheetId="0">#REF!</definedName>
    <definedName name="pc_7_pending">#REF!</definedName>
    <definedName name="pc_8" localSheetId="0">#REF!</definedName>
    <definedName name="pc_8">#REF!</definedName>
    <definedName name="pc_8_no" localSheetId="0">#REF!</definedName>
    <definedName name="pc_8_no">#REF!</definedName>
    <definedName name="pc_8_pending" localSheetId="0">#REF!</definedName>
    <definedName name="pc_8_pending">#REF!</definedName>
    <definedName name="pc_9" localSheetId="0">#REF!</definedName>
    <definedName name="pc_9">#REF!</definedName>
    <definedName name="pc_9_no" localSheetId="0">#REF!</definedName>
    <definedName name="pc_9_no">#REF!</definedName>
    <definedName name="pc_9_pending" localSheetId="0">#REF!</definedName>
    <definedName name="pc_9_pending">#REF!</definedName>
    <definedName name="pip1Address" localSheetId="0">#REF!</definedName>
    <definedName name="pip1Address">#REF!</definedName>
    <definedName name="pip1AssetNo" localSheetId="0">#REF!</definedName>
    <definedName name="pip1AssetNo">#REF!</definedName>
    <definedName name="pip1BuildingLocation" localSheetId="0">#REF!</definedName>
    <definedName name="pip1BuildingLocation">#REF!</definedName>
    <definedName name="pip1Control" localSheetId="0">#REF!</definedName>
    <definedName name="pip1Control">#REF!</definedName>
    <definedName name="pip1Coordinator" localSheetId="0">#REF!</definedName>
    <definedName name="pip1Coordinator">#REF!</definedName>
    <definedName name="pip1CorpPurch" localSheetId="0">#REF!</definedName>
    <definedName name="pip1CorpPurch">#REF!</definedName>
    <definedName name="pip1CRESMailStop" localSheetId="0">#REF!</definedName>
    <definedName name="pip1CRESMailStop">#REF!</definedName>
    <definedName name="pip1DeptName" localSheetId="0">#REF!</definedName>
    <definedName name="pip1DeptName">#REF!</definedName>
    <definedName name="pip1EmailAddress" localSheetId="0">#REF!</definedName>
    <definedName name="pip1EmailAddress">#REF!</definedName>
    <definedName name="pip1FaxNo" localSheetId="0">#REF!</definedName>
    <definedName name="pip1FaxNo">#REF!</definedName>
    <definedName name="pip1FM" localSheetId="0">#REF!</definedName>
    <definedName name="pip1FM">#REF!</definedName>
    <definedName name="pip1FMOperations" localSheetId="0">#REF!</definedName>
    <definedName name="pip1FMOperations">#REF!</definedName>
    <definedName name="pip1IT" localSheetId="0">#REF!</definedName>
    <definedName name="pip1IT">#REF!</definedName>
    <definedName name="pip1ITSecurity" localSheetId="0">#REF!</definedName>
    <definedName name="pip1ITSecurity">#REF!</definedName>
    <definedName name="pip1ManageProject" localSheetId="0">#REF!</definedName>
    <definedName name="pip1ManageProject">#REF!</definedName>
    <definedName name="pip1Other" localSheetId="0">#REF!</definedName>
    <definedName name="pip1Other">#REF!</definedName>
    <definedName name="pip1PhoneNo" localSheetId="0">#REF!</definedName>
    <definedName name="pip1PhoneNo">#REF!</definedName>
    <definedName name="pip1ProgramMan" localSheetId="0">#REF!</definedName>
    <definedName name="pip1ProgramMan">#REF!</definedName>
    <definedName name="pip1ProjectMan" localSheetId="0">#REF!</definedName>
    <definedName name="pip1ProjectMan">#REF!</definedName>
    <definedName name="pip1ProjectNumber" localSheetId="0">#REF!</definedName>
    <definedName name="pip1ProjectNumber">#REF!</definedName>
    <definedName name="pip1Projects" localSheetId="0">#REF!</definedName>
    <definedName name="pip1Projects">#REF!</definedName>
    <definedName name="pip1ProjectScope" localSheetId="0">#REF!</definedName>
    <definedName name="pip1ProjectScope">#REF!</definedName>
    <definedName name="pip1Risk" localSheetId="0">#REF!</definedName>
    <definedName name="pip1Risk">#REF!</definedName>
    <definedName name="pip1SpaceCategory" localSheetId="0">#REF!</definedName>
    <definedName name="pip1SpaceCategory">#REF!</definedName>
    <definedName name="pip1SPRE" localSheetId="0">#REF!</definedName>
    <definedName name="pip1SPRE">#REF!</definedName>
    <definedName name="pip1SqImpact" localSheetId="0">#REF!</definedName>
    <definedName name="pip1SqImpact">#REF!</definedName>
    <definedName name="pip2BuildingArea1" localSheetId="0">#REF!</definedName>
    <definedName name="pip2BuildingArea1">#REF!</definedName>
    <definedName name="pip2CostPerSq" localSheetId="0">#REF!</definedName>
    <definedName name="pip2CostPerSq">#REF!</definedName>
    <definedName name="pip2CostPerSqProposed" localSheetId="0">#REF!</definedName>
    <definedName name="pip2CostPerSqProposed">#REF!</definedName>
    <definedName name="pip2Date1" localSheetId="0">#REF!</definedName>
    <definedName name="pip2Date1">#REF!</definedName>
    <definedName name="pip2Date2" localSheetId="0">#REF!</definedName>
    <definedName name="pip2Date2">#REF!</definedName>
    <definedName name="pip2LandArea1" localSheetId="0">#REF!</definedName>
    <definedName name="pip2LandArea1">#REF!</definedName>
    <definedName name="pip2No1" localSheetId="0">#REF!</definedName>
    <definedName name="pip2No1">#REF!</definedName>
    <definedName name="pip2No2" localSheetId="0">#REF!</definedName>
    <definedName name="pip2No2">#REF!</definedName>
    <definedName name="pip2No3" localSheetId="0">#REF!</definedName>
    <definedName name="pip2No3">#REF!</definedName>
    <definedName name="pip2No4" localSheetId="0">#REF!</definedName>
    <definedName name="pip2No4">#REF!</definedName>
    <definedName name="pip2No5" localSheetId="0">#REF!</definedName>
    <definedName name="pip2No5">#REF!</definedName>
    <definedName name="pip2No6" localSheetId="0">#REF!</definedName>
    <definedName name="pip2No6">#REF!</definedName>
    <definedName name="pip2No7" localSheetId="0">#REF!</definedName>
    <definedName name="pip2No7">#REF!</definedName>
    <definedName name="pip2No8" localSheetId="0">#REF!</definedName>
    <definedName name="pip2No8">#REF!</definedName>
    <definedName name="pip2OccupationCost" localSheetId="0">#REF!</definedName>
    <definedName name="pip2OccupationCost">#REF!</definedName>
    <definedName name="pip2OccupationCostProposed" localSheetId="0">#REF!</definedName>
    <definedName name="pip2OccupationCostProposed">#REF!</definedName>
    <definedName name="pip2Options1" localSheetId="0">#REF!</definedName>
    <definedName name="pip2Options1">#REF!</definedName>
    <definedName name="pip2RentableSqMetre" localSheetId="0">#REF!</definedName>
    <definedName name="pip2RentableSqMetre">#REF!</definedName>
    <definedName name="pip2RentableSqMetreProposed" localSheetId="0">#REF!</definedName>
    <definedName name="pip2RentableSqMetreProposed">#REF!</definedName>
    <definedName name="pip2RentPerSq" localSheetId="0">#REF!</definedName>
    <definedName name="pip2RentPerSq">#REF!</definedName>
    <definedName name="pip2RentPerSqProposed" localSheetId="0">#REF!</definedName>
    <definedName name="pip2RentPerSqProposed">#REF!</definedName>
    <definedName name="pip2RentPerYear" localSheetId="0">#REF!</definedName>
    <definedName name="pip2RentPerYear">#REF!</definedName>
    <definedName name="pip2RentPerYearProposed" localSheetId="0">#REF!</definedName>
    <definedName name="pip2RentPerYearProposed">#REF!</definedName>
    <definedName name="pip2Term1" localSheetId="0">#REF!</definedName>
    <definedName name="pip2Term1">#REF!</definedName>
    <definedName name="pip2Yes1" localSheetId="0">#REF!</definedName>
    <definedName name="pip2Yes1">#REF!</definedName>
    <definedName name="pip2Yes2" localSheetId="0">#REF!</definedName>
    <definedName name="pip2Yes2">#REF!</definedName>
    <definedName name="pip2Yes3" localSheetId="0">#REF!</definedName>
    <definedName name="pip2Yes3">#REF!</definedName>
    <definedName name="pip2Yes4" localSheetId="0">#REF!</definedName>
    <definedName name="pip2Yes4">#REF!</definedName>
    <definedName name="pip2Yes5" localSheetId="0">#REF!</definedName>
    <definedName name="pip2Yes5">#REF!</definedName>
    <definedName name="pip2Yes6" localSheetId="0">#REF!</definedName>
    <definedName name="pip2Yes6">#REF!</definedName>
    <definedName name="pip2Yes7" localSheetId="0">#REF!</definedName>
    <definedName name="pip2Yes7">#REF!</definedName>
    <definedName name="pip2Yes8" localSheetId="0">#REF!</definedName>
    <definedName name="pip2Yes8">#REF!</definedName>
    <definedName name="pip3Benefits" localSheetId="0">#REF!</definedName>
    <definedName name="pip3Benefits">#REF!</definedName>
    <definedName name="pip3ImproveBusiness" localSheetId="0">#REF!</definedName>
    <definedName name="pip3ImproveBusiness">#REF!</definedName>
    <definedName name="pip3NewBusiness" localSheetId="0">#REF!</definedName>
    <definedName name="pip3NewBusiness">#REF!</definedName>
    <definedName name="pip3Portfolio" localSheetId="0">#REF!</definedName>
    <definedName name="pip3Portfolio">#REF!</definedName>
    <definedName name="pip3ProtectBusiness" localSheetId="0">#REF!</definedName>
    <definedName name="pip3ProtectBusiness">#REF!</definedName>
    <definedName name="pip3Qu6" localSheetId="0">#REF!</definedName>
    <definedName name="pip3Qu6">#REF!</definedName>
    <definedName name="pip3Qu7" localSheetId="0">#REF!</definedName>
    <definedName name="pip3Qu7">#REF!</definedName>
    <definedName name="pip3Qu8" localSheetId="0">#REF!</definedName>
    <definedName name="pip3Qu8">#REF!</definedName>
    <definedName name="prfBusiness" localSheetId="0">#REF!</definedName>
    <definedName name="prfBusiness">#REF!</definedName>
    <definedName name="prfBusUser" localSheetId="0">#REF!</definedName>
    <definedName name="prfBusUser">#REF!</definedName>
    <definedName name="prfCompleteDate" localSheetId="0">#REF!</definedName>
    <definedName name="prfCompleteDate">#REF!</definedName>
    <definedName name="prfContactPerson" localSheetId="0">#REF!</definedName>
    <definedName name="prfContactPerson">#REF!</definedName>
    <definedName name="prfControl" localSheetId="0">#REF!</definedName>
    <definedName name="prfControl">#REF!</definedName>
    <definedName name="prfCorpPurch" localSheetId="0">#REF!</definedName>
    <definedName name="prfCorpPurch">#REF!</definedName>
    <definedName name="prfCostCentre" localSheetId="0">#REF!</definedName>
    <definedName name="prfCostCentre">#REF!</definedName>
    <definedName name="prfDate" localSheetId="0">#REF!</definedName>
    <definedName name="prfDate">#REF!</definedName>
    <definedName name="prfDeptLocation" localSheetId="0">#REF!</definedName>
    <definedName name="prfDeptLocation">#REF!</definedName>
    <definedName name="prfEmail" localSheetId="0">#REF!</definedName>
    <definedName name="prfEmail">#REF!</definedName>
    <definedName name="prfEuroAmount" localSheetId="0">#REF!</definedName>
    <definedName name="prfEuroAmount">#REF!</definedName>
    <definedName name="prfFeasibilityDesc" localSheetId="0">#REF!</definedName>
    <definedName name="prfFeasibilityDesc">#REF!</definedName>
    <definedName name="prfFM" localSheetId="0">#REF!</definedName>
    <definedName name="prfFM">#REF!</definedName>
    <definedName name="prfIG" localSheetId="0">#REF!</definedName>
    <definedName name="prfIG">#REF!</definedName>
    <definedName name="prfIT" localSheetId="0">#REF!</definedName>
    <definedName name="prfIT">#REF!</definedName>
    <definedName name="prfITSecurity" localSheetId="0">#REF!</definedName>
    <definedName name="prfITSecurity">#REF!</definedName>
    <definedName name="prfOptBoth" localSheetId="0">#REF!</definedName>
    <definedName name="prfOptBoth">#REF!</definedName>
    <definedName name="prfOptCapital" localSheetId="0">#REF!</definedName>
    <definedName name="prfOptCapital">#REF!</definedName>
    <definedName name="prfOptNo1" localSheetId="0">#REF!</definedName>
    <definedName name="prfOptNo1">#REF!</definedName>
    <definedName name="prfOptNo2" localSheetId="0">#REF!</definedName>
    <definedName name="prfOptNo2">#REF!</definedName>
    <definedName name="prfOptNo3" localSheetId="0">#REF!</definedName>
    <definedName name="prfOptNo3">#REF!</definedName>
    <definedName name="prfOptNo4" localSheetId="0">#REF!</definedName>
    <definedName name="prfOptNo4">#REF!</definedName>
    <definedName name="prfOptRevenue" localSheetId="0">#REF!</definedName>
    <definedName name="prfOptRevenue">#REF!</definedName>
    <definedName name="prfOptYes1" localSheetId="0">#REF!</definedName>
    <definedName name="prfOptYes1">#REF!</definedName>
    <definedName name="prfOptYes2" localSheetId="0">#REF!</definedName>
    <definedName name="prfOptYes2">#REF!</definedName>
    <definedName name="prfOptYes3" localSheetId="0">#REF!</definedName>
    <definedName name="prfOptYes3">#REF!</definedName>
    <definedName name="prfOptYes4" localSheetId="0">#REF!</definedName>
    <definedName name="prfOptYes4">#REF!</definedName>
    <definedName name="prfOther" localSheetId="0">#REF!</definedName>
    <definedName name="prfOther">#REF!</definedName>
    <definedName name="prfPhoneFax" localSheetId="0">#REF!</definedName>
    <definedName name="prfPhoneFax">#REF!</definedName>
    <definedName name="prfProgramMan" localSheetId="0">#REF!</definedName>
    <definedName name="prfProgramMan">#REF!</definedName>
    <definedName name="prfProjectCost" localSheetId="0">#REF!</definedName>
    <definedName name="prfProjectCost">#REF!</definedName>
    <definedName name="prfProjectMan" localSheetId="0">#REF!</definedName>
    <definedName name="prfProjectMan">#REF!</definedName>
    <definedName name="prfProjectName" localSheetId="0">#REF!</definedName>
    <definedName name="prfProjectName">#REF!</definedName>
    <definedName name="prfProjectStrategy" localSheetId="0">#REF!</definedName>
    <definedName name="prfProjectStrategy">#REF!</definedName>
    <definedName name="prfProjectType" localSheetId="0">#REF!</definedName>
    <definedName name="prfProjectType">#REF!</definedName>
    <definedName name="prfReqDate" localSheetId="0">#REF!</definedName>
    <definedName name="prfReqDate">#REF!</definedName>
    <definedName name="prfReqDesc" localSheetId="0">#REF!</definedName>
    <definedName name="prfReqDesc">#REF!</definedName>
    <definedName name="prfSPRE" localSheetId="0">#REF!</definedName>
    <definedName name="prfSPRE">#REF!</definedName>
    <definedName name="prfStudyCompleteBy" localSheetId="0">#REF!</definedName>
    <definedName name="prfStudyCompleteBy">#REF!</definedName>
    <definedName name="_xlnm.Print_Area" localSheetId="0">'Anup-II'!$A$1:$H$75</definedName>
    <definedName name="_xlnm.Print_Titles" localSheetId="0">'Anup-II'!$1:$5</definedName>
    <definedName name="Project_Name" localSheetId="0">#REF!</definedName>
    <definedName name="Project_Name">#REF!</definedName>
    <definedName name="re_1" localSheetId="0">#REF!</definedName>
    <definedName name="re_1">#REF!</definedName>
    <definedName name="re_1_no" localSheetId="0">#REF!</definedName>
    <definedName name="re_1_no">#REF!</definedName>
    <definedName name="re_1_pending" localSheetId="0">#REF!</definedName>
    <definedName name="re_1_pending">#REF!</definedName>
    <definedName name="re_2" localSheetId="0">#REF!</definedName>
    <definedName name="re_2">#REF!</definedName>
    <definedName name="re_2_no" localSheetId="0">#REF!</definedName>
    <definedName name="re_2_no">#REF!</definedName>
    <definedName name="re_2_pending" localSheetId="0">#REF!</definedName>
    <definedName name="re_2_pending">#REF!</definedName>
    <definedName name="re_3" localSheetId="0">#REF!</definedName>
    <definedName name="re_3">#REF!</definedName>
    <definedName name="re_3_no" localSheetId="0">#REF!</definedName>
    <definedName name="re_3_no">#REF!</definedName>
    <definedName name="re_3_pending" localSheetId="0">#REF!</definedName>
    <definedName name="re_3_pending">#REF!</definedName>
    <definedName name="re_4" localSheetId="0">#REF!</definedName>
    <definedName name="re_4">#REF!</definedName>
    <definedName name="re_4_no" localSheetId="0">#REF!</definedName>
    <definedName name="re_4_no">#REF!</definedName>
    <definedName name="re_4_pending" localSheetId="0">#REF!</definedName>
    <definedName name="re_4_pending">#REF!</definedName>
    <definedName name="re_5" localSheetId="0">#REF!</definedName>
    <definedName name="re_5">#REF!</definedName>
    <definedName name="re_5_no" localSheetId="0">#REF!</definedName>
    <definedName name="re_5_no">#REF!</definedName>
    <definedName name="re_5_pending" localSheetId="0">#REF!</definedName>
    <definedName name="re_5_pending">#REF!</definedName>
    <definedName name="re_6" localSheetId="0">#REF!</definedName>
    <definedName name="re_6">#REF!</definedName>
    <definedName name="re_6_no" localSheetId="0">#REF!</definedName>
    <definedName name="re_6_no">#REF!</definedName>
    <definedName name="re_6_pending" localSheetId="0">#REF!</definedName>
    <definedName name="re_6_pending">#REF!</definedName>
    <definedName name="re_7" localSheetId="0">#REF!</definedName>
    <definedName name="re_7">#REF!</definedName>
    <definedName name="re_7_no" localSheetId="0">#REF!</definedName>
    <definedName name="re_7_no">#REF!</definedName>
    <definedName name="re_7_pending" localSheetId="0">#REF!</definedName>
    <definedName name="re_7_pending">#REF!</definedName>
    <definedName name="re_8" localSheetId="0">#REF!</definedName>
    <definedName name="re_8">#REF!</definedName>
    <definedName name="re_8_no" localSheetId="0">#REF!</definedName>
    <definedName name="re_8_no">#REF!</definedName>
    <definedName name="re_8_pending" localSheetId="0">#REF!</definedName>
    <definedName name="re_8_pending">#REF!</definedName>
    <definedName name="re_9" localSheetId="0">#REF!</definedName>
    <definedName name="re_9">#REF!</definedName>
    <definedName name="re_9_no" localSheetId="0">#REF!</definedName>
    <definedName name="re_9_no">#REF!</definedName>
    <definedName name="re_9_pending" localSheetId="0">#REF!</definedName>
    <definedName name="re_9_pending">#REF!</definedName>
    <definedName name="Receiving_Location" localSheetId="0">#REF!</definedName>
    <definedName name="Receiving_Location">#REF!</definedName>
    <definedName name="Receiving_Location_Key_Lookup" localSheetId="0">#REF!</definedName>
    <definedName name="Receiving_Location_Key_Lookup">#REF!</definedName>
    <definedName name="Receiving_Location_List" localSheetId="0">#REF!</definedName>
    <definedName name="Receiving_Location_List">#REF!</definedName>
    <definedName name="TOBEMULTIPLIED" localSheetId="0">'[1]US RCP Sep'!#REF!,'[1]US RCP Sep'!#REF!</definedName>
    <definedName name="TOBEMULTIPLIED">'[1]US RCP Sep'!#REF!,'[1]US RCP Sep'!#REF!</definedName>
    <definedName name="UBR_Level_1" localSheetId="0">#REF!</definedName>
    <definedName name="UBR_Level_1">#REF!</definedName>
    <definedName name="UBR_Level_2" localSheetId="0">#REF!</definedName>
    <definedName name="UBR_Level_2">#REF!</definedName>
    <definedName name="VARI_DATA" localSheetId="0">#REF!</definedName>
    <definedName name="VARI_DATA">#REF!</definedName>
    <definedName name="w101_budget" localSheetId="0">#REF!</definedName>
    <definedName name="w101_budget">#REF!</definedName>
    <definedName name="w101_pending" localSheetId="0">#REF!</definedName>
    <definedName name="w101_pending">#REF!</definedName>
    <definedName name="w101_yes" localSheetId="0">#REF!</definedName>
    <definedName name="w101_yes">#REF!</definedName>
    <definedName name="w102_budget" localSheetId="0">#REF!</definedName>
    <definedName name="w102_budget">#REF!</definedName>
    <definedName name="w102_pending" localSheetId="0">#REF!</definedName>
    <definedName name="w102_pending">#REF!</definedName>
    <definedName name="w102_yes" localSheetId="0">#REF!</definedName>
    <definedName name="w102_yes">#REF!</definedName>
    <definedName name="w103_budget" localSheetId="0">#REF!</definedName>
    <definedName name="w103_budget">#REF!</definedName>
    <definedName name="w103_pending" localSheetId="0">#REF!</definedName>
    <definedName name="w103_pending">#REF!</definedName>
    <definedName name="w103_yes" localSheetId="0">#REF!</definedName>
    <definedName name="w103_yes">#REF!</definedName>
    <definedName name="w104_budget" localSheetId="0">#REF!</definedName>
    <definedName name="w104_budget">#REF!</definedName>
    <definedName name="w104_pending" localSheetId="0">#REF!</definedName>
    <definedName name="w104_pending">#REF!</definedName>
    <definedName name="w104_yes" localSheetId="0">#REF!</definedName>
    <definedName name="w104_yes">#REF!</definedName>
    <definedName name="w105_budget" localSheetId="0">#REF!</definedName>
    <definedName name="w105_budget">#REF!</definedName>
    <definedName name="w105_pending" localSheetId="0">#REF!</definedName>
    <definedName name="w105_pending">#REF!</definedName>
    <definedName name="w105_yes" localSheetId="0">#REF!</definedName>
    <definedName name="w105_yes">#REF!</definedName>
    <definedName name="w106_budget" localSheetId="0">#REF!</definedName>
    <definedName name="w106_budget">#REF!</definedName>
    <definedName name="w106_pending" localSheetId="0">#REF!</definedName>
    <definedName name="w106_pending">#REF!</definedName>
    <definedName name="w106_yes" localSheetId="0">#REF!</definedName>
    <definedName name="w106_yes">#REF!</definedName>
    <definedName name="w212_budget" localSheetId="0">#REF!</definedName>
    <definedName name="w212_budget">#REF!</definedName>
    <definedName name="w212_pending" localSheetId="0">#REF!</definedName>
    <definedName name="w212_pending">#REF!</definedName>
    <definedName name="w212_yes" localSheetId="0">#REF!</definedName>
    <definedName name="w212_yes">#REF!</definedName>
    <definedName name="w213_budget" localSheetId="0">#REF!</definedName>
    <definedName name="w213_budget">#REF!</definedName>
    <definedName name="w213_pending" localSheetId="0">#REF!</definedName>
    <definedName name="w213_pending">#REF!</definedName>
    <definedName name="w213_yes" localSheetId="0">#REF!</definedName>
    <definedName name="w213_yes">#REF!</definedName>
    <definedName name="w214_budget" localSheetId="0">#REF!</definedName>
    <definedName name="w214_budget">#REF!</definedName>
    <definedName name="w214_pending" localSheetId="0">#REF!</definedName>
    <definedName name="w214_pending">#REF!</definedName>
    <definedName name="w214_yes" localSheetId="0">#REF!</definedName>
    <definedName name="w214_yes">#REF!</definedName>
    <definedName name="w307_budget" localSheetId="0">#REF!</definedName>
    <definedName name="w307_budget">#REF!</definedName>
    <definedName name="w307_pending" localSheetId="0">#REF!</definedName>
    <definedName name="w307_pending">#REF!</definedName>
    <definedName name="w307_yes" localSheetId="0">#REF!</definedName>
    <definedName name="w307_yes">#REF!</definedName>
    <definedName name="w308_budget" localSheetId="0">#REF!</definedName>
    <definedName name="w308_budget">#REF!</definedName>
    <definedName name="w308_pending" localSheetId="0">#REF!</definedName>
    <definedName name="w308_pending">#REF!</definedName>
    <definedName name="w308_yes" localSheetId="0">#REF!</definedName>
    <definedName name="w308_yes">#REF!</definedName>
    <definedName name="w309_budget" localSheetId="0">#REF!</definedName>
    <definedName name="w309_budget">#REF!</definedName>
    <definedName name="w309_pending" localSheetId="0">#REF!</definedName>
    <definedName name="w309_pending">#REF!</definedName>
    <definedName name="w309_yes" localSheetId="0">#REF!</definedName>
    <definedName name="w309_yes">#REF!</definedName>
    <definedName name="w31_pending" localSheetId="0">#REF!</definedName>
    <definedName name="w31_pending">#REF!</definedName>
    <definedName name="w31_yes" localSheetId="0">#REF!</definedName>
    <definedName name="w31_yes">#REF!</definedName>
    <definedName name="w310_budget" localSheetId="0">#REF!</definedName>
    <definedName name="w310_budget">#REF!</definedName>
    <definedName name="w311_budget" localSheetId="0">#REF!</definedName>
    <definedName name="w311_budget">#REF!</definedName>
    <definedName name="w311_pending" localSheetId="0">#REF!</definedName>
    <definedName name="w311_pending">#REF!</definedName>
    <definedName name="w311_yes" localSheetId="0">#REF!</definedName>
    <definedName name="w311_ye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1" l="1"/>
  <c r="C10" i="1"/>
  <c r="C14" i="1" s="1"/>
  <c r="L13" i="1"/>
  <c r="L16" i="1" s="1"/>
  <c r="L8" i="1"/>
  <c r="L7" i="1"/>
  <c r="E4" i="1" l="1"/>
  <c r="C8" i="1"/>
  <c r="L15" i="1" l="1"/>
  <c r="G15" i="1" s="1"/>
  <c r="J13" i="1"/>
  <c r="J7" i="1" l="1"/>
  <c r="J15" i="1" s="1"/>
  <c r="J24" i="1" l="1"/>
  <c r="J19" i="1" l="1"/>
  <c r="C7" i="1"/>
  <c r="N3" i="1"/>
  <c r="C9" i="1" l="1"/>
  <c r="M19" i="1" l="1"/>
  <c r="M18" i="1"/>
  <c r="J20" i="1"/>
  <c r="J22" i="1" s="1"/>
</calcChain>
</file>

<file path=xl/sharedStrings.xml><?xml version="1.0" encoding="utf-8"?>
<sst xmlns="http://schemas.openxmlformats.org/spreadsheetml/2006/main" count="220" uniqueCount="143">
  <si>
    <t>Overall Status</t>
  </si>
  <si>
    <t xml:space="preserve">Value (INR): </t>
  </si>
  <si>
    <t>Duration:</t>
  </si>
  <si>
    <t>Schedule:</t>
  </si>
  <si>
    <t>Project Finance (without GST)</t>
  </si>
  <si>
    <t>Project Schedule</t>
  </si>
  <si>
    <t>Scheduled Start Date:</t>
  </si>
  <si>
    <t>Actual Start Date:</t>
  </si>
  <si>
    <t>Impact / Varience (%)</t>
  </si>
  <si>
    <t>Billed Amount till date (INR)</t>
  </si>
  <si>
    <t>% Completion based on Cost</t>
  </si>
  <si>
    <t>Project Finance (Graph)</t>
  </si>
  <si>
    <t>Project Schedule (Graph)</t>
  </si>
  <si>
    <t>Civil</t>
  </si>
  <si>
    <t>CRITICAL AREAS:</t>
  </si>
  <si>
    <t>Sr. No</t>
  </si>
  <si>
    <t>Description</t>
  </si>
  <si>
    <t>Responsibility</t>
  </si>
  <si>
    <t>Impact On (Budget / Schedule)</t>
  </si>
  <si>
    <t>Target Closure Date</t>
  </si>
  <si>
    <t>Remarks</t>
  </si>
  <si>
    <t>Machinery details to be shared to finalize the Civil work details for Bay-II flooring.</t>
  </si>
  <si>
    <t>ANUP</t>
  </si>
  <si>
    <t>Schedule</t>
  </si>
  <si>
    <t>Detail location finalized by User on date 
27-02-2025</t>
  </si>
  <si>
    <t>Plate storage platform and approach road work completed on 23-02-2025 and user can start to use platform from 01-03-2025</t>
  </si>
  <si>
    <t>Information</t>
  </si>
  <si>
    <t>Platform handed over to user on 01-03-2025</t>
  </si>
  <si>
    <t>RT room main ms door detail to be shared with structure consultant</t>
  </si>
  <si>
    <t xml:space="preserve">Schedule </t>
  </si>
  <si>
    <t>Shared as on date 
01-03-2025</t>
  </si>
  <si>
    <t>RT room precast block &amp; MS door installation vendor finalization</t>
  </si>
  <si>
    <t>AEL</t>
  </si>
  <si>
    <t>Vendor to be finalized asap (RT room door area beam and pedestal work hold due to door detail pending )</t>
  </si>
  <si>
    <t>RT room cost impact against consider budget (Budget considered 37.44 lacs and Anticipated cost will be 79.15 lacs)</t>
  </si>
  <si>
    <t>Budget</t>
  </si>
  <si>
    <t>Machinery GA layout to be confirmed</t>
  </si>
  <si>
    <t>User to revert</t>
  </si>
  <si>
    <t>Details pending for plate bending machine</t>
  </si>
  <si>
    <t>Existing services line at grid 1 need to relocate for  piling work</t>
  </si>
  <si>
    <t>Completed on 
11-04-2025</t>
  </si>
  <si>
    <t>MS plates shifting from in between grid 1-10 for further civil work</t>
  </si>
  <si>
    <t xml:space="preserve">Decision to be taken related to cladding work at Grid line B of new shed. </t>
  </si>
  <si>
    <t>Closed</t>
  </si>
  <si>
    <t>AEL confirm go ahed as per drawing.</t>
  </si>
  <si>
    <t>PB2 machine foundation layout revised on 10-06-2025</t>
  </si>
  <si>
    <t>GFC drawing shared to vendor 18-06-2025</t>
  </si>
  <si>
    <t>RCC flooring work in between grid 09-18 (part 2) will be complete after completion of rail and machine foundation</t>
  </si>
  <si>
    <t>Rail and Machine foundation Work completed and flooring work will be completed by 23-07-2025</t>
  </si>
  <si>
    <t xml:space="preserve">VTL and Plate bending machine-02 Detail </t>
  </si>
  <si>
    <t>Closed on
25-04-2025</t>
  </si>
  <si>
    <t>AEL shared all detail to structure consultant on site meeting  25-04-2025</t>
  </si>
  <si>
    <t>Bay 1 GA layout</t>
  </si>
  <si>
    <t>Consultant will revise layout according AEL inputs</t>
  </si>
  <si>
    <t>Manpower shortage for civil work</t>
  </si>
  <si>
    <t>Partially manpower increased</t>
  </si>
  <si>
    <t xml:space="preserve">Project Name: Construction of Dormitory for Workers </t>
  </si>
  <si>
    <t>Area (Sqmt):</t>
  </si>
  <si>
    <t>Achived amount as on date (INR)</t>
  </si>
  <si>
    <t>8 Months</t>
  </si>
  <si>
    <t xml:space="preserve">A.K. Consultant </t>
  </si>
  <si>
    <t>Budgeted Project Value (INR)</t>
  </si>
  <si>
    <t>Anticipated Project Value (INR)</t>
  </si>
  <si>
    <t xml:space="preserve">Plan </t>
  </si>
  <si>
    <t>Actual</t>
  </si>
  <si>
    <t xml:space="preserve">% Project Completion as per Calender Date Planed ( Today ) </t>
  </si>
  <si>
    <t>Mitigation Plan ( as per contractor schedule )</t>
  </si>
  <si>
    <t>Design Deliverables Delay( GFC Not Received )</t>
  </si>
  <si>
    <r>
      <rPr>
        <b/>
        <sz val="24"/>
        <rFont val="Artifakt Element"/>
        <family val="2"/>
      </rPr>
      <t>Purpose of the Facility:</t>
    </r>
    <r>
      <rPr>
        <sz val="24"/>
        <rFont val="Artifakt Element"/>
        <family val="2"/>
      </rPr>
      <t xml:space="preserve"> Dormitory Facility</t>
    </r>
  </si>
  <si>
    <r>
      <t xml:space="preserve">20-02-2025
</t>
    </r>
    <r>
      <rPr>
        <b/>
        <sz val="24"/>
        <color rgb="FF00B050"/>
        <rFont val="Artifakt Element"/>
        <family val="2"/>
      </rPr>
      <t>Closed</t>
    </r>
  </si>
  <si>
    <r>
      <rPr>
        <strike/>
        <sz val="24"/>
        <rFont val="Artifakt Element"/>
        <family val="2"/>
      </rPr>
      <t xml:space="preserve">22-02-2025
</t>
    </r>
    <r>
      <rPr>
        <sz val="24"/>
        <rFont val="Artifakt Element"/>
        <family val="2"/>
      </rPr>
      <t>Closed</t>
    </r>
  </si>
  <si>
    <r>
      <rPr>
        <strike/>
        <sz val="24"/>
        <rFont val="Artifakt Element"/>
        <family val="2"/>
      </rPr>
      <t>10-03-2025</t>
    </r>
    <r>
      <rPr>
        <sz val="24"/>
        <rFont val="Artifakt Element"/>
        <family val="2"/>
      </rPr>
      <t xml:space="preserve">
Pending</t>
    </r>
  </si>
  <si>
    <t>Vishwas Patel Architect</t>
  </si>
  <si>
    <t>The architectural drawings for tiles and daddo pattern details with tiles make and color code,internal color details which were confirmed in the meeting on 05-09-2025 and committed for submission by 08-09-2025, from which tiles color code and make only received. This delay is affecting critical site activities such as selection of materials, procurement, and finishing works. The pending drawings are creating dependency issues, holding up progress, and may impact the overall project timeline. Immediate submission from the responsible person (Mr. Vishvas Patel) is required to avoid further escalation.</t>
  </si>
  <si>
    <t>Bhavana Infra</t>
  </si>
  <si>
    <t>-</t>
  </si>
  <si>
    <t>Delay in Vendor onboarding.</t>
  </si>
  <si>
    <t>Arvind</t>
  </si>
  <si>
    <t>Scheduled End Date (As Per Baseline 1 ):</t>
  </si>
  <si>
    <t>The Stair cabin slab and Over Head Water Tank drawing has not yet been received. This has created a direct impact on the procurement plan, as material ordering and vendor finalization are dependent on the finalized drawing. Additionally, the delay is affecting planning activities, since subsequent work fronts and resource scheduling cannot be aligned without the approved slab design.</t>
  </si>
  <si>
    <t>% of Completion as Anticipated End Date with Tracking Schdule (Our All Project)</t>
  </si>
  <si>
    <t>The timely completion of all external development activities is being affected due to the delay in onboarding the required vendor. Vendor onboarding is essential to mobilize resources and commence the scheduled works. Any further delay in finalizing and engaging the vendor will directly impact the project timeline and may result in unavoidable delays in completing the external development works.</t>
  </si>
  <si>
    <t xml:space="preserve">Delayed </t>
  </si>
  <si>
    <t>Arvind Limited</t>
  </si>
  <si>
    <t>Electrical Room &amp; Final SLD Confirmation - The electrical room location needs to be finalized as per recommendations (space available at site is 8 m × 6 m). As per the revised SLD, HT connection will be supplied by the client and conversion from HT to LT is considered, which has resulted in an additional budget impact of approximately ₹17 lakhs. Kindly provide confirmation on the final SLD to be adopted.</t>
  </si>
  <si>
    <t>Ground Floor Canteen Area – Confirmation and detailed requirements are required for the service platform, Seating arrangements, wash basin, and wash area.</t>
  </si>
  <si>
    <t>Budget And Execution</t>
  </si>
  <si>
    <t>Client Confirmation Pending</t>
  </si>
  <si>
    <t>Gas line work vendor finalization is pending. Onboarding of the gas line contractor has not been completed, and the project is currently at a critical stage of the timeline. Due to non-finalization of the vendor, gas line work could not be commenced, which is affecting the planned schedule and related dependent activities.</t>
  </si>
  <si>
    <t>Interior work vendor finalization is pending and onboarding of the furniture work vendor has not been completed. As the project is presently at a critical stage of the timeline, delay in vendor onboarding is affecting planned execution activities and may impact the overall schedule.</t>
  </si>
  <si>
    <t>Compound wall construction methodology is yet to be finalized, i.e., whether to proceed with brick masonry wall or the previously planned precast panel wall. Finalization is required to determine material procurement and execution planning.</t>
  </si>
  <si>
    <t>Compound Wall Design Finalization Pending</t>
  </si>
  <si>
    <t>Constructed borewell at the dormitory block is proposed to be interlinked with the existing textile park borewell for simultaneous use. Confirmation is required regarding vendor scope, responsibility, and execution methodology.</t>
  </si>
  <si>
    <t xml:space="preserve">Execution Scope Finalization and PlanPending </t>
  </si>
  <si>
    <t>Nayak Novel India Limited</t>
  </si>
  <si>
    <t>No Data Available</t>
  </si>
  <si>
    <t>AK Consultant</t>
  </si>
  <si>
    <t>Execution and Schedule</t>
  </si>
  <si>
    <t>A K Consultant has commited a time of one week for the pending deliverables.</t>
  </si>
  <si>
    <t>The MEPF consultant has suggested providing an energy meter for every room in the dormitory project; however, this item was not included in the BOQ. Confirmation is required from the client on whether this provision should be adopted or not.</t>
  </si>
  <si>
    <t>Execution</t>
  </si>
  <si>
    <t>No confirm dates available of vendor onboarding from client.</t>
  </si>
  <si>
    <t>Confirmation pending from client</t>
  </si>
  <si>
    <t>The tiling work is currently impacted due to non-availability of tiles, caused by a supply shortage at the manufacturing unit, as informed by the vendor. The samples received for the pending delivery indicate noticeable shade variation, and as per the vendor’s remarks, the exact matching material will be delayed for an indefinite period.</t>
  </si>
  <si>
    <t>Alternative arrangement required from vendor</t>
  </si>
  <si>
    <t>Details awaited from consultant</t>
  </si>
  <si>
    <t>The main entry/exit point for the female dormitory is not shown with an entry gate in the layout. However after clarification of gate requirement details for the same was requested from the Project Architecture. The said details are still awaited for further planning and execution.</t>
  </si>
  <si>
    <t>Pump Room layout plan drawings along with the required structural details are yet to be submitted by the design consultant, A. K. Bhavsar. The delay in submission is resulting in delays in site execution and other dependent activities.</t>
  </si>
  <si>
    <t>RO System for every room has been suggested by MEPF consultant however detailed drawings with details are pending from the consultant.</t>
  </si>
  <si>
    <t>The Over head water tank for domestic and fire fighting was finalised of PVC. However the detailed network with network arrangemet for piping system has been pending from MEPF Consultant.</t>
  </si>
  <si>
    <t>A K Consultant</t>
  </si>
  <si>
    <t>The BOQ for external electrical work has already been finalized and shared. Vendor negotiations and finalization should be initiated at the earliest, as this is critical for proceeding with and completing the dependent civil work activities for the CSS Otta and completing all external electrical works activities.</t>
  </si>
  <si>
    <t xml:space="preserve">Execution </t>
  </si>
  <si>
    <t>Urgent Vendor Finalization Required</t>
  </si>
  <si>
    <t>The finalized BOQ with vendor-approved rates has not been shared with the PMC team, leading to delays in finalizing the GFC cost in the budget sheet due to the unavailability of approved rates. This may further create difficulties in tracking the overall project budget.</t>
  </si>
  <si>
    <t xml:space="preserve">Budget </t>
  </si>
  <si>
    <t>Urgent Finalized Boq needs to be shared by client</t>
  </si>
  <si>
    <t>The furniture work vendor has been mobilized at site, however the vendor has regretted to continue on all products as of now,due to contractual rates are pending for finalization. Urgent finalization/clarification required</t>
  </si>
  <si>
    <t>Finalization/Clarification rewuired urgently.</t>
  </si>
  <si>
    <t>The firefighting vendor has still not onboarded as of now. The timely onboarding and execution of fire fighting works vendor is critical at that moment to complete the work as per schedule.</t>
  </si>
  <si>
    <t xml:space="preserve">The final PO copies vendor M/S Metalium, M/S Pitrukrupa, M/S Gajjar Furniture, M/S Vinayak Enterprise still pending for issuance.Urgent PO Copies should be relaeased. </t>
  </si>
  <si>
    <t>Urgent PO Copies to be released by client</t>
  </si>
  <si>
    <t>The Main Entry/Exit, Dining Wash Area, and Dining Store doors are pending finalization regarding whether they are to be installed and the materials to be used.</t>
  </si>
  <si>
    <t>Finalization pending.</t>
  </si>
  <si>
    <t>The tiles for toilet and bathroom dado and flooring are currently unavailable at site due to a material shortage. The vendor has submitted similar samples and is arranging options closer to the originally approved sample; however, final sample approval is still pending</t>
  </si>
  <si>
    <t>Similar sample should be arranged by vendor to finalize.</t>
  </si>
  <si>
    <t>The bed and kitchen platform vendor (M/s Vinayak Enterprise) has supplied a sample bed at site. Upon inspection, it was observed that the sample includes a 3-inch mattress and 10 mm ply, which deviates from the specifications outlined in the Shared BOQ.
Following identification of these discrepancies, the vendor has halted further production and has requested formal confirmation on the sample specifications before proceeding.
It is to be noted that the first lot of beds and platforms was scheduled for installation by 5th May; however, this issue is likely to impact and delay the planned execution timeline.</t>
  </si>
  <si>
    <t>The project has been impacted due to manpower unavailability, resulting in deviations from the planned schedule. Resulting delay in completion floor wise completion upto first floor. Remaining will be achievable as per planned schedule.
Revised Completion Forecast
The anticipated project completion date of 15th June 2026 remains achievable, provided corrective actions are implemented promptly.</t>
  </si>
  <si>
    <t xml:space="preserve">Floor wise completion schedule </t>
  </si>
  <si>
    <t>The project has been impacted due to materials unavailability for plumbing work, resulting in deviations from the planned schedule. Current assessments indicate:
A 10% delay compared to the scheduled progress.
This has resulted in delay of overall project schedule.
Revised Completion forecast : The anticipated project completion date of 22nd May 2026 remains achievable, provided corrective actions are implemented promptly.</t>
  </si>
  <si>
    <t>As finalized the quatation for fire alarm system and rate escalation for fire fighting works has been submitted by vendor PSM Projects which requires escalation of almost 14 lacs rupees in amount, confirmation pending for moving forward with quatation.</t>
  </si>
  <si>
    <t>Fire fighting system and alarm system rate escalation and quatation early confirmation required.</t>
  </si>
  <si>
    <t>The fire fighting work has already been initiated at site. However, following instructions received from the Arvind Fire Team, additional items and rate escalation have been requested by vendor. Further, the Fire Alarm System was also instructed to be incorporated by the Arvind Fire Team, for which the quotation has already been submitted. Vendor confirmation and further processing are still pending.</t>
  </si>
  <si>
    <t>Vendor Finilization and Extra items confirmation required.</t>
  </si>
  <si>
    <t>Vendor purchase order and onboarding pending.</t>
  </si>
  <si>
    <t>The dining table details have been finalized, and the sizes along with the required quantities have already been communicated to the client. However, vendor onboarding and further processing are still pending.</t>
  </si>
  <si>
    <t>22th June 2026</t>
  </si>
  <si>
    <t>% of Completion as Calender Anticipated End Date with Starting of Construction for Civil ( Today )</t>
  </si>
  <si>
    <t>Building Civil Work Anticipated End Date:</t>
  </si>
  <si>
    <t>External Civil Work Anticipated End Date:</t>
  </si>
  <si>
    <t>Plumbing Work Anticipated End Date:</t>
  </si>
  <si>
    <t>% of Completion as Calender Anticipated End Date with Starting of Construction for Plumbing( Today )</t>
  </si>
  <si>
    <t xml:space="preserve"> PROJECT PROGRESS UPDATE                                                                                                                                                                                                                                                                          Date: 29-07-2026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</si>
</sst>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_(* #,##0.00_);_(* \(#,##0.00\);_(* &quot;-&quot;??_);_(@_)"/>
    <numFmt numFmtId="165" formatCode="_(* #,##0_);_(* \(#,##0\);_(* &quot;-&quot;??_);_(@_)"/>
    <numFmt numFmtId="166" formatCode="[$-14009]dd\ mmmm\ yyyy;@"/>
  </numFmts>
  <fonts count="9" x14ac:knownFonts="1">
    <font>
      <sz val="10"/>
      <name val="Arial"/>
      <family val="2"/>
    </font>
    <font>
      <sz val="10"/>
      <name val="Arial"/>
      <family val="2"/>
    </font>
    <font>
      <b/>
      <sz val="24"/>
      <name val="Artifakt Element"/>
      <family val="2"/>
    </font>
    <font>
      <sz val="24"/>
      <name val="Artifakt Element"/>
      <family val="2"/>
    </font>
    <font>
      <b/>
      <sz val="24"/>
      <color theme="6" tint="-0.499984740745262"/>
      <name val="Artifakt Element"/>
      <family val="2"/>
    </font>
    <font>
      <sz val="24"/>
      <color rgb="FFC00000"/>
      <name val="Artifakt Element"/>
      <family val="2"/>
    </font>
    <font>
      <strike/>
      <sz val="24"/>
      <name val="Artifakt Element"/>
      <family val="2"/>
    </font>
    <font>
      <b/>
      <sz val="24"/>
      <color rgb="FF00B050"/>
      <name val="Artifakt Element"/>
      <family val="2"/>
    </font>
    <font>
      <sz val="24"/>
      <color rgb="FF00B050"/>
      <name val="Artifakt Element"/>
      <family val="2"/>
    </font>
  </fonts>
  <fills count="7">
    <fill>
      <patternFill patternType="none"/>
    </fill>
    <fill>
      <patternFill patternType="gray125"/>
    </fill>
    <fill>
      <patternFill patternType="solid">
        <fgColor theme="9"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0"/>
        <bgColor indexed="64"/>
      </patternFill>
    </fill>
  </fills>
  <borders count="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2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6">
    <xf numFmtId="0" fontId="0" fillId="0" borderId="0" xfId="0"/>
    <xf numFmtId="0" fontId="3" fillId="0" borderId="0" xfId="0" applyFont="1" applyAlignment="1">
      <alignment vertical="center"/>
    </xf>
    <xf numFmtId="0" fontId="2" fillId="4" borderId="4" xfId="3" applyFont="1" applyFill="1" applyBorder="1" applyAlignment="1">
      <alignment horizontal="left" vertical="center" wrapText="1"/>
    </xf>
    <xf numFmtId="0" fontId="2" fillId="4" borderId="4" xfId="0" applyFont="1" applyFill="1" applyBorder="1" applyAlignment="1">
      <alignment horizontal="left" vertical="center" wrapText="1"/>
    </xf>
    <xf numFmtId="165" fontId="3" fillId="4" borderId="4" xfId="1"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165" fontId="3" fillId="4" borderId="4" xfId="4" applyNumberFormat="1" applyFont="1" applyFill="1" applyBorder="1" applyAlignment="1">
      <alignment horizontal="right" vertical="center" wrapText="1"/>
    </xf>
    <xf numFmtId="0" fontId="2" fillId="4" borderId="4" xfId="0" applyFont="1" applyFill="1" applyBorder="1" applyAlignment="1">
      <alignment vertical="center" wrapText="1"/>
    </xf>
    <xf numFmtId="43" fontId="3" fillId="4" borderId="4" xfId="4" applyFont="1" applyFill="1" applyBorder="1" applyAlignment="1">
      <alignment horizontal="right" vertical="center" wrapText="1"/>
    </xf>
    <xf numFmtId="2" fontId="3" fillId="0" borderId="0" xfId="0" applyNumberFormat="1" applyFont="1" applyAlignment="1">
      <alignment vertical="center"/>
    </xf>
    <xf numFmtId="14" fontId="3" fillId="0" borderId="0" xfId="0" applyNumberFormat="1" applyFont="1" applyAlignment="1">
      <alignment vertical="center"/>
    </xf>
    <xf numFmtId="9" fontId="3" fillId="0" borderId="0" xfId="2" applyFont="1" applyAlignment="1">
      <alignment vertical="center"/>
    </xf>
    <xf numFmtId="0" fontId="5" fillId="0" borderId="4" xfId="0" applyFont="1" applyBorder="1" applyAlignment="1">
      <alignment vertical="center"/>
    </xf>
    <xf numFmtId="0" fontId="5" fillId="0" borderId="0" xfId="0" applyFont="1" applyAlignment="1">
      <alignment vertical="center"/>
    </xf>
    <xf numFmtId="10" fontId="3" fillId="0" borderId="0" xfId="2" applyNumberFormat="1" applyFont="1" applyAlignment="1">
      <alignment vertical="center"/>
    </xf>
    <xf numFmtId="0" fontId="2" fillId="6" borderId="8" xfId="0" applyFont="1" applyFill="1" applyBorder="1" applyAlignment="1" applyProtection="1">
      <alignment horizontal="center" vertical="center"/>
      <protection locked="0"/>
    </xf>
    <xf numFmtId="10" fontId="2" fillId="6" borderId="0" xfId="6" applyNumberFormat="1" applyFont="1" applyFill="1" applyBorder="1" applyAlignment="1" applyProtection="1">
      <alignment horizontal="center" vertical="center"/>
    </xf>
    <xf numFmtId="10" fontId="2" fillId="6" borderId="9" xfId="6" applyNumberFormat="1" applyFont="1" applyFill="1" applyBorder="1" applyAlignment="1" applyProtection="1">
      <alignment horizontal="center" vertical="center"/>
    </xf>
    <xf numFmtId="41" fontId="3" fillId="0" borderId="0" xfId="0" applyNumberFormat="1" applyFont="1" applyAlignment="1">
      <alignment vertical="center"/>
    </xf>
    <xf numFmtId="165" fontId="3" fillId="0" borderId="0" xfId="0" applyNumberFormat="1" applyFont="1" applyAlignment="1">
      <alignment vertical="center"/>
    </xf>
    <xf numFmtId="0" fontId="5" fillId="0" borderId="1"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8"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2" fillId="0" borderId="1" xfId="0" applyFont="1" applyBorder="1" applyAlignment="1">
      <alignment vertical="center"/>
    </xf>
    <xf numFmtId="0" fontId="2" fillId="0" borderId="3" xfId="0" applyFont="1" applyBorder="1" applyAlignment="1">
      <alignment vertical="center"/>
    </xf>
    <xf numFmtId="0" fontId="3" fillId="0" borderId="4" xfId="0" applyFont="1" applyBorder="1" applyAlignment="1">
      <alignment horizontal="center" vertical="center"/>
    </xf>
    <xf numFmtId="15" fontId="6" fillId="0" borderId="4" xfId="0" applyNumberFormat="1" applyFont="1" applyBorder="1" applyAlignment="1">
      <alignment horizontal="center" vertical="center" wrapText="1"/>
    </xf>
    <xf numFmtId="15" fontId="3" fillId="0" borderId="4" xfId="0" applyNumberFormat="1" applyFont="1" applyBorder="1" applyAlignment="1">
      <alignment horizontal="center" vertical="center" wrapText="1"/>
    </xf>
    <xf numFmtId="14" fontId="3" fillId="0" borderId="4" xfId="0" applyNumberFormat="1" applyFont="1" applyBorder="1" applyAlignment="1">
      <alignment horizontal="center" vertical="center"/>
    </xf>
    <xf numFmtId="14" fontId="3" fillId="0" borderId="4" xfId="0" applyNumberFormat="1" applyFont="1" applyBorder="1" applyAlignment="1">
      <alignment horizontal="center" vertical="center" wrapText="1"/>
    </xf>
    <xf numFmtId="0" fontId="3" fillId="0" borderId="14" xfId="0" applyFont="1" applyBorder="1" applyAlignment="1">
      <alignment vertical="center" wrapText="1"/>
    </xf>
    <xf numFmtId="0" fontId="8" fillId="0" borderId="14" xfId="0" applyFont="1" applyBorder="1" applyAlignment="1">
      <alignment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166" fontId="3" fillId="0" borderId="4" xfId="0" applyNumberFormat="1" applyFont="1" applyBorder="1" applyAlignment="1">
      <alignment horizontal="center" vertical="center"/>
    </xf>
    <xf numFmtId="9" fontId="3" fillId="0" borderId="0" xfId="0" applyNumberFormat="1" applyFont="1" applyAlignment="1">
      <alignment vertical="center"/>
    </xf>
    <xf numFmtId="0" fontId="3" fillId="0" borderId="19" xfId="0" applyFont="1" applyBorder="1" applyAlignment="1">
      <alignment horizontal="center" vertical="center"/>
    </xf>
    <xf numFmtId="0" fontId="2" fillId="0" borderId="21" xfId="0" applyFont="1" applyBorder="1" applyAlignment="1">
      <alignment horizontal="center"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xf>
    <xf numFmtId="0" fontId="3" fillId="0" borderId="13" xfId="0" applyFont="1" applyBorder="1" applyAlignment="1">
      <alignment horizontal="left" vertical="center" wrapText="1"/>
    </xf>
    <xf numFmtId="0" fontId="3" fillId="0" borderId="14" xfId="0" applyFont="1" applyBorder="1" applyAlignment="1">
      <alignment horizontal="center" vertical="center" wrapText="1"/>
    </xf>
    <xf numFmtId="0" fontId="3" fillId="0" borderId="24" xfId="0" applyFont="1" applyBorder="1" applyAlignment="1">
      <alignment horizontal="center" vertical="center"/>
    </xf>
    <xf numFmtId="0" fontId="3" fillId="0" borderId="24" xfId="0" applyFont="1" applyBorder="1" applyAlignment="1">
      <alignment horizontal="center" vertical="center" wrapText="1"/>
    </xf>
    <xf numFmtId="0" fontId="3" fillId="0" borderId="25" xfId="0" applyFont="1" applyBorder="1" applyAlignment="1">
      <alignment vertical="center" wrapText="1"/>
    </xf>
    <xf numFmtId="0" fontId="3" fillId="0" borderId="26" xfId="0" applyFont="1" applyBorder="1" applyAlignment="1">
      <alignment horizontal="center" vertical="center" wrapText="1"/>
    </xf>
    <xf numFmtId="166" fontId="3" fillId="0" borderId="26" xfId="0" applyNumberFormat="1" applyFont="1" applyBorder="1" applyAlignment="1">
      <alignment horizontal="center" vertical="center"/>
    </xf>
    <xf numFmtId="0" fontId="2" fillId="4" borderId="13" xfId="3" applyFont="1" applyFill="1" applyBorder="1" applyAlignment="1">
      <alignment horizontal="left" vertical="center"/>
    </xf>
    <xf numFmtId="0" fontId="3" fillId="0" borderId="14" xfId="0" applyFont="1" applyBorder="1" applyAlignment="1">
      <alignment horizontal="left" vertical="center" wrapText="1"/>
    </xf>
    <xf numFmtId="0" fontId="3" fillId="0" borderId="26" xfId="0" applyFont="1" applyBorder="1" applyAlignment="1">
      <alignment horizontal="center" vertical="center"/>
    </xf>
    <xf numFmtId="14" fontId="3" fillId="0" borderId="26" xfId="0" applyNumberFormat="1" applyFont="1" applyBorder="1" applyAlignment="1">
      <alignment horizontal="center" vertical="center"/>
    </xf>
    <xf numFmtId="0" fontId="3" fillId="0" borderId="34" xfId="0" applyFont="1" applyBorder="1" applyAlignment="1">
      <alignment vertical="center" wrapText="1"/>
    </xf>
    <xf numFmtId="0" fontId="3" fillId="0" borderId="8" xfId="0" applyFont="1" applyBorder="1" applyAlignment="1">
      <alignment horizontal="center" vertical="center"/>
    </xf>
    <xf numFmtId="0" fontId="2" fillId="0" borderId="27" xfId="0" applyFont="1" applyBorder="1" applyAlignment="1">
      <alignment vertical="center"/>
    </xf>
    <xf numFmtId="0" fontId="3" fillId="0" borderId="40" xfId="0" applyFont="1" applyBorder="1" applyAlignment="1">
      <alignment vertical="center" wrapText="1"/>
    </xf>
    <xf numFmtId="0" fontId="3" fillId="0" borderId="39" xfId="0" applyFont="1" applyBorder="1" applyAlignment="1">
      <alignment horizontal="center" vertical="center" wrapText="1"/>
    </xf>
    <xf numFmtId="0" fontId="3" fillId="0" borderId="35" xfId="0" applyFont="1" applyBorder="1" applyAlignment="1">
      <alignment horizontal="center" vertical="center"/>
    </xf>
    <xf numFmtId="0" fontId="3" fillId="0" borderId="10" xfId="0" applyFont="1" applyBorder="1" applyAlignment="1">
      <alignment horizontal="center" vertical="center"/>
    </xf>
    <xf numFmtId="0" fontId="3" fillId="0" borderId="41" xfId="0" applyFont="1" applyBorder="1" applyAlignment="1">
      <alignment horizontal="center" vertical="center"/>
    </xf>
    <xf numFmtId="0" fontId="3" fillId="0" borderId="39" xfId="0" applyFont="1" applyBorder="1" applyAlignment="1">
      <alignment horizontal="center" vertical="center"/>
    </xf>
    <xf numFmtId="14" fontId="3" fillId="0" borderId="39" xfId="0" applyNumberFormat="1" applyFont="1" applyBorder="1" applyAlignment="1">
      <alignment horizontal="center" vertical="center"/>
    </xf>
    <xf numFmtId="14" fontId="3" fillId="0" borderId="1" xfId="5" applyNumberFormat="1" applyFont="1" applyFill="1" applyBorder="1" applyAlignment="1">
      <alignment horizontal="center" vertical="center"/>
    </xf>
    <xf numFmtId="14" fontId="3" fillId="0" borderId="3" xfId="5" applyNumberFormat="1" applyFont="1" applyFill="1" applyBorder="1" applyAlignment="1">
      <alignment horizontal="center" vertical="center"/>
    </xf>
    <xf numFmtId="0" fontId="2" fillId="6" borderId="0" xfId="0" applyFont="1" applyFill="1" applyAlignment="1" applyProtection="1">
      <alignment horizontal="center" vertical="center"/>
      <protection locked="0"/>
    </xf>
    <xf numFmtId="0" fontId="3" fillId="0" borderId="42" xfId="0" applyFont="1" applyBorder="1" applyAlignment="1">
      <alignment horizontal="center" vertical="center"/>
    </xf>
    <xf numFmtId="166" fontId="3" fillId="0" borderId="24" xfId="0" applyNumberFormat="1" applyFont="1" applyBorder="1" applyAlignment="1">
      <alignment horizontal="center" vertical="center"/>
    </xf>
    <xf numFmtId="0" fontId="3" fillId="0" borderId="43" xfId="0" applyFont="1" applyBorder="1" applyAlignment="1">
      <alignment horizontal="center" vertical="center"/>
    </xf>
    <xf numFmtId="0" fontId="3" fillId="0" borderId="0" xfId="0" applyFont="1" applyAlignment="1">
      <alignment horizontal="center" vertical="center"/>
    </xf>
    <xf numFmtId="9" fontId="2" fillId="0" borderId="1" xfId="7" applyFont="1" applyFill="1" applyBorder="1" applyAlignment="1" applyProtection="1">
      <alignment horizontal="center" vertical="center"/>
    </xf>
    <xf numFmtId="9" fontId="2" fillId="0" borderId="30" xfId="7" applyFont="1" applyFill="1" applyBorder="1" applyAlignment="1" applyProtection="1">
      <alignment horizontal="center" vertical="center"/>
    </xf>
    <xf numFmtId="0" fontId="2" fillId="0" borderId="35" xfId="0" applyFont="1" applyBorder="1" applyAlignment="1" applyProtection="1">
      <alignment horizontal="right" vertical="center"/>
      <protection locked="0"/>
    </xf>
    <xf numFmtId="0" fontId="2" fillId="0" borderId="31" xfId="0" applyFont="1" applyBorder="1" applyAlignment="1" applyProtection="1">
      <alignment horizontal="right" vertical="center"/>
      <protection locked="0"/>
    </xf>
    <xf numFmtId="0" fontId="2" fillId="0" borderId="8" xfId="0" applyFont="1" applyBorder="1" applyAlignment="1" applyProtection="1">
      <alignment horizontal="right" vertical="center"/>
      <protection locked="0"/>
    </xf>
    <xf numFmtId="0" fontId="2" fillId="0" borderId="45" xfId="0" applyFont="1" applyBorder="1" applyAlignment="1" applyProtection="1">
      <alignment horizontal="right" vertical="center"/>
      <protection locked="0"/>
    </xf>
    <xf numFmtId="0" fontId="2" fillId="0" borderId="18" xfId="0" applyFont="1" applyBorder="1" applyAlignment="1" applyProtection="1">
      <alignment horizontal="right" vertical="center"/>
      <protection locked="0"/>
    </xf>
    <xf numFmtId="0" fontId="2" fillId="0" borderId="36" xfId="0" applyFont="1" applyBorder="1" applyAlignment="1" applyProtection="1">
      <alignment horizontal="right" vertical="center"/>
      <protection locked="0"/>
    </xf>
    <xf numFmtId="10" fontId="3" fillId="0" borderId="32" xfId="2" applyNumberFormat="1" applyFont="1" applyFill="1" applyBorder="1" applyAlignment="1">
      <alignment horizontal="right" vertical="center"/>
    </xf>
    <xf numFmtId="10" fontId="3" fillId="0" borderId="31" xfId="2" applyNumberFormat="1" applyFont="1" applyFill="1" applyBorder="1" applyAlignment="1">
      <alignment horizontal="right" vertical="center"/>
    </xf>
    <xf numFmtId="10" fontId="3" fillId="0" borderId="46" xfId="2" applyNumberFormat="1" applyFont="1" applyFill="1" applyBorder="1" applyAlignment="1">
      <alignment horizontal="right" vertical="center"/>
    </xf>
    <xf numFmtId="10" fontId="3" fillId="0" borderId="45" xfId="2" applyNumberFormat="1" applyFont="1" applyFill="1" applyBorder="1" applyAlignment="1">
      <alignment horizontal="right" vertical="center"/>
    </xf>
    <xf numFmtId="10" fontId="3" fillId="0" borderId="37" xfId="2" applyNumberFormat="1" applyFont="1" applyFill="1" applyBorder="1" applyAlignment="1">
      <alignment horizontal="right" vertical="center"/>
    </xf>
    <xf numFmtId="10" fontId="3" fillId="0" borderId="36" xfId="2" applyNumberFormat="1" applyFont="1" applyFill="1" applyBorder="1" applyAlignment="1">
      <alignment horizontal="right" vertical="center"/>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0" fontId="3" fillId="0" borderId="13" xfId="0" applyFont="1" applyBorder="1" applyAlignment="1">
      <alignment horizontal="left" vertical="center" wrapText="1"/>
    </xf>
    <xf numFmtId="0" fontId="3" fillId="0" borderId="4" xfId="0" applyFont="1" applyBorder="1" applyAlignment="1">
      <alignment horizontal="left" vertical="center" wrapText="1"/>
    </xf>
    <xf numFmtId="0" fontId="3" fillId="0" borderId="35" xfId="0" applyFont="1" applyBorder="1" applyAlignment="1">
      <alignment horizontal="left" vertical="center" wrapText="1"/>
    </xf>
    <xf numFmtId="0" fontId="3" fillId="0" borderId="33" xfId="0" applyFont="1" applyBorder="1" applyAlignment="1">
      <alignment horizontal="left" vertical="center" wrapText="1"/>
    </xf>
    <xf numFmtId="0" fontId="3" fillId="0" borderId="31" xfId="0" applyFont="1" applyBorder="1" applyAlignment="1">
      <alignment horizontal="left"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4" xfId="0" applyFont="1" applyBorder="1" applyAlignment="1">
      <alignment horizontal="left" vertical="center"/>
    </xf>
    <xf numFmtId="0" fontId="2" fillId="3" borderId="13"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9" fontId="2" fillId="0" borderId="4" xfId="6" applyFont="1" applyFill="1" applyBorder="1" applyAlignment="1" applyProtection="1">
      <alignment horizontal="center" vertical="center"/>
    </xf>
    <xf numFmtId="9" fontId="2" fillId="0" borderId="14" xfId="6" applyFont="1" applyFill="1" applyBorder="1" applyAlignment="1" applyProtection="1">
      <alignment horizontal="center" vertical="center"/>
    </xf>
    <xf numFmtId="0" fontId="2" fillId="2" borderId="27" xfId="0" applyFont="1" applyFill="1" applyBorder="1" applyAlignment="1">
      <alignment horizontal="left" vertical="top"/>
    </xf>
    <xf numFmtId="0" fontId="2" fillId="2" borderId="28" xfId="0" applyFont="1" applyFill="1" applyBorder="1" applyAlignment="1">
      <alignment horizontal="left" vertical="top"/>
    </xf>
    <xf numFmtId="0" fontId="2" fillId="2" borderId="29" xfId="0" applyFont="1" applyFill="1" applyBorder="1" applyAlignment="1">
      <alignment horizontal="left" vertical="top"/>
    </xf>
    <xf numFmtId="0" fontId="2" fillId="3" borderId="14" xfId="0" applyFont="1" applyFill="1" applyBorder="1" applyAlignment="1" applyProtection="1">
      <alignment horizontal="center" vertical="center"/>
      <protection locked="0"/>
    </xf>
    <xf numFmtId="0" fontId="2" fillId="4" borderId="4"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3" fillId="4" borderId="13" xfId="3" applyFont="1" applyFill="1" applyBorder="1" applyAlignment="1">
      <alignment horizontal="left" vertical="center" wrapText="1"/>
    </xf>
    <xf numFmtId="0" fontId="3" fillId="4" borderId="4" xfId="3" applyFont="1" applyFill="1" applyBorder="1" applyAlignment="1">
      <alignment horizontal="left" vertical="center" wrapText="1"/>
    </xf>
    <xf numFmtId="41"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0" xfId="0" applyFont="1" applyFill="1" applyBorder="1" applyAlignment="1">
      <alignment horizontal="center" vertical="center" wrapText="1"/>
    </xf>
    <xf numFmtId="164" fontId="3" fillId="4" borderId="4" xfId="1" applyFont="1" applyFill="1" applyBorder="1" applyAlignment="1">
      <alignment horizontal="left" vertical="center" wrapText="1"/>
    </xf>
    <xf numFmtId="164" fontId="3" fillId="4" borderId="14" xfId="1" applyFont="1" applyFill="1" applyBorder="1" applyAlignment="1">
      <alignment horizontal="left" vertical="center" wrapText="1"/>
    </xf>
    <xf numFmtId="14" fontId="3" fillId="0" borderId="4" xfId="5" applyNumberFormat="1" applyFont="1" applyFill="1" applyBorder="1" applyAlignment="1">
      <alignment horizontal="center" vertical="center"/>
    </xf>
    <xf numFmtId="14" fontId="3" fillId="0" borderId="14" xfId="5" applyNumberFormat="1" applyFont="1" applyFill="1" applyBorder="1" applyAlignment="1">
      <alignment horizontal="center" vertical="center"/>
    </xf>
    <xf numFmtId="0" fontId="2" fillId="0" borderId="4" xfId="0" applyFont="1" applyBorder="1" applyAlignment="1">
      <alignment horizontal="right" vertical="center"/>
    </xf>
    <xf numFmtId="0" fontId="3" fillId="4" borderId="1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2" fillId="0" borderId="13" xfId="0" applyFont="1" applyBorder="1" applyAlignment="1" applyProtection="1">
      <alignment horizontal="right" vertical="center"/>
      <protection locked="0"/>
    </xf>
    <xf numFmtId="0" fontId="2" fillId="0" borderId="4" xfId="0" applyFont="1" applyBorder="1" applyAlignment="1" applyProtection="1">
      <alignment horizontal="right" vertical="center"/>
      <protection locked="0"/>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3" borderId="15" xfId="0" applyFont="1" applyFill="1" applyBorder="1" applyAlignment="1" applyProtection="1">
      <alignment horizontal="center" vertical="center"/>
      <protection locked="0"/>
    </xf>
    <xf numFmtId="0" fontId="2" fillId="3" borderId="16" xfId="0" applyFont="1" applyFill="1" applyBorder="1" applyAlignment="1" applyProtection="1">
      <alignment horizontal="center" vertical="center"/>
      <protection locked="0"/>
    </xf>
    <xf numFmtId="0" fontId="2" fillId="3" borderId="17" xfId="0" applyFont="1" applyFill="1" applyBorder="1" applyAlignment="1" applyProtection="1">
      <alignment horizontal="center" vertical="center"/>
      <protection locked="0"/>
    </xf>
    <xf numFmtId="0" fontId="2" fillId="0" borderId="20" xfId="0" applyFont="1" applyBorder="1" applyAlignment="1">
      <alignment horizontal="center" vertical="center"/>
    </xf>
    <xf numFmtId="0" fontId="2" fillId="0" borderId="21" xfId="0" applyFont="1" applyBorder="1" applyAlignment="1">
      <alignment horizontal="center" vertical="center"/>
    </xf>
    <xf numFmtId="14" fontId="3" fillId="0" borderId="1" xfId="5" applyNumberFormat="1" applyFont="1" applyFill="1" applyBorder="1" applyAlignment="1">
      <alignment horizontal="center" vertical="center"/>
    </xf>
    <xf numFmtId="14" fontId="3" fillId="0" borderId="3" xfId="5" applyNumberFormat="1" applyFont="1" applyFill="1" applyBorder="1" applyAlignment="1">
      <alignment horizontal="center" vertical="center"/>
    </xf>
    <xf numFmtId="10" fontId="4" fillId="5" borderId="4" xfId="2" applyNumberFormat="1" applyFont="1" applyFill="1" applyBorder="1" applyAlignment="1">
      <alignment horizontal="right" vertical="center" wrapText="1"/>
    </xf>
    <xf numFmtId="165" fontId="3" fillId="0" borderId="32" xfId="1" applyNumberFormat="1" applyFont="1" applyFill="1" applyBorder="1" applyAlignment="1">
      <alignment horizontal="center" vertical="center" wrapText="1"/>
    </xf>
    <xf numFmtId="165" fontId="3" fillId="0" borderId="31" xfId="1" applyNumberFormat="1" applyFont="1" applyFill="1" applyBorder="1" applyAlignment="1">
      <alignment horizontal="center" vertical="center" wrapText="1"/>
    </xf>
    <xf numFmtId="165" fontId="3" fillId="0" borderId="46" xfId="1" applyNumberFormat="1" applyFont="1" applyFill="1" applyBorder="1" applyAlignment="1">
      <alignment horizontal="center" vertical="center" wrapText="1"/>
    </xf>
    <xf numFmtId="165" fontId="3" fillId="0" borderId="45" xfId="1" applyNumberFormat="1" applyFont="1" applyFill="1" applyBorder="1" applyAlignment="1">
      <alignment horizontal="center" vertical="center" wrapText="1"/>
    </xf>
    <xf numFmtId="165" fontId="3" fillId="0" borderId="37" xfId="1" applyNumberFormat="1" applyFont="1" applyFill="1" applyBorder="1" applyAlignment="1">
      <alignment horizontal="center" vertical="center" wrapText="1"/>
    </xf>
    <xf numFmtId="165" fontId="3" fillId="0" borderId="36" xfId="1" applyNumberFormat="1" applyFont="1" applyFill="1" applyBorder="1" applyAlignment="1">
      <alignment horizontal="center" vertical="center" wrapText="1"/>
    </xf>
    <xf numFmtId="0" fontId="3" fillId="0" borderId="19"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9" fontId="2" fillId="0" borderId="4" xfId="7" applyFont="1" applyFill="1" applyBorder="1" applyAlignment="1" applyProtection="1">
      <alignment horizontal="center" vertical="center"/>
    </xf>
    <xf numFmtId="9" fontId="2" fillId="0" borderId="14" xfId="7" applyFont="1" applyFill="1" applyBorder="1" applyAlignment="1" applyProtection="1">
      <alignment horizontal="center" vertical="center"/>
    </xf>
    <xf numFmtId="0" fontId="2" fillId="0" borderId="1" xfId="0" applyFont="1" applyBorder="1" applyAlignment="1">
      <alignment vertical="center"/>
    </xf>
    <xf numFmtId="0" fontId="2" fillId="0" borderId="3" xfId="0" applyFont="1" applyBorder="1" applyAlignment="1">
      <alignment vertical="center"/>
    </xf>
    <xf numFmtId="165" fontId="3" fillId="0" borderId="1" xfId="1" applyNumberFormat="1" applyFont="1" applyFill="1" applyBorder="1" applyAlignment="1">
      <alignment horizontal="center" vertical="center" wrapText="1"/>
    </xf>
    <xf numFmtId="165" fontId="3" fillId="0" borderId="3" xfId="1" applyNumberFormat="1" applyFont="1" applyFill="1" applyBorder="1" applyAlignment="1">
      <alignment horizontal="center" vertical="center" wrapText="1"/>
    </xf>
    <xf numFmtId="4" fontId="3" fillId="0" borderId="1" xfId="0" applyNumberFormat="1" applyFont="1" applyBorder="1" applyAlignment="1">
      <alignment horizontal="right" vertical="center" wrapText="1"/>
    </xf>
    <xf numFmtId="4" fontId="3" fillId="0" borderId="3" xfId="0" applyNumberFormat="1" applyFont="1" applyBorder="1" applyAlignment="1">
      <alignment horizontal="right" vertical="center" wrapText="1"/>
    </xf>
    <xf numFmtId="0" fontId="3" fillId="0" borderId="44" xfId="0" applyFont="1" applyBorder="1" applyAlignment="1">
      <alignment horizontal="left" vertical="center" wrapText="1"/>
    </xf>
    <xf numFmtId="0" fontId="3" fillId="0" borderId="26" xfId="0" applyFont="1" applyBorder="1" applyAlignment="1">
      <alignment horizontal="left" vertical="center" wrapText="1"/>
    </xf>
  </cellXfs>
  <cellStyles count="22">
    <cellStyle name="Comma" xfId="1" builtinId="3"/>
    <cellStyle name="Comma 15" xfId="4" xr:uid="{00000000-0005-0000-0000-000001000000}"/>
    <cellStyle name="Comma 15 2" xfId="8" xr:uid="{55B46B33-5C21-4652-B925-24D2971EB05F}"/>
    <cellStyle name="Comma 15 2 2" xfId="12" xr:uid="{49792AB0-D6FE-4316-8916-1D6E36EAD11A}"/>
    <cellStyle name="Comma 15 2 2 2" xfId="20" xr:uid="{4B7E2EA0-F551-4F7A-82A9-5D7A6BE24178}"/>
    <cellStyle name="Comma 15 2 3" xfId="16" xr:uid="{82A424E4-D0F7-46BF-BBC5-88DCC5F7F1B1}"/>
    <cellStyle name="Comma 15 3" xfId="10" xr:uid="{CAE9BF91-EFD7-4D3C-9EA9-3C7299B1C738}"/>
    <cellStyle name="Comma 15 3 2" xfId="18" xr:uid="{8664BFFA-230B-4C26-B40F-773A801E8F99}"/>
    <cellStyle name="Comma 15 4" xfId="14" xr:uid="{D16A95C1-93FF-4C4B-BDCD-C06002879EAE}"/>
    <cellStyle name="Comma 22" xfId="5" xr:uid="{00000000-0005-0000-0000-000002000000}"/>
    <cellStyle name="Comma 22 2" xfId="9" xr:uid="{875119C3-EDE3-4B57-A9DE-4BB11099675F}"/>
    <cellStyle name="Comma 22 2 2" xfId="13" xr:uid="{C6C510EB-BA0E-4006-B585-F3682DDA6956}"/>
    <cellStyle name="Comma 22 2 2 2" xfId="21" xr:uid="{8C3CEE9D-CCB0-4F05-BBA8-D974C19D880C}"/>
    <cellStyle name="Comma 22 2 3" xfId="17" xr:uid="{C00CD215-1220-4C08-80A1-8C151AD3B55D}"/>
    <cellStyle name="Comma 22 3" xfId="11" xr:uid="{80B08F4F-1E97-4551-8370-E04BECFBBD33}"/>
    <cellStyle name="Comma 22 3 2" xfId="19" xr:uid="{05C11EFC-911A-45C5-9164-467A90D5E0B2}"/>
    <cellStyle name="Comma 22 4" xfId="15" xr:uid="{810081FB-15BA-488B-92F0-BFEF084C5DC0}"/>
    <cellStyle name="Normal" xfId="0" builtinId="0"/>
    <cellStyle name="Normal 24" xfId="3" xr:uid="{00000000-0005-0000-0000-000004000000}"/>
    <cellStyle name="Percent" xfId="2" builtinId="5"/>
    <cellStyle name="Percent 2 2" xfId="6" xr:uid="{00000000-0005-0000-0000-000006000000}"/>
    <cellStyle name="Percent 2 2 2" xfId="7" xr:uid="{00000000-0005-0000-0000-000007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b="0" i="0" u="sng" strike="noStrike" baseline="0">
                <a:solidFill>
                  <a:srgbClr val="333333"/>
                </a:solidFill>
                <a:latin typeface="Calibri"/>
                <a:ea typeface="Calibri"/>
                <a:cs typeface="Calibri"/>
              </a:defRPr>
            </a:pPr>
            <a:r>
              <a:rPr lang="en-IN"/>
              <a:t>Work Progress</a:t>
            </a:r>
          </a:p>
        </c:rich>
      </c:tx>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277186159378389"/>
          <c:y val="0.10936271637862544"/>
          <c:w val="0.75741763133828255"/>
          <c:h val="0.79900001216953198"/>
        </c:manualLayout>
      </c:layout>
      <c:bar3DChart>
        <c:barDir val="col"/>
        <c:grouping val="clustered"/>
        <c:varyColors val="0"/>
        <c:ser>
          <c:idx val="0"/>
          <c:order val="0"/>
          <c:tx>
            <c:strRef>
              <c:f>'Anup-II'!$E$13</c:f>
              <c:strCache>
                <c:ptCount val="1"/>
                <c:pt idx="0">
                  <c:v>% Project Completion as per Calender Date Planed ( Today ) </c:v>
                </c:pt>
              </c:strCache>
            </c:strRef>
          </c:tx>
          <c:spPr>
            <a:solidFill>
              <a:srgbClr val="4F81BD"/>
            </a:solidFill>
            <a:ln w="25400">
              <a:noFill/>
            </a:ln>
          </c:spPr>
          <c:invertIfNegative val="0"/>
          <c:dLbls>
            <c:dLbl>
              <c:idx val="1"/>
              <c:layout>
                <c:manualLayout>
                  <c:x val="-6.0515556910934611E-2"/>
                  <c:y val="-6.3238327524218402E-2"/>
                </c:manualLayout>
              </c:layout>
              <c:spPr>
                <a:noFill/>
                <a:ln>
                  <a:noFill/>
                </a:ln>
                <a:effectLst/>
              </c:spPr>
              <c:txPr>
                <a:bodyPr wrap="square" lIns="38100" tIns="19050" rIns="38100" bIns="19050" anchor="ctr">
                  <a:spAutoFit/>
                </a:bodyPr>
                <a:lstStyle/>
                <a:p>
                  <a:pPr>
                    <a:defRPr sz="20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0D-435A-A037-9E336238EA1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'Anup-II'!$F$13:$H$13</c:f>
              <c:numCache>
                <c:formatCode>0%</c:formatCode>
                <c:ptCount val="3"/>
                <c:pt idx="1">
                  <c:v>1</c:v>
                </c:pt>
              </c:numCache>
            </c:numRef>
          </c:val>
          <c:shape val="cylinder"/>
          <c:extLst>
            <c:ext xmlns:c16="http://schemas.microsoft.com/office/drawing/2014/chart" uri="{C3380CC4-5D6E-409C-BE32-E72D297353CC}">
              <c16:uniqueId val="{00000001-9C9C-4D54-82DF-57B9DF3FBFDF}"/>
            </c:ext>
          </c:extLst>
        </c:ser>
        <c:ser>
          <c:idx val="1"/>
          <c:order val="1"/>
          <c:tx>
            <c:strRef>
              <c:f>'Anup-II'!$E$15</c:f>
              <c:strCache>
                <c:ptCount val="1"/>
                <c:pt idx="0">
                  <c:v>% of Completion as Calender Anticipated End Date with Starting of Construction for Plumbing( Today )</c:v>
                </c:pt>
              </c:strCache>
            </c:strRef>
          </c:tx>
          <c:spPr>
            <a:solidFill>
              <a:srgbClr val="C0504D"/>
            </a:solidFill>
            <a:ln w="25400">
              <a:noFill/>
            </a:ln>
          </c:spPr>
          <c:invertIfNegative val="0"/>
          <c:dLbls>
            <c:dLbl>
              <c:idx val="1"/>
              <c:layout>
                <c:manualLayout>
                  <c:x val="0.10928465266639292"/>
                  <c:y val="-5.849882738669087E-2"/>
                </c:manualLayout>
              </c:layout>
              <c:spPr>
                <a:noFill/>
                <a:ln>
                  <a:noFill/>
                </a:ln>
                <a:effectLst/>
              </c:spPr>
              <c:txPr>
                <a:bodyPr wrap="square" lIns="38100" tIns="19050" rIns="38100" bIns="19050" anchor="ctr">
                  <a:spAutoFit/>
                </a:bodyPr>
                <a:lstStyle/>
                <a:p>
                  <a:pPr>
                    <a:defRPr sz="1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D-435A-A037-9E336238EA1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'Anup-II'!$F$15:$H$15</c:f>
              <c:numCache>
                <c:formatCode>0%</c:formatCode>
                <c:ptCount val="3"/>
                <c:pt idx="1">
                  <c:v>0.96875</c:v>
                </c:pt>
              </c:numCache>
            </c:numRef>
          </c:val>
          <c:shape val="cylinder"/>
          <c:extLst>
            <c:ext xmlns:c16="http://schemas.microsoft.com/office/drawing/2014/chart" uri="{C3380CC4-5D6E-409C-BE32-E72D297353CC}">
              <c16:uniqueId val="{00000003-9C9C-4D54-82DF-57B9DF3FBFDF}"/>
            </c:ext>
          </c:extLst>
        </c:ser>
        <c:ser>
          <c:idx val="2"/>
          <c:order val="2"/>
          <c:tx>
            <c:strRef>
              <c:f>'Anup-II'!$E$16:$F$16</c:f>
              <c:strCache>
                <c:ptCount val="2"/>
                <c:pt idx="0">
                  <c:v>% of Completion as Anticipated End Date with Tracking Schdule (Our All Project)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1"/>
              <c:pt idx="0">
                <c:v>1</c:v>
              </c:pt>
            </c:numLit>
          </c:val>
          <c:shape val="cylinder"/>
          <c:extLst>
            <c:ext xmlns:c16="http://schemas.microsoft.com/office/drawing/2014/chart" uri="{C3380CC4-5D6E-409C-BE32-E72D297353CC}">
              <c16:uniqueId val="{00000000-F3FC-4F2A-B906-93033DDF220F}"/>
            </c:ext>
          </c:extLst>
        </c:ser>
        <c:dLbls>
          <c:showLegendKey val="0"/>
          <c:showVal val="1"/>
          <c:showCatName val="0"/>
          <c:showSerName val="0"/>
          <c:showPercent val="0"/>
          <c:showBubbleSize val="0"/>
        </c:dLbls>
        <c:gapWidth val="0"/>
        <c:gapDepth val="0"/>
        <c:shape val="box"/>
        <c:axId val="-1276065392"/>
        <c:axId val="-1276064848"/>
        <c:axId val="0"/>
      </c:bar3DChart>
      <c:catAx>
        <c:axId val="-12760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276064848"/>
        <c:crosses val="autoZero"/>
        <c:auto val="1"/>
        <c:lblAlgn val="ctr"/>
        <c:lblOffset val="100"/>
        <c:noMultiLvlLbl val="0"/>
      </c:catAx>
      <c:valAx>
        <c:axId val="-1276064848"/>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i="0" u="none" strike="noStrike" baseline="0">
                    <a:solidFill>
                      <a:srgbClr val="000000"/>
                    </a:solidFill>
                    <a:latin typeface="Calibri"/>
                    <a:ea typeface="Calibri"/>
                    <a:cs typeface="Calibri"/>
                  </a:defRPr>
                </a:pPr>
                <a:r>
                  <a:rPr lang="en-IN" sz="2400" b="0" i="0" u="none" strike="noStrike" baseline="0">
                    <a:solidFill>
                      <a:srgbClr val="333333"/>
                    </a:solidFill>
                    <a:latin typeface="Calibri"/>
                    <a:cs typeface="Calibri"/>
                  </a:rPr>
                  <a:t>Percentage</a:t>
                </a:r>
                <a:r>
                  <a:rPr lang="en-IN" sz="2800" b="0" i="0" u="none" strike="noStrike" baseline="0">
                    <a:solidFill>
                      <a:srgbClr val="333333"/>
                    </a:solidFill>
                    <a:latin typeface="Calibri"/>
                    <a:cs typeface="Calibri"/>
                  </a:rPr>
                  <a:t> %</a:t>
                </a:r>
              </a:p>
            </c:rich>
          </c:tx>
          <c:overlay val="0"/>
          <c:spPr>
            <a:noFill/>
            <a:ln w="25400">
              <a:noFill/>
            </a:ln>
          </c:spPr>
        </c:title>
        <c:numFmt formatCode="0%" sourceLinked="0"/>
        <c:majorTickMark val="none"/>
        <c:minorTickMark val="none"/>
        <c:tickLblPos val="nextTo"/>
        <c:spPr>
          <a:ln w="9525">
            <a:noFill/>
          </a:ln>
        </c:spPr>
        <c:txPr>
          <a:bodyPr rot="0" vert="horz"/>
          <a:lstStyle/>
          <a:p>
            <a:pPr>
              <a:defRPr sz="2000" b="0" i="0" u="none" strike="noStrike" baseline="0">
                <a:solidFill>
                  <a:srgbClr val="333333"/>
                </a:solidFill>
                <a:latin typeface="Calibri"/>
                <a:ea typeface="Calibri"/>
                <a:cs typeface="Calibri"/>
              </a:defRPr>
            </a:pPr>
            <a:endParaRPr lang="en-US"/>
          </a:p>
        </c:txPr>
        <c:crossAx val="-1276065392"/>
        <c:crosses val="autoZero"/>
        <c:crossBetween val="between"/>
      </c:valAx>
      <c:spPr>
        <a:noFill/>
        <a:ln w="25400">
          <a:noFill/>
        </a:ln>
      </c:spPr>
    </c:plotArea>
    <c:legend>
      <c:legendPos val="b"/>
      <c:layout>
        <c:manualLayout>
          <c:xMode val="edge"/>
          <c:yMode val="edge"/>
          <c:x val="0.57994335444919198"/>
          <c:y val="0.32042931082233023"/>
          <c:w val="0.38721191673853222"/>
          <c:h val="0.64759537742737217"/>
        </c:manualLayout>
      </c:layout>
      <c:overlay val="0"/>
      <c:spPr>
        <a:noFill/>
        <a:ln w="25400">
          <a:noFill/>
        </a:ln>
      </c:spPr>
      <c:txPr>
        <a:bodyPr/>
        <a:lstStyle/>
        <a:p>
          <a:pPr>
            <a:defRPr sz="169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b="0" i="0" u="sng" strike="noStrike" baseline="0">
                <a:solidFill>
                  <a:srgbClr val="333333"/>
                </a:solidFill>
                <a:latin typeface="Calibri"/>
                <a:ea typeface="Calibri"/>
                <a:cs typeface="Calibri"/>
              </a:defRPr>
            </a:pPr>
            <a:r>
              <a:rPr lang="en-IN"/>
              <a:t>Finance</a:t>
            </a:r>
          </a:p>
        </c:rich>
      </c:tx>
      <c:layout>
        <c:manualLayout>
          <c:xMode val="edge"/>
          <c:yMode val="edge"/>
          <c:x val="0.45871244635193126"/>
          <c:y val="0"/>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0999892974543231"/>
          <c:y val="0.10845993260743397"/>
          <c:w val="0.86462924288310128"/>
          <c:h val="0.79016848141507068"/>
        </c:manualLayout>
      </c:layout>
      <c:bar3DChart>
        <c:barDir val="col"/>
        <c:grouping val="clustered"/>
        <c:varyColors val="0"/>
        <c:ser>
          <c:idx val="1"/>
          <c:order val="0"/>
          <c:tx>
            <c:strRef>
              <c:f>'Anup-II'!$A$7</c:f>
              <c:strCache>
                <c:ptCount val="1"/>
                <c:pt idx="0">
                  <c:v>Budgeted Project Value (INR)</c:v>
                </c:pt>
              </c:strCache>
            </c:strRef>
          </c:tx>
          <c:spPr>
            <a:solidFill>
              <a:srgbClr val="00B050"/>
            </a:solidFill>
            <a:ln w="25400">
              <a:noFill/>
            </a:ln>
          </c:spPr>
          <c:invertIfNegative val="0"/>
          <c:dPt>
            <c:idx val="0"/>
            <c:invertIfNegative val="0"/>
            <c:bubble3D val="0"/>
            <c:spPr>
              <a:solidFill>
                <a:srgbClr val="92D050"/>
              </a:solidFill>
              <a:ln w="25400">
                <a:noFill/>
              </a:ln>
            </c:spPr>
            <c:extLst>
              <c:ext xmlns:c16="http://schemas.microsoft.com/office/drawing/2014/chart" uri="{C3380CC4-5D6E-409C-BE32-E72D297353CC}">
                <c16:uniqueId val="{00000000-8F9D-424D-8530-9A75FA7B8B66}"/>
              </c:ext>
            </c:extLst>
          </c:dPt>
          <c:dLbls>
            <c:dLbl>
              <c:idx val="1"/>
              <c:layout>
                <c:manualLayout>
                  <c:x val="-0.10587994570971113"/>
                  <c:y val="-2.1931451983339647E-2"/>
                </c:manualLayout>
              </c:layout>
              <c:spPr>
                <a:noFill/>
                <a:ln>
                  <a:noFill/>
                </a:ln>
                <a:effectLst/>
              </c:spPr>
              <c:txPr>
                <a:bodyPr wrap="square" lIns="38100" tIns="19050" rIns="38100" bIns="19050" anchor="ctr">
                  <a:spAutoFit/>
                </a:bodyPr>
                <a:lstStyle/>
                <a:p>
                  <a:pPr>
                    <a:defRPr sz="1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68-43A8-A41C-BA5E0D82BDE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'Anup-II'!$B$7:$D$7</c:f>
              <c:numCache>
                <c:formatCode>#,##0.00</c:formatCode>
                <c:ptCount val="3"/>
                <c:pt idx="1">
                  <c:v>104648776.95581</c:v>
                </c:pt>
              </c:numCache>
            </c:numRef>
          </c:val>
          <c:shape val="cylinder"/>
          <c:extLst>
            <c:ext xmlns:c16="http://schemas.microsoft.com/office/drawing/2014/chart" uri="{C3380CC4-5D6E-409C-BE32-E72D297353CC}">
              <c16:uniqueId val="{00000001-8F9D-424D-8530-9A75FA7B8B66}"/>
            </c:ext>
          </c:extLst>
        </c:ser>
        <c:ser>
          <c:idx val="0"/>
          <c:order val="1"/>
          <c:tx>
            <c:strRef>
              <c:f>'Anup-II'!$A$13</c:f>
              <c:strCache>
                <c:ptCount val="1"/>
                <c:pt idx="0">
                  <c:v>Billed Amount till date (INR)</c:v>
                </c:pt>
              </c:strCache>
            </c:strRef>
          </c:tx>
          <c:invertIfNegative val="0"/>
          <c:dLbls>
            <c:dLbl>
              <c:idx val="1"/>
              <c:layout>
                <c:manualLayout>
                  <c:x val="9.8209108552008137E-2"/>
                  <c:y val="-0.14148820964727771"/>
                </c:manualLayout>
              </c:layout>
              <c:spPr>
                <a:noFill/>
                <a:ln>
                  <a:noFill/>
                </a:ln>
                <a:effectLst/>
              </c:spPr>
              <c:txPr>
                <a:bodyPr wrap="square" lIns="38100" tIns="19050" rIns="38100" bIns="19050" anchor="ctr">
                  <a:spAutoFit/>
                </a:bodyPr>
                <a:lstStyle/>
                <a:p>
                  <a:pPr>
                    <a:defRPr sz="1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68-43A8-A41C-BA5E0D82BDE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'Anup-II'!$B$13:$D$13</c:f>
              <c:numCache>
                <c:formatCode>_(* #,##0_);_(* \(#,##0\);_(* "-"??_);_(@_)</c:formatCode>
                <c:ptCount val="3"/>
                <c:pt idx="1">
                  <c:v>81527325.615205809</c:v>
                </c:pt>
              </c:numCache>
            </c:numRef>
          </c:val>
          <c:shape val="cylinder"/>
          <c:extLst>
            <c:ext xmlns:c16="http://schemas.microsoft.com/office/drawing/2014/chart" uri="{C3380CC4-5D6E-409C-BE32-E72D297353CC}">
              <c16:uniqueId val="{00000004-2368-43A8-A41C-BA5E0D82BDEC}"/>
            </c:ext>
          </c:extLst>
        </c:ser>
        <c:dLbls>
          <c:showLegendKey val="0"/>
          <c:showVal val="1"/>
          <c:showCatName val="0"/>
          <c:showSerName val="0"/>
          <c:showPercent val="0"/>
          <c:showBubbleSize val="0"/>
        </c:dLbls>
        <c:gapWidth val="0"/>
        <c:gapDepth val="0"/>
        <c:shape val="box"/>
        <c:axId val="-1276056144"/>
        <c:axId val="-1276061584"/>
        <c:axId val="0"/>
      </c:bar3DChart>
      <c:catAx>
        <c:axId val="-12760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276061584"/>
        <c:crosses val="autoZero"/>
        <c:auto val="1"/>
        <c:lblAlgn val="ctr"/>
        <c:lblOffset val="100"/>
        <c:noMultiLvlLbl val="0"/>
      </c:catAx>
      <c:valAx>
        <c:axId val="-127606158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i="0" u="none" strike="noStrike" baseline="0">
                    <a:solidFill>
                      <a:srgbClr val="000000"/>
                    </a:solidFill>
                    <a:latin typeface="Calibri"/>
                    <a:ea typeface="Calibri"/>
                    <a:cs typeface="Calibri"/>
                  </a:defRPr>
                </a:pPr>
                <a:r>
                  <a:rPr lang="en-IN" sz="2400" b="0" i="0" u="none" strike="noStrike" baseline="0">
                    <a:solidFill>
                      <a:srgbClr val="333333"/>
                    </a:solidFill>
                    <a:latin typeface="Calibri"/>
                    <a:cs typeface="Calibri"/>
                  </a:rPr>
                  <a:t>Amount (INR)</a:t>
                </a:r>
                <a:r>
                  <a:rPr lang="en-IN" sz="2800" b="0" i="0" u="none" strike="noStrike" baseline="0">
                    <a:solidFill>
                      <a:srgbClr val="333333"/>
                    </a:solidFill>
                    <a:latin typeface="Calibri"/>
                    <a:cs typeface="Calibri"/>
                  </a:rPr>
                  <a:t> %</a:t>
                </a:r>
              </a:p>
            </c:rich>
          </c:tx>
          <c:layout>
            <c:manualLayout>
              <c:xMode val="edge"/>
              <c:yMode val="edge"/>
              <c:x val="1.9161791728322178E-2"/>
              <c:y val="0.26610773990519315"/>
            </c:manualLayout>
          </c:layout>
          <c:overlay val="0"/>
          <c:spPr>
            <a:noFill/>
            <a:ln w="25400">
              <a:noFill/>
            </a:ln>
          </c:spPr>
        </c:title>
        <c:numFmt formatCode="#,##0" sourceLinked="0"/>
        <c:majorTickMark val="none"/>
        <c:minorTickMark val="none"/>
        <c:tickLblPos val="nextTo"/>
        <c:spPr>
          <a:ln w="9525">
            <a:noFill/>
          </a:ln>
        </c:spPr>
        <c:txPr>
          <a:bodyPr rot="0" vert="horz"/>
          <a:lstStyle/>
          <a:p>
            <a:pPr>
              <a:defRPr sz="1600" b="0" i="0" u="none" strike="noStrike" baseline="0">
                <a:solidFill>
                  <a:srgbClr val="333333"/>
                </a:solidFill>
                <a:latin typeface="Calibri"/>
                <a:ea typeface="Calibri"/>
                <a:cs typeface="Calibri"/>
              </a:defRPr>
            </a:pPr>
            <a:endParaRPr lang="en-US"/>
          </a:p>
        </c:txPr>
        <c:crossAx val="-1276056144"/>
        <c:crosses val="autoZero"/>
        <c:crossBetween val="between"/>
      </c:valAx>
      <c:spPr>
        <a:noFill/>
        <a:ln w="25400">
          <a:noFill/>
        </a:ln>
      </c:spPr>
    </c:plotArea>
    <c:legend>
      <c:legendPos val="b"/>
      <c:overlay val="0"/>
      <c:spPr>
        <a:noFill/>
        <a:ln w="25400">
          <a:noFill/>
        </a:ln>
      </c:spPr>
      <c:txPr>
        <a:bodyPr/>
        <a:lstStyle/>
        <a:p>
          <a:pPr rtl="0">
            <a:defRPr sz="169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77230</xdr:colOff>
      <xdr:row>17</xdr:row>
      <xdr:rowOff>77230</xdr:rowOff>
    </xdr:from>
    <xdr:to>
      <xdr:col>7</xdr:col>
      <xdr:colOff>4034117</xdr:colOff>
      <xdr:row>29</xdr:row>
      <xdr:rowOff>495300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102972</xdr:colOff>
      <xdr:row>17</xdr:row>
      <xdr:rowOff>77229</xdr:rowOff>
    </xdr:from>
    <xdr:to>
      <xdr:col>3</xdr:col>
      <xdr:colOff>2095499</xdr:colOff>
      <xdr:row>29</xdr:row>
      <xdr:rowOff>495300</xdr:rowOff>
    </xdr:to>
    <xdr:graphicFrame macro="">
      <xdr:nvGraphicFramePr>
        <xdr:cNvPr id="3" name="Chart 5">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7029912/AppData/Local/Microsoft/Windows/INetCache/Content.Outlook/24SYEHI3/Documents%20and%20Settings/arzalou/My%20Documents/To%20Frankfurt/RCP%20US%20Sep%20Draft%20102604.xls" TargetMode="External"/><Relationship Id="rId1" Type="http://schemas.openxmlformats.org/officeDocument/2006/relationships/externalLinkPath" Target="/Users/7029912/AppData/Local/Microsoft/Windows/INetCache/Content.Outlook/24SYEHI3/Documents%20and%20Settings/arzalou/My%20Documents/To%20Frankfurt/RCP%20US%20Sep%20Draft%20102604.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eneral/WPR/wpr%20Soft%20copies/WPR%2046/SPDC_Budget_Arvind%2046.xls" TargetMode="External"/><Relationship Id="rId2" Type="http://schemas.openxmlformats.org/officeDocument/2006/relationships/externalLinkPath" Target="file:///D:\General\WPR\wpr%20Soft%20copies\WPR%2046\SPDC_Budget_Arvind%2046.xls" TargetMode="External"/><Relationship Id="rId1" Type="http://schemas.openxmlformats.org/officeDocument/2006/relationships/externalLinkPath" Target="/General/WPR/wpr%20Soft%20copies/WPR%2046/SPDC_Budget_Arvind%2046.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Nirav%20Parekh\Downloads\Project%20Budget.xls" TargetMode="External"/><Relationship Id="rId1" Type="http://schemas.openxmlformats.org/officeDocument/2006/relationships/externalLinkPath" Target="file:///C:\Users\Nirav%20Parekh\Downloads\Project%20Budget.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General\WPR\wpr%20Soft%20copies\WPR%2052\SPDC_Budget_Arvind%2052.xls" TargetMode="External"/><Relationship Id="rId1" Type="http://schemas.openxmlformats.org/officeDocument/2006/relationships/externalLinkPath" Target="SPDC_Budget_Arvind%205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US RCP Sep"/>
      <sheetName val="US RCP June"/>
      <sheetName val="US RCP MAY"/>
      <sheetName val="US RCP Jul"/>
      <sheetName val="Scope Definitions"/>
      <sheetName val="US RCP Aug"/>
      <sheetName val="SAP Sep"/>
      <sheetName val="SAP Oct"/>
      <sheetName val="Sheet2"/>
      <sheetName val="Sheet1"/>
      <sheetName val="List"/>
      <sheetName val="data for chart"/>
      <sheetName val="GMCP TRACKER (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udget"/>
      <sheetName val="Monitoring Combined"/>
      <sheetName val="Monitoring Civil Dormitory"/>
      <sheetName val="DORMITORY MB"/>
      <sheetName val="Electric MB"/>
      <sheetName val="Monitoring Electric"/>
      <sheetName val="Plumbing MB"/>
      <sheetName val="Monitoring Plumbing"/>
      <sheetName val="UGWT MB"/>
      <sheetName val="Monitoring UGWT"/>
      <sheetName val="Septic Tank"/>
      <sheetName val="Monitoring Septic Tank"/>
      <sheetName val="Compound Wall"/>
      <sheetName val="Road &amp; Paving"/>
      <sheetName val="Monitoring External Dev"/>
      <sheetName val="Windows "/>
      <sheetName val="Monitoring Windows"/>
      <sheetName val="Furniture"/>
      <sheetName val="Monitoring Furniture "/>
      <sheetName val="WPC Door"/>
      <sheetName val="Monitoring WPC Door"/>
      <sheetName val="Fire Fighting"/>
      <sheetName val="Fire Alarm"/>
      <sheetName val="Monitoring Fire Fighting"/>
      <sheetName val="Gas Line"/>
      <sheetName val="Monitoring Gas"/>
      <sheetName val="External Electric"/>
      <sheetName val="Monitoring External Electric"/>
      <sheetName val="STEEL RATE DIFFRENCE"/>
      <sheetName val="CEMENT RATE DIFFRENCE"/>
      <sheetName val="Tiles Rate Difference"/>
      <sheetName val="DORMITORY BBS"/>
      <sheetName val="Compound Wall BBS"/>
      <sheetName val="Septic Tank BBS"/>
      <sheetName val="Road BBS"/>
      <sheetName val="UGWT BBS"/>
    </sheetNames>
    <sheetDataSet>
      <sheetData sheetId="0">
        <row r="35">
          <cell r="G35">
            <v>68287318.930000007</v>
          </cell>
          <cell r="Q35">
            <v>111231830.504273</v>
          </cell>
        </row>
        <row r="38">
          <cell r="E38" t="str">
            <v>Over Amount From Budget ( Basic Amount ) : 6547522</v>
          </cell>
        </row>
      </sheetData>
      <sheetData sheetId="1">
        <row r="79">
          <cell r="O79">
            <v>92358198.6332113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Monitoring"/>
      <sheetName val="DORMITORY MB"/>
      <sheetName val="DORMITORY BBS"/>
    </sheetNames>
    <sheetDataSet>
      <sheetData sheetId="0" refreshError="1">
        <row r="12">
          <cell r="F12">
            <v>57673792.296526998</v>
          </cell>
        </row>
        <row r="25">
          <cell r="E25">
            <v>104648776.95581</v>
          </cell>
        </row>
      </sheetData>
      <sheetData sheetId="1" refreshError="1">
        <row r="73">
          <cell r="L73">
            <v>57673792.296526998</v>
          </cell>
        </row>
      </sheetData>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Monitoring Combined"/>
      <sheetName val="Monitoring Civil Dormitory"/>
      <sheetName val="DORMITORY MB"/>
      <sheetName val="Electric MB"/>
      <sheetName val="Monitoring Electric"/>
      <sheetName val="Plumbing MB"/>
      <sheetName val="Monitoring Plumbing"/>
      <sheetName val="UGWT MB"/>
      <sheetName val="Monitoring UGWT"/>
      <sheetName val="Septic Tank"/>
      <sheetName val="Monitoring Septic Tank"/>
      <sheetName val="Compound Wall"/>
      <sheetName val="Road &amp; Paving"/>
      <sheetName val="Monitoring External Dev"/>
      <sheetName val="Windows "/>
      <sheetName val="Monitoring Windows"/>
      <sheetName val="Furniture"/>
      <sheetName val="Monitoring Furniture "/>
      <sheetName val="WPC Door"/>
      <sheetName val="Monitoring WPC Door"/>
      <sheetName val="Fire Fighting"/>
      <sheetName val="Fire Alarm"/>
      <sheetName val="Monitoring Fire Fighting"/>
      <sheetName val="Gas Line"/>
      <sheetName val="Monitoring Gas"/>
      <sheetName val="External Electric"/>
      <sheetName val="Monitoring External Electric"/>
      <sheetName val="STEEL RATE DIFFRENCE"/>
      <sheetName val="CEMENT RATE DIFFRENCE"/>
      <sheetName val="Tiles Rate Difference"/>
      <sheetName val="DORMITORY BBS"/>
      <sheetName val="Compound Wall BBS"/>
      <sheetName val="Septic Tank BBS"/>
      <sheetName val="Road BBS"/>
      <sheetName val="UGWT BBS"/>
    </sheetNames>
    <sheetDataSet>
      <sheetData sheetId="0">
        <row r="35">
          <cell r="G35">
            <v>81527325.615205809</v>
          </cell>
        </row>
      </sheetData>
      <sheetData sheetId="1">
        <row r="82">
          <cell r="O82">
            <v>109650959.74683306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X75"/>
  <sheetViews>
    <sheetView tabSelected="1" view="pageBreakPreview" topLeftCell="A25" zoomScale="50" zoomScaleNormal="50" zoomScaleSheetLayoutView="50" workbookViewId="0">
      <selection activeCell="A31" sqref="A31:H53"/>
    </sheetView>
  </sheetViews>
  <sheetFormatPr defaultColWidth="9.21875" defaultRowHeight="35.4" x14ac:dyDescent="0.25"/>
  <cols>
    <col min="1" max="1" width="15.109375" style="1" customWidth="1"/>
    <col min="2" max="2" width="95.88671875" style="1" customWidth="1"/>
    <col min="3" max="3" width="27" style="1" customWidth="1"/>
    <col min="4" max="4" width="32.77734375" style="1" customWidth="1"/>
    <col min="5" max="5" width="52.33203125" style="1" bestFit="1" customWidth="1"/>
    <col min="6" max="6" width="66.6640625" style="1" customWidth="1"/>
    <col min="7" max="7" width="57.21875" style="1" bestFit="1" customWidth="1"/>
    <col min="8" max="8" width="60" style="1" customWidth="1"/>
    <col min="9" max="9" width="9.21875" style="1"/>
    <col min="10" max="10" width="31.33203125" style="1" bestFit="1" customWidth="1"/>
    <col min="11" max="11" width="9.21875" style="1"/>
    <col min="12" max="12" width="26.77734375" style="1" bestFit="1" customWidth="1"/>
    <col min="13" max="13" width="12.88671875" style="1" bestFit="1" customWidth="1"/>
    <col min="14" max="14" width="9.21875" style="1" bestFit="1" customWidth="1"/>
    <col min="15" max="15" width="19.77734375" style="1" bestFit="1" customWidth="1"/>
    <col min="16" max="17" width="9.21875" style="1"/>
    <col min="18" max="18" width="13.77734375" style="1" customWidth="1"/>
    <col min="19" max="19" width="17.5546875" style="1" bestFit="1" customWidth="1"/>
    <col min="20" max="20" width="9.21875" style="1"/>
    <col min="21" max="21" width="9.21875" style="1" customWidth="1"/>
    <col min="22" max="22" width="37.77734375" style="1" customWidth="1"/>
    <col min="23" max="23" width="25.5546875" style="1" bestFit="1" customWidth="1"/>
    <col min="24" max="24" width="9.21875" style="1" customWidth="1"/>
    <col min="25" max="16384" width="9.21875" style="1"/>
  </cols>
  <sheetData>
    <row r="1" spans="1:24" x14ac:dyDescent="0.25">
      <c r="A1" s="107" t="s">
        <v>142</v>
      </c>
      <c r="B1" s="108"/>
      <c r="C1" s="108"/>
      <c r="D1" s="108"/>
      <c r="E1" s="108"/>
      <c r="F1" s="108"/>
      <c r="G1" s="108"/>
      <c r="H1" s="109"/>
    </row>
    <row r="2" spans="1:24" x14ac:dyDescent="0.25">
      <c r="A2" s="100"/>
      <c r="B2" s="101"/>
      <c r="C2" s="101"/>
      <c r="D2" s="101"/>
      <c r="E2" s="101"/>
      <c r="F2" s="101"/>
      <c r="G2" s="101"/>
      <c r="H2" s="110"/>
    </row>
    <row r="3" spans="1:24" ht="71.55" customHeight="1" x14ac:dyDescent="0.25">
      <c r="A3" s="52" t="s">
        <v>56</v>
      </c>
      <c r="B3" s="2"/>
      <c r="C3" s="3" t="s">
        <v>57</v>
      </c>
      <c r="D3" s="4">
        <v>4500</v>
      </c>
      <c r="E3" s="111" t="s">
        <v>0</v>
      </c>
      <c r="F3" s="111"/>
      <c r="G3" s="111"/>
      <c r="H3" s="112"/>
      <c r="N3" s="1">
        <f>235/30</f>
        <v>7.833333333333333</v>
      </c>
    </row>
    <row r="4" spans="1:24" ht="31.05" customHeight="1" x14ac:dyDescent="0.25">
      <c r="A4" s="113" t="s">
        <v>68</v>
      </c>
      <c r="B4" s="114"/>
      <c r="C4" s="3" t="s">
        <v>1</v>
      </c>
      <c r="D4" s="6">
        <v>104648776.95581</v>
      </c>
      <c r="E4" s="115" t="str">
        <f>[2]Budget!$E$38</f>
        <v>Over Amount From Budget ( Basic Amount ) : 6547522</v>
      </c>
      <c r="F4" s="116"/>
      <c r="G4" s="116"/>
      <c r="H4" s="117"/>
    </row>
    <row r="5" spans="1:24" ht="31.5" customHeight="1" x14ac:dyDescent="0.25">
      <c r="A5" s="123"/>
      <c r="B5" s="124"/>
      <c r="C5" s="7" t="s">
        <v>2</v>
      </c>
      <c r="D5" s="8" t="s">
        <v>59</v>
      </c>
      <c r="E5" s="5" t="s">
        <v>3</v>
      </c>
      <c r="F5" s="118" t="s">
        <v>82</v>
      </c>
      <c r="G5" s="118"/>
      <c r="H5" s="119"/>
    </row>
    <row r="6" spans="1:24" x14ac:dyDescent="0.25">
      <c r="A6" s="100" t="s">
        <v>4</v>
      </c>
      <c r="B6" s="101"/>
      <c r="C6" s="101"/>
      <c r="D6" s="101"/>
      <c r="E6" s="101" t="s">
        <v>5</v>
      </c>
      <c r="F6" s="101"/>
      <c r="G6" s="101"/>
      <c r="H6" s="110"/>
      <c r="J6" s="1" t="s">
        <v>63</v>
      </c>
      <c r="L6" s="1" t="s">
        <v>64</v>
      </c>
      <c r="W6" s="10"/>
    </row>
    <row r="7" spans="1:24" ht="31.05" customHeight="1" x14ac:dyDescent="0.25">
      <c r="A7" s="125" t="s">
        <v>61</v>
      </c>
      <c r="B7" s="126"/>
      <c r="C7" s="152">
        <f>+[3]Budget!$E$25</f>
        <v>104648776.95581</v>
      </c>
      <c r="D7" s="153"/>
      <c r="E7" s="122" t="s">
        <v>6</v>
      </c>
      <c r="F7" s="122"/>
      <c r="G7" s="120">
        <v>45826</v>
      </c>
      <c r="H7" s="121"/>
      <c r="J7" s="9">
        <f>+G9-G7</f>
        <v>316</v>
      </c>
      <c r="L7" s="9">
        <f>+G12-G8</f>
        <v>384</v>
      </c>
      <c r="U7" s="148"/>
      <c r="V7" s="149"/>
      <c r="W7" s="134"/>
      <c r="X7" s="135"/>
    </row>
    <row r="8" spans="1:24" ht="31.05" customHeight="1" x14ac:dyDescent="0.25">
      <c r="A8" s="125" t="s">
        <v>62</v>
      </c>
      <c r="B8" s="126"/>
      <c r="C8" s="152">
        <f>[2]Budget!$Q$35</f>
        <v>111231830.504273</v>
      </c>
      <c r="D8" s="153"/>
      <c r="E8" s="122" t="s">
        <v>7</v>
      </c>
      <c r="F8" s="122"/>
      <c r="G8" s="120">
        <v>45861</v>
      </c>
      <c r="H8" s="121"/>
      <c r="L8" s="1">
        <f>G10-G8</f>
        <v>362</v>
      </c>
      <c r="U8" s="28"/>
      <c r="V8" s="29"/>
      <c r="W8" s="134"/>
      <c r="X8" s="135"/>
    </row>
    <row r="9" spans="1:24" x14ac:dyDescent="0.25">
      <c r="A9" s="125" t="s">
        <v>8</v>
      </c>
      <c r="B9" s="126"/>
      <c r="C9" s="136">
        <f>(C8-C7)/C7</f>
        <v>6.2906168040958818E-2</v>
      </c>
      <c r="D9" s="136"/>
      <c r="E9" s="122" t="s">
        <v>78</v>
      </c>
      <c r="F9" s="122"/>
      <c r="G9" s="120">
        <v>46142</v>
      </c>
      <c r="H9" s="121"/>
      <c r="J9" s="9"/>
      <c r="U9" s="28"/>
      <c r="V9" s="29"/>
      <c r="W9" s="134"/>
      <c r="X9" s="135"/>
    </row>
    <row r="10" spans="1:24" x14ac:dyDescent="0.25">
      <c r="A10" s="75" t="s">
        <v>58</v>
      </c>
      <c r="B10" s="76"/>
      <c r="C10" s="137">
        <f>'[4]Monitoring Combined'!$O$82</f>
        <v>109650959.74683306</v>
      </c>
      <c r="D10" s="138"/>
      <c r="E10" s="122" t="s">
        <v>138</v>
      </c>
      <c r="F10" s="122"/>
      <c r="G10" s="120">
        <v>46223</v>
      </c>
      <c r="H10" s="121"/>
      <c r="J10" s="9"/>
      <c r="U10" s="28"/>
      <c r="V10" s="29"/>
      <c r="W10" s="66"/>
      <c r="X10" s="67"/>
    </row>
    <row r="11" spans="1:24" x14ac:dyDescent="0.25">
      <c r="A11" s="77"/>
      <c r="B11" s="78"/>
      <c r="C11" s="139"/>
      <c r="D11" s="140"/>
      <c r="E11" s="122" t="s">
        <v>139</v>
      </c>
      <c r="F11" s="122"/>
      <c r="G11" s="134">
        <v>46236</v>
      </c>
      <c r="H11" s="135"/>
      <c r="J11" s="9"/>
      <c r="U11" s="28"/>
      <c r="V11" s="29"/>
      <c r="W11" s="66"/>
      <c r="X11" s="67"/>
    </row>
    <row r="12" spans="1:24" ht="36" thickBot="1" x14ac:dyDescent="0.3">
      <c r="A12" s="79"/>
      <c r="B12" s="80"/>
      <c r="C12" s="141"/>
      <c r="D12" s="142"/>
      <c r="E12" s="122" t="s">
        <v>140</v>
      </c>
      <c r="F12" s="122"/>
      <c r="G12" s="120">
        <v>46245</v>
      </c>
      <c r="H12" s="121"/>
      <c r="J12" s="10">
        <v>46142</v>
      </c>
      <c r="L12" s="10">
        <v>46233</v>
      </c>
      <c r="U12" s="28"/>
      <c r="V12" s="29"/>
      <c r="W12" s="134"/>
      <c r="X12" s="135"/>
    </row>
    <row r="13" spans="1:24" ht="61.05" customHeight="1" x14ac:dyDescent="0.25">
      <c r="A13" s="125" t="s">
        <v>9</v>
      </c>
      <c r="B13" s="126"/>
      <c r="C13" s="150">
        <f>[4]Budget!$G$35</f>
        <v>81527325.615205809</v>
      </c>
      <c r="D13" s="151"/>
      <c r="E13" s="127" t="s">
        <v>65</v>
      </c>
      <c r="F13" s="128"/>
      <c r="G13" s="105">
        <v>1</v>
      </c>
      <c r="H13" s="106"/>
      <c r="J13" s="9">
        <f>+J12-G7</f>
        <v>316</v>
      </c>
      <c r="L13" s="9">
        <f>+L12-G8</f>
        <v>372</v>
      </c>
      <c r="O13" s="102"/>
      <c r="P13" s="103"/>
      <c r="Q13" s="103"/>
      <c r="R13" s="104"/>
    </row>
    <row r="14" spans="1:24" ht="79.95" customHeight="1" x14ac:dyDescent="0.25">
      <c r="A14" s="75" t="s">
        <v>10</v>
      </c>
      <c r="B14" s="76"/>
      <c r="C14" s="81">
        <f>C10/C8</f>
        <v>0.98578760458878534</v>
      </c>
      <c r="D14" s="82"/>
      <c r="E14" s="127" t="s">
        <v>137</v>
      </c>
      <c r="F14" s="128"/>
      <c r="G14" s="73">
        <v>1</v>
      </c>
      <c r="H14" s="74"/>
      <c r="J14" s="9"/>
      <c r="L14" s="9"/>
      <c r="O14" s="72"/>
      <c r="P14" s="72"/>
      <c r="Q14" s="72"/>
      <c r="R14" s="72"/>
    </row>
    <row r="15" spans="1:24" ht="75" customHeight="1" x14ac:dyDescent="0.25">
      <c r="A15" s="77"/>
      <c r="B15" s="78"/>
      <c r="C15" s="83"/>
      <c r="D15" s="84"/>
      <c r="E15" s="127" t="s">
        <v>141</v>
      </c>
      <c r="F15" s="128"/>
      <c r="G15" s="73">
        <f>+L15</f>
        <v>0.96875</v>
      </c>
      <c r="H15" s="74"/>
      <c r="J15" s="11">
        <f>J7/J13</f>
        <v>1</v>
      </c>
      <c r="L15" s="11">
        <f>L13/L7</f>
        <v>0.96875</v>
      </c>
      <c r="O15" s="12"/>
      <c r="P15" s="12"/>
      <c r="Q15" s="12"/>
      <c r="R15" s="12"/>
      <c r="S15" s="13"/>
    </row>
    <row r="16" spans="1:24" ht="76.5" customHeight="1" x14ac:dyDescent="0.25">
      <c r="A16" s="79"/>
      <c r="B16" s="80"/>
      <c r="C16" s="85"/>
      <c r="D16" s="86"/>
      <c r="E16" s="127" t="s">
        <v>80</v>
      </c>
      <c r="F16" s="128"/>
      <c r="G16" s="146">
        <v>0.98</v>
      </c>
      <c r="H16" s="147"/>
      <c r="J16" s="11"/>
      <c r="L16" s="11">
        <f>L13/L8</f>
        <v>1.0276243093922652</v>
      </c>
      <c r="O16" s="12"/>
      <c r="P16" s="12"/>
      <c r="Q16" s="12"/>
      <c r="R16" s="12"/>
      <c r="S16" s="13"/>
    </row>
    <row r="17" spans="1:19" x14ac:dyDescent="0.25">
      <c r="A17" s="100" t="s">
        <v>11</v>
      </c>
      <c r="B17" s="101"/>
      <c r="C17" s="101"/>
      <c r="D17" s="101"/>
      <c r="E17" s="101" t="s">
        <v>12</v>
      </c>
      <c r="F17" s="101"/>
      <c r="G17" s="101"/>
      <c r="H17" s="110"/>
      <c r="L17" s="14"/>
      <c r="O17" s="12"/>
      <c r="P17" s="94"/>
      <c r="Q17" s="95"/>
      <c r="R17" s="96"/>
      <c r="S17" s="13"/>
    </row>
    <row r="18" spans="1:19" x14ac:dyDescent="0.25">
      <c r="A18" s="15"/>
      <c r="B18" s="68"/>
      <c r="C18" s="16"/>
      <c r="D18" s="17"/>
      <c r="E18" s="15"/>
      <c r="F18" s="68"/>
      <c r="G18" s="16"/>
      <c r="H18" s="17"/>
      <c r="M18" s="40">
        <f>G13-G15</f>
        <v>3.125E-2</v>
      </c>
      <c r="O18" s="13"/>
      <c r="P18" s="94"/>
      <c r="Q18" s="95"/>
      <c r="R18" s="96"/>
      <c r="S18" s="13"/>
    </row>
    <row r="19" spans="1:19" x14ac:dyDescent="0.25">
      <c r="A19" s="15"/>
      <c r="B19" s="68"/>
      <c r="C19" s="16"/>
      <c r="D19" s="17"/>
      <c r="E19" s="15"/>
      <c r="F19" s="68"/>
      <c r="G19" s="16"/>
      <c r="H19" s="17"/>
      <c r="J19" s="18">
        <f>+[3]Monitoring!$L$73</f>
        <v>57673792.296526998</v>
      </c>
      <c r="M19" s="40">
        <f>G15-G16</f>
        <v>-1.1249999999999982E-2</v>
      </c>
      <c r="O19" s="12"/>
      <c r="P19" s="12"/>
      <c r="Q19" s="12"/>
      <c r="R19" s="12"/>
      <c r="S19" s="13"/>
    </row>
    <row r="20" spans="1:19" x14ac:dyDescent="0.25">
      <c r="A20" s="15"/>
      <c r="B20" s="68"/>
      <c r="C20" s="16"/>
      <c r="D20" s="17"/>
      <c r="E20" s="15"/>
      <c r="F20" s="68"/>
      <c r="G20" s="16"/>
      <c r="H20" s="17"/>
      <c r="J20" s="19">
        <f>+C10</f>
        <v>109650959.74683306</v>
      </c>
      <c r="O20" s="12"/>
      <c r="P20" s="20"/>
      <c r="Q20" s="21"/>
      <c r="R20" s="22"/>
      <c r="S20" s="13"/>
    </row>
    <row r="21" spans="1:19" x14ac:dyDescent="0.25">
      <c r="A21" s="15"/>
      <c r="B21" s="68"/>
      <c r="C21" s="16"/>
      <c r="D21" s="17"/>
      <c r="E21" s="15"/>
      <c r="F21" s="68"/>
      <c r="G21" s="16"/>
      <c r="H21" s="17"/>
      <c r="J21" s="19"/>
      <c r="O21" s="12"/>
      <c r="P21" s="20"/>
      <c r="Q21" s="21"/>
      <c r="R21" s="22"/>
      <c r="S21" s="13"/>
    </row>
    <row r="22" spans="1:19" x14ac:dyDescent="0.25">
      <c r="A22" s="15"/>
      <c r="B22" s="68"/>
      <c r="C22" s="16"/>
      <c r="D22" s="17"/>
      <c r="E22" s="15"/>
      <c r="F22" s="68"/>
      <c r="G22" s="16"/>
      <c r="H22" s="17"/>
      <c r="J22" s="11">
        <f>+J20/J19</f>
        <v>1.9012268030350419</v>
      </c>
      <c r="O22" s="12"/>
      <c r="P22" s="12"/>
      <c r="Q22" s="12"/>
      <c r="R22" s="12"/>
      <c r="S22" s="13"/>
    </row>
    <row r="23" spans="1:19" x14ac:dyDescent="0.25">
      <c r="A23" s="15"/>
      <c r="B23" s="68"/>
      <c r="C23" s="16"/>
      <c r="D23" s="17"/>
      <c r="E23" s="15"/>
      <c r="F23" s="68"/>
      <c r="G23" s="16"/>
      <c r="H23" s="17"/>
      <c r="J23" s="11"/>
      <c r="O23" s="13"/>
      <c r="P23" s="13"/>
      <c r="Q23" s="13"/>
      <c r="R23" s="13"/>
      <c r="S23" s="13"/>
    </row>
    <row r="24" spans="1:19" x14ac:dyDescent="0.25">
      <c r="A24" s="15"/>
      <c r="B24" s="68"/>
      <c r="C24" s="16"/>
      <c r="D24" s="17"/>
      <c r="E24" s="15"/>
      <c r="F24" s="68"/>
      <c r="G24" s="16"/>
      <c r="H24" s="17"/>
      <c r="J24" s="11">
        <f>(57-40)</f>
        <v>17</v>
      </c>
      <c r="O24" s="13"/>
      <c r="P24" s="13"/>
      <c r="Q24" s="13"/>
      <c r="R24" s="13"/>
      <c r="S24" s="13"/>
    </row>
    <row r="25" spans="1:19" x14ac:dyDescent="0.25">
      <c r="A25" s="15"/>
      <c r="B25" s="68"/>
      <c r="C25" s="16"/>
      <c r="D25" s="17"/>
      <c r="E25" s="15"/>
      <c r="F25" s="68"/>
      <c r="G25" s="16"/>
      <c r="H25" s="17"/>
      <c r="J25" s="11"/>
      <c r="O25" s="13"/>
      <c r="P25" s="13"/>
      <c r="Q25" s="13"/>
      <c r="R25" s="13"/>
      <c r="S25" s="13"/>
    </row>
    <row r="26" spans="1:19" x14ac:dyDescent="0.25">
      <c r="A26" s="15"/>
      <c r="B26" s="68"/>
      <c r="C26" s="16"/>
      <c r="D26" s="17"/>
      <c r="E26" s="15"/>
      <c r="F26" s="68"/>
      <c r="G26" s="16"/>
      <c r="H26" s="17"/>
      <c r="J26" s="11"/>
      <c r="O26" s="13"/>
      <c r="P26" s="13"/>
      <c r="Q26" s="13"/>
      <c r="R26" s="13"/>
      <c r="S26" s="13"/>
    </row>
    <row r="27" spans="1:19" x14ac:dyDescent="0.25">
      <c r="A27" s="15"/>
      <c r="B27" s="68"/>
      <c r="C27" s="16"/>
      <c r="D27" s="17"/>
      <c r="E27" s="15"/>
      <c r="F27" s="68"/>
      <c r="G27" s="16"/>
      <c r="H27" s="17"/>
      <c r="J27" s="11"/>
      <c r="O27" s="13"/>
      <c r="P27" s="13"/>
      <c r="Q27" s="13"/>
      <c r="R27" s="13"/>
      <c r="S27" s="13"/>
    </row>
    <row r="28" spans="1:19" x14ac:dyDescent="0.25">
      <c r="A28" s="15"/>
      <c r="B28" s="68"/>
      <c r="C28" s="16"/>
      <c r="D28" s="17"/>
      <c r="E28" s="15"/>
      <c r="F28" s="68"/>
      <c r="G28" s="16"/>
      <c r="H28" s="17"/>
      <c r="O28" s="23"/>
      <c r="P28" s="13"/>
      <c r="Q28" s="13"/>
      <c r="R28" s="24"/>
      <c r="S28" s="13"/>
    </row>
    <row r="29" spans="1:19" ht="36" thickBot="1" x14ac:dyDescent="0.3">
      <c r="A29" s="15"/>
      <c r="B29" s="68"/>
      <c r="C29" s="16"/>
      <c r="D29" s="17"/>
      <c r="E29" s="15"/>
      <c r="F29" s="68"/>
      <c r="G29" s="16"/>
      <c r="H29" s="17"/>
      <c r="O29" s="25"/>
      <c r="P29" s="26"/>
      <c r="Q29" s="26"/>
      <c r="R29" s="27"/>
      <c r="S29" s="13"/>
    </row>
    <row r="30" spans="1:19" ht="48.45" customHeight="1" thickBot="1" x14ac:dyDescent="0.3">
      <c r="A30" s="15"/>
      <c r="B30" s="68"/>
      <c r="C30" s="16"/>
      <c r="D30" s="17"/>
      <c r="E30" s="15"/>
      <c r="F30" s="68"/>
      <c r="G30" s="16"/>
      <c r="H30" s="17"/>
    </row>
    <row r="31" spans="1:19" ht="36" thickBot="1" x14ac:dyDescent="0.3">
      <c r="A31" s="129" t="s">
        <v>14</v>
      </c>
      <c r="B31" s="130"/>
      <c r="C31" s="130"/>
      <c r="D31" s="130"/>
      <c r="E31" s="130"/>
      <c r="F31" s="130"/>
      <c r="G31" s="130"/>
      <c r="H31" s="131"/>
    </row>
    <row r="32" spans="1:19" ht="70.8" x14ac:dyDescent="0.25">
      <c r="A32" s="58" t="s">
        <v>15</v>
      </c>
      <c r="B32" s="132" t="s">
        <v>16</v>
      </c>
      <c r="C32" s="133"/>
      <c r="D32" s="133"/>
      <c r="E32" s="42" t="s">
        <v>17</v>
      </c>
      <c r="F32" s="43" t="s">
        <v>18</v>
      </c>
      <c r="G32" s="42" t="s">
        <v>19</v>
      </c>
      <c r="H32" s="44" t="s">
        <v>20</v>
      </c>
    </row>
    <row r="33" spans="1:8" ht="104.25" hidden="1" customHeight="1" x14ac:dyDescent="0.25">
      <c r="A33" s="41">
        <v>1</v>
      </c>
      <c r="B33" s="89" t="s">
        <v>21</v>
      </c>
      <c r="C33" s="90"/>
      <c r="D33" s="90"/>
      <c r="E33" s="30" t="s">
        <v>22</v>
      </c>
      <c r="F33" s="30" t="s">
        <v>23</v>
      </c>
      <c r="G33" s="31" t="s">
        <v>69</v>
      </c>
      <c r="H33" s="35" t="s">
        <v>24</v>
      </c>
    </row>
    <row r="34" spans="1:8" ht="90.75" hidden="1" customHeight="1" x14ac:dyDescent="0.25">
      <c r="A34" s="41">
        <v>1</v>
      </c>
      <c r="B34" s="89" t="s">
        <v>25</v>
      </c>
      <c r="C34" s="90"/>
      <c r="D34" s="90"/>
      <c r="E34" s="30" t="s">
        <v>13</v>
      </c>
      <c r="F34" s="30" t="s">
        <v>23</v>
      </c>
      <c r="G34" s="32" t="s">
        <v>26</v>
      </c>
      <c r="H34" s="36" t="s">
        <v>27</v>
      </c>
    </row>
    <row r="35" spans="1:8" ht="85.05" hidden="1" customHeight="1" x14ac:dyDescent="0.25">
      <c r="A35" s="41">
        <v>3</v>
      </c>
      <c r="B35" s="89" t="s">
        <v>28</v>
      </c>
      <c r="C35" s="90"/>
      <c r="D35" s="90"/>
      <c r="E35" s="30" t="s">
        <v>22</v>
      </c>
      <c r="F35" s="30" t="s">
        <v>29</v>
      </c>
      <c r="G35" s="32" t="s">
        <v>70</v>
      </c>
      <c r="H35" s="35" t="s">
        <v>30</v>
      </c>
    </row>
    <row r="36" spans="1:8" ht="187.5" hidden="1" customHeight="1" x14ac:dyDescent="0.25">
      <c r="A36" s="41">
        <v>1</v>
      </c>
      <c r="B36" s="89" t="s">
        <v>31</v>
      </c>
      <c r="C36" s="90"/>
      <c r="D36" s="90"/>
      <c r="E36" s="30" t="s">
        <v>32</v>
      </c>
      <c r="F36" s="30" t="s">
        <v>29</v>
      </c>
      <c r="G36" s="32" t="s">
        <v>71</v>
      </c>
      <c r="H36" s="35" t="s">
        <v>33</v>
      </c>
    </row>
    <row r="37" spans="1:8" ht="92.1" hidden="1" customHeight="1" x14ac:dyDescent="0.25">
      <c r="A37" s="41">
        <v>3</v>
      </c>
      <c r="B37" s="89" t="s">
        <v>34</v>
      </c>
      <c r="C37" s="90"/>
      <c r="D37" s="90"/>
      <c r="E37" s="30" t="s">
        <v>26</v>
      </c>
      <c r="F37" s="30" t="s">
        <v>35</v>
      </c>
      <c r="G37" s="30" t="s">
        <v>26</v>
      </c>
      <c r="H37" s="35"/>
    </row>
    <row r="38" spans="1:8" ht="92.1" hidden="1" customHeight="1" x14ac:dyDescent="0.25">
      <c r="A38" s="41">
        <v>2</v>
      </c>
      <c r="B38" s="89" t="s">
        <v>36</v>
      </c>
      <c r="C38" s="90"/>
      <c r="D38" s="90"/>
      <c r="E38" s="30" t="s">
        <v>32</v>
      </c>
      <c r="F38" s="30" t="s">
        <v>29</v>
      </c>
      <c r="G38" s="30" t="s">
        <v>37</v>
      </c>
      <c r="H38" s="35" t="s">
        <v>38</v>
      </c>
    </row>
    <row r="39" spans="1:8" ht="92.1" hidden="1" customHeight="1" x14ac:dyDescent="0.25">
      <c r="A39" s="41">
        <v>2</v>
      </c>
      <c r="B39" s="89" t="s">
        <v>39</v>
      </c>
      <c r="C39" s="90"/>
      <c r="D39" s="90"/>
      <c r="E39" s="30" t="s">
        <v>32</v>
      </c>
      <c r="F39" s="30" t="s">
        <v>29</v>
      </c>
      <c r="G39" s="32" t="s">
        <v>40</v>
      </c>
      <c r="H39" s="35"/>
    </row>
    <row r="40" spans="1:8" ht="92.1" hidden="1" customHeight="1" x14ac:dyDescent="0.25">
      <c r="A40" s="41">
        <v>5</v>
      </c>
      <c r="B40" s="89" t="s">
        <v>41</v>
      </c>
      <c r="C40" s="90"/>
      <c r="D40" s="90"/>
      <c r="E40" s="30" t="s">
        <v>32</v>
      </c>
      <c r="F40" s="30" t="s">
        <v>29</v>
      </c>
      <c r="G40" s="33"/>
      <c r="H40" s="35"/>
    </row>
    <row r="41" spans="1:8" ht="92.1" hidden="1" customHeight="1" x14ac:dyDescent="0.25">
      <c r="A41" s="41">
        <v>2</v>
      </c>
      <c r="B41" s="89" t="s">
        <v>42</v>
      </c>
      <c r="C41" s="90"/>
      <c r="D41" s="90"/>
      <c r="E41" s="30" t="s">
        <v>32</v>
      </c>
      <c r="F41" s="30" t="s">
        <v>29</v>
      </c>
      <c r="G41" s="34" t="s">
        <v>43</v>
      </c>
      <c r="H41" s="35" t="s">
        <v>44</v>
      </c>
    </row>
    <row r="42" spans="1:8" ht="220.95" hidden="1" customHeight="1" x14ac:dyDescent="0.25">
      <c r="A42" s="41">
        <v>1</v>
      </c>
      <c r="B42" s="89" t="s">
        <v>79</v>
      </c>
      <c r="C42" s="90"/>
      <c r="D42" s="90"/>
      <c r="E42" s="30" t="s">
        <v>60</v>
      </c>
      <c r="F42" s="38" t="s">
        <v>23</v>
      </c>
      <c r="G42" s="39">
        <v>45979</v>
      </c>
      <c r="H42" s="35" t="s">
        <v>67</v>
      </c>
    </row>
    <row r="43" spans="1:8" ht="92.1" hidden="1" customHeight="1" x14ac:dyDescent="0.25">
      <c r="A43" s="41">
        <v>3</v>
      </c>
      <c r="B43" s="89" t="s">
        <v>45</v>
      </c>
      <c r="C43" s="90"/>
      <c r="D43" s="90"/>
      <c r="E43" s="30" t="s">
        <v>32</v>
      </c>
      <c r="F43" s="34" t="s">
        <v>23</v>
      </c>
      <c r="G43" s="34" t="s">
        <v>26</v>
      </c>
      <c r="H43" s="35" t="s">
        <v>46</v>
      </c>
    </row>
    <row r="44" spans="1:8" ht="210" hidden="1" customHeight="1" x14ac:dyDescent="0.25">
      <c r="A44" s="41">
        <v>3</v>
      </c>
      <c r="B44" s="89" t="s">
        <v>47</v>
      </c>
      <c r="C44" s="90"/>
      <c r="D44" s="90"/>
      <c r="E44" s="30" t="s">
        <v>32</v>
      </c>
      <c r="F44" s="34" t="s">
        <v>26</v>
      </c>
      <c r="G44" s="34" t="s">
        <v>26</v>
      </c>
      <c r="H44" s="35" t="s">
        <v>48</v>
      </c>
    </row>
    <row r="45" spans="1:8" ht="92.1" hidden="1" customHeight="1" x14ac:dyDescent="0.25">
      <c r="A45" s="41">
        <v>4</v>
      </c>
      <c r="B45" s="89" t="s">
        <v>49</v>
      </c>
      <c r="C45" s="90"/>
      <c r="D45" s="90"/>
      <c r="E45" s="30" t="s">
        <v>32</v>
      </c>
      <c r="F45" s="30" t="s">
        <v>29</v>
      </c>
      <c r="G45" s="34" t="s">
        <v>50</v>
      </c>
      <c r="H45" s="35" t="s">
        <v>51</v>
      </c>
    </row>
    <row r="46" spans="1:8" ht="92.1" hidden="1" customHeight="1" x14ac:dyDescent="0.25">
      <c r="A46" s="41">
        <v>6</v>
      </c>
      <c r="B46" s="89" t="s">
        <v>52</v>
      </c>
      <c r="C46" s="90"/>
      <c r="D46" s="90"/>
      <c r="E46" s="30" t="s">
        <v>32</v>
      </c>
      <c r="F46" s="30" t="s">
        <v>29</v>
      </c>
      <c r="G46" s="34">
        <v>45777</v>
      </c>
      <c r="H46" s="35" t="s">
        <v>53</v>
      </c>
    </row>
    <row r="47" spans="1:8" ht="42.6" hidden="1" customHeight="1" x14ac:dyDescent="0.25">
      <c r="A47" s="41">
        <v>7</v>
      </c>
      <c r="B47" s="89" t="s">
        <v>54</v>
      </c>
      <c r="C47" s="90"/>
      <c r="D47" s="90"/>
      <c r="E47" s="30" t="s">
        <v>13</v>
      </c>
      <c r="F47" s="30" t="s">
        <v>29</v>
      </c>
      <c r="G47" s="34" t="s">
        <v>43</v>
      </c>
      <c r="H47" s="35" t="s">
        <v>55</v>
      </c>
    </row>
    <row r="48" spans="1:8" ht="92.1" hidden="1" customHeight="1" x14ac:dyDescent="0.25">
      <c r="A48" s="41"/>
      <c r="B48" s="45"/>
      <c r="C48" s="37"/>
      <c r="D48" s="37"/>
      <c r="E48" s="30"/>
      <c r="F48" s="30"/>
      <c r="G48" s="34"/>
      <c r="H48" s="35"/>
    </row>
    <row r="49" spans="1:8" ht="135" hidden="1" customHeight="1" x14ac:dyDescent="0.25">
      <c r="A49" s="41">
        <v>1</v>
      </c>
      <c r="B49" s="89" t="s">
        <v>120</v>
      </c>
      <c r="C49" s="90"/>
      <c r="D49" s="90"/>
      <c r="E49" s="30" t="s">
        <v>77</v>
      </c>
      <c r="F49" s="38" t="s">
        <v>23</v>
      </c>
      <c r="G49" s="39">
        <v>46123</v>
      </c>
      <c r="H49" s="35" t="s">
        <v>121</v>
      </c>
    </row>
    <row r="50" spans="1:8" ht="319.5" hidden="1" customHeight="1" x14ac:dyDescent="0.25">
      <c r="A50" s="41">
        <v>3</v>
      </c>
      <c r="B50" s="89" t="s">
        <v>73</v>
      </c>
      <c r="C50" s="90"/>
      <c r="D50" s="90"/>
      <c r="E50" s="30" t="s">
        <v>72</v>
      </c>
      <c r="F50" s="38" t="s">
        <v>23</v>
      </c>
      <c r="G50" s="39">
        <v>45912</v>
      </c>
      <c r="H50" s="46" t="s">
        <v>75</v>
      </c>
    </row>
    <row r="51" spans="1:8" ht="275.55" hidden="1" customHeight="1" x14ac:dyDescent="0.25">
      <c r="A51" s="41">
        <v>1</v>
      </c>
      <c r="B51" s="143" t="s">
        <v>127</v>
      </c>
      <c r="C51" s="144"/>
      <c r="D51" s="145"/>
      <c r="E51" s="30" t="s">
        <v>74</v>
      </c>
      <c r="F51" s="38" t="s">
        <v>23</v>
      </c>
      <c r="G51" s="39" t="s">
        <v>136</v>
      </c>
      <c r="H51" s="35" t="s">
        <v>128</v>
      </c>
    </row>
    <row r="52" spans="1:8" ht="229.05" hidden="1" customHeight="1" thickBot="1" x14ac:dyDescent="0.3">
      <c r="A52" s="41">
        <v>3</v>
      </c>
      <c r="B52" s="97" t="s">
        <v>81</v>
      </c>
      <c r="C52" s="98"/>
      <c r="D52" s="98"/>
      <c r="E52" s="47" t="s">
        <v>77</v>
      </c>
      <c r="F52" s="48" t="s">
        <v>23</v>
      </c>
      <c r="G52" s="51">
        <v>46011</v>
      </c>
      <c r="H52" s="49" t="s">
        <v>76</v>
      </c>
    </row>
    <row r="53" spans="1:8" ht="287.55" customHeight="1" x14ac:dyDescent="0.25">
      <c r="A53" s="41">
        <v>1</v>
      </c>
      <c r="B53" s="89" t="s">
        <v>129</v>
      </c>
      <c r="C53" s="99"/>
      <c r="D53" s="99"/>
      <c r="E53" s="38" t="s">
        <v>94</v>
      </c>
      <c r="F53" s="38" t="s">
        <v>23</v>
      </c>
      <c r="G53" s="39" t="s">
        <v>136</v>
      </c>
      <c r="H53" s="35" t="s">
        <v>66</v>
      </c>
    </row>
    <row r="54" spans="1:8" ht="255.45" hidden="1" customHeight="1" x14ac:dyDescent="0.25">
      <c r="A54" s="41">
        <v>4</v>
      </c>
      <c r="B54" s="89" t="s">
        <v>84</v>
      </c>
      <c r="C54" s="90"/>
      <c r="D54" s="90"/>
      <c r="E54" s="30" t="s">
        <v>83</v>
      </c>
      <c r="F54" s="50" t="s">
        <v>86</v>
      </c>
      <c r="G54" s="33">
        <v>46063</v>
      </c>
      <c r="H54" s="53" t="s">
        <v>87</v>
      </c>
    </row>
    <row r="55" spans="1:8" ht="141" hidden="1" customHeight="1" x14ac:dyDescent="0.25">
      <c r="A55" s="41">
        <v>4</v>
      </c>
      <c r="B55" s="89" t="s">
        <v>85</v>
      </c>
      <c r="C55" s="90"/>
      <c r="D55" s="90"/>
      <c r="E55" s="30" t="s">
        <v>83</v>
      </c>
      <c r="F55" s="50" t="s">
        <v>23</v>
      </c>
      <c r="G55" s="33">
        <v>46063</v>
      </c>
      <c r="H55" s="53" t="s">
        <v>87</v>
      </c>
    </row>
    <row r="56" spans="1:8" ht="189" hidden="1" customHeight="1" x14ac:dyDescent="0.25">
      <c r="A56" s="61">
        <v>4</v>
      </c>
      <c r="B56" s="91" t="s">
        <v>88</v>
      </c>
      <c r="C56" s="92"/>
      <c r="D56" s="93"/>
      <c r="E56" s="54" t="s">
        <v>83</v>
      </c>
      <c r="F56" s="50" t="s">
        <v>23</v>
      </c>
      <c r="G56" s="55" t="s">
        <v>95</v>
      </c>
      <c r="H56" s="56" t="s">
        <v>101</v>
      </c>
    </row>
    <row r="57" spans="1:8" ht="190.95" hidden="1" customHeight="1" x14ac:dyDescent="0.25">
      <c r="A57" s="41">
        <v>5</v>
      </c>
      <c r="B57" s="89" t="s">
        <v>89</v>
      </c>
      <c r="C57" s="90"/>
      <c r="D57" s="90"/>
      <c r="E57" s="30" t="s">
        <v>83</v>
      </c>
      <c r="F57" s="38" t="s">
        <v>23</v>
      </c>
      <c r="G57" s="55" t="s">
        <v>95</v>
      </c>
      <c r="H57" s="56" t="s">
        <v>101</v>
      </c>
    </row>
    <row r="58" spans="1:8" ht="150.44999999999999" hidden="1" customHeight="1" x14ac:dyDescent="0.25">
      <c r="A58" s="41">
        <v>5</v>
      </c>
      <c r="B58" s="89" t="s">
        <v>109</v>
      </c>
      <c r="C58" s="90"/>
      <c r="D58" s="90"/>
      <c r="E58" s="30" t="s">
        <v>110</v>
      </c>
      <c r="F58" s="38" t="s">
        <v>97</v>
      </c>
      <c r="G58" s="33">
        <v>46113</v>
      </c>
      <c r="H58" s="35" t="s">
        <v>105</v>
      </c>
    </row>
    <row r="59" spans="1:8" ht="151.94999999999999" hidden="1" customHeight="1" x14ac:dyDescent="0.25">
      <c r="A59" s="41">
        <v>8</v>
      </c>
      <c r="B59" s="89" t="s">
        <v>92</v>
      </c>
      <c r="C59" s="90"/>
      <c r="D59" s="90"/>
      <c r="E59" s="30" t="s">
        <v>83</v>
      </c>
      <c r="F59" s="38" t="s">
        <v>23</v>
      </c>
      <c r="G59" s="33">
        <v>46066</v>
      </c>
      <c r="H59" s="35" t="s">
        <v>93</v>
      </c>
    </row>
    <row r="60" spans="1:8" ht="151.05000000000001" hidden="1" customHeight="1" x14ac:dyDescent="0.25">
      <c r="A60" s="57">
        <v>8</v>
      </c>
      <c r="B60" s="89" t="s">
        <v>90</v>
      </c>
      <c r="C60" s="90"/>
      <c r="D60" s="90"/>
      <c r="E60" s="30" t="s">
        <v>83</v>
      </c>
      <c r="F60" s="38" t="s">
        <v>23</v>
      </c>
      <c r="G60" s="33">
        <v>46066</v>
      </c>
      <c r="H60" s="35" t="s">
        <v>91</v>
      </c>
    </row>
    <row r="61" spans="1:8" ht="152.55000000000001" hidden="1" customHeight="1" x14ac:dyDescent="0.25">
      <c r="A61" s="41">
        <v>6</v>
      </c>
      <c r="B61" s="89" t="s">
        <v>107</v>
      </c>
      <c r="C61" s="90"/>
      <c r="D61" s="90"/>
      <c r="E61" s="30" t="s">
        <v>96</v>
      </c>
      <c r="F61" s="38" t="s">
        <v>97</v>
      </c>
      <c r="G61" s="33">
        <v>46101</v>
      </c>
      <c r="H61" s="35" t="s">
        <v>98</v>
      </c>
    </row>
    <row r="62" spans="1:8" ht="111" hidden="1" customHeight="1" x14ac:dyDescent="0.25">
      <c r="A62" s="41">
        <v>7</v>
      </c>
      <c r="B62" s="89" t="s">
        <v>108</v>
      </c>
      <c r="C62" s="90"/>
      <c r="D62" s="90"/>
      <c r="E62" s="30" t="s">
        <v>83</v>
      </c>
      <c r="F62" s="38" t="s">
        <v>23</v>
      </c>
      <c r="G62" s="33">
        <v>46109</v>
      </c>
      <c r="H62" s="35" t="s">
        <v>105</v>
      </c>
    </row>
    <row r="63" spans="1:8" ht="155.55000000000001" hidden="1" customHeight="1" x14ac:dyDescent="0.25">
      <c r="A63" s="41">
        <v>8</v>
      </c>
      <c r="B63" s="89" t="s">
        <v>99</v>
      </c>
      <c r="C63" s="90"/>
      <c r="D63" s="90"/>
      <c r="E63" s="30" t="s">
        <v>83</v>
      </c>
      <c r="F63" s="38" t="s">
        <v>100</v>
      </c>
      <c r="G63" s="33">
        <v>46109</v>
      </c>
      <c r="H63" s="35" t="s">
        <v>102</v>
      </c>
    </row>
    <row r="64" spans="1:8" ht="180" hidden="1" customHeight="1" x14ac:dyDescent="0.25">
      <c r="A64" s="41">
        <v>9</v>
      </c>
      <c r="B64" s="89" t="s">
        <v>103</v>
      </c>
      <c r="C64" s="90"/>
      <c r="D64" s="90"/>
      <c r="E64" s="30" t="s">
        <v>74</v>
      </c>
      <c r="F64" s="38" t="s">
        <v>97</v>
      </c>
      <c r="G64" s="33">
        <v>46111</v>
      </c>
      <c r="H64" s="35" t="s">
        <v>104</v>
      </c>
    </row>
    <row r="65" spans="1:8" ht="142.5" hidden="1" customHeight="1" x14ac:dyDescent="0.25">
      <c r="A65" s="63">
        <v>4</v>
      </c>
      <c r="B65" s="89" t="s">
        <v>119</v>
      </c>
      <c r="C65" s="90"/>
      <c r="D65" s="90"/>
      <c r="E65" s="30" t="s">
        <v>83</v>
      </c>
      <c r="F65" s="38" t="s">
        <v>100</v>
      </c>
      <c r="G65" s="33">
        <v>46113</v>
      </c>
      <c r="H65" s="35" t="s">
        <v>113</v>
      </c>
    </row>
    <row r="66" spans="1:8" ht="187.05" hidden="1" customHeight="1" thickBot="1" x14ac:dyDescent="0.3">
      <c r="A66" s="62">
        <v>8</v>
      </c>
      <c r="B66" s="87" t="s">
        <v>106</v>
      </c>
      <c r="C66" s="88"/>
      <c r="D66" s="88"/>
      <c r="E66" s="64" t="s">
        <v>72</v>
      </c>
      <c r="F66" s="60" t="s">
        <v>100</v>
      </c>
      <c r="G66" s="65">
        <v>46113</v>
      </c>
      <c r="H66" s="59" t="s">
        <v>105</v>
      </c>
    </row>
    <row r="67" spans="1:8" ht="186.45" hidden="1" customHeight="1" x14ac:dyDescent="0.25">
      <c r="A67" s="63">
        <v>4</v>
      </c>
      <c r="B67" s="89" t="s">
        <v>111</v>
      </c>
      <c r="C67" s="90"/>
      <c r="D67" s="90"/>
      <c r="E67" s="30" t="s">
        <v>83</v>
      </c>
      <c r="F67" s="38" t="s">
        <v>112</v>
      </c>
      <c r="G67" s="33">
        <v>46122</v>
      </c>
      <c r="H67" s="35" t="s">
        <v>113</v>
      </c>
    </row>
    <row r="68" spans="1:8" ht="153" hidden="1" customHeight="1" x14ac:dyDescent="0.25">
      <c r="A68" s="63">
        <v>5</v>
      </c>
      <c r="B68" s="89" t="s">
        <v>117</v>
      </c>
      <c r="C68" s="90"/>
      <c r="D68" s="90"/>
      <c r="E68" s="30" t="s">
        <v>83</v>
      </c>
      <c r="F68" s="38" t="s">
        <v>100</v>
      </c>
      <c r="G68" s="33">
        <v>46123</v>
      </c>
      <c r="H68" s="35" t="s">
        <v>118</v>
      </c>
    </row>
    <row r="69" spans="1:8" ht="151.94999999999999" hidden="1" customHeight="1" x14ac:dyDescent="0.25">
      <c r="A69" s="63">
        <v>7</v>
      </c>
      <c r="B69" s="89" t="s">
        <v>114</v>
      </c>
      <c r="C69" s="90"/>
      <c r="D69" s="90"/>
      <c r="E69" s="30" t="s">
        <v>83</v>
      </c>
      <c r="F69" s="38" t="s">
        <v>115</v>
      </c>
      <c r="G69" s="33">
        <v>46116</v>
      </c>
      <c r="H69" s="35" t="s">
        <v>116</v>
      </c>
    </row>
    <row r="70" spans="1:8" ht="151.94999999999999" hidden="1" customHeight="1" x14ac:dyDescent="0.25">
      <c r="A70" s="63">
        <v>5</v>
      </c>
      <c r="B70" s="89" t="s">
        <v>122</v>
      </c>
      <c r="C70" s="90"/>
      <c r="D70" s="90"/>
      <c r="E70" s="30" t="s">
        <v>83</v>
      </c>
      <c r="F70" s="38" t="s">
        <v>100</v>
      </c>
      <c r="G70" s="33">
        <v>46147</v>
      </c>
      <c r="H70" s="35" t="s">
        <v>123</v>
      </c>
    </row>
    <row r="71" spans="1:8" ht="181.5" hidden="1" customHeight="1" x14ac:dyDescent="0.25">
      <c r="A71" s="63">
        <v>5</v>
      </c>
      <c r="B71" s="89" t="s">
        <v>124</v>
      </c>
      <c r="C71" s="90"/>
      <c r="D71" s="90"/>
      <c r="E71" s="30" t="s">
        <v>74</v>
      </c>
      <c r="F71" s="38" t="s">
        <v>100</v>
      </c>
      <c r="G71" s="33">
        <v>46147</v>
      </c>
      <c r="H71" s="35" t="s">
        <v>125</v>
      </c>
    </row>
    <row r="72" spans="1:8" ht="356.55" hidden="1" customHeight="1" x14ac:dyDescent="0.25">
      <c r="A72" s="63">
        <v>6</v>
      </c>
      <c r="B72" s="89" t="s">
        <v>126</v>
      </c>
      <c r="C72" s="90"/>
      <c r="D72" s="90"/>
      <c r="E72" s="30" t="s">
        <v>83</v>
      </c>
      <c r="F72" s="38" t="s">
        <v>100</v>
      </c>
      <c r="G72" s="33">
        <v>46147</v>
      </c>
      <c r="H72" s="35" t="s">
        <v>102</v>
      </c>
    </row>
    <row r="73" spans="1:8" ht="188.55" hidden="1" customHeight="1" x14ac:dyDescent="0.25">
      <c r="A73" s="63">
        <v>3</v>
      </c>
      <c r="B73" s="89" t="s">
        <v>130</v>
      </c>
      <c r="C73" s="90"/>
      <c r="D73" s="90"/>
      <c r="E73" s="30" t="s">
        <v>83</v>
      </c>
      <c r="F73" s="38" t="s">
        <v>100</v>
      </c>
      <c r="G73" s="33">
        <v>46152</v>
      </c>
      <c r="H73" s="35" t="s">
        <v>131</v>
      </c>
    </row>
    <row r="74" spans="1:8" ht="223.5" hidden="1" customHeight="1" x14ac:dyDescent="0.25">
      <c r="A74" s="71">
        <v>3</v>
      </c>
      <c r="B74" s="154" t="s">
        <v>132</v>
      </c>
      <c r="C74" s="155"/>
      <c r="D74" s="155"/>
      <c r="E74" s="54" t="s">
        <v>83</v>
      </c>
      <c r="F74" s="50" t="s">
        <v>100</v>
      </c>
      <c r="G74" s="51">
        <v>46172</v>
      </c>
      <c r="H74" s="56" t="s">
        <v>133</v>
      </c>
    </row>
    <row r="75" spans="1:8" ht="118.95" hidden="1" customHeight="1" thickBot="1" x14ac:dyDescent="0.3">
      <c r="A75" s="69">
        <v>3</v>
      </c>
      <c r="B75" s="97" t="s">
        <v>135</v>
      </c>
      <c r="C75" s="98"/>
      <c r="D75" s="98"/>
      <c r="E75" s="47" t="s">
        <v>83</v>
      </c>
      <c r="F75" s="48" t="s">
        <v>100</v>
      </c>
      <c r="G75" s="70">
        <v>46172</v>
      </c>
      <c r="H75" s="49" t="s">
        <v>134</v>
      </c>
    </row>
  </sheetData>
  <mergeCells count="95">
    <mergeCell ref="B75:D75"/>
    <mergeCell ref="B74:D74"/>
    <mergeCell ref="B71:D71"/>
    <mergeCell ref="B70:D70"/>
    <mergeCell ref="B67:D67"/>
    <mergeCell ref="B68:D68"/>
    <mergeCell ref="B69:D69"/>
    <mergeCell ref="B72:D72"/>
    <mergeCell ref="B73:D73"/>
    <mergeCell ref="A13:B13"/>
    <mergeCell ref="C13:D13"/>
    <mergeCell ref="E15:F15"/>
    <mergeCell ref="E7:F7"/>
    <mergeCell ref="E8:F8"/>
    <mergeCell ref="E13:F13"/>
    <mergeCell ref="C8:D8"/>
    <mergeCell ref="A7:B7"/>
    <mergeCell ref="C7:D7"/>
    <mergeCell ref="E14:F14"/>
    <mergeCell ref="W7:X7"/>
    <mergeCell ref="W8:X8"/>
    <mergeCell ref="B51:D51"/>
    <mergeCell ref="B49:D49"/>
    <mergeCell ref="B47:D47"/>
    <mergeCell ref="B35:D35"/>
    <mergeCell ref="B34:D34"/>
    <mergeCell ref="B41:D41"/>
    <mergeCell ref="B50:D50"/>
    <mergeCell ref="B42:D42"/>
    <mergeCell ref="B43:D43"/>
    <mergeCell ref="B44:D44"/>
    <mergeCell ref="B45:D45"/>
    <mergeCell ref="B46:D46"/>
    <mergeCell ref="G16:H16"/>
    <mergeCell ref="U7:V7"/>
    <mergeCell ref="W12:X12"/>
    <mergeCell ref="W9:X9"/>
    <mergeCell ref="A9:B9"/>
    <mergeCell ref="C9:D9"/>
    <mergeCell ref="G9:H9"/>
    <mergeCell ref="G12:H12"/>
    <mergeCell ref="E9:F9"/>
    <mergeCell ref="A10:B12"/>
    <mergeCell ref="C10:D12"/>
    <mergeCell ref="E10:F10"/>
    <mergeCell ref="G10:H10"/>
    <mergeCell ref="E11:F11"/>
    <mergeCell ref="G11:H11"/>
    <mergeCell ref="E16:F16"/>
    <mergeCell ref="A31:H31"/>
    <mergeCell ref="B32:D32"/>
    <mergeCell ref="B33:D33"/>
    <mergeCell ref="E17:H17"/>
    <mergeCell ref="O13:R13"/>
    <mergeCell ref="G15:H15"/>
    <mergeCell ref="G13:H13"/>
    <mergeCell ref="A1:H1"/>
    <mergeCell ref="A2:H2"/>
    <mergeCell ref="E3:H3"/>
    <mergeCell ref="A4:B4"/>
    <mergeCell ref="A6:D6"/>
    <mergeCell ref="E6:H6"/>
    <mergeCell ref="E4:H4"/>
    <mergeCell ref="F5:H5"/>
    <mergeCell ref="G7:H7"/>
    <mergeCell ref="G8:H8"/>
    <mergeCell ref="E12:F12"/>
    <mergeCell ref="A5:B5"/>
    <mergeCell ref="A8:B8"/>
    <mergeCell ref="B58:D58"/>
    <mergeCell ref="B59:D59"/>
    <mergeCell ref="B60:D60"/>
    <mergeCell ref="P17:R17"/>
    <mergeCell ref="P18:R18"/>
    <mergeCell ref="B52:D52"/>
    <mergeCell ref="B53:D53"/>
    <mergeCell ref="B39:D39"/>
    <mergeCell ref="B40:D40"/>
    <mergeCell ref="A17:D17"/>
    <mergeCell ref="G14:H14"/>
    <mergeCell ref="A14:B16"/>
    <mergeCell ref="C14:D16"/>
    <mergeCell ref="B66:D66"/>
    <mergeCell ref="B65:D65"/>
    <mergeCell ref="B64:D64"/>
    <mergeCell ref="B54:D54"/>
    <mergeCell ref="B36:D36"/>
    <mergeCell ref="B37:D37"/>
    <mergeCell ref="B38:D38"/>
    <mergeCell ref="B61:D61"/>
    <mergeCell ref="B62:D62"/>
    <mergeCell ref="B63:D63"/>
    <mergeCell ref="B55:D55"/>
    <mergeCell ref="B56:D56"/>
    <mergeCell ref="B57:D57"/>
  </mergeCells>
  <conditionalFormatting sqref="C9:D9">
    <cfRule type="cellIs" dxfId="0" priority="1" operator="greaterThan">
      <formula>0.01</formula>
    </cfRule>
  </conditionalFormatting>
  <printOptions horizontalCentered="1" verticalCentered="1"/>
  <pageMargins left="0" right="0" top="0" bottom="0" header="0" footer="0"/>
  <pageSetup paperSize="9" scale="33" orientation="landscape" r:id="rId1"/>
  <rowBreaks count="1" manualBreakCount="1">
    <brk id="30" max="7" man="1"/>
  </rowBreaks>
  <colBreaks count="1" manualBreakCount="1">
    <brk id="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Anup-II</vt:lpstr>
      <vt:lpstr>'Anup-II'!Print_Area</vt:lpstr>
      <vt:lpstr>'Anup-II'!Print_Titles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 Mondal</dc:creator>
  <cp:lastModifiedBy>Info</cp:lastModifiedBy>
  <cp:lastPrinted>2026-03-14T06:54:59Z</cp:lastPrinted>
  <dcterms:created xsi:type="dcterms:W3CDTF">2025-07-31T12:24:50Z</dcterms:created>
  <dcterms:modified xsi:type="dcterms:W3CDTF">2026-07-30T12:37:28Z</dcterms:modified>
</cp:coreProperties>
</file>