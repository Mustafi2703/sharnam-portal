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D:\3-Projects\14-Viatrix Engineering &amp; Plastics LLP 1\2. Project Constrcution\7. Billing Measurement Finance\7.1 Vendor RA Bills\7.2.2 PEB\7.2.2.1 Lot 1\"/>
    </mc:Choice>
  </mc:AlternateContent>
  <xr:revisionPtr revIDLastSave="0" documentId="13_ncr:1_{D5A2B090-DD30-4F68-B060-D28DF9B2469F}" xr6:coauthVersionLast="47" xr6:coauthVersionMax="47" xr10:uidLastSave="{00000000-0000-0000-0000-000000000000}"/>
  <bookViews>
    <workbookView xWindow="-108" yWindow="-108" windowWidth="23256" windowHeight="12456" xr2:uid="{00000000-000D-0000-FFFF-FFFF00000000}"/>
  </bookViews>
  <sheets>
    <sheet name="PEB Supply Material " sheetId="1" r:id="rId1"/>
    <sheet name="PEB ERECTION " sheetId="2" r:id="rId2"/>
    <sheet name="CIVIL RA Bill" sheetId="3" r:id="rId3"/>
    <sheet name="Summary Civil" sheetId="5" r:id="rId4"/>
    <sheet name="CIVIL STEEL " sheetId="4" r:id="rId5"/>
    <sheet name="Karmasth Fire " sheetId="7" r:id="rId6"/>
  </sheets>
  <externalReferences>
    <externalReference r:id="rId7"/>
  </externalReferenc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84" i="1" l="1"/>
  <c r="U85" i="1"/>
  <c r="J27" i="1"/>
  <c r="S91" i="1" l="1"/>
  <c r="S88" i="1"/>
  <c r="R88" i="1"/>
  <c r="Q88" i="1"/>
  <c r="P88" i="1"/>
  <c r="O86" i="1"/>
  <c r="N86" i="1"/>
  <c r="O85" i="1"/>
  <c r="P85" i="1"/>
  <c r="P86" i="1"/>
  <c r="Q85" i="1"/>
  <c r="Q86" i="1"/>
  <c r="R85" i="1"/>
  <c r="U86" i="1" s="1"/>
  <c r="G92" i="1" s="1"/>
  <c r="R86" i="1"/>
  <c r="S85" i="1"/>
  <c r="S86" i="1"/>
  <c r="T85" i="1"/>
  <c r="T86" i="1"/>
  <c r="L12" i="1" l="1"/>
  <c r="L30" i="1"/>
  <c r="L34" i="1"/>
  <c r="L36" i="1"/>
  <c r="L40" i="1"/>
  <c r="L42" i="1"/>
  <c r="L44" i="1"/>
  <c r="L51" i="1"/>
  <c r="L53" i="1"/>
  <c r="L54" i="1"/>
  <c r="L56" i="1"/>
  <c r="L57" i="1"/>
  <c r="L58" i="1"/>
  <c r="L60" i="1"/>
  <c r="L65" i="1"/>
  <c r="L67" i="1"/>
  <c r="L68" i="1"/>
  <c r="L69" i="1"/>
  <c r="L72" i="1"/>
  <c r="L74" i="1"/>
  <c r="L75" i="1"/>
  <c r="L77" i="1"/>
  <c r="L79" i="1"/>
  <c r="L80" i="1"/>
  <c r="L81" i="1"/>
  <c r="L82" i="1"/>
  <c r="L83" i="1"/>
  <c r="L84" i="1"/>
  <c r="L8" i="1"/>
  <c r="M86" i="1"/>
  <c r="K86" i="1"/>
  <c r="J7" i="7"/>
  <c r="J8" i="7"/>
  <c r="J9" i="7"/>
  <c r="J10" i="7"/>
  <c r="J11" i="7"/>
  <c r="J6" i="7"/>
  <c r="H10" i="7"/>
  <c r="F12" i="7"/>
  <c r="G9" i="7"/>
  <c r="I9" i="7"/>
  <c r="I10" i="7"/>
  <c r="G11" i="7"/>
  <c r="I11" i="7"/>
  <c r="E9" i="7"/>
  <c r="E10" i="7"/>
  <c r="E11" i="7"/>
  <c r="D29" i="5" l="1"/>
  <c r="E29" i="5"/>
  <c r="F29" i="5"/>
  <c r="C29" i="5"/>
  <c r="C27" i="5"/>
  <c r="E25" i="5"/>
  <c r="F25" i="5" s="1"/>
  <c r="E24" i="5"/>
  <c r="F24" i="5" s="1"/>
  <c r="F23" i="5"/>
  <c r="A23" i="5"/>
  <c r="A24" i="5" s="1"/>
  <c r="F22" i="5"/>
  <c r="E22" i="5"/>
  <c r="E27" i="5" s="1"/>
  <c r="D22" i="5"/>
  <c r="D27" i="5" s="1"/>
  <c r="A22" i="5"/>
  <c r="E21" i="5"/>
  <c r="C19" i="5"/>
  <c r="E17" i="5"/>
  <c r="D17" i="5"/>
  <c r="E16" i="5"/>
  <c r="D16" i="5"/>
  <c r="F16" i="5" s="1"/>
  <c r="E15" i="5"/>
  <c r="D15" i="5"/>
  <c r="E14" i="5"/>
  <c r="D14" i="5"/>
  <c r="F14" i="5" s="1"/>
  <c r="F13" i="5"/>
  <c r="F12" i="5"/>
  <c r="E11" i="5"/>
  <c r="D11" i="5"/>
  <c r="F11" i="5" s="1"/>
  <c r="E10" i="5"/>
  <c r="D10" i="5"/>
  <c r="E9" i="5"/>
  <c r="D9" i="5"/>
  <c r="F9" i="5" s="1"/>
  <c r="A9" i="5"/>
  <c r="A10" i="5" s="1"/>
  <c r="A11" i="5" s="1"/>
  <c r="A12" i="5" s="1"/>
  <c r="A13" i="5" s="1"/>
  <c r="A14" i="5" s="1"/>
  <c r="A15" i="5" s="1"/>
  <c r="A16" i="5" s="1"/>
  <c r="A17" i="5" s="1"/>
  <c r="E8" i="5"/>
  <c r="F8" i="5" s="1"/>
  <c r="D8" i="5"/>
  <c r="F10" i="5" l="1"/>
  <c r="F19" i="5" s="1"/>
  <c r="F15" i="5"/>
  <c r="F27" i="5"/>
  <c r="F17" i="5"/>
  <c r="E19" i="5"/>
  <c r="D19" i="5"/>
  <c r="F12" i="4" l="1"/>
  <c r="G12" i="3" l="1"/>
  <c r="J12" i="3" s="1"/>
  <c r="I12" i="3"/>
  <c r="G11" i="3"/>
  <c r="K12" i="3" l="1"/>
  <c r="O84" i="1" l="1"/>
  <c r="P84" i="1" s="1"/>
  <c r="T84" i="1" l="1"/>
  <c r="S84" i="1"/>
  <c r="R84" i="1"/>
  <c r="Q84" i="1"/>
  <c r="O78" i="1"/>
  <c r="O79" i="1"/>
  <c r="T79" i="1" s="1"/>
  <c r="O80" i="1"/>
  <c r="O81" i="1"/>
  <c r="O82" i="1"/>
  <c r="O83" i="1"/>
  <c r="J78" i="1"/>
  <c r="L78" i="1" s="1"/>
  <c r="P81" i="1" l="1"/>
  <c r="S81" i="1"/>
  <c r="Q81" i="1"/>
  <c r="R81" i="1"/>
  <c r="T78" i="1"/>
  <c r="S78" i="1"/>
  <c r="P78" i="1"/>
  <c r="Q78" i="1"/>
  <c r="R78" i="1"/>
  <c r="T80" i="1"/>
  <c r="S80" i="1"/>
  <c r="P80" i="1"/>
  <c r="Q80" i="1"/>
  <c r="R80" i="1"/>
  <c r="Q79" i="1"/>
  <c r="R79" i="1"/>
  <c r="P79" i="1"/>
  <c r="S79" i="1"/>
  <c r="T83" i="1"/>
  <c r="Q83" i="1"/>
  <c r="P83" i="1"/>
  <c r="S83" i="1"/>
  <c r="R83" i="1"/>
  <c r="T82" i="1"/>
  <c r="S82" i="1"/>
  <c r="P82" i="1"/>
  <c r="Q82" i="1"/>
  <c r="R82" i="1"/>
  <c r="T81" i="1"/>
  <c r="U81" i="1" l="1"/>
  <c r="U82" i="1"/>
  <c r="U78" i="1"/>
  <c r="U83" i="1"/>
  <c r="U79" i="1"/>
  <c r="U80" i="1"/>
  <c r="G7" i="7" l="1"/>
  <c r="G8" i="7"/>
  <c r="G6" i="7"/>
  <c r="I7" i="7"/>
  <c r="I8" i="7"/>
  <c r="I6" i="7"/>
  <c r="E7" i="7"/>
  <c r="E8" i="7"/>
  <c r="E6" i="7"/>
  <c r="I16" i="7"/>
  <c r="F17" i="7"/>
  <c r="I17" i="7" s="1"/>
  <c r="I19" i="7" l="1"/>
  <c r="J12" i="7" l="1"/>
  <c r="F10" i="4"/>
  <c r="F11" i="4"/>
  <c r="G8" i="3" l="1"/>
  <c r="J8" i="3" s="1"/>
  <c r="G9" i="3"/>
  <c r="J9" i="3" s="1"/>
  <c r="G10" i="3"/>
  <c r="I10" i="3" s="1"/>
  <c r="I11" i="3"/>
  <c r="J11" i="3" l="1"/>
  <c r="K11" i="3" s="1"/>
  <c r="J10" i="3"/>
  <c r="K10" i="3" s="1"/>
  <c r="I9" i="3"/>
  <c r="K9" i="3" s="1"/>
  <c r="I8" i="3"/>
  <c r="K8" i="3" s="1"/>
  <c r="G13" i="2" l="1"/>
  <c r="F13" i="2"/>
  <c r="G12" i="2"/>
  <c r="G15" i="2" s="1"/>
  <c r="G7" i="2"/>
  <c r="O44" i="1" l="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8" i="1"/>
  <c r="J76" i="1"/>
  <c r="L76" i="1" s="1"/>
  <c r="J73" i="1"/>
  <c r="L73" i="1" s="1"/>
  <c r="J71" i="1"/>
  <c r="L71" i="1" s="1"/>
  <c r="J70" i="1"/>
  <c r="L70" i="1" s="1"/>
  <c r="J66" i="1"/>
  <c r="L66" i="1" s="1"/>
  <c r="J64" i="1"/>
  <c r="L64" i="1" s="1"/>
  <c r="J63" i="1"/>
  <c r="L63" i="1" s="1"/>
  <c r="J62" i="1"/>
  <c r="L62" i="1" s="1"/>
  <c r="J61" i="1"/>
  <c r="L61" i="1" s="1"/>
  <c r="J59" i="1"/>
  <c r="L59" i="1" s="1"/>
  <c r="J55" i="1"/>
  <c r="L55" i="1" s="1"/>
  <c r="J52" i="1"/>
  <c r="L52" i="1" s="1"/>
  <c r="J50" i="1"/>
  <c r="L50" i="1" s="1"/>
  <c r="J49" i="1"/>
  <c r="L49" i="1" s="1"/>
  <c r="J48" i="1"/>
  <c r="L48" i="1" s="1"/>
  <c r="J47" i="1"/>
  <c r="L47" i="1" s="1"/>
  <c r="J46" i="1"/>
  <c r="L46" i="1" s="1"/>
  <c r="J45" i="1"/>
  <c r="L45" i="1" s="1"/>
  <c r="J43" i="1"/>
  <c r="L43" i="1" s="1"/>
  <c r="J41" i="1"/>
  <c r="L41" i="1" s="1"/>
  <c r="J39" i="1"/>
  <c r="L39" i="1" s="1"/>
  <c r="J35" i="1"/>
  <c r="L35" i="1" s="1"/>
  <c r="J33" i="1"/>
  <c r="L33" i="1" s="1"/>
  <c r="J32" i="1"/>
  <c r="L32" i="1" s="1"/>
  <c r="J31" i="1"/>
  <c r="L31" i="1" s="1"/>
  <c r="J29" i="1"/>
  <c r="L29" i="1" s="1"/>
  <c r="J28" i="1"/>
  <c r="L28" i="1" s="1"/>
  <c r="L27" i="1"/>
  <c r="J26" i="1"/>
  <c r="L26" i="1" s="1"/>
  <c r="J25" i="1"/>
  <c r="L25" i="1" s="1"/>
  <c r="J24" i="1"/>
  <c r="L24" i="1" s="1"/>
  <c r="J23" i="1"/>
  <c r="L23" i="1" s="1"/>
  <c r="J22" i="1"/>
  <c r="L22" i="1" s="1"/>
  <c r="J21" i="1"/>
  <c r="L21" i="1" s="1"/>
  <c r="J20" i="1"/>
  <c r="L20" i="1" s="1"/>
  <c r="I19" i="1"/>
  <c r="J19" i="1" s="1"/>
  <c r="L19" i="1" s="1"/>
  <c r="J18" i="1"/>
  <c r="L18" i="1" s="1"/>
  <c r="J17" i="1"/>
  <c r="L17" i="1" s="1"/>
  <c r="J16" i="1"/>
  <c r="L16" i="1" s="1"/>
  <c r="J15" i="1"/>
  <c r="L15" i="1" s="1"/>
  <c r="J14" i="1"/>
  <c r="L14" i="1" s="1"/>
  <c r="J13" i="1"/>
  <c r="L13" i="1" s="1"/>
  <c r="J11" i="1"/>
  <c r="L11" i="1" s="1"/>
  <c r="J10" i="1"/>
  <c r="L10" i="1" s="1"/>
  <c r="J9" i="1"/>
  <c r="L9" i="1" s="1"/>
  <c r="L86" i="1" l="1"/>
  <c r="J86" i="1"/>
  <c r="S48" i="1"/>
  <c r="P48" i="1"/>
  <c r="Q48" i="1"/>
  <c r="R48" i="1"/>
  <c r="T48" i="1"/>
  <c r="Q71" i="1"/>
  <c r="R71" i="1"/>
  <c r="P71" i="1"/>
  <c r="S71" i="1"/>
  <c r="T71" i="1"/>
  <c r="Q63" i="1"/>
  <c r="R63" i="1"/>
  <c r="P63" i="1"/>
  <c r="S63" i="1"/>
  <c r="T63" i="1"/>
  <c r="Q55" i="1"/>
  <c r="R55" i="1"/>
  <c r="P55" i="1"/>
  <c r="S55" i="1"/>
  <c r="T55" i="1"/>
  <c r="R47" i="1"/>
  <c r="P47" i="1"/>
  <c r="Q47" i="1"/>
  <c r="S47" i="1"/>
  <c r="T47" i="1"/>
  <c r="S38" i="1"/>
  <c r="P38" i="1"/>
  <c r="Q38" i="1"/>
  <c r="R38" i="1"/>
  <c r="T38" i="1"/>
  <c r="S30" i="1"/>
  <c r="P30" i="1"/>
  <c r="Q30" i="1"/>
  <c r="R30" i="1"/>
  <c r="T30" i="1"/>
  <c r="S22" i="1"/>
  <c r="P22" i="1"/>
  <c r="Q22" i="1"/>
  <c r="R22" i="1"/>
  <c r="T22" i="1"/>
  <c r="S14" i="1"/>
  <c r="P14" i="1"/>
  <c r="Q14" i="1"/>
  <c r="R14" i="1"/>
  <c r="T14" i="1"/>
  <c r="R23" i="1"/>
  <c r="P23" i="1"/>
  <c r="Q23" i="1"/>
  <c r="S23" i="1"/>
  <c r="T23" i="1"/>
  <c r="S8" i="1"/>
  <c r="P8" i="1"/>
  <c r="Q8" i="1"/>
  <c r="R8" i="1"/>
  <c r="T8" i="1"/>
  <c r="S54" i="1"/>
  <c r="P54" i="1"/>
  <c r="Q54" i="1"/>
  <c r="R54" i="1"/>
  <c r="T54" i="1"/>
  <c r="R37" i="1"/>
  <c r="P37" i="1"/>
  <c r="Q37" i="1"/>
  <c r="S37" i="1"/>
  <c r="T37" i="1"/>
  <c r="R77" i="1"/>
  <c r="P77" i="1"/>
  <c r="Q77" i="1"/>
  <c r="S77" i="1"/>
  <c r="T77" i="1"/>
  <c r="R69" i="1"/>
  <c r="P69" i="1"/>
  <c r="Q69" i="1"/>
  <c r="S69" i="1"/>
  <c r="T69" i="1"/>
  <c r="R61" i="1"/>
  <c r="P61" i="1"/>
  <c r="Q61" i="1"/>
  <c r="S61" i="1"/>
  <c r="T61" i="1"/>
  <c r="R53" i="1"/>
  <c r="P53" i="1"/>
  <c r="Q53" i="1"/>
  <c r="S53" i="1"/>
  <c r="T53" i="1"/>
  <c r="Q45" i="1"/>
  <c r="U45" i="1" s="1"/>
  <c r="R45" i="1"/>
  <c r="P45" i="1"/>
  <c r="S45" i="1"/>
  <c r="T45" i="1"/>
  <c r="S36" i="1"/>
  <c r="P36" i="1"/>
  <c r="Q36" i="1"/>
  <c r="R36" i="1"/>
  <c r="T36" i="1"/>
  <c r="S28" i="1"/>
  <c r="P28" i="1"/>
  <c r="Q28" i="1"/>
  <c r="R28" i="1"/>
  <c r="T28" i="1"/>
  <c r="S20" i="1"/>
  <c r="P20" i="1"/>
  <c r="Q20" i="1"/>
  <c r="R20" i="1"/>
  <c r="T20" i="1"/>
  <c r="S12" i="1"/>
  <c r="P12" i="1"/>
  <c r="Q12" i="1"/>
  <c r="R12" i="1"/>
  <c r="T12" i="1"/>
  <c r="S72" i="1"/>
  <c r="P72" i="1"/>
  <c r="Q72" i="1"/>
  <c r="R72" i="1"/>
  <c r="T72" i="1"/>
  <c r="R39" i="1"/>
  <c r="P39" i="1"/>
  <c r="Q39" i="1"/>
  <c r="S39" i="1"/>
  <c r="T39" i="1"/>
  <c r="S70" i="1"/>
  <c r="P70" i="1"/>
  <c r="Q70" i="1"/>
  <c r="R70" i="1"/>
  <c r="T70" i="1"/>
  <c r="S46" i="1"/>
  <c r="P46" i="1"/>
  <c r="Q46" i="1"/>
  <c r="R46" i="1"/>
  <c r="T46" i="1"/>
  <c r="R29" i="1"/>
  <c r="P29" i="1"/>
  <c r="Q29" i="1"/>
  <c r="S29" i="1"/>
  <c r="T29" i="1"/>
  <c r="S76" i="1"/>
  <c r="P76" i="1"/>
  <c r="Q76" i="1"/>
  <c r="R76" i="1"/>
  <c r="T76" i="1"/>
  <c r="S52" i="1"/>
  <c r="P52" i="1"/>
  <c r="Q52" i="1"/>
  <c r="R52" i="1"/>
  <c r="T52" i="1"/>
  <c r="R35" i="1"/>
  <c r="P35" i="1"/>
  <c r="Q35" i="1"/>
  <c r="S35" i="1"/>
  <c r="T35" i="1"/>
  <c r="R27" i="1"/>
  <c r="P27" i="1"/>
  <c r="Q27" i="1"/>
  <c r="S27" i="1"/>
  <c r="T27" i="1"/>
  <c r="R19" i="1"/>
  <c r="P19" i="1"/>
  <c r="Q19" i="1"/>
  <c r="S19" i="1"/>
  <c r="T19" i="1"/>
  <c r="R11" i="1"/>
  <c r="P11" i="1"/>
  <c r="Q11" i="1"/>
  <c r="S11" i="1"/>
  <c r="T11" i="1"/>
  <c r="S64" i="1"/>
  <c r="P64" i="1"/>
  <c r="Q64" i="1"/>
  <c r="R64" i="1"/>
  <c r="T64" i="1"/>
  <c r="R31" i="1"/>
  <c r="P31" i="1"/>
  <c r="Q31" i="1"/>
  <c r="S31" i="1"/>
  <c r="T31" i="1"/>
  <c r="R21" i="1"/>
  <c r="P21" i="1"/>
  <c r="Q21" i="1"/>
  <c r="S21" i="1"/>
  <c r="T21" i="1"/>
  <c r="S56" i="1"/>
  <c r="P56" i="1"/>
  <c r="Q56" i="1"/>
  <c r="R56" i="1"/>
  <c r="T56" i="1"/>
  <c r="R15" i="1"/>
  <c r="P15" i="1"/>
  <c r="Q15" i="1"/>
  <c r="S15" i="1"/>
  <c r="T15" i="1"/>
  <c r="S62" i="1"/>
  <c r="P62" i="1"/>
  <c r="Q62" i="1"/>
  <c r="R62" i="1"/>
  <c r="T62" i="1"/>
  <c r="R13" i="1"/>
  <c r="P13" i="1"/>
  <c r="Q13" i="1"/>
  <c r="S13" i="1"/>
  <c r="T13" i="1"/>
  <c r="S68" i="1"/>
  <c r="P68" i="1"/>
  <c r="Q68" i="1"/>
  <c r="R68" i="1"/>
  <c r="T68" i="1"/>
  <c r="S60" i="1"/>
  <c r="P60" i="1"/>
  <c r="Q60" i="1"/>
  <c r="R60" i="1"/>
  <c r="T60" i="1"/>
  <c r="R43" i="1"/>
  <c r="P43" i="1"/>
  <c r="Q43" i="1"/>
  <c r="S43" i="1"/>
  <c r="T43" i="1"/>
  <c r="Q75" i="1"/>
  <c r="R75" i="1"/>
  <c r="P75" i="1"/>
  <c r="S75" i="1"/>
  <c r="T75" i="1"/>
  <c r="Q67" i="1"/>
  <c r="R67" i="1"/>
  <c r="P67" i="1"/>
  <c r="S67" i="1"/>
  <c r="T67" i="1"/>
  <c r="Q59" i="1"/>
  <c r="R59" i="1"/>
  <c r="P59" i="1"/>
  <c r="S59" i="1"/>
  <c r="T59" i="1"/>
  <c r="Q51" i="1"/>
  <c r="R51" i="1"/>
  <c r="P51" i="1"/>
  <c r="S51" i="1"/>
  <c r="T51" i="1"/>
  <c r="S42" i="1"/>
  <c r="P42" i="1"/>
  <c r="Q42" i="1"/>
  <c r="R42" i="1"/>
  <c r="T42" i="1"/>
  <c r="S34" i="1"/>
  <c r="P34" i="1"/>
  <c r="Q34" i="1"/>
  <c r="R34" i="1"/>
  <c r="T34" i="1"/>
  <c r="S26" i="1"/>
  <c r="P26" i="1"/>
  <c r="Q26" i="1"/>
  <c r="R26" i="1"/>
  <c r="T26" i="1"/>
  <c r="S18" i="1"/>
  <c r="P18" i="1"/>
  <c r="Q18" i="1"/>
  <c r="R18" i="1"/>
  <c r="T18" i="1"/>
  <c r="S10" i="1"/>
  <c r="P10" i="1"/>
  <c r="Q10" i="1"/>
  <c r="R10" i="1"/>
  <c r="T10" i="1"/>
  <c r="S74" i="1"/>
  <c r="P74" i="1"/>
  <c r="Q74" i="1"/>
  <c r="R74" i="1"/>
  <c r="T74" i="1"/>
  <c r="S66" i="1"/>
  <c r="P66" i="1"/>
  <c r="Q66" i="1"/>
  <c r="R66" i="1"/>
  <c r="T66" i="1"/>
  <c r="S58" i="1"/>
  <c r="P58" i="1"/>
  <c r="Q58" i="1"/>
  <c r="R58" i="1"/>
  <c r="T58" i="1"/>
  <c r="S50" i="1"/>
  <c r="P50" i="1"/>
  <c r="Q50" i="1"/>
  <c r="R50" i="1"/>
  <c r="T50" i="1"/>
  <c r="R41" i="1"/>
  <c r="P41" i="1"/>
  <c r="Q41" i="1"/>
  <c r="S41" i="1"/>
  <c r="T41" i="1"/>
  <c r="R33" i="1"/>
  <c r="P33" i="1"/>
  <c r="Q33" i="1"/>
  <c r="S33" i="1"/>
  <c r="T33" i="1"/>
  <c r="R25" i="1"/>
  <c r="P25" i="1"/>
  <c r="Q25" i="1"/>
  <c r="S25" i="1"/>
  <c r="T25" i="1"/>
  <c r="R17" i="1"/>
  <c r="P17" i="1"/>
  <c r="Q17" i="1"/>
  <c r="S17" i="1"/>
  <c r="T17" i="1"/>
  <c r="R9" i="1"/>
  <c r="P9" i="1"/>
  <c r="Q9" i="1"/>
  <c r="S9" i="1"/>
  <c r="T9" i="1"/>
  <c r="R73" i="1"/>
  <c r="P73" i="1"/>
  <c r="Q73" i="1"/>
  <c r="S73" i="1"/>
  <c r="T73" i="1"/>
  <c r="R65" i="1"/>
  <c r="P65" i="1"/>
  <c r="Q65" i="1"/>
  <c r="S65" i="1"/>
  <c r="T65" i="1"/>
  <c r="R57" i="1"/>
  <c r="P57" i="1"/>
  <c r="Q57" i="1"/>
  <c r="S57" i="1"/>
  <c r="T57" i="1"/>
  <c r="R49" i="1"/>
  <c r="P49" i="1"/>
  <c r="Q49" i="1"/>
  <c r="S49" i="1"/>
  <c r="T49" i="1"/>
  <c r="S40" i="1"/>
  <c r="P40" i="1"/>
  <c r="Q40" i="1"/>
  <c r="R40" i="1"/>
  <c r="T40" i="1"/>
  <c r="S32" i="1"/>
  <c r="P32" i="1"/>
  <c r="Q32" i="1"/>
  <c r="R32" i="1"/>
  <c r="T32" i="1"/>
  <c r="S24" i="1"/>
  <c r="P24" i="1"/>
  <c r="Q24" i="1"/>
  <c r="R24" i="1"/>
  <c r="T24" i="1"/>
  <c r="S16" i="1"/>
  <c r="P16" i="1"/>
  <c r="Q16" i="1"/>
  <c r="R16" i="1"/>
  <c r="T16" i="1"/>
  <c r="S44" i="1"/>
  <c r="P44" i="1"/>
  <c r="Q44" i="1"/>
  <c r="R44" i="1"/>
  <c r="T44" i="1"/>
  <c r="U67" i="1" l="1"/>
  <c r="U60" i="1"/>
  <c r="U52" i="1"/>
  <c r="U43" i="1"/>
  <c r="U35" i="1"/>
  <c r="U72" i="1"/>
  <c r="U64" i="1"/>
  <c r="U56" i="1"/>
  <c r="U53" i="1"/>
  <c r="U37" i="1"/>
  <c r="U38" i="1"/>
  <c r="U48" i="1"/>
  <c r="U62" i="1"/>
  <c r="U39" i="1"/>
  <c r="U34" i="1"/>
  <c r="U54" i="1"/>
  <c r="U46" i="1"/>
  <c r="U36" i="1"/>
  <c r="U33" i="1"/>
  <c r="U49" i="1"/>
  <c r="U41" i="1"/>
  <c r="U61" i="1"/>
  <c r="U42" i="1"/>
  <c r="U40" i="1"/>
  <c r="U63" i="1"/>
  <c r="U55" i="1"/>
  <c r="U77" i="1"/>
  <c r="U44" i="1"/>
  <c r="U75" i="1"/>
  <c r="U69" i="1"/>
  <c r="U70" i="1"/>
  <c r="U57" i="1"/>
  <c r="U59" i="1"/>
  <c r="U66" i="1"/>
  <c r="U68" i="1"/>
  <c r="U47" i="1"/>
  <c r="U51" i="1"/>
  <c r="U73" i="1"/>
  <c r="U71" i="1"/>
  <c r="U65" i="1"/>
  <c r="U74" i="1"/>
  <c r="U58" i="1"/>
  <c r="U50" i="1"/>
  <c r="U76" i="1"/>
  <c r="F8" i="4" l="1"/>
  <c r="F9" i="4"/>
  <c r="F7" i="4"/>
  <c r="F6" i="4"/>
  <c r="G7" i="3" l="1"/>
  <c r="I7" i="3" s="1"/>
  <c r="G6" i="3"/>
  <c r="J7" i="3" l="1"/>
  <c r="K7" i="3" s="1"/>
  <c r="F13" i="4"/>
  <c r="G13" i="3"/>
  <c r="J6" i="3"/>
  <c r="I6" i="3"/>
  <c r="J13" i="3" l="1"/>
  <c r="K6" i="3"/>
  <c r="I13" i="3"/>
  <c r="K13" i="3" l="1"/>
  <c r="G6" i="2" l="1"/>
  <c r="F8" i="2" l="1"/>
  <c r="U31" i="1" l="1"/>
  <c r="U32" i="1"/>
  <c r="U15" i="1"/>
  <c r="U10" i="1"/>
  <c r="U26" i="1"/>
  <c r="U27" i="1"/>
  <c r="U11" i="1"/>
  <c r="U18" i="1"/>
  <c r="U9" i="1"/>
  <c r="U25" i="1"/>
  <c r="U19" i="1"/>
  <c r="U16" i="1"/>
  <c r="U24" i="1"/>
  <c r="U17" i="1"/>
  <c r="U23" i="1"/>
  <c r="G8" i="2"/>
  <c r="U22" i="1"/>
  <c r="U14" i="1"/>
  <c r="U29" i="1"/>
  <c r="U21" i="1"/>
  <c r="U13" i="1"/>
  <c r="U28" i="1"/>
  <c r="U20" i="1"/>
  <c r="U30" i="1"/>
  <c r="U12" i="1"/>
  <c r="U8" i="1" l="1"/>
  <c r="G94" i="1" l="1"/>
</calcChain>
</file>

<file path=xl/sharedStrings.xml><?xml version="1.0" encoding="utf-8"?>
<sst xmlns="http://schemas.openxmlformats.org/spreadsheetml/2006/main" count="403" uniqueCount="206">
  <si>
    <t>Sr. No.</t>
  </si>
  <si>
    <t>Description of Goods</t>
  </si>
  <si>
    <t>Challan No.</t>
  </si>
  <si>
    <t>Tax Invoice No.</t>
  </si>
  <si>
    <t>Invoice Date</t>
  </si>
  <si>
    <t>Recieved Date</t>
  </si>
  <si>
    <t>PEB Material</t>
  </si>
  <si>
    <t>Wooden Weight
(Kg)</t>
  </si>
  <si>
    <t>12.11.2025</t>
  </si>
  <si>
    <t>12.12.2025</t>
  </si>
  <si>
    <t>Gross</t>
  </si>
  <si>
    <t>Tare</t>
  </si>
  <si>
    <t>Net</t>
  </si>
  <si>
    <t>Vecicle No.</t>
  </si>
  <si>
    <t>GJ06XX1811</t>
  </si>
  <si>
    <t>GJ06AX4577</t>
  </si>
  <si>
    <t>GJ05BT3193</t>
  </si>
  <si>
    <t>GJ01ET5958</t>
  </si>
  <si>
    <t>GJ16AU6360</t>
  </si>
  <si>
    <t>GJ06AX9288</t>
  </si>
  <si>
    <t>GJ06AV3379</t>
  </si>
  <si>
    <t>GJ16V6687</t>
  </si>
  <si>
    <t>GJ06AV7978</t>
  </si>
  <si>
    <t>GJ06AV6862</t>
  </si>
  <si>
    <t>RJ27GC1327</t>
  </si>
  <si>
    <t>GJ12AT7474</t>
  </si>
  <si>
    <t>RJ14GG8825</t>
  </si>
  <si>
    <t>GJ27TD9148</t>
  </si>
  <si>
    <t>Total</t>
  </si>
  <si>
    <t>VIATRIX ENGINEERING &amp; PLASTIC LLP, BAMANGAM</t>
  </si>
  <si>
    <t>GJ27V8125</t>
  </si>
  <si>
    <t>01.01.2026</t>
  </si>
  <si>
    <t>GJ16AV3034</t>
  </si>
  <si>
    <t>GJ06XX8001</t>
  </si>
  <si>
    <t>GJ06AV4544</t>
  </si>
  <si>
    <t xml:space="preserve"> 10% OF Advance Along with LOA</t>
  </si>
  <si>
    <t>SPSPL/PRO/25-26/26</t>
  </si>
  <si>
    <t>20% Advance against the approval of the GA
design.</t>
  </si>
  <si>
    <t>SPSPL/PRO/25-26/40</t>
  </si>
  <si>
    <t xml:space="preserve">Recoveries ( 20% Advance Agains GA Drawing ) </t>
  </si>
  <si>
    <t xml:space="preserve">Advance ( 10 % Advance Along with LOA ) </t>
  </si>
  <si>
    <t>Recoveries 5 %(after erection of primary steel, secondary steel, alignment and bolt-tightening of structure and before starting the roof /side sheeting work.l.)</t>
  </si>
  <si>
    <t>Recoveries(5 % against erection of roof sheeting)</t>
  </si>
  <si>
    <t>Total Invoice value with GST</t>
  </si>
  <si>
    <t>Total Invoice value without GST</t>
  </si>
  <si>
    <t>Retentions (5%)</t>
  </si>
  <si>
    <t xml:space="preserve">Net Amount Payable Against This Bill With Advanced Amount  </t>
  </si>
  <si>
    <t>20 %  Against Mobilization</t>
  </si>
  <si>
    <t>114/2025-26</t>
  </si>
  <si>
    <t>Total Invoice value withGST</t>
  </si>
  <si>
    <t>Price Variation of material</t>
  </si>
  <si>
    <t>Against bill Raised</t>
  </si>
  <si>
    <t>Steel advance 85% adjusted as per consumption</t>
  </si>
  <si>
    <t>RA-01</t>
  </si>
  <si>
    <t>RA-02</t>
  </si>
  <si>
    <t xml:space="preserve">170/2025-26 </t>
  </si>
  <si>
    <t>CIVIL RA BILL</t>
  </si>
  <si>
    <t>Material Secured Advance @ 85%</t>
  </si>
  <si>
    <t>CIVIL STEEL ADVANCE BILL</t>
  </si>
  <si>
    <t>PEB SUPPLY MATERIAL</t>
  </si>
  <si>
    <t xml:space="preserve">ERECTION </t>
  </si>
  <si>
    <t>29.09.2025</t>
  </si>
  <si>
    <t>11.12.2025</t>
  </si>
  <si>
    <t>24.12.2025</t>
  </si>
  <si>
    <t>25.12.2025</t>
  </si>
  <si>
    <t>26.12.2025</t>
  </si>
  <si>
    <t>27.12.2025</t>
  </si>
  <si>
    <t>30.12.2025</t>
  </si>
  <si>
    <t>29.12.2025</t>
  </si>
  <si>
    <t>31.12.2025</t>
  </si>
  <si>
    <t>02.01.2026</t>
  </si>
  <si>
    <t>02.01.2025</t>
  </si>
  <si>
    <t>03.01.2026</t>
  </si>
  <si>
    <t>03.01.2025</t>
  </si>
  <si>
    <t>05.01.2026</t>
  </si>
  <si>
    <t>05.01.2025</t>
  </si>
  <si>
    <t>06.01.2026</t>
  </si>
  <si>
    <t>06.01.2025</t>
  </si>
  <si>
    <t>10.01.2026</t>
  </si>
  <si>
    <t>Wooden material return</t>
  </si>
  <si>
    <t>GJ06YY6488</t>
  </si>
  <si>
    <t>-</t>
  </si>
  <si>
    <t>SPSPL/25-26/026</t>
  </si>
  <si>
    <t xml:space="preserve"> </t>
  </si>
  <si>
    <t>13.01.2026</t>
  </si>
  <si>
    <t>PEB Insulation Material</t>
  </si>
  <si>
    <t>HR38W2207</t>
  </si>
  <si>
    <t>23.01.2026</t>
  </si>
  <si>
    <t>GJ35T2423</t>
  </si>
  <si>
    <t>28.01.2026</t>
  </si>
  <si>
    <t>GJ19X4381</t>
  </si>
  <si>
    <t>29.01.2026</t>
  </si>
  <si>
    <t>31.01.2026</t>
  </si>
  <si>
    <t>GJ06BX1210</t>
  </si>
  <si>
    <t>30.01.2026</t>
  </si>
  <si>
    <t>03.02.2026</t>
  </si>
  <si>
    <t>04.02.2026</t>
  </si>
  <si>
    <t>06.02.2026</t>
  </si>
  <si>
    <t>GJ06BY2481</t>
  </si>
  <si>
    <t>25.02.2026</t>
  </si>
  <si>
    <t>26.02.2026</t>
  </si>
  <si>
    <t>GJ17XX9444</t>
  </si>
  <si>
    <t>28.02.2026</t>
  </si>
  <si>
    <t>PEB Material/WOOD</t>
  </si>
  <si>
    <t>GJ06BT2931</t>
  </si>
  <si>
    <t>Not received yet</t>
  </si>
  <si>
    <t>12.03.2026</t>
  </si>
  <si>
    <t>GJ06YY4284</t>
  </si>
  <si>
    <t>14.03.2026</t>
  </si>
  <si>
    <t>13.03.2026</t>
  </si>
  <si>
    <t>17.03.2026</t>
  </si>
  <si>
    <t>GJ01ET6625</t>
  </si>
  <si>
    <t>16.03.2026</t>
  </si>
  <si>
    <t>20.03.2026</t>
  </si>
  <si>
    <t>GJ01HT8059</t>
  </si>
  <si>
    <t>19.03.2026</t>
  </si>
  <si>
    <t>11.04.2026</t>
  </si>
  <si>
    <t>GJ06VV5320</t>
  </si>
  <si>
    <t>PEB Material RETURN</t>
  </si>
  <si>
    <t>Viatrix-26-27/001-R</t>
  </si>
  <si>
    <t>18.04.2026</t>
  </si>
  <si>
    <t xml:space="preserve">PEB Material </t>
  </si>
  <si>
    <t>GJ06BY0113</t>
  </si>
  <si>
    <t>02.05.2026</t>
  </si>
  <si>
    <t>GJ06AT1904</t>
  </si>
  <si>
    <t>SPSPL/26-27/003</t>
  </si>
  <si>
    <t>04.05.2026</t>
  </si>
  <si>
    <t>GJ01AT8059</t>
  </si>
  <si>
    <t>07.05.2026</t>
  </si>
  <si>
    <t>GJ06BT7418</t>
  </si>
  <si>
    <t>23.05.2026</t>
  </si>
  <si>
    <t>28.05.2026</t>
  </si>
  <si>
    <t>27.05.2026</t>
  </si>
  <si>
    <t>29.01.2027</t>
  </si>
  <si>
    <t xml:space="preserve">Total </t>
  </si>
  <si>
    <t>Net Amount Payable Against raised Bill</t>
  </si>
  <si>
    <t>40 % of the contract value for erection work shall be released upon of Primary 
structure, Secondary structure &amp; final alignment of building with completion of 
all bolt tightening.</t>
  </si>
  <si>
    <t>As per the LOA, the total PEB steel weight is 307.690 MT with a contract value of ₹3,89,00,002 excluding GST. However, after carrying out detailed calculations, it was found that the actual steel weight is coming to approximately 405 MT. No PO amendment has been issued for this additional quantity and weight difference. Therefore, clarification and necessary action are requested regarding the excess steel quantity beyond the approved LOA scope.</t>
  </si>
  <si>
    <t>Note</t>
  </si>
  <si>
    <t>As per the LOA, the total PEB steel weight is 307.690 MT with a material supply value of ₹3,89,00,002 excluding GST. The erection value is ₹32,00,000 excluding GST.</t>
  </si>
  <si>
    <t>Total value without GST</t>
  </si>
  <si>
    <t>Total value with GST</t>
  </si>
  <si>
    <t xml:space="preserve">LOA value </t>
  </si>
  <si>
    <t xml:space="preserve">Raised Value </t>
  </si>
  <si>
    <t xml:space="preserve">balance Amount </t>
  </si>
  <si>
    <t>SR. NO.</t>
  </si>
  <si>
    <t>DESCRIPTION</t>
  </si>
  <si>
    <t>AMOUNT AS PER PO</t>
  </si>
  <si>
    <t>TOTAL BILL</t>
  </si>
  <si>
    <t>TENDER ITEM</t>
  </si>
  <si>
    <t>FACTORY BUILDING</t>
  </si>
  <si>
    <t>RCC ROAD &amp; DRAIN</t>
  </si>
  <si>
    <t>WATER SUPPLY NETWORK</t>
  </si>
  <si>
    <t>SEWAGE DISPOSAL NETWORK</t>
  </si>
  <si>
    <t>FIRE WATER TANK</t>
  </si>
  <si>
    <t>FIRE PUMP ROOM</t>
  </si>
  <si>
    <t>TRANSFORMER &amp; OTHER FDN</t>
  </si>
  <si>
    <t>DECORATIVE COMPOUND WALL</t>
  </si>
  <si>
    <t>NON DECORATIVE COMPOUND WALL</t>
  </si>
  <si>
    <t>TOTAL TENDER ITEAM:</t>
  </si>
  <si>
    <t>TOTAL NON TENDER ITEAM:</t>
  </si>
  <si>
    <t>Basic Rate Difference</t>
  </si>
  <si>
    <t>Cement</t>
  </si>
  <si>
    <t>Reinforcement Steel</t>
  </si>
  <si>
    <t>Structural Steel</t>
  </si>
  <si>
    <t>TOTAL ITEAM:</t>
  </si>
  <si>
    <t>RA-03</t>
  </si>
  <si>
    <t>RA-04</t>
  </si>
  <si>
    <t>RA-05</t>
  </si>
  <si>
    <t>RA-06</t>
  </si>
  <si>
    <t>193/2025-26</t>
  </si>
  <si>
    <t>229/2025-26</t>
  </si>
  <si>
    <t>14/2026-27</t>
  </si>
  <si>
    <t>27/2026-27</t>
  </si>
  <si>
    <t>Karmasth Fire And Safty Services</t>
  </si>
  <si>
    <t>85/26-27</t>
  </si>
  <si>
    <t xml:space="preserve">Material supply </t>
  </si>
  <si>
    <t>102/26-27</t>
  </si>
  <si>
    <t>Retentions (10%) of the Contract Value shall be paid upon successful commissioning and handing
over of the system to the Owner.</t>
  </si>
  <si>
    <t>Net Amount Payable</t>
  </si>
  <si>
    <t xml:space="preserve">PO value </t>
  </si>
  <si>
    <r>
      <rPr>
        <sz val="14"/>
        <color theme="1"/>
        <rFont val="Calibri"/>
        <family val="2"/>
        <scheme val="minor"/>
      </rPr>
      <t>B</t>
    </r>
    <r>
      <rPr>
        <b/>
        <sz val="14"/>
        <color theme="1"/>
        <rFont val="Calibri"/>
        <family val="2"/>
        <scheme val="minor"/>
      </rPr>
      <t xml:space="preserve">alance Amount </t>
    </r>
  </si>
  <si>
    <t>19.06.2026</t>
  </si>
  <si>
    <t>GJ06BT3316</t>
  </si>
  <si>
    <t>Remark: This bill has not been received at the site; therefore, the copy is pending.</t>
  </si>
  <si>
    <t>RA-07</t>
  </si>
  <si>
    <t>45/2026-27</t>
  </si>
  <si>
    <t>SUMMARY OF COST</t>
  </si>
  <si>
    <t>PROJECT NAME: Proposed Factory Building and Associated Work for Viatrix Engineering &amp; Plastic LLP at Bamangam.</t>
  </si>
  <si>
    <t>RA BILL:</t>
  </si>
  <si>
    <t>Name of Contractor : NK Infra</t>
  </si>
  <si>
    <t>DATE:</t>
  </si>
  <si>
    <t>AMOUNT (RS)</t>
  </si>
  <si>
    <t>PREVIOUS BILL</t>
  </si>
  <si>
    <t>THIS BILL</t>
  </si>
  <si>
    <t>UG-TANK/Cooling Tower</t>
  </si>
  <si>
    <t>NP2 300mm dia</t>
  </si>
  <si>
    <t>Sch - 40 (50mm Dia pipe)</t>
  </si>
  <si>
    <t>133/26-27</t>
  </si>
  <si>
    <t>161/26-27</t>
  </si>
  <si>
    <t>18%GST</t>
  </si>
  <si>
    <t>05%GST</t>
  </si>
  <si>
    <t xml:space="preserve">Vehical Weight as per Viatrix </t>
  </si>
  <si>
    <t xml:space="preserve">Vehical Weight as per Sankalp </t>
  </si>
  <si>
    <t>gj06bw7576</t>
  </si>
  <si>
    <t>GJ06BX5575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</si>
</sst>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_ [$₹-4009]\ * #,##0.00_ ;_ [$₹-4009]\ * \-#,##0.00_ ;_ [$₹-4009]\ * &quot;-&quot;??_ ;_ @_ "/>
    <numFmt numFmtId="165" formatCode="_ * #,##0_ ;_ * \-#,##0_ ;_ * &quot;-&quot;??_ ;_ @_ "/>
    <numFmt numFmtId="166" formatCode="_ [$₹-4009]\ * #,##0_ ;_ [$₹-4009]\ * \-#,##0_ ;_ [$₹-4009]\ * &quot;-&quot;??_ ;_ @_ "/>
    <numFmt numFmtId="167" formatCode="[$-14009]dd/mm/yyyy;@"/>
    <numFmt numFmtId="168" formatCode="[$-14009]dd/mm/yy;@"/>
  </numFmts>
  <fonts count="14" x14ac:knownFonts="1">
    <font>
      <sz val="11"/>
      <color theme="1"/>
      <name val="Calibri"/>
      <family val="2"/>
      <scheme val="minor"/>
    </font>
    <font>
      <b/>
      <sz val="11"/>
      <color theme="1"/>
      <name val="Calibri"/>
      <family val="2"/>
      <scheme val="minor"/>
    </font>
    <font>
      <u/>
      <sz val="22"/>
      <color theme="1"/>
      <name val="Calibri"/>
      <family val="2"/>
      <scheme val="minor"/>
    </font>
    <font>
      <b/>
      <sz val="14"/>
      <color theme="1"/>
      <name val="Calibri"/>
      <family val="2"/>
      <scheme val="minor"/>
    </font>
    <font>
      <b/>
      <sz val="18"/>
      <color theme="1"/>
      <name val="Calibri"/>
      <family val="2"/>
      <scheme val="minor"/>
    </font>
    <font>
      <sz val="11"/>
      <color theme="1"/>
      <name val="Calibri"/>
      <family val="2"/>
      <scheme val="minor"/>
    </font>
    <font>
      <sz val="8"/>
      <name val="Calibri"/>
      <family val="2"/>
      <scheme val="minor"/>
    </font>
    <font>
      <b/>
      <sz val="11"/>
      <name val="Calibri"/>
      <family val="2"/>
      <scheme val="minor"/>
    </font>
    <font>
      <sz val="14"/>
      <color theme="1"/>
      <name val="Calibri"/>
      <family val="2"/>
      <scheme val="minor"/>
    </font>
    <font>
      <sz val="10"/>
      <name val="Arial"/>
      <family val="2"/>
    </font>
    <font>
      <b/>
      <sz val="12"/>
      <name val="Calibri"/>
      <family val="2"/>
    </font>
    <font>
      <sz val="11"/>
      <color theme="1"/>
      <name val="Calibri"/>
      <family val="2"/>
    </font>
    <font>
      <b/>
      <sz val="12"/>
      <color theme="1"/>
      <name val="Calibri"/>
      <family val="2"/>
    </font>
    <font>
      <sz val="12"/>
      <name val="Calibri"/>
      <family val="2"/>
    </font>
  </fonts>
  <fills count="12">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bgColor indexed="64"/>
      </patternFill>
    </fill>
    <fill>
      <patternFill patternType="solid">
        <fgColor theme="6"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hair">
        <color indexed="64"/>
      </bottom>
      <diagonal/>
    </border>
    <border>
      <left/>
      <right/>
      <top style="hair">
        <color indexed="64"/>
      </top>
      <bottom style="hair">
        <color indexed="64"/>
      </bottom>
      <diagonal/>
    </border>
    <border>
      <left style="medium">
        <color indexed="64"/>
      </left>
      <right style="medium">
        <color indexed="64"/>
      </right>
      <top style="hair">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s>
  <cellStyleXfs count="6">
    <xf numFmtId="0" fontId="0" fillId="0" borderId="0"/>
    <xf numFmtId="43" fontId="5" fillId="0" borderId="0" applyFont="0" applyFill="0" applyBorder="0" applyAlignment="0" applyProtection="0"/>
    <xf numFmtId="0" fontId="9" fillId="0" borderId="0"/>
    <xf numFmtId="43" fontId="5" fillId="0" borderId="0" applyFont="0" applyFill="0" applyBorder="0" applyAlignment="0" applyProtection="0"/>
    <xf numFmtId="0" fontId="5" fillId="0" borderId="0"/>
    <xf numFmtId="0" fontId="11" fillId="0" borderId="0"/>
  </cellStyleXfs>
  <cellXfs count="225">
    <xf numFmtId="0" fontId="0" fillId="0" borderId="0" xfId="0"/>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6" borderId="10" xfId="0" applyFill="1" applyBorder="1"/>
    <xf numFmtId="0" fontId="0" fillId="6" borderId="15" xfId="0" applyFill="1" applyBorder="1"/>
    <xf numFmtId="0" fontId="0" fillId="6" borderId="2" xfId="0" applyFill="1" applyBorder="1"/>
    <xf numFmtId="164" fontId="0" fillId="6" borderId="10" xfId="0" applyNumberFormat="1" applyFill="1" applyBorder="1"/>
    <xf numFmtId="0" fontId="0" fillId="6" borderId="11" xfId="0" applyFill="1" applyBorder="1"/>
    <xf numFmtId="0" fontId="0" fillId="6" borderId="17" xfId="0" applyFill="1" applyBorder="1"/>
    <xf numFmtId="0" fontId="0" fillId="6" borderId="1" xfId="0" applyFill="1" applyBorder="1"/>
    <xf numFmtId="0" fontId="0" fillId="6" borderId="18" xfId="0" applyFill="1" applyBorder="1"/>
    <xf numFmtId="164" fontId="0" fillId="6" borderId="11" xfId="0" applyNumberFormat="1" applyFill="1" applyBorder="1"/>
    <xf numFmtId="0" fontId="0" fillId="6" borderId="12" xfId="0" applyFill="1" applyBorder="1"/>
    <xf numFmtId="0" fontId="0" fillId="0" borderId="0" xfId="0" applyAlignment="1">
      <alignment horizontal="right" indent="1"/>
    </xf>
    <xf numFmtId="164" fontId="3" fillId="7" borderId="21" xfId="0" applyNumberFormat="1" applyFont="1" applyFill="1" applyBorder="1"/>
    <xf numFmtId="0" fontId="0" fillId="6" borderId="10" xfId="0" applyFill="1" applyBorder="1" applyAlignment="1">
      <alignment horizontal="right"/>
    </xf>
    <xf numFmtId="0" fontId="0" fillId="6" borderId="11" xfId="0" applyFill="1" applyBorder="1" applyAlignment="1">
      <alignment horizontal="right"/>
    </xf>
    <xf numFmtId="14" fontId="0" fillId="6" borderId="10" xfId="0" applyNumberFormat="1" applyFill="1" applyBorder="1" applyAlignment="1">
      <alignment horizontal="right" vertical="center"/>
    </xf>
    <xf numFmtId="14" fontId="0" fillId="6" borderId="11" xfId="0" applyNumberFormat="1" applyFill="1" applyBorder="1" applyAlignment="1">
      <alignment horizontal="right" vertical="center"/>
    </xf>
    <xf numFmtId="0" fontId="3" fillId="7" borderId="21" xfId="0" applyFont="1" applyFill="1" applyBorder="1"/>
    <xf numFmtId="0" fontId="0" fillId="6" borderId="22" xfId="0" applyFill="1" applyBorder="1"/>
    <xf numFmtId="0" fontId="0" fillId="6" borderId="22" xfId="0" applyFill="1" applyBorder="1" applyAlignment="1">
      <alignment horizontal="right"/>
    </xf>
    <xf numFmtId="0" fontId="0" fillId="6" borderId="23" xfId="0" applyFill="1" applyBorder="1"/>
    <xf numFmtId="0" fontId="0" fillId="6" borderId="24" xfId="0" applyFill="1" applyBorder="1"/>
    <xf numFmtId="0" fontId="0" fillId="6" borderId="25" xfId="0" applyFill="1" applyBorder="1"/>
    <xf numFmtId="164" fontId="0" fillId="6" borderId="22" xfId="0" applyNumberFormat="1" applyFill="1" applyBorder="1"/>
    <xf numFmtId="0" fontId="4" fillId="7" borderId="20" xfId="0" applyFont="1" applyFill="1" applyBorder="1" applyAlignment="1">
      <alignment horizontal="right"/>
    </xf>
    <xf numFmtId="0" fontId="0" fillId="8" borderId="10" xfId="0" applyFill="1" applyBorder="1"/>
    <xf numFmtId="14" fontId="0" fillId="8" borderId="10" xfId="0" applyNumberFormat="1" applyFill="1" applyBorder="1" applyAlignment="1">
      <alignment horizontal="right" vertical="center"/>
    </xf>
    <xf numFmtId="0" fontId="0" fillId="8" borderId="10" xfId="0" applyFill="1" applyBorder="1" applyAlignment="1">
      <alignment horizontal="right"/>
    </xf>
    <xf numFmtId="0" fontId="0" fillId="8" borderId="15" xfId="0" applyFill="1" applyBorder="1"/>
    <xf numFmtId="0" fontId="0" fillId="8" borderId="2" xfId="0" applyFill="1" applyBorder="1"/>
    <xf numFmtId="0" fontId="0" fillId="8" borderId="16" xfId="0" applyFill="1" applyBorder="1"/>
    <xf numFmtId="164" fontId="0" fillId="8" borderId="10" xfId="0" applyNumberFormat="1" applyFill="1" applyBorder="1"/>
    <xf numFmtId="0" fontId="0" fillId="8" borderId="10" xfId="0" applyFill="1" applyBorder="1" applyAlignment="1">
      <alignment wrapText="1"/>
    </xf>
    <xf numFmtId="14" fontId="0" fillId="6" borderId="10" xfId="0" applyNumberFormat="1" applyFill="1" applyBorder="1" applyAlignment="1">
      <alignment horizontal="right"/>
    </xf>
    <xf numFmtId="165" fontId="0" fillId="6" borderId="11" xfId="1" applyNumberFormat="1" applyFont="1" applyFill="1" applyBorder="1" applyAlignment="1">
      <alignment horizontal="right"/>
    </xf>
    <xf numFmtId="14" fontId="0" fillId="6" borderId="11" xfId="0" applyNumberFormat="1" applyFill="1" applyBorder="1" applyAlignment="1">
      <alignment horizontal="right"/>
    </xf>
    <xf numFmtId="164" fontId="3" fillId="7" borderId="3" xfId="0" applyNumberFormat="1" applyFont="1" applyFill="1" applyBorder="1"/>
    <xf numFmtId="165" fontId="0" fillId="6" borderId="22" xfId="1" applyNumberFormat="1" applyFont="1" applyFill="1" applyBorder="1" applyAlignment="1">
      <alignment horizontal="right"/>
    </xf>
    <xf numFmtId="166" fontId="0" fillId="6" borderId="11" xfId="0" applyNumberFormat="1" applyFill="1" applyBorder="1"/>
    <xf numFmtId="166" fontId="3" fillId="7" borderId="3" xfId="0" applyNumberFormat="1" applyFont="1" applyFill="1" applyBorder="1"/>
    <xf numFmtId="166" fontId="3" fillId="7" borderId="21" xfId="0" applyNumberFormat="1" applyFont="1" applyFill="1" applyBorder="1"/>
    <xf numFmtId="0" fontId="0" fillId="6" borderId="10" xfId="0" applyFill="1" applyBorder="1" applyAlignment="1">
      <alignment horizontal="right" vertical="center"/>
    </xf>
    <xf numFmtId="0" fontId="0" fillId="6" borderId="10" xfId="0" applyFill="1" applyBorder="1" applyAlignment="1">
      <alignment horizontal="left" vertical="center"/>
    </xf>
    <xf numFmtId="0" fontId="0" fillId="6" borderId="11" xfId="0" applyFill="1" applyBorder="1" applyAlignment="1">
      <alignment horizontal="center" vertical="center"/>
    </xf>
    <xf numFmtId="0" fontId="0" fillId="6" borderId="11" xfId="0" applyFill="1" applyBorder="1" applyAlignment="1">
      <alignment horizontal="right" vertical="center"/>
    </xf>
    <xf numFmtId="0" fontId="0" fillId="6" borderId="23" xfId="0" applyFill="1" applyBorder="1" applyAlignment="1">
      <alignment horizontal="center"/>
    </xf>
    <xf numFmtId="0" fontId="0" fillId="6" borderId="24" xfId="0" applyFill="1" applyBorder="1" applyAlignment="1">
      <alignment horizontal="center"/>
    </xf>
    <xf numFmtId="0" fontId="0" fillId="6" borderId="25" xfId="0" applyFill="1" applyBorder="1" applyAlignment="1">
      <alignment horizontal="center"/>
    </xf>
    <xf numFmtId="0" fontId="0" fillId="6" borderId="29" xfId="0" applyFill="1" applyBorder="1" applyAlignment="1">
      <alignment horizontal="right" vertical="center"/>
    </xf>
    <xf numFmtId="0" fontId="0" fillId="6" borderId="29" xfId="0" applyFill="1" applyBorder="1" applyAlignment="1">
      <alignment horizontal="left" vertical="center"/>
    </xf>
    <xf numFmtId="0" fontId="0" fillId="6" borderId="30" xfId="0" applyFill="1" applyBorder="1" applyAlignment="1">
      <alignment horizontal="right" vertical="center"/>
    </xf>
    <xf numFmtId="0" fontId="0" fillId="6" borderId="31" xfId="0" applyFill="1" applyBorder="1" applyAlignment="1">
      <alignment horizontal="right" vertical="center"/>
    </xf>
    <xf numFmtId="0" fontId="0" fillId="6" borderId="32" xfId="0" applyFill="1" applyBorder="1" applyAlignment="1">
      <alignment horizontal="right" vertical="center"/>
    </xf>
    <xf numFmtId="0" fontId="0" fillId="6" borderId="11" xfId="0" applyFill="1" applyBorder="1" applyAlignment="1">
      <alignment horizontal="center"/>
    </xf>
    <xf numFmtId="0" fontId="0" fillId="6" borderId="29" xfId="0" applyFill="1" applyBorder="1" applyAlignment="1">
      <alignment horizontal="center" vertical="center"/>
    </xf>
    <xf numFmtId="0" fontId="0" fillId="6" borderId="17" xfId="0" applyFill="1" applyBorder="1" applyAlignment="1">
      <alignment horizontal="right" vertical="center"/>
    </xf>
    <xf numFmtId="0" fontId="0" fillId="6" borderId="1" xfId="0" applyFill="1" applyBorder="1" applyAlignment="1">
      <alignment horizontal="right" vertical="center"/>
    </xf>
    <xf numFmtId="0" fontId="0" fillId="6" borderId="18" xfId="0" applyFill="1" applyBorder="1" applyAlignment="1">
      <alignment horizontal="right" vertical="center"/>
    </xf>
    <xf numFmtId="164" fontId="0" fillId="9" borderId="11" xfId="0" applyNumberFormat="1" applyFill="1" applyBorder="1"/>
    <xf numFmtId="0" fontId="0" fillId="0" borderId="0" xfId="0" applyAlignment="1">
      <alignment wrapText="1"/>
    </xf>
    <xf numFmtId="14" fontId="0" fillId="8" borderId="1" xfId="0" applyNumberFormat="1" applyFill="1" applyBorder="1" applyAlignment="1">
      <alignment horizontal="right" vertical="center"/>
    </xf>
    <xf numFmtId="164" fontId="0" fillId="8" borderId="1" xfId="0" applyNumberFormat="1" applyFill="1" applyBorder="1"/>
    <xf numFmtId="0" fontId="7" fillId="8" borderId="1" xfId="0" applyFont="1" applyFill="1" applyBorder="1"/>
    <xf numFmtId="14" fontId="7" fillId="8" borderId="1" xfId="0" applyNumberFormat="1" applyFont="1" applyFill="1" applyBorder="1" applyAlignment="1">
      <alignment horizontal="right" vertical="center"/>
    </xf>
    <xf numFmtId="0" fontId="7" fillId="8" borderId="1" xfId="0" applyFont="1" applyFill="1" applyBorder="1" applyAlignment="1">
      <alignment horizontal="right"/>
    </xf>
    <xf numFmtId="164" fontId="7" fillId="8" borderId="1" xfId="0" applyNumberFormat="1" applyFont="1" applyFill="1" applyBorder="1"/>
    <xf numFmtId="0" fontId="7" fillId="8" borderId="1" xfId="0" applyFont="1" applyFill="1" applyBorder="1" applyAlignment="1">
      <alignment wrapText="1"/>
    </xf>
    <xf numFmtId="164" fontId="7" fillId="8" borderId="33" xfId="0" applyNumberFormat="1" applyFont="1" applyFill="1" applyBorder="1"/>
    <xf numFmtId="164" fontId="0" fillId="0" borderId="0" xfId="0" applyNumberFormat="1"/>
    <xf numFmtId="0" fontId="0" fillId="0" borderId="0" xfId="0" applyAlignment="1">
      <alignment horizontal="center" vertical="center" wrapText="1"/>
    </xf>
    <xf numFmtId="0" fontId="0" fillId="8" borderId="34" xfId="0" applyFill="1" applyBorder="1"/>
    <xf numFmtId="0" fontId="0" fillId="0" borderId="38" xfId="0" applyBorder="1"/>
    <xf numFmtId="0" fontId="0" fillId="0" borderId="36" xfId="0" applyBorder="1"/>
    <xf numFmtId="0" fontId="1" fillId="5" borderId="36" xfId="0" applyFont="1" applyFill="1" applyBorder="1" applyAlignment="1">
      <alignment horizontal="center" vertical="center" wrapText="1"/>
    </xf>
    <xf numFmtId="0" fontId="1" fillId="5" borderId="37" xfId="0" applyFont="1" applyFill="1" applyBorder="1" applyAlignment="1">
      <alignment horizontal="center" vertical="center" wrapText="1"/>
    </xf>
    <xf numFmtId="164" fontId="0" fillId="8" borderId="18" xfId="0" applyNumberFormat="1" applyFill="1" applyBorder="1"/>
    <xf numFmtId="164" fontId="3" fillId="7" borderId="39" xfId="0" applyNumberFormat="1" applyFont="1" applyFill="1" applyBorder="1"/>
    <xf numFmtId="164" fontId="3" fillId="7" borderId="6" xfId="0" applyNumberFormat="1" applyFont="1" applyFill="1" applyBorder="1"/>
    <xf numFmtId="164" fontId="3" fillId="7" borderId="14" xfId="0" applyNumberFormat="1" applyFont="1" applyFill="1" applyBorder="1"/>
    <xf numFmtId="0" fontId="0" fillId="0" borderId="0" xfId="0" applyAlignment="1">
      <alignment vertical="center" wrapText="1"/>
    </xf>
    <xf numFmtId="0" fontId="0" fillId="8" borderId="10" xfId="0" applyFill="1" applyBorder="1" applyAlignment="1">
      <alignment vertical="center"/>
    </xf>
    <xf numFmtId="166" fontId="0" fillId="8" borderId="10" xfId="0" applyNumberFormat="1" applyFill="1" applyBorder="1"/>
    <xf numFmtId="0" fontId="1" fillId="5" borderId="40" xfId="0" applyFont="1" applyFill="1" applyBorder="1" applyAlignment="1">
      <alignment horizontal="center" vertical="center" wrapText="1"/>
    </xf>
    <xf numFmtId="164" fontId="0" fillId="8" borderId="33" xfId="0" applyNumberFormat="1" applyFill="1" applyBorder="1"/>
    <xf numFmtId="164" fontId="3" fillId="7" borderId="41" xfId="0" applyNumberFormat="1" applyFont="1" applyFill="1" applyBorder="1"/>
    <xf numFmtId="0" fontId="0" fillId="0" borderId="35" xfId="0" applyBorder="1"/>
    <xf numFmtId="0" fontId="0" fillId="8" borderId="17" xfId="0" applyFill="1" applyBorder="1"/>
    <xf numFmtId="164" fontId="3" fillId="7" borderId="13" xfId="0" applyNumberFormat="1" applyFont="1" applyFill="1" applyBorder="1"/>
    <xf numFmtId="0" fontId="0" fillId="6" borderId="47" xfId="0" applyFill="1" applyBorder="1" applyAlignment="1">
      <alignment horizontal="right" vertical="center"/>
    </xf>
    <xf numFmtId="164" fontId="0" fillId="9" borderId="47" xfId="0" applyNumberFormat="1" applyFill="1" applyBorder="1"/>
    <xf numFmtId="0" fontId="1" fillId="2" borderId="0" xfId="0" applyFont="1" applyFill="1" applyAlignment="1">
      <alignment wrapText="1"/>
    </xf>
    <xf numFmtId="44" fontId="0" fillId="0" borderId="0" xfId="1" applyNumberFormat="1" applyFont="1" applyFill="1" applyBorder="1"/>
    <xf numFmtId="0" fontId="0" fillId="0" borderId="0" xfId="0" applyAlignment="1">
      <alignment horizontal="center"/>
    </xf>
    <xf numFmtId="0" fontId="10" fillId="10" borderId="35" xfId="4" applyFont="1" applyFill="1" applyBorder="1" applyAlignment="1">
      <alignment horizontal="center" vertical="center"/>
    </xf>
    <xf numFmtId="0" fontId="10" fillId="10" borderId="37" xfId="4" applyFont="1" applyFill="1" applyBorder="1" applyAlignment="1">
      <alignment horizontal="center" vertical="center"/>
    </xf>
    <xf numFmtId="0" fontId="10" fillId="10" borderId="20" xfId="4" applyFont="1" applyFill="1" applyBorder="1" applyAlignment="1">
      <alignment horizontal="left" vertical="center"/>
    </xf>
    <xf numFmtId="0" fontId="10" fillId="0" borderId="13" xfId="2" applyFont="1" applyBorder="1" applyAlignment="1">
      <alignment horizontal="center" vertical="center"/>
    </xf>
    <xf numFmtId="167" fontId="12" fillId="10" borderId="14" xfId="5" applyNumberFormat="1" applyFont="1" applyFill="1" applyBorder="1" applyAlignment="1">
      <alignment horizontal="center" vertical="center"/>
    </xf>
    <xf numFmtId="0" fontId="10" fillId="10" borderId="26" xfId="4" applyFont="1" applyFill="1" applyBorder="1" applyAlignment="1">
      <alignment horizontal="left" vertical="center"/>
    </xf>
    <xf numFmtId="0" fontId="10" fillId="10" borderId="27" xfId="4" applyFont="1" applyFill="1" applyBorder="1" applyAlignment="1">
      <alignment horizontal="left" vertical="center"/>
    </xf>
    <xf numFmtId="0" fontId="10" fillId="0" borderId="44" xfId="2" applyFont="1" applyBorder="1" applyAlignment="1">
      <alignment horizontal="right" vertical="center"/>
    </xf>
    <xf numFmtId="168" fontId="12" fillId="10" borderId="48" xfId="5" applyNumberFormat="1" applyFont="1" applyFill="1" applyBorder="1" applyAlignment="1">
      <alignment horizontal="center" vertical="center"/>
    </xf>
    <xf numFmtId="3" fontId="10" fillId="11" borderId="3" xfId="2" quotePrefix="1" applyNumberFormat="1" applyFont="1" applyFill="1" applyBorder="1" applyAlignment="1">
      <alignment horizontal="center" vertical="center" wrapText="1"/>
    </xf>
    <xf numFmtId="0" fontId="13" fillId="0" borderId="49" xfId="2" applyFont="1" applyBorder="1" applyAlignment="1">
      <alignment horizontal="center" vertical="center"/>
    </xf>
    <xf numFmtId="0" fontId="13" fillId="0" borderId="50" xfId="2" applyFont="1" applyBorder="1" applyAlignment="1">
      <alignment horizontal="left" vertical="center" wrapText="1"/>
    </xf>
    <xf numFmtId="44" fontId="13" fillId="0" borderId="49" xfId="2" quotePrefix="1" applyNumberFormat="1" applyFont="1" applyBorder="1" applyAlignment="1">
      <alignment horizontal="center" vertical="center"/>
    </xf>
    <xf numFmtId="44" fontId="13" fillId="0" borderId="49" xfId="2" applyNumberFormat="1" applyFont="1" applyBorder="1" applyAlignment="1">
      <alignment horizontal="center" vertical="center"/>
    </xf>
    <xf numFmtId="0" fontId="13" fillId="0" borderId="51" xfId="2" applyFont="1" applyBorder="1" applyAlignment="1">
      <alignment horizontal="center" vertical="center"/>
    </xf>
    <xf numFmtId="0" fontId="13" fillId="0" borderId="50" xfId="2" applyFont="1" applyBorder="1" applyAlignment="1">
      <alignment vertical="center"/>
    </xf>
    <xf numFmtId="0" fontId="13" fillId="0" borderId="9" xfId="2" applyFont="1" applyBorder="1" applyAlignment="1">
      <alignment vertical="center"/>
    </xf>
    <xf numFmtId="0" fontId="10" fillId="0" borderId="19" xfId="2" applyFont="1" applyBorder="1" applyAlignment="1">
      <alignment horizontal="left" vertical="center"/>
    </xf>
    <xf numFmtId="0" fontId="10" fillId="0" borderId="21" xfId="2" applyFont="1" applyBorder="1" applyAlignment="1">
      <alignment horizontal="left" vertical="center"/>
    </xf>
    <xf numFmtId="44" fontId="10" fillId="0" borderId="3" xfId="2" applyNumberFormat="1" applyFont="1" applyBorder="1" applyAlignment="1">
      <alignment horizontal="center" vertical="center"/>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0" fillId="2" borderId="16" xfId="0" applyFill="1" applyBorder="1"/>
    <xf numFmtId="0" fontId="0" fillId="8" borderId="52" xfId="0" applyFill="1" applyBorder="1"/>
    <xf numFmtId="0" fontId="0" fillId="6" borderId="53" xfId="0" applyFill="1" applyBorder="1" applyAlignment="1">
      <alignment horizontal="right" vertical="center"/>
    </xf>
    <xf numFmtId="0" fontId="0" fillId="2" borderId="52" xfId="0" applyFill="1" applyBorder="1" applyAlignment="1">
      <alignment horizontal="right"/>
    </xf>
    <xf numFmtId="0" fontId="0" fillId="6" borderId="53" xfId="0" applyFill="1" applyBorder="1" applyAlignment="1">
      <alignment horizontal="right"/>
    </xf>
    <xf numFmtId="0" fontId="0" fillId="6" borderId="54" xfId="0" applyFill="1" applyBorder="1" applyAlignment="1">
      <alignment horizontal="right"/>
    </xf>
    <xf numFmtId="0" fontId="0" fillId="6" borderId="22" xfId="0" applyFill="1" applyBorder="1" applyAlignment="1">
      <alignment horizontal="right" vertical="center"/>
    </xf>
    <xf numFmtId="0" fontId="0" fillId="6" borderId="29" xfId="0" applyFill="1" applyBorder="1" applyAlignment="1">
      <alignment horizontal="right" vertical="center"/>
    </xf>
    <xf numFmtId="0" fontId="0" fillId="6" borderId="10" xfId="0" applyFill="1" applyBorder="1" applyAlignment="1">
      <alignment horizontal="right" vertical="center"/>
    </xf>
    <xf numFmtId="0" fontId="0" fillId="6" borderId="22" xfId="0" applyFill="1" applyBorder="1" applyAlignment="1">
      <alignment horizontal="left" vertical="center"/>
    </xf>
    <xf numFmtId="0" fontId="0" fillId="6" borderId="29" xfId="0" applyFill="1" applyBorder="1" applyAlignment="1">
      <alignment horizontal="left" vertical="center"/>
    </xf>
    <xf numFmtId="0" fontId="0" fillId="6" borderId="10" xfId="0" applyFill="1" applyBorder="1" applyAlignment="1">
      <alignment horizontal="left" vertical="center"/>
    </xf>
    <xf numFmtId="0" fontId="0" fillId="6" borderId="23" xfId="0" applyFill="1" applyBorder="1" applyAlignment="1">
      <alignment horizontal="right" vertical="center"/>
    </xf>
    <xf numFmtId="0" fontId="0" fillId="6" borderId="30" xfId="0" applyFill="1" applyBorder="1" applyAlignment="1">
      <alignment horizontal="right" vertical="center"/>
    </xf>
    <xf numFmtId="0" fontId="0" fillId="6" borderId="15" xfId="0" applyFill="1" applyBorder="1" applyAlignment="1">
      <alignment horizontal="right" vertical="center"/>
    </xf>
    <xf numFmtId="0" fontId="0" fillId="6" borderId="24" xfId="0" applyFill="1" applyBorder="1" applyAlignment="1">
      <alignment horizontal="right" vertical="center"/>
    </xf>
    <xf numFmtId="0" fontId="0" fillId="6" borderId="31" xfId="0" applyFill="1" applyBorder="1" applyAlignment="1">
      <alignment horizontal="right" vertical="center"/>
    </xf>
    <xf numFmtId="0" fontId="0" fillId="6" borderId="2" xfId="0" applyFill="1" applyBorder="1" applyAlignment="1">
      <alignment horizontal="right" vertical="center"/>
    </xf>
    <xf numFmtId="0" fontId="0" fillId="6" borderId="24" xfId="0" applyFill="1" applyBorder="1" applyAlignment="1">
      <alignment vertical="center"/>
    </xf>
    <xf numFmtId="0" fontId="0" fillId="6" borderId="2" xfId="0" applyFill="1" applyBorder="1" applyAlignment="1">
      <alignment vertical="center"/>
    </xf>
    <xf numFmtId="0" fontId="4" fillId="7" borderId="19" xfId="0" applyFont="1" applyFill="1" applyBorder="1" applyAlignment="1">
      <alignment horizontal="right"/>
    </xf>
    <xf numFmtId="0" fontId="4" fillId="7" borderId="20" xfId="0" applyFont="1" applyFill="1" applyBorder="1" applyAlignment="1">
      <alignment horizontal="right"/>
    </xf>
    <xf numFmtId="0" fontId="4" fillId="7" borderId="21" xfId="0" applyFont="1" applyFill="1" applyBorder="1" applyAlignment="1">
      <alignment horizontal="right"/>
    </xf>
    <xf numFmtId="0" fontId="1" fillId="5" borderId="19"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0" fillId="6" borderId="25" xfId="0" applyFill="1" applyBorder="1" applyAlignment="1">
      <alignment horizontal="right" vertical="center"/>
    </xf>
    <xf numFmtId="0" fontId="0" fillId="6" borderId="16" xfId="0" applyFill="1" applyBorder="1" applyAlignment="1">
      <alignment horizontal="right" vertical="center"/>
    </xf>
    <xf numFmtId="14" fontId="0" fillId="6" borderId="22" xfId="0" applyNumberFormat="1" applyFill="1" applyBorder="1" applyAlignment="1">
      <alignment horizontal="right" vertical="center"/>
    </xf>
    <xf numFmtId="14" fontId="0" fillId="6" borderId="10" xfId="0" applyNumberFormat="1" applyFill="1" applyBorder="1" applyAlignment="1">
      <alignment horizontal="right" vertical="center"/>
    </xf>
    <xf numFmtId="0" fontId="2" fillId="3" borderId="26"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2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1" xfId="0" applyFont="1" applyFill="1" applyBorder="1" applyAlignment="1">
      <alignment horizontal="center" vertical="center"/>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6" borderId="32" xfId="0" applyFill="1" applyBorder="1" applyAlignment="1">
      <alignment horizontal="right" vertical="center"/>
    </xf>
    <xf numFmtId="0" fontId="0" fillId="6" borderId="22" xfId="0" applyFill="1" applyBorder="1" applyAlignment="1">
      <alignment horizontal="center" vertical="center"/>
    </xf>
    <xf numFmtId="0" fontId="0" fillId="6" borderId="10" xfId="0" applyFill="1" applyBorder="1" applyAlignment="1">
      <alignment horizontal="center" vertical="center"/>
    </xf>
    <xf numFmtId="164" fontId="0" fillId="9" borderId="22" xfId="0" applyNumberFormat="1" applyFill="1" applyBorder="1" applyAlignment="1">
      <alignment horizontal="center" vertical="center"/>
    </xf>
    <xf numFmtId="164" fontId="0" fillId="9" borderId="10" xfId="0" applyNumberFormat="1" applyFill="1" applyBorder="1" applyAlignment="1">
      <alignment horizontal="center" vertical="center"/>
    </xf>
    <xf numFmtId="0" fontId="1" fillId="0" borderId="0" xfId="0" applyFont="1" applyAlignment="1">
      <alignment horizontal="center" wrapText="1"/>
    </xf>
    <xf numFmtId="0" fontId="3" fillId="0" borderId="0" xfId="0" applyFont="1" applyAlignment="1">
      <alignment horizontal="center" vertical="center"/>
    </xf>
    <xf numFmtId="0" fontId="0" fillId="0" borderId="8" xfId="0" applyBorder="1" applyAlignment="1">
      <alignment horizontal="center" vertical="center" wrapText="1"/>
    </xf>
    <xf numFmtId="0" fontId="0" fillId="0" borderId="29" xfId="0" applyBorder="1" applyAlignment="1">
      <alignment horizontal="center" vertical="center" wrapText="1"/>
    </xf>
    <xf numFmtId="0" fontId="0" fillId="0" borderId="9" xfId="0" applyBorder="1" applyAlignment="1">
      <alignment horizontal="center" vertical="center" wrapText="1"/>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21" xfId="0" applyFont="1" applyFill="1" applyBorder="1" applyAlignment="1">
      <alignment horizontal="center" vertical="center"/>
    </xf>
    <xf numFmtId="0" fontId="10" fillId="0" borderId="19" xfId="2" applyFont="1" applyBorder="1" applyAlignment="1">
      <alignment horizontal="center" vertical="center"/>
    </xf>
    <xf numFmtId="0" fontId="10" fillId="0" borderId="20" xfId="2" applyFont="1" applyBorder="1" applyAlignment="1">
      <alignment horizontal="center" vertical="center"/>
    </xf>
    <xf numFmtId="0" fontId="10" fillId="0" borderId="21" xfId="2" applyFont="1" applyBorder="1" applyAlignment="1">
      <alignment horizontal="center" vertical="center"/>
    </xf>
    <xf numFmtId="0" fontId="10" fillId="0" borderId="19" xfId="2" applyFont="1" applyBorder="1" applyAlignment="1">
      <alignment horizontal="left" vertical="center"/>
    </xf>
    <xf numFmtId="0" fontId="10" fillId="0" borderId="21" xfId="2" applyFont="1" applyBorder="1" applyAlignment="1">
      <alignment horizontal="left" vertical="center"/>
    </xf>
    <xf numFmtId="164" fontId="3" fillId="7" borderId="45" xfId="0" applyNumberFormat="1" applyFont="1" applyFill="1" applyBorder="1" applyAlignment="1">
      <alignment horizontal="center"/>
    </xf>
    <xf numFmtId="164" fontId="3" fillId="7" borderId="46" xfId="0" applyNumberFormat="1" applyFont="1" applyFill="1" applyBorder="1" applyAlignment="1">
      <alignment horizontal="center"/>
    </xf>
    <xf numFmtId="0" fontId="10" fillId="0" borderId="19" xfId="2" applyFont="1" applyBorder="1" applyAlignment="1">
      <alignment horizontal="center" vertical="center" wrapText="1"/>
    </xf>
    <xf numFmtId="0" fontId="10" fillId="0" borderId="20" xfId="2" applyFont="1" applyBorder="1" applyAlignment="1">
      <alignment horizontal="center" vertical="center" wrapText="1"/>
    </xf>
    <xf numFmtId="0" fontId="10" fillId="0" borderId="27" xfId="2" applyFont="1" applyBorder="1" applyAlignment="1">
      <alignment horizontal="center" vertical="center" wrapText="1"/>
    </xf>
    <xf numFmtId="0" fontId="10" fillId="0" borderId="28" xfId="2" applyFont="1" applyBorder="1" applyAlignment="1">
      <alignment horizontal="center" vertical="center" wrapText="1"/>
    </xf>
    <xf numFmtId="0" fontId="10" fillId="10" borderId="19" xfId="4" applyFont="1" applyFill="1" applyBorder="1" applyAlignment="1">
      <alignment horizontal="left" vertical="center" wrapText="1"/>
    </xf>
    <xf numFmtId="0" fontId="10" fillId="10" borderId="20" xfId="4" applyFont="1" applyFill="1" applyBorder="1" applyAlignment="1">
      <alignment horizontal="left" vertical="center" wrapText="1"/>
    </xf>
    <xf numFmtId="0" fontId="10" fillId="10" borderId="21" xfId="4" applyFont="1" applyFill="1" applyBorder="1" applyAlignment="1">
      <alignment horizontal="left" vertical="center" wrapText="1"/>
    </xf>
    <xf numFmtId="0" fontId="10" fillId="10" borderId="19" xfId="4" applyFont="1" applyFill="1" applyBorder="1" applyAlignment="1">
      <alignment horizontal="left" vertical="center"/>
    </xf>
    <xf numFmtId="0" fontId="10" fillId="10" borderId="20" xfId="4" applyFont="1" applyFill="1" applyBorder="1" applyAlignment="1">
      <alignment horizontal="left" vertical="center"/>
    </xf>
    <xf numFmtId="0" fontId="10" fillId="10" borderId="21" xfId="4" applyFont="1" applyFill="1" applyBorder="1" applyAlignment="1">
      <alignment horizontal="left" vertical="center"/>
    </xf>
    <xf numFmtId="0" fontId="10" fillId="11" borderId="8" xfId="2" applyFont="1" applyFill="1" applyBorder="1" applyAlignment="1">
      <alignment horizontal="center" vertical="center" wrapText="1"/>
    </xf>
    <xf numFmtId="0" fontId="10" fillId="11" borderId="9" xfId="2" applyFont="1" applyFill="1" applyBorder="1" applyAlignment="1">
      <alignment horizontal="center" vertical="center" wrapText="1"/>
    </xf>
    <xf numFmtId="0" fontId="10" fillId="11" borderId="8" xfId="2" applyFont="1" applyFill="1" applyBorder="1" applyAlignment="1">
      <alignment horizontal="center" vertical="center"/>
    </xf>
    <xf numFmtId="0" fontId="10" fillId="11" borderId="9" xfId="2" applyFont="1" applyFill="1" applyBorder="1" applyAlignment="1">
      <alignment horizontal="center" vertical="center"/>
    </xf>
    <xf numFmtId="43" fontId="12" fillId="11" borderId="19" xfId="3" applyFont="1" applyFill="1" applyBorder="1" applyAlignment="1">
      <alignment horizontal="center" vertical="center" wrapText="1"/>
    </xf>
    <xf numFmtId="43" fontId="12" fillId="11" borderId="20" xfId="3" applyFont="1" applyFill="1" applyBorder="1" applyAlignment="1">
      <alignment horizontal="center" vertical="center" wrapText="1"/>
    </xf>
    <xf numFmtId="43" fontId="12" fillId="11" borderId="21" xfId="3" applyFont="1" applyFill="1" applyBorder="1" applyAlignment="1">
      <alignment horizontal="center" vertical="center" wrapText="1"/>
    </xf>
    <xf numFmtId="164" fontId="3" fillId="7" borderId="41" xfId="0" applyNumberFormat="1" applyFont="1" applyFill="1" applyBorder="1" applyAlignment="1">
      <alignment horizontal="center"/>
    </xf>
    <xf numFmtId="164" fontId="3" fillId="7" borderId="39" xfId="0" applyNumberFormat="1" applyFont="1" applyFill="1" applyBorder="1" applyAlignment="1">
      <alignment horizontal="center"/>
    </xf>
    <xf numFmtId="0" fontId="2" fillId="3" borderId="42" xfId="0" applyFont="1" applyFill="1" applyBorder="1" applyAlignment="1">
      <alignment horizontal="center" vertical="center"/>
    </xf>
    <xf numFmtId="0" fontId="2" fillId="3" borderId="0" xfId="0" applyFont="1" applyFill="1" applyAlignment="1">
      <alignment horizontal="center" vertical="center"/>
    </xf>
    <xf numFmtId="0" fontId="3" fillId="4" borderId="42" xfId="0" applyFont="1" applyFill="1" applyBorder="1" applyAlignment="1">
      <alignment horizontal="center" vertical="center"/>
    </xf>
    <xf numFmtId="0" fontId="3" fillId="4" borderId="0" xfId="0" applyFont="1" applyFill="1" applyAlignment="1">
      <alignment horizontal="center" vertical="center"/>
    </xf>
    <xf numFmtId="0" fontId="0" fillId="2" borderId="43" xfId="0" applyFill="1" applyBorder="1" applyAlignment="1">
      <alignment horizontal="center"/>
    </xf>
    <xf numFmtId="0" fontId="0" fillId="2" borderId="44" xfId="0" applyFill="1" applyBorder="1" applyAlignment="1">
      <alignment horizontal="center"/>
    </xf>
    <xf numFmtId="0" fontId="0" fillId="9" borderId="1" xfId="0" applyFill="1" applyBorder="1" applyAlignment="1">
      <alignment horizontal="right" vertical="top"/>
    </xf>
    <xf numFmtId="14" fontId="0" fillId="9" borderId="1" xfId="0" applyNumberFormat="1" applyFill="1" applyBorder="1" applyAlignment="1">
      <alignment horizontal="right" vertical="center"/>
    </xf>
    <xf numFmtId="0" fontId="0" fillId="9" borderId="1" xfId="0" applyFill="1" applyBorder="1" applyAlignment="1">
      <alignment horizontal="left" vertical="center"/>
    </xf>
    <xf numFmtId="0" fontId="0" fillId="9" borderId="1" xfId="0" applyFill="1" applyBorder="1" applyAlignment="1">
      <alignment horizontal="right" vertical="center"/>
    </xf>
    <xf numFmtId="0" fontId="0" fillId="9" borderId="1" xfId="0" applyFill="1" applyBorder="1"/>
    <xf numFmtId="0" fontId="0" fillId="9" borderId="25" xfId="0" applyFill="1" applyBorder="1" applyAlignment="1">
      <alignment horizontal="right" vertical="center"/>
    </xf>
    <xf numFmtId="0" fontId="0" fillId="9" borderId="47" xfId="0" applyFill="1" applyBorder="1" applyAlignment="1">
      <alignment horizontal="right" vertical="center"/>
    </xf>
    <xf numFmtId="0" fontId="0" fillId="9" borderId="52" xfId="0" applyFill="1" applyBorder="1" applyAlignment="1">
      <alignment horizontal="right"/>
    </xf>
    <xf numFmtId="0" fontId="0" fillId="9" borderId="29" xfId="0" applyFill="1" applyBorder="1" applyAlignment="1">
      <alignment horizontal="right" vertical="center"/>
    </xf>
    <xf numFmtId="0" fontId="0" fillId="9" borderId="10" xfId="0" applyFill="1" applyBorder="1" applyAlignment="1">
      <alignment horizontal="right" vertical="center"/>
    </xf>
    <xf numFmtId="14" fontId="0" fillId="9" borderId="10" xfId="0" applyNumberFormat="1" applyFill="1" applyBorder="1" applyAlignment="1">
      <alignment horizontal="right" vertical="center"/>
    </xf>
    <xf numFmtId="0" fontId="0" fillId="9" borderId="10" xfId="0" applyFill="1" applyBorder="1"/>
    <xf numFmtId="0" fontId="0" fillId="9" borderId="15" xfId="0" applyFill="1" applyBorder="1" applyAlignment="1">
      <alignment horizontal="right" vertical="center"/>
    </xf>
    <xf numFmtId="0" fontId="0" fillId="9" borderId="2" xfId="0" applyFill="1" applyBorder="1" applyAlignment="1">
      <alignment horizontal="right" vertical="center"/>
    </xf>
    <xf numFmtId="0" fontId="0" fillId="9" borderId="18" xfId="0" applyFill="1" applyBorder="1" applyAlignment="1">
      <alignment horizontal="right" vertical="center"/>
    </xf>
    <xf numFmtId="0" fontId="0" fillId="9" borderId="53" xfId="0" applyFill="1" applyBorder="1" applyAlignment="1">
      <alignment horizontal="right" vertical="center"/>
    </xf>
    <xf numFmtId="0" fontId="0" fillId="9" borderId="11" xfId="0" applyFill="1" applyBorder="1" applyAlignment="1">
      <alignment horizontal="right" vertical="center"/>
    </xf>
    <xf numFmtId="164" fontId="0" fillId="9" borderId="10" xfId="0" applyNumberFormat="1" applyFill="1" applyBorder="1"/>
    <xf numFmtId="0" fontId="0" fillId="9" borderId="1" xfId="0" applyFill="1" applyBorder="1" applyAlignment="1">
      <alignment vertical="center"/>
    </xf>
  </cellXfs>
  <cellStyles count="6">
    <cellStyle name="Comma" xfId="1" builtinId="3"/>
    <cellStyle name="Comma 3 2 2 2" xfId="3" xr:uid="{8A76728B-188D-463E-AD45-F425B01566AD}"/>
    <cellStyle name="Normal" xfId="0" builtinId="0"/>
    <cellStyle name="Normal 2 2 2 2 2" xfId="4" xr:uid="{0958F0DC-B2A1-47E8-BE19-D1AF3083D757}"/>
    <cellStyle name="Normal 5 2" xfId="2" xr:uid="{86EC86CB-2EE2-43CC-AB33-BB136E68CF8F}"/>
    <cellStyle name="Normal 7" xfId="5" xr:uid="{F82C0A25-8D8F-4B51-82D7-DCCE09971F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7.2.1%20Civil/7.2.1.2%20RA%20Bill%20%20Approved/rA%207/VIATRIX_RA%2007_22.06.2026.xlsm" TargetMode="External"/><Relationship Id="rId2" Type="http://schemas.openxmlformats.org/officeDocument/2006/relationships/externalLinkPath" Target="file:///D:\3-Projects\14-Viatrix%20Engineering%20&amp;%20Plastics%20LLP%201\2.%20Project%20Constrcution\7.%20Billing%20Measurement%20Finance\7.1%20Vendor%20RA%20Bills\7.2.1%20Civil\7.2.1.2%20RA%20Bill%20%20Approved\rA%207\VIATRIX_RA%2007_22.06.2026.xlsm" TargetMode="External"/><Relationship Id="rId1" Type="http://schemas.openxmlformats.org/officeDocument/2006/relationships/externalLinkPath" Target="/3-Projects/14-Viatrix%20Engineering%20&amp;%20Plastics%20LLP%201/2.%20Project%20Constrcution/7.%20Billing%20Measurement%20Finance/7.1%20Vendor%20RA%20Bills/7.2.1%20Civil/7.2.1.2%20RA%20Bill%20%20Approved/rA%207/VIATRIX_RA%2007_22.06.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voice -F"/>
      <sheetName val="COP"/>
      <sheetName val="Checklist-Contractor Ra Bill"/>
      <sheetName val="Bill Tracker"/>
      <sheetName val="summary of cost"/>
      <sheetName val="KB 1 -ABS"/>
      <sheetName val="KB 1-Measurement."/>
      <sheetName val="KB 1-BBS "/>
      <sheetName val="KB 2 -ABS"/>
      <sheetName val="KB 2-Measurement."/>
      <sheetName val="KB 2-BBS "/>
      <sheetName val="KB 3 -ABS"/>
      <sheetName val="KB 3-Measurement."/>
      <sheetName val="KB 4 -ABS"/>
      <sheetName val="KB 4-Measurement."/>
      <sheetName val="KB 7 -ABS"/>
      <sheetName val="KB 7-Measurement."/>
      <sheetName val="KB 7-BBS"/>
      <sheetName val="KB 8 -ABS"/>
      <sheetName val="KB 8-Measurement."/>
      <sheetName val="KB 8-BBS"/>
      <sheetName val="KB 9 -ABS "/>
      <sheetName val="KB 9-Measurement."/>
      <sheetName val="KB 9-BBS"/>
      <sheetName val="KB 10 -ABS"/>
      <sheetName val="KB 10-Measurement."/>
      <sheetName val="KB 10-BBS"/>
      <sheetName val="R.A.bill BBS Summary"/>
      <sheetName val="Basic Rate Sheet"/>
      <sheetName val="Steel Summary"/>
      <sheetName val="Steel Basic Rate Sheet"/>
      <sheetName val="Cement Basic Rate Sheet"/>
      <sheetName val="R.M.C SUMMARY "/>
      <sheetName val="Type-01 Pile NGL"/>
      <sheetName val="Type-01 Pile NGL (2)"/>
    </sheetNames>
    <sheetDataSet>
      <sheetData sheetId="0" refreshError="1"/>
      <sheetData sheetId="1" refreshError="1"/>
      <sheetData sheetId="2" refreshError="1"/>
      <sheetData sheetId="3" refreshError="1"/>
      <sheetData sheetId="4" refreshError="1"/>
      <sheetData sheetId="5">
        <row r="310">
          <cell r="J310">
            <v>27094346</v>
          </cell>
          <cell r="K310">
            <v>1355021</v>
          </cell>
        </row>
      </sheetData>
      <sheetData sheetId="6" refreshError="1"/>
      <sheetData sheetId="7" refreshError="1"/>
      <sheetData sheetId="8">
        <row r="120">
          <cell r="J120">
            <v>0</v>
          </cell>
          <cell r="K120">
            <v>3211560</v>
          </cell>
        </row>
        <row r="124">
          <cell r="K124">
            <v>-36117</v>
          </cell>
        </row>
      </sheetData>
      <sheetData sheetId="9" refreshError="1"/>
      <sheetData sheetId="10" refreshError="1"/>
      <sheetData sheetId="11">
        <row r="61">
          <cell r="J61">
            <v>0</v>
          </cell>
          <cell r="K61">
            <v>204047</v>
          </cell>
        </row>
        <row r="64">
          <cell r="K64">
            <v>-83664</v>
          </cell>
        </row>
      </sheetData>
      <sheetData sheetId="12" refreshError="1"/>
      <sheetData sheetId="13">
        <row r="40">
          <cell r="J40">
            <v>0</v>
          </cell>
          <cell r="K40">
            <v>199365</v>
          </cell>
        </row>
      </sheetData>
      <sheetData sheetId="14" refreshError="1"/>
      <sheetData sheetId="15">
        <row r="40">
          <cell r="J40">
            <v>0</v>
          </cell>
          <cell r="K40">
            <v>645435.80000000005</v>
          </cell>
        </row>
      </sheetData>
      <sheetData sheetId="16" refreshError="1"/>
      <sheetData sheetId="17" refreshError="1"/>
      <sheetData sheetId="18">
        <row r="51">
          <cell r="J51">
            <v>178689.22000000003</v>
          </cell>
          <cell r="K51">
            <v>0</v>
          </cell>
        </row>
      </sheetData>
      <sheetData sheetId="19" refreshError="1"/>
      <sheetData sheetId="20" refreshError="1"/>
      <sheetData sheetId="21">
        <row r="56">
          <cell r="J56">
            <v>1590605</v>
          </cell>
          <cell r="K56">
            <v>408256</v>
          </cell>
        </row>
      </sheetData>
      <sheetData sheetId="22" refreshError="1"/>
      <sheetData sheetId="23" refreshError="1"/>
      <sheetData sheetId="24">
        <row r="58">
          <cell r="J58">
            <v>4139672</v>
          </cell>
          <cell r="K58">
            <v>408879</v>
          </cell>
        </row>
      </sheetData>
      <sheetData sheetId="25" refreshError="1"/>
      <sheetData sheetId="26" refreshError="1"/>
      <sheetData sheetId="27" refreshError="1"/>
      <sheetData sheetId="28">
        <row r="7">
          <cell r="D7">
            <v>-581231</v>
          </cell>
          <cell r="E7">
            <v>-2889</v>
          </cell>
          <cell r="F7">
            <v>-584120</v>
          </cell>
        </row>
      </sheetData>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9"/>
  <sheetViews>
    <sheetView tabSelected="1" zoomScaleNormal="100" workbookViewId="0">
      <pane ySplit="5" topLeftCell="A78" activePane="bottomLeft" state="frozen"/>
      <selection pane="bottomLeft" activeCell="G92" sqref="G92"/>
    </sheetView>
  </sheetViews>
  <sheetFormatPr defaultRowHeight="14.4" x14ac:dyDescent="0.3"/>
  <cols>
    <col min="1" max="1" width="8.88671875" customWidth="1"/>
    <col min="2" max="2" width="11.88671875" customWidth="1"/>
    <col min="3" max="3" width="39.44140625" customWidth="1"/>
    <col min="4" max="4" width="16" customWidth="1"/>
    <col min="5" max="5" width="20.21875" bestFit="1" customWidth="1"/>
    <col min="6" max="6" width="13.109375" customWidth="1"/>
    <col min="7" max="7" width="16.77734375" customWidth="1"/>
    <col min="8" max="9" width="12.6640625" customWidth="1"/>
    <col min="10" max="12" width="15.21875" customWidth="1"/>
    <col min="13" max="13" width="9.5546875" customWidth="1"/>
    <col min="14" max="14" width="20.21875" bestFit="1" customWidth="1"/>
    <col min="15" max="15" width="20.21875" customWidth="1"/>
    <col min="16" max="16" width="19.6640625" customWidth="1"/>
    <col min="17" max="17" width="20.21875" customWidth="1"/>
    <col min="18" max="18" width="29.21875" customWidth="1"/>
    <col min="19" max="20" width="26.21875" customWidth="1"/>
    <col min="21" max="21" width="20.109375" bestFit="1" customWidth="1"/>
    <col min="22" max="22" width="29.109375" customWidth="1"/>
  </cols>
  <sheetData>
    <row r="1" spans="1:21" ht="46.8" customHeight="1" thickBot="1" x14ac:dyDescent="0.35">
      <c r="A1" s="152" t="s">
        <v>29</v>
      </c>
      <c r="B1" s="153"/>
      <c r="C1" s="153"/>
      <c r="D1" s="153"/>
      <c r="E1" s="153"/>
      <c r="F1" s="153"/>
      <c r="G1" s="153"/>
      <c r="H1" s="153"/>
      <c r="I1" s="153"/>
      <c r="J1" s="153"/>
      <c r="K1" s="153"/>
      <c r="L1" s="153"/>
      <c r="M1" s="153"/>
      <c r="N1" s="153"/>
      <c r="O1" s="153"/>
      <c r="P1" s="153"/>
      <c r="Q1" s="153"/>
      <c r="R1" s="153"/>
      <c r="S1" s="153"/>
      <c r="T1" s="153"/>
      <c r="U1" s="154"/>
    </row>
    <row r="2" spans="1:21" ht="29.4" customHeight="1" thickBot="1" x14ac:dyDescent="0.35">
      <c r="A2" s="155" t="s">
        <v>59</v>
      </c>
      <c r="B2" s="156"/>
      <c r="C2" s="156"/>
      <c r="D2" s="156"/>
      <c r="E2" s="156"/>
      <c r="F2" s="156"/>
      <c r="G2" s="156"/>
      <c r="H2" s="156"/>
      <c r="I2" s="156"/>
      <c r="J2" s="156"/>
      <c r="K2" s="156"/>
      <c r="L2" s="156"/>
      <c r="M2" s="156"/>
      <c r="N2" s="156"/>
      <c r="O2" s="156"/>
      <c r="P2" s="156"/>
      <c r="Q2" s="156"/>
      <c r="R2" s="156"/>
      <c r="S2" s="156"/>
      <c r="T2" s="156"/>
      <c r="U2" s="157"/>
    </row>
    <row r="3" spans="1:21" ht="7.8" customHeight="1" thickBot="1" x14ac:dyDescent="0.35">
      <c r="A3" s="158"/>
      <c r="B3" s="159"/>
      <c r="C3" s="159"/>
      <c r="D3" s="159"/>
      <c r="E3" s="159"/>
      <c r="F3" s="159"/>
      <c r="G3" s="159"/>
      <c r="H3" s="159"/>
      <c r="I3" s="159"/>
      <c r="J3" s="159"/>
      <c r="K3" s="159"/>
      <c r="L3" s="159"/>
      <c r="M3" s="159"/>
      <c r="N3" s="159"/>
      <c r="O3" s="159"/>
      <c r="P3" s="159"/>
      <c r="Q3" s="159"/>
      <c r="R3" s="159"/>
      <c r="S3" s="159"/>
      <c r="T3" s="159"/>
      <c r="U3" s="160"/>
    </row>
    <row r="4" spans="1:21" ht="43.2" customHeight="1" thickBot="1" x14ac:dyDescent="0.35">
      <c r="A4" s="144" t="s">
        <v>0</v>
      </c>
      <c r="B4" s="146" t="s">
        <v>5</v>
      </c>
      <c r="C4" s="144" t="s">
        <v>1</v>
      </c>
      <c r="D4" s="144" t="s">
        <v>13</v>
      </c>
      <c r="E4" s="144" t="s">
        <v>3</v>
      </c>
      <c r="F4" s="144" t="s">
        <v>4</v>
      </c>
      <c r="G4" s="146" t="s">
        <v>2</v>
      </c>
      <c r="H4" s="141" t="s">
        <v>202</v>
      </c>
      <c r="I4" s="142"/>
      <c r="J4" s="143"/>
      <c r="K4" s="146" t="s">
        <v>203</v>
      </c>
      <c r="L4" s="116"/>
      <c r="M4" s="146" t="s">
        <v>7</v>
      </c>
      <c r="N4" s="146" t="s">
        <v>43</v>
      </c>
      <c r="O4" s="146" t="s">
        <v>44</v>
      </c>
      <c r="P4" s="146" t="s">
        <v>39</v>
      </c>
      <c r="Q4" s="146" t="s">
        <v>40</v>
      </c>
      <c r="R4" s="146" t="s">
        <v>41</v>
      </c>
      <c r="S4" s="146" t="s">
        <v>42</v>
      </c>
      <c r="T4" s="146" t="s">
        <v>45</v>
      </c>
      <c r="U4" s="146" t="s">
        <v>46</v>
      </c>
    </row>
    <row r="5" spans="1:21" ht="36.6" customHeight="1" thickBot="1" x14ac:dyDescent="0.35">
      <c r="A5" s="145"/>
      <c r="B5" s="147"/>
      <c r="C5" s="145"/>
      <c r="D5" s="145"/>
      <c r="E5" s="145"/>
      <c r="F5" s="145"/>
      <c r="G5" s="147"/>
      <c r="H5" s="1" t="s">
        <v>10</v>
      </c>
      <c r="I5" s="2" t="s">
        <v>11</v>
      </c>
      <c r="J5" s="3" t="s">
        <v>12</v>
      </c>
      <c r="K5" s="147"/>
      <c r="L5" s="117"/>
      <c r="M5" s="147"/>
      <c r="N5" s="147"/>
      <c r="O5" s="147"/>
      <c r="P5" s="147"/>
      <c r="Q5" s="147"/>
      <c r="R5" s="147"/>
      <c r="S5" s="147"/>
      <c r="T5" s="147"/>
      <c r="U5" s="147"/>
    </row>
    <row r="6" spans="1:21" x14ac:dyDescent="0.3">
      <c r="A6" s="28">
        <v>1</v>
      </c>
      <c r="B6" s="29">
        <v>45887</v>
      </c>
      <c r="C6" s="28" t="s">
        <v>35</v>
      </c>
      <c r="D6" s="30"/>
      <c r="E6" s="28" t="s">
        <v>36</v>
      </c>
      <c r="F6" s="29">
        <v>45887</v>
      </c>
      <c r="G6" s="28"/>
      <c r="H6" s="31"/>
      <c r="I6" s="32"/>
      <c r="J6" s="33"/>
      <c r="K6" s="119"/>
      <c r="L6" s="119"/>
      <c r="M6" s="28"/>
      <c r="N6" s="34"/>
      <c r="O6" s="34">
        <v>3890000</v>
      </c>
      <c r="P6" s="34"/>
      <c r="Q6" s="34"/>
      <c r="R6" s="34"/>
      <c r="S6" s="34"/>
      <c r="T6" s="34"/>
      <c r="U6" s="34"/>
    </row>
    <row r="7" spans="1:21" ht="28.8" x14ac:dyDescent="0.3">
      <c r="A7" s="28">
        <v>2</v>
      </c>
      <c r="B7" s="29">
        <v>45960</v>
      </c>
      <c r="C7" s="35" t="s">
        <v>37</v>
      </c>
      <c r="D7" s="30"/>
      <c r="E7" s="28" t="s">
        <v>38</v>
      </c>
      <c r="F7" s="29">
        <v>45960</v>
      </c>
      <c r="G7" s="28"/>
      <c r="H7" s="31"/>
      <c r="I7" s="32"/>
      <c r="J7" s="33"/>
      <c r="K7" s="119"/>
      <c r="L7" s="119"/>
      <c r="M7" s="28"/>
      <c r="N7" s="34"/>
      <c r="O7" s="34">
        <v>7780000</v>
      </c>
      <c r="P7" s="34"/>
      <c r="Q7" s="34"/>
      <c r="R7" s="34"/>
      <c r="S7" s="34"/>
      <c r="T7" s="34"/>
      <c r="U7" s="34"/>
    </row>
    <row r="8" spans="1:21" x14ac:dyDescent="0.3">
      <c r="A8" s="4">
        <v>1</v>
      </c>
      <c r="B8" s="18" t="s">
        <v>61</v>
      </c>
      <c r="C8" s="4" t="s">
        <v>6</v>
      </c>
      <c r="D8" s="16" t="s">
        <v>14</v>
      </c>
      <c r="E8" s="4">
        <v>8822500205</v>
      </c>
      <c r="F8" s="18" t="s">
        <v>61</v>
      </c>
      <c r="G8" s="4">
        <v>9992308660</v>
      </c>
      <c r="H8" s="5"/>
      <c r="I8" s="6"/>
      <c r="J8" s="118">
        <v>3380</v>
      </c>
      <c r="K8" s="121">
        <v>3380</v>
      </c>
      <c r="L8" s="121">
        <f>K8-J8</f>
        <v>0</v>
      </c>
      <c r="M8" s="4">
        <v>0</v>
      </c>
      <c r="N8" s="7">
        <v>529919.6</v>
      </c>
      <c r="O8" s="7">
        <f>N8/1.18</f>
        <v>449084.40677966102</v>
      </c>
      <c r="P8" s="7">
        <f>O8*20%</f>
        <v>89816.881355932215</v>
      </c>
      <c r="Q8" s="7">
        <f>O8*10%</f>
        <v>44908.440677966108</v>
      </c>
      <c r="R8" s="7">
        <f>O8*5%</f>
        <v>22454.220338983054</v>
      </c>
      <c r="S8" s="7">
        <f>O8*5%</f>
        <v>22454.220338983054</v>
      </c>
      <c r="T8" s="7">
        <f>O8*5%</f>
        <v>22454.220338983054</v>
      </c>
      <c r="U8" s="7">
        <f>N8-P8-Q8-R8-S8-T8</f>
        <v>327831.61694915249</v>
      </c>
    </row>
    <row r="9" spans="1:21" x14ac:dyDescent="0.3">
      <c r="A9" s="8">
        <v>2</v>
      </c>
      <c r="B9" s="19" t="s">
        <v>9</v>
      </c>
      <c r="C9" s="8" t="s">
        <v>6</v>
      </c>
      <c r="D9" s="17" t="s">
        <v>15</v>
      </c>
      <c r="E9" s="8">
        <v>8822500433</v>
      </c>
      <c r="F9" s="19" t="s">
        <v>62</v>
      </c>
      <c r="G9" s="8">
        <v>9992309199</v>
      </c>
      <c r="H9" s="9">
        <v>25480</v>
      </c>
      <c r="I9" s="10">
        <v>16640</v>
      </c>
      <c r="J9" s="11">
        <f>H9-I9</f>
        <v>8840</v>
      </c>
      <c r="K9" s="122">
        <v>9000</v>
      </c>
      <c r="L9" s="121">
        <f t="shared" ref="L9:L72" si="0">K9-J9</f>
        <v>160</v>
      </c>
      <c r="M9" s="8">
        <v>300</v>
      </c>
      <c r="N9" s="12">
        <v>897453.72</v>
      </c>
      <c r="O9" s="7">
        <f t="shared" ref="O9:O73" si="1">N9/1.18</f>
        <v>760554</v>
      </c>
      <c r="P9" s="12">
        <f t="shared" ref="P9:P32" si="2">O9*20%</f>
        <v>152110.80000000002</v>
      </c>
      <c r="Q9" s="12">
        <f t="shared" ref="Q9:Q32" si="3">O9*10%</f>
        <v>76055.400000000009</v>
      </c>
      <c r="R9" s="12">
        <f t="shared" ref="R9:R32" si="4">O9*5%</f>
        <v>38027.700000000004</v>
      </c>
      <c r="S9" s="12">
        <f t="shared" ref="S9:S32" si="5">O9*5%</f>
        <v>38027.700000000004</v>
      </c>
      <c r="T9" s="12">
        <f t="shared" ref="T9:T32" si="6">O9*5%</f>
        <v>38027.700000000004</v>
      </c>
      <c r="U9" s="12">
        <f t="shared" ref="U9:U32" si="7">N9-P9-Q9-R9-S9-T9</f>
        <v>555204.42000000004</v>
      </c>
    </row>
    <row r="10" spans="1:21" x14ac:dyDescent="0.3">
      <c r="A10" s="4">
        <v>3</v>
      </c>
      <c r="B10" s="19" t="s">
        <v>9</v>
      </c>
      <c r="C10" s="8" t="s">
        <v>6</v>
      </c>
      <c r="D10" s="17" t="s">
        <v>16</v>
      </c>
      <c r="E10" s="8">
        <v>8822500432</v>
      </c>
      <c r="F10" s="19" t="s">
        <v>62</v>
      </c>
      <c r="G10" s="8">
        <v>9992309198</v>
      </c>
      <c r="H10" s="9">
        <v>30460</v>
      </c>
      <c r="I10" s="10">
        <v>12990</v>
      </c>
      <c r="J10" s="11">
        <f>H10-I10</f>
        <v>17470</v>
      </c>
      <c r="K10" s="122">
        <v>17410</v>
      </c>
      <c r="L10" s="121">
        <f t="shared" si="0"/>
        <v>-60</v>
      </c>
      <c r="M10" s="8">
        <v>510</v>
      </c>
      <c r="N10" s="12">
        <v>1702819.32</v>
      </c>
      <c r="O10" s="7">
        <f t="shared" si="1"/>
        <v>1443067.2203389832</v>
      </c>
      <c r="P10" s="12">
        <f t="shared" si="2"/>
        <v>288613.44406779663</v>
      </c>
      <c r="Q10" s="12">
        <f t="shared" si="3"/>
        <v>144306.72203389832</v>
      </c>
      <c r="R10" s="12">
        <f t="shared" si="4"/>
        <v>72153.361016949159</v>
      </c>
      <c r="S10" s="12">
        <f t="shared" si="5"/>
        <v>72153.361016949159</v>
      </c>
      <c r="T10" s="12">
        <f t="shared" si="6"/>
        <v>72153.361016949159</v>
      </c>
      <c r="U10" s="12">
        <f t="shared" si="7"/>
        <v>1053439.0708474575</v>
      </c>
    </row>
    <row r="11" spans="1:21" x14ac:dyDescent="0.3">
      <c r="A11" s="124">
        <v>4</v>
      </c>
      <c r="B11" s="150" t="s">
        <v>9</v>
      </c>
      <c r="C11" s="127" t="s">
        <v>6</v>
      </c>
      <c r="D11" s="124" t="s">
        <v>17</v>
      </c>
      <c r="E11" s="8">
        <v>8822500431</v>
      </c>
      <c r="F11" s="19" t="s">
        <v>62</v>
      </c>
      <c r="G11" s="8">
        <v>9992309195</v>
      </c>
      <c r="H11" s="130">
        <v>29400</v>
      </c>
      <c r="I11" s="133">
        <v>12990</v>
      </c>
      <c r="J11" s="148">
        <f>H11-I11</f>
        <v>16410</v>
      </c>
      <c r="K11" s="124">
        <v>16380</v>
      </c>
      <c r="L11" s="121">
        <f t="shared" si="0"/>
        <v>-30</v>
      </c>
      <c r="M11" s="124">
        <v>400</v>
      </c>
      <c r="N11" s="12">
        <v>1704053.38</v>
      </c>
      <c r="O11" s="7">
        <f t="shared" si="1"/>
        <v>1444113.0338983051</v>
      </c>
      <c r="P11" s="12">
        <f t="shared" si="2"/>
        <v>288822.60677966103</v>
      </c>
      <c r="Q11" s="12">
        <f t="shared" si="3"/>
        <v>144411.30338983051</v>
      </c>
      <c r="R11" s="12">
        <f t="shared" si="4"/>
        <v>72205.651694915257</v>
      </c>
      <c r="S11" s="12">
        <f t="shared" si="5"/>
        <v>72205.651694915257</v>
      </c>
      <c r="T11" s="12">
        <f t="shared" si="6"/>
        <v>72205.651694915257</v>
      </c>
      <c r="U11" s="12">
        <f t="shared" si="7"/>
        <v>1054202.5147457626</v>
      </c>
    </row>
    <row r="12" spans="1:21" x14ac:dyDescent="0.3">
      <c r="A12" s="126"/>
      <c r="B12" s="151"/>
      <c r="C12" s="129"/>
      <c r="D12" s="126"/>
      <c r="E12" s="8">
        <v>8822500430</v>
      </c>
      <c r="F12" s="17" t="s">
        <v>8</v>
      </c>
      <c r="G12" s="8">
        <v>9992309194</v>
      </c>
      <c r="H12" s="132"/>
      <c r="I12" s="135"/>
      <c r="J12" s="149"/>
      <c r="K12" s="126"/>
      <c r="L12" s="121">
        <f t="shared" si="0"/>
        <v>0</v>
      </c>
      <c r="M12" s="126"/>
      <c r="N12" s="12">
        <v>920.4</v>
      </c>
      <c r="O12" s="7">
        <f t="shared" si="1"/>
        <v>780</v>
      </c>
      <c r="P12" s="12">
        <f t="shared" si="2"/>
        <v>156</v>
      </c>
      <c r="Q12" s="12">
        <f t="shared" si="3"/>
        <v>78</v>
      </c>
      <c r="R12" s="12">
        <f t="shared" si="4"/>
        <v>39</v>
      </c>
      <c r="S12" s="12">
        <f t="shared" si="5"/>
        <v>39</v>
      </c>
      <c r="T12" s="12">
        <f t="shared" si="6"/>
        <v>39</v>
      </c>
      <c r="U12" s="12">
        <f t="shared" si="7"/>
        <v>569.4</v>
      </c>
    </row>
    <row r="13" spans="1:21" x14ac:dyDescent="0.3">
      <c r="A13" s="4">
        <v>5</v>
      </c>
      <c r="B13" s="17" t="s">
        <v>63</v>
      </c>
      <c r="C13" s="8" t="s">
        <v>6</v>
      </c>
      <c r="D13" s="17" t="s">
        <v>18</v>
      </c>
      <c r="E13" s="8">
        <v>8822500483</v>
      </c>
      <c r="F13" s="17" t="s">
        <v>63</v>
      </c>
      <c r="G13" s="8">
        <v>9992309318</v>
      </c>
      <c r="H13" s="9">
        <v>12720</v>
      </c>
      <c r="I13" s="10">
        <v>4810</v>
      </c>
      <c r="J13" s="11">
        <f t="shared" ref="J13:J28" si="8">H13-I13</f>
        <v>7910</v>
      </c>
      <c r="K13" s="122">
        <v>7890</v>
      </c>
      <c r="L13" s="121">
        <f t="shared" si="0"/>
        <v>-20</v>
      </c>
      <c r="M13" s="8"/>
      <c r="N13" s="12">
        <v>810222.1</v>
      </c>
      <c r="O13" s="7">
        <f t="shared" si="1"/>
        <v>686628.89830508479</v>
      </c>
      <c r="P13" s="12">
        <f t="shared" si="2"/>
        <v>137325.77966101698</v>
      </c>
      <c r="Q13" s="12">
        <f t="shared" si="3"/>
        <v>68662.889830508488</v>
      </c>
      <c r="R13" s="12">
        <f t="shared" si="4"/>
        <v>34331.444915254244</v>
      </c>
      <c r="S13" s="12">
        <f t="shared" si="5"/>
        <v>34331.444915254244</v>
      </c>
      <c r="T13" s="12">
        <f t="shared" si="6"/>
        <v>34331.444915254244</v>
      </c>
      <c r="U13" s="12">
        <f t="shared" si="7"/>
        <v>501239.09576271172</v>
      </c>
    </row>
    <row r="14" spans="1:21" x14ac:dyDescent="0.3">
      <c r="A14" s="8">
        <v>6</v>
      </c>
      <c r="B14" s="17" t="s">
        <v>63</v>
      </c>
      <c r="C14" s="8" t="s">
        <v>6</v>
      </c>
      <c r="D14" s="17" t="s">
        <v>19</v>
      </c>
      <c r="E14" s="8">
        <v>8822500488</v>
      </c>
      <c r="F14" s="17" t="s">
        <v>63</v>
      </c>
      <c r="G14" s="8">
        <v>9992309329</v>
      </c>
      <c r="H14" s="9">
        <v>19780</v>
      </c>
      <c r="I14" s="10">
        <v>11280</v>
      </c>
      <c r="J14" s="11">
        <f t="shared" si="8"/>
        <v>8500</v>
      </c>
      <c r="K14" s="122">
        <v>8420</v>
      </c>
      <c r="L14" s="121">
        <f t="shared" si="0"/>
        <v>-80</v>
      </c>
      <c r="M14" s="8">
        <v>200</v>
      </c>
      <c r="N14" s="12">
        <v>862503.3</v>
      </c>
      <c r="O14" s="7">
        <f t="shared" si="1"/>
        <v>730935.00000000012</v>
      </c>
      <c r="P14" s="12">
        <f t="shared" si="2"/>
        <v>146187.00000000003</v>
      </c>
      <c r="Q14" s="12">
        <f t="shared" si="3"/>
        <v>73093.500000000015</v>
      </c>
      <c r="R14" s="12">
        <f t="shared" si="4"/>
        <v>36546.750000000007</v>
      </c>
      <c r="S14" s="12">
        <f t="shared" si="5"/>
        <v>36546.750000000007</v>
      </c>
      <c r="T14" s="12">
        <f t="shared" si="6"/>
        <v>36546.750000000007</v>
      </c>
      <c r="U14" s="12">
        <f t="shared" si="7"/>
        <v>533582.55000000005</v>
      </c>
    </row>
    <row r="15" spans="1:21" x14ac:dyDescent="0.3">
      <c r="A15" s="4">
        <v>7</v>
      </c>
      <c r="B15" s="17" t="s">
        <v>64</v>
      </c>
      <c r="C15" s="8" t="s">
        <v>6</v>
      </c>
      <c r="D15" s="17" t="s">
        <v>20</v>
      </c>
      <c r="E15" s="8">
        <v>8822500489</v>
      </c>
      <c r="F15" s="17" t="s">
        <v>63</v>
      </c>
      <c r="G15" s="8">
        <v>9992309331</v>
      </c>
      <c r="H15" s="9">
        <v>26640</v>
      </c>
      <c r="I15" s="10">
        <v>12670</v>
      </c>
      <c r="J15" s="11">
        <f t="shared" si="8"/>
        <v>13970</v>
      </c>
      <c r="K15" s="122">
        <v>13910</v>
      </c>
      <c r="L15" s="121">
        <f t="shared" si="0"/>
        <v>-60</v>
      </c>
      <c r="M15" s="8">
        <v>500</v>
      </c>
      <c r="N15" s="12">
        <v>1436709.68</v>
      </c>
      <c r="O15" s="7">
        <f t="shared" si="1"/>
        <v>1217550.5762711863</v>
      </c>
      <c r="P15" s="12">
        <f t="shared" si="2"/>
        <v>243510.11525423729</v>
      </c>
      <c r="Q15" s="12">
        <f t="shared" si="3"/>
        <v>121755.05762711864</v>
      </c>
      <c r="R15" s="12">
        <f t="shared" si="4"/>
        <v>60877.528813559322</v>
      </c>
      <c r="S15" s="12">
        <f t="shared" si="5"/>
        <v>60877.528813559322</v>
      </c>
      <c r="T15" s="12">
        <f t="shared" si="6"/>
        <v>60877.528813559322</v>
      </c>
      <c r="U15" s="12">
        <f t="shared" si="7"/>
        <v>888811.92067796597</v>
      </c>
    </row>
    <row r="16" spans="1:21" x14ac:dyDescent="0.3">
      <c r="A16" s="8">
        <v>8</v>
      </c>
      <c r="B16" s="17" t="s">
        <v>64</v>
      </c>
      <c r="C16" s="8" t="s">
        <v>6</v>
      </c>
      <c r="D16" s="17" t="s">
        <v>21</v>
      </c>
      <c r="E16" s="8">
        <v>8822500485</v>
      </c>
      <c r="F16" s="17" t="s">
        <v>63</v>
      </c>
      <c r="G16" s="8">
        <v>9992309320</v>
      </c>
      <c r="H16" s="9">
        <v>21410</v>
      </c>
      <c r="I16" s="10">
        <v>11230</v>
      </c>
      <c r="J16" s="11">
        <f t="shared" si="8"/>
        <v>10180</v>
      </c>
      <c r="K16" s="122">
        <v>10140</v>
      </c>
      <c r="L16" s="121">
        <f t="shared" si="0"/>
        <v>-40</v>
      </c>
      <c r="M16" s="8">
        <v>400</v>
      </c>
      <c r="N16" s="12">
        <v>1016312.76</v>
      </c>
      <c r="O16" s="7">
        <f t="shared" si="1"/>
        <v>861282</v>
      </c>
      <c r="P16" s="12">
        <f t="shared" si="2"/>
        <v>172256.40000000002</v>
      </c>
      <c r="Q16" s="12">
        <f t="shared" si="3"/>
        <v>86128.200000000012</v>
      </c>
      <c r="R16" s="12">
        <f t="shared" si="4"/>
        <v>43064.100000000006</v>
      </c>
      <c r="S16" s="12">
        <f t="shared" si="5"/>
        <v>43064.100000000006</v>
      </c>
      <c r="T16" s="12">
        <f t="shared" si="6"/>
        <v>43064.100000000006</v>
      </c>
      <c r="U16" s="12">
        <f t="shared" si="7"/>
        <v>628735.86</v>
      </c>
    </row>
    <row r="17" spans="1:21" x14ac:dyDescent="0.3">
      <c r="A17" s="4">
        <v>9</v>
      </c>
      <c r="B17" s="17" t="s">
        <v>65</v>
      </c>
      <c r="C17" s="8" t="s">
        <v>6</v>
      </c>
      <c r="D17" s="17" t="s">
        <v>22</v>
      </c>
      <c r="E17" s="8">
        <v>8822500496</v>
      </c>
      <c r="F17" s="17" t="s">
        <v>64</v>
      </c>
      <c r="G17" s="8">
        <v>9992309345</v>
      </c>
      <c r="H17" s="9">
        <v>20890</v>
      </c>
      <c r="I17" s="10">
        <v>12610</v>
      </c>
      <c r="J17" s="11">
        <f t="shared" si="8"/>
        <v>8280</v>
      </c>
      <c r="K17" s="122">
        <v>8210</v>
      </c>
      <c r="L17" s="121">
        <f t="shared" si="0"/>
        <v>-70</v>
      </c>
      <c r="M17" s="8">
        <v>210</v>
      </c>
      <c r="N17" s="12">
        <v>844619.22</v>
      </c>
      <c r="O17" s="7">
        <f t="shared" si="1"/>
        <v>715779</v>
      </c>
      <c r="P17" s="12">
        <f t="shared" si="2"/>
        <v>143155.80000000002</v>
      </c>
      <c r="Q17" s="12">
        <f t="shared" si="3"/>
        <v>71577.900000000009</v>
      </c>
      <c r="R17" s="12">
        <f t="shared" si="4"/>
        <v>35788.950000000004</v>
      </c>
      <c r="S17" s="12">
        <f t="shared" si="5"/>
        <v>35788.950000000004</v>
      </c>
      <c r="T17" s="12">
        <f t="shared" si="6"/>
        <v>35788.950000000004</v>
      </c>
      <c r="U17" s="12">
        <f t="shared" si="7"/>
        <v>522518.67</v>
      </c>
    </row>
    <row r="18" spans="1:21" x14ac:dyDescent="0.3">
      <c r="A18" s="8">
        <v>10</v>
      </c>
      <c r="B18" s="17" t="s">
        <v>65</v>
      </c>
      <c r="C18" s="8" t="s">
        <v>6</v>
      </c>
      <c r="D18" s="17" t="s">
        <v>17</v>
      </c>
      <c r="E18" s="8">
        <v>8822500495</v>
      </c>
      <c r="F18" s="17" t="s">
        <v>64</v>
      </c>
      <c r="G18" s="8">
        <v>9992309344</v>
      </c>
      <c r="H18" s="9">
        <v>21420</v>
      </c>
      <c r="I18" s="10">
        <v>12990</v>
      </c>
      <c r="J18" s="11">
        <f t="shared" si="8"/>
        <v>8430</v>
      </c>
      <c r="K18" s="122">
        <v>8410</v>
      </c>
      <c r="L18" s="121">
        <f t="shared" si="0"/>
        <v>-20</v>
      </c>
      <c r="M18" s="8">
        <v>280</v>
      </c>
      <c r="N18" s="12">
        <v>834084.18</v>
      </c>
      <c r="O18" s="7">
        <f t="shared" si="1"/>
        <v>706851.00000000012</v>
      </c>
      <c r="P18" s="12">
        <f t="shared" si="2"/>
        <v>141370.20000000004</v>
      </c>
      <c r="Q18" s="12">
        <f t="shared" si="3"/>
        <v>70685.10000000002</v>
      </c>
      <c r="R18" s="12">
        <f t="shared" si="4"/>
        <v>35342.55000000001</v>
      </c>
      <c r="S18" s="12">
        <f t="shared" si="5"/>
        <v>35342.55000000001</v>
      </c>
      <c r="T18" s="12">
        <f t="shared" si="6"/>
        <v>35342.55000000001</v>
      </c>
      <c r="U18" s="12">
        <f t="shared" si="7"/>
        <v>516001.22999999992</v>
      </c>
    </row>
    <row r="19" spans="1:21" x14ac:dyDescent="0.3">
      <c r="A19" s="4">
        <v>11</v>
      </c>
      <c r="B19" s="17" t="s">
        <v>66</v>
      </c>
      <c r="C19" s="8" t="s">
        <v>6</v>
      </c>
      <c r="D19" s="17" t="s">
        <v>20</v>
      </c>
      <c r="E19" s="8">
        <v>8822500501</v>
      </c>
      <c r="F19" s="17" t="s">
        <v>65</v>
      </c>
      <c r="G19" s="8">
        <v>9992309353</v>
      </c>
      <c r="H19" s="9">
        <v>20990</v>
      </c>
      <c r="I19" s="10">
        <f>12690+80</f>
        <v>12770</v>
      </c>
      <c r="J19" s="11">
        <f t="shared" si="8"/>
        <v>8220</v>
      </c>
      <c r="K19" s="122">
        <v>8200</v>
      </c>
      <c r="L19" s="121">
        <f t="shared" si="0"/>
        <v>-20</v>
      </c>
      <c r="M19" s="8">
        <v>280</v>
      </c>
      <c r="N19" s="12">
        <v>828285.66</v>
      </c>
      <c r="O19" s="7">
        <f t="shared" si="1"/>
        <v>701937.00000000012</v>
      </c>
      <c r="P19" s="12">
        <f t="shared" si="2"/>
        <v>140387.40000000002</v>
      </c>
      <c r="Q19" s="12">
        <f t="shared" si="3"/>
        <v>70193.700000000012</v>
      </c>
      <c r="R19" s="12">
        <f t="shared" si="4"/>
        <v>35096.850000000006</v>
      </c>
      <c r="S19" s="12">
        <f t="shared" si="5"/>
        <v>35096.850000000006</v>
      </c>
      <c r="T19" s="12">
        <f t="shared" si="6"/>
        <v>35096.850000000006</v>
      </c>
      <c r="U19" s="12">
        <f t="shared" si="7"/>
        <v>512414.01000000013</v>
      </c>
    </row>
    <row r="20" spans="1:21" x14ac:dyDescent="0.3">
      <c r="A20" s="8">
        <v>12</v>
      </c>
      <c r="B20" s="17" t="s">
        <v>66</v>
      </c>
      <c r="C20" s="8" t="s">
        <v>6</v>
      </c>
      <c r="D20" s="17" t="s">
        <v>23</v>
      </c>
      <c r="E20" s="8">
        <v>8822500503</v>
      </c>
      <c r="F20" s="17" t="s">
        <v>65</v>
      </c>
      <c r="G20" s="8">
        <v>9992309363</v>
      </c>
      <c r="H20" s="9">
        <v>26910</v>
      </c>
      <c r="I20" s="10">
        <v>12500</v>
      </c>
      <c r="J20" s="11">
        <f t="shared" si="8"/>
        <v>14410</v>
      </c>
      <c r="K20" s="122">
        <v>14300</v>
      </c>
      <c r="L20" s="121">
        <f t="shared" si="0"/>
        <v>-110</v>
      </c>
      <c r="M20" s="8">
        <v>500</v>
      </c>
      <c r="N20" s="12">
        <v>1425724.38</v>
      </c>
      <c r="O20" s="7">
        <f t="shared" si="1"/>
        <v>1208241</v>
      </c>
      <c r="P20" s="12">
        <f t="shared" si="2"/>
        <v>241648.2</v>
      </c>
      <c r="Q20" s="12">
        <f t="shared" si="3"/>
        <v>120824.1</v>
      </c>
      <c r="R20" s="12">
        <f t="shared" si="4"/>
        <v>60412.05</v>
      </c>
      <c r="S20" s="12">
        <f t="shared" si="5"/>
        <v>60412.05</v>
      </c>
      <c r="T20" s="12">
        <f t="shared" si="6"/>
        <v>60412.05</v>
      </c>
      <c r="U20" s="12">
        <f t="shared" si="7"/>
        <v>882015.9299999997</v>
      </c>
    </row>
    <row r="21" spans="1:21" x14ac:dyDescent="0.3">
      <c r="A21" s="4">
        <v>13</v>
      </c>
      <c r="B21" s="17" t="s">
        <v>67</v>
      </c>
      <c r="C21" s="8" t="s">
        <v>6</v>
      </c>
      <c r="D21" s="17" t="s">
        <v>24</v>
      </c>
      <c r="E21" s="8">
        <v>8822500510</v>
      </c>
      <c r="F21" s="17" t="s">
        <v>68</v>
      </c>
      <c r="G21" s="8">
        <v>9992309385</v>
      </c>
      <c r="H21" s="9">
        <v>21060</v>
      </c>
      <c r="I21" s="10">
        <v>12870</v>
      </c>
      <c r="J21" s="11">
        <f t="shared" si="8"/>
        <v>8190</v>
      </c>
      <c r="K21" s="122">
        <v>8290</v>
      </c>
      <c r="L21" s="121">
        <f t="shared" si="0"/>
        <v>100</v>
      </c>
      <c r="M21" s="8">
        <v>225</v>
      </c>
      <c r="N21" s="12">
        <v>844258.14</v>
      </c>
      <c r="O21" s="7">
        <f t="shared" si="1"/>
        <v>715473</v>
      </c>
      <c r="P21" s="12">
        <f t="shared" si="2"/>
        <v>143094.6</v>
      </c>
      <c r="Q21" s="12">
        <f t="shared" si="3"/>
        <v>71547.3</v>
      </c>
      <c r="R21" s="12">
        <f t="shared" si="4"/>
        <v>35773.65</v>
      </c>
      <c r="S21" s="12">
        <f t="shared" si="5"/>
        <v>35773.65</v>
      </c>
      <c r="T21" s="12">
        <f t="shared" si="6"/>
        <v>35773.65</v>
      </c>
      <c r="U21" s="12">
        <f t="shared" si="7"/>
        <v>522295.28999999992</v>
      </c>
    </row>
    <row r="22" spans="1:21" x14ac:dyDescent="0.3">
      <c r="A22" s="8">
        <v>14</v>
      </c>
      <c r="B22" s="17" t="s">
        <v>67</v>
      </c>
      <c r="C22" s="8" t="s">
        <v>6</v>
      </c>
      <c r="D22" s="17" t="s">
        <v>25</v>
      </c>
      <c r="E22" s="8">
        <v>8822500512</v>
      </c>
      <c r="F22" s="17" t="s">
        <v>68</v>
      </c>
      <c r="G22" s="8">
        <v>9992309388</v>
      </c>
      <c r="H22" s="9">
        <v>25530</v>
      </c>
      <c r="I22" s="10">
        <v>11930</v>
      </c>
      <c r="J22" s="11">
        <f t="shared" si="8"/>
        <v>13600</v>
      </c>
      <c r="K22" s="122">
        <v>13510</v>
      </c>
      <c r="L22" s="121">
        <f t="shared" si="0"/>
        <v>-90</v>
      </c>
      <c r="M22" s="8">
        <v>220</v>
      </c>
      <c r="N22" s="12">
        <v>1426799.14</v>
      </c>
      <c r="O22" s="7">
        <f t="shared" si="1"/>
        <v>1209151.8135593219</v>
      </c>
      <c r="P22" s="12">
        <f t="shared" si="2"/>
        <v>241830.36271186441</v>
      </c>
      <c r="Q22" s="12">
        <f t="shared" si="3"/>
        <v>120915.1813559322</v>
      </c>
      <c r="R22" s="12">
        <f t="shared" si="4"/>
        <v>60457.590677966102</v>
      </c>
      <c r="S22" s="12">
        <f t="shared" si="5"/>
        <v>60457.590677966102</v>
      </c>
      <c r="T22" s="12">
        <f t="shared" si="6"/>
        <v>60457.590677966102</v>
      </c>
      <c r="U22" s="12">
        <f t="shared" si="7"/>
        <v>882680.82389830495</v>
      </c>
    </row>
    <row r="23" spans="1:21" x14ac:dyDescent="0.3">
      <c r="A23" s="4">
        <v>15</v>
      </c>
      <c r="B23" s="17" t="s">
        <v>67</v>
      </c>
      <c r="C23" s="8" t="s">
        <v>6</v>
      </c>
      <c r="D23" s="17" t="s">
        <v>26</v>
      </c>
      <c r="E23" s="8">
        <v>8822500509</v>
      </c>
      <c r="F23" s="17" t="s">
        <v>68</v>
      </c>
      <c r="G23" s="8">
        <v>9992309380</v>
      </c>
      <c r="H23" s="9">
        <v>24640</v>
      </c>
      <c r="I23" s="10">
        <v>12040</v>
      </c>
      <c r="J23" s="11">
        <f t="shared" si="8"/>
        <v>12600</v>
      </c>
      <c r="K23" s="122">
        <v>12570</v>
      </c>
      <c r="L23" s="121">
        <f t="shared" si="0"/>
        <v>-30</v>
      </c>
      <c r="M23" s="8">
        <v>800</v>
      </c>
      <c r="N23" s="12">
        <v>1188006.3</v>
      </c>
      <c r="O23" s="7">
        <f t="shared" si="1"/>
        <v>1006785.0000000001</v>
      </c>
      <c r="P23" s="12">
        <f t="shared" si="2"/>
        <v>201357.00000000003</v>
      </c>
      <c r="Q23" s="12">
        <f t="shared" si="3"/>
        <v>100678.50000000001</v>
      </c>
      <c r="R23" s="12">
        <f t="shared" si="4"/>
        <v>50339.250000000007</v>
      </c>
      <c r="S23" s="12">
        <f t="shared" si="5"/>
        <v>50339.250000000007</v>
      </c>
      <c r="T23" s="12">
        <f t="shared" si="6"/>
        <v>50339.250000000007</v>
      </c>
      <c r="U23" s="12">
        <f t="shared" si="7"/>
        <v>734953.05</v>
      </c>
    </row>
    <row r="24" spans="1:21" x14ac:dyDescent="0.3">
      <c r="A24" s="8">
        <v>16</v>
      </c>
      <c r="B24" s="17" t="s">
        <v>69</v>
      </c>
      <c r="C24" s="8" t="s">
        <v>6</v>
      </c>
      <c r="D24" s="17" t="s">
        <v>17</v>
      </c>
      <c r="E24" s="8">
        <v>8822500520</v>
      </c>
      <c r="F24" s="17" t="s">
        <v>67</v>
      </c>
      <c r="G24" s="8">
        <v>9992309404</v>
      </c>
      <c r="H24" s="9">
        <v>28650</v>
      </c>
      <c r="I24" s="10">
        <v>13020</v>
      </c>
      <c r="J24" s="11">
        <f t="shared" si="8"/>
        <v>15630</v>
      </c>
      <c r="K24" s="122">
        <v>15580</v>
      </c>
      <c r="L24" s="121">
        <f t="shared" si="0"/>
        <v>-50</v>
      </c>
      <c r="M24" s="8">
        <v>450</v>
      </c>
      <c r="N24" s="12">
        <v>1598328.06</v>
      </c>
      <c r="O24" s="7">
        <f t="shared" si="1"/>
        <v>1354515.3050847459</v>
      </c>
      <c r="P24" s="12">
        <f t="shared" si="2"/>
        <v>270903.06101694918</v>
      </c>
      <c r="Q24" s="12">
        <f t="shared" si="3"/>
        <v>135451.53050847459</v>
      </c>
      <c r="R24" s="12">
        <f t="shared" si="4"/>
        <v>67725.765254237296</v>
      </c>
      <c r="S24" s="12">
        <f t="shared" si="5"/>
        <v>67725.765254237296</v>
      </c>
      <c r="T24" s="12">
        <f t="shared" si="6"/>
        <v>67725.765254237296</v>
      </c>
      <c r="U24" s="12">
        <f t="shared" si="7"/>
        <v>988796.17271186446</v>
      </c>
    </row>
    <row r="25" spans="1:21" x14ac:dyDescent="0.3">
      <c r="A25" s="4">
        <v>17</v>
      </c>
      <c r="B25" s="17" t="s">
        <v>69</v>
      </c>
      <c r="C25" s="8" t="s">
        <v>6</v>
      </c>
      <c r="D25" s="17" t="s">
        <v>27</v>
      </c>
      <c r="E25" s="8">
        <v>8822500514</v>
      </c>
      <c r="F25" s="17" t="s">
        <v>67</v>
      </c>
      <c r="G25" s="8">
        <v>9992309391</v>
      </c>
      <c r="H25" s="9">
        <v>27520</v>
      </c>
      <c r="I25" s="10">
        <v>13360</v>
      </c>
      <c r="J25" s="11">
        <f t="shared" si="8"/>
        <v>14160</v>
      </c>
      <c r="K25" s="122">
        <v>14110</v>
      </c>
      <c r="L25" s="121">
        <f t="shared" si="0"/>
        <v>-50</v>
      </c>
      <c r="M25" s="8">
        <v>525</v>
      </c>
      <c r="N25" s="12">
        <v>1379017.62</v>
      </c>
      <c r="O25" s="7">
        <f t="shared" si="1"/>
        <v>1168659.0000000002</v>
      </c>
      <c r="P25" s="12">
        <f t="shared" si="2"/>
        <v>233731.80000000005</v>
      </c>
      <c r="Q25" s="12">
        <f t="shared" si="3"/>
        <v>116865.90000000002</v>
      </c>
      <c r="R25" s="12">
        <f t="shared" si="4"/>
        <v>58432.950000000012</v>
      </c>
      <c r="S25" s="12">
        <f t="shared" si="5"/>
        <v>58432.950000000012</v>
      </c>
      <c r="T25" s="12">
        <f t="shared" si="6"/>
        <v>58432.950000000012</v>
      </c>
      <c r="U25" s="12">
        <f t="shared" si="7"/>
        <v>853121.07000000007</v>
      </c>
    </row>
    <row r="26" spans="1:21" x14ac:dyDescent="0.3">
      <c r="A26" s="8">
        <v>18</v>
      </c>
      <c r="B26" s="17" t="s">
        <v>69</v>
      </c>
      <c r="C26" s="8" t="s">
        <v>6</v>
      </c>
      <c r="D26" s="17" t="s">
        <v>30</v>
      </c>
      <c r="E26" s="8">
        <v>8822500515</v>
      </c>
      <c r="F26" s="17" t="s">
        <v>67</v>
      </c>
      <c r="G26" s="8">
        <v>9992309394</v>
      </c>
      <c r="H26" s="9">
        <v>32190</v>
      </c>
      <c r="I26" s="10">
        <v>13190</v>
      </c>
      <c r="J26" s="11">
        <f t="shared" si="8"/>
        <v>19000</v>
      </c>
      <c r="K26" s="122">
        <v>18870</v>
      </c>
      <c r="L26" s="121">
        <f t="shared" si="0"/>
        <v>-130</v>
      </c>
      <c r="M26" s="8">
        <v>450</v>
      </c>
      <c r="N26" s="12">
        <v>1914540.64</v>
      </c>
      <c r="O26" s="7">
        <f t="shared" si="1"/>
        <v>1622492.0677966101</v>
      </c>
      <c r="P26" s="12">
        <f t="shared" si="2"/>
        <v>324498.41355932201</v>
      </c>
      <c r="Q26" s="12">
        <f t="shared" si="3"/>
        <v>162249.20677966101</v>
      </c>
      <c r="R26" s="12">
        <f t="shared" si="4"/>
        <v>81124.603389830503</v>
      </c>
      <c r="S26" s="12">
        <f t="shared" si="5"/>
        <v>81124.603389830503</v>
      </c>
      <c r="T26" s="12">
        <f t="shared" si="6"/>
        <v>81124.603389830503</v>
      </c>
      <c r="U26" s="12">
        <f t="shared" si="7"/>
        <v>1184419.2094915251</v>
      </c>
    </row>
    <row r="27" spans="1:21" x14ac:dyDescent="0.3">
      <c r="A27" s="4">
        <v>19</v>
      </c>
      <c r="B27" s="17" t="s">
        <v>31</v>
      </c>
      <c r="C27" s="8" t="s">
        <v>6</v>
      </c>
      <c r="D27" s="22" t="s">
        <v>32</v>
      </c>
      <c r="E27" s="8">
        <v>8822500528</v>
      </c>
      <c r="F27" s="17" t="s">
        <v>69</v>
      </c>
      <c r="G27" s="8">
        <v>9992309411</v>
      </c>
      <c r="H27" s="23">
        <v>12990</v>
      </c>
      <c r="I27" s="24">
        <v>4630</v>
      </c>
      <c r="J27" s="25">
        <f>H27-I27</f>
        <v>8360</v>
      </c>
      <c r="K27" s="123">
        <v>7680</v>
      </c>
      <c r="L27" s="121">
        <f t="shared" si="0"/>
        <v>-680</v>
      </c>
      <c r="M27" s="21">
        <v>150</v>
      </c>
      <c r="N27" s="26">
        <v>759858.86</v>
      </c>
      <c r="O27" s="7">
        <f t="shared" si="1"/>
        <v>643948.18644067796</v>
      </c>
      <c r="P27" s="26">
        <f t="shared" si="2"/>
        <v>128789.63728813559</v>
      </c>
      <c r="Q27" s="26">
        <f t="shared" si="3"/>
        <v>64394.818644067796</v>
      </c>
      <c r="R27" s="26">
        <f t="shared" si="4"/>
        <v>32197.409322033898</v>
      </c>
      <c r="S27" s="26">
        <f t="shared" si="5"/>
        <v>32197.409322033898</v>
      </c>
      <c r="T27" s="26">
        <f t="shared" si="6"/>
        <v>32197.409322033898</v>
      </c>
      <c r="U27" s="26">
        <f t="shared" si="7"/>
        <v>470082.17610169505</v>
      </c>
    </row>
    <row r="28" spans="1:21" x14ac:dyDescent="0.3">
      <c r="A28" s="8">
        <v>20</v>
      </c>
      <c r="B28" s="17" t="s">
        <v>31</v>
      </c>
      <c r="C28" s="8" t="s">
        <v>6</v>
      </c>
      <c r="D28" s="22" t="s">
        <v>33</v>
      </c>
      <c r="E28" s="8">
        <v>8822500525</v>
      </c>
      <c r="F28" s="17" t="s">
        <v>69</v>
      </c>
      <c r="G28" s="8">
        <v>9992309408</v>
      </c>
      <c r="H28" s="23">
        <v>25390</v>
      </c>
      <c r="I28" s="24">
        <v>12870</v>
      </c>
      <c r="J28" s="25">
        <f t="shared" si="8"/>
        <v>12520</v>
      </c>
      <c r="K28" s="123">
        <v>12490</v>
      </c>
      <c r="L28" s="121">
        <f t="shared" si="0"/>
        <v>-30</v>
      </c>
      <c r="M28" s="21">
        <v>500</v>
      </c>
      <c r="N28" s="26">
        <v>1267744.44</v>
      </c>
      <c r="O28" s="7">
        <f t="shared" si="1"/>
        <v>1074359.6949152541</v>
      </c>
      <c r="P28" s="26">
        <f t="shared" si="2"/>
        <v>214871.93898305084</v>
      </c>
      <c r="Q28" s="26">
        <f t="shared" si="3"/>
        <v>107435.96949152542</v>
      </c>
      <c r="R28" s="26">
        <f t="shared" si="4"/>
        <v>53717.984745762711</v>
      </c>
      <c r="S28" s="26">
        <f t="shared" si="5"/>
        <v>53717.984745762711</v>
      </c>
      <c r="T28" s="26">
        <f t="shared" si="6"/>
        <v>53717.984745762711</v>
      </c>
      <c r="U28" s="26">
        <f t="shared" si="7"/>
        <v>784282.57728813565</v>
      </c>
    </row>
    <row r="29" spans="1:21" x14ac:dyDescent="0.3">
      <c r="A29" s="124">
        <v>21</v>
      </c>
      <c r="B29" s="124" t="s">
        <v>31</v>
      </c>
      <c r="C29" s="127" t="s">
        <v>6</v>
      </c>
      <c r="D29" s="124" t="s">
        <v>18</v>
      </c>
      <c r="E29" s="8">
        <v>8822500524</v>
      </c>
      <c r="F29" s="17" t="s">
        <v>69</v>
      </c>
      <c r="G29" s="8">
        <v>9992309407</v>
      </c>
      <c r="H29" s="130">
        <v>12580</v>
      </c>
      <c r="I29" s="133">
        <v>4820</v>
      </c>
      <c r="J29" s="148">
        <f>H29-I29</f>
        <v>7760</v>
      </c>
      <c r="K29" s="124">
        <v>7720</v>
      </c>
      <c r="L29" s="121">
        <f t="shared" si="0"/>
        <v>-40</v>
      </c>
      <c r="M29" s="124">
        <v>120</v>
      </c>
      <c r="N29" s="26">
        <v>665024.4</v>
      </c>
      <c r="O29" s="7">
        <f t="shared" si="1"/>
        <v>563580</v>
      </c>
      <c r="P29" s="26">
        <f t="shared" si="2"/>
        <v>112716</v>
      </c>
      <c r="Q29" s="26">
        <f t="shared" si="3"/>
        <v>56358</v>
      </c>
      <c r="R29" s="26">
        <f t="shared" si="4"/>
        <v>28179</v>
      </c>
      <c r="S29" s="26">
        <f t="shared" si="5"/>
        <v>28179</v>
      </c>
      <c r="T29" s="26">
        <f t="shared" si="6"/>
        <v>28179</v>
      </c>
      <c r="U29" s="26">
        <f t="shared" si="7"/>
        <v>411413.4</v>
      </c>
    </row>
    <row r="30" spans="1:21" x14ac:dyDescent="0.3">
      <c r="A30" s="126"/>
      <c r="B30" s="126"/>
      <c r="C30" s="129"/>
      <c r="D30" s="126"/>
      <c r="E30" s="8">
        <v>8822500526</v>
      </c>
      <c r="F30" s="17" t="s">
        <v>69</v>
      </c>
      <c r="G30" s="8">
        <v>9992309409</v>
      </c>
      <c r="H30" s="132"/>
      <c r="I30" s="135"/>
      <c r="J30" s="149"/>
      <c r="K30" s="126"/>
      <c r="L30" s="121">
        <f t="shared" si="0"/>
        <v>0</v>
      </c>
      <c r="M30" s="126"/>
      <c r="N30" s="26">
        <v>131302.46</v>
      </c>
      <c r="O30" s="7">
        <f t="shared" si="1"/>
        <v>111273.27118644067</v>
      </c>
      <c r="P30" s="26">
        <f t="shared" si="2"/>
        <v>22254.654237288138</v>
      </c>
      <c r="Q30" s="26">
        <f t="shared" si="3"/>
        <v>11127.327118644069</v>
      </c>
      <c r="R30" s="26">
        <f t="shared" si="4"/>
        <v>5563.6635593220344</v>
      </c>
      <c r="S30" s="26">
        <f t="shared" si="5"/>
        <v>5563.6635593220344</v>
      </c>
      <c r="T30" s="26">
        <f t="shared" si="6"/>
        <v>5563.6635593220344</v>
      </c>
      <c r="U30" s="26">
        <f t="shared" si="7"/>
        <v>81229.487966101675</v>
      </c>
    </row>
    <row r="31" spans="1:21" x14ac:dyDescent="0.3">
      <c r="A31" s="4">
        <v>22</v>
      </c>
      <c r="B31" s="17" t="s">
        <v>70</v>
      </c>
      <c r="C31" s="8" t="s">
        <v>6</v>
      </c>
      <c r="D31" s="22" t="s">
        <v>22</v>
      </c>
      <c r="E31" s="8">
        <v>8822500534</v>
      </c>
      <c r="F31" s="17" t="s">
        <v>71</v>
      </c>
      <c r="G31" s="8">
        <v>9992309416</v>
      </c>
      <c r="H31" s="23">
        <v>25410</v>
      </c>
      <c r="I31" s="24">
        <v>12640</v>
      </c>
      <c r="J31" s="25">
        <f>H31-I31</f>
        <v>12770</v>
      </c>
      <c r="K31" s="123">
        <v>12790</v>
      </c>
      <c r="L31" s="121">
        <f t="shared" si="0"/>
        <v>20</v>
      </c>
      <c r="M31" s="21">
        <v>350</v>
      </c>
      <c r="N31" s="26">
        <v>1348708.14</v>
      </c>
      <c r="O31" s="7">
        <f t="shared" si="1"/>
        <v>1142973</v>
      </c>
      <c r="P31" s="26">
        <f t="shared" si="2"/>
        <v>228594.6</v>
      </c>
      <c r="Q31" s="26">
        <f t="shared" si="3"/>
        <v>114297.3</v>
      </c>
      <c r="R31" s="26">
        <f t="shared" si="4"/>
        <v>57148.65</v>
      </c>
      <c r="S31" s="26">
        <f t="shared" si="5"/>
        <v>57148.65</v>
      </c>
      <c r="T31" s="26">
        <f t="shared" si="6"/>
        <v>57148.65</v>
      </c>
      <c r="U31" s="26">
        <f t="shared" si="7"/>
        <v>834370.28999999969</v>
      </c>
    </row>
    <row r="32" spans="1:21" x14ac:dyDescent="0.3">
      <c r="A32" s="8">
        <v>23</v>
      </c>
      <c r="B32" s="17" t="s">
        <v>72</v>
      </c>
      <c r="C32" s="8" t="s">
        <v>6</v>
      </c>
      <c r="D32" s="22" t="s">
        <v>34</v>
      </c>
      <c r="E32" s="8">
        <v>8822500540</v>
      </c>
      <c r="F32" s="17" t="s">
        <v>73</v>
      </c>
      <c r="G32" s="8">
        <v>9992309423</v>
      </c>
      <c r="H32" s="23">
        <v>32600</v>
      </c>
      <c r="I32" s="24">
        <v>12530</v>
      </c>
      <c r="J32" s="25">
        <f>H32-I32</f>
        <v>20070</v>
      </c>
      <c r="K32" s="123">
        <v>20020</v>
      </c>
      <c r="L32" s="121">
        <f t="shared" si="0"/>
        <v>-50</v>
      </c>
      <c r="M32" s="21">
        <v>520</v>
      </c>
      <c r="N32" s="26">
        <v>2094402.06</v>
      </c>
      <c r="O32" s="7">
        <f t="shared" si="1"/>
        <v>1774917.0000000002</v>
      </c>
      <c r="P32" s="26">
        <f t="shared" si="2"/>
        <v>354983.40000000008</v>
      </c>
      <c r="Q32" s="26">
        <f t="shared" si="3"/>
        <v>177491.70000000004</v>
      </c>
      <c r="R32" s="26">
        <f t="shared" si="4"/>
        <v>88745.85000000002</v>
      </c>
      <c r="S32" s="26">
        <f t="shared" si="5"/>
        <v>88745.85000000002</v>
      </c>
      <c r="T32" s="26">
        <f t="shared" si="6"/>
        <v>88745.85000000002</v>
      </c>
      <c r="U32" s="26">
        <f t="shared" si="7"/>
        <v>1295689.4099999997</v>
      </c>
    </row>
    <row r="33" spans="1:21" x14ac:dyDescent="0.3">
      <c r="A33" s="124">
        <v>24</v>
      </c>
      <c r="B33" s="124" t="s">
        <v>74</v>
      </c>
      <c r="C33" s="127" t="s">
        <v>6</v>
      </c>
      <c r="D33" s="124" t="s">
        <v>22</v>
      </c>
      <c r="E33" s="8">
        <v>8822500544</v>
      </c>
      <c r="F33" s="17" t="s">
        <v>75</v>
      </c>
      <c r="G33" s="8">
        <v>9992309431</v>
      </c>
      <c r="H33" s="130">
        <v>29550</v>
      </c>
      <c r="I33" s="133">
        <v>12610</v>
      </c>
      <c r="J33" s="148">
        <f>H33-I33</f>
        <v>16940</v>
      </c>
      <c r="K33" s="124">
        <v>16910</v>
      </c>
      <c r="L33" s="121">
        <f t="shared" si="0"/>
        <v>-30</v>
      </c>
      <c r="M33" s="124">
        <v>280</v>
      </c>
      <c r="N33" s="26">
        <v>1736901</v>
      </c>
      <c r="O33" s="7">
        <f t="shared" si="1"/>
        <v>1471950</v>
      </c>
      <c r="P33" s="7">
        <f>O33*20%</f>
        <v>294390</v>
      </c>
      <c r="Q33" s="7">
        <f>O33*10%</f>
        <v>147195</v>
      </c>
      <c r="R33" s="7">
        <f>O33*5%</f>
        <v>73597.5</v>
      </c>
      <c r="S33" s="7">
        <f>O33*5%</f>
        <v>73597.5</v>
      </c>
      <c r="T33" s="7">
        <f>O33*5%</f>
        <v>73597.5</v>
      </c>
      <c r="U33" s="7">
        <f>N33-P33-Q33-R33-S33-T33</f>
        <v>1074523.5</v>
      </c>
    </row>
    <row r="34" spans="1:21" x14ac:dyDescent="0.3">
      <c r="A34" s="126"/>
      <c r="B34" s="126"/>
      <c r="C34" s="129"/>
      <c r="D34" s="126"/>
      <c r="E34" s="8">
        <v>8822500545</v>
      </c>
      <c r="F34" s="17" t="s">
        <v>75</v>
      </c>
      <c r="G34" s="8">
        <v>9992309432</v>
      </c>
      <c r="H34" s="132"/>
      <c r="I34" s="135"/>
      <c r="J34" s="149"/>
      <c r="K34" s="126"/>
      <c r="L34" s="121">
        <f t="shared" si="0"/>
        <v>0</v>
      </c>
      <c r="M34" s="126"/>
      <c r="N34" s="26">
        <v>4163.04</v>
      </c>
      <c r="O34" s="7">
        <f t="shared" si="1"/>
        <v>3528</v>
      </c>
      <c r="P34" s="12">
        <f t="shared" ref="P34:P44" si="9">O34*20%</f>
        <v>705.6</v>
      </c>
      <c r="Q34" s="12">
        <f t="shared" ref="Q34:Q44" si="10">O34*10%</f>
        <v>352.8</v>
      </c>
      <c r="R34" s="12">
        <f t="shared" ref="R34:R44" si="11">O34*5%</f>
        <v>176.4</v>
      </c>
      <c r="S34" s="12">
        <f t="shared" ref="S34:S44" si="12">O34*5%</f>
        <v>176.4</v>
      </c>
      <c r="T34" s="12">
        <f t="shared" ref="T34:T44" si="13">O34*5%</f>
        <v>176.4</v>
      </c>
      <c r="U34" s="12">
        <f t="shared" ref="U34:U44" si="14">N34-P34-Q34-R34-S34-T34</f>
        <v>2575.4399999999996</v>
      </c>
    </row>
    <row r="35" spans="1:21" x14ac:dyDescent="0.3">
      <c r="A35" s="8">
        <v>25</v>
      </c>
      <c r="B35" s="17" t="s">
        <v>76</v>
      </c>
      <c r="C35" s="8" t="s">
        <v>6</v>
      </c>
      <c r="D35" s="22" t="s">
        <v>22</v>
      </c>
      <c r="E35" s="8">
        <v>8822500551</v>
      </c>
      <c r="F35" s="17" t="s">
        <v>77</v>
      </c>
      <c r="G35" s="8">
        <v>9992309438</v>
      </c>
      <c r="H35" s="23">
        <v>25500</v>
      </c>
      <c r="I35" s="24">
        <v>12600</v>
      </c>
      <c r="J35" s="25">
        <f>H35-I35</f>
        <v>12900</v>
      </c>
      <c r="K35" s="123">
        <v>12910</v>
      </c>
      <c r="L35" s="121">
        <f t="shared" si="0"/>
        <v>10</v>
      </c>
      <c r="M35" s="21">
        <v>300</v>
      </c>
      <c r="N35" s="26">
        <v>1309711.5</v>
      </c>
      <c r="O35" s="7">
        <f t="shared" si="1"/>
        <v>1109925</v>
      </c>
      <c r="P35" s="12">
        <f t="shared" si="9"/>
        <v>221985</v>
      </c>
      <c r="Q35" s="12">
        <f t="shared" si="10"/>
        <v>110992.5</v>
      </c>
      <c r="R35" s="12">
        <f t="shared" si="11"/>
        <v>55496.25</v>
      </c>
      <c r="S35" s="12">
        <f t="shared" si="12"/>
        <v>55496.25</v>
      </c>
      <c r="T35" s="12">
        <f t="shared" si="13"/>
        <v>55496.25</v>
      </c>
      <c r="U35" s="12">
        <f t="shared" si="14"/>
        <v>810245.25</v>
      </c>
    </row>
    <row r="36" spans="1:21" x14ac:dyDescent="0.3">
      <c r="A36" s="21">
        <v>26</v>
      </c>
      <c r="B36" s="17" t="s">
        <v>78</v>
      </c>
      <c r="C36" s="8" t="s">
        <v>79</v>
      </c>
      <c r="D36" s="22" t="s">
        <v>80</v>
      </c>
      <c r="E36" s="46" t="s">
        <v>81</v>
      </c>
      <c r="F36" s="46" t="s">
        <v>81</v>
      </c>
      <c r="G36" s="17" t="s">
        <v>82</v>
      </c>
      <c r="H36" s="23"/>
      <c r="I36" s="24"/>
      <c r="J36" s="25"/>
      <c r="K36" s="123"/>
      <c r="L36" s="121">
        <f t="shared" si="0"/>
        <v>0</v>
      </c>
      <c r="M36" s="21" t="s">
        <v>83</v>
      </c>
      <c r="N36" s="26"/>
      <c r="O36" s="7">
        <f t="shared" si="1"/>
        <v>0</v>
      </c>
      <c r="P36" s="12">
        <f t="shared" si="9"/>
        <v>0</v>
      </c>
      <c r="Q36" s="12">
        <f t="shared" si="10"/>
        <v>0</v>
      </c>
      <c r="R36" s="12">
        <f t="shared" si="11"/>
        <v>0</v>
      </c>
      <c r="S36" s="12">
        <f t="shared" si="12"/>
        <v>0</v>
      </c>
      <c r="T36" s="12">
        <f t="shared" si="13"/>
        <v>0</v>
      </c>
      <c r="U36" s="12">
        <f t="shared" si="14"/>
        <v>0</v>
      </c>
    </row>
    <row r="37" spans="1:21" x14ac:dyDescent="0.3">
      <c r="A37" s="8">
        <v>27</v>
      </c>
      <c r="B37" s="17" t="s">
        <v>84</v>
      </c>
      <c r="C37" s="8" t="s">
        <v>85</v>
      </c>
      <c r="D37" s="22" t="s">
        <v>86</v>
      </c>
      <c r="E37" s="47">
        <v>8822500618</v>
      </c>
      <c r="F37" s="47" t="s">
        <v>84</v>
      </c>
      <c r="G37" s="17">
        <v>9992309536</v>
      </c>
      <c r="H37" s="48" t="s">
        <v>81</v>
      </c>
      <c r="I37" s="49" t="s">
        <v>81</v>
      </c>
      <c r="J37" s="50" t="s">
        <v>81</v>
      </c>
      <c r="K37" s="123"/>
      <c r="L37" s="121"/>
      <c r="M37" s="21"/>
      <c r="N37" s="26">
        <v>1594298</v>
      </c>
      <c r="O37" s="7">
        <f t="shared" si="1"/>
        <v>1351100</v>
      </c>
      <c r="P37" s="12">
        <f t="shared" si="9"/>
        <v>270220</v>
      </c>
      <c r="Q37" s="12">
        <f t="shared" si="10"/>
        <v>135110</v>
      </c>
      <c r="R37" s="12">
        <f t="shared" si="11"/>
        <v>67555</v>
      </c>
      <c r="S37" s="12">
        <f t="shared" si="12"/>
        <v>67555</v>
      </c>
      <c r="T37" s="12">
        <f t="shared" si="13"/>
        <v>67555</v>
      </c>
      <c r="U37" s="12">
        <f t="shared" si="14"/>
        <v>986303</v>
      </c>
    </row>
    <row r="38" spans="1:21" x14ac:dyDescent="0.3">
      <c r="A38" s="21">
        <v>28</v>
      </c>
      <c r="B38" s="17" t="s">
        <v>87</v>
      </c>
      <c r="C38" s="8" t="s">
        <v>85</v>
      </c>
      <c r="D38" s="22" t="s">
        <v>88</v>
      </c>
      <c r="E38" s="47">
        <v>8822500668</v>
      </c>
      <c r="F38" s="47" t="s">
        <v>87</v>
      </c>
      <c r="G38" s="17">
        <v>9992309632</v>
      </c>
      <c r="H38" s="48" t="s">
        <v>81</v>
      </c>
      <c r="I38" s="49" t="s">
        <v>81</v>
      </c>
      <c r="J38" s="50" t="s">
        <v>81</v>
      </c>
      <c r="K38" s="123"/>
      <c r="L38" s="121"/>
      <c r="M38" s="21"/>
      <c r="N38" s="26">
        <v>677576.66</v>
      </c>
      <c r="O38" s="7">
        <f t="shared" si="1"/>
        <v>574217.50847457629</v>
      </c>
      <c r="P38" s="12">
        <f t="shared" si="9"/>
        <v>114843.50169491526</v>
      </c>
      <c r="Q38" s="12">
        <f t="shared" si="10"/>
        <v>57421.750847457632</v>
      </c>
      <c r="R38" s="12">
        <f t="shared" si="11"/>
        <v>28710.875423728816</v>
      </c>
      <c r="S38" s="12">
        <f t="shared" si="12"/>
        <v>28710.875423728816</v>
      </c>
      <c r="T38" s="12">
        <f t="shared" si="13"/>
        <v>28710.875423728816</v>
      </c>
      <c r="U38" s="12">
        <f t="shared" si="14"/>
        <v>419178.78118644067</v>
      </c>
    </row>
    <row r="39" spans="1:21" x14ac:dyDescent="0.3">
      <c r="A39" s="124">
        <v>29</v>
      </c>
      <c r="B39" s="124" t="s">
        <v>89</v>
      </c>
      <c r="C39" s="127" t="s">
        <v>6</v>
      </c>
      <c r="D39" s="124" t="s">
        <v>90</v>
      </c>
      <c r="E39" s="8">
        <v>8822500699</v>
      </c>
      <c r="F39" s="124" t="s">
        <v>89</v>
      </c>
      <c r="G39" s="8">
        <v>9992309691</v>
      </c>
      <c r="H39" s="130">
        <v>8810</v>
      </c>
      <c r="I39" s="133">
        <v>5280</v>
      </c>
      <c r="J39" s="148">
        <f>H39-I39</f>
        <v>3530</v>
      </c>
      <c r="K39" s="124">
        <v>3500</v>
      </c>
      <c r="L39" s="121">
        <f t="shared" si="0"/>
        <v>-30</v>
      </c>
      <c r="M39" s="124">
        <v>48</v>
      </c>
      <c r="N39" s="26">
        <v>353805.3</v>
      </c>
      <c r="O39" s="7">
        <f t="shared" si="1"/>
        <v>299835</v>
      </c>
      <c r="P39" s="12">
        <f t="shared" si="9"/>
        <v>59967</v>
      </c>
      <c r="Q39" s="12">
        <f t="shared" si="10"/>
        <v>29983.5</v>
      </c>
      <c r="R39" s="12">
        <f t="shared" si="11"/>
        <v>14991.75</v>
      </c>
      <c r="S39" s="12">
        <f t="shared" si="12"/>
        <v>14991.75</v>
      </c>
      <c r="T39" s="12">
        <f t="shared" si="13"/>
        <v>14991.75</v>
      </c>
      <c r="U39" s="12">
        <f t="shared" si="14"/>
        <v>218879.55</v>
      </c>
    </row>
    <row r="40" spans="1:21" x14ac:dyDescent="0.3">
      <c r="A40" s="126"/>
      <c r="B40" s="126"/>
      <c r="C40" s="129"/>
      <c r="D40" s="126"/>
      <c r="E40" s="8">
        <v>8822500700</v>
      </c>
      <c r="F40" s="126"/>
      <c r="G40" s="8">
        <v>9992309692</v>
      </c>
      <c r="H40" s="132"/>
      <c r="I40" s="135"/>
      <c r="J40" s="149"/>
      <c r="K40" s="126"/>
      <c r="L40" s="121">
        <f t="shared" si="0"/>
        <v>0</v>
      </c>
      <c r="M40" s="126"/>
      <c r="N40" s="26">
        <v>64006.74</v>
      </c>
      <c r="O40" s="7">
        <f t="shared" si="1"/>
        <v>54243</v>
      </c>
      <c r="P40" s="12">
        <f t="shared" si="9"/>
        <v>10848.6</v>
      </c>
      <c r="Q40" s="12">
        <f t="shared" si="10"/>
        <v>5424.3</v>
      </c>
      <c r="R40" s="12">
        <f t="shared" si="11"/>
        <v>2712.15</v>
      </c>
      <c r="S40" s="12">
        <f t="shared" si="12"/>
        <v>2712.15</v>
      </c>
      <c r="T40" s="12">
        <f t="shared" si="13"/>
        <v>2712.15</v>
      </c>
      <c r="U40" s="12">
        <f t="shared" si="14"/>
        <v>39597.389999999992</v>
      </c>
    </row>
    <row r="41" spans="1:21" x14ac:dyDescent="0.3">
      <c r="A41" s="124">
        <v>30</v>
      </c>
      <c r="B41" s="124" t="s">
        <v>91</v>
      </c>
      <c r="C41" s="127" t="s">
        <v>6</v>
      </c>
      <c r="D41" s="124" t="s">
        <v>20</v>
      </c>
      <c r="E41" s="8">
        <v>8822500704</v>
      </c>
      <c r="F41" s="17" t="s">
        <v>89</v>
      </c>
      <c r="G41" s="8">
        <v>9992309696</v>
      </c>
      <c r="H41" s="130">
        <v>24200</v>
      </c>
      <c r="I41" s="136">
        <v>12650</v>
      </c>
      <c r="J41" s="148">
        <f>H41-I41</f>
        <v>11550</v>
      </c>
      <c r="K41" s="124">
        <v>11430</v>
      </c>
      <c r="L41" s="121">
        <f t="shared" si="0"/>
        <v>-120</v>
      </c>
      <c r="M41" s="124">
        <v>300</v>
      </c>
      <c r="N41" s="26">
        <v>78540.22</v>
      </c>
      <c r="O41" s="7">
        <f t="shared" si="1"/>
        <v>66559.508474576272</v>
      </c>
      <c r="P41" s="12">
        <f t="shared" si="9"/>
        <v>13311.901694915256</v>
      </c>
      <c r="Q41" s="12">
        <f t="shared" si="10"/>
        <v>6655.9508474576278</v>
      </c>
      <c r="R41" s="12">
        <f t="shared" si="11"/>
        <v>3327.9754237288139</v>
      </c>
      <c r="S41" s="12">
        <f t="shared" si="12"/>
        <v>3327.9754237288139</v>
      </c>
      <c r="T41" s="12">
        <f t="shared" si="13"/>
        <v>3327.9754237288139</v>
      </c>
      <c r="U41" s="12">
        <f t="shared" si="14"/>
        <v>48588.441186440672</v>
      </c>
    </row>
    <row r="42" spans="1:21" x14ac:dyDescent="0.3">
      <c r="A42" s="126"/>
      <c r="B42" s="126"/>
      <c r="C42" s="129"/>
      <c r="D42" s="126"/>
      <c r="E42" s="8">
        <v>8822500705</v>
      </c>
      <c r="F42" s="17" t="s">
        <v>89</v>
      </c>
      <c r="G42" s="8">
        <v>9992309697</v>
      </c>
      <c r="H42" s="132"/>
      <c r="I42" s="137"/>
      <c r="J42" s="149"/>
      <c r="K42" s="126"/>
      <c r="L42" s="121">
        <f t="shared" si="0"/>
        <v>0</v>
      </c>
      <c r="M42" s="126"/>
      <c r="N42" s="26">
        <v>1072330.1000000001</v>
      </c>
      <c r="O42" s="7">
        <f t="shared" si="1"/>
        <v>908754.32203389844</v>
      </c>
      <c r="P42" s="12">
        <f t="shared" si="9"/>
        <v>181750.8644067797</v>
      </c>
      <c r="Q42" s="12">
        <f t="shared" si="10"/>
        <v>90875.43220338985</v>
      </c>
      <c r="R42" s="12">
        <f t="shared" si="11"/>
        <v>45437.716101694925</v>
      </c>
      <c r="S42" s="12">
        <f t="shared" si="12"/>
        <v>45437.716101694925</v>
      </c>
      <c r="T42" s="12">
        <f t="shared" si="13"/>
        <v>45437.716101694925</v>
      </c>
      <c r="U42" s="12">
        <f t="shared" si="14"/>
        <v>663390.65508474573</v>
      </c>
    </row>
    <row r="43" spans="1:21" x14ac:dyDescent="0.3">
      <c r="A43" s="21">
        <v>31</v>
      </c>
      <c r="B43" s="17" t="s">
        <v>91</v>
      </c>
      <c r="C43" s="8" t="s">
        <v>6</v>
      </c>
      <c r="D43" s="22" t="s">
        <v>80</v>
      </c>
      <c r="E43" s="8">
        <v>8822500708</v>
      </c>
      <c r="F43" s="17" t="s">
        <v>91</v>
      </c>
      <c r="G43" s="8">
        <v>9992309701</v>
      </c>
      <c r="H43" s="130">
        <v>7270</v>
      </c>
      <c r="I43" s="136">
        <v>3480</v>
      </c>
      <c r="J43" s="148">
        <f t="shared" ref="J43:J52" si="15">H43-I43</f>
        <v>3790</v>
      </c>
      <c r="K43" s="124">
        <v>3790</v>
      </c>
      <c r="L43" s="121">
        <f t="shared" si="0"/>
        <v>0</v>
      </c>
      <c r="M43" s="21">
        <v>160</v>
      </c>
      <c r="N43" s="26">
        <v>387884.88</v>
      </c>
      <c r="O43" s="7">
        <f t="shared" si="1"/>
        <v>328716</v>
      </c>
      <c r="P43" s="12">
        <f t="shared" si="9"/>
        <v>65743.199999999997</v>
      </c>
      <c r="Q43" s="12">
        <f t="shared" si="10"/>
        <v>32871.599999999999</v>
      </c>
      <c r="R43" s="12">
        <f t="shared" si="11"/>
        <v>16435.8</v>
      </c>
      <c r="S43" s="12">
        <f t="shared" si="12"/>
        <v>16435.8</v>
      </c>
      <c r="T43" s="12">
        <f t="shared" si="13"/>
        <v>16435.8</v>
      </c>
      <c r="U43" s="12">
        <f t="shared" si="14"/>
        <v>239962.68000000005</v>
      </c>
    </row>
    <row r="44" spans="1:21" x14ac:dyDescent="0.3">
      <c r="A44" s="21"/>
      <c r="B44" s="17" t="s">
        <v>133</v>
      </c>
      <c r="C44" s="8" t="s">
        <v>6</v>
      </c>
      <c r="D44" s="22"/>
      <c r="E44" s="8">
        <v>8822500709</v>
      </c>
      <c r="F44" s="17" t="s">
        <v>91</v>
      </c>
      <c r="G44" s="8"/>
      <c r="H44" s="132"/>
      <c r="I44" s="137"/>
      <c r="J44" s="149"/>
      <c r="K44" s="126"/>
      <c r="L44" s="121">
        <f t="shared" si="0"/>
        <v>0</v>
      </c>
      <c r="M44" s="21"/>
      <c r="N44" s="26">
        <v>19619.400000000001</v>
      </c>
      <c r="O44" s="7">
        <f t="shared" si="1"/>
        <v>16626.610169491527</v>
      </c>
      <c r="P44" s="7">
        <f t="shared" si="9"/>
        <v>3325.3220338983056</v>
      </c>
      <c r="Q44" s="7">
        <f t="shared" si="10"/>
        <v>1662.6610169491528</v>
      </c>
      <c r="R44" s="7">
        <f t="shared" si="11"/>
        <v>831.33050847457639</v>
      </c>
      <c r="S44" s="7">
        <f t="shared" si="12"/>
        <v>831.33050847457639</v>
      </c>
      <c r="T44" s="7">
        <f t="shared" si="13"/>
        <v>831.33050847457639</v>
      </c>
      <c r="U44" s="7">
        <f t="shared" si="14"/>
        <v>12137.425423728813</v>
      </c>
    </row>
    <row r="45" spans="1:21" x14ac:dyDescent="0.3">
      <c r="A45" s="21">
        <v>32</v>
      </c>
      <c r="B45" s="17" t="s">
        <v>92</v>
      </c>
      <c r="C45" s="8" t="s">
        <v>6</v>
      </c>
      <c r="D45" s="22" t="s">
        <v>93</v>
      </c>
      <c r="E45" s="8">
        <v>8822500721</v>
      </c>
      <c r="F45" s="17" t="s">
        <v>94</v>
      </c>
      <c r="G45" s="8">
        <v>9992309730</v>
      </c>
      <c r="H45" s="23">
        <v>19820</v>
      </c>
      <c r="I45" s="24">
        <v>5880</v>
      </c>
      <c r="J45" s="25">
        <f t="shared" si="15"/>
        <v>13940</v>
      </c>
      <c r="K45" s="123">
        <v>13900</v>
      </c>
      <c r="L45" s="121">
        <f t="shared" si="0"/>
        <v>-40</v>
      </c>
      <c r="M45" s="21">
        <v>0</v>
      </c>
      <c r="N45" s="26">
        <v>1428921</v>
      </c>
      <c r="O45" s="7">
        <f t="shared" si="1"/>
        <v>1210950</v>
      </c>
      <c r="P45" s="7">
        <f>O45*20%</f>
        <v>242190</v>
      </c>
      <c r="Q45" s="7">
        <f>O45*10%</f>
        <v>121095</v>
      </c>
      <c r="R45" s="7">
        <f>O45*5%</f>
        <v>60547.5</v>
      </c>
      <c r="S45" s="7">
        <f>O45*5%</f>
        <v>60547.5</v>
      </c>
      <c r="T45" s="7">
        <f>O45*5%</f>
        <v>60547.5</v>
      </c>
      <c r="U45" s="7">
        <f>N45-P45-Q45-R45-S45-T45</f>
        <v>883993.5</v>
      </c>
    </row>
    <row r="46" spans="1:21" x14ac:dyDescent="0.3">
      <c r="A46" s="21">
        <v>33</v>
      </c>
      <c r="B46" s="17" t="s">
        <v>92</v>
      </c>
      <c r="C46" s="8" t="s">
        <v>6</v>
      </c>
      <c r="D46" s="22" t="s">
        <v>93</v>
      </c>
      <c r="E46" s="8">
        <v>8822500727</v>
      </c>
      <c r="F46" s="17" t="s">
        <v>92</v>
      </c>
      <c r="G46" s="8">
        <v>9992309738</v>
      </c>
      <c r="H46" s="23">
        <v>18280</v>
      </c>
      <c r="I46" s="24">
        <v>5870</v>
      </c>
      <c r="J46" s="25">
        <f t="shared" si="15"/>
        <v>12410</v>
      </c>
      <c r="K46" s="123">
        <v>12370</v>
      </c>
      <c r="L46" s="121">
        <f t="shared" si="0"/>
        <v>-40</v>
      </c>
      <c r="M46" s="21">
        <v>0</v>
      </c>
      <c r="N46" s="26">
        <v>1279710</v>
      </c>
      <c r="O46" s="7">
        <f t="shared" si="1"/>
        <v>1084500</v>
      </c>
      <c r="P46" s="12">
        <f t="shared" ref="P46:P69" si="16">O46*20%</f>
        <v>216900</v>
      </c>
      <c r="Q46" s="12">
        <f t="shared" ref="Q46:Q69" si="17">O46*10%</f>
        <v>108450</v>
      </c>
      <c r="R46" s="12">
        <f t="shared" ref="R46:R69" si="18">O46*5%</f>
        <v>54225</v>
      </c>
      <c r="S46" s="12">
        <f t="shared" ref="S46:S69" si="19">O46*5%</f>
        <v>54225</v>
      </c>
      <c r="T46" s="12">
        <f t="shared" ref="T46:T69" si="20">O46*5%</f>
        <v>54225</v>
      </c>
      <c r="U46" s="12">
        <f t="shared" ref="U46:U69" si="21">N46-P46-Q46-R46-S46-T46</f>
        <v>791685</v>
      </c>
    </row>
    <row r="47" spans="1:21" x14ac:dyDescent="0.3">
      <c r="A47" s="21">
        <v>34</v>
      </c>
      <c r="B47" s="17" t="s">
        <v>95</v>
      </c>
      <c r="C47" s="8" t="s">
        <v>6</v>
      </c>
      <c r="D47" s="22" t="s">
        <v>18</v>
      </c>
      <c r="E47" s="8">
        <v>8822500738</v>
      </c>
      <c r="F47" s="17" t="s">
        <v>95</v>
      </c>
      <c r="G47" s="8">
        <v>9992309748</v>
      </c>
      <c r="H47" s="23">
        <v>10420</v>
      </c>
      <c r="I47" s="24">
        <v>4810</v>
      </c>
      <c r="J47" s="25">
        <f t="shared" si="15"/>
        <v>5610</v>
      </c>
      <c r="K47" s="123">
        <v>5600</v>
      </c>
      <c r="L47" s="121">
        <f t="shared" si="0"/>
        <v>-10</v>
      </c>
      <c r="M47" s="21">
        <v>50</v>
      </c>
      <c r="N47" s="26">
        <v>678645.41</v>
      </c>
      <c r="O47" s="7">
        <f t="shared" si="1"/>
        <v>575123.2288135594</v>
      </c>
      <c r="P47" s="12">
        <f t="shared" si="16"/>
        <v>115024.64576271188</v>
      </c>
      <c r="Q47" s="12">
        <f t="shared" si="17"/>
        <v>57512.32288135594</v>
      </c>
      <c r="R47" s="12">
        <f t="shared" si="18"/>
        <v>28756.16144067797</v>
      </c>
      <c r="S47" s="12">
        <f t="shared" si="19"/>
        <v>28756.16144067797</v>
      </c>
      <c r="T47" s="12">
        <f t="shared" si="20"/>
        <v>28756.16144067797</v>
      </c>
      <c r="U47" s="12">
        <f t="shared" si="21"/>
        <v>419839.95703389833</v>
      </c>
    </row>
    <row r="48" spans="1:21" x14ac:dyDescent="0.3">
      <c r="A48" s="21">
        <v>35</v>
      </c>
      <c r="B48" s="17" t="s">
        <v>96</v>
      </c>
      <c r="C48" s="8" t="s">
        <v>6</v>
      </c>
      <c r="D48" s="22" t="s">
        <v>80</v>
      </c>
      <c r="E48" s="8">
        <v>8822500741</v>
      </c>
      <c r="F48" s="17" t="s">
        <v>96</v>
      </c>
      <c r="G48" s="8">
        <v>9992309755</v>
      </c>
      <c r="H48" s="23">
        <v>5640</v>
      </c>
      <c r="I48" s="24">
        <v>3470</v>
      </c>
      <c r="J48" s="25">
        <f t="shared" si="15"/>
        <v>2170</v>
      </c>
      <c r="K48" s="123">
        <v>2170</v>
      </c>
      <c r="L48" s="121">
        <f t="shared" si="0"/>
        <v>0</v>
      </c>
      <c r="M48" s="21">
        <v>0</v>
      </c>
      <c r="N48" s="26">
        <v>224082</v>
      </c>
      <c r="O48" s="7">
        <f t="shared" si="1"/>
        <v>189900</v>
      </c>
      <c r="P48" s="12">
        <f t="shared" si="16"/>
        <v>37980</v>
      </c>
      <c r="Q48" s="12">
        <f t="shared" si="17"/>
        <v>18990</v>
      </c>
      <c r="R48" s="12">
        <f t="shared" si="18"/>
        <v>9495</v>
      </c>
      <c r="S48" s="12">
        <f t="shared" si="19"/>
        <v>9495</v>
      </c>
      <c r="T48" s="12">
        <f t="shared" si="20"/>
        <v>9495</v>
      </c>
      <c r="U48" s="12">
        <f t="shared" si="21"/>
        <v>138627</v>
      </c>
    </row>
    <row r="49" spans="1:21" x14ac:dyDescent="0.3">
      <c r="A49" s="21">
        <v>36</v>
      </c>
      <c r="B49" s="17" t="s">
        <v>97</v>
      </c>
      <c r="C49" s="8" t="s">
        <v>6</v>
      </c>
      <c r="D49" s="22" t="s">
        <v>80</v>
      </c>
      <c r="E49" s="8">
        <v>8822500757</v>
      </c>
      <c r="F49" s="17" t="s">
        <v>97</v>
      </c>
      <c r="G49" s="8">
        <v>9992309786</v>
      </c>
      <c r="H49" s="23">
        <v>8370</v>
      </c>
      <c r="I49" s="24">
        <v>3470</v>
      </c>
      <c r="J49" s="25">
        <f t="shared" si="15"/>
        <v>4900</v>
      </c>
      <c r="K49" s="123">
        <v>4890</v>
      </c>
      <c r="L49" s="121">
        <f t="shared" si="0"/>
        <v>-10</v>
      </c>
      <c r="M49" s="21">
        <v>95</v>
      </c>
      <c r="N49" s="26">
        <v>528010.48</v>
      </c>
      <c r="O49" s="7">
        <f t="shared" si="1"/>
        <v>447466.50847457629</v>
      </c>
      <c r="P49" s="12">
        <f t="shared" si="16"/>
        <v>89493.301694915266</v>
      </c>
      <c r="Q49" s="12">
        <f t="shared" si="17"/>
        <v>44746.650847457633</v>
      </c>
      <c r="R49" s="12">
        <f t="shared" si="18"/>
        <v>22373.325423728817</v>
      </c>
      <c r="S49" s="12">
        <f t="shared" si="19"/>
        <v>22373.325423728817</v>
      </c>
      <c r="T49" s="12">
        <f t="shared" si="20"/>
        <v>22373.325423728817</v>
      </c>
      <c r="U49" s="12">
        <f t="shared" si="21"/>
        <v>326650.55118644069</v>
      </c>
    </row>
    <row r="50" spans="1:21" x14ac:dyDescent="0.3">
      <c r="A50" s="124">
        <v>37</v>
      </c>
      <c r="B50" s="124" t="s">
        <v>97</v>
      </c>
      <c r="C50" s="127" t="s">
        <v>6</v>
      </c>
      <c r="D50" s="124" t="s">
        <v>98</v>
      </c>
      <c r="E50" s="8">
        <v>8822500760</v>
      </c>
      <c r="F50" s="124" t="s">
        <v>97</v>
      </c>
      <c r="G50" s="8">
        <v>9992309790</v>
      </c>
      <c r="H50" s="130">
        <v>10660</v>
      </c>
      <c r="I50" s="136">
        <v>6020</v>
      </c>
      <c r="J50" s="148">
        <f t="shared" si="15"/>
        <v>4640</v>
      </c>
      <c r="K50" s="124">
        <v>4630</v>
      </c>
      <c r="L50" s="121">
        <f t="shared" si="0"/>
        <v>-10</v>
      </c>
      <c r="M50" s="124">
        <v>70</v>
      </c>
      <c r="N50" s="26">
        <v>124956</v>
      </c>
      <c r="O50" s="7">
        <f t="shared" si="1"/>
        <v>105894.91525423729</v>
      </c>
      <c r="P50" s="12">
        <f t="shared" si="16"/>
        <v>21178.983050847459</v>
      </c>
      <c r="Q50" s="12">
        <f t="shared" si="17"/>
        <v>10589.491525423729</v>
      </c>
      <c r="R50" s="12">
        <f t="shared" si="18"/>
        <v>5294.7457627118647</v>
      </c>
      <c r="S50" s="12">
        <f t="shared" si="19"/>
        <v>5294.7457627118647</v>
      </c>
      <c r="T50" s="12">
        <f t="shared" si="20"/>
        <v>5294.7457627118647</v>
      </c>
      <c r="U50" s="12">
        <f t="shared" si="21"/>
        <v>77303.288135593204</v>
      </c>
    </row>
    <row r="51" spans="1:21" x14ac:dyDescent="0.3">
      <c r="A51" s="126"/>
      <c r="B51" s="126"/>
      <c r="C51" s="129"/>
      <c r="D51" s="126"/>
      <c r="E51" s="8">
        <v>8822500761</v>
      </c>
      <c r="F51" s="126"/>
      <c r="G51" s="8">
        <v>9992309789</v>
      </c>
      <c r="H51" s="132"/>
      <c r="I51" s="137"/>
      <c r="J51" s="149"/>
      <c r="K51" s="126"/>
      <c r="L51" s="121">
        <f t="shared" si="0"/>
        <v>0</v>
      </c>
      <c r="M51" s="126"/>
      <c r="N51" s="26">
        <v>417880.57</v>
      </c>
      <c r="O51" s="7">
        <f t="shared" si="1"/>
        <v>354136.07627118647</v>
      </c>
      <c r="P51" s="12">
        <f t="shared" si="16"/>
        <v>70827.215254237293</v>
      </c>
      <c r="Q51" s="12">
        <f t="shared" si="17"/>
        <v>35413.607627118647</v>
      </c>
      <c r="R51" s="12">
        <f t="shared" si="18"/>
        <v>17706.803813559323</v>
      </c>
      <c r="S51" s="12">
        <f t="shared" si="19"/>
        <v>17706.803813559323</v>
      </c>
      <c r="T51" s="12">
        <f t="shared" si="20"/>
        <v>17706.803813559323</v>
      </c>
      <c r="U51" s="12">
        <f t="shared" si="21"/>
        <v>258519.33567796604</v>
      </c>
    </row>
    <row r="52" spans="1:21" x14ac:dyDescent="0.3">
      <c r="A52" s="124">
        <v>38</v>
      </c>
      <c r="B52" s="124" t="s">
        <v>99</v>
      </c>
      <c r="C52" s="127" t="s">
        <v>6</v>
      </c>
      <c r="D52" s="124" t="s">
        <v>80</v>
      </c>
      <c r="E52" s="8">
        <v>8822500933</v>
      </c>
      <c r="F52" s="124" t="s">
        <v>99</v>
      </c>
      <c r="G52" s="8">
        <v>9992310045</v>
      </c>
      <c r="H52" s="130">
        <v>7960</v>
      </c>
      <c r="I52" s="133">
        <v>3450</v>
      </c>
      <c r="J52" s="148">
        <f t="shared" si="15"/>
        <v>4510</v>
      </c>
      <c r="K52" s="124">
        <v>4520</v>
      </c>
      <c r="L52" s="121">
        <f t="shared" si="0"/>
        <v>10</v>
      </c>
      <c r="M52" s="124">
        <v>40</v>
      </c>
      <c r="N52" s="26">
        <v>13381.2</v>
      </c>
      <c r="O52" s="7">
        <f t="shared" si="1"/>
        <v>11340.000000000002</v>
      </c>
      <c r="P52" s="12">
        <f t="shared" si="16"/>
        <v>2268.0000000000005</v>
      </c>
      <c r="Q52" s="12">
        <f t="shared" si="17"/>
        <v>1134.0000000000002</v>
      </c>
      <c r="R52" s="12">
        <f t="shared" si="18"/>
        <v>567.00000000000011</v>
      </c>
      <c r="S52" s="12">
        <f t="shared" si="19"/>
        <v>567.00000000000011</v>
      </c>
      <c r="T52" s="12">
        <f t="shared" si="20"/>
        <v>567.00000000000011</v>
      </c>
      <c r="U52" s="12">
        <f t="shared" si="21"/>
        <v>8278.2000000000007</v>
      </c>
    </row>
    <row r="53" spans="1:21" x14ac:dyDescent="0.3">
      <c r="A53" s="125"/>
      <c r="B53" s="125"/>
      <c r="C53" s="128"/>
      <c r="D53" s="125"/>
      <c r="E53" s="8">
        <v>8822500934</v>
      </c>
      <c r="F53" s="125"/>
      <c r="G53" s="8">
        <v>9992310046</v>
      </c>
      <c r="H53" s="131"/>
      <c r="I53" s="134"/>
      <c r="J53" s="161"/>
      <c r="K53" s="125"/>
      <c r="L53" s="121">
        <f t="shared" si="0"/>
        <v>0</v>
      </c>
      <c r="M53" s="125"/>
      <c r="N53" s="26">
        <v>42008.480000000003</v>
      </c>
      <c r="O53" s="7">
        <f t="shared" si="1"/>
        <v>35600.406779661018</v>
      </c>
      <c r="P53" s="12">
        <f t="shared" si="16"/>
        <v>7120.0813559322041</v>
      </c>
      <c r="Q53" s="12">
        <f t="shared" si="17"/>
        <v>3560.0406779661021</v>
      </c>
      <c r="R53" s="12">
        <f t="shared" si="18"/>
        <v>1780.020338983051</v>
      </c>
      <c r="S53" s="12">
        <f t="shared" si="19"/>
        <v>1780.020338983051</v>
      </c>
      <c r="T53" s="12">
        <f t="shared" si="20"/>
        <v>1780.020338983051</v>
      </c>
      <c r="U53" s="12">
        <f t="shared" si="21"/>
        <v>25988.296949152547</v>
      </c>
    </row>
    <row r="54" spans="1:21" x14ac:dyDescent="0.3">
      <c r="A54" s="126"/>
      <c r="B54" s="126"/>
      <c r="C54" s="129"/>
      <c r="D54" s="126"/>
      <c r="E54" s="8">
        <v>8822500935</v>
      </c>
      <c r="F54" s="126"/>
      <c r="G54" s="8">
        <v>9992310047</v>
      </c>
      <c r="H54" s="132"/>
      <c r="I54" s="135"/>
      <c r="J54" s="149"/>
      <c r="K54" s="126"/>
      <c r="L54" s="121">
        <f t="shared" si="0"/>
        <v>0</v>
      </c>
      <c r="M54" s="126"/>
      <c r="N54" s="26">
        <v>441886.54</v>
      </c>
      <c r="O54" s="7">
        <f t="shared" si="1"/>
        <v>374480.11864406778</v>
      </c>
      <c r="P54" s="12">
        <f t="shared" si="16"/>
        <v>74896.023728813554</v>
      </c>
      <c r="Q54" s="12">
        <f t="shared" si="17"/>
        <v>37448.011864406777</v>
      </c>
      <c r="R54" s="12">
        <f t="shared" si="18"/>
        <v>18724.005932203389</v>
      </c>
      <c r="S54" s="12">
        <f t="shared" si="19"/>
        <v>18724.005932203389</v>
      </c>
      <c r="T54" s="12">
        <f t="shared" si="20"/>
        <v>18724.005932203389</v>
      </c>
      <c r="U54" s="12">
        <f t="shared" si="21"/>
        <v>273370.48661016952</v>
      </c>
    </row>
    <row r="55" spans="1:21" x14ac:dyDescent="0.3">
      <c r="A55" s="124">
        <v>39</v>
      </c>
      <c r="B55" s="124" t="s">
        <v>100</v>
      </c>
      <c r="C55" s="127" t="s">
        <v>6</v>
      </c>
      <c r="D55" s="124" t="s">
        <v>101</v>
      </c>
      <c r="E55" s="8">
        <v>8822500937</v>
      </c>
      <c r="F55" s="124" t="s">
        <v>99</v>
      </c>
      <c r="G55" s="8">
        <v>9992310052</v>
      </c>
      <c r="H55" s="130">
        <v>28160</v>
      </c>
      <c r="I55" s="133">
        <v>13000</v>
      </c>
      <c r="J55" s="148">
        <f t="shared" ref="J55" si="22">H55-I55</f>
        <v>15160</v>
      </c>
      <c r="K55" s="124">
        <v>15160</v>
      </c>
      <c r="L55" s="121">
        <f t="shared" si="0"/>
        <v>0</v>
      </c>
      <c r="M55" s="124">
        <v>180</v>
      </c>
      <c r="N55" s="26">
        <v>152456.44</v>
      </c>
      <c r="O55" s="7">
        <f t="shared" si="1"/>
        <v>129200.37288135594</v>
      </c>
      <c r="P55" s="12">
        <f t="shared" si="16"/>
        <v>25840.074576271189</v>
      </c>
      <c r="Q55" s="12">
        <f t="shared" si="17"/>
        <v>12920.037288135594</v>
      </c>
      <c r="R55" s="12">
        <f t="shared" si="18"/>
        <v>6460.0186440677971</v>
      </c>
      <c r="S55" s="12">
        <f t="shared" si="19"/>
        <v>6460.0186440677971</v>
      </c>
      <c r="T55" s="12">
        <f t="shared" si="20"/>
        <v>6460.0186440677971</v>
      </c>
      <c r="U55" s="12">
        <f t="shared" si="21"/>
        <v>94316.272203389832</v>
      </c>
    </row>
    <row r="56" spans="1:21" x14ac:dyDescent="0.3">
      <c r="A56" s="125"/>
      <c r="B56" s="125"/>
      <c r="C56" s="128"/>
      <c r="D56" s="125"/>
      <c r="E56" s="8">
        <v>8822500939</v>
      </c>
      <c r="F56" s="125"/>
      <c r="G56" s="8">
        <v>9992310053</v>
      </c>
      <c r="H56" s="131"/>
      <c r="I56" s="134"/>
      <c r="J56" s="161"/>
      <c r="K56" s="125"/>
      <c r="L56" s="121">
        <f t="shared" si="0"/>
        <v>0</v>
      </c>
      <c r="M56" s="125"/>
      <c r="N56" s="26">
        <v>1476678.14</v>
      </c>
      <c r="O56" s="7">
        <f t="shared" si="1"/>
        <v>1251422.1525423729</v>
      </c>
      <c r="P56" s="12">
        <f t="shared" si="16"/>
        <v>250284.43050847459</v>
      </c>
      <c r="Q56" s="12">
        <f t="shared" si="17"/>
        <v>125142.21525423729</v>
      </c>
      <c r="R56" s="12">
        <f t="shared" si="18"/>
        <v>62571.107627118647</v>
      </c>
      <c r="S56" s="12">
        <f t="shared" si="19"/>
        <v>62571.107627118647</v>
      </c>
      <c r="T56" s="12">
        <f t="shared" si="20"/>
        <v>62571.107627118647</v>
      </c>
      <c r="U56" s="12">
        <f t="shared" si="21"/>
        <v>913538.17135593179</v>
      </c>
    </row>
    <row r="57" spans="1:21" x14ac:dyDescent="0.3">
      <c r="A57" s="126"/>
      <c r="B57" s="126"/>
      <c r="C57" s="129"/>
      <c r="D57" s="126"/>
      <c r="E57" s="8">
        <v>8822500940</v>
      </c>
      <c r="F57" s="126"/>
      <c r="G57" s="8">
        <v>9992310054</v>
      </c>
      <c r="H57" s="132"/>
      <c r="I57" s="135"/>
      <c r="J57" s="149"/>
      <c r="K57" s="126"/>
      <c r="L57" s="121">
        <f t="shared" si="0"/>
        <v>0</v>
      </c>
      <c r="M57" s="126"/>
      <c r="N57" s="26">
        <v>4779</v>
      </c>
      <c r="O57" s="7">
        <f t="shared" si="1"/>
        <v>4050</v>
      </c>
      <c r="P57" s="12">
        <f t="shared" si="16"/>
        <v>810</v>
      </c>
      <c r="Q57" s="12">
        <f t="shared" si="17"/>
        <v>405</v>
      </c>
      <c r="R57" s="12">
        <f t="shared" si="18"/>
        <v>202.5</v>
      </c>
      <c r="S57" s="12">
        <f t="shared" si="19"/>
        <v>202.5</v>
      </c>
      <c r="T57" s="12">
        <f t="shared" si="20"/>
        <v>202.5</v>
      </c>
      <c r="U57" s="12">
        <f t="shared" si="21"/>
        <v>2956.5</v>
      </c>
    </row>
    <row r="58" spans="1:21" x14ac:dyDescent="0.3">
      <c r="A58" s="44">
        <v>40</v>
      </c>
      <c r="B58" s="51" t="s">
        <v>102</v>
      </c>
      <c r="C58" s="52" t="s">
        <v>103</v>
      </c>
      <c r="D58" s="51" t="s">
        <v>104</v>
      </c>
      <c r="E58" s="56" t="s">
        <v>81</v>
      </c>
      <c r="F58" s="57" t="s">
        <v>81</v>
      </c>
      <c r="G58" s="17" t="s">
        <v>105</v>
      </c>
      <c r="H58" s="53"/>
      <c r="I58" s="54"/>
      <c r="J58" s="55"/>
      <c r="K58" s="91"/>
      <c r="L58" s="121">
        <f t="shared" si="0"/>
        <v>0</v>
      </c>
      <c r="M58" s="51"/>
      <c r="N58" s="26"/>
      <c r="O58" s="7">
        <f t="shared" si="1"/>
        <v>0</v>
      </c>
      <c r="P58" s="12">
        <f t="shared" si="16"/>
        <v>0</v>
      </c>
      <c r="Q58" s="12">
        <f t="shared" si="17"/>
        <v>0</v>
      </c>
      <c r="R58" s="12">
        <f t="shared" si="18"/>
        <v>0</v>
      </c>
      <c r="S58" s="12">
        <f t="shared" si="19"/>
        <v>0</v>
      </c>
      <c r="T58" s="12">
        <f t="shared" si="20"/>
        <v>0</v>
      </c>
      <c r="U58" s="12">
        <f t="shared" si="21"/>
        <v>0</v>
      </c>
    </row>
    <row r="59" spans="1:21" x14ac:dyDescent="0.3">
      <c r="A59" s="124">
        <v>41</v>
      </c>
      <c r="B59" s="124" t="s">
        <v>106</v>
      </c>
      <c r="C59" s="127" t="s">
        <v>6</v>
      </c>
      <c r="D59" s="124" t="s">
        <v>107</v>
      </c>
      <c r="E59" s="8">
        <v>8822500984</v>
      </c>
      <c r="F59" s="124" t="s">
        <v>106</v>
      </c>
      <c r="G59" s="8">
        <v>9992310249</v>
      </c>
      <c r="H59" s="130">
        <v>6770</v>
      </c>
      <c r="I59" s="133">
        <v>3600</v>
      </c>
      <c r="J59" s="148">
        <f>H59-I59</f>
        <v>3170</v>
      </c>
      <c r="K59" s="124">
        <v>3170</v>
      </c>
      <c r="L59" s="121">
        <f t="shared" si="0"/>
        <v>0</v>
      </c>
      <c r="M59" s="124">
        <v>55</v>
      </c>
      <c r="N59" s="12">
        <v>250546.59</v>
      </c>
      <c r="O59" s="7">
        <f t="shared" si="1"/>
        <v>212327.61864406781</v>
      </c>
      <c r="P59" s="12">
        <f t="shared" si="16"/>
        <v>42465.523728813569</v>
      </c>
      <c r="Q59" s="12">
        <f t="shared" si="17"/>
        <v>21232.761864406784</v>
      </c>
      <c r="R59" s="12">
        <f t="shared" si="18"/>
        <v>10616.380932203392</v>
      </c>
      <c r="S59" s="12">
        <f t="shared" si="19"/>
        <v>10616.380932203392</v>
      </c>
      <c r="T59" s="12">
        <f t="shared" si="20"/>
        <v>10616.380932203392</v>
      </c>
      <c r="U59" s="12">
        <f t="shared" si="21"/>
        <v>154999.16161016951</v>
      </c>
    </row>
    <row r="60" spans="1:21" x14ac:dyDescent="0.3">
      <c r="A60" s="126"/>
      <c r="B60" s="126"/>
      <c r="C60" s="129"/>
      <c r="D60" s="126"/>
      <c r="E60" s="8">
        <v>8822500985</v>
      </c>
      <c r="F60" s="126"/>
      <c r="G60" s="8">
        <v>9992310250</v>
      </c>
      <c r="H60" s="132"/>
      <c r="I60" s="135"/>
      <c r="J60" s="149"/>
      <c r="K60" s="126"/>
      <c r="L60" s="121">
        <f t="shared" si="0"/>
        <v>0</v>
      </c>
      <c r="M60" s="126"/>
      <c r="N60" s="12">
        <v>171217.76</v>
      </c>
      <c r="O60" s="7">
        <f t="shared" si="1"/>
        <v>145099.79661016952</v>
      </c>
      <c r="P60" s="12">
        <f t="shared" si="16"/>
        <v>29019.959322033905</v>
      </c>
      <c r="Q60" s="12">
        <f t="shared" si="17"/>
        <v>14509.979661016952</v>
      </c>
      <c r="R60" s="12">
        <f t="shared" si="18"/>
        <v>7254.9898305084762</v>
      </c>
      <c r="S60" s="12">
        <f t="shared" si="19"/>
        <v>7254.9898305084762</v>
      </c>
      <c r="T60" s="12">
        <f t="shared" si="20"/>
        <v>7254.9898305084762</v>
      </c>
      <c r="U60" s="12">
        <f t="shared" si="21"/>
        <v>105922.8515254237</v>
      </c>
    </row>
    <row r="61" spans="1:21" x14ac:dyDescent="0.3">
      <c r="A61" s="44">
        <v>42</v>
      </c>
      <c r="B61" s="44" t="s">
        <v>108</v>
      </c>
      <c r="C61" s="45" t="s">
        <v>6</v>
      </c>
      <c r="D61" s="44" t="s">
        <v>20</v>
      </c>
      <c r="E61" s="8">
        <v>8822500999</v>
      </c>
      <c r="F61" s="44" t="s">
        <v>109</v>
      </c>
      <c r="G61" s="8">
        <v>9992310278</v>
      </c>
      <c r="H61" s="58">
        <v>23500</v>
      </c>
      <c r="I61" s="59">
        <v>12720</v>
      </c>
      <c r="J61" s="60">
        <f t="shared" ref="J61:J71" si="23">H61-I61</f>
        <v>10780</v>
      </c>
      <c r="K61" s="120">
        <v>10620</v>
      </c>
      <c r="L61" s="121">
        <f t="shared" si="0"/>
        <v>-160</v>
      </c>
      <c r="M61" s="47">
        <v>700</v>
      </c>
      <c r="N61" s="12">
        <v>1359141.38</v>
      </c>
      <c r="O61" s="7">
        <f t="shared" si="1"/>
        <v>1151814.7288135593</v>
      </c>
      <c r="P61" s="12">
        <f t="shared" si="16"/>
        <v>230362.94576271187</v>
      </c>
      <c r="Q61" s="12">
        <f t="shared" si="17"/>
        <v>115181.47288135593</v>
      </c>
      <c r="R61" s="12">
        <f t="shared" si="18"/>
        <v>57590.736440677967</v>
      </c>
      <c r="S61" s="12">
        <f t="shared" si="19"/>
        <v>57590.736440677967</v>
      </c>
      <c r="T61" s="12">
        <f t="shared" si="20"/>
        <v>57590.736440677967</v>
      </c>
      <c r="U61" s="12">
        <f t="shared" si="21"/>
        <v>840824.75203389814</v>
      </c>
    </row>
    <row r="62" spans="1:21" x14ac:dyDescent="0.3">
      <c r="A62" s="44">
        <v>43</v>
      </c>
      <c r="B62" s="44" t="s">
        <v>110</v>
      </c>
      <c r="C62" s="45" t="s">
        <v>6</v>
      </c>
      <c r="D62" s="44" t="s">
        <v>111</v>
      </c>
      <c r="E62" s="8">
        <v>8822501011</v>
      </c>
      <c r="F62" s="44" t="s">
        <v>112</v>
      </c>
      <c r="G62" s="8">
        <v>9992310305</v>
      </c>
      <c r="H62" s="58">
        <v>24200</v>
      </c>
      <c r="I62" s="59">
        <v>12380</v>
      </c>
      <c r="J62" s="60">
        <f t="shared" si="23"/>
        <v>11820</v>
      </c>
      <c r="K62" s="120">
        <v>11600</v>
      </c>
      <c r="L62" s="121">
        <f t="shared" si="0"/>
        <v>-220</v>
      </c>
      <c r="M62" s="47">
        <v>510</v>
      </c>
      <c r="N62" s="12">
        <v>1518891.34</v>
      </c>
      <c r="O62" s="7">
        <f t="shared" si="1"/>
        <v>1287196.0508474577</v>
      </c>
      <c r="P62" s="12">
        <f t="shared" si="16"/>
        <v>257439.21016949156</v>
      </c>
      <c r="Q62" s="12">
        <f t="shared" si="17"/>
        <v>128719.60508474578</v>
      </c>
      <c r="R62" s="12">
        <f t="shared" si="18"/>
        <v>64359.80254237289</v>
      </c>
      <c r="S62" s="12">
        <f t="shared" si="19"/>
        <v>64359.80254237289</v>
      </c>
      <c r="T62" s="12">
        <f t="shared" si="20"/>
        <v>64359.80254237289</v>
      </c>
      <c r="U62" s="12">
        <f t="shared" si="21"/>
        <v>939653.1171186443</v>
      </c>
    </row>
    <row r="63" spans="1:21" x14ac:dyDescent="0.3">
      <c r="A63" s="44">
        <v>44</v>
      </c>
      <c r="B63" s="44" t="s">
        <v>113</v>
      </c>
      <c r="C63" s="45" t="s">
        <v>6</v>
      </c>
      <c r="D63" s="44" t="s">
        <v>114</v>
      </c>
      <c r="E63" s="8">
        <v>8822501022</v>
      </c>
      <c r="F63" s="44" t="s">
        <v>115</v>
      </c>
      <c r="G63" s="8">
        <v>9992310328</v>
      </c>
      <c r="H63" s="58">
        <v>10680</v>
      </c>
      <c r="I63" s="59">
        <v>6050</v>
      </c>
      <c r="J63" s="60">
        <f t="shared" si="23"/>
        <v>4630</v>
      </c>
      <c r="K63" s="120">
        <v>4530</v>
      </c>
      <c r="L63" s="121">
        <f t="shared" si="0"/>
        <v>-100</v>
      </c>
      <c r="M63" s="47">
        <v>120</v>
      </c>
      <c r="N63" s="12">
        <v>588732.01</v>
      </c>
      <c r="O63" s="7">
        <f t="shared" si="1"/>
        <v>498925.43220338988</v>
      </c>
      <c r="P63" s="12">
        <f t="shared" si="16"/>
        <v>99785.086440677987</v>
      </c>
      <c r="Q63" s="12">
        <f t="shared" si="17"/>
        <v>49892.543220338994</v>
      </c>
      <c r="R63" s="12">
        <f t="shared" si="18"/>
        <v>24946.271610169497</v>
      </c>
      <c r="S63" s="12">
        <f t="shared" si="19"/>
        <v>24946.271610169497</v>
      </c>
      <c r="T63" s="12">
        <f t="shared" si="20"/>
        <v>24946.271610169497</v>
      </c>
      <c r="U63" s="12">
        <f t="shared" si="21"/>
        <v>364215.56550847454</v>
      </c>
    </row>
    <row r="64" spans="1:21" x14ac:dyDescent="0.3">
      <c r="A64" s="47">
        <v>45</v>
      </c>
      <c r="B64" s="44" t="s">
        <v>116</v>
      </c>
      <c r="C64" s="45" t="s">
        <v>6</v>
      </c>
      <c r="D64" s="47" t="s">
        <v>117</v>
      </c>
      <c r="E64" s="8">
        <v>8822600048</v>
      </c>
      <c r="F64" s="44" t="s">
        <v>116</v>
      </c>
      <c r="G64" s="8">
        <v>9992600106</v>
      </c>
      <c r="H64" s="58">
        <v>4890</v>
      </c>
      <c r="I64" s="59">
        <v>3540</v>
      </c>
      <c r="J64" s="60">
        <f t="shared" si="23"/>
        <v>1350</v>
      </c>
      <c r="K64" s="120">
        <v>1320</v>
      </c>
      <c r="L64" s="121">
        <f t="shared" si="0"/>
        <v>-30</v>
      </c>
      <c r="M64" s="47">
        <v>20</v>
      </c>
      <c r="N64" s="12">
        <v>141114.34</v>
      </c>
      <c r="O64" s="7">
        <f t="shared" si="1"/>
        <v>119588.42372881356</v>
      </c>
      <c r="P64" s="26">
        <f t="shared" si="16"/>
        <v>23917.684745762715</v>
      </c>
      <c r="Q64" s="26">
        <f t="shared" si="17"/>
        <v>11958.842372881358</v>
      </c>
      <c r="R64" s="26">
        <f t="shared" si="18"/>
        <v>5979.4211864406789</v>
      </c>
      <c r="S64" s="26">
        <f t="shared" si="19"/>
        <v>5979.4211864406789</v>
      </c>
      <c r="T64" s="26">
        <f t="shared" si="20"/>
        <v>5979.4211864406789</v>
      </c>
      <c r="U64" s="26">
        <f t="shared" si="21"/>
        <v>87299.549322033883</v>
      </c>
    </row>
    <row r="65" spans="1:21" x14ac:dyDescent="0.3">
      <c r="A65" s="47">
        <v>46</v>
      </c>
      <c r="B65" s="44" t="s">
        <v>116</v>
      </c>
      <c r="C65" s="45" t="s">
        <v>118</v>
      </c>
      <c r="D65" s="47" t="s">
        <v>117</v>
      </c>
      <c r="E65" s="17" t="s">
        <v>119</v>
      </c>
      <c r="F65" s="44" t="s">
        <v>116</v>
      </c>
      <c r="G65" s="56" t="s">
        <v>81</v>
      </c>
      <c r="H65" s="58"/>
      <c r="I65" s="59"/>
      <c r="J65" s="60"/>
      <c r="K65" s="120"/>
      <c r="L65" s="121">
        <f t="shared" si="0"/>
        <v>0</v>
      </c>
      <c r="M65" s="47"/>
      <c r="N65" s="61"/>
      <c r="O65" s="7">
        <f t="shared" si="1"/>
        <v>0</v>
      </c>
      <c r="P65" s="26">
        <f t="shared" si="16"/>
        <v>0</v>
      </c>
      <c r="Q65" s="26">
        <f t="shared" si="17"/>
        <v>0</v>
      </c>
      <c r="R65" s="26">
        <f t="shared" si="18"/>
        <v>0</v>
      </c>
      <c r="S65" s="26">
        <f t="shared" si="19"/>
        <v>0</v>
      </c>
      <c r="T65" s="26">
        <f t="shared" si="20"/>
        <v>0</v>
      </c>
      <c r="U65" s="26">
        <f t="shared" si="21"/>
        <v>0</v>
      </c>
    </row>
    <row r="66" spans="1:21" x14ac:dyDescent="0.3">
      <c r="A66" s="124">
        <v>47</v>
      </c>
      <c r="B66" s="124" t="s">
        <v>120</v>
      </c>
      <c r="C66" s="127" t="s">
        <v>121</v>
      </c>
      <c r="D66" s="124" t="s">
        <v>122</v>
      </c>
      <c r="E66" s="8">
        <v>8822600097</v>
      </c>
      <c r="F66" s="162" t="s">
        <v>120</v>
      </c>
      <c r="G66" s="8">
        <v>9992600179</v>
      </c>
      <c r="H66" s="130">
        <v>2850</v>
      </c>
      <c r="I66" s="133">
        <v>2140</v>
      </c>
      <c r="J66" s="148">
        <f t="shared" si="23"/>
        <v>710</v>
      </c>
      <c r="K66" s="124">
        <v>710</v>
      </c>
      <c r="L66" s="121">
        <f t="shared" si="0"/>
        <v>0</v>
      </c>
      <c r="M66" s="124">
        <v>20</v>
      </c>
      <c r="N66" s="26">
        <v>37444</v>
      </c>
      <c r="O66" s="7">
        <f t="shared" si="1"/>
        <v>31732.203389830509</v>
      </c>
      <c r="P66" s="26">
        <f t="shared" si="16"/>
        <v>6346.4406779661022</v>
      </c>
      <c r="Q66" s="26">
        <f t="shared" si="17"/>
        <v>3173.2203389830511</v>
      </c>
      <c r="R66" s="26">
        <f t="shared" si="18"/>
        <v>1586.6101694915255</v>
      </c>
      <c r="S66" s="26">
        <f t="shared" si="19"/>
        <v>1586.6101694915255</v>
      </c>
      <c r="T66" s="26">
        <f t="shared" si="20"/>
        <v>1586.6101694915255</v>
      </c>
      <c r="U66" s="26">
        <f t="shared" si="21"/>
        <v>23164.508474576269</v>
      </c>
    </row>
    <row r="67" spans="1:21" x14ac:dyDescent="0.3">
      <c r="A67" s="126"/>
      <c r="B67" s="126"/>
      <c r="C67" s="129"/>
      <c r="D67" s="126"/>
      <c r="E67" s="8">
        <v>8822600098</v>
      </c>
      <c r="F67" s="163"/>
      <c r="G67" s="8">
        <v>9992600180</v>
      </c>
      <c r="H67" s="132"/>
      <c r="I67" s="135"/>
      <c r="J67" s="149"/>
      <c r="K67" s="126"/>
      <c r="L67" s="121">
        <f t="shared" si="0"/>
        <v>0</v>
      </c>
      <c r="M67" s="126"/>
      <c r="N67" s="26">
        <v>78812.14</v>
      </c>
      <c r="O67" s="7">
        <f t="shared" si="1"/>
        <v>66789.94915254238</v>
      </c>
      <c r="P67" s="26">
        <f t="shared" si="16"/>
        <v>13357.989830508477</v>
      </c>
      <c r="Q67" s="26">
        <f t="shared" si="17"/>
        <v>6678.9949152542385</v>
      </c>
      <c r="R67" s="26">
        <f t="shared" si="18"/>
        <v>3339.4974576271193</v>
      </c>
      <c r="S67" s="26">
        <f t="shared" si="19"/>
        <v>3339.4974576271193</v>
      </c>
      <c r="T67" s="26">
        <f t="shared" si="20"/>
        <v>3339.4974576271193</v>
      </c>
      <c r="U67" s="26">
        <f t="shared" si="21"/>
        <v>48756.662881355922</v>
      </c>
    </row>
    <row r="68" spans="1:21" x14ac:dyDescent="0.3">
      <c r="A68" s="124">
        <v>48</v>
      </c>
      <c r="B68" s="124" t="s">
        <v>123</v>
      </c>
      <c r="C68" s="127" t="s">
        <v>118</v>
      </c>
      <c r="D68" s="124" t="s">
        <v>124</v>
      </c>
      <c r="E68" s="162" t="s">
        <v>81</v>
      </c>
      <c r="F68" s="162" t="s">
        <v>81</v>
      </c>
      <c r="G68" s="124" t="s">
        <v>125</v>
      </c>
      <c r="H68" s="58"/>
      <c r="I68" s="59"/>
      <c r="J68" s="60"/>
      <c r="K68" s="120"/>
      <c r="L68" s="121">
        <f t="shared" si="0"/>
        <v>0</v>
      </c>
      <c r="M68" s="47"/>
      <c r="N68" s="164"/>
      <c r="O68" s="7">
        <f t="shared" si="1"/>
        <v>0</v>
      </c>
      <c r="P68" s="26">
        <f t="shared" si="16"/>
        <v>0</v>
      </c>
      <c r="Q68" s="26">
        <f t="shared" si="17"/>
        <v>0</v>
      </c>
      <c r="R68" s="26">
        <f t="shared" si="18"/>
        <v>0</v>
      </c>
      <c r="S68" s="26">
        <f t="shared" si="19"/>
        <v>0</v>
      </c>
      <c r="T68" s="26">
        <f t="shared" si="20"/>
        <v>0</v>
      </c>
      <c r="U68" s="26">
        <f t="shared" si="21"/>
        <v>0</v>
      </c>
    </row>
    <row r="69" spans="1:21" x14ac:dyDescent="0.3">
      <c r="A69" s="126"/>
      <c r="B69" s="126"/>
      <c r="C69" s="129"/>
      <c r="D69" s="126"/>
      <c r="E69" s="163"/>
      <c r="F69" s="163"/>
      <c r="G69" s="126"/>
      <c r="H69" s="53"/>
      <c r="I69" s="54"/>
      <c r="J69" s="60"/>
      <c r="K69" s="91"/>
      <c r="L69" s="121">
        <f t="shared" si="0"/>
        <v>0</v>
      </c>
      <c r="M69" s="51"/>
      <c r="N69" s="165"/>
      <c r="O69" s="7">
        <f t="shared" si="1"/>
        <v>0</v>
      </c>
      <c r="P69" s="26">
        <f t="shared" si="16"/>
        <v>0</v>
      </c>
      <c r="Q69" s="26">
        <f t="shared" si="17"/>
        <v>0</v>
      </c>
      <c r="R69" s="26">
        <f t="shared" si="18"/>
        <v>0</v>
      </c>
      <c r="S69" s="26">
        <f t="shared" si="19"/>
        <v>0</v>
      </c>
      <c r="T69" s="26">
        <f t="shared" si="20"/>
        <v>0</v>
      </c>
      <c r="U69" s="26">
        <f t="shared" si="21"/>
        <v>0</v>
      </c>
    </row>
    <row r="70" spans="1:21" x14ac:dyDescent="0.3">
      <c r="A70" s="8">
        <v>49</v>
      </c>
      <c r="B70" s="44" t="s">
        <v>126</v>
      </c>
      <c r="C70" s="45" t="s">
        <v>6</v>
      </c>
      <c r="D70" s="47" t="s">
        <v>127</v>
      </c>
      <c r="E70" s="8">
        <v>8822600177</v>
      </c>
      <c r="F70" s="44" t="s">
        <v>126</v>
      </c>
      <c r="G70" s="8">
        <v>9992600328</v>
      </c>
      <c r="H70" s="58">
        <v>7260</v>
      </c>
      <c r="I70" s="59">
        <v>5870</v>
      </c>
      <c r="J70" s="60">
        <f t="shared" si="23"/>
        <v>1390</v>
      </c>
      <c r="K70" s="120">
        <v>1360</v>
      </c>
      <c r="L70" s="121">
        <f t="shared" si="0"/>
        <v>-30</v>
      </c>
      <c r="M70" s="47" t="s">
        <v>81</v>
      </c>
      <c r="N70" s="12">
        <v>143118.34</v>
      </c>
      <c r="O70" s="7">
        <f t="shared" si="1"/>
        <v>121286.72881355933</v>
      </c>
      <c r="P70" s="7">
        <f>O70*20%</f>
        <v>24257.345762711866</v>
      </c>
      <c r="Q70" s="7">
        <f>O70*10%</f>
        <v>12128.672881355933</v>
      </c>
      <c r="R70" s="7">
        <f>O70*5%</f>
        <v>6064.3364406779665</v>
      </c>
      <c r="S70" s="7">
        <f>O70*5%</f>
        <v>6064.3364406779665</v>
      </c>
      <c r="T70" s="7">
        <f>O70*5%</f>
        <v>6064.3364406779665</v>
      </c>
      <c r="U70" s="7">
        <f>N70-P70-Q70-R70-S70-T70</f>
        <v>88539.312033898284</v>
      </c>
    </row>
    <row r="71" spans="1:21" x14ac:dyDescent="0.3">
      <c r="A71" s="124">
        <v>50</v>
      </c>
      <c r="B71" s="124" t="s">
        <v>128</v>
      </c>
      <c r="C71" s="127" t="s">
        <v>6</v>
      </c>
      <c r="D71" s="124" t="s">
        <v>129</v>
      </c>
      <c r="E71" s="8">
        <v>8822600201</v>
      </c>
      <c r="F71" s="124" t="s">
        <v>128</v>
      </c>
      <c r="G71" s="8">
        <v>9992600379</v>
      </c>
      <c r="H71" s="130">
        <v>2390</v>
      </c>
      <c r="I71" s="133">
        <v>1700</v>
      </c>
      <c r="J71" s="148">
        <f t="shared" si="23"/>
        <v>690</v>
      </c>
      <c r="K71" s="124">
        <v>700</v>
      </c>
      <c r="L71" s="121">
        <f t="shared" si="0"/>
        <v>10</v>
      </c>
      <c r="M71" s="124">
        <v>25</v>
      </c>
      <c r="N71" s="12">
        <v>35701.58</v>
      </c>
      <c r="O71" s="7">
        <f t="shared" si="1"/>
        <v>30255.576271186445</v>
      </c>
      <c r="P71" s="12">
        <f t="shared" ref="P71:P77" si="24">O71*20%</f>
        <v>6051.1152542372893</v>
      </c>
      <c r="Q71" s="12">
        <f t="shared" ref="Q71:Q77" si="25">O71*10%</f>
        <v>3025.5576271186446</v>
      </c>
      <c r="R71" s="12">
        <f t="shared" ref="R71:R77" si="26">O71*5%</f>
        <v>1512.7788135593223</v>
      </c>
      <c r="S71" s="12">
        <f t="shared" ref="S71:S77" si="27">O71*5%</f>
        <v>1512.7788135593223</v>
      </c>
      <c r="T71" s="12">
        <f t="shared" ref="T71:T77" si="28">O71*5%</f>
        <v>1512.7788135593223</v>
      </c>
      <c r="U71" s="12">
        <f t="shared" ref="U71:U76" si="29">N71-P71-Q71-R71-S71-T71</f>
        <v>22086.570677966105</v>
      </c>
    </row>
    <row r="72" spans="1:21" x14ac:dyDescent="0.3">
      <c r="A72" s="126"/>
      <c r="B72" s="126"/>
      <c r="C72" s="129"/>
      <c r="D72" s="126"/>
      <c r="E72" s="8">
        <v>8822600202</v>
      </c>
      <c r="F72" s="126"/>
      <c r="G72" s="8">
        <v>9992600380</v>
      </c>
      <c r="H72" s="132"/>
      <c r="I72" s="135"/>
      <c r="J72" s="149"/>
      <c r="K72" s="126"/>
      <c r="L72" s="121">
        <f t="shared" si="0"/>
        <v>0</v>
      </c>
      <c r="M72" s="126"/>
      <c r="N72" s="12">
        <v>53637.38</v>
      </c>
      <c r="O72" s="7">
        <f t="shared" si="1"/>
        <v>45455.406779661018</v>
      </c>
      <c r="P72" s="12">
        <f t="shared" si="24"/>
        <v>9091.0813559322032</v>
      </c>
      <c r="Q72" s="12">
        <f t="shared" si="25"/>
        <v>4545.5406779661016</v>
      </c>
      <c r="R72" s="12">
        <f t="shared" si="26"/>
        <v>2272.7703389830508</v>
      </c>
      <c r="S72" s="12">
        <f t="shared" si="27"/>
        <v>2272.7703389830508</v>
      </c>
      <c r="T72" s="12">
        <f t="shared" si="28"/>
        <v>2272.7703389830508</v>
      </c>
      <c r="U72" s="12">
        <f t="shared" si="29"/>
        <v>33182.446949152545</v>
      </c>
    </row>
    <row r="73" spans="1:21" x14ac:dyDescent="0.3">
      <c r="A73" s="124">
        <v>51</v>
      </c>
      <c r="B73" s="124" t="s">
        <v>130</v>
      </c>
      <c r="C73" s="127" t="s">
        <v>6</v>
      </c>
      <c r="D73" s="124" t="s">
        <v>129</v>
      </c>
      <c r="E73" s="8">
        <v>8822600302</v>
      </c>
      <c r="F73" s="124" t="s">
        <v>130</v>
      </c>
      <c r="G73" s="8">
        <v>9992600581</v>
      </c>
      <c r="H73" s="130">
        <v>1910</v>
      </c>
      <c r="I73" s="133">
        <v>1690</v>
      </c>
      <c r="J73" s="148">
        <f>H73-I73-40</f>
        <v>180</v>
      </c>
      <c r="K73" s="124">
        <v>210</v>
      </c>
      <c r="L73" s="121">
        <f t="shared" ref="L73:L84" si="30">K73-J73</f>
        <v>30</v>
      </c>
      <c r="M73" s="124" t="s">
        <v>81</v>
      </c>
      <c r="N73" s="12">
        <v>34128.44</v>
      </c>
      <c r="O73" s="7">
        <f t="shared" si="1"/>
        <v>28922.406779661022</v>
      </c>
      <c r="P73" s="12">
        <f t="shared" si="24"/>
        <v>5784.4813559322047</v>
      </c>
      <c r="Q73" s="12">
        <f t="shared" si="25"/>
        <v>2892.2406779661023</v>
      </c>
      <c r="R73" s="12">
        <f t="shared" si="26"/>
        <v>1446.1203389830512</v>
      </c>
      <c r="S73" s="12">
        <f t="shared" si="27"/>
        <v>1446.1203389830512</v>
      </c>
      <c r="T73" s="12">
        <f t="shared" si="28"/>
        <v>1446.1203389830512</v>
      </c>
      <c r="U73" s="12">
        <f t="shared" si="29"/>
        <v>21113.356949152538</v>
      </c>
    </row>
    <row r="74" spans="1:21" x14ac:dyDescent="0.3">
      <c r="A74" s="125"/>
      <c r="B74" s="125"/>
      <c r="C74" s="128"/>
      <c r="D74" s="125"/>
      <c r="E74" s="8">
        <v>8822600303</v>
      </c>
      <c r="F74" s="125"/>
      <c r="G74" s="8">
        <v>9992600582</v>
      </c>
      <c r="H74" s="131"/>
      <c r="I74" s="134"/>
      <c r="J74" s="161"/>
      <c r="K74" s="125"/>
      <c r="L74" s="121">
        <f t="shared" si="30"/>
        <v>0</v>
      </c>
      <c r="M74" s="125"/>
      <c r="N74" s="12">
        <v>5548.92</v>
      </c>
      <c r="O74" s="7">
        <f t="shared" ref="O74:O77" si="31">N74/1.18</f>
        <v>4702.4745762711864</v>
      </c>
      <c r="P74" s="12">
        <f t="shared" si="24"/>
        <v>940.4949152542373</v>
      </c>
      <c r="Q74" s="12">
        <f t="shared" si="25"/>
        <v>470.24745762711865</v>
      </c>
      <c r="R74" s="12">
        <f t="shared" si="26"/>
        <v>235.12372881355932</v>
      </c>
      <c r="S74" s="12">
        <f t="shared" si="27"/>
        <v>235.12372881355932</v>
      </c>
      <c r="T74" s="12">
        <f t="shared" si="28"/>
        <v>235.12372881355932</v>
      </c>
      <c r="U74" s="12">
        <f t="shared" si="29"/>
        <v>3432.8064406779654</v>
      </c>
    </row>
    <row r="75" spans="1:21" x14ac:dyDescent="0.3">
      <c r="A75" s="126"/>
      <c r="B75" s="126"/>
      <c r="C75" s="129"/>
      <c r="D75" s="126"/>
      <c r="E75" s="8">
        <v>8822600304</v>
      </c>
      <c r="F75" s="126"/>
      <c r="G75" s="8">
        <v>9992600583</v>
      </c>
      <c r="H75" s="132"/>
      <c r="I75" s="135"/>
      <c r="J75" s="149"/>
      <c r="K75" s="126"/>
      <c r="L75" s="121">
        <f t="shared" si="30"/>
        <v>0</v>
      </c>
      <c r="M75" s="126"/>
      <c r="N75" s="12">
        <v>4248</v>
      </c>
      <c r="O75" s="7">
        <f t="shared" si="31"/>
        <v>3600</v>
      </c>
      <c r="P75" s="12">
        <f t="shared" si="24"/>
        <v>720</v>
      </c>
      <c r="Q75" s="12">
        <f t="shared" si="25"/>
        <v>360</v>
      </c>
      <c r="R75" s="12">
        <f t="shared" si="26"/>
        <v>180</v>
      </c>
      <c r="S75" s="12">
        <f t="shared" si="27"/>
        <v>180</v>
      </c>
      <c r="T75" s="12">
        <f t="shared" si="28"/>
        <v>180</v>
      </c>
      <c r="U75" s="12">
        <f t="shared" si="29"/>
        <v>2628</v>
      </c>
    </row>
    <row r="76" spans="1:21" x14ac:dyDescent="0.3">
      <c r="A76" s="124">
        <v>52</v>
      </c>
      <c r="B76" s="124" t="s">
        <v>131</v>
      </c>
      <c r="C76" s="127" t="s">
        <v>6</v>
      </c>
      <c r="D76" s="124" t="s">
        <v>16</v>
      </c>
      <c r="E76" s="8">
        <v>8822600324</v>
      </c>
      <c r="F76" s="124" t="s">
        <v>132</v>
      </c>
      <c r="G76" s="8">
        <v>9992600631</v>
      </c>
      <c r="H76" s="130">
        <v>15710</v>
      </c>
      <c r="I76" s="133">
        <v>12030</v>
      </c>
      <c r="J76" s="148">
        <f>H76-I76</f>
        <v>3680</v>
      </c>
      <c r="K76" s="124">
        <v>3660</v>
      </c>
      <c r="L76" s="121">
        <f t="shared" si="30"/>
        <v>-20</v>
      </c>
      <c r="M76" s="124"/>
      <c r="N76" s="12">
        <v>4248</v>
      </c>
      <c r="O76" s="7">
        <f t="shared" si="31"/>
        <v>3600</v>
      </c>
      <c r="P76" s="12">
        <f t="shared" si="24"/>
        <v>720</v>
      </c>
      <c r="Q76" s="12">
        <f t="shared" si="25"/>
        <v>360</v>
      </c>
      <c r="R76" s="12">
        <f t="shared" si="26"/>
        <v>180</v>
      </c>
      <c r="S76" s="12">
        <f t="shared" si="27"/>
        <v>180</v>
      </c>
      <c r="T76" s="12">
        <f t="shared" si="28"/>
        <v>180</v>
      </c>
      <c r="U76" s="12">
        <f t="shared" si="29"/>
        <v>2628</v>
      </c>
    </row>
    <row r="77" spans="1:21" x14ac:dyDescent="0.3">
      <c r="A77" s="126"/>
      <c r="B77" s="126"/>
      <c r="C77" s="129"/>
      <c r="D77" s="126"/>
      <c r="E77" s="8">
        <v>8822600325</v>
      </c>
      <c r="F77" s="126"/>
      <c r="G77" s="8">
        <v>9992600632</v>
      </c>
      <c r="H77" s="132"/>
      <c r="I77" s="135"/>
      <c r="J77" s="149"/>
      <c r="K77" s="126"/>
      <c r="L77" s="121">
        <f t="shared" si="30"/>
        <v>0</v>
      </c>
      <c r="M77" s="126"/>
      <c r="N77" s="12">
        <v>351355.38</v>
      </c>
      <c r="O77" s="7">
        <f t="shared" si="31"/>
        <v>297758.79661016952</v>
      </c>
      <c r="P77" s="12">
        <f t="shared" si="24"/>
        <v>59551.759322033904</v>
      </c>
      <c r="Q77" s="12">
        <f t="shared" si="25"/>
        <v>29775.879661016952</v>
      </c>
      <c r="R77" s="12">
        <f t="shared" si="26"/>
        <v>14887.939830508476</v>
      </c>
      <c r="S77" s="12">
        <f t="shared" si="27"/>
        <v>14887.939830508476</v>
      </c>
      <c r="T77" s="12">
        <f t="shared" si="28"/>
        <v>14887.939830508476</v>
      </c>
      <c r="U77" s="12">
        <f>N77-P77-Q77-R77-S77-T77</f>
        <v>217363.92152542371</v>
      </c>
    </row>
    <row r="78" spans="1:21" x14ac:dyDescent="0.3">
      <c r="A78" s="124">
        <v>53</v>
      </c>
      <c r="B78" s="124" t="s">
        <v>182</v>
      </c>
      <c r="C78" s="127" t="s">
        <v>6</v>
      </c>
      <c r="D78" s="124" t="s">
        <v>183</v>
      </c>
      <c r="E78" s="8">
        <v>8822600474</v>
      </c>
      <c r="F78" s="124" t="s">
        <v>182</v>
      </c>
      <c r="G78" s="8">
        <v>9992600875</v>
      </c>
      <c r="H78" s="130">
        <v>7130</v>
      </c>
      <c r="I78" s="133">
        <v>5920</v>
      </c>
      <c r="J78" s="148">
        <f>H78-I78</f>
        <v>1210</v>
      </c>
      <c r="K78" s="124">
        <v>1200</v>
      </c>
      <c r="L78" s="121">
        <f t="shared" si="30"/>
        <v>-10</v>
      </c>
      <c r="M78" s="124">
        <v>50</v>
      </c>
      <c r="N78" s="12">
        <v>12213</v>
      </c>
      <c r="O78" s="7">
        <f t="shared" ref="O78:O85" si="32">N78/1.18</f>
        <v>10350</v>
      </c>
      <c r="P78" s="12">
        <f t="shared" ref="P78:P85" si="33">O78*20%</f>
        <v>2070</v>
      </c>
      <c r="Q78" s="12">
        <f t="shared" ref="Q78:Q85" si="34">O78*10%</f>
        <v>1035</v>
      </c>
      <c r="R78" s="12">
        <f t="shared" ref="R78:R85" si="35">O78*5%</f>
        <v>517.5</v>
      </c>
      <c r="S78" s="12">
        <f t="shared" ref="S78:S85" si="36">O78*5%</f>
        <v>517.5</v>
      </c>
      <c r="T78" s="12">
        <f t="shared" ref="T78:T85" si="37">O78*5%</f>
        <v>517.5</v>
      </c>
      <c r="U78" s="12">
        <f t="shared" ref="U78:U85" si="38">N78-P78-Q78-R78-S78-T78</f>
        <v>7555.5</v>
      </c>
    </row>
    <row r="79" spans="1:21" x14ac:dyDescent="0.3">
      <c r="A79" s="125"/>
      <c r="B79" s="125"/>
      <c r="C79" s="128"/>
      <c r="D79" s="125"/>
      <c r="E79" s="8">
        <v>8822600475</v>
      </c>
      <c r="F79" s="125"/>
      <c r="G79" s="8">
        <v>9992600876</v>
      </c>
      <c r="H79" s="131"/>
      <c r="I79" s="134"/>
      <c r="J79" s="161"/>
      <c r="K79" s="125"/>
      <c r="L79" s="121">
        <f t="shared" si="30"/>
        <v>0</v>
      </c>
      <c r="M79" s="125"/>
      <c r="N79" s="12">
        <v>1093.28</v>
      </c>
      <c r="O79" s="7">
        <f t="shared" si="32"/>
        <v>926.50847457627117</v>
      </c>
      <c r="P79" s="12">
        <f t="shared" si="33"/>
        <v>185.30169491525425</v>
      </c>
      <c r="Q79" s="12">
        <f t="shared" si="34"/>
        <v>92.650847457627123</v>
      </c>
      <c r="R79" s="12">
        <f t="shared" si="35"/>
        <v>46.325423728813561</v>
      </c>
      <c r="S79" s="12">
        <f t="shared" si="36"/>
        <v>46.325423728813561</v>
      </c>
      <c r="T79" s="12">
        <f t="shared" si="37"/>
        <v>46.325423728813561</v>
      </c>
      <c r="U79" s="12">
        <f t="shared" si="38"/>
        <v>676.35118644067779</v>
      </c>
    </row>
    <row r="80" spans="1:21" x14ac:dyDescent="0.3">
      <c r="A80" s="125"/>
      <c r="B80" s="125"/>
      <c r="C80" s="128"/>
      <c r="D80" s="125"/>
      <c r="E80" s="8">
        <v>8822600476</v>
      </c>
      <c r="F80" s="125"/>
      <c r="G80" s="8">
        <v>9992600877</v>
      </c>
      <c r="H80" s="131"/>
      <c r="I80" s="134"/>
      <c r="J80" s="161"/>
      <c r="K80" s="125"/>
      <c r="L80" s="121">
        <f t="shared" si="30"/>
        <v>0</v>
      </c>
      <c r="M80" s="125"/>
      <c r="N80" s="12">
        <v>3200.4</v>
      </c>
      <c r="O80" s="7">
        <f t="shared" si="32"/>
        <v>2712.2033898305085</v>
      </c>
      <c r="P80" s="12">
        <f t="shared" si="33"/>
        <v>542.4406779661017</v>
      </c>
      <c r="Q80" s="12">
        <f t="shared" si="34"/>
        <v>271.22033898305085</v>
      </c>
      <c r="R80" s="12">
        <f t="shared" si="35"/>
        <v>135.61016949152543</v>
      </c>
      <c r="S80" s="12">
        <f t="shared" si="36"/>
        <v>135.61016949152543</v>
      </c>
      <c r="T80" s="12">
        <f t="shared" si="37"/>
        <v>135.61016949152543</v>
      </c>
      <c r="U80" s="12">
        <f t="shared" si="38"/>
        <v>1979.9084745762707</v>
      </c>
    </row>
    <row r="81" spans="1:22" x14ac:dyDescent="0.3">
      <c r="A81" s="125"/>
      <c r="B81" s="125"/>
      <c r="C81" s="128"/>
      <c r="D81" s="125"/>
      <c r="E81" s="8">
        <v>8822600477</v>
      </c>
      <c r="F81" s="125"/>
      <c r="G81" s="8">
        <v>9992600878</v>
      </c>
      <c r="H81" s="131"/>
      <c r="I81" s="134"/>
      <c r="J81" s="161"/>
      <c r="K81" s="125"/>
      <c r="L81" s="121">
        <f t="shared" si="30"/>
        <v>0</v>
      </c>
      <c r="M81" s="125"/>
      <c r="N81" s="12">
        <v>26956.19</v>
      </c>
      <c r="O81" s="7">
        <f t="shared" si="32"/>
        <v>22844.228813559323</v>
      </c>
      <c r="P81" s="12">
        <f t="shared" si="33"/>
        <v>4568.8457627118651</v>
      </c>
      <c r="Q81" s="12">
        <f t="shared" si="34"/>
        <v>2284.4228813559325</v>
      </c>
      <c r="R81" s="12">
        <f t="shared" si="35"/>
        <v>1142.2114406779663</v>
      </c>
      <c r="S81" s="12">
        <f t="shared" si="36"/>
        <v>1142.2114406779663</v>
      </c>
      <c r="T81" s="12">
        <f t="shared" si="37"/>
        <v>1142.2114406779663</v>
      </c>
      <c r="U81" s="12">
        <f t="shared" si="38"/>
        <v>16676.287033898305</v>
      </c>
    </row>
    <row r="82" spans="1:22" x14ac:dyDescent="0.3">
      <c r="A82" s="125"/>
      <c r="B82" s="125"/>
      <c r="C82" s="128"/>
      <c r="D82" s="125"/>
      <c r="E82" s="8">
        <v>8822600478</v>
      </c>
      <c r="F82" s="125"/>
      <c r="G82" s="8">
        <v>9992600879</v>
      </c>
      <c r="H82" s="131"/>
      <c r="I82" s="134"/>
      <c r="J82" s="161"/>
      <c r="K82" s="125"/>
      <c r="L82" s="121">
        <f t="shared" si="30"/>
        <v>0</v>
      </c>
      <c r="M82" s="125"/>
      <c r="N82" s="12">
        <v>50322.86</v>
      </c>
      <c r="O82" s="7">
        <f t="shared" si="32"/>
        <v>42646.491525423735</v>
      </c>
      <c r="P82" s="12">
        <f t="shared" si="33"/>
        <v>8529.298305084747</v>
      </c>
      <c r="Q82" s="12">
        <f t="shared" si="34"/>
        <v>4264.6491525423735</v>
      </c>
      <c r="R82" s="12">
        <f t="shared" si="35"/>
        <v>2132.3245762711867</v>
      </c>
      <c r="S82" s="12">
        <f t="shared" si="36"/>
        <v>2132.3245762711867</v>
      </c>
      <c r="T82" s="12">
        <f t="shared" si="37"/>
        <v>2132.3245762711867</v>
      </c>
      <c r="U82" s="12">
        <f t="shared" si="38"/>
        <v>31131.938813559318</v>
      </c>
    </row>
    <row r="83" spans="1:22" x14ac:dyDescent="0.3">
      <c r="A83" s="125"/>
      <c r="B83" s="125"/>
      <c r="C83" s="128"/>
      <c r="D83" s="125"/>
      <c r="E83" s="21">
        <v>8822600479</v>
      </c>
      <c r="F83" s="125"/>
      <c r="G83" s="21">
        <v>9992600880</v>
      </c>
      <c r="H83" s="131"/>
      <c r="I83" s="134"/>
      <c r="J83" s="149"/>
      <c r="K83" s="126"/>
      <c r="L83" s="121">
        <f t="shared" si="30"/>
        <v>0</v>
      </c>
      <c r="M83" s="126"/>
      <c r="N83" s="12">
        <v>690.3</v>
      </c>
      <c r="O83" s="7">
        <f t="shared" si="32"/>
        <v>585</v>
      </c>
      <c r="P83" s="12">
        <f t="shared" si="33"/>
        <v>117</v>
      </c>
      <c r="Q83" s="12">
        <f t="shared" si="34"/>
        <v>58.5</v>
      </c>
      <c r="R83" s="12">
        <f t="shared" si="35"/>
        <v>29.25</v>
      </c>
      <c r="S83" s="12">
        <f t="shared" si="36"/>
        <v>29.25</v>
      </c>
      <c r="T83" s="12">
        <f t="shared" si="37"/>
        <v>29.25</v>
      </c>
      <c r="U83" s="12">
        <f t="shared" si="38"/>
        <v>427.04999999999995</v>
      </c>
    </row>
    <row r="84" spans="1:22" ht="43.2" x14ac:dyDescent="0.3">
      <c r="A84" s="206">
        <v>54</v>
      </c>
      <c r="B84" s="207">
        <v>46147</v>
      </c>
      <c r="C84" s="208" t="s">
        <v>6</v>
      </c>
      <c r="D84" s="209" t="s">
        <v>204</v>
      </c>
      <c r="E84" s="224">
        <v>8822600187</v>
      </c>
      <c r="F84" s="207">
        <v>46147</v>
      </c>
      <c r="G84" s="210"/>
      <c r="H84" s="209"/>
      <c r="I84" s="209"/>
      <c r="J84" s="211">
        <v>320</v>
      </c>
      <c r="K84" s="212">
        <v>320</v>
      </c>
      <c r="L84" s="213">
        <f t="shared" si="30"/>
        <v>0</v>
      </c>
      <c r="M84" s="214"/>
      <c r="N84" s="92">
        <v>33984</v>
      </c>
      <c r="O84" s="92">
        <f t="shared" si="32"/>
        <v>28800</v>
      </c>
      <c r="P84" s="92">
        <f t="shared" si="33"/>
        <v>5760</v>
      </c>
      <c r="Q84" s="92">
        <f t="shared" si="34"/>
        <v>2880</v>
      </c>
      <c r="R84" s="92">
        <f t="shared" si="35"/>
        <v>1440</v>
      </c>
      <c r="S84" s="92">
        <f t="shared" si="36"/>
        <v>1440</v>
      </c>
      <c r="T84" s="92">
        <f t="shared" si="37"/>
        <v>1440</v>
      </c>
      <c r="U84" s="92">
        <f t="shared" si="38"/>
        <v>21024</v>
      </c>
      <c r="V84" s="93" t="s">
        <v>184</v>
      </c>
    </row>
    <row r="85" spans="1:22" ht="43.8" thickBot="1" x14ac:dyDescent="0.35">
      <c r="A85" s="215">
        <v>55</v>
      </c>
      <c r="B85" s="207">
        <v>46197</v>
      </c>
      <c r="C85" s="208" t="s">
        <v>6</v>
      </c>
      <c r="D85" s="215" t="s">
        <v>205</v>
      </c>
      <c r="E85" s="224">
        <v>8822600524</v>
      </c>
      <c r="F85" s="216">
        <v>46199</v>
      </c>
      <c r="G85" s="217"/>
      <c r="H85" s="218"/>
      <c r="I85" s="219"/>
      <c r="J85" s="220"/>
      <c r="K85" s="221"/>
      <c r="L85" s="213"/>
      <c r="M85" s="222"/>
      <c r="N85" s="61">
        <v>1320278.3999999999</v>
      </c>
      <c r="O85" s="223">
        <f t="shared" si="32"/>
        <v>1118880</v>
      </c>
      <c r="P85" s="61">
        <f t="shared" si="33"/>
        <v>223776</v>
      </c>
      <c r="Q85" s="61">
        <f t="shared" si="34"/>
        <v>111888</v>
      </c>
      <c r="R85" s="61">
        <f t="shared" si="35"/>
        <v>55944</v>
      </c>
      <c r="S85" s="61">
        <f t="shared" si="36"/>
        <v>55944</v>
      </c>
      <c r="T85" s="61">
        <f t="shared" si="37"/>
        <v>55944</v>
      </c>
      <c r="U85" s="61">
        <f t="shared" si="38"/>
        <v>816782.39999999991</v>
      </c>
      <c r="V85" s="93" t="s">
        <v>184</v>
      </c>
    </row>
    <row r="86" spans="1:22" ht="30" customHeight="1" thickBot="1" x14ac:dyDescent="0.5">
      <c r="A86" s="138" t="s">
        <v>28</v>
      </c>
      <c r="B86" s="139"/>
      <c r="C86" s="139"/>
      <c r="D86" s="139"/>
      <c r="E86" s="139"/>
      <c r="F86" s="139"/>
      <c r="G86" s="139"/>
      <c r="H86" s="139"/>
      <c r="I86" s="140"/>
      <c r="J86" s="20">
        <f>SUM(J8:J84)/1000</f>
        <v>422.64</v>
      </c>
      <c r="K86" s="20">
        <f>SUM(K8:K84)/1000</f>
        <v>420.46</v>
      </c>
      <c r="L86" s="20">
        <f>SUM(L8:L84)/1000</f>
        <v>-2.1800000000000002</v>
      </c>
      <c r="M86" s="20">
        <f>SUM(M8:M84)/1000</f>
        <v>10.913</v>
      </c>
      <c r="N86" s="15">
        <f>SUM(N6:N85)</f>
        <v>47850474.089999996</v>
      </c>
      <c r="O86" s="15">
        <f>SUM(O8:O85)</f>
        <v>40551249.228813559</v>
      </c>
      <c r="P86" s="15">
        <f>SUM(P6:P85)</f>
        <v>8110249.8457627119</v>
      </c>
      <c r="Q86" s="15">
        <f>SUM(Q6:Q85)</f>
        <v>4055124.922881356</v>
      </c>
      <c r="R86" s="15">
        <f>SUM(R6:R85)</f>
        <v>2027562.461440678</v>
      </c>
      <c r="S86" s="15">
        <f>SUM(S6:S85)</f>
        <v>2027562.461440678</v>
      </c>
      <c r="T86" s="15">
        <f>SUM(T6:T85)</f>
        <v>2027562.461440678</v>
      </c>
      <c r="U86" s="15">
        <f>SUM(U6:U85)</f>
        <v>29602411.937033895</v>
      </c>
    </row>
    <row r="87" spans="1:22" x14ac:dyDescent="0.3">
      <c r="N87" s="71"/>
    </row>
    <row r="88" spans="1:22" x14ac:dyDescent="0.3">
      <c r="H88" s="14"/>
      <c r="P88" s="71">
        <f>P86-O7</f>
        <v>330249.84576271195</v>
      </c>
      <c r="Q88" s="71">
        <f>Q86-O6</f>
        <v>165124.92288135597</v>
      </c>
      <c r="R88" s="71">
        <f>R86</f>
        <v>2027562.461440678</v>
      </c>
      <c r="S88" s="71">
        <f>S86</f>
        <v>2027562.461440678</v>
      </c>
    </row>
    <row r="90" spans="1:22" x14ac:dyDescent="0.3">
      <c r="A90" s="65">
        <v>1</v>
      </c>
      <c r="B90" s="66">
        <v>45887</v>
      </c>
      <c r="C90" s="65" t="s">
        <v>35</v>
      </c>
      <c r="D90" s="67"/>
      <c r="E90" s="65" t="s">
        <v>36</v>
      </c>
      <c r="F90" s="66">
        <v>45887</v>
      </c>
      <c r="G90" s="70">
        <v>3890000</v>
      </c>
      <c r="N90" s="71"/>
      <c r="O90" s="71"/>
    </row>
    <row r="91" spans="1:22" ht="28.8" x14ac:dyDescent="0.3">
      <c r="A91" s="65">
        <v>2</v>
      </c>
      <c r="B91" s="66">
        <v>45960</v>
      </c>
      <c r="C91" s="69" t="s">
        <v>37</v>
      </c>
      <c r="D91" s="67"/>
      <c r="E91" s="65" t="s">
        <v>38</v>
      </c>
      <c r="F91" s="66">
        <v>45960</v>
      </c>
      <c r="G91" s="70">
        <v>7780000</v>
      </c>
      <c r="N91" s="71"/>
      <c r="O91" s="71"/>
      <c r="S91" s="71">
        <f>P88+Q88+R88+S88</f>
        <v>4550499.6915254239</v>
      </c>
    </row>
    <row r="92" spans="1:22" x14ac:dyDescent="0.3">
      <c r="A92" s="65">
        <v>3</v>
      </c>
      <c r="B92" s="65"/>
      <c r="C92" s="69" t="s">
        <v>135</v>
      </c>
      <c r="D92" s="65"/>
      <c r="E92" s="65"/>
      <c r="F92" s="65"/>
      <c r="G92" s="70">
        <f>U86</f>
        <v>29602411.937033895</v>
      </c>
    </row>
    <row r="93" spans="1:22" x14ac:dyDescent="0.3">
      <c r="A93" s="65"/>
      <c r="B93" s="65"/>
      <c r="C93" s="65"/>
      <c r="D93" s="65"/>
      <c r="E93" s="65"/>
      <c r="F93" s="65"/>
      <c r="G93" s="65"/>
    </row>
    <row r="94" spans="1:22" x14ac:dyDescent="0.3">
      <c r="A94" s="65"/>
      <c r="B94" s="65"/>
      <c r="C94" s="65" t="s">
        <v>46</v>
      </c>
      <c r="D94" s="65"/>
      <c r="E94" s="65"/>
      <c r="F94" s="65" t="s">
        <v>134</v>
      </c>
      <c r="G94" s="68">
        <f>SUM(G90:G92)</f>
        <v>41272411.937033892</v>
      </c>
    </row>
    <row r="97" spans="2:7" ht="14.4" customHeight="1" x14ac:dyDescent="0.3"/>
    <row r="98" spans="2:7" ht="14.4" customHeight="1" x14ac:dyDescent="0.3"/>
    <row r="107" spans="2:7" x14ac:dyDescent="0.3">
      <c r="B107" s="167" t="s">
        <v>138</v>
      </c>
      <c r="C107" s="166" t="s">
        <v>137</v>
      </c>
      <c r="D107" s="166"/>
      <c r="E107" s="166"/>
      <c r="F107" s="166"/>
      <c r="G107" s="166"/>
    </row>
    <row r="108" spans="2:7" x14ac:dyDescent="0.3">
      <c r="B108" s="167"/>
      <c r="C108" s="166"/>
      <c r="D108" s="166"/>
      <c r="E108" s="166"/>
      <c r="F108" s="166"/>
      <c r="G108" s="166"/>
    </row>
    <row r="109" spans="2:7" x14ac:dyDescent="0.3">
      <c r="B109" s="167"/>
      <c r="C109" s="166"/>
      <c r="D109" s="166"/>
      <c r="E109" s="166"/>
      <c r="F109" s="166"/>
      <c r="G109" s="166"/>
    </row>
  </sheetData>
  <mergeCells count="172">
    <mergeCell ref="B107:B109"/>
    <mergeCell ref="C107:G109"/>
    <mergeCell ref="K11:K12"/>
    <mergeCell ref="K29:K30"/>
    <mergeCell ref="K33:K34"/>
    <mergeCell ref="K39:K40"/>
    <mergeCell ref="K41:K42"/>
    <mergeCell ref="H43:H44"/>
    <mergeCell ref="I43:I44"/>
    <mergeCell ref="J43:J44"/>
    <mergeCell ref="K43:K44"/>
    <mergeCell ref="J41:J42"/>
    <mergeCell ref="H11:H12"/>
    <mergeCell ref="H73:H75"/>
    <mergeCell ref="I73:I75"/>
    <mergeCell ref="J73:J75"/>
    <mergeCell ref="M73:M75"/>
    <mergeCell ref="A76:A77"/>
    <mergeCell ref="B76:B77"/>
    <mergeCell ref="C76:C77"/>
    <mergeCell ref="D76:D77"/>
    <mergeCell ref="F76:F77"/>
    <mergeCell ref="H76:H77"/>
    <mergeCell ref="I76:I77"/>
    <mergeCell ref="J76:J77"/>
    <mergeCell ref="M76:M77"/>
    <mergeCell ref="A73:A75"/>
    <mergeCell ref="B73:B75"/>
    <mergeCell ref="C73:C75"/>
    <mergeCell ref="D73:D75"/>
    <mergeCell ref="F73:F75"/>
    <mergeCell ref="J78:J83"/>
    <mergeCell ref="M78:M83"/>
    <mergeCell ref="A78:A83"/>
    <mergeCell ref="B78:B83"/>
    <mergeCell ref="N68:N69"/>
    <mergeCell ref="A71:A72"/>
    <mergeCell ref="B71:B72"/>
    <mergeCell ref="C71:C72"/>
    <mergeCell ref="D71:D72"/>
    <mergeCell ref="F71:F72"/>
    <mergeCell ref="H71:H72"/>
    <mergeCell ref="I71:I72"/>
    <mergeCell ref="J71:J72"/>
    <mergeCell ref="M71:M72"/>
    <mergeCell ref="K71:K72"/>
    <mergeCell ref="M66:M67"/>
    <mergeCell ref="A68:A69"/>
    <mergeCell ref="B68:B69"/>
    <mergeCell ref="C68:C69"/>
    <mergeCell ref="D68:D69"/>
    <mergeCell ref="E68:E69"/>
    <mergeCell ref="F68:F69"/>
    <mergeCell ref="G68:G69"/>
    <mergeCell ref="A66:A67"/>
    <mergeCell ref="B66:B67"/>
    <mergeCell ref="C66:C67"/>
    <mergeCell ref="D66:D67"/>
    <mergeCell ref="F66:F67"/>
    <mergeCell ref="K66:K67"/>
    <mergeCell ref="M52:M54"/>
    <mergeCell ref="A55:A57"/>
    <mergeCell ref="B55:B57"/>
    <mergeCell ref="C55:C57"/>
    <mergeCell ref="D55:D57"/>
    <mergeCell ref="F55:F57"/>
    <mergeCell ref="H55:H57"/>
    <mergeCell ref="I55:I57"/>
    <mergeCell ref="J55:J57"/>
    <mergeCell ref="M55:M57"/>
    <mergeCell ref="A52:A54"/>
    <mergeCell ref="B52:B54"/>
    <mergeCell ref="C52:C54"/>
    <mergeCell ref="D52:D54"/>
    <mergeCell ref="F52:F54"/>
    <mergeCell ref="K52:K54"/>
    <mergeCell ref="K55:K57"/>
    <mergeCell ref="J52:J54"/>
    <mergeCell ref="M41:M42"/>
    <mergeCell ref="A50:A51"/>
    <mergeCell ref="B50:B51"/>
    <mergeCell ref="C50:C51"/>
    <mergeCell ref="D50:D51"/>
    <mergeCell ref="F50:F51"/>
    <mergeCell ref="H50:H51"/>
    <mergeCell ref="I50:I51"/>
    <mergeCell ref="J50:J51"/>
    <mergeCell ref="M50:M51"/>
    <mergeCell ref="A41:A42"/>
    <mergeCell ref="B41:B42"/>
    <mergeCell ref="C41:C42"/>
    <mergeCell ref="D41:D42"/>
    <mergeCell ref="H41:H42"/>
    <mergeCell ref="K50:K51"/>
    <mergeCell ref="T4:T5"/>
    <mergeCell ref="A1:U1"/>
    <mergeCell ref="A2:U2"/>
    <mergeCell ref="A3:U3"/>
    <mergeCell ref="P4:P5"/>
    <mergeCell ref="Q4:Q5"/>
    <mergeCell ref="R4:R5"/>
    <mergeCell ref="S4:S5"/>
    <mergeCell ref="U4:U5"/>
    <mergeCell ref="N4:N5"/>
    <mergeCell ref="K4:K5"/>
    <mergeCell ref="M59:M60"/>
    <mergeCell ref="A59:A60"/>
    <mergeCell ref="B59:B60"/>
    <mergeCell ref="C59:C60"/>
    <mergeCell ref="D59:D60"/>
    <mergeCell ref="H59:H60"/>
    <mergeCell ref="F59:F60"/>
    <mergeCell ref="O4:O5"/>
    <mergeCell ref="I33:I34"/>
    <mergeCell ref="J33:J34"/>
    <mergeCell ref="M33:M34"/>
    <mergeCell ref="A39:A40"/>
    <mergeCell ref="B39:B40"/>
    <mergeCell ref="C39:C40"/>
    <mergeCell ref="D39:D40"/>
    <mergeCell ref="F39:F40"/>
    <mergeCell ref="H39:H40"/>
    <mergeCell ref="I39:I40"/>
    <mergeCell ref="J39:J40"/>
    <mergeCell ref="M39:M40"/>
    <mergeCell ref="A33:A34"/>
    <mergeCell ref="B33:B34"/>
    <mergeCell ref="C33:C34"/>
    <mergeCell ref="J29:J30"/>
    <mergeCell ref="M29:M30"/>
    <mergeCell ref="A29:A30"/>
    <mergeCell ref="B29:B30"/>
    <mergeCell ref="C29:C30"/>
    <mergeCell ref="A86:I86"/>
    <mergeCell ref="H4:J4"/>
    <mergeCell ref="D4:D5"/>
    <mergeCell ref="M4:M5"/>
    <mergeCell ref="A4:A5"/>
    <mergeCell ref="B4:B5"/>
    <mergeCell ref="C4:C5"/>
    <mergeCell ref="E4:E5"/>
    <mergeCell ref="F4:F5"/>
    <mergeCell ref="G4:G5"/>
    <mergeCell ref="D29:D30"/>
    <mergeCell ref="H29:H30"/>
    <mergeCell ref="I11:I12"/>
    <mergeCell ref="J11:J12"/>
    <mergeCell ref="M11:M12"/>
    <mergeCell ref="A11:A12"/>
    <mergeCell ref="B11:B12"/>
    <mergeCell ref="C11:C12"/>
    <mergeCell ref="I59:I60"/>
    <mergeCell ref="D11:D12"/>
    <mergeCell ref="K73:K75"/>
    <mergeCell ref="K76:K77"/>
    <mergeCell ref="K78:K83"/>
    <mergeCell ref="C78:C83"/>
    <mergeCell ref="D78:D83"/>
    <mergeCell ref="F78:F83"/>
    <mergeCell ref="H78:H83"/>
    <mergeCell ref="I78:I83"/>
    <mergeCell ref="I29:I30"/>
    <mergeCell ref="D33:D34"/>
    <mergeCell ref="H33:H34"/>
    <mergeCell ref="I41:I42"/>
    <mergeCell ref="H52:H54"/>
    <mergeCell ref="I52:I54"/>
    <mergeCell ref="H66:H67"/>
    <mergeCell ref="I66:I67"/>
    <mergeCell ref="J66:J67"/>
    <mergeCell ref="K59:K60"/>
    <mergeCell ref="J59:J60"/>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C33B-3C26-447B-BCCD-20A465879FE4}">
  <sheetPr codeName="Sheet2"/>
  <dimension ref="A1:G15"/>
  <sheetViews>
    <sheetView zoomScale="85" zoomScaleNormal="85" workbookViewId="0">
      <pane ySplit="5" topLeftCell="A6" activePane="bottomLeft" state="frozen"/>
      <selection pane="bottomLeft" activeCell="C11" sqref="C11:C15"/>
    </sheetView>
  </sheetViews>
  <sheetFormatPr defaultRowHeight="14.4" x14ac:dyDescent="0.3"/>
  <cols>
    <col min="2" max="2" width="11.88671875" customWidth="1"/>
    <col min="3" max="3" width="70.5546875" customWidth="1"/>
    <col min="4" max="4" width="14.6640625" bestFit="1" customWidth="1"/>
    <col min="5" max="5" width="15" bestFit="1" customWidth="1"/>
    <col min="6" max="6" width="20.21875" bestFit="1" customWidth="1"/>
    <col min="7" max="7" width="20.21875" customWidth="1"/>
  </cols>
  <sheetData>
    <row r="1" spans="1:7" ht="46.8" customHeight="1" thickBot="1" x14ac:dyDescent="0.35">
      <c r="A1" s="152" t="s">
        <v>29</v>
      </c>
      <c r="B1" s="153"/>
      <c r="C1" s="153"/>
      <c r="D1" s="153"/>
      <c r="E1" s="153"/>
      <c r="F1" s="153"/>
      <c r="G1" s="154"/>
    </row>
    <row r="2" spans="1:7" ht="29.4" customHeight="1" thickBot="1" x14ac:dyDescent="0.35">
      <c r="A2" s="171" t="s">
        <v>60</v>
      </c>
      <c r="B2" s="172"/>
      <c r="C2" s="172"/>
      <c r="D2" s="172"/>
      <c r="E2" s="172"/>
      <c r="F2" s="172"/>
      <c r="G2" s="173"/>
    </row>
    <row r="3" spans="1:7" ht="7.8" customHeight="1" thickBot="1" x14ac:dyDescent="0.35">
      <c r="A3" s="158"/>
      <c r="B3" s="159"/>
      <c r="C3" s="159"/>
      <c r="D3" s="159"/>
      <c r="E3" s="159"/>
      <c r="F3" s="159"/>
      <c r="G3" s="160"/>
    </row>
    <row r="4" spans="1:7" ht="43.2" customHeight="1" x14ac:dyDescent="0.3">
      <c r="A4" s="144" t="s">
        <v>0</v>
      </c>
      <c r="B4" s="146" t="s">
        <v>5</v>
      </c>
      <c r="C4" s="144" t="s">
        <v>1</v>
      </c>
      <c r="D4" s="144" t="s">
        <v>3</v>
      </c>
      <c r="E4" s="144" t="s">
        <v>4</v>
      </c>
      <c r="F4" s="146" t="s">
        <v>44</v>
      </c>
      <c r="G4" s="146" t="s">
        <v>43</v>
      </c>
    </row>
    <row r="5" spans="1:7" ht="36.6" customHeight="1" thickBot="1" x14ac:dyDescent="0.35">
      <c r="A5" s="145"/>
      <c r="B5" s="147"/>
      <c r="C5" s="145"/>
      <c r="D5" s="145"/>
      <c r="E5" s="145"/>
      <c r="F5" s="147"/>
      <c r="G5" s="147"/>
    </row>
    <row r="6" spans="1:7" x14ac:dyDescent="0.3">
      <c r="A6" s="28">
        <v>1</v>
      </c>
      <c r="B6" s="29">
        <v>46020</v>
      </c>
      <c r="C6" s="28" t="s">
        <v>47</v>
      </c>
      <c r="D6" s="28">
        <v>8822500508</v>
      </c>
      <c r="E6" s="29">
        <v>46020</v>
      </c>
      <c r="F6" s="34">
        <v>660000</v>
      </c>
      <c r="G6" s="34">
        <f>F6*1.18</f>
        <v>778800</v>
      </c>
    </row>
    <row r="7" spans="1:7" ht="43.8" thickBot="1" x14ac:dyDescent="0.35">
      <c r="A7" s="83">
        <v>2</v>
      </c>
      <c r="B7" s="29">
        <v>46034</v>
      </c>
      <c r="C7" s="35" t="s">
        <v>136</v>
      </c>
      <c r="D7" s="28">
        <v>8822500604</v>
      </c>
      <c r="E7" s="29">
        <v>46034</v>
      </c>
      <c r="F7" s="34">
        <v>990000</v>
      </c>
      <c r="G7" s="34">
        <f>F7*1.18</f>
        <v>1168200</v>
      </c>
    </row>
    <row r="8" spans="1:7" ht="30" customHeight="1" thickBot="1" x14ac:dyDescent="0.5">
      <c r="A8" s="138" t="s">
        <v>28</v>
      </c>
      <c r="B8" s="139"/>
      <c r="C8" s="139"/>
      <c r="D8" s="139"/>
      <c r="E8" s="139"/>
      <c r="F8" s="39">
        <f>SUM(F6:F7)</f>
        <v>1650000</v>
      </c>
      <c r="G8" s="15">
        <f>SUM(G6:G7)</f>
        <v>1947000</v>
      </c>
    </row>
    <row r="10" spans="1:7" ht="14.4" customHeight="1" thickBot="1" x14ac:dyDescent="0.35">
      <c r="C10" s="82"/>
    </row>
    <row r="11" spans="1:7" ht="28.8" x14ac:dyDescent="0.3">
      <c r="C11" s="168" t="s">
        <v>139</v>
      </c>
      <c r="D11" s="74"/>
      <c r="E11" s="75"/>
      <c r="F11" s="76" t="s">
        <v>140</v>
      </c>
      <c r="G11" s="77" t="s">
        <v>141</v>
      </c>
    </row>
    <row r="12" spans="1:7" x14ac:dyDescent="0.3">
      <c r="C12" s="169"/>
      <c r="D12" s="73">
        <v>1</v>
      </c>
      <c r="E12" s="63" t="s">
        <v>142</v>
      </c>
      <c r="F12" s="64">
        <v>3200000</v>
      </c>
      <c r="G12" s="78">
        <f>F12*1.18</f>
        <v>3776000</v>
      </c>
    </row>
    <row r="13" spans="1:7" x14ac:dyDescent="0.3">
      <c r="C13" s="169"/>
      <c r="D13" s="73">
        <v>2</v>
      </c>
      <c r="E13" s="63" t="s">
        <v>143</v>
      </c>
      <c r="F13" s="64">
        <f>F8</f>
        <v>1650000</v>
      </c>
      <c r="G13" s="78">
        <f>G8</f>
        <v>1947000</v>
      </c>
    </row>
    <row r="14" spans="1:7" x14ac:dyDescent="0.3">
      <c r="C14" s="169"/>
      <c r="D14" s="73"/>
      <c r="E14" s="63"/>
      <c r="F14" s="64"/>
      <c r="G14" s="78"/>
    </row>
    <row r="15" spans="1:7" ht="18.600000000000001" thickBot="1" x14ac:dyDescent="0.4">
      <c r="C15" s="170"/>
      <c r="D15" s="79"/>
      <c r="E15" s="80" t="s">
        <v>144</v>
      </c>
      <c r="F15" s="80"/>
      <c r="G15" s="81">
        <f>G12-G13</f>
        <v>1829000</v>
      </c>
    </row>
  </sheetData>
  <mergeCells count="12">
    <mergeCell ref="C11:C15"/>
    <mergeCell ref="A8:E8"/>
    <mergeCell ref="F4:F5"/>
    <mergeCell ref="G4:G5"/>
    <mergeCell ref="A1:G1"/>
    <mergeCell ref="A2:G2"/>
    <mergeCell ref="A3:G3"/>
    <mergeCell ref="A4:A5"/>
    <mergeCell ref="B4:B5"/>
    <mergeCell ref="C4:C5"/>
    <mergeCell ref="D4:D5"/>
    <mergeCell ref="E4: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A9F4F-1B1D-4AE7-9AF5-18166E5B7F33}">
  <sheetPr codeName="Sheet3"/>
  <dimension ref="A1:K18"/>
  <sheetViews>
    <sheetView zoomScale="85" zoomScaleNormal="85" workbookViewId="0">
      <pane ySplit="5" topLeftCell="A9" activePane="bottomLeft" state="frozen"/>
      <selection pane="bottomLeft" activeCell="K13" sqref="K13"/>
    </sheetView>
  </sheetViews>
  <sheetFormatPr defaultRowHeight="14.4" x14ac:dyDescent="0.3"/>
  <cols>
    <col min="2" max="2" width="39.44140625" bestFit="1" customWidth="1"/>
    <col min="3" max="3" width="18.33203125" bestFit="1" customWidth="1"/>
    <col min="4" max="5" width="13.109375" customWidth="1"/>
    <col min="6" max="6" width="17" customWidth="1"/>
    <col min="7" max="7" width="20.21875" bestFit="1" customWidth="1"/>
    <col min="8" max="9" width="20.21875" customWidth="1"/>
    <col min="10" max="10" width="18.77734375" customWidth="1"/>
    <col min="11" max="11" width="17.88671875" customWidth="1"/>
  </cols>
  <sheetData>
    <row r="1" spans="1:11" ht="46.8" customHeight="1" thickBot="1" x14ac:dyDescent="0.35">
      <c r="A1" s="152" t="s">
        <v>29</v>
      </c>
      <c r="B1" s="153"/>
      <c r="C1" s="153"/>
      <c r="D1" s="153"/>
      <c r="E1" s="153"/>
      <c r="F1" s="153"/>
      <c r="G1" s="153"/>
      <c r="H1" s="153"/>
      <c r="I1" s="153"/>
      <c r="J1" s="153"/>
      <c r="K1" s="154"/>
    </row>
    <row r="2" spans="1:11" ht="29.4" customHeight="1" thickBot="1" x14ac:dyDescent="0.35">
      <c r="A2" s="171" t="s">
        <v>56</v>
      </c>
      <c r="B2" s="172"/>
      <c r="C2" s="172"/>
      <c r="D2" s="172"/>
      <c r="E2" s="172"/>
      <c r="F2" s="172"/>
      <c r="G2" s="172"/>
      <c r="H2" s="172"/>
      <c r="I2" s="172"/>
      <c r="J2" s="172"/>
      <c r="K2" s="173"/>
    </row>
    <row r="3" spans="1:11" ht="7.8" customHeight="1" thickBot="1" x14ac:dyDescent="0.35">
      <c r="A3" s="158"/>
      <c r="B3" s="159"/>
      <c r="C3" s="159"/>
      <c r="D3" s="159"/>
      <c r="E3" s="159"/>
      <c r="F3" s="159"/>
      <c r="G3" s="159"/>
      <c r="H3" s="159"/>
      <c r="I3" s="159"/>
      <c r="J3" s="159"/>
      <c r="K3" s="160"/>
    </row>
    <row r="4" spans="1:11" ht="43.2" customHeight="1" x14ac:dyDescent="0.3">
      <c r="A4" s="144" t="s">
        <v>0</v>
      </c>
      <c r="B4" s="144" t="s">
        <v>1</v>
      </c>
      <c r="C4" s="144" t="s">
        <v>3</v>
      </c>
      <c r="D4" s="144" t="s">
        <v>4</v>
      </c>
      <c r="E4" s="146" t="s">
        <v>51</v>
      </c>
      <c r="F4" s="146" t="s">
        <v>50</v>
      </c>
      <c r="G4" s="146" t="s">
        <v>44</v>
      </c>
      <c r="H4" s="146" t="s">
        <v>52</v>
      </c>
      <c r="I4" s="146" t="s">
        <v>49</v>
      </c>
      <c r="J4" s="146" t="s">
        <v>45</v>
      </c>
      <c r="K4" s="146" t="s">
        <v>46</v>
      </c>
    </row>
    <row r="5" spans="1:11" ht="36.6" customHeight="1" thickBot="1" x14ac:dyDescent="0.35">
      <c r="A5" s="145"/>
      <c r="B5" s="145"/>
      <c r="C5" s="145"/>
      <c r="D5" s="145"/>
      <c r="E5" s="147"/>
      <c r="F5" s="147"/>
      <c r="G5" s="147"/>
      <c r="H5" s="147"/>
      <c r="I5" s="147"/>
      <c r="J5" s="147"/>
      <c r="K5" s="147"/>
    </row>
    <row r="6" spans="1:11" x14ac:dyDescent="0.3">
      <c r="A6" s="8">
        <v>1</v>
      </c>
      <c r="B6" s="4" t="s">
        <v>53</v>
      </c>
      <c r="C6" s="4" t="s">
        <v>48</v>
      </c>
      <c r="D6" s="36">
        <v>45975</v>
      </c>
      <c r="E6" s="37">
        <v>3152382</v>
      </c>
      <c r="F6" s="37">
        <v>148043</v>
      </c>
      <c r="G6" s="12">
        <f>E6-F6</f>
        <v>3004339</v>
      </c>
      <c r="H6" s="12">
        <v>792833.25</v>
      </c>
      <c r="I6" s="7">
        <f>G6*1.18</f>
        <v>3545120.02</v>
      </c>
      <c r="J6" s="7">
        <f>G6*5%</f>
        <v>150216.95000000001</v>
      </c>
      <c r="K6" s="7">
        <f>I6-J6-H6</f>
        <v>2602069.8199999998</v>
      </c>
    </row>
    <row r="7" spans="1:11" x14ac:dyDescent="0.3">
      <c r="A7" s="8">
        <v>2</v>
      </c>
      <c r="B7" s="4" t="s">
        <v>54</v>
      </c>
      <c r="C7" s="4" t="s">
        <v>55</v>
      </c>
      <c r="D7" s="36">
        <v>46035</v>
      </c>
      <c r="E7" s="37">
        <v>4286581</v>
      </c>
      <c r="F7" s="37">
        <v>201117</v>
      </c>
      <c r="G7" s="12">
        <f>E7-F7</f>
        <v>4085464</v>
      </c>
      <c r="H7" s="12">
        <v>991988</v>
      </c>
      <c r="I7" s="7">
        <f>G7*1.18</f>
        <v>4820847.5199999996</v>
      </c>
      <c r="J7" s="7">
        <f>G7*5%</f>
        <v>204273.2</v>
      </c>
      <c r="K7" s="7">
        <f>I7-J7-H7</f>
        <v>3624586.3199999994</v>
      </c>
    </row>
    <row r="8" spans="1:11" x14ac:dyDescent="0.3">
      <c r="A8" s="8">
        <v>3</v>
      </c>
      <c r="B8" s="4" t="s">
        <v>166</v>
      </c>
      <c r="C8" s="4" t="s">
        <v>170</v>
      </c>
      <c r="D8" s="36">
        <v>46066</v>
      </c>
      <c r="E8" s="37">
        <v>5999728</v>
      </c>
      <c r="F8" s="37">
        <v>99451</v>
      </c>
      <c r="G8" s="12">
        <f t="shared" ref="G8:G10" si="0">E8-F8</f>
        <v>5900277</v>
      </c>
      <c r="H8" s="12">
        <v>503918</v>
      </c>
      <c r="I8" s="7">
        <f t="shared" ref="I8:I11" si="1">G8*1.18</f>
        <v>6962326.8599999994</v>
      </c>
      <c r="J8" s="7">
        <f t="shared" ref="J8:J11" si="2">G8*5%</f>
        <v>295013.85000000003</v>
      </c>
      <c r="K8" s="7">
        <f t="shared" ref="K8:K11" si="3">I8-J8-H8</f>
        <v>6163395.0099999998</v>
      </c>
    </row>
    <row r="9" spans="1:11" x14ac:dyDescent="0.3">
      <c r="A9" s="8">
        <v>4</v>
      </c>
      <c r="B9" s="4" t="s">
        <v>167</v>
      </c>
      <c r="C9" s="4" t="s">
        <v>171</v>
      </c>
      <c r="D9" s="36">
        <v>46106</v>
      </c>
      <c r="E9" s="37">
        <v>5274039</v>
      </c>
      <c r="F9" s="37">
        <v>38490</v>
      </c>
      <c r="G9" s="12">
        <f t="shared" si="0"/>
        <v>5235549</v>
      </c>
      <c r="H9" s="12">
        <v>255769</v>
      </c>
      <c r="I9" s="7">
        <f t="shared" si="1"/>
        <v>6177947.8199999994</v>
      </c>
      <c r="J9" s="7">
        <f t="shared" si="2"/>
        <v>261777.45</v>
      </c>
      <c r="K9" s="7">
        <f t="shared" si="3"/>
        <v>5660401.3699999992</v>
      </c>
    </row>
    <row r="10" spans="1:11" x14ac:dyDescent="0.3">
      <c r="A10" s="8">
        <v>5</v>
      </c>
      <c r="B10" s="4" t="s">
        <v>168</v>
      </c>
      <c r="C10" s="4" t="s">
        <v>172</v>
      </c>
      <c r="D10" s="36">
        <v>46134</v>
      </c>
      <c r="E10" s="37">
        <v>11685557</v>
      </c>
      <c r="F10" s="37">
        <v>65396</v>
      </c>
      <c r="G10" s="12">
        <f t="shared" si="0"/>
        <v>11620161</v>
      </c>
      <c r="H10" s="12">
        <v>1587022</v>
      </c>
      <c r="I10" s="7">
        <f t="shared" si="1"/>
        <v>13711789.979999999</v>
      </c>
      <c r="J10" s="7">
        <f t="shared" si="2"/>
        <v>581008.05000000005</v>
      </c>
      <c r="K10" s="7">
        <f t="shared" si="3"/>
        <v>11543759.929999998</v>
      </c>
    </row>
    <row r="11" spans="1:11" x14ac:dyDescent="0.3">
      <c r="A11" s="8">
        <v>6</v>
      </c>
      <c r="B11" s="4" t="s">
        <v>169</v>
      </c>
      <c r="C11" s="4" t="s">
        <v>173</v>
      </c>
      <c r="D11" s="36">
        <v>46164</v>
      </c>
      <c r="E11" s="37">
        <v>2605027</v>
      </c>
      <c r="F11" s="37">
        <v>28734</v>
      </c>
      <c r="G11" s="12">
        <f>E11-F11</f>
        <v>2576293</v>
      </c>
      <c r="H11" s="12">
        <v>342490.75</v>
      </c>
      <c r="I11" s="7">
        <f t="shared" si="1"/>
        <v>3040025.7399999998</v>
      </c>
      <c r="J11" s="7">
        <f t="shared" si="2"/>
        <v>128814.65000000001</v>
      </c>
      <c r="K11" s="7">
        <f t="shared" si="3"/>
        <v>2568720.34</v>
      </c>
    </row>
    <row r="12" spans="1:11" ht="15" thickBot="1" x14ac:dyDescent="0.35">
      <c r="A12" s="8">
        <v>7</v>
      </c>
      <c r="B12" s="4" t="s">
        <v>185</v>
      </c>
      <c r="C12" s="4" t="s">
        <v>186</v>
      </c>
      <c r="D12" s="36">
        <v>46204</v>
      </c>
      <c r="E12" s="37">
        <v>6432564</v>
      </c>
      <c r="F12" s="37">
        <v>122670</v>
      </c>
      <c r="G12" s="12">
        <f>E12-F12</f>
        <v>6309894</v>
      </c>
      <c r="H12" s="12">
        <v>424864</v>
      </c>
      <c r="I12" s="7">
        <f t="shared" ref="I12" si="4">G12*1.18</f>
        <v>7445674.9199999999</v>
      </c>
      <c r="J12" s="7">
        <f t="shared" ref="J12" si="5">G12*5%</f>
        <v>315494.7</v>
      </c>
      <c r="K12" s="7">
        <f t="shared" ref="K12" si="6">I12-J12-H12</f>
        <v>6705316.2199999997</v>
      </c>
    </row>
    <row r="13" spans="1:11" ht="30" customHeight="1" thickBot="1" x14ac:dyDescent="0.5">
      <c r="A13" s="138" t="s">
        <v>28</v>
      </c>
      <c r="B13" s="139"/>
      <c r="C13" s="139"/>
      <c r="D13" s="139"/>
      <c r="E13" s="27"/>
      <c r="F13" s="27"/>
      <c r="G13" s="42">
        <f>SUM(G6:G12)</f>
        <v>38731977</v>
      </c>
      <c r="H13" s="43"/>
      <c r="I13" s="43">
        <f>SUM(I6:I12)</f>
        <v>45703732.859999999</v>
      </c>
      <c r="J13" s="43">
        <f>SUM(J6:J12)</f>
        <v>1936598.8499999999</v>
      </c>
      <c r="K13" s="43">
        <f>SUM(K6:K12)</f>
        <v>38868249.009999998</v>
      </c>
    </row>
    <row r="17" spans="2:7" x14ac:dyDescent="0.3">
      <c r="B17" s="72"/>
      <c r="C17" s="72"/>
      <c r="D17" s="72"/>
      <c r="E17" s="72"/>
      <c r="F17" s="72"/>
      <c r="G17" s="72"/>
    </row>
    <row r="18" spans="2:7" x14ac:dyDescent="0.3">
      <c r="E18" s="62"/>
      <c r="F18" s="62"/>
      <c r="G18" s="62"/>
    </row>
  </sheetData>
  <mergeCells count="15">
    <mergeCell ref="A13:D13"/>
    <mergeCell ref="E4:E5"/>
    <mergeCell ref="J4:J5"/>
    <mergeCell ref="K4:K5"/>
    <mergeCell ref="H4:H5"/>
    <mergeCell ref="G4:G5"/>
    <mergeCell ref="I4:I5"/>
    <mergeCell ref="A1:K1"/>
    <mergeCell ref="A2:K2"/>
    <mergeCell ref="A3:K3"/>
    <mergeCell ref="A4:A5"/>
    <mergeCell ref="B4:B5"/>
    <mergeCell ref="C4:C5"/>
    <mergeCell ref="D4:D5"/>
    <mergeCell ref="F4:F5"/>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4BB0-5EFF-4B14-81E2-42AACB3EAFA9}">
  <sheetPr codeName="Sheet4"/>
  <dimension ref="A1:K35"/>
  <sheetViews>
    <sheetView workbookViewId="0">
      <selection activeCell="J34" sqref="J34"/>
    </sheetView>
  </sheetViews>
  <sheetFormatPr defaultRowHeight="14.4" x14ac:dyDescent="0.3"/>
  <cols>
    <col min="1" max="1" width="13.88671875" customWidth="1"/>
    <col min="2" max="2" width="32.44140625" bestFit="1" customWidth="1"/>
    <col min="3" max="3" width="20.33203125" bestFit="1" customWidth="1"/>
    <col min="4" max="4" width="17.33203125" hidden="1" customWidth="1"/>
    <col min="5" max="5" width="15.33203125" hidden="1" customWidth="1"/>
    <col min="6" max="6" width="17.33203125" bestFit="1" customWidth="1"/>
    <col min="7" max="7" width="15.33203125" customWidth="1"/>
    <col min="9" max="9" width="11.77734375" bestFit="1" customWidth="1"/>
    <col min="10" max="10" width="21" bestFit="1" customWidth="1"/>
    <col min="11" max="12" width="20.21875" bestFit="1" customWidth="1"/>
  </cols>
  <sheetData>
    <row r="1" spans="1:7" ht="16.2" thickBot="1" x14ac:dyDescent="0.35">
      <c r="A1" s="181" t="s">
        <v>187</v>
      </c>
      <c r="B1" s="182"/>
      <c r="C1" s="182"/>
      <c r="D1" s="182"/>
      <c r="E1" s="183"/>
      <c r="F1" s="184"/>
      <c r="G1" s="72"/>
    </row>
    <row r="2" spans="1:7" ht="16.2" thickBot="1" x14ac:dyDescent="0.35">
      <c r="A2" s="185" t="s">
        <v>188</v>
      </c>
      <c r="B2" s="186"/>
      <c r="C2" s="186"/>
      <c r="D2" s="187"/>
      <c r="E2" s="96" t="s">
        <v>189</v>
      </c>
      <c r="F2" s="97">
        <v>7</v>
      </c>
      <c r="G2" s="72"/>
    </row>
    <row r="3" spans="1:7" ht="16.2" thickBot="1" x14ac:dyDescent="0.35">
      <c r="A3" s="188" t="s">
        <v>190</v>
      </c>
      <c r="B3" s="189"/>
      <c r="C3" s="189"/>
      <c r="D3" s="190"/>
      <c r="E3" s="99" t="s">
        <v>191</v>
      </c>
      <c r="F3" s="100">
        <v>46198</v>
      </c>
      <c r="G3" s="72"/>
    </row>
    <row r="4" spans="1:7" ht="16.2" thickBot="1" x14ac:dyDescent="0.35">
      <c r="A4" s="101"/>
      <c r="B4" s="102"/>
      <c r="C4" s="102"/>
      <c r="D4" s="98"/>
      <c r="E4" s="103"/>
      <c r="F4" s="104"/>
      <c r="G4" s="94"/>
    </row>
    <row r="5" spans="1:7" ht="16.2" thickBot="1" x14ac:dyDescent="0.35">
      <c r="A5" s="191" t="s">
        <v>145</v>
      </c>
      <c r="B5" s="193" t="s">
        <v>146</v>
      </c>
      <c r="C5" s="191" t="s">
        <v>147</v>
      </c>
      <c r="D5" s="195" t="s">
        <v>192</v>
      </c>
      <c r="E5" s="196"/>
      <c r="F5" s="197"/>
      <c r="G5" s="94"/>
    </row>
    <row r="6" spans="1:7" ht="16.2" thickBot="1" x14ac:dyDescent="0.35">
      <c r="A6" s="192"/>
      <c r="B6" s="194"/>
      <c r="C6" s="192"/>
      <c r="D6" s="105" t="s">
        <v>193</v>
      </c>
      <c r="E6" s="105" t="s">
        <v>194</v>
      </c>
      <c r="F6" s="105" t="s">
        <v>148</v>
      </c>
      <c r="G6" s="94"/>
    </row>
    <row r="7" spans="1:7" ht="16.2" thickBot="1" x14ac:dyDescent="0.35">
      <c r="A7" s="174" t="s">
        <v>149</v>
      </c>
      <c r="B7" s="175"/>
      <c r="C7" s="175"/>
      <c r="D7" s="175"/>
      <c r="E7" s="175"/>
      <c r="F7" s="176"/>
      <c r="G7" s="94"/>
    </row>
    <row r="8" spans="1:7" ht="15.6" x14ac:dyDescent="0.3">
      <c r="A8" s="106">
        <v>1</v>
      </c>
      <c r="B8" s="107" t="s">
        <v>150</v>
      </c>
      <c r="C8" s="108">
        <v>46686584</v>
      </c>
      <c r="D8" s="108">
        <f>'[1]KB 1 -ABS'!J310</f>
        <v>27094346</v>
      </c>
      <c r="E8" s="108">
        <f>'[1]KB 1 -ABS'!K310</f>
        <v>1355021</v>
      </c>
      <c r="F8" s="109">
        <f t="shared" ref="F8:F17" si="0">D8+E8</f>
        <v>28449367</v>
      </c>
      <c r="G8" s="94"/>
    </row>
    <row r="9" spans="1:7" ht="15.6" x14ac:dyDescent="0.3">
      <c r="A9" s="106">
        <f>+A8+1</f>
        <v>2</v>
      </c>
      <c r="B9" s="107" t="s">
        <v>151</v>
      </c>
      <c r="C9" s="108">
        <v>11038781</v>
      </c>
      <c r="D9" s="108">
        <f>'[1]KB 2 -ABS'!J120</f>
        <v>0</v>
      </c>
      <c r="E9" s="108">
        <f>'[1]KB 2 -ABS'!K120</f>
        <v>3211560</v>
      </c>
      <c r="F9" s="109">
        <f>D9+E9</f>
        <v>3211560</v>
      </c>
      <c r="G9" s="94"/>
    </row>
    <row r="10" spans="1:7" ht="15.6" x14ac:dyDescent="0.3">
      <c r="A10" s="106">
        <f>+A9+1</f>
        <v>3</v>
      </c>
      <c r="B10" s="107" t="s">
        <v>152</v>
      </c>
      <c r="C10" s="108">
        <v>1143025</v>
      </c>
      <c r="D10" s="108">
        <f>'[1]KB 3 -ABS'!J61</f>
        <v>0</v>
      </c>
      <c r="E10" s="108">
        <f>'[1]KB 3 -ABS'!K61</f>
        <v>204047</v>
      </c>
      <c r="F10" s="109">
        <f>D10+E10</f>
        <v>204047</v>
      </c>
      <c r="G10" s="94"/>
    </row>
    <row r="11" spans="1:7" ht="15.6" x14ac:dyDescent="0.3">
      <c r="A11" s="106">
        <f>+A10+1</f>
        <v>4</v>
      </c>
      <c r="B11" s="107" t="s">
        <v>153</v>
      </c>
      <c r="C11" s="108">
        <v>791685</v>
      </c>
      <c r="D11" s="108">
        <f>'[1]KB 4 -ABS'!J40</f>
        <v>0</v>
      </c>
      <c r="E11" s="108">
        <f>'[1]KB 4 -ABS'!K40</f>
        <v>199365</v>
      </c>
      <c r="F11" s="109">
        <f t="shared" si="0"/>
        <v>199365</v>
      </c>
      <c r="G11" s="94"/>
    </row>
    <row r="12" spans="1:7" ht="15.6" x14ac:dyDescent="0.3">
      <c r="A12" s="106">
        <f t="shared" ref="A12:A17" si="1">+A11+1</f>
        <v>5</v>
      </c>
      <c r="B12" s="107" t="s">
        <v>154</v>
      </c>
      <c r="C12" s="108">
        <v>1495745</v>
      </c>
      <c r="D12" s="108"/>
      <c r="E12" s="108"/>
      <c r="F12" s="109">
        <f t="shared" si="0"/>
        <v>0</v>
      </c>
      <c r="G12" s="94"/>
    </row>
    <row r="13" spans="1:7" ht="15.6" x14ac:dyDescent="0.3">
      <c r="A13" s="106">
        <f t="shared" si="1"/>
        <v>6</v>
      </c>
      <c r="B13" s="107" t="s">
        <v>155</v>
      </c>
      <c r="C13" s="108">
        <v>1192842.2</v>
      </c>
      <c r="D13" s="108"/>
      <c r="E13" s="108"/>
      <c r="F13" s="109">
        <f t="shared" si="0"/>
        <v>0</v>
      </c>
      <c r="G13" s="94"/>
    </row>
    <row r="14" spans="1:7" ht="15.6" x14ac:dyDescent="0.3">
      <c r="A14" s="106">
        <f t="shared" si="1"/>
        <v>7</v>
      </c>
      <c r="B14" s="107" t="s">
        <v>195</v>
      </c>
      <c r="C14" s="108">
        <v>812427</v>
      </c>
      <c r="D14" s="108">
        <f>'[1]KB 7 -ABS'!J40</f>
        <v>0</v>
      </c>
      <c r="E14" s="108">
        <f>'[1]KB 7 -ABS'!K40</f>
        <v>645435.80000000005</v>
      </c>
      <c r="F14" s="109">
        <f t="shared" si="0"/>
        <v>645435.80000000005</v>
      </c>
      <c r="G14" s="94"/>
    </row>
    <row r="15" spans="1:7" ht="15.6" x14ac:dyDescent="0.3">
      <c r="A15" s="106">
        <f t="shared" si="1"/>
        <v>8</v>
      </c>
      <c r="B15" s="107" t="s">
        <v>156</v>
      </c>
      <c r="C15" s="108">
        <v>1214544</v>
      </c>
      <c r="D15" s="108">
        <f>'[1]KB 8 -ABS'!J51</f>
        <v>178689.22000000003</v>
      </c>
      <c r="E15" s="108">
        <f>'[1]KB 8 -ABS'!K51</f>
        <v>0</v>
      </c>
      <c r="F15" s="109">
        <f t="shared" si="0"/>
        <v>178689.22000000003</v>
      </c>
      <c r="G15" s="94"/>
    </row>
    <row r="16" spans="1:7" ht="15.6" x14ac:dyDescent="0.3">
      <c r="A16" s="106">
        <f t="shared" si="1"/>
        <v>9</v>
      </c>
      <c r="B16" s="107" t="s">
        <v>157</v>
      </c>
      <c r="C16" s="108">
        <v>2011523</v>
      </c>
      <c r="D16" s="108">
        <f>'[1]KB 9 -ABS '!J56</f>
        <v>1590605</v>
      </c>
      <c r="E16" s="108">
        <f>'[1]KB 9 -ABS '!K56</f>
        <v>408256</v>
      </c>
      <c r="F16" s="109">
        <f t="shared" si="0"/>
        <v>1998861</v>
      </c>
      <c r="G16" s="94"/>
    </row>
    <row r="17" spans="1:11" ht="31.2" x14ac:dyDescent="0.3">
      <c r="A17" s="106">
        <f t="shared" si="1"/>
        <v>10</v>
      </c>
      <c r="B17" s="107" t="s">
        <v>158</v>
      </c>
      <c r="C17" s="108">
        <v>2612845</v>
      </c>
      <c r="D17" s="108">
        <f>'[1]KB 10 -ABS'!J58</f>
        <v>4139672</v>
      </c>
      <c r="E17" s="108">
        <f>'[1]KB 10 -ABS'!K58</f>
        <v>408879</v>
      </c>
      <c r="F17" s="109">
        <f t="shared" si="0"/>
        <v>4548551</v>
      </c>
      <c r="G17" s="94"/>
    </row>
    <row r="18" spans="1:11" ht="16.2" thickBot="1" x14ac:dyDescent="0.35">
      <c r="A18" s="110"/>
      <c r="B18" s="111"/>
      <c r="C18" s="112"/>
      <c r="D18" s="109"/>
      <c r="E18" s="109"/>
      <c r="F18" s="109"/>
      <c r="G18" s="95"/>
    </row>
    <row r="19" spans="1:11" ht="16.2" thickBot="1" x14ac:dyDescent="0.35">
      <c r="A19" s="177" t="s">
        <v>159</v>
      </c>
      <c r="B19" s="178"/>
      <c r="C19" s="115">
        <f>SUM(C8:C18)</f>
        <v>69000001.200000003</v>
      </c>
      <c r="D19" s="115">
        <f>ROUND(SUM(D8:D18),0)</f>
        <v>33003312</v>
      </c>
      <c r="E19" s="115">
        <f>ROUND(SUM(E8:E18),0)</f>
        <v>6432564</v>
      </c>
      <c r="F19" s="115">
        <f>ROUND(SUM(F8:F18),0)</f>
        <v>39435876</v>
      </c>
      <c r="G19" s="94"/>
    </row>
    <row r="20" spans="1:11" ht="16.2" thickBot="1" x14ac:dyDescent="0.35">
      <c r="A20" s="174" t="s">
        <v>161</v>
      </c>
      <c r="B20" s="175"/>
      <c r="C20" s="175"/>
      <c r="D20" s="175"/>
      <c r="E20" s="175"/>
      <c r="F20" s="176"/>
    </row>
    <row r="21" spans="1:11" ht="15.6" x14ac:dyDescent="0.3">
      <c r="A21" s="106">
        <v>1</v>
      </c>
      <c r="B21" s="107" t="s">
        <v>162</v>
      </c>
      <c r="C21" s="108"/>
      <c r="D21" s="108">
        <v>0</v>
      </c>
      <c r="E21" s="108">
        <f>F21-D21</f>
        <v>0</v>
      </c>
      <c r="F21" s="109">
        <v>0</v>
      </c>
    </row>
    <row r="22" spans="1:11" ht="15.6" x14ac:dyDescent="0.3">
      <c r="A22" s="106">
        <f>+A21+1</f>
        <v>2</v>
      </c>
      <c r="B22" s="107" t="s">
        <v>163</v>
      </c>
      <c r="C22" s="108"/>
      <c r="D22" s="108">
        <f>'[1]Basic Rate Sheet'!D7</f>
        <v>-581231</v>
      </c>
      <c r="E22" s="108">
        <f>'[1]Basic Rate Sheet'!E7</f>
        <v>-2889</v>
      </c>
      <c r="F22" s="108">
        <f>'[1]Basic Rate Sheet'!F7</f>
        <v>-584120</v>
      </c>
    </row>
    <row r="23" spans="1:11" ht="15.6" x14ac:dyDescent="0.3">
      <c r="A23" s="106">
        <f t="shared" ref="A23:A24" si="2">+A22+1</f>
        <v>3</v>
      </c>
      <c r="B23" s="107" t="s">
        <v>164</v>
      </c>
      <c r="C23" s="108"/>
      <c r="D23" s="108">
        <v>0</v>
      </c>
      <c r="E23" s="108">
        <v>0</v>
      </c>
      <c r="F23" s="109">
        <f t="shared" ref="F23:F25" si="3">D23+E23</f>
        <v>0</v>
      </c>
    </row>
    <row r="24" spans="1:11" ht="15.6" x14ac:dyDescent="0.3">
      <c r="A24" s="106">
        <f t="shared" si="2"/>
        <v>4</v>
      </c>
      <c r="B24" s="107" t="s">
        <v>196</v>
      </c>
      <c r="C24" s="108"/>
      <c r="D24" s="108">
        <v>0</v>
      </c>
      <c r="E24" s="108">
        <f>'[1]KB 2 -ABS'!K124</f>
        <v>-36117</v>
      </c>
      <c r="F24" s="109">
        <f t="shared" si="3"/>
        <v>-36117</v>
      </c>
    </row>
    <row r="25" spans="1:11" ht="16.2" thickBot="1" x14ac:dyDescent="0.35">
      <c r="A25" s="106">
        <v>5</v>
      </c>
      <c r="B25" s="107" t="s">
        <v>197</v>
      </c>
      <c r="C25" s="108"/>
      <c r="D25" s="108">
        <v>0</v>
      </c>
      <c r="E25" s="108">
        <f>'[1]KB 3 -ABS'!K64</f>
        <v>-83664</v>
      </c>
      <c r="F25" s="109">
        <f t="shared" si="3"/>
        <v>-83664</v>
      </c>
    </row>
    <row r="26" spans="1:11" ht="16.2" thickBot="1" x14ac:dyDescent="0.35">
      <c r="A26" s="113"/>
      <c r="B26" s="114"/>
      <c r="C26" s="115"/>
      <c r="D26" s="115"/>
      <c r="E26" s="115"/>
      <c r="F26" s="115"/>
    </row>
    <row r="27" spans="1:11" ht="16.2" thickBot="1" x14ac:dyDescent="0.35">
      <c r="A27" s="177" t="s">
        <v>160</v>
      </c>
      <c r="B27" s="178"/>
      <c r="C27" s="115">
        <f>SUM(C20:C26)</f>
        <v>0</v>
      </c>
      <c r="D27" s="115">
        <f>SUM(D20:D26)</f>
        <v>-581231</v>
      </c>
      <c r="E27" s="115">
        <f>SUM(E20:E26)</f>
        <v>-122670</v>
      </c>
      <c r="F27" s="115">
        <f>SUM(F20:F26)</f>
        <v>-703901</v>
      </c>
    </row>
    <row r="28" spans="1:11" ht="16.2" thickBot="1" x14ac:dyDescent="0.35">
      <c r="A28" s="113"/>
      <c r="B28" s="114"/>
      <c r="C28" s="115"/>
      <c r="D28" s="115"/>
      <c r="E28" s="115"/>
      <c r="F28" s="115"/>
    </row>
    <row r="29" spans="1:11" ht="16.2" thickBot="1" x14ac:dyDescent="0.35">
      <c r="A29" s="177" t="s">
        <v>165</v>
      </c>
      <c r="B29" s="178"/>
      <c r="C29" s="115">
        <f>C19+C27</f>
        <v>69000001.200000003</v>
      </c>
      <c r="D29" s="115">
        <f t="shared" ref="D29:F29" si="4">D19+D27</f>
        <v>32422081</v>
      </c>
      <c r="E29" s="115">
        <f t="shared" si="4"/>
        <v>6309894</v>
      </c>
      <c r="F29" s="115">
        <f t="shared" si="4"/>
        <v>38731975</v>
      </c>
    </row>
    <row r="30" spans="1:11" ht="15" thickBot="1" x14ac:dyDescent="0.35"/>
    <row r="31" spans="1:11" x14ac:dyDescent="0.3">
      <c r="H31" s="88"/>
      <c r="I31" s="75"/>
      <c r="J31" s="76"/>
      <c r="K31" s="77"/>
    </row>
    <row r="32" spans="1:11" x14ac:dyDescent="0.3">
      <c r="H32" s="89"/>
      <c r="I32" s="63"/>
      <c r="J32" s="64"/>
      <c r="K32" s="78"/>
    </row>
    <row r="33" spans="8:11" x14ac:dyDescent="0.3">
      <c r="H33" s="89"/>
      <c r="I33" s="63"/>
      <c r="J33" s="64"/>
      <c r="K33" s="78"/>
    </row>
    <row r="34" spans="8:11" x14ac:dyDescent="0.3">
      <c r="H34" s="89"/>
      <c r="I34" s="63"/>
      <c r="J34" s="64"/>
      <c r="K34" s="78"/>
    </row>
    <row r="35" spans="8:11" ht="18.600000000000001" thickBot="1" x14ac:dyDescent="0.4">
      <c r="H35" s="179"/>
      <c r="I35" s="180"/>
      <c r="J35" s="81"/>
      <c r="K35" s="81"/>
    </row>
  </sheetData>
  <mergeCells count="13">
    <mergeCell ref="A20:F20"/>
    <mergeCell ref="A27:B27"/>
    <mergeCell ref="A29:B29"/>
    <mergeCell ref="H35:I35"/>
    <mergeCell ref="A1:F1"/>
    <mergeCell ref="A2:D2"/>
    <mergeCell ref="A3:D3"/>
    <mergeCell ref="A5:A6"/>
    <mergeCell ref="B5:B6"/>
    <mergeCell ref="C5:C6"/>
    <mergeCell ref="D5:F5"/>
    <mergeCell ref="A7:F7"/>
    <mergeCell ref="A19:B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0DA0E-7CFA-41D3-BDEE-7292D59CD5CB}">
  <sheetPr codeName="Sheet5"/>
  <dimension ref="A1:F13"/>
  <sheetViews>
    <sheetView zoomScale="85" zoomScaleNormal="85" workbookViewId="0">
      <pane ySplit="5" topLeftCell="A6" activePane="bottomLeft" state="frozen"/>
      <selection pane="bottomLeft" activeCell="G16" sqref="G16"/>
    </sheetView>
  </sheetViews>
  <sheetFormatPr defaultRowHeight="14.4" x14ac:dyDescent="0.3"/>
  <cols>
    <col min="2" max="2" width="39.44140625" bestFit="1" customWidth="1"/>
    <col min="3" max="3" width="18.33203125" bestFit="1" customWidth="1"/>
    <col min="4" max="5" width="13.109375" customWidth="1"/>
    <col min="6" max="6" width="20.21875" bestFit="1" customWidth="1"/>
  </cols>
  <sheetData>
    <row r="1" spans="1:6" ht="46.8" customHeight="1" thickBot="1" x14ac:dyDescent="0.35">
      <c r="A1" s="152" t="s">
        <v>29</v>
      </c>
      <c r="B1" s="153"/>
      <c r="C1" s="153"/>
      <c r="D1" s="153"/>
      <c r="E1" s="153"/>
      <c r="F1" s="154"/>
    </row>
    <row r="2" spans="1:6" ht="29.4" customHeight="1" thickBot="1" x14ac:dyDescent="0.35">
      <c r="A2" s="171" t="s">
        <v>58</v>
      </c>
      <c r="B2" s="172"/>
      <c r="C2" s="172"/>
      <c r="D2" s="172"/>
      <c r="E2" s="172"/>
      <c r="F2" s="173"/>
    </row>
    <row r="3" spans="1:6" ht="7.8" customHeight="1" thickBot="1" x14ac:dyDescent="0.35">
      <c r="A3" s="158"/>
      <c r="B3" s="159"/>
      <c r="C3" s="159"/>
      <c r="D3" s="159"/>
      <c r="E3" s="159"/>
      <c r="F3" s="160"/>
    </row>
    <row r="4" spans="1:6" ht="43.2" customHeight="1" x14ac:dyDescent="0.3">
      <c r="A4" s="144" t="s">
        <v>0</v>
      </c>
      <c r="B4" s="144" t="s">
        <v>1</v>
      </c>
      <c r="C4" s="144" t="s">
        <v>3</v>
      </c>
      <c r="D4" s="144" t="s">
        <v>4</v>
      </c>
      <c r="E4" s="146" t="s">
        <v>51</v>
      </c>
      <c r="F4" s="146" t="s">
        <v>44</v>
      </c>
    </row>
    <row r="5" spans="1:6" ht="36.6" customHeight="1" thickBot="1" x14ac:dyDescent="0.35">
      <c r="A5" s="145"/>
      <c r="B5" s="145"/>
      <c r="C5" s="145"/>
      <c r="D5" s="145"/>
      <c r="E5" s="147"/>
      <c r="F5" s="147"/>
    </row>
    <row r="6" spans="1:6" x14ac:dyDescent="0.3">
      <c r="A6" s="8">
        <v>1</v>
      </c>
      <c r="B6" s="4" t="s">
        <v>57</v>
      </c>
      <c r="C6" s="4">
        <v>1001</v>
      </c>
      <c r="D6" s="36">
        <v>45940</v>
      </c>
      <c r="E6" s="37">
        <v>489940</v>
      </c>
      <c r="F6" s="41">
        <f>E6</f>
        <v>489940</v>
      </c>
    </row>
    <row r="7" spans="1:6" x14ac:dyDescent="0.3">
      <c r="A7" s="8">
        <v>2</v>
      </c>
      <c r="B7" s="4" t="s">
        <v>57</v>
      </c>
      <c r="C7" s="8">
        <v>1003</v>
      </c>
      <c r="D7" s="38">
        <v>46004</v>
      </c>
      <c r="E7" s="40">
        <v>662915</v>
      </c>
      <c r="F7" s="41">
        <f>E7</f>
        <v>662915</v>
      </c>
    </row>
    <row r="8" spans="1:6" x14ac:dyDescent="0.3">
      <c r="A8" s="8">
        <v>3</v>
      </c>
      <c r="B8" s="4" t="s">
        <v>57</v>
      </c>
      <c r="C8" s="8">
        <v>1004</v>
      </c>
      <c r="D8" s="38">
        <v>46029</v>
      </c>
      <c r="E8" s="40">
        <v>421218</v>
      </c>
      <c r="F8" s="41">
        <f t="shared" ref="F8:F12" si="0">E8</f>
        <v>421218</v>
      </c>
    </row>
    <row r="9" spans="1:6" x14ac:dyDescent="0.3">
      <c r="A9" s="8">
        <v>4</v>
      </c>
      <c r="B9" s="4" t="s">
        <v>57</v>
      </c>
      <c r="C9" s="8">
        <v>1005</v>
      </c>
      <c r="D9" s="38">
        <v>46072</v>
      </c>
      <c r="E9" s="40">
        <v>295226.25</v>
      </c>
      <c r="F9" s="41">
        <f t="shared" si="0"/>
        <v>295226.25</v>
      </c>
    </row>
    <row r="10" spans="1:6" x14ac:dyDescent="0.3">
      <c r="A10" s="8">
        <v>5</v>
      </c>
      <c r="B10" s="4" t="s">
        <v>57</v>
      </c>
      <c r="C10" s="21">
        <v>1006</v>
      </c>
      <c r="D10" s="38">
        <v>46108</v>
      </c>
      <c r="E10" s="40">
        <v>655435</v>
      </c>
      <c r="F10" s="41">
        <f t="shared" si="0"/>
        <v>655435</v>
      </c>
    </row>
    <row r="11" spans="1:6" x14ac:dyDescent="0.3">
      <c r="A11" s="8">
        <v>6</v>
      </c>
      <c r="B11" s="4" t="s">
        <v>57</v>
      </c>
      <c r="C11" s="21">
        <v>1007</v>
      </c>
      <c r="D11" s="38">
        <v>46119</v>
      </c>
      <c r="E11" s="40">
        <v>796386</v>
      </c>
      <c r="F11" s="41">
        <f t="shared" si="0"/>
        <v>796386</v>
      </c>
    </row>
    <row r="12" spans="1:6" ht="15" thickBot="1" x14ac:dyDescent="0.35">
      <c r="A12" s="8">
        <v>7</v>
      </c>
      <c r="B12" s="4" t="s">
        <v>57</v>
      </c>
      <c r="C12" s="13">
        <v>1009</v>
      </c>
      <c r="D12" s="38">
        <v>46202</v>
      </c>
      <c r="E12" s="40">
        <v>975205</v>
      </c>
      <c r="F12" s="41">
        <f t="shared" si="0"/>
        <v>975205</v>
      </c>
    </row>
    <row r="13" spans="1:6" ht="30" customHeight="1" thickBot="1" x14ac:dyDescent="0.5">
      <c r="A13" s="138" t="s">
        <v>28</v>
      </c>
      <c r="B13" s="139"/>
      <c r="C13" s="139"/>
      <c r="D13" s="139"/>
      <c r="E13" s="27"/>
      <c r="F13" s="39">
        <f>SUM(F6:F12)</f>
        <v>4296325.25</v>
      </c>
    </row>
  </sheetData>
  <mergeCells count="10">
    <mergeCell ref="A13:D13"/>
    <mergeCell ref="A1:F1"/>
    <mergeCell ref="A2:F2"/>
    <mergeCell ref="A3:F3"/>
    <mergeCell ref="A4:A5"/>
    <mergeCell ref="B4:B5"/>
    <mergeCell ref="C4:C5"/>
    <mergeCell ref="D4:D5"/>
    <mergeCell ref="E4:E5"/>
    <mergeCell ref="F4: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DD2D-3A17-4A6A-8324-B16117095F7E}">
  <sheetPr codeName="Sheet7"/>
  <dimension ref="A1:J19"/>
  <sheetViews>
    <sheetView zoomScale="85" zoomScaleNormal="85" workbookViewId="0">
      <pane ySplit="5" topLeftCell="A6" activePane="bottomLeft" state="frozen"/>
      <selection pane="bottomLeft" activeCell="I19" sqref="I19"/>
    </sheetView>
  </sheetViews>
  <sheetFormatPr defaultRowHeight="14.4" x14ac:dyDescent="0.3"/>
  <cols>
    <col min="2" max="2" width="11.88671875" customWidth="1"/>
    <col min="3" max="3" width="70.5546875" customWidth="1"/>
    <col min="4" max="4" width="14.6640625" bestFit="1" customWidth="1"/>
    <col min="5" max="5" width="15" bestFit="1" customWidth="1"/>
    <col min="6" max="6" width="20.21875" bestFit="1" customWidth="1"/>
    <col min="7" max="7" width="14.6640625" bestFit="1" customWidth="1"/>
    <col min="8" max="8" width="14.6640625" customWidth="1"/>
    <col min="9" max="9" width="45.88671875" bestFit="1" customWidth="1"/>
    <col min="10" max="10" width="18.44140625" bestFit="1" customWidth="1"/>
  </cols>
  <sheetData>
    <row r="1" spans="1:10" ht="46.8" customHeight="1" x14ac:dyDescent="0.3">
      <c r="A1" s="200" t="s">
        <v>29</v>
      </c>
      <c r="B1" s="201"/>
      <c r="C1" s="201"/>
      <c r="D1" s="201"/>
      <c r="E1" s="201"/>
      <c r="F1" s="201"/>
      <c r="G1" s="201"/>
      <c r="H1" s="201"/>
      <c r="I1" s="201"/>
      <c r="J1" s="201"/>
    </row>
    <row r="2" spans="1:10" ht="29.4" customHeight="1" x14ac:dyDescent="0.3">
      <c r="A2" s="202" t="s">
        <v>174</v>
      </c>
      <c r="B2" s="203"/>
      <c r="C2" s="203"/>
      <c r="D2" s="203"/>
      <c r="E2" s="203"/>
      <c r="F2" s="203"/>
      <c r="G2" s="203"/>
      <c r="H2" s="203"/>
      <c r="I2" s="203"/>
      <c r="J2" s="203"/>
    </row>
    <row r="3" spans="1:10" ht="7.8" customHeight="1" thickBot="1" x14ac:dyDescent="0.35">
      <c r="A3" s="204"/>
      <c r="B3" s="205"/>
      <c r="C3" s="205"/>
      <c r="D3" s="205"/>
      <c r="E3" s="205"/>
      <c r="F3" s="205"/>
      <c r="G3" s="205"/>
      <c r="H3" s="205"/>
      <c r="I3" s="205"/>
      <c r="J3" s="205"/>
    </row>
    <row r="4" spans="1:10" ht="43.2" customHeight="1" x14ac:dyDescent="0.3">
      <c r="A4" s="144" t="s">
        <v>0</v>
      </c>
      <c r="B4" s="146" t="s">
        <v>5</v>
      </c>
      <c r="C4" s="144" t="s">
        <v>1</v>
      </c>
      <c r="D4" s="144" t="s">
        <v>3</v>
      </c>
      <c r="E4" s="144" t="s">
        <v>4</v>
      </c>
      <c r="F4" s="146" t="s">
        <v>44</v>
      </c>
      <c r="G4" s="146" t="s">
        <v>200</v>
      </c>
      <c r="H4" s="146" t="s">
        <v>201</v>
      </c>
      <c r="I4" s="146" t="s">
        <v>178</v>
      </c>
      <c r="J4" s="146" t="s">
        <v>179</v>
      </c>
    </row>
    <row r="5" spans="1:10" ht="36.6" customHeight="1" thickBot="1" x14ac:dyDescent="0.35">
      <c r="A5" s="145"/>
      <c r="B5" s="147"/>
      <c r="C5" s="145"/>
      <c r="D5" s="145"/>
      <c r="E5" s="145"/>
      <c r="F5" s="147"/>
      <c r="G5" s="147"/>
      <c r="H5" s="147"/>
      <c r="I5" s="147"/>
      <c r="J5" s="147"/>
    </row>
    <row r="6" spans="1:10" x14ac:dyDescent="0.3">
      <c r="A6" s="28">
        <v>1</v>
      </c>
      <c r="B6" s="29">
        <v>46157</v>
      </c>
      <c r="C6" s="28" t="s">
        <v>176</v>
      </c>
      <c r="D6" s="29" t="s">
        <v>175</v>
      </c>
      <c r="E6" s="29">
        <f>B6</f>
        <v>46157</v>
      </c>
      <c r="F6" s="84">
        <v>1726416</v>
      </c>
      <c r="G6" s="84">
        <f>F6*18%</f>
        <v>310754.88</v>
      </c>
      <c r="H6" s="84"/>
      <c r="I6" s="84">
        <f>F6*10%</f>
        <v>172641.6</v>
      </c>
      <c r="J6" s="84">
        <f>F6+G6+H6-I6</f>
        <v>1864529.2799999998</v>
      </c>
    </row>
    <row r="7" spans="1:10" x14ac:dyDescent="0.3">
      <c r="A7" s="28">
        <v>2</v>
      </c>
      <c r="B7" s="29">
        <v>46168</v>
      </c>
      <c r="C7" s="28" t="s">
        <v>176</v>
      </c>
      <c r="D7" s="29" t="s">
        <v>177</v>
      </c>
      <c r="E7" s="29">
        <f t="shared" ref="E7:E11" si="0">B7</f>
        <v>46168</v>
      </c>
      <c r="F7" s="84">
        <v>788000</v>
      </c>
      <c r="G7" s="84">
        <f t="shared" ref="G7:G8" si="1">F7*18%</f>
        <v>141840</v>
      </c>
      <c r="H7" s="84"/>
      <c r="I7" s="84">
        <f t="shared" ref="I7:I8" si="2">F7*10%</f>
        <v>78800</v>
      </c>
      <c r="J7" s="84">
        <f t="shared" ref="J7:J11" si="3">F7+G7+H7-I7</f>
        <v>851040</v>
      </c>
    </row>
    <row r="8" spans="1:10" x14ac:dyDescent="0.3">
      <c r="A8" s="28">
        <v>3</v>
      </c>
      <c r="B8" s="29">
        <v>46168</v>
      </c>
      <c r="C8" s="28" t="s">
        <v>176</v>
      </c>
      <c r="D8" s="29" t="s">
        <v>177</v>
      </c>
      <c r="E8" s="29">
        <f t="shared" si="0"/>
        <v>46168</v>
      </c>
      <c r="F8" s="84">
        <v>501079.25</v>
      </c>
      <c r="G8" s="84">
        <f t="shared" si="1"/>
        <v>90194.264999999999</v>
      </c>
      <c r="H8" s="84"/>
      <c r="I8" s="84">
        <f t="shared" si="2"/>
        <v>50107.925000000003</v>
      </c>
      <c r="J8" s="84">
        <f t="shared" si="3"/>
        <v>541165.59</v>
      </c>
    </row>
    <row r="9" spans="1:10" x14ac:dyDescent="0.3">
      <c r="A9" s="28">
        <v>4</v>
      </c>
      <c r="B9" s="29">
        <v>46185</v>
      </c>
      <c r="C9" s="28" t="s">
        <v>176</v>
      </c>
      <c r="D9" s="29" t="s">
        <v>198</v>
      </c>
      <c r="E9" s="29">
        <f t="shared" si="0"/>
        <v>46185</v>
      </c>
      <c r="F9" s="84">
        <v>237696</v>
      </c>
      <c r="G9" s="84">
        <f>F9*18%</f>
        <v>42785.279999999999</v>
      </c>
      <c r="H9" s="84"/>
      <c r="I9" s="84">
        <f t="shared" ref="I9:I11" si="4">F9*10%</f>
        <v>23769.600000000002</v>
      </c>
      <c r="J9" s="84">
        <f t="shared" si="3"/>
        <v>256711.68000000002</v>
      </c>
    </row>
    <row r="10" spans="1:10" x14ac:dyDescent="0.3">
      <c r="A10" s="28">
        <v>5</v>
      </c>
      <c r="B10" s="29">
        <v>46185</v>
      </c>
      <c r="C10" s="28" t="s">
        <v>176</v>
      </c>
      <c r="D10" s="29" t="s">
        <v>198</v>
      </c>
      <c r="E10" s="29">
        <f t="shared" si="0"/>
        <v>46185</v>
      </c>
      <c r="F10" s="84">
        <v>139776</v>
      </c>
      <c r="G10" s="84"/>
      <c r="H10" s="84">
        <f>F10*5%</f>
        <v>6988.8</v>
      </c>
      <c r="I10" s="84">
        <f t="shared" si="4"/>
        <v>13977.6</v>
      </c>
      <c r="J10" s="84">
        <f t="shared" si="3"/>
        <v>132787.19999999998</v>
      </c>
    </row>
    <row r="11" spans="1:10" ht="15" thickBot="1" x14ac:dyDescent="0.35">
      <c r="A11" s="28">
        <v>6</v>
      </c>
      <c r="B11" s="29">
        <v>46196</v>
      </c>
      <c r="C11" s="28" t="s">
        <v>176</v>
      </c>
      <c r="D11" s="29" t="s">
        <v>199</v>
      </c>
      <c r="E11" s="29">
        <f t="shared" si="0"/>
        <v>46196</v>
      </c>
      <c r="F11" s="84">
        <v>891148.80000000005</v>
      </c>
      <c r="G11" s="84">
        <f t="shared" ref="G11" si="5">F11*18%</f>
        <v>160406.78400000001</v>
      </c>
      <c r="H11" s="84"/>
      <c r="I11" s="84">
        <f t="shared" si="4"/>
        <v>89114.880000000005</v>
      </c>
      <c r="J11" s="84">
        <f t="shared" si="3"/>
        <v>962440.70400000003</v>
      </c>
    </row>
    <row r="12" spans="1:10" ht="30" customHeight="1" thickBot="1" x14ac:dyDescent="0.5">
      <c r="A12" s="138" t="s">
        <v>28</v>
      </c>
      <c r="B12" s="139"/>
      <c r="C12" s="139"/>
      <c r="D12" s="139"/>
      <c r="E12" s="139"/>
      <c r="F12" s="39">
        <f>SUM(F6:F11)</f>
        <v>4284116.05</v>
      </c>
      <c r="G12" s="15"/>
      <c r="H12" s="15"/>
      <c r="I12" s="15"/>
      <c r="J12" s="15">
        <f>SUM(J6:J11)</f>
        <v>4608674.4539999999</v>
      </c>
    </row>
    <row r="14" spans="1:10" ht="14.4" customHeight="1" thickBot="1" x14ac:dyDescent="0.35">
      <c r="C14" s="82"/>
    </row>
    <row r="15" spans="1:10" ht="28.8" x14ac:dyDescent="0.3">
      <c r="C15" s="82"/>
      <c r="D15" s="88"/>
      <c r="E15" s="75"/>
      <c r="F15" s="76" t="s">
        <v>140</v>
      </c>
      <c r="G15" s="85"/>
      <c r="H15" s="85"/>
      <c r="I15" s="77" t="s">
        <v>141</v>
      </c>
    </row>
    <row r="16" spans="1:10" x14ac:dyDescent="0.3">
      <c r="C16" s="82"/>
      <c r="D16" s="89">
        <v>1</v>
      </c>
      <c r="E16" s="63" t="s">
        <v>180</v>
      </c>
      <c r="F16" s="64">
        <v>6532022.4000000004</v>
      </c>
      <c r="G16" s="86"/>
      <c r="H16" s="86"/>
      <c r="I16" s="78">
        <f>F16*1.18</f>
        <v>7707786.432</v>
      </c>
    </row>
    <row r="17" spans="3:9" x14ac:dyDescent="0.3">
      <c r="C17" s="82"/>
      <c r="D17" s="89">
        <v>2</v>
      </c>
      <c r="E17" s="63" t="s">
        <v>143</v>
      </c>
      <c r="F17" s="64">
        <f>F12</f>
        <v>4284116.05</v>
      </c>
      <c r="G17" s="86"/>
      <c r="H17" s="86"/>
      <c r="I17" s="78">
        <f>F17*1.18</f>
        <v>5055256.9389999993</v>
      </c>
    </row>
    <row r="18" spans="3:9" x14ac:dyDescent="0.3">
      <c r="C18" s="82"/>
      <c r="D18" s="89"/>
      <c r="E18" s="63"/>
      <c r="F18" s="64"/>
      <c r="G18" s="86"/>
      <c r="H18" s="86"/>
      <c r="I18" s="78"/>
    </row>
    <row r="19" spans="3:9" ht="18.600000000000001" thickBot="1" x14ac:dyDescent="0.4">
      <c r="C19" s="82"/>
      <c r="D19" s="90"/>
      <c r="E19" s="198" t="s">
        <v>181</v>
      </c>
      <c r="F19" s="199"/>
      <c r="G19" s="87"/>
      <c r="H19" s="87"/>
      <c r="I19" s="81">
        <f>I16-I17</f>
        <v>2652529.4930000007</v>
      </c>
    </row>
  </sheetData>
  <mergeCells count="15">
    <mergeCell ref="G4:G5"/>
    <mergeCell ref="J4:J5"/>
    <mergeCell ref="A1:J1"/>
    <mergeCell ref="A2:J2"/>
    <mergeCell ref="A3:J3"/>
    <mergeCell ref="I4:I5"/>
    <mergeCell ref="H4:H5"/>
    <mergeCell ref="E19:F19"/>
    <mergeCell ref="A4:A5"/>
    <mergeCell ref="B4:B5"/>
    <mergeCell ref="C4:C5"/>
    <mergeCell ref="D4:D5"/>
    <mergeCell ref="E4:E5"/>
    <mergeCell ref="F4:F5"/>
    <mergeCell ref="A12:E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PEB Supply Material </vt:lpstr>
      <vt:lpstr>PEB ERECTION </vt:lpstr>
      <vt:lpstr>CIVIL RA Bill</vt:lpstr>
      <vt:lpstr>Summary Civil</vt:lpstr>
      <vt:lpstr>CIVIL STEEL </vt:lpstr>
      <vt:lpstr>Karmasth Fire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Info</cp:lastModifiedBy>
  <dcterms:created xsi:type="dcterms:W3CDTF">2015-06-05T18:17:20Z</dcterms:created>
  <dcterms:modified xsi:type="dcterms:W3CDTF">2026-07-09T09:07:01Z</dcterms:modified>
</cp:coreProperties>
</file>