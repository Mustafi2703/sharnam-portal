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D:\Sharnam II\"/>
    </mc:Choice>
  </mc:AlternateContent>
  <xr:revisionPtr revIDLastSave="0" documentId="13_ncr:1_{90DEA968-E120-4930-91D6-683D449A1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4" r:id="rId1"/>
    <sheet name="Master Drawing Register" sheetId="1" r:id="rId2"/>
    <sheet name="Drawing Register - Client" sheetId="5" r:id="rId3"/>
    <sheet name="Input" sheetId="6" r:id="rId4"/>
  </sheets>
  <definedNames>
    <definedName name="_xlnm._FilterDatabase" localSheetId="1" hidden="1">'Master Drawing Register'!$B$6:$U$47</definedName>
    <definedName name="_xlnm.Print_Area" localSheetId="2">'Drawing Register - Client'!$A$1:$N$51</definedName>
  </definedNames>
  <calcPr calcId="191029"/>
  <pivotCaches>
    <pivotCache cacheId="7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16" i="5" l="1"/>
  <c r="A22" i="5" s="1"/>
  <c r="A28" i="5" s="1"/>
  <c r="A34" i="5" s="1"/>
  <c r="A40" i="5" s="1"/>
  <c r="A46" i="5" s="1"/>
  <c r="A10" i="5"/>
</calcChain>
</file>

<file path=xl/sharedStrings.xml><?xml version="1.0" encoding="utf-8"?>
<sst xmlns="http://schemas.openxmlformats.org/spreadsheetml/2006/main" count="735" uniqueCount="205">
  <si>
    <t>Discipline</t>
  </si>
  <si>
    <t>Drawing Number</t>
  </si>
  <si>
    <t>Drawing Title</t>
  </si>
  <si>
    <t>Drawing Type</t>
  </si>
  <si>
    <t>Revision Number</t>
  </si>
  <si>
    <t>Revision Date</t>
  </si>
  <si>
    <t>Revision Description</t>
  </si>
  <si>
    <t>Planned Submission Date</t>
  </si>
  <si>
    <t>Actual Submission Date</t>
  </si>
  <si>
    <t>Submission Delay (Days)</t>
  </si>
  <si>
    <t>Delay Responsibility</t>
  </si>
  <si>
    <t>Issued To</t>
  </si>
  <si>
    <t>Issue Date</t>
  </si>
  <si>
    <t>No. of Copies</t>
  </si>
  <si>
    <t>Remarks</t>
  </si>
  <si>
    <t>Package A</t>
  </si>
  <si>
    <t>Tower 1</t>
  </si>
  <si>
    <t>Architecture</t>
  </si>
  <si>
    <t>AR-101</t>
  </si>
  <si>
    <t>Typical Floor Plan</t>
  </si>
  <si>
    <t>Design Consultants Ltd</t>
  </si>
  <si>
    <t>R2</t>
  </si>
  <si>
    <t>2025-01-10</t>
  </si>
  <si>
    <t>Revised layout as per client comments</t>
  </si>
  <si>
    <t>Yes</t>
  </si>
  <si>
    <t>2025-01-05</t>
  </si>
  <si>
    <t>2025-01-03</t>
  </si>
  <si>
    <t>Consultant</t>
  </si>
  <si>
    <t>Main Contractor</t>
  </si>
  <si>
    <t>2025-01-16</t>
  </si>
  <si>
    <t>Issued to site</t>
  </si>
  <si>
    <t>Structural</t>
  </si>
  <si>
    <t>ST-201</t>
  </si>
  <si>
    <t>Footing Layout Basement</t>
  </si>
  <si>
    <t>Shop Drawing</t>
  </si>
  <si>
    <t>Structural Consultants Ltd</t>
  </si>
  <si>
    <t>R1</t>
  </si>
  <si>
    <t>2025-01-12</t>
  </si>
  <si>
    <t>Initial submission</t>
  </si>
  <si>
    <t>2025-01-08</t>
  </si>
  <si>
    <t>PMC / Client</t>
  </si>
  <si>
    <t>Critical for foundation work</t>
  </si>
  <si>
    <t>Consultant Name</t>
  </si>
  <si>
    <t>Project Package</t>
  </si>
  <si>
    <t xml:space="preserve">Building </t>
  </si>
  <si>
    <t xml:space="preserve">Site Drawing Register </t>
  </si>
  <si>
    <t>DETAILS OF DRAWING</t>
  </si>
  <si>
    <t>DRAWING NOMBER</t>
  </si>
  <si>
    <t>RECEIVE &amp; ISSUE DETAILS</t>
  </si>
  <si>
    <t>DRAWING REVISION</t>
  </si>
  <si>
    <t>RO</t>
  </si>
  <si>
    <t>R3</t>
  </si>
  <si>
    <t>R4</t>
  </si>
  <si>
    <t>R5</t>
  </si>
  <si>
    <t>R6</t>
  </si>
  <si>
    <t>Receiver Signature</t>
  </si>
  <si>
    <t>Date of Receiving</t>
  </si>
  <si>
    <t>Total Copied Received</t>
  </si>
  <si>
    <t>Issued to Contractor</t>
  </si>
  <si>
    <t>Issued to Client</t>
  </si>
  <si>
    <t>SR. NO</t>
  </si>
  <si>
    <t>Latest Revision</t>
  </si>
  <si>
    <t>No</t>
  </si>
  <si>
    <t>Concept Drawings</t>
  </si>
  <si>
    <t>Schematic Drawings</t>
  </si>
  <si>
    <t>Tender Drawings</t>
  </si>
  <si>
    <t>Detailed Design (DD) Drawings</t>
  </si>
  <si>
    <t>Good For Construction (GFC)</t>
  </si>
  <si>
    <t>MEPF</t>
  </si>
  <si>
    <t>Contractor</t>
  </si>
  <si>
    <t>PMC</t>
  </si>
  <si>
    <t>Architecture Consultant</t>
  </si>
  <si>
    <t xml:space="preserve">Strcutural Consultant </t>
  </si>
  <si>
    <t>MEPF Consultant</t>
  </si>
  <si>
    <t xml:space="preserve">BIM Consultant </t>
  </si>
  <si>
    <t>Initial issue</t>
  </si>
  <si>
    <t>—</t>
  </si>
  <si>
    <t>AR-103</t>
  </si>
  <si>
    <t>Staircase Details</t>
  </si>
  <si>
    <t>R0</t>
  </si>
  <si>
    <t>Under review earlier</t>
  </si>
  <si>
    <t>ST-202</t>
  </si>
  <si>
    <t>Column Layout Basement</t>
  </si>
  <si>
    <t>Revised grid alignment</t>
  </si>
  <si>
    <t>ST-203</t>
  </si>
  <si>
    <t>Beam Reinforcement Details</t>
  </si>
  <si>
    <t>Under approval</t>
  </si>
  <si>
    <t>MEP-301</t>
  </si>
  <si>
    <t>HVAC Layout Typical Floor</t>
  </si>
  <si>
    <t>MEP Design Associates</t>
  </si>
  <si>
    <t>Revised routing</t>
  </si>
  <si>
    <t>MEP-302</t>
  </si>
  <si>
    <t>Electrical Lighting Layout</t>
  </si>
  <si>
    <t>Revised lighting levels</t>
  </si>
  <si>
    <t>MEP-303</t>
  </si>
  <si>
    <t>Plumbing Typical Floor</t>
  </si>
  <si>
    <t>Tower 2</t>
  </si>
  <si>
    <t>AR-201</t>
  </si>
  <si>
    <t>Under review</t>
  </si>
  <si>
    <t>AR-202</t>
  </si>
  <si>
    <t>Elevation North Side</t>
  </si>
  <si>
    <t>Revised façade treatment</t>
  </si>
  <si>
    <t>ST-301</t>
  </si>
  <si>
    <t>Foundation Layout</t>
  </si>
  <si>
    <t>Critical activity</t>
  </si>
  <si>
    <t>ST-302</t>
  </si>
  <si>
    <t>Slab Reinforcement</t>
  </si>
  <si>
    <t>MEP-401</t>
  </si>
  <si>
    <t>Fire Fighting Layout</t>
  </si>
  <si>
    <t>Fire NOC related</t>
  </si>
  <si>
    <t>Package B</t>
  </si>
  <si>
    <t>Tower 3</t>
  </si>
  <si>
    <t>AR-301</t>
  </si>
  <si>
    <t>Revised after site feedback</t>
  </si>
  <si>
    <t>AR-302</t>
  </si>
  <si>
    <t>ST-401</t>
  </si>
  <si>
    <t>Column Layout Typical</t>
  </si>
  <si>
    <t>ST-402</t>
  </si>
  <si>
    <t>Beam Layout Typical</t>
  </si>
  <si>
    <t>MEP-501</t>
  </si>
  <si>
    <t>Electrical Riser Diagram</t>
  </si>
  <si>
    <t>MEP-502</t>
  </si>
  <si>
    <t>Plumbing Riser Diagram</t>
  </si>
  <si>
    <t>MEP-503</t>
  </si>
  <si>
    <t>HVAC Shaft Layout</t>
  </si>
  <si>
    <t>Coordination required</t>
  </si>
  <si>
    <t>Package C</t>
  </si>
  <si>
    <t>AR-401</t>
  </si>
  <si>
    <t>Revised after coordination</t>
  </si>
  <si>
    <t>Delayed due to coordination changes</t>
  </si>
  <si>
    <t>ST-501</t>
  </si>
  <si>
    <t>Revised footing sizes</t>
  </si>
  <si>
    <t>Structural Consultant</t>
  </si>
  <si>
    <t>Critical foundation drawing</t>
  </si>
  <si>
    <t>MEP-601</t>
  </si>
  <si>
    <t>HVAC Typical Floor</t>
  </si>
  <si>
    <t>MEPF Design Associates</t>
  </si>
  <si>
    <t>Revised duct routing</t>
  </si>
  <si>
    <t>Coordination driven delay</t>
  </si>
  <si>
    <t>AR-402</t>
  </si>
  <si>
    <t>Elevation East Side</t>
  </si>
  <si>
    <t>Facade design updated</t>
  </si>
  <si>
    <t>Client-driven revision</t>
  </si>
  <si>
    <t>ST-502</t>
  </si>
  <si>
    <t>Grid updated as per arch</t>
  </si>
  <si>
    <t>Delay due to arch inputs</t>
  </si>
  <si>
    <t>MEP-602</t>
  </si>
  <si>
    <t>Electrical Layout Typical</t>
  </si>
  <si>
    <t>Load recalculation done</t>
  </si>
  <si>
    <t>AR-403</t>
  </si>
  <si>
    <t>Minor detailing changes</t>
  </si>
  <si>
    <t>ST-503</t>
  </si>
  <si>
    <t>Beam Reinforcement</t>
  </si>
  <si>
    <t>Delayed reinforcement inputs</t>
  </si>
  <si>
    <t>MEP-603</t>
  </si>
  <si>
    <t>Plumbing Layout Typical</t>
  </si>
  <si>
    <t>Revised pipe routing</t>
  </si>
  <si>
    <t>Tower 4</t>
  </si>
  <si>
    <t>AR-404</t>
  </si>
  <si>
    <t>Refuge Floor Plan</t>
  </si>
  <si>
    <t>Code compliance update</t>
  </si>
  <si>
    <t>Statutory driven delay</t>
  </si>
  <si>
    <t>Package D</t>
  </si>
  <si>
    <t>ST-601</t>
  </si>
  <si>
    <t>Revised soil parameters</t>
  </si>
  <si>
    <t>Soil report revision</t>
  </si>
  <si>
    <t>MEP-701</t>
  </si>
  <si>
    <t>Revised fire zoning</t>
  </si>
  <si>
    <t>Fire NOC comments</t>
  </si>
  <si>
    <t>AR-501</t>
  </si>
  <si>
    <t>Updated flat layouts</t>
  </si>
  <si>
    <t>Client revision impact</t>
  </si>
  <si>
    <t>ST-602</t>
  </si>
  <si>
    <t>Delayed due to load changes</t>
  </si>
  <si>
    <t>MEP-702</t>
  </si>
  <si>
    <t>Coordination pending</t>
  </si>
  <si>
    <t>AR-502</t>
  </si>
  <si>
    <t>Elevation West Side</t>
  </si>
  <si>
    <t>Facade redesign</t>
  </si>
  <si>
    <t>Major design change</t>
  </si>
  <si>
    <t>ST-603</t>
  </si>
  <si>
    <t>Grid revised</t>
  </si>
  <si>
    <t>Coordination delay</t>
  </si>
  <si>
    <t>MEP-703</t>
  </si>
  <si>
    <t>Load balancing update</t>
  </si>
  <si>
    <t>Tower 5</t>
  </si>
  <si>
    <t>AR-503</t>
  </si>
  <si>
    <t>Refuge Area Details</t>
  </si>
  <si>
    <t>Code update applied</t>
  </si>
  <si>
    <t>Fire authority driven</t>
  </si>
  <si>
    <t>ST-604</t>
  </si>
  <si>
    <t>Beam Layout Roof</t>
  </si>
  <si>
    <t>Revised reinforcement</t>
  </si>
  <si>
    <t>Roof load revision</t>
  </si>
  <si>
    <t xml:space="preserve">Critical Drawing </t>
  </si>
  <si>
    <t xml:space="preserve">Master Drawing Register </t>
  </si>
  <si>
    <t>Sum of Submission Delay (Days)</t>
  </si>
  <si>
    <t>Sr #</t>
  </si>
  <si>
    <t>Count of Sr #</t>
  </si>
  <si>
    <t>Drawing Register Dashboard - Week #</t>
  </si>
  <si>
    <t>Note:</t>
  </si>
  <si>
    <t>Date</t>
  </si>
  <si>
    <t>Descipline</t>
  </si>
  <si>
    <t xml:space="preserve">Drawing Register Client: This need to use to track the Final Drawing and it's revision only </t>
  </si>
  <si>
    <t>Master Drawing Register:  Backend detailed report for all the Drawings which is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</si>
</sst>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22"/>
      <color theme="1"/>
      <name val="Arial"/>
      <family val="2"/>
    </font>
    <font>
      <sz val="1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4" fillId="0" borderId="6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8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Border="1"/>
    <xf numFmtId="0" fontId="5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9" xfId="0" applyBorder="1"/>
    <xf numFmtId="0" fontId="0" fillId="0" borderId="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14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5" borderId="10" xfId="0" applyFill="1" applyBorder="1"/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0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[DRAWING REGISTER - 01.xlsx]Dashboard!PivotTable31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 wise Drawings Submitted Week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Dashboard!$A$108:$B$121</c:f>
              <c:multiLvlStrCache>
                <c:ptCount val="14"/>
                <c:lvl>
                  <c:pt idx="0">
                    <c:v>Architecture</c:v>
                  </c:pt>
                  <c:pt idx="1">
                    <c:v>MEPF</c:v>
                  </c:pt>
                  <c:pt idx="2">
                    <c:v>Structural</c:v>
                  </c:pt>
                  <c:pt idx="3">
                    <c:v>Architecture</c:v>
                  </c:pt>
                  <c:pt idx="4">
                    <c:v>MEPF</c:v>
                  </c:pt>
                  <c:pt idx="5">
                    <c:v>Structural</c:v>
                  </c:pt>
                  <c:pt idx="6">
                    <c:v>Architecture</c:v>
                  </c:pt>
                  <c:pt idx="7">
                    <c:v>MEPF</c:v>
                  </c:pt>
                  <c:pt idx="8">
                    <c:v>Structural</c:v>
                  </c:pt>
                  <c:pt idx="9">
                    <c:v>Architecture</c:v>
                  </c:pt>
                  <c:pt idx="10">
                    <c:v>MEPF</c:v>
                  </c:pt>
                  <c:pt idx="11">
                    <c:v>Structural</c:v>
                  </c:pt>
                  <c:pt idx="12">
                    <c:v>Architecture</c:v>
                  </c:pt>
                  <c:pt idx="13">
                    <c:v>Structural</c:v>
                  </c:pt>
                </c:lvl>
                <c:lvl>
                  <c:pt idx="0">
                    <c:v>Tower 1</c:v>
                  </c:pt>
                  <c:pt idx="3">
                    <c:v>Tower 2</c:v>
                  </c:pt>
                  <c:pt idx="6">
                    <c:v>Tower 3</c:v>
                  </c:pt>
                  <c:pt idx="9">
                    <c:v>Tower 4</c:v>
                  </c:pt>
                  <c:pt idx="12">
                    <c:v>Tower 5</c:v>
                  </c:pt>
                </c:lvl>
              </c:multiLvlStrCache>
            </c:multiLvlStrRef>
          </c:cat>
          <c:val>
            <c:numRef>
              <c:f>Dashboard!$C$108:$C$121</c:f>
              <c:numCache>
                <c:formatCode>General</c:formatCode>
                <c:ptCount val="14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2-42D0-96A2-19FE95D5111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300992"/>
        <c:axId val="865305672"/>
      </c:barChart>
      <c:catAx>
        <c:axId val="86530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5672"/>
        <c:crosses val="autoZero"/>
        <c:auto val="1"/>
        <c:lblAlgn val="ctr"/>
        <c:lblOffset val="100"/>
        <c:noMultiLvlLbl val="0"/>
      </c:catAx>
      <c:valAx>
        <c:axId val="86530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009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[DRAWING REGISTER - 01.xlsx]Dashboard!PivotTable32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Drawings Submitted Week #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206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6.7447858025976359E-2"/>
              <c:y val="-7.37208893590055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9.9822829878445152E-2"/>
              <c:y val="7.3720889359005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5.3958286420781161E-2"/>
              <c:y val="0.110581334038508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8.0937429631171745E-2"/>
              <c:y val="-6.96252843946163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Dashboard!$F$107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1B2-44AD-B796-2DBDA29C8659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1B2-44AD-B796-2DBDA29C8659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1B2-44AD-B796-2DBDA29C8659}"/>
              </c:ext>
            </c:extLst>
          </c:dPt>
          <c:dLbls>
            <c:dLbl>
              <c:idx val="0"/>
              <c:layout>
                <c:manualLayout>
                  <c:x val="6.7447858025976359E-2"/>
                  <c:y val="-7.37208893590055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B2-44AD-B796-2DBDA29C8659}"/>
                </c:ext>
              </c:extLst>
            </c:dLbl>
            <c:dLbl>
              <c:idx val="1"/>
              <c:layout>
                <c:manualLayout>
                  <c:x val="-5.3958286420781161E-2"/>
                  <c:y val="0.1105813340385083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B2-44AD-B796-2DBDA29C8659}"/>
                </c:ext>
              </c:extLst>
            </c:dLbl>
            <c:dLbl>
              <c:idx val="2"/>
              <c:layout>
                <c:manualLayout>
                  <c:x val="-8.0937429631171745E-2"/>
                  <c:y val="-6.96252843946163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B2-44AD-B796-2DBDA29C8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Dashboard!$E$108:$E$110</c:f>
              <c:strCache>
                <c:ptCount val="3"/>
                <c:pt idx="0">
                  <c:v>Architecture</c:v>
                </c:pt>
                <c:pt idx="1">
                  <c:v>MEPF</c:v>
                </c:pt>
                <c:pt idx="2">
                  <c:v>Structural</c:v>
                </c:pt>
              </c:strCache>
            </c:strRef>
          </c:cat>
          <c:val>
            <c:numRef>
              <c:f>Dashboard!$F$108:$F$110</c:f>
              <c:numCache>
                <c:formatCode>General</c:formatCode>
                <c:ptCount val="3"/>
                <c:pt idx="0">
                  <c:v>13</c:v>
                </c:pt>
                <c:pt idx="1">
                  <c:v>13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B2-44AD-B796-2DBDA29C86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[DRAWING REGISTER - 01.xlsx]Dashboard!PivotTable33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Critical Drawings Week #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Dashboard!$I$107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B4-4223-99FB-5DE3F818A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Dashboard!$H$108:$H$109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Dashboard!$I$108:$I$109</c:f>
              <c:numCache>
                <c:formatCode>General</c:formatCode>
                <c:ptCount val="2"/>
                <c:pt idx="0">
                  <c:v>13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4-4223-99FB-5DE3F818AB5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[DRAWING REGISTER - 01.xlsx]Dashboard!PivotTable34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Submission Delay in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Dashboard!$B$127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Dashboard!$A$128:$A$132</c:f>
              <c:strCache>
                <c:ptCount val="5"/>
                <c:pt idx="0">
                  <c:v>Architecture Consultant</c:v>
                </c:pt>
                <c:pt idx="1">
                  <c:v>Consultant</c:v>
                </c:pt>
                <c:pt idx="2">
                  <c:v>MEPF Consultant</c:v>
                </c:pt>
                <c:pt idx="3">
                  <c:v>Strcutural Consultant </c:v>
                </c:pt>
                <c:pt idx="4">
                  <c:v>Structural Consultant</c:v>
                </c:pt>
              </c:strCache>
            </c:strRef>
          </c:cat>
          <c:val>
            <c:numRef>
              <c:f>Dashboard!$B$128:$B$132</c:f>
              <c:numCache>
                <c:formatCode>General</c:formatCode>
                <c:ptCount val="5"/>
                <c:pt idx="0">
                  <c:v>-32</c:v>
                </c:pt>
                <c:pt idx="1">
                  <c:v>-44</c:v>
                </c:pt>
                <c:pt idx="2">
                  <c:v>-19</c:v>
                </c:pt>
                <c:pt idx="3">
                  <c:v>-2</c:v>
                </c:pt>
                <c:pt idx="4">
                  <c:v>-31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0-46EE-ABC8-23E564D27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6386120"/>
        <c:axId val="916392240"/>
        <c:axId val="0"/>
      </c:bar3DChart>
      <c:catAx>
        <c:axId val="916386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92240"/>
        <c:crosses val="autoZero"/>
        <c:auto val="1"/>
        <c:lblAlgn val="ctr"/>
        <c:lblOffset val="100"/>
        <c:noMultiLvlLbl val="0"/>
      </c:catAx>
      <c:valAx>
        <c:axId val="9163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386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[DRAWING REGISTER - 01.xlsx]Dashboard!PivotTable39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Drawings submitted by Org - Week</a:t>
            </a:r>
            <a:r>
              <a:rPr lang="en-US" b="1" baseline="0"/>
              <a:t> #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Dashboard!$A$136:$A$139</c:f>
              <c:strCache>
                <c:ptCount val="4"/>
                <c:pt idx="0">
                  <c:v>Design Consultants Ltd</c:v>
                </c:pt>
                <c:pt idx="1">
                  <c:v>MEP Design Associates</c:v>
                </c:pt>
                <c:pt idx="2">
                  <c:v>MEPF Design Associates</c:v>
                </c:pt>
                <c:pt idx="3">
                  <c:v>Structural Consultants Ltd</c:v>
                </c:pt>
              </c:strCache>
            </c:strRef>
          </c:cat>
          <c:val>
            <c:numRef>
              <c:f>Dashboard!$B$136:$B$139</c:f>
              <c:numCache>
                <c:formatCode>General</c:formatCode>
                <c:ptCount val="4"/>
                <c:pt idx="0">
                  <c:v>13</c:v>
                </c:pt>
                <c:pt idx="1">
                  <c:v>7</c:v>
                </c:pt>
                <c:pt idx="2">
                  <c:v>6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0-475F-BD25-1EC223EB7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553392"/>
        <c:axId val="855553032"/>
      </c:barChart>
      <c:catAx>
        <c:axId val="85555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553032"/>
        <c:crosses val="autoZero"/>
        <c:auto val="1"/>
        <c:lblAlgn val="ctr"/>
        <c:lblOffset val="100"/>
        <c:noMultiLvlLbl val="0"/>
      </c:catAx>
      <c:valAx>
        <c:axId val="85555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55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54935</xdr:rowOff>
    </xdr:from>
    <xdr:to>
      <xdr:col>9</xdr:col>
      <xdr:colOff>164122</xdr:colOff>
      <xdr:row>50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1C843-4E53-26C6-A34B-898F3DD3B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223526</xdr:colOff>
      <xdr:row>24</xdr:row>
      <xdr:rowOff>61199</xdr:rowOff>
    </xdr:from>
    <xdr:to>
      <xdr:col>18</xdr:col>
      <xdr:colOff>117230</xdr:colOff>
      <xdr:row>50</xdr:row>
      <xdr:rowOff>44824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921FA4-97F4-48B7-BD82-16B25F4DA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82061</xdr:colOff>
      <xdr:row>6</xdr:row>
      <xdr:rowOff>117231</xdr:rowOff>
    </xdr:from>
    <xdr:to>
      <xdr:col>9</xdr:col>
      <xdr:colOff>703384</xdr:colOff>
      <xdr:row>23</xdr:row>
      <xdr:rowOff>164123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6197ED4-63E3-4FF1-8BE7-52718D104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</xdr:row>
      <xdr:rowOff>115830</xdr:rowOff>
    </xdr:from>
    <xdr:to>
      <xdr:col>5</xdr:col>
      <xdr:colOff>48296</xdr:colOff>
      <xdr:row>23</xdr:row>
      <xdr:rowOff>172064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721247-D901-48D7-94BA-CB90ED261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756139</xdr:colOff>
      <xdr:row>6</xdr:row>
      <xdr:rowOff>134813</xdr:rowOff>
    </xdr:from>
    <xdr:to>
      <xdr:col>18</xdr:col>
      <xdr:colOff>128953</xdr:colOff>
      <xdr:row>23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AC281C-9080-3262-AEE1-EDFF69FF6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258306</xdr:colOff>
      <xdr:row>1</xdr:row>
      <xdr:rowOff>14041</xdr:rowOff>
    </xdr:from>
    <xdr:to>
      <xdr:col>18</xdr:col>
      <xdr:colOff>54193</xdr:colOff>
      <xdr:row>5</xdr:row>
      <xdr:rowOff>51661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024F7C-5A87-4A9E-B431-649C62EB2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10475" y="194855"/>
          <a:ext cx="2223955" cy="76087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1659258</xdr:colOff>
      <xdr:row>4</xdr:row>
      <xdr:rowOff>164353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DB4AB16-A15B-4C2B-AA5B-9EC1AA46F83C}"/>
            </a:ext>
          </a:extLst>
        </xdr:cNvPr>
        <xdr:cNvSpPr/>
      </xdr:nvSpPr>
      <xdr:spPr>
        <a:xfrm>
          <a:off x="0" y="717176"/>
          <a:ext cx="1659258" cy="52294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Client Logo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69960</xdr:colOff>
      <xdr:row>0</xdr:row>
      <xdr:rowOff>91402</xdr:rowOff>
    </xdr:from>
    <xdr:to>
      <xdr:col>2</xdr:col>
      <xdr:colOff>14020</xdr:colOff>
      <xdr:row>4</xdr:row>
      <xdr:rowOff>122190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D26AFF-C3E0-460B-A6CD-42D6C3F98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60" y="91402"/>
          <a:ext cx="1690310" cy="750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212831</xdr:colOff>
      <xdr:row>0</xdr:row>
      <xdr:rowOff>64168</xdr:rowOff>
    </xdr:from>
    <xdr:to>
      <xdr:col>13</xdr:col>
      <xdr:colOff>690947</xdr:colOff>
      <xdr:row>0</xdr:row>
      <xdr:rowOff>722223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032651-CD01-44C6-B4DE-A5D90797F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6936" y="64168"/>
          <a:ext cx="1472727" cy="658055"/>
        </a:xfrm>
        <a:prstGeom prst="rect">
          <a:avLst/>
        </a:prstGeom>
      </xdr:spPr>
    </xdr:pic>
    <xdr:clientData/>
  </xdr:twoCellAnchor>
  <xdr:twoCellAnchor>
    <xdr:from>
      <xdr:col>0</xdr:col>
      <xdr:colOff>176463</xdr:colOff>
      <xdr:row>0</xdr:row>
      <xdr:rowOff>184484</xdr:rowOff>
    </xdr:from>
    <xdr:to>
      <xdr:col>3</xdr:col>
      <xdr:colOff>80211</xdr:colOff>
      <xdr:row>0</xdr:row>
      <xdr:rowOff>673768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700BE1F-63C2-33DD-D052-E1D6B309682B}"/>
            </a:ext>
          </a:extLst>
        </xdr:cNvPr>
        <xdr:cNvSpPr/>
      </xdr:nvSpPr>
      <xdr:spPr>
        <a:xfrm>
          <a:off x="176463" y="184484"/>
          <a:ext cx="1644316" cy="4892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Client Logo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yam Shah" refreshedDate="46032.642037152778" createdVersion="8" refreshedVersion="8" minRefreshableVersion="3" recordCount="41" xr:uid="{EC0B9C4D-E31C-4185-8B7A-A017C909FF1D}">
  <cacheSource type="worksheet">
    <worksheetSource ref="A6:U47" sheet="Master Drawing Register"/>
  </cacheSource>
  <cacheFields count="21">
    <cacheField name="Sr #" numFmtId="0">
      <sharedItems containsSemiMixedTypes="0" containsString="0" containsNumber="1" containsInteger="1" minValue="1" maxValue="41"/>
    </cacheField>
    <cacheField name="Project Package" numFmtId="0">
      <sharedItems/>
    </cacheField>
    <cacheField name="Building " numFmtId="0">
      <sharedItems count="5">
        <s v="Tower 1"/>
        <s v="Tower 2"/>
        <s v="Tower 3"/>
        <s v="Tower 4"/>
        <s v="Tower 5"/>
      </sharedItems>
    </cacheField>
    <cacheField name="Discipline" numFmtId="0">
      <sharedItems count="4">
        <s v="Architecture"/>
        <s v="Structural"/>
        <s v="MEPF"/>
        <s v="MEP" u="1"/>
      </sharedItems>
    </cacheField>
    <cacheField name="Drawing Number" numFmtId="0">
      <sharedItems count="40">
        <s v="AR-101"/>
        <s v="ST-201"/>
        <s v="AR-103"/>
        <s v="ST-202"/>
        <s v="ST-203"/>
        <s v="MEP-301"/>
        <s v="MEP-302"/>
        <s v="MEP-303"/>
        <s v="AR-201"/>
        <s v="AR-202"/>
        <s v="ST-301"/>
        <s v="ST-302"/>
        <s v="MEP-401"/>
        <s v="AR-301"/>
        <s v="AR-302"/>
        <s v="ST-401"/>
        <s v="ST-402"/>
        <s v="MEP-501"/>
        <s v="MEP-502"/>
        <s v="MEP-503"/>
        <s v="AR-401"/>
        <s v="ST-501"/>
        <s v="MEP-601"/>
        <s v="AR-402"/>
        <s v="ST-502"/>
        <s v="MEP-602"/>
        <s v="AR-403"/>
        <s v="ST-503"/>
        <s v="MEP-603"/>
        <s v="AR-404"/>
        <s v="ST-601"/>
        <s v="MEP-701"/>
        <s v="AR-501"/>
        <s v="ST-602"/>
        <s v="MEP-702"/>
        <s v="AR-502"/>
        <s v="ST-603"/>
        <s v="MEP-703"/>
        <s v="AR-503"/>
        <s v="ST-604"/>
      </sharedItems>
    </cacheField>
    <cacheField name="Drawing Title" numFmtId="0">
      <sharedItems/>
    </cacheField>
    <cacheField name="Drawing Type" numFmtId="0">
      <sharedItems/>
    </cacheField>
    <cacheField name="Consultant Name" numFmtId="0">
      <sharedItems count="4">
        <s v="Design Consultants Ltd"/>
        <s v="Structural Consultants Ltd"/>
        <s v="MEP Design Associates"/>
        <s v="MEPF Design Associates"/>
      </sharedItems>
    </cacheField>
    <cacheField name="Revision Number" numFmtId="0">
      <sharedItems/>
    </cacheField>
    <cacheField name="Revision Date" numFmtId="14">
      <sharedItems containsDate="1" containsMixedTypes="1" minDate="2025-01-12T00:00:00" maxDate="2025-03-19T00:00:00"/>
    </cacheField>
    <cacheField name="Revision Description" numFmtId="0">
      <sharedItems/>
    </cacheField>
    <cacheField name="Latest Revision" numFmtId="0">
      <sharedItems/>
    </cacheField>
    <cacheField name="Planned Submission Date" numFmtId="14">
      <sharedItems containsDate="1" containsMixedTypes="1" minDate="2025-01-08T00:00:00" maxDate="2025-03-13T00:00:00"/>
    </cacheField>
    <cacheField name="Actual Submission Date" numFmtId="14">
      <sharedItems containsDate="1" containsMixedTypes="1" minDate="2025-01-10T00:00:00" maxDate="2025-03-18T00:00:00"/>
    </cacheField>
    <cacheField name="Submission Delay (Days)" numFmtId="0">
      <sharedItems containsSemiMixedTypes="0" containsString="0" containsNumber="1" containsInteger="1" minValue="-6" maxValue="-1"/>
    </cacheField>
    <cacheField name="Delay Responsibility" numFmtId="0">
      <sharedItems count="5">
        <s v="Strcutural Consultant "/>
        <s v="Architecture Consultant"/>
        <s v="Consultant"/>
        <s v="Structural Consultant"/>
        <s v="MEPF Consultant"/>
      </sharedItems>
    </cacheField>
    <cacheField name="Issued To" numFmtId="0">
      <sharedItems/>
    </cacheField>
    <cacheField name="Issue Date" numFmtId="14">
      <sharedItems containsDate="1" containsBlank="1" containsMixedTypes="1" minDate="2025-01-18T00:00:00" maxDate="2025-03-21T00:00:00"/>
    </cacheField>
    <cacheField name="No. of Copies" numFmtId="0">
      <sharedItems containsSemiMixedTypes="0" containsString="0" containsNumber="1" containsInteger="1" minValue="0" maxValue="2"/>
    </cacheField>
    <cacheField name="Critical Drawing " numFmtId="0">
      <sharedItems count="2">
        <s v="Yes"/>
        <s v="No"/>
      </sharedItems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s v="Package A"/>
    <x v="0"/>
    <x v="0"/>
    <x v="0"/>
    <s v="Typical Floor Plan"/>
    <s v="Good For Construction (GFC)"/>
    <x v="0"/>
    <s v="R2"/>
    <s v="2025-01-10"/>
    <s v="Revised layout as per client comments"/>
    <s v="Yes"/>
    <s v="2025-01-03"/>
    <s v="2025-01-05"/>
    <n v="-2"/>
    <x v="0"/>
    <s v="Main Contractor"/>
    <s v="2025-01-16"/>
    <n v="2"/>
    <x v="0"/>
    <s v="Issued to site"/>
  </r>
  <r>
    <n v="2"/>
    <s v="Package A"/>
    <x v="0"/>
    <x v="1"/>
    <x v="1"/>
    <s v="Footing Layout Basement"/>
    <s v="Tender Drawings"/>
    <x v="1"/>
    <s v="R1"/>
    <s v="2025-01-12"/>
    <s v="Initial submission"/>
    <s v="Yes"/>
    <s v="2025-01-08"/>
    <s v="2025-01-10"/>
    <n v="-2"/>
    <x v="1"/>
    <s v="PMC / Client"/>
    <m/>
    <n v="0"/>
    <x v="0"/>
    <s v="Critical for foundation work"/>
  </r>
  <r>
    <n v="3"/>
    <s v="Package A"/>
    <x v="0"/>
    <x v="0"/>
    <x v="2"/>
    <s v="Staircase Details"/>
    <s v="Shop Drawing"/>
    <x v="0"/>
    <s v="R0"/>
    <d v="2025-01-12T00:00:00"/>
    <s v="Initial submission"/>
    <s v="Yes"/>
    <d v="2025-01-10T00:00:00"/>
    <d v="2025-01-12T00:00:00"/>
    <n v="-2"/>
    <x v="2"/>
    <s v="PMC / Client"/>
    <d v="2025-01-18T00:00:00"/>
    <n v="0"/>
    <x v="1"/>
    <s v="Under review earlier"/>
  </r>
  <r>
    <n v="4"/>
    <s v="Package A"/>
    <x v="0"/>
    <x v="1"/>
    <x v="1"/>
    <s v="Footing Layout Basement"/>
    <s v="Detailed Design (DD) Drawings"/>
    <x v="1"/>
    <s v="R1"/>
    <d v="2025-01-12T00:00:00"/>
    <s v="Initial submission"/>
    <s v="Yes"/>
    <d v="2025-01-08T00:00:00"/>
    <d v="2025-01-10T00:00:00"/>
    <n v="-2"/>
    <x v="2"/>
    <s v="PMC / Client"/>
    <m/>
    <n v="0"/>
    <x v="0"/>
    <s v="Critical for foundation work"/>
  </r>
  <r>
    <n v="5"/>
    <s v="Package A"/>
    <x v="0"/>
    <x v="1"/>
    <x v="3"/>
    <s v="Column Layout Basement"/>
    <s v="Concept Drawings"/>
    <x v="1"/>
    <s v="R2"/>
    <d v="2025-01-15T00:00:00"/>
    <s v="Revised grid alignment"/>
    <s v="Yes"/>
    <d v="2025-01-10T00:00:00"/>
    <d v="2025-01-13T00:00:00"/>
    <n v="-3"/>
    <x v="2"/>
    <s v="Main Contractor"/>
    <d v="2025-01-20T00:00:00"/>
    <n v="2"/>
    <x v="0"/>
    <s v="—"/>
  </r>
  <r>
    <n v="6"/>
    <s v="Package A"/>
    <x v="0"/>
    <x v="1"/>
    <x v="4"/>
    <s v="Beam Reinforcement Details"/>
    <s v="Detailed Design (DD) Drawings"/>
    <x v="1"/>
    <s v="R0"/>
    <d v="2025-01-18T00:00:00"/>
    <s v="Initial submission"/>
    <s v="Yes"/>
    <d v="2025-01-15T00:00:00"/>
    <d v="2025-01-18T00:00:00"/>
    <n v="-3"/>
    <x v="2"/>
    <s v="PMC / Client"/>
    <m/>
    <n v="0"/>
    <x v="0"/>
    <s v="Under approval"/>
  </r>
  <r>
    <n v="7"/>
    <s v="Package A"/>
    <x v="0"/>
    <x v="2"/>
    <x v="5"/>
    <s v="HVAC Layout Typical Floor"/>
    <s v="Good For Construction (GFC)"/>
    <x v="2"/>
    <s v="R1"/>
    <d v="2025-01-14T00:00:00"/>
    <s v="Revised routing"/>
    <s v="Yes"/>
    <d v="2025-01-10T00:00:00"/>
    <d v="2025-01-14T00:00:00"/>
    <n v="-4"/>
    <x v="2"/>
    <s v="Main Contractor"/>
    <d v="2025-01-22T00:00:00"/>
    <n v="2"/>
    <x v="0"/>
    <s v="—"/>
  </r>
  <r>
    <n v="8"/>
    <s v="Package A"/>
    <x v="0"/>
    <x v="2"/>
    <x v="6"/>
    <s v="Electrical Lighting Layout"/>
    <s v="Detailed Design (DD) Drawings"/>
    <x v="2"/>
    <s v="R2"/>
    <d v="2025-01-16T00:00:00"/>
    <s v="Revised lighting levels"/>
    <s v="Yes"/>
    <d v="2025-01-12T00:00:00"/>
    <d v="2025-01-15T00:00:00"/>
    <n v="-3"/>
    <x v="2"/>
    <s v="Main Contractor"/>
    <d v="2025-01-24T00:00:00"/>
    <n v="2"/>
    <x v="1"/>
    <s v="—"/>
  </r>
  <r>
    <n v="9"/>
    <s v="Package A"/>
    <x v="0"/>
    <x v="2"/>
    <x v="7"/>
    <s v="Plumbing Typical Floor"/>
    <s v="Tender Drawings"/>
    <x v="2"/>
    <s v="R1"/>
    <d v="2025-01-18T00:00:00"/>
    <s v="Initial issue"/>
    <s v="Yes"/>
    <d v="2025-01-15T00:00:00"/>
    <d v="2025-01-18T00:00:00"/>
    <n v="-3"/>
    <x v="2"/>
    <s v="Main Contractor"/>
    <d v="2025-01-25T00:00:00"/>
    <n v="2"/>
    <x v="1"/>
    <s v="—"/>
  </r>
  <r>
    <n v="10"/>
    <s v="Package A"/>
    <x v="1"/>
    <x v="0"/>
    <x v="8"/>
    <s v="Typical Floor Plan"/>
    <s v="Tender Drawings"/>
    <x v="0"/>
    <s v="R1"/>
    <d v="2025-01-20T00:00:00"/>
    <s v="Initial submission"/>
    <s v="Yes"/>
    <d v="2025-01-18T00:00:00"/>
    <d v="2025-01-20T00:00:00"/>
    <n v="-2"/>
    <x v="2"/>
    <s v="PMC / Client"/>
    <m/>
    <n v="0"/>
    <x v="0"/>
    <s v="Under review"/>
  </r>
  <r>
    <n v="11"/>
    <s v="Package A"/>
    <x v="1"/>
    <x v="0"/>
    <x v="9"/>
    <s v="Elevation North Side"/>
    <s v="Schematic Drawings"/>
    <x v="0"/>
    <s v="R2"/>
    <d v="2025-01-25T00:00:00"/>
    <s v="Revised façade treatment"/>
    <s v="Yes"/>
    <d v="2025-01-22T00:00:00"/>
    <d v="2025-01-24T00:00:00"/>
    <n v="-2"/>
    <x v="2"/>
    <s v="Main Contractor"/>
    <d v="2025-01-30T00:00:00"/>
    <n v="2"/>
    <x v="1"/>
    <s v="—"/>
  </r>
  <r>
    <n v="12"/>
    <s v="Package A"/>
    <x v="1"/>
    <x v="1"/>
    <x v="10"/>
    <s v="Foundation Layout"/>
    <s v="Good For Construction (GFC)"/>
    <x v="1"/>
    <s v="R1"/>
    <d v="2025-01-22T00:00:00"/>
    <s v="Initial submission"/>
    <s v="Yes"/>
    <d v="2025-01-20T00:00:00"/>
    <d v="2025-01-22T00:00:00"/>
    <n v="-2"/>
    <x v="2"/>
    <s v="PMC / Client"/>
    <m/>
    <n v="0"/>
    <x v="0"/>
    <s v="Critical activity"/>
  </r>
  <r>
    <n v="13"/>
    <s v="Package A"/>
    <x v="1"/>
    <x v="1"/>
    <x v="11"/>
    <s v="Slab Reinforcement"/>
    <s v="Tender Drawings"/>
    <x v="1"/>
    <s v="R0"/>
    <d v="2025-01-26T00:00:00"/>
    <s v="Initial submission"/>
    <s v="Yes"/>
    <d v="2025-01-25T00:00:00"/>
    <d v="2025-01-26T00:00:00"/>
    <n v="-1"/>
    <x v="2"/>
    <s v="PMC / Client"/>
    <m/>
    <n v="0"/>
    <x v="0"/>
    <s v="—"/>
  </r>
  <r>
    <n v="14"/>
    <s v="Package A"/>
    <x v="1"/>
    <x v="2"/>
    <x v="12"/>
    <s v="Fire Fighting Layout"/>
    <s v="Shop Drawing"/>
    <x v="2"/>
    <s v="R1"/>
    <d v="2025-01-24T00:00:00"/>
    <s v="Initial issue"/>
    <s v="Yes"/>
    <d v="2025-01-22T00:00:00"/>
    <d v="2025-01-24T00:00:00"/>
    <n v="-2"/>
    <x v="2"/>
    <s v="Main Contractor"/>
    <d v="2025-01-30T00:00:00"/>
    <n v="2"/>
    <x v="0"/>
    <s v="Fire NOC related"/>
  </r>
  <r>
    <n v="15"/>
    <s v="Package B"/>
    <x v="2"/>
    <x v="0"/>
    <x v="13"/>
    <s v="Typical Floor Plan"/>
    <s v="Detailed Design (DD) Drawings"/>
    <x v="0"/>
    <s v="R3"/>
    <d v="2025-02-01T00:00:00"/>
    <s v="Revised after site feedback"/>
    <s v="Yes"/>
    <d v="2025-01-28T00:00:00"/>
    <d v="2025-01-30T00:00:00"/>
    <n v="-2"/>
    <x v="2"/>
    <s v="Main Contractor"/>
    <d v="2025-02-05T00:00:00"/>
    <n v="2"/>
    <x v="0"/>
    <s v="—"/>
  </r>
  <r>
    <n v="16"/>
    <s v="Package B"/>
    <x v="2"/>
    <x v="0"/>
    <x v="14"/>
    <s v="Staircase Details"/>
    <s v="Concept Drawings"/>
    <x v="0"/>
    <s v="R0"/>
    <d v="2025-02-03T00:00:00"/>
    <s v="Initial submission"/>
    <s v="Yes"/>
    <d v="2025-02-01T00:00:00"/>
    <d v="2025-02-03T00:00:00"/>
    <n v="-2"/>
    <x v="2"/>
    <s v="PMC / Client"/>
    <m/>
    <n v="0"/>
    <x v="1"/>
    <s v="—"/>
  </r>
  <r>
    <n v="17"/>
    <s v="Package B"/>
    <x v="2"/>
    <x v="1"/>
    <x v="15"/>
    <s v="Column Layout Typical"/>
    <s v="Detailed Design (DD) Drawings"/>
    <x v="1"/>
    <s v="R1"/>
    <d v="2025-02-02T00:00:00"/>
    <s v="Initial issue"/>
    <s v="Yes"/>
    <d v="2025-01-30T00:00:00"/>
    <d v="2025-02-02T00:00:00"/>
    <n v="-3"/>
    <x v="2"/>
    <s v="Main Contractor"/>
    <d v="2025-02-08T00:00:00"/>
    <n v="2"/>
    <x v="0"/>
    <s v="—"/>
  </r>
  <r>
    <n v="18"/>
    <s v="Package B"/>
    <x v="2"/>
    <x v="1"/>
    <x v="16"/>
    <s v="Beam Layout Typical"/>
    <s v="Good For Construction (GFC)"/>
    <x v="1"/>
    <s v="R0"/>
    <d v="2025-02-05T00:00:00"/>
    <s v="Initial submission"/>
    <s v="Yes"/>
    <d v="2025-02-03T00:00:00"/>
    <d v="2025-02-05T00:00:00"/>
    <n v="-2"/>
    <x v="2"/>
    <s v="PMC / Client"/>
    <m/>
    <n v="0"/>
    <x v="0"/>
    <s v="—"/>
  </r>
  <r>
    <n v="19"/>
    <s v="Package B"/>
    <x v="2"/>
    <x v="2"/>
    <x v="17"/>
    <s v="Electrical Riser Diagram"/>
    <s v="Detailed Design (DD) Drawings"/>
    <x v="2"/>
    <s v="R1"/>
    <d v="2025-02-04T00:00:00"/>
    <s v="Initial issue"/>
    <s v="Yes"/>
    <d v="2025-02-02T00:00:00"/>
    <d v="2025-02-04T00:00:00"/>
    <n v="-2"/>
    <x v="2"/>
    <s v="Main Contractor"/>
    <d v="2025-02-10T00:00:00"/>
    <n v="2"/>
    <x v="1"/>
    <s v="—"/>
  </r>
  <r>
    <n v="20"/>
    <s v="Package B"/>
    <x v="2"/>
    <x v="2"/>
    <x v="18"/>
    <s v="Plumbing Riser Diagram"/>
    <s v="Tender Drawings"/>
    <x v="2"/>
    <s v="R1"/>
    <d v="2025-02-06T00:00:00"/>
    <s v="Initial issue"/>
    <s v="Yes"/>
    <d v="2025-02-04T00:00:00"/>
    <d v="2025-02-06T00:00:00"/>
    <n v="-2"/>
    <x v="2"/>
    <s v="Main Contractor"/>
    <d v="2025-02-12T00:00:00"/>
    <n v="2"/>
    <x v="1"/>
    <s v="—"/>
  </r>
  <r>
    <n v="21"/>
    <s v="Package B"/>
    <x v="2"/>
    <x v="2"/>
    <x v="19"/>
    <s v="HVAC Shaft Layout"/>
    <s v="Tender Drawings"/>
    <x v="2"/>
    <s v="R0"/>
    <d v="2025-02-07T00:00:00"/>
    <s v="Initial submission"/>
    <s v="Yes"/>
    <d v="2025-02-05T00:00:00"/>
    <d v="2025-02-07T00:00:00"/>
    <n v="-2"/>
    <x v="2"/>
    <s v="PMC / Client"/>
    <m/>
    <n v="0"/>
    <x v="0"/>
    <s v="Coordination required"/>
  </r>
  <r>
    <n v="22"/>
    <s v="Package C"/>
    <x v="0"/>
    <x v="0"/>
    <x v="20"/>
    <s v="Typical Floor Plan"/>
    <s v="Schematic Drawings"/>
    <x v="0"/>
    <s v="R4"/>
    <d v="2025-02-10T00:00:00"/>
    <s v="Revised after coordination"/>
    <s v="Yes"/>
    <d v="2025-02-03T00:00:00"/>
    <d v="2025-02-06T00:00:00"/>
    <n v="-3"/>
    <x v="1"/>
    <s v="Main Contractor"/>
    <d v="2025-02-15T00:00:00"/>
    <n v="2"/>
    <x v="0"/>
    <s v="Delayed due to coordination changes"/>
  </r>
  <r>
    <n v="23"/>
    <s v="Package C"/>
    <x v="0"/>
    <x v="1"/>
    <x v="21"/>
    <s v="Foundation Layout"/>
    <s v="Good For Construction (GFC)"/>
    <x v="1"/>
    <s v="R3"/>
    <d v="2025-02-12T00:00:00"/>
    <s v="Revised footing sizes"/>
    <s v="Yes"/>
    <d v="2025-02-05T00:00:00"/>
    <d v="2025-02-09T00:00:00"/>
    <n v="-4"/>
    <x v="3"/>
    <s v="PMC / Client"/>
    <m/>
    <n v="0"/>
    <x v="0"/>
    <s v="Critical foundation drawing"/>
  </r>
  <r>
    <n v="24"/>
    <s v="Package C"/>
    <x v="0"/>
    <x v="2"/>
    <x v="22"/>
    <s v="HVAC Typical Floor"/>
    <s v="Tender Drawings"/>
    <x v="3"/>
    <s v="R2"/>
    <d v="2025-02-14T00:00:00"/>
    <s v="Revised duct routing"/>
    <s v="Yes"/>
    <d v="2025-02-08T00:00:00"/>
    <d v="2025-02-10T00:00:00"/>
    <n v="-2"/>
    <x v="4"/>
    <s v="Main Contractor"/>
    <d v="2025-02-18T00:00:00"/>
    <n v="2"/>
    <x v="0"/>
    <s v="Coordination driven delay"/>
  </r>
  <r>
    <n v="25"/>
    <s v="Package C"/>
    <x v="1"/>
    <x v="0"/>
    <x v="23"/>
    <s v="Elevation East Side"/>
    <s v="Shop Drawing"/>
    <x v="0"/>
    <s v="R5"/>
    <d v="2025-02-18T00:00:00"/>
    <s v="Facade design updated"/>
    <s v="Yes"/>
    <d v="2025-02-10T00:00:00"/>
    <d v="2025-02-14T00:00:00"/>
    <n v="-4"/>
    <x v="1"/>
    <s v="Main Contractor"/>
    <d v="2025-02-22T00:00:00"/>
    <n v="2"/>
    <x v="1"/>
    <s v="Client-driven revision"/>
  </r>
  <r>
    <n v="26"/>
    <s v="Package C"/>
    <x v="1"/>
    <x v="1"/>
    <x v="24"/>
    <s v="Column Layout Basement"/>
    <s v="Detailed Design (DD) Drawings"/>
    <x v="1"/>
    <s v="R4"/>
    <d v="2025-02-20T00:00:00"/>
    <s v="Grid updated as per arch"/>
    <s v="Yes"/>
    <d v="2025-02-12T00:00:00"/>
    <d v="2025-02-17T00:00:00"/>
    <n v="-5"/>
    <x v="3"/>
    <s v="PMC / Client"/>
    <m/>
    <n v="0"/>
    <x v="0"/>
    <s v="Delay due to arch inputs"/>
  </r>
  <r>
    <n v="27"/>
    <s v="Package C"/>
    <x v="1"/>
    <x v="2"/>
    <x v="25"/>
    <s v="Electrical Layout Typical"/>
    <s v="Concept Drawings"/>
    <x v="3"/>
    <s v="R3"/>
    <d v="2025-02-21T00:00:00"/>
    <s v="Load recalculation done"/>
    <s v="Yes"/>
    <d v="2025-02-15T00:00:00"/>
    <d v="2025-02-18T00:00:00"/>
    <n v="-3"/>
    <x v="4"/>
    <s v="Main Contractor"/>
    <d v="2025-02-25T00:00:00"/>
    <n v="2"/>
    <x v="1"/>
    <s v="—"/>
  </r>
  <r>
    <n v="28"/>
    <s v="Package C"/>
    <x v="2"/>
    <x v="0"/>
    <x v="26"/>
    <s v="Staircase Details"/>
    <s v="Detailed Design (DD) Drawings"/>
    <x v="0"/>
    <s v="R2"/>
    <d v="2025-02-22T00:00:00"/>
    <s v="Minor detailing changes"/>
    <s v="Yes"/>
    <d v="2025-02-18T00:00:00"/>
    <d v="2025-02-20T00:00:00"/>
    <n v="-2"/>
    <x v="1"/>
    <s v="PMC / Client"/>
    <m/>
    <n v="0"/>
    <x v="1"/>
    <s v="—"/>
  </r>
  <r>
    <n v="29"/>
    <s v="Package C"/>
    <x v="2"/>
    <x v="1"/>
    <x v="27"/>
    <s v="Beam Reinforcement"/>
    <s v="Good For Construction (GFC)"/>
    <x v="1"/>
    <s v="R1"/>
    <d v="2025-02-23T00:00:00"/>
    <s v="Initial submission"/>
    <s v="Yes"/>
    <d v="2025-02-20T00:00:00"/>
    <d v="2025-02-23T00:00:00"/>
    <n v="-3"/>
    <x v="3"/>
    <s v="PMC / Client"/>
    <m/>
    <n v="0"/>
    <x v="0"/>
    <s v="Delayed reinforcement inputs"/>
  </r>
  <r>
    <n v="30"/>
    <s v="Package C"/>
    <x v="2"/>
    <x v="2"/>
    <x v="28"/>
    <s v="Plumbing Layout Typical"/>
    <s v="Detailed Design (DD) Drawings"/>
    <x v="3"/>
    <s v="R2"/>
    <d v="2025-02-25T00:00:00"/>
    <s v="Revised pipe routing"/>
    <s v="Yes"/>
    <d v="2025-02-20T00:00:00"/>
    <d v="2025-02-24T00:00:00"/>
    <n v="-4"/>
    <x v="4"/>
    <s v="Main Contractor"/>
    <d v="2025-02-28T00:00:00"/>
    <n v="2"/>
    <x v="1"/>
    <s v="—"/>
  </r>
  <r>
    <n v="31"/>
    <s v="Package C"/>
    <x v="3"/>
    <x v="0"/>
    <x v="29"/>
    <s v="Refuge Floor Plan"/>
    <s v="Tender Drawings"/>
    <x v="0"/>
    <s v="R6"/>
    <d v="2025-02-28T00:00:00"/>
    <s v="Code compliance update"/>
    <s v="Yes"/>
    <d v="2025-02-20T00:00:00"/>
    <d v="2025-02-26T00:00:00"/>
    <n v="-6"/>
    <x v="1"/>
    <s v="Main Contractor"/>
    <d v="2025-03-02T00:00:00"/>
    <n v="2"/>
    <x v="0"/>
    <s v="Statutory driven delay"/>
  </r>
  <r>
    <n v="32"/>
    <s v="Package D"/>
    <x v="0"/>
    <x v="1"/>
    <x v="30"/>
    <s v="Foundation Layout"/>
    <s v="Tender Drawings"/>
    <x v="1"/>
    <s v="R5"/>
    <d v="2025-03-02T00:00:00"/>
    <s v="Revised soil parameters"/>
    <s v="Yes"/>
    <d v="2025-02-22T00:00:00"/>
    <d v="2025-02-27T00:00:00"/>
    <n v="-5"/>
    <x v="3"/>
    <s v="PMC / Client"/>
    <m/>
    <n v="0"/>
    <x v="0"/>
    <s v="Soil report revision"/>
  </r>
  <r>
    <n v="33"/>
    <s v="Package D"/>
    <x v="0"/>
    <x v="2"/>
    <x v="31"/>
    <s v="Fire Fighting Layout"/>
    <s v="Schematic Drawings"/>
    <x v="3"/>
    <s v="R3"/>
    <d v="2025-03-03T00:00:00"/>
    <s v="Revised fire zoning"/>
    <s v="Yes"/>
    <d v="2025-02-25T00:00:00"/>
    <d v="2025-02-28T00:00:00"/>
    <n v="-3"/>
    <x v="4"/>
    <s v="Main Contractor"/>
    <d v="2025-03-06T00:00:00"/>
    <n v="2"/>
    <x v="0"/>
    <s v="Fire NOC comments"/>
  </r>
  <r>
    <n v="34"/>
    <s v="Package D"/>
    <x v="1"/>
    <x v="0"/>
    <x v="32"/>
    <s v="Typical Floor Plan"/>
    <s v="Good For Construction (GFC)"/>
    <x v="0"/>
    <s v="R4"/>
    <d v="2025-03-05T00:00:00"/>
    <s v="Updated flat layouts"/>
    <s v="Yes"/>
    <d v="2025-02-26T00:00:00"/>
    <d v="2025-03-02T00:00:00"/>
    <n v="-4"/>
    <x v="1"/>
    <s v="Main Contractor"/>
    <d v="2025-03-08T00:00:00"/>
    <n v="2"/>
    <x v="0"/>
    <s v="Client revision impact"/>
  </r>
  <r>
    <n v="35"/>
    <s v="Package D"/>
    <x v="1"/>
    <x v="1"/>
    <x v="33"/>
    <s v="Slab Reinforcement"/>
    <s v="Tender Drawings"/>
    <x v="1"/>
    <s v="R2"/>
    <d v="2025-03-06T00:00:00"/>
    <s v="Initial submission"/>
    <s v="Yes"/>
    <d v="2025-03-01T00:00:00"/>
    <d v="2025-03-05T00:00:00"/>
    <n v="-4"/>
    <x v="3"/>
    <s v="PMC / Client"/>
    <m/>
    <n v="0"/>
    <x v="0"/>
    <s v="Delayed due to load changes"/>
  </r>
  <r>
    <n v="36"/>
    <s v="Package D"/>
    <x v="2"/>
    <x v="2"/>
    <x v="34"/>
    <s v="HVAC Shaft Layout"/>
    <s v="Shop Drawing"/>
    <x v="3"/>
    <s v="R1"/>
    <d v="2025-03-08T00:00:00"/>
    <s v="Initial submission"/>
    <s v="Yes"/>
    <d v="2025-03-04T00:00:00"/>
    <d v="2025-03-07T00:00:00"/>
    <n v="-3"/>
    <x v="4"/>
    <s v="PMC / Client"/>
    <m/>
    <n v="0"/>
    <x v="0"/>
    <s v="Coordination pending"/>
  </r>
  <r>
    <n v="37"/>
    <s v="Package D"/>
    <x v="2"/>
    <x v="0"/>
    <x v="35"/>
    <s v="Elevation West Side"/>
    <s v="Detailed Design (DD) Drawings"/>
    <x v="0"/>
    <s v="R6"/>
    <d v="2025-03-10T00:00:00"/>
    <s v="Facade redesign"/>
    <s v="Yes"/>
    <d v="2025-03-01T00:00:00"/>
    <d v="2025-03-07T00:00:00"/>
    <n v="-6"/>
    <x v="1"/>
    <s v="Main Contractor"/>
    <d v="2025-03-12T00:00:00"/>
    <n v="2"/>
    <x v="1"/>
    <s v="Major design change"/>
  </r>
  <r>
    <n v="38"/>
    <s v="Package D"/>
    <x v="3"/>
    <x v="1"/>
    <x v="36"/>
    <s v="Column Layout Typical"/>
    <s v="Concept Drawings"/>
    <x v="1"/>
    <s v="R4"/>
    <d v="2025-03-12T00:00:00"/>
    <s v="Grid revised"/>
    <s v="Yes"/>
    <d v="2025-03-05T00:00:00"/>
    <d v="2025-03-10T00:00:00"/>
    <n v="-5"/>
    <x v="3"/>
    <s v="Main Contractor"/>
    <d v="2025-03-15T00:00:00"/>
    <n v="2"/>
    <x v="0"/>
    <s v="Coordination delay"/>
  </r>
  <r>
    <n v="39"/>
    <s v="Package D"/>
    <x v="3"/>
    <x v="2"/>
    <x v="37"/>
    <s v="Electrical Riser Diagram"/>
    <s v="Detailed Design (DD) Drawings"/>
    <x v="3"/>
    <s v="R2"/>
    <d v="2025-03-14T00:00:00"/>
    <s v="Load balancing update"/>
    <s v="Yes"/>
    <d v="2025-03-08T00:00:00"/>
    <d v="2025-03-12T00:00:00"/>
    <n v="-4"/>
    <x v="4"/>
    <s v="Main Contractor"/>
    <d v="2025-03-18T00:00:00"/>
    <n v="2"/>
    <x v="1"/>
    <s v="—"/>
  </r>
  <r>
    <n v="40"/>
    <s v="Package D"/>
    <x v="4"/>
    <x v="0"/>
    <x v="38"/>
    <s v="Refuge Area Details"/>
    <s v="Good For Construction (GFC)"/>
    <x v="0"/>
    <s v="R5"/>
    <d v="2025-03-16T00:00:00"/>
    <s v="Code update applied"/>
    <s v="Yes"/>
    <d v="2025-03-10T00:00:00"/>
    <d v="2025-03-15T00:00:00"/>
    <n v="-5"/>
    <x v="1"/>
    <s v="Main Contractor"/>
    <d v="2025-03-20T00:00:00"/>
    <n v="2"/>
    <x v="0"/>
    <s v="Fire authority driven"/>
  </r>
  <r>
    <n v="41"/>
    <s v="Package D"/>
    <x v="4"/>
    <x v="1"/>
    <x v="39"/>
    <s v="Beam Layout Roof"/>
    <s v="Detailed Design (DD) Drawings"/>
    <x v="1"/>
    <s v="R3"/>
    <d v="2025-03-18T00:00:00"/>
    <s v="Revised reinforcement"/>
    <s v="Yes"/>
    <d v="2025-03-12T00:00:00"/>
    <d v="2025-03-17T00:00:00"/>
    <n v="-5"/>
    <x v="3"/>
    <s v="PMC / Client"/>
    <m/>
    <n v="0"/>
    <x v="0"/>
    <s v="Roof load revis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BDCEA-2D53-4535-B806-21458DA09BDE}" name="PivotTable39" cacheId="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0">
  <location ref="A135:B139" firstHeaderRow="1" firstDataRow="1" firstDataCol="1"/>
  <pivotFields count="21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x="0"/>
        <item m="1" x="3"/>
        <item x="2"/>
        <item x="1"/>
      </items>
    </pivotField>
    <pivotField compact="0" outline="0" showAll="0" defaultSubtotal="0">
      <items count="40">
        <item x="0"/>
        <item x="2"/>
        <item x="8"/>
        <item x="9"/>
        <item x="13"/>
        <item x="14"/>
        <item x="20"/>
        <item x="23"/>
        <item x="26"/>
        <item x="29"/>
        <item x="32"/>
        <item x="35"/>
        <item x="38"/>
        <item x="5"/>
        <item x="6"/>
        <item x="7"/>
        <item x="12"/>
        <item x="17"/>
        <item x="18"/>
        <item x="19"/>
        <item x="22"/>
        <item x="25"/>
        <item x="28"/>
        <item x="31"/>
        <item x="34"/>
        <item x="37"/>
        <item x="1"/>
        <item x="3"/>
        <item x="4"/>
        <item x="10"/>
        <item x="11"/>
        <item x="15"/>
        <item x="16"/>
        <item x="21"/>
        <item x="24"/>
        <item x="27"/>
        <item x="30"/>
        <item x="33"/>
        <item x="36"/>
        <item x="39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">
        <item sd="0" x="0"/>
        <item sd="0" x="2"/>
        <item sd="0" x="3"/>
        <item sd="0"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1"/>
        <item x="2"/>
        <item x="4"/>
        <item x="0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r #" fld="0" subtotal="count" baseField="7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B061C-0332-4FB5-BB63-B645B6270582}" name="PivotTable34" cacheId="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9">
  <location ref="A127:B132" firstHeaderRow="1" firstDataRow="1" firstDataCol="1"/>
  <pivotFields count="2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5">
        <item x="1"/>
        <item x="2"/>
        <item x="4"/>
        <item x="0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ubmission Delay (Days)" fld="14" baseField="0" baseItem="0"/>
  </dataField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AE4E5-2E15-44E1-A433-D63695DD1C03}" name="PivotTable33" cacheId="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1">
  <location ref="H107:I109" firstHeaderRow="1" firstDataRow="1" firstDataCol="1"/>
  <pivotFields count="21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outline="0" showAll="0" defaultSubtotal="0"/>
  </pivotFields>
  <rowFields count="1">
    <field x="19"/>
  </rowFields>
  <rowItems count="2">
    <i>
      <x/>
    </i>
    <i>
      <x v="1"/>
    </i>
  </rowItems>
  <colItems count="1">
    <i/>
  </colItems>
  <dataFields count="1">
    <dataField name="Count of Sr #" fld="0" subtotal="count" baseField="2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12437-DC5F-4CE7-BABC-1803B108EF90}" name="PivotTable32" cacheId="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7">
  <location ref="E107:F110" firstHeaderRow="1" firstDataRow="1" firstDataCol="1"/>
  <pivotFields count="21"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4">
        <item x="0"/>
        <item m="1" x="3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3"/>
  </rowFields>
  <rowItems count="3">
    <i>
      <x/>
    </i>
    <i>
      <x v="2"/>
    </i>
    <i>
      <x v="3"/>
    </i>
  </rowItems>
  <colItems count="1">
    <i/>
  </colItems>
  <dataFields count="1">
    <dataField name="Count of Sr #" fld="0" subtotal="count" baseField="2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178D0-B8CD-4584-AC74-7A2EC15C574E}" name="PivotTable31" cacheId="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107:C121" firstHeaderRow="1" firstDataRow="1" firstDataCol="2"/>
  <pivotFields count="21">
    <pivotField dataField="1" compact="0" outline="0" showAll="0" defaultSubtotal="0"/>
    <pivotField compact="0" outline="0" showAll="0" defaultSubtotal="0"/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defaultSubtotal="0">
      <items count="4">
        <item x="0"/>
        <item m="1" x="3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2"/>
    <field x="3"/>
  </rowFields>
  <rowItems count="14">
    <i>
      <x/>
      <x/>
    </i>
    <i r="1">
      <x v="2"/>
    </i>
    <i r="1">
      <x v="3"/>
    </i>
    <i>
      <x v="1"/>
      <x/>
    </i>
    <i r="1">
      <x v="2"/>
    </i>
    <i r="1">
      <x v="3"/>
    </i>
    <i>
      <x v="2"/>
      <x/>
    </i>
    <i r="1">
      <x v="2"/>
    </i>
    <i r="1">
      <x v="3"/>
    </i>
    <i>
      <x v="3"/>
      <x/>
    </i>
    <i r="1">
      <x v="2"/>
    </i>
    <i r="1">
      <x v="3"/>
    </i>
    <i>
      <x v="4"/>
      <x/>
    </i>
    <i r="1">
      <x v="3"/>
    </i>
  </rowItems>
  <colItems count="1">
    <i/>
  </colItems>
  <dataFields count="1">
    <dataField name="Count of Sr #" fld="0" subtotal="count" baseField="2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9"/>
  <sheetViews>
    <sheetView tabSelected="1" zoomScale="59" workbookViewId="0">
      <selection activeCell="I71" sqref="I71"/>
    </sheetView>
  </sheetViews>
  <sheetFormatPr defaultRowHeight="14.4" x14ac:dyDescent="0.3"/>
  <cols>
    <col min="1" max="1" width="25.44140625" bestFit="1" customWidth="1"/>
    <col min="2" max="2" width="11.88671875" bestFit="1" customWidth="1"/>
    <col min="3" max="3" width="29.5546875" bestFit="1" customWidth="1"/>
    <col min="4" max="6" width="19.109375" bestFit="1" customWidth="1"/>
    <col min="8" max="8" width="18.77734375" bestFit="1" customWidth="1"/>
    <col min="9" max="10" width="11.88671875" bestFit="1" customWidth="1"/>
    <col min="19" max="19" width="3.6640625" customWidth="1"/>
  </cols>
  <sheetData>
    <row r="1" spans="1:19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4.4" customHeight="1" x14ac:dyDescent="0.3">
      <c r="A3" s="11"/>
      <c r="B3" s="33" t="s">
        <v>199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11"/>
      <c r="P3" s="11"/>
      <c r="Q3" s="11"/>
      <c r="R3" s="11"/>
      <c r="S3" s="11"/>
    </row>
    <row r="4" spans="1:19" ht="14.4" customHeight="1" x14ac:dyDescent="0.3">
      <c r="A4" s="11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11"/>
      <c r="P4" s="11"/>
      <c r="Q4" s="11"/>
      <c r="R4" s="11"/>
      <c r="S4" s="11"/>
    </row>
    <row r="5" spans="1:19" ht="14.4" customHeight="1" x14ac:dyDescent="0.3">
      <c r="A5" s="11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11"/>
      <c r="P5" s="11"/>
      <c r="Q5" s="11"/>
      <c r="R5" s="11"/>
      <c r="S5" s="11"/>
    </row>
    <row r="6" spans="1:19" ht="14.4" customHeight="1" thickBo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3">
      <c r="A7" s="59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1"/>
    </row>
    <row r="8" spans="1:19" x14ac:dyDescent="0.3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4"/>
    </row>
    <row r="9" spans="1:19" x14ac:dyDescent="0.3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4"/>
    </row>
    <row r="10" spans="1:19" x14ac:dyDescent="0.3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4"/>
    </row>
    <row r="11" spans="1:19" x14ac:dyDescent="0.3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4"/>
    </row>
    <row r="12" spans="1:19" x14ac:dyDescent="0.3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4"/>
    </row>
    <row r="13" spans="1:19" x14ac:dyDescent="0.3">
      <c r="A13" s="62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4"/>
    </row>
    <row r="14" spans="1:19" x14ac:dyDescent="0.3">
      <c r="A14" s="62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4"/>
    </row>
    <row r="15" spans="1:19" x14ac:dyDescent="0.3">
      <c r="A15" s="62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4"/>
    </row>
    <row r="16" spans="1:19" x14ac:dyDescent="0.3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4"/>
    </row>
    <row r="17" spans="1:19" x14ac:dyDescent="0.3">
      <c r="A17" s="62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4"/>
    </row>
    <row r="18" spans="1:19" x14ac:dyDescent="0.3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4"/>
    </row>
    <row r="19" spans="1:19" x14ac:dyDescent="0.3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4"/>
    </row>
    <row r="20" spans="1:19" x14ac:dyDescent="0.3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4"/>
    </row>
    <row r="21" spans="1:19" x14ac:dyDescent="0.3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4"/>
    </row>
    <row r="22" spans="1:19" x14ac:dyDescent="0.3">
      <c r="A22" s="62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4"/>
    </row>
    <row r="23" spans="1:19" x14ac:dyDescent="0.3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4"/>
    </row>
    <row r="24" spans="1:19" x14ac:dyDescent="0.3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4"/>
    </row>
    <row r="25" spans="1:19" x14ac:dyDescent="0.3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4"/>
    </row>
    <row r="26" spans="1:19" x14ac:dyDescent="0.3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4"/>
    </row>
    <row r="27" spans="1:19" x14ac:dyDescent="0.3">
      <c r="A27" s="62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4"/>
    </row>
    <row r="28" spans="1:19" x14ac:dyDescent="0.3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4"/>
    </row>
    <row r="29" spans="1:19" x14ac:dyDescent="0.3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4"/>
    </row>
    <row r="30" spans="1:19" x14ac:dyDescent="0.3">
      <c r="A30" s="62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4"/>
    </row>
    <row r="31" spans="1:19" x14ac:dyDescent="0.3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4"/>
    </row>
    <row r="32" spans="1:19" x14ac:dyDescent="0.3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4"/>
    </row>
    <row r="33" spans="1:19" x14ac:dyDescent="0.3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4"/>
    </row>
    <row r="34" spans="1:19" x14ac:dyDescent="0.3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4"/>
    </row>
    <row r="35" spans="1:19" x14ac:dyDescent="0.3">
      <c r="A35" s="62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4"/>
    </row>
    <row r="36" spans="1:19" x14ac:dyDescent="0.3">
      <c r="A36" s="62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4"/>
    </row>
    <row r="37" spans="1:19" x14ac:dyDescent="0.3">
      <c r="A37" s="62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4"/>
    </row>
    <row r="38" spans="1:19" x14ac:dyDescent="0.3">
      <c r="A38" s="62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4"/>
    </row>
    <row r="39" spans="1:19" x14ac:dyDescent="0.3">
      <c r="A39" s="62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4"/>
    </row>
    <row r="40" spans="1:19" x14ac:dyDescent="0.3">
      <c r="A40" s="62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4"/>
    </row>
    <row r="41" spans="1:19" x14ac:dyDescent="0.3">
      <c r="A41" s="62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4"/>
    </row>
    <row r="42" spans="1:19" x14ac:dyDescent="0.3">
      <c r="A42" s="62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4"/>
    </row>
    <row r="43" spans="1:19" x14ac:dyDescent="0.3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4"/>
    </row>
    <row r="44" spans="1:19" x14ac:dyDescent="0.3">
      <c r="A44" s="62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4"/>
    </row>
    <row r="45" spans="1:19" x14ac:dyDescent="0.3">
      <c r="A45" s="62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4"/>
    </row>
    <row r="46" spans="1:19" x14ac:dyDescent="0.3">
      <c r="A46" s="62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4"/>
    </row>
    <row r="47" spans="1:19" x14ac:dyDescent="0.3">
      <c r="A47" s="62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4"/>
    </row>
    <row r="48" spans="1:19" x14ac:dyDescent="0.3">
      <c r="A48" s="62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4"/>
    </row>
    <row r="49" spans="1:19" x14ac:dyDescent="0.3">
      <c r="A49" s="62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4"/>
    </row>
    <row r="50" spans="1:19" ht="31.8" customHeight="1" x14ac:dyDescent="0.3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4"/>
    </row>
    <row r="51" spans="1:19" ht="15" thickBot="1" x14ac:dyDescent="0.35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7"/>
    </row>
    <row r="107" spans="1:9" x14ac:dyDescent="0.3">
      <c r="A107" s="26" t="s">
        <v>44</v>
      </c>
      <c r="B107" s="26" t="s">
        <v>0</v>
      </c>
      <c r="C107" t="s">
        <v>198</v>
      </c>
      <c r="E107" s="26" t="s">
        <v>0</v>
      </c>
      <c r="F107" t="s">
        <v>198</v>
      </c>
      <c r="H107" s="26" t="s">
        <v>194</v>
      </c>
      <c r="I107" t="s">
        <v>198</v>
      </c>
    </row>
    <row r="108" spans="1:9" x14ac:dyDescent="0.3">
      <c r="A108" t="s">
        <v>16</v>
      </c>
      <c r="B108" t="s">
        <v>17</v>
      </c>
      <c r="C108" s="27">
        <v>3</v>
      </c>
      <c r="E108" t="s">
        <v>17</v>
      </c>
      <c r="F108" s="27">
        <v>13</v>
      </c>
      <c r="H108" t="s">
        <v>62</v>
      </c>
      <c r="I108" s="27">
        <v>13</v>
      </c>
    </row>
    <row r="109" spans="1:9" x14ac:dyDescent="0.3">
      <c r="B109" t="s">
        <v>68</v>
      </c>
      <c r="C109" s="27">
        <v>5</v>
      </c>
      <c r="E109" t="s">
        <v>68</v>
      </c>
      <c r="F109" s="27">
        <v>13</v>
      </c>
      <c r="H109" t="s">
        <v>24</v>
      </c>
      <c r="I109" s="27">
        <v>28</v>
      </c>
    </row>
    <row r="110" spans="1:9" x14ac:dyDescent="0.3">
      <c r="B110" t="s">
        <v>31</v>
      </c>
      <c r="C110" s="27">
        <v>6</v>
      </c>
      <c r="E110" t="s">
        <v>31</v>
      </c>
      <c r="F110" s="27">
        <v>15</v>
      </c>
    </row>
    <row r="111" spans="1:9" x14ac:dyDescent="0.3">
      <c r="A111" t="s">
        <v>96</v>
      </c>
      <c r="B111" t="s">
        <v>17</v>
      </c>
      <c r="C111" s="27">
        <v>4</v>
      </c>
    </row>
    <row r="112" spans="1:9" x14ac:dyDescent="0.3">
      <c r="B112" t="s">
        <v>68</v>
      </c>
      <c r="C112" s="27">
        <v>2</v>
      </c>
    </row>
    <row r="113" spans="1:3" x14ac:dyDescent="0.3">
      <c r="B113" t="s">
        <v>31</v>
      </c>
      <c r="C113" s="27">
        <v>4</v>
      </c>
    </row>
    <row r="114" spans="1:3" x14ac:dyDescent="0.3">
      <c r="A114" t="s">
        <v>111</v>
      </c>
      <c r="B114" t="s">
        <v>17</v>
      </c>
      <c r="C114" s="27">
        <v>4</v>
      </c>
    </row>
    <row r="115" spans="1:3" x14ac:dyDescent="0.3">
      <c r="B115" t="s">
        <v>68</v>
      </c>
      <c r="C115" s="27">
        <v>5</v>
      </c>
    </row>
    <row r="116" spans="1:3" x14ac:dyDescent="0.3">
      <c r="B116" t="s">
        <v>31</v>
      </c>
      <c r="C116" s="27">
        <v>3</v>
      </c>
    </row>
    <row r="117" spans="1:3" x14ac:dyDescent="0.3">
      <c r="A117" t="s">
        <v>157</v>
      </c>
      <c r="B117" t="s">
        <v>17</v>
      </c>
      <c r="C117" s="27">
        <v>1</v>
      </c>
    </row>
    <row r="118" spans="1:3" x14ac:dyDescent="0.3">
      <c r="B118" t="s">
        <v>68</v>
      </c>
      <c r="C118" s="27">
        <v>1</v>
      </c>
    </row>
    <row r="119" spans="1:3" x14ac:dyDescent="0.3">
      <c r="B119" t="s">
        <v>31</v>
      </c>
      <c r="C119" s="27">
        <v>1</v>
      </c>
    </row>
    <row r="120" spans="1:3" x14ac:dyDescent="0.3">
      <c r="A120" t="s">
        <v>185</v>
      </c>
      <c r="B120" t="s">
        <v>17</v>
      </c>
      <c r="C120" s="27">
        <v>1</v>
      </c>
    </row>
    <row r="121" spans="1:3" x14ac:dyDescent="0.3">
      <c r="B121" t="s">
        <v>31</v>
      </c>
      <c r="C121" s="27">
        <v>1</v>
      </c>
    </row>
    <row r="127" spans="1:3" x14ac:dyDescent="0.3">
      <c r="A127" s="26" t="s">
        <v>10</v>
      </c>
      <c r="B127" t="s">
        <v>196</v>
      </c>
    </row>
    <row r="128" spans="1:3" x14ac:dyDescent="0.3">
      <c r="A128" t="s">
        <v>71</v>
      </c>
      <c r="B128" s="27">
        <v>-32</v>
      </c>
    </row>
    <row r="129" spans="1:2" x14ac:dyDescent="0.3">
      <c r="A129" t="s">
        <v>27</v>
      </c>
      <c r="B129" s="27">
        <v>-44</v>
      </c>
    </row>
    <row r="130" spans="1:2" x14ac:dyDescent="0.3">
      <c r="A130" t="s">
        <v>73</v>
      </c>
      <c r="B130" s="27">
        <v>-19</v>
      </c>
    </row>
    <row r="131" spans="1:2" x14ac:dyDescent="0.3">
      <c r="A131" t="s">
        <v>72</v>
      </c>
      <c r="B131" s="27">
        <v>-2</v>
      </c>
    </row>
    <row r="132" spans="1:2" x14ac:dyDescent="0.3">
      <c r="A132" t="s">
        <v>132</v>
      </c>
      <c r="B132" s="27">
        <v>-31</v>
      </c>
    </row>
    <row r="135" spans="1:2" x14ac:dyDescent="0.3">
      <c r="A135" s="26" t="s">
        <v>42</v>
      </c>
      <c r="B135" t="s">
        <v>198</v>
      </c>
    </row>
    <row r="136" spans="1:2" x14ac:dyDescent="0.3">
      <c r="A136" t="s">
        <v>20</v>
      </c>
      <c r="B136" s="27">
        <v>13</v>
      </c>
    </row>
    <row r="137" spans="1:2" x14ac:dyDescent="0.3">
      <c r="A137" t="s">
        <v>89</v>
      </c>
      <c r="B137" s="27">
        <v>7</v>
      </c>
    </row>
    <row r="138" spans="1:2" x14ac:dyDescent="0.3">
      <c r="A138" t="s">
        <v>136</v>
      </c>
      <c r="B138" s="27">
        <v>6</v>
      </c>
    </row>
    <row r="139" spans="1:2" x14ac:dyDescent="0.3">
      <c r="A139" t="s">
        <v>35</v>
      </c>
      <c r="B139" s="27">
        <v>15</v>
      </c>
    </row>
  </sheetData>
  <mergeCells count="1">
    <mergeCell ref="B3:N5"/>
  </mergeCells>
  <pageMargins left="0.75" right="0.75" top="1" bottom="1" header="0.5" footer="0.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zoomScale="55" zoomScaleNormal="55" workbookViewId="0">
      <selection activeCell="F2" sqref="F2:K4"/>
    </sheetView>
  </sheetViews>
  <sheetFormatPr defaultRowHeight="14.4" x14ac:dyDescent="0.3"/>
  <cols>
    <col min="2" max="2" width="16.44140625" customWidth="1"/>
    <col min="3" max="3" width="12.88671875" customWidth="1"/>
    <col min="4" max="4" width="16.109375" customWidth="1"/>
    <col min="5" max="5" width="16.5546875" customWidth="1"/>
    <col min="6" max="6" width="27.109375" customWidth="1"/>
    <col min="7" max="7" width="25.109375" customWidth="1"/>
    <col min="8" max="8" width="27.77734375" customWidth="1"/>
    <col min="9" max="9" width="20.44140625" customWidth="1"/>
    <col min="10" max="10" width="17.44140625" customWidth="1"/>
    <col min="11" max="11" width="32.5546875" bestFit="1" customWidth="1"/>
    <col min="12" max="12" width="21" style="2" bestFit="1" customWidth="1"/>
    <col min="13" max="13" width="26.77734375" style="2" customWidth="1"/>
    <col min="14" max="14" width="22.5546875" customWidth="1"/>
    <col min="15" max="15" width="25.44140625" style="2" customWidth="1"/>
    <col min="16" max="16" width="24.44140625" customWidth="1"/>
    <col min="17" max="17" width="22.109375" customWidth="1"/>
    <col min="18" max="18" width="22.5546875" customWidth="1"/>
    <col min="19" max="19" width="12.109375" style="2" bestFit="1" customWidth="1"/>
    <col min="20" max="20" width="21.6640625" bestFit="1" customWidth="1"/>
    <col min="21" max="21" width="38.77734375" customWidth="1"/>
  </cols>
  <sheetData>
    <row r="1" spans="1:21" s="11" customFormat="1" x14ac:dyDescent="0.3">
      <c r="B1" s="12"/>
      <c r="C1" s="12"/>
      <c r="D1" s="12"/>
      <c r="E1" s="12"/>
      <c r="F1" s="12"/>
      <c r="G1" s="12"/>
      <c r="H1" s="12"/>
      <c r="I1" s="12"/>
      <c r="J1" s="12"/>
      <c r="K1" s="12"/>
      <c r="L1" s="14"/>
      <c r="M1" s="14"/>
      <c r="N1" s="12"/>
      <c r="O1" s="14"/>
      <c r="P1" s="12"/>
      <c r="Q1" s="12"/>
      <c r="R1" s="12"/>
      <c r="S1" s="14"/>
      <c r="T1" s="12"/>
      <c r="U1" s="12"/>
    </row>
    <row r="2" spans="1:21" s="11" customFormat="1" x14ac:dyDescent="0.3">
      <c r="B2" s="12"/>
      <c r="C2" s="12"/>
      <c r="D2" s="12"/>
      <c r="E2" s="12"/>
      <c r="F2" s="13" t="s">
        <v>195</v>
      </c>
      <c r="G2" s="13"/>
      <c r="H2" s="13"/>
      <c r="I2" s="13"/>
      <c r="J2" s="13"/>
      <c r="K2" s="13"/>
      <c r="L2" s="14"/>
      <c r="M2" s="14"/>
      <c r="N2" s="12"/>
      <c r="O2" s="14"/>
      <c r="P2" s="12"/>
      <c r="Q2" s="12"/>
      <c r="R2" s="12"/>
      <c r="S2" s="14"/>
      <c r="T2" s="12"/>
      <c r="U2" s="12"/>
    </row>
    <row r="3" spans="1:21" s="11" customFormat="1" x14ac:dyDescent="0.3">
      <c r="B3" s="12"/>
      <c r="C3" s="12"/>
      <c r="D3" s="12"/>
      <c r="E3" s="12"/>
      <c r="F3" s="13"/>
      <c r="G3" s="13"/>
      <c r="H3" s="13"/>
      <c r="I3" s="13"/>
      <c r="J3" s="13"/>
      <c r="K3" s="13"/>
      <c r="L3" s="14"/>
      <c r="M3" s="14"/>
      <c r="N3" s="12"/>
      <c r="O3" s="14"/>
      <c r="P3" s="12"/>
      <c r="Q3" s="12"/>
      <c r="R3" s="12"/>
      <c r="S3" s="14"/>
      <c r="T3" s="12"/>
      <c r="U3" s="12"/>
    </row>
    <row r="4" spans="1:21" s="11" customFormat="1" x14ac:dyDescent="0.3">
      <c r="B4" s="12"/>
      <c r="C4" s="12"/>
      <c r="D4" s="12"/>
      <c r="E4" s="12"/>
      <c r="F4" s="13"/>
      <c r="G4" s="13"/>
      <c r="H4" s="13"/>
      <c r="I4" s="13"/>
      <c r="J4" s="13"/>
      <c r="K4" s="13"/>
      <c r="L4" s="14"/>
      <c r="M4" s="14"/>
      <c r="N4" s="12"/>
      <c r="O4" s="14"/>
      <c r="P4" s="12"/>
      <c r="Q4" s="12"/>
      <c r="R4" s="12"/>
      <c r="S4" s="14"/>
      <c r="T4" s="12"/>
      <c r="U4" s="12"/>
    </row>
    <row r="5" spans="1:21" s="11" customFormat="1" ht="15" thickBot="1" x14ac:dyDescent="0.35">
      <c r="B5" s="12"/>
      <c r="C5" s="12"/>
      <c r="D5" s="12"/>
      <c r="E5" s="12"/>
      <c r="F5" s="12"/>
      <c r="G5" s="12"/>
      <c r="H5" s="12"/>
      <c r="I5" s="12"/>
      <c r="J5" s="12"/>
      <c r="K5" s="12"/>
      <c r="L5" s="14"/>
      <c r="M5" s="14"/>
      <c r="N5" s="12"/>
      <c r="O5" s="14"/>
      <c r="P5" s="12"/>
      <c r="Q5" s="12"/>
      <c r="R5" s="12"/>
      <c r="S5" s="14"/>
      <c r="T5" s="12"/>
      <c r="U5" s="12"/>
    </row>
    <row r="6" spans="1:21" s="25" customFormat="1" ht="44.4" customHeight="1" x14ac:dyDescent="0.3">
      <c r="A6" s="28" t="s">
        <v>197</v>
      </c>
      <c r="B6" s="29" t="s">
        <v>43</v>
      </c>
      <c r="C6" s="29" t="s">
        <v>44</v>
      </c>
      <c r="D6" s="29" t="s">
        <v>0</v>
      </c>
      <c r="E6" s="29" t="s">
        <v>1</v>
      </c>
      <c r="F6" s="29" t="s">
        <v>2</v>
      </c>
      <c r="G6" s="29" t="s">
        <v>3</v>
      </c>
      <c r="H6" s="29" t="s">
        <v>42</v>
      </c>
      <c r="I6" s="29" t="s">
        <v>4</v>
      </c>
      <c r="J6" s="29" t="s">
        <v>5</v>
      </c>
      <c r="K6" s="29" t="s">
        <v>6</v>
      </c>
      <c r="L6" s="29" t="s">
        <v>61</v>
      </c>
      <c r="M6" s="29" t="s">
        <v>7</v>
      </c>
      <c r="N6" s="29" t="s">
        <v>8</v>
      </c>
      <c r="O6" s="29" t="s">
        <v>9</v>
      </c>
      <c r="P6" s="29" t="s">
        <v>10</v>
      </c>
      <c r="Q6" s="29" t="s">
        <v>11</v>
      </c>
      <c r="R6" s="29" t="s">
        <v>12</v>
      </c>
      <c r="S6" s="29" t="s">
        <v>13</v>
      </c>
      <c r="T6" s="29" t="s">
        <v>194</v>
      </c>
      <c r="U6" s="30" t="s">
        <v>14</v>
      </c>
    </row>
    <row r="7" spans="1:21" x14ac:dyDescent="0.3">
      <c r="A7" s="31">
        <v>1</v>
      </c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15" t="s">
        <v>67</v>
      </c>
      <c r="H7" s="15" t="s">
        <v>20</v>
      </c>
      <c r="I7" s="16" t="s">
        <v>21</v>
      </c>
      <c r="J7" s="17" t="s">
        <v>22</v>
      </c>
      <c r="K7" s="15" t="s">
        <v>23</v>
      </c>
      <c r="L7" s="16" t="s">
        <v>24</v>
      </c>
      <c r="M7" s="17" t="s">
        <v>26</v>
      </c>
      <c r="N7" s="17" t="s">
        <v>25</v>
      </c>
      <c r="O7" s="16">
        <f>M7-N7</f>
        <v>-2</v>
      </c>
      <c r="P7" s="15" t="s">
        <v>72</v>
      </c>
      <c r="Q7" s="15" t="s">
        <v>28</v>
      </c>
      <c r="R7" s="17" t="s">
        <v>29</v>
      </c>
      <c r="S7" s="16">
        <v>2</v>
      </c>
      <c r="T7" s="16" t="s">
        <v>24</v>
      </c>
      <c r="U7" s="18" t="s">
        <v>30</v>
      </c>
    </row>
    <row r="8" spans="1:21" x14ac:dyDescent="0.3">
      <c r="A8" s="31">
        <f>A7+1</f>
        <v>2</v>
      </c>
      <c r="B8" s="15" t="s">
        <v>15</v>
      </c>
      <c r="C8" s="15" t="s">
        <v>16</v>
      </c>
      <c r="D8" s="15" t="s">
        <v>31</v>
      </c>
      <c r="E8" s="15" t="s">
        <v>32</v>
      </c>
      <c r="F8" s="15" t="s">
        <v>33</v>
      </c>
      <c r="G8" s="15" t="s">
        <v>65</v>
      </c>
      <c r="H8" s="15" t="s">
        <v>35</v>
      </c>
      <c r="I8" s="16" t="s">
        <v>36</v>
      </c>
      <c r="J8" s="17" t="s">
        <v>37</v>
      </c>
      <c r="K8" s="15" t="s">
        <v>38</v>
      </c>
      <c r="L8" s="16" t="s">
        <v>24</v>
      </c>
      <c r="M8" s="17" t="s">
        <v>39</v>
      </c>
      <c r="N8" s="17" t="s">
        <v>22</v>
      </c>
      <c r="O8" s="16">
        <f t="shared" ref="O8:O47" si="0">M8-N8</f>
        <v>-2</v>
      </c>
      <c r="P8" s="15" t="s">
        <v>71</v>
      </c>
      <c r="Q8" s="15" t="s">
        <v>40</v>
      </c>
      <c r="R8" s="17"/>
      <c r="S8" s="16">
        <v>0</v>
      </c>
      <c r="T8" s="16" t="s">
        <v>24</v>
      </c>
      <c r="U8" s="18" t="s">
        <v>41</v>
      </c>
    </row>
    <row r="9" spans="1:21" x14ac:dyDescent="0.3">
      <c r="A9" s="31">
        <f t="shared" ref="A9:A47" si="1">A8+1</f>
        <v>3</v>
      </c>
      <c r="B9" s="15" t="s">
        <v>15</v>
      </c>
      <c r="C9" s="15" t="s">
        <v>16</v>
      </c>
      <c r="D9" s="15" t="s">
        <v>17</v>
      </c>
      <c r="E9" s="15" t="s">
        <v>77</v>
      </c>
      <c r="F9" s="15" t="s">
        <v>78</v>
      </c>
      <c r="G9" s="15" t="s">
        <v>34</v>
      </c>
      <c r="H9" s="15" t="s">
        <v>20</v>
      </c>
      <c r="I9" s="19" t="s">
        <v>79</v>
      </c>
      <c r="J9" s="17">
        <v>45669</v>
      </c>
      <c r="K9" s="15" t="s">
        <v>38</v>
      </c>
      <c r="L9" s="16" t="s">
        <v>24</v>
      </c>
      <c r="M9" s="17">
        <v>45667</v>
      </c>
      <c r="N9" s="17">
        <v>45669</v>
      </c>
      <c r="O9" s="16">
        <f t="shared" si="0"/>
        <v>-2</v>
      </c>
      <c r="P9" s="15" t="s">
        <v>27</v>
      </c>
      <c r="Q9" s="15" t="s">
        <v>40</v>
      </c>
      <c r="R9" s="17">
        <v>45675</v>
      </c>
      <c r="S9" s="16">
        <v>0</v>
      </c>
      <c r="T9" s="16" t="s">
        <v>62</v>
      </c>
      <c r="U9" s="18" t="s">
        <v>80</v>
      </c>
    </row>
    <row r="10" spans="1:21" x14ac:dyDescent="0.3">
      <c r="A10" s="31">
        <f t="shared" si="1"/>
        <v>4</v>
      </c>
      <c r="B10" s="15" t="s">
        <v>15</v>
      </c>
      <c r="C10" s="15" t="s">
        <v>16</v>
      </c>
      <c r="D10" s="15" t="s">
        <v>31</v>
      </c>
      <c r="E10" s="15" t="s">
        <v>32</v>
      </c>
      <c r="F10" s="15" t="s">
        <v>33</v>
      </c>
      <c r="G10" s="15" t="s">
        <v>66</v>
      </c>
      <c r="H10" s="15" t="s">
        <v>35</v>
      </c>
      <c r="I10" s="19" t="s">
        <v>36</v>
      </c>
      <c r="J10" s="17">
        <v>45669</v>
      </c>
      <c r="K10" s="15" t="s">
        <v>38</v>
      </c>
      <c r="L10" s="16" t="s">
        <v>24</v>
      </c>
      <c r="M10" s="17">
        <v>45665</v>
      </c>
      <c r="N10" s="17">
        <v>45667</v>
      </c>
      <c r="O10" s="16">
        <f t="shared" si="0"/>
        <v>-2</v>
      </c>
      <c r="P10" s="15" t="s">
        <v>27</v>
      </c>
      <c r="Q10" s="15" t="s">
        <v>40</v>
      </c>
      <c r="R10" s="17"/>
      <c r="S10" s="16">
        <v>0</v>
      </c>
      <c r="T10" s="16" t="s">
        <v>24</v>
      </c>
      <c r="U10" s="18" t="s">
        <v>41</v>
      </c>
    </row>
    <row r="11" spans="1:21" x14ac:dyDescent="0.3">
      <c r="A11" s="31">
        <f t="shared" si="1"/>
        <v>5</v>
      </c>
      <c r="B11" s="15" t="s">
        <v>15</v>
      </c>
      <c r="C11" s="15" t="s">
        <v>16</v>
      </c>
      <c r="D11" s="15" t="s">
        <v>31</v>
      </c>
      <c r="E11" s="15" t="s">
        <v>81</v>
      </c>
      <c r="F11" s="15" t="s">
        <v>82</v>
      </c>
      <c r="G11" s="15" t="s">
        <v>63</v>
      </c>
      <c r="H11" s="15" t="s">
        <v>35</v>
      </c>
      <c r="I11" s="19" t="s">
        <v>21</v>
      </c>
      <c r="J11" s="17">
        <v>45672</v>
      </c>
      <c r="K11" s="15" t="s">
        <v>83</v>
      </c>
      <c r="L11" s="16" t="s">
        <v>24</v>
      </c>
      <c r="M11" s="17">
        <v>45667</v>
      </c>
      <c r="N11" s="17">
        <v>45670</v>
      </c>
      <c r="O11" s="16">
        <f t="shared" si="0"/>
        <v>-3</v>
      </c>
      <c r="P11" s="15" t="s">
        <v>27</v>
      </c>
      <c r="Q11" s="15" t="s">
        <v>28</v>
      </c>
      <c r="R11" s="17">
        <v>45677</v>
      </c>
      <c r="S11" s="16">
        <v>2</v>
      </c>
      <c r="T11" s="16" t="s">
        <v>24</v>
      </c>
      <c r="U11" s="18" t="s">
        <v>76</v>
      </c>
    </row>
    <row r="12" spans="1:21" x14ac:dyDescent="0.3">
      <c r="A12" s="31">
        <f t="shared" si="1"/>
        <v>6</v>
      </c>
      <c r="B12" s="15" t="s">
        <v>15</v>
      </c>
      <c r="C12" s="15" t="s">
        <v>16</v>
      </c>
      <c r="D12" s="15" t="s">
        <v>31</v>
      </c>
      <c r="E12" s="15" t="s">
        <v>84</v>
      </c>
      <c r="F12" s="15" t="s">
        <v>85</v>
      </c>
      <c r="G12" s="15" t="s">
        <v>66</v>
      </c>
      <c r="H12" s="15" t="s">
        <v>35</v>
      </c>
      <c r="I12" s="19" t="s">
        <v>79</v>
      </c>
      <c r="J12" s="17">
        <v>45675</v>
      </c>
      <c r="K12" s="15" t="s">
        <v>38</v>
      </c>
      <c r="L12" s="16" t="s">
        <v>24</v>
      </c>
      <c r="M12" s="17">
        <v>45672</v>
      </c>
      <c r="N12" s="17">
        <v>45675</v>
      </c>
      <c r="O12" s="16">
        <f t="shared" si="0"/>
        <v>-3</v>
      </c>
      <c r="P12" s="15" t="s">
        <v>27</v>
      </c>
      <c r="Q12" s="15" t="s">
        <v>40</v>
      </c>
      <c r="R12" s="17"/>
      <c r="S12" s="16">
        <v>0</v>
      </c>
      <c r="T12" s="16" t="s">
        <v>24</v>
      </c>
      <c r="U12" s="18" t="s">
        <v>86</v>
      </c>
    </row>
    <row r="13" spans="1:21" x14ac:dyDescent="0.3">
      <c r="A13" s="31">
        <f t="shared" si="1"/>
        <v>7</v>
      </c>
      <c r="B13" s="15" t="s">
        <v>15</v>
      </c>
      <c r="C13" s="15" t="s">
        <v>16</v>
      </c>
      <c r="D13" s="15" t="s">
        <v>68</v>
      </c>
      <c r="E13" s="15" t="s">
        <v>87</v>
      </c>
      <c r="F13" s="15" t="s">
        <v>88</v>
      </c>
      <c r="G13" s="15" t="s">
        <v>67</v>
      </c>
      <c r="H13" s="15" t="s">
        <v>89</v>
      </c>
      <c r="I13" s="19" t="s">
        <v>36</v>
      </c>
      <c r="J13" s="17">
        <v>45671</v>
      </c>
      <c r="K13" s="15" t="s">
        <v>90</v>
      </c>
      <c r="L13" s="16" t="s">
        <v>24</v>
      </c>
      <c r="M13" s="17">
        <v>45667</v>
      </c>
      <c r="N13" s="17">
        <v>45671</v>
      </c>
      <c r="O13" s="16">
        <f t="shared" si="0"/>
        <v>-4</v>
      </c>
      <c r="P13" s="15" t="s">
        <v>27</v>
      </c>
      <c r="Q13" s="15" t="s">
        <v>28</v>
      </c>
      <c r="R13" s="17">
        <v>45679</v>
      </c>
      <c r="S13" s="16">
        <v>2</v>
      </c>
      <c r="T13" s="16" t="s">
        <v>24</v>
      </c>
      <c r="U13" s="18" t="s">
        <v>76</v>
      </c>
    </row>
    <row r="14" spans="1:21" x14ac:dyDescent="0.3">
      <c r="A14" s="31">
        <f t="shared" si="1"/>
        <v>8</v>
      </c>
      <c r="B14" s="15" t="s">
        <v>15</v>
      </c>
      <c r="C14" s="15" t="s">
        <v>16</v>
      </c>
      <c r="D14" s="15" t="s">
        <v>68</v>
      </c>
      <c r="E14" s="15" t="s">
        <v>91</v>
      </c>
      <c r="F14" s="15" t="s">
        <v>92</v>
      </c>
      <c r="G14" s="15" t="s">
        <v>66</v>
      </c>
      <c r="H14" s="15" t="s">
        <v>89</v>
      </c>
      <c r="I14" s="19" t="s">
        <v>21</v>
      </c>
      <c r="J14" s="17">
        <v>45673</v>
      </c>
      <c r="K14" s="15" t="s">
        <v>93</v>
      </c>
      <c r="L14" s="16" t="s">
        <v>24</v>
      </c>
      <c r="M14" s="17">
        <v>45669</v>
      </c>
      <c r="N14" s="17">
        <v>45672</v>
      </c>
      <c r="O14" s="16">
        <f t="shared" si="0"/>
        <v>-3</v>
      </c>
      <c r="P14" s="15" t="s">
        <v>27</v>
      </c>
      <c r="Q14" s="15" t="s">
        <v>28</v>
      </c>
      <c r="R14" s="17">
        <v>45681</v>
      </c>
      <c r="S14" s="16">
        <v>2</v>
      </c>
      <c r="T14" s="16" t="s">
        <v>62</v>
      </c>
      <c r="U14" s="18" t="s">
        <v>76</v>
      </c>
    </row>
    <row r="15" spans="1:21" x14ac:dyDescent="0.3">
      <c r="A15" s="31">
        <f t="shared" si="1"/>
        <v>9</v>
      </c>
      <c r="B15" s="15" t="s">
        <v>15</v>
      </c>
      <c r="C15" s="15" t="s">
        <v>16</v>
      </c>
      <c r="D15" s="15" t="s">
        <v>68</v>
      </c>
      <c r="E15" s="15" t="s">
        <v>94</v>
      </c>
      <c r="F15" s="15" t="s">
        <v>95</v>
      </c>
      <c r="G15" s="15" t="s">
        <v>65</v>
      </c>
      <c r="H15" s="15" t="s">
        <v>89</v>
      </c>
      <c r="I15" s="19" t="s">
        <v>36</v>
      </c>
      <c r="J15" s="17">
        <v>45675</v>
      </c>
      <c r="K15" s="15" t="s">
        <v>75</v>
      </c>
      <c r="L15" s="16" t="s">
        <v>24</v>
      </c>
      <c r="M15" s="17">
        <v>45672</v>
      </c>
      <c r="N15" s="17">
        <v>45675</v>
      </c>
      <c r="O15" s="16">
        <f t="shared" si="0"/>
        <v>-3</v>
      </c>
      <c r="P15" s="15" t="s">
        <v>27</v>
      </c>
      <c r="Q15" s="15" t="s">
        <v>28</v>
      </c>
      <c r="R15" s="17">
        <v>45682</v>
      </c>
      <c r="S15" s="16">
        <v>2</v>
      </c>
      <c r="T15" s="16" t="s">
        <v>62</v>
      </c>
      <c r="U15" s="18" t="s">
        <v>76</v>
      </c>
    </row>
    <row r="16" spans="1:21" x14ac:dyDescent="0.3">
      <c r="A16" s="31">
        <f t="shared" si="1"/>
        <v>10</v>
      </c>
      <c r="B16" s="15" t="s">
        <v>15</v>
      </c>
      <c r="C16" s="15" t="s">
        <v>96</v>
      </c>
      <c r="D16" s="15" t="s">
        <v>17</v>
      </c>
      <c r="E16" s="15" t="s">
        <v>97</v>
      </c>
      <c r="F16" s="15" t="s">
        <v>19</v>
      </c>
      <c r="G16" s="15" t="s">
        <v>65</v>
      </c>
      <c r="H16" s="15" t="s">
        <v>20</v>
      </c>
      <c r="I16" s="19" t="s">
        <v>36</v>
      </c>
      <c r="J16" s="17">
        <v>45677</v>
      </c>
      <c r="K16" s="15" t="s">
        <v>38</v>
      </c>
      <c r="L16" s="16" t="s">
        <v>24</v>
      </c>
      <c r="M16" s="17">
        <v>45675</v>
      </c>
      <c r="N16" s="17">
        <v>45677</v>
      </c>
      <c r="O16" s="16">
        <f t="shared" si="0"/>
        <v>-2</v>
      </c>
      <c r="P16" s="15" t="s">
        <v>27</v>
      </c>
      <c r="Q16" s="15" t="s">
        <v>40</v>
      </c>
      <c r="R16" s="17"/>
      <c r="S16" s="16">
        <v>0</v>
      </c>
      <c r="T16" s="16" t="s">
        <v>24</v>
      </c>
      <c r="U16" s="18" t="s">
        <v>98</v>
      </c>
    </row>
    <row r="17" spans="1:21" x14ac:dyDescent="0.3">
      <c r="A17" s="31">
        <f t="shared" si="1"/>
        <v>11</v>
      </c>
      <c r="B17" s="15" t="s">
        <v>15</v>
      </c>
      <c r="C17" s="15" t="s">
        <v>96</v>
      </c>
      <c r="D17" s="15" t="s">
        <v>17</v>
      </c>
      <c r="E17" s="15" t="s">
        <v>99</v>
      </c>
      <c r="F17" s="15" t="s">
        <v>100</v>
      </c>
      <c r="G17" s="15" t="s">
        <v>64</v>
      </c>
      <c r="H17" s="15" t="s">
        <v>20</v>
      </c>
      <c r="I17" s="19" t="s">
        <v>21</v>
      </c>
      <c r="J17" s="17">
        <v>45682</v>
      </c>
      <c r="K17" s="15" t="s">
        <v>101</v>
      </c>
      <c r="L17" s="16" t="s">
        <v>24</v>
      </c>
      <c r="M17" s="17">
        <v>45679</v>
      </c>
      <c r="N17" s="17">
        <v>45681</v>
      </c>
      <c r="O17" s="16">
        <f t="shared" si="0"/>
        <v>-2</v>
      </c>
      <c r="P17" s="15" t="s">
        <v>27</v>
      </c>
      <c r="Q17" s="15" t="s">
        <v>28</v>
      </c>
      <c r="R17" s="17">
        <v>45687</v>
      </c>
      <c r="S17" s="16">
        <v>2</v>
      </c>
      <c r="T17" s="16" t="s">
        <v>62</v>
      </c>
      <c r="U17" s="18" t="s">
        <v>76</v>
      </c>
    </row>
    <row r="18" spans="1:21" x14ac:dyDescent="0.3">
      <c r="A18" s="31">
        <f t="shared" si="1"/>
        <v>12</v>
      </c>
      <c r="B18" s="15" t="s">
        <v>15</v>
      </c>
      <c r="C18" s="15" t="s">
        <v>96</v>
      </c>
      <c r="D18" s="15" t="s">
        <v>31</v>
      </c>
      <c r="E18" s="15" t="s">
        <v>102</v>
      </c>
      <c r="F18" s="15" t="s">
        <v>103</v>
      </c>
      <c r="G18" s="15" t="s">
        <v>67</v>
      </c>
      <c r="H18" s="15" t="s">
        <v>35</v>
      </c>
      <c r="I18" s="19" t="s">
        <v>36</v>
      </c>
      <c r="J18" s="17">
        <v>45679</v>
      </c>
      <c r="K18" s="15" t="s">
        <v>38</v>
      </c>
      <c r="L18" s="16" t="s">
        <v>24</v>
      </c>
      <c r="M18" s="17">
        <v>45677</v>
      </c>
      <c r="N18" s="17">
        <v>45679</v>
      </c>
      <c r="O18" s="16">
        <f t="shared" si="0"/>
        <v>-2</v>
      </c>
      <c r="P18" s="15" t="s">
        <v>27</v>
      </c>
      <c r="Q18" s="15" t="s">
        <v>40</v>
      </c>
      <c r="R18" s="17"/>
      <c r="S18" s="16">
        <v>0</v>
      </c>
      <c r="T18" s="16" t="s">
        <v>24</v>
      </c>
      <c r="U18" s="18" t="s">
        <v>104</v>
      </c>
    </row>
    <row r="19" spans="1:21" x14ac:dyDescent="0.3">
      <c r="A19" s="31">
        <f t="shared" si="1"/>
        <v>13</v>
      </c>
      <c r="B19" s="15" t="s">
        <v>15</v>
      </c>
      <c r="C19" s="15" t="s">
        <v>96</v>
      </c>
      <c r="D19" s="15" t="s">
        <v>31</v>
      </c>
      <c r="E19" s="15" t="s">
        <v>105</v>
      </c>
      <c r="F19" s="15" t="s">
        <v>106</v>
      </c>
      <c r="G19" s="15" t="s">
        <v>65</v>
      </c>
      <c r="H19" s="15" t="s">
        <v>35</v>
      </c>
      <c r="I19" s="19" t="s">
        <v>79</v>
      </c>
      <c r="J19" s="17">
        <v>45683</v>
      </c>
      <c r="K19" s="15" t="s">
        <v>38</v>
      </c>
      <c r="L19" s="16" t="s">
        <v>24</v>
      </c>
      <c r="M19" s="17">
        <v>45682</v>
      </c>
      <c r="N19" s="17">
        <v>45683</v>
      </c>
      <c r="O19" s="16">
        <f t="shared" si="0"/>
        <v>-1</v>
      </c>
      <c r="P19" s="15" t="s">
        <v>27</v>
      </c>
      <c r="Q19" s="15" t="s">
        <v>40</v>
      </c>
      <c r="R19" s="17"/>
      <c r="S19" s="16">
        <v>0</v>
      </c>
      <c r="T19" s="16" t="s">
        <v>24</v>
      </c>
      <c r="U19" s="18" t="s">
        <v>76</v>
      </c>
    </row>
    <row r="20" spans="1:21" x14ac:dyDescent="0.3">
      <c r="A20" s="31">
        <f t="shared" si="1"/>
        <v>14</v>
      </c>
      <c r="B20" s="15" t="s">
        <v>15</v>
      </c>
      <c r="C20" s="15" t="s">
        <v>96</v>
      </c>
      <c r="D20" s="15" t="s">
        <v>68</v>
      </c>
      <c r="E20" s="15" t="s">
        <v>107</v>
      </c>
      <c r="F20" s="15" t="s">
        <v>108</v>
      </c>
      <c r="G20" s="15" t="s">
        <v>34</v>
      </c>
      <c r="H20" s="15" t="s">
        <v>89</v>
      </c>
      <c r="I20" s="19" t="s">
        <v>36</v>
      </c>
      <c r="J20" s="17">
        <v>45681</v>
      </c>
      <c r="K20" s="15" t="s">
        <v>75</v>
      </c>
      <c r="L20" s="16" t="s">
        <v>24</v>
      </c>
      <c r="M20" s="17">
        <v>45679</v>
      </c>
      <c r="N20" s="17">
        <v>45681</v>
      </c>
      <c r="O20" s="16">
        <f t="shared" si="0"/>
        <v>-2</v>
      </c>
      <c r="P20" s="15" t="s">
        <v>27</v>
      </c>
      <c r="Q20" s="15" t="s">
        <v>28</v>
      </c>
      <c r="R20" s="17">
        <v>45687</v>
      </c>
      <c r="S20" s="16">
        <v>2</v>
      </c>
      <c r="T20" s="16" t="s">
        <v>24</v>
      </c>
      <c r="U20" s="18" t="s">
        <v>109</v>
      </c>
    </row>
    <row r="21" spans="1:21" x14ac:dyDescent="0.3">
      <c r="A21" s="31">
        <f t="shared" si="1"/>
        <v>15</v>
      </c>
      <c r="B21" s="15" t="s">
        <v>110</v>
      </c>
      <c r="C21" s="15" t="s">
        <v>111</v>
      </c>
      <c r="D21" s="15" t="s">
        <v>17</v>
      </c>
      <c r="E21" s="15" t="s">
        <v>112</v>
      </c>
      <c r="F21" s="15" t="s">
        <v>19</v>
      </c>
      <c r="G21" s="15" t="s">
        <v>66</v>
      </c>
      <c r="H21" s="15" t="s">
        <v>20</v>
      </c>
      <c r="I21" s="19" t="s">
        <v>51</v>
      </c>
      <c r="J21" s="17">
        <v>45689</v>
      </c>
      <c r="K21" s="15" t="s">
        <v>113</v>
      </c>
      <c r="L21" s="16" t="s">
        <v>24</v>
      </c>
      <c r="M21" s="17">
        <v>45685</v>
      </c>
      <c r="N21" s="17">
        <v>45687</v>
      </c>
      <c r="O21" s="16">
        <f t="shared" si="0"/>
        <v>-2</v>
      </c>
      <c r="P21" s="15" t="s">
        <v>27</v>
      </c>
      <c r="Q21" s="15" t="s">
        <v>28</v>
      </c>
      <c r="R21" s="17">
        <v>45693</v>
      </c>
      <c r="S21" s="16">
        <v>2</v>
      </c>
      <c r="T21" s="16" t="s">
        <v>24</v>
      </c>
      <c r="U21" s="18" t="s">
        <v>76</v>
      </c>
    </row>
    <row r="22" spans="1:21" x14ac:dyDescent="0.3">
      <c r="A22" s="31">
        <f t="shared" si="1"/>
        <v>16</v>
      </c>
      <c r="B22" s="15" t="s">
        <v>110</v>
      </c>
      <c r="C22" s="15" t="s">
        <v>111</v>
      </c>
      <c r="D22" s="15" t="s">
        <v>17</v>
      </c>
      <c r="E22" s="15" t="s">
        <v>114</v>
      </c>
      <c r="F22" s="15" t="s">
        <v>78</v>
      </c>
      <c r="G22" s="15" t="s">
        <v>63</v>
      </c>
      <c r="H22" s="15" t="s">
        <v>20</v>
      </c>
      <c r="I22" s="19" t="s">
        <v>79</v>
      </c>
      <c r="J22" s="17">
        <v>45691</v>
      </c>
      <c r="K22" s="15" t="s">
        <v>38</v>
      </c>
      <c r="L22" s="16" t="s">
        <v>24</v>
      </c>
      <c r="M22" s="17">
        <v>45689</v>
      </c>
      <c r="N22" s="17">
        <v>45691</v>
      </c>
      <c r="O22" s="16">
        <f t="shared" si="0"/>
        <v>-2</v>
      </c>
      <c r="P22" s="15" t="s">
        <v>27</v>
      </c>
      <c r="Q22" s="15" t="s">
        <v>40</v>
      </c>
      <c r="R22" s="17"/>
      <c r="S22" s="16">
        <v>0</v>
      </c>
      <c r="T22" s="16" t="s">
        <v>62</v>
      </c>
      <c r="U22" s="18" t="s">
        <v>76</v>
      </c>
    </row>
    <row r="23" spans="1:21" x14ac:dyDescent="0.3">
      <c r="A23" s="31">
        <f t="shared" si="1"/>
        <v>17</v>
      </c>
      <c r="B23" s="15" t="s">
        <v>110</v>
      </c>
      <c r="C23" s="15" t="s">
        <v>111</v>
      </c>
      <c r="D23" s="15" t="s">
        <v>31</v>
      </c>
      <c r="E23" s="15" t="s">
        <v>115</v>
      </c>
      <c r="F23" s="15" t="s">
        <v>116</v>
      </c>
      <c r="G23" s="15" t="s">
        <v>66</v>
      </c>
      <c r="H23" s="15" t="s">
        <v>35</v>
      </c>
      <c r="I23" s="19" t="s">
        <v>36</v>
      </c>
      <c r="J23" s="17">
        <v>45690</v>
      </c>
      <c r="K23" s="15" t="s">
        <v>75</v>
      </c>
      <c r="L23" s="16" t="s">
        <v>24</v>
      </c>
      <c r="M23" s="17">
        <v>45687</v>
      </c>
      <c r="N23" s="17">
        <v>45690</v>
      </c>
      <c r="O23" s="16">
        <f t="shared" si="0"/>
        <v>-3</v>
      </c>
      <c r="P23" s="15" t="s">
        <v>27</v>
      </c>
      <c r="Q23" s="15" t="s">
        <v>28</v>
      </c>
      <c r="R23" s="17">
        <v>45696</v>
      </c>
      <c r="S23" s="16">
        <v>2</v>
      </c>
      <c r="T23" s="16" t="s">
        <v>24</v>
      </c>
      <c r="U23" s="18" t="s">
        <v>76</v>
      </c>
    </row>
    <row r="24" spans="1:21" x14ac:dyDescent="0.3">
      <c r="A24" s="31">
        <f t="shared" si="1"/>
        <v>18</v>
      </c>
      <c r="B24" s="15" t="s">
        <v>110</v>
      </c>
      <c r="C24" s="15" t="s">
        <v>111</v>
      </c>
      <c r="D24" s="15" t="s">
        <v>31</v>
      </c>
      <c r="E24" s="15" t="s">
        <v>117</v>
      </c>
      <c r="F24" s="15" t="s">
        <v>118</v>
      </c>
      <c r="G24" s="15" t="s">
        <v>67</v>
      </c>
      <c r="H24" s="15" t="s">
        <v>35</v>
      </c>
      <c r="I24" s="19" t="s">
        <v>79</v>
      </c>
      <c r="J24" s="17">
        <v>45693</v>
      </c>
      <c r="K24" s="15" t="s">
        <v>38</v>
      </c>
      <c r="L24" s="16" t="s">
        <v>24</v>
      </c>
      <c r="M24" s="17">
        <v>45691</v>
      </c>
      <c r="N24" s="17">
        <v>45693</v>
      </c>
      <c r="O24" s="16">
        <f t="shared" si="0"/>
        <v>-2</v>
      </c>
      <c r="P24" s="15" t="s">
        <v>27</v>
      </c>
      <c r="Q24" s="15" t="s">
        <v>40</v>
      </c>
      <c r="R24" s="17"/>
      <c r="S24" s="16">
        <v>0</v>
      </c>
      <c r="T24" s="16" t="s">
        <v>24</v>
      </c>
      <c r="U24" s="18" t="s">
        <v>76</v>
      </c>
    </row>
    <row r="25" spans="1:21" x14ac:dyDescent="0.3">
      <c r="A25" s="31">
        <f t="shared" si="1"/>
        <v>19</v>
      </c>
      <c r="B25" s="15" t="s">
        <v>110</v>
      </c>
      <c r="C25" s="15" t="s">
        <v>111</v>
      </c>
      <c r="D25" s="15" t="s">
        <v>68</v>
      </c>
      <c r="E25" s="15" t="s">
        <v>119</v>
      </c>
      <c r="F25" s="15" t="s">
        <v>120</v>
      </c>
      <c r="G25" s="15" t="s">
        <v>66</v>
      </c>
      <c r="H25" s="15" t="s">
        <v>89</v>
      </c>
      <c r="I25" s="19" t="s">
        <v>36</v>
      </c>
      <c r="J25" s="17">
        <v>45692</v>
      </c>
      <c r="K25" s="15" t="s">
        <v>75</v>
      </c>
      <c r="L25" s="16" t="s">
        <v>24</v>
      </c>
      <c r="M25" s="17">
        <v>45690</v>
      </c>
      <c r="N25" s="17">
        <v>45692</v>
      </c>
      <c r="O25" s="16">
        <f t="shared" si="0"/>
        <v>-2</v>
      </c>
      <c r="P25" s="15" t="s">
        <v>27</v>
      </c>
      <c r="Q25" s="15" t="s">
        <v>28</v>
      </c>
      <c r="R25" s="17">
        <v>45698</v>
      </c>
      <c r="S25" s="16">
        <v>2</v>
      </c>
      <c r="T25" s="16" t="s">
        <v>62</v>
      </c>
      <c r="U25" s="18" t="s">
        <v>76</v>
      </c>
    </row>
    <row r="26" spans="1:21" x14ac:dyDescent="0.3">
      <c r="A26" s="31">
        <f t="shared" si="1"/>
        <v>20</v>
      </c>
      <c r="B26" s="15" t="s">
        <v>110</v>
      </c>
      <c r="C26" s="15" t="s">
        <v>111</v>
      </c>
      <c r="D26" s="15" t="s">
        <v>68</v>
      </c>
      <c r="E26" s="15" t="s">
        <v>121</v>
      </c>
      <c r="F26" s="15" t="s">
        <v>122</v>
      </c>
      <c r="G26" s="15" t="s">
        <v>65</v>
      </c>
      <c r="H26" s="15" t="s">
        <v>89</v>
      </c>
      <c r="I26" s="19" t="s">
        <v>36</v>
      </c>
      <c r="J26" s="17">
        <v>45694</v>
      </c>
      <c r="K26" s="15" t="s">
        <v>75</v>
      </c>
      <c r="L26" s="16" t="s">
        <v>24</v>
      </c>
      <c r="M26" s="17">
        <v>45692</v>
      </c>
      <c r="N26" s="17">
        <v>45694</v>
      </c>
      <c r="O26" s="16">
        <f t="shared" si="0"/>
        <v>-2</v>
      </c>
      <c r="P26" s="15" t="s">
        <v>27</v>
      </c>
      <c r="Q26" s="15" t="s">
        <v>28</v>
      </c>
      <c r="R26" s="17">
        <v>45700</v>
      </c>
      <c r="S26" s="16">
        <v>2</v>
      </c>
      <c r="T26" s="16" t="s">
        <v>62</v>
      </c>
      <c r="U26" s="18" t="s">
        <v>76</v>
      </c>
    </row>
    <row r="27" spans="1:21" x14ac:dyDescent="0.3">
      <c r="A27" s="31">
        <f t="shared" si="1"/>
        <v>21</v>
      </c>
      <c r="B27" s="15" t="s">
        <v>110</v>
      </c>
      <c r="C27" s="15" t="s">
        <v>111</v>
      </c>
      <c r="D27" s="15" t="s">
        <v>68</v>
      </c>
      <c r="E27" s="15" t="s">
        <v>123</v>
      </c>
      <c r="F27" s="15" t="s">
        <v>124</v>
      </c>
      <c r="G27" s="15" t="s">
        <v>65</v>
      </c>
      <c r="H27" s="15" t="s">
        <v>89</v>
      </c>
      <c r="I27" s="19" t="s">
        <v>79</v>
      </c>
      <c r="J27" s="17">
        <v>45695</v>
      </c>
      <c r="K27" s="15" t="s">
        <v>38</v>
      </c>
      <c r="L27" s="16" t="s">
        <v>24</v>
      </c>
      <c r="M27" s="17">
        <v>45693</v>
      </c>
      <c r="N27" s="17">
        <v>45695</v>
      </c>
      <c r="O27" s="16">
        <f t="shared" si="0"/>
        <v>-2</v>
      </c>
      <c r="P27" s="15" t="s">
        <v>27</v>
      </c>
      <c r="Q27" s="15" t="s">
        <v>40</v>
      </c>
      <c r="R27" s="17"/>
      <c r="S27" s="16">
        <v>0</v>
      </c>
      <c r="T27" s="16" t="s">
        <v>24</v>
      </c>
      <c r="U27" s="18" t="s">
        <v>125</v>
      </c>
    </row>
    <row r="28" spans="1:21" x14ac:dyDescent="0.3">
      <c r="A28" s="31">
        <f t="shared" si="1"/>
        <v>22</v>
      </c>
      <c r="B28" s="15" t="s">
        <v>126</v>
      </c>
      <c r="C28" s="15" t="s">
        <v>16</v>
      </c>
      <c r="D28" s="15" t="s">
        <v>17</v>
      </c>
      <c r="E28" s="15" t="s">
        <v>127</v>
      </c>
      <c r="F28" s="15" t="s">
        <v>19</v>
      </c>
      <c r="G28" s="15" t="s">
        <v>64</v>
      </c>
      <c r="H28" s="15" t="s">
        <v>20</v>
      </c>
      <c r="I28" s="19" t="s">
        <v>52</v>
      </c>
      <c r="J28" s="17">
        <v>45698</v>
      </c>
      <c r="K28" s="15" t="s">
        <v>128</v>
      </c>
      <c r="L28" s="16" t="s">
        <v>24</v>
      </c>
      <c r="M28" s="17">
        <v>45691</v>
      </c>
      <c r="N28" s="17">
        <v>45694</v>
      </c>
      <c r="O28" s="16">
        <f t="shared" si="0"/>
        <v>-3</v>
      </c>
      <c r="P28" s="15" t="s">
        <v>71</v>
      </c>
      <c r="Q28" s="15" t="s">
        <v>28</v>
      </c>
      <c r="R28" s="17">
        <v>45703</v>
      </c>
      <c r="S28" s="16">
        <v>2</v>
      </c>
      <c r="T28" s="16" t="s">
        <v>24</v>
      </c>
      <c r="U28" s="18" t="s">
        <v>129</v>
      </c>
    </row>
    <row r="29" spans="1:21" x14ac:dyDescent="0.3">
      <c r="A29" s="31">
        <f t="shared" si="1"/>
        <v>23</v>
      </c>
      <c r="B29" s="15" t="s">
        <v>126</v>
      </c>
      <c r="C29" s="15" t="s">
        <v>16</v>
      </c>
      <c r="D29" s="15" t="s">
        <v>31</v>
      </c>
      <c r="E29" s="15" t="s">
        <v>130</v>
      </c>
      <c r="F29" s="15" t="s">
        <v>103</v>
      </c>
      <c r="G29" s="15" t="s">
        <v>67</v>
      </c>
      <c r="H29" s="15" t="s">
        <v>35</v>
      </c>
      <c r="I29" s="19" t="s">
        <v>51</v>
      </c>
      <c r="J29" s="17">
        <v>45700</v>
      </c>
      <c r="K29" s="15" t="s">
        <v>131</v>
      </c>
      <c r="L29" s="16" t="s">
        <v>24</v>
      </c>
      <c r="M29" s="17">
        <v>45693</v>
      </c>
      <c r="N29" s="17">
        <v>45697</v>
      </c>
      <c r="O29" s="16">
        <f t="shared" si="0"/>
        <v>-4</v>
      </c>
      <c r="P29" s="15" t="s">
        <v>132</v>
      </c>
      <c r="Q29" s="15" t="s">
        <v>40</v>
      </c>
      <c r="R29" s="17"/>
      <c r="S29" s="16">
        <v>0</v>
      </c>
      <c r="T29" s="16" t="s">
        <v>24</v>
      </c>
      <c r="U29" s="18" t="s">
        <v>133</v>
      </c>
    </row>
    <row r="30" spans="1:21" x14ac:dyDescent="0.3">
      <c r="A30" s="31">
        <f t="shared" si="1"/>
        <v>24</v>
      </c>
      <c r="B30" s="15" t="s">
        <v>126</v>
      </c>
      <c r="C30" s="15" t="s">
        <v>16</v>
      </c>
      <c r="D30" s="15" t="s">
        <v>68</v>
      </c>
      <c r="E30" s="15" t="s">
        <v>134</v>
      </c>
      <c r="F30" s="15" t="s">
        <v>135</v>
      </c>
      <c r="G30" s="15" t="s">
        <v>65</v>
      </c>
      <c r="H30" s="15" t="s">
        <v>136</v>
      </c>
      <c r="I30" s="19" t="s">
        <v>21</v>
      </c>
      <c r="J30" s="17">
        <v>45702</v>
      </c>
      <c r="K30" s="15" t="s">
        <v>137</v>
      </c>
      <c r="L30" s="16" t="s">
        <v>24</v>
      </c>
      <c r="M30" s="17">
        <v>45696</v>
      </c>
      <c r="N30" s="17">
        <v>45698</v>
      </c>
      <c r="O30" s="16">
        <f t="shared" si="0"/>
        <v>-2</v>
      </c>
      <c r="P30" s="15" t="s">
        <v>73</v>
      </c>
      <c r="Q30" s="15" t="s">
        <v>28</v>
      </c>
      <c r="R30" s="17">
        <v>45706</v>
      </c>
      <c r="S30" s="16">
        <v>2</v>
      </c>
      <c r="T30" s="16" t="s">
        <v>24</v>
      </c>
      <c r="U30" s="18" t="s">
        <v>138</v>
      </c>
    </row>
    <row r="31" spans="1:21" x14ac:dyDescent="0.3">
      <c r="A31" s="31">
        <f t="shared" si="1"/>
        <v>25</v>
      </c>
      <c r="B31" s="15" t="s">
        <v>126</v>
      </c>
      <c r="C31" s="15" t="s">
        <v>96</v>
      </c>
      <c r="D31" s="15" t="s">
        <v>17</v>
      </c>
      <c r="E31" s="15" t="s">
        <v>139</v>
      </c>
      <c r="F31" s="15" t="s">
        <v>140</v>
      </c>
      <c r="G31" s="15" t="s">
        <v>34</v>
      </c>
      <c r="H31" s="15" t="s">
        <v>20</v>
      </c>
      <c r="I31" s="19" t="s">
        <v>53</v>
      </c>
      <c r="J31" s="17">
        <v>45706</v>
      </c>
      <c r="K31" s="15" t="s">
        <v>141</v>
      </c>
      <c r="L31" s="16" t="s">
        <v>24</v>
      </c>
      <c r="M31" s="17">
        <v>45698</v>
      </c>
      <c r="N31" s="17">
        <v>45702</v>
      </c>
      <c r="O31" s="16">
        <f t="shared" si="0"/>
        <v>-4</v>
      </c>
      <c r="P31" s="15" t="s">
        <v>71</v>
      </c>
      <c r="Q31" s="15" t="s">
        <v>28</v>
      </c>
      <c r="R31" s="17">
        <v>45710</v>
      </c>
      <c r="S31" s="16">
        <v>2</v>
      </c>
      <c r="T31" s="16" t="s">
        <v>62</v>
      </c>
      <c r="U31" s="18" t="s">
        <v>142</v>
      </c>
    </row>
    <row r="32" spans="1:21" x14ac:dyDescent="0.3">
      <c r="A32" s="31">
        <f t="shared" si="1"/>
        <v>26</v>
      </c>
      <c r="B32" s="15" t="s">
        <v>126</v>
      </c>
      <c r="C32" s="15" t="s">
        <v>96</v>
      </c>
      <c r="D32" s="15" t="s">
        <v>31</v>
      </c>
      <c r="E32" s="15" t="s">
        <v>143</v>
      </c>
      <c r="F32" s="15" t="s">
        <v>82</v>
      </c>
      <c r="G32" s="15" t="s">
        <v>66</v>
      </c>
      <c r="H32" s="15" t="s">
        <v>35</v>
      </c>
      <c r="I32" s="19" t="s">
        <v>52</v>
      </c>
      <c r="J32" s="17">
        <v>45708</v>
      </c>
      <c r="K32" s="15" t="s">
        <v>144</v>
      </c>
      <c r="L32" s="16" t="s">
        <v>24</v>
      </c>
      <c r="M32" s="17">
        <v>45700</v>
      </c>
      <c r="N32" s="17">
        <v>45705</v>
      </c>
      <c r="O32" s="16">
        <f t="shared" si="0"/>
        <v>-5</v>
      </c>
      <c r="P32" s="15" t="s">
        <v>132</v>
      </c>
      <c r="Q32" s="15" t="s">
        <v>40</v>
      </c>
      <c r="R32" s="17"/>
      <c r="S32" s="16">
        <v>0</v>
      </c>
      <c r="T32" s="16" t="s">
        <v>24</v>
      </c>
      <c r="U32" s="18" t="s">
        <v>145</v>
      </c>
    </row>
    <row r="33" spans="1:21" x14ac:dyDescent="0.3">
      <c r="A33" s="31">
        <f t="shared" si="1"/>
        <v>27</v>
      </c>
      <c r="B33" s="15" t="s">
        <v>126</v>
      </c>
      <c r="C33" s="15" t="s">
        <v>96</v>
      </c>
      <c r="D33" s="15" t="s">
        <v>68</v>
      </c>
      <c r="E33" s="15" t="s">
        <v>146</v>
      </c>
      <c r="F33" s="15" t="s">
        <v>147</v>
      </c>
      <c r="G33" s="15" t="s">
        <v>63</v>
      </c>
      <c r="H33" s="15" t="s">
        <v>136</v>
      </c>
      <c r="I33" s="19" t="s">
        <v>51</v>
      </c>
      <c r="J33" s="17">
        <v>45709</v>
      </c>
      <c r="K33" s="15" t="s">
        <v>148</v>
      </c>
      <c r="L33" s="16" t="s">
        <v>24</v>
      </c>
      <c r="M33" s="17">
        <v>45703</v>
      </c>
      <c r="N33" s="17">
        <v>45706</v>
      </c>
      <c r="O33" s="16">
        <f t="shared" si="0"/>
        <v>-3</v>
      </c>
      <c r="P33" s="15" t="s">
        <v>73</v>
      </c>
      <c r="Q33" s="15" t="s">
        <v>28</v>
      </c>
      <c r="R33" s="17">
        <v>45713</v>
      </c>
      <c r="S33" s="16">
        <v>2</v>
      </c>
      <c r="T33" s="16" t="s">
        <v>62</v>
      </c>
      <c r="U33" s="18" t="s">
        <v>76</v>
      </c>
    </row>
    <row r="34" spans="1:21" x14ac:dyDescent="0.3">
      <c r="A34" s="31">
        <f t="shared" si="1"/>
        <v>28</v>
      </c>
      <c r="B34" s="15" t="s">
        <v>126</v>
      </c>
      <c r="C34" s="15" t="s">
        <v>111</v>
      </c>
      <c r="D34" s="15" t="s">
        <v>17</v>
      </c>
      <c r="E34" s="15" t="s">
        <v>149</v>
      </c>
      <c r="F34" s="15" t="s">
        <v>78</v>
      </c>
      <c r="G34" s="15" t="s">
        <v>66</v>
      </c>
      <c r="H34" s="15" t="s">
        <v>20</v>
      </c>
      <c r="I34" s="19" t="s">
        <v>21</v>
      </c>
      <c r="J34" s="17">
        <v>45710</v>
      </c>
      <c r="K34" s="15" t="s">
        <v>150</v>
      </c>
      <c r="L34" s="16" t="s">
        <v>24</v>
      </c>
      <c r="M34" s="17">
        <v>45706</v>
      </c>
      <c r="N34" s="17">
        <v>45708</v>
      </c>
      <c r="O34" s="16">
        <f t="shared" si="0"/>
        <v>-2</v>
      </c>
      <c r="P34" s="15" t="s">
        <v>71</v>
      </c>
      <c r="Q34" s="15" t="s">
        <v>40</v>
      </c>
      <c r="R34" s="17"/>
      <c r="S34" s="16">
        <v>0</v>
      </c>
      <c r="T34" s="16" t="s">
        <v>62</v>
      </c>
      <c r="U34" s="18" t="s">
        <v>76</v>
      </c>
    </row>
    <row r="35" spans="1:21" x14ac:dyDescent="0.3">
      <c r="A35" s="31">
        <f t="shared" si="1"/>
        <v>29</v>
      </c>
      <c r="B35" s="15" t="s">
        <v>126</v>
      </c>
      <c r="C35" s="15" t="s">
        <v>111</v>
      </c>
      <c r="D35" s="15" t="s">
        <v>31</v>
      </c>
      <c r="E35" s="15" t="s">
        <v>151</v>
      </c>
      <c r="F35" s="15" t="s">
        <v>152</v>
      </c>
      <c r="G35" s="15" t="s">
        <v>67</v>
      </c>
      <c r="H35" s="15" t="s">
        <v>35</v>
      </c>
      <c r="I35" s="19" t="s">
        <v>36</v>
      </c>
      <c r="J35" s="17">
        <v>45711</v>
      </c>
      <c r="K35" s="15" t="s">
        <v>38</v>
      </c>
      <c r="L35" s="16" t="s">
        <v>24</v>
      </c>
      <c r="M35" s="17">
        <v>45708</v>
      </c>
      <c r="N35" s="17">
        <v>45711</v>
      </c>
      <c r="O35" s="16">
        <f t="shared" si="0"/>
        <v>-3</v>
      </c>
      <c r="P35" s="15" t="s">
        <v>132</v>
      </c>
      <c r="Q35" s="15" t="s">
        <v>40</v>
      </c>
      <c r="R35" s="17"/>
      <c r="S35" s="16">
        <v>0</v>
      </c>
      <c r="T35" s="16" t="s">
        <v>24</v>
      </c>
      <c r="U35" s="18" t="s">
        <v>153</v>
      </c>
    </row>
    <row r="36" spans="1:21" x14ac:dyDescent="0.3">
      <c r="A36" s="31">
        <f t="shared" si="1"/>
        <v>30</v>
      </c>
      <c r="B36" s="15" t="s">
        <v>126</v>
      </c>
      <c r="C36" s="15" t="s">
        <v>111</v>
      </c>
      <c r="D36" s="15" t="s">
        <v>68</v>
      </c>
      <c r="E36" s="15" t="s">
        <v>154</v>
      </c>
      <c r="F36" s="15" t="s">
        <v>155</v>
      </c>
      <c r="G36" s="15" t="s">
        <v>66</v>
      </c>
      <c r="H36" s="15" t="s">
        <v>136</v>
      </c>
      <c r="I36" s="19" t="s">
        <v>21</v>
      </c>
      <c r="J36" s="17">
        <v>45713</v>
      </c>
      <c r="K36" s="15" t="s">
        <v>156</v>
      </c>
      <c r="L36" s="16" t="s">
        <v>24</v>
      </c>
      <c r="M36" s="17">
        <v>45708</v>
      </c>
      <c r="N36" s="17">
        <v>45712</v>
      </c>
      <c r="O36" s="16">
        <f t="shared" si="0"/>
        <v>-4</v>
      </c>
      <c r="P36" s="15" t="s">
        <v>73</v>
      </c>
      <c r="Q36" s="15" t="s">
        <v>28</v>
      </c>
      <c r="R36" s="17">
        <v>45716</v>
      </c>
      <c r="S36" s="16">
        <v>2</v>
      </c>
      <c r="T36" s="16" t="s">
        <v>62</v>
      </c>
      <c r="U36" s="18" t="s">
        <v>76</v>
      </c>
    </row>
    <row r="37" spans="1:21" x14ac:dyDescent="0.3">
      <c r="A37" s="31">
        <f t="shared" si="1"/>
        <v>31</v>
      </c>
      <c r="B37" s="15" t="s">
        <v>126</v>
      </c>
      <c r="C37" s="15" t="s">
        <v>157</v>
      </c>
      <c r="D37" s="15" t="s">
        <v>17</v>
      </c>
      <c r="E37" s="15" t="s">
        <v>158</v>
      </c>
      <c r="F37" s="15" t="s">
        <v>159</v>
      </c>
      <c r="G37" s="15" t="s">
        <v>65</v>
      </c>
      <c r="H37" s="15" t="s">
        <v>20</v>
      </c>
      <c r="I37" s="19" t="s">
        <v>54</v>
      </c>
      <c r="J37" s="17">
        <v>45716</v>
      </c>
      <c r="K37" s="15" t="s">
        <v>160</v>
      </c>
      <c r="L37" s="16" t="s">
        <v>24</v>
      </c>
      <c r="M37" s="17">
        <v>45708</v>
      </c>
      <c r="N37" s="17">
        <v>45714</v>
      </c>
      <c r="O37" s="16">
        <f t="shared" si="0"/>
        <v>-6</v>
      </c>
      <c r="P37" s="15" t="s">
        <v>71</v>
      </c>
      <c r="Q37" s="15" t="s">
        <v>28</v>
      </c>
      <c r="R37" s="17">
        <v>45718</v>
      </c>
      <c r="S37" s="16">
        <v>2</v>
      </c>
      <c r="T37" s="16" t="s">
        <v>24</v>
      </c>
      <c r="U37" s="18" t="s">
        <v>161</v>
      </c>
    </row>
    <row r="38" spans="1:21" x14ac:dyDescent="0.3">
      <c r="A38" s="31">
        <f t="shared" si="1"/>
        <v>32</v>
      </c>
      <c r="B38" s="15" t="s">
        <v>162</v>
      </c>
      <c r="C38" s="15" t="s">
        <v>16</v>
      </c>
      <c r="D38" s="15" t="s">
        <v>31</v>
      </c>
      <c r="E38" s="15" t="s">
        <v>163</v>
      </c>
      <c r="F38" s="15" t="s">
        <v>103</v>
      </c>
      <c r="G38" s="15" t="s">
        <v>65</v>
      </c>
      <c r="H38" s="15" t="s">
        <v>35</v>
      </c>
      <c r="I38" s="19" t="s">
        <v>53</v>
      </c>
      <c r="J38" s="17">
        <v>45718</v>
      </c>
      <c r="K38" s="15" t="s">
        <v>164</v>
      </c>
      <c r="L38" s="16" t="s">
        <v>24</v>
      </c>
      <c r="M38" s="17">
        <v>45710</v>
      </c>
      <c r="N38" s="17">
        <v>45715</v>
      </c>
      <c r="O38" s="16">
        <f t="shared" si="0"/>
        <v>-5</v>
      </c>
      <c r="P38" s="15" t="s">
        <v>132</v>
      </c>
      <c r="Q38" s="15" t="s">
        <v>40</v>
      </c>
      <c r="R38" s="17"/>
      <c r="S38" s="16">
        <v>0</v>
      </c>
      <c r="T38" s="16" t="s">
        <v>24</v>
      </c>
      <c r="U38" s="18" t="s">
        <v>165</v>
      </c>
    </row>
    <row r="39" spans="1:21" x14ac:dyDescent="0.3">
      <c r="A39" s="31">
        <f t="shared" si="1"/>
        <v>33</v>
      </c>
      <c r="B39" s="15" t="s">
        <v>162</v>
      </c>
      <c r="C39" s="15" t="s">
        <v>16</v>
      </c>
      <c r="D39" s="15" t="s">
        <v>68</v>
      </c>
      <c r="E39" s="15" t="s">
        <v>166</v>
      </c>
      <c r="F39" s="15" t="s">
        <v>108</v>
      </c>
      <c r="G39" s="15" t="s">
        <v>64</v>
      </c>
      <c r="H39" s="15" t="s">
        <v>136</v>
      </c>
      <c r="I39" s="19" t="s">
        <v>51</v>
      </c>
      <c r="J39" s="17">
        <v>45719</v>
      </c>
      <c r="K39" s="15" t="s">
        <v>167</v>
      </c>
      <c r="L39" s="16" t="s">
        <v>24</v>
      </c>
      <c r="M39" s="17">
        <v>45713</v>
      </c>
      <c r="N39" s="17">
        <v>45716</v>
      </c>
      <c r="O39" s="16">
        <f t="shared" si="0"/>
        <v>-3</v>
      </c>
      <c r="P39" s="15" t="s">
        <v>73</v>
      </c>
      <c r="Q39" s="15" t="s">
        <v>28</v>
      </c>
      <c r="R39" s="17">
        <v>45722</v>
      </c>
      <c r="S39" s="16">
        <v>2</v>
      </c>
      <c r="T39" s="16" t="s">
        <v>24</v>
      </c>
      <c r="U39" s="18" t="s">
        <v>168</v>
      </c>
    </row>
    <row r="40" spans="1:21" x14ac:dyDescent="0.3">
      <c r="A40" s="31">
        <f t="shared" si="1"/>
        <v>34</v>
      </c>
      <c r="B40" s="15" t="s">
        <v>162</v>
      </c>
      <c r="C40" s="15" t="s">
        <v>96</v>
      </c>
      <c r="D40" s="15" t="s">
        <v>17</v>
      </c>
      <c r="E40" s="15" t="s">
        <v>169</v>
      </c>
      <c r="F40" s="15" t="s">
        <v>19</v>
      </c>
      <c r="G40" s="15" t="s">
        <v>67</v>
      </c>
      <c r="H40" s="15" t="s">
        <v>20</v>
      </c>
      <c r="I40" s="19" t="s">
        <v>52</v>
      </c>
      <c r="J40" s="17">
        <v>45721</v>
      </c>
      <c r="K40" s="15" t="s">
        <v>170</v>
      </c>
      <c r="L40" s="16" t="s">
        <v>24</v>
      </c>
      <c r="M40" s="17">
        <v>45714</v>
      </c>
      <c r="N40" s="17">
        <v>45718</v>
      </c>
      <c r="O40" s="16">
        <f t="shared" si="0"/>
        <v>-4</v>
      </c>
      <c r="P40" s="15" t="s">
        <v>71</v>
      </c>
      <c r="Q40" s="15" t="s">
        <v>28</v>
      </c>
      <c r="R40" s="17">
        <v>45724</v>
      </c>
      <c r="S40" s="16">
        <v>2</v>
      </c>
      <c r="T40" s="16" t="s">
        <v>24</v>
      </c>
      <c r="U40" s="18" t="s">
        <v>171</v>
      </c>
    </row>
    <row r="41" spans="1:21" x14ac:dyDescent="0.3">
      <c r="A41" s="31">
        <f t="shared" si="1"/>
        <v>35</v>
      </c>
      <c r="B41" s="15" t="s">
        <v>162</v>
      </c>
      <c r="C41" s="15" t="s">
        <v>96</v>
      </c>
      <c r="D41" s="15" t="s">
        <v>31</v>
      </c>
      <c r="E41" s="15" t="s">
        <v>172</v>
      </c>
      <c r="F41" s="15" t="s">
        <v>106</v>
      </c>
      <c r="G41" s="15" t="s">
        <v>65</v>
      </c>
      <c r="H41" s="15" t="s">
        <v>35</v>
      </c>
      <c r="I41" s="19" t="s">
        <v>21</v>
      </c>
      <c r="J41" s="17">
        <v>45722</v>
      </c>
      <c r="K41" s="15" t="s">
        <v>38</v>
      </c>
      <c r="L41" s="16" t="s">
        <v>24</v>
      </c>
      <c r="M41" s="17">
        <v>45717</v>
      </c>
      <c r="N41" s="17">
        <v>45721</v>
      </c>
      <c r="O41" s="16">
        <f t="shared" si="0"/>
        <v>-4</v>
      </c>
      <c r="P41" s="15" t="s">
        <v>132</v>
      </c>
      <c r="Q41" s="15" t="s">
        <v>40</v>
      </c>
      <c r="R41" s="17"/>
      <c r="S41" s="16">
        <v>0</v>
      </c>
      <c r="T41" s="16" t="s">
        <v>24</v>
      </c>
      <c r="U41" s="18" t="s">
        <v>173</v>
      </c>
    </row>
    <row r="42" spans="1:21" x14ac:dyDescent="0.3">
      <c r="A42" s="31">
        <f t="shared" si="1"/>
        <v>36</v>
      </c>
      <c r="B42" s="15" t="s">
        <v>162</v>
      </c>
      <c r="C42" s="15" t="s">
        <v>111</v>
      </c>
      <c r="D42" s="15" t="s">
        <v>68</v>
      </c>
      <c r="E42" s="15" t="s">
        <v>174</v>
      </c>
      <c r="F42" s="15" t="s">
        <v>124</v>
      </c>
      <c r="G42" s="15" t="s">
        <v>34</v>
      </c>
      <c r="H42" s="15" t="s">
        <v>136</v>
      </c>
      <c r="I42" s="19" t="s">
        <v>36</v>
      </c>
      <c r="J42" s="17">
        <v>45724</v>
      </c>
      <c r="K42" s="15" t="s">
        <v>38</v>
      </c>
      <c r="L42" s="16" t="s">
        <v>24</v>
      </c>
      <c r="M42" s="17">
        <v>45720</v>
      </c>
      <c r="N42" s="17">
        <v>45723</v>
      </c>
      <c r="O42" s="16">
        <f t="shared" si="0"/>
        <v>-3</v>
      </c>
      <c r="P42" s="15" t="s">
        <v>73</v>
      </c>
      <c r="Q42" s="15" t="s">
        <v>40</v>
      </c>
      <c r="R42" s="17"/>
      <c r="S42" s="16">
        <v>0</v>
      </c>
      <c r="T42" s="16" t="s">
        <v>24</v>
      </c>
      <c r="U42" s="18" t="s">
        <v>175</v>
      </c>
    </row>
    <row r="43" spans="1:21" x14ac:dyDescent="0.3">
      <c r="A43" s="31">
        <f t="shared" si="1"/>
        <v>37</v>
      </c>
      <c r="B43" s="15" t="s">
        <v>162</v>
      </c>
      <c r="C43" s="15" t="s">
        <v>111</v>
      </c>
      <c r="D43" s="15" t="s">
        <v>17</v>
      </c>
      <c r="E43" s="15" t="s">
        <v>176</v>
      </c>
      <c r="F43" s="15" t="s">
        <v>177</v>
      </c>
      <c r="G43" s="15" t="s">
        <v>66</v>
      </c>
      <c r="H43" s="15" t="s">
        <v>20</v>
      </c>
      <c r="I43" s="19" t="s">
        <v>54</v>
      </c>
      <c r="J43" s="17">
        <v>45726</v>
      </c>
      <c r="K43" s="15" t="s">
        <v>178</v>
      </c>
      <c r="L43" s="16" t="s">
        <v>24</v>
      </c>
      <c r="M43" s="17">
        <v>45717</v>
      </c>
      <c r="N43" s="17">
        <v>45723</v>
      </c>
      <c r="O43" s="16">
        <f t="shared" si="0"/>
        <v>-6</v>
      </c>
      <c r="P43" s="15" t="s">
        <v>71</v>
      </c>
      <c r="Q43" s="15" t="s">
        <v>28</v>
      </c>
      <c r="R43" s="17">
        <v>45728</v>
      </c>
      <c r="S43" s="16">
        <v>2</v>
      </c>
      <c r="T43" s="16" t="s">
        <v>62</v>
      </c>
      <c r="U43" s="18" t="s">
        <v>179</v>
      </c>
    </row>
    <row r="44" spans="1:21" x14ac:dyDescent="0.3">
      <c r="A44" s="31">
        <f t="shared" si="1"/>
        <v>38</v>
      </c>
      <c r="B44" s="15" t="s">
        <v>162</v>
      </c>
      <c r="C44" s="15" t="s">
        <v>157</v>
      </c>
      <c r="D44" s="15" t="s">
        <v>31</v>
      </c>
      <c r="E44" s="15" t="s">
        <v>180</v>
      </c>
      <c r="F44" s="15" t="s">
        <v>116</v>
      </c>
      <c r="G44" s="15" t="s">
        <v>63</v>
      </c>
      <c r="H44" s="15" t="s">
        <v>35</v>
      </c>
      <c r="I44" s="19" t="s">
        <v>52</v>
      </c>
      <c r="J44" s="17">
        <v>45728</v>
      </c>
      <c r="K44" s="15" t="s">
        <v>181</v>
      </c>
      <c r="L44" s="16" t="s">
        <v>24</v>
      </c>
      <c r="M44" s="17">
        <v>45721</v>
      </c>
      <c r="N44" s="17">
        <v>45726</v>
      </c>
      <c r="O44" s="16">
        <f t="shared" si="0"/>
        <v>-5</v>
      </c>
      <c r="P44" s="15" t="s">
        <v>132</v>
      </c>
      <c r="Q44" s="15" t="s">
        <v>28</v>
      </c>
      <c r="R44" s="17">
        <v>45731</v>
      </c>
      <c r="S44" s="16">
        <v>2</v>
      </c>
      <c r="T44" s="16" t="s">
        <v>24</v>
      </c>
      <c r="U44" s="18" t="s">
        <v>182</v>
      </c>
    </row>
    <row r="45" spans="1:21" x14ac:dyDescent="0.3">
      <c r="A45" s="31">
        <f t="shared" si="1"/>
        <v>39</v>
      </c>
      <c r="B45" s="15" t="s">
        <v>162</v>
      </c>
      <c r="C45" s="15" t="s">
        <v>157</v>
      </c>
      <c r="D45" s="15" t="s">
        <v>68</v>
      </c>
      <c r="E45" s="15" t="s">
        <v>183</v>
      </c>
      <c r="F45" s="15" t="s">
        <v>120</v>
      </c>
      <c r="G45" s="15" t="s">
        <v>66</v>
      </c>
      <c r="H45" s="15" t="s">
        <v>136</v>
      </c>
      <c r="I45" s="19" t="s">
        <v>21</v>
      </c>
      <c r="J45" s="17">
        <v>45730</v>
      </c>
      <c r="K45" s="15" t="s">
        <v>184</v>
      </c>
      <c r="L45" s="16" t="s">
        <v>24</v>
      </c>
      <c r="M45" s="17">
        <v>45724</v>
      </c>
      <c r="N45" s="17">
        <v>45728</v>
      </c>
      <c r="O45" s="16">
        <f t="shared" si="0"/>
        <v>-4</v>
      </c>
      <c r="P45" s="15" t="s">
        <v>73</v>
      </c>
      <c r="Q45" s="15" t="s">
        <v>28</v>
      </c>
      <c r="R45" s="17">
        <v>45734</v>
      </c>
      <c r="S45" s="16">
        <v>2</v>
      </c>
      <c r="T45" s="16" t="s">
        <v>62</v>
      </c>
      <c r="U45" s="18" t="s">
        <v>76</v>
      </c>
    </row>
    <row r="46" spans="1:21" x14ac:dyDescent="0.3">
      <c r="A46" s="31">
        <f t="shared" si="1"/>
        <v>40</v>
      </c>
      <c r="B46" s="15" t="s">
        <v>162</v>
      </c>
      <c r="C46" s="15" t="s">
        <v>185</v>
      </c>
      <c r="D46" s="15" t="s">
        <v>17</v>
      </c>
      <c r="E46" s="15" t="s">
        <v>186</v>
      </c>
      <c r="F46" s="15" t="s">
        <v>187</v>
      </c>
      <c r="G46" s="15" t="s">
        <v>67</v>
      </c>
      <c r="H46" s="15" t="s">
        <v>20</v>
      </c>
      <c r="I46" s="19" t="s">
        <v>53</v>
      </c>
      <c r="J46" s="17">
        <v>45732</v>
      </c>
      <c r="K46" s="15" t="s">
        <v>188</v>
      </c>
      <c r="L46" s="16" t="s">
        <v>24</v>
      </c>
      <c r="M46" s="17">
        <v>45726</v>
      </c>
      <c r="N46" s="17">
        <v>45731</v>
      </c>
      <c r="O46" s="16">
        <f t="shared" si="0"/>
        <v>-5</v>
      </c>
      <c r="P46" s="15" t="s">
        <v>71</v>
      </c>
      <c r="Q46" s="15" t="s">
        <v>28</v>
      </c>
      <c r="R46" s="17">
        <v>45736</v>
      </c>
      <c r="S46" s="16">
        <v>2</v>
      </c>
      <c r="T46" s="16" t="s">
        <v>24</v>
      </c>
      <c r="U46" s="18" t="s">
        <v>189</v>
      </c>
    </row>
    <row r="47" spans="1:21" ht="15" thickBot="1" x14ac:dyDescent="0.35">
      <c r="A47" s="32">
        <f t="shared" si="1"/>
        <v>41</v>
      </c>
      <c r="B47" s="20" t="s">
        <v>162</v>
      </c>
      <c r="C47" s="20" t="s">
        <v>185</v>
      </c>
      <c r="D47" s="20" t="s">
        <v>31</v>
      </c>
      <c r="E47" s="20" t="s">
        <v>190</v>
      </c>
      <c r="F47" s="20" t="s">
        <v>191</v>
      </c>
      <c r="G47" s="20" t="s">
        <v>66</v>
      </c>
      <c r="H47" s="20" t="s">
        <v>35</v>
      </c>
      <c r="I47" s="21" t="s">
        <v>51</v>
      </c>
      <c r="J47" s="22">
        <v>45734</v>
      </c>
      <c r="K47" s="20" t="s">
        <v>192</v>
      </c>
      <c r="L47" s="23" t="s">
        <v>24</v>
      </c>
      <c r="M47" s="22">
        <v>45728</v>
      </c>
      <c r="N47" s="22">
        <v>45733</v>
      </c>
      <c r="O47" s="23">
        <f t="shared" si="0"/>
        <v>-5</v>
      </c>
      <c r="P47" s="20" t="s">
        <v>132</v>
      </c>
      <c r="Q47" s="20" t="s">
        <v>40</v>
      </c>
      <c r="R47" s="22"/>
      <c r="S47" s="23">
        <v>0</v>
      </c>
      <c r="T47" s="23" t="s">
        <v>24</v>
      </c>
      <c r="U47" s="24" t="s">
        <v>193</v>
      </c>
    </row>
  </sheetData>
  <autoFilter ref="B6:U47" xr:uid="{00000000-0001-0000-0000-000000000000}"/>
  <mergeCells count="1">
    <mergeCell ref="F2:K4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A833801-BD55-4841-8EF4-D87144D8F23E}">
          <x14:formula1>
            <xm:f>Input!$A$2:$A$5</xm:f>
          </x14:formula1>
          <xm:sqref>L7:L1048576 T7:T1048576</xm:sqref>
        </x14:dataValidation>
        <x14:dataValidation type="list" allowBlank="1" showInputMessage="1" showErrorMessage="1" xr:uid="{0669DD90-5668-4456-86D4-73B6DD4D4E68}">
          <x14:formula1>
            <xm:f>Input!$B$2:$B$9</xm:f>
          </x14:formula1>
          <xm:sqref>G7:G1048576</xm:sqref>
        </x14:dataValidation>
        <x14:dataValidation type="list" allowBlank="1" showInputMessage="1" showErrorMessage="1" xr:uid="{A1CCE92F-6E73-4025-9E6A-6B3E44895FFB}">
          <x14:formula1>
            <xm:f>Input!$C$2:$C$6</xm:f>
          </x14:formula1>
          <xm:sqref>D7:D1048576</xm:sqref>
        </x14:dataValidation>
        <x14:dataValidation type="list" allowBlank="1" showInputMessage="1" showErrorMessage="1" xr:uid="{7C236877-7253-4186-BCD1-73459CB62830}">
          <x14:formula1>
            <xm:f>Input!$D$2:$D$9</xm:f>
          </x14:formula1>
          <xm:sqref>P6:P1048576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CF24-ED2C-4300-AC9F-64D201A06732}">
  <dimension ref="A1:R51"/>
  <sheetViews>
    <sheetView view="pageBreakPreview" zoomScale="95" zoomScaleNormal="79" workbookViewId="0">
      <selection activeCell="N4" sqref="N4"/>
    </sheetView>
  </sheetViews>
  <sheetFormatPr defaultRowHeight="14.4" x14ac:dyDescent="0.3"/>
  <cols>
    <col min="1" max="1" width="5.88671875" style="1" customWidth="1"/>
    <col min="2" max="3" width="19.5546875" style="1" customWidth="1"/>
    <col min="4" max="4" width="18" style="1" customWidth="1"/>
    <col min="5" max="5" width="25" style="1" customWidth="1"/>
    <col min="6" max="18" width="14.5546875" style="1" customWidth="1"/>
    <col min="19" max="16384" width="8.88671875" style="1"/>
  </cols>
  <sheetData>
    <row r="1" spans="1:18" ht="63.6" customHeight="1" thickBot="1" x14ac:dyDescent="0.35">
      <c r="A1" s="48" t="s">
        <v>45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3"/>
      <c r="P1" s="3"/>
      <c r="Q1" s="3"/>
      <c r="R1" s="3"/>
    </row>
    <row r="2" spans="1:18" s="7" customFormat="1" x14ac:dyDescent="0.3">
      <c r="A2" s="45" t="s">
        <v>60</v>
      </c>
      <c r="B2" s="44" t="s">
        <v>46</v>
      </c>
      <c r="C2" s="46" t="s">
        <v>202</v>
      </c>
      <c r="D2" s="44" t="s">
        <v>47</v>
      </c>
      <c r="E2" s="44" t="s">
        <v>48</v>
      </c>
      <c r="F2" s="44" t="s">
        <v>49</v>
      </c>
      <c r="G2" s="44"/>
      <c r="H2" s="44"/>
      <c r="I2" s="44"/>
      <c r="J2" s="44"/>
      <c r="K2" s="44"/>
      <c r="L2" s="44"/>
      <c r="M2" s="47" t="s">
        <v>201</v>
      </c>
      <c r="N2" s="47" t="s">
        <v>14</v>
      </c>
      <c r="O2" s="4"/>
      <c r="P2" s="4"/>
      <c r="Q2" s="4"/>
      <c r="R2" s="4"/>
    </row>
    <row r="3" spans="1:18" s="7" customFormat="1" x14ac:dyDescent="0.3">
      <c r="A3" s="37"/>
      <c r="B3" s="34"/>
      <c r="C3" s="44"/>
      <c r="D3" s="34"/>
      <c r="E3" s="34"/>
      <c r="F3" s="35" t="s">
        <v>50</v>
      </c>
      <c r="G3" s="35" t="s">
        <v>36</v>
      </c>
      <c r="H3" s="35" t="s">
        <v>21</v>
      </c>
      <c r="I3" s="35" t="s">
        <v>51</v>
      </c>
      <c r="J3" s="35" t="s">
        <v>52</v>
      </c>
      <c r="K3" s="35" t="s">
        <v>53</v>
      </c>
      <c r="L3" s="35" t="s">
        <v>54</v>
      </c>
      <c r="M3" s="38"/>
      <c r="N3" s="38"/>
      <c r="O3" s="4"/>
      <c r="P3" s="4"/>
      <c r="Q3" s="4"/>
      <c r="R3" s="4"/>
    </row>
    <row r="4" spans="1:18" x14ac:dyDescent="0.3">
      <c r="A4" s="39">
        <v>1</v>
      </c>
      <c r="B4" s="36"/>
      <c r="C4" s="36"/>
      <c r="D4" s="36"/>
      <c r="E4" s="5" t="s">
        <v>56</v>
      </c>
      <c r="F4" s="8" t="b">
        <v>0</v>
      </c>
      <c r="G4" s="8" t="b">
        <v>0</v>
      </c>
      <c r="H4" s="8" t="b">
        <v>0</v>
      </c>
      <c r="I4" s="8" t="b">
        <v>0</v>
      </c>
      <c r="J4" s="8" t="b">
        <v>0</v>
      </c>
      <c r="K4" s="8" t="b">
        <v>0</v>
      </c>
      <c r="L4" s="8" t="b">
        <v>0</v>
      </c>
      <c r="M4" s="40"/>
    </row>
    <row r="5" spans="1:18" x14ac:dyDescent="0.3">
      <c r="A5" s="39"/>
      <c r="B5" s="36"/>
      <c r="C5" s="36"/>
      <c r="D5" s="36"/>
      <c r="E5" s="5" t="s">
        <v>57</v>
      </c>
      <c r="F5" s="8" t="b">
        <v>0</v>
      </c>
      <c r="G5" s="8" t="b">
        <v>0</v>
      </c>
      <c r="H5" s="8" t="b">
        <v>0</v>
      </c>
      <c r="I5" s="8" t="b">
        <v>0</v>
      </c>
      <c r="J5" s="8" t="b">
        <v>0</v>
      </c>
      <c r="K5" s="8" t="b">
        <v>0</v>
      </c>
      <c r="L5" s="8" t="b">
        <v>0</v>
      </c>
      <c r="M5" s="40"/>
    </row>
    <row r="6" spans="1:18" x14ac:dyDescent="0.3">
      <c r="A6" s="39"/>
      <c r="B6" s="36"/>
      <c r="C6" s="36"/>
      <c r="D6" s="36"/>
      <c r="E6" s="5" t="s">
        <v>58</v>
      </c>
      <c r="F6" s="8" t="b">
        <v>0</v>
      </c>
      <c r="G6" s="8" t="b">
        <v>0</v>
      </c>
      <c r="H6" s="8" t="b">
        <v>0</v>
      </c>
      <c r="I6" s="8" t="b">
        <v>0</v>
      </c>
      <c r="J6" s="8" t="b">
        <v>0</v>
      </c>
      <c r="K6" s="8" t="b">
        <v>0</v>
      </c>
      <c r="L6" s="8" t="b">
        <v>0</v>
      </c>
      <c r="M6" s="40"/>
    </row>
    <row r="7" spans="1:18" ht="15" customHeight="1" x14ac:dyDescent="0.3">
      <c r="A7" s="39"/>
      <c r="B7" s="36"/>
      <c r="C7" s="36"/>
      <c r="D7" s="36"/>
      <c r="E7" s="5" t="s">
        <v>55</v>
      </c>
      <c r="F7" s="8" t="b">
        <v>0</v>
      </c>
      <c r="G7" s="8" t="b">
        <v>0</v>
      </c>
      <c r="H7" s="8" t="b">
        <v>0</v>
      </c>
      <c r="I7" s="8" t="b">
        <v>0</v>
      </c>
      <c r="J7" s="8" t="b">
        <v>0</v>
      </c>
      <c r="K7" s="8" t="b">
        <v>0</v>
      </c>
      <c r="L7" s="8" t="b">
        <v>0</v>
      </c>
      <c r="M7" s="40"/>
    </row>
    <row r="8" spans="1:18" x14ac:dyDescent="0.3">
      <c r="A8" s="39"/>
      <c r="B8" s="36"/>
      <c r="C8" s="36"/>
      <c r="D8" s="36"/>
      <c r="E8" s="5" t="s">
        <v>59</v>
      </c>
      <c r="F8" s="8" t="b">
        <v>0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40"/>
    </row>
    <row r="9" spans="1:18" x14ac:dyDescent="0.3">
      <c r="A9" s="39"/>
      <c r="B9" s="36"/>
      <c r="C9" s="36"/>
      <c r="D9" s="36"/>
      <c r="E9" s="5" t="s">
        <v>55</v>
      </c>
      <c r="F9" s="8" t="b">
        <v>0</v>
      </c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0</v>
      </c>
      <c r="M9" s="40"/>
    </row>
    <row r="10" spans="1:18" x14ac:dyDescent="0.3">
      <c r="A10" s="39">
        <f>A4+1</f>
        <v>2</v>
      </c>
      <c r="B10" s="36"/>
      <c r="C10" s="36"/>
      <c r="D10" s="36"/>
      <c r="E10" s="5" t="s">
        <v>56</v>
      </c>
      <c r="F10" s="8" t="b">
        <v>0</v>
      </c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0</v>
      </c>
      <c r="M10" s="40"/>
    </row>
    <row r="11" spans="1:18" x14ac:dyDescent="0.3">
      <c r="A11" s="39"/>
      <c r="B11" s="36"/>
      <c r="C11" s="36"/>
      <c r="D11" s="36"/>
      <c r="E11" s="5" t="s">
        <v>57</v>
      </c>
      <c r="F11" s="8" t="b">
        <v>0</v>
      </c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0</v>
      </c>
      <c r="M11" s="40"/>
    </row>
    <row r="12" spans="1:18" x14ac:dyDescent="0.3">
      <c r="A12" s="39"/>
      <c r="B12" s="36"/>
      <c r="C12" s="36"/>
      <c r="D12" s="36"/>
      <c r="E12" s="5" t="s">
        <v>58</v>
      </c>
      <c r="F12" s="8" t="b">
        <v>0</v>
      </c>
      <c r="G12" s="8" t="b">
        <v>0</v>
      </c>
      <c r="H12" s="8" t="b">
        <v>0</v>
      </c>
      <c r="I12" s="8" t="b">
        <v>0</v>
      </c>
      <c r="J12" s="8" t="b">
        <v>0</v>
      </c>
      <c r="K12" s="8" t="b">
        <v>0</v>
      </c>
      <c r="L12" s="8" t="b">
        <v>0</v>
      </c>
      <c r="M12" s="40"/>
    </row>
    <row r="13" spans="1:18" x14ac:dyDescent="0.3">
      <c r="A13" s="39"/>
      <c r="B13" s="36"/>
      <c r="C13" s="36"/>
      <c r="D13" s="36"/>
      <c r="E13" s="5" t="s">
        <v>55</v>
      </c>
      <c r="F13" s="8" t="b">
        <v>0</v>
      </c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0</v>
      </c>
      <c r="M13" s="40"/>
    </row>
    <row r="14" spans="1:18" x14ac:dyDescent="0.3">
      <c r="A14" s="39"/>
      <c r="B14" s="36"/>
      <c r="C14" s="36"/>
      <c r="D14" s="36"/>
      <c r="E14" s="5" t="s">
        <v>59</v>
      </c>
      <c r="F14" s="8" t="b">
        <v>0</v>
      </c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0</v>
      </c>
      <c r="M14" s="40"/>
    </row>
    <row r="15" spans="1:18" x14ac:dyDescent="0.3">
      <c r="A15" s="39"/>
      <c r="B15" s="36"/>
      <c r="C15" s="36"/>
      <c r="D15" s="36"/>
      <c r="E15" s="5" t="s">
        <v>55</v>
      </c>
      <c r="F15" s="8" t="b">
        <v>0</v>
      </c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40"/>
    </row>
    <row r="16" spans="1:18" x14ac:dyDescent="0.3">
      <c r="A16" s="39">
        <f>A10+1</f>
        <v>3</v>
      </c>
      <c r="B16" s="36"/>
      <c r="C16" s="36"/>
      <c r="D16" s="36"/>
      <c r="E16" s="5" t="s">
        <v>56</v>
      </c>
      <c r="F16" s="8" t="b">
        <v>0</v>
      </c>
      <c r="G16" s="8" t="b">
        <v>0</v>
      </c>
      <c r="H16" s="8" t="b">
        <v>0</v>
      </c>
      <c r="I16" s="8" t="b">
        <v>0</v>
      </c>
      <c r="J16" s="8" t="b">
        <v>0</v>
      </c>
      <c r="K16" s="8" t="b">
        <v>0</v>
      </c>
      <c r="L16" s="8" t="b">
        <v>0</v>
      </c>
      <c r="M16" s="40"/>
    </row>
    <row r="17" spans="1:13" x14ac:dyDescent="0.3">
      <c r="A17" s="39"/>
      <c r="B17" s="36"/>
      <c r="C17" s="36"/>
      <c r="D17" s="36"/>
      <c r="E17" s="5" t="s">
        <v>57</v>
      </c>
      <c r="F17" s="8" t="b">
        <v>0</v>
      </c>
      <c r="G17" s="8" t="b">
        <v>0</v>
      </c>
      <c r="H17" s="8" t="b">
        <v>0</v>
      </c>
      <c r="I17" s="8" t="b">
        <v>0</v>
      </c>
      <c r="J17" s="8" t="b">
        <v>0</v>
      </c>
      <c r="K17" s="8" t="b">
        <v>0</v>
      </c>
      <c r="L17" s="8" t="b">
        <v>0</v>
      </c>
      <c r="M17" s="40"/>
    </row>
    <row r="18" spans="1:13" x14ac:dyDescent="0.3">
      <c r="A18" s="39"/>
      <c r="B18" s="36"/>
      <c r="C18" s="36"/>
      <c r="D18" s="36"/>
      <c r="E18" s="5" t="s">
        <v>58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0</v>
      </c>
      <c r="L18" s="8" t="b">
        <v>0</v>
      </c>
      <c r="M18" s="40"/>
    </row>
    <row r="19" spans="1:13" x14ac:dyDescent="0.3">
      <c r="A19" s="39"/>
      <c r="B19" s="36"/>
      <c r="C19" s="36"/>
      <c r="D19" s="36"/>
      <c r="E19" s="5" t="s">
        <v>55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0</v>
      </c>
      <c r="L19" s="8" t="b">
        <v>0</v>
      </c>
      <c r="M19" s="40"/>
    </row>
    <row r="20" spans="1:13" x14ac:dyDescent="0.3">
      <c r="A20" s="39"/>
      <c r="B20" s="36"/>
      <c r="C20" s="36"/>
      <c r="D20" s="36"/>
      <c r="E20" s="5" t="s">
        <v>59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0</v>
      </c>
      <c r="L20" s="8" t="b">
        <v>0</v>
      </c>
      <c r="M20" s="40"/>
    </row>
    <row r="21" spans="1:13" x14ac:dyDescent="0.3">
      <c r="A21" s="39"/>
      <c r="B21" s="36"/>
      <c r="C21" s="36"/>
      <c r="D21" s="36"/>
      <c r="E21" s="5" t="s">
        <v>55</v>
      </c>
      <c r="F21" s="8" t="b">
        <v>0</v>
      </c>
      <c r="G21" s="8" t="b">
        <v>0</v>
      </c>
      <c r="H21" s="8" t="b">
        <v>0</v>
      </c>
      <c r="I21" s="8" t="b">
        <v>0</v>
      </c>
      <c r="J21" s="8" t="b">
        <v>0</v>
      </c>
      <c r="K21" s="8" t="b">
        <v>0</v>
      </c>
      <c r="L21" s="8" t="b">
        <v>0</v>
      </c>
      <c r="M21" s="40"/>
    </row>
    <row r="22" spans="1:13" x14ac:dyDescent="0.3">
      <c r="A22" s="39">
        <f>A16+1</f>
        <v>4</v>
      </c>
      <c r="B22" s="36"/>
      <c r="C22" s="36"/>
      <c r="D22" s="36"/>
      <c r="E22" s="5" t="s">
        <v>56</v>
      </c>
      <c r="F22" s="8" t="b">
        <v>0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0</v>
      </c>
      <c r="M22" s="40"/>
    </row>
    <row r="23" spans="1:13" x14ac:dyDescent="0.3">
      <c r="A23" s="39"/>
      <c r="B23" s="36"/>
      <c r="C23" s="36"/>
      <c r="D23" s="36"/>
      <c r="E23" s="5" t="s">
        <v>57</v>
      </c>
      <c r="F23" s="8" t="b">
        <v>0</v>
      </c>
      <c r="G23" s="8" t="b">
        <v>0</v>
      </c>
      <c r="H23" s="8" t="b">
        <v>0</v>
      </c>
      <c r="I23" s="8" t="b">
        <v>0</v>
      </c>
      <c r="J23" s="8" t="b">
        <v>0</v>
      </c>
      <c r="K23" s="8" t="b">
        <v>0</v>
      </c>
      <c r="L23" s="8" t="b">
        <v>0</v>
      </c>
      <c r="M23" s="40"/>
    </row>
    <row r="24" spans="1:13" x14ac:dyDescent="0.3">
      <c r="A24" s="39"/>
      <c r="B24" s="36"/>
      <c r="C24" s="36"/>
      <c r="D24" s="36"/>
      <c r="E24" s="5" t="s">
        <v>58</v>
      </c>
      <c r="F24" s="8" t="b">
        <v>0</v>
      </c>
      <c r="G24" s="8" t="b">
        <v>0</v>
      </c>
      <c r="H24" s="8" t="b">
        <v>0</v>
      </c>
      <c r="I24" s="8" t="b">
        <v>0</v>
      </c>
      <c r="J24" s="8" t="b">
        <v>0</v>
      </c>
      <c r="K24" s="8" t="b">
        <v>0</v>
      </c>
      <c r="L24" s="8" t="b">
        <v>0</v>
      </c>
      <c r="M24" s="40"/>
    </row>
    <row r="25" spans="1:13" x14ac:dyDescent="0.3">
      <c r="A25" s="39"/>
      <c r="B25" s="36"/>
      <c r="C25" s="36"/>
      <c r="D25" s="36"/>
      <c r="E25" s="5" t="s">
        <v>55</v>
      </c>
      <c r="F25" s="8" t="b">
        <v>0</v>
      </c>
      <c r="G25" s="8" t="b">
        <v>0</v>
      </c>
      <c r="H25" s="8" t="b">
        <v>0</v>
      </c>
      <c r="I25" s="8" t="b">
        <v>0</v>
      </c>
      <c r="J25" s="8" t="b">
        <v>0</v>
      </c>
      <c r="K25" s="8" t="b">
        <v>0</v>
      </c>
      <c r="L25" s="8" t="b">
        <v>0</v>
      </c>
      <c r="M25" s="40"/>
    </row>
    <row r="26" spans="1:13" x14ac:dyDescent="0.3">
      <c r="A26" s="39"/>
      <c r="B26" s="36"/>
      <c r="C26" s="36"/>
      <c r="D26" s="36"/>
      <c r="E26" s="5" t="s">
        <v>59</v>
      </c>
      <c r="F26" s="8" t="b">
        <v>0</v>
      </c>
      <c r="G26" s="8" t="b">
        <v>0</v>
      </c>
      <c r="H26" s="8" t="b">
        <v>0</v>
      </c>
      <c r="I26" s="8" t="b">
        <v>0</v>
      </c>
      <c r="J26" s="8" t="b">
        <v>0</v>
      </c>
      <c r="K26" s="8" t="b">
        <v>0</v>
      </c>
      <c r="L26" s="8" t="b">
        <v>0</v>
      </c>
      <c r="M26" s="40"/>
    </row>
    <row r="27" spans="1:13" x14ac:dyDescent="0.3">
      <c r="A27" s="39"/>
      <c r="B27" s="36"/>
      <c r="C27" s="36"/>
      <c r="D27" s="36"/>
      <c r="E27" s="5" t="s">
        <v>55</v>
      </c>
      <c r="F27" s="8" t="b">
        <v>0</v>
      </c>
      <c r="G27" s="8" t="b">
        <v>0</v>
      </c>
      <c r="H27" s="8" t="b">
        <v>0</v>
      </c>
      <c r="I27" s="8" t="b">
        <v>0</v>
      </c>
      <c r="J27" s="8" t="b">
        <v>0</v>
      </c>
      <c r="K27" s="8" t="b">
        <v>0</v>
      </c>
      <c r="L27" s="8" t="b">
        <v>0</v>
      </c>
      <c r="M27" s="40"/>
    </row>
    <row r="28" spans="1:13" x14ac:dyDescent="0.3">
      <c r="A28" s="39">
        <f>A22+1</f>
        <v>5</v>
      </c>
      <c r="B28" s="36"/>
      <c r="C28" s="36"/>
      <c r="D28" s="36"/>
      <c r="E28" s="5" t="s">
        <v>56</v>
      </c>
      <c r="F28" s="8" t="b">
        <v>0</v>
      </c>
      <c r="G28" s="8" t="b">
        <v>0</v>
      </c>
      <c r="H28" s="8" t="b">
        <v>0</v>
      </c>
      <c r="I28" s="8" t="b">
        <v>0</v>
      </c>
      <c r="J28" s="8" t="b">
        <v>0</v>
      </c>
      <c r="K28" s="8" t="b">
        <v>0</v>
      </c>
      <c r="L28" s="8" t="b">
        <v>0</v>
      </c>
      <c r="M28" s="40"/>
    </row>
    <row r="29" spans="1:13" x14ac:dyDescent="0.3">
      <c r="A29" s="39"/>
      <c r="B29" s="36"/>
      <c r="C29" s="36"/>
      <c r="D29" s="36"/>
      <c r="E29" s="5" t="s">
        <v>57</v>
      </c>
      <c r="F29" s="8" t="b">
        <v>0</v>
      </c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40"/>
    </row>
    <row r="30" spans="1:13" x14ac:dyDescent="0.3">
      <c r="A30" s="39"/>
      <c r="B30" s="36"/>
      <c r="C30" s="36"/>
      <c r="D30" s="36"/>
      <c r="E30" s="5" t="s">
        <v>58</v>
      </c>
      <c r="F30" s="8" t="b">
        <v>0</v>
      </c>
      <c r="G30" s="8" t="b">
        <v>0</v>
      </c>
      <c r="H30" s="8" t="b">
        <v>0</v>
      </c>
      <c r="I30" s="8" t="b">
        <v>0</v>
      </c>
      <c r="J30" s="8" t="b">
        <v>0</v>
      </c>
      <c r="K30" s="8" t="b">
        <v>0</v>
      </c>
      <c r="L30" s="8" t="b">
        <v>0</v>
      </c>
      <c r="M30" s="40"/>
    </row>
    <row r="31" spans="1:13" x14ac:dyDescent="0.3">
      <c r="A31" s="39"/>
      <c r="B31" s="36"/>
      <c r="C31" s="36"/>
      <c r="D31" s="36"/>
      <c r="E31" s="5" t="s">
        <v>55</v>
      </c>
      <c r="F31" s="8" t="b">
        <v>0</v>
      </c>
      <c r="G31" s="8" t="b">
        <v>0</v>
      </c>
      <c r="H31" s="8" t="b">
        <v>0</v>
      </c>
      <c r="I31" s="8" t="b">
        <v>0</v>
      </c>
      <c r="J31" s="8" t="b">
        <v>0</v>
      </c>
      <c r="K31" s="8" t="b">
        <v>0</v>
      </c>
      <c r="L31" s="8" t="b">
        <v>0</v>
      </c>
      <c r="M31" s="40"/>
    </row>
    <row r="32" spans="1:13" x14ac:dyDescent="0.3">
      <c r="A32" s="39"/>
      <c r="B32" s="36"/>
      <c r="C32" s="36"/>
      <c r="D32" s="36"/>
      <c r="E32" s="5" t="s">
        <v>59</v>
      </c>
      <c r="F32" s="8" t="b">
        <v>0</v>
      </c>
      <c r="G32" s="8" t="b">
        <v>0</v>
      </c>
      <c r="H32" s="8" t="b">
        <v>0</v>
      </c>
      <c r="I32" s="8" t="b">
        <v>0</v>
      </c>
      <c r="J32" s="8" t="b">
        <v>0</v>
      </c>
      <c r="K32" s="8" t="b">
        <v>0</v>
      </c>
      <c r="L32" s="8" t="b">
        <v>0</v>
      </c>
      <c r="M32" s="40"/>
    </row>
    <row r="33" spans="1:13" x14ac:dyDescent="0.3">
      <c r="A33" s="39"/>
      <c r="B33" s="36"/>
      <c r="C33" s="36"/>
      <c r="D33" s="36"/>
      <c r="E33" s="5" t="s">
        <v>55</v>
      </c>
      <c r="F33" s="8" t="b">
        <v>0</v>
      </c>
      <c r="G33" s="8" t="b">
        <v>0</v>
      </c>
      <c r="H33" s="8" t="b">
        <v>0</v>
      </c>
      <c r="I33" s="8" t="b">
        <v>0</v>
      </c>
      <c r="J33" s="8" t="b">
        <v>0</v>
      </c>
      <c r="K33" s="8" t="b">
        <v>0</v>
      </c>
      <c r="L33" s="8" t="b">
        <v>0</v>
      </c>
      <c r="M33" s="40"/>
    </row>
    <row r="34" spans="1:13" x14ac:dyDescent="0.3">
      <c r="A34" s="39">
        <f>A28+1</f>
        <v>6</v>
      </c>
      <c r="B34" s="36"/>
      <c r="C34" s="36"/>
      <c r="D34" s="36"/>
      <c r="E34" s="5" t="s">
        <v>56</v>
      </c>
      <c r="F34" s="8" t="b">
        <v>0</v>
      </c>
      <c r="G34" s="8" t="b">
        <v>0</v>
      </c>
      <c r="H34" s="8" t="b">
        <v>0</v>
      </c>
      <c r="I34" s="8" t="b">
        <v>0</v>
      </c>
      <c r="J34" s="8" t="b">
        <v>0</v>
      </c>
      <c r="K34" s="8" t="b">
        <v>0</v>
      </c>
      <c r="L34" s="8" t="b">
        <v>0</v>
      </c>
      <c r="M34" s="40"/>
    </row>
    <row r="35" spans="1:13" x14ac:dyDescent="0.3">
      <c r="A35" s="39"/>
      <c r="B35" s="36"/>
      <c r="C35" s="36"/>
      <c r="D35" s="36"/>
      <c r="E35" s="5" t="s">
        <v>57</v>
      </c>
      <c r="F35" s="8" t="b">
        <v>0</v>
      </c>
      <c r="G35" s="8" t="b">
        <v>0</v>
      </c>
      <c r="H35" s="8" t="b">
        <v>0</v>
      </c>
      <c r="I35" s="8" t="b">
        <v>0</v>
      </c>
      <c r="J35" s="8" t="b">
        <v>0</v>
      </c>
      <c r="K35" s="8" t="b">
        <v>0</v>
      </c>
      <c r="L35" s="8" t="b">
        <v>0</v>
      </c>
      <c r="M35" s="40"/>
    </row>
    <row r="36" spans="1:13" x14ac:dyDescent="0.3">
      <c r="A36" s="39"/>
      <c r="B36" s="36"/>
      <c r="C36" s="36"/>
      <c r="D36" s="36"/>
      <c r="E36" s="5" t="s">
        <v>58</v>
      </c>
      <c r="F36" s="8" t="b">
        <v>0</v>
      </c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40"/>
    </row>
    <row r="37" spans="1:13" x14ac:dyDescent="0.3">
      <c r="A37" s="39"/>
      <c r="B37" s="36"/>
      <c r="C37" s="36"/>
      <c r="D37" s="36"/>
      <c r="E37" s="5" t="s">
        <v>55</v>
      </c>
      <c r="F37" s="8" t="b">
        <v>0</v>
      </c>
      <c r="G37" s="8" t="b">
        <v>0</v>
      </c>
      <c r="H37" s="8" t="b">
        <v>0</v>
      </c>
      <c r="I37" s="8" t="b">
        <v>0</v>
      </c>
      <c r="J37" s="8" t="b">
        <v>0</v>
      </c>
      <c r="K37" s="8" t="b">
        <v>0</v>
      </c>
      <c r="L37" s="8" t="b">
        <v>0</v>
      </c>
      <c r="M37" s="40"/>
    </row>
    <row r="38" spans="1:13" x14ac:dyDescent="0.3">
      <c r="A38" s="39"/>
      <c r="B38" s="36"/>
      <c r="C38" s="36"/>
      <c r="D38" s="36"/>
      <c r="E38" s="5" t="s">
        <v>59</v>
      </c>
      <c r="F38" s="8" t="b">
        <v>0</v>
      </c>
      <c r="G38" s="8" t="b">
        <v>0</v>
      </c>
      <c r="H38" s="8" t="b">
        <v>0</v>
      </c>
      <c r="I38" s="8" t="b">
        <v>0</v>
      </c>
      <c r="J38" s="8" t="b">
        <v>0</v>
      </c>
      <c r="K38" s="8" t="b">
        <v>0</v>
      </c>
      <c r="L38" s="8" t="b">
        <v>0</v>
      </c>
      <c r="M38" s="40"/>
    </row>
    <row r="39" spans="1:13" x14ac:dyDescent="0.3">
      <c r="A39" s="39"/>
      <c r="B39" s="36"/>
      <c r="C39" s="36"/>
      <c r="D39" s="36"/>
      <c r="E39" s="5" t="s">
        <v>55</v>
      </c>
      <c r="F39" s="8" t="b">
        <v>0</v>
      </c>
      <c r="G39" s="8" t="b">
        <v>0</v>
      </c>
      <c r="H39" s="8" t="b">
        <v>0</v>
      </c>
      <c r="I39" s="8" t="b">
        <v>0</v>
      </c>
      <c r="J39" s="8" t="b">
        <v>0</v>
      </c>
      <c r="K39" s="8" t="b">
        <v>0</v>
      </c>
      <c r="L39" s="8" t="b">
        <v>0</v>
      </c>
      <c r="M39" s="40"/>
    </row>
    <row r="40" spans="1:13" x14ac:dyDescent="0.3">
      <c r="A40" s="39">
        <f>A34+1</f>
        <v>7</v>
      </c>
      <c r="B40" s="36"/>
      <c r="C40" s="36"/>
      <c r="D40" s="36"/>
      <c r="E40" s="5" t="s">
        <v>56</v>
      </c>
      <c r="F40" s="8" t="b">
        <v>0</v>
      </c>
      <c r="G40" s="8" t="b">
        <v>0</v>
      </c>
      <c r="H40" s="8" t="b">
        <v>0</v>
      </c>
      <c r="I40" s="8" t="b">
        <v>0</v>
      </c>
      <c r="J40" s="8" t="b">
        <v>0</v>
      </c>
      <c r="K40" s="8" t="b">
        <v>0</v>
      </c>
      <c r="L40" s="8" t="b">
        <v>0</v>
      </c>
      <c r="M40" s="40"/>
    </row>
    <row r="41" spans="1:13" x14ac:dyDescent="0.3">
      <c r="A41" s="39"/>
      <c r="B41" s="36"/>
      <c r="C41" s="36"/>
      <c r="D41" s="36"/>
      <c r="E41" s="5" t="s">
        <v>57</v>
      </c>
      <c r="F41" s="8" t="b">
        <v>0</v>
      </c>
      <c r="G41" s="8" t="b">
        <v>0</v>
      </c>
      <c r="H41" s="8" t="b">
        <v>0</v>
      </c>
      <c r="I41" s="8" t="b">
        <v>0</v>
      </c>
      <c r="J41" s="8" t="b">
        <v>0</v>
      </c>
      <c r="K41" s="8" t="b">
        <v>0</v>
      </c>
      <c r="L41" s="8" t="b">
        <v>0</v>
      </c>
      <c r="M41" s="40"/>
    </row>
    <row r="42" spans="1:13" x14ac:dyDescent="0.3">
      <c r="A42" s="39"/>
      <c r="B42" s="36"/>
      <c r="C42" s="36"/>
      <c r="D42" s="36"/>
      <c r="E42" s="5" t="s">
        <v>58</v>
      </c>
      <c r="F42" s="8" t="b">
        <v>0</v>
      </c>
      <c r="G42" s="8" t="b">
        <v>0</v>
      </c>
      <c r="H42" s="8" t="b">
        <v>0</v>
      </c>
      <c r="I42" s="8" t="b">
        <v>0</v>
      </c>
      <c r="J42" s="8" t="b">
        <v>0</v>
      </c>
      <c r="K42" s="8" t="b">
        <v>0</v>
      </c>
      <c r="L42" s="8" t="b">
        <v>0</v>
      </c>
      <c r="M42" s="40"/>
    </row>
    <row r="43" spans="1:13" x14ac:dyDescent="0.3">
      <c r="A43" s="39"/>
      <c r="B43" s="36"/>
      <c r="C43" s="36"/>
      <c r="D43" s="36"/>
      <c r="E43" s="5" t="s">
        <v>55</v>
      </c>
      <c r="F43" s="8" t="b">
        <v>0</v>
      </c>
      <c r="G43" s="8" t="b">
        <v>0</v>
      </c>
      <c r="H43" s="8" t="b">
        <v>0</v>
      </c>
      <c r="I43" s="8" t="b">
        <v>0</v>
      </c>
      <c r="J43" s="8" t="b">
        <v>0</v>
      </c>
      <c r="K43" s="8" t="b">
        <v>0</v>
      </c>
      <c r="L43" s="8" t="b">
        <v>0</v>
      </c>
      <c r="M43" s="40"/>
    </row>
    <row r="44" spans="1:13" x14ac:dyDescent="0.3">
      <c r="A44" s="39"/>
      <c r="B44" s="36"/>
      <c r="C44" s="36"/>
      <c r="D44" s="36"/>
      <c r="E44" s="5" t="s">
        <v>59</v>
      </c>
      <c r="F44" s="8" t="b">
        <v>0</v>
      </c>
      <c r="G44" s="8" t="b">
        <v>0</v>
      </c>
      <c r="H44" s="8" t="b">
        <v>0</v>
      </c>
      <c r="I44" s="8" t="b">
        <v>0</v>
      </c>
      <c r="J44" s="8" t="b">
        <v>0</v>
      </c>
      <c r="K44" s="8" t="b">
        <v>0</v>
      </c>
      <c r="L44" s="8" t="b">
        <v>0</v>
      </c>
      <c r="M44" s="40"/>
    </row>
    <row r="45" spans="1:13" x14ac:dyDescent="0.3">
      <c r="A45" s="39"/>
      <c r="B45" s="36"/>
      <c r="C45" s="36"/>
      <c r="D45" s="36"/>
      <c r="E45" s="5" t="s">
        <v>55</v>
      </c>
      <c r="F45" s="8" t="b">
        <v>0</v>
      </c>
      <c r="G45" s="8" t="b">
        <v>0</v>
      </c>
      <c r="H45" s="8" t="b">
        <v>0</v>
      </c>
      <c r="I45" s="8" t="b">
        <v>0</v>
      </c>
      <c r="J45" s="8" t="b">
        <v>0</v>
      </c>
      <c r="K45" s="8" t="b">
        <v>0</v>
      </c>
      <c r="L45" s="8" t="b">
        <v>0</v>
      </c>
      <c r="M45" s="40"/>
    </row>
    <row r="46" spans="1:13" x14ac:dyDescent="0.3">
      <c r="A46" s="39">
        <f>A40+1</f>
        <v>8</v>
      </c>
      <c r="B46" s="36"/>
      <c r="C46" s="36"/>
      <c r="D46" s="36"/>
      <c r="E46" s="5" t="s">
        <v>56</v>
      </c>
      <c r="F46" s="8" t="b">
        <v>0</v>
      </c>
      <c r="G46" s="8" t="b">
        <v>0</v>
      </c>
      <c r="H46" s="8" t="b">
        <v>0</v>
      </c>
      <c r="I46" s="8" t="b">
        <v>0</v>
      </c>
      <c r="J46" s="8" t="b">
        <v>0</v>
      </c>
      <c r="K46" s="8" t="b">
        <v>0</v>
      </c>
      <c r="L46" s="8" t="b">
        <v>0</v>
      </c>
      <c r="M46" s="40"/>
    </row>
    <row r="47" spans="1:13" x14ac:dyDescent="0.3">
      <c r="A47" s="39"/>
      <c r="B47" s="36"/>
      <c r="C47" s="36"/>
      <c r="D47" s="36"/>
      <c r="E47" s="5" t="s">
        <v>57</v>
      </c>
      <c r="F47" s="8" t="b">
        <v>0</v>
      </c>
      <c r="G47" s="8" t="b">
        <v>0</v>
      </c>
      <c r="H47" s="8" t="b">
        <v>0</v>
      </c>
      <c r="I47" s="8" t="b">
        <v>0</v>
      </c>
      <c r="J47" s="8" t="b">
        <v>0</v>
      </c>
      <c r="K47" s="8" t="b">
        <v>0</v>
      </c>
      <c r="L47" s="8" t="b">
        <v>0</v>
      </c>
      <c r="M47" s="40"/>
    </row>
    <row r="48" spans="1:13" x14ac:dyDescent="0.3">
      <c r="A48" s="39"/>
      <c r="B48" s="36"/>
      <c r="C48" s="36"/>
      <c r="D48" s="36"/>
      <c r="E48" s="5" t="s">
        <v>58</v>
      </c>
      <c r="F48" s="8" t="b">
        <v>0</v>
      </c>
      <c r="G48" s="8" t="b">
        <v>0</v>
      </c>
      <c r="H48" s="8" t="b">
        <v>0</v>
      </c>
      <c r="I48" s="8" t="b">
        <v>0</v>
      </c>
      <c r="J48" s="8" t="b">
        <v>0</v>
      </c>
      <c r="K48" s="8" t="b">
        <v>0</v>
      </c>
      <c r="L48" s="8" t="b">
        <v>0</v>
      </c>
      <c r="M48" s="40"/>
    </row>
    <row r="49" spans="1:13" x14ac:dyDescent="0.3">
      <c r="A49" s="39"/>
      <c r="B49" s="36"/>
      <c r="C49" s="36"/>
      <c r="D49" s="36"/>
      <c r="E49" s="5" t="s">
        <v>55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8" t="b">
        <v>0</v>
      </c>
      <c r="L49" s="8" t="b">
        <v>0</v>
      </c>
      <c r="M49" s="40"/>
    </row>
    <row r="50" spans="1:13" x14ac:dyDescent="0.3">
      <c r="A50" s="39"/>
      <c r="B50" s="36"/>
      <c r="C50" s="36"/>
      <c r="D50" s="36"/>
      <c r="E50" s="5" t="s">
        <v>59</v>
      </c>
      <c r="F50" s="8" t="b">
        <v>0</v>
      </c>
      <c r="G50" s="8" t="b">
        <v>0</v>
      </c>
      <c r="H50" s="8" t="b">
        <v>0</v>
      </c>
      <c r="I50" s="8" t="b">
        <v>0</v>
      </c>
      <c r="J50" s="8" t="b">
        <v>0</v>
      </c>
      <c r="K50" s="8" t="b">
        <v>0</v>
      </c>
      <c r="L50" s="8" t="b">
        <v>0</v>
      </c>
      <c r="M50" s="40"/>
    </row>
    <row r="51" spans="1:13" ht="15" thickBot="1" x14ac:dyDescent="0.35">
      <c r="A51" s="41"/>
      <c r="B51" s="42"/>
      <c r="C51" s="36"/>
      <c r="D51" s="42"/>
      <c r="E51" s="6" t="s">
        <v>55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43"/>
    </row>
  </sheetData>
  <mergeCells count="41">
    <mergeCell ref="C46:C51"/>
    <mergeCell ref="N2:N3"/>
    <mergeCell ref="A46:A51"/>
    <mergeCell ref="B46:B51"/>
    <mergeCell ref="D46:D51"/>
    <mergeCell ref="M2:M3"/>
    <mergeCell ref="C2:C3"/>
    <mergeCell ref="C4:C9"/>
    <mergeCell ref="C10:C15"/>
    <mergeCell ref="C16:C21"/>
    <mergeCell ref="C22:C27"/>
    <mergeCell ref="C28:C33"/>
    <mergeCell ref="A34:A39"/>
    <mergeCell ref="B34:B39"/>
    <mergeCell ref="D34:D39"/>
    <mergeCell ref="A40:A45"/>
    <mergeCell ref="B40:B45"/>
    <mergeCell ref="D40:D45"/>
    <mergeCell ref="C34:C39"/>
    <mergeCell ref="C40:C45"/>
    <mergeCell ref="A22:A27"/>
    <mergeCell ref="B22:B27"/>
    <mergeCell ref="D22:D27"/>
    <mergeCell ref="A28:A33"/>
    <mergeCell ref="B28:B33"/>
    <mergeCell ref="D28:D33"/>
    <mergeCell ref="A4:A9"/>
    <mergeCell ref="B4:B9"/>
    <mergeCell ref="D4:D9"/>
    <mergeCell ref="A16:A21"/>
    <mergeCell ref="B16:B21"/>
    <mergeCell ref="D16:D21"/>
    <mergeCell ref="A10:A15"/>
    <mergeCell ref="B10:B15"/>
    <mergeCell ref="D10:D15"/>
    <mergeCell ref="A1:L1"/>
    <mergeCell ref="A2:A3"/>
    <mergeCell ref="B2:B3"/>
    <mergeCell ref="D2:D3"/>
    <mergeCell ref="E2:E3"/>
    <mergeCell ref="F2:L2"/>
  </mergeCells>
  <pageMargins left="0.7" right="0.7" top="0.75" bottom="0.75" header="0.3" footer="0.3"/>
  <pageSetup scale="4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919E-4761-4039-9664-6D14DD437F93}">
  <dimension ref="A1:D11"/>
  <sheetViews>
    <sheetView workbookViewId="0">
      <selection activeCell="C9" sqref="C9"/>
    </sheetView>
  </sheetViews>
  <sheetFormatPr defaultRowHeight="14.4" x14ac:dyDescent="0.3"/>
  <cols>
    <col min="1" max="1" width="14.6640625" customWidth="1"/>
    <col min="2" max="2" width="25.88671875" bestFit="1" customWidth="1"/>
    <col min="3" max="3" width="19.21875" customWidth="1"/>
    <col min="4" max="4" width="21" customWidth="1"/>
  </cols>
  <sheetData>
    <row r="1" spans="1:4" x14ac:dyDescent="0.3">
      <c r="A1" s="10" t="s">
        <v>61</v>
      </c>
      <c r="B1" s="10" t="s">
        <v>3</v>
      </c>
      <c r="C1" s="10" t="s">
        <v>0</v>
      </c>
      <c r="D1" s="10" t="s">
        <v>10</v>
      </c>
    </row>
    <row r="2" spans="1:4" x14ac:dyDescent="0.3">
      <c r="A2" t="s">
        <v>24</v>
      </c>
      <c r="B2" t="s">
        <v>63</v>
      </c>
      <c r="C2" t="s">
        <v>17</v>
      </c>
      <c r="D2" t="s">
        <v>71</v>
      </c>
    </row>
    <row r="3" spans="1:4" x14ac:dyDescent="0.3">
      <c r="A3" t="s">
        <v>62</v>
      </c>
      <c r="B3" t="s">
        <v>64</v>
      </c>
      <c r="C3" t="s">
        <v>31</v>
      </c>
      <c r="D3" t="s">
        <v>72</v>
      </c>
    </row>
    <row r="4" spans="1:4" x14ac:dyDescent="0.3">
      <c r="B4" t="s">
        <v>66</v>
      </c>
      <c r="C4" t="s">
        <v>68</v>
      </c>
      <c r="D4" t="s">
        <v>73</v>
      </c>
    </row>
    <row r="5" spans="1:4" x14ac:dyDescent="0.3">
      <c r="B5" t="s">
        <v>65</v>
      </c>
      <c r="D5" t="s">
        <v>74</v>
      </c>
    </row>
    <row r="6" spans="1:4" x14ac:dyDescent="0.3">
      <c r="B6" t="s">
        <v>67</v>
      </c>
      <c r="D6" t="s">
        <v>69</v>
      </c>
    </row>
    <row r="7" spans="1:4" x14ac:dyDescent="0.3">
      <c r="D7" t="s">
        <v>70</v>
      </c>
    </row>
    <row r="8" spans="1:4" ht="15" thickBot="1" x14ac:dyDescent="0.35"/>
    <row r="9" spans="1:4" ht="15" thickBot="1" x14ac:dyDescent="0.35">
      <c r="A9" s="58" t="s">
        <v>200</v>
      </c>
    </row>
    <row r="10" spans="1:4" x14ac:dyDescent="0.3">
      <c r="A10" s="52" t="s">
        <v>203</v>
      </c>
      <c r="B10" s="53"/>
      <c r="C10" s="53"/>
      <c r="D10" s="54"/>
    </row>
    <row r="11" spans="1:4" ht="15" thickBot="1" x14ac:dyDescent="0.35">
      <c r="A11" s="55" t="s">
        <v>204</v>
      </c>
      <c r="B11" s="56"/>
      <c r="C11" s="56"/>
      <c r="D11" s="57"/>
    </row>
  </sheetData>
  <mergeCells count="2"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Master Drawing Register</vt:lpstr>
      <vt:lpstr>Drawing Register - Client</vt:lpstr>
      <vt:lpstr>Input</vt:lpstr>
      <vt:lpstr>'Drawing Register - Client'!Print_Area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Saiyam Shah</cp:lastModifiedBy>
  <dcterms:created xsi:type="dcterms:W3CDTF">2026-01-10T05:47:50Z</dcterms:created>
  <dcterms:modified xsi:type="dcterms:W3CDTF">2026-01-10T10:15:52Z</dcterms:modified>
</cp:coreProperties>
</file>