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Sharnam\Phase 2\"/>
    </mc:Choice>
  </mc:AlternateContent>
  <xr:revisionPtr revIDLastSave="0" documentId="13_ncr:1_{3E61BC56-C10E-4863-A948-EFBCB4F0C983}" xr6:coauthVersionLast="36" xr6:coauthVersionMax="47" xr10:uidLastSave="{00000000-0000-0000-0000-000000000000}"/>
  <bookViews>
    <workbookView xWindow="-120" yWindow="-120" windowWidth="29040" windowHeight="15720" xr2:uid="{52E3A7CC-53A7-4899-B3E4-6EA4B65098F0}"/>
  </bookViews>
  <sheets>
    <sheet name="Dashboard" sheetId="1" r:id="rId1"/>
    <sheet name="Sheet2" sheetId="8" r:id="rId2"/>
    <sheet name="Sheet1" sheetId="7" r:id="rId3"/>
    <sheet name="SOR Log" sheetId="2" r:id="rId4"/>
    <sheet name="Cube Test" sheetId="6" r:id="rId5"/>
    <sheet name="Organization Chart" sheetId="5" r:id="rId6"/>
    <sheet name="CAR register" sheetId="4" r:id="rId7"/>
    <sheet name="Quality Assurance Plan - Detail" sheetId="3" r:id="rId8"/>
  </sheets>
  <definedNames>
    <definedName name="_xlnm._FilterDatabase" localSheetId="7" hidden="1">'Quality Assurance Plan - Detail'!$A$8:$L$281</definedName>
  </definedNames>
  <calcPr calcId="191029"/>
  <pivotCaches>
    <pivotCache cacheId="2"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7" i="1" l="1"/>
  <c r="C15" i="2" l="1"/>
  <c r="C12" i="2"/>
  <c r="C9" i="2"/>
  <c r="E4" i="2" l="1"/>
  <c r="E3" i="2"/>
  <c r="D12" i="2" s="1"/>
  <c r="E2" i="2"/>
  <c r="F2" i="2" l="1"/>
  <c r="E15" i="1" s="1"/>
  <c r="D9" i="2"/>
  <c r="F4" i="2"/>
  <c r="E21" i="1" s="1"/>
  <c r="D15" i="2"/>
  <c r="F3" i="2"/>
  <c r="E18" i="1" s="1"/>
  <c r="F5" i="2" l="1"/>
</calcChain>
</file>

<file path=xl/sharedStrings.xml><?xml version="1.0" encoding="utf-8"?>
<sst xmlns="http://schemas.openxmlformats.org/spreadsheetml/2006/main" count="2775" uniqueCount="672">
  <si>
    <t>Sr.no.</t>
  </si>
  <si>
    <t>Observation</t>
  </si>
  <si>
    <t xml:space="preserve">Total </t>
  </si>
  <si>
    <t>Open</t>
  </si>
  <si>
    <t>Close</t>
  </si>
  <si>
    <t xml:space="preserve">Site Observation </t>
  </si>
  <si>
    <t>Site Instruction</t>
  </si>
  <si>
    <t>NCR</t>
  </si>
  <si>
    <t>Client LOGO</t>
  </si>
  <si>
    <t xml:space="preserve">Quality Assurance Plan </t>
  </si>
  <si>
    <t>Project</t>
  </si>
  <si>
    <t>Safari Industrial Plant Halol</t>
  </si>
  <si>
    <t>LEGENDS</t>
  </si>
  <si>
    <t>Client</t>
  </si>
  <si>
    <t>Safari India Pvt. Ltd.</t>
  </si>
  <si>
    <t>BBS - Bar Bending Schedule</t>
  </si>
  <si>
    <t>MTC - Material Test Certificate</t>
  </si>
  <si>
    <t>RCC - Reinforced Cement Concrete</t>
  </si>
  <si>
    <t>Design Consultant</t>
  </si>
  <si>
    <t>HCP Design Consultant</t>
  </si>
  <si>
    <t>CUM - Cubic Meter</t>
  </si>
  <si>
    <t>PCC - Plain Cement Concrete</t>
  </si>
  <si>
    <t>SQM - Square Meter</t>
  </si>
  <si>
    <t>PM Consultant</t>
  </si>
  <si>
    <t>Sharnam Project Managemnet Consultants</t>
  </si>
  <si>
    <t xml:space="preserve">HSE - Health Safety &amp; Environment </t>
  </si>
  <si>
    <t>QA - Quality Assurance</t>
  </si>
  <si>
    <t>TBM - Temporary Bench Mark</t>
  </si>
  <si>
    <t xml:space="preserve">Contractor </t>
  </si>
  <si>
    <t>Shapoorji Pallonji Construction Pvt. Ltd.</t>
  </si>
  <si>
    <t>IS - Indian Standard</t>
  </si>
  <si>
    <t>QC - Quality Control</t>
  </si>
  <si>
    <t>TPC -  Third Party Confirmation</t>
  </si>
  <si>
    <t>Sr.No.</t>
  </si>
  <si>
    <t xml:space="preserve">Activity </t>
  </si>
  <si>
    <t xml:space="preserve">Description of Activity / Material </t>
  </si>
  <si>
    <t>Frequency of check</t>
  </si>
  <si>
    <t>Code of Conformance</t>
  </si>
  <si>
    <t>Test agency</t>
  </si>
  <si>
    <t>Contractor</t>
  </si>
  <si>
    <t>PMC</t>
  </si>
  <si>
    <t>CLIENT</t>
  </si>
  <si>
    <t>Records and documents to be Maintained</t>
  </si>
  <si>
    <t>Remarks if any</t>
  </si>
  <si>
    <t>Performer</t>
  </si>
  <si>
    <t>Checker</t>
  </si>
  <si>
    <t>Site Survey</t>
  </si>
  <si>
    <t>Confirmation of Calibrated Equipment</t>
  </si>
  <si>
    <t>Service agency due date</t>
  </si>
  <si>
    <t>Approved external agency</t>
  </si>
  <si>
    <t>QC Engr</t>
  </si>
  <si>
    <t xml:space="preserve">Review </t>
  </si>
  <si>
    <t>Random</t>
  </si>
  <si>
    <t>Calibration Certificate</t>
  </si>
  <si>
    <t>Pending</t>
  </si>
  <si>
    <t>Building lay out and setback</t>
  </si>
  <si>
    <t>Every layout</t>
  </si>
  <si>
    <t>Approved Drawing</t>
  </si>
  <si>
    <t>Surveyor</t>
  </si>
  <si>
    <t>Site Engr</t>
  </si>
  <si>
    <t>Witness</t>
  </si>
  <si>
    <t>Setting out plan</t>
  </si>
  <si>
    <t>Completed</t>
  </si>
  <si>
    <t>Bench Mark shifting &amp; TBM Preparation</t>
  </si>
  <si>
    <t>Once established</t>
  </si>
  <si>
    <t>Client reference</t>
  </si>
  <si>
    <t>Site engr</t>
  </si>
  <si>
    <t>Level book</t>
  </si>
  <si>
    <t>Excavation</t>
  </si>
  <si>
    <t>Required Safety norms coordinate to HSEM Process.</t>
  </si>
  <si>
    <t>Every foundation and trench</t>
  </si>
  <si>
    <t>Work Check List</t>
  </si>
  <si>
    <t>Disposal of black cotton soil and yellow soil in suggested area</t>
  </si>
  <si>
    <t>Confirmation for completion of survey activities.</t>
  </si>
  <si>
    <t>Confirmation of Layout, alignment and size of excavation</t>
  </si>
  <si>
    <t xml:space="preserve">Confirmation of underground utilities </t>
  </si>
  <si>
    <t>Confirmation of drawing and drawing revision</t>
  </si>
  <si>
    <t>Updated Drawing Register</t>
  </si>
  <si>
    <t>Confirmation for joint inspection reports</t>
  </si>
  <si>
    <t>Plain Cement Concrete</t>
  </si>
  <si>
    <t>Confirmation of location, excavated pit bed, levels, free from slush and well compacted.</t>
  </si>
  <si>
    <t>Confirmation of formwork</t>
  </si>
  <si>
    <t>Confirmation of Concrete grade/Nominal Mix</t>
  </si>
  <si>
    <t xml:space="preserve">Confirmation of required tools and tackles </t>
  </si>
  <si>
    <t>Confirmation of concrete top surface</t>
  </si>
  <si>
    <t>Reinforcement</t>
  </si>
  <si>
    <t>Each structure &amp;
Element</t>
  </si>
  <si>
    <t>Confirmation of rolling margin testing</t>
  </si>
  <si>
    <t>Every consignment</t>
  </si>
  <si>
    <t>IS-1786</t>
  </si>
  <si>
    <t>Site Laboratory</t>
  </si>
  <si>
    <t>QC/QA Engr</t>
  </si>
  <si>
    <t>Chemical Analysis of reinforcement steel</t>
  </si>
  <si>
    <t xml:space="preserve">Every lot </t>
  </si>
  <si>
    <t>IS-432</t>
  </si>
  <si>
    <t>Manufacturer Test Certificate</t>
  </si>
  <si>
    <t>MTC</t>
  </si>
  <si>
    <t>Physical test of reinforcement steel</t>
  </si>
  <si>
    <t>Approved external lab</t>
  </si>
  <si>
    <t>TPC</t>
  </si>
  <si>
    <t>Confirmation of BBS preparation and approval</t>
  </si>
  <si>
    <t>Approved Drawing &amp; IS 2502</t>
  </si>
  <si>
    <t>Approve</t>
  </si>
  <si>
    <t>Bar Bending Schedule</t>
  </si>
  <si>
    <t>Confirmation of reinforcement Numbers, Shape, Dia, cutting and bending.</t>
  </si>
  <si>
    <t>Approved Drawing &amp; BBS</t>
  </si>
  <si>
    <t>Confirmation for reinforcement placing</t>
  </si>
  <si>
    <t>Confirmation of clear concrete cover to reinforcement</t>
  </si>
  <si>
    <t xml:space="preserve">Approved Drawing </t>
  </si>
  <si>
    <t>Confirmation of provision for Chairs and spacers( Numbers, Shape, Length and position)</t>
  </si>
  <si>
    <t>Confirmation of reinforcement lapping</t>
  </si>
  <si>
    <t>Approved Drawing &amp; IS 456</t>
  </si>
  <si>
    <t>Confirmation of reinforcement welding</t>
  </si>
  <si>
    <t>As per requirement</t>
  </si>
  <si>
    <t>Approved Drawing/
Client reference</t>
  </si>
  <si>
    <t>Confirmation of Binding wire</t>
  </si>
  <si>
    <t>Once in Every Source</t>
  </si>
  <si>
    <t>IS 456</t>
  </si>
  <si>
    <t>Test Report</t>
  </si>
  <si>
    <t>Formwork</t>
  </si>
  <si>
    <t>Confirmation of level reference.</t>
  </si>
  <si>
    <t>Check for all the plates / plywood, cleaned and polished properly</t>
  </si>
  <si>
    <t>Confirmation of shuttering oil/polish material</t>
  </si>
  <si>
    <t xml:space="preserve">IS 456 </t>
  </si>
  <si>
    <t>Check for suitability, stability, safety, rigidity of assembled forms</t>
  </si>
  <si>
    <t>Check for alignment, verticality, right angle, and diagonals of shuttering faces</t>
  </si>
  <si>
    <t>Confirmation of shuttering supports and bracings.</t>
  </si>
  <si>
    <t>Confirmation of adequate of concrete cover blocks.</t>
  </si>
  <si>
    <t>Confirmation of cutouts, sleeves and other embedded items to fix with formwork</t>
  </si>
  <si>
    <t>Confirmation of shuttering gapes, joints, holes and tie rods</t>
  </si>
  <si>
    <t>IS 456 &amp; DESIGNER SPECIFICATION</t>
  </si>
  <si>
    <t>Confirmation of deshuttering/form dismantling time duration</t>
  </si>
  <si>
    <t>Concreting</t>
  </si>
  <si>
    <t>A) Material Confirmation</t>
  </si>
  <si>
    <t>a. Cement</t>
  </si>
  <si>
    <t>● Type of Material</t>
  </si>
  <si>
    <t>Client Reference/
Approved Drawing</t>
  </si>
  <si>
    <t>● Grade of Material</t>
  </si>
  <si>
    <t>● Fineness</t>
  </si>
  <si>
    <t>Once in every lot</t>
  </si>
  <si>
    <t>IS-4031 part-1, IS 269</t>
  </si>
  <si>
    <t>Manufacturer</t>
  </si>
  <si>
    <t>QA/QC Engr</t>
  </si>
  <si>
    <t>Review</t>
  </si>
  <si>
    <t>● Setting time</t>
  </si>
  <si>
    <t>IS-4031 part-4 &amp;5, IS 269</t>
  </si>
  <si>
    <t>● Soundness</t>
  </si>
  <si>
    <t>IS-4031-part3, IS 269</t>
  </si>
  <si>
    <t>● Compressive strength</t>
  </si>
  <si>
    <t>IS-4031-part6, IS 269</t>
  </si>
  <si>
    <t xml:space="preserve">● Chemical Composition </t>
  </si>
  <si>
    <t>IS code for relevant grade</t>
  </si>
  <si>
    <t>b. Coarse Aggregate</t>
  </si>
  <si>
    <t>● Source of Material</t>
  </si>
  <si>
    <t>Once Initial Start</t>
  </si>
  <si>
    <t>Client Reference</t>
  </si>
  <si>
    <t>● Incoming material test before unloading ( over size/ finer )</t>
  </si>
  <si>
    <t>Every Consignment</t>
  </si>
  <si>
    <t>Register/Note</t>
  </si>
  <si>
    <t>● Sieve analysis</t>
  </si>
  <si>
    <t>Every 200 cum</t>
  </si>
  <si>
    <t>IS-2386 Part-1, IS 383</t>
  </si>
  <si>
    <t>Site Lab/Approved external lab</t>
  </si>
  <si>
    <t>● Impact value</t>
  </si>
  <si>
    <t>Once in every source</t>
  </si>
  <si>
    <t>IS-2386 Part-IV, IS 383</t>
  </si>
  <si>
    <t>● Crushing value</t>
  </si>
  <si>
    <t>IS-2386 , IS 383</t>
  </si>
  <si>
    <t>● Flakiness &amp; Elongation</t>
  </si>
  <si>
    <t>● Specific gravity</t>
  </si>
  <si>
    <t>● Abrasion Value</t>
  </si>
  <si>
    <t>● Water Absorption</t>
  </si>
  <si>
    <t>c. Fine Aggregate</t>
  </si>
  <si>
    <t>● Incoming material test before unloading ( Silt content &amp; deleterious material)</t>
  </si>
  <si>
    <t>IS-383</t>
  </si>
  <si>
    <t>Site Lab</t>
  </si>
  <si>
    <t xml:space="preserve">IS-2386 </t>
  </si>
  <si>
    <t>● Deleterious materials</t>
  </si>
  <si>
    <t>● Loose Bulk Density</t>
  </si>
  <si>
    <t>d. Water</t>
  </si>
  <si>
    <t>● pH Value</t>
  </si>
  <si>
    <t>IS 3025, IS 456</t>
  </si>
  <si>
    <t>● Limits of Acidity</t>
  </si>
  <si>
    <t>● Limits of Alkalinity</t>
  </si>
  <si>
    <t>● Percentage of solid Organic &amp; inorganic material</t>
  </si>
  <si>
    <t>● Sulphate</t>
  </si>
  <si>
    <t>● Chloride</t>
  </si>
  <si>
    <t>● Suspended Solid</t>
  </si>
  <si>
    <t>● Color Hazen Units</t>
  </si>
  <si>
    <t>● Odour</t>
  </si>
  <si>
    <t>● Hardness</t>
  </si>
  <si>
    <t xml:space="preserve">● Fluoride </t>
  </si>
  <si>
    <t>● Turbidity</t>
  </si>
  <si>
    <t>e. Admixture</t>
  </si>
  <si>
    <t xml:space="preserve">● Material </t>
  </si>
  <si>
    <t>IS 9103</t>
  </si>
  <si>
    <t>B) Mix Design/Trial Mix</t>
  </si>
  <si>
    <t>Once in initial</t>
  </si>
  <si>
    <t>C) Concrete confirmation</t>
  </si>
  <si>
    <t>● Slump Test</t>
  </si>
  <si>
    <t>Every pour start</t>
  </si>
  <si>
    <t>IS-516</t>
  </si>
  <si>
    <t xml:space="preserve">Concrete log </t>
  </si>
  <si>
    <t>● Concrete Compressive Strength check by cube Test</t>
  </si>
  <si>
    <t>IS-456</t>
  </si>
  <si>
    <t>● Actual Standard Deviation</t>
  </si>
  <si>
    <t>Once in month</t>
  </si>
  <si>
    <t>D) Pre-Inspection</t>
  </si>
  <si>
    <t>● Confirmation of PCC level</t>
  </si>
  <si>
    <t>● Confirmation of Reinforcement check points</t>
  </si>
  <si>
    <t>● Confirmation of Formwork check points</t>
  </si>
  <si>
    <t>● Confirmation of embedded bolts/plates/pipe sleeves, etc.</t>
  </si>
  <si>
    <t>● Confirmation of material used for concrete</t>
  </si>
  <si>
    <t>Concrete Batch Report</t>
  </si>
  <si>
    <t>● All required equipment arrangement</t>
  </si>
  <si>
    <t>● Conformation of concreting time</t>
  </si>
  <si>
    <t>D) Post-Inspection</t>
  </si>
  <si>
    <t>● Confirmation of cube casting &amp; testing</t>
  </si>
  <si>
    <t>● Confirmation of concrete surface, levels and surface finishing</t>
  </si>
  <si>
    <t>Back Filling</t>
  </si>
  <si>
    <t>Confirmation of existing ground level</t>
  </si>
  <si>
    <t>Each layer</t>
  </si>
  <si>
    <t>Confirmation of finished ground level for all areas</t>
  </si>
  <si>
    <t>Check for satisfactory stripping of top soil</t>
  </si>
  <si>
    <t>Check for cutting of earth to required level</t>
  </si>
  <si>
    <t>Confirmation of layer by layer filling</t>
  </si>
  <si>
    <t>Confirmation of material quality</t>
  </si>
  <si>
    <t>Confirmation of soil MDD and OMC</t>
  </si>
  <si>
    <t xml:space="preserve">Once in every source </t>
  </si>
  <si>
    <t>Morth Specification</t>
  </si>
  <si>
    <t xml:space="preserve">Check for sprinkling of water and adequate rolling ; kindly avoid ware sprinkling for lime-sand filling </t>
  </si>
  <si>
    <t>Check for dressing of formed surface upto desired FGL</t>
  </si>
  <si>
    <t>Confirmation of compaction by core cutter testing for soil filling</t>
  </si>
  <si>
    <t>1 test / 500 sqm</t>
  </si>
  <si>
    <t>Confirmation of compaction by sand replacement testing for lime-sand filling</t>
  </si>
  <si>
    <t>Granular Sub Base for raft, flooring, and road works</t>
  </si>
  <si>
    <t>Confirmation of material source</t>
  </si>
  <si>
    <t xml:space="preserve">Confirmation of location, level and area for GSB </t>
  </si>
  <si>
    <t xml:space="preserve">Check for cleaning of location </t>
  </si>
  <si>
    <t>Confirmation of layer thickness of GSB</t>
  </si>
  <si>
    <t>Confirmation of required rolling</t>
  </si>
  <si>
    <t>Visual Confirmation of GSB compacted surface</t>
  </si>
  <si>
    <t>GSB Field Density confirmation by Sand replacement test</t>
  </si>
  <si>
    <t>Gradation &amp; Moisture Content confirmation for Grade 01 material</t>
  </si>
  <si>
    <t>1 test / 200 cum</t>
  </si>
  <si>
    <t>Confirmation of Plasticity Index, Standard Proctor Test, CBR, 10% fine value of GSB</t>
  </si>
  <si>
    <t>Wet Mix Macadam for raft, flooring, and road works</t>
  </si>
  <si>
    <t>Confirmation of location, level and area for WMM</t>
  </si>
  <si>
    <t>Confirmation of layer thickness of WMM</t>
  </si>
  <si>
    <t>Visual Confirmation of WMM compacted surface</t>
  </si>
  <si>
    <t>WMM Field Density confirmation by Sand replacement test</t>
  </si>
  <si>
    <t>Gradation confirmation</t>
  </si>
  <si>
    <t>1 test / 100 cum</t>
  </si>
  <si>
    <t>Flakiness and Elongation value confirmation</t>
  </si>
  <si>
    <t>Confirmation of Abrasion value, Aggregate Impact Value</t>
  </si>
  <si>
    <t>Anti Termite Treatment</t>
  </si>
  <si>
    <t>Material physical and chemical properties</t>
  </si>
  <si>
    <t>Each lot</t>
  </si>
  <si>
    <t>Manufacturer confirmation</t>
  </si>
  <si>
    <t>Check for required tools and tackles</t>
  </si>
  <si>
    <t xml:space="preserve">Each structure </t>
  </si>
  <si>
    <t>Check for chemical and water proposal</t>
  </si>
  <si>
    <t>IS 6313</t>
  </si>
  <si>
    <t>Check for hole marking and rate of spray under floor</t>
  </si>
  <si>
    <t>Confirmation of area/location for treatment</t>
  </si>
  <si>
    <t xml:space="preserve">Confirmation of sufficient chemical and water proposal applied </t>
  </si>
  <si>
    <t>Masonry Work - Brick/ 
Concrete Block</t>
  </si>
  <si>
    <t>A) Prior to masonry</t>
  </si>
  <si>
    <t xml:space="preserve">● Check for area cleaning </t>
  </si>
  <si>
    <t>● Check for material stacking on site location for use</t>
  </si>
  <si>
    <t xml:space="preserve">● Check for material wet surface </t>
  </si>
  <si>
    <t>● Check for door, window and other opening frame erection or installation completion</t>
  </si>
  <si>
    <t>● Confirmation of line and level marking for masonry</t>
  </si>
  <si>
    <t>● Confirmation of mortar proposal</t>
  </si>
  <si>
    <t>● Confirmation of masonry bond</t>
  </si>
  <si>
    <t>● Check for bee holes and Weep holes</t>
  </si>
  <si>
    <t>B) During masonry</t>
  </si>
  <si>
    <t>● Confirmation of dimensions</t>
  </si>
  <si>
    <t>● Confirmation of door, window and other opening size</t>
  </si>
  <si>
    <t>● Check for margins left for plastering jambs</t>
  </si>
  <si>
    <t>● Check for plumb, line and levels</t>
  </si>
  <si>
    <t>● Check for racking of joints to receive plastering or pointing</t>
  </si>
  <si>
    <t>C) After masonry</t>
  </si>
  <si>
    <t>● Check for curing arrangement</t>
  </si>
  <si>
    <t>● Check for all mortar joints are raked and cleaned</t>
  </si>
  <si>
    <t>● Check for thee filling of all bee holes</t>
  </si>
  <si>
    <t>● Check for weep holes are clean and serviceable</t>
  </si>
  <si>
    <t>● Check that all flatwork has been cleaned and is scraped free of mortar splatters</t>
  </si>
  <si>
    <t>● Check all waste material has been piled in designated trash area</t>
  </si>
  <si>
    <t>D) Material Confirmation</t>
  </si>
  <si>
    <t>Cement</t>
  </si>
  <si>
    <t>As per concreting item</t>
  </si>
  <si>
    <t>Fine Aggregate</t>
  </si>
  <si>
    <t>Water</t>
  </si>
  <si>
    <t>Confirmation of Density in oven dry condition, &amp; Compressive Strength in Mpa for concrete block</t>
  </si>
  <si>
    <t>1 test / 5000 no's</t>
  </si>
  <si>
    <t>IS 2185</t>
  </si>
  <si>
    <t>Confirmation of measurement, water absorption, compressive strength in Mpa, effloresces, shrinkage</t>
  </si>
  <si>
    <t>1 test / 50000 no's</t>
  </si>
  <si>
    <t>Plastering</t>
  </si>
  <si>
    <t>Preparatory arrangement of surface preparation like raking of joints, removal of loose mortar and fixing chicken mesh at RCC and Masonry joints ant wetting surface</t>
  </si>
  <si>
    <t>Proportion of cement mortar, mixing and placing in location</t>
  </si>
  <si>
    <t>Checking of alignment, thickness, verticality in line of construction drawing</t>
  </si>
  <si>
    <t>Flooring</t>
  </si>
  <si>
    <t>A) Vacuum Dewatering Floor</t>
  </si>
  <si>
    <t>● Check area for cleanliness before concreting</t>
  </si>
  <si>
    <t>● Check for stability of formwork</t>
  </si>
  <si>
    <t>● Check alignment, level, joint sealing</t>
  </si>
  <si>
    <t>● Check for reinforcement size, spacing, location, numbers, overlapping, welding, joint, hooks, bends, and cover</t>
  </si>
  <si>
    <t>Approved Drawing &amp; Approved Bar Bending Schedule</t>
  </si>
  <si>
    <t>● Check process of concrete pouring and grade of concrete</t>
  </si>
  <si>
    <t>● Check quantity of concrete to be poured</t>
  </si>
  <si>
    <t>● Check for workability of concrete at site before pouring</t>
  </si>
  <si>
    <t>Approved Trial Mix</t>
  </si>
  <si>
    <t>● Confirmation of equipment and machinery for work</t>
  </si>
  <si>
    <t>● Check for concrete top level</t>
  </si>
  <si>
    <t>● Check for vacuum dewatering as per the specification</t>
  </si>
  <si>
    <t>● Confirmation of finished floor surface</t>
  </si>
  <si>
    <t>● Confirmation of curing arrangement</t>
  </si>
  <si>
    <t>A) Tile Flooring- Vitrified/Ceramic</t>
  </si>
  <si>
    <t>● Check for the tile material approval</t>
  </si>
  <si>
    <t xml:space="preserve">Material Data Sheet </t>
  </si>
  <si>
    <t>● Check for the surface cleaning-free from loose mortar, laitance etc.</t>
  </si>
  <si>
    <t>● Tiles are sound, non-sbsorbingflat and true to shape with straight edge</t>
  </si>
  <si>
    <t>● Check for fixing of level pads</t>
  </si>
  <si>
    <t>● All tiles which are used in work have soaked</t>
  </si>
  <si>
    <t>● Check for bedding of cement mortar properly levelled, temped, and corrected to desire level or thickness</t>
  </si>
  <si>
    <t>● Bed mortar roughened before laying tile</t>
  </si>
  <si>
    <t>● Confirmation of tile laying pattern</t>
  </si>
  <si>
    <t>● Confirmation of tile joints</t>
  </si>
  <si>
    <t>● Confirmation of floor final level</t>
  </si>
  <si>
    <t>● Confirmation of epoxy grouting for tile joint filling</t>
  </si>
  <si>
    <t>Wall tile work-Dado fixing</t>
  </si>
  <si>
    <t>Check for the tile material approval</t>
  </si>
  <si>
    <t>Check for the surface cleaning-free from loose mortar, laitance etc.</t>
  </si>
  <si>
    <t>Tiles are sound, non-sbsorbingflat and true to shape with straight edge</t>
  </si>
  <si>
    <t>Check for fixing of level pads</t>
  </si>
  <si>
    <t>All tiles which are used in work have soaked</t>
  </si>
  <si>
    <t>Confirmation of mortar proposal</t>
  </si>
  <si>
    <t>Check for bedding of cement mortar properly levelled, temped, and corrected to desire level or thickness</t>
  </si>
  <si>
    <t>Bed mortar roughened before laying tile</t>
  </si>
  <si>
    <t>Confirmation of tile laying pattern</t>
  </si>
  <si>
    <t>Confirmation of tile joints</t>
  </si>
  <si>
    <t>Confirmation of top final level</t>
  </si>
  <si>
    <t>Confirmation of epoxy grouting for tile joint filling</t>
  </si>
  <si>
    <t>Confirmation of curing arrangement</t>
  </si>
  <si>
    <t>Confirmation of Dimension, surface quality, physical properties, chemical properties</t>
  </si>
  <si>
    <t>IS 15622</t>
  </si>
  <si>
    <t>RCC hume pipe laying</t>
  </si>
  <si>
    <t>Each trench</t>
  </si>
  <si>
    <t xml:space="preserve">Confirmation of trench section </t>
  </si>
  <si>
    <t>Confirmation of trench gridline</t>
  </si>
  <si>
    <t>Confirmation of Sand/PCC top level</t>
  </si>
  <si>
    <t>Confirmation of Sand/PCC thickness</t>
  </si>
  <si>
    <t>Conformation of pipe diameter</t>
  </si>
  <si>
    <t>Confirmation of pipe gradient</t>
  </si>
  <si>
    <t>Confirmation of pipe condition</t>
  </si>
  <si>
    <t>Confirmation of pipe collar thickness and dia</t>
  </si>
  <si>
    <t>Each Joint</t>
  </si>
  <si>
    <t>Confirmation of pipe and collar fixing mortar proposal</t>
  </si>
  <si>
    <t>Confirmation of backfilling with proper compaction</t>
  </si>
  <si>
    <t>As per backfilling item</t>
  </si>
  <si>
    <t>Confirmation of three edge bearing load to produce 0.25mm crack KN/Linear meter</t>
  </si>
  <si>
    <t>IS 458</t>
  </si>
  <si>
    <t>Manufacturer / 
Approved external lab</t>
  </si>
  <si>
    <t>MTC/TPC</t>
  </si>
  <si>
    <t>Confirmation of unlimited load KN/Linear meter</t>
  </si>
  <si>
    <t>Grouting of Insert Plate and Anchor Bolts</t>
  </si>
  <si>
    <t xml:space="preserve">Check for pedestal top surface cleaning </t>
  </si>
  <si>
    <t xml:space="preserve">Confirmation of formwork </t>
  </si>
  <si>
    <t>Confirmation of grouting material</t>
  </si>
  <si>
    <t>Confirmation of grouting material mixing ratio</t>
  </si>
  <si>
    <t>Manufacturer Technical Data Sheet</t>
  </si>
  <si>
    <t>Confirmation of finished grouted surface</t>
  </si>
  <si>
    <t xml:space="preserve">Confirmation of compressive strength by cube testing </t>
  </si>
  <si>
    <t>1 set (6 cubes) / Day for each deferent structure
for 7 days and 28 days testing</t>
  </si>
  <si>
    <t>Painting</t>
  </si>
  <si>
    <t>A) Application of white putty</t>
  </si>
  <si>
    <t>Check for the surface cleaning from all masking tape, loos mortar, etc.</t>
  </si>
  <si>
    <t xml:space="preserve">Confirmation of material </t>
  </si>
  <si>
    <t>Confirmation of material mixing according to manufacturer specification</t>
  </si>
  <si>
    <t>Confirmation of 1st coat application</t>
  </si>
  <si>
    <t>Confirmation of application and covered all joints like slab and beam, column and beam</t>
  </si>
  <si>
    <t>confirmation of glass paper application before start second coat</t>
  </si>
  <si>
    <t>confirmation of final finishing</t>
  </si>
  <si>
    <t xml:space="preserve">Confirmation of tensile adhesion test @ 28 days </t>
  </si>
  <si>
    <t xml:space="preserve">EN 1348  </t>
  </si>
  <si>
    <t xml:space="preserve">Confirmation of compression adhesion test @ 28 days </t>
  </si>
  <si>
    <t>EN 196</t>
  </si>
  <si>
    <t xml:space="preserve">Confirmation of initial and final setting setting time </t>
  </si>
  <si>
    <t>confirmation of water capillary absorption, 30min 28 days</t>
  </si>
  <si>
    <t>Karsten Tube</t>
  </si>
  <si>
    <t>Confirmation of water retentively</t>
  </si>
  <si>
    <t>DIN 18555-7</t>
  </si>
  <si>
    <t>B) Application of paint</t>
  </si>
  <si>
    <t>Confirmation of material with requires shad/RAL no.</t>
  </si>
  <si>
    <t>Confirmation of marking for 1st coat, 2nd coat, &amp; finish coat</t>
  </si>
  <si>
    <t>Check for time between paint deferent coats</t>
  </si>
  <si>
    <t>Confirmation of final coat finishing and shad</t>
  </si>
  <si>
    <t>Check for flaking /cracking /Sagging /Blistering</t>
  </si>
  <si>
    <t>Check for stick for foreign matter</t>
  </si>
  <si>
    <t>Confirmation of physical and chemical properties</t>
  </si>
  <si>
    <t>Manufacturer Specification</t>
  </si>
  <si>
    <t>Paver Block Laying</t>
  </si>
  <si>
    <t xml:space="preserve">Check for sand bed thickness </t>
  </si>
  <si>
    <t>Check for paver block laying pattern</t>
  </si>
  <si>
    <t>Check for paver block top finished level</t>
  </si>
  <si>
    <t>Confirmation of compressive strength</t>
  </si>
  <si>
    <t>IS 15658</t>
  </si>
  <si>
    <t>Confirmation of dimension</t>
  </si>
  <si>
    <t>Confirmation of water observation</t>
  </si>
  <si>
    <t xml:space="preserve">Water Proofing </t>
  </si>
  <si>
    <t>Confirmation of material</t>
  </si>
  <si>
    <t>MTC/Technical Data Sheet</t>
  </si>
  <si>
    <t>Confirmation of application method</t>
  </si>
  <si>
    <t>Confirmation of surface preparation according to manufacturer specification</t>
  </si>
  <si>
    <t xml:space="preserve">Check weather all the opening/cutouts are sealed off as per requirement </t>
  </si>
  <si>
    <t xml:space="preserve">Confirmation of completion of waterproofing with required coats/application of material up to required level/depth before expedite further activity </t>
  </si>
  <si>
    <t>Confirmation of material physical and chemical properties</t>
  </si>
  <si>
    <t>QPI</t>
  </si>
  <si>
    <t>Concrete</t>
  </si>
  <si>
    <t>NON CONFORMANCE  AND CORRECTIVE ACTION REQUEST (CAR ) REGISTER</t>
  </si>
  <si>
    <t>No.</t>
  </si>
  <si>
    <t>NCR / CAR Issue Date</t>
  </si>
  <si>
    <t xml:space="preserve">Type </t>
  </si>
  <si>
    <t>Brief Description of Non Conformance</t>
  </si>
  <si>
    <t>Location</t>
  </si>
  <si>
    <t>Planned Closure Date</t>
  </si>
  <si>
    <t>Actual Closure Date</t>
  </si>
  <si>
    <t>Status</t>
  </si>
  <si>
    <t xml:space="preserve">Quality </t>
  </si>
  <si>
    <t>RIAD</t>
  </si>
  <si>
    <t xml:space="preserve">According to the drawing of the UG Tank (Job: 35/2023, Drawing No: 1, Date: 05-02-2024), note point 8 specifies the requirement for a water stopper to be installed at the construction joint of the water tank. The water stopper should be 150 mm wide and 5 mm thick, made of PVC material. However, despite this specification, the contractor, project manager, and client have disagreed on the provision of this water stopper.
If the water stopper is not installed at the joint as per the drawing, there is a risk of water leakage occurring at the joint. Therefore, it's essential to adhere to the specified requirements to prevent potential water leakages and ensure the integrity of the construction. </t>
  </si>
  <si>
    <t>India</t>
  </si>
  <si>
    <t xml:space="preserve">Health and  Safety </t>
  </si>
  <si>
    <t xml:space="preserve">Environmental </t>
  </si>
  <si>
    <t xml:space="preserve">Australia </t>
  </si>
  <si>
    <t>China</t>
  </si>
  <si>
    <t>Hong Kong</t>
  </si>
  <si>
    <t>Indonesia</t>
  </si>
  <si>
    <t>Japan</t>
  </si>
  <si>
    <t>Korea</t>
  </si>
  <si>
    <t>Philippines</t>
  </si>
  <si>
    <t>Singapore</t>
  </si>
  <si>
    <t>Taiwan</t>
  </si>
  <si>
    <t>Thailand</t>
  </si>
  <si>
    <t>Vietnam</t>
  </si>
  <si>
    <t xml:space="preserve">Sr. No. </t>
  </si>
  <si>
    <t>Name of Equipment</t>
  </si>
  <si>
    <t>Unit</t>
  </si>
  <si>
    <t>Total Number</t>
  </si>
  <si>
    <t>Compression Testing Machine</t>
  </si>
  <si>
    <t>No</t>
  </si>
  <si>
    <t>Slump Cone Test Apparatus</t>
  </si>
  <si>
    <t>Set</t>
  </si>
  <si>
    <t>Steel Moulds</t>
  </si>
  <si>
    <t>Digital Moisture Meter</t>
  </si>
  <si>
    <t>Weighing Balance</t>
  </si>
  <si>
    <t>Thermometer</t>
  </si>
  <si>
    <t>Closure Rate</t>
  </si>
  <si>
    <t>Site Observation Success Rate</t>
  </si>
  <si>
    <t>Site Instruction Success Rate</t>
  </si>
  <si>
    <t>Non Conformity Success Rate</t>
  </si>
  <si>
    <t>Quality Performance - Overalll</t>
  </si>
  <si>
    <t>Previous Week Quality Score</t>
  </si>
  <si>
    <t>QPI Week 12</t>
  </si>
  <si>
    <t>QPI Week 11</t>
  </si>
  <si>
    <t>QPI Week 10</t>
  </si>
  <si>
    <t>Bad Quality Practice - Week 13</t>
  </si>
  <si>
    <t>Quality at a Glance Week #13</t>
  </si>
  <si>
    <t>Compressive strength at 7 days</t>
  </si>
  <si>
    <t>IS code lower limit</t>
  </si>
  <si>
    <t>Sample #</t>
  </si>
  <si>
    <t>Total NCR Open</t>
  </si>
  <si>
    <t>This week Concreting</t>
  </si>
  <si>
    <r>
      <t>3200 m</t>
    </r>
    <r>
      <rPr>
        <vertAlign val="superscript"/>
        <sz val="36"/>
        <color theme="1"/>
        <rFont val="Calibri"/>
        <family val="2"/>
      </rPr>
      <t>3</t>
    </r>
  </si>
  <si>
    <t>No. of sample last week</t>
  </si>
  <si>
    <t>Total 10 samples has not been pass in 7 days strength, PMC team check those at 28 days strength if not pass then raise NC</t>
  </si>
  <si>
    <t xml:space="preserve">Sample Pass in 7 days strength </t>
  </si>
  <si>
    <t>Quality Performance Report - Project # - Week 13</t>
  </si>
  <si>
    <t>Average</t>
  </si>
  <si>
    <t>Compressive Test Result</t>
  </si>
  <si>
    <t>Sample fail in 7 days strength</t>
  </si>
  <si>
    <t>Sample fail in 28 days strength</t>
  </si>
  <si>
    <t>Checklist Summary</t>
  </si>
  <si>
    <t>Sr No</t>
  </si>
  <si>
    <t>File Name</t>
  </si>
  <si>
    <t>Work Category</t>
  </si>
  <si>
    <t>Checklist For Pre-Construction &amp; Mobilization - Civil</t>
  </si>
  <si>
    <t>Mobilization</t>
  </si>
  <si>
    <t>Checklist For Pre-Construction &amp; Mobilization - Electrical</t>
  </si>
  <si>
    <t>Checklist For Pre-Construction &amp; Mobilization - Interiors</t>
  </si>
  <si>
    <t>Checklist For Pre-Construction &amp; Mobilization - Mechanical</t>
  </si>
  <si>
    <t>Checklist For Pre-Construction &amp; Mobilization - PEB</t>
  </si>
  <si>
    <t>Checklist For Pre-Construction &amp; Mobilization - Plumbing</t>
  </si>
  <si>
    <t>Checklist For Pre-Construction &amp; Mobilization -Fire</t>
  </si>
  <si>
    <t>Aggregate Crushing Value Test- Nominal Size</t>
  </si>
  <si>
    <t>Civil</t>
  </si>
  <si>
    <t>Aggregate Impact Value Test</t>
  </si>
  <si>
    <t>Aggregate Specific Gravity &amp; Water Absorption</t>
  </si>
  <si>
    <t>Anti Termite Report</t>
  </si>
  <si>
    <t>Checklist For Anchor Bolt Fixing û Peb</t>
  </si>
  <si>
    <t>Checklist For Block Work</t>
  </si>
  <si>
    <t>Checklist For Brick Masonry Work</t>
  </si>
  <si>
    <t>Checklist For Chamber Fixing</t>
  </si>
  <si>
    <t>Checklist For Demolition Work</t>
  </si>
  <si>
    <t>Checklist For Excavation Work</t>
  </si>
  <si>
    <t>Checklist For Filling Work</t>
  </si>
  <si>
    <t>Checklist For Floor Trimix Work</t>
  </si>
  <si>
    <t>Checklist For Floor Trimix û Densification Work</t>
  </si>
  <si>
    <t>Checklist For Gp2 Filling</t>
  </si>
  <si>
    <t>Checklist For Handing Over Work</t>
  </si>
  <si>
    <t>Checklist For Lean Trimix (Groove Work)</t>
  </si>
  <si>
    <t>Checklist For Metal Soiling Work</t>
  </si>
  <si>
    <t>Checklist For P.C.C Work</t>
  </si>
  <si>
    <t>Checklist For Paver Block Work</t>
  </si>
  <si>
    <t>Checklist For Plastering Work</t>
  </si>
  <si>
    <t>Checklist For Pre-Cast Cover Slabs</t>
  </si>
  <si>
    <t>Checklist For R.C.C Pipe Work</t>
  </si>
  <si>
    <t>Checklist For Road Trimix Work</t>
  </si>
  <si>
    <t>Checklist For Shuttering</t>
  </si>
  <si>
    <t>Checklist For WBM.GSB.WMM</t>
  </si>
  <si>
    <t>Concrete Cube Testing Form</t>
  </si>
  <si>
    <t>Concrete Pre-Pour &amp; Post Pore Inspection Report</t>
  </si>
  <si>
    <t>Determination Of Fineness Of Cement</t>
  </si>
  <si>
    <t>Field Dry Density By Core Cutter</t>
  </si>
  <si>
    <t>Field Dry Density By Sand Replacement</t>
  </si>
  <si>
    <t>Flakiness &amp; Elongation Index</t>
  </si>
  <si>
    <t>Incoming Material Inspection Report</t>
  </si>
  <si>
    <t>Joint Measurement Record</t>
  </si>
  <si>
    <t>Pour Card</t>
  </si>
  <si>
    <t>RMC Plant Calibration Report (Admixture)</t>
  </si>
  <si>
    <t>RMC Plant Calibration Report (Cement)</t>
  </si>
  <si>
    <t>RMC Plant Calibration Report (CoarseFine Aggregate)</t>
  </si>
  <si>
    <t>RMC Plant Calibration Report (Water)</t>
  </si>
  <si>
    <t>Reinforcement Cage Inspection Report</t>
  </si>
  <si>
    <t>Sieve Analysis Of Coarse Aggregate (10MM)</t>
  </si>
  <si>
    <t>Sieve Analysis Of Coarse Aggregate (20MM)</t>
  </si>
  <si>
    <t>Sieve Analysis Of Coarse Aggregate (GSB)</t>
  </si>
  <si>
    <t>Sieve Analysis- Fine Aggregate (Sand)</t>
  </si>
  <si>
    <t>Sieve Analysis- Masonry Mortor</t>
  </si>
  <si>
    <t>Silt Content In Sand</t>
  </si>
  <si>
    <t>Survey Check Report</t>
  </si>
  <si>
    <t>Water Proofing Report</t>
  </si>
  <si>
    <t>PD Backfilling Around Drain</t>
  </si>
  <si>
    <t>PD</t>
  </si>
  <si>
    <t>PD Drain Cover  Grating Fixing</t>
  </si>
  <si>
    <t>PD Excavation For Drain Alignment</t>
  </si>
  <si>
    <t>PD Final Certification</t>
  </si>
  <si>
    <t>PD Handling &amp; Placement Of Pre-Cast Drain Units</t>
  </si>
  <si>
    <t>PD Joint Treatment &amp; Sealing</t>
  </si>
  <si>
    <t>PD Pre-Cast Drain Material Inspection</t>
  </si>
  <si>
    <t>PD Testing &amp; Final Inspection</t>
  </si>
  <si>
    <t>PC Checklist For Backfilling &amp; Finishing Around Wall</t>
  </si>
  <si>
    <t>PC</t>
  </si>
  <si>
    <t>PC Foundation &amp; Excavation For Posts</t>
  </si>
  <si>
    <t>PC Handling &amp; Placement Of Panels</t>
  </si>
  <si>
    <t>PC Handling, Lifting &amp; Placement Of Posts</t>
  </si>
  <si>
    <t>PC Joint Treatment &amp; Sealing</t>
  </si>
  <si>
    <t>PC Pre-Cast Panel &amp; Post Material Inspection</t>
  </si>
  <si>
    <t>PC Testing &amp; Final Inspection</t>
  </si>
  <si>
    <t>EOT Crane Work Checklist - Electrical installation</t>
  </si>
  <si>
    <t>PEB</t>
  </si>
  <si>
    <t>EOT Crane Work Checklist - Handover &amp; documentation</t>
  </si>
  <si>
    <t>EOT Crane Work Checklist - Mechanical installation</t>
  </si>
  <si>
    <t>EOT Crane Work Checklist - PEB Structure preparation</t>
  </si>
  <si>
    <t>EOT Crane Work Checklist - PRE-Construction-Civil readiness</t>
  </si>
  <si>
    <t>EOT Crane Work Checklist - Rail installation</t>
  </si>
  <si>
    <t>EOT Crane Work Checklist - Testing &amp; commissioning</t>
  </si>
  <si>
    <t>PEB Alignment Checking Checklist</t>
  </si>
  <si>
    <t>PEB Final Alignment Checking Checklist</t>
  </si>
  <si>
    <t>PEB Finished Material Inspection Checklist (Before Dispatch û Plant Level)</t>
  </si>
  <si>
    <t>PEB Handover Checklist</t>
  </si>
  <si>
    <t>PEB Raw Material Inspection Checklist</t>
  </si>
  <si>
    <t>PEB Roof Sheeting &amp; Cladding Material Inspection Checklist</t>
  </si>
  <si>
    <t>Checklist For ( MVRV,VRF ) System</t>
  </si>
  <si>
    <t>Mechanical</t>
  </si>
  <si>
    <t>Checklist For AHU Installation</t>
  </si>
  <si>
    <t>Checklist For Air Compressor</t>
  </si>
  <si>
    <t>Checklist For Chiller</t>
  </si>
  <si>
    <t>Checklist For Cooling Tower</t>
  </si>
  <si>
    <t>Checklist For Ducting</t>
  </si>
  <si>
    <t>Checklist For Mechanical Piping</t>
  </si>
  <si>
    <t>Checklist For Testing &amp; Commissioning</t>
  </si>
  <si>
    <t>Checklist For (VDB,DB,SDB,PDB)</t>
  </si>
  <si>
    <t>Electrical</t>
  </si>
  <si>
    <t>Checklist For Cable Laying &amp; Fixing</t>
  </si>
  <si>
    <t>Checklist For Cable Trays &amp; Raceways</t>
  </si>
  <si>
    <t>Checklist For Dg Set &amp; Amf Panel</t>
  </si>
  <si>
    <t>Checklist For Earthing &amp; Lightning Protection</t>
  </si>
  <si>
    <t>Checklist For Final Testing &amp; Commissioning</t>
  </si>
  <si>
    <t>Checklist For Ht  Lt Panels (PCC, MCC, APFC)</t>
  </si>
  <si>
    <t>Checklist For Lighting &amp; Power Points</t>
  </si>
  <si>
    <t>Checklist For Motors, Vfds &amp; Bus Ducts</t>
  </si>
  <si>
    <t>Checklist For Solar Pv System</t>
  </si>
  <si>
    <t>Checklist For Transformer</t>
  </si>
  <si>
    <t>Checklist For Ups &amp; Battery Bank</t>
  </si>
  <si>
    <t>Checklist For Drainage System</t>
  </si>
  <si>
    <t>Plumbing</t>
  </si>
  <si>
    <t>Checklist For Plumbing Fixtures &amp; Accessories</t>
  </si>
  <si>
    <t>Checklist For Rainwater Harvesting  Stormwater System</t>
  </si>
  <si>
    <t>Checklist For Sewage &amp; Stp System</t>
  </si>
  <si>
    <t>Checklist For Water Supply System</t>
  </si>
  <si>
    <t>Fire</t>
  </si>
  <si>
    <t>Checklist For Fire Alarm &amp; Detection System</t>
  </si>
  <si>
    <t>Checklist For Fire Pump Room</t>
  </si>
  <si>
    <t>Checklist For Hydrant System</t>
  </si>
  <si>
    <t>Checklist For Sprinkler System</t>
  </si>
  <si>
    <t>Checklist For Acoustic &amp; Soundproofing Works</t>
  </si>
  <si>
    <t>Interior</t>
  </si>
  <si>
    <t>Checklist For Dado Flooring</t>
  </si>
  <si>
    <t>Checklist For Doors</t>
  </si>
  <si>
    <t>Checklist For False Ceiling Works</t>
  </si>
  <si>
    <t>Checklist For Faτade  External Works</t>
  </si>
  <si>
    <t>Checklist For Final Testing, Snagging &amp; Handover</t>
  </si>
  <si>
    <t>Checklist For Flooring Works</t>
  </si>
  <si>
    <t>Checklist For Health, Safety &amp; Accessibility Compliance</t>
  </si>
  <si>
    <t>Checklist For Joinery, Carpentry &amp; Modular Furniture</t>
  </si>
  <si>
    <t>Checklist For Landscaping &amp; Exterior Hardscape</t>
  </si>
  <si>
    <t>Checklist For Loose Furniture &amp; Soft Furnishings</t>
  </si>
  <si>
    <t>Checklist For Mep Coordination In Interiors</t>
  </si>
  <si>
    <t>Checklist For Partition Works</t>
  </si>
  <si>
    <t>Checklist For Sanitary Fittings &amp; Washroom Interiors</t>
  </si>
  <si>
    <t>Checklist For Signage &amp; Wayfinding</t>
  </si>
  <si>
    <t>Checklist For Staircase, Railing &amp; Balustrade</t>
  </si>
  <si>
    <t>Checklist For Wall Finishes</t>
  </si>
  <si>
    <t>Checklist For Windows &amp; Glazing</t>
  </si>
  <si>
    <t>Natural Stone Fixing û Site Execution One-Liner Checklist</t>
  </si>
  <si>
    <t>Checklist For Access Control &amp; Attendance System</t>
  </si>
  <si>
    <t>ELV</t>
  </si>
  <si>
    <t>Checklist For Building Management System (Bms)</t>
  </si>
  <si>
    <t>Checklist For Cctv Surveillance System</t>
  </si>
  <si>
    <t>Checklist For Data &amp; Networking (Structured Cabling)</t>
  </si>
  <si>
    <t>Checklist For Fire Alarm &amp; Detection System (Elv Scope)</t>
  </si>
  <si>
    <t>Checklist For Public Address &amp; Bgm System</t>
  </si>
  <si>
    <t>Checklist For Specialized Systems (If Applicable)</t>
  </si>
  <si>
    <t>Checklist For Telephone &amp; Intercom System</t>
  </si>
  <si>
    <t>Checklist For Testing &amp; Commissioning û Combined Checks</t>
  </si>
  <si>
    <t>Accident Report</t>
  </si>
  <si>
    <t xml:space="preserve">Safety </t>
  </si>
  <si>
    <t>Man Hour Log</t>
  </si>
  <si>
    <t>Monthly HSSE Report</t>
  </si>
  <si>
    <t xml:space="preserve">Near Miss </t>
  </si>
  <si>
    <t>Observation - Unsafe Act</t>
  </si>
  <si>
    <t>Safety Orientation-training</t>
  </si>
  <si>
    <t>Safety Summary</t>
  </si>
  <si>
    <t>Tool Box Talk</t>
  </si>
  <si>
    <t>Unsafe Act Summary</t>
  </si>
  <si>
    <t>Confined Space Entry Work Permit</t>
  </si>
  <si>
    <t>Workpermits</t>
  </si>
  <si>
    <t>General Permit to Work (PTW)</t>
  </si>
  <si>
    <t>Hot Work Permit</t>
  </si>
  <si>
    <t>Permit for Excavation</t>
  </si>
  <si>
    <t>Permit for Lifting Operation(s)</t>
  </si>
  <si>
    <t>Permit for Night Work</t>
  </si>
  <si>
    <t>Permit for Work at Height</t>
  </si>
  <si>
    <t>Permit to (Erect,Alter,Dismantle Scaffold)</t>
  </si>
  <si>
    <t>Permit to Work û Risers &amp; Lift Shafts</t>
  </si>
  <si>
    <t>Checklist For Civil Handover</t>
  </si>
  <si>
    <t>Handover</t>
  </si>
  <si>
    <t>Checklist For Electrical  Handover</t>
  </si>
  <si>
    <t>Checklist For Fire Handover</t>
  </si>
  <si>
    <t>Checklist For Interior Handover</t>
  </si>
  <si>
    <t>Checklist For Mechanical Handover</t>
  </si>
  <si>
    <t>Checklist For PEB Handover</t>
  </si>
  <si>
    <t>Checklist For Plumbing Handover</t>
  </si>
  <si>
    <t xml:space="preserve">Work Category </t>
  </si>
  <si>
    <t xml:space="preserve">Handover </t>
  </si>
  <si>
    <t>No of Checklist Filled</t>
  </si>
  <si>
    <t>Row Labels</t>
  </si>
  <si>
    <t>Grand Total</t>
  </si>
  <si>
    <t>Sum of No of Checklist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</si>
</sst>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b/>
      <sz val="11"/>
      <color theme="1"/>
      <name val="Aptos Narrow"/>
      <family val="2"/>
      <scheme val="minor"/>
    </font>
    <font>
      <b/>
      <sz val="11"/>
      <color theme="1"/>
      <name val="Artifakt Element"/>
      <family val="2"/>
    </font>
    <font>
      <sz val="11"/>
      <color theme="1"/>
      <name val="Artifakt Element"/>
      <family val="2"/>
    </font>
    <font>
      <b/>
      <sz val="18"/>
      <color theme="0"/>
      <name val="Aptos Narrow"/>
      <family val="2"/>
      <scheme val="minor"/>
    </font>
    <font>
      <b/>
      <sz val="14"/>
      <color theme="1"/>
      <name val="Aptos Narrow"/>
      <family val="2"/>
      <scheme val="minor"/>
    </font>
    <font>
      <b/>
      <sz val="12"/>
      <color theme="1"/>
      <name val="Aptos Narrow"/>
      <family val="2"/>
      <scheme val="minor"/>
    </font>
    <font>
      <b/>
      <sz val="10"/>
      <color theme="0"/>
      <name val="Arial"/>
      <family val="2"/>
    </font>
    <font>
      <b/>
      <sz val="10"/>
      <name val="Arial"/>
      <family val="2"/>
    </font>
    <font>
      <sz val="10"/>
      <name val="Arial"/>
      <family val="2"/>
    </font>
    <font>
      <sz val="10"/>
      <color theme="1"/>
      <name val="Arial"/>
      <family val="2"/>
    </font>
    <font>
      <sz val="11"/>
      <color theme="1"/>
      <name val="Arial"/>
      <family val="2"/>
    </font>
    <font>
      <b/>
      <sz val="11"/>
      <color theme="1"/>
      <name val="Arial"/>
      <family val="2"/>
    </font>
    <font>
      <sz val="9"/>
      <name val="Arial"/>
      <family val="2"/>
    </font>
    <font>
      <sz val="11"/>
      <name val="Arial"/>
      <family val="2"/>
    </font>
    <font>
      <sz val="9"/>
      <color theme="1"/>
      <name val="Arial"/>
      <family val="2"/>
    </font>
    <font>
      <b/>
      <sz val="10"/>
      <color theme="1"/>
      <name val="Arial"/>
      <family val="2"/>
    </font>
    <font>
      <b/>
      <sz val="14"/>
      <color theme="1"/>
      <name val="Calibri"/>
      <family val="2"/>
    </font>
    <font>
      <sz val="36"/>
      <color theme="1"/>
      <name val="Calibri"/>
      <family val="2"/>
    </font>
    <font>
      <sz val="11"/>
      <color rgb="FF006100"/>
      <name val="Aptos Narrow"/>
      <family val="2"/>
      <scheme val="minor"/>
    </font>
    <font>
      <sz val="10"/>
      <name val="Arial"/>
    </font>
    <font>
      <sz val="10"/>
      <name val="Aptos Narrow"/>
      <family val="2"/>
      <scheme val="minor"/>
    </font>
    <font>
      <b/>
      <sz val="10"/>
      <name val="Aptos Narrow"/>
      <family val="2"/>
      <scheme val="minor"/>
    </font>
    <font>
      <b/>
      <sz val="14"/>
      <color indexed="9"/>
      <name val="Aptos Narrow"/>
      <family val="2"/>
      <scheme val="minor"/>
    </font>
    <font>
      <b/>
      <sz val="10"/>
      <color indexed="9"/>
      <name val="Aptos Narrow"/>
      <family val="2"/>
      <scheme val="minor"/>
    </font>
    <font>
      <sz val="12"/>
      <color theme="1"/>
      <name val="Times New Roman"/>
      <family val="1"/>
    </font>
    <font>
      <b/>
      <sz val="12"/>
      <color rgb="FF000000"/>
      <name val="Times New Roman"/>
      <family val="1"/>
    </font>
    <font>
      <b/>
      <sz val="16"/>
      <color theme="1"/>
      <name val="Aptos Narrow"/>
      <family val="2"/>
      <scheme val="minor"/>
    </font>
    <font>
      <b/>
      <sz val="11"/>
      <color theme="0"/>
      <name val="Artifakt Element"/>
    </font>
    <font>
      <vertAlign val="superscript"/>
      <sz val="36"/>
      <color theme="1"/>
      <name val="Calibri"/>
      <family val="2"/>
    </font>
    <font>
      <sz val="12"/>
      <color theme="1"/>
      <name val="Calibri"/>
      <family val="2"/>
    </font>
    <font>
      <b/>
      <sz val="36"/>
      <color theme="0"/>
      <name val="Aptos Narrow"/>
      <family val="2"/>
      <scheme val="minor"/>
    </font>
    <font>
      <b/>
      <sz val="20"/>
      <color theme="1"/>
      <name val="Aptos Narrow"/>
      <family val="2"/>
      <scheme val="minor"/>
    </font>
    <font>
      <b/>
      <sz val="11"/>
      <color theme="0"/>
      <name val="Arial"/>
      <family val="2"/>
    </font>
  </fonts>
  <fills count="19">
    <fill>
      <patternFill patternType="none"/>
    </fill>
    <fill>
      <patternFill patternType="gray125"/>
    </fill>
    <fill>
      <patternFill patternType="solid">
        <fgColor rgb="FFFF615F"/>
        <bgColor indexed="64"/>
      </patternFill>
    </fill>
    <fill>
      <patternFill patternType="solid">
        <fgColor rgb="FF00206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rgb="FFFFFFFF"/>
        <bgColor indexed="64"/>
      </patternFill>
    </fill>
    <fill>
      <patternFill patternType="solid">
        <fgColor theme="4" tint="-0.249977111117893"/>
        <bgColor indexed="64"/>
      </patternFill>
    </fill>
    <fill>
      <patternFill patternType="solid">
        <fgColor theme="0"/>
        <bgColor indexed="64"/>
      </patternFill>
    </fill>
    <fill>
      <patternFill patternType="solid">
        <fgColor rgb="FFFB7B71"/>
        <bgColor indexed="64"/>
      </patternFill>
    </fill>
    <fill>
      <patternFill patternType="darkDown">
        <bgColor theme="0"/>
      </patternFill>
    </fill>
    <fill>
      <patternFill patternType="solid">
        <fgColor theme="0" tint="-4.9989318521683403E-2"/>
        <bgColor indexed="64"/>
      </patternFill>
    </fill>
    <fill>
      <patternFill patternType="solid">
        <fgColor rgb="FFC6EFCE"/>
      </patternFill>
    </fill>
    <fill>
      <patternFill patternType="solid">
        <fgColor rgb="FFB4C6E7"/>
        <bgColor indexed="64"/>
      </patternFill>
    </fill>
    <fill>
      <patternFill patternType="solid">
        <fgColor rgb="FFF7917D"/>
        <bgColor indexed="64"/>
      </patternFill>
    </fill>
    <fill>
      <gradientFill degree="45">
        <stop position="0">
          <color theme="7" tint="0.80001220740379042"/>
        </stop>
        <stop position="1">
          <color theme="0"/>
        </stop>
      </gradientFill>
    </fill>
    <fill>
      <patternFill patternType="lightDown"/>
    </fill>
    <fill>
      <patternFill patternType="solid">
        <fgColor theme="3" tint="0.3999755851924192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indexed="64"/>
      </right>
      <top style="medium">
        <color indexed="64"/>
      </top>
      <bottom style="medium">
        <color indexed="64"/>
      </bottom>
      <diagonal/>
    </border>
    <border>
      <left style="medium">
        <color theme="1"/>
      </left>
      <right style="medium">
        <color theme="1"/>
      </right>
      <top style="medium">
        <color indexed="64"/>
      </top>
      <bottom/>
      <diagonal/>
    </border>
    <border>
      <left style="medium">
        <color theme="1"/>
      </left>
      <right style="medium">
        <color theme="1"/>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1"/>
      </left>
      <right/>
      <top/>
      <bottom style="medium">
        <color theme="1"/>
      </bottom>
      <diagonal/>
    </border>
    <border>
      <left/>
      <right style="medium">
        <color theme="1"/>
      </right>
      <top/>
      <bottom style="medium">
        <color theme="1"/>
      </bottom>
      <diagonal/>
    </border>
    <border>
      <left style="medium">
        <color indexed="64"/>
      </left>
      <right style="medium">
        <color theme="1"/>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style="medium">
        <color indexed="64"/>
      </right>
      <top/>
      <bottom/>
      <diagonal/>
    </border>
  </borders>
  <cellStyleXfs count="3">
    <xf numFmtId="0" fontId="0" fillId="0" borderId="0"/>
    <xf numFmtId="0" fontId="19" fillId="13" borderId="0" applyNumberFormat="0" applyBorder="0" applyAlignment="0" applyProtection="0"/>
    <xf numFmtId="0" fontId="20" fillId="0" borderId="0"/>
  </cellStyleXfs>
  <cellXfs count="210">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0" fillId="0" borderId="2" xfId="0" applyBorder="1" applyAlignment="1">
      <alignment vertical="center"/>
    </xf>
    <xf numFmtId="0" fontId="0" fillId="0" borderId="0" xfId="0" applyAlignment="1">
      <alignment vertical="center"/>
    </xf>
    <xf numFmtId="0" fontId="7" fillId="6" borderId="2" xfId="0" applyFont="1" applyFill="1" applyBorder="1" applyAlignment="1">
      <alignment horizontal="center" vertical="center" wrapText="1"/>
    </xf>
    <xf numFmtId="0" fontId="9" fillId="7" borderId="2" xfId="0" applyFont="1" applyFill="1" applyBorder="1" applyAlignment="1">
      <alignment vertical="center" wrapText="1"/>
    </xf>
    <xf numFmtId="0" fontId="9" fillId="7" borderId="2" xfId="0" applyFont="1" applyFill="1" applyBorder="1" applyAlignment="1">
      <alignment horizontal="center" vertical="center" wrapText="1"/>
    </xf>
    <xf numFmtId="0" fontId="10" fillId="0" borderId="2" xfId="0" applyFont="1" applyBorder="1" applyAlignment="1">
      <alignment horizontal="center" vertical="center"/>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vertical="center"/>
    </xf>
    <xf numFmtId="0" fontId="11" fillId="0" borderId="2" xfId="0" applyFont="1" applyBorder="1" applyAlignment="1">
      <alignment vertical="center"/>
    </xf>
    <xf numFmtId="0" fontId="9" fillId="7"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3" fillId="0" borderId="2" xfId="0" applyFont="1" applyBorder="1" applyAlignment="1">
      <alignment vertical="center" wrapText="1"/>
    </xf>
    <xf numFmtId="0" fontId="9" fillId="7"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0" fontId="8" fillId="7" borderId="2" xfId="0" applyFont="1" applyFill="1" applyBorder="1" applyAlignment="1">
      <alignment vertical="center" wrapText="1"/>
    </xf>
    <xf numFmtId="0" fontId="11" fillId="0" borderId="2" xfId="0" applyFont="1" applyBorder="1" applyAlignment="1">
      <alignment horizontal="center" vertical="center"/>
    </xf>
    <xf numFmtId="0" fontId="15" fillId="0" borderId="2" xfId="0" applyFont="1" applyBorder="1" applyAlignment="1">
      <alignment horizontal="left" vertical="center"/>
    </xf>
    <xf numFmtId="0" fontId="11" fillId="0" borderId="2" xfId="0" applyFont="1" applyBorder="1" applyAlignment="1">
      <alignment horizontal="center" vertical="center" wrapText="1"/>
    </xf>
    <xf numFmtId="0" fontId="15" fillId="0" borderId="2" xfId="0" applyFont="1" applyBorder="1" applyAlignment="1">
      <alignment horizontal="left" vertical="center" wrapText="1"/>
    </xf>
    <xf numFmtId="0" fontId="16" fillId="0" borderId="2" xfId="0" applyFont="1" applyBorder="1" applyAlignment="1">
      <alignment vertical="center"/>
    </xf>
    <xf numFmtId="0" fontId="15" fillId="0" borderId="2"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horizontal="left" vertical="center"/>
    </xf>
    <xf numFmtId="0" fontId="10" fillId="0" borderId="2" xfId="0" applyFont="1" applyBorder="1" applyAlignment="1">
      <alignment horizontal="left" vertical="center" wrapText="1"/>
    </xf>
    <xf numFmtId="0" fontId="9" fillId="7" borderId="3" xfId="0" applyFont="1" applyFill="1" applyBorder="1" applyAlignment="1">
      <alignment vertical="center" wrapText="1"/>
    </xf>
    <xf numFmtId="0" fontId="9" fillId="7"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7" borderId="4" xfId="0" applyFont="1" applyFill="1" applyBorder="1" applyAlignment="1">
      <alignment vertical="center" wrapText="1"/>
    </xf>
    <xf numFmtId="0" fontId="10" fillId="0" borderId="4" xfId="0" applyFont="1" applyBorder="1" applyAlignment="1">
      <alignment horizontal="center" vertical="center" wrapText="1"/>
    </xf>
    <xf numFmtId="0" fontId="11" fillId="0" borderId="4" xfId="0" applyFont="1" applyBorder="1" applyAlignment="1">
      <alignment vertical="center"/>
    </xf>
    <xf numFmtId="0" fontId="9" fillId="7" borderId="4" xfId="0" applyFont="1" applyFill="1" applyBorder="1" applyAlignment="1">
      <alignment horizontal="center" vertical="center" wrapText="1"/>
    </xf>
    <xf numFmtId="0" fontId="0" fillId="8" borderId="13" xfId="0" applyFill="1" applyBorder="1"/>
    <xf numFmtId="0" fontId="0" fillId="8" borderId="0" xfId="0" applyFill="1"/>
    <xf numFmtId="0" fontId="0" fillId="9" borderId="13" xfId="0" applyFill="1" applyBorder="1"/>
    <xf numFmtId="0" fontId="0" fillId="9" borderId="0" xfId="0" applyFill="1"/>
    <xf numFmtId="0" fontId="20" fillId="0" borderId="0" xfId="2"/>
    <xf numFmtId="0" fontId="21" fillId="0" borderId="0" xfId="2" applyFont="1"/>
    <xf numFmtId="0" fontId="24" fillId="0" borderId="22" xfId="2" applyFont="1" applyBorder="1" applyAlignment="1">
      <alignment vertical="center" wrapText="1"/>
    </xf>
    <xf numFmtId="0" fontId="22" fillId="0" borderId="1" xfId="2" applyFont="1" applyBorder="1" applyAlignment="1">
      <alignment horizontal="center" vertical="center" wrapText="1"/>
    </xf>
    <xf numFmtId="0" fontId="21" fillId="0" borderId="16" xfId="2" applyFont="1" applyBorder="1" applyAlignment="1">
      <alignment horizontal="center" vertical="center" wrapText="1"/>
    </xf>
    <xf numFmtId="14" fontId="21" fillId="0" borderId="1" xfId="2" applyNumberFormat="1" applyFont="1" applyBorder="1" applyAlignment="1">
      <alignment horizontal="center" vertical="center" wrapText="1"/>
    </xf>
    <xf numFmtId="0" fontId="21" fillId="0" borderId="1" xfId="2" applyFont="1" applyBorder="1" applyAlignment="1">
      <alignment horizontal="center" vertical="center" wrapText="1"/>
    </xf>
    <xf numFmtId="0" fontId="21" fillId="0" borderId="1" xfId="2" applyFont="1" applyBorder="1" applyAlignment="1">
      <alignment vertical="center" wrapText="1"/>
    </xf>
    <xf numFmtId="0" fontId="21" fillId="0" borderId="17" xfId="2" applyFont="1" applyBorder="1" applyAlignment="1">
      <alignment horizontal="center" vertical="center" wrapText="1"/>
    </xf>
    <xf numFmtId="0" fontId="21" fillId="0" borderId="20" xfId="2" applyFont="1" applyBorder="1" applyAlignment="1">
      <alignment horizontal="center" vertical="center" wrapText="1"/>
    </xf>
    <xf numFmtId="0" fontId="21" fillId="0" borderId="18" xfId="2" applyFont="1" applyBorder="1" applyAlignment="1">
      <alignment horizontal="center" vertical="center" wrapText="1"/>
    </xf>
    <xf numFmtId="0" fontId="21" fillId="0" borderId="18" xfId="2" applyFont="1" applyBorder="1" applyAlignment="1">
      <alignment vertical="center" wrapText="1"/>
    </xf>
    <xf numFmtId="0" fontId="21" fillId="0" borderId="19" xfId="2" applyFont="1" applyBorder="1" applyAlignment="1">
      <alignment horizontal="center" vertical="center" wrapText="1"/>
    </xf>
    <xf numFmtId="0" fontId="21" fillId="0" borderId="0" xfId="2" applyFont="1" applyAlignment="1">
      <alignment horizontal="center" vertical="center" wrapText="1"/>
    </xf>
    <xf numFmtId="0" fontId="22" fillId="5" borderId="16" xfId="2" applyFont="1" applyFill="1" applyBorder="1" applyAlignment="1">
      <alignment horizontal="center" vertical="center" wrapText="1"/>
    </xf>
    <xf numFmtId="0" fontId="22" fillId="5" borderId="1" xfId="2" applyFont="1" applyFill="1" applyBorder="1" applyAlignment="1">
      <alignment horizontal="center" vertical="center" wrapText="1"/>
    </xf>
    <xf numFmtId="0" fontId="22" fillId="5" borderId="17" xfId="2" applyFont="1" applyFill="1" applyBorder="1" applyAlignment="1">
      <alignment horizontal="center" vertical="center" wrapText="1"/>
    </xf>
    <xf numFmtId="0" fontId="9" fillId="7" borderId="27" xfId="0" applyFont="1" applyFill="1" applyBorder="1" applyAlignment="1">
      <alignment horizontal="center" vertical="center" wrapText="1"/>
    </xf>
    <xf numFmtId="0" fontId="10" fillId="0" borderId="4" xfId="0" applyFont="1" applyBorder="1" applyAlignment="1">
      <alignment horizontal="center" vertical="center"/>
    </xf>
    <xf numFmtId="0" fontId="9" fillId="7" borderId="28" xfId="0" applyFont="1" applyFill="1" applyBorder="1" applyAlignment="1">
      <alignment vertical="center" wrapText="1"/>
    </xf>
    <xf numFmtId="0" fontId="10" fillId="0" borderId="29" xfId="0" applyFont="1" applyBorder="1" applyAlignment="1">
      <alignment horizontal="center" vertical="center" wrapText="1"/>
    </xf>
    <xf numFmtId="0" fontId="10" fillId="0" borderId="29" xfId="0" applyFont="1" applyBorder="1" applyAlignment="1">
      <alignment vertical="center"/>
    </xf>
    <xf numFmtId="0" fontId="11" fillId="0" borderId="29" xfId="0" applyFont="1" applyBorder="1" applyAlignment="1">
      <alignment vertical="center"/>
    </xf>
    <xf numFmtId="0" fontId="9" fillId="7" borderId="29" xfId="0" applyFont="1" applyFill="1" applyBorder="1" applyAlignment="1">
      <alignment horizontal="center" vertical="center" wrapText="1"/>
    </xf>
    <xf numFmtId="0" fontId="9" fillId="7" borderId="30" xfId="0" applyFont="1" applyFill="1" applyBorder="1" applyAlignment="1">
      <alignment horizontal="center" vertical="center" wrapText="1"/>
    </xf>
    <xf numFmtId="0" fontId="1" fillId="0" borderId="0" xfId="0" applyFont="1"/>
    <xf numFmtId="0" fontId="26" fillId="14" borderId="25" xfId="0" applyFont="1" applyFill="1" applyBorder="1" applyAlignment="1">
      <alignment horizontal="left" vertical="center" wrapText="1"/>
    </xf>
    <xf numFmtId="0" fontId="26" fillId="14" borderId="8" xfId="0" applyFont="1" applyFill="1" applyBorder="1" applyAlignment="1">
      <alignment horizontal="left" vertical="center" wrapText="1"/>
    </xf>
    <xf numFmtId="0" fontId="26" fillId="14" borderId="8" xfId="0" applyFont="1" applyFill="1" applyBorder="1" applyAlignment="1">
      <alignment horizontal="center" vertical="center" wrapText="1"/>
    </xf>
    <xf numFmtId="0" fontId="25" fillId="0" borderId="31" xfId="0" applyFont="1" applyBorder="1" applyAlignment="1">
      <alignment horizontal="center" vertical="center" wrapText="1"/>
    </xf>
    <xf numFmtId="0" fontId="25" fillId="0" borderId="24" xfId="0" applyFont="1" applyBorder="1" applyAlignment="1">
      <alignment horizontal="justify" vertical="center" wrapText="1"/>
    </xf>
    <xf numFmtId="0" fontId="25" fillId="0" borderId="24" xfId="0" applyFont="1" applyBorder="1" applyAlignment="1">
      <alignment horizontal="center" vertical="center" wrapText="1"/>
    </xf>
    <xf numFmtId="0" fontId="0" fillId="12" borderId="13" xfId="0" applyFill="1" applyBorder="1"/>
    <xf numFmtId="0" fontId="0" fillId="12" borderId="0" xfId="0" applyFill="1"/>
    <xf numFmtId="0" fontId="2" fillId="2" borderId="32" xfId="0" applyFont="1" applyFill="1" applyBorder="1" applyAlignment="1">
      <alignment horizontal="center" vertical="center"/>
    </xf>
    <xf numFmtId="0" fontId="0" fillId="12" borderId="13" xfId="0" applyFill="1" applyBorder="1" applyAlignment="1">
      <alignment horizontal="left"/>
    </xf>
    <xf numFmtId="0" fontId="0" fillId="12" borderId="34" xfId="0" applyFill="1" applyBorder="1"/>
    <xf numFmtId="0" fontId="0" fillId="12" borderId="0" xfId="0" applyFill="1" applyAlignment="1">
      <alignment horizontal="left"/>
    </xf>
    <xf numFmtId="0" fontId="0" fillId="0" borderId="1" xfId="0" applyBorder="1"/>
    <xf numFmtId="0" fontId="3" fillId="0" borderId="1" xfId="0" applyFont="1" applyBorder="1" applyAlignment="1">
      <alignment horizontal="center" vertical="center" wrapText="1"/>
    </xf>
    <xf numFmtId="0" fontId="3" fillId="0" borderId="1" xfId="0" applyFont="1" applyBorder="1" applyAlignment="1">
      <alignment horizontal="center"/>
    </xf>
    <xf numFmtId="0" fontId="28" fillId="3" borderId="1" xfId="0" applyFont="1" applyFill="1" applyBorder="1" applyAlignment="1">
      <alignment horizontal="center"/>
    </xf>
    <xf numFmtId="0" fontId="0" fillId="17" borderId="0" xfId="0" applyFill="1"/>
    <xf numFmtId="0" fontId="2" fillId="2" borderId="35" xfId="0" applyFont="1" applyFill="1" applyBorder="1" applyAlignment="1">
      <alignment horizontal="center" vertical="center"/>
    </xf>
    <xf numFmtId="0" fontId="3" fillId="0" borderId="36" xfId="0" applyFont="1" applyBorder="1" applyAlignment="1">
      <alignment horizontal="center" vertical="center"/>
    </xf>
    <xf numFmtId="0" fontId="3" fillId="0" borderId="37" xfId="0" applyFont="1" applyBorder="1"/>
    <xf numFmtId="0" fontId="3" fillId="0" borderId="37" xfId="0" applyFont="1" applyBorder="1" applyAlignment="1">
      <alignment horizontal="center" vertical="center"/>
    </xf>
    <xf numFmtId="10" fontId="0" fillId="0" borderId="38" xfId="0" applyNumberFormat="1" applyBorder="1"/>
    <xf numFmtId="0" fontId="3" fillId="0" borderId="16" xfId="0" applyFont="1" applyBorder="1" applyAlignment="1">
      <alignment horizontal="center" vertical="center"/>
    </xf>
    <xf numFmtId="10" fontId="0" fillId="0" borderId="17" xfId="0" applyNumberFormat="1" applyBorder="1"/>
    <xf numFmtId="0" fontId="3" fillId="0" borderId="20" xfId="0" applyFont="1" applyBorder="1" applyAlignment="1">
      <alignment horizontal="center" vertical="center"/>
    </xf>
    <xf numFmtId="0" fontId="3" fillId="0" borderId="18" xfId="0" applyFont="1" applyBorder="1"/>
    <xf numFmtId="0" fontId="3" fillId="0" borderId="18" xfId="0" applyFont="1" applyBorder="1" applyAlignment="1">
      <alignment horizontal="center" vertical="center"/>
    </xf>
    <xf numFmtId="10" fontId="0" fillId="0" borderId="19" xfId="0" applyNumberFormat="1" applyBorder="1"/>
    <xf numFmtId="10" fontId="1" fillId="0" borderId="0" xfId="0" applyNumberFormat="1" applyFont="1"/>
    <xf numFmtId="9" fontId="6" fillId="12" borderId="0" xfId="0" applyNumberFormat="1" applyFont="1" applyFill="1" applyAlignment="1">
      <alignment horizontal="center" vertical="center"/>
    </xf>
    <xf numFmtId="0" fontId="6" fillId="12" borderId="0" xfId="0" applyFont="1" applyFill="1" applyAlignment="1">
      <alignment horizontal="center" vertical="center"/>
    </xf>
    <xf numFmtId="0" fontId="6" fillId="12" borderId="34" xfId="0" applyFont="1" applyFill="1" applyBorder="1" applyAlignment="1">
      <alignment horizontal="center" vertical="center"/>
    </xf>
    <xf numFmtId="9" fontId="6" fillId="12" borderId="15" xfId="0" applyNumberFormat="1" applyFont="1" applyFill="1" applyBorder="1" applyAlignment="1">
      <alignment horizontal="center" vertical="center"/>
    </xf>
    <xf numFmtId="0" fontId="6" fillId="12" borderId="15" xfId="0" applyFont="1" applyFill="1" applyBorder="1" applyAlignment="1">
      <alignment horizontal="center" vertical="center"/>
    </xf>
    <xf numFmtId="0" fontId="6" fillId="12" borderId="24" xfId="0" applyFont="1" applyFill="1" applyBorder="1" applyAlignment="1">
      <alignment horizontal="center" vertical="center"/>
    </xf>
    <xf numFmtId="0" fontId="5" fillId="15" borderId="0" xfId="0" applyFont="1" applyFill="1" applyAlignment="1">
      <alignment horizontal="center"/>
    </xf>
    <xf numFmtId="0" fontId="31" fillId="8" borderId="11" xfId="0" applyFont="1" applyFill="1" applyBorder="1" applyAlignment="1">
      <alignment horizontal="center" vertical="center"/>
    </xf>
    <xf numFmtId="0" fontId="31" fillId="8" borderId="12" xfId="0" applyFont="1" applyFill="1" applyBorder="1" applyAlignment="1">
      <alignment horizontal="center" vertical="center"/>
    </xf>
    <xf numFmtId="0" fontId="31" fillId="8" borderId="13" xfId="0" applyFont="1" applyFill="1" applyBorder="1" applyAlignment="1">
      <alignment horizontal="center" vertical="center"/>
    </xf>
    <xf numFmtId="0" fontId="31" fillId="8" borderId="0" xfId="0" applyFont="1" applyFill="1" applyAlignment="1">
      <alignment horizontal="center" vertical="center"/>
    </xf>
    <xf numFmtId="0" fontId="31" fillId="8" borderId="14" xfId="0" applyFont="1" applyFill="1" applyBorder="1" applyAlignment="1">
      <alignment horizontal="center" vertical="center"/>
    </xf>
    <xf numFmtId="0" fontId="31" fillId="8" borderId="15" xfId="0" applyFont="1" applyFill="1" applyBorder="1" applyAlignment="1">
      <alignment horizontal="center" vertical="center"/>
    </xf>
    <xf numFmtId="0" fontId="27" fillId="16" borderId="11" xfId="0" applyFont="1" applyFill="1" applyBorder="1" applyAlignment="1">
      <alignment horizontal="center" vertical="center"/>
    </xf>
    <xf numFmtId="0" fontId="27" fillId="16" borderId="12" xfId="0" applyFont="1" applyFill="1" applyBorder="1" applyAlignment="1">
      <alignment horizontal="center" vertical="center"/>
    </xf>
    <xf numFmtId="0" fontId="27" fillId="16" borderId="33" xfId="0" applyFont="1" applyFill="1" applyBorder="1" applyAlignment="1">
      <alignment horizontal="center" vertical="center"/>
    </xf>
    <xf numFmtId="0" fontId="27" fillId="16" borderId="14" xfId="0" applyFont="1" applyFill="1" applyBorder="1" applyAlignment="1">
      <alignment horizontal="center" vertical="center"/>
    </xf>
    <xf numFmtId="0" fontId="27" fillId="16" borderId="15" xfId="0" applyFont="1" applyFill="1" applyBorder="1" applyAlignment="1">
      <alignment horizontal="center" vertical="center"/>
    </xf>
    <xf numFmtId="0" fontId="27" fillId="16" borderId="24" xfId="0" applyFont="1" applyFill="1" applyBorder="1" applyAlignment="1">
      <alignment horizontal="center" vertical="center"/>
    </xf>
    <xf numFmtId="0" fontId="6" fillId="12" borderId="13" xfId="0" applyFont="1" applyFill="1" applyBorder="1" applyAlignment="1">
      <alignment horizontal="left" vertical="center"/>
    </xf>
    <xf numFmtId="0" fontId="6" fillId="12" borderId="0" xfId="0" applyFont="1" applyFill="1" applyAlignment="1">
      <alignment horizontal="left" vertical="center"/>
    </xf>
    <xf numFmtId="10" fontId="5" fillId="12" borderId="0" xfId="0" applyNumberFormat="1" applyFont="1" applyFill="1" applyAlignment="1">
      <alignment horizontal="center" vertical="center"/>
    </xf>
    <xf numFmtId="0" fontId="5" fillId="12" borderId="0" xfId="0" applyFont="1" applyFill="1" applyAlignment="1">
      <alignment horizontal="center" vertical="center"/>
    </xf>
    <xf numFmtId="0" fontId="5" fillId="12" borderId="34" xfId="0" applyFont="1" applyFill="1" applyBorder="1" applyAlignment="1">
      <alignment horizontal="center" vertical="center"/>
    </xf>
    <xf numFmtId="0" fontId="6" fillId="12" borderId="14" xfId="0" applyFont="1" applyFill="1" applyBorder="1" applyAlignment="1">
      <alignment horizontal="left" vertical="center"/>
    </xf>
    <xf numFmtId="0" fontId="6" fillId="12" borderId="15" xfId="0" applyFont="1" applyFill="1" applyBorder="1" applyAlignment="1">
      <alignment horizontal="left" vertical="center"/>
    </xf>
    <xf numFmtId="0" fontId="5" fillId="12" borderId="15" xfId="0" applyFont="1" applyFill="1" applyBorder="1" applyAlignment="1">
      <alignment horizontal="center" vertical="center"/>
    </xf>
    <xf numFmtId="0" fontId="5" fillId="12" borderId="24" xfId="0" applyFont="1" applyFill="1" applyBorder="1" applyAlignment="1">
      <alignment horizontal="center" vertical="center"/>
    </xf>
    <xf numFmtId="0" fontId="27" fillId="15" borderId="11" xfId="1" applyFont="1" applyFill="1" applyBorder="1" applyAlignment="1">
      <alignment horizontal="center" vertical="center"/>
    </xf>
    <xf numFmtId="0" fontId="27" fillId="15" borderId="12" xfId="1" applyFont="1" applyFill="1" applyBorder="1" applyAlignment="1">
      <alignment horizontal="center" vertical="center"/>
    </xf>
    <xf numFmtId="0" fontId="27" fillId="15" borderId="33" xfId="1" applyFont="1" applyFill="1" applyBorder="1" applyAlignment="1">
      <alignment horizontal="center" vertical="center"/>
    </xf>
    <xf numFmtId="0" fontId="27" fillId="15" borderId="13" xfId="1" applyFont="1" applyFill="1" applyBorder="1" applyAlignment="1">
      <alignment horizontal="center" vertical="center"/>
    </xf>
    <xf numFmtId="0" fontId="27" fillId="15" borderId="0" xfId="1" applyFont="1" applyFill="1" applyBorder="1" applyAlignment="1">
      <alignment horizontal="center" vertical="center"/>
    </xf>
    <xf numFmtId="0" fontId="27" fillId="15" borderId="34" xfId="1" applyFont="1" applyFill="1" applyBorder="1" applyAlignment="1">
      <alignment horizontal="center" vertical="center"/>
    </xf>
    <xf numFmtId="0" fontId="5" fillId="15" borderId="11" xfId="0" applyFont="1" applyFill="1" applyBorder="1" applyAlignment="1">
      <alignment horizontal="center"/>
    </xf>
    <xf numFmtId="0" fontId="5" fillId="15" borderId="12" xfId="0" applyFont="1" applyFill="1" applyBorder="1" applyAlignment="1">
      <alignment horizontal="center"/>
    </xf>
    <xf numFmtId="0" fontId="5" fillId="15" borderId="33" xfId="0" applyFont="1" applyFill="1" applyBorder="1" applyAlignment="1">
      <alignment horizontal="center"/>
    </xf>
    <xf numFmtId="0" fontId="17" fillId="10" borderId="14" xfId="0" applyFont="1" applyFill="1" applyBorder="1" applyAlignment="1">
      <alignment horizontal="center" vertical="center"/>
    </xf>
    <xf numFmtId="0" fontId="17" fillId="10" borderId="15" xfId="0" applyFont="1" applyFill="1" applyBorder="1" applyAlignment="1">
      <alignment horizontal="center" vertical="center"/>
    </xf>
    <xf numFmtId="0" fontId="18" fillId="12" borderId="13" xfId="0" applyFont="1" applyFill="1" applyBorder="1" applyAlignment="1">
      <alignment horizontal="center" vertical="center"/>
    </xf>
    <xf numFmtId="0" fontId="18" fillId="12" borderId="0" xfId="0" applyFont="1" applyFill="1" applyAlignment="1">
      <alignment horizontal="center" vertical="center"/>
    </xf>
    <xf numFmtId="0" fontId="0" fillId="11" borderId="0" xfId="0" applyFill="1" applyAlignment="1">
      <alignment horizontal="center"/>
    </xf>
    <xf numFmtId="0" fontId="18" fillId="12" borderId="11" xfId="0" applyFont="1" applyFill="1" applyBorder="1" applyAlignment="1">
      <alignment horizontal="center" vertical="center"/>
    </xf>
    <xf numFmtId="0" fontId="18" fillId="12" borderId="12" xfId="0" applyFont="1" applyFill="1" applyBorder="1" applyAlignment="1">
      <alignment horizontal="center" vertical="center"/>
    </xf>
    <xf numFmtId="0" fontId="30" fillId="12" borderId="11" xfId="0" applyFont="1" applyFill="1" applyBorder="1" applyAlignment="1">
      <alignment horizontal="left" vertical="center" wrapText="1"/>
    </xf>
    <xf numFmtId="0" fontId="30" fillId="12" borderId="12" xfId="0" applyFont="1" applyFill="1" applyBorder="1" applyAlignment="1">
      <alignment horizontal="left" vertical="center" wrapText="1"/>
    </xf>
    <xf numFmtId="0" fontId="30" fillId="12" borderId="13" xfId="0" applyFont="1" applyFill="1" applyBorder="1" applyAlignment="1">
      <alignment horizontal="left" vertical="center" wrapText="1"/>
    </xf>
    <xf numFmtId="0" fontId="30" fillId="12" borderId="0" xfId="0" applyFont="1" applyFill="1" applyAlignment="1">
      <alignment horizontal="left" vertical="center" wrapText="1"/>
    </xf>
    <xf numFmtId="0" fontId="23" fillId="3" borderId="21" xfId="2" applyFont="1" applyFill="1" applyBorder="1" applyAlignment="1">
      <alignment horizontal="center" vertical="center" wrapText="1"/>
    </xf>
    <xf numFmtId="0" fontId="23" fillId="3" borderId="23" xfId="2"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left" vertical="center" wrapText="1"/>
    </xf>
    <xf numFmtId="0" fontId="0" fillId="0" borderId="2" xfId="0" applyBorder="1" applyAlignment="1">
      <alignment horizontal="center" vertical="center" wrapText="1"/>
    </xf>
    <xf numFmtId="0" fontId="4"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26" xfId="0" applyFont="1" applyBorder="1" applyAlignment="1">
      <alignment horizontal="center" vertical="center"/>
    </xf>
    <xf numFmtId="0" fontId="12" fillId="0" borderId="2" xfId="0" applyFont="1" applyBorder="1" applyAlignment="1">
      <alignment horizontal="center" vertical="center" wrapText="1"/>
    </xf>
    <xf numFmtId="0" fontId="11"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32" fillId="15" borderId="11" xfId="0" applyFont="1" applyFill="1" applyBorder="1" applyAlignment="1">
      <alignment horizontal="center" vertical="center"/>
    </xf>
    <xf numFmtId="0" fontId="32" fillId="15" borderId="12" xfId="0" applyFont="1" applyFill="1" applyBorder="1" applyAlignment="1">
      <alignment horizontal="center" vertical="center"/>
    </xf>
    <xf numFmtId="0" fontId="32" fillId="15" borderId="33" xfId="0" applyFont="1" applyFill="1" applyBorder="1" applyAlignment="1">
      <alignment horizontal="center" vertical="center"/>
    </xf>
    <xf numFmtId="0" fontId="32" fillId="15" borderId="14" xfId="0" applyFont="1" applyFill="1" applyBorder="1" applyAlignment="1">
      <alignment horizontal="center" vertical="center"/>
    </xf>
    <xf numFmtId="0" fontId="32" fillId="15" borderId="15" xfId="0" applyFont="1" applyFill="1" applyBorder="1" applyAlignment="1">
      <alignment horizontal="center" vertical="center"/>
    </xf>
    <xf numFmtId="0" fontId="32" fillId="15" borderId="24" xfId="0" applyFont="1" applyFill="1" applyBorder="1" applyAlignment="1">
      <alignment horizontal="center" vertical="center"/>
    </xf>
    <xf numFmtId="0" fontId="0" fillId="8" borderId="11" xfId="0" applyFill="1" applyBorder="1"/>
    <xf numFmtId="0" fontId="0" fillId="8" borderId="12" xfId="0" applyFill="1" applyBorder="1"/>
    <xf numFmtId="0" fontId="0" fillId="8" borderId="33" xfId="0" applyFill="1" applyBorder="1"/>
    <xf numFmtId="0" fontId="0" fillId="8" borderId="0" xfId="0" applyFill="1" applyBorder="1"/>
    <xf numFmtId="0" fontId="0" fillId="8" borderId="34" xfId="0" applyFill="1" applyBorder="1"/>
    <xf numFmtId="0" fontId="0" fillId="8" borderId="14" xfId="0" applyFill="1" applyBorder="1"/>
    <xf numFmtId="0" fontId="0" fillId="8" borderId="15" xfId="0" applyFill="1" applyBorder="1"/>
    <xf numFmtId="0" fontId="0" fillId="8" borderId="24" xfId="0" applyFill="1" applyBorder="1"/>
    <xf numFmtId="0" fontId="11" fillId="0" borderId="36" xfId="0" applyFont="1" applyBorder="1" applyAlignment="1">
      <alignment horizontal="center" vertical="center"/>
    </xf>
    <xf numFmtId="0" fontId="11" fillId="0" borderId="37" xfId="0" applyFont="1" applyFill="1" applyBorder="1" applyAlignment="1">
      <alignment horizontal="left" vertical="top"/>
    </xf>
    <xf numFmtId="0" fontId="11" fillId="0" borderId="38" xfId="0" applyFont="1" applyBorder="1" applyAlignment="1">
      <alignment horizontal="center" vertical="top"/>
    </xf>
    <xf numFmtId="0" fontId="11" fillId="0" borderId="39" xfId="0" applyFont="1" applyBorder="1" applyAlignment="1">
      <alignment horizontal="center" vertical="center"/>
    </xf>
    <xf numFmtId="0" fontId="11" fillId="0" borderId="35" xfId="0" applyFont="1" applyFill="1" applyBorder="1" applyAlignment="1">
      <alignment horizontal="left" vertical="top"/>
    </xf>
    <xf numFmtId="0" fontId="11" fillId="0" borderId="40" xfId="0" applyFont="1" applyBorder="1" applyAlignment="1">
      <alignment horizontal="center" vertical="top"/>
    </xf>
    <xf numFmtId="0" fontId="33" fillId="18" borderId="25" xfId="0" applyFont="1" applyFill="1" applyBorder="1" applyAlignment="1">
      <alignment horizontal="center" vertical="center"/>
    </xf>
    <xf numFmtId="0" fontId="33" fillId="18" borderId="41" xfId="0" applyFont="1" applyFill="1" applyBorder="1" applyAlignment="1">
      <alignment horizontal="center" vertical="center"/>
    </xf>
    <xf numFmtId="0" fontId="11" fillId="0" borderId="42" xfId="0" applyFont="1" applyBorder="1" applyAlignment="1">
      <alignment horizontal="center" vertical="center"/>
    </xf>
    <xf numFmtId="0" fontId="11" fillId="0" borderId="43" xfId="0" applyFont="1" applyFill="1" applyBorder="1" applyAlignment="1">
      <alignment horizontal="left" vertical="top"/>
    </xf>
    <xf numFmtId="0" fontId="11" fillId="0" borderId="44" xfId="0" applyFont="1" applyBorder="1" applyAlignment="1">
      <alignment horizontal="left" vertical="top"/>
    </xf>
    <xf numFmtId="0" fontId="11" fillId="0" borderId="16" xfId="0" applyFont="1" applyBorder="1" applyAlignment="1">
      <alignment horizontal="center" vertical="center"/>
    </xf>
    <xf numFmtId="0" fontId="11" fillId="0" borderId="1" xfId="0" applyFont="1" applyFill="1" applyBorder="1" applyAlignment="1">
      <alignment horizontal="left" vertical="top"/>
    </xf>
    <xf numFmtId="0" fontId="11" fillId="0" borderId="17" xfId="0" applyFont="1" applyBorder="1" applyAlignment="1">
      <alignment horizontal="left" vertical="top"/>
    </xf>
    <xf numFmtId="0" fontId="11" fillId="0" borderId="20" xfId="0" applyFont="1" applyBorder="1" applyAlignment="1">
      <alignment horizontal="center" vertical="center"/>
    </xf>
    <xf numFmtId="0" fontId="11" fillId="0" borderId="18" xfId="0" applyFont="1" applyFill="1" applyBorder="1" applyAlignment="1">
      <alignment horizontal="left" vertical="top"/>
    </xf>
    <xf numFmtId="0" fontId="11" fillId="0" borderId="19" xfId="0" applyFont="1" applyBorder="1" applyAlignment="1">
      <alignment horizontal="left" vertical="top"/>
    </xf>
    <xf numFmtId="0" fontId="0" fillId="0" borderId="0" xfId="0" applyAlignment="1">
      <alignment horizontal="center" vertical="center"/>
    </xf>
    <xf numFmtId="0" fontId="0" fillId="0" borderId="0" xfId="0" applyFill="1"/>
    <xf numFmtId="0" fontId="11" fillId="0" borderId="45" xfId="0" applyFont="1" applyFill="1" applyBorder="1" applyAlignment="1">
      <alignment horizontal="left" vertical="top"/>
    </xf>
    <xf numFmtId="0" fontId="0" fillId="0" borderId="0" xfId="0" pivotButton="1"/>
    <xf numFmtId="0" fontId="0" fillId="0" borderId="0" xfId="0" applyAlignment="1">
      <alignment horizontal="left"/>
    </xf>
    <xf numFmtId="0" fontId="0" fillId="0" borderId="0" xfId="0" applyNumberFormat="1"/>
  </cellXfs>
  <cellStyles count="3">
    <cellStyle name="Good" xfId="1" builtinId="26"/>
    <cellStyle name="Normal" xfId="0" builtinId="0"/>
    <cellStyle name="Normal 2" xfId="2" xr:uid="{58A6B2CB-1782-43E1-BB3B-9F0014A74D21}"/>
  </cellStyles>
  <dxfs count="3">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i val="0"/>
      </font>
      <fill>
        <patternFill>
          <bgColor theme="7" tint="0.39994506668294322"/>
        </patternFill>
      </fill>
    </dxf>
    <dxf>
      <font>
        <b/>
        <i val="0"/>
      </font>
      <fill>
        <patternFill>
          <bgColor theme="9" tint="0.39994506668294322"/>
        </patternFill>
      </fill>
    </dxf>
  </dxfs>
  <tableStyles count="0" defaultTableStyle="TableStyleMedium2" defaultPivotStyle="PivotStyleLight16"/>
  <colors>
    <mruColors>
      <color rgb="FFF8F8F8"/>
      <color rgb="FFF7917D"/>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'SOR Log'!$B$9</c:f>
              <c:strCache>
                <c:ptCount val="1"/>
                <c:pt idx="0">
                  <c:v>Site Observation </c:v>
                </c:pt>
              </c:strCache>
            </c:strRef>
          </c:tx>
          <c:dPt>
            <c:idx val="0"/>
            <c:bubble3D val="0"/>
            <c:explosion val="20"/>
            <c:spPr>
              <a:solidFill>
                <a:srgbClr val="F7917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99-4C13-9531-B1C406C97846}"/>
              </c:ext>
            </c:extLst>
          </c:dPt>
          <c:dPt>
            <c:idx val="1"/>
            <c:bubble3D val="0"/>
            <c:spPr>
              <a:solidFill>
                <a:schemeClr val="tx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99-4C13-9531-B1C406C9784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2399-4C13-9531-B1C406C978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'SOR Log'!$C$8:$D$8</c:f>
              <c:strCache>
                <c:ptCount val="2"/>
                <c:pt idx="0">
                  <c:v>Open</c:v>
                </c:pt>
                <c:pt idx="1">
                  <c:v>Close</c:v>
                </c:pt>
              </c:strCache>
            </c:strRef>
          </c:cat>
          <c:val>
            <c:numRef>
              <c:f>'SOR Log'!$C$9:$D$9</c:f>
              <c:numCache>
                <c:formatCode>General</c:formatCode>
                <c:ptCount val="2"/>
                <c:pt idx="0">
                  <c:v>10</c:v>
                </c:pt>
                <c:pt idx="1">
                  <c:v>65</c:v>
                </c:pt>
              </c:numCache>
            </c:numRef>
          </c:val>
          <c:extLst>
            <c:ext xmlns:c16="http://schemas.microsoft.com/office/drawing/2014/chart" uri="{C3380CC4-5D6E-409C-BE32-E72D297353CC}">
              <c16:uniqueId val="{00000004-2399-4C13-9531-B1C406C978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'SOR Log'!$B$12</c:f>
              <c:strCache>
                <c:ptCount val="1"/>
                <c:pt idx="0">
                  <c:v>Site Instruction</c:v>
                </c:pt>
              </c:strCache>
            </c:strRef>
          </c:tx>
          <c:spPr>
            <a:solidFill>
              <a:schemeClr val="tx2"/>
            </a:solidFill>
          </c:spPr>
          <c:dPt>
            <c:idx val="0"/>
            <c:bubble3D val="0"/>
            <c:explosion val="26"/>
            <c:spPr>
              <a:solidFill>
                <a:srgbClr val="F7917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0FC-4DAB-8BD4-40D811016E53}"/>
              </c:ext>
            </c:extLst>
          </c:dPt>
          <c:dPt>
            <c:idx val="1"/>
            <c:bubble3D val="0"/>
            <c:spPr>
              <a:solidFill>
                <a:schemeClr val="tx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FC-4DAB-8BD4-40D811016E53}"/>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0FC-4DAB-8BD4-40D811016E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'SOR Log'!$C$11:$D$11</c:f>
              <c:strCache>
                <c:ptCount val="2"/>
                <c:pt idx="0">
                  <c:v>Open</c:v>
                </c:pt>
                <c:pt idx="1">
                  <c:v>Close</c:v>
                </c:pt>
              </c:strCache>
            </c:strRef>
          </c:cat>
          <c:val>
            <c:numRef>
              <c:f>'SOR Log'!$C$12:$D$12</c:f>
              <c:numCache>
                <c:formatCode>General</c:formatCode>
                <c:ptCount val="2"/>
                <c:pt idx="0">
                  <c:v>5</c:v>
                </c:pt>
                <c:pt idx="1">
                  <c:v>70</c:v>
                </c:pt>
              </c:numCache>
            </c:numRef>
          </c:val>
          <c:extLst>
            <c:ext xmlns:c16="http://schemas.microsoft.com/office/drawing/2014/chart" uri="{C3380CC4-5D6E-409C-BE32-E72D297353CC}">
              <c16:uniqueId val="{00000004-10FC-4DAB-8BD4-40D811016E5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kern="1200" spc="0" baseline="0">
                <a:solidFill>
                  <a:sysClr val="windowText" lastClr="000000">
                    <a:lumMod val="65000"/>
                    <a:lumOff val="35000"/>
                  </a:sysClr>
                </a:solidFill>
              </a:rPr>
              <a:t>COMPRESSIVE STRENGTH RESULTS OF M25 GRADE OF ONCRETE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'Cube Test'!$B$3</c:f>
              <c:strCache>
                <c:ptCount val="1"/>
                <c:pt idx="0">
                  <c:v>Compressive strength at 7 days</c:v>
                </c:pt>
              </c:strCache>
            </c:strRef>
          </c:tx>
          <c:spPr>
            <a:ln w="28575" cap="sq">
              <a:solidFill>
                <a:schemeClr val="accent1"/>
              </a:solidFill>
              <a:round/>
            </a:ln>
            <a:effectLst/>
          </c:spPr>
          <c:marker>
            <c:symbol val="diamond"/>
            <c:size val="5"/>
            <c:spPr>
              <a:solidFill>
                <a:schemeClr val="accent1"/>
              </a:solidFill>
              <a:ln w="9525">
                <a:solidFill>
                  <a:schemeClr val="accent1"/>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Test'!$B$4:$B$9</c:f>
              <c:numCache>
                <c:formatCode>General</c:formatCode>
                <c:ptCount val="6"/>
                <c:pt idx="0">
                  <c:v>19.07</c:v>
                </c:pt>
                <c:pt idx="1">
                  <c:v>23</c:v>
                </c:pt>
                <c:pt idx="2">
                  <c:v>22.24</c:v>
                </c:pt>
                <c:pt idx="3">
                  <c:v>18.03</c:v>
                </c:pt>
                <c:pt idx="4">
                  <c:v>18.239999999999998</c:v>
                </c:pt>
                <c:pt idx="5">
                  <c:v>19.16</c:v>
                </c:pt>
              </c:numCache>
            </c:numRef>
          </c:val>
          <c:smooth val="1"/>
          <c:extLst>
            <c:ext xmlns:c16="http://schemas.microsoft.com/office/drawing/2014/chart" uri="{C3380CC4-5D6E-409C-BE32-E72D297353CC}">
              <c16:uniqueId val="{00000000-DE8C-4088-ADBA-A0B9ADE5935E}"/>
            </c:ext>
          </c:extLst>
        </c:ser>
        <c:ser>
          <c:idx val="1"/>
          <c:order val="1"/>
          <c:tx>
            <c:strRef>
              <c:f>'Cube Test'!$C$3</c:f>
              <c:strCache>
                <c:ptCount val="1"/>
                <c:pt idx="0">
                  <c:v>IS code lower limit</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Test'!$C$4:$C$9</c:f>
              <c:numCache>
                <c:formatCode>General</c:formatCode>
                <c:ptCount val="6"/>
                <c:pt idx="0">
                  <c:v>17</c:v>
                </c:pt>
                <c:pt idx="1">
                  <c:v>17</c:v>
                </c:pt>
                <c:pt idx="2">
                  <c:v>17</c:v>
                </c:pt>
                <c:pt idx="3">
                  <c:v>17</c:v>
                </c:pt>
                <c:pt idx="4">
                  <c:v>17</c:v>
                </c:pt>
                <c:pt idx="5">
                  <c:v>17</c:v>
                </c:pt>
              </c:numCache>
            </c:numRef>
          </c:val>
          <c:smooth val="1"/>
          <c:extLst>
            <c:ext xmlns:c16="http://schemas.microsoft.com/office/drawing/2014/chart" uri="{C3380CC4-5D6E-409C-BE32-E72D297353CC}">
              <c16:uniqueId val="{00000001-DE8C-4088-ADBA-A0B9ADE5935E}"/>
            </c:ext>
          </c:extLst>
        </c:ser>
        <c:dLbls>
          <c:showLegendKey val="0"/>
          <c:showVal val="0"/>
          <c:showCatName val="0"/>
          <c:showSerName val="0"/>
          <c:showPercent val="0"/>
          <c:showBubbleSize val="0"/>
        </c:dLbls>
        <c:marker val="1"/>
        <c:smooth val="0"/>
        <c:axId val="749709112"/>
        <c:axId val="749708752"/>
      </c:lineChart>
      <c:catAx>
        <c:axId val="74970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8752"/>
        <c:crosses val="autoZero"/>
        <c:auto val="1"/>
        <c:lblAlgn val="ctr"/>
        <c:lblOffset val="100"/>
        <c:noMultiLvlLbl val="0"/>
      </c:catAx>
      <c:valAx>
        <c:axId val="7497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9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[Quality Dashboard.xlsx]Sheet2!PivotTable1</c:name>
    <c:fmtId val="2"/>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39000"/>
            </a:schemeClr>
          </a:solidFill>
          <a:ln w="19050">
            <a:solidFill>
              <a:schemeClr val="lt1"/>
            </a:solidFill>
          </a:ln>
          <a:effectLst/>
        </c:spPr>
      </c:pivotFmt>
      <c:pivotFmt>
        <c:idx val="5"/>
        <c:spPr>
          <a:solidFill>
            <a:schemeClr val="accent1">
              <a:shade val="48000"/>
            </a:schemeClr>
          </a:solidFill>
          <a:ln w="19050">
            <a:solidFill>
              <a:schemeClr val="lt1"/>
            </a:solidFill>
          </a:ln>
          <a:effectLst/>
        </c:spPr>
      </c:pivotFmt>
      <c:pivotFmt>
        <c:idx val="6"/>
        <c:spPr>
          <a:solidFill>
            <a:schemeClr val="accent1">
              <a:shade val="58000"/>
            </a:schemeClr>
          </a:solidFill>
          <a:ln w="19050">
            <a:solidFill>
              <a:schemeClr val="lt1"/>
            </a:solidFill>
          </a:ln>
          <a:effectLst/>
        </c:spPr>
      </c:pivotFmt>
      <c:pivotFmt>
        <c:idx val="7"/>
        <c:spPr>
          <a:solidFill>
            <a:schemeClr val="accent1">
              <a:shade val="67000"/>
            </a:schemeClr>
          </a:solidFill>
          <a:ln w="19050">
            <a:solidFill>
              <a:schemeClr val="lt1"/>
            </a:solidFill>
          </a:ln>
          <a:effectLst/>
        </c:spPr>
      </c:pivotFmt>
      <c:pivotFmt>
        <c:idx val="8"/>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pivotFmt>
      <c:pivotFmt>
        <c:idx val="10"/>
        <c:spPr>
          <a:solidFill>
            <a:schemeClr val="accent1">
              <a:shade val="95000"/>
            </a:schemeClr>
          </a:solidFill>
          <a:ln w="19050">
            <a:solidFill>
              <a:schemeClr val="lt1"/>
            </a:solidFill>
          </a:ln>
          <a:effectLst/>
        </c:spPr>
      </c:pivotFmt>
      <c:pivotFmt>
        <c:idx val="11"/>
        <c:spPr>
          <a:solidFill>
            <a:schemeClr val="accent1">
              <a:tint val="96000"/>
            </a:schemeClr>
          </a:solidFill>
          <a:ln w="19050">
            <a:solidFill>
              <a:schemeClr val="lt1"/>
            </a:solidFill>
          </a:ln>
          <a:effectLst/>
        </c:spPr>
      </c:pivotFmt>
      <c:pivotFmt>
        <c:idx val="12"/>
        <c:spPr>
          <a:solidFill>
            <a:schemeClr val="accent1">
              <a:tint val="86000"/>
            </a:schemeClr>
          </a:solidFill>
          <a:ln w="19050">
            <a:solidFill>
              <a:schemeClr val="lt1"/>
            </a:solidFill>
          </a:ln>
          <a:effectLst/>
        </c:spPr>
      </c:pivotFmt>
      <c:pivotFmt>
        <c:idx val="13"/>
        <c:spPr>
          <a:solidFill>
            <a:schemeClr val="accent1">
              <a:tint val="77000"/>
            </a:schemeClr>
          </a:solidFill>
          <a:ln w="19050">
            <a:solidFill>
              <a:schemeClr val="lt1"/>
            </a:solidFill>
          </a:ln>
          <a:effectLst/>
        </c:spPr>
      </c:pivotFmt>
      <c:pivotFmt>
        <c:idx val="14"/>
        <c:spPr>
          <a:solidFill>
            <a:schemeClr val="accent1">
              <a:tint val="68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tint val="49000"/>
            </a:schemeClr>
          </a:solidFill>
          <a:ln w="19050">
            <a:solidFill>
              <a:schemeClr val="lt1"/>
            </a:solidFill>
          </a:ln>
          <a:effectLst/>
        </c:spPr>
      </c:pivotFmt>
      <c:pivotFmt>
        <c:idx val="17"/>
        <c:spPr>
          <a:solidFill>
            <a:schemeClr val="accent1">
              <a:tint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hade val="39000"/>
            </a:schemeClr>
          </a:solidFill>
          <a:ln w="19050">
            <a:solidFill>
              <a:schemeClr val="lt1"/>
            </a:solidFill>
          </a:ln>
          <a:effectLst/>
        </c:spPr>
      </c:pivotFmt>
      <c:pivotFmt>
        <c:idx val="20"/>
        <c:spPr>
          <a:solidFill>
            <a:schemeClr val="accent1">
              <a:shade val="48000"/>
            </a:schemeClr>
          </a:solidFill>
          <a:ln w="19050">
            <a:solidFill>
              <a:schemeClr val="lt1"/>
            </a:solidFill>
          </a:ln>
          <a:effectLst/>
        </c:spPr>
      </c:pivotFmt>
      <c:pivotFmt>
        <c:idx val="21"/>
        <c:spPr>
          <a:solidFill>
            <a:schemeClr val="accent1">
              <a:shade val="58000"/>
            </a:schemeClr>
          </a:solidFill>
          <a:ln w="19050">
            <a:solidFill>
              <a:schemeClr val="lt1"/>
            </a:solidFill>
          </a:ln>
          <a:effectLst/>
        </c:spPr>
      </c:pivotFmt>
      <c:pivotFmt>
        <c:idx val="22"/>
        <c:spPr>
          <a:solidFill>
            <a:schemeClr val="accent1">
              <a:shade val="67000"/>
            </a:schemeClr>
          </a:solidFill>
          <a:ln w="19050">
            <a:solidFill>
              <a:schemeClr val="lt1"/>
            </a:solidFill>
          </a:ln>
          <a:effectLst/>
        </c:spPr>
      </c:pivotFmt>
      <c:pivotFmt>
        <c:idx val="23"/>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hade val="86000"/>
            </a:schemeClr>
          </a:solidFill>
          <a:ln w="19050">
            <a:solidFill>
              <a:schemeClr val="lt1"/>
            </a:solidFill>
          </a:ln>
          <a:effectLst/>
        </c:spPr>
      </c:pivotFmt>
      <c:pivotFmt>
        <c:idx val="25"/>
        <c:spPr>
          <a:solidFill>
            <a:schemeClr val="accent1">
              <a:shade val="95000"/>
            </a:schemeClr>
          </a:solidFill>
          <a:ln w="19050">
            <a:solidFill>
              <a:schemeClr val="lt1"/>
            </a:solidFill>
          </a:ln>
          <a:effectLst/>
        </c:spPr>
      </c:pivotFmt>
      <c:pivotFmt>
        <c:idx val="26"/>
        <c:spPr>
          <a:solidFill>
            <a:schemeClr val="accent1">
              <a:tint val="96000"/>
            </a:schemeClr>
          </a:solidFill>
          <a:ln w="19050">
            <a:solidFill>
              <a:schemeClr val="lt1"/>
            </a:solidFill>
          </a:ln>
          <a:effectLst/>
        </c:spPr>
      </c:pivotFmt>
      <c:pivotFmt>
        <c:idx val="27"/>
        <c:spPr>
          <a:solidFill>
            <a:schemeClr val="accent1">
              <a:tint val="86000"/>
            </a:schemeClr>
          </a:solidFill>
          <a:ln w="19050">
            <a:solidFill>
              <a:schemeClr val="lt1"/>
            </a:solidFill>
          </a:ln>
          <a:effectLst/>
        </c:spPr>
      </c:pivotFmt>
      <c:pivotFmt>
        <c:idx val="28"/>
        <c:spPr>
          <a:solidFill>
            <a:schemeClr val="accent1">
              <a:tint val="77000"/>
            </a:schemeClr>
          </a:solidFill>
          <a:ln w="19050">
            <a:solidFill>
              <a:schemeClr val="lt1"/>
            </a:solidFill>
          </a:ln>
          <a:effectLst/>
        </c:spPr>
      </c:pivotFmt>
      <c:pivotFmt>
        <c:idx val="29"/>
        <c:spPr>
          <a:solidFill>
            <a:schemeClr val="accent1">
              <a:tint val="68000"/>
            </a:schemeClr>
          </a:solidFill>
          <a:ln w="19050">
            <a:solidFill>
              <a:schemeClr val="lt1"/>
            </a:solidFill>
          </a:ln>
          <a:effectLst/>
        </c:spPr>
      </c:pivotFmt>
      <c:pivotFmt>
        <c:idx val="30"/>
        <c:spPr>
          <a:solidFill>
            <a:schemeClr val="accent1">
              <a:tint val="58000"/>
            </a:schemeClr>
          </a:solidFill>
          <a:ln w="19050">
            <a:solidFill>
              <a:schemeClr val="lt1"/>
            </a:solidFill>
          </a:ln>
          <a:effectLst/>
        </c:spPr>
      </c:pivotFmt>
      <c:pivotFmt>
        <c:idx val="31"/>
        <c:spPr>
          <a:solidFill>
            <a:schemeClr val="accent1">
              <a:tint val="49000"/>
            </a:schemeClr>
          </a:solidFill>
          <a:ln w="19050">
            <a:solidFill>
              <a:schemeClr val="lt1"/>
            </a:solidFill>
          </a:ln>
          <a:effectLst/>
        </c:spPr>
      </c:pivotFmt>
      <c:pivotFmt>
        <c:idx val="32"/>
        <c:spPr>
          <a:solidFill>
            <a:schemeClr val="accent1">
              <a:tint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Sheet2!$B$1</c:f>
              <c:strCache>
                <c:ptCount val="1"/>
                <c:pt idx="0">
                  <c:v>Total</c:v>
                </c:pt>
              </c:strCache>
            </c:strRef>
          </c:tx>
          <c:dPt>
            <c:idx val="0"/>
            <c:bubble3D val="0"/>
            <c:spPr>
              <a:solidFill>
                <a:schemeClr val="accent1">
                  <a:shade val="39000"/>
                </a:schemeClr>
              </a:solidFill>
              <a:ln w="19050">
                <a:solidFill>
                  <a:schemeClr val="lt1"/>
                </a:solidFill>
              </a:ln>
              <a:effectLst/>
            </c:spPr>
            <c:extLst>
              <c:ext xmlns:c16="http://schemas.microsoft.com/office/drawing/2014/chart" uri="{C3380CC4-5D6E-409C-BE32-E72D297353CC}">
                <c16:uniqueId val="{00000001-B56F-4978-9C4A-51102601B40A}"/>
              </c:ext>
            </c:extLst>
          </c:dPt>
          <c:dPt>
            <c:idx val="1"/>
            <c:bubble3D val="0"/>
            <c:spPr>
              <a:solidFill>
                <a:schemeClr val="accent1">
                  <a:shade val="48000"/>
                </a:schemeClr>
              </a:solidFill>
              <a:ln w="19050">
                <a:solidFill>
                  <a:schemeClr val="lt1"/>
                </a:solidFill>
              </a:ln>
              <a:effectLst/>
            </c:spPr>
            <c:extLst>
              <c:ext xmlns:c16="http://schemas.microsoft.com/office/drawing/2014/chart" uri="{C3380CC4-5D6E-409C-BE32-E72D297353CC}">
                <c16:uniqueId val="{00000003-B56F-4978-9C4A-51102601B40A}"/>
              </c:ext>
            </c:extLst>
          </c:dPt>
          <c:dPt>
            <c:idx val="2"/>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5-B56F-4978-9C4A-51102601B40A}"/>
              </c:ext>
            </c:extLst>
          </c:dPt>
          <c:dPt>
            <c:idx val="3"/>
            <c:bubble3D val="0"/>
            <c:spPr>
              <a:solidFill>
                <a:schemeClr val="accent1">
                  <a:shade val="67000"/>
                </a:schemeClr>
              </a:solidFill>
              <a:ln w="19050">
                <a:solidFill>
                  <a:schemeClr val="lt1"/>
                </a:solidFill>
              </a:ln>
              <a:effectLst/>
            </c:spPr>
            <c:extLst>
              <c:ext xmlns:c16="http://schemas.microsoft.com/office/drawing/2014/chart" uri="{C3380CC4-5D6E-409C-BE32-E72D297353CC}">
                <c16:uniqueId val="{00000007-B56F-4978-9C4A-51102601B40A}"/>
              </c:ext>
            </c:extLst>
          </c:dPt>
          <c:dPt>
            <c:idx val="4"/>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9-B56F-4978-9C4A-51102601B40A}"/>
              </c:ext>
            </c:extLst>
          </c:dPt>
          <c:dPt>
            <c:idx val="5"/>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B-B56F-4978-9C4A-51102601B40A}"/>
              </c:ext>
            </c:extLst>
          </c:dPt>
          <c:dPt>
            <c:idx val="6"/>
            <c:bubble3D val="0"/>
            <c:spPr>
              <a:solidFill>
                <a:schemeClr val="accent1">
                  <a:shade val="95000"/>
                </a:schemeClr>
              </a:solidFill>
              <a:ln w="19050">
                <a:solidFill>
                  <a:schemeClr val="lt1"/>
                </a:solidFill>
              </a:ln>
              <a:effectLst/>
            </c:spPr>
            <c:extLst>
              <c:ext xmlns:c16="http://schemas.microsoft.com/office/drawing/2014/chart" uri="{C3380CC4-5D6E-409C-BE32-E72D297353CC}">
                <c16:uniqueId val="{0000000D-B56F-4978-9C4A-51102601B40A}"/>
              </c:ext>
            </c:extLst>
          </c:dPt>
          <c:dPt>
            <c:idx val="7"/>
            <c:bubble3D val="0"/>
            <c:spPr>
              <a:solidFill>
                <a:schemeClr val="accent1">
                  <a:tint val="96000"/>
                </a:schemeClr>
              </a:solidFill>
              <a:ln w="19050">
                <a:solidFill>
                  <a:schemeClr val="lt1"/>
                </a:solidFill>
              </a:ln>
              <a:effectLst/>
            </c:spPr>
            <c:extLst>
              <c:ext xmlns:c16="http://schemas.microsoft.com/office/drawing/2014/chart" uri="{C3380CC4-5D6E-409C-BE32-E72D297353CC}">
                <c16:uniqueId val="{0000000F-B56F-4978-9C4A-51102601B40A}"/>
              </c:ext>
            </c:extLst>
          </c:dPt>
          <c:dPt>
            <c:idx val="8"/>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11-B56F-4978-9C4A-51102601B40A}"/>
              </c:ext>
            </c:extLst>
          </c:dPt>
          <c:dPt>
            <c:idx val="9"/>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3-B56F-4978-9C4A-51102601B40A}"/>
              </c:ext>
            </c:extLst>
          </c:dPt>
          <c:dPt>
            <c:idx val="10"/>
            <c:bubble3D val="0"/>
            <c:spPr>
              <a:solidFill>
                <a:schemeClr val="accent1">
                  <a:tint val="68000"/>
                </a:schemeClr>
              </a:solidFill>
              <a:ln w="19050">
                <a:solidFill>
                  <a:schemeClr val="lt1"/>
                </a:solidFill>
              </a:ln>
              <a:effectLst/>
            </c:spPr>
            <c:extLst>
              <c:ext xmlns:c16="http://schemas.microsoft.com/office/drawing/2014/chart" uri="{C3380CC4-5D6E-409C-BE32-E72D297353CC}">
                <c16:uniqueId val="{00000015-B56F-4978-9C4A-51102601B40A}"/>
              </c:ext>
            </c:extLst>
          </c:dPt>
          <c:dPt>
            <c:idx val="11"/>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17-B56F-4978-9C4A-51102601B40A}"/>
              </c:ext>
            </c:extLst>
          </c:dPt>
          <c:dPt>
            <c:idx val="12"/>
            <c:bubble3D val="0"/>
            <c:spPr>
              <a:solidFill>
                <a:schemeClr val="accent1">
                  <a:tint val="49000"/>
                </a:schemeClr>
              </a:solidFill>
              <a:ln w="19050">
                <a:solidFill>
                  <a:schemeClr val="lt1"/>
                </a:solidFill>
              </a:ln>
              <a:effectLst/>
            </c:spPr>
            <c:extLst>
              <c:ext xmlns:c16="http://schemas.microsoft.com/office/drawing/2014/chart" uri="{C3380CC4-5D6E-409C-BE32-E72D297353CC}">
                <c16:uniqueId val="{00000019-B56F-4978-9C4A-51102601B40A}"/>
              </c:ext>
            </c:extLst>
          </c:dPt>
          <c:dPt>
            <c:idx val="13"/>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01B-B56F-4978-9C4A-51102601B40A}"/>
              </c:ext>
            </c:extLst>
          </c:dPt>
          <c:dLbls>
            <c:dLbl>
              <c:idx val="4"/>
              <c:delete val="1"/>
              <c:extLst>
                <c:ext xmlns:c15="http://schemas.microsoft.com/office/drawing/2012/chart" uri="{CE6537A1-D6FC-4f65-9D91-7224C49458BB}"/>
                <c:ext xmlns:c16="http://schemas.microsoft.com/office/drawing/2014/chart" uri="{C3380CC4-5D6E-409C-BE32-E72D297353CC}">
                  <c16:uniqueId val="{00000009-B56F-4978-9C4A-51102601B40A}"/>
                </c:ext>
              </c:extLst>
            </c:dLbl>
            <c:dLbl>
              <c:idx val="13"/>
              <c:delete val="1"/>
              <c:extLst>
                <c:ext xmlns:c15="http://schemas.microsoft.com/office/drawing/2012/chart" uri="{CE6537A1-D6FC-4f65-9D91-7224C49458BB}"/>
                <c:ext xmlns:c16="http://schemas.microsoft.com/office/drawing/2014/chart" uri="{C3380CC4-5D6E-409C-BE32-E72D297353CC}">
                  <c16:uniqueId val="{0000001B-B56F-4978-9C4A-51102601B4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Sheet2!$A$2:$A$16</c:f>
              <c:strCache>
                <c:ptCount val="14"/>
                <c:pt idx="0">
                  <c:v>Civil</c:v>
                </c:pt>
                <c:pt idx="1">
                  <c:v>Electrical</c:v>
                </c:pt>
                <c:pt idx="2">
                  <c:v>ELV</c:v>
                </c:pt>
                <c:pt idx="3">
                  <c:v>Fire</c:v>
                </c:pt>
                <c:pt idx="4">
                  <c:v>Handover </c:v>
                </c:pt>
                <c:pt idx="5">
                  <c:v>Interior</c:v>
                </c:pt>
                <c:pt idx="6">
                  <c:v>Mechanical</c:v>
                </c:pt>
                <c:pt idx="7">
                  <c:v>Mobilization</c:v>
                </c:pt>
                <c:pt idx="8">
                  <c:v>PC</c:v>
                </c:pt>
                <c:pt idx="9">
                  <c:v>PD</c:v>
                </c:pt>
                <c:pt idx="10">
                  <c:v>PEB</c:v>
                </c:pt>
                <c:pt idx="11">
                  <c:v>Plumbing</c:v>
                </c:pt>
                <c:pt idx="12">
                  <c:v>Safety </c:v>
                </c:pt>
                <c:pt idx="13">
                  <c:v>Workpermits</c:v>
                </c:pt>
              </c:strCache>
            </c:strRef>
          </c:cat>
          <c:val>
            <c:numRef>
              <c:f>Sheet2!$B$2:$B$16</c:f>
              <c:numCache>
                <c:formatCode>General</c:formatCode>
                <c:ptCount val="14"/>
                <c:pt idx="0">
                  <c:v>10</c:v>
                </c:pt>
                <c:pt idx="1">
                  <c:v>3</c:v>
                </c:pt>
                <c:pt idx="2">
                  <c:v>6</c:v>
                </c:pt>
                <c:pt idx="3">
                  <c:v>3</c:v>
                </c:pt>
                <c:pt idx="4">
                  <c:v>0</c:v>
                </c:pt>
                <c:pt idx="5">
                  <c:v>3</c:v>
                </c:pt>
                <c:pt idx="6">
                  <c:v>3</c:v>
                </c:pt>
                <c:pt idx="7">
                  <c:v>1</c:v>
                </c:pt>
                <c:pt idx="8">
                  <c:v>5</c:v>
                </c:pt>
                <c:pt idx="9">
                  <c:v>5</c:v>
                </c:pt>
                <c:pt idx="10">
                  <c:v>5</c:v>
                </c:pt>
                <c:pt idx="11">
                  <c:v>3</c:v>
                </c:pt>
                <c:pt idx="12">
                  <c:v>5</c:v>
                </c:pt>
                <c:pt idx="13">
                  <c:v>0</c:v>
                </c:pt>
              </c:numCache>
            </c:numRef>
          </c:val>
          <c:extLst>
            <c:ext xmlns:c16="http://schemas.microsoft.com/office/drawing/2014/chart" uri="{C3380CC4-5D6E-409C-BE32-E72D297353CC}">
              <c16:uniqueId val="{0000001C-B56F-4978-9C4A-51102601B4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[Quality 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Sheet2!$B$1</c:f>
              <c:strCache>
                <c:ptCount val="1"/>
                <c:pt idx="0">
                  <c:v>Total</c:v>
                </c:pt>
              </c:strCache>
            </c:strRef>
          </c:tx>
          <c:dPt>
            <c:idx val="0"/>
            <c:bubble3D val="0"/>
            <c:spPr>
              <a:solidFill>
                <a:schemeClr val="accent1">
                  <a:shade val="39000"/>
                </a:schemeClr>
              </a:solidFill>
              <a:ln w="19050">
                <a:solidFill>
                  <a:schemeClr val="lt1"/>
                </a:solidFill>
              </a:ln>
              <a:effectLst/>
            </c:spPr>
          </c:dPt>
          <c:dPt>
            <c:idx val="1"/>
            <c:bubble3D val="0"/>
            <c:spPr>
              <a:solidFill>
                <a:schemeClr val="accent1">
                  <a:shade val="48000"/>
                </a:schemeClr>
              </a:solidFill>
              <a:ln w="19050">
                <a:solidFill>
                  <a:schemeClr val="lt1"/>
                </a:solidFill>
              </a:ln>
              <a:effectLst/>
            </c:spPr>
          </c:dPt>
          <c:dPt>
            <c:idx val="2"/>
            <c:bubble3D val="0"/>
            <c:spPr>
              <a:solidFill>
                <a:schemeClr val="accent1">
                  <a:shade val="58000"/>
                </a:schemeClr>
              </a:solidFill>
              <a:ln w="19050">
                <a:solidFill>
                  <a:schemeClr val="lt1"/>
                </a:solidFill>
              </a:ln>
              <a:effectLst/>
            </c:spPr>
          </c:dPt>
          <c:dPt>
            <c:idx val="3"/>
            <c:bubble3D val="0"/>
            <c:spPr>
              <a:solidFill>
                <a:schemeClr val="accent1">
                  <a:shade val="67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7D4-46BE-AF57-A6DCBB7C4019}"/>
              </c:ext>
            </c:extLst>
          </c:dPt>
          <c:dPt>
            <c:idx val="5"/>
            <c:bubble3D val="0"/>
            <c:spPr>
              <a:solidFill>
                <a:schemeClr val="accent1">
                  <a:shade val="86000"/>
                </a:schemeClr>
              </a:solidFill>
              <a:ln w="19050">
                <a:solidFill>
                  <a:schemeClr val="lt1"/>
                </a:solidFill>
              </a:ln>
              <a:effectLst/>
            </c:spPr>
          </c:dPt>
          <c:dPt>
            <c:idx val="6"/>
            <c:bubble3D val="0"/>
            <c:spPr>
              <a:solidFill>
                <a:schemeClr val="accent1">
                  <a:shade val="95000"/>
                </a:schemeClr>
              </a:solidFill>
              <a:ln w="19050">
                <a:solidFill>
                  <a:schemeClr val="lt1"/>
                </a:solidFill>
              </a:ln>
              <a:effectLst/>
            </c:spPr>
          </c:dPt>
          <c:dPt>
            <c:idx val="7"/>
            <c:bubble3D val="0"/>
            <c:spPr>
              <a:solidFill>
                <a:schemeClr val="accent1">
                  <a:tint val="96000"/>
                </a:schemeClr>
              </a:solidFill>
              <a:ln w="19050">
                <a:solidFill>
                  <a:schemeClr val="lt1"/>
                </a:solidFill>
              </a:ln>
              <a:effectLst/>
            </c:spPr>
          </c:dPt>
          <c:dPt>
            <c:idx val="8"/>
            <c:bubble3D val="0"/>
            <c:spPr>
              <a:solidFill>
                <a:schemeClr val="accent1">
                  <a:tint val="86000"/>
                </a:schemeClr>
              </a:solidFill>
              <a:ln w="19050">
                <a:solidFill>
                  <a:schemeClr val="lt1"/>
                </a:solidFill>
              </a:ln>
              <a:effectLst/>
            </c:spPr>
          </c:dPt>
          <c:dPt>
            <c:idx val="9"/>
            <c:bubble3D val="0"/>
            <c:spPr>
              <a:solidFill>
                <a:schemeClr val="accent1">
                  <a:tint val="77000"/>
                </a:schemeClr>
              </a:solidFill>
              <a:ln w="19050">
                <a:solidFill>
                  <a:schemeClr val="lt1"/>
                </a:solidFill>
              </a:ln>
              <a:effectLst/>
            </c:spPr>
          </c:dPt>
          <c:dPt>
            <c:idx val="10"/>
            <c:bubble3D val="0"/>
            <c:spPr>
              <a:solidFill>
                <a:schemeClr val="accent1">
                  <a:tint val="68000"/>
                </a:schemeClr>
              </a:solidFill>
              <a:ln w="19050">
                <a:solidFill>
                  <a:schemeClr val="lt1"/>
                </a:solidFill>
              </a:ln>
              <a:effectLst/>
            </c:spPr>
          </c:dPt>
          <c:dPt>
            <c:idx val="11"/>
            <c:bubble3D val="0"/>
            <c:spPr>
              <a:solidFill>
                <a:schemeClr val="accent1">
                  <a:tint val="58000"/>
                </a:schemeClr>
              </a:solidFill>
              <a:ln w="19050">
                <a:solidFill>
                  <a:schemeClr val="lt1"/>
                </a:solidFill>
              </a:ln>
              <a:effectLst/>
            </c:spPr>
          </c:dPt>
          <c:dPt>
            <c:idx val="12"/>
            <c:bubble3D val="0"/>
            <c:spPr>
              <a:solidFill>
                <a:schemeClr val="accent1">
                  <a:tint val="49000"/>
                </a:schemeClr>
              </a:solidFill>
              <a:ln w="19050">
                <a:solidFill>
                  <a:schemeClr val="lt1"/>
                </a:solidFill>
              </a:ln>
              <a:effectLst/>
            </c:spPr>
          </c:dPt>
          <c:dPt>
            <c:idx val="13"/>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002-37D4-46BE-AF57-A6DCBB7C4019}"/>
              </c:ext>
            </c:extLst>
          </c:dPt>
          <c:dLbls>
            <c:dLbl>
              <c:idx val="4"/>
              <c:delete val="1"/>
              <c:extLst>
                <c:ext xmlns:c15="http://schemas.microsoft.com/office/drawing/2012/chart" uri="{CE6537A1-D6FC-4f65-9D91-7224C49458BB}"/>
                <c:ext xmlns:c16="http://schemas.microsoft.com/office/drawing/2014/chart" uri="{C3380CC4-5D6E-409C-BE32-E72D297353CC}">
                  <c16:uniqueId val="{00000001-37D4-46BE-AF57-A6DCBB7C4019}"/>
                </c:ext>
              </c:extLst>
            </c:dLbl>
            <c:dLbl>
              <c:idx val="13"/>
              <c:delete val="1"/>
              <c:extLst>
                <c:ext xmlns:c15="http://schemas.microsoft.com/office/drawing/2012/chart" uri="{CE6537A1-D6FC-4f65-9D91-7224C49458BB}"/>
                <c:ext xmlns:c16="http://schemas.microsoft.com/office/drawing/2014/chart" uri="{C3380CC4-5D6E-409C-BE32-E72D297353CC}">
                  <c16:uniqueId val="{00000002-37D4-46BE-AF57-A6DCBB7C4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Sheet2!$A$2:$A$16</c:f>
              <c:strCache>
                <c:ptCount val="14"/>
                <c:pt idx="0">
                  <c:v>Civil</c:v>
                </c:pt>
                <c:pt idx="1">
                  <c:v>Electrical</c:v>
                </c:pt>
                <c:pt idx="2">
                  <c:v>ELV</c:v>
                </c:pt>
                <c:pt idx="3">
                  <c:v>Fire</c:v>
                </c:pt>
                <c:pt idx="4">
                  <c:v>Handover </c:v>
                </c:pt>
                <c:pt idx="5">
                  <c:v>Interior</c:v>
                </c:pt>
                <c:pt idx="6">
                  <c:v>Mechanical</c:v>
                </c:pt>
                <c:pt idx="7">
                  <c:v>Mobilization</c:v>
                </c:pt>
                <c:pt idx="8">
                  <c:v>PC</c:v>
                </c:pt>
                <c:pt idx="9">
                  <c:v>PD</c:v>
                </c:pt>
                <c:pt idx="10">
                  <c:v>PEB</c:v>
                </c:pt>
                <c:pt idx="11">
                  <c:v>Plumbing</c:v>
                </c:pt>
                <c:pt idx="12">
                  <c:v>Safety </c:v>
                </c:pt>
                <c:pt idx="13">
                  <c:v>Workpermits</c:v>
                </c:pt>
              </c:strCache>
            </c:strRef>
          </c:cat>
          <c:val>
            <c:numRef>
              <c:f>Sheet2!$B$2:$B$16</c:f>
              <c:numCache>
                <c:formatCode>General</c:formatCode>
                <c:ptCount val="14"/>
                <c:pt idx="0">
                  <c:v>10</c:v>
                </c:pt>
                <c:pt idx="1">
                  <c:v>3</c:v>
                </c:pt>
                <c:pt idx="2">
                  <c:v>6</c:v>
                </c:pt>
                <c:pt idx="3">
                  <c:v>3</c:v>
                </c:pt>
                <c:pt idx="4">
                  <c:v>0</c:v>
                </c:pt>
                <c:pt idx="5">
                  <c:v>3</c:v>
                </c:pt>
                <c:pt idx="6">
                  <c:v>3</c:v>
                </c:pt>
                <c:pt idx="7">
                  <c:v>1</c:v>
                </c:pt>
                <c:pt idx="8">
                  <c:v>5</c:v>
                </c:pt>
                <c:pt idx="9">
                  <c:v>5</c:v>
                </c:pt>
                <c:pt idx="10">
                  <c:v>5</c:v>
                </c:pt>
                <c:pt idx="11">
                  <c:v>3</c:v>
                </c:pt>
                <c:pt idx="12">
                  <c:v>5</c:v>
                </c:pt>
                <c:pt idx="13">
                  <c:v>0</c:v>
                </c:pt>
              </c:numCache>
            </c:numRef>
          </c:val>
          <c:extLst>
            <c:ext xmlns:c16="http://schemas.microsoft.com/office/drawing/2014/chart" uri="{C3380CC4-5D6E-409C-BE32-E72D297353CC}">
              <c16:uniqueId val="{00000000-37D4-46BE-AF57-A6DCBB7C401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kern="1200" spc="0" baseline="0">
                <a:solidFill>
                  <a:sysClr val="windowText" lastClr="000000">
                    <a:lumMod val="65000"/>
                    <a:lumOff val="35000"/>
                  </a:sysClr>
                </a:solidFill>
              </a:rPr>
              <a:t>COMPRESSIVE STRENGTH RESULTS OF M25 GRADE OF ONCRETE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'Cube Test'!$B$3</c:f>
              <c:strCache>
                <c:ptCount val="1"/>
                <c:pt idx="0">
                  <c:v>Compressive strength at 7 days</c:v>
                </c:pt>
              </c:strCache>
            </c:strRef>
          </c:tx>
          <c:spPr>
            <a:ln w="28575" cap="sq">
              <a:solidFill>
                <a:schemeClr val="accent1"/>
              </a:solidFill>
              <a:round/>
            </a:ln>
            <a:effectLst/>
          </c:spPr>
          <c:marker>
            <c:symbol val="diamond"/>
            <c:size val="5"/>
            <c:spPr>
              <a:solidFill>
                <a:schemeClr val="accent1"/>
              </a:solidFill>
              <a:ln w="9525">
                <a:solidFill>
                  <a:schemeClr val="accent1"/>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Test'!$B$4:$B$9</c:f>
              <c:numCache>
                <c:formatCode>General</c:formatCode>
                <c:ptCount val="6"/>
                <c:pt idx="0">
                  <c:v>19.07</c:v>
                </c:pt>
                <c:pt idx="1">
                  <c:v>23</c:v>
                </c:pt>
                <c:pt idx="2">
                  <c:v>22.24</c:v>
                </c:pt>
                <c:pt idx="3">
                  <c:v>18.03</c:v>
                </c:pt>
                <c:pt idx="4">
                  <c:v>18.239999999999998</c:v>
                </c:pt>
                <c:pt idx="5">
                  <c:v>19.16</c:v>
                </c:pt>
              </c:numCache>
            </c:numRef>
          </c:val>
          <c:smooth val="1"/>
          <c:extLst>
            <c:ext xmlns:c16="http://schemas.microsoft.com/office/drawing/2014/chart" uri="{C3380CC4-5D6E-409C-BE32-E72D297353CC}">
              <c16:uniqueId val="{00000000-07AB-4C9F-AA36-D609249692EB}"/>
            </c:ext>
          </c:extLst>
        </c:ser>
        <c:ser>
          <c:idx val="1"/>
          <c:order val="1"/>
          <c:tx>
            <c:strRef>
              <c:f>'Cube Test'!$C$3</c:f>
              <c:strCache>
                <c:ptCount val="1"/>
                <c:pt idx="0">
                  <c:v>IS code lower limit</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'Cube Test'!$A$4:$A$9</c:f>
              <c:numCache>
                <c:formatCode>General</c:formatCode>
                <c:ptCount val="6"/>
                <c:pt idx="0">
                  <c:v>1</c:v>
                </c:pt>
                <c:pt idx="1">
                  <c:v>2</c:v>
                </c:pt>
                <c:pt idx="2">
                  <c:v>3</c:v>
                </c:pt>
                <c:pt idx="3">
                  <c:v>4</c:v>
                </c:pt>
                <c:pt idx="4">
                  <c:v>5</c:v>
                </c:pt>
                <c:pt idx="5">
                  <c:v>6</c:v>
                </c:pt>
              </c:numCache>
            </c:numRef>
          </c:cat>
          <c:val>
            <c:numRef>
              <c:f>'Cube Test'!$C$4:$C$9</c:f>
              <c:numCache>
                <c:formatCode>General</c:formatCode>
                <c:ptCount val="6"/>
                <c:pt idx="0">
                  <c:v>17</c:v>
                </c:pt>
                <c:pt idx="1">
                  <c:v>17</c:v>
                </c:pt>
                <c:pt idx="2">
                  <c:v>17</c:v>
                </c:pt>
                <c:pt idx="3">
                  <c:v>17</c:v>
                </c:pt>
                <c:pt idx="4">
                  <c:v>17</c:v>
                </c:pt>
                <c:pt idx="5">
                  <c:v>17</c:v>
                </c:pt>
              </c:numCache>
            </c:numRef>
          </c:val>
          <c:smooth val="1"/>
          <c:extLst>
            <c:ext xmlns:c16="http://schemas.microsoft.com/office/drawing/2014/chart" uri="{C3380CC4-5D6E-409C-BE32-E72D297353CC}">
              <c16:uniqueId val="{00000001-07AB-4C9F-AA36-D609249692EB}"/>
            </c:ext>
          </c:extLst>
        </c:ser>
        <c:dLbls>
          <c:showLegendKey val="0"/>
          <c:showVal val="0"/>
          <c:showCatName val="0"/>
          <c:showSerName val="0"/>
          <c:showPercent val="0"/>
          <c:showBubbleSize val="0"/>
        </c:dLbls>
        <c:marker val="1"/>
        <c:smooth val="0"/>
        <c:axId val="749709112"/>
        <c:axId val="749708752"/>
      </c:lineChart>
      <c:catAx>
        <c:axId val="74970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8752"/>
        <c:crosses val="autoZero"/>
        <c:auto val="1"/>
        <c:lblAlgn val="ctr"/>
        <c:lblOffset val="100"/>
        <c:noMultiLvlLbl val="0"/>
      </c:catAx>
      <c:valAx>
        <c:axId val="7497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9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7</xdr:col>
      <xdr:colOff>195379</xdr:colOff>
      <xdr:row>13</xdr:row>
      <xdr:rowOff>12216</xdr:rowOff>
    </xdr:from>
    <xdr:to>
      <xdr:col>12</xdr:col>
      <xdr:colOff>109898</xdr:colOff>
      <xdr:row>26</xdr:row>
      <xdr:rowOff>44459</xdr:rowOff>
    </xdr:to>
    <xdr:sp macro="" textlink="">
      <xdr:nvSpPr>
        <xdr:cNvPr id="61" name="Oval 60">
          <a:extLst>
            <a:ext uri="{FF2B5EF4-FFF2-40B4-BE49-F238E27FC236}">
              <a16:creationId xmlns:a16="http://schemas.microsoft.com/office/drawing/2014/main" id="{223024E9-12D8-4B97-8C69-28505432C251}"/>
            </a:ext>
          </a:extLst>
        </xdr:cNvPr>
        <xdr:cNvSpPr/>
      </xdr:nvSpPr>
      <xdr:spPr>
        <a:xfrm>
          <a:off x="3773360" y="2588851"/>
          <a:ext cx="2967403" cy="2792050"/>
        </a:xfrm>
        <a:prstGeom prst="ellipse">
          <a:avLst/>
        </a:prstGeom>
        <a:solidFill>
          <a:srgbClr val="F7917D"/>
        </a:solidFill>
        <a:ln>
          <a:solidFill>
            <a:schemeClr val="tx1"/>
          </a:solidFill>
          <a:prstDash val="solid"/>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4000" b="1">
            <a:solidFill>
              <a:schemeClr val="tx2">
                <a:lumMod val="90000"/>
                <a:lumOff val="10000"/>
              </a:schemeClr>
            </a:solidFill>
          </a:endParaRPr>
        </a:p>
      </xdr:txBody>
    </xdr:sp>
    <xdr:clientData/>
  </xdr:twoCellAnchor>
  <xdr:twoCellAnchor>
    <xdr:from>
      <xdr:col>7</xdr:col>
      <xdr:colOff>354122</xdr:colOff>
      <xdr:row>14</xdr:row>
      <xdr:rowOff>12215</xdr:rowOff>
    </xdr:from>
    <xdr:to>
      <xdr:col>11</xdr:col>
      <xdr:colOff>537297</xdr:colOff>
      <xdr:row>26</xdr:row>
      <xdr:rowOff>38597</xdr:rowOff>
    </xdr:to>
    <xdr:sp macro="" textlink="">
      <xdr:nvSpPr>
        <xdr:cNvPr id="60" name="Oval 59">
          <a:extLst>
            <a:ext uri="{FF2B5EF4-FFF2-40B4-BE49-F238E27FC236}">
              <a16:creationId xmlns:a16="http://schemas.microsoft.com/office/drawing/2014/main" id="{DF4FD962-67C5-4AA0-9396-22ADC40BAA86}"/>
            </a:ext>
          </a:extLst>
        </xdr:cNvPr>
        <xdr:cNvSpPr/>
      </xdr:nvSpPr>
      <xdr:spPr>
        <a:xfrm>
          <a:off x="3932103" y="2784234"/>
          <a:ext cx="2625482" cy="2590805"/>
        </a:xfrm>
        <a:prstGeom prst="ellipse">
          <a:avLst/>
        </a:prstGeom>
        <a:solidFill>
          <a:schemeClr val="tx2"/>
        </a:solidFill>
        <a:ln>
          <a:noFill/>
          <a:prstDash val="solid"/>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4000" b="1">
            <a:solidFill>
              <a:schemeClr val="tx2">
                <a:lumMod val="90000"/>
                <a:lumOff val="10000"/>
              </a:schemeClr>
            </a:solidFill>
          </a:endParaRPr>
        </a:p>
      </xdr:txBody>
    </xdr:sp>
    <xdr:clientData/>
  </xdr:twoCellAnchor>
  <xdr:twoCellAnchor editAs="oneCell">
    <xdr:from>
      <xdr:col>27</xdr:col>
      <xdr:colOff>387894</xdr:colOff>
      <xdr:row>0</xdr:row>
      <xdr:rowOff>67244</xdr:rowOff>
    </xdr:from>
    <xdr:to>
      <xdr:col>30</xdr:col>
      <xdr:colOff>42718</xdr:colOff>
      <xdr:row>3</xdr:row>
      <xdr:rowOff>121894</xdr:rowOff>
    </xdr:to>
    <xdr:pic>
      <xdr:nvPicPr>
        <xdr:cNvPr id="7" name="Picture 6">
          <a:extLst>
            <a:ext uri="{FF2B5EF4-FFF2-40B4-BE49-F238E27FC236}">
              <a16:creationId xmlns:a16="http://schemas.microsoft.com/office/drawing/2014/main" id="{95EB7CF4-AC08-49B2-A527-92FBFFC49188}"/>
            </a:ext>
          </a:extLst>
        </xdr:cNvPr>
        <xdr:cNvPicPr>
          <a:picLocks noChangeAspect="1"/>
        </xdr:cNvPicPr>
      </xdr:nvPicPr>
      <xdr:blipFill>
        <a:blip xmlns:r="http://schemas.openxmlformats.org/officeDocument/2006/relationships" r:embed="rId1"/>
        <a:stretch>
          <a:fillRect/>
        </a:stretch>
      </xdr:blipFill>
      <xdr:spPr>
        <a:xfrm>
          <a:off x="26471154" y="67244"/>
          <a:ext cx="1885406" cy="603290"/>
        </a:xfrm>
        <a:prstGeom prst="rect">
          <a:avLst/>
        </a:prstGeom>
      </xdr:spPr>
    </xdr:pic>
    <xdr:clientData/>
  </xdr:twoCellAnchor>
  <xdr:twoCellAnchor editAs="oneCell">
    <xdr:from>
      <xdr:col>0</xdr:col>
      <xdr:colOff>63590</xdr:colOff>
      <xdr:row>0</xdr:row>
      <xdr:rowOff>67244</xdr:rowOff>
    </xdr:from>
    <xdr:to>
      <xdr:col>3</xdr:col>
      <xdr:colOff>120196</xdr:colOff>
      <xdr:row>3</xdr:row>
      <xdr:rowOff>121894</xdr:rowOff>
    </xdr:to>
    <xdr:pic>
      <xdr:nvPicPr>
        <xdr:cNvPr id="14" name="Picture 13">
          <a:extLst>
            <a:ext uri="{FF2B5EF4-FFF2-40B4-BE49-F238E27FC236}">
              <a16:creationId xmlns:a16="http://schemas.microsoft.com/office/drawing/2014/main" id="{2F13C35B-3AF6-457A-9489-7BA29FBFECED}"/>
            </a:ext>
          </a:extLst>
        </xdr:cNvPr>
        <xdr:cNvPicPr>
          <a:picLocks noChangeAspect="1"/>
        </xdr:cNvPicPr>
      </xdr:nvPicPr>
      <xdr:blipFill>
        <a:blip xmlns:r="http://schemas.openxmlformats.org/officeDocument/2006/relationships" r:embed="rId1"/>
        <a:stretch>
          <a:fillRect/>
        </a:stretch>
      </xdr:blipFill>
      <xdr:spPr>
        <a:xfrm>
          <a:off x="63590" y="67244"/>
          <a:ext cx="1885406" cy="603290"/>
        </a:xfrm>
        <a:prstGeom prst="rect">
          <a:avLst/>
        </a:prstGeom>
      </xdr:spPr>
    </xdr:pic>
    <xdr:clientData/>
  </xdr:twoCellAnchor>
  <xdr:twoCellAnchor>
    <xdr:from>
      <xdr:col>0</xdr:col>
      <xdr:colOff>22707</xdr:colOff>
      <xdr:row>30</xdr:row>
      <xdr:rowOff>173636</xdr:rowOff>
    </xdr:from>
    <xdr:to>
      <xdr:col>2</xdr:col>
      <xdr:colOff>188106</xdr:colOff>
      <xdr:row>33</xdr:row>
      <xdr:rowOff>75509</xdr:rowOff>
    </xdr:to>
    <xdr:sp macro="" textlink="">
      <xdr:nvSpPr>
        <xdr:cNvPr id="22" name="Google Shape;934;p32">
          <a:extLst>
            <a:ext uri="{FF2B5EF4-FFF2-40B4-BE49-F238E27FC236}">
              <a16:creationId xmlns:a16="http://schemas.microsoft.com/office/drawing/2014/main" id="{BAA88CF1-85C4-BD05-3D92-5ECB1B75A2A2}"/>
            </a:ext>
          </a:extLst>
        </xdr:cNvPr>
        <xdr:cNvSpPr/>
      </xdr:nvSpPr>
      <xdr:spPr>
        <a:xfrm>
          <a:off x="22707" y="7195271"/>
          <a:ext cx="1386553" cy="488026"/>
        </a:xfrm>
        <a:prstGeom prst="roundRect">
          <a:avLst>
            <a:gd name="adj" fmla="val 50000"/>
          </a:avLst>
        </a:prstGeom>
        <a:solidFill>
          <a:srgbClr val="4A66AC"/>
        </a:solid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ctr" rtl="0">
            <a:spcBef>
              <a:spcPts val="0"/>
            </a:spcBef>
            <a:spcAft>
              <a:spcPts val="0"/>
            </a:spcAft>
            <a:buClr>
              <a:srgbClr val="000000"/>
            </a:buClr>
            <a:buSzPts val="1100"/>
            <a:buFont typeface="Arial"/>
            <a:buNone/>
          </a:pPr>
          <a:r>
            <a:rPr lang="en" sz="1400">
              <a:solidFill>
                <a:srgbClr val="FFFFFF"/>
              </a:solidFill>
              <a:cs typeface="Times New Roman" panose="02020603050405020304" pitchFamily="18" charset="0"/>
              <a:sym typeface="Fira Sans Extra Condensed Medium"/>
            </a:rPr>
            <a:t>QA Office</a:t>
          </a:r>
          <a:endParaRPr sz="1400">
            <a:solidFill>
              <a:srgbClr val="000000"/>
            </a:solidFill>
            <a:cs typeface="Times New Roman" panose="02020603050405020304" pitchFamily="18" charset="0"/>
          </a:endParaRPr>
        </a:p>
      </xdr:txBody>
    </xdr:sp>
    <xdr:clientData/>
  </xdr:twoCellAnchor>
  <xdr:twoCellAnchor>
    <xdr:from>
      <xdr:col>3</xdr:col>
      <xdr:colOff>97885</xdr:colOff>
      <xdr:row>30</xdr:row>
      <xdr:rowOff>137011</xdr:rowOff>
    </xdr:from>
    <xdr:to>
      <xdr:col>9</xdr:col>
      <xdr:colOff>597304</xdr:colOff>
      <xdr:row>33</xdr:row>
      <xdr:rowOff>124358</xdr:rowOff>
    </xdr:to>
    <xdr:sp macro="" textlink="">
      <xdr:nvSpPr>
        <xdr:cNvPr id="23" name="Google Shape;935;p32">
          <a:extLst>
            <a:ext uri="{FF2B5EF4-FFF2-40B4-BE49-F238E27FC236}">
              <a16:creationId xmlns:a16="http://schemas.microsoft.com/office/drawing/2014/main" id="{A74C9245-A274-8FA2-D37F-22B3A3AB3BB3}"/>
            </a:ext>
          </a:extLst>
        </xdr:cNvPr>
        <xdr:cNvSpPr/>
      </xdr:nvSpPr>
      <xdr:spPr>
        <a:xfrm>
          <a:off x="1929616" y="7158646"/>
          <a:ext cx="3466823" cy="573500"/>
        </a:xfrm>
        <a:prstGeom prst="roundRect">
          <a:avLst>
            <a:gd name="adj" fmla="val 50000"/>
          </a:avLst>
        </a:prstGeom>
        <a:solidFill>
          <a:srgbClr val="EEEEEE"/>
        </a:solidFill>
        <a:ln>
          <a:noFill/>
        </a:ln>
      </xdr:spPr>
      <xdr:txBody>
        <a:bodyPr spcFirstLastPara="1" wrap="square" lIns="18287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buClr>
              <a:srgbClr val="000000"/>
            </a:buClr>
            <a:buSzPts val="1100"/>
          </a:pPr>
          <a:r>
            <a:rPr lang="en-US" sz="1400">
              <a:effectLst/>
              <a:ea typeface="Calibri" panose="020F0502020204030204" pitchFamily="34" charset="0"/>
              <a:cs typeface="Times New Roman" panose="02020603050405020304" pitchFamily="18" charset="0"/>
            </a:rPr>
            <a:t>A Quality Control office of 3 x 2.5 m</a:t>
          </a:r>
          <a:r>
            <a:rPr lang="en-US" sz="1400" baseline="30000">
              <a:effectLst/>
              <a:ea typeface="Calibri" panose="020F0502020204030204" pitchFamily="34" charset="0"/>
              <a:cs typeface="Times New Roman" panose="02020603050405020304" pitchFamily="18" charset="0"/>
            </a:rPr>
            <a:t>2 </a:t>
          </a:r>
          <a:r>
            <a:rPr lang="en-US" sz="1400" baseline="0">
              <a:effectLst/>
              <a:ea typeface="Calibri" panose="020F0502020204030204" pitchFamily="34" charset="0"/>
              <a:cs typeface="Times New Roman" panose="02020603050405020304" pitchFamily="18" charset="0"/>
            </a:rPr>
            <a:t> working good. No Action Req.</a:t>
          </a:r>
          <a:endParaRPr lang="en-IN" sz="1400">
            <a:effectLst/>
            <a:ea typeface="Calibri" panose="020F0502020204030204" pitchFamily="34" charset="0"/>
            <a:cs typeface="Times New Roman" panose="02020603050405020304" pitchFamily="18" charset="0"/>
          </a:endParaRPr>
        </a:p>
        <a:p>
          <a:pPr marL="0" lvl="0" indent="0" algn="l" rtl="0">
            <a:spcBef>
              <a:spcPts val="0"/>
            </a:spcBef>
            <a:spcAft>
              <a:spcPts val="0"/>
            </a:spcAft>
            <a:buClr>
              <a:srgbClr val="000000"/>
            </a:buClr>
            <a:buSzPts val="1100"/>
            <a:buFont typeface="Arial"/>
            <a:buNone/>
          </a:pPr>
          <a:endParaRPr sz="1050">
            <a:ea typeface="Roboto"/>
            <a:cs typeface="Times New Roman" panose="02020603050405020304" pitchFamily="18" charset="0"/>
            <a:sym typeface="Roboto"/>
          </a:endParaRPr>
        </a:p>
      </xdr:txBody>
    </xdr:sp>
    <xdr:clientData/>
  </xdr:twoCellAnchor>
  <xdr:twoCellAnchor>
    <xdr:from>
      <xdr:col>2</xdr:col>
      <xdr:colOff>188106</xdr:colOff>
      <xdr:row>32</xdr:row>
      <xdr:rowOff>26880</xdr:rowOff>
    </xdr:from>
    <xdr:to>
      <xdr:col>3</xdr:col>
      <xdr:colOff>97885</xdr:colOff>
      <xdr:row>32</xdr:row>
      <xdr:rowOff>32992</xdr:rowOff>
    </xdr:to>
    <xdr:cxnSp macro="">
      <xdr:nvCxnSpPr>
        <xdr:cNvPr id="24" name="Google Shape;936;p32">
          <a:extLst>
            <a:ext uri="{FF2B5EF4-FFF2-40B4-BE49-F238E27FC236}">
              <a16:creationId xmlns:a16="http://schemas.microsoft.com/office/drawing/2014/main" id="{E72F07BF-A2DF-21F9-F672-170FA6D8B006}"/>
            </a:ext>
          </a:extLst>
        </xdr:cNvPr>
        <xdr:cNvCxnSpPr>
          <a:cxnSpLocks/>
          <a:stCxn id="22" idx="3"/>
          <a:endCxn id="23" idx="1"/>
        </xdr:cNvCxnSpPr>
      </xdr:nvCxnSpPr>
      <xdr:spPr>
        <a:xfrm>
          <a:off x="1409260" y="7439284"/>
          <a:ext cx="520356" cy="6112"/>
        </a:xfrm>
        <a:prstGeom prst="straightConnector1">
          <a:avLst/>
        </a:prstGeom>
        <a:noFill/>
        <a:ln w="9525" cap="flat" cmpd="sng">
          <a:solidFill>
            <a:schemeClr val="bg1">
              <a:lumMod val="85000"/>
            </a:schemeClr>
          </a:solidFill>
          <a:prstDash val="solid"/>
          <a:round/>
          <a:headEnd type="none" w="med" len="med"/>
          <a:tailEnd type="oval" w="med" len="med"/>
        </a:ln>
      </xdr:spPr>
    </xdr:cxnSp>
    <xdr:clientData/>
  </xdr:twoCellAnchor>
  <xdr:twoCellAnchor>
    <xdr:from>
      <xdr:col>3</xdr:col>
      <xdr:colOff>96047</xdr:colOff>
      <xdr:row>34</xdr:row>
      <xdr:rowOff>5909</xdr:rowOff>
    </xdr:from>
    <xdr:to>
      <xdr:col>9</xdr:col>
      <xdr:colOff>597373</xdr:colOff>
      <xdr:row>36</xdr:row>
      <xdr:rowOff>93640</xdr:rowOff>
    </xdr:to>
    <xdr:sp macro="" textlink="">
      <xdr:nvSpPr>
        <xdr:cNvPr id="25" name="Google Shape;939;p32">
          <a:extLst>
            <a:ext uri="{FF2B5EF4-FFF2-40B4-BE49-F238E27FC236}">
              <a16:creationId xmlns:a16="http://schemas.microsoft.com/office/drawing/2014/main" id="{234FAEF8-82E4-9014-0F11-64569BCB168F}"/>
            </a:ext>
          </a:extLst>
        </xdr:cNvPr>
        <xdr:cNvSpPr/>
      </xdr:nvSpPr>
      <xdr:spPr>
        <a:xfrm>
          <a:off x="1927778" y="7809082"/>
          <a:ext cx="3468730" cy="478500"/>
        </a:xfrm>
        <a:prstGeom prst="roundRect">
          <a:avLst>
            <a:gd name="adj" fmla="val 50000"/>
          </a:avLst>
        </a:prstGeom>
        <a:solidFill>
          <a:srgbClr val="EEEEEE"/>
        </a:solidFill>
        <a:ln>
          <a:noFill/>
        </a:ln>
      </xdr:spPr>
      <xdr:txBody>
        <a:bodyPr spcFirstLastPara="1" wrap="square" lIns="18287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lvl="0" algn="just">
            <a:lnSpc>
              <a:spcPct val="107000"/>
            </a:lnSpc>
            <a:spcAft>
              <a:spcPts val="800"/>
            </a:spcAft>
          </a:pPr>
          <a:r>
            <a:rPr lang="en-US" sz="1400">
              <a:effectLst/>
              <a:ea typeface="Calibri" panose="020F0502020204030204" pitchFamily="34" charset="0"/>
              <a:cs typeface="Times New Roman" panose="02020603050405020304" pitchFamily="18" charset="0"/>
            </a:rPr>
            <a:t>A Quality Assurance Plan for all materials</a:t>
          </a:r>
          <a:r>
            <a:rPr lang="en-US" sz="1400" baseline="0">
              <a:effectLst/>
              <a:ea typeface="Calibri" panose="020F0502020204030204" pitchFamily="34" charset="0"/>
              <a:cs typeface="Times New Roman" panose="02020603050405020304" pitchFamily="18" charset="0"/>
            </a:rPr>
            <a:t> is aligned with contract req.</a:t>
          </a:r>
          <a:endParaRPr lang="en-IN" sz="1400">
            <a:effectLst/>
            <a:ea typeface="Calibri" panose="020F0502020204030204" pitchFamily="34" charset="0"/>
            <a:cs typeface="Times New Roman" panose="02020603050405020304" pitchFamily="18" charset="0"/>
          </a:endParaRPr>
        </a:p>
      </xdr:txBody>
    </xdr:sp>
    <xdr:clientData/>
  </xdr:twoCellAnchor>
  <xdr:twoCellAnchor>
    <xdr:from>
      <xdr:col>0</xdr:col>
      <xdr:colOff>20870</xdr:colOff>
      <xdr:row>34</xdr:row>
      <xdr:rowOff>5884</xdr:rowOff>
    </xdr:from>
    <xdr:to>
      <xdr:col>2</xdr:col>
      <xdr:colOff>186269</xdr:colOff>
      <xdr:row>36</xdr:row>
      <xdr:rowOff>93615</xdr:rowOff>
    </xdr:to>
    <xdr:sp macro="" textlink="">
      <xdr:nvSpPr>
        <xdr:cNvPr id="26" name="Google Shape;940;p32">
          <a:extLst>
            <a:ext uri="{FF2B5EF4-FFF2-40B4-BE49-F238E27FC236}">
              <a16:creationId xmlns:a16="http://schemas.microsoft.com/office/drawing/2014/main" id="{E7C1A274-107C-B5F8-FEA2-C6E06D90F2C8}"/>
            </a:ext>
          </a:extLst>
        </xdr:cNvPr>
        <xdr:cNvSpPr/>
      </xdr:nvSpPr>
      <xdr:spPr>
        <a:xfrm>
          <a:off x="20870" y="7809057"/>
          <a:ext cx="1386553" cy="478500"/>
        </a:xfrm>
        <a:prstGeom prst="roundRect">
          <a:avLst>
            <a:gd name="adj" fmla="val 50000"/>
          </a:avLst>
        </a:prstGeom>
        <a:solidFill>
          <a:srgbClr val="629DD1"/>
        </a:solid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ctr" rtl="0">
            <a:spcBef>
              <a:spcPts val="0"/>
            </a:spcBef>
            <a:spcAft>
              <a:spcPts val="0"/>
            </a:spcAft>
            <a:buClr>
              <a:srgbClr val="000000"/>
            </a:buClr>
            <a:buSzPts val="1100"/>
            <a:buFont typeface="Arial"/>
            <a:buNone/>
          </a:pPr>
          <a:r>
            <a:rPr lang="en" sz="1400">
              <a:solidFill>
                <a:srgbClr val="FFFFFF"/>
              </a:solidFill>
              <a:ea typeface="Fira Sans Extra Condensed Medium"/>
              <a:cs typeface="Times New Roman" panose="02020603050405020304" pitchFamily="18" charset="0"/>
              <a:sym typeface="Fira Sans Extra Condensed Medium"/>
            </a:rPr>
            <a:t>QA Plan</a:t>
          </a:r>
          <a:endParaRPr sz="1400">
            <a:solidFill>
              <a:srgbClr val="000000"/>
            </a:solidFill>
            <a:cs typeface="Times New Roman" panose="02020603050405020304" pitchFamily="18" charset="0"/>
          </a:endParaRPr>
        </a:p>
      </xdr:txBody>
    </xdr:sp>
    <xdr:clientData/>
  </xdr:twoCellAnchor>
  <xdr:twoCellAnchor>
    <xdr:from>
      <xdr:col>2</xdr:col>
      <xdr:colOff>186269</xdr:colOff>
      <xdr:row>35</xdr:row>
      <xdr:rowOff>49749</xdr:rowOff>
    </xdr:from>
    <xdr:to>
      <xdr:col>3</xdr:col>
      <xdr:colOff>96047</xdr:colOff>
      <xdr:row>35</xdr:row>
      <xdr:rowOff>49774</xdr:rowOff>
    </xdr:to>
    <xdr:cxnSp macro="">
      <xdr:nvCxnSpPr>
        <xdr:cNvPr id="27" name="Google Shape;941;p32">
          <a:extLst>
            <a:ext uri="{FF2B5EF4-FFF2-40B4-BE49-F238E27FC236}">
              <a16:creationId xmlns:a16="http://schemas.microsoft.com/office/drawing/2014/main" id="{37F5177E-A3A5-A56D-63CE-63A5D1243B73}"/>
            </a:ext>
          </a:extLst>
        </xdr:cNvPr>
        <xdr:cNvCxnSpPr>
          <a:cxnSpLocks/>
          <a:stCxn id="26" idx="3"/>
          <a:endCxn id="25" idx="1"/>
        </xdr:cNvCxnSpPr>
      </xdr:nvCxnSpPr>
      <xdr:spPr>
        <a:xfrm>
          <a:off x="1407423" y="8048307"/>
          <a:ext cx="520355" cy="25"/>
        </a:xfrm>
        <a:prstGeom prst="straightConnector1">
          <a:avLst/>
        </a:prstGeom>
        <a:noFill/>
        <a:ln w="9525" cap="flat" cmpd="sng">
          <a:solidFill>
            <a:schemeClr val="bg1">
              <a:lumMod val="85000"/>
            </a:schemeClr>
          </a:solidFill>
          <a:prstDash val="solid"/>
          <a:round/>
          <a:headEnd type="none" w="med" len="med"/>
          <a:tailEnd type="oval" w="med" len="med"/>
        </a:ln>
      </xdr:spPr>
    </xdr:cxnSp>
    <xdr:clientData/>
  </xdr:twoCellAnchor>
  <xdr:twoCellAnchor>
    <xdr:from>
      <xdr:col>0</xdr:col>
      <xdr:colOff>14950</xdr:colOff>
      <xdr:row>37</xdr:row>
      <xdr:rowOff>122811</xdr:rowOff>
    </xdr:from>
    <xdr:to>
      <xdr:col>2</xdr:col>
      <xdr:colOff>180348</xdr:colOff>
      <xdr:row>40</xdr:row>
      <xdr:rowOff>15157</xdr:rowOff>
    </xdr:to>
    <xdr:sp macro="" textlink="">
      <xdr:nvSpPr>
        <xdr:cNvPr id="28" name="Google Shape;944;p32">
          <a:extLst>
            <a:ext uri="{FF2B5EF4-FFF2-40B4-BE49-F238E27FC236}">
              <a16:creationId xmlns:a16="http://schemas.microsoft.com/office/drawing/2014/main" id="{16109BDA-C218-E432-2F99-1422B6EF7BA1}"/>
            </a:ext>
          </a:extLst>
        </xdr:cNvPr>
        <xdr:cNvSpPr/>
      </xdr:nvSpPr>
      <xdr:spPr>
        <a:xfrm>
          <a:off x="14950" y="8512138"/>
          <a:ext cx="1386552" cy="478500"/>
        </a:xfrm>
        <a:prstGeom prst="roundRect">
          <a:avLst>
            <a:gd name="adj" fmla="val 50000"/>
          </a:avLst>
        </a:prstGeom>
        <a:solidFill>
          <a:srgbClr val="297FD5"/>
        </a:solid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ctr" rtl="0">
            <a:spcBef>
              <a:spcPts val="0"/>
            </a:spcBef>
            <a:spcAft>
              <a:spcPts val="0"/>
            </a:spcAft>
            <a:buClr>
              <a:srgbClr val="000000"/>
            </a:buClr>
            <a:buSzPts val="1100"/>
            <a:buFont typeface="Arial"/>
            <a:buNone/>
          </a:pPr>
          <a:r>
            <a:rPr lang="en" sz="1400">
              <a:solidFill>
                <a:srgbClr val="FFFFFF"/>
              </a:solidFill>
              <a:ea typeface="Fira Sans Extra Condensed Medium"/>
              <a:cs typeface="Times New Roman" panose="02020603050405020304" pitchFamily="18" charset="0"/>
              <a:sym typeface="Fira Sans Extra Condensed Medium"/>
            </a:rPr>
            <a:t>Tests</a:t>
          </a:r>
          <a:endParaRPr sz="1400">
            <a:solidFill>
              <a:srgbClr val="000000"/>
            </a:solidFill>
            <a:cs typeface="Times New Roman" panose="02020603050405020304" pitchFamily="18" charset="0"/>
          </a:endParaRPr>
        </a:p>
      </xdr:txBody>
    </xdr:sp>
    <xdr:clientData/>
  </xdr:twoCellAnchor>
  <xdr:twoCellAnchor>
    <xdr:from>
      <xdr:col>3</xdr:col>
      <xdr:colOff>90128</xdr:colOff>
      <xdr:row>36</xdr:row>
      <xdr:rowOff>195383</xdr:rowOff>
    </xdr:from>
    <xdr:to>
      <xdr:col>9</xdr:col>
      <xdr:colOff>597597</xdr:colOff>
      <xdr:row>40</xdr:row>
      <xdr:rowOff>134323</xdr:rowOff>
    </xdr:to>
    <xdr:sp macro="" textlink="">
      <xdr:nvSpPr>
        <xdr:cNvPr id="29" name="Google Shape;945;p32">
          <a:extLst>
            <a:ext uri="{FF2B5EF4-FFF2-40B4-BE49-F238E27FC236}">
              <a16:creationId xmlns:a16="http://schemas.microsoft.com/office/drawing/2014/main" id="{5A5F3A50-4FFF-3C4E-97B9-0CEC4B73F72A}"/>
            </a:ext>
          </a:extLst>
        </xdr:cNvPr>
        <xdr:cNvSpPr/>
      </xdr:nvSpPr>
      <xdr:spPr>
        <a:xfrm>
          <a:off x="1921859" y="8389325"/>
          <a:ext cx="3474873" cy="720479"/>
        </a:xfrm>
        <a:prstGeom prst="roundRect">
          <a:avLst>
            <a:gd name="adj" fmla="val 50000"/>
          </a:avLst>
        </a:prstGeom>
        <a:solidFill>
          <a:srgbClr val="EEEEEE"/>
        </a:solidFill>
        <a:ln>
          <a:noFill/>
        </a:ln>
      </xdr:spPr>
      <xdr:txBody>
        <a:bodyPr spcFirstLastPara="1" wrap="square" lIns="18287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lvl="0" algn="just">
            <a:lnSpc>
              <a:spcPct val="107000"/>
            </a:lnSpc>
            <a:spcAft>
              <a:spcPts val="800"/>
            </a:spcAft>
          </a:pPr>
          <a:r>
            <a:rPr lang="en-US" sz="1400">
              <a:effectLst/>
              <a:ea typeface="Calibri" panose="020F0502020204030204" pitchFamily="34" charset="0"/>
              <a:cs typeface="Times New Roman" panose="02020603050405020304" pitchFamily="18" charset="0"/>
            </a:rPr>
            <a:t>Compressive Strength Tests and Slump Tests are performed every certain period</a:t>
          </a:r>
          <a:r>
            <a:rPr lang="en-US" sz="1400" baseline="0">
              <a:effectLst/>
              <a:ea typeface="Calibri" panose="020F0502020204030204" pitchFamily="34" charset="0"/>
              <a:cs typeface="Times New Roman" panose="02020603050405020304" pitchFamily="18" charset="0"/>
            </a:rPr>
            <a:t> as required</a:t>
          </a:r>
          <a:endParaRPr lang="en-IN" sz="1400">
            <a:effectLst/>
            <a:ea typeface="Calibri" panose="020F0502020204030204" pitchFamily="34" charset="0"/>
            <a:cs typeface="Times New Roman" panose="02020603050405020304" pitchFamily="18" charset="0"/>
          </a:endParaRPr>
        </a:p>
      </xdr:txBody>
    </xdr:sp>
    <xdr:clientData/>
  </xdr:twoCellAnchor>
  <xdr:twoCellAnchor>
    <xdr:from>
      <xdr:col>2</xdr:col>
      <xdr:colOff>180348</xdr:colOff>
      <xdr:row>38</xdr:row>
      <xdr:rowOff>160090</xdr:rowOff>
    </xdr:from>
    <xdr:to>
      <xdr:col>3</xdr:col>
      <xdr:colOff>90128</xdr:colOff>
      <xdr:row>38</xdr:row>
      <xdr:rowOff>166676</xdr:rowOff>
    </xdr:to>
    <xdr:cxnSp macro="">
      <xdr:nvCxnSpPr>
        <xdr:cNvPr id="30" name="Google Shape;946;p32">
          <a:extLst>
            <a:ext uri="{FF2B5EF4-FFF2-40B4-BE49-F238E27FC236}">
              <a16:creationId xmlns:a16="http://schemas.microsoft.com/office/drawing/2014/main" id="{0DED2DB2-3DE2-90EF-9961-6517CBFAE29A}"/>
            </a:ext>
          </a:extLst>
        </xdr:cNvPr>
        <xdr:cNvCxnSpPr>
          <a:cxnSpLocks/>
          <a:stCxn id="28" idx="3"/>
          <a:endCxn id="29" idx="1"/>
        </xdr:cNvCxnSpPr>
      </xdr:nvCxnSpPr>
      <xdr:spPr>
        <a:xfrm flipV="1">
          <a:off x="1401502" y="8744802"/>
          <a:ext cx="520357" cy="6586"/>
        </a:xfrm>
        <a:prstGeom prst="straightConnector1">
          <a:avLst/>
        </a:prstGeom>
        <a:noFill/>
        <a:ln w="9525" cap="flat" cmpd="sng">
          <a:solidFill>
            <a:schemeClr val="bg1">
              <a:lumMod val="85000"/>
            </a:schemeClr>
          </a:solidFill>
          <a:prstDash val="solid"/>
          <a:round/>
          <a:headEnd type="none" w="med" len="med"/>
          <a:tailEnd type="oval" w="med" len="med"/>
        </a:ln>
      </xdr:spPr>
    </xdr:cxnSp>
    <xdr:clientData/>
  </xdr:twoCellAnchor>
  <xdr:twoCellAnchor>
    <xdr:from>
      <xdr:col>0</xdr:col>
      <xdr:colOff>10495</xdr:colOff>
      <xdr:row>41</xdr:row>
      <xdr:rowOff>26921</xdr:rowOff>
    </xdr:from>
    <xdr:to>
      <xdr:col>2</xdr:col>
      <xdr:colOff>175894</xdr:colOff>
      <xdr:row>43</xdr:row>
      <xdr:rowOff>114651</xdr:rowOff>
    </xdr:to>
    <xdr:sp macro="" textlink="">
      <xdr:nvSpPr>
        <xdr:cNvPr id="31" name="Google Shape;949;p32">
          <a:extLst>
            <a:ext uri="{FF2B5EF4-FFF2-40B4-BE49-F238E27FC236}">
              <a16:creationId xmlns:a16="http://schemas.microsoft.com/office/drawing/2014/main" id="{C0E921EB-4BC9-8A13-264D-D6637023CA57}"/>
            </a:ext>
          </a:extLst>
        </xdr:cNvPr>
        <xdr:cNvSpPr/>
      </xdr:nvSpPr>
      <xdr:spPr>
        <a:xfrm>
          <a:off x="10495" y="9197786"/>
          <a:ext cx="1386553" cy="478500"/>
        </a:xfrm>
        <a:prstGeom prst="roundRect">
          <a:avLst>
            <a:gd name="adj" fmla="val 50000"/>
          </a:avLst>
        </a:prstGeom>
        <a:solidFill>
          <a:srgbClr val="7F8FA9"/>
        </a:solid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ctr" rtl="0">
            <a:spcBef>
              <a:spcPts val="0"/>
            </a:spcBef>
            <a:spcAft>
              <a:spcPts val="0"/>
            </a:spcAft>
            <a:buClr>
              <a:srgbClr val="000000"/>
            </a:buClr>
            <a:buSzPts val="1100"/>
            <a:buFont typeface="Arial"/>
            <a:buNone/>
          </a:pPr>
          <a:r>
            <a:rPr lang="en" sz="1400">
              <a:solidFill>
                <a:srgbClr val="FFFFFF"/>
              </a:solidFill>
              <a:ea typeface="Fira Sans Extra Condensed Medium"/>
              <a:cs typeface="Times New Roman" panose="02020603050405020304" pitchFamily="18" charset="0"/>
              <a:sym typeface="Fira Sans Extra Condensed Medium"/>
            </a:rPr>
            <a:t>Tests’ Registers</a:t>
          </a:r>
          <a:endParaRPr sz="1400">
            <a:solidFill>
              <a:srgbClr val="000000"/>
            </a:solidFill>
            <a:cs typeface="Times New Roman" panose="02020603050405020304" pitchFamily="18" charset="0"/>
          </a:endParaRPr>
        </a:p>
      </xdr:txBody>
    </xdr:sp>
    <xdr:clientData/>
  </xdr:twoCellAnchor>
  <xdr:twoCellAnchor>
    <xdr:from>
      <xdr:col>3</xdr:col>
      <xdr:colOff>57617</xdr:colOff>
      <xdr:row>41</xdr:row>
      <xdr:rowOff>26921</xdr:rowOff>
    </xdr:from>
    <xdr:to>
      <xdr:col>9</xdr:col>
      <xdr:colOff>586152</xdr:colOff>
      <xdr:row>43</xdr:row>
      <xdr:rowOff>114651</xdr:rowOff>
    </xdr:to>
    <xdr:sp macro="" textlink="">
      <xdr:nvSpPr>
        <xdr:cNvPr id="32" name="Google Shape;950;p32">
          <a:extLst>
            <a:ext uri="{FF2B5EF4-FFF2-40B4-BE49-F238E27FC236}">
              <a16:creationId xmlns:a16="http://schemas.microsoft.com/office/drawing/2014/main" id="{40D01C80-2536-5A7B-6870-5E318D02DABB}"/>
            </a:ext>
          </a:extLst>
        </xdr:cNvPr>
        <xdr:cNvSpPr/>
      </xdr:nvSpPr>
      <xdr:spPr>
        <a:xfrm>
          <a:off x="1889348" y="9197786"/>
          <a:ext cx="3495939" cy="478500"/>
        </a:xfrm>
        <a:prstGeom prst="roundRect">
          <a:avLst>
            <a:gd name="adj" fmla="val 50000"/>
          </a:avLst>
        </a:prstGeom>
        <a:solidFill>
          <a:srgbClr val="EEEEEE"/>
        </a:solidFill>
        <a:ln>
          <a:noFill/>
        </a:ln>
      </xdr:spPr>
      <xdr:txBody>
        <a:bodyPr spcFirstLastPara="1" wrap="square" lIns="18287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buClr>
              <a:srgbClr val="000000"/>
            </a:buClr>
            <a:buSzPts val="1100"/>
          </a:pPr>
          <a:r>
            <a:rPr lang="en-US" sz="1400">
              <a:effectLst/>
              <a:ea typeface="Calibri" panose="020F0502020204030204" pitchFamily="34" charset="0"/>
              <a:cs typeface="Times New Roman" panose="02020603050405020304" pitchFamily="18" charset="0"/>
            </a:rPr>
            <a:t>Registers for every test are maintained properly by the quality personnels</a:t>
          </a:r>
          <a:endParaRPr sz="1400">
            <a:ea typeface="Roboto"/>
            <a:cs typeface="Times New Roman" panose="02020603050405020304" pitchFamily="18" charset="0"/>
            <a:sym typeface="Roboto"/>
          </a:endParaRPr>
        </a:p>
      </xdr:txBody>
    </xdr:sp>
    <xdr:clientData/>
  </xdr:twoCellAnchor>
  <xdr:twoCellAnchor>
    <xdr:from>
      <xdr:col>2</xdr:col>
      <xdr:colOff>175894</xdr:colOff>
      <xdr:row>42</xdr:row>
      <xdr:rowOff>70787</xdr:rowOff>
    </xdr:from>
    <xdr:to>
      <xdr:col>3</xdr:col>
      <xdr:colOff>85671</xdr:colOff>
      <xdr:row>42</xdr:row>
      <xdr:rowOff>70787</xdr:rowOff>
    </xdr:to>
    <xdr:cxnSp macro="">
      <xdr:nvCxnSpPr>
        <xdr:cNvPr id="33" name="Google Shape;951;p32">
          <a:extLst>
            <a:ext uri="{FF2B5EF4-FFF2-40B4-BE49-F238E27FC236}">
              <a16:creationId xmlns:a16="http://schemas.microsoft.com/office/drawing/2014/main" id="{9440E6F5-92DA-3491-A786-09FE4A79383B}"/>
            </a:ext>
          </a:extLst>
        </xdr:cNvPr>
        <xdr:cNvCxnSpPr>
          <a:cxnSpLocks/>
          <a:stCxn id="31" idx="3"/>
        </xdr:cNvCxnSpPr>
      </xdr:nvCxnSpPr>
      <xdr:spPr>
        <a:xfrm>
          <a:off x="1397048" y="9437037"/>
          <a:ext cx="520354" cy="0"/>
        </a:xfrm>
        <a:prstGeom prst="straightConnector1">
          <a:avLst/>
        </a:prstGeom>
        <a:noFill/>
        <a:ln w="9525" cap="flat" cmpd="sng">
          <a:solidFill>
            <a:schemeClr val="bg1">
              <a:lumMod val="85000"/>
            </a:schemeClr>
          </a:solidFill>
          <a:prstDash val="solid"/>
          <a:round/>
          <a:headEnd type="none" w="med" len="med"/>
          <a:tailEnd type="oval" w="med" len="med"/>
        </a:ln>
      </xdr:spPr>
    </xdr:cxnSp>
    <xdr:clientData/>
  </xdr:twoCellAnchor>
  <xdr:twoCellAnchor>
    <xdr:from>
      <xdr:col>0</xdr:col>
      <xdr:colOff>0</xdr:colOff>
      <xdr:row>44</xdr:row>
      <xdr:rowOff>18694</xdr:rowOff>
    </xdr:from>
    <xdr:to>
      <xdr:col>2</xdr:col>
      <xdr:colOff>165399</xdr:colOff>
      <xdr:row>46</xdr:row>
      <xdr:rowOff>106425</xdr:rowOff>
    </xdr:to>
    <xdr:sp macro="" textlink="">
      <xdr:nvSpPr>
        <xdr:cNvPr id="34" name="Google Shape;953;p32">
          <a:extLst>
            <a:ext uri="{FF2B5EF4-FFF2-40B4-BE49-F238E27FC236}">
              <a16:creationId xmlns:a16="http://schemas.microsoft.com/office/drawing/2014/main" id="{91E8B7A4-4FF9-F90D-8A4E-EAFF042267CA}"/>
            </a:ext>
          </a:extLst>
        </xdr:cNvPr>
        <xdr:cNvSpPr/>
      </xdr:nvSpPr>
      <xdr:spPr>
        <a:xfrm>
          <a:off x="0" y="9775713"/>
          <a:ext cx="1386553" cy="478500"/>
        </a:xfrm>
        <a:prstGeom prst="roundRect">
          <a:avLst>
            <a:gd name="adj" fmla="val 50000"/>
          </a:avLst>
        </a:prstGeom>
        <a:solidFill>
          <a:srgbClr val="9D90A0"/>
        </a:solid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ctr" rtl="0">
            <a:spcBef>
              <a:spcPts val="0"/>
            </a:spcBef>
            <a:spcAft>
              <a:spcPts val="0"/>
            </a:spcAft>
            <a:buClr>
              <a:srgbClr val="000000"/>
            </a:buClr>
            <a:buSzPts val="1100"/>
            <a:buFont typeface="Arial"/>
            <a:buNone/>
          </a:pPr>
          <a:r>
            <a:rPr lang="en" sz="1400">
              <a:solidFill>
                <a:srgbClr val="FFFFFF"/>
              </a:solidFill>
              <a:ea typeface="Fira Sans Extra Condensed Medium"/>
              <a:cs typeface="Times New Roman" panose="02020603050405020304" pitchFamily="18" charset="0"/>
              <a:sym typeface="Fira Sans Extra Condensed Medium"/>
            </a:rPr>
            <a:t>Cleaning</a:t>
          </a:r>
          <a:endParaRPr sz="1400">
            <a:solidFill>
              <a:srgbClr val="000000"/>
            </a:solidFill>
            <a:cs typeface="Times New Roman" panose="02020603050405020304" pitchFamily="18" charset="0"/>
          </a:endParaRPr>
        </a:p>
      </xdr:txBody>
    </xdr:sp>
    <xdr:clientData/>
  </xdr:twoCellAnchor>
  <xdr:twoCellAnchor>
    <xdr:from>
      <xdr:col>3</xdr:col>
      <xdr:colOff>75177</xdr:colOff>
      <xdr:row>44</xdr:row>
      <xdr:rowOff>18693</xdr:rowOff>
    </xdr:from>
    <xdr:to>
      <xdr:col>9</xdr:col>
      <xdr:colOff>582646</xdr:colOff>
      <xdr:row>46</xdr:row>
      <xdr:rowOff>106424</xdr:rowOff>
    </xdr:to>
    <xdr:sp macro="" textlink="">
      <xdr:nvSpPr>
        <xdr:cNvPr id="35" name="Google Shape;954;p32">
          <a:extLst>
            <a:ext uri="{FF2B5EF4-FFF2-40B4-BE49-F238E27FC236}">
              <a16:creationId xmlns:a16="http://schemas.microsoft.com/office/drawing/2014/main" id="{E60092ED-2BE1-5A8E-75E9-C7E4A3D9C391}"/>
            </a:ext>
          </a:extLst>
        </xdr:cNvPr>
        <xdr:cNvSpPr/>
      </xdr:nvSpPr>
      <xdr:spPr>
        <a:xfrm>
          <a:off x="1906908" y="9775712"/>
          <a:ext cx="3474873" cy="478500"/>
        </a:xfrm>
        <a:prstGeom prst="roundRect">
          <a:avLst>
            <a:gd name="adj" fmla="val 50000"/>
          </a:avLst>
        </a:prstGeom>
        <a:solidFill>
          <a:srgbClr val="EEEEEE"/>
        </a:solidFill>
        <a:ln>
          <a:noFill/>
        </a:ln>
      </xdr:spPr>
      <xdr:txBody>
        <a:bodyPr spcFirstLastPara="1" wrap="square" lIns="182875" tIns="91425" rIns="91425" bIns="91425" anchor="ctr" anchorCtr="0">
          <a:noAutofit/>
        </a:bodyP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lvl="0" indent="0" algn="l" rtl="0">
            <a:spcBef>
              <a:spcPts val="0"/>
            </a:spcBef>
            <a:spcAft>
              <a:spcPts val="0"/>
            </a:spcAft>
            <a:buClr>
              <a:sysClr val="windowText" lastClr="000000"/>
            </a:buClr>
            <a:buSzPts val="1100"/>
            <a:buFont typeface="Arial"/>
            <a:buNone/>
          </a:pPr>
          <a:r>
            <a:rPr lang="en-US" sz="1400">
              <a:effectLst/>
              <a:ea typeface="Calibri" panose="020F0502020204030204" pitchFamily="34" charset="0"/>
              <a:cs typeface="Times New Roman" panose="02020603050405020304" pitchFamily="18" charset="0"/>
            </a:rPr>
            <a:t>Weekly cleaning of the cube pond is</a:t>
          </a:r>
          <a:r>
            <a:rPr lang="en-US" sz="1400" baseline="0">
              <a:effectLst/>
              <a:ea typeface="Calibri" panose="020F0502020204030204" pitchFamily="34" charset="0"/>
              <a:cs typeface="Times New Roman" panose="02020603050405020304" pitchFamily="18" charset="0"/>
            </a:rPr>
            <a:t> </a:t>
          </a:r>
          <a:r>
            <a:rPr lang="en-US" sz="1400">
              <a:effectLst/>
              <a:ea typeface="Calibri" panose="020F0502020204030204" pitchFamily="34" charset="0"/>
              <a:cs typeface="Times New Roman" panose="02020603050405020304" pitchFamily="18" charset="0"/>
            </a:rPr>
            <a:t>performed by the personnels.</a:t>
          </a:r>
          <a:endParaRPr sz="1050">
            <a:ea typeface="Roboto"/>
            <a:cs typeface="Times New Roman" panose="02020603050405020304" pitchFamily="18" charset="0"/>
            <a:sym typeface="Roboto"/>
          </a:endParaRPr>
        </a:p>
      </xdr:txBody>
    </xdr:sp>
    <xdr:clientData/>
  </xdr:twoCellAnchor>
  <xdr:twoCellAnchor>
    <xdr:from>
      <xdr:col>2</xdr:col>
      <xdr:colOff>165399</xdr:colOff>
      <xdr:row>45</xdr:row>
      <xdr:rowOff>62558</xdr:rowOff>
    </xdr:from>
    <xdr:to>
      <xdr:col>3</xdr:col>
      <xdr:colOff>75177</xdr:colOff>
      <xdr:row>45</xdr:row>
      <xdr:rowOff>62559</xdr:rowOff>
    </xdr:to>
    <xdr:cxnSp macro="">
      <xdr:nvCxnSpPr>
        <xdr:cNvPr id="36" name="Google Shape;955;p32">
          <a:extLst>
            <a:ext uri="{FF2B5EF4-FFF2-40B4-BE49-F238E27FC236}">
              <a16:creationId xmlns:a16="http://schemas.microsoft.com/office/drawing/2014/main" id="{25DCA3A5-C60B-2F62-D00B-A149A78F88BC}"/>
            </a:ext>
          </a:extLst>
        </xdr:cNvPr>
        <xdr:cNvCxnSpPr>
          <a:cxnSpLocks/>
          <a:stCxn id="34" idx="3"/>
          <a:endCxn id="35" idx="1"/>
        </xdr:cNvCxnSpPr>
      </xdr:nvCxnSpPr>
      <xdr:spPr>
        <a:xfrm flipV="1">
          <a:off x="1386553" y="10014962"/>
          <a:ext cx="520355" cy="1"/>
        </a:xfrm>
        <a:prstGeom prst="straightConnector1">
          <a:avLst/>
        </a:prstGeom>
        <a:noFill/>
        <a:ln w="9525" cap="flat" cmpd="sng">
          <a:solidFill>
            <a:schemeClr val="bg1">
              <a:lumMod val="85000"/>
            </a:schemeClr>
          </a:solidFill>
          <a:prstDash val="solid"/>
          <a:round/>
          <a:headEnd type="none" w="med" len="med"/>
          <a:tailEnd type="oval" w="med" len="med"/>
        </a:ln>
      </xdr:spPr>
    </xdr:cxnSp>
    <xdr:clientData/>
  </xdr:twoCellAnchor>
  <xdr:twoCellAnchor>
    <xdr:from>
      <xdr:col>7</xdr:col>
      <xdr:colOff>439602</xdr:colOff>
      <xdr:row>15</xdr:row>
      <xdr:rowOff>48851</xdr:rowOff>
    </xdr:from>
    <xdr:to>
      <xdr:col>11</xdr:col>
      <xdr:colOff>449670</xdr:colOff>
      <xdr:row>26</xdr:row>
      <xdr:rowOff>36638</xdr:rowOff>
    </xdr:to>
    <xdr:sp macro="" textlink="">
      <xdr:nvSpPr>
        <xdr:cNvPr id="56" name="Oval 55">
          <a:extLst>
            <a:ext uri="{FF2B5EF4-FFF2-40B4-BE49-F238E27FC236}">
              <a16:creationId xmlns:a16="http://schemas.microsoft.com/office/drawing/2014/main" id="{591467C0-9359-471E-9BFE-96EA74D5F15C}"/>
            </a:ext>
          </a:extLst>
        </xdr:cNvPr>
        <xdr:cNvSpPr/>
      </xdr:nvSpPr>
      <xdr:spPr>
        <a:xfrm>
          <a:off x="4017583" y="3016255"/>
          <a:ext cx="2452375" cy="2356825"/>
        </a:xfrm>
        <a:prstGeom prst="ellipse">
          <a:avLst/>
        </a:prstGeom>
        <a:solidFill>
          <a:schemeClr val="bg1"/>
        </a:solidFill>
        <a:ln>
          <a:noFill/>
          <a:prstDash val="dash"/>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QPI</a:t>
          </a:r>
        </a:p>
        <a:p>
          <a:pPr algn="ctr"/>
          <a:r>
            <a:rPr lang="en-IN" sz="1200" b="1">
              <a:solidFill>
                <a:schemeClr val="tx1"/>
              </a:solidFill>
            </a:rPr>
            <a:t>Quality Perfromance Rate</a:t>
          </a:r>
          <a:endParaRPr lang="en-IN" sz="1100">
            <a:solidFill>
              <a:schemeClr val="tx1"/>
            </a:solidFill>
          </a:endParaRPr>
        </a:p>
      </xdr:txBody>
    </xdr:sp>
    <xdr:clientData/>
  </xdr:twoCellAnchor>
  <xdr:twoCellAnchor>
    <xdr:from>
      <xdr:col>12</xdr:col>
      <xdr:colOff>378558</xdr:colOff>
      <xdr:row>12</xdr:row>
      <xdr:rowOff>48847</xdr:rowOff>
    </xdr:from>
    <xdr:to>
      <xdr:col>17</xdr:col>
      <xdr:colOff>122115</xdr:colOff>
      <xdr:row>27</xdr:row>
      <xdr:rowOff>73269</xdr:rowOff>
    </xdr:to>
    <xdr:graphicFrame macro="">
      <xdr:nvGraphicFramePr>
        <xdr:cNvPr id="65" name="Chart 64">
          <a:extLst>
            <a:ext uri="{FF2B5EF4-FFF2-40B4-BE49-F238E27FC236}">
              <a16:creationId xmlns:a16="http://schemas.microsoft.com/office/drawing/2014/main" id="{EBAD7D3C-1F24-4564-B895-D45851F08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232021</xdr:colOff>
      <xdr:row>12</xdr:row>
      <xdr:rowOff>48846</xdr:rowOff>
    </xdr:from>
    <xdr:to>
      <xdr:col>21</xdr:col>
      <xdr:colOff>573943</xdr:colOff>
      <xdr:row>27</xdr:row>
      <xdr:rowOff>61057</xdr:rowOff>
    </xdr:to>
    <xdr:graphicFrame macro="">
      <xdr:nvGraphicFramePr>
        <xdr:cNvPr id="66" name="Chart 65">
          <a:extLst>
            <a:ext uri="{FF2B5EF4-FFF2-40B4-BE49-F238E27FC236}">
              <a16:creationId xmlns:a16="http://schemas.microsoft.com/office/drawing/2014/main" id="{392A1CDC-BC99-4848-AAA7-65969D110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15211</xdr:colOff>
      <xdr:row>13</xdr:row>
      <xdr:rowOff>54428</xdr:rowOff>
    </xdr:from>
    <xdr:to>
      <xdr:col>29</xdr:col>
      <xdr:colOff>898070</xdr:colOff>
      <xdr:row>27</xdr:row>
      <xdr:rowOff>27215</xdr:rowOff>
    </xdr:to>
    <xdr:grpSp>
      <xdr:nvGrpSpPr>
        <xdr:cNvPr id="85" name="Group 84">
          <a:extLst>
            <a:ext uri="{FF2B5EF4-FFF2-40B4-BE49-F238E27FC236}">
              <a16:creationId xmlns:a16="http://schemas.microsoft.com/office/drawing/2014/main" id="{8FB74047-4059-4A45-B203-8969A202E7DF}"/>
            </a:ext>
          </a:extLst>
        </xdr:cNvPr>
        <xdr:cNvGrpSpPr/>
      </xdr:nvGrpSpPr>
      <xdr:grpSpPr>
        <a:xfrm>
          <a:off x="14266768" y="2552494"/>
          <a:ext cx="5663330" cy="2938117"/>
          <a:chOff x="3482756" y="1555586"/>
          <a:chExt cx="5029200" cy="2822882"/>
        </a:xfrm>
      </xdr:grpSpPr>
      <xdr:grpSp>
        <xdr:nvGrpSpPr>
          <xdr:cNvPr id="86" name="Group 85">
            <a:extLst>
              <a:ext uri="{FF2B5EF4-FFF2-40B4-BE49-F238E27FC236}">
                <a16:creationId xmlns:a16="http://schemas.microsoft.com/office/drawing/2014/main" id="{39BD87AE-D092-2A79-7458-70FA8208693D}"/>
              </a:ext>
            </a:extLst>
          </xdr:cNvPr>
          <xdr:cNvGrpSpPr/>
        </xdr:nvGrpSpPr>
        <xdr:grpSpPr>
          <a:xfrm>
            <a:off x="3482756" y="1555586"/>
            <a:ext cx="5029200" cy="2822882"/>
            <a:chOff x="3443817" y="2012267"/>
            <a:chExt cx="5029200" cy="2822882"/>
          </a:xfrm>
        </xdr:grpSpPr>
        <xdr:pic>
          <xdr:nvPicPr>
            <xdr:cNvPr id="89" name="Picture 88" descr="A picture containing ground, outdoor, yellow, construction&#10;&#10;Description automatically generated">
              <a:extLst>
                <a:ext uri="{FF2B5EF4-FFF2-40B4-BE49-F238E27FC236}">
                  <a16:creationId xmlns:a16="http://schemas.microsoft.com/office/drawing/2014/main" id="{E7C4DE7D-7563-D636-26D5-B8FD73BD5F9F}"/>
                </a:ext>
              </a:extLst>
            </xdr:cNvPr>
            <xdr:cNvPicPr>
              <a:picLocks noChangeAspect="1"/>
            </xdr:cNvPicPr>
          </xdr:nvPicPr>
          <xdr:blipFill>
            <a:blip xmlns:r="http://schemas.openxmlformats.org/officeDocument/2006/relationships" r:embed="rId4"/>
            <a:stretch>
              <a:fillRect/>
            </a:stretch>
          </xdr:blipFill>
          <xdr:spPr>
            <a:xfrm>
              <a:off x="3443817" y="2012267"/>
              <a:ext cx="5029200" cy="2822882"/>
            </a:xfrm>
            <a:prstGeom prst="rect">
              <a:avLst/>
            </a:prstGeom>
          </xdr:spPr>
        </xdr:pic>
        <xdr:sp macro="" textlink="">
          <xdr:nvSpPr>
            <xdr:cNvPr id="90" name="Rectangle 89">
              <a:extLst>
                <a:ext uri="{FF2B5EF4-FFF2-40B4-BE49-F238E27FC236}">
                  <a16:creationId xmlns:a16="http://schemas.microsoft.com/office/drawing/2014/main" id="{4895D9F5-E854-AA46-F64C-A09775D40A73}"/>
                </a:ext>
              </a:extLst>
            </xdr:cNvPr>
            <xdr:cNvSpPr/>
          </xdr:nvSpPr>
          <xdr:spPr>
            <a:xfrm>
              <a:off x="5278437" y="2698749"/>
              <a:ext cx="1312333" cy="1725083"/>
            </a:xfrm>
            <a:prstGeom prst="rect">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xnSp macro="">
        <xdr:nvCxnSpPr>
          <xdr:cNvPr id="87" name="Straight Arrow Connector 86">
            <a:extLst>
              <a:ext uri="{FF2B5EF4-FFF2-40B4-BE49-F238E27FC236}">
                <a16:creationId xmlns:a16="http://schemas.microsoft.com/office/drawing/2014/main" id="{6C56FBC3-5A55-0EC4-4767-D69A27590EAB}"/>
              </a:ext>
            </a:extLst>
          </xdr:cNvPr>
          <xdr:cNvCxnSpPr>
            <a:cxnSpLocks/>
          </xdr:cNvCxnSpPr>
        </xdr:nvCxnSpPr>
        <xdr:spPr>
          <a:xfrm>
            <a:off x="5086364" y="2606566"/>
            <a:ext cx="33021" cy="1072055"/>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8" name="TextBox 5">
            <a:extLst>
              <a:ext uri="{FF2B5EF4-FFF2-40B4-BE49-F238E27FC236}">
                <a16:creationId xmlns:a16="http://schemas.microsoft.com/office/drawing/2014/main" id="{05F441D6-2733-C5A5-F9B8-22022A4A31FB}"/>
              </a:ext>
            </a:extLst>
          </xdr:cNvPr>
          <xdr:cNvSpPr txBox="1"/>
        </xdr:nvSpPr>
        <xdr:spPr>
          <a:xfrm>
            <a:off x="4199215" y="2929210"/>
            <a:ext cx="796395" cy="307777"/>
          </a:xfrm>
          <a:prstGeom prst="rect">
            <a:avLst/>
          </a:prstGeom>
          <a:solidFill>
            <a:schemeClr val="bg1">
              <a:lumMod val="85000"/>
            </a:schemeClr>
          </a:solidFill>
        </xdr:spPr>
        <xdr:txBody>
          <a:bodyPr rot="0" spcFirstLastPara="0" vert="horz" wrap="square" lIns="91440" tIns="45720" rIns="91440" bIns="45720" numCol="1" spcCol="0" rtlCol="0" fromWordArt="0" anchor="t" anchorCtr="0" forceAA="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rgbClr val="FF0000"/>
                </a:solidFill>
                <a:cs typeface="Calibri"/>
              </a:rPr>
              <a:t>400 mm</a:t>
            </a:r>
          </a:p>
        </xdr:txBody>
      </xdr:sp>
    </xdr:grpSp>
    <xdr:clientData/>
  </xdr:twoCellAnchor>
  <xdr:twoCellAnchor>
    <xdr:from>
      <xdr:col>18</xdr:col>
      <xdr:colOff>85302</xdr:colOff>
      <xdr:row>30</xdr:row>
      <xdr:rowOff>62015</xdr:rowOff>
    </xdr:from>
    <xdr:to>
      <xdr:col>29</xdr:col>
      <xdr:colOff>1024387</xdr:colOff>
      <xdr:row>46</xdr:row>
      <xdr:rowOff>53916</xdr:rowOff>
    </xdr:to>
    <xdr:graphicFrame macro="">
      <xdr:nvGraphicFramePr>
        <xdr:cNvPr id="3" name="Chart 2">
          <a:extLst>
            <a:ext uri="{FF2B5EF4-FFF2-40B4-BE49-F238E27FC236}">
              <a16:creationId xmlns:a16="http://schemas.microsoft.com/office/drawing/2014/main" id="{AEA30ED2-CEBE-43F4-90F9-0742A5D55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295141</xdr:colOff>
      <xdr:row>20</xdr:row>
      <xdr:rowOff>120739</xdr:rowOff>
    </xdr:from>
    <xdr:to>
      <xdr:col>11</xdr:col>
      <xdr:colOff>67077</xdr:colOff>
      <xdr:row>23</xdr:row>
      <xdr:rowOff>214648</xdr:rowOff>
    </xdr:to>
    <xdr:sp macro="" textlink="'SOR Log'!F5">
      <xdr:nvSpPr>
        <xdr:cNvPr id="4" name="TextBox 3">
          <a:extLst>
            <a:ext uri="{FF2B5EF4-FFF2-40B4-BE49-F238E27FC236}">
              <a16:creationId xmlns:a16="http://schemas.microsoft.com/office/drawing/2014/main" id="{919BB5D5-7184-4F58-BAEE-532FA8C5CB30}"/>
            </a:ext>
          </a:extLst>
        </xdr:cNvPr>
        <xdr:cNvSpPr txBox="1"/>
      </xdr:nvSpPr>
      <xdr:spPr>
        <a:xfrm>
          <a:off x="4990564" y="3810000"/>
          <a:ext cx="1824506" cy="6573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E6F359-68AE-40FD-AD8A-77E1B129175D}" type="TxLink">
            <a:rPr lang="en-US" sz="4000" b="1" i="0" u="none" strike="noStrike">
              <a:ln>
                <a:noFill/>
              </a:ln>
              <a:solidFill>
                <a:schemeClr val="tx2">
                  <a:lumMod val="90000"/>
                  <a:lumOff val="10000"/>
                </a:schemeClr>
              </a:solidFill>
              <a:latin typeface="Aptos Narrow"/>
            </a:rPr>
            <a:t>93.33%</a:t>
          </a:fld>
          <a:endParaRPr lang="en-IN" sz="4000">
            <a:ln>
              <a:noFill/>
            </a:ln>
            <a:solidFill>
              <a:schemeClr val="tx2">
                <a:lumMod val="90000"/>
                <a:lumOff val="10000"/>
              </a:schemeClr>
            </a:solidFill>
          </a:endParaRPr>
        </a:p>
      </xdr:txBody>
    </xdr:sp>
    <xdr:clientData/>
  </xdr:twoCellAnchor>
  <xdr:twoCellAnchor>
    <xdr:from>
      <xdr:col>10</xdr:col>
      <xdr:colOff>80493</xdr:colOff>
      <xdr:row>30</xdr:row>
      <xdr:rowOff>40246</xdr:rowOff>
    </xdr:from>
    <xdr:to>
      <xdr:col>17</xdr:col>
      <xdr:colOff>617112</xdr:colOff>
      <xdr:row>46</xdr:row>
      <xdr:rowOff>93909</xdr:rowOff>
    </xdr:to>
    <xdr:graphicFrame macro="">
      <xdr:nvGraphicFramePr>
        <xdr:cNvPr id="37" name="Chart 36">
          <a:extLst>
            <a:ext uri="{FF2B5EF4-FFF2-40B4-BE49-F238E27FC236}">
              <a16:creationId xmlns:a16="http://schemas.microsoft.com/office/drawing/2014/main" id="{E4472447-F7F5-4084-AA81-C7C0D20C9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0</xdr:row>
      <xdr:rowOff>180974</xdr:rowOff>
    </xdr:from>
    <xdr:to>
      <xdr:col>11</xdr:col>
      <xdr:colOff>333374</xdr:colOff>
      <xdr:row>17</xdr:row>
      <xdr:rowOff>152400</xdr:rowOff>
    </xdr:to>
    <xdr:graphicFrame macro="">
      <xdr:nvGraphicFramePr>
        <xdr:cNvPr id="2" name="Chart 1">
          <a:extLst>
            <a:ext uri="{FF2B5EF4-FFF2-40B4-BE49-F238E27FC236}">
              <a16:creationId xmlns:a16="http://schemas.microsoft.com/office/drawing/2014/main" id="{5AF4829C-409B-488B-B254-910A1C3B5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203201</xdr:colOff>
      <xdr:row>0</xdr:row>
      <xdr:rowOff>0</xdr:rowOff>
    </xdr:from>
    <xdr:to>
      <xdr:col>2</xdr:col>
      <xdr:colOff>1282701</xdr:colOff>
      <xdr:row>2</xdr:row>
      <xdr:rowOff>143022</xdr:rowOff>
    </xdr:to>
    <xdr:pic>
      <xdr:nvPicPr>
        <xdr:cNvPr id="2" name="Picture 1">
          <a:extLst>
            <a:ext uri="{FF2B5EF4-FFF2-40B4-BE49-F238E27FC236}">
              <a16:creationId xmlns:a16="http://schemas.microsoft.com/office/drawing/2014/main" id="{5A3E4EBD-620E-4379-B8AA-80408C75D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6651" y="0"/>
          <a:ext cx="1079500" cy="7621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571500</xdr:colOff>
      <xdr:row>10</xdr:row>
      <xdr:rowOff>147637</xdr:rowOff>
    </xdr:from>
    <xdr:to>
      <xdr:col>13</xdr:col>
      <xdr:colOff>266700</xdr:colOff>
      <xdr:row>25</xdr:row>
      <xdr:rowOff>33337</xdr:rowOff>
    </xdr:to>
    <xdr:graphicFrame macro="">
      <xdr:nvGraphicFramePr>
        <xdr:cNvPr id="2" name="Chart 1">
          <a:extLst>
            <a:ext uri="{FF2B5EF4-FFF2-40B4-BE49-F238E27FC236}">
              <a16:creationId xmlns:a16="http://schemas.microsoft.com/office/drawing/2014/main" id="{44C0F9BE-90C4-3262-8C07-16A189473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167707</xdr:colOff>
      <xdr:row>16</xdr:row>
      <xdr:rowOff>132715</xdr:rowOff>
    </xdr:to>
    <xdr:pic>
      <xdr:nvPicPr>
        <xdr:cNvPr id="2" name="Picture 1">
          <a:extLst>
            <a:ext uri="{FF2B5EF4-FFF2-40B4-BE49-F238E27FC236}">
              <a16:creationId xmlns:a16="http://schemas.microsoft.com/office/drawing/2014/main" id="{E646EB5D-B977-FA74-44ED-D60D76F17E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54107" cy="3180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356492</xdr:colOff>
      <xdr:row>0</xdr:row>
      <xdr:rowOff>22279</xdr:rowOff>
    </xdr:from>
    <xdr:to>
      <xdr:col>11</xdr:col>
      <xdr:colOff>1503948</xdr:colOff>
      <xdr:row>0</xdr:row>
      <xdr:rowOff>506157</xdr:rowOff>
    </xdr:to>
    <xdr:pic>
      <xdr:nvPicPr>
        <xdr:cNvPr id="2" name="Picture 1">
          <a:extLst>
            <a:ext uri="{FF2B5EF4-FFF2-40B4-BE49-F238E27FC236}">
              <a16:creationId xmlns:a16="http://schemas.microsoft.com/office/drawing/2014/main" id="{47881211-D216-4FA1-BA47-7B0B493B38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06" t="20302" r="11056" b="18279"/>
        <a:stretch/>
      </xdr:blipFill>
      <xdr:spPr>
        <a:xfrm>
          <a:off x="17874872" y="22279"/>
          <a:ext cx="1147456" cy="483878"/>
        </a:xfrm>
        <a:prstGeom prst="rect">
          <a:avLst/>
        </a:prstGeom>
      </xdr:spPr>
    </xdr:pic>
    <xdr:clientData/>
  </xdr:twoCellAnchor>
  <xdr:twoCellAnchor editAs="oneCell">
    <xdr:from>
      <xdr:col>0</xdr:col>
      <xdr:colOff>300789</xdr:colOff>
      <xdr:row>0</xdr:row>
      <xdr:rowOff>66842</xdr:rowOff>
    </xdr:from>
    <xdr:to>
      <xdr:col>1</xdr:col>
      <xdr:colOff>1214298</xdr:colOff>
      <xdr:row>0</xdr:row>
      <xdr:rowOff>533653</xdr:rowOff>
    </xdr:to>
    <xdr:pic>
      <xdr:nvPicPr>
        <xdr:cNvPr id="3" name="Picture 2">
          <a:extLst>
            <a:ext uri="{FF2B5EF4-FFF2-40B4-BE49-F238E27FC236}">
              <a16:creationId xmlns:a16="http://schemas.microsoft.com/office/drawing/2014/main" id="{8CC78EC4-0D8B-487E-850A-B277081367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789" y="66842"/>
          <a:ext cx="1264029" cy="466811"/>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IL" refreshedDate="46068.510220138887" createdVersion="6" refreshedVersion="6" minRefreshableVersion="3" recordCount="14" xr:uid="{094D295C-4F50-4CA1-83F3-A470C278DC7A}">
  <cacheSource type="worksheet">
    <worksheetSource name="Table1"/>
  </cacheSource>
  <cacheFields count="2">
    <cacheField name="Work Category " numFmtId="0">
      <sharedItems count="14">
        <s v="Mobilization"/>
        <s v="Civil"/>
        <s v="PD"/>
        <s v="PC"/>
        <s v="PEB"/>
        <s v="Mechanical"/>
        <s v="Electrical"/>
        <s v="Plumbing"/>
        <s v="Fire"/>
        <s v="Interior"/>
        <s v="ELV"/>
        <s v="Safety "/>
        <s v="Workpermits"/>
        <s v="Handover "/>
      </sharedItems>
    </cacheField>
    <cacheField name="No of Checklist Filled" numFmtId="0">
      <sharedItems containsSemiMixedTypes="0" containsString="0" containsNumber="1" containsInteger="1" minValue="0"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1"/>
  </r>
  <r>
    <x v="1"/>
    <n v="10"/>
  </r>
  <r>
    <x v="2"/>
    <n v="5"/>
  </r>
  <r>
    <x v="3"/>
    <n v="5"/>
  </r>
  <r>
    <x v="4"/>
    <n v="5"/>
  </r>
  <r>
    <x v="5"/>
    <n v="3"/>
  </r>
  <r>
    <x v="6"/>
    <n v="3"/>
  </r>
  <r>
    <x v="7"/>
    <n v="3"/>
  </r>
  <r>
    <x v="8"/>
    <n v="3"/>
  </r>
  <r>
    <x v="9"/>
    <n v="3"/>
  </r>
  <r>
    <x v="10"/>
    <n v="6"/>
  </r>
  <r>
    <x v="11"/>
    <n v="5"/>
  </r>
  <r>
    <x v="12"/>
    <n v="0"/>
  </r>
  <r>
    <x v="1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92CB5-B98C-40CD-A0D5-BC6D3BE026BC}"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16" firstHeaderRow="1" firstDataRow="1" firstDataCol="1"/>
  <pivotFields count="2">
    <pivotField axis="axisRow" showAll="0">
      <items count="15">
        <item x="1"/>
        <item x="6"/>
        <item x="10"/>
        <item x="8"/>
        <item x="13"/>
        <item x="9"/>
        <item x="5"/>
        <item x="0"/>
        <item x="3"/>
        <item x="2"/>
        <item x="4"/>
        <item x="7"/>
        <item x="11"/>
        <item x="12"/>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No of Checklist Filled" fld="1"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13"/>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0"/>
          </reference>
        </references>
      </pivotArea>
    </chartFormat>
    <chartFormat chart="2" format="20">
      <pivotArea type="data" outline="0" fieldPosition="0">
        <references count="2">
          <reference field="4294967294" count="1" selected="0">
            <x v="0"/>
          </reference>
          <reference field="0" count="1" selected="0">
            <x v="1"/>
          </reference>
        </references>
      </pivotArea>
    </chartFormat>
    <chartFormat chart="2" format="21">
      <pivotArea type="data" outline="0" fieldPosition="0">
        <references count="2">
          <reference field="4294967294" count="1" selected="0">
            <x v="0"/>
          </reference>
          <reference field="0" count="1" selected="0">
            <x v="2"/>
          </reference>
        </references>
      </pivotArea>
    </chartFormat>
    <chartFormat chart="2" format="22">
      <pivotArea type="data" outline="0" fieldPosition="0">
        <references count="2">
          <reference field="4294967294" count="1" selected="0">
            <x v="0"/>
          </reference>
          <reference field="0" count="1" selected="0">
            <x v="3"/>
          </reference>
        </references>
      </pivotArea>
    </chartFormat>
    <chartFormat chart="2" format="23">
      <pivotArea type="data" outline="0" fieldPosition="0">
        <references count="2">
          <reference field="4294967294" count="1" selected="0">
            <x v="0"/>
          </reference>
          <reference field="0" count="1" selected="0">
            <x v="4"/>
          </reference>
        </references>
      </pivotArea>
    </chartFormat>
    <chartFormat chart="2" format="24">
      <pivotArea type="data" outline="0" fieldPosition="0">
        <references count="2">
          <reference field="4294967294" count="1" selected="0">
            <x v="0"/>
          </reference>
          <reference field="0" count="1" selected="0">
            <x v="5"/>
          </reference>
        </references>
      </pivotArea>
    </chartFormat>
    <chartFormat chart="2" format="25">
      <pivotArea type="data" outline="0" fieldPosition="0">
        <references count="2">
          <reference field="4294967294" count="1" selected="0">
            <x v="0"/>
          </reference>
          <reference field="0" count="1" selected="0">
            <x v="6"/>
          </reference>
        </references>
      </pivotArea>
    </chartFormat>
    <chartFormat chart="2" format="26">
      <pivotArea type="data" outline="0" fieldPosition="0">
        <references count="2">
          <reference field="4294967294" count="1" selected="0">
            <x v="0"/>
          </reference>
          <reference field="0" count="1" selected="0">
            <x v="7"/>
          </reference>
        </references>
      </pivotArea>
    </chartFormat>
    <chartFormat chart="2" format="27">
      <pivotArea type="data" outline="0" fieldPosition="0">
        <references count="2">
          <reference field="4294967294" count="1" selected="0">
            <x v="0"/>
          </reference>
          <reference field="0" count="1" selected="0">
            <x v="8"/>
          </reference>
        </references>
      </pivotArea>
    </chartFormat>
    <chartFormat chart="2" format="28">
      <pivotArea type="data" outline="0" fieldPosition="0">
        <references count="2">
          <reference field="4294967294" count="1" selected="0">
            <x v="0"/>
          </reference>
          <reference field="0" count="1" selected="0">
            <x v="9"/>
          </reference>
        </references>
      </pivotArea>
    </chartFormat>
    <chartFormat chart="2" format="29">
      <pivotArea type="data" outline="0" fieldPosition="0">
        <references count="2">
          <reference field="4294967294" count="1" selected="0">
            <x v="0"/>
          </reference>
          <reference field="0" count="1" selected="0">
            <x v="10"/>
          </reference>
        </references>
      </pivotArea>
    </chartFormat>
    <chartFormat chart="2" format="30">
      <pivotArea type="data" outline="0" fieldPosition="0">
        <references count="2">
          <reference field="4294967294" count="1" selected="0">
            <x v="0"/>
          </reference>
          <reference field="0" count="1" selected="0">
            <x v="11"/>
          </reference>
        </references>
      </pivotArea>
    </chartFormat>
    <chartFormat chart="2" format="31">
      <pivotArea type="data" outline="0" fieldPosition="0">
        <references count="2">
          <reference field="4294967294" count="1" selected="0">
            <x v="0"/>
          </reference>
          <reference field="0" count="1" selected="0">
            <x v="12"/>
          </reference>
        </references>
      </pivotArea>
    </chartFormat>
    <chartFormat chart="2" format="32">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6536D8-CC2A-4D14-B09B-54943ABC750A}" name="Table1" displayName="Table1" ref="E7:F21" totalsRowShown="0">
  <autoFilter ref="E7:F21" xr:uid="{D8B26DB9-E67F-4109-8A51-B53F07B9B216}"/>
  <tableColumns count="2">
    <tableColumn id="1" xr3:uid="{B854A6CE-2DC5-4956-9B95-93510A4163B0}" name="Work Category " dataDxfId="0"/>
    <tableColumn id="2" xr3:uid="{FF4600AB-0B09-43E9-A586-DC558951AB6F}" name="No of Checklist Fill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B817-986F-4865-878A-D92594A37859}">
  <dimension ref="A1:AD98"/>
  <sheetViews>
    <sheetView tabSelected="1" topLeftCell="A26" zoomScale="53" zoomScaleNormal="53" workbookViewId="0">
      <selection activeCell="L58" sqref="L58"/>
    </sheetView>
  </sheetViews>
  <sheetFormatPr defaultRowHeight="14.25"/>
  <cols>
    <col min="5" max="5" width="4.125" customWidth="1"/>
    <col min="6" max="6" width="3.75" customWidth="1"/>
    <col min="30" max="30" width="14.75" customWidth="1"/>
    <col min="31" max="31" width="31.375" customWidth="1"/>
  </cols>
  <sheetData>
    <row r="1" spans="1:30">
      <c r="A1" s="101" t="s">
        <v>479</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row>
    <row r="2" spans="1:30">
      <c r="A2" s="103"/>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row>
    <row r="3" spans="1:30">
      <c r="A3" s="103"/>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row>
    <row r="4" spans="1:30" ht="15" thickBot="1">
      <c r="A4" s="105"/>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row>
    <row r="5" spans="1:30">
      <c r="A5" s="37"/>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row>
    <row r="6" spans="1:30" ht="19.5" thickBot="1">
      <c r="A6" s="131" t="s">
        <v>474</v>
      </c>
      <c r="B6" s="132"/>
      <c r="C6" s="132"/>
      <c r="D6" s="132"/>
      <c r="E6" s="135"/>
      <c r="F6" s="135"/>
      <c r="G6" s="131" t="s">
        <v>476</v>
      </c>
      <c r="H6" s="132"/>
      <c r="I6" s="132"/>
      <c r="J6" s="132"/>
      <c r="K6" s="135"/>
      <c r="L6" s="131" t="s">
        <v>478</v>
      </c>
      <c r="M6" s="132"/>
      <c r="N6" s="132"/>
      <c r="O6" s="132"/>
      <c r="P6" s="135"/>
      <c r="Q6" s="131" t="s">
        <v>482</v>
      </c>
      <c r="R6" s="132"/>
      <c r="S6" s="132"/>
      <c r="T6" s="132"/>
      <c r="U6" s="135"/>
      <c r="V6" s="131" t="s">
        <v>483</v>
      </c>
      <c r="W6" s="132"/>
      <c r="X6" s="132"/>
      <c r="Y6" s="132"/>
      <c r="Z6" s="135"/>
      <c r="AA6" s="131" t="s">
        <v>473</v>
      </c>
      <c r="AB6" s="132"/>
      <c r="AC6" s="132"/>
      <c r="AD6" s="132"/>
    </row>
    <row r="7" spans="1:30" ht="14.45" customHeight="1">
      <c r="A7" s="133" t="s">
        <v>475</v>
      </c>
      <c r="B7" s="134"/>
      <c r="C7" s="134"/>
      <c r="D7" s="134"/>
      <c r="E7" s="135"/>
      <c r="F7" s="135"/>
      <c r="G7" s="136">
        <v>120</v>
      </c>
      <c r="H7" s="137"/>
      <c r="I7" s="137"/>
      <c r="J7" s="137"/>
      <c r="K7" s="135"/>
      <c r="L7" s="136">
        <v>110</v>
      </c>
      <c r="M7" s="137"/>
      <c r="N7" s="137"/>
      <c r="O7" s="137"/>
      <c r="P7" s="135"/>
      <c r="Q7" s="138" t="s">
        <v>477</v>
      </c>
      <c r="R7" s="139"/>
      <c r="S7" s="139"/>
      <c r="T7" s="139"/>
      <c r="U7" s="135"/>
      <c r="V7" s="136">
        <v>0</v>
      </c>
      <c r="W7" s="137"/>
      <c r="X7" s="137"/>
      <c r="Y7" s="137"/>
      <c r="Z7" s="135"/>
      <c r="AA7" s="136">
        <f>'SOR Log'!D4</f>
        <v>0</v>
      </c>
      <c r="AB7" s="137"/>
      <c r="AC7" s="137"/>
      <c r="AD7" s="137"/>
    </row>
    <row r="8" spans="1:30" ht="14.45" customHeight="1">
      <c r="A8" s="133"/>
      <c r="B8" s="134"/>
      <c r="C8" s="134"/>
      <c r="D8" s="134"/>
      <c r="E8" s="135"/>
      <c r="F8" s="135"/>
      <c r="G8" s="133"/>
      <c r="H8" s="134"/>
      <c r="I8" s="134"/>
      <c r="J8" s="134"/>
      <c r="K8" s="135"/>
      <c r="L8" s="133"/>
      <c r="M8" s="134"/>
      <c r="N8" s="134"/>
      <c r="O8" s="134"/>
      <c r="P8" s="135"/>
      <c r="Q8" s="140"/>
      <c r="R8" s="141"/>
      <c r="S8" s="141"/>
      <c r="T8" s="141"/>
      <c r="U8" s="135"/>
      <c r="V8" s="133"/>
      <c r="W8" s="134"/>
      <c r="X8" s="134"/>
      <c r="Y8" s="134"/>
      <c r="Z8" s="135"/>
      <c r="AA8" s="133"/>
      <c r="AB8" s="134"/>
      <c r="AC8" s="134"/>
      <c r="AD8" s="134"/>
    </row>
    <row r="9" spans="1:30" ht="14.45" customHeight="1">
      <c r="A9" s="133"/>
      <c r="B9" s="134"/>
      <c r="C9" s="134"/>
      <c r="D9" s="134"/>
      <c r="E9" s="135"/>
      <c r="F9" s="135"/>
      <c r="G9" s="133"/>
      <c r="H9" s="134"/>
      <c r="I9" s="134"/>
      <c r="J9" s="134"/>
      <c r="K9" s="135"/>
      <c r="L9" s="133"/>
      <c r="M9" s="134"/>
      <c r="N9" s="134"/>
      <c r="O9" s="134"/>
      <c r="P9" s="135"/>
      <c r="Q9" s="140"/>
      <c r="R9" s="141"/>
      <c r="S9" s="141"/>
      <c r="T9" s="141"/>
      <c r="U9" s="135"/>
      <c r="V9" s="133"/>
      <c r="W9" s="134"/>
      <c r="X9" s="134"/>
      <c r="Y9" s="134"/>
      <c r="Z9" s="135"/>
      <c r="AA9" s="133"/>
      <c r="AB9" s="134"/>
      <c r="AC9" s="134"/>
      <c r="AD9" s="134"/>
    </row>
    <row r="10" spans="1:30" ht="14.45" customHeight="1">
      <c r="A10" s="133"/>
      <c r="B10" s="134"/>
      <c r="C10" s="134"/>
      <c r="D10" s="134"/>
      <c r="E10" s="135"/>
      <c r="F10" s="135"/>
      <c r="G10" s="133"/>
      <c r="H10" s="134"/>
      <c r="I10" s="134"/>
      <c r="J10" s="134"/>
      <c r="K10" s="135"/>
      <c r="L10" s="133"/>
      <c r="M10" s="134"/>
      <c r="N10" s="134"/>
      <c r="O10" s="134"/>
      <c r="P10" s="135"/>
      <c r="Q10" s="140"/>
      <c r="R10" s="141"/>
      <c r="S10" s="141"/>
      <c r="T10" s="141"/>
      <c r="U10" s="135"/>
      <c r="V10" s="133"/>
      <c r="W10" s="134"/>
      <c r="X10" s="134"/>
      <c r="Y10" s="134"/>
      <c r="Z10" s="135"/>
      <c r="AA10" s="133"/>
      <c r="AB10" s="134"/>
      <c r="AC10" s="134"/>
      <c r="AD10" s="134"/>
    </row>
    <row r="11" spans="1:30" ht="14.45" customHeight="1">
      <c r="A11" s="133"/>
      <c r="B11" s="134"/>
      <c r="C11" s="134"/>
      <c r="D11" s="134"/>
      <c r="E11" s="135"/>
      <c r="F11" s="135"/>
      <c r="G11" s="133"/>
      <c r="H11" s="134"/>
      <c r="I11" s="134"/>
      <c r="J11" s="134"/>
      <c r="K11" s="135"/>
      <c r="L11" s="133"/>
      <c r="M11" s="134"/>
      <c r="N11" s="134"/>
      <c r="O11" s="134"/>
      <c r="P11" s="135"/>
      <c r="Q11" s="140"/>
      <c r="R11" s="141"/>
      <c r="S11" s="141"/>
      <c r="T11" s="141"/>
      <c r="U11" s="135"/>
      <c r="V11" s="133"/>
      <c r="W11" s="134"/>
      <c r="X11" s="134"/>
      <c r="Y11" s="134"/>
      <c r="Z11" s="135"/>
      <c r="AA11" s="133"/>
      <c r="AB11" s="134"/>
      <c r="AC11" s="134"/>
      <c r="AD11" s="134"/>
    </row>
    <row r="12" spans="1:30" ht="15" thickBot="1">
      <c r="A12" s="37"/>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row>
    <row r="13" spans="1:30" ht="18">
      <c r="A13" s="122" t="s">
        <v>463</v>
      </c>
      <c r="B13" s="123"/>
      <c r="C13" s="123"/>
      <c r="D13" s="123"/>
      <c r="E13" s="123"/>
      <c r="F13" s="123"/>
      <c r="G13" s="124"/>
      <c r="H13" s="72"/>
      <c r="I13" s="72"/>
      <c r="J13" s="72"/>
      <c r="K13" s="72"/>
      <c r="L13" s="72"/>
      <c r="M13" s="72"/>
      <c r="N13" s="72"/>
      <c r="O13" s="72"/>
      <c r="P13" s="72"/>
      <c r="Q13" s="72"/>
      <c r="R13" s="72"/>
      <c r="S13" s="72"/>
      <c r="T13" s="72"/>
      <c r="U13" s="72"/>
      <c r="V13" s="72"/>
      <c r="W13" s="100" t="s">
        <v>468</v>
      </c>
      <c r="X13" s="100"/>
      <c r="Y13" s="100"/>
      <c r="Z13" s="100"/>
      <c r="AA13" s="100"/>
      <c r="AB13" s="100"/>
      <c r="AC13" s="100"/>
      <c r="AD13" s="100"/>
    </row>
    <row r="14" spans="1:30">
      <c r="A14" s="125"/>
      <c r="B14" s="126"/>
      <c r="C14" s="126"/>
      <c r="D14" s="126"/>
      <c r="E14" s="126"/>
      <c r="F14" s="126"/>
      <c r="G14" s="127"/>
      <c r="H14" s="72"/>
      <c r="I14" s="72"/>
      <c r="J14" s="72"/>
      <c r="K14" s="72"/>
      <c r="L14" s="72"/>
      <c r="M14" s="72"/>
      <c r="N14" s="72"/>
      <c r="O14" s="72"/>
      <c r="P14" s="72"/>
      <c r="Q14" s="72"/>
      <c r="R14" s="72"/>
      <c r="S14" s="72"/>
      <c r="T14" s="72"/>
      <c r="U14" s="72"/>
      <c r="V14" s="72"/>
      <c r="W14" s="72"/>
      <c r="X14" s="72"/>
      <c r="Y14" s="72"/>
      <c r="Z14" s="72"/>
      <c r="AA14" s="72"/>
      <c r="AB14" s="72"/>
      <c r="AC14" s="72"/>
      <c r="AD14" s="72"/>
    </row>
    <row r="15" spans="1:30" ht="15" customHeight="1">
      <c r="A15" s="113" t="s">
        <v>460</v>
      </c>
      <c r="B15" s="114"/>
      <c r="C15" s="114"/>
      <c r="D15" s="114"/>
      <c r="E15" s="115">
        <f>'SOR Log'!F2</f>
        <v>0.8666666666666667</v>
      </c>
      <c r="F15" s="116"/>
      <c r="G15" s="117"/>
      <c r="H15" s="72"/>
      <c r="I15" s="72"/>
      <c r="J15" s="72"/>
      <c r="K15" s="72"/>
      <c r="L15" s="72"/>
      <c r="M15" s="72"/>
      <c r="N15" s="72"/>
      <c r="O15" s="72"/>
      <c r="P15" s="72"/>
      <c r="Q15" s="72"/>
      <c r="R15" s="72"/>
      <c r="S15" s="72"/>
      <c r="T15" s="72"/>
      <c r="U15" s="72"/>
      <c r="V15" s="72"/>
      <c r="W15" s="72"/>
      <c r="X15" s="72"/>
      <c r="Y15" s="72"/>
      <c r="Z15" s="72"/>
      <c r="AA15" s="72"/>
      <c r="AB15" s="72"/>
      <c r="AC15" s="72"/>
      <c r="AD15" s="72"/>
    </row>
    <row r="16" spans="1:30" ht="15" customHeight="1">
      <c r="A16" s="113"/>
      <c r="B16" s="114"/>
      <c r="C16" s="114"/>
      <c r="D16" s="114"/>
      <c r="E16" s="116"/>
      <c r="F16" s="116"/>
      <c r="G16" s="117"/>
      <c r="H16" s="72"/>
      <c r="I16" s="72"/>
      <c r="J16" s="72"/>
      <c r="K16" s="72"/>
      <c r="L16" s="72"/>
      <c r="M16" s="72"/>
      <c r="N16" s="72"/>
      <c r="O16" s="72"/>
      <c r="P16" s="72"/>
      <c r="Q16" s="72"/>
      <c r="R16" s="72"/>
      <c r="S16" s="72"/>
      <c r="T16" s="72"/>
      <c r="U16" s="72"/>
      <c r="V16" s="72"/>
      <c r="W16" s="72"/>
      <c r="X16" s="72"/>
      <c r="Y16" s="72"/>
      <c r="Z16" s="72"/>
      <c r="AA16" s="72"/>
      <c r="AB16" s="72"/>
      <c r="AC16" s="72"/>
      <c r="AD16" s="72"/>
    </row>
    <row r="17" spans="1:30">
      <c r="A17" s="71"/>
      <c r="B17" s="72"/>
      <c r="C17" s="72"/>
      <c r="D17" s="72"/>
      <c r="E17" s="72"/>
      <c r="F17" s="72"/>
      <c r="G17" s="75"/>
      <c r="H17" s="72"/>
      <c r="I17" s="72"/>
      <c r="J17" s="72"/>
      <c r="K17" s="72"/>
      <c r="L17" s="72"/>
      <c r="M17" s="72"/>
      <c r="N17" s="72"/>
      <c r="O17" s="72"/>
      <c r="P17" s="72"/>
      <c r="Q17" s="72"/>
      <c r="R17" s="72"/>
      <c r="S17" s="72"/>
      <c r="T17" s="72"/>
      <c r="U17" s="72"/>
      <c r="V17" s="72"/>
      <c r="W17" s="72"/>
      <c r="X17" s="72"/>
      <c r="Y17" s="72"/>
      <c r="Z17" s="72"/>
      <c r="AA17" s="72"/>
      <c r="AB17" s="72"/>
      <c r="AC17" s="72"/>
      <c r="AD17" s="72"/>
    </row>
    <row r="18" spans="1:30" ht="15" customHeight="1">
      <c r="A18" s="113" t="s">
        <v>461</v>
      </c>
      <c r="B18" s="114"/>
      <c r="C18" s="114"/>
      <c r="D18" s="114"/>
      <c r="E18" s="115">
        <f>'SOR Log'!F3</f>
        <v>0.93333333333333335</v>
      </c>
      <c r="F18" s="116"/>
      <c r="G18" s="117"/>
      <c r="H18" s="72"/>
      <c r="I18" s="72"/>
      <c r="J18" s="72"/>
      <c r="K18" s="72"/>
      <c r="L18" s="72"/>
      <c r="M18" s="72"/>
      <c r="N18" s="72"/>
      <c r="O18" s="72"/>
      <c r="P18" s="72"/>
      <c r="Q18" s="72"/>
      <c r="R18" s="72"/>
      <c r="S18" s="72"/>
      <c r="T18" s="72"/>
      <c r="U18" s="72"/>
      <c r="V18" s="72"/>
      <c r="W18" s="72"/>
      <c r="X18" s="72"/>
      <c r="Y18" s="72"/>
      <c r="Z18" s="72"/>
      <c r="AA18" s="72"/>
      <c r="AB18" s="72"/>
      <c r="AC18" s="72"/>
      <c r="AD18" s="72"/>
    </row>
    <row r="19" spans="1:30" ht="15" customHeight="1">
      <c r="A19" s="113"/>
      <c r="B19" s="114"/>
      <c r="C19" s="114"/>
      <c r="D19" s="114"/>
      <c r="E19" s="116"/>
      <c r="F19" s="116"/>
      <c r="G19" s="117"/>
      <c r="H19" s="72"/>
      <c r="I19" s="72"/>
      <c r="J19" s="72"/>
      <c r="K19" s="72"/>
      <c r="L19" s="72"/>
      <c r="M19" s="72"/>
      <c r="N19" s="72"/>
      <c r="O19" s="72"/>
      <c r="P19" s="72"/>
      <c r="Q19" s="72"/>
      <c r="R19" s="72"/>
      <c r="S19" s="72"/>
      <c r="T19" s="72"/>
      <c r="U19" s="72"/>
      <c r="V19" s="72"/>
      <c r="W19" s="72"/>
      <c r="X19" s="72"/>
      <c r="Y19" s="72"/>
      <c r="Z19" s="72"/>
      <c r="AA19" s="72"/>
      <c r="AB19" s="72"/>
      <c r="AC19" s="72"/>
      <c r="AD19" s="72"/>
    </row>
    <row r="20" spans="1:30">
      <c r="A20" s="74"/>
      <c r="B20" s="76"/>
      <c r="C20" s="76"/>
      <c r="D20" s="76"/>
      <c r="E20" s="72"/>
      <c r="F20" s="72"/>
      <c r="G20" s="75"/>
      <c r="H20" s="72"/>
      <c r="I20" s="72"/>
      <c r="J20" s="72"/>
      <c r="K20" s="72"/>
      <c r="L20" s="72"/>
      <c r="M20" s="72"/>
      <c r="N20" s="72"/>
      <c r="O20" s="72"/>
      <c r="P20" s="72"/>
      <c r="Q20" s="72"/>
      <c r="R20" s="72"/>
      <c r="S20" s="72"/>
      <c r="T20" s="72"/>
      <c r="U20" s="72"/>
      <c r="V20" s="72"/>
      <c r="W20" s="72"/>
      <c r="X20" s="72"/>
      <c r="Y20" s="72"/>
      <c r="Z20" s="72"/>
      <c r="AA20" s="72"/>
      <c r="AB20" s="72"/>
      <c r="AC20" s="72"/>
      <c r="AD20" s="72"/>
    </row>
    <row r="21" spans="1:30" ht="15" customHeight="1">
      <c r="A21" s="113" t="s">
        <v>462</v>
      </c>
      <c r="B21" s="114"/>
      <c r="C21" s="114"/>
      <c r="D21" s="114"/>
      <c r="E21" s="115">
        <f>'SOR Log'!F4</f>
        <v>1</v>
      </c>
      <c r="F21" s="116"/>
      <c r="G21" s="117"/>
      <c r="H21" s="72"/>
      <c r="I21" s="72"/>
      <c r="J21" s="72"/>
      <c r="K21" s="72"/>
      <c r="L21" s="72"/>
      <c r="M21" s="72"/>
      <c r="N21" s="72"/>
      <c r="O21" s="72"/>
      <c r="P21" s="72"/>
      <c r="Q21" s="72"/>
      <c r="R21" s="72"/>
      <c r="S21" s="72"/>
      <c r="T21" s="72"/>
      <c r="U21" s="72"/>
      <c r="V21" s="72"/>
      <c r="W21" s="72"/>
      <c r="X21" s="72"/>
      <c r="Y21" s="72"/>
      <c r="Z21" s="72"/>
      <c r="AA21" s="72"/>
      <c r="AB21" s="72"/>
      <c r="AC21" s="72"/>
      <c r="AD21" s="72"/>
    </row>
    <row r="22" spans="1:30" ht="15" customHeight="1" thickBot="1">
      <c r="A22" s="118"/>
      <c r="B22" s="119"/>
      <c r="C22" s="119"/>
      <c r="D22" s="119"/>
      <c r="E22" s="120"/>
      <c r="F22" s="120"/>
      <c r="G22" s="121"/>
      <c r="H22" s="72"/>
      <c r="I22" s="72"/>
      <c r="J22" s="72"/>
      <c r="K22" s="72"/>
      <c r="L22" s="72"/>
      <c r="M22" s="72"/>
      <c r="N22" s="72"/>
      <c r="O22" s="72"/>
      <c r="P22" s="72"/>
      <c r="Q22" s="72"/>
      <c r="R22" s="72"/>
      <c r="S22" s="72"/>
      <c r="T22" s="72"/>
      <c r="U22" s="72"/>
      <c r="V22" s="72"/>
      <c r="W22" s="72"/>
      <c r="X22" s="72"/>
      <c r="Y22" s="72"/>
      <c r="Z22" s="72"/>
      <c r="AA22" s="72"/>
      <c r="AB22" s="72"/>
      <c r="AC22" s="72"/>
      <c r="AD22" s="72"/>
    </row>
    <row r="23" spans="1:30" ht="15" customHeight="1" thickBot="1">
      <c r="A23" s="81"/>
      <c r="B23" s="81"/>
      <c r="C23" s="81"/>
      <c r="D23" s="81"/>
      <c r="E23" s="81"/>
      <c r="F23" s="81"/>
      <c r="G23" s="81"/>
      <c r="H23" s="72"/>
      <c r="I23" s="72"/>
      <c r="J23" s="72"/>
      <c r="K23" s="72"/>
      <c r="L23" s="72"/>
      <c r="M23" s="72"/>
      <c r="N23" s="72"/>
      <c r="O23" s="72"/>
      <c r="P23" s="72"/>
      <c r="Q23" s="72"/>
      <c r="R23" s="72"/>
      <c r="S23" s="72"/>
      <c r="T23" s="72"/>
      <c r="U23" s="72"/>
      <c r="V23" s="72"/>
      <c r="W23" s="72"/>
      <c r="X23" s="72"/>
      <c r="Y23" s="72"/>
      <c r="Z23" s="72"/>
      <c r="AA23" s="72"/>
      <c r="AB23" s="72"/>
      <c r="AC23" s="72"/>
      <c r="AD23" s="72"/>
    </row>
    <row r="24" spans="1:30" ht="18">
      <c r="A24" s="128" t="s">
        <v>464</v>
      </c>
      <c r="B24" s="129"/>
      <c r="C24" s="129"/>
      <c r="D24" s="129"/>
      <c r="E24" s="129"/>
      <c r="F24" s="129"/>
      <c r="G24" s="130"/>
      <c r="H24" s="72"/>
      <c r="I24" s="72"/>
      <c r="J24" s="72"/>
      <c r="K24" s="72"/>
      <c r="L24" s="72"/>
      <c r="M24" s="72"/>
      <c r="N24" s="72"/>
      <c r="O24" s="72"/>
      <c r="P24" s="72"/>
      <c r="Q24" s="72"/>
      <c r="R24" s="72"/>
      <c r="S24" s="72"/>
      <c r="T24" s="72"/>
      <c r="U24" s="72"/>
      <c r="V24" s="72"/>
      <c r="W24" s="72"/>
      <c r="X24" s="72"/>
      <c r="Y24" s="72"/>
      <c r="Z24" s="72"/>
      <c r="AA24" s="72"/>
      <c r="AB24" s="72"/>
      <c r="AC24" s="72"/>
      <c r="AD24" s="72"/>
    </row>
    <row r="25" spans="1:30" ht="21.75" customHeight="1">
      <c r="A25" s="113" t="s">
        <v>465</v>
      </c>
      <c r="B25" s="114"/>
      <c r="C25" s="114"/>
      <c r="D25" s="114"/>
      <c r="E25" s="94">
        <v>0.88</v>
      </c>
      <c r="F25" s="95"/>
      <c r="G25" s="96"/>
      <c r="H25" s="72"/>
      <c r="I25" s="72"/>
      <c r="J25" s="72"/>
      <c r="K25" s="72"/>
      <c r="L25" s="72"/>
      <c r="M25" s="72"/>
      <c r="N25" s="72"/>
      <c r="O25" s="72"/>
      <c r="P25" s="72"/>
      <c r="Q25" s="72"/>
      <c r="R25" s="72"/>
      <c r="S25" s="72"/>
      <c r="T25" s="72"/>
      <c r="U25" s="72"/>
      <c r="V25" s="72"/>
      <c r="W25" s="72"/>
      <c r="X25" s="72"/>
      <c r="Y25" s="72"/>
      <c r="Z25" s="72"/>
      <c r="AA25" s="72"/>
      <c r="AB25" s="72"/>
      <c r="AC25" s="72"/>
      <c r="AD25" s="72"/>
    </row>
    <row r="26" spans="1:30" ht="21.75" customHeight="1">
      <c r="A26" s="113" t="s">
        <v>466</v>
      </c>
      <c r="B26" s="114"/>
      <c r="C26" s="114"/>
      <c r="D26" s="114"/>
      <c r="E26" s="94">
        <v>0.85</v>
      </c>
      <c r="F26" s="95"/>
      <c r="G26" s="96"/>
      <c r="H26" s="72"/>
      <c r="I26" s="72"/>
      <c r="J26" s="72"/>
      <c r="K26" s="72"/>
      <c r="L26" s="72"/>
      <c r="M26" s="72"/>
      <c r="N26" s="72"/>
      <c r="O26" s="72"/>
      <c r="P26" s="72"/>
      <c r="Q26" s="72"/>
      <c r="R26" s="72"/>
      <c r="S26" s="72"/>
      <c r="T26" s="72"/>
      <c r="U26" s="72"/>
      <c r="V26" s="72"/>
      <c r="W26" s="72"/>
      <c r="X26" s="72"/>
      <c r="Y26" s="72"/>
      <c r="Z26" s="72"/>
      <c r="AA26" s="72"/>
      <c r="AB26" s="72"/>
      <c r="AC26" s="72"/>
      <c r="AD26" s="72"/>
    </row>
    <row r="27" spans="1:30" ht="21.75" customHeight="1" thickBot="1">
      <c r="A27" s="118" t="s">
        <v>467</v>
      </c>
      <c r="B27" s="119"/>
      <c r="C27" s="119"/>
      <c r="D27" s="119"/>
      <c r="E27" s="97">
        <v>0.8</v>
      </c>
      <c r="F27" s="98"/>
      <c r="G27" s="99"/>
      <c r="H27" s="72"/>
      <c r="I27" s="72"/>
      <c r="J27" s="72"/>
      <c r="K27" s="72"/>
      <c r="L27" s="72"/>
      <c r="M27" s="72"/>
      <c r="N27" s="72"/>
      <c r="O27" s="72"/>
      <c r="P27" s="72"/>
      <c r="Q27" s="72"/>
      <c r="R27" s="72"/>
      <c r="S27" s="72"/>
      <c r="T27" s="72"/>
      <c r="U27" s="72"/>
      <c r="V27" s="72"/>
      <c r="W27" s="72"/>
      <c r="X27" s="72"/>
      <c r="Y27" s="72"/>
      <c r="Z27" s="72"/>
      <c r="AA27" s="72"/>
      <c r="AB27" s="72"/>
      <c r="AC27" s="72"/>
      <c r="AD27" s="72"/>
    </row>
    <row r="28" spans="1:30" ht="15" thickBot="1">
      <c r="A28" s="81"/>
      <c r="B28" s="81"/>
      <c r="C28" s="81"/>
      <c r="D28" s="81"/>
      <c r="E28" s="81"/>
      <c r="F28" s="81"/>
      <c r="G28" s="81"/>
      <c r="H28" s="72"/>
      <c r="I28" s="72"/>
      <c r="J28" s="72"/>
      <c r="K28" s="72"/>
      <c r="L28" s="72"/>
      <c r="M28" s="72"/>
      <c r="N28" s="72"/>
      <c r="O28" s="72"/>
      <c r="P28" s="72"/>
      <c r="Q28" s="72"/>
      <c r="R28" s="72"/>
      <c r="S28" s="72"/>
      <c r="T28" s="72"/>
      <c r="U28" s="72"/>
      <c r="V28" s="72"/>
      <c r="W28" s="72"/>
      <c r="X28" s="72"/>
      <c r="Y28" s="72"/>
      <c r="Z28" s="72"/>
      <c r="AA28" s="72"/>
      <c r="AB28" s="72"/>
      <c r="AC28" s="72"/>
      <c r="AD28" s="72"/>
    </row>
    <row r="29" spans="1:30" ht="18" customHeight="1">
      <c r="A29" s="107" t="s">
        <v>469</v>
      </c>
      <c r="B29" s="108"/>
      <c r="C29" s="108"/>
      <c r="D29" s="108"/>
      <c r="E29" s="108"/>
      <c r="F29" s="108"/>
      <c r="G29" s="108"/>
      <c r="H29" s="108"/>
      <c r="I29" s="108"/>
      <c r="J29" s="109"/>
      <c r="K29" s="107" t="s">
        <v>484</v>
      </c>
      <c r="L29" s="108"/>
      <c r="M29" s="108"/>
      <c r="N29" s="108"/>
      <c r="O29" s="108"/>
      <c r="P29" s="108"/>
      <c r="Q29" s="108"/>
      <c r="R29" s="109"/>
      <c r="S29" s="173" t="s">
        <v>481</v>
      </c>
      <c r="T29" s="174"/>
      <c r="U29" s="174"/>
      <c r="V29" s="174"/>
      <c r="W29" s="174"/>
      <c r="X29" s="174"/>
      <c r="Y29" s="174"/>
      <c r="Z29" s="174"/>
      <c r="AA29" s="174"/>
      <c r="AB29" s="174"/>
      <c r="AC29" s="174"/>
      <c r="AD29" s="175"/>
    </row>
    <row r="30" spans="1:30" ht="15" customHeight="1" thickBot="1">
      <c r="A30" s="110"/>
      <c r="B30" s="111"/>
      <c r="C30" s="111"/>
      <c r="D30" s="111"/>
      <c r="E30" s="111"/>
      <c r="F30" s="111"/>
      <c r="G30" s="111"/>
      <c r="H30" s="111"/>
      <c r="I30" s="111"/>
      <c r="J30" s="112"/>
      <c r="K30" s="110"/>
      <c r="L30" s="111"/>
      <c r="M30" s="111"/>
      <c r="N30" s="111"/>
      <c r="O30" s="111"/>
      <c r="P30" s="111"/>
      <c r="Q30" s="111"/>
      <c r="R30" s="112"/>
      <c r="S30" s="176"/>
      <c r="T30" s="177"/>
      <c r="U30" s="177"/>
      <c r="V30" s="177"/>
      <c r="W30" s="177"/>
      <c r="X30" s="177"/>
      <c r="Y30" s="177"/>
      <c r="Z30" s="177"/>
      <c r="AA30" s="177"/>
      <c r="AB30" s="177"/>
      <c r="AC30" s="177"/>
      <c r="AD30" s="178"/>
    </row>
    <row r="31" spans="1:30">
      <c r="A31" s="179"/>
      <c r="B31" s="180"/>
      <c r="C31" s="180"/>
      <c r="D31" s="180"/>
      <c r="E31" s="180"/>
      <c r="F31" s="180"/>
      <c r="G31" s="180"/>
      <c r="H31" s="180"/>
      <c r="I31" s="180"/>
      <c r="J31" s="181"/>
      <c r="K31" s="179"/>
      <c r="L31" s="180"/>
      <c r="M31" s="180"/>
      <c r="N31" s="180"/>
      <c r="O31" s="180"/>
      <c r="P31" s="180"/>
      <c r="Q31" s="180"/>
      <c r="R31" s="181"/>
      <c r="S31" s="36"/>
      <c r="T31" s="36"/>
      <c r="U31" s="36"/>
      <c r="V31" s="36"/>
      <c r="W31" s="36"/>
      <c r="X31" s="36"/>
      <c r="Y31" s="36"/>
      <c r="Z31" s="36"/>
      <c r="AA31" s="36"/>
      <c r="AB31" s="36"/>
      <c r="AC31" s="36"/>
      <c r="AD31" s="36"/>
    </row>
    <row r="32" spans="1:30">
      <c r="A32" s="35"/>
      <c r="B32" s="182"/>
      <c r="C32" s="182"/>
      <c r="D32" s="182"/>
      <c r="E32" s="182"/>
      <c r="F32" s="182"/>
      <c r="G32" s="182"/>
      <c r="H32" s="182"/>
      <c r="I32" s="182"/>
      <c r="J32" s="183"/>
      <c r="K32" s="35"/>
      <c r="L32" s="182"/>
      <c r="M32" s="182"/>
      <c r="N32" s="182"/>
      <c r="O32" s="182"/>
      <c r="P32" s="182"/>
      <c r="Q32" s="182"/>
      <c r="R32" s="183"/>
      <c r="S32" s="36"/>
      <c r="T32" s="36"/>
      <c r="U32" s="36"/>
      <c r="V32" s="36"/>
      <c r="W32" s="36"/>
      <c r="X32" s="36"/>
      <c r="Y32" s="36"/>
      <c r="Z32" s="36"/>
      <c r="AA32" s="36"/>
      <c r="AB32" s="36"/>
      <c r="AC32" s="36"/>
      <c r="AD32" s="36"/>
    </row>
    <row r="33" spans="1:30">
      <c r="A33" s="35"/>
      <c r="B33" s="182"/>
      <c r="C33" s="182"/>
      <c r="D33" s="182"/>
      <c r="E33" s="182"/>
      <c r="F33" s="182"/>
      <c r="G33" s="182"/>
      <c r="H33" s="182"/>
      <c r="I33" s="182"/>
      <c r="J33" s="183"/>
      <c r="K33" s="35"/>
      <c r="L33" s="182"/>
      <c r="M33" s="182"/>
      <c r="N33" s="182"/>
      <c r="O33" s="182"/>
      <c r="P33" s="182"/>
      <c r="Q33" s="182"/>
      <c r="R33" s="183"/>
      <c r="S33" s="36"/>
      <c r="T33" s="36"/>
      <c r="U33" s="36"/>
      <c r="V33" s="36"/>
      <c r="W33" s="36"/>
      <c r="X33" s="36"/>
      <c r="Y33" s="36"/>
      <c r="Z33" s="36"/>
      <c r="AA33" s="36"/>
      <c r="AB33" s="36"/>
      <c r="AC33" s="36"/>
      <c r="AD33" s="36"/>
    </row>
    <row r="34" spans="1:30">
      <c r="A34" s="35"/>
      <c r="B34" s="182"/>
      <c r="C34" s="182"/>
      <c r="D34" s="182"/>
      <c r="E34" s="182"/>
      <c r="F34" s="182"/>
      <c r="G34" s="182"/>
      <c r="H34" s="182"/>
      <c r="I34" s="182"/>
      <c r="J34" s="183"/>
      <c r="K34" s="35"/>
      <c r="L34" s="182"/>
      <c r="M34" s="182"/>
      <c r="N34" s="182"/>
      <c r="O34" s="182"/>
      <c r="P34" s="182"/>
      <c r="Q34" s="182"/>
      <c r="R34" s="183"/>
      <c r="S34" s="36"/>
      <c r="T34" s="36"/>
      <c r="U34" s="36"/>
      <c r="V34" s="36"/>
      <c r="W34" s="36"/>
      <c r="X34" s="36"/>
      <c r="Y34" s="36"/>
      <c r="Z34" s="36"/>
      <c r="AA34" s="36"/>
      <c r="AB34" s="36"/>
      <c r="AC34" s="36"/>
      <c r="AD34" s="36"/>
    </row>
    <row r="35" spans="1:30">
      <c r="A35" s="35"/>
      <c r="B35" s="182"/>
      <c r="C35" s="182"/>
      <c r="D35" s="182"/>
      <c r="E35" s="182"/>
      <c r="F35" s="182"/>
      <c r="G35" s="182"/>
      <c r="H35" s="182"/>
      <c r="I35" s="182"/>
      <c r="J35" s="183"/>
      <c r="K35" s="35"/>
      <c r="L35" s="182"/>
      <c r="M35" s="182"/>
      <c r="N35" s="182"/>
      <c r="O35" s="182"/>
      <c r="P35" s="182"/>
      <c r="Q35" s="182"/>
      <c r="R35" s="183"/>
      <c r="S35" s="36"/>
      <c r="T35" s="36"/>
      <c r="U35" s="36"/>
      <c r="V35" s="36"/>
      <c r="W35" s="36"/>
      <c r="X35" s="36"/>
      <c r="Y35" s="36"/>
      <c r="Z35" s="36"/>
      <c r="AA35" s="36"/>
      <c r="AB35" s="36"/>
      <c r="AC35" s="36"/>
      <c r="AD35" s="36"/>
    </row>
    <row r="36" spans="1:30">
      <c r="A36" s="35"/>
      <c r="B36" s="182"/>
      <c r="C36" s="182"/>
      <c r="D36" s="182"/>
      <c r="E36" s="182"/>
      <c r="F36" s="182"/>
      <c r="G36" s="182"/>
      <c r="H36" s="182"/>
      <c r="I36" s="182"/>
      <c r="J36" s="183"/>
      <c r="K36" s="35"/>
      <c r="L36" s="182"/>
      <c r="M36" s="182"/>
      <c r="N36" s="182"/>
      <c r="O36" s="182"/>
      <c r="P36" s="182"/>
      <c r="Q36" s="182"/>
      <c r="R36" s="183"/>
      <c r="S36" s="36"/>
      <c r="T36" s="36"/>
      <c r="U36" s="36"/>
      <c r="V36" s="36"/>
      <c r="W36" s="36"/>
      <c r="X36" s="36"/>
      <c r="Y36" s="36"/>
      <c r="Z36" s="36"/>
      <c r="AA36" s="36"/>
      <c r="AB36" s="36"/>
      <c r="AC36" s="36"/>
      <c r="AD36" s="36"/>
    </row>
    <row r="37" spans="1:30">
      <c r="A37" s="35"/>
      <c r="B37" s="182"/>
      <c r="C37" s="182"/>
      <c r="D37" s="182"/>
      <c r="E37" s="182"/>
      <c r="F37" s="182"/>
      <c r="G37" s="182"/>
      <c r="H37" s="182"/>
      <c r="I37" s="182"/>
      <c r="J37" s="183"/>
      <c r="K37" s="35"/>
      <c r="L37" s="182"/>
      <c r="M37" s="182"/>
      <c r="N37" s="182"/>
      <c r="O37" s="182"/>
      <c r="P37" s="182"/>
      <c r="Q37" s="182"/>
      <c r="R37" s="183"/>
      <c r="S37" s="36"/>
      <c r="T37" s="36"/>
      <c r="U37" s="36"/>
      <c r="V37" s="36"/>
      <c r="W37" s="36"/>
      <c r="X37" s="36"/>
      <c r="Y37" s="36"/>
      <c r="Z37" s="36"/>
      <c r="AA37" s="36"/>
      <c r="AB37" s="36"/>
      <c r="AC37" s="36"/>
      <c r="AD37" s="36"/>
    </row>
    <row r="38" spans="1:30">
      <c r="A38" s="35"/>
      <c r="B38" s="182"/>
      <c r="C38" s="182"/>
      <c r="D38" s="182"/>
      <c r="E38" s="182"/>
      <c r="F38" s="182"/>
      <c r="G38" s="182"/>
      <c r="H38" s="182"/>
      <c r="I38" s="182"/>
      <c r="J38" s="183"/>
      <c r="K38" s="35"/>
      <c r="L38" s="182"/>
      <c r="M38" s="182"/>
      <c r="N38" s="182"/>
      <c r="O38" s="182"/>
      <c r="P38" s="182"/>
      <c r="Q38" s="182"/>
      <c r="R38" s="183"/>
      <c r="S38" s="36"/>
      <c r="T38" s="36"/>
      <c r="U38" s="36"/>
      <c r="V38" s="36"/>
      <c r="W38" s="36"/>
      <c r="X38" s="36"/>
      <c r="Y38" s="36"/>
      <c r="Z38" s="36"/>
      <c r="AA38" s="36"/>
      <c r="AB38" s="36"/>
      <c r="AC38" s="36"/>
      <c r="AD38" s="36"/>
    </row>
    <row r="39" spans="1:30">
      <c r="A39" s="35"/>
      <c r="B39" s="182"/>
      <c r="C39" s="182"/>
      <c r="D39" s="182"/>
      <c r="E39" s="182"/>
      <c r="F39" s="182"/>
      <c r="G39" s="182"/>
      <c r="H39" s="182"/>
      <c r="I39" s="182"/>
      <c r="J39" s="183"/>
      <c r="K39" s="35"/>
      <c r="L39" s="182"/>
      <c r="M39" s="182"/>
      <c r="N39" s="182"/>
      <c r="O39" s="182"/>
      <c r="P39" s="182"/>
      <c r="Q39" s="182"/>
      <c r="R39" s="183"/>
      <c r="S39" s="36"/>
      <c r="T39" s="36"/>
      <c r="U39" s="36"/>
      <c r="V39" s="36"/>
      <c r="W39" s="36"/>
      <c r="X39" s="36"/>
      <c r="Y39" s="36"/>
      <c r="Z39" s="36"/>
      <c r="AA39" s="36"/>
      <c r="AB39" s="36"/>
      <c r="AC39" s="36"/>
      <c r="AD39" s="36"/>
    </row>
    <row r="40" spans="1:30">
      <c r="A40" s="35"/>
      <c r="B40" s="182"/>
      <c r="C40" s="182"/>
      <c r="D40" s="182"/>
      <c r="E40" s="182"/>
      <c r="F40" s="182"/>
      <c r="G40" s="182"/>
      <c r="H40" s="182"/>
      <c r="I40" s="182"/>
      <c r="J40" s="183"/>
      <c r="K40" s="35"/>
      <c r="L40" s="182"/>
      <c r="M40" s="182"/>
      <c r="N40" s="182"/>
      <c r="O40" s="182"/>
      <c r="P40" s="182"/>
      <c r="Q40" s="182"/>
      <c r="R40" s="183"/>
      <c r="S40" s="36"/>
      <c r="T40" s="36"/>
      <c r="U40" s="36"/>
      <c r="V40" s="36"/>
      <c r="W40" s="36"/>
      <c r="X40" s="36"/>
      <c r="Y40" s="36"/>
      <c r="Z40" s="36"/>
      <c r="AA40" s="36"/>
      <c r="AB40" s="36"/>
      <c r="AC40" s="36"/>
      <c r="AD40" s="36"/>
    </row>
    <row r="41" spans="1:30">
      <c r="A41" s="35"/>
      <c r="B41" s="182"/>
      <c r="C41" s="182"/>
      <c r="D41" s="182"/>
      <c r="E41" s="182"/>
      <c r="F41" s="182"/>
      <c r="G41" s="182"/>
      <c r="H41" s="182"/>
      <c r="I41" s="182"/>
      <c r="J41" s="183"/>
      <c r="K41" s="35"/>
      <c r="L41" s="182"/>
      <c r="M41" s="182"/>
      <c r="N41" s="182"/>
      <c r="O41" s="182"/>
      <c r="P41" s="182"/>
      <c r="Q41" s="182"/>
      <c r="R41" s="183"/>
      <c r="S41" s="36"/>
      <c r="T41" s="36"/>
      <c r="U41" s="36"/>
      <c r="V41" s="36"/>
      <c r="W41" s="36"/>
      <c r="X41" s="36"/>
      <c r="Y41" s="36"/>
      <c r="Z41" s="36"/>
      <c r="AA41" s="36"/>
      <c r="AB41" s="36"/>
      <c r="AC41" s="36"/>
      <c r="AD41" s="36"/>
    </row>
    <row r="42" spans="1:30">
      <c r="A42" s="35"/>
      <c r="B42" s="182"/>
      <c r="C42" s="182"/>
      <c r="D42" s="182"/>
      <c r="E42" s="182"/>
      <c r="F42" s="182"/>
      <c r="G42" s="182"/>
      <c r="H42" s="182"/>
      <c r="I42" s="182"/>
      <c r="J42" s="183"/>
      <c r="K42" s="35"/>
      <c r="L42" s="182"/>
      <c r="M42" s="182"/>
      <c r="N42" s="182"/>
      <c r="O42" s="182"/>
      <c r="P42" s="182"/>
      <c r="Q42" s="182"/>
      <c r="R42" s="183"/>
      <c r="S42" s="36"/>
      <c r="T42" s="36"/>
      <c r="U42" s="36"/>
      <c r="V42" s="36"/>
      <c r="W42" s="36"/>
      <c r="X42" s="36"/>
      <c r="Y42" s="36"/>
      <c r="Z42" s="36"/>
      <c r="AA42" s="36"/>
      <c r="AB42" s="36"/>
      <c r="AC42" s="36"/>
      <c r="AD42" s="36"/>
    </row>
    <row r="43" spans="1:30">
      <c r="A43" s="35"/>
      <c r="B43" s="182"/>
      <c r="C43" s="182"/>
      <c r="D43" s="182"/>
      <c r="E43" s="182"/>
      <c r="F43" s="182"/>
      <c r="G43" s="182"/>
      <c r="H43" s="182"/>
      <c r="I43" s="182"/>
      <c r="J43" s="183"/>
      <c r="K43" s="35"/>
      <c r="L43" s="182"/>
      <c r="M43" s="182"/>
      <c r="N43" s="182"/>
      <c r="O43" s="182"/>
      <c r="P43" s="182"/>
      <c r="Q43" s="182"/>
      <c r="R43" s="183"/>
      <c r="S43" s="36"/>
      <c r="T43" s="36"/>
      <c r="U43" s="36"/>
      <c r="V43" s="36"/>
      <c r="W43" s="36"/>
      <c r="X43" s="36"/>
      <c r="Y43" s="36"/>
      <c r="Z43" s="36"/>
      <c r="AA43" s="36"/>
      <c r="AB43" s="36"/>
      <c r="AC43" s="36"/>
      <c r="AD43" s="36"/>
    </row>
    <row r="44" spans="1:30">
      <c r="A44" s="35"/>
      <c r="B44" s="182"/>
      <c r="C44" s="182"/>
      <c r="D44" s="182"/>
      <c r="E44" s="182"/>
      <c r="F44" s="182"/>
      <c r="G44" s="182"/>
      <c r="H44" s="182"/>
      <c r="I44" s="182"/>
      <c r="J44" s="183"/>
      <c r="K44" s="35"/>
      <c r="L44" s="182"/>
      <c r="M44" s="182"/>
      <c r="N44" s="182"/>
      <c r="O44" s="182"/>
      <c r="P44" s="182"/>
      <c r="Q44" s="182"/>
      <c r="R44" s="183"/>
      <c r="S44" s="36"/>
      <c r="T44" s="36"/>
      <c r="U44" s="36"/>
      <c r="V44" s="36"/>
      <c r="W44" s="36"/>
      <c r="X44" s="36"/>
      <c r="Y44" s="36"/>
      <c r="Z44" s="36"/>
      <c r="AA44" s="36"/>
      <c r="AB44" s="36"/>
      <c r="AC44" s="36"/>
      <c r="AD44" s="36"/>
    </row>
    <row r="45" spans="1:30">
      <c r="A45" s="35"/>
      <c r="B45" s="182"/>
      <c r="C45" s="182"/>
      <c r="D45" s="182"/>
      <c r="E45" s="182"/>
      <c r="F45" s="182"/>
      <c r="G45" s="182"/>
      <c r="H45" s="182"/>
      <c r="I45" s="182"/>
      <c r="J45" s="183"/>
      <c r="K45" s="35"/>
      <c r="L45" s="182"/>
      <c r="M45" s="182"/>
      <c r="N45" s="182"/>
      <c r="O45" s="182"/>
      <c r="P45" s="182"/>
      <c r="Q45" s="182"/>
      <c r="R45" s="183"/>
      <c r="S45" s="36"/>
      <c r="T45" s="36"/>
      <c r="U45" s="36"/>
      <c r="V45" s="36"/>
      <c r="W45" s="36"/>
      <c r="X45" s="36"/>
      <c r="Y45" s="36"/>
      <c r="Z45" s="36"/>
      <c r="AA45" s="36"/>
      <c r="AB45" s="36"/>
      <c r="AC45" s="36"/>
      <c r="AD45" s="36"/>
    </row>
    <row r="46" spans="1:30">
      <c r="A46" s="35"/>
      <c r="B46" s="182"/>
      <c r="C46" s="182"/>
      <c r="D46" s="182"/>
      <c r="E46" s="182"/>
      <c r="F46" s="182"/>
      <c r="G46" s="182"/>
      <c r="H46" s="182"/>
      <c r="I46" s="182"/>
      <c r="J46" s="183"/>
      <c r="K46" s="35"/>
      <c r="L46" s="182"/>
      <c r="M46" s="182"/>
      <c r="N46" s="182"/>
      <c r="O46" s="182"/>
      <c r="P46" s="182"/>
      <c r="Q46" s="182"/>
      <c r="R46" s="183"/>
      <c r="S46" s="36"/>
      <c r="T46" s="36"/>
      <c r="U46" s="36"/>
      <c r="V46" s="36"/>
      <c r="W46" s="36"/>
      <c r="X46" s="36"/>
      <c r="Y46" s="36"/>
      <c r="Z46" s="36"/>
      <c r="AA46" s="36"/>
      <c r="AB46" s="36"/>
      <c r="AC46" s="36"/>
      <c r="AD46" s="36"/>
    </row>
    <row r="47" spans="1:30" ht="12" customHeight="1" thickBot="1">
      <c r="A47" s="184"/>
      <c r="B47" s="185"/>
      <c r="C47" s="185"/>
      <c r="D47" s="185"/>
      <c r="E47" s="185"/>
      <c r="F47" s="185"/>
      <c r="G47" s="185"/>
      <c r="H47" s="185"/>
      <c r="I47" s="185"/>
      <c r="J47" s="186"/>
      <c r="K47" s="184"/>
      <c r="L47" s="185"/>
      <c r="M47" s="185"/>
      <c r="N47" s="185"/>
      <c r="O47" s="185"/>
      <c r="P47" s="185"/>
      <c r="Q47" s="185"/>
      <c r="R47" s="186"/>
      <c r="S47" s="36"/>
      <c r="T47" s="36"/>
      <c r="U47" s="36"/>
      <c r="V47" s="36"/>
      <c r="W47" s="36"/>
      <c r="X47" s="36"/>
      <c r="Y47" s="36"/>
      <c r="Z47" s="36"/>
      <c r="AA47" s="36"/>
      <c r="AB47" s="36"/>
      <c r="AC47" s="36"/>
      <c r="AD47" s="36"/>
    </row>
    <row r="95" spans="1:1">
      <c r="A95" t="s">
        <v>419</v>
      </c>
    </row>
    <row r="96" spans="1:1">
      <c r="A96" t="s">
        <v>420</v>
      </c>
    </row>
    <row r="97" spans="1:1">
      <c r="A97" t="s">
        <v>85</v>
      </c>
    </row>
    <row r="98" spans="1:1">
      <c r="A98" t="s">
        <v>7</v>
      </c>
    </row>
  </sheetData>
  <mergeCells count="36">
    <mergeCell ref="AA6:AD6"/>
    <mergeCell ref="AA7:AD11"/>
    <mergeCell ref="G6:J6"/>
    <mergeCell ref="K6:K11"/>
    <mergeCell ref="G7:J11"/>
    <mergeCell ref="L6:O6"/>
    <mergeCell ref="P6:P11"/>
    <mergeCell ref="L7:O11"/>
    <mergeCell ref="V6:Y6"/>
    <mergeCell ref="Q6:T6"/>
    <mergeCell ref="U6:U11"/>
    <mergeCell ref="Q7:T11"/>
    <mergeCell ref="Z6:Z11"/>
    <mergeCell ref="V7:Y11"/>
    <mergeCell ref="A1:AD4"/>
    <mergeCell ref="A29:J30"/>
    <mergeCell ref="A15:D16"/>
    <mergeCell ref="E15:G16"/>
    <mergeCell ref="A18:D19"/>
    <mergeCell ref="E18:G19"/>
    <mergeCell ref="A21:D22"/>
    <mergeCell ref="E21:G22"/>
    <mergeCell ref="A13:G14"/>
    <mergeCell ref="A24:G24"/>
    <mergeCell ref="A25:D25"/>
    <mergeCell ref="A26:D26"/>
    <mergeCell ref="A27:D27"/>
    <mergeCell ref="A6:D6"/>
    <mergeCell ref="A7:D11"/>
    <mergeCell ref="E6:F11"/>
    <mergeCell ref="E25:G25"/>
    <mergeCell ref="E26:G26"/>
    <mergeCell ref="E27:G27"/>
    <mergeCell ref="W13:AD13"/>
    <mergeCell ref="K29:R30"/>
    <mergeCell ref="S29:AD30"/>
  </mergeCells>
  <conditionalFormatting sqref="E15:G16 E18:G19 E21:G22">
    <cfRule type="iconSet" priority="2">
      <iconSet iconSet="3Symbol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72F107CD-24BE-4D11-B3ED-2DBED9668525}">
            <x14:iconSet iconSet="3Triangles">
              <x14:cfvo type="percent">
                <xm:f>0</xm:f>
              </x14:cfvo>
              <x14:cfvo type="percent">
                <xm:f>33</xm:f>
              </x14:cfvo>
              <x14:cfvo type="percent">
                <xm:f>67</xm:f>
              </x14:cfvo>
            </x14:iconSet>
          </x14:cfRule>
          <xm:sqref>E25:G27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E30D-564E-4A82-9A24-EBCC94035E9D}">
  <dimension ref="A1:B16"/>
  <sheetViews>
    <sheetView workbookViewId="0">
      <selection activeCell="I19" sqref="I19"/>
    </sheetView>
  </sheetViews>
  <sheetFormatPr defaultRowHeight="14.25"/>
  <cols>
    <col min="1" max="1" width="13.125" bestFit="1" customWidth="1"/>
    <col min="2" max="2" width="26.875" bestFit="1" customWidth="1"/>
  </cols>
  <sheetData>
    <row r="1" spans="1:2">
      <c r="A1" s="207" t="s">
        <v>669</v>
      </c>
      <c r="B1" t="s">
        <v>671</v>
      </c>
    </row>
    <row r="2" spans="1:2">
      <c r="A2" s="208" t="s">
        <v>497</v>
      </c>
      <c r="B2" s="209">
        <v>10</v>
      </c>
    </row>
    <row r="3" spans="1:2">
      <c r="A3" s="208" t="s">
        <v>585</v>
      </c>
      <c r="B3" s="209">
        <v>3</v>
      </c>
    </row>
    <row r="4" spans="1:2">
      <c r="A4" s="208" t="s">
        <v>629</v>
      </c>
      <c r="B4" s="209">
        <v>6</v>
      </c>
    </row>
    <row r="5" spans="1:2">
      <c r="A5" s="208" t="s">
        <v>603</v>
      </c>
      <c r="B5" s="209">
        <v>3</v>
      </c>
    </row>
    <row r="6" spans="1:2">
      <c r="A6" s="208" t="s">
        <v>667</v>
      </c>
      <c r="B6" s="209">
        <v>0</v>
      </c>
    </row>
    <row r="7" spans="1:2">
      <c r="A7" s="208" t="s">
        <v>609</v>
      </c>
      <c r="B7" s="209">
        <v>3</v>
      </c>
    </row>
    <row r="8" spans="1:2">
      <c r="A8" s="208" t="s">
        <v>576</v>
      </c>
      <c r="B8" s="209">
        <v>3</v>
      </c>
    </row>
    <row r="9" spans="1:2">
      <c r="A9" s="208" t="s">
        <v>489</v>
      </c>
      <c r="B9" s="209">
        <v>1</v>
      </c>
    </row>
    <row r="10" spans="1:2">
      <c r="A10" s="208" t="s">
        <v>554</v>
      </c>
      <c r="B10" s="209">
        <v>5</v>
      </c>
    </row>
    <row r="11" spans="1:2">
      <c r="A11" s="208" t="s">
        <v>545</v>
      </c>
      <c r="B11" s="209">
        <v>5</v>
      </c>
    </row>
    <row r="12" spans="1:2">
      <c r="A12" s="208" t="s">
        <v>562</v>
      </c>
      <c r="B12" s="209">
        <v>5</v>
      </c>
    </row>
    <row r="13" spans="1:2">
      <c r="A13" s="208" t="s">
        <v>598</v>
      </c>
      <c r="B13" s="209">
        <v>3</v>
      </c>
    </row>
    <row r="14" spans="1:2">
      <c r="A14" s="208" t="s">
        <v>639</v>
      </c>
      <c r="B14" s="209">
        <v>5</v>
      </c>
    </row>
    <row r="15" spans="1:2">
      <c r="A15" s="208" t="s">
        <v>649</v>
      </c>
      <c r="B15" s="209">
        <v>0</v>
      </c>
    </row>
    <row r="16" spans="1:2">
      <c r="A16" s="208" t="s">
        <v>670</v>
      </c>
      <c r="B16" s="209">
        <v>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FAE47-7AB4-4322-99C6-78A371769B8D}">
  <dimension ref="A1:F171"/>
  <sheetViews>
    <sheetView topLeftCell="A4" workbookViewId="0">
      <selection activeCell="E7" sqref="E7:F21"/>
    </sheetView>
  </sheetViews>
  <sheetFormatPr defaultRowHeight="14.25"/>
  <cols>
    <col min="1" max="1" width="9" style="204"/>
    <col min="2" max="2" width="54.625" style="205" bestFit="1" customWidth="1"/>
    <col min="3" max="3" width="19.375" customWidth="1"/>
    <col min="5" max="5" width="16.25" customWidth="1"/>
    <col min="6" max="6" width="24.625" customWidth="1"/>
  </cols>
  <sheetData>
    <row r="1" spans="1:6" ht="24.4" customHeight="1">
      <c r="A1" s="187"/>
      <c r="B1" s="188"/>
      <c r="C1" s="189"/>
    </row>
    <row r="2" spans="1:6" ht="34.5" customHeight="1" thickBot="1">
      <c r="A2" s="190"/>
      <c r="B2" s="191"/>
      <c r="C2" s="192"/>
    </row>
    <row r="3" spans="1:6" ht="15.75" thickBot="1">
      <c r="A3" s="193" t="s">
        <v>485</v>
      </c>
      <c r="B3" s="194" t="s">
        <v>486</v>
      </c>
      <c r="C3" s="193" t="s">
        <v>487</v>
      </c>
    </row>
    <row r="4" spans="1:6">
      <c r="A4" s="195">
        <v>1</v>
      </c>
      <c r="B4" s="196" t="s">
        <v>488</v>
      </c>
      <c r="C4" s="197" t="s">
        <v>489</v>
      </c>
    </row>
    <row r="5" spans="1:6">
      <c r="A5" s="198">
        <v>2</v>
      </c>
      <c r="B5" s="199" t="s">
        <v>490</v>
      </c>
      <c r="C5" s="200" t="s">
        <v>489</v>
      </c>
    </row>
    <row r="6" spans="1:6">
      <c r="A6" s="198">
        <v>3</v>
      </c>
      <c r="B6" s="199" t="s">
        <v>491</v>
      </c>
      <c r="C6" s="200" t="s">
        <v>489</v>
      </c>
    </row>
    <row r="7" spans="1:6">
      <c r="A7" s="198">
        <v>4</v>
      </c>
      <c r="B7" s="199" t="s">
        <v>492</v>
      </c>
      <c r="C7" s="200" t="s">
        <v>489</v>
      </c>
      <c r="E7" t="s">
        <v>666</v>
      </c>
      <c r="F7" t="s">
        <v>668</v>
      </c>
    </row>
    <row r="8" spans="1:6">
      <c r="A8" s="198">
        <v>5</v>
      </c>
      <c r="B8" s="199" t="s">
        <v>493</v>
      </c>
      <c r="C8" s="200" t="s">
        <v>489</v>
      </c>
      <c r="E8" s="200" t="s">
        <v>489</v>
      </c>
      <c r="F8">
        <v>1</v>
      </c>
    </row>
    <row r="9" spans="1:6">
      <c r="A9" s="198">
        <v>6</v>
      </c>
      <c r="B9" s="199" t="s">
        <v>494</v>
      </c>
      <c r="C9" s="200" t="s">
        <v>489</v>
      </c>
      <c r="E9" s="200" t="s">
        <v>497</v>
      </c>
      <c r="F9">
        <v>10</v>
      </c>
    </row>
    <row r="10" spans="1:6">
      <c r="A10" s="198">
        <v>7</v>
      </c>
      <c r="B10" s="199" t="s">
        <v>495</v>
      </c>
      <c r="C10" s="200" t="s">
        <v>489</v>
      </c>
      <c r="E10" s="200" t="s">
        <v>545</v>
      </c>
      <c r="F10">
        <v>5</v>
      </c>
    </row>
    <row r="11" spans="1:6">
      <c r="A11" s="198">
        <v>8</v>
      </c>
      <c r="B11" s="199" t="s">
        <v>496</v>
      </c>
      <c r="C11" s="200" t="s">
        <v>497</v>
      </c>
      <c r="E11" s="200" t="s">
        <v>554</v>
      </c>
      <c r="F11">
        <v>5</v>
      </c>
    </row>
    <row r="12" spans="1:6">
      <c r="A12" s="198">
        <v>9</v>
      </c>
      <c r="B12" s="199" t="s">
        <v>498</v>
      </c>
      <c r="C12" s="200" t="s">
        <v>497</v>
      </c>
      <c r="E12" s="200" t="s">
        <v>562</v>
      </c>
      <c r="F12">
        <v>5</v>
      </c>
    </row>
    <row r="13" spans="1:6">
      <c r="A13" s="198">
        <v>10</v>
      </c>
      <c r="B13" s="199" t="s">
        <v>499</v>
      </c>
      <c r="C13" s="200" t="s">
        <v>497</v>
      </c>
      <c r="E13" s="200" t="s">
        <v>576</v>
      </c>
      <c r="F13">
        <v>3</v>
      </c>
    </row>
    <row r="14" spans="1:6">
      <c r="A14" s="198">
        <v>11</v>
      </c>
      <c r="B14" s="199" t="s">
        <v>500</v>
      </c>
      <c r="C14" s="200" t="s">
        <v>497</v>
      </c>
      <c r="E14" s="200" t="s">
        <v>585</v>
      </c>
      <c r="F14">
        <v>3</v>
      </c>
    </row>
    <row r="15" spans="1:6">
      <c r="A15" s="198">
        <v>12</v>
      </c>
      <c r="B15" s="199" t="s">
        <v>501</v>
      </c>
      <c r="C15" s="200" t="s">
        <v>497</v>
      </c>
      <c r="E15" s="200" t="s">
        <v>598</v>
      </c>
      <c r="F15">
        <v>3</v>
      </c>
    </row>
    <row r="16" spans="1:6">
      <c r="A16" s="198">
        <v>13</v>
      </c>
      <c r="B16" s="199" t="s">
        <v>502</v>
      </c>
      <c r="C16" s="200" t="s">
        <v>497</v>
      </c>
      <c r="E16" s="200" t="s">
        <v>603</v>
      </c>
      <c r="F16">
        <v>3</v>
      </c>
    </row>
    <row r="17" spans="1:6">
      <c r="A17" s="198">
        <v>14</v>
      </c>
      <c r="B17" s="199" t="s">
        <v>503</v>
      </c>
      <c r="C17" s="200" t="s">
        <v>497</v>
      </c>
      <c r="E17" s="200" t="s">
        <v>609</v>
      </c>
      <c r="F17">
        <v>3</v>
      </c>
    </row>
    <row r="18" spans="1:6">
      <c r="A18" s="198">
        <v>15</v>
      </c>
      <c r="B18" s="199" t="s">
        <v>504</v>
      </c>
      <c r="C18" s="200" t="s">
        <v>497</v>
      </c>
      <c r="E18" s="200" t="s">
        <v>629</v>
      </c>
      <c r="F18">
        <v>6</v>
      </c>
    </row>
    <row r="19" spans="1:6">
      <c r="A19" s="198">
        <v>16</v>
      </c>
      <c r="B19" s="199" t="s">
        <v>505</v>
      </c>
      <c r="C19" s="200" t="s">
        <v>497</v>
      </c>
      <c r="E19" s="200" t="s">
        <v>639</v>
      </c>
      <c r="F19">
        <v>5</v>
      </c>
    </row>
    <row r="20" spans="1:6">
      <c r="A20" s="198">
        <v>17</v>
      </c>
      <c r="B20" s="199" t="s">
        <v>506</v>
      </c>
      <c r="C20" s="200" t="s">
        <v>497</v>
      </c>
      <c r="E20" s="200" t="s">
        <v>649</v>
      </c>
      <c r="F20">
        <v>0</v>
      </c>
    </row>
    <row r="21" spans="1:6">
      <c r="A21" s="198">
        <v>18</v>
      </c>
      <c r="B21" s="199" t="s">
        <v>507</v>
      </c>
      <c r="C21" s="200" t="s">
        <v>497</v>
      </c>
      <c r="E21" s="206" t="s">
        <v>667</v>
      </c>
      <c r="F21">
        <v>0</v>
      </c>
    </row>
    <row r="22" spans="1:6">
      <c r="A22" s="198">
        <v>19</v>
      </c>
      <c r="B22" s="199" t="s">
        <v>508</v>
      </c>
      <c r="C22" s="200" t="s">
        <v>497</v>
      </c>
    </row>
    <row r="23" spans="1:6">
      <c r="A23" s="198">
        <v>20</v>
      </c>
      <c r="B23" s="199" t="s">
        <v>509</v>
      </c>
      <c r="C23" s="200" t="s">
        <v>497</v>
      </c>
    </row>
    <row r="24" spans="1:6">
      <c r="A24" s="198">
        <v>21</v>
      </c>
      <c r="B24" s="199" t="s">
        <v>510</v>
      </c>
      <c r="C24" s="200" t="s">
        <v>497</v>
      </c>
    </row>
    <row r="25" spans="1:6">
      <c r="A25" s="198">
        <v>22</v>
      </c>
      <c r="B25" s="199" t="s">
        <v>511</v>
      </c>
      <c r="C25" s="200" t="s">
        <v>497</v>
      </c>
    </row>
    <row r="26" spans="1:6">
      <c r="A26" s="198">
        <v>23</v>
      </c>
      <c r="B26" s="199" t="s">
        <v>512</v>
      </c>
      <c r="C26" s="200" t="s">
        <v>497</v>
      </c>
    </row>
    <row r="27" spans="1:6">
      <c r="A27" s="198">
        <v>24</v>
      </c>
      <c r="B27" s="199" t="s">
        <v>513</v>
      </c>
      <c r="C27" s="200" t="s">
        <v>497</v>
      </c>
    </row>
    <row r="28" spans="1:6">
      <c r="A28" s="198">
        <v>25</v>
      </c>
      <c r="B28" s="199" t="s">
        <v>514</v>
      </c>
      <c r="C28" s="200" t="s">
        <v>497</v>
      </c>
    </row>
    <row r="29" spans="1:6">
      <c r="A29" s="198">
        <v>26</v>
      </c>
      <c r="B29" s="199" t="s">
        <v>515</v>
      </c>
      <c r="C29" s="200" t="s">
        <v>497</v>
      </c>
    </row>
    <row r="30" spans="1:6">
      <c r="A30" s="198">
        <v>27</v>
      </c>
      <c r="B30" s="199" t="s">
        <v>516</v>
      </c>
      <c r="C30" s="200" t="s">
        <v>497</v>
      </c>
    </row>
    <row r="31" spans="1:6">
      <c r="A31" s="198">
        <v>28</v>
      </c>
      <c r="B31" s="199" t="s">
        <v>517</v>
      </c>
      <c r="C31" s="200" t="s">
        <v>497</v>
      </c>
    </row>
    <row r="32" spans="1:6">
      <c r="A32" s="198">
        <v>29</v>
      </c>
      <c r="B32" s="199" t="s">
        <v>518</v>
      </c>
      <c r="C32" s="200" t="s">
        <v>497</v>
      </c>
    </row>
    <row r="33" spans="1:3">
      <c r="A33" s="198">
        <v>30</v>
      </c>
      <c r="B33" s="199" t="s">
        <v>519</v>
      </c>
      <c r="C33" s="200" t="s">
        <v>497</v>
      </c>
    </row>
    <row r="34" spans="1:3">
      <c r="A34" s="198">
        <v>31</v>
      </c>
      <c r="B34" s="199" t="s">
        <v>520</v>
      </c>
      <c r="C34" s="200" t="s">
        <v>497</v>
      </c>
    </row>
    <row r="35" spans="1:3">
      <c r="A35" s="198">
        <v>32</v>
      </c>
      <c r="B35" s="199" t="s">
        <v>521</v>
      </c>
      <c r="C35" s="200" t="s">
        <v>497</v>
      </c>
    </row>
    <row r="36" spans="1:3">
      <c r="A36" s="198">
        <v>33</v>
      </c>
      <c r="B36" s="199" t="s">
        <v>522</v>
      </c>
      <c r="C36" s="200" t="s">
        <v>497</v>
      </c>
    </row>
    <row r="37" spans="1:3">
      <c r="A37" s="198">
        <v>34</v>
      </c>
      <c r="B37" s="199" t="s">
        <v>523</v>
      </c>
      <c r="C37" s="200" t="s">
        <v>497</v>
      </c>
    </row>
    <row r="38" spans="1:3">
      <c r="A38" s="198">
        <v>35</v>
      </c>
      <c r="B38" s="199" t="s">
        <v>524</v>
      </c>
      <c r="C38" s="200" t="s">
        <v>497</v>
      </c>
    </row>
    <row r="39" spans="1:3">
      <c r="A39" s="198">
        <v>36</v>
      </c>
      <c r="B39" s="199" t="s">
        <v>525</v>
      </c>
      <c r="C39" s="200" t="s">
        <v>497</v>
      </c>
    </row>
    <row r="40" spans="1:3">
      <c r="A40" s="198">
        <v>37</v>
      </c>
      <c r="B40" s="199" t="s">
        <v>526</v>
      </c>
      <c r="C40" s="200" t="s">
        <v>497</v>
      </c>
    </row>
    <row r="41" spans="1:3">
      <c r="A41" s="198">
        <v>38</v>
      </c>
      <c r="B41" s="199" t="s">
        <v>527</v>
      </c>
      <c r="C41" s="200" t="s">
        <v>497</v>
      </c>
    </row>
    <row r="42" spans="1:3">
      <c r="A42" s="198">
        <v>39</v>
      </c>
      <c r="B42" s="199" t="s">
        <v>528</v>
      </c>
      <c r="C42" s="200" t="s">
        <v>497</v>
      </c>
    </row>
    <row r="43" spans="1:3">
      <c r="A43" s="198">
        <v>40</v>
      </c>
      <c r="B43" s="199" t="s">
        <v>529</v>
      </c>
      <c r="C43" s="200" t="s">
        <v>497</v>
      </c>
    </row>
    <row r="44" spans="1:3">
      <c r="A44" s="198">
        <v>41</v>
      </c>
      <c r="B44" s="199" t="s">
        <v>530</v>
      </c>
      <c r="C44" s="200" t="s">
        <v>497</v>
      </c>
    </row>
    <row r="45" spans="1:3">
      <c r="A45" s="198">
        <v>42</v>
      </c>
      <c r="B45" s="199" t="s">
        <v>531</v>
      </c>
      <c r="C45" s="200" t="s">
        <v>497</v>
      </c>
    </row>
    <row r="46" spans="1:3">
      <c r="A46" s="198">
        <v>43</v>
      </c>
      <c r="B46" s="199" t="s">
        <v>532</v>
      </c>
      <c r="C46" s="200" t="s">
        <v>497</v>
      </c>
    </row>
    <row r="47" spans="1:3">
      <c r="A47" s="198">
        <v>44</v>
      </c>
      <c r="B47" s="199" t="s">
        <v>533</v>
      </c>
      <c r="C47" s="200" t="s">
        <v>497</v>
      </c>
    </row>
    <row r="48" spans="1:3">
      <c r="A48" s="198">
        <v>45</v>
      </c>
      <c r="B48" s="199" t="s">
        <v>534</v>
      </c>
      <c r="C48" s="200" t="s">
        <v>497</v>
      </c>
    </row>
    <row r="49" spans="1:3">
      <c r="A49" s="198">
        <v>46</v>
      </c>
      <c r="B49" s="199" t="s">
        <v>535</v>
      </c>
      <c r="C49" s="200" t="s">
        <v>497</v>
      </c>
    </row>
    <row r="50" spans="1:3">
      <c r="A50" s="198">
        <v>47</v>
      </c>
      <c r="B50" s="199" t="s">
        <v>536</v>
      </c>
      <c r="C50" s="200" t="s">
        <v>497</v>
      </c>
    </row>
    <row r="51" spans="1:3">
      <c r="A51" s="198">
        <v>48</v>
      </c>
      <c r="B51" s="199" t="s">
        <v>537</v>
      </c>
      <c r="C51" s="200" t="s">
        <v>497</v>
      </c>
    </row>
    <row r="52" spans="1:3">
      <c r="A52" s="198">
        <v>49</v>
      </c>
      <c r="B52" s="199" t="s">
        <v>538</v>
      </c>
      <c r="C52" s="200" t="s">
        <v>497</v>
      </c>
    </row>
    <row r="53" spans="1:3">
      <c r="A53" s="198">
        <v>50</v>
      </c>
      <c r="B53" s="199" t="s">
        <v>539</v>
      </c>
      <c r="C53" s="200" t="s">
        <v>497</v>
      </c>
    </row>
    <row r="54" spans="1:3">
      <c r="A54" s="198">
        <v>51</v>
      </c>
      <c r="B54" s="199" t="s">
        <v>540</v>
      </c>
      <c r="C54" s="200" t="s">
        <v>497</v>
      </c>
    </row>
    <row r="55" spans="1:3">
      <c r="A55" s="198">
        <v>52</v>
      </c>
      <c r="B55" s="199" t="s">
        <v>541</v>
      </c>
      <c r="C55" s="200" t="s">
        <v>497</v>
      </c>
    </row>
    <row r="56" spans="1:3">
      <c r="A56" s="198">
        <v>53</v>
      </c>
      <c r="B56" s="199" t="s">
        <v>542</v>
      </c>
      <c r="C56" s="200" t="s">
        <v>497</v>
      </c>
    </row>
    <row r="57" spans="1:3">
      <c r="A57" s="198">
        <v>54</v>
      </c>
      <c r="B57" s="199" t="s">
        <v>543</v>
      </c>
      <c r="C57" s="200" t="s">
        <v>497</v>
      </c>
    </row>
    <row r="58" spans="1:3">
      <c r="A58" s="198">
        <v>55</v>
      </c>
      <c r="B58" s="199" t="s">
        <v>544</v>
      </c>
      <c r="C58" s="200" t="s">
        <v>545</v>
      </c>
    </row>
    <row r="59" spans="1:3">
      <c r="A59" s="198">
        <v>56</v>
      </c>
      <c r="B59" s="199" t="s">
        <v>546</v>
      </c>
      <c r="C59" s="200" t="s">
        <v>545</v>
      </c>
    </row>
    <row r="60" spans="1:3">
      <c r="A60" s="198">
        <v>57</v>
      </c>
      <c r="B60" s="199" t="s">
        <v>547</v>
      </c>
      <c r="C60" s="200" t="s">
        <v>545</v>
      </c>
    </row>
    <row r="61" spans="1:3">
      <c r="A61" s="198">
        <v>58</v>
      </c>
      <c r="B61" s="199" t="s">
        <v>548</v>
      </c>
      <c r="C61" s="200" t="s">
        <v>545</v>
      </c>
    </row>
    <row r="62" spans="1:3">
      <c r="A62" s="198">
        <v>59</v>
      </c>
      <c r="B62" s="199" t="s">
        <v>549</v>
      </c>
      <c r="C62" s="200" t="s">
        <v>545</v>
      </c>
    </row>
    <row r="63" spans="1:3">
      <c r="A63" s="198">
        <v>60</v>
      </c>
      <c r="B63" s="199" t="s">
        <v>550</v>
      </c>
      <c r="C63" s="200" t="s">
        <v>545</v>
      </c>
    </row>
    <row r="64" spans="1:3">
      <c r="A64" s="198">
        <v>61</v>
      </c>
      <c r="B64" s="199" t="s">
        <v>551</v>
      </c>
      <c r="C64" s="200" t="s">
        <v>545</v>
      </c>
    </row>
    <row r="65" spans="1:3">
      <c r="A65" s="198">
        <v>62</v>
      </c>
      <c r="B65" s="199" t="s">
        <v>552</v>
      </c>
      <c r="C65" s="200" t="s">
        <v>545</v>
      </c>
    </row>
    <row r="66" spans="1:3">
      <c r="A66" s="198">
        <v>63</v>
      </c>
      <c r="B66" s="199" t="s">
        <v>553</v>
      </c>
      <c r="C66" s="200" t="s">
        <v>554</v>
      </c>
    </row>
    <row r="67" spans="1:3">
      <c r="A67" s="198">
        <v>64</v>
      </c>
      <c r="B67" s="199" t="s">
        <v>555</v>
      </c>
      <c r="C67" s="200" t="s">
        <v>554</v>
      </c>
    </row>
    <row r="68" spans="1:3">
      <c r="A68" s="198">
        <v>65</v>
      </c>
      <c r="B68" s="199" t="s">
        <v>556</v>
      </c>
      <c r="C68" s="200" t="s">
        <v>554</v>
      </c>
    </row>
    <row r="69" spans="1:3">
      <c r="A69" s="198">
        <v>66</v>
      </c>
      <c r="B69" s="199" t="s">
        <v>557</v>
      </c>
      <c r="C69" s="200" t="s">
        <v>554</v>
      </c>
    </row>
    <row r="70" spans="1:3">
      <c r="A70" s="198">
        <v>67</v>
      </c>
      <c r="B70" s="199" t="s">
        <v>558</v>
      </c>
      <c r="C70" s="200" t="s">
        <v>554</v>
      </c>
    </row>
    <row r="71" spans="1:3">
      <c r="A71" s="198">
        <v>68</v>
      </c>
      <c r="B71" s="199" t="s">
        <v>559</v>
      </c>
      <c r="C71" s="200" t="s">
        <v>554</v>
      </c>
    </row>
    <row r="72" spans="1:3">
      <c r="A72" s="198">
        <v>69</v>
      </c>
      <c r="B72" s="199" t="s">
        <v>560</v>
      </c>
      <c r="C72" s="200" t="s">
        <v>554</v>
      </c>
    </row>
    <row r="73" spans="1:3">
      <c r="A73" s="198">
        <v>70</v>
      </c>
      <c r="B73" s="199" t="s">
        <v>561</v>
      </c>
      <c r="C73" s="200" t="s">
        <v>562</v>
      </c>
    </row>
    <row r="74" spans="1:3">
      <c r="A74" s="198">
        <v>71</v>
      </c>
      <c r="B74" s="199" t="s">
        <v>563</v>
      </c>
      <c r="C74" s="200" t="s">
        <v>562</v>
      </c>
    </row>
    <row r="75" spans="1:3">
      <c r="A75" s="198">
        <v>72</v>
      </c>
      <c r="B75" s="199" t="s">
        <v>564</v>
      </c>
      <c r="C75" s="200" t="s">
        <v>562</v>
      </c>
    </row>
    <row r="76" spans="1:3">
      <c r="A76" s="198">
        <v>73</v>
      </c>
      <c r="B76" s="199" t="s">
        <v>565</v>
      </c>
      <c r="C76" s="200" t="s">
        <v>562</v>
      </c>
    </row>
    <row r="77" spans="1:3">
      <c r="A77" s="198">
        <v>74</v>
      </c>
      <c r="B77" s="199" t="s">
        <v>566</v>
      </c>
      <c r="C77" s="200" t="s">
        <v>562</v>
      </c>
    </row>
    <row r="78" spans="1:3">
      <c r="A78" s="198">
        <v>75</v>
      </c>
      <c r="B78" s="199" t="s">
        <v>567</v>
      </c>
      <c r="C78" s="200" t="s">
        <v>562</v>
      </c>
    </row>
    <row r="79" spans="1:3">
      <c r="A79" s="198">
        <v>76</v>
      </c>
      <c r="B79" s="199" t="s">
        <v>568</v>
      </c>
      <c r="C79" s="200" t="s">
        <v>562</v>
      </c>
    </row>
    <row r="80" spans="1:3">
      <c r="A80" s="198">
        <v>77</v>
      </c>
      <c r="B80" s="199" t="s">
        <v>569</v>
      </c>
      <c r="C80" s="200" t="s">
        <v>562</v>
      </c>
    </row>
    <row r="81" spans="1:3">
      <c r="A81" s="198">
        <v>78</v>
      </c>
      <c r="B81" s="199" t="s">
        <v>570</v>
      </c>
      <c r="C81" s="200" t="s">
        <v>562</v>
      </c>
    </row>
    <row r="82" spans="1:3">
      <c r="A82" s="198">
        <v>79</v>
      </c>
      <c r="B82" s="199" t="s">
        <v>571</v>
      </c>
      <c r="C82" s="200" t="s">
        <v>562</v>
      </c>
    </row>
    <row r="83" spans="1:3">
      <c r="A83" s="198">
        <v>80</v>
      </c>
      <c r="B83" s="199" t="s">
        <v>572</v>
      </c>
      <c r="C83" s="200" t="s">
        <v>562</v>
      </c>
    </row>
    <row r="84" spans="1:3">
      <c r="A84" s="198">
        <v>81</v>
      </c>
      <c r="B84" s="199" t="s">
        <v>573</v>
      </c>
      <c r="C84" s="200" t="s">
        <v>562</v>
      </c>
    </row>
    <row r="85" spans="1:3">
      <c r="A85" s="198">
        <v>82</v>
      </c>
      <c r="B85" s="199" t="s">
        <v>574</v>
      </c>
      <c r="C85" s="200" t="s">
        <v>562</v>
      </c>
    </row>
    <row r="86" spans="1:3">
      <c r="A86" s="198">
        <v>83</v>
      </c>
      <c r="B86" s="199" t="s">
        <v>575</v>
      </c>
      <c r="C86" s="200" t="s">
        <v>576</v>
      </c>
    </row>
    <row r="87" spans="1:3">
      <c r="A87" s="198">
        <v>84</v>
      </c>
      <c r="B87" s="199" t="s">
        <v>577</v>
      </c>
      <c r="C87" s="200" t="s">
        <v>576</v>
      </c>
    </row>
    <row r="88" spans="1:3">
      <c r="A88" s="198">
        <v>85</v>
      </c>
      <c r="B88" s="199" t="s">
        <v>578</v>
      </c>
      <c r="C88" s="200" t="s">
        <v>576</v>
      </c>
    </row>
    <row r="89" spans="1:3">
      <c r="A89" s="198">
        <v>86</v>
      </c>
      <c r="B89" s="199" t="s">
        <v>579</v>
      </c>
      <c r="C89" s="200" t="s">
        <v>576</v>
      </c>
    </row>
    <row r="90" spans="1:3">
      <c r="A90" s="198">
        <v>87</v>
      </c>
      <c r="B90" s="199" t="s">
        <v>580</v>
      </c>
      <c r="C90" s="200" t="s">
        <v>576</v>
      </c>
    </row>
    <row r="91" spans="1:3">
      <c r="A91" s="198">
        <v>88</v>
      </c>
      <c r="B91" s="199" t="s">
        <v>581</v>
      </c>
      <c r="C91" s="200" t="s">
        <v>576</v>
      </c>
    </row>
    <row r="92" spans="1:3">
      <c r="A92" s="198">
        <v>89</v>
      </c>
      <c r="B92" s="199" t="s">
        <v>582</v>
      </c>
      <c r="C92" s="200" t="s">
        <v>576</v>
      </c>
    </row>
    <row r="93" spans="1:3">
      <c r="A93" s="198">
        <v>90</v>
      </c>
      <c r="B93" s="199" t="s">
        <v>583</v>
      </c>
      <c r="C93" s="200" t="s">
        <v>576</v>
      </c>
    </row>
    <row r="94" spans="1:3">
      <c r="A94" s="198">
        <v>91</v>
      </c>
      <c r="B94" s="199" t="s">
        <v>584</v>
      </c>
      <c r="C94" s="200" t="s">
        <v>585</v>
      </c>
    </row>
    <row r="95" spans="1:3">
      <c r="A95" s="198">
        <v>92</v>
      </c>
      <c r="B95" s="199" t="s">
        <v>586</v>
      </c>
      <c r="C95" s="200" t="s">
        <v>585</v>
      </c>
    </row>
    <row r="96" spans="1:3">
      <c r="A96" s="198">
        <v>93</v>
      </c>
      <c r="B96" s="199" t="s">
        <v>587</v>
      </c>
      <c r="C96" s="200" t="s">
        <v>585</v>
      </c>
    </row>
    <row r="97" spans="1:3">
      <c r="A97" s="198">
        <v>94</v>
      </c>
      <c r="B97" s="199" t="s">
        <v>588</v>
      </c>
      <c r="C97" s="200" t="s">
        <v>585</v>
      </c>
    </row>
    <row r="98" spans="1:3">
      <c r="A98" s="198">
        <v>95</v>
      </c>
      <c r="B98" s="199" t="s">
        <v>589</v>
      </c>
      <c r="C98" s="200" t="s">
        <v>585</v>
      </c>
    </row>
    <row r="99" spans="1:3">
      <c r="A99" s="198">
        <v>96</v>
      </c>
      <c r="B99" s="199" t="s">
        <v>590</v>
      </c>
      <c r="C99" s="200" t="s">
        <v>585</v>
      </c>
    </row>
    <row r="100" spans="1:3">
      <c r="A100" s="198">
        <v>97</v>
      </c>
      <c r="B100" s="199" t="s">
        <v>591</v>
      </c>
      <c r="C100" s="200" t="s">
        <v>585</v>
      </c>
    </row>
    <row r="101" spans="1:3">
      <c r="A101" s="198">
        <v>98</v>
      </c>
      <c r="B101" s="199" t="s">
        <v>592</v>
      </c>
      <c r="C101" s="200" t="s">
        <v>585</v>
      </c>
    </row>
    <row r="102" spans="1:3">
      <c r="A102" s="198">
        <v>99</v>
      </c>
      <c r="B102" s="199" t="s">
        <v>593</v>
      </c>
      <c r="C102" s="200" t="s">
        <v>585</v>
      </c>
    </row>
    <row r="103" spans="1:3">
      <c r="A103" s="198">
        <v>100</v>
      </c>
      <c r="B103" s="199" t="s">
        <v>594</v>
      </c>
      <c r="C103" s="200" t="s">
        <v>585</v>
      </c>
    </row>
    <row r="104" spans="1:3">
      <c r="A104" s="198">
        <v>101</v>
      </c>
      <c r="B104" s="199" t="s">
        <v>595</v>
      </c>
      <c r="C104" s="200" t="s">
        <v>585</v>
      </c>
    </row>
    <row r="105" spans="1:3">
      <c r="A105" s="198">
        <v>102</v>
      </c>
      <c r="B105" s="199" t="s">
        <v>596</v>
      </c>
      <c r="C105" s="200" t="s">
        <v>585</v>
      </c>
    </row>
    <row r="106" spans="1:3">
      <c r="A106" s="198">
        <v>103</v>
      </c>
      <c r="B106" s="199" t="s">
        <v>597</v>
      </c>
      <c r="C106" s="200" t="s">
        <v>598</v>
      </c>
    </row>
    <row r="107" spans="1:3">
      <c r="A107" s="198">
        <v>104</v>
      </c>
      <c r="B107" s="199" t="s">
        <v>599</v>
      </c>
      <c r="C107" s="200" t="s">
        <v>598</v>
      </c>
    </row>
    <row r="108" spans="1:3">
      <c r="A108" s="198">
        <v>105</v>
      </c>
      <c r="B108" s="199" t="s">
        <v>600</v>
      </c>
      <c r="C108" s="200" t="s">
        <v>598</v>
      </c>
    </row>
    <row r="109" spans="1:3">
      <c r="A109" s="198">
        <v>106</v>
      </c>
      <c r="B109" s="199" t="s">
        <v>601</v>
      </c>
      <c r="C109" s="200" t="s">
        <v>598</v>
      </c>
    </row>
    <row r="110" spans="1:3">
      <c r="A110" s="198">
        <v>107</v>
      </c>
      <c r="B110" s="199" t="s">
        <v>583</v>
      </c>
      <c r="C110" s="200" t="s">
        <v>598</v>
      </c>
    </row>
    <row r="111" spans="1:3">
      <c r="A111" s="198">
        <v>108</v>
      </c>
      <c r="B111" s="199" t="s">
        <v>602</v>
      </c>
      <c r="C111" s="200" t="s">
        <v>598</v>
      </c>
    </row>
    <row r="112" spans="1:3">
      <c r="A112" s="198">
        <v>109</v>
      </c>
      <c r="B112" s="199" t="s">
        <v>590</v>
      </c>
      <c r="C112" s="200" t="s">
        <v>603</v>
      </c>
    </row>
    <row r="113" spans="1:3">
      <c r="A113" s="198">
        <v>110</v>
      </c>
      <c r="B113" s="199" t="s">
        <v>604</v>
      </c>
      <c r="C113" s="200" t="s">
        <v>603</v>
      </c>
    </row>
    <row r="114" spans="1:3">
      <c r="A114" s="198">
        <v>111</v>
      </c>
      <c r="B114" s="199" t="s">
        <v>605</v>
      </c>
      <c r="C114" s="200" t="s">
        <v>603</v>
      </c>
    </row>
    <row r="115" spans="1:3">
      <c r="A115" s="198">
        <v>112</v>
      </c>
      <c r="B115" s="199" t="s">
        <v>606</v>
      </c>
      <c r="C115" s="200" t="s">
        <v>603</v>
      </c>
    </row>
    <row r="116" spans="1:3">
      <c r="A116" s="198">
        <v>113</v>
      </c>
      <c r="B116" s="199" t="s">
        <v>607</v>
      </c>
      <c r="C116" s="200" t="s">
        <v>603</v>
      </c>
    </row>
    <row r="117" spans="1:3">
      <c r="A117" s="198">
        <v>114</v>
      </c>
      <c r="B117" s="199" t="s">
        <v>608</v>
      </c>
      <c r="C117" s="200" t="s">
        <v>609</v>
      </c>
    </row>
    <row r="118" spans="1:3">
      <c r="A118" s="198">
        <v>115</v>
      </c>
      <c r="B118" s="199" t="s">
        <v>610</v>
      </c>
      <c r="C118" s="200" t="s">
        <v>609</v>
      </c>
    </row>
    <row r="119" spans="1:3">
      <c r="A119" s="198">
        <v>116</v>
      </c>
      <c r="B119" s="199" t="s">
        <v>611</v>
      </c>
      <c r="C119" s="200" t="s">
        <v>609</v>
      </c>
    </row>
    <row r="120" spans="1:3">
      <c r="A120" s="198">
        <v>117</v>
      </c>
      <c r="B120" s="199" t="s">
        <v>612</v>
      </c>
      <c r="C120" s="200" t="s">
        <v>609</v>
      </c>
    </row>
    <row r="121" spans="1:3">
      <c r="A121" s="198">
        <v>118</v>
      </c>
      <c r="B121" s="199" t="s">
        <v>613</v>
      </c>
      <c r="C121" s="200" t="s">
        <v>609</v>
      </c>
    </row>
    <row r="122" spans="1:3">
      <c r="A122" s="198">
        <v>119</v>
      </c>
      <c r="B122" s="199" t="s">
        <v>614</v>
      </c>
      <c r="C122" s="200" t="s">
        <v>609</v>
      </c>
    </row>
    <row r="123" spans="1:3">
      <c r="A123" s="198">
        <v>120</v>
      </c>
      <c r="B123" s="199" t="s">
        <v>615</v>
      </c>
      <c r="C123" s="200" t="s">
        <v>609</v>
      </c>
    </row>
    <row r="124" spans="1:3">
      <c r="A124" s="198">
        <v>121</v>
      </c>
      <c r="B124" s="199" t="s">
        <v>616</v>
      </c>
      <c r="C124" s="200" t="s">
        <v>609</v>
      </c>
    </row>
    <row r="125" spans="1:3">
      <c r="A125" s="198">
        <v>122</v>
      </c>
      <c r="B125" s="199" t="s">
        <v>617</v>
      </c>
      <c r="C125" s="200" t="s">
        <v>609</v>
      </c>
    </row>
    <row r="126" spans="1:3">
      <c r="A126" s="198">
        <v>123</v>
      </c>
      <c r="B126" s="199" t="s">
        <v>618</v>
      </c>
      <c r="C126" s="200" t="s">
        <v>609</v>
      </c>
    </row>
    <row r="127" spans="1:3">
      <c r="A127" s="198">
        <v>124</v>
      </c>
      <c r="B127" s="199" t="s">
        <v>619</v>
      </c>
      <c r="C127" s="200" t="s">
        <v>609</v>
      </c>
    </row>
    <row r="128" spans="1:3">
      <c r="A128" s="198">
        <v>125</v>
      </c>
      <c r="B128" s="199" t="s">
        <v>620</v>
      </c>
      <c r="C128" s="200" t="s">
        <v>609</v>
      </c>
    </row>
    <row r="129" spans="1:3">
      <c r="A129" s="198">
        <v>126</v>
      </c>
      <c r="B129" s="199" t="s">
        <v>621</v>
      </c>
      <c r="C129" s="200" t="s">
        <v>609</v>
      </c>
    </row>
    <row r="130" spans="1:3">
      <c r="A130" s="198">
        <v>127</v>
      </c>
      <c r="B130" s="199" t="s">
        <v>622</v>
      </c>
      <c r="C130" s="200" t="s">
        <v>609</v>
      </c>
    </row>
    <row r="131" spans="1:3">
      <c r="A131" s="198">
        <v>128</v>
      </c>
      <c r="B131" s="199" t="s">
        <v>623</v>
      </c>
      <c r="C131" s="200" t="s">
        <v>609</v>
      </c>
    </row>
    <row r="132" spans="1:3">
      <c r="A132" s="198">
        <v>129</v>
      </c>
      <c r="B132" s="199" t="s">
        <v>624</v>
      </c>
      <c r="C132" s="200" t="s">
        <v>609</v>
      </c>
    </row>
    <row r="133" spans="1:3">
      <c r="A133" s="198">
        <v>130</v>
      </c>
      <c r="B133" s="199" t="s">
        <v>625</v>
      </c>
      <c r="C133" s="200" t="s">
        <v>609</v>
      </c>
    </row>
    <row r="134" spans="1:3">
      <c r="A134" s="198">
        <v>131</v>
      </c>
      <c r="B134" s="199" t="s">
        <v>626</v>
      </c>
      <c r="C134" s="200" t="s">
        <v>609</v>
      </c>
    </row>
    <row r="135" spans="1:3">
      <c r="A135" s="198">
        <v>132</v>
      </c>
      <c r="B135" s="199" t="s">
        <v>627</v>
      </c>
      <c r="C135" s="200" t="s">
        <v>609</v>
      </c>
    </row>
    <row r="136" spans="1:3">
      <c r="A136" s="198">
        <v>133</v>
      </c>
      <c r="B136" s="199" t="s">
        <v>628</v>
      </c>
      <c r="C136" s="200" t="s">
        <v>629</v>
      </c>
    </row>
    <row r="137" spans="1:3">
      <c r="A137" s="198">
        <v>134</v>
      </c>
      <c r="B137" s="199" t="s">
        <v>630</v>
      </c>
      <c r="C137" s="200" t="s">
        <v>629</v>
      </c>
    </row>
    <row r="138" spans="1:3">
      <c r="A138" s="198">
        <v>135</v>
      </c>
      <c r="B138" s="199" t="s">
        <v>631</v>
      </c>
      <c r="C138" s="200" t="s">
        <v>629</v>
      </c>
    </row>
    <row r="139" spans="1:3">
      <c r="A139" s="198">
        <v>136</v>
      </c>
      <c r="B139" s="199" t="s">
        <v>632</v>
      </c>
      <c r="C139" s="200" t="s">
        <v>629</v>
      </c>
    </row>
    <row r="140" spans="1:3">
      <c r="A140" s="198">
        <v>137</v>
      </c>
      <c r="B140" s="199" t="s">
        <v>633</v>
      </c>
      <c r="C140" s="200" t="s">
        <v>629</v>
      </c>
    </row>
    <row r="141" spans="1:3">
      <c r="A141" s="198">
        <v>138</v>
      </c>
      <c r="B141" s="199" t="s">
        <v>634</v>
      </c>
      <c r="C141" s="200" t="s">
        <v>629</v>
      </c>
    </row>
    <row r="142" spans="1:3">
      <c r="A142" s="198">
        <v>139</v>
      </c>
      <c r="B142" s="199" t="s">
        <v>635</v>
      </c>
      <c r="C142" s="200" t="s">
        <v>629</v>
      </c>
    </row>
    <row r="143" spans="1:3">
      <c r="A143" s="198">
        <v>140</v>
      </c>
      <c r="B143" s="199" t="s">
        <v>636</v>
      </c>
      <c r="C143" s="200" t="s">
        <v>629</v>
      </c>
    </row>
    <row r="144" spans="1:3">
      <c r="A144" s="198">
        <v>141</v>
      </c>
      <c r="B144" s="199" t="s">
        <v>637</v>
      </c>
      <c r="C144" s="200" t="s">
        <v>629</v>
      </c>
    </row>
    <row r="145" spans="1:3">
      <c r="A145" s="198">
        <v>142</v>
      </c>
      <c r="B145" s="199" t="s">
        <v>638</v>
      </c>
      <c r="C145" s="200" t="s">
        <v>639</v>
      </c>
    </row>
    <row r="146" spans="1:3">
      <c r="A146" s="198">
        <v>143</v>
      </c>
      <c r="B146" s="199" t="s">
        <v>640</v>
      </c>
      <c r="C146" s="200" t="s">
        <v>639</v>
      </c>
    </row>
    <row r="147" spans="1:3">
      <c r="A147" s="198">
        <v>144</v>
      </c>
      <c r="B147" s="199" t="s">
        <v>641</v>
      </c>
      <c r="C147" s="200" t="s">
        <v>639</v>
      </c>
    </row>
    <row r="148" spans="1:3">
      <c r="A148" s="198">
        <v>145</v>
      </c>
      <c r="B148" s="199" t="s">
        <v>7</v>
      </c>
      <c r="C148" s="200" t="s">
        <v>639</v>
      </c>
    </row>
    <row r="149" spans="1:3">
      <c r="A149" s="198">
        <v>146</v>
      </c>
      <c r="B149" s="199" t="s">
        <v>642</v>
      </c>
      <c r="C149" s="200" t="s">
        <v>639</v>
      </c>
    </row>
    <row r="150" spans="1:3">
      <c r="A150" s="198">
        <v>147</v>
      </c>
      <c r="B150" s="199" t="s">
        <v>643</v>
      </c>
      <c r="C150" s="200" t="s">
        <v>639</v>
      </c>
    </row>
    <row r="151" spans="1:3">
      <c r="A151" s="198">
        <v>148</v>
      </c>
      <c r="B151" s="199" t="s">
        <v>644</v>
      </c>
      <c r="C151" s="200" t="s">
        <v>639</v>
      </c>
    </row>
    <row r="152" spans="1:3">
      <c r="A152" s="198">
        <v>149</v>
      </c>
      <c r="B152" s="199" t="s">
        <v>645</v>
      </c>
      <c r="C152" s="200" t="s">
        <v>639</v>
      </c>
    </row>
    <row r="153" spans="1:3">
      <c r="A153" s="198">
        <v>150</v>
      </c>
      <c r="B153" s="199" t="s">
        <v>6</v>
      </c>
      <c r="C153" s="200" t="s">
        <v>639</v>
      </c>
    </row>
    <row r="154" spans="1:3">
      <c r="A154" s="198">
        <v>151</v>
      </c>
      <c r="B154" s="199" t="s">
        <v>646</v>
      </c>
      <c r="C154" s="200" t="s">
        <v>639</v>
      </c>
    </row>
    <row r="155" spans="1:3">
      <c r="A155" s="198">
        <v>152</v>
      </c>
      <c r="B155" s="199" t="s">
        <v>647</v>
      </c>
      <c r="C155" s="200" t="s">
        <v>639</v>
      </c>
    </row>
    <row r="156" spans="1:3">
      <c r="A156" s="198">
        <v>153</v>
      </c>
      <c r="B156" s="199" t="s">
        <v>648</v>
      </c>
      <c r="C156" s="200" t="s">
        <v>649</v>
      </c>
    </row>
    <row r="157" spans="1:3">
      <c r="A157" s="198">
        <v>154</v>
      </c>
      <c r="B157" s="199" t="s">
        <v>650</v>
      </c>
      <c r="C157" s="200" t="s">
        <v>649</v>
      </c>
    </row>
    <row r="158" spans="1:3">
      <c r="A158" s="198">
        <v>155</v>
      </c>
      <c r="B158" s="199" t="s">
        <v>651</v>
      </c>
      <c r="C158" s="200" t="s">
        <v>649</v>
      </c>
    </row>
    <row r="159" spans="1:3">
      <c r="A159" s="198">
        <v>156</v>
      </c>
      <c r="B159" s="199" t="s">
        <v>652</v>
      </c>
      <c r="C159" s="200" t="s">
        <v>649</v>
      </c>
    </row>
    <row r="160" spans="1:3">
      <c r="A160" s="198">
        <v>157</v>
      </c>
      <c r="B160" s="199" t="s">
        <v>653</v>
      </c>
      <c r="C160" s="200" t="s">
        <v>649</v>
      </c>
    </row>
    <row r="161" spans="1:3">
      <c r="A161" s="198">
        <v>158</v>
      </c>
      <c r="B161" s="199" t="s">
        <v>654</v>
      </c>
      <c r="C161" s="200" t="s">
        <v>649</v>
      </c>
    </row>
    <row r="162" spans="1:3">
      <c r="A162" s="198">
        <v>159</v>
      </c>
      <c r="B162" s="199" t="s">
        <v>655</v>
      </c>
      <c r="C162" s="200" t="s">
        <v>649</v>
      </c>
    </row>
    <row r="163" spans="1:3">
      <c r="A163" s="198">
        <v>160</v>
      </c>
      <c r="B163" s="199" t="s">
        <v>656</v>
      </c>
      <c r="C163" s="200" t="s">
        <v>649</v>
      </c>
    </row>
    <row r="164" spans="1:3">
      <c r="A164" s="198">
        <v>161</v>
      </c>
      <c r="B164" s="199" t="s">
        <v>657</v>
      </c>
      <c r="C164" s="200" t="s">
        <v>649</v>
      </c>
    </row>
    <row r="165" spans="1:3">
      <c r="A165" s="198">
        <v>162</v>
      </c>
      <c r="B165" s="199" t="s">
        <v>658</v>
      </c>
      <c r="C165" s="200" t="s">
        <v>659</v>
      </c>
    </row>
    <row r="166" spans="1:3">
      <c r="A166" s="198">
        <v>163</v>
      </c>
      <c r="B166" s="199" t="s">
        <v>660</v>
      </c>
      <c r="C166" s="200" t="s">
        <v>659</v>
      </c>
    </row>
    <row r="167" spans="1:3">
      <c r="A167" s="198">
        <v>164</v>
      </c>
      <c r="B167" s="199" t="s">
        <v>661</v>
      </c>
      <c r="C167" s="200" t="s">
        <v>659</v>
      </c>
    </row>
    <row r="168" spans="1:3">
      <c r="A168" s="198">
        <v>165</v>
      </c>
      <c r="B168" s="199" t="s">
        <v>662</v>
      </c>
      <c r="C168" s="200" t="s">
        <v>659</v>
      </c>
    </row>
    <row r="169" spans="1:3">
      <c r="A169" s="198">
        <v>166</v>
      </c>
      <c r="B169" s="199" t="s">
        <v>663</v>
      </c>
      <c r="C169" s="200" t="s">
        <v>659</v>
      </c>
    </row>
    <row r="170" spans="1:3">
      <c r="A170" s="198">
        <v>167</v>
      </c>
      <c r="B170" s="199" t="s">
        <v>664</v>
      </c>
      <c r="C170" s="200" t="s">
        <v>659</v>
      </c>
    </row>
    <row r="171" spans="1:3" ht="15" thickBot="1">
      <c r="A171" s="201">
        <v>168</v>
      </c>
      <c r="B171" s="202" t="s">
        <v>665</v>
      </c>
      <c r="C171" s="203" t="s">
        <v>659</v>
      </c>
    </row>
  </sheetData>
  <mergeCells count="1">
    <mergeCell ref="C1:C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9690-0B9F-4E0B-ACF2-7E9B0487FD41}">
  <dimension ref="A1:M15"/>
  <sheetViews>
    <sheetView workbookViewId="0">
      <selection activeCell="F6" sqref="F6"/>
    </sheetView>
  </sheetViews>
  <sheetFormatPr defaultRowHeight="14.25"/>
  <cols>
    <col min="1" max="1" width="6.75" bestFit="1" customWidth="1"/>
    <col min="2" max="2" width="16.375" bestFit="1" customWidth="1"/>
    <col min="6" max="6" width="14.375" bestFit="1" customWidth="1"/>
    <col min="11" max="11" width="24.375" customWidth="1"/>
    <col min="13" max="13" width="15.75" customWidth="1"/>
  </cols>
  <sheetData>
    <row r="1" spans="1:13" ht="16.5" thickBot="1">
      <c r="A1" s="82" t="s">
        <v>0</v>
      </c>
      <c r="B1" s="82" t="s">
        <v>1</v>
      </c>
      <c r="C1" s="82" t="s">
        <v>2</v>
      </c>
      <c r="D1" s="82" t="s">
        <v>3</v>
      </c>
      <c r="E1" s="82" t="s">
        <v>4</v>
      </c>
      <c r="F1" s="73" t="s">
        <v>459</v>
      </c>
      <c r="J1" s="65" t="s">
        <v>447</v>
      </c>
      <c r="K1" s="66" t="s">
        <v>448</v>
      </c>
      <c r="L1" s="67" t="s">
        <v>449</v>
      </c>
      <c r="M1" s="67" t="s">
        <v>450</v>
      </c>
    </row>
    <row r="2" spans="1:13" ht="16.5" thickBot="1">
      <c r="A2" s="83">
        <v>1</v>
      </c>
      <c r="B2" s="84" t="s">
        <v>5</v>
      </c>
      <c r="C2" s="85">
        <v>75</v>
      </c>
      <c r="D2" s="85">
        <v>10</v>
      </c>
      <c r="E2" s="85">
        <f>C2-D2</f>
        <v>65</v>
      </c>
      <c r="F2" s="86">
        <f>E2/C2</f>
        <v>0.8666666666666667</v>
      </c>
      <c r="J2" s="68">
        <v>1</v>
      </c>
      <c r="K2" s="69" t="s">
        <v>451</v>
      </c>
      <c r="L2" s="70" t="s">
        <v>452</v>
      </c>
      <c r="M2" s="70">
        <v>1</v>
      </c>
    </row>
    <row r="3" spans="1:13" ht="16.5" thickBot="1">
      <c r="A3" s="87">
        <v>2</v>
      </c>
      <c r="B3" s="3" t="s">
        <v>6</v>
      </c>
      <c r="C3" s="2">
        <v>75</v>
      </c>
      <c r="D3" s="2">
        <v>5</v>
      </c>
      <c r="E3" s="2">
        <f>C3-D3</f>
        <v>70</v>
      </c>
      <c r="F3" s="88">
        <f>E3/C3</f>
        <v>0.93333333333333335</v>
      </c>
      <c r="J3" s="68">
        <v>2</v>
      </c>
      <c r="K3" s="69" t="s">
        <v>453</v>
      </c>
      <c r="L3" s="70" t="s">
        <v>454</v>
      </c>
      <c r="M3" s="70">
        <v>1</v>
      </c>
    </row>
    <row r="4" spans="1:13" ht="16.5" thickBot="1">
      <c r="A4" s="89">
        <v>3</v>
      </c>
      <c r="B4" s="90" t="s">
        <v>7</v>
      </c>
      <c r="C4" s="91">
        <v>1</v>
      </c>
      <c r="D4" s="91">
        <v>0</v>
      </c>
      <c r="E4" s="91">
        <f>C4-D4</f>
        <v>1</v>
      </c>
      <c r="F4" s="92">
        <f>E4/C4</f>
        <v>1</v>
      </c>
      <c r="J4" s="68">
        <v>3</v>
      </c>
      <c r="K4" s="69" t="s">
        <v>455</v>
      </c>
      <c r="L4" s="70" t="s">
        <v>452</v>
      </c>
      <c r="M4" s="70">
        <v>25</v>
      </c>
    </row>
    <row r="5" spans="1:13" ht="16.5" thickBot="1">
      <c r="E5" s="64" t="s">
        <v>480</v>
      </c>
      <c r="F5" s="93">
        <f>AVERAGE(F2:F4)</f>
        <v>0.93333333333333324</v>
      </c>
      <c r="J5" s="68">
        <v>4</v>
      </c>
      <c r="K5" s="69" t="s">
        <v>456</v>
      </c>
      <c r="L5" s="70" t="s">
        <v>452</v>
      </c>
      <c r="M5" s="70">
        <v>1</v>
      </c>
    </row>
    <row r="6" spans="1:13" ht="16.5" thickBot="1">
      <c r="J6" s="68">
        <v>5</v>
      </c>
      <c r="K6" s="69" t="s">
        <v>457</v>
      </c>
      <c r="L6" s="70" t="s">
        <v>452</v>
      </c>
      <c r="M6" s="70">
        <v>1</v>
      </c>
    </row>
    <row r="7" spans="1:13" ht="16.5" thickBot="1">
      <c r="J7" s="68">
        <v>6</v>
      </c>
      <c r="K7" s="69" t="s">
        <v>458</v>
      </c>
      <c r="L7" s="70" t="s">
        <v>452</v>
      </c>
      <c r="M7" s="70">
        <v>1</v>
      </c>
    </row>
    <row r="8" spans="1:13" ht="15">
      <c r="A8" s="1" t="s">
        <v>0</v>
      </c>
      <c r="B8" s="1" t="s">
        <v>1</v>
      </c>
      <c r="C8" s="1" t="s">
        <v>3</v>
      </c>
      <c r="D8" s="1" t="s">
        <v>4</v>
      </c>
    </row>
    <row r="9" spans="1:13">
      <c r="A9" s="2">
        <v>1</v>
      </c>
      <c r="B9" s="3" t="s">
        <v>5</v>
      </c>
      <c r="C9" s="77">
        <f>D2</f>
        <v>10</v>
      </c>
      <c r="D9" s="77">
        <f>E2</f>
        <v>65</v>
      </c>
    </row>
    <row r="11" spans="1:13" ht="15">
      <c r="A11" s="1" t="s">
        <v>0</v>
      </c>
      <c r="B11" s="1" t="s">
        <v>1</v>
      </c>
      <c r="C11" s="1" t="s">
        <v>3</v>
      </c>
      <c r="D11" s="1" t="s">
        <v>4</v>
      </c>
    </row>
    <row r="12" spans="1:13">
      <c r="A12" s="2">
        <v>2</v>
      </c>
      <c r="B12" s="3" t="s">
        <v>6</v>
      </c>
      <c r="C12" s="77">
        <f>D3</f>
        <v>5</v>
      </c>
      <c r="D12" s="77">
        <f>E3</f>
        <v>70</v>
      </c>
    </row>
    <row r="14" spans="1:13" ht="15">
      <c r="A14" s="1" t="s">
        <v>0</v>
      </c>
      <c r="B14" s="1" t="s">
        <v>1</v>
      </c>
      <c r="C14" s="1" t="s">
        <v>3</v>
      </c>
      <c r="D14" s="1" t="s">
        <v>4</v>
      </c>
    </row>
    <row r="15" spans="1:13">
      <c r="A15" s="2">
        <v>3</v>
      </c>
      <c r="B15" s="3" t="s">
        <v>7</v>
      </c>
      <c r="C15" s="77">
        <f>D4</f>
        <v>0</v>
      </c>
      <c r="D15" s="77">
        <f>E4</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8C46-2AF7-46BD-A685-439D590BA029}">
  <dimension ref="A3:C9"/>
  <sheetViews>
    <sheetView workbookViewId="0">
      <selection activeCell="R20" sqref="R20"/>
    </sheetView>
  </sheetViews>
  <sheetFormatPr defaultRowHeight="14.25"/>
  <cols>
    <col min="1" max="1" width="14" bestFit="1" customWidth="1"/>
    <col min="2" max="2" width="37.625" customWidth="1"/>
    <col min="3" max="3" width="21" customWidth="1"/>
  </cols>
  <sheetData>
    <row r="3" spans="1:3" ht="15">
      <c r="A3" s="80" t="s">
        <v>472</v>
      </c>
      <c r="B3" s="80" t="s">
        <v>470</v>
      </c>
      <c r="C3" s="80" t="s">
        <v>471</v>
      </c>
    </row>
    <row r="4" spans="1:3">
      <c r="A4" s="79">
        <v>1</v>
      </c>
      <c r="B4" s="78">
        <v>19.07</v>
      </c>
      <c r="C4" s="79">
        <v>17</v>
      </c>
    </row>
    <row r="5" spans="1:3">
      <c r="A5" s="79">
        <v>2</v>
      </c>
      <c r="B5" s="78">
        <v>23</v>
      </c>
      <c r="C5" s="79">
        <v>17</v>
      </c>
    </row>
    <row r="6" spans="1:3">
      <c r="A6" s="79">
        <v>3</v>
      </c>
      <c r="B6" s="78">
        <v>22.24</v>
      </c>
      <c r="C6" s="79">
        <v>17</v>
      </c>
    </row>
    <row r="7" spans="1:3">
      <c r="A7" s="79">
        <v>4</v>
      </c>
      <c r="B7" s="78">
        <v>18.03</v>
      </c>
      <c r="C7" s="79">
        <v>17</v>
      </c>
    </row>
    <row r="8" spans="1:3">
      <c r="A8" s="79">
        <v>5</v>
      </c>
      <c r="B8" s="78">
        <v>18.239999999999998</v>
      </c>
      <c r="C8" s="79">
        <v>17</v>
      </c>
    </row>
    <row r="9" spans="1:3">
      <c r="A9" s="79">
        <v>6</v>
      </c>
      <c r="B9" s="78">
        <v>19.16</v>
      </c>
      <c r="C9" s="79">
        <v>17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3E82-F0A8-444A-BC85-EFE4D0C5FB2A}">
  <dimension ref="A4"/>
  <sheetViews>
    <sheetView workbookViewId="0">
      <selection activeCell="I26" sqref="H25:I26"/>
    </sheetView>
  </sheetViews>
  <sheetFormatPr defaultRowHeight="14.25"/>
  <sheetData>
    <row r="4" spans="1:1" ht="15">
      <c r="A4" s="6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67A2-D3EB-4497-AB05-B6BB870F4714}">
  <dimension ref="A1:O111"/>
  <sheetViews>
    <sheetView workbookViewId="0">
      <selection activeCell="D24" sqref="D24"/>
    </sheetView>
  </sheetViews>
  <sheetFormatPr defaultRowHeight="14.25"/>
  <cols>
    <col min="1" max="4" width="17.75" customWidth="1"/>
    <col min="5" max="5" width="67.375" customWidth="1"/>
    <col min="6" max="9" width="17.75" customWidth="1"/>
  </cols>
  <sheetData>
    <row r="1" spans="1:15" ht="18">
      <c r="A1" s="142" t="s">
        <v>421</v>
      </c>
      <c r="B1" s="143"/>
      <c r="C1" s="143"/>
      <c r="D1" s="143"/>
      <c r="E1" s="143"/>
      <c r="F1" s="143"/>
      <c r="G1" s="143"/>
      <c r="H1" s="143"/>
      <c r="I1" s="41"/>
      <c r="J1" s="39"/>
      <c r="K1" s="39"/>
      <c r="L1" s="39"/>
      <c r="M1" s="39"/>
      <c r="N1" s="39"/>
      <c r="O1" s="39"/>
    </row>
    <row r="2" spans="1:15" ht="25.5">
      <c r="A2" s="53" t="s">
        <v>422</v>
      </c>
      <c r="B2" s="54" t="s">
        <v>423</v>
      </c>
      <c r="C2" s="54" t="s">
        <v>424</v>
      </c>
      <c r="D2" s="54" t="s">
        <v>39</v>
      </c>
      <c r="E2" s="54" t="s">
        <v>425</v>
      </c>
      <c r="F2" s="54" t="s">
        <v>426</v>
      </c>
      <c r="G2" s="54" t="s">
        <v>427</v>
      </c>
      <c r="H2" s="54" t="s">
        <v>428</v>
      </c>
      <c r="I2" s="55" t="s">
        <v>429</v>
      </c>
      <c r="J2" s="39"/>
      <c r="K2" s="39"/>
      <c r="L2" s="39"/>
      <c r="M2" s="39"/>
      <c r="N2" s="39"/>
      <c r="O2" s="39"/>
    </row>
    <row r="3" spans="1:15" ht="127.5">
      <c r="A3" s="43">
        <v>1</v>
      </c>
      <c r="B3" s="44">
        <v>45422</v>
      </c>
      <c r="C3" s="45" t="s">
        <v>430</v>
      </c>
      <c r="D3" s="45" t="s">
        <v>431</v>
      </c>
      <c r="E3" s="46" t="s">
        <v>432</v>
      </c>
      <c r="F3" s="45" t="s">
        <v>433</v>
      </c>
      <c r="G3" s="44">
        <v>45424</v>
      </c>
      <c r="H3" s="45"/>
      <c r="I3" s="47" t="s">
        <v>3</v>
      </c>
      <c r="J3" s="39"/>
      <c r="K3" s="39"/>
      <c r="L3" s="39"/>
      <c r="M3" s="39"/>
      <c r="N3" s="39"/>
    </row>
    <row r="4" spans="1:15">
      <c r="A4" s="43"/>
      <c r="B4" s="45"/>
      <c r="C4" s="45"/>
      <c r="D4" s="45"/>
      <c r="E4" s="46"/>
      <c r="F4" s="45"/>
      <c r="G4" s="45"/>
      <c r="H4" s="45"/>
      <c r="I4" s="47"/>
      <c r="J4" s="39"/>
      <c r="K4" s="39"/>
      <c r="L4" s="39"/>
      <c r="M4" s="39"/>
      <c r="N4" s="39"/>
      <c r="O4" s="40"/>
    </row>
    <row r="5" spans="1:15">
      <c r="A5" s="43"/>
      <c r="B5" s="45"/>
      <c r="C5" s="45"/>
      <c r="D5" s="42"/>
      <c r="E5" s="46"/>
      <c r="F5" s="45"/>
      <c r="G5" s="45"/>
      <c r="H5" s="45"/>
      <c r="I5" s="47"/>
      <c r="J5" s="39"/>
      <c r="K5" s="39"/>
      <c r="L5" s="39"/>
      <c r="M5" s="39"/>
      <c r="N5" s="39"/>
      <c r="O5" s="39"/>
    </row>
    <row r="6" spans="1:15">
      <c r="A6" s="43"/>
      <c r="B6" s="45"/>
      <c r="C6" s="45"/>
      <c r="D6" s="45"/>
      <c r="E6" s="46"/>
      <c r="F6" s="45"/>
      <c r="G6" s="45"/>
      <c r="H6" s="45"/>
      <c r="I6" s="47"/>
      <c r="J6" s="39"/>
      <c r="K6" s="39"/>
      <c r="L6" s="39"/>
      <c r="M6" s="39"/>
      <c r="N6" s="39"/>
      <c r="O6" s="39"/>
    </row>
    <row r="7" spans="1:15">
      <c r="A7" s="43"/>
      <c r="B7" s="45"/>
      <c r="C7" s="45"/>
      <c r="D7" s="45"/>
      <c r="E7" s="46"/>
      <c r="F7" s="45"/>
      <c r="G7" s="45"/>
      <c r="H7" s="45"/>
      <c r="I7" s="47"/>
      <c r="J7" s="39"/>
      <c r="K7" s="39"/>
      <c r="L7" s="39"/>
      <c r="M7" s="39"/>
      <c r="N7" s="39"/>
      <c r="O7" s="40"/>
    </row>
    <row r="8" spans="1:15">
      <c r="A8" s="43"/>
      <c r="B8" s="45"/>
      <c r="C8" s="45"/>
      <c r="D8" s="45"/>
      <c r="E8" s="46"/>
      <c r="F8" s="45"/>
      <c r="G8" s="45"/>
      <c r="H8" s="45"/>
      <c r="I8" s="47"/>
      <c r="J8" s="39"/>
      <c r="K8" s="39"/>
      <c r="L8" s="39"/>
      <c r="M8" s="39"/>
      <c r="N8" s="39"/>
      <c r="O8" s="39"/>
    </row>
    <row r="9" spans="1:15">
      <c r="A9" s="43"/>
      <c r="B9" s="45"/>
      <c r="C9" s="45"/>
      <c r="D9" s="45"/>
      <c r="E9" s="46"/>
      <c r="F9" s="45"/>
      <c r="G9" s="45"/>
      <c r="H9" s="45"/>
      <c r="I9" s="47"/>
      <c r="J9" s="39"/>
      <c r="K9" s="39"/>
      <c r="L9" s="39"/>
      <c r="M9" s="39"/>
      <c r="N9" s="39"/>
      <c r="O9" s="39"/>
    </row>
    <row r="10" spans="1:15">
      <c r="A10" s="43"/>
      <c r="B10" s="45"/>
      <c r="C10" s="45"/>
      <c r="D10" s="45"/>
      <c r="E10" s="46"/>
      <c r="F10" s="45"/>
      <c r="G10" s="45"/>
      <c r="H10" s="45"/>
      <c r="I10" s="47"/>
      <c r="J10" s="39"/>
      <c r="K10" s="39"/>
      <c r="L10" s="39"/>
      <c r="M10" s="39"/>
      <c r="N10" s="39"/>
      <c r="O10" s="39"/>
    </row>
    <row r="11" spans="1:15">
      <c r="A11" s="43"/>
      <c r="B11" s="45"/>
      <c r="C11" s="45"/>
      <c r="D11" s="45"/>
      <c r="E11" s="46"/>
      <c r="F11" s="45"/>
      <c r="G11" s="45"/>
      <c r="H11" s="45"/>
      <c r="I11" s="47"/>
      <c r="J11" s="39"/>
      <c r="K11" s="39"/>
      <c r="L11" s="39"/>
      <c r="M11" s="39"/>
      <c r="N11" s="39"/>
      <c r="O11" s="39"/>
    </row>
    <row r="12" spans="1:15">
      <c r="A12" s="43"/>
      <c r="B12" s="45"/>
      <c r="C12" s="45"/>
      <c r="D12" s="45"/>
      <c r="E12" s="46"/>
      <c r="F12" s="45"/>
      <c r="G12" s="45"/>
      <c r="H12" s="45"/>
      <c r="I12" s="47"/>
      <c r="J12" s="39"/>
      <c r="K12" s="39"/>
      <c r="L12" s="39"/>
      <c r="M12" s="39"/>
      <c r="N12" s="39"/>
      <c r="O12" s="39"/>
    </row>
    <row r="13" spans="1:15">
      <c r="A13" s="43"/>
      <c r="B13" s="45"/>
      <c r="C13" s="45"/>
      <c r="D13" s="45"/>
      <c r="E13" s="46"/>
      <c r="F13" s="45"/>
      <c r="G13" s="45"/>
      <c r="H13" s="45"/>
      <c r="I13" s="47"/>
      <c r="J13" s="39"/>
      <c r="K13" s="39"/>
      <c r="L13" s="39"/>
      <c r="M13" s="39"/>
      <c r="N13" s="39"/>
      <c r="O13" s="39"/>
    </row>
    <row r="14" spans="1:15">
      <c r="A14" s="43"/>
      <c r="B14" s="45"/>
      <c r="C14" s="45"/>
      <c r="D14" s="45"/>
      <c r="E14" s="46"/>
      <c r="F14" s="45"/>
      <c r="G14" s="45"/>
      <c r="H14" s="45"/>
      <c r="I14" s="47"/>
      <c r="J14" s="39"/>
      <c r="K14" s="39"/>
      <c r="L14" s="39"/>
      <c r="M14" s="39"/>
      <c r="N14" s="39"/>
      <c r="O14" s="39"/>
    </row>
    <row r="15" spans="1:15">
      <c r="A15" s="43"/>
      <c r="B15" s="45"/>
      <c r="C15" s="45"/>
      <c r="D15" s="45"/>
      <c r="E15" s="46"/>
      <c r="F15" s="45"/>
      <c r="G15" s="45"/>
      <c r="H15" s="45"/>
      <c r="I15" s="47"/>
      <c r="J15" s="39"/>
      <c r="K15" s="39"/>
      <c r="L15" s="39"/>
      <c r="M15" s="39"/>
      <c r="N15" s="39"/>
      <c r="O15" s="39"/>
    </row>
    <row r="16" spans="1:15">
      <c r="A16" s="43"/>
      <c r="B16" s="45"/>
      <c r="C16" s="45"/>
      <c r="D16" s="45"/>
      <c r="E16" s="46"/>
      <c r="F16" s="45"/>
      <c r="G16" s="45"/>
      <c r="H16" s="45"/>
      <c r="I16" s="47"/>
      <c r="J16" s="39"/>
      <c r="K16" s="39"/>
      <c r="L16" s="39"/>
      <c r="M16" s="39"/>
      <c r="N16" s="39"/>
      <c r="O16" s="39"/>
    </row>
    <row r="17" spans="1:9">
      <c r="A17" s="43"/>
      <c r="B17" s="45"/>
      <c r="C17" s="45"/>
      <c r="D17" s="45"/>
      <c r="E17" s="46"/>
      <c r="F17" s="45"/>
      <c r="G17" s="45"/>
      <c r="H17" s="45"/>
      <c r="I17" s="47"/>
    </row>
    <row r="18" spans="1:9">
      <c r="A18" s="43"/>
      <c r="B18" s="45"/>
      <c r="C18" s="45"/>
      <c r="D18" s="45"/>
      <c r="E18" s="46"/>
      <c r="F18" s="45"/>
      <c r="G18" s="45"/>
      <c r="H18" s="45"/>
      <c r="I18" s="47"/>
    </row>
    <row r="19" spans="1:9">
      <c r="A19" s="43"/>
      <c r="B19" s="45"/>
      <c r="C19" s="45"/>
      <c r="D19" s="45"/>
      <c r="E19" s="46"/>
      <c r="F19" s="45"/>
      <c r="G19" s="45"/>
      <c r="H19" s="45"/>
      <c r="I19" s="47"/>
    </row>
    <row r="20" spans="1:9">
      <c r="A20" s="43"/>
      <c r="B20" s="45"/>
      <c r="C20" s="45"/>
      <c r="D20" s="45"/>
      <c r="E20" s="46"/>
      <c r="F20" s="45"/>
      <c r="G20" s="45"/>
      <c r="H20" s="45"/>
      <c r="I20" s="47"/>
    </row>
    <row r="21" spans="1:9">
      <c r="A21" s="43"/>
      <c r="B21" s="45"/>
      <c r="C21" s="45"/>
      <c r="D21" s="45"/>
      <c r="E21" s="46"/>
      <c r="F21" s="45"/>
      <c r="G21" s="45"/>
      <c r="H21" s="45"/>
      <c r="I21" s="47"/>
    </row>
    <row r="22" spans="1:9">
      <c r="A22" s="43"/>
      <c r="B22" s="45"/>
      <c r="C22" s="45"/>
      <c r="D22" s="45"/>
      <c r="E22" s="46"/>
      <c r="F22" s="45"/>
      <c r="G22" s="45"/>
      <c r="H22" s="45"/>
      <c r="I22" s="47"/>
    </row>
    <row r="23" spans="1:9">
      <c r="A23" s="43"/>
      <c r="B23" s="45"/>
      <c r="C23" s="45"/>
      <c r="D23" s="45"/>
      <c r="E23" s="46"/>
      <c r="F23" s="45"/>
      <c r="G23" s="45"/>
      <c r="H23" s="45"/>
      <c r="I23" s="47"/>
    </row>
    <row r="24" spans="1:9">
      <c r="A24" s="43"/>
      <c r="B24" s="45"/>
      <c r="C24" s="45"/>
      <c r="D24" s="45"/>
      <c r="E24" s="46"/>
      <c r="F24" s="45"/>
      <c r="G24" s="45"/>
      <c r="H24" s="45"/>
      <c r="I24" s="47"/>
    </row>
    <row r="25" spans="1:9">
      <c r="A25" s="43"/>
      <c r="B25" s="45"/>
      <c r="C25" s="45"/>
      <c r="D25" s="45"/>
      <c r="E25" s="46"/>
      <c r="F25" s="45"/>
      <c r="G25" s="45"/>
      <c r="H25" s="45"/>
      <c r="I25" s="47"/>
    </row>
    <row r="26" spans="1:9">
      <c r="A26" s="43"/>
      <c r="B26" s="45"/>
      <c r="C26" s="45"/>
      <c r="D26" s="45"/>
      <c r="E26" s="46"/>
      <c r="F26" s="45"/>
      <c r="G26" s="45"/>
      <c r="H26" s="45"/>
      <c r="I26" s="47"/>
    </row>
    <row r="27" spans="1:9">
      <c r="A27" s="43"/>
      <c r="B27" s="45"/>
      <c r="C27" s="45"/>
      <c r="D27" s="45"/>
      <c r="E27" s="46"/>
      <c r="F27" s="45"/>
      <c r="G27" s="45"/>
      <c r="H27" s="45"/>
      <c r="I27" s="47"/>
    </row>
    <row r="28" spans="1:9">
      <c r="A28" s="43"/>
      <c r="B28" s="45"/>
      <c r="C28" s="45"/>
      <c r="D28" s="45"/>
      <c r="E28" s="46"/>
      <c r="F28" s="45"/>
      <c r="G28" s="45"/>
      <c r="H28" s="45"/>
      <c r="I28" s="47"/>
    </row>
    <row r="29" spans="1:9">
      <c r="A29" s="43"/>
      <c r="B29" s="45"/>
      <c r="C29" s="45"/>
      <c r="D29" s="45"/>
      <c r="E29" s="46"/>
      <c r="F29" s="45"/>
      <c r="G29" s="45"/>
      <c r="H29" s="45"/>
      <c r="I29" s="47"/>
    </row>
    <row r="30" spans="1:9">
      <c r="A30" s="43"/>
      <c r="B30" s="45"/>
      <c r="C30" s="45"/>
      <c r="D30" s="45"/>
      <c r="E30" s="46"/>
      <c r="F30" s="45"/>
      <c r="G30" s="45"/>
      <c r="H30" s="45"/>
      <c r="I30" s="47"/>
    </row>
    <row r="31" spans="1:9">
      <c r="A31" s="43"/>
      <c r="B31" s="45"/>
      <c r="C31" s="45"/>
      <c r="D31" s="45"/>
      <c r="E31" s="46"/>
      <c r="F31" s="45"/>
      <c r="G31" s="45"/>
      <c r="H31" s="45"/>
      <c r="I31" s="47"/>
    </row>
    <row r="32" spans="1:9">
      <c r="A32" s="43"/>
      <c r="B32" s="45"/>
      <c r="C32" s="45"/>
      <c r="D32" s="45"/>
      <c r="E32" s="46"/>
      <c r="F32" s="45"/>
      <c r="G32" s="45"/>
      <c r="H32" s="45"/>
      <c r="I32" s="47"/>
    </row>
    <row r="33" spans="1:9" ht="15" thickBot="1">
      <c r="A33" s="48"/>
      <c r="B33" s="49"/>
      <c r="C33" s="45"/>
      <c r="D33" s="49"/>
      <c r="E33" s="50"/>
      <c r="F33" s="45"/>
      <c r="G33" s="49"/>
      <c r="H33" s="49"/>
      <c r="I33" s="51"/>
    </row>
    <row r="98" spans="2:6">
      <c r="B98" s="52" t="s">
        <v>434</v>
      </c>
      <c r="C98" s="39"/>
      <c r="D98" s="39"/>
      <c r="E98" s="39"/>
      <c r="F98" s="39"/>
    </row>
    <row r="99" spans="2:6">
      <c r="B99" s="52" t="s">
        <v>435</v>
      </c>
      <c r="C99" s="39"/>
      <c r="D99" s="39"/>
      <c r="E99" s="39"/>
      <c r="F99" s="39"/>
    </row>
    <row r="100" spans="2:6">
      <c r="B100" s="52" t="s">
        <v>430</v>
      </c>
      <c r="C100" s="39"/>
      <c r="D100" s="39"/>
      <c r="E100" s="39"/>
      <c r="F100" s="52" t="s">
        <v>436</v>
      </c>
    </row>
    <row r="101" spans="2:6">
      <c r="B101" s="39"/>
      <c r="C101" s="39"/>
      <c r="D101" s="39"/>
      <c r="E101" s="39"/>
      <c r="F101" s="52" t="s">
        <v>437</v>
      </c>
    </row>
    <row r="102" spans="2:6">
      <c r="B102" s="39"/>
      <c r="C102" s="39"/>
      <c r="D102" s="39"/>
      <c r="E102" s="39"/>
      <c r="F102" s="52" t="s">
        <v>438</v>
      </c>
    </row>
    <row r="103" spans="2:6">
      <c r="B103" s="39"/>
      <c r="C103" s="39"/>
      <c r="D103" s="39"/>
      <c r="E103" s="39"/>
      <c r="F103" s="52" t="s">
        <v>433</v>
      </c>
    </row>
    <row r="104" spans="2:6">
      <c r="B104" s="39"/>
      <c r="C104" s="39"/>
      <c r="D104" s="39"/>
      <c r="E104" s="39"/>
      <c r="F104" s="52" t="s">
        <v>439</v>
      </c>
    </row>
    <row r="105" spans="2:6">
      <c r="B105" s="39"/>
      <c r="C105" s="39"/>
      <c r="D105" s="39"/>
      <c r="E105" s="39"/>
      <c r="F105" s="52" t="s">
        <v>440</v>
      </c>
    </row>
    <row r="106" spans="2:6">
      <c r="B106" s="39"/>
      <c r="C106" s="39"/>
      <c r="D106" s="39"/>
      <c r="E106" s="39"/>
      <c r="F106" s="52" t="s">
        <v>441</v>
      </c>
    </row>
    <row r="107" spans="2:6">
      <c r="B107" s="39"/>
      <c r="C107" s="39"/>
      <c r="D107" s="39"/>
      <c r="E107" s="39"/>
      <c r="F107" s="52" t="s">
        <v>442</v>
      </c>
    </row>
    <row r="108" spans="2:6">
      <c r="B108" s="39"/>
      <c r="C108" s="39"/>
      <c r="D108" s="39"/>
      <c r="E108" s="39"/>
      <c r="F108" s="52" t="s">
        <v>443</v>
      </c>
    </row>
    <row r="109" spans="2:6">
      <c r="B109" s="39"/>
      <c r="C109" s="39"/>
      <c r="D109" s="39"/>
      <c r="E109" s="39"/>
      <c r="F109" s="52" t="s">
        <v>444</v>
      </c>
    </row>
    <row r="110" spans="2:6">
      <c r="B110" s="39"/>
      <c r="C110" s="39"/>
      <c r="D110" s="39"/>
      <c r="E110" s="39"/>
      <c r="F110" s="52" t="s">
        <v>445</v>
      </c>
    </row>
    <row r="111" spans="2:6">
      <c r="B111" s="39"/>
      <c r="C111" s="39"/>
      <c r="D111" s="39"/>
      <c r="E111" s="39"/>
      <c r="F111" s="52" t="s">
        <v>446</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653C-9B35-45A6-A166-5B6A5B8B28CB}">
  <dimension ref="A1:L281"/>
  <sheetViews>
    <sheetView zoomScale="67" zoomScaleNormal="57" workbookViewId="0">
      <pane xSplit="2" ySplit="9" topLeftCell="C10" activePane="bottomRight" state="frozen"/>
      <selection pane="topRight" activeCell="C1" sqref="C1"/>
      <selection pane="bottomLeft" activeCell="A11" sqref="A11"/>
      <selection pane="bottomRight" activeCell="F18" sqref="F18"/>
    </sheetView>
  </sheetViews>
  <sheetFormatPr defaultColWidth="8.75" defaultRowHeight="14.25"/>
  <cols>
    <col min="1" max="1" width="5.125" style="5" bestFit="1" customWidth="1"/>
    <col min="2" max="2" width="23.75" style="5" customWidth="1"/>
    <col min="3" max="3" width="29.875" style="5" customWidth="1"/>
    <col min="4" max="4" width="26.25" style="5" customWidth="1"/>
    <col min="5" max="5" width="28.25" style="5" customWidth="1"/>
    <col min="6" max="6" width="23.75" style="5" customWidth="1"/>
    <col min="7" max="10" width="20.75" style="5" customWidth="1"/>
    <col min="11" max="11" width="35.75" style="5" customWidth="1"/>
    <col min="12" max="12" width="25.375" style="5" customWidth="1"/>
    <col min="13" max="16384" width="8.75" style="5"/>
  </cols>
  <sheetData>
    <row r="1" spans="1:12" ht="45.4" customHeight="1" thickBot="1">
      <c r="A1" s="148" t="s">
        <v>8</v>
      </c>
      <c r="B1" s="148"/>
      <c r="C1" s="149" t="s">
        <v>9</v>
      </c>
      <c r="D1" s="149"/>
      <c r="E1" s="149"/>
      <c r="F1" s="149"/>
      <c r="G1" s="149"/>
      <c r="H1" s="149"/>
      <c r="I1" s="149"/>
      <c r="J1" s="149"/>
      <c r="K1" s="149"/>
      <c r="L1" s="4"/>
    </row>
    <row r="2" spans="1:12" ht="18.75" thickBot="1">
      <c r="A2" s="144" t="s">
        <v>10</v>
      </c>
      <c r="B2" s="144"/>
      <c r="C2" s="145" t="s">
        <v>11</v>
      </c>
      <c r="D2" s="145"/>
      <c r="E2" s="145"/>
      <c r="F2" s="150" t="s">
        <v>12</v>
      </c>
      <c r="G2" s="150"/>
      <c r="H2" s="150"/>
      <c r="I2" s="150"/>
      <c r="J2" s="150"/>
      <c r="K2" s="150"/>
      <c r="L2" s="150"/>
    </row>
    <row r="3" spans="1:12" ht="15.4" customHeight="1" thickBot="1">
      <c r="A3" s="144" t="s">
        <v>13</v>
      </c>
      <c r="B3" s="144"/>
      <c r="C3" s="145" t="s">
        <v>14</v>
      </c>
      <c r="D3" s="145"/>
      <c r="E3" s="145"/>
      <c r="F3" s="146" t="s">
        <v>15</v>
      </c>
      <c r="G3" s="146"/>
      <c r="H3" s="146" t="s">
        <v>16</v>
      </c>
      <c r="I3" s="146"/>
      <c r="J3" s="147" t="s">
        <v>17</v>
      </c>
      <c r="K3" s="147"/>
      <c r="L3" s="147"/>
    </row>
    <row r="4" spans="1:12" ht="18.75" thickBot="1">
      <c r="A4" s="144" t="s">
        <v>18</v>
      </c>
      <c r="B4" s="144"/>
      <c r="C4" s="145" t="s">
        <v>19</v>
      </c>
      <c r="D4" s="145"/>
      <c r="E4" s="145"/>
      <c r="F4" s="146" t="s">
        <v>20</v>
      </c>
      <c r="G4" s="146"/>
      <c r="H4" s="146" t="s">
        <v>21</v>
      </c>
      <c r="I4" s="146"/>
      <c r="J4" s="147" t="s">
        <v>22</v>
      </c>
      <c r="K4" s="147"/>
      <c r="L4" s="147"/>
    </row>
    <row r="5" spans="1:12" ht="15.4" customHeight="1" thickBot="1">
      <c r="A5" s="144" t="s">
        <v>23</v>
      </c>
      <c r="B5" s="144"/>
      <c r="C5" s="145" t="s">
        <v>24</v>
      </c>
      <c r="D5" s="145"/>
      <c r="E5" s="145"/>
      <c r="F5" s="146" t="s">
        <v>25</v>
      </c>
      <c r="G5" s="146"/>
      <c r="H5" s="146" t="s">
        <v>26</v>
      </c>
      <c r="I5" s="146"/>
      <c r="J5" s="147" t="s">
        <v>27</v>
      </c>
      <c r="K5" s="147"/>
      <c r="L5" s="147"/>
    </row>
    <row r="6" spans="1:12" ht="15.4" customHeight="1" thickBot="1">
      <c r="A6" s="144" t="s">
        <v>28</v>
      </c>
      <c r="B6" s="144"/>
      <c r="C6" s="145" t="s">
        <v>29</v>
      </c>
      <c r="D6" s="145"/>
      <c r="E6" s="145"/>
      <c r="F6" s="146" t="s">
        <v>30</v>
      </c>
      <c r="G6" s="146"/>
      <c r="H6" s="146" t="s">
        <v>31</v>
      </c>
      <c r="I6" s="146"/>
      <c r="J6" s="147" t="s">
        <v>32</v>
      </c>
      <c r="K6" s="147"/>
      <c r="L6" s="147"/>
    </row>
    <row r="7" spans="1:12" ht="18" customHeight="1" thickBot="1">
      <c r="A7" s="151"/>
      <c r="B7" s="151"/>
      <c r="C7" s="151"/>
      <c r="D7" s="151"/>
      <c r="E7" s="151"/>
      <c r="F7" s="151"/>
      <c r="G7" s="151"/>
      <c r="H7" s="151"/>
      <c r="I7" s="151"/>
      <c r="J7" s="151"/>
      <c r="K7" s="151"/>
      <c r="L7" s="151"/>
    </row>
    <row r="8" spans="1:12" ht="30.4" customHeight="1" thickBot="1">
      <c r="A8" s="155" t="s">
        <v>33</v>
      </c>
      <c r="B8" s="155" t="s">
        <v>34</v>
      </c>
      <c r="C8" s="155" t="s">
        <v>35</v>
      </c>
      <c r="D8" s="152" t="s">
        <v>36</v>
      </c>
      <c r="E8" s="152" t="s">
        <v>37</v>
      </c>
      <c r="F8" s="152" t="s">
        <v>38</v>
      </c>
      <c r="G8" s="152" t="s">
        <v>39</v>
      </c>
      <c r="H8" s="152"/>
      <c r="I8" s="6" t="s">
        <v>40</v>
      </c>
      <c r="J8" s="6" t="s">
        <v>41</v>
      </c>
      <c r="K8" s="152" t="s">
        <v>42</v>
      </c>
      <c r="L8" s="152" t="s">
        <v>43</v>
      </c>
    </row>
    <row r="9" spans="1:12" ht="27" customHeight="1" thickBot="1">
      <c r="A9" s="156"/>
      <c r="B9" s="156"/>
      <c r="C9" s="156"/>
      <c r="D9" s="152"/>
      <c r="E9" s="152"/>
      <c r="F9" s="152"/>
      <c r="G9" s="6" t="s">
        <v>44</v>
      </c>
      <c r="H9" s="6" t="s">
        <v>45</v>
      </c>
      <c r="I9" s="6" t="s">
        <v>45</v>
      </c>
      <c r="J9" s="6" t="s">
        <v>45</v>
      </c>
      <c r="K9" s="152"/>
      <c r="L9" s="152"/>
    </row>
    <row r="10" spans="1:12" ht="15" thickBot="1">
      <c r="A10" s="153">
        <v>1</v>
      </c>
      <c r="B10" s="153" t="s">
        <v>46</v>
      </c>
      <c r="C10" s="7" t="s">
        <v>47</v>
      </c>
      <c r="D10" s="8" t="s">
        <v>48</v>
      </c>
      <c r="E10" s="9"/>
      <c r="F10" s="8" t="s">
        <v>49</v>
      </c>
      <c r="G10" s="9"/>
      <c r="H10" s="8" t="s">
        <v>50</v>
      </c>
      <c r="I10" s="8" t="s">
        <v>51</v>
      </c>
      <c r="J10" s="8" t="s">
        <v>52</v>
      </c>
      <c r="K10" s="8" t="s">
        <v>53</v>
      </c>
      <c r="L10" s="8" t="s">
        <v>54</v>
      </c>
    </row>
    <row r="11" spans="1:12" ht="15" thickBot="1">
      <c r="A11" s="153"/>
      <c r="B11" s="153"/>
      <c r="C11" s="7" t="s">
        <v>55</v>
      </c>
      <c r="D11" s="8" t="s">
        <v>56</v>
      </c>
      <c r="E11" s="8" t="s">
        <v>57</v>
      </c>
      <c r="F11" s="8"/>
      <c r="G11" s="8" t="s">
        <v>58</v>
      </c>
      <c r="H11" s="8" t="s">
        <v>59</v>
      </c>
      <c r="I11" s="8" t="s">
        <v>60</v>
      </c>
      <c r="J11" s="8" t="s">
        <v>60</v>
      </c>
      <c r="K11" s="10" t="s">
        <v>61</v>
      </c>
      <c r="L11" s="8" t="s">
        <v>62</v>
      </c>
    </row>
    <row r="12" spans="1:12" ht="26.25" thickBot="1">
      <c r="A12" s="154"/>
      <c r="B12" s="154"/>
      <c r="C12" s="28" t="s">
        <v>63</v>
      </c>
      <c r="D12" s="29" t="s">
        <v>64</v>
      </c>
      <c r="E12" s="29" t="s">
        <v>65</v>
      </c>
      <c r="F12" s="29"/>
      <c r="G12" s="29" t="s">
        <v>58</v>
      </c>
      <c r="H12" s="29" t="s">
        <v>66</v>
      </c>
      <c r="I12" s="29" t="s">
        <v>60</v>
      </c>
      <c r="J12" s="29" t="s">
        <v>60</v>
      </c>
      <c r="K12" s="30" t="s">
        <v>67</v>
      </c>
      <c r="L12" s="29" t="s">
        <v>62</v>
      </c>
    </row>
    <row r="13" spans="1:12" ht="26.25" thickBot="1">
      <c r="A13" s="159">
        <v>2</v>
      </c>
      <c r="B13" s="161" t="s">
        <v>68</v>
      </c>
      <c r="C13" s="58" t="s">
        <v>69</v>
      </c>
      <c r="D13" s="59" t="s">
        <v>70</v>
      </c>
      <c r="E13" s="60"/>
      <c r="F13" s="61"/>
      <c r="G13" s="62" t="s">
        <v>59</v>
      </c>
      <c r="H13" s="62" t="s">
        <v>50</v>
      </c>
      <c r="I13" s="62" t="s">
        <v>60</v>
      </c>
      <c r="J13" s="62" t="s">
        <v>52</v>
      </c>
      <c r="K13" s="63" t="s">
        <v>71</v>
      </c>
      <c r="L13" s="56" t="s">
        <v>54</v>
      </c>
    </row>
    <row r="14" spans="1:12" ht="26.25" thickBot="1">
      <c r="A14" s="160"/>
      <c r="B14" s="160"/>
      <c r="C14" s="31" t="s">
        <v>72</v>
      </c>
      <c r="D14" s="32" t="s">
        <v>70</v>
      </c>
      <c r="E14" s="57" t="s">
        <v>65</v>
      </c>
      <c r="F14" s="33"/>
      <c r="G14" s="34" t="s">
        <v>59</v>
      </c>
      <c r="H14" s="34" t="s">
        <v>50</v>
      </c>
      <c r="I14" s="34" t="s">
        <v>60</v>
      </c>
      <c r="J14" s="34" t="s">
        <v>52</v>
      </c>
      <c r="K14" s="34" t="s">
        <v>71</v>
      </c>
      <c r="L14" s="14" t="s">
        <v>62</v>
      </c>
    </row>
    <row r="15" spans="1:12" ht="26.25" thickBot="1">
      <c r="A15" s="160"/>
      <c r="B15" s="160"/>
      <c r="C15" s="7" t="s">
        <v>73</v>
      </c>
      <c r="D15" s="11" t="s">
        <v>70</v>
      </c>
      <c r="E15" s="9" t="s">
        <v>57</v>
      </c>
      <c r="F15" s="13"/>
      <c r="G15" s="8" t="s">
        <v>59</v>
      </c>
      <c r="H15" s="8" t="s">
        <v>50</v>
      </c>
      <c r="I15" s="8" t="s">
        <v>60</v>
      </c>
      <c r="J15" s="8" t="s">
        <v>52</v>
      </c>
      <c r="K15" s="8" t="s">
        <v>71</v>
      </c>
      <c r="L15" s="8" t="s">
        <v>62</v>
      </c>
    </row>
    <row r="16" spans="1:12" ht="26.25" thickBot="1">
      <c r="A16" s="160"/>
      <c r="B16" s="160"/>
      <c r="C16" s="7" t="s">
        <v>74</v>
      </c>
      <c r="D16" s="11" t="s">
        <v>70</v>
      </c>
      <c r="E16" s="9" t="s">
        <v>57</v>
      </c>
      <c r="F16" s="13"/>
      <c r="G16" s="8" t="s">
        <v>59</v>
      </c>
      <c r="H16" s="8" t="s">
        <v>50</v>
      </c>
      <c r="I16" s="8" t="s">
        <v>60</v>
      </c>
      <c r="J16" s="8" t="s">
        <v>52</v>
      </c>
      <c r="K16" s="8" t="s">
        <v>71</v>
      </c>
      <c r="L16" s="8" t="s">
        <v>54</v>
      </c>
    </row>
    <row r="17" spans="1:12" ht="15" thickBot="1">
      <c r="A17" s="160"/>
      <c r="B17" s="160"/>
      <c r="C17" s="7" t="s">
        <v>75</v>
      </c>
      <c r="D17" s="11" t="s">
        <v>70</v>
      </c>
      <c r="E17" s="9" t="s">
        <v>65</v>
      </c>
      <c r="F17" s="13"/>
      <c r="G17" s="8" t="s">
        <v>59</v>
      </c>
      <c r="H17" s="8" t="s">
        <v>50</v>
      </c>
      <c r="I17" s="8" t="s">
        <v>60</v>
      </c>
      <c r="J17" s="8" t="s">
        <v>52</v>
      </c>
      <c r="K17" s="8" t="s">
        <v>71</v>
      </c>
      <c r="L17" s="8" t="s">
        <v>62</v>
      </c>
    </row>
    <row r="18" spans="1:12" ht="26.25" thickBot="1">
      <c r="A18" s="160"/>
      <c r="B18" s="160"/>
      <c r="C18" s="7" t="s">
        <v>76</v>
      </c>
      <c r="D18" s="11" t="s">
        <v>70</v>
      </c>
      <c r="E18" s="11" t="s">
        <v>77</v>
      </c>
      <c r="F18" s="13"/>
      <c r="G18" s="8" t="s">
        <v>59</v>
      </c>
      <c r="H18" s="8" t="s">
        <v>50</v>
      </c>
      <c r="I18" s="8" t="s">
        <v>60</v>
      </c>
      <c r="J18" s="8" t="s">
        <v>52</v>
      </c>
      <c r="K18" s="8" t="s">
        <v>71</v>
      </c>
      <c r="L18" s="8" t="s">
        <v>62</v>
      </c>
    </row>
    <row r="19" spans="1:12" ht="15" thickBot="1">
      <c r="A19" s="160"/>
      <c r="B19" s="160"/>
      <c r="C19" s="7" t="s">
        <v>78</v>
      </c>
      <c r="D19" s="11" t="s">
        <v>70</v>
      </c>
      <c r="E19" s="9" t="s">
        <v>57</v>
      </c>
      <c r="F19" s="13"/>
      <c r="G19" s="8" t="s">
        <v>59</v>
      </c>
      <c r="H19" s="8" t="s">
        <v>50</v>
      </c>
      <c r="I19" s="8" t="s">
        <v>60</v>
      </c>
      <c r="J19" s="8" t="s">
        <v>52</v>
      </c>
      <c r="K19" s="8" t="s">
        <v>71</v>
      </c>
      <c r="L19" s="8" t="s">
        <v>54</v>
      </c>
    </row>
    <row r="20" spans="1:12" ht="36.75" thickBot="1">
      <c r="A20" s="160">
        <v>3</v>
      </c>
      <c r="B20" s="162" t="s">
        <v>79</v>
      </c>
      <c r="C20" s="15" t="s">
        <v>80</v>
      </c>
      <c r="D20" s="11" t="s">
        <v>70</v>
      </c>
      <c r="E20" s="9" t="s">
        <v>57</v>
      </c>
      <c r="F20" s="13"/>
      <c r="G20" s="8" t="s">
        <v>59</v>
      </c>
      <c r="H20" s="8" t="s">
        <v>50</v>
      </c>
      <c r="I20" s="8" t="s">
        <v>60</v>
      </c>
      <c r="J20" s="8" t="s">
        <v>52</v>
      </c>
      <c r="K20" s="8" t="s">
        <v>71</v>
      </c>
      <c r="L20" s="8" t="s">
        <v>62</v>
      </c>
    </row>
    <row r="21" spans="1:12" ht="26.25" thickBot="1">
      <c r="A21" s="160"/>
      <c r="B21" s="162"/>
      <c r="C21" s="7" t="s">
        <v>74</v>
      </c>
      <c r="D21" s="11" t="s">
        <v>70</v>
      </c>
      <c r="E21" s="9" t="s">
        <v>57</v>
      </c>
      <c r="F21" s="13"/>
      <c r="G21" s="8" t="s">
        <v>59</v>
      </c>
      <c r="H21" s="8" t="s">
        <v>50</v>
      </c>
      <c r="I21" s="8" t="s">
        <v>60</v>
      </c>
      <c r="J21" s="8" t="s">
        <v>52</v>
      </c>
      <c r="K21" s="8" t="s">
        <v>71</v>
      </c>
      <c r="L21" s="8" t="s">
        <v>62</v>
      </c>
    </row>
    <row r="22" spans="1:12" ht="15" thickBot="1">
      <c r="A22" s="160"/>
      <c r="B22" s="162"/>
      <c r="C22" s="7" t="s">
        <v>81</v>
      </c>
      <c r="D22" s="11" t="s">
        <v>70</v>
      </c>
      <c r="E22" s="9" t="s">
        <v>57</v>
      </c>
      <c r="F22" s="13"/>
      <c r="G22" s="8" t="s">
        <v>59</v>
      </c>
      <c r="H22" s="8" t="s">
        <v>50</v>
      </c>
      <c r="I22" s="8" t="s">
        <v>60</v>
      </c>
      <c r="J22" s="8" t="s">
        <v>52</v>
      </c>
      <c r="K22" s="8" t="s">
        <v>71</v>
      </c>
      <c r="L22" s="8" t="s">
        <v>62</v>
      </c>
    </row>
    <row r="23" spans="1:12" ht="26.25" thickBot="1">
      <c r="A23" s="160"/>
      <c r="B23" s="162"/>
      <c r="C23" s="7" t="s">
        <v>76</v>
      </c>
      <c r="D23" s="11" t="s">
        <v>70</v>
      </c>
      <c r="E23" s="9" t="s">
        <v>57</v>
      </c>
      <c r="F23" s="13"/>
      <c r="G23" s="8" t="s">
        <v>59</v>
      </c>
      <c r="H23" s="8" t="s">
        <v>50</v>
      </c>
      <c r="I23" s="8" t="s">
        <v>60</v>
      </c>
      <c r="J23" s="8" t="s">
        <v>52</v>
      </c>
      <c r="K23" s="8" t="s">
        <v>71</v>
      </c>
      <c r="L23" s="8" t="s">
        <v>62</v>
      </c>
    </row>
    <row r="24" spans="1:12" ht="15" thickBot="1">
      <c r="A24" s="160"/>
      <c r="B24" s="162"/>
      <c r="C24" s="7" t="s">
        <v>78</v>
      </c>
      <c r="D24" s="11" t="s">
        <v>70</v>
      </c>
      <c r="E24" s="9" t="s">
        <v>57</v>
      </c>
      <c r="F24" s="13"/>
      <c r="G24" s="8" t="s">
        <v>59</v>
      </c>
      <c r="H24" s="8" t="s">
        <v>50</v>
      </c>
      <c r="I24" s="8" t="s">
        <v>60</v>
      </c>
      <c r="J24" s="8" t="s">
        <v>52</v>
      </c>
      <c r="K24" s="8" t="s">
        <v>71</v>
      </c>
      <c r="L24" s="8" t="s">
        <v>62</v>
      </c>
    </row>
    <row r="25" spans="1:12" ht="26.25" thickBot="1">
      <c r="A25" s="160"/>
      <c r="B25" s="162"/>
      <c r="C25" s="7" t="s">
        <v>82</v>
      </c>
      <c r="D25" s="11" t="s">
        <v>70</v>
      </c>
      <c r="E25" s="9" t="s">
        <v>57</v>
      </c>
      <c r="F25" s="13"/>
      <c r="G25" s="8" t="s">
        <v>59</v>
      </c>
      <c r="H25" s="8" t="s">
        <v>50</v>
      </c>
      <c r="I25" s="8" t="s">
        <v>60</v>
      </c>
      <c r="J25" s="8" t="s">
        <v>52</v>
      </c>
      <c r="K25" s="8" t="s">
        <v>71</v>
      </c>
      <c r="L25" s="8" t="s">
        <v>62</v>
      </c>
    </row>
    <row r="26" spans="1:12" ht="26.25" thickBot="1">
      <c r="A26" s="160"/>
      <c r="B26" s="162"/>
      <c r="C26" s="7" t="s">
        <v>83</v>
      </c>
      <c r="D26" s="11" t="s">
        <v>70</v>
      </c>
      <c r="E26" s="9" t="s">
        <v>57</v>
      </c>
      <c r="F26" s="13"/>
      <c r="G26" s="8" t="s">
        <v>59</v>
      </c>
      <c r="H26" s="8" t="s">
        <v>50</v>
      </c>
      <c r="I26" s="8" t="s">
        <v>60</v>
      </c>
      <c r="J26" s="8" t="s">
        <v>52</v>
      </c>
      <c r="K26" s="8" t="s">
        <v>71</v>
      </c>
      <c r="L26" s="8" t="s">
        <v>62</v>
      </c>
    </row>
    <row r="27" spans="1:12" ht="15" thickBot="1">
      <c r="A27" s="160"/>
      <c r="B27" s="162"/>
      <c r="C27" s="7" t="s">
        <v>84</v>
      </c>
      <c r="D27" s="11" t="s">
        <v>70</v>
      </c>
      <c r="E27" s="9" t="s">
        <v>57</v>
      </c>
      <c r="F27" s="13"/>
      <c r="G27" s="8" t="s">
        <v>59</v>
      </c>
      <c r="H27" s="8" t="s">
        <v>50</v>
      </c>
      <c r="I27" s="8" t="s">
        <v>60</v>
      </c>
      <c r="J27" s="8" t="s">
        <v>52</v>
      </c>
      <c r="K27" s="8" t="s">
        <v>71</v>
      </c>
      <c r="L27" s="8" t="s">
        <v>62</v>
      </c>
    </row>
    <row r="28" spans="1:12" ht="26.25" thickBot="1">
      <c r="A28" s="157">
        <v>4</v>
      </c>
      <c r="B28" s="157" t="s">
        <v>85</v>
      </c>
      <c r="C28" s="7" t="s">
        <v>69</v>
      </c>
      <c r="D28" s="11" t="s">
        <v>86</v>
      </c>
      <c r="E28" s="12"/>
      <c r="F28" s="13"/>
      <c r="G28" s="8" t="s">
        <v>59</v>
      </c>
      <c r="H28" s="8" t="s">
        <v>50</v>
      </c>
      <c r="I28" s="8" t="s">
        <v>60</v>
      </c>
      <c r="J28" s="8" t="s">
        <v>52</v>
      </c>
      <c r="K28" s="8" t="s">
        <v>71</v>
      </c>
      <c r="L28" s="8" t="s">
        <v>54</v>
      </c>
    </row>
    <row r="29" spans="1:12" ht="15" thickBot="1">
      <c r="A29" s="158"/>
      <c r="B29" s="158"/>
      <c r="C29" s="16" t="s">
        <v>87</v>
      </c>
      <c r="D29" s="8" t="s">
        <v>88</v>
      </c>
      <c r="E29" s="8" t="s">
        <v>89</v>
      </c>
      <c r="F29" s="8" t="s">
        <v>90</v>
      </c>
      <c r="G29" s="8" t="s">
        <v>91</v>
      </c>
      <c r="H29" s="8" t="s">
        <v>91</v>
      </c>
      <c r="I29" s="8" t="s">
        <v>60</v>
      </c>
      <c r="J29" s="8" t="s">
        <v>52</v>
      </c>
      <c r="K29" s="8" t="s">
        <v>71</v>
      </c>
      <c r="L29" s="8" t="s">
        <v>54</v>
      </c>
    </row>
    <row r="30" spans="1:12" ht="26.25" thickBot="1">
      <c r="A30" s="158"/>
      <c r="B30" s="158"/>
      <c r="C30" s="16" t="s">
        <v>92</v>
      </c>
      <c r="D30" s="8" t="s">
        <v>93</v>
      </c>
      <c r="E30" s="8" t="s">
        <v>94</v>
      </c>
      <c r="F30" s="8" t="s">
        <v>95</v>
      </c>
      <c r="G30" s="8" t="s">
        <v>91</v>
      </c>
      <c r="H30" s="8" t="s">
        <v>91</v>
      </c>
      <c r="I30" s="8" t="s">
        <v>51</v>
      </c>
      <c r="J30" s="8" t="s">
        <v>52</v>
      </c>
      <c r="K30" s="8" t="s">
        <v>96</v>
      </c>
      <c r="L30" s="8" t="s">
        <v>54</v>
      </c>
    </row>
    <row r="31" spans="1:12" ht="15" customHeight="1" thickBot="1">
      <c r="A31" s="158"/>
      <c r="B31" s="158"/>
      <c r="C31" s="16" t="s">
        <v>97</v>
      </c>
      <c r="D31" s="8" t="s">
        <v>93</v>
      </c>
      <c r="E31" s="8" t="s">
        <v>89</v>
      </c>
      <c r="F31" s="8" t="s">
        <v>98</v>
      </c>
      <c r="G31" s="8" t="s">
        <v>91</v>
      </c>
      <c r="H31" s="8" t="s">
        <v>91</v>
      </c>
      <c r="I31" s="8" t="s">
        <v>51</v>
      </c>
      <c r="J31" s="8" t="s">
        <v>52</v>
      </c>
      <c r="K31" s="8" t="s">
        <v>99</v>
      </c>
      <c r="L31" s="8" t="s">
        <v>54</v>
      </c>
    </row>
    <row r="32" spans="1:12" ht="26.25" thickBot="1">
      <c r="A32" s="158"/>
      <c r="B32" s="158"/>
      <c r="C32" s="7" t="s">
        <v>100</v>
      </c>
      <c r="D32" s="11" t="s">
        <v>86</v>
      </c>
      <c r="E32" s="11" t="s">
        <v>101</v>
      </c>
      <c r="F32" s="12"/>
      <c r="G32" s="8" t="s">
        <v>59</v>
      </c>
      <c r="H32" s="8" t="s">
        <v>50</v>
      </c>
      <c r="I32" s="8" t="s">
        <v>51</v>
      </c>
      <c r="J32" s="8" t="s">
        <v>102</v>
      </c>
      <c r="K32" s="17" t="s">
        <v>103</v>
      </c>
      <c r="L32" s="8" t="s">
        <v>54</v>
      </c>
    </row>
    <row r="33" spans="1:12" ht="39" thickBot="1">
      <c r="A33" s="158"/>
      <c r="B33" s="158"/>
      <c r="C33" s="7" t="s">
        <v>104</v>
      </c>
      <c r="D33" s="11" t="s">
        <v>86</v>
      </c>
      <c r="E33" s="11" t="s">
        <v>105</v>
      </c>
      <c r="F33" s="12"/>
      <c r="G33" s="8" t="s">
        <v>59</v>
      </c>
      <c r="H33" s="8" t="s">
        <v>50</v>
      </c>
      <c r="I33" s="8" t="s">
        <v>60</v>
      </c>
      <c r="J33" s="8" t="s">
        <v>52</v>
      </c>
      <c r="K33" s="8" t="s">
        <v>71</v>
      </c>
      <c r="L33" s="8" t="s">
        <v>54</v>
      </c>
    </row>
    <row r="34" spans="1:12" ht="26.25" thickBot="1">
      <c r="A34" s="158"/>
      <c r="B34" s="158"/>
      <c r="C34" s="7" t="s">
        <v>106</v>
      </c>
      <c r="D34" s="11" t="s">
        <v>86</v>
      </c>
      <c r="E34" s="9" t="s">
        <v>57</v>
      </c>
      <c r="F34" s="12"/>
      <c r="G34" s="8" t="s">
        <v>59</v>
      </c>
      <c r="H34" s="8" t="s">
        <v>50</v>
      </c>
      <c r="I34" s="8" t="s">
        <v>60</v>
      </c>
      <c r="J34" s="8" t="s">
        <v>52</v>
      </c>
      <c r="K34" s="8" t="s">
        <v>71</v>
      </c>
      <c r="L34" s="8" t="s">
        <v>54</v>
      </c>
    </row>
    <row r="35" spans="1:12" ht="26.25" thickBot="1">
      <c r="A35" s="158"/>
      <c r="B35" s="158"/>
      <c r="C35" s="7" t="s">
        <v>107</v>
      </c>
      <c r="D35" s="11" t="s">
        <v>86</v>
      </c>
      <c r="E35" s="11" t="s">
        <v>108</v>
      </c>
      <c r="F35" s="12"/>
      <c r="G35" s="8" t="s">
        <v>59</v>
      </c>
      <c r="H35" s="8" t="s">
        <v>50</v>
      </c>
      <c r="I35" s="8" t="s">
        <v>60</v>
      </c>
      <c r="J35" s="8" t="s">
        <v>52</v>
      </c>
      <c r="K35" s="8" t="s">
        <v>71</v>
      </c>
      <c r="L35" s="8" t="s">
        <v>54</v>
      </c>
    </row>
    <row r="36" spans="1:12" ht="39" thickBot="1">
      <c r="A36" s="158"/>
      <c r="B36" s="158"/>
      <c r="C36" s="7" t="s">
        <v>109</v>
      </c>
      <c r="D36" s="11" t="s">
        <v>86</v>
      </c>
      <c r="E36" s="11" t="s">
        <v>105</v>
      </c>
      <c r="F36" s="12"/>
      <c r="G36" s="8" t="s">
        <v>59</v>
      </c>
      <c r="H36" s="8" t="s">
        <v>50</v>
      </c>
      <c r="I36" s="8" t="s">
        <v>60</v>
      </c>
      <c r="J36" s="8" t="s">
        <v>52</v>
      </c>
      <c r="K36" s="8" t="s">
        <v>71</v>
      </c>
      <c r="L36" s="8" t="s">
        <v>54</v>
      </c>
    </row>
    <row r="37" spans="1:12" ht="26.25" thickBot="1">
      <c r="A37" s="158"/>
      <c r="B37" s="158"/>
      <c r="C37" s="7" t="s">
        <v>110</v>
      </c>
      <c r="D37" s="11" t="s">
        <v>86</v>
      </c>
      <c r="E37" s="11" t="s">
        <v>111</v>
      </c>
      <c r="F37" s="12"/>
      <c r="G37" s="8" t="s">
        <v>59</v>
      </c>
      <c r="H37" s="8" t="s">
        <v>50</v>
      </c>
      <c r="I37" s="8" t="s">
        <v>60</v>
      </c>
      <c r="J37" s="8" t="s">
        <v>52</v>
      </c>
      <c r="K37" s="8" t="s">
        <v>71</v>
      </c>
      <c r="L37" s="8" t="s">
        <v>54</v>
      </c>
    </row>
    <row r="38" spans="1:12" ht="26.25" thickBot="1">
      <c r="A38" s="158"/>
      <c r="B38" s="158"/>
      <c r="C38" s="7" t="s">
        <v>112</v>
      </c>
      <c r="D38" s="11" t="s">
        <v>113</v>
      </c>
      <c r="E38" s="11" t="s">
        <v>114</v>
      </c>
      <c r="F38" s="12"/>
      <c r="G38" s="8" t="s">
        <v>59</v>
      </c>
      <c r="H38" s="8" t="s">
        <v>50</v>
      </c>
      <c r="I38" s="8" t="s">
        <v>60</v>
      </c>
      <c r="J38" s="8" t="s">
        <v>52</v>
      </c>
      <c r="K38" s="8" t="s">
        <v>71</v>
      </c>
      <c r="L38" s="8" t="s">
        <v>54</v>
      </c>
    </row>
    <row r="39" spans="1:12" ht="15" thickBot="1">
      <c r="A39" s="159"/>
      <c r="B39" s="159"/>
      <c r="C39" s="7" t="s">
        <v>115</v>
      </c>
      <c r="D39" s="11" t="s">
        <v>116</v>
      </c>
      <c r="E39" s="9" t="s">
        <v>117</v>
      </c>
      <c r="F39" s="8" t="s">
        <v>90</v>
      </c>
      <c r="G39" s="8" t="s">
        <v>91</v>
      </c>
      <c r="H39" s="8" t="s">
        <v>91</v>
      </c>
      <c r="I39" s="8" t="s">
        <v>60</v>
      </c>
      <c r="J39" s="8" t="s">
        <v>52</v>
      </c>
      <c r="K39" s="8" t="s">
        <v>118</v>
      </c>
      <c r="L39" s="8" t="s">
        <v>54</v>
      </c>
    </row>
    <row r="40" spans="1:12" ht="26.25" thickBot="1">
      <c r="A40" s="160">
        <v>5</v>
      </c>
      <c r="B40" s="160" t="s">
        <v>119</v>
      </c>
      <c r="C40" s="7" t="s">
        <v>69</v>
      </c>
      <c r="D40" s="11" t="s">
        <v>86</v>
      </c>
      <c r="E40" s="12"/>
      <c r="F40" s="12"/>
      <c r="G40" s="8" t="s">
        <v>59</v>
      </c>
      <c r="H40" s="8" t="s">
        <v>50</v>
      </c>
      <c r="I40" s="8" t="s">
        <v>60</v>
      </c>
      <c r="J40" s="8" t="s">
        <v>52</v>
      </c>
      <c r="K40" s="8" t="s">
        <v>71</v>
      </c>
      <c r="L40" s="8" t="s">
        <v>62</v>
      </c>
    </row>
    <row r="41" spans="1:12" ht="26.25" thickBot="1">
      <c r="A41" s="160"/>
      <c r="B41" s="160"/>
      <c r="C41" s="7" t="s">
        <v>120</v>
      </c>
      <c r="D41" s="11" t="s">
        <v>86</v>
      </c>
      <c r="E41" s="9" t="s">
        <v>57</v>
      </c>
      <c r="F41" s="12"/>
      <c r="G41" s="8" t="s">
        <v>59</v>
      </c>
      <c r="H41" s="8" t="s">
        <v>50</v>
      </c>
      <c r="I41" s="8" t="s">
        <v>60</v>
      </c>
      <c r="J41" s="8" t="s">
        <v>52</v>
      </c>
      <c r="K41" s="8" t="s">
        <v>71</v>
      </c>
      <c r="L41" s="8" t="s">
        <v>62</v>
      </c>
    </row>
    <row r="42" spans="1:12" ht="26.25" thickBot="1">
      <c r="A42" s="160"/>
      <c r="B42" s="160"/>
      <c r="C42" s="7" t="s">
        <v>121</v>
      </c>
      <c r="D42" s="11" t="s">
        <v>86</v>
      </c>
      <c r="E42" s="12"/>
      <c r="F42" s="12"/>
      <c r="G42" s="8" t="s">
        <v>59</v>
      </c>
      <c r="H42" s="8" t="s">
        <v>50</v>
      </c>
      <c r="I42" s="8" t="s">
        <v>60</v>
      </c>
      <c r="J42" s="8" t="s">
        <v>52</v>
      </c>
      <c r="K42" s="8" t="s">
        <v>71</v>
      </c>
      <c r="L42" s="8" t="s">
        <v>62</v>
      </c>
    </row>
    <row r="43" spans="1:12" ht="26.25" thickBot="1">
      <c r="A43" s="160"/>
      <c r="B43" s="160"/>
      <c r="C43" s="7" t="s">
        <v>122</v>
      </c>
      <c r="D43" s="12"/>
      <c r="E43" s="11" t="s">
        <v>123</v>
      </c>
      <c r="F43" s="12"/>
      <c r="G43" s="8" t="s">
        <v>59</v>
      </c>
      <c r="H43" s="8" t="s">
        <v>50</v>
      </c>
      <c r="I43" s="8" t="s">
        <v>60</v>
      </c>
      <c r="J43" s="8" t="s">
        <v>52</v>
      </c>
      <c r="K43" s="8" t="s">
        <v>71</v>
      </c>
      <c r="L43" s="8" t="s">
        <v>62</v>
      </c>
    </row>
    <row r="44" spans="1:12" ht="26.25" thickBot="1">
      <c r="A44" s="160"/>
      <c r="B44" s="160"/>
      <c r="C44" s="7" t="s">
        <v>124</v>
      </c>
      <c r="D44" s="11" t="s">
        <v>86</v>
      </c>
      <c r="E44" s="12"/>
      <c r="F44" s="12"/>
      <c r="G44" s="8" t="s">
        <v>59</v>
      </c>
      <c r="H44" s="8" t="s">
        <v>50</v>
      </c>
      <c r="I44" s="8" t="s">
        <v>60</v>
      </c>
      <c r="J44" s="8" t="s">
        <v>52</v>
      </c>
      <c r="K44" s="8" t="s">
        <v>71</v>
      </c>
      <c r="L44" s="8" t="s">
        <v>62</v>
      </c>
    </row>
    <row r="45" spans="1:12" ht="39" thickBot="1">
      <c r="A45" s="160"/>
      <c r="B45" s="160"/>
      <c r="C45" s="7" t="s">
        <v>125</v>
      </c>
      <c r="D45" s="11" t="s">
        <v>86</v>
      </c>
      <c r="E45" s="9" t="s">
        <v>57</v>
      </c>
      <c r="F45" s="12"/>
      <c r="G45" s="8" t="s">
        <v>59</v>
      </c>
      <c r="H45" s="8" t="s">
        <v>50</v>
      </c>
      <c r="I45" s="8" t="s">
        <v>60</v>
      </c>
      <c r="J45" s="8" t="s">
        <v>52</v>
      </c>
      <c r="K45" s="8" t="s">
        <v>71</v>
      </c>
      <c r="L45" s="8" t="s">
        <v>62</v>
      </c>
    </row>
    <row r="46" spans="1:12" ht="26.25" thickBot="1">
      <c r="A46" s="160"/>
      <c r="B46" s="160"/>
      <c r="C46" s="7" t="s">
        <v>126</v>
      </c>
      <c r="D46" s="11" t="s">
        <v>86</v>
      </c>
      <c r="E46" s="9"/>
      <c r="F46" s="12"/>
      <c r="G46" s="8" t="s">
        <v>59</v>
      </c>
      <c r="H46" s="8" t="s">
        <v>50</v>
      </c>
      <c r="I46" s="8" t="s">
        <v>60</v>
      </c>
      <c r="J46" s="8" t="s">
        <v>52</v>
      </c>
      <c r="K46" s="8" t="s">
        <v>71</v>
      </c>
      <c r="L46" s="8" t="s">
        <v>62</v>
      </c>
    </row>
    <row r="47" spans="1:12" ht="26.25" thickBot="1">
      <c r="A47" s="160"/>
      <c r="B47" s="160"/>
      <c r="C47" s="7" t="s">
        <v>127</v>
      </c>
      <c r="D47" s="11" t="s">
        <v>86</v>
      </c>
      <c r="E47" s="12"/>
      <c r="F47" s="12"/>
      <c r="G47" s="8" t="s">
        <v>59</v>
      </c>
      <c r="H47" s="8" t="s">
        <v>50</v>
      </c>
      <c r="I47" s="8" t="s">
        <v>60</v>
      </c>
      <c r="J47" s="8" t="s">
        <v>52</v>
      </c>
      <c r="K47" s="8" t="s">
        <v>71</v>
      </c>
      <c r="L47" s="8" t="s">
        <v>62</v>
      </c>
    </row>
    <row r="48" spans="1:12" ht="39" thickBot="1">
      <c r="A48" s="160"/>
      <c r="B48" s="160"/>
      <c r="C48" s="7" t="s">
        <v>128</v>
      </c>
      <c r="D48" s="11" t="s">
        <v>86</v>
      </c>
      <c r="E48" s="9" t="s">
        <v>57</v>
      </c>
      <c r="F48" s="12"/>
      <c r="G48" s="8" t="s">
        <v>59</v>
      </c>
      <c r="H48" s="8" t="s">
        <v>50</v>
      </c>
      <c r="I48" s="8" t="s">
        <v>60</v>
      </c>
      <c r="J48" s="8" t="s">
        <v>52</v>
      </c>
      <c r="K48" s="8" t="s">
        <v>71</v>
      </c>
      <c r="L48" s="8" t="s">
        <v>62</v>
      </c>
    </row>
    <row r="49" spans="1:12" ht="26.25" thickBot="1">
      <c r="A49" s="160"/>
      <c r="B49" s="160"/>
      <c r="C49" s="7" t="s">
        <v>129</v>
      </c>
      <c r="D49" s="11" t="s">
        <v>86</v>
      </c>
      <c r="E49" s="11" t="s">
        <v>130</v>
      </c>
      <c r="F49" s="12"/>
      <c r="G49" s="8" t="s">
        <v>59</v>
      </c>
      <c r="H49" s="8" t="s">
        <v>50</v>
      </c>
      <c r="I49" s="8" t="s">
        <v>60</v>
      </c>
      <c r="J49" s="8" t="s">
        <v>52</v>
      </c>
      <c r="K49" s="8" t="s">
        <v>71</v>
      </c>
      <c r="L49" s="8" t="s">
        <v>62</v>
      </c>
    </row>
    <row r="50" spans="1:12" ht="26.25" thickBot="1">
      <c r="A50" s="160"/>
      <c r="B50" s="160"/>
      <c r="C50" s="7" t="s">
        <v>131</v>
      </c>
      <c r="D50" s="11" t="s">
        <v>86</v>
      </c>
      <c r="E50" s="4"/>
      <c r="F50" s="12"/>
      <c r="G50" s="8" t="s">
        <v>59</v>
      </c>
      <c r="H50" s="8" t="s">
        <v>50</v>
      </c>
      <c r="I50" s="8" t="s">
        <v>60</v>
      </c>
      <c r="J50" s="8" t="s">
        <v>52</v>
      </c>
      <c r="K50" s="8" t="s">
        <v>71</v>
      </c>
      <c r="L50" s="8" t="s">
        <v>62</v>
      </c>
    </row>
    <row r="51" spans="1:12" ht="15" thickBot="1">
      <c r="A51" s="160">
        <v>6</v>
      </c>
      <c r="B51" s="160" t="s">
        <v>132</v>
      </c>
      <c r="C51" s="18" t="s">
        <v>133</v>
      </c>
      <c r="D51" s="163"/>
      <c r="E51" s="163"/>
      <c r="F51" s="163"/>
      <c r="G51" s="163"/>
      <c r="H51" s="163"/>
      <c r="I51" s="163"/>
      <c r="J51" s="163"/>
      <c r="K51" s="163"/>
      <c r="L51" s="164"/>
    </row>
    <row r="52" spans="1:12" ht="15" thickBot="1">
      <c r="A52" s="160"/>
      <c r="B52" s="160"/>
      <c r="C52" s="18" t="s">
        <v>134</v>
      </c>
      <c r="D52" s="163"/>
      <c r="E52" s="163"/>
      <c r="F52" s="163"/>
      <c r="G52" s="163"/>
      <c r="H52" s="163"/>
      <c r="I52" s="163"/>
      <c r="J52" s="163"/>
      <c r="K52" s="163"/>
      <c r="L52" s="165"/>
    </row>
    <row r="53" spans="1:12" ht="26.25" thickBot="1">
      <c r="A53" s="160"/>
      <c r="B53" s="160"/>
      <c r="C53" s="20" t="s">
        <v>135</v>
      </c>
      <c r="D53" s="21"/>
      <c r="E53" s="11" t="s">
        <v>136</v>
      </c>
      <c r="F53" s="12"/>
      <c r="G53" s="8" t="s">
        <v>59</v>
      </c>
      <c r="H53" s="8" t="s">
        <v>50</v>
      </c>
      <c r="I53" s="8" t="s">
        <v>60</v>
      </c>
      <c r="J53" s="8" t="s">
        <v>52</v>
      </c>
      <c r="K53" s="8" t="s">
        <v>71</v>
      </c>
      <c r="L53" s="8" t="s">
        <v>62</v>
      </c>
    </row>
    <row r="54" spans="1:12" ht="26.25" thickBot="1">
      <c r="A54" s="160"/>
      <c r="B54" s="160"/>
      <c r="C54" s="20" t="s">
        <v>137</v>
      </c>
      <c r="D54" s="13"/>
      <c r="E54" s="11" t="s">
        <v>136</v>
      </c>
      <c r="F54" s="12"/>
      <c r="G54" s="8" t="s">
        <v>59</v>
      </c>
      <c r="H54" s="8" t="s">
        <v>50</v>
      </c>
      <c r="I54" s="8" t="s">
        <v>60</v>
      </c>
      <c r="J54" s="8" t="s">
        <v>52</v>
      </c>
      <c r="K54" s="8" t="s">
        <v>71</v>
      </c>
      <c r="L54" s="8" t="s">
        <v>62</v>
      </c>
    </row>
    <row r="55" spans="1:12" ht="15" thickBot="1">
      <c r="A55" s="160"/>
      <c r="B55" s="160"/>
      <c r="C55" s="20" t="s">
        <v>138</v>
      </c>
      <c r="D55" s="9" t="s">
        <v>139</v>
      </c>
      <c r="E55" s="8" t="s">
        <v>140</v>
      </c>
      <c r="F55" s="8" t="s">
        <v>141</v>
      </c>
      <c r="G55" s="8" t="s">
        <v>142</v>
      </c>
      <c r="H55" s="8" t="s">
        <v>142</v>
      </c>
      <c r="I55" s="8" t="s">
        <v>143</v>
      </c>
      <c r="J55" s="8" t="s">
        <v>52</v>
      </c>
      <c r="K55" s="8" t="s">
        <v>96</v>
      </c>
      <c r="L55" s="8" t="s">
        <v>62</v>
      </c>
    </row>
    <row r="56" spans="1:12" ht="15" thickBot="1">
      <c r="A56" s="160"/>
      <c r="B56" s="160"/>
      <c r="C56" s="20" t="s">
        <v>144</v>
      </c>
      <c r="D56" s="9" t="s">
        <v>139</v>
      </c>
      <c r="E56" s="8" t="s">
        <v>145</v>
      </c>
      <c r="F56" s="8" t="s">
        <v>141</v>
      </c>
      <c r="G56" s="8" t="s">
        <v>142</v>
      </c>
      <c r="H56" s="8" t="s">
        <v>142</v>
      </c>
      <c r="I56" s="8" t="s">
        <v>143</v>
      </c>
      <c r="J56" s="8" t="s">
        <v>52</v>
      </c>
      <c r="K56" s="8" t="s">
        <v>96</v>
      </c>
      <c r="L56" s="8" t="s">
        <v>62</v>
      </c>
    </row>
    <row r="57" spans="1:12" ht="15" thickBot="1">
      <c r="A57" s="160"/>
      <c r="B57" s="160"/>
      <c r="C57" s="20" t="s">
        <v>146</v>
      </c>
      <c r="D57" s="9" t="s">
        <v>139</v>
      </c>
      <c r="E57" s="8" t="s">
        <v>147</v>
      </c>
      <c r="F57" s="8" t="s">
        <v>141</v>
      </c>
      <c r="G57" s="8" t="s">
        <v>142</v>
      </c>
      <c r="H57" s="8" t="s">
        <v>142</v>
      </c>
      <c r="I57" s="8" t="s">
        <v>143</v>
      </c>
      <c r="J57" s="8" t="s">
        <v>52</v>
      </c>
      <c r="K57" s="8" t="s">
        <v>96</v>
      </c>
      <c r="L57" s="8" t="s">
        <v>62</v>
      </c>
    </row>
    <row r="58" spans="1:12" ht="15" thickBot="1">
      <c r="A58" s="160"/>
      <c r="B58" s="160"/>
      <c r="C58" s="20" t="s">
        <v>148</v>
      </c>
      <c r="D58" s="9" t="s">
        <v>139</v>
      </c>
      <c r="E58" s="8" t="s">
        <v>149</v>
      </c>
      <c r="F58" s="8" t="s">
        <v>141</v>
      </c>
      <c r="G58" s="8" t="s">
        <v>142</v>
      </c>
      <c r="H58" s="8" t="s">
        <v>142</v>
      </c>
      <c r="I58" s="8" t="s">
        <v>143</v>
      </c>
      <c r="J58" s="8" t="s">
        <v>52</v>
      </c>
      <c r="K58" s="8" t="s">
        <v>96</v>
      </c>
      <c r="L58" s="8" t="s">
        <v>62</v>
      </c>
    </row>
    <row r="59" spans="1:12" ht="15" thickBot="1">
      <c r="A59" s="160"/>
      <c r="B59" s="160"/>
      <c r="C59" s="22" t="s">
        <v>150</v>
      </c>
      <c r="D59" s="9" t="s">
        <v>139</v>
      </c>
      <c r="E59" s="8" t="s">
        <v>151</v>
      </c>
      <c r="F59" s="8" t="s">
        <v>141</v>
      </c>
      <c r="G59" s="8" t="s">
        <v>142</v>
      </c>
      <c r="H59" s="8" t="s">
        <v>142</v>
      </c>
      <c r="I59" s="8" t="s">
        <v>143</v>
      </c>
      <c r="J59" s="8" t="s">
        <v>52</v>
      </c>
      <c r="K59" s="8" t="s">
        <v>96</v>
      </c>
      <c r="L59" s="8" t="s">
        <v>62</v>
      </c>
    </row>
    <row r="60" spans="1:12" ht="15" thickBot="1">
      <c r="A60" s="160"/>
      <c r="B60" s="160"/>
      <c r="C60" s="23" t="s">
        <v>152</v>
      </c>
      <c r="D60" s="166"/>
      <c r="E60" s="167"/>
      <c r="F60" s="167"/>
      <c r="G60" s="167"/>
      <c r="H60" s="167"/>
      <c r="I60" s="167"/>
      <c r="J60" s="167"/>
      <c r="K60" s="167"/>
      <c r="L60" s="168"/>
    </row>
    <row r="61" spans="1:12" ht="15" thickBot="1">
      <c r="A61" s="160"/>
      <c r="B61" s="160"/>
      <c r="C61" s="24" t="s">
        <v>153</v>
      </c>
      <c r="D61" s="9" t="s">
        <v>154</v>
      </c>
      <c r="E61" s="9" t="s">
        <v>155</v>
      </c>
      <c r="F61" s="12"/>
      <c r="G61" s="8" t="s">
        <v>59</v>
      </c>
      <c r="H61" s="8" t="s">
        <v>50</v>
      </c>
      <c r="I61" s="8" t="s">
        <v>143</v>
      </c>
      <c r="J61" s="8" t="s">
        <v>102</v>
      </c>
      <c r="K61" s="8"/>
      <c r="L61" s="4"/>
    </row>
    <row r="62" spans="1:12" ht="24.75" thickBot="1">
      <c r="A62" s="160"/>
      <c r="B62" s="160"/>
      <c r="C62" s="22" t="s">
        <v>156</v>
      </c>
      <c r="D62" s="19" t="s">
        <v>157</v>
      </c>
      <c r="E62" s="12"/>
      <c r="F62" s="12"/>
      <c r="G62" s="8" t="s">
        <v>59</v>
      </c>
      <c r="H62" s="8" t="s">
        <v>50</v>
      </c>
      <c r="I62" s="8" t="s">
        <v>60</v>
      </c>
      <c r="J62" s="8" t="s">
        <v>52</v>
      </c>
      <c r="K62" s="8" t="s">
        <v>158</v>
      </c>
      <c r="L62" s="8" t="s">
        <v>54</v>
      </c>
    </row>
    <row r="63" spans="1:12" ht="15" thickBot="1">
      <c r="A63" s="160"/>
      <c r="B63" s="160"/>
      <c r="C63" s="24" t="s">
        <v>159</v>
      </c>
      <c r="D63" s="8" t="s">
        <v>160</v>
      </c>
      <c r="E63" s="8" t="s">
        <v>161</v>
      </c>
      <c r="F63" s="8" t="s">
        <v>162</v>
      </c>
      <c r="G63" s="8" t="s">
        <v>59</v>
      </c>
      <c r="H63" s="8" t="s">
        <v>50</v>
      </c>
      <c r="I63" s="8" t="s">
        <v>60</v>
      </c>
      <c r="J63" s="8" t="s">
        <v>52</v>
      </c>
      <c r="K63" s="8" t="s">
        <v>118</v>
      </c>
      <c r="L63" s="8" t="s">
        <v>54</v>
      </c>
    </row>
    <row r="64" spans="1:12" ht="15" thickBot="1">
      <c r="A64" s="160"/>
      <c r="B64" s="160"/>
      <c r="C64" s="24" t="s">
        <v>163</v>
      </c>
      <c r="D64" s="8" t="s">
        <v>164</v>
      </c>
      <c r="E64" s="8" t="s">
        <v>165</v>
      </c>
      <c r="F64" s="8" t="s">
        <v>98</v>
      </c>
      <c r="G64" s="8" t="s">
        <v>59</v>
      </c>
      <c r="H64" s="8" t="s">
        <v>50</v>
      </c>
      <c r="I64" s="8" t="s">
        <v>60</v>
      </c>
      <c r="J64" s="8" t="s">
        <v>52</v>
      </c>
      <c r="K64" s="8" t="s">
        <v>99</v>
      </c>
      <c r="L64" s="8" t="s">
        <v>54</v>
      </c>
    </row>
    <row r="65" spans="1:12" ht="15" thickBot="1">
      <c r="A65" s="160"/>
      <c r="B65" s="160"/>
      <c r="C65" s="24" t="s">
        <v>166</v>
      </c>
      <c r="D65" s="8" t="s">
        <v>164</v>
      </c>
      <c r="E65" s="8" t="s">
        <v>167</v>
      </c>
      <c r="F65" s="8" t="s">
        <v>98</v>
      </c>
      <c r="G65" s="8" t="s">
        <v>59</v>
      </c>
      <c r="H65" s="8" t="s">
        <v>50</v>
      </c>
      <c r="I65" s="8" t="s">
        <v>60</v>
      </c>
      <c r="J65" s="8" t="s">
        <v>52</v>
      </c>
      <c r="K65" s="8" t="s">
        <v>99</v>
      </c>
      <c r="L65" s="8" t="s">
        <v>54</v>
      </c>
    </row>
    <row r="66" spans="1:12" ht="15" thickBot="1">
      <c r="A66" s="160"/>
      <c r="B66" s="160"/>
      <c r="C66" s="24" t="s">
        <v>168</v>
      </c>
      <c r="D66" s="8" t="s">
        <v>160</v>
      </c>
      <c r="E66" s="8" t="s">
        <v>167</v>
      </c>
      <c r="F66" s="8" t="s">
        <v>162</v>
      </c>
      <c r="G66" s="8" t="s">
        <v>59</v>
      </c>
      <c r="H66" s="8" t="s">
        <v>50</v>
      </c>
      <c r="I66" s="8" t="s">
        <v>60</v>
      </c>
      <c r="J66" s="8" t="s">
        <v>52</v>
      </c>
      <c r="K66" s="8" t="s">
        <v>118</v>
      </c>
      <c r="L66" s="8" t="s">
        <v>54</v>
      </c>
    </row>
    <row r="67" spans="1:12" ht="15" thickBot="1">
      <c r="A67" s="160"/>
      <c r="B67" s="160"/>
      <c r="C67" s="24" t="s">
        <v>169</v>
      </c>
      <c r="D67" s="8" t="s">
        <v>164</v>
      </c>
      <c r="E67" s="8" t="s">
        <v>167</v>
      </c>
      <c r="F67" s="8" t="s">
        <v>98</v>
      </c>
      <c r="G67" s="8" t="s">
        <v>59</v>
      </c>
      <c r="H67" s="8" t="s">
        <v>50</v>
      </c>
      <c r="I67" s="8" t="s">
        <v>143</v>
      </c>
      <c r="J67" s="8" t="s">
        <v>52</v>
      </c>
      <c r="K67" s="8" t="s">
        <v>99</v>
      </c>
      <c r="L67" s="8" t="s">
        <v>54</v>
      </c>
    </row>
    <row r="68" spans="1:12" ht="15" thickBot="1">
      <c r="A68" s="160"/>
      <c r="B68" s="160"/>
      <c r="C68" s="24" t="s">
        <v>170</v>
      </c>
      <c r="D68" s="8" t="s">
        <v>164</v>
      </c>
      <c r="E68" s="8" t="s">
        <v>167</v>
      </c>
      <c r="F68" s="8" t="s">
        <v>98</v>
      </c>
      <c r="G68" s="8" t="s">
        <v>59</v>
      </c>
      <c r="H68" s="8" t="s">
        <v>50</v>
      </c>
      <c r="I68" s="8" t="s">
        <v>143</v>
      </c>
      <c r="J68" s="8" t="s">
        <v>52</v>
      </c>
      <c r="K68" s="8" t="s">
        <v>99</v>
      </c>
      <c r="L68" s="8" t="s">
        <v>54</v>
      </c>
    </row>
    <row r="69" spans="1:12" ht="15" thickBot="1">
      <c r="A69" s="160"/>
      <c r="B69" s="160"/>
      <c r="C69" s="24" t="s">
        <v>171</v>
      </c>
      <c r="D69" s="8" t="s">
        <v>164</v>
      </c>
      <c r="E69" s="8" t="s">
        <v>167</v>
      </c>
      <c r="F69" s="8" t="s">
        <v>98</v>
      </c>
      <c r="G69" s="8" t="s">
        <v>59</v>
      </c>
      <c r="H69" s="8" t="s">
        <v>50</v>
      </c>
      <c r="I69" s="8" t="s">
        <v>143</v>
      </c>
      <c r="J69" s="8" t="s">
        <v>52</v>
      </c>
      <c r="K69" s="8" t="s">
        <v>99</v>
      </c>
      <c r="L69" s="8" t="s">
        <v>54</v>
      </c>
    </row>
    <row r="70" spans="1:12" ht="15" thickBot="1">
      <c r="A70" s="160"/>
      <c r="B70" s="160"/>
      <c r="C70" s="23" t="s">
        <v>172</v>
      </c>
      <c r="D70" s="163"/>
      <c r="E70" s="163"/>
      <c r="F70" s="163"/>
      <c r="G70" s="163"/>
      <c r="H70" s="163"/>
      <c r="I70" s="163"/>
      <c r="J70" s="163"/>
      <c r="K70" s="163"/>
      <c r="L70" s="4"/>
    </row>
    <row r="71" spans="1:12" ht="15" thickBot="1">
      <c r="A71" s="160"/>
      <c r="B71" s="160"/>
      <c r="C71" s="24" t="s">
        <v>153</v>
      </c>
      <c r="D71" s="9" t="s">
        <v>154</v>
      </c>
      <c r="E71" s="9" t="s">
        <v>155</v>
      </c>
      <c r="F71" s="12"/>
      <c r="G71" s="8" t="s">
        <v>59</v>
      </c>
      <c r="H71" s="8" t="s">
        <v>50</v>
      </c>
      <c r="I71" s="8" t="s">
        <v>143</v>
      </c>
      <c r="J71" s="8" t="s">
        <v>102</v>
      </c>
      <c r="K71" s="8" t="s">
        <v>118</v>
      </c>
      <c r="L71" s="8" t="s">
        <v>62</v>
      </c>
    </row>
    <row r="72" spans="1:12" ht="36.75" thickBot="1">
      <c r="A72" s="160"/>
      <c r="B72" s="160"/>
      <c r="C72" s="25" t="s">
        <v>173</v>
      </c>
      <c r="D72" s="9" t="s">
        <v>157</v>
      </c>
      <c r="E72" s="8" t="s">
        <v>174</v>
      </c>
      <c r="F72" s="8" t="s">
        <v>175</v>
      </c>
      <c r="G72" s="8" t="s">
        <v>142</v>
      </c>
      <c r="H72" s="8" t="s">
        <v>142</v>
      </c>
      <c r="I72" s="8" t="s">
        <v>60</v>
      </c>
      <c r="J72" s="8" t="s">
        <v>52</v>
      </c>
      <c r="K72" s="8" t="s">
        <v>118</v>
      </c>
      <c r="L72" s="8" t="s">
        <v>62</v>
      </c>
    </row>
    <row r="73" spans="1:12" ht="15" thickBot="1">
      <c r="A73" s="160"/>
      <c r="B73" s="160"/>
      <c r="C73" s="24" t="s">
        <v>159</v>
      </c>
      <c r="D73" s="8" t="s">
        <v>160</v>
      </c>
      <c r="E73" s="8" t="s">
        <v>174</v>
      </c>
      <c r="F73" s="8" t="s">
        <v>175</v>
      </c>
      <c r="G73" s="8" t="s">
        <v>59</v>
      </c>
      <c r="H73" s="8" t="s">
        <v>50</v>
      </c>
      <c r="I73" s="8" t="s">
        <v>60</v>
      </c>
      <c r="J73" s="8" t="s">
        <v>52</v>
      </c>
      <c r="K73" s="8" t="s">
        <v>118</v>
      </c>
      <c r="L73" s="8" t="s">
        <v>62</v>
      </c>
    </row>
    <row r="74" spans="1:12" ht="15" thickBot="1">
      <c r="A74" s="160"/>
      <c r="B74" s="160"/>
      <c r="C74" s="24" t="s">
        <v>138</v>
      </c>
      <c r="D74" s="8" t="s">
        <v>160</v>
      </c>
      <c r="E74" s="8" t="s">
        <v>174</v>
      </c>
      <c r="F74" s="8" t="s">
        <v>175</v>
      </c>
      <c r="G74" s="8" t="s">
        <v>59</v>
      </c>
      <c r="H74" s="8" t="s">
        <v>50</v>
      </c>
      <c r="I74" s="8" t="s">
        <v>60</v>
      </c>
      <c r="J74" s="8" t="s">
        <v>52</v>
      </c>
      <c r="K74" s="8" t="s">
        <v>118</v>
      </c>
      <c r="L74" s="8" t="s">
        <v>62</v>
      </c>
    </row>
    <row r="75" spans="1:12" ht="15" thickBot="1">
      <c r="A75" s="160"/>
      <c r="B75" s="160"/>
      <c r="C75" s="24" t="s">
        <v>169</v>
      </c>
      <c r="D75" s="8" t="s">
        <v>164</v>
      </c>
      <c r="E75" s="8" t="s">
        <v>176</v>
      </c>
      <c r="F75" s="8" t="s">
        <v>98</v>
      </c>
      <c r="G75" s="8" t="s">
        <v>59</v>
      </c>
      <c r="H75" s="8" t="s">
        <v>50</v>
      </c>
      <c r="I75" s="8" t="s">
        <v>143</v>
      </c>
      <c r="J75" s="8" t="s">
        <v>52</v>
      </c>
      <c r="K75" s="8" t="s">
        <v>99</v>
      </c>
      <c r="L75" s="8" t="s">
        <v>62</v>
      </c>
    </row>
    <row r="76" spans="1:12" ht="15" thickBot="1">
      <c r="A76" s="160"/>
      <c r="B76" s="160"/>
      <c r="C76" s="24" t="s">
        <v>177</v>
      </c>
      <c r="D76" s="8" t="s">
        <v>164</v>
      </c>
      <c r="E76" s="8" t="s">
        <v>174</v>
      </c>
      <c r="F76" s="8" t="s">
        <v>98</v>
      </c>
      <c r="G76" s="8" t="s">
        <v>59</v>
      </c>
      <c r="H76" s="8" t="s">
        <v>50</v>
      </c>
      <c r="I76" s="8" t="s">
        <v>143</v>
      </c>
      <c r="J76" s="8" t="s">
        <v>52</v>
      </c>
      <c r="K76" s="8" t="s">
        <v>99</v>
      </c>
      <c r="L76" s="8" t="s">
        <v>62</v>
      </c>
    </row>
    <row r="77" spans="1:12" ht="15" thickBot="1">
      <c r="A77" s="160"/>
      <c r="B77" s="160"/>
      <c r="C77" s="24" t="s">
        <v>171</v>
      </c>
      <c r="D77" s="8" t="s">
        <v>164</v>
      </c>
      <c r="E77" s="8" t="s">
        <v>174</v>
      </c>
      <c r="F77" s="8" t="s">
        <v>98</v>
      </c>
      <c r="G77" s="8" t="s">
        <v>59</v>
      </c>
      <c r="H77" s="8" t="s">
        <v>50</v>
      </c>
      <c r="I77" s="8" t="s">
        <v>143</v>
      </c>
      <c r="J77" s="8" t="s">
        <v>52</v>
      </c>
      <c r="K77" s="8" t="s">
        <v>99</v>
      </c>
      <c r="L77" s="8" t="s">
        <v>62</v>
      </c>
    </row>
    <row r="78" spans="1:12" ht="15" thickBot="1">
      <c r="A78" s="160"/>
      <c r="B78" s="160"/>
      <c r="C78" s="24" t="s">
        <v>178</v>
      </c>
      <c r="D78" s="8" t="s">
        <v>164</v>
      </c>
      <c r="E78" s="8" t="s">
        <v>174</v>
      </c>
      <c r="F78" s="8" t="s">
        <v>98</v>
      </c>
      <c r="G78" s="8" t="s">
        <v>59</v>
      </c>
      <c r="H78" s="8" t="s">
        <v>50</v>
      </c>
      <c r="I78" s="8" t="s">
        <v>143</v>
      </c>
      <c r="J78" s="8" t="s">
        <v>52</v>
      </c>
      <c r="K78" s="8" t="s">
        <v>99</v>
      </c>
      <c r="L78" s="8" t="s">
        <v>62</v>
      </c>
    </row>
    <row r="79" spans="1:12" ht="15" thickBot="1">
      <c r="A79" s="160"/>
      <c r="B79" s="160"/>
      <c r="C79" s="23" t="s">
        <v>179</v>
      </c>
      <c r="D79" s="163"/>
      <c r="E79" s="163"/>
      <c r="F79" s="163"/>
      <c r="G79" s="163"/>
      <c r="H79" s="163"/>
      <c r="I79" s="163"/>
      <c r="J79" s="163"/>
      <c r="K79" s="163"/>
      <c r="L79" s="4"/>
    </row>
    <row r="80" spans="1:12" ht="15" thickBot="1">
      <c r="A80" s="160"/>
      <c r="B80" s="160"/>
      <c r="C80" s="24" t="s">
        <v>180</v>
      </c>
      <c r="D80" s="8" t="s">
        <v>164</v>
      </c>
      <c r="E80" s="9" t="s">
        <v>181</v>
      </c>
      <c r="F80" s="8" t="s">
        <v>98</v>
      </c>
      <c r="G80" s="8" t="s">
        <v>59</v>
      </c>
      <c r="H80" s="8" t="s">
        <v>50</v>
      </c>
      <c r="I80" s="8" t="s">
        <v>143</v>
      </c>
      <c r="J80" s="8" t="s">
        <v>52</v>
      </c>
      <c r="K80" s="8" t="s">
        <v>99</v>
      </c>
      <c r="L80" s="8" t="s">
        <v>62</v>
      </c>
    </row>
    <row r="81" spans="1:12" ht="15" thickBot="1">
      <c r="A81" s="160"/>
      <c r="B81" s="160"/>
      <c r="C81" s="24" t="s">
        <v>182</v>
      </c>
      <c r="D81" s="8" t="s">
        <v>164</v>
      </c>
      <c r="E81" s="9" t="s">
        <v>181</v>
      </c>
      <c r="F81" s="8" t="s">
        <v>98</v>
      </c>
      <c r="G81" s="8" t="s">
        <v>59</v>
      </c>
      <c r="H81" s="8" t="s">
        <v>50</v>
      </c>
      <c r="I81" s="8" t="s">
        <v>143</v>
      </c>
      <c r="J81" s="8" t="s">
        <v>52</v>
      </c>
      <c r="K81" s="8" t="s">
        <v>99</v>
      </c>
      <c r="L81" s="8" t="s">
        <v>62</v>
      </c>
    </row>
    <row r="82" spans="1:12" ht="15" thickBot="1">
      <c r="A82" s="160"/>
      <c r="B82" s="160"/>
      <c r="C82" s="24" t="s">
        <v>183</v>
      </c>
      <c r="D82" s="8" t="s">
        <v>164</v>
      </c>
      <c r="E82" s="9" t="s">
        <v>181</v>
      </c>
      <c r="F82" s="8" t="s">
        <v>98</v>
      </c>
      <c r="G82" s="8" t="s">
        <v>59</v>
      </c>
      <c r="H82" s="8" t="s">
        <v>50</v>
      </c>
      <c r="I82" s="8" t="s">
        <v>143</v>
      </c>
      <c r="J82" s="8" t="s">
        <v>52</v>
      </c>
      <c r="K82" s="8" t="s">
        <v>99</v>
      </c>
      <c r="L82" s="8" t="s">
        <v>62</v>
      </c>
    </row>
    <row r="83" spans="1:12" ht="24.75" thickBot="1">
      <c r="A83" s="160"/>
      <c r="B83" s="160"/>
      <c r="C83" s="25" t="s">
        <v>184</v>
      </c>
      <c r="D83" s="8" t="s">
        <v>164</v>
      </c>
      <c r="E83" s="9" t="s">
        <v>181</v>
      </c>
      <c r="F83" s="8" t="s">
        <v>98</v>
      </c>
      <c r="G83" s="8" t="s">
        <v>59</v>
      </c>
      <c r="H83" s="8" t="s">
        <v>50</v>
      </c>
      <c r="I83" s="8" t="s">
        <v>143</v>
      </c>
      <c r="J83" s="8" t="s">
        <v>52</v>
      </c>
      <c r="K83" s="8" t="s">
        <v>99</v>
      </c>
      <c r="L83" s="8" t="s">
        <v>62</v>
      </c>
    </row>
    <row r="84" spans="1:12" ht="15" thickBot="1">
      <c r="A84" s="160"/>
      <c r="B84" s="160"/>
      <c r="C84" s="24" t="s">
        <v>185</v>
      </c>
      <c r="D84" s="8" t="s">
        <v>164</v>
      </c>
      <c r="E84" s="9" t="s">
        <v>181</v>
      </c>
      <c r="F84" s="8" t="s">
        <v>98</v>
      </c>
      <c r="G84" s="8" t="s">
        <v>59</v>
      </c>
      <c r="H84" s="8" t="s">
        <v>50</v>
      </c>
      <c r="I84" s="8" t="s">
        <v>143</v>
      </c>
      <c r="J84" s="8" t="s">
        <v>52</v>
      </c>
      <c r="K84" s="8" t="s">
        <v>99</v>
      </c>
      <c r="L84" s="8" t="s">
        <v>62</v>
      </c>
    </row>
    <row r="85" spans="1:12" ht="15" thickBot="1">
      <c r="A85" s="160"/>
      <c r="B85" s="160"/>
      <c r="C85" s="24" t="s">
        <v>186</v>
      </c>
      <c r="D85" s="8" t="s">
        <v>164</v>
      </c>
      <c r="E85" s="9" t="s">
        <v>181</v>
      </c>
      <c r="F85" s="8" t="s">
        <v>98</v>
      </c>
      <c r="G85" s="8" t="s">
        <v>59</v>
      </c>
      <c r="H85" s="8" t="s">
        <v>50</v>
      </c>
      <c r="I85" s="8" t="s">
        <v>143</v>
      </c>
      <c r="J85" s="8" t="s">
        <v>52</v>
      </c>
      <c r="K85" s="8" t="s">
        <v>99</v>
      </c>
      <c r="L85" s="8" t="s">
        <v>62</v>
      </c>
    </row>
    <row r="86" spans="1:12" ht="15" thickBot="1">
      <c r="A86" s="160"/>
      <c r="B86" s="160"/>
      <c r="C86" s="24" t="s">
        <v>187</v>
      </c>
      <c r="D86" s="8" t="s">
        <v>164</v>
      </c>
      <c r="E86" s="9" t="s">
        <v>181</v>
      </c>
      <c r="F86" s="8" t="s">
        <v>98</v>
      </c>
      <c r="G86" s="8" t="s">
        <v>59</v>
      </c>
      <c r="H86" s="8" t="s">
        <v>50</v>
      </c>
      <c r="I86" s="8" t="s">
        <v>143</v>
      </c>
      <c r="J86" s="8" t="s">
        <v>52</v>
      </c>
      <c r="K86" s="8" t="s">
        <v>99</v>
      </c>
      <c r="L86" s="8" t="s">
        <v>62</v>
      </c>
    </row>
    <row r="87" spans="1:12" ht="15" thickBot="1">
      <c r="A87" s="160"/>
      <c r="B87" s="160"/>
      <c r="C87" s="24" t="s">
        <v>188</v>
      </c>
      <c r="D87" s="8" t="s">
        <v>164</v>
      </c>
      <c r="E87" s="9" t="s">
        <v>181</v>
      </c>
      <c r="F87" s="8" t="s">
        <v>98</v>
      </c>
      <c r="G87" s="8" t="s">
        <v>59</v>
      </c>
      <c r="H87" s="8" t="s">
        <v>50</v>
      </c>
      <c r="I87" s="8" t="s">
        <v>143</v>
      </c>
      <c r="J87" s="8" t="s">
        <v>52</v>
      </c>
      <c r="K87" s="8" t="s">
        <v>99</v>
      </c>
      <c r="L87" s="8" t="s">
        <v>62</v>
      </c>
    </row>
    <row r="88" spans="1:12" ht="15" thickBot="1">
      <c r="A88" s="160"/>
      <c r="B88" s="160"/>
      <c r="C88" s="24" t="s">
        <v>189</v>
      </c>
      <c r="D88" s="8" t="s">
        <v>164</v>
      </c>
      <c r="E88" s="9" t="s">
        <v>181</v>
      </c>
      <c r="F88" s="8" t="s">
        <v>98</v>
      </c>
      <c r="G88" s="8" t="s">
        <v>59</v>
      </c>
      <c r="H88" s="8" t="s">
        <v>50</v>
      </c>
      <c r="I88" s="8" t="s">
        <v>143</v>
      </c>
      <c r="J88" s="8" t="s">
        <v>52</v>
      </c>
      <c r="K88" s="8" t="s">
        <v>99</v>
      </c>
      <c r="L88" s="8" t="s">
        <v>62</v>
      </c>
    </row>
    <row r="89" spans="1:12" ht="15" thickBot="1">
      <c r="A89" s="160"/>
      <c r="B89" s="160"/>
      <c r="C89" s="24" t="s">
        <v>190</v>
      </c>
      <c r="D89" s="8" t="s">
        <v>164</v>
      </c>
      <c r="E89" s="9" t="s">
        <v>181</v>
      </c>
      <c r="F89" s="8" t="s">
        <v>98</v>
      </c>
      <c r="G89" s="8" t="s">
        <v>59</v>
      </c>
      <c r="H89" s="8" t="s">
        <v>50</v>
      </c>
      <c r="I89" s="8" t="s">
        <v>143</v>
      </c>
      <c r="J89" s="8" t="s">
        <v>52</v>
      </c>
      <c r="K89" s="8" t="s">
        <v>99</v>
      </c>
      <c r="L89" s="8" t="s">
        <v>62</v>
      </c>
    </row>
    <row r="90" spans="1:12" ht="15" thickBot="1">
      <c r="A90" s="160"/>
      <c r="B90" s="160"/>
      <c r="C90" s="24" t="s">
        <v>191</v>
      </c>
      <c r="D90" s="8" t="s">
        <v>164</v>
      </c>
      <c r="E90" s="9" t="s">
        <v>181</v>
      </c>
      <c r="F90" s="8" t="s">
        <v>98</v>
      </c>
      <c r="G90" s="8" t="s">
        <v>59</v>
      </c>
      <c r="H90" s="8" t="s">
        <v>50</v>
      </c>
      <c r="I90" s="8" t="s">
        <v>143</v>
      </c>
      <c r="J90" s="8" t="s">
        <v>52</v>
      </c>
      <c r="K90" s="8" t="s">
        <v>99</v>
      </c>
      <c r="L90" s="8" t="s">
        <v>62</v>
      </c>
    </row>
    <row r="91" spans="1:12" ht="15" thickBot="1">
      <c r="A91" s="160"/>
      <c r="B91" s="160"/>
      <c r="C91" s="24" t="s">
        <v>192</v>
      </c>
      <c r="D91" s="8" t="s">
        <v>164</v>
      </c>
      <c r="E91" s="9" t="s">
        <v>181</v>
      </c>
      <c r="F91" s="8" t="s">
        <v>98</v>
      </c>
      <c r="G91" s="8" t="s">
        <v>59</v>
      </c>
      <c r="H91" s="8" t="s">
        <v>50</v>
      </c>
      <c r="I91" s="8" t="s">
        <v>143</v>
      </c>
      <c r="J91" s="8" t="s">
        <v>52</v>
      </c>
      <c r="K91" s="8" t="s">
        <v>99</v>
      </c>
      <c r="L91" s="8" t="s">
        <v>62</v>
      </c>
    </row>
    <row r="92" spans="1:12" ht="15" thickBot="1">
      <c r="A92" s="160"/>
      <c r="B92" s="160"/>
      <c r="C92" s="23" t="s">
        <v>193</v>
      </c>
      <c r="D92" s="169"/>
      <c r="E92" s="169"/>
      <c r="F92" s="169"/>
      <c r="G92" s="169"/>
      <c r="H92" s="169"/>
      <c r="I92" s="169"/>
      <c r="J92" s="169"/>
      <c r="K92" s="169"/>
      <c r="L92" s="4"/>
    </row>
    <row r="93" spans="1:12" ht="15" thickBot="1">
      <c r="A93" s="160"/>
      <c r="B93" s="160"/>
      <c r="C93" s="24" t="s">
        <v>194</v>
      </c>
      <c r="D93" s="9" t="s">
        <v>157</v>
      </c>
      <c r="E93" s="9" t="s">
        <v>195</v>
      </c>
      <c r="F93" s="8" t="s">
        <v>141</v>
      </c>
      <c r="G93" s="8" t="s">
        <v>59</v>
      </c>
      <c r="H93" s="8" t="s">
        <v>50</v>
      </c>
      <c r="I93" s="8" t="s">
        <v>143</v>
      </c>
      <c r="J93" s="8" t="s">
        <v>52</v>
      </c>
      <c r="K93" s="8" t="s">
        <v>96</v>
      </c>
      <c r="L93" s="8" t="s">
        <v>54</v>
      </c>
    </row>
    <row r="94" spans="1:12" ht="15" thickBot="1">
      <c r="A94" s="160"/>
      <c r="B94" s="160"/>
      <c r="C94" s="26" t="s">
        <v>196</v>
      </c>
      <c r="D94" s="8" t="s">
        <v>197</v>
      </c>
      <c r="E94" s="8" t="s">
        <v>155</v>
      </c>
      <c r="F94" s="8" t="s">
        <v>175</v>
      </c>
      <c r="G94" s="13"/>
      <c r="H94" s="13"/>
      <c r="I94" s="13"/>
      <c r="J94" s="13"/>
      <c r="K94" s="8" t="s">
        <v>96</v>
      </c>
      <c r="L94" s="8" t="s">
        <v>62</v>
      </c>
    </row>
    <row r="95" spans="1:12" ht="15" thickBot="1">
      <c r="A95" s="160"/>
      <c r="B95" s="160"/>
      <c r="C95" s="23" t="s">
        <v>198</v>
      </c>
      <c r="D95" s="13"/>
      <c r="E95" s="13"/>
      <c r="F95" s="13"/>
      <c r="G95" s="13"/>
      <c r="H95" s="13"/>
      <c r="I95" s="13"/>
      <c r="J95" s="13"/>
      <c r="K95" s="13"/>
      <c r="L95" s="4"/>
    </row>
    <row r="96" spans="1:12" ht="15" thickBot="1">
      <c r="A96" s="160"/>
      <c r="B96" s="160"/>
      <c r="C96" s="24" t="s">
        <v>199</v>
      </c>
      <c r="D96" s="8" t="s">
        <v>200</v>
      </c>
      <c r="E96" s="8" t="s">
        <v>201</v>
      </c>
      <c r="F96" s="8" t="s">
        <v>175</v>
      </c>
      <c r="G96" s="8" t="s">
        <v>59</v>
      </c>
      <c r="H96" s="8" t="s">
        <v>50</v>
      </c>
      <c r="I96" s="8" t="s">
        <v>60</v>
      </c>
      <c r="J96" s="8" t="s">
        <v>52</v>
      </c>
      <c r="K96" s="8" t="s">
        <v>202</v>
      </c>
      <c r="L96" s="8" t="s">
        <v>62</v>
      </c>
    </row>
    <row r="97" spans="1:12" ht="24.75" thickBot="1">
      <c r="A97" s="160"/>
      <c r="B97" s="160"/>
      <c r="C97" s="25" t="s">
        <v>203</v>
      </c>
      <c r="D97" s="8"/>
      <c r="E97" s="8" t="s">
        <v>204</v>
      </c>
      <c r="F97" s="8" t="s">
        <v>175</v>
      </c>
      <c r="G97" s="8" t="s">
        <v>59</v>
      </c>
      <c r="H97" s="8" t="s">
        <v>50</v>
      </c>
      <c r="I97" s="8" t="s">
        <v>60</v>
      </c>
      <c r="J97" s="8" t="s">
        <v>52</v>
      </c>
      <c r="K97" s="8" t="s">
        <v>158</v>
      </c>
      <c r="L97" s="8" t="s">
        <v>62</v>
      </c>
    </row>
    <row r="98" spans="1:12" ht="15" thickBot="1">
      <c r="A98" s="160"/>
      <c r="B98" s="160"/>
      <c r="C98" s="24" t="s">
        <v>205</v>
      </c>
      <c r="D98" s="9" t="s">
        <v>206</v>
      </c>
      <c r="E98" s="13"/>
      <c r="F98" s="8" t="s">
        <v>175</v>
      </c>
      <c r="G98" s="8" t="s">
        <v>59</v>
      </c>
      <c r="H98" s="8" t="s">
        <v>50</v>
      </c>
      <c r="I98" s="8" t="s">
        <v>60</v>
      </c>
      <c r="J98" s="8" t="s">
        <v>52</v>
      </c>
      <c r="K98" s="8" t="s">
        <v>118</v>
      </c>
      <c r="L98" s="8" t="s">
        <v>62</v>
      </c>
    </row>
    <row r="99" spans="1:12" ht="15" thickBot="1">
      <c r="A99" s="160"/>
      <c r="B99" s="160"/>
      <c r="C99" s="23" t="s">
        <v>207</v>
      </c>
      <c r="D99" s="13"/>
      <c r="E99" s="13"/>
      <c r="F99" s="13"/>
      <c r="G99" s="13"/>
      <c r="H99" s="13"/>
      <c r="I99" s="13"/>
      <c r="J99" s="13"/>
      <c r="K99" s="13"/>
      <c r="L99" s="4"/>
    </row>
    <row r="100" spans="1:12" ht="26.25" thickBot="1">
      <c r="A100" s="160"/>
      <c r="B100" s="160"/>
      <c r="C100" s="24" t="s">
        <v>208</v>
      </c>
      <c r="D100" s="11" t="s">
        <v>86</v>
      </c>
      <c r="E100" s="9" t="s">
        <v>57</v>
      </c>
      <c r="F100" s="13"/>
      <c r="G100" s="8" t="s">
        <v>59</v>
      </c>
      <c r="H100" s="8" t="s">
        <v>50</v>
      </c>
      <c r="I100" s="8" t="s">
        <v>60</v>
      </c>
      <c r="J100" s="8" t="s">
        <v>52</v>
      </c>
      <c r="K100" s="8" t="s">
        <v>71</v>
      </c>
      <c r="L100" s="8" t="s">
        <v>62</v>
      </c>
    </row>
    <row r="101" spans="1:12" ht="26.25" thickBot="1">
      <c r="A101" s="160"/>
      <c r="B101" s="160"/>
      <c r="C101" s="22" t="s">
        <v>209</v>
      </c>
      <c r="D101" s="11" t="s">
        <v>86</v>
      </c>
      <c r="E101" s="9" t="s">
        <v>57</v>
      </c>
      <c r="F101" s="13"/>
      <c r="G101" s="8" t="s">
        <v>59</v>
      </c>
      <c r="H101" s="8" t="s">
        <v>50</v>
      </c>
      <c r="I101" s="8" t="s">
        <v>60</v>
      </c>
      <c r="J101" s="8" t="s">
        <v>52</v>
      </c>
      <c r="K101" s="8" t="s">
        <v>71</v>
      </c>
      <c r="L101" s="8" t="s">
        <v>62</v>
      </c>
    </row>
    <row r="102" spans="1:12" ht="26.25" thickBot="1">
      <c r="A102" s="160"/>
      <c r="B102" s="160"/>
      <c r="C102" s="22" t="s">
        <v>210</v>
      </c>
      <c r="D102" s="11" t="s">
        <v>86</v>
      </c>
      <c r="E102" s="9" t="s">
        <v>57</v>
      </c>
      <c r="F102" s="13"/>
      <c r="G102" s="8" t="s">
        <v>59</v>
      </c>
      <c r="H102" s="8" t="s">
        <v>50</v>
      </c>
      <c r="I102" s="8" t="s">
        <v>60</v>
      </c>
      <c r="J102" s="8" t="s">
        <v>52</v>
      </c>
      <c r="K102" s="8" t="s">
        <v>71</v>
      </c>
      <c r="L102" s="8" t="s">
        <v>62</v>
      </c>
    </row>
    <row r="103" spans="1:12" ht="26.25" thickBot="1">
      <c r="A103" s="160"/>
      <c r="B103" s="160"/>
      <c r="C103" s="25" t="s">
        <v>211</v>
      </c>
      <c r="D103" s="11" t="s">
        <v>86</v>
      </c>
      <c r="E103" s="9" t="s">
        <v>57</v>
      </c>
      <c r="F103" s="13"/>
      <c r="G103" s="8" t="s">
        <v>59</v>
      </c>
      <c r="H103" s="8" t="s">
        <v>50</v>
      </c>
      <c r="I103" s="8" t="s">
        <v>60</v>
      </c>
      <c r="J103" s="8" t="s">
        <v>52</v>
      </c>
      <c r="K103" s="8" t="s">
        <v>71</v>
      </c>
      <c r="L103" s="8" t="s">
        <v>62</v>
      </c>
    </row>
    <row r="104" spans="1:12" ht="26.25" thickBot="1">
      <c r="A104" s="160"/>
      <c r="B104" s="160"/>
      <c r="C104" s="25" t="s">
        <v>212</v>
      </c>
      <c r="D104" s="11" t="s">
        <v>86</v>
      </c>
      <c r="E104" s="9" t="s">
        <v>213</v>
      </c>
      <c r="F104" s="13"/>
      <c r="G104" s="8" t="s">
        <v>59</v>
      </c>
      <c r="H104" s="8" t="s">
        <v>50</v>
      </c>
      <c r="I104" s="8" t="s">
        <v>60</v>
      </c>
      <c r="J104" s="8" t="s">
        <v>52</v>
      </c>
      <c r="K104" s="8" t="s">
        <v>71</v>
      </c>
      <c r="L104" s="8" t="s">
        <v>62</v>
      </c>
    </row>
    <row r="105" spans="1:12" ht="15" thickBot="1">
      <c r="A105" s="160"/>
      <c r="B105" s="160"/>
      <c r="C105" s="24" t="s">
        <v>214</v>
      </c>
      <c r="D105" s="11"/>
      <c r="E105" s="9"/>
      <c r="F105" s="13"/>
      <c r="G105" s="8" t="s">
        <v>59</v>
      </c>
      <c r="H105" s="8" t="s">
        <v>50</v>
      </c>
      <c r="I105" s="8" t="s">
        <v>60</v>
      </c>
      <c r="J105" s="8" t="s">
        <v>52</v>
      </c>
      <c r="K105" s="8" t="s">
        <v>71</v>
      </c>
      <c r="L105" s="8" t="s">
        <v>62</v>
      </c>
    </row>
    <row r="106" spans="1:12" ht="15" thickBot="1">
      <c r="A106" s="160"/>
      <c r="B106" s="160"/>
      <c r="C106" s="24" t="s">
        <v>215</v>
      </c>
      <c r="D106" s="11"/>
      <c r="E106" s="9"/>
      <c r="F106" s="13"/>
      <c r="G106" s="8" t="s">
        <v>59</v>
      </c>
      <c r="H106" s="8" t="s">
        <v>50</v>
      </c>
      <c r="I106" s="8" t="s">
        <v>60</v>
      </c>
      <c r="J106" s="8" t="s">
        <v>52</v>
      </c>
      <c r="K106" s="8" t="s">
        <v>71</v>
      </c>
      <c r="L106" s="8" t="s">
        <v>62</v>
      </c>
    </row>
    <row r="107" spans="1:12" ht="15" thickBot="1">
      <c r="A107" s="160"/>
      <c r="B107" s="160"/>
      <c r="C107" s="23" t="s">
        <v>216</v>
      </c>
      <c r="D107" s="170"/>
      <c r="E107" s="171"/>
      <c r="F107" s="171"/>
      <c r="G107" s="171"/>
      <c r="H107" s="171"/>
      <c r="I107" s="171"/>
      <c r="J107" s="171"/>
      <c r="K107" s="171"/>
      <c r="L107" s="172"/>
    </row>
    <row r="108" spans="1:12" ht="26.25" thickBot="1">
      <c r="A108" s="160"/>
      <c r="B108" s="160"/>
      <c r="C108" s="25" t="s">
        <v>217</v>
      </c>
      <c r="D108" s="11" t="s">
        <v>86</v>
      </c>
      <c r="E108" s="8" t="s">
        <v>204</v>
      </c>
      <c r="F108" s="13"/>
      <c r="G108" s="8" t="s">
        <v>59</v>
      </c>
      <c r="H108" s="8" t="s">
        <v>50</v>
      </c>
      <c r="I108" s="8" t="s">
        <v>60</v>
      </c>
      <c r="J108" s="8" t="s">
        <v>52</v>
      </c>
      <c r="K108" s="8" t="s">
        <v>71</v>
      </c>
      <c r="L108" s="8" t="s">
        <v>62</v>
      </c>
    </row>
    <row r="109" spans="1:12" ht="26.25" thickBot="1">
      <c r="A109" s="160"/>
      <c r="B109" s="160"/>
      <c r="C109" s="25" t="s">
        <v>218</v>
      </c>
      <c r="D109" s="11" t="s">
        <v>86</v>
      </c>
      <c r="E109" s="13"/>
      <c r="F109" s="13"/>
      <c r="G109" s="8" t="s">
        <v>59</v>
      </c>
      <c r="H109" s="8" t="s">
        <v>50</v>
      </c>
      <c r="I109" s="8" t="s">
        <v>60</v>
      </c>
      <c r="J109" s="8" t="s">
        <v>52</v>
      </c>
      <c r="K109" s="8" t="s">
        <v>71</v>
      </c>
      <c r="L109" s="8" t="s">
        <v>62</v>
      </c>
    </row>
    <row r="110" spans="1:12" ht="26.25" thickBot="1">
      <c r="A110" s="160">
        <v>7</v>
      </c>
      <c r="B110" s="160" t="s">
        <v>219</v>
      </c>
      <c r="C110" s="7" t="s">
        <v>69</v>
      </c>
      <c r="D110" s="170"/>
      <c r="E110" s="171"/>
      <c r="F110" s="171"/>
      <c r="G110" s="171"/>
      <c r="H110" s="171"/>
      <c r="I110" s="171"/>
      <c r="J110" s="171"/>
      <c r="K110" s="171"/>
      <c r="L110" s="172"/>
    </row>
    <row r="111" spans="1:12" ht="15" thickBot="1">
      <c r="A111" s="160"/>
      <c r="B111" s="160"/>
      <c r="C111" s="27" t="s">
        <v>220</v>
      </c>
      <c r="D111" s="9" t="s">
        <v>221</v>
      </c>
      <c r="E111" s="9" t="s">
        <v>57</v>
      </c>
      <c r="F111" s="13"/>
      <c r="G111" s="8" t="s">
        <v>59</v>
      </c>
      <c r="H111" s="8" t="s">
        <v>50</v>
      </c>
      <c r="I111" s="8" t="s">
        <v>60</v>
      </c>
      <c r="J111" s="8" t="s">
        <v>52</v>
      </c>
      <c r="K111" s="8" t="s">
        <v>71</v>
      </c>
      <c r="L111" s="8" t="s">
        <v>62</v>
      </c>
    </row>
    <row r="112" spans="1:12" ht="26.25" thickBot="1">
      <c r="A112" s="160"/>
      <c r="B112" s="160"/>
      <c r="C112" s="27" t="s">
        <v>222</v>
      </c>
      <c r="D112" s="9" t="s">
        <v>221</v>
      </c>
      <c r="E112" s="9" t="s">
        <v>57</v>
      </c>
      <c r="F112" s="13"/>
      <c r="G112" s="8" t="s">
        <v>59</v>
      </c>
      <c r="H112" s="8" t="s">
        <v>50</v>
      </c>
      <c r="I112" s="8" t="s">
        <v>60</v>
      </c>
      <c r="J112" s="8" t="s">
        <v>52</v>
      </c>
      <c r="K112" s="8" t="s">
        <v>71</v>
      </c>
      <c r="L112" s="8" t="s">
        <v>62</v>
      </c>
    </row>
    <row r="113" spans="1:12" ht="26.25" thickBot="1">
      <c r="A113" s="160"/>
      <c r="B113" s="160"/>
      <c r="C113" s="27" t="s">
        <v>223</v>
      </c>
      <c r="D113" s="9" t="s">
        <v>221</v>
      </c>
      <c r="E113" s="9" t="s">
        <v>57</v>
      </c>
      <c r="F113" s="13"/>
      <c r="G113" s="8" t="s">
        <v>59</v>
      </c>
      <c r="H113" s="8" t="s">
        <v>50</v>
      </c>
      <c r="I113" s="8" t="s">
        <v>60</v>
      </c>
      <c r="J113" s="8" t="s">
        <v>52</v>
      </c>
      <c r="K113" s="8" t="s">
        <v>71</v>
      </c>
      <c r="L113" s="8" t="s">
        <v>62</v>
      </c>
    </row>
    <row r="114" spans="1:12" ht="26.25" thickBot="1">
      <c r="A114" s="160"/>
      <c r="B114" s="160"/>
      <c r="C114" s="27" t="s">
        <v>224</v>
      </c>
      <c r="D114" s="9" t="s">
        <v>221</v>
      </c>
      <c r="E114" s="9" t="s">
        <v>57</v>
      </c>
      <c r="F114" s="13"/>
      <c r="G114" s="8" t="s">
        <v>59</v>
      </c>
      <c r="H114" s="8" t="s">
        <v>50</v>
      </c>
      <c r="I114" s="8" t="s">
        <v>60</v>
      </c>
      <c r="J114" s="8" t="s">
        <v>52</v>
      </c>
      <c r="K114" s="8" t="s">
        <v>71</v>
      </c>
      <c r="L114" s="8" t="s">
        <v>62</v>
      </c>
    </row>
    <row r="115" spans="1:12" ht="15" thickBot="1">
      <c r="A115" s="160"/>
      <c r="B115" s="160"/>
      <c r="C115" s="27" t="s">
        <v>225</v>
      </c>
      <c r="D115" s="9" t="s">
        <v>221</v>
      </c>
      <c r="E115" s="9" t="s">
        <v>57</v>
      </c>
      <c r="F115" s="13"/>
      <c r="G115" s="8" t="s">
        <v>59</v>
      </c>
      <c r="H115" s="8" t="s">
        <v>50</v>
      </c>
      <c r="I115" s="8" t="s">
        <v>60</v>
      </c>
      <c r="J115" s="8" t="s">
        <v>52</v>
      </c>
      <c r="K115" s="8" t="s">
        <v>71</v>
      </c>
      <c r="L115" s="8" t="s">
        <v>62</v>
      </c>
    </row>
    <row r="116" spans="1:12" ht="15" thickBot="1">
      <c r="A116" s="160"/>
      <c r="B116" s="160"/>
      <c r="C116" s="27" t="s">
        <v>226</v>
      </c>
      <c r="D116" s="9" t="s">
        <v>221</v>
      </c>
      <c r="E116" s="9"/>
      <c r="F116" s="13"/>
      <c r="G116" s="8" t="s">
        <v>59</v>
      </c>
      <c r="H116" s="8" t="s">
        <v>50</v>
      </c>
      <c r="I116" s="8" t="s">
        <v>60</v>
      </c>
      <c r="J116" s="8" t="s">
        <v>52</v>
      </c>
      <c r="K116" s="8" t="s">
        <v>71</v>
      </c>
      <c r="L116" s="8" t="s">
        <v>62</v>
      </c>
    </row>
    <row r="117" spans="1:12" ht="15" thickBot="1">
      <c r="A117" s="160"/>
      <c r="B117" s="160"/>
      <c r="C117" s="27" t="s">
        <v>227</v>
      </c>
      <c r="D117" s="9" t="s">
        <v>228</v>
      </c>
      <c r="E117" s="9" t="s">
        <v>229</v>
      </c>
      <c r="F117" s="8" t="s">
        <v>98</v>
      </c>
      <c r="G117" s="8" t="s">
        <v>142</v>
      </c>
      <c r="H117" s="8" t="s">
        <v>142</v>
      </c>
      <c r="I117" s="8" t="s">
        <v>143</v>
      </c>
      <c r="J117" s="8" t="s">
        <v>52</v>
      </c>
      <c r="K117" s="8" t="s">
        <v>99</v>
      </c>
      <c r="L117" s="8" t="s">
        <v>62</v>
      </c>
    </row>
    <row r="118" spans="1:12" ht="39" thickBot="1">
      <c r="A118" s="160"/>
      <c r="B118" s="160"/>
      <c r="C118" s="27" t="s">
        <v>230</v>
      </c>
      <c r="D118" s="9" t="s">
        <v>221</v>
      </c>
      <c r="E118" s="9"/>
      <c r="F118" s="13"/>
      <c r="G118" s="8" t="s">
        <v>59</v>
      </c>
      <c r="H118" s="8" t="s">
        <v>50</v>
      </c>
      <c r="I118" s="8" t="s">
        <v>60</v>
      </c>
      <c r="J118" s="8" t="s">
        <v>52</v>
      </c>
      <c r="K118" s="8" t="s">
        <v>71</v>
      </c>
      <c r="L118" s="8" t="s">
        <v>62</v>
      </c>
    </row>
    <row r="119" spans="1:12" ht="26.25" thickBot="1">
      <c r="A119" s="160"/>
      <c r="B119" s="160"/>
      <c r="C119" s="27" t="s">
        <v>231</v>
      </c>
      <c r="D119" s="9" t="s">
        <v>221</v>
      </c>
      <c r="E119" s="9" t="s">
        <v>57</v>
      </c>
      <c r="F119" s="13"/>
      <c r="G119" s="8" t="s">
        <v>59</v>
      </c>
      <c r="H119" s="8" t="s">
        <v>50</v>
      </c>
      <c r="I119" s="8" t="s">
        <v>60</v>
      </c>
      <c r="J119" s="8" t="s">
        <v>52</v>
      </c>
      <c r="K119" s="8" t="s">
        <v>71</v>
      </c>
      <c r="L119" s="8" t="s">
        <v>62</v>
      </c>
    </row>
    <row r="120" spans="1:12" ht="26.25" thickBot="1">
      <c r="A120" s="160"/>
      <c r="B120" s="160"/>
      <c r="C120" s="27" t="s">
        <v>232</v>
      </c>
      <c r="D120" s="9" t="s">
        <v>233</v>
      </c>
      <c r="E120" s="9" t="s">
        <v>229</v>
      </c>
      <c r="F120" s="8" t="s">
        <v>175</v>
      </c>
      <c r="G120" s="8" t="s">
        <v>142</v>
      </c>
      <c r="H120" s="8" t="s">
        <v>142</v>
      </c>
      <c r="I120" s="8" t="s">
        <v>143</v>
      </c>
      <c r="J120" s="8" t="s">
        <v>52</v>
      </c>
      <c r="K120" s="8" t="s">
        <v>118</v>
      </c>
      <c r="L120" s="8" t="s">
        <v>62</v>
      </c>
    </row>
    <row r="121" spans="1:12" ht="26.25" thickBot="1">
      <c r="A121" s="160"/>
      <c r="B121" s="160"/>
      <c r="C121" s="27" t="s">
        <v>234</v>
      </c>
      <c r="D121" s="9" t="s">
        <v>233</v>
      </c>
      <c r="E121" s="9" t="s">
        <v>229</v>
      </c>
      <c r="F121" s="8" t="s">
        <v>175</v>
      </c>
      <c r="G121" s="8" t="s">
        <v>142</v>
      </c>
      <c r="H121" s="8" t="s">
        <v>142</v>
      </c>
      <c r="I121" s="8" t="s">
        <v>143</v>
      </c>
      <c r="J121" s="8" t="s">
        <v>52</v>
      </c>
      <c r="K121" s="8" t="s">
        <v>118</v>
      </c>
      <c r="L121" s="8" t="s">
        <v>62</v>
      </c>
    </row>
    <row r="122" spans="1:12" ht="26.25" thickBot="1">
      <c r="A122" s="160">
        <v>8</v>
      </c>
      <c r="B122" s="162" t="s">
        <v>235</v>
      </c>
      <c r="C122" s="16" t="s">
        <v>69</v>
      </c>
      <c r="D122" s="19"/>
      <c r="E122" s="19"/>
      <c r="F122" s="13"/>
      <c r="G122" s="8" t="s">
        <v>59</v>
      </c>
      <c r="H122" s="8" t="s">
        <v>50</v>
      </c>
      <c r="I122" s="8" t="s">
        <v>60</v>
      </c>
      <c r="J122" s="8" t="s">
        <v>52</v>
      </c>
      <c r="K122" s="8" t="s">
        <v>71</v>
      </c>
      <c r="L122" s="8" t="s">
        <v>62</v>
      </c>
    </row>
    <row r="123" spans="1:12" ht="15" thickBot="1">
      <c r="A123" s="160"/>
      <c r="B123" s="162"/>
      <c r="C123" s="27" t="s">
        <v>236</v>
      </c>
      <c r="D123" s="9" t="s">
        <v>154</v>
      </c>
      <c r="E123" s="8" t="s">
        <v>155</v>
      </c>
      <c r="F123" s="13"/>
      <c r="G123" s="8" t="s">
        <v>59</v>
      </c>
      <c r="H123" s="8" t="s">
        <v>50</v>
      </c>
      <c r="I123" s="8" t="s">
        <v>60</v>
      </c>
      <c r="J123" s="8" t="s">
        <v>52</v>
      </c>
      <c r="K123" s="8" t="s">
        <v>71</v>
      </c>
      <c r="L123" s="8" t="s">
        <v>62</v>
      </c>
    </row>
    <row r="124" spans="1:12" ht="26.25" thickBot="1">
      <c r="A124" s="160"/>
      <c r="B124" s="162"/>
      <c r="C124" s="27" t="s">
        <v>237</v>
      </c>
      <c r="D124" s="9" t="s">
        <v>221</v>
      </c>
      <c r="E124" s="9" t="s">
        <v>57</v>
      </c>
      <c r="F124" s="13"/>
      <c r="G124" s="8" t="s">
        <v>59</v>
      </c>
      <c r="H124" s="8" t="s">
        <v>50</v>
      </c>
      <c r="I124" s="8" t="s">
        <v>60</v>
      </c>
      <c r="J124" s="8" t="s">
        <v>52</v>
      </c>
      <c r="K124" s="8" t="s">
        <v>71</v>
      </c>
      <c r="L124" s="8" t="s">
        <v>62</v>
      </c>
    </row>
    <row r="125" spans="1:12" ht="15" thickBot="1">
      <c r="A125" s="160"/>
      <c r="B125" s="162"/>
      <c r="C125" s="27" t="s">
        <v>238</v>
      </c>
      <c r="D125" s="9" t="s">
        <v>221</v>
      </c>
      <c r="E125" s="9" t="s">
        <v>57</v>
      </c>
      <c r="F125" s="13"/>
      <c r="G125" s="8" t="s">
        <v>59</v>
      </c>
      <c r="H125" s="8" t="s">
        <v>50</v>
      </c>
      <c r="I125" s="8" t="s">
        <v>60</v>
      </c>
      <c r="J125" s="8" t="s">
        <v>52</v>
      </c>
      <c r="K125" s="8" t="s">
        <v>71</v>
      </c>
      <c r="L125" s="8" t="s">
        <v>62</v>
      </c>
    </row>
    <row r="126" spans="1:12" ht="15" thickBot="1">
      <c r="A126" s="160"/>
      <c r="B126" s="162"/>
      <c r="C126" s="27" t="s">
        <v>239</v>
      </c>
      <c r="D126" s="9" t="s">
        <v>221</v>
      </c>
      <c r="E126" s="9" t="s">
        <v>57</v>
      </c>
      <c r="F126" s="13"/>
      <c r="G126" s="8" t="s">
        <v>59</v>
      </c>
      <c r="H126" s="8" t="s">
        <v>50</v>
      </c>
      <c r="I126" s="8" t="s">
        <v>60</v>
      </c>
      <c r="J126" s="8" t="s">
        <v>52</v>
      </c>
      <c r="K126" s="8" t="s">
        <v>71</v>
      </c>
      <c r="L126" s="8" t="s">
        <v>62</v>
      </c>
    </row>
    <row r="127" spans="1:12" ht="15" thickBot="1">
      <c r="A127" s="160"/>
      <c r="B127" s="162"/>
      <c r="C127" s="27" t="s">
        <v>240</v>
      </c>
      <c r="D127" s="9" t="s">
        <v>221</v>
      </c>
      <c r="E127" s="19"/>
      <c r="F127" s="13"/>
      <c r="G127" s="8" t="s">
        <v>59</v>
      </c>
      <c r="H127" s="8" t="s">
        <v>50</v>
      </c>
      <c r="I127" s="8" t="s">
        <v>60</v>
      </c>
      <c r="J127" s="8" t="s">
        <v>52</v>
      </c>
      <c r="K127" s="8" t="s">
        <v>71</v>
      </c>
      <c r="L127" s="8" t="s">
        <v>62</v>
      </c>
    </row>
    <row r="128" spans="1:12" ht="26.25" thickBot="1">
      <c r="A128" s="160"/>
      <c r="B128" s="162"/>
      <c r="C128" s="27" t="s">
        <v>241</v>
      </c>
      <c r="D128" s="9" t="s">
        <v>221</v>
      </c>
      <c r="E128" s="19"/>
      <c r="F128" s="13"/>
      <c r="G128" s="8" t="s">
        <v>59</v>
      </c>
      <c r="H128" s="8" t="s">
        <v>50</v>
      </c>
      <c r="I128" s="8" t="s">
        <v>60</v>
      </c>
      <c r="J128" s="8" t="s">
        <v>52</v>
      </c>
      <c r="K128" s="8" t="s">
        <v>71</v>
      </c>
      <c r="L128" s="8" t="s">
        <v>62</v>
      </c>
    </row>
    <row r="129" spans="1:12" ht="26.25" thickBot="1">
      <c r="A129" s="160"/>
      <c r="B129" s="162"/>
      <c r="C129" s="27" t="s">
        <v>242</v>
      </c>
      <c r="D129" s="9" t="s">
        <v>233</v>
      </c>
      <c r="E129" s="9" t="s">
        <v>229</v>
      </c>
      <c r="F129" s="8" t="s">
        <v>175</v>
      </c>
      <c r="G129" s="8" t="s">
        <v>142</v>
      </c>
      <c r="H129" s="8" t="s">
        <v>142</v>
      </c>
      <c r="I129" s="8" t="s">
        <v>60</v>
      </c>
      <c r="J129" s="8" t="s">
        <v>52</v>
      </c>
      <c r="K129" s="8" t="s">
        <v>118</v>
      </c>
      <c r="L129" s="8" t="s">
        <v>62</v>
      </c>
    </row>
    <row r="130" spans="1:12" ht="26.25" thickBot="1">
      <c r="A130" s="160"/>
      <c r="B130" s="162"/>
      <c r="C130" s="27" t="s">
        <v>243</v>
      </c>
      <c r="D130" s="9" t="s">
        <v>244</v>
      </c>
      <c r="E130" s="9" t="s">
        <v>229</v>
      </c>
      <c r="F130" s="8" t="s">
        <v>175</v>
      </c>
      <c r="G130" s="8" t="s">
        <v>142</v>
      </c>
      <c r="H130" s="8" t="s">
        <v>142</v>
      </c>
      <c r="I130" s="8" t="s">
        <v>60</v>
      </c>
      <c r="J130" s="8" t="s">
        <v>52</v>
      </c>
      <c r="K130" s="8" t="s">
        <v>118</v>
      </c>
      <c r="L130" s="8" t="s">
        <v>62</v>
      </c>
    </row>
    <row r="131" spans="1:12" ht="39" thickBot="1">
      <c r="A131" s="160"/>
      <c r="B131" s="162"/>
      <c r="C131" s="27" t="s">
        <v>245</v>
      </c>
      <c r="D131" s="9" t="s">
        <v>164</v>
      </c>
      <c r="E131" s="9" t="s">
        <v>229</v>
      </c>
      <c r="F131" s="8" t="s">
        <v>98</v>
      </c>
      <c r="G131" s="8" t="s">
        <v>142</v>
      </c>
      <c r="H131" s="8" t="s">
        <v>142</v>
      </c>
      <c r="I131" s="19" t="s">
        <v>143</v>
      </c>
      <c r="J131" s="8" t="s">
        <v>52</v>
      </c>
      <c r="K131" s="8" t="s">
        <v>99</v>
      </c>
      <c r="L131" s="8" t="s">
        <v>62</v>
      </c>
    </row>
    <row r="132" spans="1:12" ht="26.25" thickBot="1">
      <c r="A132" s="160">
        <v>9</v>
      </c>
      <c r="B132" s="162" t="s">
        <v>246</v>
      </c>
      <c r="C132" s="16" t="s">
        <v>69</v>
      </c>
      <c r="D132" s="19"/>
      <c r="E132" s="19"/>
      <c r="F132" s="13"/>
      <c r="G132" s="8" t="s">
        <v>59</v>
      </c>
      <c r="H132" s="8" t="s">
        <v>50</v>
      </c>
      <c r="I132" s="8" t="s">
        <v>60</v>
      </c>
      <c r="J132" s="8" t="s">
        <v>52</v>
      </c>
      <c r="K132" s="8" t="s">
        <v>71</v>
      </c>
      <c r="L132" s="8" t="s">
        <v>62</v>
      </c>
    </row>
    <row r="133" spans="1:12" ht="15" thickBot="1">
      <c r="A133" s="160"/>
      <c r="B133" s="162"/>
      <c r="C133" s="27" t="s">
        <v>236</v>
      </c>
      <c r="D133" s="9" t="s">
        <v>154</v>
      </c>
      <c r="E133" s="8" t="s">
        <v>155</v>
      </c>
      <c r="F133" s="13"/>
      <c r="G133" s="8" t="s">
        <v>59</v>
      </c>
      <c r="H133" s="8" t="s">
        <v>50</v>
      </c>
      <c r="I133" s="8" t="s">
        <v>60</v>
      </c>
      <c r="J133" s="8" t="s">
        <v>52</v>
      </c>
      <c r="K133" s="8" t="s">
        <v>71</v>
      </c>
      <c r="L133" s="8" t="s">
        <v>62</v>
      </c>
    </row>
    <row r="134" spans="1:12" ht="26.25" thickBot="1">
      <c r="A134" s="160"/>
      <c r="B134" s="162"/>
      <c r="C134" s="27" t="s">
        <v>247</v>
      </c>
      <c r="D134" s="9" t="s">
        <v>221</v>
      </c>
      <c r="E134" s="9" t="s">
        <v>57</v>
      </c>
      <c r="F134" s="13"/>
      <c r="G134" s="8" t="s">
        <v>59</v>
      </c>
      <c r="H134" s="8" t="s">
        <v>50</v>
      </c>
      <c r="I134" s="8" t="s">
        <v>60</v>
      </c>
      <c r="J134" s="8" t="s">
        <v>52</v>
      </c>
      <c r="K134" s="8" t="s">
        <v>71</v>
      </c>
      <c r="L134" s="8" t="s">
        <v>62</v>
      </c>
    </row>
    <row r="135" spans="1:12" ht="15" thickBot="1">
      <c r="A135" s="160"/>
      <c r="B135" s="162"/>
      <c r="C135" s="27" t="s">
        <v>238</v>
      </c>
      <c r="D135" s="9" t="s">
        <v>221</v>
      </c>
      <c r="E135" s="9" t="s">
        <v>57</v>
      </c>
      <c r="F135" s="13"/>
      <c r="G135" s="8" t="s">
        <v>59</v>
      </c>
      <c r="H135" s="8" t="s">
        <v>50</v>
      </c>
      <c r="I135" s="8" t="s">
        <v>60</v>
      </c>
      <c r="J135" s="8" t="s">
        <v>52</v>
      </c>
      <c r="K135" s="8" t="s">
        <v>71</v>
      </c>
      <c r="L135" s="8" t="s">
        <v>62</v>
      </c>
    </row>
    <row r="136" spans="1:12" ht="26.25" thickBot="1">
      <c r="A136" s="160"/>
      <c r="B136" s="162"/>
      <c r="C136" s="27" t="s">
        <v>248</v>
      </c>
      <c r="D136" s="9" t="s">
        <v>221</v>
      </c>
      <c r="E136" s="9" t="s">
        <v>57</v>
      </c>
      <c r="F136" s="13"/>
      <c r="G136" s="8" t="s">
        <v>59</v>
      </c>
      <c r="H136" s="8" t="s">
        <v>50</v>
      </c>
      <c r="I136" s="8" t="s">
        <v>60</v>
      </c>
      <c r="J136" s="8" t="s">
        <v>52</v>
      </c>
      <c r="K136" s="8" t="s">
        <v>71</v>
      </c>
      <c r="L136" s="8" t="s">
        <v>62</v>
      </c>
    </row>
    <row r="137" spans="1:12" ht="15" thickBot="1">
      <c r="A137" s="160"/>
      <c r="B137" s="162"/>
      <c r="C137" s="27" t="s">
        <v>240</v>
      </c>
      <c r="D137" s="9" t="s">
        <v>221</v>
      </c>
      <c r="E137" s="19"/>
      <c r="F137" s="13"/>
      <c r="G137" s="8" t="s">
        <v>59</v>
      </c>
      <c r="H137" s="8" t="s">
        <v>50</v>
      </c>
      <c r="I137" s="8" t="s">
        <v>60</v>
      </c>
      <c r="J137" s="8" t="s">
        <v>52</v>
      </c>
      <c r="K137" s="8" t="s">
        <v>71</v>
      </c>
      <c r="L137" s="8" t="s">
        <v>62</v>
      </c>
    </row>
    <row r="138" spans="1:12" ht="26.25" thickBot="1">
      <c r="A138" s="160"/>
      <c r="B138" s="162"/>
      <c r="C138" s="27" t="s">
        <v>249</v>
      </c>
      <c r="D138" s="9" t="s">
        <v>221</v>
      </c>
      <c r="E138" s="19"/>
      <c r="F138" s="13"/>
      <c r="G138" s="8" t="s">
        <v>59</v>
      </c>
      <c r="H138" s="8" t="s">
        <v>50</v>
      </c>
      <c r="I138" s="8" t="s">
        <v>60</v>
      </c>
      <c r="J138" s="8" t="s">
        <v>52</v>
      </c>
      <c r="K138" s="8" t="s">
        <v>71</v>
      </c>
      <c r="L138" s="8" t="s">
        <v>62</v>
      </c>
    </row>
    <row r="139" spans="1:12" ht="26.25" thickBot="1">
      <c r="A139" s="160"/>
      <c r="B139" s="162"/>
      <c r="C139" s="27" t="s">
        <v>250</v>
      </c>
      <c r="D139" s="9" t="s">
        <v>233</v>
      </c>
      <c r="E139" s="9" t="s">
        <v>229</v>
      </c>
      <c r="F139" s="8" t="s">
        <v>175</v>
      </c>
      <c r="G139" s="8" t="s">
        <v>142</v>
      </c>
      <c r="H139" s="8" t="s">
        <v>142</v>
      </c>
      <c r="I139" s="8" t="s">
        <v>60</v>
      </c>
      <c r="J139" s="8" t="s">
        <v>52</v>
      </c>
      <c r="K139" s="8" t="s">
        <v>118</v>
      </c>
      <c r="L139" s="8" t="s">
        <v>62</v>
      </c>
    </row>
    <row r="140" spans="1:12" ht="15" thickBot="1">
      <c r="A140" s="160"/>
      <c r="B140" s="162"/>
      <c r="C140" s="27" t="s">
        <v>251</v>
      </c>
      <c r="D140" s="9" t="s">
        <v>252</v>
      </c>
      <c r="E140" s="9" t="s">
        <v>229</v>
      </c>
      <c r="F140" s="8" t="s">
        <v>175</v>
      </c>
      <c r="G140" s="8" t="s">
        <v>142</v>
      </c>
      <c r="H140" s="8" t="s">
        <v>142</v>
      </c>
      <c r="I140" s="8" t="s">
        <v>60</v>
      </c>
      <c r="J140" s="8" t="s">
        <v>52</v>
      </c>
      <c r="K140" s="8" t="s">
        <v>118</v>
      </c>
      <c r="L140" s="8" t="s">
        <v>62</v>
      </c>
    </row>
    <row r="141" spans="1:12" ht="26.25" thickBot="1">
      <c r="A141" s="160"/>
      <c r="B141" s="162"/>
      <c r="C141" s="27" t="s">
        <v>253</v>
      </c>
      <c r="D141" s="9" t="s">
        <v>164</v>
      </c>
      <c r="E141" s="9" t="s">
        <v>229</v>
      </c>
      <c r="F141" s="8" t="s">
        <v>98</v>
      </c>
      <c r="G141" s="8" t="s">
        <v>142</v>
      </c>
      <c r="H141" s="8" t="s">
        <v>142</v>
      </c>
      <c r="I141" s="19" t="s">
        <v>143</v>
      </c>
      <c r="J141" s="8" t="s">
        <v>52</v>
      </c>
      <c r="K141" s="8" t="s">
        <v>99</v>
      </c>
      <c r="L141" s="8" t="s">
        <v>62</v>
      </c>
    </row>
    <row r="142" spans="1:12" ht="26.25" thickBot="1">
      <c r="A142" s="160"/>
      <c r="B142" s="162"/>
      <c r="C142" s="27" t="s">
        <v>254</v>
      </c>
      <c r="D142" s="9" t="s">
        <v>164</v>
      </c>
      <c r="E142" s="9" t="s">
        <v>229</v>
      </c>
      <c r="F142" s="8" t="s">
        <v>98</v>
      </c>
      <c r="G142" s="8" t="s">
        <v>142</v>
      </c>
      <c r="H142" s="8" t="s">
        <v>142</v>
      </c>
      <c r="I142" s="19" t="s">
        <v>143</v>
      </c>
      <c r="J142" s="8" t="s">
        <v>52</v>
      </c>
      <c r="K142" s="8" t="s">
        <v>99</v>
      </c>
      <c r="L142" s="8" t="s">
        <v>62</v>
      </c>
    </row>
    <row r="143" spans="1:12" ht="26.25" thickBot="1">
      <c r="A143" s="160">
        <v>10</v>
      </c>
      <c r="B143" s="162" t="s">
        <v>255</v>
      </c>
      <c r="C143" s="16" t="s">
        <v>69</v>
      </c>
      <c r="D143" s="11"/>
      <c r="E143" s="13"/>
      <c r="F143" s="13"/>
      <c r="G143" s="8" t="s">
        <v>59</v>
      </c>
      <c r="H143" s="8" t="s">
        <v>50</v>
      </c>
      <c r="I143" s="8" t="s">
        <v>60</v>
      </c>
      <c r="J143" s="8" t="s">
        <v>52</v>
      </c>
      <c r="K143" s="8" t="s">
        <v>71</v>
      </c>
      <c r="L143" s="8" t="s">
        <v>62</v>
      </c>
    </row>
    <row r="144" spans="1:12" ht="26.25" thickBot="1">
      <c r="A144" s="160"/>
      <c r="B144" s="162"/>
      <c r="C144" s="27" t="s">
        <v>256</v>
      </c>
      <c r="D144" s="9" t="s">
        <v>257</v>
      </c>
      <c r="E144" s="11" t="s">
        <v>258</v>
      </c>
      <c r="F144" s="8" t="s">
        <v>141</v>
      </c>
      <c r="G144" s="8" t="s">
        <v>142</v>
      </c>
      <c r="H144" s="8" t="s">
        <v>142</v>
      </c>
      <c r="I144" s="19" t="s">
        <v>143</v>
      </c>
      <c r="J144" s="8" t="s">
        <v>52</v>
      </c>
      <c r="K144" s="8" t="s">
        <v>96</v>
      </c>
      <c r="L144" s="8" t="s">
        <v>62</v>
      </c>
    </row>
    <row r="145" spans="1:12" ht="15" thickBot="1">
      <c r="A145" s="160"/>
      <c r="B145" s="162"/>
      <c r="C145" s="27" t="s">
        <v>259</v>
      </c>
      <c r="D145" s="11" t="s">
        <v>260</v>
      </c>
      <c r="E145" s="13"/>
      <c r="F145" s="13"/>
      <c r="G145" s="8" t="s">
        <v>59</v>
      </c>
      <c r="H145" s="8" t="s">
        <v>50</v>
      </c>
      <c r="I145" s="8" t="s">
        <v>60</v>
      </c>
      <c r="J145" s="8" t="s">
        <v>52</v>
      </c>
      <c r="K145" s="8" t="s">
        <v>71</v>
      </c>
      <c r="L145" s="8" t="s">
        <v>62</v>
      </c>
    </row>
    <row r="146" spans="1:12" ht="15" thickBot="1">
      <c r="A146" s="160"/>
      <c r="B146" s="162"/>
      <c r="C146" s="27" t="s">
        <v>261</v>
      </c>
      <c r="D146" s="11" t="s">
        <v>260</v>
      </c>
      <c r="E146" s="19" t="s">
        <v>262</v>
      </c>
      <c r="F146" s="13"/>
      <c r="G146" s="8" t="s">
        <v>59</v>
      </c>
      <c r="H146" s="8" t="s">
        <v>50</v>
      </c>
      <c r="I146" s="8" t="s">
        <v>60</v>
      </c>
      <c r="J146" s="8" t="s">
        <v>52</v>
      </c>
      <c r="K146" s="8" t="s">
        <v>71</v>
      </c>
      <c r="L146" s="8" t="s">
        <v>62</v>
      </c>
    </row>
    <row r="147" spans="1:12" ht="26.25" thickBot="1">
      <c r="A147" s="160"/>
      <c r="B147" s="162"/>
      <c r="C147" s="27" t="s">
        <v>263</v>
      </c>
      <c r="D147" s="11" t="s">
        <v>260</v>
      </c>
      <c r="E147" s="19" t="s">
        <v>262</v>
      </c>
      <c r="F147" s="13"/>
      <c r="G147" s="8" t="s">
        <v>59</v>
      </c>
      <c r="H147" s="8" t="s">
        <v>50</v>
      </c>
      <c r="I147" s="8" t="s">
        <v>60</v>
      </c>
      <c r="J147" s="8" t="s">
        <v>52</v>
      </c>
      <c r="K147" s="8" t="s">
        <v>71</v>
      </c>
      <c r="L147" s="8" t="s">
        <v>62</v>
      </c>
    </row>
    <row r="148" spans="1:12" ht="26.25" thickBot="1">
      <c r="A148" s="160"/>
      <c r="B148" s="162"/>
      <c r="C148" s="27" t="s">
        <v>264</v>
      </c>
      <c r="D148" s="11" t="s">
        <v>260</v>
      </c>
      <c r="E148" s="19" t="s">
        <v>262</v>
      </c>
      <c r="F148" s="13"/>
      <c r="G148" s="8" t="s">
        <v>59</v>
      </c>
      <c r="H148" s="8" t="s">
        <v>50</v>
      </c>
      <c r="I148" s="8" t="s">
        <v>60</v>
      </c>
      <c r="J148" s="8" t="s">
        <v>52</v>
      </c>
      <c r="K148" s="8" t="s">
        <v>71</v>
      </c>
      <c r="L148" s="8" t="s">
        <v>62</v>
      </c>
    </row>
    <row r="149" spans="1:12" ht="26.25" thickBot="1">
      <c r="A149" s="160"/>
      <c r="B149" s="162"/>
      <c r="C149" s="27" t="s">
        <v>265</v>
      </c>
      <c r="D149" s="11" t="s">
        <v>260</v>
      </c>
      <c r="E149" s="19" t="s">
        <v>262</v>
      </c>
      <c r="F149" s="13"/>
      <c r="G149" s="8" t="s">
        <v>59</v>
      </c>
      <c r="H149" s="8" t="s">
        <v>50</v>
      </c>
      <c r="I149" s="8" t="s">
        <v>60</v>
      </c>
      <c r="J149" s="8" t="s">
        <v>52</v>
      </c>
      <c r="K149" s="8" t="s">
        <v>71</v>
      </c>
      <c r="L149" s="8" t="s">
        <v>62</v>
      </c>
    </row>
    <row r="150" spans="1:12" ht="26.25" thickBot="1">
      <c r="A150" s="160">
        <v>11</v>
      </c>
      <c r="B150" s="162" t="s">
        <v>266</v>
      </c>
      <c r="C150" s="16" t="s">
        <v>69</v>
      </c>
      <c r="D150" s="13"/>
      <c r="E150" s="13"/>
      <c r="F150" s="13"/>
      <c r="G150" s="8" t="s">
        <v>59</v>
      </c>
      <c r="H150" s="8" t="s">
        <v>50</v>
      </c>
      <c r="I150" s="8" t="s">
        <v>60</v>
      </c>
      <c r="J150" s="8" t="s">
        <v>52</v>
      </c>
      <c r="K150" s="8" t="s">
        <v>71</v>
      </c>
      <c r="L150" s="8" t="s">
        <v>62</v>
      </c>
    </row>
    <row r="151" spans="1:12" ht="15" thickBot="1">
      <c r="A151" s="160"/>
      <c r="B151" s="162"/>
      <c r="C151" s="18" t="s">
        <v>267</v>
      </c>
      <c r="D151" s="13"/>
      <c r="E151" s="13"/>
      <c r="F151" s="13"/>
      <c r="G151" s="13"/>
      <c r="H151" s="13"/>
      <c r="I151" s="13"/>
      <c r="J151" s="13"/>
      <c r="K151" s="13"/>
      <c r="L151" s="8" t="s">
        <v>62</v>
      </c>
    </row>
    <row r="152" spans="1:12" ht="15" thickBot="1">
      <c r="A152" s="160"/>
      <c r="B152" s="162"/>
      <c r="C152" s="25" t="s">
        <v>268</v>
      </c>
      <c r="D152" s="11" t="s">
        <v>260</v>
      </c>
      <c r="E152" s="13"/>
      <c r="F152" s="13"/>
      <c r="G152" s="8" t="s">
        <v>59</v>
      </c>
      <c r="H152" s="8" t="s">
        <v>50</v>
      </c>
      <c r="I152" s="8" t="s">
        <v>60</v>
      </c>
      <c r="J152" s="8" t="s">
        <v>52</v>
      </c>
      <c r="K152" s="8" t="s">
        <v>71</v>
      </c>
      <c r="L152" s="8" t="s">
        <v>62</v>
      </c>
    </row>
    <row r="153" spans="1:12" ht="24.75" thickBot="1">
      <c r="A153" s="160"/>
      <c r="B153" s="162"/>
      <c r="C153" s="25" t="s">
        <v>269</v>
      </c>
      <c r="D153" s="11" t="s">
        <v>260</v>
      </c>
      <c r="E153" s="13"/>
      <c r="F153" s="13"/>
      <c r="G153" s="8" t="s">
        <v>59</v>
      </c>
      <c r="H153" s="8" t="s">
        <v>50</v>
      </c>
      <c r="I153" s="8" t="s">
        <v>60</v>
      </c>
      <c r="J153" s="8" t="s">
        <v>52</v>
      </c>
      <c r="K153" s="8" t="s">
        <v>71</v>
      </c>
      <c r="L153" s="8" t="s">
        <v>62</v>
      </c>
    </row>
    <row r="154" spans="1:12" ht="15" thickBot="1">
      <c r="A154" s="160"/>
      <c r="B154" s="162"/>
      <c r="C154" s="25" t="s">
        <v>270</v>
      </c>
      <c r="D154" s="11" t="s">
        <v>260</v>
      </c>
      <c r="E154" s="13"/>
      <c r="F154" s="13"/>
      <c r="G154" s="8" t="s">
        <v>59</v>
      </c>
      <c r="H154" s="8" t="s">
        <v>50</v>
      </c>
      <c r="I154" s="8" t="s">
        <v>60</v>
      </c>
      <c r="J154" s="8" t="s">
        <v>52</v>
      </c>
      <c r="K154" s="8" t="s">
        <v>71</v>
      </c>
      <c r="L154" s="8" t="s">
        <v>62</v>
      </c>
    </row>
    <row r="155" spans="1:12" ht="36.75" thickBot="1">
      <c r="A155" s="160"/>
      <c r="B155" s="162"/>
      <c r="C155" s="25" t="s">
        <v>271</v>
      </c>
      <c r="D155" s="11" t="s">
        <v>260</v>
      </c>
      <c r="E155" s="9" t="s">
        <v>57</v>
      </c>
      <c r="F155" s="13"/>
      <c r="G155" s="8" t="s">
        <v>59</v>
      </c>
      <c r="H155" s="8" t="s">
        <v>50</v>
      </c>
      <c r="I155" s="8" t="s">
        <v>60</v>
      </c>
      <c r="J155" s="8" t="s">
        <v>52</v>
      </c>
      <c r="K155" s="8" t="s">
        <v>71</v>
      </c>
      <c r="L155" s="8" t="s">
        <v>62</v>
      </c>
    </row>
    <row r="156" spans="1:12" ht="24.75" thickBot="1">
      <c r="A156" s="160"/>
      <c r="B156" s="162"/>
      <c r="C156" s="25" t="s">
        <v>272</v>
      </c>
      <c r="D156" s="11" t="s">
        <v>260</v>
      </c>
      <c r="E156" s="9" t="s">
        <v>57</v>
      </c>
      <c r="F156" s="13"/>
      <c r="G156" s="8" t="s">
        <v>59</v>
      </c>
      <c r="H156" s="8" t="s">
        <v>50</v>
      </c>
      <c r="I156" s="8" t="s">
        <v>60</v>
      </c>
      <c r="J156" s="8" t="s">
        <v>52</v>
      </c>
      <c r="K156" s="8" t="s">
        <v>71</v>
      </c>
      <c r="L156" s="8" t="s">
        <v>62</v>
      </c>
    </row>
    <row r="157" spans="1:12" ht="15" thickBot="1">
      <c r="A157" s="160"/>
      <c r="B157" s="162"/>
      <c r="C157" s="25" t="s">
        <v>273</v>
      </c>
      <c r="D157" s="11" t="s">
        <v>260</v>
      </c>
      <c r="E157" s="9" t="s">
        <v>57</v>
      </c>
      <c r="F157" s="13"/>
      <c r="G157" s="8" t="s">
        <v>59</v>
      </c>
      <c r="H157" s="8" t="s">
        <v>50</v>
      </c>
      <c r="I157" s="8" t="s">
        <v>60</v>
      </c>
      <c r="J157" s="8" t="s">
        <v>52</v>
      </c>
      <c r="K157" s="8" t="s">
        <v>71</v>
      </c>
      <c r="L157" s="8" t="s">
        <v>62</v>
      </c>
    </row>
    <row r="158" spans="1:12" ht="15" thickBot="1">
      <c r="A158" s="160"/>
      <c r="B158" s="162"/>
      <c r="C158" s="25" t="s">
        <v>274</v>
      </c>
      <c r="D158" s="11" t="s">
        <v>260</v>
      </c>
      <c r="E158" s="9" t="s">
        <v>57</v>
      </c>
      <c r="F158" s="13"/>
      <c r="G158" s="8" t="s">
        <v>59</v>
      </c>
      <c r="H158" s="8" t="s">
        <v>50</v>
      </c>
      <c r="I158" s="8" t="s">
        <v>60</v>
      </c>
      <c r="J158" s="8" t="s">
        <v>52</v>
      </c>
      <c r="K158" s="8" t="s">
        <v>71</v>
      </c>
      <c r="L158" s="8" t="s">
        <v>62</v>
      </c>
    </row>
    <row r="159" spans="1:12" ht="15" thickBot="1">
      <c r="A159" s="160"/>
      <c r="B159" s="162"/>
      <c r="C159" s="25" t="s">
        <v>275</v>
      </c>
      <c r="D159" s="11" t="s">
        <v>260</v>
      </c>
      <c r="E159" s="9" t="s">
        <v>57</v>
      </c>
      <c r="F159" s="13"/>
      <c r="G159" s="8" t="s">
        <v>59</v>
      </c>
      <c r="H159" s="8" t="s">
        <v>50</v>
      </c>
      <c r="I159" s="8" t="s">
        <v>60</v>
      </c>
      <c r="J159" s="8" t="s">
        <v>52</v>
      </c>
      <c r="K159" s="8" t="s">
        <v>71</v>
      </c>
      <c r="L159" s="8" t="s">
        <v>62</v>
      </c>
    </row>
    <row r="160" spans="1:12" ht="15" thickBot="1">
      <c r="A160" s="160"/>
      <c r="B160" s="162"/>
      <c r="C160" s="18" t="s">
        <v>276</v>
      </c>
      <c r="D160" s="13"/>
      <c r="E160" s="13"/>
      <c r="F160" s="13"/>
      <c r="G160" s="13"/>
      <c r="H160" s="13"/>
      <c r="I160" s="13"/>
      <c r="J160" s="13"/>
      <c r="K160" s="13"/>
      <c r="L160" s="8" t="s">
        <v>62</v>
      </c>
    </row>
    <row r="161" spans="1:12" ht="15" thickBot="1">
      <c r="A161" s="160"/>
      <c r="B161" s="162"/>
      <c r="C161" s="25" t="s">
        <v>277</v>
      </c>
      <c r="D161" s="11" t="s">
        <v>260</v>
      </c>
      <c r="E161" s="9" t="s">
        <v>57</v>
      </c>
      <c r="F161" s="13"/>
      <c r="G161" s="8" t="s">
        <v>59</v>
      </c>
      <c r="H161" s="8" t="s">
        <v>50</v>
      </c>
      <c r="I161" s="8" t="s">
        <v>60</v>
      </c>
      <c r="J161" s="8" t="s">
        <v>52</v>
      </c>
      <c r="K161" s="8" t="s">
        <v>71</v>
      </c>
      <c r="L161" s="8" t="s">
        <v>62</v>
      </c>
    </row>
    <row r="162" spans="1:12" ht="24.75" thickBot="1">
      <c r="A162" s="160"/>
      <c r="B162" s="162"/>
      <c r="C162" s="25" t="s">
        <v>278</v>
      </c>
      <c r="D162" s="11" t="s">
        <v>260</v>
      </c>
      <c r="E162" s="9" t="s">
        <v>57</v>
      </c>
      <c r="F162" s="13"/>
      <c r="G162" s="8" t="s">
        <v>59</v>
      </c>
      <c r="H162" s="8" t="s">
        <v>50</v>
      </c>
      <c r="I162" s="8" t="s">
        <v>60</v>
      </c>
      <c r="J162" s="8" t="s">
        <v>52</v>
      </c>
      <c r="K162" s="8" t="s">
        <v>71</v>
      </c>
      <c r="L162" s="8" t="s">
        <v>62</v>
      </c>
    </row>
    <row r="163" spans="1:12" ht="24.75" thickBot="1">
      <c r="A163" s="160"/>
      <c r="B163" s="162"/>
      <c r="C163" s="25" t="s">
        <v>279</v>
      </c>
      <c r="D163" s="11" t="s">
        <v>260</v>
      </c>
      <c r="E163" s="9" t="s">
        <v>57</v>
      </c>
      <c r="F163" s="13"/>
      <c r="G163" s="8" t="s">
        <v>59</v>
      </c>
      <c r="H163" s="8" t="s">
        <v>50</v>
      </c>
      <c r="I163" s="8" t="s">
        <v>60</v>
      </c>
      <c r="J163" s="8" t="s">
        <v>52</v>
      </c>
      <c r="K163" s="8" t="s">
        <v>71</v>
      </c>
      <c r="L163" s="8" t="s">
        <v>62</v>
      </c>
    </row>
    <row r="164" spans="1:12" ht="15" thickBot="1">
      <c r="A164" s="160"/>
      <c r="B164" s="162"/>
      <c r="C164" s="25" t="s">
        <v>280</v>
      </c>
      <c r="D164" s="11" t="s">
        <v>260</v>
      </c>
      <c r="E164" s="9" t="s">
        <v>57</v>
      </c>
      <c r="F164" s="13"/>
      <c r="G164" s="8" t="s">
        <v>59</v>
      </c>
      <c r="H164" s="8" t="s">
        <v>50</v>
      </c>
      <c r="I164" s="8" t="s">
        <v>60</v>
      </c>
      <c r="J164" s="8" t="s">
        <v>52</v>
      </c>
      <c r="K164" s="8" t="s">
        <v>71</v>
      </c>
      <c r="L164" s="8" t="s">
        <v>62</v>
      </c>
    </row>
    <row r="165" spans="1:12" ht="24.75" thickBot="1">
      <c r="A165" s="160"/>
      <c r="B165" s="162"/>
      <c r="C165" s="25" t="s">
        <v>281</v>
      </c>
      <c r="D165" s="11" t="s">
        <v>260</v>
      </c>
      <c r="E165" s="9" t="s">
        <v>57</v>
      </c>
      <c r="F165" s="13"/>
      <c r="G165" s="8" t="s">
        <v>59</v>
      </c>
      <c r="H165" s="8" t="s">
        <v>50</v>
      </c>
      <c r="I165" s="8" t="s">
        <v>60</v>
      </c>
      <c r="J165" s="8" t="s">
        <v>52</v>
      </c>
      <c r="K165" s="8" t="s">
        <v>71</v>
      </c>
      <c r="L165" s="8" t="s">
        <v>62</v>
      </c>
    </row>
    <row r="166" spans="1:12" ht="15" thickBot="1">
      <c r="A166" s="160"/>
      <c r="B166" s="162"/>
      <c r="C166" s="18" t="s">
        <v>282</v>
      </c>
      <c r="D166" s="13"/>
      <c r="E166" s="13"/>
      <c r="F166" s="13"/>
      <c r="G166" s="13"/>
      <c r="H166" s="13"/>
      <c r="I166" s="13"/>
      <c r="J166" s="13"/>
      <c r="K166" s="13"/>
      <c r="L166" s="8" t="s">
        <v>62</v>
      </c>
    </row>
    <row r="167" spans="1:12" ht="15" thickBot="1">
      <c r="A167" s="160"/>
      <c r="B167" s="162"/>
      <c r="C167" s="25" t="s">
        <v>283</v>
      </c>
      <c r="D167" s="11" t="s">
        <v>260</v>
      </c>
      <c r="E167" s="13"/>
      <c r="F167" s="13"/>
      <c r="G167" s="8" t="s">
        <v>59</v>
      </c>
      <c r="H167" s="8" t="s">
        <v>50</v>
      </c>
      <c r="I167" s="8" t="s">
        <v>60</v>
      </c>
      <c r="J167" s="8" t="s">
        <v>52</v>
      </c>
      <c r="K167" s="8" t="s">
        <v>71</v>
      </c>
      <c r="L167" s="8" t="s">
        <v>62</v>
      </c>
    </row>
    <row r="168" spans="1:12" ht="24.75" thickBot="1">
      <c r="A168" s="160"/>
      <c r="B168" s="162"/>
      <c r="C168" s="25" t="s">
        <v>284</v>
      </c>
      <c r="D168" s="11" t="s">
        <v>260</v>
      </c>
      <c r="E168" s="13"/>
      <c r="F168" s="13"/>
      <c r="G168" s="8" t="s">
        <v>59</v>
      </c>
      <c r="H168" s="8" t="s">
        <v>50</v>
      </c>
      <c r="I168" s="8" t="s">
        <v>60</v>
      </c>
      <c r="J168" s="8" t="s">
        <v>52</v>
      </c>
      <c r="K168" s="8" t="s">
        <v>71</v>
      </c>
      <c r="L168" s="8" t="s">
        <v>62</v>
      </c>
    </row>
    <row r="169" spans="1:12" ht="15" thickBot="1">
      <c r="A169" s="160"/>
      <c r="B169" s="162"/>
      <c r="C169" s="25" t="s">
        <v>285</v>
      </c>
      <c r="D169" s="11" t="s">
        <v>260</v>
      </c>
      <c r="E169" s="13"/>
      <c r="F169" s="13"/>
      <c r="G169" s="8" t="s">
        <v>59</v>
      </c>
      <c r="H169" s="8" t="s">
        <v>50</v>
      </c>
      <c r="I169" s="8" t="s">
        <v>60</v>
      </c>
      <c r="J169" s="8" t="s">
        <v>52</v>
      </c>
      <c r="K169" s="8" t="s">
        <v>71</v>
      </c>
      <c r="L169" s="8" t="s">
        <v>62</v>
      </c>
    </row>
    <row r="170" spans="1:12" ht="24.75" thickBot="1">
      <c r="A170" s="160"/>
      <c r="B170" s="162"/>
      <c r="C170" s="25" t="s">
        <v>286</v>
      </c>
      <c r="D170" s="11" t="s">
        <v>260</v>
      </c>
      <c r="E170" s="13"/>
      <c r="F170" s="13"/>
      <c r="G170" s="8" t="s">
        <v>59</v>
      </c>
      <c r="H170" s="8" t="s">
        <v>50</v>
      </c>
      <c r="I170" s="8" t="s">
        <v>60</v>
      </c>
      <c r="J170" s="8" t="s">
        <v>52</v>
      </c>
      <c r="K170" s="8" t="s">
        <v>71</v>
      </c>
      <c r="L170" s="8" t="s">
        <v>62</v>
      </c>
    </row>
    <row r="171" spans="1:12" ht="36.75" thickBot="1">
      <c r="A171" s="160"/>
      <c r="B171" s="162"/>
      <c r="C171" s="25" t="s">
        <v>287</v>
      </c>
      <c r="D171" s="11" t="s">
        <v>260</v>
      </c>
      <c r="E171" s="13"/>
      <c r="F171" s="13"/>
      <c r="G171" s="8" t="s">
        <v>59</v>
      </c>
      <c r="H171" s="8" t="s">
        <v>50</v>
      </c>
      <c r="I171" s="8" t="s">
        <v>60</v>
      </c>
      <c r="J171" s="8" t="s">
        <v>52</v>
      </c>
      <c r="K171" s="8" t="s">
        <v>71</v>
      </c>
      <c r="L171" s="8" t="s">
        <v>62</v>
      </c>
    </row>
    <row r="172" spans="1:12" ht="24.75" thickBot="1">
      <c r="A172" s="160"/>
      <c r="B172" s="162"/>
      <c r="C172" s="25" t="s">
        <v>288</v>
      </c>
      <c r="D172" s="11" t="s">
        <v>260</v>
      </c>
      <c r="E172" s="13"/>
      <c r="F172" s="13"/>
      <c r="G172" s="8" t="s">
        <v>59</v>
      </c>
      <c r="H172" s="8" t="s">
        <v>50</v>
      </c>
      <c r="I172" s="8" t="s">
        <v>60</v>
      </c>
      <c r="J172" s="8" t="s">
        <v>52</v>
      </c>
      <c r="K172" s="8" t="s">
        <v>71</v>
      </c>
      <c r="L172" s="4"/>
    </row>
    <row r="173" spans="1:12" ht="15" thickBot="1">
      <c r="A173" s="160"/>
      <c r="B173" s="162"/>
      <c r="C173" s="18" t="s">
        <v>289</v>
      </c>
      <c r="D173" s="13"/>
      <c r="E173" s="13"/>
      <c r="F173" s="13"/>
      <c r="G173" s="13"/>
      <c r="H173" s="13"/>
      <c r="I173" s="13"/>
      <c r="J173" s="13"/>
      <c r="K173" s="13"/>
      <c r="L173" s="4"/>
    </row>
    <row r="174" spans="1:12" ht="15" thickBot="1">
      <c r="A174" s="160"/>
      <c r="B174" s="162"/>
      <c r="C174" s="7" t="s">
        <v>290</v>
      </c>
      <c r="D174" s="163" t="s">
        <v>291</v>
      </c>
      <c r="E174" s="163"/>
      <c r="F174" s="163"/>
      <c r="G174" s="163"/>
      <c r="H174" s="163"/>
      <c r="I174" s="163"/>
      <c r="J174" s="163"/>
      <c r="K174" s="163"/>
      <c r="L174" s="4"/>
    </row>
    <row r="175" spans="1:12" ht="15" thickBot="1">
      <c r="A175" s="160"/>
      <c r="B175" s="162"/>
      <c r="C175" s="12" t="s">
        <v>292</v>
      </c>
      <c r="D175" s="163" t="s">
        <v>291</v>
      </c>
      <c r="E175" s="163"/>
      <c r="F175" s="163"/>
      <c r="G175" s="163"/>
      <c r="H175" s="163"/>
      <c r="I175" s="163"/>
      <c r="J175" s="163"/>
      <c r="K175" s="163"/>
      <c r="L175" s="4"/>
    </row>
    <row r="176" spans="1:12" ht="15" thickBot="1">
      <c r="A176" s="160"/>
      <c r="B176" s="162"/>
      <c r="C176" s="12" t="s">
        <v>293</v>
      </c>
      <c r="D176" s="163" t="s">
        <v>291</v>
      </c>
      <c r="E176" s="163"/>
      <c r="F176" s="163"/>
      <c r="G176" s="163"/>
      <c r="H176" s="163"/>
      <c r="I176" s="163"/>
      <c r="J176" s="163"/>
      <c r="K176" s="163"/>
      <c r="L176" s="4"/>
    </row>
    <row r="177" spans="1:12" ht="39" thickBot="1">
      <c r="A177" s="160"/>
      <c r="B177" s="162"/>
      <c r="C177" s="27" t="s">
        <v>294</v>
      </c>
      <c r="D177" s="19" t="s">
        <v>295</v>
      </c>
      <c r="E177" s="19" t="s">
        <v>296</v>
      </c>
      <c r="F177" s="8" t="s">
        <v>98</v>
      </c>
      <c r="G177" s="8" t="s">
        <v>142</v>
      </c>
      <c r="H177" s="8" t="s">
        <v>142</v>
      </c>
      <c r="I177" s="19" t="s">
        <v>143</v>
      </c>
      <c r="J177" s="8" t="s">
        <v>52</v>
      </c>
      <c r="K177" s="8" t="s">
        <v>99</v>
      </c>
      <c r="L177" s="8" t="s">
        <v>62</v>
      </c>
    </row>
    <row r="178" spans="1:12" ht="39" thickBot="1">
      <c r="A178" s="160"/>
      <c r="B178" s="162"/>
      <c r="C178" s="27" t="s">
        <v>297</v>
      </c>
      <c r="D178" s="19" t="s">
        <v>298</v>
      </c>
      <c r="E178" s="13"/>
      <c r="F178" s="8" t="s">
        <v>98</v>
      </c>
      <c r="G178" s="8" t="s">
        <v>142</v>
      </c>
      <c r="H178" s="8" t="s">
        <v>142</v>
      </c>
      <c r="I178" s="19" t="s">
        <v>143</v>
      </c>
      <c r="J178" s="8" t="s">
        <v>52</v>
      </c>
      <c r="K178" s="8" t="s">
        <v>99</v>
      </c>
      <c r="L178" s="8" t="s">
        <v>62</v>
      </c>
    </row>
    <row r="179" spans="1:12" ht="64.5" thickBot="1">
      <c r="A179" s="160">
        <v>12</v>
      </c>
      <c r="B179" s="160" t="s">
        <v>299</v>
      </c>
      <c r="C179" s="27" t="s">
        <v>300</v>
      </c>
      <c r="D179" s="11" t="s">
        <v>260</v>
      </c>
      <c r="E179" s="13"/>
      <c r="F179" s="13"/>
      <c r="G179" s="8" t="s">
        <v>59</v>
      </c>
      <c r="H179" s="8" t="s">
        <v>50</v>
      </c>
      <c r="I179" s="8" t="s">
        <v>60</v>
      </c>
      <c r="J179" s="8" t="s">
        <v>52</v>
      </c>
      <c r="K179" s="8" t="s">
        <v>71</v>
      </c>
      <c r="L179" s="8" t="s">
        <v>62</v>
      </c>
    </row>
    <row r="180" spans="1:12" ht="26.25" thickBot="1">
      <c r="A180" s="160"/>
      <c r="B180" s="160"/>
      <c r="C180" s="27" t="s">
        <v>301</v>
      </c>
      <c r="D180" s="11" t="s">
        <v>260</v>
      </c>
      <c r="E180" s="13"/>
      <c r="F180" s="13"/>
      <c r="G180" s="8" t="s">
        <v>59</v>
      </c>
      <c r="H180" s="8" t="s">
        <v>50</v>
      </c>
      <c r="I180" s="8" t="s">
        <v>60</v>
      </c>
      <c r="J180" s="8" t="s">
        <v>52</v>
      </c>
      <c r="K180" s="8" t="s">
        <v>71</v>
      </c>
      <c r="L180" s="8" t="s">
        <v>62</v>
      </c>
    </row>
    <row r="181" spans="1:12" ht="39" thickBot="1">
      <c r="A181" s="160"/>
      <c r="B181" s="160"/>
      <c r="C181" s="27" t="s">
        <v>302</v>
      </c>
      <c r="D181" s="11" t="s">
        <v>260</v>
      </c>
      <c r="E181" s="13"/>
      <c r="F181" s="13"/>
      <c r="G181" s="8" t="s">
        <v>59</v>
      </c>
      <c r="H181" s="8" t="s">
        <v>50</v>
      </c>
      <c r="I181" s="8" t="s">
        <v>60</v>
      </c>
      <c r="J181" s="8" t="s">
        <v>52</v>
      </c>
      <c r="K181" s="8" t="s">
        <v>71</v>
      </c>
      <c r="L181" s="8" t="s">
        <v>62</v>
      </c>
    </row>
    <row r="182" spans="1:12" ht="41.45" customHeight="1" thickBot="1">
      <c r="A182" s="160">
        <v>13</v>
      </c>
      <c r="B182" s="160" t="s">
        <v>303</v>
      </c>
      <c r="C182" s="16" t="s">
        <v>69</v>
      </c>
      <c r="D182" s="13"/>
      <c r="E182" s="13"/>
      <c r="F182" s="13"/>
      <c r="G182" s="13"/>
      <c r="H182" s="13"/>
      <c r="I182" s="13"/>
      <c r="J182" s="13"/>
      <c r="K182" s="13"/>
      <c r="L182" s="4"/>
    </row>
    <row r="183" spans="1:12" ht="28.15" customHeight="1" thickBot="1">
      <c r="A183" s="160"/>
      <c r="B183" s="160"/>
      <c r="C183" s="18" t="s">
        <v>304</v>
      </c>
      <c r="D183" s="13"/>
      <c r="E183" s="13"/>
      <c r="F183" s="13"/>
      <c r="G183" s="13"/>
      <c r="H183" s="13"/>
      <c r="I183" s="13"/>
      <c r="J183" s="13"/>
      <c r="K183" s="13"/>
      <c r="L183" s="4"/>
    </row>
    <row r="184" spans="1:12" ht="30" customHeight="1" thickBot="1">
      <c r="A184" s="160"/>
      <c r="B184" s="160"/>
      <c r="C184" s="25" t="s">
        <v>305</v>
      </c>
      <c r="D184" s="11" t="s">
        <v>260</v>
      </c>
      <c r="E184" s="9" t="s">
        <v>57</v>
      </c>
      <c r="F184" s="13"/>
      <c r="G184" s="8" t="s">
        <v>59</v>
      </c>
      <c r="H184" s="8" t="s">
        <v>50</v>
      </c>
      <c r="I184" s="8" t="s">
        <v>60</v>
      </c>
      <c r="J184" s="8" t="s">
        <v>52</v>
      </c>
      <c r="K184" s="8" t="s">
        <v>71</v>
      </c>
      <c r="L184" s="8" t="s">
        <v>62</v>
      </c>
    </row>
    <row r="185" spans="1:12" ht="15" thickBot="1">
      <c r="A185" s="160"/>
      <c r="B185" s="160"/>
      <c r="C185" s="25" t="s">
        <v>306</v>
      </c>
      <c r="D185" s="11" t="s">
        <v>260</v>
      </c>
      <c r="E185" s="13"/>
      <c r="F185" s="13"/>
      <c r="G185" s="8" t="s">
        <v>59</v>
      </c>
      <c r="H185" s="8" t="s">
        <v>50</v>
      </c>
      <c r="I185" s="8" t="s">
        <v>60</v>
      </c>
      <c r="J185" s="8" t="s">
        <v>52</v>
      </c>
      <c r="K185" s="8" t="s">
        <v>71</v>
      </c>
      <c r="L185" s="8" t="s">
        <v>62</v>
      </c>
    </row>
    <row r="186" spans="1:12" ht="15" thickBot="1">
      <c r="A186" s="160"/>
      <c r="B186" s="160"/>
      <c r="C186" s="25" t="s">
        <v>307</v>
      </c>
      <c r="D186" s="11" t="s">
        <v>260</v>
      </c>
      <c r="E186" s="9" t="s">
        <v>57</v>
      </c>
      <c r="F186" s="13"/>
      <c r="G186" s="8" t="s">
        <v>59</v>
      </c>
      <c r="H186" s="8" t="s">
        <v>50</v>
      </c>
      <c r="I186" s="8" t="s">
        <v>60</v>
      </c>
      <c r="J186" s="8" t="s">
        <v>52</v>
      </c>
      <c r="K186" s="8" t="s">
        <v>71</v>
      </c>
      <c r="L186" s="8" t="s">
        <v>62</v>
      </c>
    </row>
    <row r="187" spans="1:12" ht="36.75" thickBot="1">
      <c r="A187" s="160"/>
      <c r="B187" s="160"/>
      <c r="C187" s="25" t="s">
        <v>308</v>
      </c>
      <c r="D187" s="11" t="s">
        <v>260</v>
      </c>
      <c r="E187" s="11" t="s">
        <v>309</v>
      </c>
      <c r="F187" s="13"/>
      <c r="G187" s="8" t="s">
        <v>59</v>
      </c>
      <c r="H187" s="8" t="s">
        <v>50</v>
      </c>
      <c r="I187" s="8" t="s">
        <v>60</v>
      </c>
      <c r="J187" s="8" t="s">
        <v>52</v>
      </c>
      <c r="K187" s="8" t="s">
        <v>71</v>
      </c>
      <c r="L187" s="8" t="s">
        <v>62</v>
      </c>
    </row>
    <row r="188" spans="1:12" ht="24.75" thickBot="1">
      <c r="A188" s="160"/>
      <c r="B188" s="160"/>
      <c r="C188" s="25" t="s">
        <v>310</v>
      </c>
      <c r="D188" s="11" t="s">
        <v>260</v>
      </c>
      <c r="E188" s="9" t="s">
        <v>57</v>
      </c>
      <c r="F188" s="13"/>
      <c r="G188" s="8" t="s">
        <v>59</v>
      </c>
      <c r="H188" s="8" t="s">
        <v>50</v>
      </c>
      <c r="I188" s="8" t="s">
        <v>60</v>
      </c>
      <c r="J188" s="8" t="s">
        <v>52</v>
      </c>
      <c r="K188" s="8" t="s">
        <v>71</v>
      </c>
      <c r="L188" s="8" t="s">
        <v>62</v>
      </c>
    </row>
    <row r="189" spans="1:12" ht="15" thickBot="1">
      <c r="A189" s="160"/>
      <c r="B189" s="160"/>
      <c r="C189" s="25" t="s">
        <v>311</v>
      </c>
      <c r="D189" s="11" t="s">
        <v>260</v>
      </c>
      <c r="E189" s="9" t="s">
        <v>57</v>
      </c>
      <c r="F189" s="13"/>
      <c r="G189" s="8" t="s">
        <v>59</v>
      </c>
      <c r="H189" s="8" t="s">
        <v>50</v>
      </c>
      <c r="I189" s="8" t="s">
        <v>60</v>
      </c>
      <c r="J189" s="8" t="s">
        <v>52</v>
      </c>
      <c r="K189" s="8" t="s">
        <v>71</v>
      </c>
      <c r="L189" s="8" t="s">
        <v>62</v>
      </c>
    </row>
    <row r="190" spans="1:12" ht="24.75" thickBot="1">
      <c r="A190" s="160"/>
      <c r="B190" s="160"/>
      <c r="C190" s="25" t="s">
        <v>312</v>
      </c>
      <c r="D190" s="11" t="s">
        <v>260</v>
      </c>
      <c r="E190" s="9" t="s">
        <v>313</v>
      </c>
      <c r="F190" s="13"/>
      <c r="G190" s="8" t="s">
        <v>59</v>
      </c>
      <c r="H190" s="8" t="s">
        <v>50</v>
      </c>
      <c r="I190" s="8" t="s">
        <v>60</v>
      </c>
      <c r="J190" s="8" t="s">
        <v>52</v>
      </c>
      <c r="K190" s="8" t="s">
        <v>71</v>
      </c>
      <c r="L190" s="8" t="s">
        <v>62</v>
      </c>
    </row>
    <row r="191" spans="1:12" ht="24.75" thickBot="1">
      <c r="A191" s="160"/>
      <c r="B191" s="160"/>
      <c r="C191" s="25" t="s">
        <v>314</v>
      </c>
      <c r="D191" s="11" t="s">
        <v>260</v>
      </c>
      <c r="E191" s="13"/>
      <c r="F191" s="13"/>
      <c r="G191" s="8" t="s">
        <v>59</v>
      </c>
      <c r="H191" s="8" t="s">
        <v>50</v>
      </c>
      <c r="I191" s="8" t="s">
        <v>60</v>
      </c>
      <c r="J191" s="8" t="s">
        <v>52</v>
      </c>
      <c r="K191" s="8" t="s">
        <v>71</v>
      </c>
      <c r="L191" s="8" t="s">
        <v>62</v>
      </c>
    </row>
    <row r="192" spans="1:12" ht="15" thickBot="1">
      <c r="A192" s="160"/>
      <c r="B192" s="160"/>
      <c r="C192" s="25" t="s">
        <v>315</v>
      </c>
      <c r="D192" s="11" t="s">
        <v>260</v>
      </c>
      <c r="E192" s="9" t="s">
        <v>57</v>
      </c>
      <c r="F192" s="13"/>
      <c r="G192" s="8" t="s">
        <v>59</v>
      </c>
      <c r="H192" s="8" t="s">
        <v>50</v>
      </c>
      <c r="I192" s="8" t="s">
        <v>60</v>
      </c>
      <c r="J192" s="8" t="s">
        <v>52</v>
      </c>
      <c r="K192" s="8" t="s">
        <v>71</v>
      </c>
      <c r="L192" s="8" t="s">
        <v>62</v>
      </c>
    </row>
    <row r="193" spans="1:12" ht="24.75" thickBot="1">
      <c r="A193" s="160"/>
      <c r="B193" s="160"/>
      <c r="C193" s="25" t="s">
        <v>316</v>
      </c>
      <c r="D193" s="11" t="s">
        <v>260</v>
      </c>
      <c r="E193" s="21"/>
      <c r="F193" s="13"/>
      <c r="G193" s="8" t="s">
        <v>59</v>
      </c>
      <c r="H193" s="8" t="s">
        <v>50</v>
      </c>
      <c r="I193" s="8" t="s">
        <v>60</v>
      </c>
      <c r="J193" s="8" t="s">
        <v>52</v>
      </c>
      <c r="K193" s="8" t="s">
        <v>71</v>
      </c>
      <c r="L193" s="8" t="s">
        <v>62</v>
      </c>
    </row>
    <row r="194" spans="1:12" ht="15" thickBot="1">
      <c r="A194" s="160"/>
      <c r="B194" s="160"/>
      <c r="C194" s="25" t="s">
        <v>317</v>
      </c>
      <c r="D194" s="11" t="s">
        <v>260</v>
      </c>
      <c r="E194" s="13"/>
      <c r="F194" s="13"/>
      <c r="G194" s="8" t="s">
        <v>59</v>
      </c>
      <c r="H194" s="8" t="s">
        <v>50</v>
      </c>
      <c r="I194" s="8" t="s">
        <v>60</v>
      </c>
      <c r="J194" s="8" t="s">
        <v>52</v>
      </c>
      <c r="K194" s="8" t="s">
        <v>71</v>
      </c>
      <c r="L194" s="8" t="s">
        <v>62</v>
      </c>
    </row>
    <row r="195" spans="1:12" ht="15" thickBot="1">
      <c r="A195" s="160"/>
      <c r="B195" s="160"/>
      <c r="C195" s="25" t="s">
        <v>318</v>
      </c>
      <c r="D195" s="11" t="s">
        <v>260</v>
      </c>
      <c r="E195" s="13"/>
      <c r="F195" s="13"/>
      <c r="G195" s="8" t="s">
        <v>59</v>
      </c>
      <c r="H195" s="8" t="s">
        <v>50</v>
      </c>
      <c r="I195" s="8" t="s">
        <v>60</v>
      </c>
      <c r="J195" s="8" t="s">
        <v>52</v>
      </c>
      <c r="K195" s="8" t="s">
        <v>71</v>
      </c>
      <c r="L195" s="8" t="s">
        <v>62</v>
      </c>
    </row>
    <row r="196" spans="1:12" ht="15" thickBot="1">
      <c r="A196" s="160"/>
      <c r="B196" s="160"/>
      <c r="C196" s="18" t="s">
        <v>319</v>
      </c>
      <c r="D196" s="13"/>
      <c r="E196" s="13"/>
      <c r="F196" s="13"/>
      <c r="G196" s="13"/>
      <c r="H196" s="13"/>
      <c r="I196" s="13"/>
      <c r="J196" s="13"/>
      <c r="K196" s="13"/>
      <c r="L196" s="4"/>
    </row>
    <row r="197" spans="1:12" ht="15" thickBot="1">
      <c r="A197" s="160"/>
      <c r="B197" s="160"/>
      <c r="C197" s="25" t="s">
        <v>320</v>
      </c>
      <c r="D197" s="11" t="s">
        <v>260</v>
      </c>
      <c r="E197" s="8" t="s">
        <v>155</v>
      </c>
      <c r="F197" s="8" t="s">
        <v>141</v>
      </c>
      <c r="G197" s="8" t="s">
        <v>142</v>
      </c>
      <c r="H197" s="8" t="s">
        <v>142</v>
      </c>
      <c r="I197" s="19" t="s">
        <v>143</v>
      </c>
      <c r="J197" s="8" t="s">
        <v>52</v>
      </c>
      <c r="K197" s="8" t="s">
        <v>321</v>
      </c>
      <c r="L197" s="8" t="s">
        <v>62</v>
      </c>
    </row>
    <row r="198" spans="1:12" ht="24.75" thickBot="1">
      <c r="A198" s="160"/>
      <c r="B198" s="160"/>
      <c r="C198" s="25" t="s">
        <v>322</v>
      </c>
      <c r="D198" s="11" t="s">
        <v>260</v>
      </c>
      <c r="E198" s="13"/>
      <c r="F198" s="13"/>
      <c r="G198" s="8" t="s">
        <v>59</v>
      </c>
      <c r="H198" s="8" t="s">
        <v>50</v>
      </c>
      <c r="I198" s="8" t="s">
        <v>60</v>
      </c>
      <c r="J198" s="8" t="s">
        <v>52</v>
      </c>
      <c r="K198" s="8" t="s">
        <v>71</v>
      </c>
      <c r="L198" s="8" t="s">
        <v>62</v>
      </c>
    </row>
    <row r="199" spans="1:12" ht="24.75" thickBot="1">
      <c r="A199" s="160"/>
      <c r="B199" s="160"/>
      <c r="C199" s="25" t="s">
        <v>323</v>
      </c>
      <c r="D199" s="11" t="s">
        <v>260</v>
      </c>
      <c r="E199" s="13"/>
      <c r="F199" s="13"/>
      <c r="G199" s="8" t="s">
        <v>59</v>
      </c>
      <c r="H199" s="8" t="s">
        <v>50</v>
      </c>
      <c r="I199" s="8" t="s">
        <v>60</v>
      </c>
      <c r="J199" s="8" t="s">
        <v>52</v>
      </c>
      <c r="K199" s="8" t="s">
        <v>71</v>
      </c>
      <c r="L199" s="8" t="s">
        <v>62</v>
      </c>
    </row>
    <row r="200" spans="1:12" ht="15" thickBot="1">
      <c r="A200" s="160"/>
      <c r="B200" s="160"/>
      <c r="C200" s="25" t="s">
        <v>324</v>
      </c>
      <c r="D200" s="11" t="s">
        <v>260</v>
      </c>
      <c r="E200" s="13"/>
      <c r="F200" s="13"/>
      <c r="G200" s="8" t="s">
        <v>59</v>
      </c>
      <c r="H200" s="8" t="s">
        <v>50</v>
      </c>
      <c r="I200" s="8" t="s">
        <v>60</v>
      </c>
      <c r="J200" s="8" t="s">
        <v>52</v>
      </c>
      <c r="K200" s="8" t="s">
        <v>71</v>
      </c>
      <c r="L200" s="8" t="s">
        <v>62</v>
      </c>
    </row>
    <row r="201" spans="1:12" ht="24.75" thickBot="1">
      <c r="A201" s="160"/>
      <c r="B201" s="160"/>
      <c r="C201" s="25" t="s">
        <v>325</v>
      </c>
      <c r="D201" s="11" t="s">
        <v>260</v>
      </c>
      <c r="E201" s="13"/>
      <c r="F201" s="13"/>
      <c r="G201" s="8" t="s">
        <v>59</v>
      </c>
      <c r="H201" s="8" t="s">
        <v>50</v>
      </c>
      <c r="I201" s="8" t="s">
        <v>60</v>
      </c>
      <c r="J201" s="8" t="s">
        <v>52</v>
      </c>
      <c r="K201" s="8" t="s">
        <v>71</v>
      </c>
      <c r="L201" s="8" t="s">
        <v>62</v>
      </c>
    </row>
    <row r="202" spans="1:12" ht="15" thickBot="1">
      <c r="A202" s="160"/>
      <c r="B202" s="160"/>
      <c r="C202" s="25" t="s">
        <v>273</v>
      </c>
      <c r="D202" s="11" t="s">
        <v>260</v>
      </c>
      <c r="E202" s="9" t="s">
        <v>57</v>
      </c>
      <c r="F202" s="13"/>
      <c r="G202" s="8" t="s">
        <v>59</v>
      </c>
      <c r="H202" s="8" t="s">
        <v>50</v>
      </c>
      <c r="I202" s="8" t="s">
        <v>60</v>
      </c>
      <c r="J202" s="8" t="s">
        <v>52</v>
      </c>
      <c r="K202" s="8" t="s">
        <v>71</v>
      </c>
      <c r="L202" s="8" t="s">
        <v>62</v>
      </c>
    </row>
    <row r="203" spans="1:12" ht="36.75" thickBot="1">
      <c r="A203" s="160"/>
      <c r="B203" s="160"/>
      <c r="C203" s="25" t="s">
        <v>326</v>
      </c>
      <c r="D203" s="11" t="s">
        <v>260</v>
      </c>
      <c r="E203" s="13"/>
      <c r="F203" s="13"/>
      <c r="G203" s="8" t="s">
        <v>59</v>
      </c>
      <c r="H203" s="8" t="s">
        <v>50</v>
      </c>
      <c r="I203" s="8" t="s">
        <v>60</v>
      </c>
      <c r="J203" s="8" t="s">
        <v>52</v>
      </c>
      <c r="K203" s="8" t="s">
        <v>71</v>
      </c>
      <c r="L203" s="8" t="s">
        <v>62</v>
      </c>
    </row>
    <row r="204" spans="1:12" ht="24.75" thickBot="1">
      <c r="A204" s="160"/>
      <c r="B204" s="160"/>
      <c r="C204" s="25" t="s">
        <v>327</v>
      </c>
      <c r="D204" s="11" t="s">
        <v>260</v>
      </c>
      <c r="E204" s="13"/>
      <c r="F204" s="13"/>
      <c r="G204" s="8" t="s">
        <v>59</v>
      </c>
      <c r="H204" s="8" t="s">
        <v>50</v>
      </c>
      <c r="I204" s="8" t="s">
        <v>60</v>
      </c>
      <c r="J204" s="8" t="s">
        <v>52</v>
      </c>
      <c r="K204" s="8" t="s">
        <v>71</v>
      </c>
      <c r="L204" s="8" t="s">
        <v>62</v>
      </c>
    </row>
    <row r="205" spans="1:12" ht="15" thickBot="1">
      <c r="A205" s="160"/>
      <c r="B205" s="160"/>
      <c r="C205" s="25" t="s">
        <v>328</v>
      </c>
      <c r="D205" s="11" t="s">
        <v>260</v>
      </c>
      <c r="E205" s="9" t="s">
        <v>57</v>
      </c>
      <c r="F205" s="13"/>
      <c r="G205" s="8" t="s">
        <v>59</v>
      </c>
      <c r="H205" s="8" t="s">
        <v>50</v>
      </c>
      <c r="I205" s="8" t="s">
        <v>60</v>
      </c>
      <c r="J205" s="8" t="s">
        <v>52</v>
      </c>
      <c r="K205" s="8" t="s">
        <v>71</v>
      </c>
      <c r="L205" s="8" t="s">
        <v>62</v>
      </c>
    </row>
    <row r="206" spans="1:12" ht="15" thickBot="1">
      <c r="A206" s="160"/>
      <c r="B206" s="160"/>
      <c r="C206" s="25" t="s">
        <v>329</v>
      </c>
      <c r="D206" s="11" t="s">
        <v>260</v>
      </c>
      <c r="E206" s="9" t="s">
        <v>57</v>
      </c>
      <c r="F206" s="13"/>
      <c r="G206" s="8" t="s">
        <v>59</v>
      </c>
      <c r="H206" s="8" t="s">
        <v>50</v>
      </c>
      <c r="I206" s="8" t="s">
        <v>60</v>
      </c>
      <c r="J206" s="8" t="s">
        <v>52</v>
      </c>
      <c r="K206" s="8" t="s">
        <v>71</v>
      </c>
      <c r="L206" s="8" t="s">
        <v>62</v>
      </c>
    </row>
    <row r="207" spans="1:12" ht="15" thickBot="1">
      <c r="A207" s="160"/>
      <c r="B207" s="160"/>
      <c r="C207" s="25" t="s">
        <v>330</v>
      </c>
      <c r="D207" s="11" t="s">
        <v>260</v>
      </c>
      <c r="E207" s="9" t="s">
        <v>57</v>
      </c>
      <c r="F207" s="13"/>
      <c r="G207" s="8" t="s">
        <v>59</v>
      </c>
      <c r="H207" s="8" t="s">
        <v>50</v>
      </c>
      <c r="I207" s="8" t="s">
        <v>60</v>
      </c>
      <c r="J207" s="8" t="s">
        <v>52</v>
      </c>
      <c r="K207" s="8" t="s">
        <v>71</v>
      </c>
      <c r="L207" s="8" t="s">
        <v>62</v>
      </c>
    </row>
    <row r="208" spans="1:12" ht="24.75" thickBot="1">
      <c r="A208" s="160"/>
      <c r="B208" s="160"/>
      <c r="C208" s="25" t="s">
        <v>331</v>
      </c>
      <c r="D208" s="11" t="s">
        <v>260</v>
      </c>
      <c r="E208" s="8" t="s">
        <v>155</v>
      </c>
      <c r="F208" s="8" t="s">
        <v>141</v>
      </c>
      <c r="G208" s="8" t="s">
        <v>142</v>
      </c>
      <c r="H208" s="8" t="s">
        <v>142</v>
      </c>
      <c r="I208" s="19" t="s">
        <v>143</v>
      </c>
      <c r="J208" s="8" t="s">
        <v>52</v>
      </c>
      <c r="K208" s="8" t="s">
        <v>321</v>
      </c>
      <c r="L208" s="8" t="s">
        <v>62</v>
      </c>
    </row>
    <row r="209" spans="1:12" ht="15" thickBot="1">
      <c r="A209" s="160"/>
      <c r="B209" s="160"/>
      <c r="C209" s="25" t="s">
        <v>318</v>
      </c>
      <c r="D209" s="11" t="s">
        <v>260</v>
      </c>
      <c r="E209" s="13"/>
      <c r="F209" s="13"/>
      <c r="G209" s="8" t="s">
        <v>59</v>
      </c>
      <c r="H209" s="8" t="s">
        <v>50</v>
      </c>
      <c r="I209" s="8" t="s">
        <v>60</v>
      </c>
      <c r="J209" s="8" t="s">
        <v>52</v>
      </c>
      <c r="K209" s="8" t="s">
        <v>71</v>
      </c>
      <c r="L209" s="8" t="s">
        <v>62</v>
      </c>
    </row>
    <row r="210" spans="1:12" ht="26.25" thickBot="1">
      <c r="A210" s="160">
        <v>14</v>
      </c>
      <c r="B210" s="162" t="s">
        <v>332</v>
      </c>
      <c r="C210" s="16" t="s">
        <v>69</v>
      </c>
      <c r="D210" s="11"/>
      <c r="E210" s="8"/>
      <c r="F210" s="8"/>
      <c r="G210" s="8" t="s">
        <v>59</v>
      </c>
      <c r="H210" s="8" t="s">
        <v>142</v>
      </c>
      <c r="I210" s="8" t="s">
        <v>60</v>
      </c>
      <c r="J210" s="8" t="s">
        <v>52</v>
      </c>
      <c r="K210" s="8" t="s">
        <v>71</v>
      </c>
      <c r="L210" s="8" t="s">
        <v>62</v>
      </c>
    </row>
    <row r="211" spans="1:12" ht="15" thickBot="1">
      <c r="A211" s="160"/>
      <c r="B211" s="162"/>
      <c r="C211" s="25" t="s">
        <v>333</v>
      </c>
      <c r="D211" s="11" t="s">
        <v>260</v>
      </c>
      <c r="E211" s="8" t="s">
        <v>155</v>
      </c>
      <c r="F211" s="8" t="s">
        <v>141</v>
      </c>
      <c r="G211" s="8" t="s">
        <v>142</v>
      </c>
      <c r="H211" s="8" t="s">
        <v>142</v>
      </c>
      <c r="I211" s="9" t="s">
        <v>143</v>
      </c>
      <c r="J211" s="8" t="s">
        <v>52</v>
      </c>
      <c r="K211" s="8" t="s">
        <v>321</v>
      </c>
      <c r="L211" s="8" t="s">
        <v>62</v>
      </c>
    </row>
    <row r="212" spans="1:12" ht="24.75" thickBot="1">
      <c r="A212" s="160"/>
      <c r="B212" s="162"/>
      <c r="C212" s="25" t="s">
        <v>334</v>
      </c>
      <c r="D212" s="11" t="s">
        <v>260</v>
      </c>
      <c r="E212" s="13"/>
      <c r="F212" s="13"/>
      <c r="G212" s="8" t="s">
        <v>59</v>
      </c>
      <c r="H212" s="8" t="s">
        <v>50</v>
      </c>
      <c r="I212" s="8" t="s">
        <v>60</v>
      </c>
      <c r="J212" s="8" t="s">
        <v>52</v>
      </c>
      <c r="K212" s="8" t="s">
        <v>71</v>
      </c>
      <c r="L212" s="8" t="s">
        <v>62</v>
      </c>
    </row>
    <row r="213" spans="1:12" ht="24.75" thickBot="1">
      <c r="A213" s="160"/>
      <c r="B213" s="162"/>
      <c r="C213" s="25" t="s">
        <v>335</v>
      </c>
      <c r="D213" s="11" t="s">
        <v>260</v>
      </c>
      <c r="E213" s="13"/>
      <c r="F213" s="13"/>
      <c r="G213" s="8" t="s">
        <v>59</v>
      </c>
      <c r="H213" s="8" t="s">
        <v>50</v>
      </c>
      <c r="I213" s="8" t="s">
        <v>60</v>
      </c>
      <c r="J213" s="8" t="s">
        <v>52</v>
      </c>
      <c r="K213" s="8" t="s">
        <v>71</v>
      </c>
      <c r="L213" s="8" t="s">
        <v>62</v>
      </c>
    </row>
    <row r="214" spans="1:12" ht="15" thickBot="1">
      <c r="A214" s="160"/>
      <c r="B214" s="162"/>
      <c r="C214" s="25" t="s">
        <v>336</v>
      </c>
      <c r="D214" s="11" t="s">
        <v>260</v>
      </c>
      <c r="E214" s="13"/>
      <c r="F214" s="13"/>
      <c r="G214" s="8" t="s">
        <v>59</v>
      </c>
      <c r="H214" s="8" t="s">
        <v>50</v>
      </c>
      <c r="I214" s="8" t="s">
        <v>60</v>
      </c>
      <c r="J214" s="8" t="s">
        <v>52</v>
      </c>
      <c r="K214" s="8" t="s">
        <v>71</v>
      </c>
      <c r="L214" s="8" t="s">
        <v>62</v>
      </c>
    </row>
    <row r="215" spans="1:12" ht="24.75" thickBot="1">
      <c r="A215" s="160"/>
      <c r="B215" s="162"/>
      <c r="C215" s="25" t="s">
        <v>337</v>
      </c>
      <c r="D215" s="11" t="s">
        <v>260</v>
      </c>
      <c r="E215" s="13"/>
      <c r="F215" s="13"/>
      <c r="G215" s="8" t="s">
        <v>59</v>
      </c>
      <c r="H215" s="8" t="s">
        <v>50</v>
      </c>
      <c r="I215" s="8" t="s">
        <v>60</v>
      </c>
      <c r="J215" s="8" t="s">
        <v>52</v>
      </c>
      <c r="K215" s="8" t="s">
        <v>71</v>
      </c>
      <c r="L215" s="8" t="s">
        <v>62</v>
      </c>
    </row>
    <row r="216" spans="1:12" ht="15" thickBot="1">
      <c r="A216" s="160"/>
      <c r="B216" s="162"/>
      <c r="C216" s="25" t="s">
        <v>338</v>
      </c>
      <c r="D216" s="11" t="s">
        <v>260</v>
      </c>
      <c r="E216" s="9" t="s">
        <v>57</v>
      </c>
      <c r="F216" s="13"/>
      <c r="G216" s="8" t="s">
        <v>59</v>
      </c>
      <c r="H216" s="8" t="s">
        <v>50</v>
      </c>
      <c r="I216" s="8" t="s">
        <v>60</v>
      </c>
      <c r="J216" s="8" t="s">
        <v>52</v>
      </c>
      <c r="K216" s="8" t="s">
        <v>71</v>
      </c>
      <c r="L216" s="8" t="s">
        <v>62</v>
      </c>
    </row>
    <row r="217" spans="1:12" ht="42" customHeight="1" thickBot="1">
      <c r="A217" s="160"/>
      <c r="B217" s="162"/>
      <c r="C217" s="25" t="s">
        <v>339</v>
      </c>
      <c r="D217" s="11" t="s">
        <v>260</v>
      </c>
      <c r="E217" s="13"/>
      <c r="F217" s="13"/>
      <c r="G217" s="8" t="s">
        <v>59</v>
      </c>
      <c r="H217" s="8" t="s">
        <v>50</v>
      </c>
      <c r="I217" s="8" t="s">
        <v>60</v>
      </c>
      <c r="J217" s="8" t="s">
        <v>52</v>
      </c>
      <c r="K217" s="8" t="s">
        <v>71</v>
      </c>
      <c r="L217" s="8" t="s">
        <v>62</v>
      </c>
    </row>
    <row r="218" spans="1:12" ht="15" thickBot="1">
      <c r="A218" s="160"/>
      <c r="B218" s="162"/>
      <c r="C218" s="25" t="s">
        <v>340</v>
      </c>
      <c r="D218" s="11" t="s">
        <v>260</v>
      </c>
      <c r="E218" s="13"/>
      <c r="F218" s="13"/>
      <c r="G218" s="8" t="s">
        <v>59</v>
      </c>
      <c r="H218" s="8" t="s">
        <v>50</v>
      </c>
      <c r="I218" s="8" t="s">
        <v>60</v>
      </c>
      <c r="J218" s="8" t="s">
        <v>52</v>
      </c>
      <c r="K218" s="8" t="s">
        <v>71</v>
      </c>
      <c r="L218" s="8" t="s">
        <v>62</v>
      </c>
    </row>
    <row r="219" spans="1:12" ht="15" thickBot="1">
      <c r="A219" s="160"/>
      <c r="B219" s="162"/>
      <c r="C219" s="25" t="s">
        <v>341</v>
      </c>
      <c r="D219" s="11" t="s">
        <v>260</v>
      </c>
      <c r="E219" s="9" t="s">
        <v>57</v>
      </c>
      <c r="F219" s="13"/>
      <c r="G219" s="8" t="s">
        <v>59</v>
      </c>
      <c r="H219" s="8" t="s">
        <v>50</v>
      </c>
      <c r="I219" s="8" t="s">
        <v>60</v>
      </c>
      <c r="J219" s="8" t="s">
        <v>52</v>
      </c>
      <c r="K219" s="8" t="s">
        <v>71</v>
      </c>
      <c r="L219" s="8" t="s">
        <v>62</v>
      </c>
    </row>
    <row r="220" spans="1:12" ht="15" thickBot="1">
      <c r="A220" s="160"/>
      <c r="B220" s="162"/>
      <c r="C220" s="25" t="s">
        <v>342</v>
      </c>
      <c r="D220" s="11" t="s">
        <v>260</v>
      </c>
      <c r="E220" s="9" t="s">
        <v>57</v>
      </c>
      <c r="F220" s="13"/>
      <c r="G220" s="8" t="s">
        <v>59</v>
      </c>
      <c r="H220" s="8" t="s">
        <v>50</v>
      </c>
      <c r="I220" s="8" t="s">
        <v>60</v>
      </c>
      <c r="J220" s="8" t="s">
        <v>52</v>
      </c>
      <c r="K220" s="8" t="s">
        <v>71</v>
      </c>
      <c r="L220" s="8" t="s">
        <v>62</v>
      </c>
    </row>
    <row r="221" spans="1:12" ht="15" thickBot="1">
      <c r="A221" s="160"/>
      <c r="B221" s="162"/>
      <c r="C221" s="25" t="s">
        <v>343</v>
      </c>
      <c r="D221" s="11" t="s">
        <v>260</v>
      </c>
      <c r="E221" s="9" t="s">
        <v>57</v>
      </c>
      <c r="F221" s="13"/>
      <c r="G221" s="8" t="s">
        <v>59</v>
      </c>
      <c r="H221" s="8" t="s">
        <v>50</v>
      </c>
      <c r="I221" s="8" t="s">
        <v>60</v>
      </c>
      <c r="J221" s="8" t="s">
        <v>52</v>
      </c>
      <c r="K221" s="8" t="s">
        <v>71</v>
      </c>
      <c r="L221" s="8" t="s">
        <v>62</v>
      </c>
    </row>
    <row r="222" spans="1:12" ht="24.75" thickBot="1">
      <c r="A222" s="160"/>
      <c r="B222" s="162"/>
      <c r="C222" s="25" t="s">
        <v>344</v>
      </c>
      <c r="D222" s="11" t="s">
        <v>260</v>
      </c>
      <c r="E222" s="8" t="s">
        <v>155</v>
      </c>
      <c r="F222" s="8" t="s">
        <v>141</v>
      </c>
      <c r="G222" s="8" t="s">
        <v>142</v>
      </c>
      <c r="H222" s="8" t="s">
        <v>142</v>
      </c>
      <c r="I222" s="9" t="s">
        <v>143</v>
      </c>
      <c r="J222" s="8" t="s">
        <v>52</v>
      </c>
      <c r="K222" s="8" t="s">
        <v>321</v>
      </c>
      <c r="L222" s="8" t="s">
        <v>62</v>
      </c>
    </row>
    <row r="223" spans="1:12" ht="15" thickBot="1">
      <c r="A223" s="160"/>
      <c r="B223" s="162"/>
      <c r="C223" s="25" t="s">
        <v>345</v>
      </c>
      <c r="D223" s="11" t="s">
        <v>260</v>
      </c>
      <c r="E223" s="13"/>
      <c r="F223" s="13"/>
      <c r="G223" s="8" t="s">
        <v>59</v>
      </c>
      <c r="H223" s="8" t="s">
        <v>50</v>
      </c>
      <c r="I223" s="8" t="s">
        <v>60</v>
      </c>
      <c r="J223" s="8" t="s">
        <v>52</v>
      </c>
      <c r="K223" s="8" t="s">
        <v>71</v>
      </c>
      <c r="L223" s="8" t="s">
        <v>62</v>
      </c>
    </row>
    <row r="224" spans="1:12" ht="36.75" thickBot="1">
      <c r="A224" s="160"/>
      <c r="B224" s="162"/>
      <c r="C224" s="25" t="s">
        <v>346</v>
      </c>
      <c r="D224" s="11" t="s">
        <v>257</v>
      </c>
      <c r="E224" s="19" t="s">
        <v>347</v>
      </c>
      <c r="F224" s="8" t="s">
        <v>141</v>
      </c>
      <c r="G224" s="8" t="s">
        <v>142</v>
      </c>
      <c r="H224" s="8" t="s">
        <v>142</v>
      </c>
      <c r="I224" s="9" t="s">
        <v>143</v>
      </c>
      <c r="J224" s="8" t="s">
        <v>52</v>
      </c>
      <c r="K224" s="8" t="s">
        <v>96</v>
      </c>
      <c r="L224" s="8" t="s">
        <v>62</v>
      </c>
    </row>
    <row r="225" spans="1:12" ht="26.25" thickBot="1">
      <c r="A225" s="162">
        <v>15</v>
      </c>
      <c r="B225" s="162" t="s">
        <v>348</v>
      </c>
      <c r="C225" s="16" t="s">
        <v>69</v>
      </c>
      <c r="D225" s="11" t="s">
        <v>349</v>
      </c>
      <c r="E225" s="13"/>
      <c r="F225" s="13"/>
      <c r="G225" s="13"/>
      <c r="H225" s="13"/>
      <c r="I225" s="13"/>
      <c r="J225" s="13"/>
      <c r="K225" s="13"/>
      <c r="L225" s="4"/>
    </row>
    <row r="226" spans="1:12" ht="15" thickBot="1">
      <c r="A226" s="162"/>
      <c r="B226" s="162"/>
      <c r="C226" s="25" t="s">
        <v>350</v>
      </c>
      <c r="D226" s="11" t="s">
        <v>349</v>
      </c>
      <c r="E226" s="9" t="s">
        <v>57</v>
      </c>
      <c r="F226" s="13"/>
      <c r="G226" s="8" t="s">
        <v>59</v>
      </c>
      <c r="H226" s="8" t="s">
        <v>50</v>
      </c>
      <c r="I226" s="8" t="s">
        <v>60</v>
      </c>
      <c r="J226" s="8" t="s">
        <v>52</v>
      </c>
      <c r="K226" s="8" t="s">
        <v>71</v>
      </c>
      <c r="L226" s="8" t="s">
        <v>62</v>
      </c>
    </row>
    <row r="227" spans="1:12" ht="15" thickBot="1">
      <c r="A227" s="162"/>
      <c r="B227" s="162"/>
      <c r="C227" s="25" t="s">
        <v>351</v>
      </c>
      <c r="D227" s="11" t="s">
        <v>349</v>
      </c>
      <c r="E227" s="9" t="s">
        <v>57</v>
      </c>
      <c r="F227" s="13"/>
      <c r="G227" s="8" t="s">
        <v>59</v>
      </c>
      <c r="H227" s="8" t="s">
        <v>50</v>
      </c>
      <c r="I227" s="8" t="s">
        <v>60</v>
      </c>
      <c r="J227" s="8" t="s">
        <v>52</v>
      </c>
      <c r="K227" s="8" t="s">
        <v>71</v>
      </c>
      <c r="L227" s="8" t="s">
        <v>62</v>
      </c>
    </row>
    <row r="228" spans="1:12" ht="15" thickBot="1">
      <c r="A228" s="162"/>
      <c r="B228" s="162"/>
      <c r="C228" s="25" t="s">
        <v>352</v>
      </c>
      <c r="D228" s="11" t="s">
        <v>349</v>
      </c>
      <c r="E228" s="9" t="s">
        <v>57</v>
      </c>
      <c r="F228" s="13"/>
      <c r="G228" s="8" t="s">
        <v>59</v>
      </c>
      <c r="H228" s="8" t="s">
        <v>50</v>
      </c>
      <c r="I228" s="8" t="s">
        <v>60</v>
      </c>
      <c r="J228" s="8" t="s">
        <v>52</v>
      </c>
      <c r="K228" s="8" t="s">
        <v>71</v>
      </c>
      <c r="L228" s="8" t="s">
        <v>62</v>
      </c>
    </row>
    <row r="229" spans="1:12" ht="15" thickBot="1">
      <c r="A229" s="162"/>
      <c r="B229" s="162"/>
      <c r="C229" s="25" t="s">
        <v>353</v>
      </c>
      <c r="D229" s="11" t="s">
        <v>349</v>
      </c>
      <c r="E229" s="9" t="s">
        <v>57</v>
      </c>
      <c r="F229" s="13"/>
      <c r="G229" s="8" t="s">
        <v>59</v>
      </c>
      <c r="H229" s="8" t="s">
        <v>50</v>
      </c>
      <c r="I229" s="8" t="s">
        <v>60</v>
      </c>
      <c r="J229" s="8" t="s">
        <v>52</v>
      </c>
      <c r="K229" s="8" t="s">
        <v>71</v>
      </c>
      <c r="L229" s="8" t="s">
        <v>62</v>
      </c>
    </row>
    <row r="230" spans="1:12" ht="15" thickBot="1">
      <c r="A230" s="162"/>
      <c r="B230" s="162"/>
      <c r="C230" s="25" t="s">
        <v>354</v>
      </c>
      <c r="D230" s="11" t="s">
        <v>349</v>
      </c>
      <c r="E230" s="9" t="s">
        <v>57</v>
      </c>
      <c r="F230" s="13"/>
      <c r="G230" s="8" t="s">
        <v>59</v>
      </c>
      <c r="H230" s="8" t="s">
        <v>50</v>
      </c>
      <c r="I230" s="8" t="s">
        <v>60</v>
      </c>
      <c r="J230" s="8" t="s">
        <v>52</v>
      </c>
      <c r="K230" s="8" t="s">
        <v>71</v>
      </c>
      <c r="L230" s="8" t="s">
        <v>62</v>
      </c>
    </row>
    <row r="231" spans="1:12" ht="15" thickBot="1">
      <c r="A231" s="162"/>
      <c r="B231" s="162"/>
      <c r="C231" s="25" t="s">
        <v>355</v>
      </c>
      <c r="D231" s="11" t="s">
        <v>349</v>
      </c>
      <c r="E231" s="9" t="s">
        <v>57</v>
      </c>
      <c r="F231" s="8" t="s">
        <v>141</v>
      </c>
      <c r="G231" s="8" t="s">
        <v>142</v>
      </c>
      <c r="H231" s="8" t="s">
        <v>142</v>
      </c>
      <c r="I231" s="19" t="s">
        <v>143</v>
      </c>
      <c r="J231" s="8" t="s">
        <v>52</v>
      </c>
      <c r="K231" s="8" t="s">
        <v>96</v>
      </c>
      <c r="L231" s="8" t="s">
        <v>62</v>
      </c>
    </row>
    <row r="232" spans="1:12" ht="15" thickBot="1">
      <c r="A232" s="162"/>
      <c r="B232" s="162"/>
      <c r="C232" s="25" t="s">
        <v>356</v>
      </c>
      <c r="D232" s="11" t="s">
        <v>349</v>
      </c>
      <c r="E232" s="13"/>
      <c r="F232" s="8"/>
      <c r="G232" s="8" t="s">
        <v>59</v>
      </c>
      <c r="H232" s="8" t="s">
        <v>50</v>
      </c>
      <c r="I232" s="8" t="s">
        <v>60</v>
      </c>
      <c r="J232" s="8" t="s">
        <v>52</v>
      </c>
      <c r="K232" s="8" t="s">
        <v>71</v>
      </c>
      <c r="L232" s="8" t="s">
        <v>62</v>
      </c>
    </row>
    <row r="233" spans="1:12" ht="24.75" thickBot="1">
      <c r="A233" s="162"/>
      <c r="B233" s="162"/>
      <c r="C233" s="25" t="s">
        <v>357</v>
      </c>
      <c r="D233" s="11" t="s">
        <v>358</v>
      </c>
      <c r="E233" s="9" t="s">
        <v>57</v>
      </c>
      <c r="F233" s="13"/>
      <c r="G233" s="8" t="s">
        <v>59</v>
      </c>
      <c r="H233" s="8" t="s">
        <v>50</v>
      </c>
      <c r="I233" s="8" t="s">
        <v>60</v>
      </c>
      <c r="J233" s="8" t="s">
        <v>52</v>
      </c>
      <c r="K233" s="8" t="s">
        <v>71</v>
      </c>
      <c r="L233" s="8" t="s">
        <v>62</v>
      </c>
    </row>
    <row r="234" spans="1:12" ht="24.75" thickBot="1">
      <c r="A234" s="162"/>
      <c r="B234" s="162"/>
      <c r="C234" s="25" t="s">
        <v>359</v>
      </c>
      <c r="D234" s="11" t="s">
        <v>358</v>
      </c>
      <c r="E234" s="9" t="s">
        <v>57</v>
      </c>
      <c r="F234" s="13"/>
      <c r="G234" s="8" t="s">
        <v>59</v>
      </c>
      <c r="H234" s="8" t="s">
        <v>50</v>
      </c>
      <c r="I234" s="8" t="s">
        <v>60</v>
      </c>
      <c r="J234" s="8" t="s">
        <v>52</v>
      </c>
      <c r="K234" s="8" t="s">
        <v>71</v>
      </c>
      <c r="L234" s="8" t="s">
        <v>62</v>
      </c>
    </row>
    <row r="235" spans="1:12" ht="24.75" thickBot="1">
      <c r="A235" s="162"/>
      <c r="B235" s="162"/>
      <c r="C235" s="25" t="s">
        <v>360</v>
      </c>
      <c r="D235" s="163" t="s">
        <v>361</v>
      </c>
      <c r="E235" s="163"/>
      <c r="F235" s="163"/>
      <c r="G235" s="163"/>
      <c r="H235" s="163"/>
      <c r="I235" s="163"/>
      <c r="J235" s="163"/>
      <c r="K235" s="163"/>
      <c r="L235" s="8" t="s">
        <v>62</v>
      </c>
    </row>
    <row r="236" spans="1:12" ht="36.75" thickBot="1">
      <c r="A236" s="162"/>
      <c r="B236" s="162"/>
      <c r="C236" s="25" t="s">
        <v>362</v>
      </c>
      <c r="D236" s="9" t="s">
        <v>257</v>
      </c>
      <c r="E236" s="9" t="s">
        <v>363</v>
      </c>
      <c r="F236" s="8" t="s">
        <v>364</v>
      </c>
      <c r="G236" s="8" t="s">
        <v>142</v>
      </c>
      <c r="H236" s="8" t="s">
        <v>142</v>
      </c>
      <c r="I236" s="19" t="s">
        <v>143</v>
      </c>
      <c r="J236" s="8" t="s">
        <v>52</v>
      </c>
      <c r="K236" s="8" t="s">
        <v>365</v>
      </c>
      <c r="L236" s="8" t="s">
        <v>62</v>
      </c>
    </row>
    <row r="237" spans="1:12" ht="26.25" thickBot="1">
      <c r="A237" s="162"/>
      <c r="B237" s="162"/>
      <c r="C237" s="25" t="s">
        <v>366</v>
      </c>
      <c r="D237" s="9" t="s">
        <v>257</v>
      </c>
      <c r="E237" s="9" t="s">
        <v>363</v>
      </c>
      <c r="F237" s="8" t="s">
        <v>364</v>
      </c>
      <c r="G237" s="8" t="s">
        <v>142</v>
      </c>
      <c r="H237" s="8" t="s">
        <v>142</v>
      </c>
      <c r="I237" s="19" t="s">
        <v>143</v>
      </c>
      <c r="J237" s="8" t="s">
        <v>52</v>
      </c>
      <c r="K237" s="8" t="s">
        <v>365</v>
      </c>
      <c r="L237" s="8" t="s">
        <v>62</v>
      </c>
    </row>
    <row r="238" spans="1:12" ht="26.25" thickBot="1">
      <c r="A238" s="162">
        <v>16</v>
      </c>
      <c r="B238" s="162" t="s">
        <v>367</v>
      </c>
      <c r="C238" s="16" t="s">
        <v>69</v>
      </c>
      <c r="D238" s="13"/>
      <c r="E238" s="13"/>
      <c r="F238" s="13"/>
      <c r="G238" s="8" t="s">
        <v>59</v>
      </c>
      <c r="H238" s="8" t="s">
        <v>50</v>
      </c>
      <c r="I238" s="8" t="s">
        <v>60</v>
      </c>
      <c r="J238" s="8" t="s">
        <v>52</v>
      </c>
      <c r="K238" s="8" t="s">
        <v>71</v>
      </c>
      <c r="L238" s="8" t="s">
        <v>62</v>
      </c>
    </row>
    <row r="239" spans="1:12" ht="15" thickBot="1">
      <c r="A239" s="162"/>
      <c r="B239" s="162"/>
      <c r="C239" s="25" t="s">
        <v>368</v>
      </c>
      <c r="D239" s="11" t="s">
        <v>260</v>
      </c>
      <c r="E239" s="13"/>
      <c r="F239" s="13"/>
      <c r="G239" s="8" t="s">
        <v>59</v>
      </c>
      <c r="H239" s="8" t="s">
        <v>50</v>
      </c>
      <c r="I239" s="8" t="s">
        <v>60</v>
      </c>
      <c r="J239" s="8" t="s">
        <v>52</v>
      </c>
      <c r="K239" s="8" t="s">
        <v>71</v>
      </c>
      <c r="L239" s="8" t="s">
        <v>62</v>
      </c>
    </row>
    <row r="240" spans="1:12" ht="15" thickBot="1">
      <c r="A240" s="162"/>
      <c r="B240" s="162"/>
      <c r="C240" s="25" t="s">
        <v>369</v>
      </c>
      <c r="D240" s="11" t="s">
        <v>260</v>
      </c>
      <c r="E240" s="9" t="s">
        <v>57</v>
      </c>
      <c r="F240" s="13"/>
      <c r="G240" s="8" t="s">
        <v>59</v>
      </c>
      <c r="H240" s="8" t="s">
        <v>50</v>
      </c>
      <c r="I240" s="8" t="s">
        <v>60</v>
      </c>
      <c r="J240" s="8" t="s">
        <v>52</v>
      </c>
      <c r="K240" s="8" t="s">
        <v>71</v>
      </c>
      <c r="L240" s="8" t="s">
        <v>62</v>
      </c>
    </row>
    <row r="241" spans="1:12" ht="15" thickBot="1">
      <c r="A241" s="162"/>
      <c r="B241" s="162"/>
      <c r="C241" s="25" t="s">
        <v>370</v>
      </c>
      <c r="D241" s="11" t="s">
        <v>260</v>
      </c>
      <c r="E241" s="9" t="s">
        <v>57</v>
      </c>
      <c r="F241" s="13"/>
      <c r="G241" s="8" t="s">
        <v>59</v>
      </c>
      <c r="H241" s="8" t="s">
        <v>50</v>
      </c>
      <c r="I241" s="8" t="s">
        <v>60</v>
      </c>
      <c r="J241" s="8" t="s">
        <v>52</v>
      </c>
      <c r="K241" s="8" t="s">
        <v>71</v>
      </c>
      <c r="L241" s="8" t="s">
        <v>62</v>
      </c>
    </row>
    <row r="242" spans="1:12" ht="24.75" thickBot="1">
      <c r="A242" s="162"/>
      <c r="B242" s="162"/>
      <c r="C242" s="25" t="s">
        <v>371</v>
      </c>
      <c r="D242" s="11" t="s">
        <v>260</v>
      </c>
      <c r="E242" s="11" t="s">
        <v>372</v>
      </c>
      <c r="F242" s="13"/>
      <c r="G242" s="8" t="s">
        <v>59</v>
      </c>
      <c r="H242" s="8" t="s">
        <v>50</v>
      </c>
      <c r="I242" s="8" t="s">
        <v>60</v>
      </c>
      <c r="J242" s="8" t="s">
        <v>52</v>
      </c>
      <c r="K242" s="8" t="s">
        <v>71</v>
      </c>
      <c r="L242" s="8" t="s">
        <v>62</v>
      </c>
    </row>
    <row r="243" spans="1:12" ht="15" thickBot="1">
      <c r="A243" s="162"/>
      <c r="B243" s="162"/>
      <c r="C243" s="25" t="s">
        <v>373</v>
      </c>
      <c r="D243" s="11" t="s">
        <v>260</v>
      </c>
      <c r="E243" s="13"/>
      <c r="F243" s="13"/>
      <c r="G243" s="8" t="s">
        <v>59</v>
      </c>
      <c r="H243" s="8" t="s">
        <v>50</v>
      </c>
      <c r="I243" s="8" t="s">
        <v>60</v>
      </c>
      <c r="J243" s="8" t="s">
        <v>52</v>
      </c>
      <c r="K243" s="8" t="s">
        <v>71</v>
      </c>
      <c r="L243" s="8" t="s">
        <v>62</v>
      </c>
    </row>
    <row r="244" spans="1:12" ht="39" thickBot="1">
      <c r="A244" s="162"/>
      <c r="B244" s="162"/>
      <c r="C244" s="22" t="s">
        <v>374</v>
      </c>
      <c r="D244" s="11" t="s">
        <v>375</v>
      </c>
      <c r="E244" s="11" t="s">
        <v>372</v>
      </c>
      <c r="F244" s="8" t="s">
        <v>175</v>
      </c>
      <c r="G244" s="8" t="s">
        <v>142</v>
      </c>
      <c r="H244" s="8" t="s">
        <v>142</v>
      </c>
      <c r="I244" s="19" t="s">
        <v>143</v>
      </c>
      <c r="J244" s="8" t="s">
        <v>52</v>
      </c>
      <c r="K244" s="8" t="s">
        <v>118</v>
      </c>
      <c r="L244" s="8" t="s">
        <v>62</v>
      </c>
    </row>
    <row r="245" spans="1:12" ht="26.25" thickBot="1">
      <c r="A245" s="160">
        <v>17</v>
      </c>
      <c r="B245" s="160" t="s">
        <v>376</v>
      </c>
      <c r="C245" s="16" t="s">
        <v>69</v>
      </c>
      <c r="D245" s="13"/>
      <c r="E245" s="13"/>
      <c r="F245" s="13"/>
      <c r="G245" s="8" t="s">
        <v>59</v>
      </c>
      <c r="H245" s="8" t="s">
        <v>50</v>
      </c>
      <c r="I245" s="8" t="s">
        <v>60</v>
      </c>
      <c r="J245" s="8" t="s">
        <v>52</v>
      </c>
      <c r="K245" s="8" t="s">
        <v>71</v>
      </c>
      <c r="L245" s="8" t="s">
        <v>62</v>
      </c>
    </row>
    <row r="246" spans="1:12" ht="15" thickBot="1">
      <c r="A246" s="160"/>
      <c r="B246" s="160"/>
      <c r="C246" s="18" t="s">
        <v>377</v>
      </c>
      <c r="D246" s="13"/>
      <c r="E246" s="13"/>
      <c r="F246" s="13"/>
      <c r="G246" s="13"/>
      <c r="H246" s="13"/>
      <c r="I246" s="13"/>
      <c r="J246" s="13"/>
      <c r="K246" s="13"/>
      <c r="L246" s="8" t="s">
        <v>62</v>
      </c>
    </row>
    <row r="247" spans="1:12" ht="24.75" thickBot="1">
      <c r="A247" s="160"/>
      <c r="B247" s="160"/>
      <c r="C247" s="25" t="s">
        <v>378</v>
      </c>
      <c r="D247" s="11" t="s">
        <v>260</v>
      </c>
      <c r="E247" s="13"/>
      <c r="F247" s="13"/>
      <c r="G247" s="8" t="s">
        <v>59</v>
      </c>
      <c r="H247" s="8" t="s">
        <v>50</v>
      </c>
      <c r="I247" s="8" t="s">
        <v>60</v>
      </c>
      <c r="J247" s="8" t="s">
        <v>52</v>
      </c>
      <c r="K247" s="8" t="s">
        <v>71</v>
      </c>
      <c r="L247" s="8" t="s">
        <v>62</v>
      </c>
    </row>
    <row r="248" spans="1:12" ht="15" thickBot="1">
      <c r="A248" s="160"/>
      <c r="B248" s="160"/>
      <c r="C248" s="25" t="s">
        <v>379</v>
      </c>
      <c r="D248" s="9" t="s">
        <v>257</v>
      </c>
      <c r="E248" s="8" t="s">
        <v>155</v>
      </c>
      <c r="F248" s="8" t="s">
        <v>141</v>
      </c>
      <c r="G248" s="8" t="s">
        <v>142</v>
      </c>
      <c r="H248" s="8" t="s">
        <v>142</v>
      </c>
      <c r="I248" s="19" t="s">
        <v>143</v>
      </c>
      <c r="J248" s="8" t="s">
        <v>52</v>
      </c>
      <c r="K248" s="8" t="s">
        <v>96</v>
      </c>
      <c r="L248" s="8" t="s">
        <v>62</v>
      </c>
    </row>
    <row r="249" spans="1:12" ht="24.75" thickBot="1">
      <c r="A249" s="160"/>
      <c r="B249" s="160"/>
      <c r="C249" s="25" t="s">
        <v>380</v>
      </c>
      <c r="D249" s="11" t="s">
        <v>260</v>
      </c>
      <c r="E249" s="11" t="s">
        <v>372</v>
      </c>
      <c r="F249" s="13"/>
      <c r="G249" s="8" t="s">
        <v>59</v>
      </c>
      <c r="H249" s="8" t="s">
        <v>50</v>
      </c>
      <c r="I249" s="8" t="s">
        <v>60</v>
      </c>
      <c r="J249" s="8" t="s">
        <v>52</v>
      </c>
      <c r="K249" s="8" t="s">
        <v>71</v>
      </c>
      <c r="L249" s="8" t="s">
        <v>62</v>
      </c>
    </row>
    <row r="250" spans="1:12" ht="15" thickBot="1">
      <c r="A250" s="160"/>
      <c r="B250" s="160"/>
      <c r="C250" s="22" t="s">
        <v>381</v>
      </c>
      <c r="D250" s="11" t="s">
        <v>260</v>
      </c>
      <c r="E250" s="11" t="s">
        <v>372</v>
      </c>
      <c r="F250" s="13"/>
      <c r="G250" s="8" t="s">
        <v>59</v>
      </c>
      <c r="H250" s="8" t="s">
        <v>50</v>
      </c>
      <c r="I250" s="8" t="s">
        <v>60</v>
      </c>
      <c r="J250" s="8" t="s">
        <v>52</v>
      </c>
      <c r="K250" s="8" t="s">
        <v>71</v>
      </c>
      <c r="L250" s="8" t="s">
        <v>62</v>
      </c>
    </row>
    <row r="251" spans="1:12" ht="36.75" thickBot="1">
      <c r="A251" s="160"/>
      <c r="B251" s="160"/>
      <c r="C251" s="25" t="s">
        <v>382</v>
      </c>
      <c r="D251" s="11" t="s">
        <v>260</v>
      </c>
      <c r="E251" s="11" t="s">
        <v>372</v>
      </c>
      <c r="F251" s="13"/>
      <c r="G251" s="8" t="s">
        <v>59</v>
      </c>
      <c r="H251" s="8" t="s">
        <v>50</v>
      </c>
      <c r="I251" s="8" t="s">
        <v>60</v>
      </c>
      <c r="J251" s="8" t="s">
        <v>52</v>
      </c>
      <c r="K251" s="8" t="s">
        <v>71</v>
      </c>
      <c r="L251" s="8" t="s">
        <v>62</v>
      </c>
    </row>
    <row r="252" spans="1:12" ht="24.75" thickBot="1">
      <c r="A252" s="160"/>
      <c r="B252" s="160"/>
      <c r="C252" s="25" t="s">
        <v>383</v>
      </c>
      <c r="D252" s="11" t="s">
        <v>260</v>
      </c>
      <c r="E252" s="11" t="s">
        <v>372</v>
      </c>
      <c r="F252" s="13"/>
      <c r="G252" s="8" t="s">
        <v>59</v>
      </c>
      <c r="H252" s="8" t="s">
        <v>50</v>
      </c>
      <c r="I252" s="8" t="s">
        <v>60</v>
      </c>
      <c r="J252" s="8" t="s">
        <v>52</v>
      </c>
      <c r="K252" s="8" t="s">
        <v>71</v>
      </c>
      <c r="L252" s="8" t="s">
        <v>62</v>
      </c>
    </row>
    <row r="253" spans="1:12" ht="15" thickBot="1">
      <c r="A253" s="160"/>
      <c r="B253" s="160"/>
      <c r="C253" s="25" t="s">
        <v>384</v>
      </c>
      <c r="D253" s="11" t="s">
        <v>260</v>
      </c>
      <c r="E253" s="13"/>
      <c r="F253" s="13"/>
      <c r="G253" s="8" t="s">
        <v>59</v>
      </c>
      <c r="H253" s="8" t="s">
        <v>50</v>
      </c>
      <c r="I253" s="8" t="s">
        <v>60</v>
      </c>
      <c r="J253" s="8" t="s">
        <v>52</v>
      </c>
      <c r="K253" s="8" t="s">
        <v>71</v>
      </c>
      <c r="L253" s="8" t="s">
        <v>62</v>
      </c>
    </row>
    <row r="254" spans="1:12" ht="24.75" thickBot="1">
      <c r="A254" s="160"/>
      <c r="B254" s="160"/>
      <c r="C254" s="25" t="s">
        <v>385</v>
      </c>
      <c r="D254" s="9" t="s">
        <v>257</v>
      </c>
      <c r="E254" s="9" t="s">
        <v>386</v>
      </c>
      <c r="F254" s="8" t="s">
        <v>141</v>
      </c>
      <c r="G254" s="8" t="s">
        <v>142</v>
      </c>
      <c r="H254" s="8" t="s">
        <v>142</v>
      </c>
      <c r="I254" s="19" t="s">
        <v>143</v>
      </c>
      <c r="J254" s="8" t="s">
        <v>52</v>
      </c>
      <c r="K254" s="8" t="s">
        <v>96</v>
      </c>
      <c r="L254" s="8" t="s">
        <v>62</v>
      </c>
    </row>
    <row r="255" spans="1:12" ht="24.75" thickBot="1">
      <c r="A255" s="160"/>
      <c r="B255" s="160"/>
      <c r="C255" s="25" t="s">
        <v>387</v>
      </c>
      <c r="D255" s="9" t="s">
        <v>257</v>
      </c>
      <c r="E255" s="9" t="s">
        <v>388</v>
      </c>
      <c r="F255" s="8" t="s">
        <v>141</v>
      </c>
      <c r="G255" s="8" t="s">
        <v>142</v>
      </c>
      <c r="H255" s="8" t="s">
        <v>142</v>
      </c>
      <c r="I255" s="19" t="s">
        <v>143</v>
      </c>
      <c r="J255" s="8" t="s">
        <v>52</v>
      </c>
      <c r="K255" s="8" t="s">
        <v>96</v>
      </c>
      <c r="L255" s="8" t="s">
        <v>62</v>
      </c>
    </row>
    <row r="256" spans="1:12" ht="24.75" thickBot="1">
      <c r="A256" s="160"/>
      <c r="B256" s="160"/>
      <c r="C256" s="25" t="s">
        <v>389</v>
      </c>
      <c r="D256" s="9" t="s">
        <v>257</v>
      </c>
      <c r="E256" s="9" t="s">
        <v>388</v>
      </c>
      <c r="F256" s="8" t="s">
        <v>141</v>
      </c>
      <c r="G256" s="8" t="s">
        <v>142</v>
      </c>
      <c r="H256" s="8" t="s">
        <v>142</v>
      </c>
      <c r="I256" s="19" t="s">
        <v>143</v>
      </c>
      <c r="J256" s="8" t="s">
        <v>52</v>
      </c>
      <c r="K256" s="8" t="s">
        <v>96</v>
      </c>
      <c r="L256" s="8" t="s">
        <v>62</v>
      </c>
    </row>
    <row r="257" spans="1:12" ht="24.75" thickBot="1">
      <c r="A257" s="160"/>
      <c r="B257" s="160"/>
      <c r="C257" s="25" t="s">
        <v>390</v>
      </c>
      <c r="D257" s="9" t="s">
        <v>257</v>
      </c>
      <c r="E257" s="9" t="s">
        <v>391</v>
      </c>
      <c r="F257" s="8" t="s">
        <v>141</v>
      </c>
      <c r="G257" s="8" t="s">
        <v>142</v>
      </c>
      <c r="H257" s="8" t="s">
        <v>142</v>
      </c>
      <c r="I257" s="19" t="s">
        <v>143</v>
      </c>
      <c r="J257" s="8" t="s">
        <v>52</v>
      </c>
      <c r="K257" s="8" t="s">
        <v>96</v>
      </c>
      <c r="L257" s="8" t="s">
        <v>62</v>
      </c>
    </row>
    <row r="258" spans="1:12" ht="15" thickBot="1">
      <c r="A258" s="160"/>
      <c r="B258" s="160"/>
      <c r="C258" s="25" t="s">
        <v>392</v>
      </c>
      <c r="D258" s="9" t="s">
        <v>257</v>
      </c>
      <c r="E258" s="9" t="s">
        <v>393</v>
      </c>
      <c r="F258" s="8" t="s">
        <v>141</v>
      </c>
      <c r="G258" s="8" t="s">
        <v>142</v>
      </c>
      <c r="H258" s="8" t="s">
        <v>142</v>
      </c>
      <c r="I258" s="19" t="s">
        <v>143</v>
      </c>
      <c r="J258" s="8" t="s">
        <v>52</v>
      </c>
      <c r="K258" s="8" t="s">
        <v>96</v>
      </c>
      <c r="L258" s="8" t="s">
        <v>62</v>
      </c>
    </row>
    <row r="259" spans="1:12" ht="15" thickBot="1">
      <c r="A259" s="160"/>
      <c r="B259" s="160"/>
      <c r="C259" s="18" t="s">
        <v>394</v>
      </c>
      <c r="D259" s="13"/>
      <c r="E259" s="13"/>
      <c r="F259" s="13"/>
      <c r="G259" s="13"/>
      <c r="H259" s="13"/>
      <c r="I259" s="13"/>
      <c r="J259" s="13"/>
      <c r="K259" s="13"/>
      <c r="L259" s="8" t="s">
        <v>62</v>
      </c>
    </row>
    <row r="260" spans="1:12" ht="24.75" thickBot="1">
      <c r="A260" s="160"/>
      <c r="B260" s="160"/>
      <c r="C260" s="25" t="s">
        <v>395</v>
      </c>
      <c r="D260" s="9" t="s">
        <v>257</v>
      </c>
      <c r="E260" s="8" t="s">
        <v>155</v>
      </c>
      <c r="F260" s="8" t="s">
        <v>141</v>
      </c>
      <c r="G260" s="8" t="s">
        <v>142</v>
      </c>
      <c r="H260" s="8" t="s">
        <v>142</v>
      </c>
      <c r="I260" s="19" t="s">
        <v>143</v>
      </c>
      <c r="J260" s="8" t="s">
        <v>52</v>
      </c>
      <c r="K260" s="8" t="s">
        <v>96</v>
      </c>
      <c r="L260" s="8" t="s">
        <v>62</v>
      </c>
    </row>
    <row r="261" spans="1:12" ht="24.75" thickBot="1">
      <c r="A261" s="160"/>
      <c r="B261" s="160"/>
      <c r="C261" s="25" t="s">
        <v>378</v>
      </c>
      <c r="D261" s="11" t="s">
        <v>260</v>
      </c>
      <c r="E261" s="13"/>
      <c r="F261" s="13"/>
      <c r="G261" s="8" t="s">
        <v>59</v>
      </c>
      <c r="H261" s="8" t="s">
        <v>50</v>
      </c>
      <c r="I261" s="8" t="s">
        <v>60</v>
      </c>
      <c r="J261" s="8" t="s">
        <v>52</v>
      </c>
      <c r="K261" s="8" t="s">
        <v>71</v>
      </c>
      <c r="L261" s="8" t="s">
        <v>62</v>
      </c>
    </row>
    <row r="262" spans="1:12" ht="24.75" thickBot="1">
      <c r="A262" s="160"/>
      <c r="B262" s="160"/>
      <c r="C262" s="25" t="s">
        <v>396</v>
      </c>
      <c r="D262" s="11" t="s">
        <v>260</v>
      </c>
      <c r="E262" s="11" t="s">
        <v>372</v>
      </c>
      <c r="F262" s="13"/>
      <c r="G262" s="8" t="s">
        <v>59</v>
      </c>
      <c r="H262" s="8" t="s">
        <v>50</v>
      </c>
      <c r="I262" s="8" t="s">
        <v>60</v>
      </c>
      <c r="J262" s="8" t="s">
        <v>52</v>
      </c>
      <c r="K262" s="8" t="s">
        <v>71</v>
      </c>
      <c r="L262" s="8" t="s">
        <v>62</v>
      </c>
    </row>
    <row r="263" spans="1:12" ht="24.75" thickBot="1">
      <c r="A263" s="160"/>
      <c r="B263" s="160"/>
      <c r="C263" s="25" t="s">
        <v>397</v>
      </c>
      <c r="D263" s="11" t="s">
        <v>260</v>
      </c>
      <c r="E263" s="11" t="s">
        <v>372</v>
      </c>
      <c r="F263" s="13"/>
      <c r="G263" s="8" t="s">
        <v>59</v>
      </c>
      <c r="H263" s="8" t="s">
        <v>50</v>
      </c>
      <c r="I263" s="8" t="s">
        <v>60</v>
      </c>
      <c r="J263" s="8" t="s">
        <v>52</v>
      </c>
      <c r="K263" s="8" t="s">
        <v>71</v>
      </c>
      <c r="L263" s="8" t="s">
        <v>62</v>
      </c>
    </row>
    <row r="264" spans="1:12" ht="24.75" thickBot="1">
      <c r="A264" s="160"/>
      <c r="B264" s="160"/>
      <c r="C264" s="25" t="s">
        <v>398</v>
      </c>
      <c r="D264" s="11" t="s">
        <v>260</v>
      </c>
      <c r="E264" s="11" t="s">
        <v>372</v>
      </c>
      <c r="F264" s="13"/>
      <c r="G264" s="8" t="s">
        <v>59</v>
      </c>
      <c r="H264" s="8" t="s">
        <v>50</v>
      </c>
      <c r="I264" s="8" t="s">
        <v>60</v>
      </c>
      <c r="J264" s="8" t="s">
        <v>52</v>
      </c>
      <c r="K264" s="8" t="s">
        <v>71</v>
      </c>
      <c r="L264" s="8" t="s">
        <v>62</v>
      </c>
    </row>
    <row r="265" spans="1:12" ht="24.75" thickBot="1">
      <c r="A265" s="160"/>
      <c r="B265" s="160"/>
      <c r="C265" s="25" t="s">
        <v>399</v>
      </c>
      <c r="D265" s="11" t="s">
        <v>260</v>
      </c>
      <c r="E265" s="11" t="s">
        <v>372</v>
      </c>
      <c r="F265" s="13"/>
      <c r="G265" s="8" t="s">
        <v>59</v>
      </c>
      <c r="H265" s="8" t="s">
        <v>50</v>
      </c>
      <c r="I265" s="8" t="s">
        <v>60</v>
      </c>
      <c r="J265" s="8" t="s">
        <v>52</v>
      </c>
      <c r="K265" s="8" t="s">
        <v>71</v>
      </c>
      <c r="L265" s="8" t="s">
        <v>62</v>
      </c>
    </row>
    <row r="266" spans="1:12" ht="15" thickBot="1">
      <c r="A266" s="160"/>
      <c r="B266" s="160"/>
      <c r="C266" s="25" t="s">
        <v>400</v>
      </c>
      <c r="D266" s="11" t="s">
        <v>260</v>
      </c>
      <c r="E266" s="11" t="s">
        <v>372</v>
      </c>
      <c r="F266" s="13"/>
      <c r="G266" s="8" t="s">
        <v>59</v>
      </c>
      <c r="H266" s="8" t="s">
        <v>50</v>
      </c>
      <c r="I266" s="8" t="s">
        <v>60</v>
      </c>
      <c r="J266" s="8" t="s">
        <v>52</v>
      </c>
      <c r="K266" s="8" t="s">
        <v>71</v>
      </c>
      <c r="L266" s="8" t="s">
        <v>62</v>
      </c>
    </row>
    <row r="267" spans="1:12" ht="24.75" thickBot="1">
      <c r="A267" s="160"/>
      <c r="B267" s="160"/>
      <c r="C267" s="25" t="s">
        <v>401</v>
      </c>
      <c r="D267" s="9" t="s">
        <v>257</v>
      </c>
      <c r="E267" s="11" t="s">
        <v>402</v>
      </c>
      <c r="F267" s="8" t="s">
        <v>141</v>
      </c>
      <c r="G267" s="8" t="s">
        <v>142</v>
      </c>
      <c r="H267" s="8" t="s">
        <v>142</v>
      </c>
      <c r="I267" s="19" t="s">
        <v>143</v>
      </c>
      <c r="J267" s="8" t="s">
        <v>52</v>
      </c>
      <c r="K267" s="8" t="s">
        <v>96</v>
      </c>
      <c r="L267" s="8" t="s">
        <v>62</v>
      </c>
    </row>
    <row r="268" spans="1:12" ht="26.25" thickBot="1">
      <c r="A268" s="160">
        <v>18</v>
      </c>
      <c r="B268" s="160" t="s">
        <v>403</v>
      </c>
      <c r="C268" s="16" t="s">
        <v>69</v>
      </c>
      <c r="D268" s="13"/>
      <c r="E268" s="13"/>
      <c r="F268" s="13"/>
      <c r="G268" s="8" t="s">
        <v>59</v>
      </c>
      <c r="H268" s="8" t="s">
        <v>50</v>
      </c>
      <c r="I268" s="8" t="s">
        <v>60</v>
      </c>
      <c r="J268" s="8" t="s">
        <v>52</v>
      </c>
      <c r="K268" s="8" t="s">
        <v>71</v>
      </c>
      <c r="L268" s="8" t="s">
        <v>62</v>
      </c>
    </row>
    <row r="269" spans="1:12" ht="15" thickBot="1">
      <c r="A269" s="160"/>
      <c r="B269" s="160"/>
      <c r="C269" s="25" t="s">
        <v>404</v>
      </c>
      <c r="D269" s="13"/>
      <c r="E269" s="9" t="s">
        <v>57</v>
      </c>
      <c r="F269" s="13"/>
      <c r="G269" s="8" t="s">
        <v>59</v>
      </c>
      <c r="H269" s="8" t="s">
        <v>50</v>
      </c>
      <c r="I269" s="8" t="s">
        <v>60</v>
      </c>
      <c r="J269" s="8" t="s">
        <v>52</v>
      </c>
      <c r="K269" s="8" t="s">
        <v>71</v>
      </c>
      <c r="L269" s="8" t="s">
        <v>62</v>
      </c>
    </row>
    <row r="270" spans="1:12" ht="15" thickBot="1">
      <c r="A270" s="160"/>
      <c r="B270" s="160"/>
      <c r="C270" s="25" t="s">
        <v>405</v>
      </c>
      <c r="D270" s="13"/>
      <c r="E270" s="9" t="s">
        <v>57</v>
      </c>
      <c r="F270" s="13"/>
      <c r="G270" s="8" t="s">
        <v>59</v>
      </c>
      <c r="H270" s="8" t="s">
        <v>50</v>
      </c>
      <c r="I270" s="8" t="s">
        <v>60</v>
      </c>
      <c r="J270" s="8" t="s">
        <v>52</v>
      </c>
      <c r="K270" s="8" t="s">
        <v>71</v>
      </c>
      <c r="L270" s="8" t="s">
        <v>62</v>
      </c>
    </row>
    <row r="271" spans="1:12" ht="15" thickBot="1">
      <c r="A271" s="160"/>
      <c r="B271" s="160"/>
      <c r="C271" s="25" t="s">
        <v>406</v>
      </c>
      <c r="D271" s="13"/>
      <c r="E271" s="9" t="s">
        <v>57</v>
      </c>
      <c r="F271" s="13"/>
      <c r="G271" s="8" t="s">
        <v>59</v>
      </c>
      <c r="H271" s="8" t="s">
        <v>50</v>
      </c>
      <c r="I271" s="8" t="s">
        <v>60</v>
      </c>
      <c r="J271" s="8" t="s">
        <v>52</v>
      </c>
      <c r="K271" s="8" t="s">
        <v>71</v>
      </c>
      <c r="L271" s="8" t="s">
        <v>62</v>
      </c>
    </row>
    <row r="272" spans="1:12" ht="15" thickBot="1">
      <c r="A272" s="160"/>
      <c r="B272" s="160"/>
      <c r="C272" s="25" t="s">
        <v>407</v>
      </c>
      <c r="D272" s="9" t="s">
        <v>257</v>
      </c>
      <c r="E272" s="9" t="s">
        <v>408</v>
      </c>
      <c r="F272" s="8" t="s">
        <v>175</v>
      </c>
      <c r="G272" s="8" t="s">
        <v>142</v>
      </c>
      <c r="H272" s="8" t="s">
        <v>142</v>
      </c>
      <c r="I272" s="9" t="s">
        <v>143</v>
      </c>
      <c r="J272" s="8" t="s">
        <v>52</v>
      </c>
      <c r="K272" s="8" t="s">
        <v>118</v>
      </c>
      <c r="L272" s="8" t="s">
        <v>62</v>
      </c>
    </row>
    <row r="273" spans="1:12" ht="15" thickBot="1">
      <c r="A273" s="160"/>
      <c r="B273" s="160"/>
      <c r="C273" s="25" t="s">
        <v>409</v>
      </c>
      <c r="D273" s="9" t="s">
        <v>257</v>
      </c>
      <c r="E273" s="9" t="s">
        <v>408</v>
      </c>
      <c r="F273" s="8" t="s">
        <v>175</v>
      </c>
      <c r="G273" s="8" t="s">
        <v>142</v>
      </c>
      <c r="H273" s="8" t="s">
        <v>142</v>
      </c>
      <c r="I273" s="9" t="s">
        <v>143</v>
      </c>
      <c r="J273" s="8" t="s">
        <v>52</v>
      </c>
      <c r="K273" s="8" t="s">
        <v>118</v>
      </c>
      <c r="L273" s="8" t="s">
        <v>62</v>
      </c>
    </row>
    <row r="274" spans="1:12" ht="15" thickBot="1">
      <c r="A274" s="160"/>
      <c r="B274" s="160"/>
      <c r="C274" s="25" t="s">
        <v>410</v>
      </c>
      <c r="D274" s="9" t="s">
        <v>257</v>
      </c>
      <c r="E274" s="9" t="s">
        <v>408</v>
      </c>
      <c r="F274" s="8" t="s">
        <v>175</v>
      </c>
      <c r="G274" s="8" t="s">
        <v>142</v>
      </c>
      <c r="H274" s="8" t="s">
        <v>142</v>
      </c>
      <c r="I274" s="9" t="s">
        <v>143</v>
      </c>
      <c r="J274" s="8" t="s">
        <v>52</v>
      </c>
      <c r="K274" s="8" t="s">
        <v>118</v>
      </c>
      <c r="L274" s="8" t="s">
        <v>62</v>
      </c>
    </row>
    <row r="275" spans="1:12" ht="26.25" thickBot="1">
      <c r="A275" s="160">
        <v>19</v>
      </c>
      <c r="B275" s="160" t="s">
        <v>411</v>
      </c>
      <c r="C275" s="16" t="s">
        <v>69</v>
      </c>
      <c r="D275" s="13"/>
      <c r="E275" s="13"/>
      <c r="F275" s="13"/>
      <c r="G275" s="8" t="s">
        <v>59</v>
      </c>
      <c r="H275" s="8" t="s">
        <v>50</v>
      </c>
      <c r="I275" s="8" t="s">
        <v>60</v>
      </c>
      <c r="J275" s="8" t="s">
        <v>52</v>
      </c>
      <c r="K275" s="8" t="s">
        <v>71</v>
      </c>
      <c r="L275" s="8" t="s">
        <v>62</v>
      </c>
    </row>
    <row r="276" spans="1:12" ht="15" thickBot="1">
      <c r="A276" s="160"/>
      <c r="B276" s="160"/>
      <c r="C276" s="25" t="s">
        <v>412</v>
      </c>
      <c r="D276" s="9" t="s">
        <v>257</v>
      </c>
      <c r="E276" s="8" t="s">
        <v>155</v>
      </c>
      <c r="F276" s="8" t="s">
        <v>141</v>
      </c>
      <c r="G276" s="8" t="s">
        <v>142</v>
      </c>
      <c r="H276" s="8" t="s">
        <v>142</v>
      </c>
      <c r="I276" s="9" t="s">
        <v>143</v>
      </c>
      <c r="J276" s="8" t="s">
        <v>52</v>
      </c>
      <c r="K276" s="8" t="s">
        <v>413</v>
      </c>
      <c r="L276" s="8" t="s">
        <v>62</v>
      </c>
    </row>
    <row r="277" spans="1:12" ht="15" thickBot="1">
      <c r="A277" s="160"/>
      <c r="B277" s="160"/>
      <c r="C277" s="22" t="s">
        <v>414</v>
      </c>
      <c r="D277" s="13"/>
      <c r="E277" s="11" t="s">
        <v>372</v>
      </c>
      <c r="F277" s="13"/>
      <c r="G277" s="8" t="s">
        <v>59</v>
      </c>
      <c r="H277" s="8" t="s">
        <v>50</v>
      </c>
      <c r="I277" s="8" t="s">
        <v>60</v>
      </c>
      <c r="J277" s="8" t="s">
        <v>52</v>
      </c>
      <c r="K277" s="8" t="s">
        <v>71</v>
      </c>
      <c r="L277" s="8" t="s">
        <v>62</v>
      </c>
    </row>
    <row r="278" spans="1:12" ht="24.75" thickBot="1">
      <c r="A278" s="160"/>
      <c r="B278" s="160"/>
      <c r="C278" s="25" t="s">
        <v>415</v>
      </c>
      <c r="D278" s="13"/>
      <c r="E278" s="11" t="s">
        <v>372</v>
      </c>
      <c r="F278" s="13"/>
      <c r="G278" s="8" t="s">
        <v>59</v>
      </c>
      <c r="H278" s="8" t="s">
        <v>50</v>
      </c>
      <c r="I278" s="8" t="s">
        <v>60</v>
      </c>
      <c r="J278" s="8" t="s">
        <v>52</v>
      </c>
      <c r="K278" s="8" t="s">
        <v>71</v>
      </c>
      <c r="L278" s="8" t="s">
        <v>62</v>
      </c>
    </row>
    <row r="279" spans="1:12" ht="24.75" thickBot="1">
      <c r="A279" s="160"/>
      <c r="B279" s="160"/>
      <c r="C279" s="22" t="s">
        <v>416</v>
      </c>
      <c r="D279" s="13"/>
      <c r="E279" s="9" t="s">
        <v>57</v>
      </c>
      <c r="F279" s="13"/>
      <c r="G279" s="8" t="s">
        <v>59</v>
      </c>
      <c r="H279" s="8" t="s">
        <v>50</v>
      </c>
      <c r="I279" s="8" t="s">
        <v>60</v>
      </c>
      <c r="J279" s="8" t="s">
        <v>52</v>
      </c>
      <c r="K279" s="8" t="s">
        <v>71</v>
      </c>
      <c r="L279" s="8" t="s">
        <v>62</v>
      </c>
    </row>
    <row r="280" spans="1:12" ht="60.75" thickBot="1">
      <c r="A280" s="160"/>
      <c r="B280" s="160"/>
      <c r="C280" s="25" t="s">
        <v>417</v>
      </c>
      <c r="D280" s="13"/>
      <c r="E280" s="11" t="s">
        <v>372</v>
      </c>
      <c r="F280" s="13"/>
      <c r="G280" s="8" t="s">
        <v>59</v>
      </c>
      <c r="H280" s="8" t="s">
        <v>50</v>
      </c>
      <c r="I280" s="8" t="s">
        <v>60</v>
      </c>
      <c r="J280" s="8" t="s">
        <v>52</v>
      </c>
      <c r="K280" s="8" t="s">
        <v>71</v>
      </c>
      <c r="L280" s="8" t="s">
        <v>62</v>
      </c>
    </row>
    <row r="281" spans="1:12" ht="24.75" thickBot="1">
      <c r="A281" s="160"/>
      <c r="B281" s="160"/>
      <c r="C281" s="25" t="s">
        <v>418</v>
      </c>
      <c r="D281" s="9" t="s">
        <v>257</v>
      </c>
      <c r="E281" s="11" t="s">
        <v>372</v>
      </c>
      <c r="F281" s="8" t="s">
        <v>141</v>
      </c>
      <c r="G281" s="8" t="s">
        <v>142</v>
      </c>
      <c r="H281" s="8" t="s">
        <v>142</v>
      </c>
      <c r="I281" s="9" t="s">
        <v>143</v>
      </c>
      <c r="J281" s="8" t="s">
        <v>52</v>
      </c>
      <c r="K281" s="8" t="s">
        <v>413</v>
      </c>
      <c r="L281" s="8" t="s">
        <v>62</v>
      </c>
    </row>
  </sheetData>
  <autoFilter ref="A8:L281" xr:uid="{4C42653C-9B35-45A6-A166-5B6A5B8B28CB}">
    <filterColumn colId="6" showButton="0"/>
  </autoFilter>
  <mergeCells count="85">
    <mergeCell ref="A268:A274"/>
    <mergeCell ref="B268:B274"/>
    <mergeCell ref="A275:A281"/>
    <mergeCell ref="B275:B281"/>
    <mergeCell ref="A238:A244"/>
    <mergeCell ref="B238:B244"/>
    <mergeCell ref="A245:A267"/>
    <mergeCell ref="B245:B267"/>
    <mergeCell ref="A210:A224"/>
    <mergeCell ref="B210:B224"/>
    <mergeCell ref="A225:A237"/>
    <mergeCell ref="B225:B237"/>
    <mergeCell ref="D235:K235"/>
    <mergeCell ref="A179:A181"/>
    <mergeCell ref="B179:B181"/>
    <mergeCell ref="A182:A209"/>
    <mergeCell ref="B182:B209"/>
    <mergeCell ref="A150:A178"/>
    <mergeCell ref="B150:B178"/>
    <mergeCell ref="D174:K174"/>
    <mergeCell ref="D175:K175"/>
    <mergeCell ref="D176:K176"/>
    <mergeCell ref="A132:A142"/>
    <mergeCell ref="B132:B142"/>
    <mergeCell ref="A143:A149"/>
    <mergeCell ref="B143:B149"/>
    <mergeCell ref="A110:A121"/>
    <mergeCell ref="B110:B121"/>
    <mergeCell ref="D110:L110"/>
    <mergeCell ref="A122:A131"/>
    <mergeCell ref="B122:B131"/>
    <mergeCell ref="A51:A109"/>
    <mergeCell ref="B51:B109"/>
    <mergeCell ref="D51:K52"/>
    <mergeCell ref="L51:L52"/>
    <mergeCell ref="D60:L60"/>
    <mergeCell ref="D70:K70"/>
    <mergeCell ref="D79:K79"/>
    <mergeCell ref="D92:K92"/>
    <mergeCell ref="D107:L107"/>
    <mergeCell ref="A28:A39"/>
    <mergeCell ref="B28:B39"/>
    <mergeCell ref="A40:A50"/>
    <mergeCell ref="B40:B50"/>
    <mergeCell ref="A13:A19"/>
    <mergeCell ref="B13:B19"/>
    <mergeCell ref="A20:A27"/>
    <mergeCell ref="B20:B27"/>
    <mergeCell ref="G8:H8"/>
    <mergeCell ref="K8:K9"/>
    <mergeCell ref="L8:L9"/>
    <mergeCell ref="A10:A12"/>
    <mergeCell ref="B10:B12"/>
    <mergeCell ref="A8:A9"/>
    <mergeCell ref="B8:B9"/>
    <mergeCell ref="C8:C9"/>
    <mergeCell ref="D8:D9"/>
    <mergeCell ref="E8:E9"/>
    <mergeCell ref="F8:F9"/>
    <mergeCell ref="A7:L7"/>
    <mergeCell ref="A4:B4"/>
    <mergeCell ref="C4:E4"/>
    <mergeCell ref="F4:G4"/>
    <mergeCell ref="H4:I4"/>
    <mergeCell ref="J4:L4"/>
    <mergeCell ref="A5:B5"/>
    <mergeCell ref="C5:E5"/>
    <mergeCell ref="F5:G5"/>
    <mergeCell ref="H5:I5"/>
    <mergeCell ref="J5:L5"/>
    <mergeCell ref="A6:B6"/>
    <mergeCell ref="C6:E6"/>
    <mergeCell ref="F6:G6"/>
    <mergeCell ref="H6:I6"/>
    <mergeCell ref="J6:L6"/>
    <mergeCell ref="A1:B1"/>
    <mergeCell ref="C1:K1"/>
    <mergeCell ref="A2:B2"/>
    <mergeCell ref="C2:E2"/>
    <mergeCell ref="F2:L2"/>
    <mergeCell ref="A3:B3"/>
    <mergeCell ref="C3:E3"/>
    <mergeCell ref="F3:G3"/>
    <mergeCell ref="H3:I3"/>
    <mergeCell ref="J3:L3"/>
  </mergeCells>
  <conditionalFormatting sqref="L1 L10:L1048576">
    <cfRule type="containsText" dxfId="2" priority="1" operator="containsText" text="Completed">
      <formula>NOT(ISERROR(SEARCH("Completed",L1)))</formula>
    </cfRule>
    <cfRule type="containsText" dxfId="1" priority="2" operator="containsText" text="Pending">
      <formula>NOT(ISERROR(SEARCH("Pending",L1)))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Sheet2</vt:lpstr>
      <vt:lpstr>Sheet1</vt:lpstr>
      <vt:lpstr>SOR Log</vt:lpstr>
      <vt:lpstr>Cube Test</vt:lpstr>
      <vt:lpstr>Organization Chart</vt:lpstr>
      <vt:lpstr>CAR register</vt:lpstr>
      <vt:lpstr>Quality Assurance Plan - 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SHANIL</cp:lastModifiedBy>
  <dcterms:created xsi:type="dcterms:W3CDTF">2026-01-22T16:31:38Z</dcterms:created>
  <dcterms:modified xsi:type="dcterms:W3CDTF">2026-02-15T06:50:37Z</dcterms:modified>
</cp:coreProperties>
</file>