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neral\WPR\wpr Soft copies\WPR 36\"/>
    </mc:Choice>
  </mc:AlternateContent>
  <xr:revisionPtr revIDLastSave="0" documentId="13_ncr:1_{1424479A-D8EE-4A92-B38C-22DD82F831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CI" sheetId="4" r:id="rId1"/>
  </sheets>
  <definedNames>
    <definedName name="_xlnm._FilterDatabase" localSheetId="0" hidden="1">DCI!$A$3:$L$25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8" i="4" l="1"/>
  <c r="V28" i="4"/>
  <c r="V29" i="4" s="1"/>
  <c r="U54" i="4"/>
  <c r="U55" i="4" s="1"/>
  <c r="V11" i="4"/>
  <c r="V12" i="4" s="1"/>
  <c r="U64" i="4"/>
  <c r="U65" i="4" s="1"/>
  <c r="U60" i="4"/>
  <c r="U61" i="4" s="1"/>
  <c r="N41" i="4"/>
  <c r="N49" i="4"/>
  <c r="S68" i="4"/>
  <c r="R68" i="4"/>
  <c r="Q68" i="4"/>
  <c r="P68" i="4"/>
  <c r="O68" i="4"/>
  <c r="N68" i="4"/>
  <c r="S67" i="4"/>
  <c r="R67" i="4"/>
  <c r="Q67" i="4"/>
  <c r="P67" i="4"/>
  <c r="O67" i="4"/>
  <c r="N67" i="4"/>
  <c r="S66" i="4"/>
  <c r="R66" i="4"/>
  <c r="Q66" i="4"/>
  <c r="P66" i="4"/>
  <c r="O66" i="4"/>
  <c r="N66" i="4"/>
  <c r="S65" i="4"/>
  <c r="R65" i="4"/>
  <c r="Q65" i="4"/>
  <c r="P65" i="4"/>
  <c r="O65" i="4"/>
  <c r="N65" i="4"/>
  <c r="S64" i="4"/>
  <c r="R64" i="4"/>
  <c r="Q64" i="4"/>
  <c r="P64" i="4"/>
  <c r="O64" i="4"/>
  <c r="N64" i="4"/>
  <c r="S61" i="4"/>
  <c r="R61" i="4"/>
  <c r="Q61" i="4"/>
  <c r="P61" i="4"/>
  <c r="O61" i="4"/>
  <c r="N61" i="4"/>
  <c r="S22" i="4"/>
  <c r="R22" i="4"/>
  <c r="Q22" i="4"/>
  <c r="P22" i="4"/>
  <c r="O22" i="4"/>
  <c r="N22" i="4"/>
  <c r="S47" i="4"/>
  <c r="R47" i="4"/>
  <c r="Q47" i="4"/>
  <c r="P47" i="4"/>
  <c r="O47" i="4"/>
  <c r="N47" i="4"/>
  <c r="S46" i="4"/>
  <c r="R46" i="4"/>
  <c r="Q46" i="4"/>
  <c r="P46" i="4"/>
  <c r="O46" i="4"/>
  <c r="N46" i="4"/>
  <c r="S13" i="4"/>
  <c r="R13" i="4"/>
  <c r="Q13" i="4"/>
  <c r="P13" i="4"/>
  <c r="O13" i="4"/>
  <c r="N13" i="4"/>
  <c r="S41" i="4"/>
  <c r="R41" i="4"/>
  <c r="Q41" i="4"/>
  <c r="P41" i="4"/>
  <c r="O41" i="4"/>
  <c r="S40" i="4"/>
  <c r="R40" i="4"/>
  <c r="Q40" i="4"/>
  <c r="P40" i="4"/>
  <c r="O40" i="4"/>
  <c r="N40" i="4"/>
  <c r="S39" i="4"/>
  <c r="R39" i="4"/>
  <c r="Q39" i="4"/>
  <c r="P39" i="4"/>
  <c r="O39" i="4"/>
  <c r="N39" i="4"/>
  <c r="S38" i="4"/>
  <c r="R38" i="4"/>
  <c r="Q38" i="4"/>
  <c r="P38" i="4"/>
  <c r="O38" i="4"/>
  <c r="N38" i="4"/>
  <c r="S37" i="4"/>
  <c r="R37" i="4"/>
  <c r="Q37" i="4"/>
  <c r="P37" i="4"/>
  <c r="O37" i="4"/>
  <c r="N37" i="4"/>
  <c r="S62" i="4"/>
  <c r="R62" i="4"/>
  <c r="Q62" i="4"/>
  <c r="P62" i="4"/>
  <c r="O62" i="4"/>
  <c r="N62" i="4"/>
  <c r="S60" i="4"/>
  <c r="R60" i="4"/>
  <c r="Q60" i="4"/>
  <c r="P60" i="4"/>
  <c r="O60" i="4"/>
  <c r="N60" i="4"/>
  <c r="S58" i="4"/>
  <c r="R58" i="4"/>
  <c r="Q58" i="4"/>
  <c r="P58" i="4"/>
  <c r="O58" i="4"/>
  <c r="N58" i="4"/>
  <c r="S57" i="4"/>
  <c r="R57" i="4"/>
  <c r="Q57" i="4"/>
  <c r="P57" i="4"/>
  <c r="O57" i="4"/>
  <c r="N57" i="4"/>
  <c r="S56" i="4"/>
  <c r="R56" i="4"/>
  <c r="Q56" i="4"/>
  <c r="P56" i="4"/>
  <c r="O56" i="4"/>
  <c r="N56" i="4"/>
  <c r="S55" i="4"/>
  <c r="R55" i="4"/>
  <c r="Q55" i="4"/>
  <c r="P55" i="4"/>
  <c r="O55" i="4"/>
  <c r="N55" i="4"/>
  <c r="S54" i="4"/>
  <c r="R54" i="4"/>
  <c r="Q54" i="4"/>
  <c r="P54" i="4"/>
  <c r="O54" i="4"/>
  <c r="N54" i="4"/>
  <c r="S53" i="4"/>
  <c r="R53" i="4"/>
  <c r="Q53" i="4"/>
  <c r="P53" i="4"/>
  <c r="O53" i="4"/>
  <c r="N53" i="4"/>
  <c r="S33" i="4"/>
  <c r="R33" i="4"/>
  <c r="Q33" i="4"/>
  <c r="P33" i="4"/>
  <c r="O33" i="4"/>
  <c r="N33" i="4"/>
  <c r="S45" i="4"/>
  <c r="R45" i="4"/>
  <c r="Q45" i="4"/>
  <c r="P45" i="4"/>
  <c r="O45" i="4"/>
  <c r="N45" i="4"/>
  <c r="S44" i="4"/>
  <c r="R44" i="4"/>
  <c r="Q44" i="4"/>
  <c r="P44" i="4"/>
  <c r="O44" i="4"/>
  <c r="N44" i="4"/>
  <c r="S43" i="4"/>
  <c r="R43" i="4"/>
  <c r="Q43" i="4"/>
  <c r="P43" i="4"/>
  <c r="O43" i="4"/>
  <c r="N43" i="4"/>
  <c r="S42" i="4"/>
  <c r="R42" i="4"/>
  <c r="Q42" i="4"/>
  <c r="P42" i="4"/>
  <c r="O42" i="4"/>
  <c r="N42" i="4"/>
  <c r="S36" i="4"/>
  <c r="R36" i="4"/>
  <c r="Q36" i="4"/>
  <c r="P36" i="4"/>
  <c r="O36" i="4"/>
  <c r="N36" i="4"/>
  <c r="S35" i="4"/>
  <c r="R35" i="4"/>
  <c r="Q35" i="4"/>
  <c r="P35" i="4"/>
  <c r="O35" i="4"/>
  <c r="N35" i="4"/>
  <c r="S34" i="4"/>
  <c r="R34" i="4"/>
  <c r="Q34" i="4"/>
  <c r="P34" i="4"/>
  <c r="O34" i="4"/>
  <c r="N34" i="4"/>
  <c r="S32" i="4"/>
  <c r="R32" i="4"/>
  <c r="Q32" i="4"/>
  <c r="P32" i="4"/>
  <c r="O32" i="4"/>
  <c r="N32" i="4"/>
  <c r="S31" i="4"/>
  <c r="R31" i="4"/>
  <c r="Q31" i="4"/>
  <c r="P31" i="4"/>
  <c r="O31" i="4"/>
  <c r="N31" i="4"/>
  <c r="S30" i="4"/>
  <c r="R30" i="4"/>
  <c r="Q30" i="4"/>
  <c r="P30" i="4"/>
  <c r="O30" i="4"/>
  <c r="N30" i="4"/>
  <c r="S29" i="4"/>
  <c r="R29" i="4"/>
  <c r="Q29" i="4"/>
  <c r="P29" i="4"/>
  <c r="O29" i="4"/>
  <c r="N29" i="4"/>
  <c r="S28" i="4"/>
  <c r="R28" i="4"/>
  <c r="Q28" i="4"/>
  <c r="P28" i="4"/>
  <c r="O28" i="4"/>
  <c r="N28" i="4"/>
  <c r="S27" i="4"/>
  <c r="R27" i="4"/>
  <c r="Q27" i="4"/>
  <c r="P27" i="4"/>
  <c r="O27" i="4"/>
  <c r="N27" i="4"/>
  <c r="S26" i="4"/>
  <c r="R26" i="4"/>
  <c r="Q26" i="4"/>
  <c r="P26" i="4"/>
  <c r="O26" i="4"/>
  <c r="N26" i="4"/>
  <c r="S25" i="4"/>
  <c r="R25" i="4"/>
  <c r="Q25" i="4"/>
  <c r="P25" i="4"/>
  <c r="O25" i="4"/>
  <c r="N25" i="4"/>
  <c r="S24" i="4"/>
  <c r="R24" i="4"/>
  <c r="Q24" i="4"/>
  <c r="P24" i="4"/>
  <c r="O24" i="4"/>
  <c r="N24" i="4"/>
  <c r="N7" i="4"/>
  <c r="O7" i="4"/>
  <c r="P7" i="4"/>
  <c r="Q7" i="4"/>
  <c r="R7" i="4"/>
  <c r="S7" i="4"/>
  <c r="N8" i="4"/>
  <c r="O8" i="4"/>
  <c r="P8" i="4"/>
  <c r="Q8" i="4"/>
  <c r="R8" i="4"/>
  <c r="S8" i="4"/>
  <c r="N9" i="4"/>
  <c r="O9" i="4"/>
  <c r="P9" i="4"/>
  <c r="Q9" i="4"/>
  <c r="R9" i="4"/>
  <c r="S9" i="4"/>
  <c r="N10" i="4"/>
  <c r="O10" i="4"/>
  <c r="P10" i="4"/>
  <c r="Q10" i="4"/>
  <c r="R10" i="4"/>
  <c r="S10" i="4"/>
  <c r="N11" i="4"/>
  <c r="O11" i="4"/>
  <c r="P11" i="4"/>
  <c r="Q11" i="4"/>
  <c r="R11" i="4"/>
  <c r="S11" i="4"/>
  <c r="N12" i="4"/>
  <c r="O12" i="4"/>
  <c r="P12" i="4"/>
  <c r="Q12" i="4"/>
  <c r="R12" i="4"/>
  <c r="S12" i="4"/>
  <c r="N14" i="4"/>
  <c r="O14" i="4"/>
  <c r="P14" i="4"/>
  <c r="Q14" i="4"/>
  <c r="R14" i="4"/>
  <c r="S14" i="4"/>
  <c r="N15" i="4"/>
  <c r="O15" i="4"/>
  <c r="P15" i="4"/>
  <c r="Q15" i="4"/>
  <c r="R15" i="4"/>
  <c r="S15" i="4"/>
  <c r="N16" i="4"/>
  <c r="O16" i="4"/>
  <c r="P16" i="4"/>
  <c r="Q16" i="4"/>
  <c r="R16" i="4"/>
  <c r="S16" i="4"/>
  <c r="N17" i="4"/>
  <c r="O17" i="4"/>
  <c r="P17" i="4"/>
  <c r="Q17" i="4"/>
  <c r="R17" i="4"/>
  <c r="S17" i="4"/>
  <c r="N18" i="4"/>
  <c r="O18" i="4"/>
  <c r="P18" i="4"/>
  <c r="Q18" i="4"/>
  <c r="R18" i="4"/>
  <c r="S18" i="4"/>
  <c r="N19" i="4"/>
  <c r="O19" i="4"/>
  <c r="P19" i="4"/>
  <c r="Q19" i="4"/>
  <c r="R19" i="4"/>
  <c r="S19" i="4"/>
  <c r="N20" i="4"/>
  <c r="O20" i="4"/>
  <c r="P20" i="4"/>
  <c r="Q20" i="4"/>
  <c r="R20" i="4"/>
  <c r="S20" i="4"/>
  <c r="N21" i="4"/>
  <c r="O21" i="4"/>
  <c r="P21" i="4"/>
  <c r="Q21" i="4"/>
  <c r="R21" i="4"/>
  <c r="S21" i="4"/>
  <c r="O6" i="4"/>
  <c r="P6" i="4"/>
  <c r="Q6" i="4"/>
  <c r="R6" i="4"/>
  <c r="S6" i="4"/>
  <c r="N6" i="4"/>
  <c r="V73" i="4" l="1"/>
  <c r="M41" i="4"/>
  <c r="Q69" i="4"/>
  <c r="N69" i="4"/>
  <c r="B72" i="4" s="1"/>
  <c r="P69" i="4"/>
  <c r="B74" i="4" s="1"/>
  <c r="O69" i="4"/>
  <c r="B73" i="4" s="1"/>
  <c r="S69" i="4"/>
  <c r="R69" i="4"/>
  <c r="M66" i="4"/>
  <c r="M68" i="4"/>
  <c r="M67" i="4"/>
  <c r="M65" i="4"/>
  <c r="M64" i="4"/>
  <c r="M61" i="4"/>
  <c r="M22" i="4"/>
  <c r="M47" i="4"/>
  <c r="M46" i="4"/>
  <c r="M37" i="4"/>
  <c r="M13" i="4"/>
  <c r="M39" i="4"/>
  <c r="M40" i="4"/>
  <c r="M38" i="4"/>
  <c r="M19" i="4"/>
  <c r="M34" i="4"/>
  <c r="M60" i="4"/>
  <c r="M35" i="4"/>
  <c r="M44" i="4"/>
  <c r="M54" i="4"/>
  <c r="M58" i="4"/>
  <c r="M15" i="4"/>
  <c r="M10" i="4"/>
  <c r="M25" i="4"/>
  <c r="M8" i="4"/>
  <c r="M16" i="4"/>
  <c r="M18" i="4"/>
  <c r="M14" i="4"/>
  <c r="M7" i="4"/>
  <c r="M9" i="4"/>
  <c r="M33" i="4"/>
  <c r="M20" i="4"/>
  <c r="M11" i="4"/>
  <c r="M21" i="4"/>
  <c r="M17" i="4"/>
  <c r="M12" i="4"/>
  <c r="M32" i="4"/>
  <c r="M6" i="4"/>
  <c r="M28" i="4"/>
  <c r="M27" i="4"/>
  <c r="M31" i="4"/>
  <c r="M42" i="4"/>
  <c r="M57" i="4"/>
  <c r="M24" i="4"/>
  <c r="M29" i="4"/>
  <c r="M43" i="4"/>
  <c r="M53" i="4"/>
  <c r="M56" i="4"/>
  <c r="M55" i="4"/>
  <c r="M26" i="4"/>
  <c r="M30" i="4"/>
  <c r="M36" i="4"/>
  <c r="M62" i="4"/>
  <c r="M45" i="4"/>
  <c r="M69" i="4" l="1"/>
</calcChain>
</file>

<file path=xl/sharedStrings.xml><?xml version="1.0" encoding="utf-8"?>
<sst xmlns="http://schemas.openxmlformats.org/spreadsheetml/2006/main" count="279" uniqueCount="210">
  <si>
    <t>DISCIPLINE</t>
  </si>
  <si>
    <t>BUILDING/AREA</t>
  </si>
  <si>
    <t>DWG. NO.</t>
  </si>
  <si>
    <t>TITLE</t>
  </si>
  <si>
    <t>R0</t>
  </si>
  <si>
    <t>R1</t>
  </si>
  <si>
    <t>R2</t>
  </si>
  <si>
    <t>R3</t>
  </si>
  <si>
    <t>R4</t>
  </si>
  <si>
    <t>R5</t>
  </si>
  <si>
    <t>TOTAL</t>
  </si>
  <si>
    <t>Structure Drawing</t>
  </si>
  <si>
    <t>Column Location</t>
  </si>
  <si>
    <t>ST-01</t>
  </si>
  <si>
    <t>ST-02</t>
  </si>
  <si>
    <t>ST-03</t>
  </si>
  <si>
    <t>Schedule of column</t>
  </si>
  <si>
    <t xml:space="preserve">Typical footing section </t>
  </si>
  <si>
    <t>Combined foundation detail for C1,C2,C3</t>
  </si>
  <si>
    <t xml:space="preserve">GENERAL </t>
  </si>
  <si>
    <t>Area diagram</t>
  </si>
  <si>
    <t>Site Layout Option-04</t>
  </si>
  <si>
    <t>Revised plan for dormitory</t>
  </si>
  <si>
    <t xml:space="preserve">ARVIND LIMTED : DRAWING REGISTER </t>
  </si>
  <si>
    <t>Master Layout Plan</t>
  </si>
  <si>
    <t>A-01</t>
  </si>
  <si>
    <t>Site boundaries, access, services</t>
  </si>
  <si>
    <t>Area Statement</t>
  </si>
  <si>
    <t>A-02</t>
  </si>
  <si>
    <t>Floor Plans (GF to 4F + Terrace)</t>
  </si>
  <si>
    <t>Room layout, shafts, corridor widths</t>
  </si>
  <si>
    <t>Elevations (North, East, South, West)</t>
  </si>
  <si>
    <t>Façade, window alignment, height</t>
  </si>
  <si>
    <t>Sections (AA, BB)</t>
  </si>
  <si>
    <t>Vertical height, structural cut</t>
  </si>
  <si>
    <t>Door/Window Schedule</t>
  </si>
  <si>
    <t>Type, sizes, opening direction</t>
  </si>
  <si>
    <t>Staircase Plan &amp; Details</t>
  </si>
  <si>
    <t>Riser, tread, railing detail</t>
  </si>
  <si>
    <t>A18</t>
  </si>
  <si>
    <t>Typical Toilet Layout</t>
  </si>
  <si>
    <t>Plumbing point, tile zone, partition</t>
  </si>
  <si>
    <t>Toilet Elevations (4 Sides)</t>
  </si>
  <si>
    <t>Tile layout, mirror, tap fittings</t>
  </si>
  <si>
    <t>Finishing Layouts (GF–4F)</t>
  </si>
  <si>
    <t>Floor finish types, borders, skirting</t>
  </si>
  <si>
    <t>Finishing Schedule – Room-wise</t>
  </si>
  <si>
    <t>Wall/ceiling/floor finish, paint codes</t>
  </si>
  <si>
    <t>Fire Evacuation Plan</t>
  </si>
  <si>
    <t>Fire exits, signage, assembly point</t>
  </si>
  <si>
    <t>Floor Build-up Section (typical)</t>
  </si>
  <si>
    <t>Slab + screed + tile + skirting buildup</t>
  </si>
  <si>
    <t>Design Basis Report</t>
  </si>
  <si>
    <t>Load assumptions, codes, seismic zone</t>
  </si>
  <si>
    <t>Bar spacing, lap, type</t>
  </si>
  <si>
    <t>S-05</t>
  </si>
  <si>
    <t>Beam spans, support conditions</t>
  </si>
  <si>
    <t>S-06</t>
  </si>
  <si>
    <t>Top/bottom steel, stirrups</t>
  </si>
  <si>
    <t>S-07</t>
  </si>
  <si>
    <t>Flooring Section at Plinth</t>
  </si>
  <si>
    <t>PCC, mortar, tile build-up</t>
  </si>
  <si>
    <t>Slab &amp; Beam Layouts (GF to 4F)</t>
  </si>
  <si>
    <t>Beam/slab grid, spans</t>
  </si>
  <si>
    <t>Slab &amp; Beam Reinforcement</t>
  </si>
  <si>
    <t>Bar dia, stirrup spacing</t>
  </si>
  <si>
    <t>Staircase RCC Details</t>
  </si>
  <si>
    <t>Waist slab, landing, reinforcement</t>
  </si>
  <si>
    <t>S-22</t>
  </si>
  <si>
    <t>Typical RCC Floor Section</t>
  </si>
  <si>
    <t>S-23</t>
  </si>
  <si>
    <t>Slab thickness, beam depth</t>
  </si>
  <si>
    <t>C. Electrical Drawings</t>
  </si>
  <si>
    <t>E1</t>
  </si>
  <si>
    <t>Power Layout – Floor-wise</t>
  </si>
  <si>
    <t>E-01</t>
  </si>
  <si>
    <t>Power socket layout, DB</t>
  </si>
  <si>
    <t>E2</t>
  </si>
  <si>
    <t>Lighting Layout – Floor-wise</t>
  </si>
  <si>
    <t>E-02</t>
  </si>
  <si>
    <t>Switchboard, lights</t>
  </si>
  <si>
    <t>E3</t>
  </si>
  <si>
    <t>Rising Main Single Line Diagram</t>
  </si>
  <si>
    <t>E-03</t>
  </si>
  <si>
    <t>Main cable route</t>
  </si>
  <si>
    <t>E4</t>
  </si>
  <si>
    <t>Panel Room Layout &amp; Detail</t>
  </si>
  <si>
    <t>E-04</t>
  </si>
  <si>
    <t>Panel size, breaker chart</t>
  </si>
  <si>
    <t>E5</t>
  </si>
  <si>
    <t>E-05</t>
  </si>
  <si>
    <t>E6</t>
  </si>
  <si>
    <t>Transformer Layout (if any)</t>
  </si>
  <si>
    <t>E-06</t>
  </si>
  <si>
    <t>HT Panel &amp; Transformer</t>
  </si>
  <si>
    <t>D. Plumbing Drawings</t>
  </si>
  <si>
    <t>P1</t>
  </si>
  <si>
    <t>P-01</t>
  </si>
  <si>
    <t>CP piping, riser line</t>
  </si>
  <si>
    <t>P2</t>
  </si>
  <si>
    <t>P-02</t>
  </si>
  <si>
    <t>Soil, waste &amp; vent line</t>
  </si>
  <si>
    <t>P3</t>
  </si>
  <si>
    <t>P-03</t>
  </si>
  <si>
    <t>A-03</t>
  </si>
  <si>
    <t>A-04</t>
  </si>
  <si>
    <t>A-05</t>
  </si>
  <si>
    <t>A6–A11</t>
  </si>
  <si>
    <t>A12–A15</t>
  </si>
  <si>
    <t>A16–A17</t>
  </si>
  <si>
    <t>A19</t>
  </si>
  <si>
    <t>A20</t>
  </si>
  <si>
    <t>A32</t>
  </si>
  <si>
    <t>A33</t>
  </si>
  <si>
    <t>ST-04-12</t>
  </si>
  <si>
    <t>S-11</t>
  </si>
  <si>
    <t>S-12 to S-16</t>
  </si>
  <si>
    <t>S-17 to S-21</t>
  </si>
  <si>
    <t>S-24</t>
  </si>
  <si>
    <t>Summary Of Drawings</t>
  </si>
  <si>
    <t>Total Released Drawings R0</t>
  </si>
  <si>
    <t>Total Released Drawings R1</t>
  </si>
  <si>
    <t>Total Released Drawings R2</t>
  </si>
  <si>
    <t>Total Released Drawings R3</t>
  </si>
  <si>
    <t>Total Released Drawings R4</t>
  </si>
  <si>
    <t>Total Released Drawings R5</t>
  </si>
  <si>
    <t>Floor-Wise BUA/FAR/FSI</t>
  </si>
  <si>
    <t>A21–A24</t>
  </si>
  <si>
    <t>A25–A31</t>
  </si>
  <si>
    <t>A34</t>
  </si>
  <si>
    <t>Ground &amp; Plinth beam Layout</t>
  </si>
  <si>
    <t>Ground &amp; Plinth beam Reinforcement</t>
  </si>
  <si>
    <t>S-08 to S-10</t>
  </si>
  <si>
    <t>Wall Foundation detail</t>
  </si>
  <si>
    <t>ST-04</t>
  </si>
  <si>
    <t>ST-02 to 04</t>
  </si>
  <si>
    <t>Architecture Drawing</t>
  </si>
  <si>
    <t>DATES RECEIVED BY THE CONSULTANT</t>
  </si>
  <si>
    <t>ST-14</t>
  </si>
  <si>
    <t>SCHEDULE OF COLUMN'S REDUCTION DETAIL.from PLINTH Lvl. to TOP SLAB Lvl.</t>
  </si>
  <si>
    <t>R.C.C. STAIR DETAIL.Plinth Lvl. to G.F.SLAB Top Lvl</t>
  </si>
  <si>
    <t xml:space="preserve">Stair Detail </t>
  </si>
  <si>
    <t>GF-06</t>
  </si>
  <si>
    <t>S-10.1</t>
  </si>
  <si>
    <t>ST-10.1</t>
  </si>
  <si>
    <t xml:space="preserve">Column Details  Schudle  </t>
  </si>
  <si>
    <t xml:space="preserve">Dormitory  </t>
  </si>
  <si>
    <t xml:space="preserve"> CONSULTANT DRW. NO.</t>
  </si>
  <si>
    <t>ST.~ G.F.- 01</t>
  </si>
  <si>
    <t>GROUND FLOOR SLAB TOP Lvl. Lay out. PLAN.+3150 Lvl. UN FINISH LVL.</t>
  </si>
  <si>
    <t>ST.~ G.F.- 02</t>
  </si>
  <si>
    <t>ST.~ G.F.- 03</t>
  </si>
  <si>
    <t>ST.~ G.F.- 04</t>
  </si>
  <si>
    <t>ST.~ G.F.- 05</t>
  </si>
  <si>
    <t>GROUND FLOOR SLAB BEAM DETAILS ,+3150 Lvl. UN FINISH LVL.</t>
  </si>
  <si>
    <t>GROUND FLOOR SLAB BEAM DETAILS +3150 Lvl. UN FINISH LVL.</t>
  </si>
  <si>
    <t>GROUND FLOOR SLAB BEAM DETAILS , +3150 Lvl. UN FINISH LVL.</t>
  </si>
  <si>
    <t>G.A.~  04</t>
  </si>
  <si>
    <t>ELEVATION.~  A    for   DORMITORY  BUILDING.</t>
  </si>
  <si>
    <t>ST.~ G.F.- 06</t>
  </si>
  <si>
    <t>S-13</t>
  </si>
  <si>
    <t>S-14</t>
  </si>
  <si>
    <t>S-15</t>
  </si>
  <si>
    <t>S-16</t>
  </si>
  <si>
    <t>S-12</t>
  </si>
  <si>
    <t>A-15.1</t>
  </si>
  <si>
    <t xml:space="preserve">Elevations </t>
  </si>
  <si>
    <t>S-25</t>
  </si>
  <si>
    <t>U.G.WATER TANK &amp; PUMP ROOM Layout</t>
  </si>
  <si>
    <t xml:space="preserve">U.G Tank Section </t>
  </si>
  <si>
    <t>S-26</t>
  </si>
  <si>
    <t>U.G.WATER TANK (SECTION A-A AND B-B)</t>
  </si>
  <si>
    <t>U.G.WATER TANK Foundation Layout</t>
  </si>
  <si>
    <t xml:space="preserve">E. Fire Drawing </t>
  </si>
  <si>
    <t xml:space="preserve">Layout  </t>
  </si>
  <si>
    <t>25-101-DOR-MEC-GF-R1-10A</t>
  </si>
  <si>
    <t xml:space="preserve">Ground Floor Layout  </t>
  </si>
  <si>
    <t xml:space="preserve">First Fllor Layout </t>
  </si>
  <si>
    <t>25-101-DOR-MEC-FF-R1-10A</t>
  </si>
  <si>
    <t xml:space="preserve">Second Fllor Layout </t>
  </si>
  <si>
    <t>25-101-DOR-MEC-SF-R1-10A</t>
  </si>
  <si>
    <t xml:space="preserve">Third Fllor Layout  </t>
  </si>
  <si>
    <t>25-101-DOR-MEC-3rdF-R1-10A</t>
  </si>
  <si>
    <t xml:space="preserve">Fourth Floor </t>
  </si>
  <si>
    <t>Ground  Fllor</t>
  </si>
  <si>
    <t xml:space="preserve">Typical Floor </t>
  </si>
  <si>
    <t xml:space="preserve">Terrace Floor  </t>
  </si>
  <si>
    <t>F1</t>
  </si>
  <si>
    <t>F2</t>
  </si>
  <si>
    <t>F3</t>
  </si>
  <si>
    <t>F4</t>
  </si>
  <si>
    <t>F5</t>
  </si>
  <si>
    <t>S-27</t>
  </si>
  <si>
    <t>Typical lintel details</t>
  </si>
  <si>
    <t>Lint-01</t>
  </si>
  <si>
    <t>Typical floor lintel layout &amp; details</t>
  </si>
  <si>
    <t>S-28</t>
  </si>
  <si>
    <t>Sockpit and Ceptic Tank details</t>
  </si>
  <si>
    <t>Stair Cabin and Overhead Tank RCC Detail</t>
  </si>
  <si>
    <t>ST.~ T.F.- 01 to 05</t>
  </si>
  <si>
    <t>Slab/beam for stair cabin and tank support</t>
  </si>
  <si>
    <t>Plan and sectional details</t>
  </si>
  <si>
    <t>ST.~ G.F.- 01 to 05</t>
  </si>
  <si>
    <t>External Area lighting &amp; Earthing Layout</t>
  </si>
  <si>
    <t>Street lights,Earth pit, GI strip routing</t>
  </si>
  <si>
    <t>S-29</t>
  </si>
  <si>
    <t>Road Layout And Cross Section</t>
  </si>
  <si>
    <t>S-30</t>
  </si>
  <si>
    <t>Compound Wall Plan &amp; Details</t>
  </si>
  <si>
    <t>Compound Wall Layout &amp;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</si>
</sst>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General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4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rgb="FF000000"/>
      <name val="Artifakt Element"/>
      <family val="2"/>
    </font>
    <font>
      <sz val="10"/>
      <color rgb="FF000000"/>
      <name val="Artifakt Element"/>
      <family val="2"/>
    </font>
    <font>
      <b/>
      <sz val="11"/>
      <color theme="1"/>
      <name val="Artifakt Element"/>
      <family val="2"/>
    </font>
  </fonts>
  <fills count="9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 tint="0.79989013336588644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4" fillId="5" borderId="0" applyNumberFormat="0" applyBorder="0" applyAlignment="0" applyProtection="0"/>
    <xf numFmtId="0" fontId="5" fillId="0" borderId="0"/>
    <xf numFmtId="164" fontId="2" fillId="4" borderId="1" applyBorder="0" applyAlignment="0">
      <alignment horizontal="center" vertical="center" wrapText="1"/>
      <protection locked="0"/>
    </xf>
    <xf numFmtId="0" fontId="6" fillId="6" borderId="0" applyNumberFormat="0" applyBorder="0" applyAlignment="0" applyProtection="0"/>
    <xf numFmtId="165" fontId="7" fillId="0" borderId="0"/>
  </cellStyleXfs>
  <cellXfs count="35">
    <xf numFmtId="0" fontId="0" fillId="0" borderId="0" xfId="0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2" fontId="10" fillId="0" borderId="0" xfId="0" applyNumberFormat="1" applyFont="1" applyAlignment="1">
      <alignment horizontal="center" vertical="center"/>
    </xf>
    <xf numFmtId="1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14" fontId="10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 wrapText="1"/>
    </xf>
    <xf numFmtId="14" fontId="11" fillId="3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</cellXfs>
  <cellStyles count="8">
    <cellStyle name="Excel Built-in Normal" xfId="7" xr:uid="{00000000-0005-0000-0000-000000000000}"/>
    <cellStyle name="Good 2" xfId="3" xr:uid="{00000000-0005-0000-0000-000001000000}"/>
    <cellStyle name="Neutral 2" xfId="6" xr:uid="{00000000-0005-0000-0000-000002000000}"/>
    <cellStyle name="Normal" xfId="0" builtinId="0"/>
    <cellStyle name="Normal 2" xfId="1" xr:uid="{00000000-0005-0000-0000-000004000000}"/>
    <cellStyle name="Normal 3" xfId="4" xr:uid="{00000000-0005-0000-0000-000005000000}"/>
    <cellStyle name="Normal 4" xfId="2" xr:uid="{00000000-0005-0000-0000-000006000000}"/>
    <cellStyle name="Style 1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6477-A8B7-42CF-8E2D-9FAD7D81B930}">
  <sheetPr>
    <pageSetUpPr fitToPage="1"/>
  </sheetPr>
  <dimension ref="A1:V77"/>
  <sheetViews>
    <sheetView tabSelected="1" zoomScale="55" zoomScaleNormal="55" workbookViewId="0">
      <pane ySplit="4" topLeftCell="A34" activePane="bottomLeft" state="frozen"/>
      <selection pane="bottomLeft" activeCell="G40" sqref="G40:G41"/>
    </sheetView>
  </sheetViews>
  <sheetFormatPr defaultColWidth="9.1796875" defaultRowHeight="16.5" x14ac:dyDescent="0.35"/>
  <cols>
    <col min="1" max="1" width="22.1796875" style="7" customWidth="1"/>
    <col min="2" max="2" width="36.6328125" style="1" bestFit="1" customWidth="1"/>
    <col min="3" max="3" width="30.6328125" style="7" bestFit="1" customWidth="1"/>
    <col min="4" max="4" width="14.08984375" style="7" customWidth="1"/>
    <col min="5" max="5" width="44.1796875" style="11" customWidth="1"/>
    <col min="6" max="6" width="20.1796875" style="1" bestFit="1" customWidth="1"/>
    <col min="7" max="7" width="12.36328125" style="12" bestFit="1" customWidth="1"/>
    <col min="8" max="8" width="16.81640625" style="7" customWidth="1"/>
    <col min="9" max="9" width="12.90625" style="7" bestFit="1" customWidth="1"/>
    <col min="10" max="10" width="12.1796875" style="7" customWidth="1"/>
    <col min="11" max="11" width="10.81640625" style="7" customWidth="1"/>
    <col min="12" max="12" width="10.81640625" style="1" customWidth="1"/>
    <col min="13" max="17" width="9.1796875" style="7" hidden="1" customWidth="1"/>
    <col min="18" max="18" width="9.90625" style="7" hidden="1" customWidth="1"/>
    <col min="19" max="19" width="10.81640625" style="7" hidden="1" customWidth="1"/>
    <col min="20" max="16384" width="9.1796875" style="1"/>
  </cols>
  <sheetData>
    <row r="1" spans="1:22" ht="14.5" customHeight="1" x14ac:dyDescent="0.35">
      <c r="A1" s="23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19"/>
      <c r="N1" s="19"/>
      <c r="O1" s="19"/>
      <c r="P1" s="19"/>
      <c r="Q1" s="19"/>
      <c r="R1" s="19"/>
      <c r="S1" s="19"/>
    </row>
    <row r="2" spans="1:22" ht="15" customHeight="1" x14ac:dyDescent="0.3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19"/>
      <c r="N2" s="19"/>
      <c r="O2" s="19"/>
      <c r="P2" s="19"/>
      <c r="Q2" s="19"/>
      <c r="R2" s="19"/>
      <c r="S2" s="19"/>
    </row>
    <row r="3" spans="1:22" s="2" customFormat="1" ht="12.5" customHeight="1" x14ac:dyDescent="0.35">
      <c r="A3" s="31" t="s">
        <v>0</v>
      </c>
      <c r="B3" s="31" t="s">
        <v>1</v>
      </c>
      <c r="C3" s="31" t="s">
        <v>2</v>
      </c>
      <c r="D3" s="31" t="s">
        <v>147</v>
      </c>
      <c r="E3" s="31" t="s">
        <v>3</v>
      </c>
      <c r="F3" s="31" t="s">
        <v>137</v>
      </c>
      <c r="G3" s="30" t="s">
        <v>4</v>
      </c>
      <c r="H3" s="30" t="s">
        <v>5</v>
      </c>
      <c r="I3" s="30" t="s">
        <v>6</v>
      </c>
      <c r="J3" s="30" t="s">
        <v>7</v>
      </c>
      <c r="K3" s="30" t="s">
        <v>8</v>
      </c>
      <c r="L3" s="30" t="s">
        <v>9</v>
      </c>
      <c r="M3" s="29" t="s">
        <v>10</v>
      </c>
      <c r="N3" s="29" t="s">
        <v>4</v>
      </c>
      <c r="O3" s="29" t="s">
        <v>5</v>
      </c>
      <c r="P3" s="29" t="s">
        <v>6</v>
      </c>
      <c r="Q3" s="29" t="s">
        <v>7</v>
      </c>
      <c r="R3" s="29" t="s">
        <v>8</v>
      </c>
      <c r="S3" s="29" t="s">
        <v>9</v>
      </c>
    </row>
    <row r="4" spans="1:22" x14ac:dyDescent="0.35">
      <c r="A4" s="31"/>
      <c r="B4" s="31"/>
      <c r="C4" s="31"/>
      <c r="D4" s="31"/>
      <c r="E4" s="31"/>
      <c r="F4" s="31"/>
      <c r="G4" s="30"/>
      <c r="H4" s="30"/>
      <c r="I4" s="30"/>
      <c r="J4" s="30"/>
      <c r="K4" s="30"/>
      <c r="L4" s="30"/>
      <c r="M4" s="29"/>
      <c r="N4" s="29"/>
      <c r="O4" s="29"/>
      <c r="P4" s="29"/>
      <c r="Q4" s="29"/>
      <c r="R4" s="29"/>
      <c r="S4" s="29"/>
    </row>
    <row r="5" spans="1:22" x14ac:dyDescent="0.35">
      <c r="A5" s="32" t="s">
        <v>136</v>
      </c>
      <c r="B5" s="32"/>
      <c r="C5" s="32"/>
      <c r="D5" s="32"/>
      <c r="E5" s="32"/>
      <c r="F5" s="6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</row>
    <row r="6" spans="1:22" x14ac:dyDescent="0.35">
      <c r="A6" s="4" t="s">
        <v>25</v>
      </c>
      <c r="B6" s="6" t="s">
        <v>19</v>
      </c>
      <c r="C6" s="4" t="s">
        <v>25</v>
      </c>
      <c r="D6" s="4"/>
      <c r="E6" s="20" t="s">
        <v>20</v>
      </c>
      <c r="F6" s="3">
        <v>45856</v>
      </c>
      <c r="G6" s="3">
        <v>45856</v>
      </c>
      <c r="H6" s="3">
        <v>45871</v>
      </c>
      <c r="I6" s="3"/>
      <c r="J6" s="3"/>
      <c r="K6" s="3"/>
      <c r="L6" s="3"/>
      <c r="M6" s="4">
        <f>+SUM(N6:S6)</f>
        <v>2</v>
      </c>
      <c r="N6" s="4">
        <f>+COUNTIF(G6,G6)</f>
        <v>1</v>
      </c>
      <c r="O6" s="4">
        <f t="shared" ref="O6:S6" si="0">+COUNTIF(H6,H6)</f>
        <v>1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</row>
    <row r="7" spans="1:22" x14ac:dyDescent="0.35">
      <c r="A7" s="4" t="s">
        <v>28</v>
      </c>
      <c r="B7" s="6" t="s">
        <v>19</v>
      </c>
      <c r="C7" s="4" t="s">
        <v>28</v>
      </c>
      <c r="D7" s="4"/>
      <c r="E7" s="20" t="s">
        <v>21</v>
      </c>
      <c r="F7" s="3">
        <v>45856</v>
      </c>
      <c r="G7" s="3">
        <v>45929</v>
      </c>
      <c r="H7" s="3">
        <v>45967</v>
      </c>
      <c r="I7" s="3"/>
      <c r="J7" s="3"/>
      <c r="K7" s="3"/>
      <c r="L7" s="3"/>
      <c r="M7" s="4">
        <f t="shared" ref="M7:M21" si="1">+SUM(N7:S7)</f>
        <v>2</v>
      </c>
      <c r="N7" s="4">
        <f t="shared" ref="N7:N21" si="2">+COUNTIF(G7,G7)</f>
        <v>1</v>
      </c>
      <c r="O7" s="4">
        <f t="shared" ref="O7:O21" si="3">+COUNTIF(H7,H7)</f>
        <v>1</v>
      </c>
      <c r="P7" s="4">
        <f t="shared" ref="P7:P21" si="4">+COUNTIF(I7,I7)</f>
        <v>0</v>
      </c>
      <c r="Q7" s="4">
        <f t="shared" ref="Q7:Q21" si="5">+COUNTIF(J7,J7)</f>
        <v>0</v>
      </c>
      <c r="R7" s="4">
        <f t="shared" ref="R7:R21" si="6">+COUNTIF(K7,K7)</f>
        <v>0</v>
      </c>
      <c r="S7" s="4">
        <f t="shared" ref="S7:S21" si="7">+COUNTIF(L7,L7)</f>
        <v>0</v>
      </c>
    </row>
    <row r="8" spans="1:22" x14ac:dyDescent="0.35">
      <c r="A8" s="4" t="s">
        <v>104</v>
      </c>
      <c r="B8" s="6" t="s">
        <v>19</v>
      </c>
      <c r="C8" s="4" t="s">
        <v>104</v>
      </c>
      <c r="D8" s="4"/>
      <c r="E8" s="20" t="s">
        <v>22</v>
      </c>
      <c r="F8" s="3">
        <v>45856</v>
      </c>
      <c r="G8" s="3">
        <v>45856</v>
      </c>
      <c r="H8" s="3">
        <v>45905</v>
      </c>
      <c r="I8" s="3"/>
      <c r="J8" s="3"/>
      <c r="K8" s="3"/>
      <c r="L8" s="3"/>
      <c r="M8" s="4">
        <f t="shared" si="1"/>
        <v>2</v>
      </c>
      <c r="N8" s="4">
        <f t="shared" si="2"/>
        <v>1</v>
      </c>
      <c r="O8" s="4">
        <f t="shared" si="3"/>
        <v>1</v>
      </c>
      <c r="P8" s="4">
        <f t="shared" si="4"/>
        <v>0</v>
      </c>
      <c r="Q8" s="4">
        <f t="shared" si="5"/>
        <v>0</v>
      </c>
      <c r="R8" s="4">
        <f t="shared" si="6"/>
        <v>0</v>
      </c>
      <c r="S8" s="4">
        <f t="shared" si="7"/>
        <v>0</v>
      </c>
    </row>
    <row r="9" spans="1:22" x14ac:dyDescent="0.35">
      <c r="A9" s="4" t="s">
        <v>105</v>
      </c>
      <c r="B9" s="6" t="s">
        <v>24</v>
      </c>
      <c r="C9" s="4" t="s">
        <v>105</v>
      </c>
      <c r="D9" s="4"/>
      <c r="E9" s="20" t="s">
        <v>26</v>
      </c>
      <c r="F9" s="3"/>
      <c r="G9" s="3"/>
      <c r="H9" s="3">
        <v>45905</v>
      </c>
      <c r="I9" s="3"/>
      <c r="J9" s="3"/>
      <c r="K9" s="3"/>
      <c r="L9" s="3"/>
      <c r="M9" s="4">
        <f t="shared" si="1"/>
        <v>1</v>
      </c>
      <c r="N9" s="4">
        <f t="shared" si="2"/>
        <v>0</v>
      </c>
      <c r="O9" s="4">
        <f t="shared" si="3"/>
        <v>1</v>
      </c>
      <c r="P9" s="4">
        <f t="shared" si="4"/>
        <v>0</v>
      </c>
      <c r="Q9" s="4">
        <f t="shared" si="5"/>
        <v>0</v>
      </c>
      <c r="R9" s="4">
        <f t="shared" si="6"/>
        <v>0</v>
      </c>
      <c r="S9" s="4">
        <f t="shared" si="7"/>
        <v>0</v>
      </c>
    </row>
    <row r="10" spans="1:22" x14ac:dyDescent="0.35">
      <c r="A10" s="4" t="s">
        <v>106</v>
      </c>
      <c r="B10" s="6" t="s">
        <v>27</v>
      </c>
      <c r="C10" s="4" t="s">
        <v>106</v>
      </c>
      <c r="D10" s="4"/>
      <c r="E10" s="20" t="s">
        <v>126</v>
      </c>
      <c r="F10" s="3"/>
      <c r="G10" s="3"/>
      <c r="H10" s="3"/>
      <c r="I10" s="3"/>
      <c r="J10" s="3"/>
      <c r="K10" s="3"/>
      <c r="L10" s="3"/>
      <c r="M10" s="4">
        <f t="shared" si="1"/>
        <v>0</v>
      </c>
      <c r="N10" s="4">
        <f t="shared" si="2"/>
        <v>0</v>
      </c>
      <c r="O10" s="4">
        <f t="shared" si="3"/>
        <v>0</v>
      </c>
      <c r="P10" s="4">
        <f t="shared" si="4"/>
        <v>0</v>
      </c>
      <c r="Q10" s="4">
        <f t="shared" si="5"/>
        <v>0</v>
      </c>
      <c r="R10" s="4">
        <f t="shared" si="6"/>
        <v>0</v>
      </c>
      <c r="S10" s="4">
        <f t="shared" si="7"/>
        <v>0</v>
      </c>
    </row>
    <row r="11" spans="1:22" x14ac:dyDescent="0.35">
      <c r="A11" s="4" t="s">
        <v>107</v>
      </c>
      <c r="B11" s="6" t="s">
        <v>29</v>
      </c>
      <c r="C11" s="4" t="s">
        <v>107</v>
      </c>
      <c r="D11" s="4"/>
      <c r="E11" s="20" t="s">
        <v>30</v>
      </c>
      <c r="F11" s="3">
        <v>45910</v>
      </c>
      <c r="G11" s="3">
        <v>45905</v>
      </c>
      <c r="H11" s="3">
        <v>45967</v>
      </c>
      <c r="I11" s="3">
        <v>45979</v>
      </c>
      <c r="J11" s="3">
        <v>45994</v>
      </c>
      <c r="K11" s="3">
        <v>46029</v>
      </c>
      <c r="L11" s="3"/>
      <c r="M11" s="4">
        <f t="shared" si="1"/>
        <v>5</v>
      </c>
      <c r="N11" s="4">
        <f t="shared" si="2"/>
        <v>1</v>
      </c>
      <c r="O11" s="4">
        <f t="shared" si="3"/>
        <v>1</v>
      </c>
      <c r="P11" s="4">
        <f t="shared" si="4"/>
        <v>1</v>
      </c>
      <c r="Q11" s="4">
        <f t="shared" si="5"/>
        <v>1</v>
      </c>
      <c r="R11" s="4">
        <f t="shared" si="6"/>
        <v>1</v>
      </c>
      <c r="S11" s="4">
        <f t="shared" si="7"/>
        <v>0</v>
      </c>
      <c r="V11" s="1">
        <f>27/34</f>
        <v>0.79411764705882348</v>
      </c>
    </row>
    <row r="12" spans="1:22" x14ac:dyDescent="0.35">
      <c r="A12" s="4" t="s">
        <v>108</v>
      </c>
      <c r="B12" s="6" t="s">
        <v>31</v>
      </c>
      <c r="C12" s="4" t="s">
        <v>108</v>
      </c>
      <c r="D12" s="4"/>
      <c r="E12" s="20" t="s">
        <v>32</v>
      </c>
      <c r="F12" s="3">
        <v>45925</v>
      </c>
      <c r="G12" s="3">
        <v>45905</v>
      </c>
      <c r="H12" s="3">
        <v>45979</v>
      </c>
      <c r="I12" s="3"/>
      <c r="J12" s="3"/>
      <c r="K12" s="3"/>
      <c r="L12" s="3"/>
      <c r="M12" s="4">
        <f t="shared" si="1"/>
        <v>2</v>
      </c>
      <c r="N12" s="4">
        <f t="shared" si="2"/>
        <v>1</v>
      </c>
      <c r="O12" s="4">
        <f t="shared" si="3"/>
        <v>1</v>
      </c>
      <c r="P12" s="4">
        <f t="shared" si="4"/>
        <v>0</v>
      </c>
      <c r="Q12" s="4">
        <f t="shared" si="5"/>
        <v>0</v>
      </c>
      <c r="R12" s="4">
        <f t="shared" si="6"/>
        <v>0</v>
      </c>
      <c r="S12" s="4">
        <f t="shared" si="7"/>
        <v>0</v>
      </c>
      <c r="V12" s="1">
        <f>+V11*100</f>
        <v>79.411764705882348</v>
      </c>
    </row>
    <row r="13" spans="1:22" ht="14.5" customHeight="1" x14ac:dyDescent="0.35">
      <c r="A13" s="4" t="s">
        <v>165</v>
      </c>
      <c r="B13" s="6" t="s">
        <v>166</v>
      </c>
      <c r="C13" s="4" t="s">
        <v>165</v>
      </c>
      <c r="D13" s="4" t="s">
        <v>157</v>
      </c>
      <c r="E13" s="20" t="s">
        <v>158</v>
      </c>
      <c r="F13" s="3"/>
      <c r="G13" s="3">
        <v>45909</v>
      </c>
      <c r="H13" s="3">
        <v>45979</v>
      </c>
      <c r="I13" s="3"/>
      <c r="J13" s="3"/>
      <c r="K13" s="3"/>
      <c r="L13" s="3"/>
      <c r="M13" s="4">
        <f t="shared" si="1"/>
        <v>2</v>
      </c>
      <c r="N13" s="4">
        <f t="shared" si="2"/>
        <v>1</v>
      </c>
      <c r="O13" s="4">
        <f t="shared" si="3"/>
        <v>1</v>
      </c>
      <c r="P13" s="4">
        <f t="shared" si="4"/>
        <v>0</v>
      </c>
      <c r="Q13" s="4">
        <f t="shared" si="5"/>
        <v>0</v>
      </c>
      <c r="R13" s="4">
        <f t="shared" si="6"/>
        <v>0</v>
      </c>
      <c r="S13" s="4">
        <f t="shared" si="7"/>
        <v>0</v>
      </c>
    </row>
    <row r="14" spans="1:22" x14ac:dyDescent="0.35">
      <c r="A14" s="4" t="s">
        <v>109</v>
      </c>
      <c r="B14" s="6" t="s">
        <v>33</v>
      </c>
      <c r="C14" s="4" t="s">
        <v>109</v>
      </c>
      <c r="D14" s="4"/>
      <c r="E14" s="20" t="s">
        <v>34</v>
      </c>
      <c r="F14" s="3">
        <v>45925</v>
      </c>
      <c r="G14" s="3">
        <v>45905</v>
      </c>
      <c r="H14" s="3">
        <v>45979</v>
      </c>
      <c r="I14" s="3"/>
      <c r="J14" s="3"/>
      <c r="K14" s="3"/>
      <c r="L14" s="3"/>
      <c r="M14" s="4">
        <f t="shared" si="1"/>
        <v>2</v>
      </c>
      <c r="N14" s="4">
        <f t="shared" si="2"/>
        <v>1</v>
      </c>
      <c r="O14" s="4">
        <f t="shared" si="3"/>
        <v>1</v>
      </c>
      <c r="P14" s="4">
        <f t="shared" si="4"/>
        <v>0</v>
      </c>
      <c r="Q14" s="4">
        <f t="shared" si="5"/>
        <v>0</v>
      </c>
      <c r="R14" s="4">
        <f t="shared" si="6"/>
        <v>0</v>
      </c>
      <c r="S14" s="4">
        <f t="shared" si="7"/>
        <v>0</v>
      </c>
    </row>
    <row r="15" spans="1:22" x14ac:dyDescent="0.35">
      <c r="A15" s="4" t="s">
        <v>39</v>
      </c>
      <c r="B15" s="6" t="s">
        <v>35</v>
      </c>
      <c r="C15" s="4" t="s">
        <v>39</v>
      </c>
      <c r="D15" s="4"/>
      <c r="E15" s="20" t="s">
        <v>36</v>
      </c>
      <c r="F15" s="3">
        <v>45925</v>
      </c>
      <c r="G15" s="3">
        <v>45905</v>
      </c>
      <c r="H15" s="3">
        <v>45967</v>
      </c>
      <c r="I15" s="3">
        <v>45979</v>
      </c>
      <c r="J15" s="3">
        <v>45994</v>
      </c>
      <c r="K15" s="3"/>
      <c r="L15" s="3"/>
      <c r="M15" s="4">
        <f t="shared" si="1"/>
        <v>4</v>
      </c>
      <c r="N15" s="4">
        <f t="shared" si="2"/>
        <v>1</v>
      </c>
      <c r="O15" s="4">
        <f t="shared" si="3"/>
        <v>1</v>
      </c>
      <c r="P15" s="4">
        <f t="shared" si="4"/>
        <v>1</v>
      </c>
      <c r="Q15" s="4">
        <f t="shared" si="5"/>
        <v>1</v>
      </c>
      <c r="R15" s="4">
        <f t="shared" si="6"/>
        <v>0</v>
      </c>
      <c r="S15" s="4">
        <f t="shared" si="7"/>
        <v>0</v>
      </c>
    </row>
    <row r="16" spans="1:22" x14ac:dyDescent="0.35">
      <c r="A16" s="4" t="s">
        <v>110</v>
      </c>
      <c r="B16" s="6" t="s">
        <v>37</v>
      </c>
      <c r="C16" s="4" t="s">
        <v>110</v>
      </c>
      <c r="D16" s="4"/>
      <c r="E16" s="20" t="s">
        <v>38</v>
      </c>
      <c r="F16" s="3">
        <v>45925</v>
      </c>
      <c r="G16" s="3"/>
      <c r="H16" s="3"/>
      <c r="I16" s="3"/>
      <c r="J16" s="3"/>
      <c r="K16" s="3"/>
      <c r="L16" s="3"/>
      <c r="M16" s="4">
        <f t="shared" si="1"/>
        <v>0</v>
      </c>
      <c r="N16" s="4">
        <f t="shared" si="2"/>
        <v>0</v>
      </c>
      <c r="O16" s="4">
        <f t="shared" si="3"/>
        <v>0</v>
      </c>
      <c r="P16" s="4">
        <f t="shared" si="4"/>
        <v>0</v>
      </c>
      <c r="Q16" s="4">
        <f t="shared" si="5"/>
        <v>0</v>
      </c>
      <c r="R16" s="4">
        <f t="shared" si="6"/>
        <v>0</v>
      </c>
      <c r="S16" s="4">
        <f t="shared" si="7"/>
        <v>0</v>
      </c>
    </row>
    <row r="17" spans="1:22" x14ac:dyDescent="0.35">
      <c r="A17" s="4" t="s">
        <v>111</v>
      </c>
      <c r="B17" s="6" t="s">
        <v>40</v>
      </c>
      <c r="C17" s="4" t="s">
        <v>111</v>
      </c>
      <c r="D17" s="4"/>
      <c r="E17" s="20" t="s">
        <v>41</v>
      </c>
      <c r="F17" s="3">
        <v>45925</v>
      </c>
      <c r="G17" s="3"/>
      <c r="H17" s="3"/>
      <c r="I17" s="3"/>
      <c r="J17" s="3"/>
      <c r="K17" s="3"/>
      <c r="L17" s="3"/>
      <c r="M17" s="4">
        <f t="shared" si="1"/>
        <v>0</v>
      </c>
      <c r="N17" s="4">
        <f t="shared" si="2"/>
        <v>0</v>
      </c>
      <c r="O17" s="4">
        <f t="shared" si="3"/>
        <v>0</v>
      </c>
      <c r="P17" s="4">
        <f t="shared" si="4"/>
        <v>0</v>
      </c>
      <c r="Q17" s="4">
        <f t="shared" si="5"/>
        <v>0</v>
      </c>
      <c r="R17" s="4">
        <f t="shared" si="6"/>
        <v>0</v>
      </c>
      <c r="S17" s="4">
        <f t="shared" si="7"/>
        <v>0</v>
      </c>
    </row>
    <row r="18" spans="1:22" x14ac:dyDescent="0.35">
      <c r="A18" s="4" t="s">
        <v>127</v>
      </c>
      <c r="B18" s="6" t="s">
        <v>42</v>
      </c>
      <c r="C18" s="4" t="s">
        <v>127</v>
      </c>
      <c r="D18" s="4"/>
      <c r="E18" s="20" t="s">
        <v>43</v>
      </c>
      <c r="F18" s="3">
        <v>45925</v>
      </c>
      <c r="G18" s="3"/>
      <c r="H18" s="3"/>
      <c r="I18" s="3"/>
      <c r="J18" s="3"/>
      <c r="K18" s="3"/>
      <c r="L18" s="3"/>
      <c r="M18" s="4">
        <f t="shared" si="1"/>
        <v>0</v>
      </c>
      <c r="N18" s="4">
        <f t="shared" si="2"/>
        <v>0</v>
      </c>
      <c r="O18" s="4">
        <f t="shared" si="3"/>
        <v>0</v>
      </c>
      <c r="P18" s="4">
        <f t="shared" si="4"/>
        <v>0</v>
      </c>
      <c r="Q18" s="4">
        <f t="shared" si="5"/>
        <v>0</v>
      </c>
      <c r="R18" s="4">
        <f t="shared" si="6"/>
        <v>0</v>
      </c>
      <c r="S18" s="4">
        <f t="shared" si="7"/>
        <v>0</v>
      </c>
    </row>
    <row r="19" spans="1:22" x14ac:dyDescent="0.35">
      <c r="A19" s="4" t="s">
        <v>128</v>
      </c>
      <c r="B19" s="6" t="s">
        <v>44</v>
      </c>
      <c r="C19" s="4" t="s">
        <v>128</v>
      </c>
      <c r="D19" s="4"/>
      <c r="E19" s="20" t="s">
        <v>45</v>
      </c>
      <c r="F19" s="3">
        <v>45925</v>
      </c>
      <c r="G19" s="3">
        <v>45979</v>
      </c>
      <c r="H19" s="3"/>
      <c r="I19" s="3"/>
      <c r="J19" s="3"/>
      <c r="K19" s="3"/>
      <c r="L19" s="3"/>
      <c r="M19" s="4">
        <f t="shared" si="1"/>
        <v>1</v>
      </c>
      <c r="N19" s="4">
        <f t="shared" si="2"/>
        <v>1</v>
      </c>
      <c r="O19" s="4">
        <f t="shared" si="3"/>
        <v>0</v>
      </c>
      <c r="P19" s="4">
        <f t="shared" si="4"/>
        <v>0</v>
      </c>
      <c r="Q19" s="4">
        <f t="shared" si="5"/>
        <v>0</v>
      </c>
      <c r="R19" s="4">
        <f t="shared" si="6"/>
        <v>0</v>
      </c>
      <c r="S19" s="4">
        <f t="shared" si="7"/>
        <v>0</v>
      </c>
    </row>
    <row r="20" spans="1:22" x14ac:dyDescent="0.35">
      <c r="A20" s="4" t="s">
        <v>112</v>
      </c>
      <c r="B20" s="6" t="s">
        <v>46</v>
      </c>
      <c r="C20" s="4" t="s">
        <v>112</v>
      </c>
      <c r="D20" s="4"/>
      <c r="E20" s="20" t="s">
        <v>47</v>
      </c>
      <c r="F20" s="3">
        <v>45925</v>
      </c>
      <c r="G20" s="3">
        <v>45990</v>
      </c>
      <c r="H20" s="3"/>
      <c r="I20" s="3"/>
      <c r="J20" s="3"/>
      <c r="K20" s="3"/>
      <c r="L20" s="3"/>
      <c r="M20" s="4">
        <f t="shared" si="1"/>
        <v>1</v>
      </c>
      <c r="N20" s="4">
        <f t="shared" si="2"/>
        <v>1</v>
      </c>
      <c r="O20" s="4">
        <f t="shared" si="3"/>
        <v>0</v>
      </c>
      <c r="P20" s="4">
        <f t="shared" si="4"/>
        <v>0</v>
      </c>
      <c r="Q20" s="4">
        <f t="shared" si="5"/>
        <v>0</v>
      </c>
      <c r="R20" s="4">
        <f t="shared" si="6"/>
        <v>0</v>
      </c>
      <c r="S20" s="4">
        <f t="shared" si="7"/>
        <v>0</v>
      </c>
    </row>
    <row r="21" spans="1:22" x14ac:dyDescent="0.35">
      <c r="A21" s="4" t="s">
        <v>113</v>
      </c>
      <c r="B21" s="6" t="s">
        <v>48</v>
      </c>
      <c r="C21" s="4" t="s">
        <v>113</v>
      </c>
      <c r="D21" s="4"/>
      <c r="E21" s="20" t="s">
        <v>49</v>
      </c>
      <c r="F21" s="3"/>
      <c r="G21" s="3"/>
      <c r="H21" s="3"/>
      <c r="I21" s="3"/>
      <c r="J21" s="3"/>
      <c r="K21" s="3"/>
      <c r="L21" s="3"/>
      <c r="M21" s="4">
        <f t="shared" si="1"/>
        <v>0</v>
      </c>
      <c r="N21" s="4">
        <f t="shared" si="2"/>
        <v>0</v>
      </c>
      <c r="O21" s="4">
        <f t="shared" si="3"/>
        <v>0</v>
      </c>
      <c r="P21" s="4">
        <f t="shared" si="4"/>
        <v>0</v>
      </c>
      <c r="Q21" s="4">
        <f t="shared" si="5"/>
        <v>0</v>
      </c>
      <c r="R21" s="4">
        <f t="shared" si="6"/>
        <v>0</v>
      </c>
      <c r="S21" s="4">
        <f t="shared" si="7"/>
        <v>0</v>
      </c>
    </row>
    <row r="22" spans="1:22" x14ac:dyDescent="0.35">
      <c r="A22" s="4" t="s">
        <v>129</v>
      </c>
      <c r="B22" s="6" t="s">
        <v>50</v>
      </c>
      <c r="C22" s="4" t="s">
        <v>129</v>
      </c>
      <c r="D22" s="4"/>
      <c r="E22" s="20" t="s">
        <v>51</v>
      </c>
      <c r="F22" s="3">
        <v>45925</v>
      </c>
      <c r="G22" s="3">
        <v>45877</v>
      </c>
      <c r="H22" s="3">
        <v>45889</v>
      </c>
      <c r="I22" s="3"/>
      <c r="J22" s="3"/>
      <c r="K22" s="3"/>
      <c r="L22" s="3"/>
      <c r="M22" s="4">
        <f t="shared" ref="M22" si="8">+SUM(N22:S22)</f>
        <v>2</v>
      </c>
      <c r="N22" s="4">
        <f t="shared" ref="N22" si="9">+COUNTIF(G22,G22)</f>
        <v>1</v>
      </c>
      <c r="O22" s="4">
        <f t="shared" ref="O22" si="10">+COUNTIF(H22,H22)</f>
        <v>1</v>
      </c>
      <c r="P22" s="4">
        <f t="shared" ref="P22" si="11">+COUNTIF(I22,I22)</f>
        <v>0</v>
      </c>
      <c r="Q22" s="4">
        <f t="shared" ref="Q22" si="12">+COUNTIF(J22,J22)</f>
        <v>0</v>
      </c>
      <c r="R22" s="4">
        <f t="shared" ref="R22" si="13">+COUNTIF(K22,K22)</f>
        <v>0</v>
      </c>
      <c r="S22" s="4">
        <f t="shared" ref="S22" si="14">+COUNTIF(L22,L22)</f>
        <v>0</v>
      </c>
    </row>
    <row r="23" spans="1:22" x14ac:dyDescent="0.35">
      <c r="A23" s="32" t="s">
        <v>11</v>
      </c>
      <c r="B23" s="32"/>
      <c r="C23" s="32"/>
      <c r="D23" s="32"/>
      <c r="E23" s="32"/>
      <c r="F23" s="3"/>
      <c r="G23" s="3"/>
      <c r="H23" s="3"/>
      <c r="I23" s="3"/>
      <c r="J23" s="3"/>
      <c r="K23" s="3"/>
      <c r="L23" s="3"/>
      <c r="M23" s="4"/>
      <c r="N23" s="4"/>
      <c r="O23" s="4"/>
      <c r="P23" s="4"/>
      <c r="Q23" s="4"/>
      <c r="R23" s="4"/>
      <c r="S23" s="4"/>
    </row>
    <row r="24" spans="1:22" x14ac:dyDescent="0.35">
      <c r="A24" s="4" t="s">
        <v>13</v>
      </c>
      <c r="B24" s="5" t="s">
        <v>146</v>
      </c>
      <c r="C24" s="4" t="s">
        <v>13</v>
      </c>
      <c r="D24" s="4"/>
      <c r="E24" s="5" t="s">
        <v>12</v>
      </c>
      <c r="F24" s="3">
        <v>45856</v>
      </c>
      <c r="G24" s="3">
        <v>45856</v>
      </c>
      <c r="H24" s="3">
        <v>45860</v>
      </c>
      <c r="I24" s="3">
        <v>45861</v>
      </c>
      <c r="J24" s="3"/>
      <c r="K24" s="3"/>
      <c r="L24" s="3"/>
      <c r="M24" s="4">
        <f>+SUM(N24:S24)</f>
        <v>3</v>
      </c>
      <c r="N24" s="4">
        <f>+COUNTIF(G24,G24)</f>
        <v>1</v>
      </c>
      <c r="O24" s="4">
        <f t="shared" ref="O24:O45" si="15">+COUNTIF(H24,H24)</f>
        <v>1</v>
      </c>
      <c r="P24" s="4">
        <f t="shared" ref="P24:P45" si="16">+COUNTIF(I24,I24)</f>
        <v>1</v>
      </c>
      <c r="Q24" s="4">
        <f t="shared" ref="Q24:Q45" si="17">+COUNTIF(J24,J24)</f>
        <v>0</v>
      </c>
      <c r="R24" s="4">
        <f t="shared" ref="R24:R45" si="18">+COUNTIF(K24,K24)</f>
        <v>0</v>
      </c>
      <c r="S24" s="4">
        <f t="shared" ref="S24:S45" si="19">+COUNTIF(L24,L24)</f>
        <v>0</v>
      </c>
    </row>
    <row r="25" spans="1:22" x14ac:dyDescent="0.35">
      <c r="A25" s="4" t="s">
        <v>13</v>
      </c>
      <c r="B25" s="5" t="s">
        <v>146</v>
      </c>
      <c r="C25" s="4" t="s">
        <v>13</v>
      </c>
      <c r="D25" s="4"/>
      <c r="E25" s="5" t="s">
        <v>12</v>
      </c>
      <c r="F25" s="3">
        <v>45856</v>
      </c>
      <c r="G25" s="3">
        <v>45856</v>
      </c>
      <c r="H25" s="3">
        <v>45860</v>
      </c>
      <c r="I25" s="3">
        <v>45861</v>
      </c>
      <c r="J25" s="3"/>
      <c r="K25" s="3"/>
      <c r="L25" s="3"/>
      <c r="M25" s="4">
        <f t="shared" ref="M25:M45" si="20">+SUM(N25:S25)</f>
        <v>3</v>
      </c>
      <c r="N25" s="4">
        <f t="shared" ref="N25:N45" si="21">+COUNTIF(G25,G25)</f>
        <v>1</v>
      </c>
      <c r="O25" s="4">
        <f t="shared" si="15"/>
        <v>1</v>
      </c>
      <c r="P25" s="4">
        <f t="shared" si="16"/>
        <v>1</v>
      </c>
      <c r="Q25" s="4">
        <f t="shared" si="17"/>
        <v>0</v>
      </c>
      <c r="R25" s="4">
        <f t="shared" si="18"/>
        <v>0</v>
      </c>
      <c r="S25" s="4">
        <f t="shared" si="19"/>
        <v>0</v>
      </c>
    </row>
    <row r="26" spans="1:22" x14ac:dyDescent="0.35">
      <c r="A26" s="4" t="s">
        <v>14</v>
      </c>
      <c r="B26" s="5" t="s">
        <v>146</v>
      </c>
      <c r="C26" s="4" t="s">
        <v>14</v>
      </c>
      <c r="D26" s="4"/>
      <c r="E26" s="5" t="s">
        <v>16</v>
      </c>
      <c r="F26" s="3">
        <v>45856</v>
      </c>
      <c r="G26" s="3">
        <v>45856</v>
      </c>
      <c r="H26" s="3">
        <v>45860</v>
      </c>
      <c r="I26" s="3">
        <v>45861</v>
      </c>
      <c r="J26" s="3"/>
      <c r="K26" s="3"/>
      <c r="L26" s="3"/>
      <c r="M26" s="4">
        <f t="shared" si="20"/>
        <v>3</v>
      </c>
      <c r="N26" s="4">
        <f t="shared" si="21"/>
        <v>1</v>
      </c>
      <c r="O26" s="4">
        <f t="shared" si="15"/>
        <v>1</v>
      </c>
      <c r="P26" s="4">
        <f t="shared" si="16"/>
        <v>1</v>
      </c>
      <c r="Q26" s="4">
        <f t="shared" si="17"/>
        <v>0</v>
      </c>
      <c r="R26" s="4">
        <f t="shared" si="18"/>
        <v>0</v>
      </c>
      <c r="S26" s="4">
        <f t="shared" si="19"/>
        <v>0</v>
      </c>
    </row>
    <row r="27" spans="1:22" x14ac:dyDescent="0.35">
      <c r="A27" s="4" t="s">
        <v>15</v>
      </c>
      <c r="B27" s="5" t="s">
        <v>146</v>
      </c>
      <c r="C27" s="4" t="s">
        <v>15</v>
      </c>
      <c r="D27" s="4"/>
      <c r="E27" s="5" t="s">
        <v>17</v>
      </c>
      <c r="F27" s="3">
        <v>45856</v>
      </c>
      <c r="G27" s="3">
        <v>45856</v>
      </c>
      <c r="H27" s="3">
        <v>45860</v>
      </c>
      <c r="I27" s="3">
        <v>45861</v>
      </c>
      <c r="J27" s="3"/>
      <c r="K27" s="3"/>
      <c r="L27" s="3"/>
      <c r="M27" s="4">
        <f t="shared" si="20"/>
        <v>3</v>
      </c>
      <c r="N27" s="4">
        <f t="shared" si="21"/>
        <v>1</v>
      </c>
      <c r="O27" s="4">
        <f t="shared" si="15"/>
        <v>1</v>
      </c>
      <c r="P27" s="4">
        <f t="shared" si="16"/>
        <v>1</v>
      </c>
      <c r="Q27" s="4">
        <f t="shared" si="17"/>
        <v>0</v>
      </c>
      <c r="R27" s="4">
        <f t="shared" si="18"/>
        <v>0</v>
      </c>
      <c r="S27" s="4">
        <f t="shared" si="19"/>
        <v>0</v>
      </c>
    </row>
    <row r="28" spans="1:22" x14ac:dyDescent="0.35">
      <c r="A28" s="4" t="s">
        <v>114</v>
      </c>
      <c r="B28" s="5" t="s">
        <v>146</v>
      </c>
      <c r="C28" s="4" t="s">
        <v>114</v>
      </c>
      <c r="D28" s="4"/>
      <c r="E28" s="5" t="s">
        <v>18</v>
      </c>
      <c r="F28" s="3">
        <v>45856</v>
      </c>
      <c r="G28" s="3">
        <v>45856</v>
      </c>
      <c r="H28" s="3">
        <v>45860</v>
      </c>
      <c r="I28" s="3">
        <v>45861</v>
      </c>
      <c r="J28" s="3"/>
      <c r="K28" s="3"/>
      <c r="L28" s="3"/>
      <c r="M28" s="4">
        <f t="shared" si="20"/>
        <v>3</v>
      </c>
      <c r="N28" s="4">
        <f t="shared" si="21"/>
        <v>1</v>
      </c>
      <c r="O28" s="4">
        <f t="shared" si="15"/>
        <v>1</v>
      </c>
      <c r="P28" s="4">
        <f t="shared" si="16"/>
        <v>1</v>
      </c>
      <c r="Q28" s="4">
        <f t="shared" si="17"/>
        <v>0</v>
      </c>
      <c r="R28" s="4">
        <f t="shared" si="18"/>
        <v>0</v>
      </c>
      <c r="S28" s="4">
        <f t="shared" si="19"/>
        <v>0</v>
      </c>
      <c r="V28" s="1">
        <f>28/29</f>
        <v>0.96551724137931039</v>
      </c>
    </row>
    <row r="29" spans="1:22" hidden="1" x14ac:dyDescent="0.35">
      <c r="A29" s="4" t="s">
        <v>55</v>
      </c>
      <c r="B29" s="5" t="s">
        <v>52</v>
      </c>
      <c r="C29" s="4" t="s">
        <v>55</v>
      </c>
      <c r="D29" s="4"/>
      <c r="E29" s="5" t="s">
        <v>53</v>
      </c>
      <c r="F29" s="3"/>
      <c r="G29" s="3"/>
      <c r="H29" s="3"/>
      <c r="I29" s="3"/>
      <c r="J29" s="3"/>
      <c r="K29" s="3"/>
      <c r="L29" s="3"/>
      <c r="M29" s="4">
        <f t="shared" si="20"/>
        <v>0</v>
      </c>
      <c r="N29" s="4">
        <f t="shared" si="21"/>
        <v>0</v>
      </c>
      <c r="O29" s="4">
        <f t="shared" si="15"/>
        <v>0</v>
      </c>
      <c r="P29" s="4">
        <f t="shared" si="16"/>
        <v>0</v>
      </c>
      <c r="Q29" s="4">
        <f t="shared" si="17"/>
        <v>0</v>
      </c>
      <c r="R29" s="4">
        <f t="shared" si="18"/>
        <v>0</v>
      </c>
      <c r="S29" s="4">
        <f t="shared" si="19"/>
        <v>0</v>
      </c>
      <c r="V29" s="1">
        <f>+V28*100</f>
        <v>96.551724137931032</v>
      </c>
    </row>
    <row r="30" spans="1:22" x14ac:dyDescent="0.35">
      <c r="A30" s="4" t="s">
        <v>57</v>
      </c>
      <c r="B30" s="5" t="s">
        <v>133</v>
      </c>
      <c r="C30" s="4" t="s">
        <v>134</v>
      </c>
      <c r="D30" s="4"/>
      <c r="E30" s="5" t="s">
        <v>54</v>
      </c>
      <c r="F30" s="3">
        <v>45877</v>
      </c>
      <c r="G30" s="3">
        <v>45877</v>
      </c>
      <c r="H30" s="3"/>
      <c r="I30" s="3"/>
      <c r="J30" s="3"/>
      <c r="K30" s="3"/>
      <c r="L30" s="3"/>
      <c r="M30" s="4">
        <f t="shared" si="20"/>
        <v>1</v>
      </c>
      <c r="N30" s="4">
        <f t="shared" si="21"/>
        <v>1</v>
      </c>
      <c r="O30" s="4">
        <f t="shared" si="15"/>
        <v>0</v>
      </c>
      <c r="P30" s="4">
        <f t="shared" si="16"/>
        <v>0</v>
      </c>
      <c r="Q30" s="4">
        <f t="shared" si="17"/>
        <v>0</v>
      </c>
      <c r="R30" s="4">
        <f t="shared" si="18"/>
        <v>0</v>
      </c>
      <c r="S30" s="4">
        <f t="shared" si="19"/>
        <v>0</v>
      </c>
    </row>
    <row r="31" spans="1:22" x14ac:dyDescent="0.35">
      <c r="A31" s="4" t="s">
        <v>59</v>
      </c>
      <c r="B31" s="5" t="s">
        <v>130</v>
      </c>
      <c r="C31" s="4" t="s">
        <v>13</v>
      </c>
      <c r="D31" s="4"/>
      <c r="E31" s="5" t="s">
        <v>56</v>
      </c>
      <c r="F31" s="3">
        <v>45877</v>
      </c>
      <c r="G31" s="3">
        <v>45877</v>
      </c>
      <c r="H31" s="3">
        <v>45889</v>
      </c>
      <c r="I31" s="3"/>
      <c r="J31" s="3"/>
      <c r="K31" s="3"/>
      <c r="L31" s="3"/>
      <c r="M31" s="4">
        <f t="shared" si="20"/>
        <v>2</v>
      </c>
      <c r="N31" s="4">
        <f t="shared" si="21"/>
        <v>1</v>
      </c>
      <c r="O31" s="4">
        <f t="shared" si="15"/>
        <v>1</v>
      </c>
      <c r="P31" s="4">
        <f t="shared" si="16"/>
        <v>0</v>
      </c>
      <c r="Q31" s="4">
        <f t="shared" si="17"/>
        <v>0</v>
      </c>
      <c r="R31" s="4">
        <f t="shared" si="18"/>
        <v>0</v>
      </c>
      <c r="S31" s="4">
        <f t="shared" si="19"/>
        <v>0</v>
      </c>
    </row>
    <row r="32" spans="1:22" x14ac:dyDescent="0.35">
      <c r="A32" s="4" t="s">
        <v>132</v>
      </c>
      <c r="B32" s="5" t="s">
        <v>131</v>
      </c>
      <c r="C32" s="4" t="s">
        <v>135</v>
      </c>
      <c r="D32" s="4"/>
      <c r="E32" s="5" t="s">
        <v>58</v>
      </c>
      <c r="F32" s="3">
        <v>45877</v>
      </c>
      <c r="G32" s="3">
        <v>45877</v>
      </c>
      <c r="H32" s="3">
        <v>45889</v>
      </c>
      <c r="I32" s="3"/>
      <c r="J32" s="3"/>
      <c r="K32" s="3"/>
      <c r="L32" s="3"/>
      <c r="M32" s="4">
        <f t="shared" si="20"/>
        <v>2</v>
      </c>
      <c r="N32" s="4">
        <f t="shared" si="21"/>
        <v>1</v>
      </c>
      <c r="O32" s="4">
        <f t="shared" si="15"/>
        <v>1</v>
      </c>
      <c r="P32" s="4">
        <f t="shared" si="16"/>
        <v>0</v>
      </c>
      <c r="Q32" s="4">
        <f t="shared" si="17"/>
        <v>0</v>
      </c>
      <c r="R32" s="4">
        <f t="shared" si="18"/>
        <v>0</v>
      </c>
      <c r="S32" s="4">
        <f t="shared" si="19"/>
        <v>0</v>
      </c>
    </row>
    <row r="33" spans="1:19" ht="40" customHeight="1" x14ac:dyDescent="0.35">
      <c r="A33" s="4" t="s">
        <v>144</v>
      </c>
      <c r="B33" s="5" t="s">
        <v>145</v>
      </c>
      <c r="C33" s="4" t="s">
        <v>138</v>
      </c>
      <c r="D33" s="4"/>
      <c r="E33" s="5" t="s">
        <v>139</v>
      </c>
      <c r="F33" s="3"/>
      <c r="G33" s="3">
        <v>45905</v>
      </c>
      <c r="H33" s="3"/>
      <c r="I33" s="3"/>
      <c r="J33" s="3"/>
      <c r="K33" s="3"/>
      <c r="L33" s="3"/>
      <c r="M33" s="4">
        <f>+SUM(N33:S33)</f>
        <v>1</v>
      </c>
      <c r="N33" s="4">
        <f t="shared" ref="N33:S33" si="22">+COUNTIF(G33,G33)</f>
        <v>1</v>
      </c>
      <c r="O33" s="4">
        <f t="shared" si="22"/>
        <v>0</v>
      </c>
      <c r="P33" s="4">
        <f t="shared" si="22"/>
        <v>0</v>
      </c>
      <c r="Q33" s="4">
        <f t="shared" si="22"/>
        <v>0</v>
      </c>
      <c r="R33" s="4">
        <f t="shared" si="22"/>
        <v>0</v>
      </c>
      <c r="S33" s="4">
        <f t="shared" si="22"/>
        <v>0</v>
      </c>
    </row>
    <row r="34" spans="1:19" ht="34.5" customHeight="1" x14ac:dyDescent="0.35">
      <c r="A34" s="4" t="s">
        <v>143</v>
      </c>
      <c r="B34" s="5" t="s">
        <v>141</v>
      </c>
      <c r="C34" s="4" t="s">
        <v>142</v>
      </c>
      <c r="D34" s="4"/>
      <c r="E34" s="5" t="s">
        <v>140</v>
      </c>
      <c r="F34" s="3"/>
      <c r="G34" s="3">
        <v>45911</v>
      </c>
      <c r="H34" s="3"/>
      <c r="I34" s="3"/>
      <c r="J34" s="3"/>
      <c r="K34" s="3"/>
      <c r="L34" s="3"/>
      <c r="M34" s="4">
        <f t="shared" si="20"/>
        <v>1</v>
      </c>
      <c r="N34" s="4">
        <f t="shared" si="21"/>
        <v>1</v>
      </c>
      <c r="O34" s="4">
        <f t="shared" si="15"/>
        <v>0</v>
      </c>
      <c r="P34" s="4">
        <f t="shared" si="16"/>
        <v>0</v>
      </c>
      <c r="Q34" s="4">
        <f t="shared" si="17"/>
        <v>0</v>
      </c>
      <c r="R34" s="4">
        <f t="shared" si="18"/>
        <v>0</v>
      </c>
      <c r="S34" s="4">
        <f t="shared" si="19"/>
        <v>0</v>
      </c>
    </row>
    <row r="35" spans="1:19" x14ac:dyDescent="0.35">
      <c r="A35" s="4" t="s">
        <v>115</v>
      </c>
      <c r="B35" s="5" t="s">
        <v>60</v>
      </c>
      <c r="C35" s="4" t="s">
        <v>115</v>
      </c>
      <c r="D35" s="4"/>
      <c r="E35" s="5" t="s">
        <v>61</v>
      </c>
      <c r="F35" s="3">
        <v>45889</v>
      </c>
      <c r="G35" s="3">
        <v>45877</v>
      </c>
      <c r="H35" s="3">
        <v>45889</v>
      </c>
      <c r="I35" s="3"/>
      <c r="J35" s="3"/>
      <c r="K35" s="3"/>
      <c r="L35" s="3"/>
      <c r="M35" s="4">
        <f t="shared" si="20"/>
        <v>2</v>
      </c>
      <c r="N35" s="4">
        <f t="shared" si="21"/>
        <v>1</v>
      </c>
      <c r="O35" s="4">
        <f t="shared" si="15"/>
        <v>1</v>
      </c>
      <c r="P35" s="4">
        <f t="shared" si="16"/>
        <v>0</v>
      </c>
      <c r="Q35" s="4">
        <f t="shared" si="17"/>
        <v>0</v>
      </c>
      <c r="R35" s="4">
        <f t="shared" si="18"/>
        <v>0</v>
      </c>
      <c r="S35" s="4">
        <f t="shared" si="19"/>
        <v>0</v>
      </c>
    </row>
    <row r="36" spans="1:19" x14ac:dyDescent="0.35">
      <c r="A36" s="4" t="s">
        <v>116</v>
      </c>
      <c r="B36" s="5" t="s">
        <v>62</v>
      </c>
      <c r="C36" s="4" t="s">
        <v>116</v>
      </c>
      <c r="D36" s="4"/>
      <c r="E36" s="5" t="s">
        <v>63</v>
      </c>
      <c r="F36" s="3">
        <v>45902</v>
      </c>
      <c r="G36" s="3">
        <v>45915</v>
      </c>
      <c r="H36" s="3"/>
      <c r="I36" s="3"/>
      <c r="J36" s="3"/>
      <c r="K36" s="3"/>
      <c r="L36" s="3"/>
      <c r="M36" s="4">
        <f t="shared" si="20"/>
        <v>1</v>
      </c>
      <c r="N36" s="4">
        <f t="shared" si="21"/>
        <v>1</v>
      </c>
      <c r="O36" s="4">
        <f t="shared" si="15"/>
        <v>0</v>
      </c>
      <c r="P36" s="4">
        <f t="shared" si="16"/>
        <v>0</v>
      </c>
      <c r="Q36" s="4">
        <f t="shared" si="17"/>
        <v>0</v>
      </c>
      <c r="R36" s="4">
        <f t="shared" si="18"/>
        <v>0</v>
      </c>
      <c r="S36" s="4">
        <f t="shared" si="19"/>
        <v>0</v>
      </c>
    </row>
    <row r="37" spans="1:19" ht="34" customHeight="1" x14ac:dyDescent="0.35">
      <c r="A37" s="4" t="s">
        <v>164</v>
      </c>
      <c r="B37" s="5" t="s">
        <v>62</v>
      </c>
      <c r="C37" s="4" t="s">
        <v>164</v>
      </c>
      <c r="D37" s="4" t="s">
        <v>148</v>
      </c>
      <c r="E37" s="5" t="s">
        <v>149</v>
      </c>
      <c r="F37" s="3">
        <v>45902</v>
      </c>
      <c r="G37" s="3">
        <v>45915</v>
      </c>
      <c r="H37" s="3">
        <v>45994</v>
      </c>
      <c r="I37" s="3"/>
      <c r="J37" s="3"/>
      <c r="K37" s="3"/>
      <c r="L37" s="3"/>
      <c r="M37" s="4">
        <f t="shared" ref="M37:M40" si="23">+SUM(N37:S37)</f>
        <v>2</v>
      </c>
      <c r="N37" s="4">
        <f t="shared" ref="N37:N40" si="24">+COUNTIF(G37,G37)</f>
        <v>1</v>
      </c>
      <c r="O37" s="4">
        <f t="shared" ref="O37:O41" si="25">+COUNTIF(H37,H37)</f>
        <v>1</v>
      </c>
      <c r="P37" s="4">
        <f t="shared" ref="P37:P41" si="26">+COUNTIF(I37,I37)</f>
        <v>0</v>
      </c>
      <c r="Q37" s="4">
        <f t="shared" ref="Q37:Q41" si="27">+COUNTIF(J37,J37)</f>
        <v>0</v>
      </c>
      <c r="R37" s="4">
        <f t="shared" ref="R37:R41" si="28">+COUNTIF(K37,K37)</f>
        <v>0</v>
      </c>
      <c r="S37" s="4">
        <f t="shared" ref="S37:S41" si="29">+COUNTIF(L37,L37)</f>
        <v>0</v>
      </c>
    </row>
    <row r="38" spans="1:19" ht="33" customHeight="1" x14ac:dyDescent="0.35">
      <c r="A38" s="4" t="s">
        <v>160</v>
      </c>
      <c r="B38" s="5" t="s">
        <v>62</v>
      </c>
      <c r="C38" s="4" t="s">
        <v>160</v>
      </c>
      <c r="D38" s="4" t="s">
        <v>150</v>
      </c>
      <c r="E38" s="5" t="s">
        <v>154</v>
      </c>
      <c r="F38" s="3">
        <v>45902</v>
      </c>
      <c r="G38" s="3">
        <v>45915</v>
      </c>
      <c r="H38" s="3">
        <v>45994</v>
      </c>
      <c r="I38" s="3"/>
      <c r="J38" s="3"/>
      <c r="K38" s="3"/>
      <c r="L38" s="3"/>
      <c r="M38" s="4">
        <f t="shared" si="23"/>
        <v>2</v>
      </c>
      <c r="N38" s="4">
        <f t="shared" si="24"/>
        <v>1</v>
      </c>
      <c r="O38" s="4">
        <f t="shared" si="25"/>
        <v>1</v>
      </c>
      <c r="P38" s="4">
        <f t="shared" si="26"/>
        <v>0</v>
      </c>
      <c r="Q38" s="4">
        <f t="shared" si="27"/>
        <v>0</v>
      </c>
      <c r="R38" s="4">
        <f t="shared" si="28"/>
        <v>0</v>
      </c>
      <c r="S38" s="4">
        <f t="shared" si="29"/>
        <v>0</v>
      </c>
    </row>
    <row r="39" spans="1:19" ht="36.5" customHeight="1" x14ac:dyDescent="0.35">
      <c r="A39" s="4" t="s">
        <v>161</v>
      </c>
      <c r="B39" s="5" t="s">
        <v>62</v>
      </c>
      <c r="C39" s="4" t="s">
        <v>161</v>
      </c>
      <c r="D39" s="4" t="s">
        <v>151</v>
      </c>
      <c r="E39" s="5" t="s">
        <v>155</v>
      </c>
      <c r="F39" s="3">
        <v>45902</v>
      </c>
      <c r="G39" s="3">
        <v>45915</v>
      </c>
      <c r="H39" s="3">
        <v>45994</v>
      </c>
      <c r="I39" s="3"/>
      <c r="J39" s="3"/>
      <c r="K39" s="3"/>
      <c r="L39" s="3"/>
      <c r="M39" s="4">
        <f t="shared" si="23"/>
        <v>2</v>
      </c>
      <c r="N39" s="4">
        <f t="shared" si="24"/>
        <v>1</v>
      </c>
      <c r="O39" s="4">
        <f t="shared" si="25"/>
        <v>1</v>
      </c>
      <c r="P39" s="4">
        <f t="shared" si="26"/>
        <v>0</v>
      </c>
      <c r="Q39" s="4">
        <f t="shared" si="27"/>
        <v>0</v>
      </c>
      <c r="R39" s="4">
        <f t="shared" si="28"/>
        <v>0</v>
      </c>
      <c r="S39" s="4">
        <f t="shared" si="29"/>
        <v>0</v>
      </c>
    </row>
    <row r="40" spans="1:19" ht="32.5" customHeight="1" x14ac:dyDescent="0.35">
      <c r="A40" s="4" t="s">
        <v>162</v>
      </c>
      <c r="B40" s="5" t="s">
        <v>62</v>
      </c>
      <c r="C40" s="4" t="s">
        <v>162</v>
      </c>
      <c r="D40" s="4" t="s">
        <v>152</v>
      </c>
      <c r="E40" s="5" t="s">
        <v>156</v>
      </c>
      <c r="F40" s="3">
        <v>45902</v>
      </c>
      <c r="G40" s="3">
        <v>45915</v>
      </c>
      <c r="H40" s="3">
        <v>45994</v>
      </c>
      <c r="I40" s="3"/>
      <c r="J40" s="3"/>
      <c r="K40" s="3"/>
      <c r="L40" s="3"/>
      <c r="M40" s="4">
        <f t="shared" si="23"/>
        <v>2</v>
      </c>
      <c r="N40" s="4">
        <f t="shared" si="24"/>
        <v>1</v>
      </c>
      <c r="O40" s="4">
        <f t="shared" si="25"/>
        <v>1</v>
      </c>
      <c r="P40" s="4">
        <f t="shared" si="26"/>
        <v>0</v>
      </c>
      <c r="Q40" s="4">
        <f t="shared" si="27"/>
        <v>0</v>
      </c>
      <c r="R40" s="4">
        <f t="shared" si="28"/>
        <v>0</v>
      </c>
      <c r="S40" s="4">
        <f t="shared" si="29"/>
        <v>0</v>
      </c>
    </row>
    <row r="41" spans="1:19" ht="35" customHeight="1" x14ac:dyDescent="0.35">
      <c r="A41" s="4" t="s">
        <v>163</v>
      </c>
      <c r="B41" s="5" t="s">
        <v>62</v>
      </c>
      <c r="C41" s="4" t="s">
        <v>163</v>
      </c>
      <c r="D41" s="4" t="s">
        <v>153</v>
      </c>
      <c r="E41" s="5" t="s">
        <v>156</v>
      </c>
      <c r="F41" s="3">
        <v>45902</v>
      </c>
      <c r="G41" s="3">
        <v>45915</v>
      </c>
      <c r="H41" s="3">
        <v>45994</v>
      </c>
      <c r="I41" s="3"/>
      <c r="J41" s="3"/>
      <c r="K41" s="3"/>
      <c r="L41" s="3"/>
      <c r="M41" s="4">
        <f>+SUM(N41:S41)</f>
        <v>2</v>
      </c>
      <c r="N41" s="4">
        <f>+COUNTIF(G41,G41)</f>
        <v>1</v>
      </c>
      <c r="O41" s="4">
        <f t="shared" si="25"/>
        <v>1</v>
      </c>
      <c r="P41" s="4">
        <f t="shared" si="26"/>
        <v>0</v>
      </c>
      <c r="Q41" s="4">
        <f t="shared" si="27"/>
        <v>0</v>
      </c>
      <c r="R41" s="4">
        <f t="shared" si="28"/>
        <v>0</v>
      </c>
      <c r="S41" s="4">
        <f t="shared" si="29"/>
        <v>0</v>
      </c>
    </row>
    <row r="42" spans="1:19" x14ac:dyDescent="0.35">
      <c r="A42" s="4" t="s">
        <v>117</v>
      </c>
      <c r="B42" s="5" t="s">
        <v>64</v>
      </c>
      <c r="C42" s="4" t="s">
        <v>117</v>
      </c>
      <c r="D42" s="4"/>
      <c r="E42" s="5" t="s">
        <v>65</v>
      </c>
      <c r="F42" s="3">
        <v>45902</v>
      </c>
      <c r="G42" s="3">
        <v>45915</v>
      </c>
      <c r="H42" s="3">
        <v>45994</v>
      </c>
      <c r="I42" s="3"/>
      <c r="J42" s="3"/>
      <c r="K42" s="3"/>
      <c r="L42" s="3"/>
      <c r="M42" s="4">
        <f t="shared" si="20"/>
        <v>2</v>
      </c>
      <c r="N42" s="4">
        <f t="shared" si="21"/>
        <v>1</v>
      </c>
      <c r="O42" s="4">
        <f t="shared" si="15"/>
        <v>1</v>
      </c>
      <c r="P42" s="4">
        <f t="shared" si="16"/>
        <v>0</v>
      </c>
      <c r="Q42" s="4">
        <f t="shared" si="17"/>
        <v>0</v>
      </c>
      <c r="R42" s="4">
        <f t="shared" si="18"/>
        <v>0</v>
      </c>
      <c r="S42" s="4">
        <f t="shared" si="19"/>
        <v>0</v>
      </c>
    </row>
    <row r="43" spans="1:19" x14ac:dyDescent="0.35">
      <c r="A43" s="4" t="s">
        <v>68</v>
      </c>
      <c r="B43" s="5" t="s">
        <v>66</v>
      </c>
      <c r="C43" s="4" t="s">
        <v>68</v>
      </c>
      <c r="D43" s="4" t="s">
        <v>159</v>
      </c>
      <c r="E43" s="5" t="s">
        <v>67</v>
      </c>
      <c r="F43" s="3">
        <v>45906</v>
      </c>
      <c r="G43" s="3">
        <v>45910</v>
      </c>
      <c r="H43" s="3"/>
      <c r="I43" s="3"/>
      <c r="J43" s="3"/>
      <c r="K43" s="3"/>
      <c r="L43" s="3"/>
      <c r="M43" s="4">
        <f t="shared" si="20"/>
        <v>1</v>
      </c>
      <c r="N43" s="4">
        <f t="shared" si="21"/>
        <v>1</v>
      </c>
      <c r="O43" s="4">
        <f t="shared" si="15"/>
        <v>0</v>
      </c>
      <c r="P43" s="4">
        <f t="shared" si="16"/>
        <v>0</v>
      </c>
      <c r="Q43" s="4">
        <f t="shared" si="17"/>
        <v>0</v>
      </c>
      <c r="R43" s="4">
        <f t="shared" si="18"/>
        <v>0</v>
      </c>
      <c r="S43" s="4">
        <f t="shared" si="19"/>
        <v>0</v>
      </c>
    </row>
    <row r="44" spans="1:19" ht="33" x14ac:dyDescent="0.35">
      <c r="A44" s="4" t="s">
        <v>70</v>
      </c>
      <c r="B44" s="5" t="s">
        <v>198</v>
      </c>
      <c r="C44" s="4" t="s">
        <v>70</v>
      </c>
      <c r="D44" s="22" t="s">
        <v>199</v>
      </c>
      <c r="E44" s="5" t="s">
        <v>200</v>
      </c>
      <c r="F44" s="3">
        <v>45918</v>
      </c>
      <c r="G44" s="3">
        <v>46006</v>
      </c>
      <c r="H44" s="3"/>
      <c r="I44" s="3"/>
      <c r="J44" s="3"/>
      <c r="K44" s="3"/>
      <c r="L44" s="3"/>
      <c r="M44" s="4">
        <f t="shared" si="20"/>
        <v>1</v>
      </c>
      <c r="N44" s="4">
        <f t="shared" si="21"/>
        <v>1</v>
      </c>
      <c r="O44" s="4">
        <f t="shared" si="15"/>
        <v>0</v>
      </c>
      <c r="P44" s="4">
        <f t="shared" si="16"/>
        <v>0</v>
      </c>
      <c r="Q44" s="4">
        <f t="shared" si="17"/>
        <v>0</v>
      </c>
      <c r="R44" s="4">
        <f t="shared" si="18"/>
        <v>0</v>
      </c>
      <c r="S44" s="4">
        <f t="shared" si="19"/>
        <v>0</v>
      </c>
    </row>
    <row r="45" spans="1:19" ht="33" x14ac:dyDescent="0.35">
      <c r="A45" s="4" t="s">
        <v>118</v>
      </c>
      <c r="B45" s="5" t="s">
        <v>69</v>
      </c>
      <c r="C45" s="4" t="s">
        <v>118</v>
      </c>
      <c r="D45" s="22" t="s">
        <v>202</v>
      </c>
      <c r="E45" s="5" t="s">
        <v>71</v>
      </c>
      <c r="F45" s="3">
        <v>45902</v>
      </c>
      <c r="G45" s="3">
        <v>45915</v>
      </c>
      <c r="H45" s="3"/>
      <c r="I45" s="3"/>
      <c r="J45" s="3"/>
      <c r="K45" s="3"/>
      <c r="L45" s="3"/>
      <c r="M45" s="4">
        <f t="shared" si="20"/>
        <v>1</v>
      </c>
      <c r="N45" s="4">
        <f t="shared" si="21"/>
        <v>1</v>
      </c>
      <c r="O45" s="4">
        <f t="shared" si="15"/>
        <v>0</v>
      </c>
      <c r="P45" s="4">
        <f t="shared" si="16"/>
        <v>0</v>
      </c>
      <c r="Q45" s="4">
        <f t="shared" si="17"/>
        <v>0</v>
      </c>
      <c r="R45" s="4">
        <f t="shared" si="18"/>
        <v>0</v>
      </c>
      <c r="S45" s="4">
        <f t="shared" si="19"/>
        <v>0</v>
      </c>
    </row>
    <row r="46" spans="1:19" ht="33" x14ac:dyDescent="0.35">
      <c r="A46" s="4" t="s">
        <v>167</v>
      </c>
      <c r="B46" s="5" t="s">
        <v>168</v>
      </c>
      <c r="C46" s="4" t="s">
        <v>167</v>
      </c>
      <c r="D46" s="4" t="s">
        <v>13</v>
      </c>
      <c r="E46" s="5" t="s">
        <v>172</v>
      </c>
      <c r="F46" s="3"/>
      <c r="G46" s="3">
        <v>45962</v>
      </c>
      <c r="H46" s="3">
        <v>46006</v>
      </c>
      <c r="I46" s="3">
        <v>46118</v>
      </c>
      <c r="J46" s="3"/>
      <c r="K46" s="3"/>
      <c r="L46" s="3"/>
      <c r="M46" s="4">
        <f t="shared" ref="M46:M47" si="30">+SUM(N46:S46)</f>
        <v>3</v>
      </c>
      <c r="N46" s="4">
        <f t="shared" ref="N46:N49" si="31">+COUNTIF(G46,G46)</f>
        <v>1</v>
      </c>
      <c r="O46" s="4">
        <f t="shared" ref="O46:O47" si="32">+COUNTIF(H46,H46)</f>
        <v>1</v>
      </c>
      <c r="P46" s="4">
        <f t="shared" ref="P46:P47" si="33">+COUNTIF(I46,I46)</f>
        <v>1</v>
      </c>
      <c r="Q46" s="4">
        <f t="shared" ref="Q46:Q47" si="34">+COUNTIF(J46,J46)</f>
        <v>0</v>
      </c>
      <c r="R46" s="4">
        <f t="shared" ref="R46:R47" si="35">+COUNTIF(K46,K46)</f>
        <v>0</v>
      </c>
      <c r="S46" s="4">
        <f t="shared" ref="S46:S47" si="36">+COUNTIF(L46,L46)</f>
        <v>0</v>
      </c>
    </row>
    <row r="47" spans="1:19" x14ac:dyDescent="0.35">
      <c r="A47" s="4" t="s">
        <v>170</v>
      </c>
      <c r="B47" s="5" t="s">
        <v>169</v>
      </c>
      <c r="C47" s="4" t="s">
        <v>170</v>
      </c>
      <c r="D47" s="4" t="s">
        <v>14</v>
      </c>
      <c r="E47" s="5" t="s">
        <v>171</v>
      </c>
      <c r="F47" s="3"/>
      <c r="G47" s="3">
        <v>45962</v>
      </c>
      <c r="H47" s="3">
        <v>46006</v>
      </c>
      <c r="I47" s="3">
        <v>46035</v>
      </c>
      <c r="J47" s="3">
        <v>46042</v>
      </c>
      <c r="K47" s="3">
        <v>46052</v>
      </c>
      <c r="L47" s="3"/>
      <c r="M47" s="4">
        <f t="shared" si="30"/>
        <v>5</v>
      </c>
      <c r="N47" s="4">
        <f t="shared" si="31"/>
        <v>1</v>
      </c>
      <c r="O47" s="4">
        <f t="shared" si="32"/>
        <v>1</v>
      </c>
      <c r="P47" s="4">
        <f t="shared" si="33"/>
        <v>1</v>
      </c>
      <c r="Q47" s="4">
        <f t="shared" si="34"/>
        <v>1</v>
      </c>
      <c r="R47" s="4">
        <f t="shared" si="35"/>
        <v>1</v>
      </c>
      <c r="S47" s="4">
        <f t="shared" si="36"/>
        <v>0</v>
      </c>
    </row>
    <row r="48" spans="1:19" x14ac:dyDescent="0.35">
      <c r="A48" s="4" t="s">
        <v>192</v>
      </c>
      <c r="B48" s="5" t="s">
        <v>208</v>
      </c>
      <c r="C48" s="4" t="s">
        <v>192</v>
      </c>
      <c r="D48" s="4"/>
      <c r="E48" s="5" t="s">
        <v>209</v>
      </c>
      <c r="F48" s="3"/>
      <c r="G48" s="3">
        <v>46044</v>
      </c>
      <c r="H48" s="3">
        <v>46080</v>
      </c>
      <c r="I48" s="3"/>
      <c r="J48" s="3"/>
      <c r="K48" s="3"/>
      <c r="L48" s="3"/>
      <c r="M48" s="4"/>
      <c r="N48" s="4">
        <f t="shared" si="31"/>
        <v>1</v>
      </c>
      <c r="O48" s="4"/>
      <c r="P48" s="4"/>
      <c r="Q48" s="4"/>
      <c r="R48" s="4"/>
      <c r="S48" s="4"/>
    </row>
    <row r="49" spans="1:21" x14ac:dyDescent="0.35">
      <c r="A49" s="4" t="s">
        <v>196</v>
      </c>
      <c r="B49" s="5" t="s">
        <v>193</v>
      </c>
      <c r="C49" s="4" t="s">
        <v>196</v>
      </c>
      <c r="D49" s="4" t="s">
        <v>194</v>
      </c>
      <c r="E49" s="5" t="s">
        <v>195</v>
      </c>
      <c r="F49" s="3"/>
      <c r="G49" s="3">
        <v>45979</v>
      </c>
      <c r="H49" s="3">
        <v>45994</v>
      </c>
      <c r="I49" s="3"/>
      <c r="J49" s="3"/>
      <c r="K49" s="3"/>
      <c r="L49" s="3"/>
      <c r="M49" s="4"/>
      <c r="N49" s="4">
        <f t="shared" si="31"/>
        <v>1</v>
      </c>
      <c r="O49" s="4"/>
      <c r="P49" s="4"/>
      <c r="Q49" s="4"/>
      <c r="R49" s="4"/>
      <c r="S49" s="4"/>
    </row>
    <row r="50" spans="1:21" x14ac:dyDescent="0.35">
      <c r="A50" s="4" t="s">
        <v>205</v>
      </c>
      <c r="B50" s="5" t="s">
        <v>197</v>
      </c>
      <c r="C50" s="4" t="s">
        <v>205</v>
      </c>
      <c r="D50" s="4"/>
      <c r="E50" s="5" t="s">
        <v>201</v>
      </c>
      <c r="F50" s="3"/>
      <c r="G50" s="3">
        <v>46067</v>
      </c>
      <c r="H50" s="3"/>
      <c r="I50" s="3"/>
      <c r="J50" s="3"/>
      <c r="K50" s="3"/>
      <c r="L50" s="3"/>
      <c r="M50" s="4"/>
      <c r="N50" s="4"/>
      <c r="O50" s="4"/>
      <c r="P50" s="4"/>
      <c r="Q50" s="4"/>
      <c r="R50" s="4"/>
      <c r="S50" s="4"/>
    </row>
    <row r="51" spans="1:21" x14ac:dyDescent="0.35">
      <c r="A51" s="4" t="s">
        <v>207</v>
      </c>
      <c r="B51" s="5" t="s">
        <v>206</v>
      </c>
      <c r="C51" s="4" t="s">
        <v>207</v>
      </c>
      <c r="D51" s="4"/>
      <c r="E51" s="5" t="s">
        <v>201</v>
      </c>
      <c r="F51" s="3"/>
      <c r="G51" s="3">
        <v>46067</v>
      </c>
      <c r="H51" s="3"/>
      <c r="I51" s="3"/>
      <c r="J51" s="3"/>
      <c r="K51" s="3"/>
      <c r="L51" s="3"/>
      <c r="M51" s="4"/>
      <c r="N51" s="4"/>
      <c r="O51" s="4"/>
      <c r="P51" s="4"/>
      <c r="Q51" s="4"/>
      <c r="R51" s="4"/>
      <c r="S51" s="4"/>
    </row>
    <row r="52" spans="1:21" x14ac:dyDescent="0.35">
      <c r="A52" s="32" t="s">
        <v>72</v>
      </c>
      <c r="B52" s="32"/>
      <c r="C52" s="32"/>
      <c r="D52" s="32"/>
      <c r="E52" s="3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21" x14ac:dyDescent="0.35">
      <c r="A53" s="4" t="s">
        <v>73</v>
      </c>
      <c r="B53" s="5" t="s">
        <v>74</v>
      </c>
      <c r="C53" s="4" t="s">
        <v>75</v>
      </c>
      <c r="D53" s="4"/>
      <c r="E53" s="5" t="s">
        <v>76</v>
      </c>
      <c r="F53" s="3"/>
      <c r="G53" s="3">
        <v>46039</v>
      </c>
      <c r="H53" s="3"/>
      <c r="I53" s="3"/>
      <c r="J53" s="3"/>
      <c r="K53" s="3"/>
      <c r="L53" s="3"/>
      <c r="M53" s="4">
        <f t="shared" ref="M53:M58" si="37">+SUM(N53:S53)</f>
        <v>1</v>
      </c>
      <c r="N53" s="4">
        <f t="shared" ref="N53:N58" si="38">+COUNTIF(G53,G53)</f>
        <v>1</v>
      </c>
      <c r="O53" s="4">
        <f t="shared" ref="O53:O58" si="39">+COUNTIF(H53,H53)</f>
        <v>0</v>
      </c>
      <c r="P53" s="4">
        <f t="shared" ref="P53:P58" si="40">+COUNTIF(I53,I53)</f>
        <v>0</v>
      </c>
      <c r="Q53" s="4">
        <f t="shared" ref="Q53:Q58" si="41">+COUNTIF(J53,J53)</f>
        <v>0</v>
      </c>
      <c r="R53" s="4">
        <f t="shared" ref="R53:R58" si="42">+COUNTIF(K53,K53)</f>
        <v>0</v>
      </c>
      <c r="S53" s="4">
        <f t="shared" ref="S53:S58" si="43">+COUNTIF(L53,L53)</f>
        <v>0</v>
      </c>
    </row>
    <row r="54" spans="1:21" x14ac:dyDescent="0.35">
      <c r="A54" s="4" t="s">
        <v>77</v>
      </c>
      <c r="B54" s="5" t="s">
        <v>78</v>
      </c>
      <c r="C54" s="4" t="s">
        <v>79</v>
      </c>
      <c r="D54" s="4"/>
      <c r="E54" s="5" t="s">
        <v>80</v>
      </c>
      <c r="F54" s="21"/>
      <c r="G54" s="3">
        <v>45971</v>
      </c>
      <c r="H54" s="3">
        <v>45986</v>
      </c>
      <c r="I54" s="3">
        <v>46039</v>
      </c>
      <c r="J54" s="3">
        <v>46052</v>
      </c>
      <c r="K54" s="3"/>
      <c r="L54" s="3"/>
      <c r="M54" s="4">
        <f t="shared" si="37"/>
        <v>4</v>
      </c>
      <c r="N54" s="4">
        <f t="shared" si="38"/>
        <v>1</v>
      </c>
      <c r="O54" s="4">
        <f t="shared" si="39"/>
        <v>1</v>
      </c>
      <c r="P54" s="4">
        <f t="shared" si="40"/>
        <v>1</v>
      </c>
      <c r="Q54" s="4">
        <f t="shared" si="41"/>
        <v>1</v>
      </c>
      <c r="R54" s="4">
        <f t="shared" si="42"/>
        <v>0</v>
      </c>
      <c r="S54" s="4">
        <f t="shared" si="43"/>
        <v>0</v>
      </c>
      <c r="U54" s="1">
        <f>6/6</f>
        <v>1</v>
      </c>
    </row>
    <row r="55" spans="1:21" x14ac:dyDescent="0.35">
      <c r="A55" s="4" t="s">
        <v>81</v>
      </c>
      <c r="B55" s="5" t="s">
        <v>82</v>
      </c>
      <c r="C55" s="4" t="s">
        <v>83</v>
      </c>
      <c r="D55" s="4"/>
      <c r="E55" s="5" t="s">
        <v>84</v>
      </c>
      <c r="F55" s="3"/>
      <c r="G55" s="3">
        <v>45986</v>
      </c>
      <c r="H55" s="3">
        <v>46039</v>
      </c>
      <c r="I55" s="3">
        <v>46052</v>
      </c>
      <c r="J55" s="3"/>
      <c r="K55" s="3"/>
      <c r="L55" s="3"/>
      <c r="M55" s="4">
        <f t="shared" si="37"/>
        <v>3</v>
      </c>
      <c r="N55" s="4">
        <f t="shared" si="38"/>
        <v>1</v>
      </c>
      <c r="O55" s="4">
        <f t="shared" si="39"/>
        <v>1</v>
      </c>
      <c r="P55" s="4">
        <f t="shared" si="40"/>
        <v>1</v>
      </c>
      <c r="Q55" s="4">
        <f t="shared" si="41"/>
        <v>0</v>
      </c>
      <c r="R55" s="4">
        <f t="shared" si="42"/>
        <v>0</v>
      </c>
      <c r="S55" s="4">
        <f t="shared" si="43"/>
        <v>0</v>
      </c>
      <c r="U55" s="1">
        <f>+U54*100</f>
        <v>100</v>
      </c>
    </row>
    <row r="56" spans="1:21" x14ac:dyDescent="0.35">
      <c r="A56" s="4" t="s">
        <v>85</v>
      </c>
      <c r="B56" s="5" t="s">
        <v>86</v>
      </c>
      <c r="C56" s="4" t="s">
        <v>87</v>
      </c>
      <c r="D56" s="4"/>
      <c r="E56" s="5" t="s">
        <v>88</v>
      </c>
      <c r="F56" s="3"/>
      <c r="G56" s="3">
        <v>46039</v>
      </c>
      <c r="H56" s="3"/>
      <c r="I56" s="3"/>
      <c r="J56" s="3"/>
      <c r="K56" s="3"/>
      <c r="L56" s="3"/>
      <c r="M56" s="4">
        <f t="shared" si="37"/>
        <v>1</v>
      </c>
      <c r="N56" s="4">
        <f t="shared" si="38"/>
        <v>1</v>
      </c>
      <c r="O56" s="4">
        <f t="shared" si="39"/>
        <v>0</v>
      </c>
      <c r="P56" s="4">
        <f t="shared" si="40"/>
        <v>0</v>
      </c>
      <c r="Q56" s="4">
        <f t="shared" si="41"/>
        <v>0</v>
      </c>
      <c r="R56" s="4">
        <f t="shared" si="42"/>
        <v>0</v>
      </c>
      <c r="S56" s="4">
        <f t="shared" si="43"/>
        <v>0</v>
      </c>
    </row>
    <row r="57" spans="1:21" ht="33" x14ac:dyDescent="0.35">
      <c r="A57" s="4" t="s">
        <v>89</v>
      </c>
      <c r="B57" s="5" t="s">
        <v>203</v>
      </c>
      <c r="C57" s="4" t="s">
        <v>90</v>
      </c>
      <c r="D57" s="4"/>
      <c r="E57" s="5" t="s">
        <v>204</v>
      </c>
      <c r="F57" s="3"/>
      <c r="G57" s="3">
        <v>45986</v>
      </c>
      <c r="H57" s="3">
        <v>46039</v>
      </c>
      <c r="I57" s="3"/>
      <c r="J57" s="3"/>
      <c r="K57" s="3"/>
      <c r="L57" s="3"/>
      <c r="M57" s="4">
        <f t="shared" si="37"/>
        <v>2</v>
      </c>
      <c r="N57" s="4">
        <f t="shared" si="38"/>
        <v>1</v>
      </c>
      <c r="O57" s="4">
        <f t="shared" si="39"/>
        <v>1</v>
      </c>
      <c r="P57" s="4">
        <f t="shared" si="40"/>
        <v>0</v>
      </c>
      <c r="Q57" s="4">
        <f t="shared" si="41"/>
        <v>0</v>
      </c>
      <c r="R57" s="4">
        <f t="shared" si="42"/>
        <v>0</v>
      </c>
      <c r="S57" s="4">
        <f t="shared" si="43"/>
        <v>0</v>
      </c>
    </row>
    <row r="58" spans="1:21" x14ac:dyDescent="0.35">
      <c r="A58" s="4" t="s">
        <v>91</v>
      </c>
      <c r="B58" s="5" t="s">
        <v>92</v>
      </c>
      <c r="C58" s="4" t="s">
        <v>93</v>
      </c>
      <c r="D58" s="4"/>
      <c r="E58" s="5" t="s">
        <v>94</v>
      </c>
      <c r="F58" s="3"/>
      <c r="G58" s="3">
        <v>46039</v>
      </c>
      <c r="H58" s="3"/>
      <c r="I58" s="3"/>
      <c r="J58" s="3"/>
      <c r="K58" s="3"/>
      <c r="L58" s="3"/>
      <c r="M58" s="4">
        <f t="shared" si="37"/>
        <v>1</v>
      </c>
      <c r="N58" s="4">
        <f t="shared" si="38"/>
        <v>1</v>
      </c>
      <c r="O58" s="4">
        <f t="shared" si="39"/>
        <v>0</v>
      </c>
      <c r="P58" s="4">
        <f t="shared" si="40"/>
        <v>0</v>
      </c>
      <c r="Q58" s="4">
        <f t="shared" si="41"/>
        <v>0</v>
      </c>
      <c r="R58" s="4">
        <f t="shared" si="42"/>
        <v>0</v>
      </c>
      <c r="S58" s="4">
        <f t="shared" si="43"/>
        <v>0</v>
      </c>
    </row>
    <row r="59" spans="1:21" x14ac:dyDescent="0.35">
      <c r="A59" s="32" t="s">
        <v>95</v>
      </c>
      <c r="B59" s="32"/>
      <c r="C59" s="32"/>
      <c r="D59" s="32"/>
      <c r="E59" s="3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21" x14ac:dyDescent="0.35">
      <c r="A60" s="4" t="s">
        <v>96</v>
      </c>
      <c r="B60" s="5" t="s">
        <v>184</v>
      </c>
      <c r="C60" s="4" t="s">
        <v>97</v>
      </c>
      <c r="D60" s="4"/>
      <c r="E60" s="5" t="s">
        <v>98</v>
      </c>
      <c r="F60" s="3"/>
      <c r="G60" s="3">
        <v>45972</v>
      </c>
      <c r="H60" s="3">
        <v>46056</v>
      </c>
      <c r="I60" s="3">
        <v>46083</v>
      </c>
      <c r="J60" s="3"/>
      <c r="K60" s="3"/>
      <c r="L60" s="3"/>
      <c r="M60" s="4">
        <f t="shared" ref="M60:M62" si="44">+SUM(N60:S60)</f>
        <v>3</v>
      </c>
      <c r="N60" s="4">
        <f t="shared" ref="N60:N62" si="45">+COUNTIF(G60,G60)</f>
        <v>1</v>
      </c>
      <c r="O60" s="4">
        <f t="shared" ref="O60:O62" si="46">+COUNTIF(H60,H60)</f>
        <v>1</v>
      </c>
      <c r="P60" s="4">
        <f t="shared" ref="P60:P62" si="47">+COUNTIF(I60,I60)</f>
        <v>1</v>
      </c>
      <c r="Q60" s="4">
        <f t="shared" ref="Q60:Q62" si="48">+COUNTIF(J60,J60)</f>
        <v>0</v>
      </c>
      <c r="R60" s="4">
        <f t="shared" ref="R60:R62" si="49">+COUNTIF(K60,K60)</f>
        <v>0</v>
      </c>
      <c r="S60" s="4">
        <f t="shared" ref="S60:S62" si="50">+COUNTIF(L60,L60)</f>
        <v>0</v>
      </c>
      <c r="U60" s="1">
        <f>3/3</f>
        <v>1</v>
      </c>
    </row>
    <row r="61" spans="1:21" x14ac:dyDescent="0.35">
      <c r="A61" s="4" t="s">
        <v>99</v>
      </c>
      <c r="B61" s="5" t="s">
        <v>185</v>
      </c>
      <c r="C61" s="4" t="s">
        <v>100</v>
      </c>
      <c r="D61" s="4"/>
      <c r="E61" s="5"/>
      <c r="F61" s="3"/>
      <c r="G61" s="3">
        <v>45975</v>
      </c>
      <c r="H61" s="3">
        <v>45978</v>
      </c>
      <c r="I61" s="3">
        <v>46000</v>
      </c>
      <c r="J61" s="3"/>
      <c r="K61" s="3"/>
      <c r="L61" s="3"/>
      <c r="M61" s="4">
        <f t="shared" ref="M61" si="51">+SUM(N61:S61)</f>
        <v>3</v>
      </c>
      <c r="N61" s="4">
        <f t="shared" ref="N61" si="52">+COUNTIF(G61,G61)</f>
        <v>1</v>
      </c>
      <c r="O61" s="4">
        <f t="shared" ref="O61" si="53">+COUNTIF(H61,H61)</f>
        <v>1</v>
      </c>
      <c r="P61" s="4">
        <f t="shared" ref="P61" si="54">+COUNTIF(I61,I61)</f>
        <v>1</v>
      </c>
      <c r="Q61" s="4">
        <f t="shared" ref="Q61" si="55">+COUNTIF(J61,J61)</f>
        <v>0</v>
      </c>
      <c r="R61" s="4">
        <f t="shared" ref="R61" si="56">+COUNTIF(K61,K61)</f>
        <v>0</v>
      </c>
      <c r="S61" s="4">
        <f t="shared" ref="S61" si="57">+COUNTIF(L61,L61)</f>
        <v>0</v>
      </c>
      <c r="U61" s="1">
        <f>+U60*100</f>
        <v>100</v>
      </c>
    </row>
    <row r="62" spans="1:21" x14ac:dyDescent="0.35">
      <c r="A62" s="4" t="s">
        <v>102</v>
      </c>
      <c r="B62" s="5" t="s">
        <v>186</v>
      </c>
      <c r="C62" s="4" t="s">
        <v>103</v>
      </c>
      <c r="D62" s="4"/>
      <c r="E62" s="5" t="s">
        <v>101</v>
      </c>
      <c r="F62" s="3"/>
      <c r="G62" s="3">
        <v>45975</v>
      </c>
      <c r="H62" s="3">
        <v>45983</v>
      </c>
      <c r="I62" s="3">
        <v>46000</v>
      </c>
      <c r="J62" s="3"/>
      <c r="K62" s="3"/>
      <c r="L62" s="3"/>
      <c r="M62" s="4">
        <f t="shared" si="44"/>
        <v>3</v>
      </c>
      <c r="N62" s="4">
        <f t="shared" si="45"/>
        <v>1</v>
      </c>
      <c r="O62" s="4">
        <f t="shared" si="46"/>
        <v>1</v>
      </c>
      <c r="P62" s="4">
        <f t="shared" si="47"/>
        <v>1</v>
      </c>
      <c r="Q62" s="4">
        <f t="shared" si="48"/>
        <v>0</v>
      </c>
      <c r="R62" s="4">
        <f t="shared" si="49"/>
        <v>0</v>
      </c>
      <c r="S62" s="4">
        <f t="shared" si="50"/>
        <v>0</v>
      </c>
    </row>
    <row r="63" spans="1:21" x14ac:dyDescent="0.35">
      <c r="A63" s="32" t="s">
        <v>173</v>
      </c>
      <c r="B63" s="32"/>
      <c r="C63" s="32"/>
      <c r="D63" s="32"/>
      <c r="E63" s="3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21" x14ac:dyDescent="0.35">
      <c r="A64" s="4" t="s">
        <v>187</v>
      </c>
      <c r="B64" s="5" t="s">
        <v>176</v>
      </c>
      <c r="C64" s="4" t="s">
        <v>175</v>
      </c>
      <c r="D64" s="4"/>
      <c r="E64" s="5" t="s">
        <v>174</v>
      </c>
      <c r="F64" s="3"/>
      <c r="G64" s="3">
        <v>45972</v>
      </c>
      <c r="H64" s="3"/>
      <c r="I64" s="3"/>
      <c r="J64" s="3"/>
      <c r="K64" s="3"/>
      <c r="L64" s="3"/>
      <c r="M64" s="4">
        <f t="shared" ref="M64:M68" si="58">+SUM(N64:S64)</f>
        <v>1</v>
      </c>
      <c r="N64" s="4">
        <f t="shared" ref="N64:N68" si="59">+COUNTIF(G64,G64)</f>
        <v>1</v>
      </c>
      <c r="O64" s="4">
        <f t="shared" ref="O64:O68" si="60">+COUNTIF(H64,H64)</f>
        <v>0</v>
      </c>
      <c r="P64" s="4">
        <f t="shared" ref="P64:P68" si="61">+COUNTIF(I64,I64)</f>
        <v>0</v>
      </c>
      <c r="Q64" s="4">
        <f t="shared" ref="Q64:Q68" si="62">+COUNTIF(J64,J64)</f>
        <v>0</v>
      </c>
      <c r="R64" s="4">
        <f t="shared" ref="R64:R68" si="63">+COUNTIF(K64,K64)</f>
        <v>0</v>
      </c>
      <c r="S64" s="4">
        <f t="shared" ref="S64:S68" si="64">+COUNTIF(L64,L64)</f>
        <v>0</v>
      </c>
      <c r="U64" s="1">
        <f>5/5</f>
        <v>1</v>
      </c>
    </row>
    <row r="65" spans="1:22" x14ac:dyDescent="0.35">
      <c r="A65" s="4" t="s">
        <v>188</v>
      </c>
      <c r="B65" s="5" t="s">
        <v>177</v>
      </c>
      <c r="C65" s="4" t="s">
        <v>178</v>
      </c>
      <c r="D65" s="4"/>
      <c r="E65" s="5" t="s">
        <v>174</v>
      </c>
      <c r="F65" s="3"/>
      <c r="G65" s="3">
        <v>45975</v>
      </c>
      <c r="H65" s="3"/>
      <c r="I65" s="3"/>
      <c r="J65" s="3"/>
      <c r="K65" s="3"/>
      <c r="L65" s="3"/>
      <c r="M65" s="4">
        <f t="shared" si="58"/>
        <v>1</v>
      </c>
      <c r="N65" s="4">
        <f t="shared" si="59"/>
        <v>1</v>
      </c>
      <c r="O65" s="4">
        <f t="shared" si="60"/>
        <v>0</v>
      </c>
      <c r="P65" s="4">
        <f t="shared" si="61"/>
        <v>0</v>
      </c>
      <c r="Q65" s="4">
        <f t="shared" si="62"/>
        <v>0</v>
      </c>
      <c r="R65" s="4">
        <f t="shared" si="63"/>
        <v>0</v>
      </c>
      <c r="S65" s="4">
        <f t="shared" si="64"/>
        <v>0</v>
      </c>
      <c r="U65" s="1">
        <f>+U64*100</f>
        <v>100</v>
      </c>
    </row>
    <row r="66" spans="1:22" x14ac:dyDescent="0.35">
      <c r="A66" s="4" t="s">
        <v>189</v>
      </c>
      <c r="B66" s="5" t="s">
        <v>179</v>
      </c>
      <c r="C66" s="4" t="s">
        <v>180</v>
      </c>
      <c r="D66" s="4"/>
      <c r="E66" s="5" t="s">
        <v>174</v>
      </c>
      <c r="F66" s="3"/>
      <c r="G66" s="3">
        <v>45975</v>
      </c>
      <c r="H66" s="3"/>
      <c r="I66" s="3"/>
      <c r="J66" s="3"/>
      <c r="K66" s="3"/>
      <c r="L66" s="3"/>
      <c r="M66" s="4">
        <f t="shared" si="58"/>
        <v>1</v>
      </c>
      <c r="N66" s="4">
        <f t="shared" si="59"/>
        <v>1</v>
      </c>
      <c r="O66" s="4">
        <f t="shared" si="60"/>
        <v>0</v>
      </c>
      <c r="P66" s="4">
        <f t="shared" si="61"/>
        <v>0</v>
      </c>
      <c r="Q66" s="4">
        <f t="shared" si="62"/>
        <v>0</v>
      </c>
      <c r="R66" s="4">
        <f t="shared" si="63"/>
        <v>0</v>
      </c>
      <c r="S66" s="4">
        <f t="shared" si="64"/>
        <v>0</v>
      </c>
    </row>
    <row r="67" spans="1:22" x14ac:dyDescent="0.35">
      <c r="A67" s="4" t="s">
        <v>190</v>
      </c>
      <c r="B67" s="5" t="s">
        <v>181</v>
      </c>
      <c r="C67" s="4" t="s">
        <v>182</v>
      </c>
      <c r="D67" s="4"/>
      <c r="E67" s="5" t="s">
        <v>174</v>
      </c>
      <c r="F67" s="3"/>
      <c r="G67" s="3">
        <v>45975</v>
      </c>
      <c r="H67" s="3"/>
      <c r="I67" s="3"/>
      <c r="J67" s="3"/>
      <c r="K67" s="3"/>
      <c r="L67" s="3"/>
      <c r="M67" s="4">
        <f t="shared" si="58"/>
        <v>1</v>
      </c>
      <c r="N67" s="4">
        <f t="shared" si="59"/>
        <v>1</v>
      </c>
      <c r="O67" s="4">
        <f t="shared" si="60"/>
        <v>0</v>
      </c>
      <c r="P67" s="4">
        <f t="shared" si="61"/>
        <v>0</v>
      </c>
      <c r="Q67" s="4">
        <f t="shared" si="62"/>
        <v>0</v>
      </c>
      <c r="R67" s="4">
        <f t="shared" si="63"/>
        <v>0</v>
      </c>
      <c r="S67" s="4">
        <f t="shared" si="64"/>
        <v>0</v>
      </c>
    </row>
    <row r="68" spans="1:22" x14ac:dyDescent="0.35">
      <c r="A68" s="4" t="s">
        <v>191</v>
      </c>
      <c r="B68" s="5" t="s">
        <v>183</v>
      </c>
      <c r="C68" s="4" t="s">
        <v>178</v>
      </c>
      <c r="D68" s="4"/>
      <c r="E68" s="5" t="s">
        <v>174</v>
      </c>
      <c r="F68" s="3"/>
      <c r="G68" s="3">
        <v>45975</v>
      </c>
      <c r="H68" s="3"/>
      <c r="I68" s="3"/>
      <c r="J68" s="3"/>
      <c r="K68" s="3"/>
      <c r="L68" s="3"/>
      <c r="M68" s="4">
        <f t="shared" si="58"/>
        <v>1</v>
      </c>
      <c r="N68" s="4">
        <f t="shared" si="59"/>
        <v>1</v>
      </c>
      <c r="O68" s="4">
        <f t="shared" si="60"/>
        <v>0</v>
      </c>
      <c r="P68" s="4">
        <f t="shared" si="61"/>
        <v>0</v>
      </c>
      <c r="Q68" s="4">
        <f t="shared" si="62"/>
        <v>0</v>
      </c>
      <c r="R68" s="4">
        <f t="shared" si="63"/>
        <v>0</v>
      </c>
      <c r="S68" s="4">
        <f t="shared" si="64"/>
        <v>0</v>
      </c>
    </row>
    <row r="69" spans="1:22" x14ac:dyDescent="0.35">
      <c r="B69" s="8"/>
      <c r="E69" s="8"/>
      <c r="G69" s="9"/>
      <c r="H69" s="10"/>
      <c r="I69" s="10"/>
      <c r="J69" s="10"/>
      <c r="K69" s="10"/>
      <c r="L69" s="10"/>
      <c r="M69" s="7">
        <f>SUM(M5:M68)</f>
        <v>100</v>
      </c>
      <c r="N69" s="7">
        <f>SUM(N5:N68)</f>
        <v>50</v>
      </c>
      <c r="O69" s="7">
        <f t="shared" ref="O69:S69" si="65">SUM(O5:O68)</f>
        <v>32</v>
      </c>
      <c r="P69" s="7">
        <f t="shared" si="65"/>
        <v>14</v>
      </c>
      <c r="Q69" s="7">
        <f t="shared" si="65"/>
        <v>4</v>
      </c>
      <c r="R69" s="7">
        <f t="shared" si="65"/>
        <v>2</v>
      </c>
      <c r="S69" s="7">
        <f t="shared" si="65"/>
        <v>0</v>
      </c>
    </row>
    <row r="70" spans="1:22" ht="17" thickBot="1" x14ac:dyDescent="0.4">
      <c r="B70" s="8"/>
      <c r="E70" s="8"/>
      <c r="G70" s="9"/>
      <c r="H70" s="10"/>
      <c r="I70" s="10"/>
      <c r="J70" s="10"/>
      <c r="K70" s="10"/>
      <c r="L70" s="10"/>
    </row>
    <row r="71" spans="1:22" ht="21" thickBot="1" x14ac:dyDescent="0.4">
      <c r="A71" s="33" t="s">
        <v>119</v>
      </c>
      <c r="B71" s="34"/>
    </row>
    <row r="72" spans="1:22" ht="35.5" customHeight="1" x14ac:dyDescent="0.35">
      <c r="A72" s="13" t="s">
        <v>120</v>
      </c>
      <c r="B72" s="14">
        <f>N69</f>
        <v>50</v>
      </c>
    </row>
    <row r="73" spans="1:22" ht="35.5" customHeight="1" x14ac:dyDescent="0.35">
      <c r="A73" s="15" t="s">
        <v>121</v>
      </c>
      <c r="B73" s="16">
        <f>O69</f>
        <v>32</v>
      </c>
      <c r="V73" s="1">
        <f>(V12+V29+U55+U61+U65)/600</f>
        <v>0.79327248140635565</v>
      </c>
    </row>
    <row r="74" spans="1:22" ht="35.5" customHeight="1" thickBot="1" x14ac:dyDescent="0.4">
      <c r="A74" s="17" t="s">
        <v>122</v>
      </c>
      <c r="B74" s="18">
        <f>P69</f>
        <v>14</v>
      </c>
    </row>
    <row r="75" spans="1:22" ht="35.5" customHeight="1" x14ac:dyDescent="0.35">
      <c r="A75" s="13" t="s">
        <v>123</v>
      </c>
      <c r="B75" s="14">
        <v>0</v>
      </c>
    </row>
    <row r="76" spans="1:22" ht="35.5" customHeight="1" x14ac:dyDescent="0.35">
      <c r="A76" s="15" t="s">
        <v>124</v>
      </c>
      <c r="B76" s="16">
        <v>0</v>
      </c>
    </row>
    <row r="77" spans="1:22" ht="35.5" customHeight="1" thickBot="1" x14ac:dyDescent="0.4">
      <c r="A77" s="17" t="s">
        <v>125</v>
      </c>
      <c r="B77" s="18">
        <v>0</v>
      </c>
    </row>
  </sheetData>
  <autoFilter ref="A3:L25" xr:uid="{00000000-0009-0000-0000-000000000000}"/>
  <mergeCells count="26">
    <mergeCell ref="A71:B71"/>
    <mergeCell ref="A23:E23"/>
    <mergeCell ref="A3:A4"/>
    <mergeCell ref="B3:B4"/>
    <mergeCell ref="C3:C4"/>
    <mergeCell ref="E3:E4"/>
    <mergeCell ref="A5:E5"/>
    <mergeCell ref="A59:E59"/>
    <mergeCell ref="D3:D4"/>
    <mergeCell ref="A63:E63"/>
    <mergeCell ref="A1:L2"/>
    <mergeCell ref="S3:S4"/>
    <mergeCell ref="K3:K4"/>
    <mergeCell ref="F3:F4"/>
    <mergeCell ref="A52:E52"/>
    <mergeCell ref="M3:M4"/>
    <mergeCell ref="N3:N4"/>
    <mergeCell ref="O3:O4"/>
    <mergeCell ref="P3:P4"/>
    <mergeCell ref="Q3:Q4"/>
    <mergeCell ref="R3:R4"/>
    <mergeCell ref="L3:L4"/>
    <mergeCell ref="G3:G4"/>
    <mergeCell ref="H3:H4"/>
    <mergeCell ref="I3:I4"/>
    <mergeCell ref="J3:J4"/>
  </mergeCells>
  <phoneticPr fontId="8" type="noConversion"/>
  <printOptions horizontalCentered="1"/>
  <pageMargins left="0.23622047244094491" right="0.23622047244094491" top="0.39370078740157483" bottom="0.39370078740157483" header="0.31496062992125984" footer="0.31496062992125984"/>
  <pageSetup paperSize="9" scale="56" fitToHeight="0" orientation="portrait" r:id="rId1"/>
  <headerFooter>
    <oddFooter>&amp;C_x000D_&amp;1#&amp;"Calibri"&amp;10&amp;K000000 Classified as 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Nishani Salvi</dc:creator>
  <cp:lastModifiedBy>Sharnam Project  Development Consultant</cp:lastModifiedBy>
  <cp:lastPrinted>2025-08-11T04:27:05Z</cp:lastPrinted>
  <dcterms:created xsi:type="dcterms:W3CDTF">2021-10-30T11:28:35Z</dcterms:created>
  <dcterms:modified xsi:type="dcterms:W3CDTF">2026-04-08T11:00:22Z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d75b2f-c935-4ccb-b92f-4bfb2ab1a740_Enabled">
    <vt:lpwstr>true</vt:lpwstr>
  </property>
  <property fmtid="{D5CDD505-2E9C-101B-9397-08002B2CF9AE}" pid="3" name="MSIP_Label_71d75b2f-c935-4ccb-b92f-4bfb2ab1a740_SetDate">
    <vt:lpwstr>2023-09-21T07:25:10Z</vt:lpwstr>
  </property>
  <property fmtid="{D5CDD505-2E9C-101B-9397-08002B2CF9AE}" pid="4" name="MSIP_Label_71d75b2f-c935-4ccb-b92f-4bfb2ab1a740_Method">
    <vt:lpwstr>Standard</vt:lpwstr>
  </property>
  <property fmtid="{D5CDD505-2E9C-101B-9397-08002B2CF9AE}" pid="5" name="MSIP_Label_71d75b2f-c935-4ccb-b92f-4bfb2ab1a740_Name">
    <vt:lpwstr>Anyone</vt:lpwstr>
  </property>
  <property fmtid="{D5CDD505-2E9C-101B-9397-08002B2CF9AE}" pid="6" name="MSIP_Label_71d75b2f-c935-4ccb-b92f-4bfb2ab1a740_SiteId">
    <vt:lpwstr>d7d6908a-9740-4180-b837-f804f158f56e</vt:lpwstr>
  </property>
  <property fmtid="{D5CDD505-2E9C-101B-9397-08002B2CF9AE}" pid="7" name="MSIP_Label_71d75b2f-c935-4ccb-b92f-4bfb2ab1a740_ActionId">
    <vt:lpwstr>dcb527ae-9cda-43c0-9a93-57f5e322274a</vt:lpwstr>
  </property>
  <property fmtid="{D5CDD505-2E9C-101B-9397-08002B2CF9AE}" pid="8" name="MSIP_Label_71d75b2f-c935-4ccb-b92f-4bfb2ab1a740_ContentBits">
    <vt:lpwstr>2</vt:lpwstr>
  </property>
</Properties>
</file>