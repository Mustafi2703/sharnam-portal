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Sharnam II\Submission\Phase 01\"/>
    </mc:Choice>
  </mc:AlternateContent>
  <xr:revisionPtr revIDLastSave="0" documentId="13_ncr:1_{559BB3D5-BE0C-43EF-91F7-CCC6D7BEF18D}" xr6:coauthVersionLast="47" xr6:coauthVersionMax="47" xr10:uidLastSave="{00000000-0000-0000-0000-000000000000}"/>
  <bookViews>
    <workbookView xWindow="28680" yWindow="-120" windowWidth="29040" windowHeight="15720" xr2:uid="{78A77603-CE33-42DC-9F12-46787B8ACBEF}"/>
  </bookViews>
  <sheets>
    <sheet name="Dashboard" sheetId="2" r:id="rId1"/>
    <sheet name="Legal Approval Tracker" sheetId="1" r:id="rId2"/>
  </sheets>
  <definedNames>
    <definedName name="_xlnm._FilterDatabase" localSheetId="1" hidden="1">'Legal Approval Tracker'!$A$3:$L$3</definedName>
  </definedName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</calcChain>
</file>

<file path=xl/sharedStrings.xml><?xml version="1.0" encoding="utf-8"?>
<sst xmlns="http://schemas.openxmlformats.org/spreadsheetml/2006/main" count="305" uniqueCount="148">
  <si>
    <t>Approval ID</t>
  </si>
  <si>
    <t>Approval Category</t>
  </si>
  <si>
    <t>Authority Name</t>
  </si>
  <si>
    <t>Approval Description</t>
  </si>
  <si>
    <t>Applicable Building / Package</t>
  </si>
  <si>
    <t>Approval Received Date</t>
  </si>
  <si>
    <t>Status</t>
  </si>
  <si>
    <t>Delay (Days)</t>
  </si>
  <si>
    <t>Responsible Party</t>
  </si>
  <si>
    <t>Remarks</t>
  </si>
  <si>
    <t>LA-01</t>
  </si>
  <si>
    <t>Labour Compliance</t>
  </si>
  <si>
    <t>Labour Department</t>
  </si>
  <si>
    <t>BOCW Registration – Building &amp; Other Construction Works</t>
  </si>
  <si>
    <t>All Towers</t>
  </si>
  <si>
    <t>Approved</t>
  </si>
  <si>
    <t>Client</t>
  </si>
  <si>
    <t>Approved with minor delay</t>
  </si>
  <si>
    <t>LA-02</t>
  </si>
  <si>
    <t>Insurance</t>
  </si>
  <si>
    <t>Insurance Company</t>
  </si>
  <si>
    <t>CAR Policy – Contractor All Risk</t>
  </si>
  <si>
    <t>All Packages</t>
  </si>
  <si>
    <t>Contractor</t>
  </si>
  <si>
    <t>Submitted on priority</t>
  </si>
  <si>
    <t>LA-03</t>
  </si>
  <si>
    <t>CLRA Registration – Contract Labour Regulation Act</t>
  </si>
  <si>
    <t>Submitted</t>
  </si>
  <si>
    <t>Under review by department</t>
  </si>
  <si>
    <t>LA-04</t>
  </si>
  <si>
    <t>Labour License</t>
  </si>
  <si>
    <t>Tower 1</t>
  </si>
  <si>
    <t>Delayed</t>
  </si>
  <si>
    <t>Inspection pending</t>
  </si>
  <si>
    <t>LA-05</t>
  </si>
  <si>
    <t>Statutory</t>
  </si>
  <si>
    <t>EPFO</t>
  </si>
  <si>
    <t>PF Registration Documents</t>
  </si>
  <si>
    <t>-</t>
  </si>
  <si>
    <t>LA-06</t>
  </si>
  <si>
    <t>ESIC</t>
  </si>
  <si>
    <t>ESI Registration Documents</t>
  </si>
  <si>
    <t>One day delay</t>
  </si>
  <si>
    <t>LA-07</t>
  </si>
  <si>
    <t>Tax</t>
  </si>
  <si>
    <t>State Tax Department</t>
  </si>
  <si>
    <t>Professional Tax Registration</t>
  </si>
  <si>
    <t>LA-08</t>
  </si>
  <si>
    <t>LWF – Labour Welfare Fund Registration</t>
  </si>
  <si>
    <t>Follow-up required</t>
  </si>
  <si>
    <t>LA-09</t>
  </si>
  <si>
    <t>Health &amp; Safety</t>
  </si>
  <si>
    <t>Government Hospital</t>
  </si>
  <si>
    <t>Worker Medical Fitness Certification</t>
  </si>
  <si>
    <t>LA-10</t>
  </si>
  <si>
    <t>Police Clearance</t>
  </si>
  <si>
    <t>Local Police Department</t>
  </si>
  <si>
    <t>Worker Police Verification</t>
  </si>
  <si>
    <t>Police clearance pending</t>
  </si>
  <si>
    <t>LA-11</t>
  </si>
  <si>
    <t>Safety</t>
  </si>
  <si>
    <t>Third Party Agency</t>
  </si>
  <si>
    <t>Test Certificate – Lifting Tools &amp; Tackles</t>
  </si>
  <si>
    <t>LA-12</t>
  </si>
  <si>
    <t>Pressure Vessel Test Certificate</t>
  </si>
  <si>
    <t>Inspection scheduled</t>
  </si>
  <si>
    <t>LA-13</t>
  </si>
  <si>
    <t>Fire</t>
  </si>
  <si>
    <t>Fire Department</t>
  </si>
  <si>
    <t>Fire NOC – Temporary Site Office</t>
  </si>
  <si>
    <t>Site Area</t>
  </si>
  <si>
    <t>In Progress</t>
  </si>
  <si>
    <t>Documents submitted</t>
  </si>
  <si>
    <t>LA-14</t>
  </si>
  <si>
    <t>Environment</t>
  </si>
  <si>
    <t>Pollution Control Board</t>
  </si>
  <si>
    <t>Consent to Establish (CTE)</t>
  </si>
  <si>
    <t>Project Site</t>
  </si>
  <si>
    <t>Under scrutiny</t>
  </si>
  <si>
    <t>LA-15</t>
  </si>
  <si>
    <t>Consent to Operate – DG Set</t>
  </si>
  <si>
    <t>Not Submitted</t>
  </si>
  <si>
    <t>DG set not installed</t>
  </si>
  <si>
    <t>LA-16</t>
  </si>
  <si>
    <t>Local Authority</t>
  </si>
  <si>
    <t>Municipal Corporation</t>
  </si>
  <si>
    <t>Building Plan Approval</t>
  </si>
  <si>
    <t>LA-17</t>
  </si>
  <si>
    <t>Commencement Certificate</t>
  </si>
  <si>
    <t>Tower 2</t>
  </si>
  <si>
    <t>Resubmission required</t>
  </si>
  <si>
    <t>LA-18</t>
  </si>
  <si>
    <t>Utility</t>
  </si>
  <si>
    <t>Electricity Board</t>
  </si>
  <si>
    <t>Temporary Power Connection</t>
  </si>
  <si>
    <t>Site</t>
  </si>
  <si>
    <t>LA-19</t>
  </si>
  <si>
    <t>Water Supply Department</t>
  </si>
  <si>
    <t>Temporary Water Connection</t>
  </si>
  <si>
    <t>Pipeline work pending</t>
  </si>
  <si>
    <t>LA-20</t>
  </si>
  <si>
    <t>Traffic</t>
  </si>
  <si>
    <t>Traffic Police Department</t>
  </si>
  <si>
    <t>Traffic Diversion Permission</t>
  </si>
  <si>
    <t>Main Road</t>
  </si>
  <si>
    <t>LA-21</t>
  </si>
  <si>
    <t>Factory Inspectorate</t>
  </si>
  <si>
    <t>Site Safety Registration</t>
  </si>
  <si>
    <t>Inspection awaited</t>
  </si>
  <si>
    <t>LA-22</t>
  </si>
  <si>
    <t>Workmen Compensation Policy</t>
  </si>
  <si>
    <t>All Labour</t>
  </si>
  <si>
    <t>LA-23</t>
  </si>
  <si>
    <t>Inter-State Migrant Workmen Registration</t>
  </si>
  <si>
    <t>Documents under review</t>
  </si>
  <si>
    <t>LA-24</t>
  </si>
  <si>
    <t>Tree Cutting Permission</t>
  </si>
  <si>
    <t>Site Boundary</t>
  </si>
  <si>
    <t>Tree survey pending</t>
  </si>
  <si>
    <t>LA-25</t>
  </si>
  <si>
    <t>Fire Safety Equipment Approval</t>
  </si>
  <si>
    <t>Partial installation completed</t>
  </si>
  <si>
    <t>LA-26</t>
  </si>
  <si>
    <t>Telecom Authority</t>
  </si>
  <si>
    <t>Internet / Telecom Permission</t>
  </si>
  <si>
    <t>Site Office</t>
  </si>
  <si>
    <t>LA-27</t>
  </si>
  <si>
    <t>Hoarding Permission</t>
  </si>
  <si>
    <t>Approval awaited</t>
  </si>
  <si>
    <t>LA-28</t>
  </si>
  <si>
    <t>Debris Disposal Permission</t>
  </si>
  <si>
    <t>Vendor finalisation pending</t>
  </si>
  <si>
    <t>LA-29</t>
  </si>
  <si>
    <t>Lift Inspector</t>
  </si>
  <si>
    <t>Temporary Construction Lift Approval</t>
  </si>
  <si>
    <t>LA-30</t>
  </si>
  <si>
    <t>Explosives Department</t>
  </si>
  <si>
    <t>Diesel Storage License</t>
  </si>
  <si>
    <t>Tank installation pending</t>
  </si>
  <si>
    <t>Submission Date</t>
  </si>
  <si>
    <t>Required By</t>
  </si>
  <si>
    <t>Legal Approval Tracker - Week #</t>
  </si>
  <si>
    <t>Row Labels</t>
  </si>
  <si>
    <t>(blank)</t>
  </si>
  <si>
    <t>Grand Total</t>
  </si>
  <si>
    <t>Count of Approval ID</t>
  </si>
  <si>
    <t>Sum of Delay (Days)</t>
  </si>
  <si>
    <t>Hinderance Dashboard - Project # - Week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</si>
</sst>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theme="0"/>
      <name val="Calibri"/>
      <family val="2"/>
    </font>
    <font>
      <b/>
      <sz val="1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89D84"/>
        <bgColor indexed="64"/>
      </patternFill>
    </fill>
    <fill>
      <patternFill patternType="solid">
        <fgColor rgb="FFFF8181"/>
        <bgColor indexed="64"/>
      </patternFill>
    </fill>
    <fill>
      <gradientFill degree="90">
        <stop position="0">
          <color theme="0" tint="-5.0965910824915313E-2"/>
        </stop>
        <stop position="1">
          <color theme="4" tint="-0.49803155613879818"/>
        </stop>
      </gradient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14" fontId="1" fillId="0" borderId="11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14" fontId="1" fillId="0" borderId="16" xfId="0" applyNumberFormat="1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6" xfId="0" applyFont="1" applyBorder="1" applyAlignment="1">
      <alignment vertical="center" wrapText="1"/>
    </xf>
    <xf numFmtId="0" fontId="1" fillId="0" borderId="11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9D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[Legal Approvals - Dashboard.xlsx]Dashboard!PivotTable1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Status of Approvals</a:t>
            </a:r>
          </a:p>
        </c:rich>
      </c:tx>
      <c:layout>
        <c:manualLayout>
          <c:xMode val="edge"/>
          <c:yMode val="edge"/>
          <c:x val="0.77320074923520454"/>
          <c:y val="3.3073119078999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shade val="5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>
              <a:shade val="7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>
              <a:shade val="9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1">
              <a:tint val="7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shade val="5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1">
              <a:shade val="7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1"/>
        <c:spPr>
          <a:solidFill>
            <a:schemeClr val="accent1">
              <a:shade val="9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3"/>
        <c:spPr>
          <a:solidFill>
            <a:schemeClr val="accent1">
              <a:tint val="7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>
        <c:manualLayout>
          <c:layoutTarget val="inner"/>
          <c:xMode val="edge"/>
          <c:yMode val="edge"/>
          <c:x val="0.16689162210707878"/>
          <c:y val="0.15989969521391301"/>
          <c:w val="0.41461991735908066"/>
          <c:h val="0.81110465822989963"/>
        </c:manualLayout>
      </c:layout>
      <c:doughnutChart>
        <c:varyColors val="1"/>
        <c:ser>
          <c:idx val="0"/>
          <c:order val="0"/>
          <c:tx>
            <c:strRef>
              <c:f>Dashboard!$B$122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120-4A5A-8B1E-6D7EF1DBF234}"/>
              </c:ext>
            </c:extLst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120-4A5A-8B1E-6D7EF1DBF234}"/>
              </c:ext>
            </c:extLst>
          </c:dPt>
          <c:dPt>
            <c:idx val="2"/>
            <c:bubble3D val="0"/>
            <c:spPr>
              <a:solidFill>
                <a:schemeClr val="accent1">
                  <a:shade val="9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120-4A5A-8B1E-6D7EF1DBF234}"/>
              </c:ext>
            </c:extLst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120-4A5A-8B1E-6D7EF1DBF234}"/>
              </c:ext>
            </c:extLst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120-4A5A-8B1E-6D7EF1DBF234}"/>
              </c:ext>
            </c:extLst>
          </c:dPt>
          <c:dPt>
            <c:idx val="5"/>
            <c:bubble3D val="0"/>
            <c:spPr>
              <a:solidFill>
                <a:schemeClr val="accent1">
                  <a:tint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120-4A5A-8B1E-6D7EF1DBF23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Dashboard!$A$123:$A$129</c:f>
              <c:strCache>
                <c:ptCount val="6"/>
                <c:pt idx="0">
                  <c:v>Approved</c:v>
                </c:pt>
                <c:pt idx="1">
                  <c:v>Delayed</c:v>
                </c:pt>
                <c:pt idx="2">
                  <c:v>In Progress</c:v>
                </c:pt>
                <c:pt idx="3">
                  <c:v>Not Submitted</c:v>
                </c:pt>
                <c:pt idx="4">
                  <c:v>Submitted</c:v>
                </c:pt>
                <c:pt idx="5">
                  <c:v>(blank)</c:v>
                </c:pt>
              </c:strCache>
            </c:strRef>
          </c:cat>
          <c:val>
            <c:numRef>
              <c:f>Dashboard!$B$123:$B$129</c:f>
              <c:numCache>
                <c:formatCode>General</c:formatCode>
                <c:ptCount val="6"/>
                <c:pt idx="0">
                  <c:v>12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120-4A5A-8B1E-6D7EF1DBF23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[Legal Approvals - Dashboard.xlsx]Dashboard!PivotTable2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Approval Category</a:t>
            </a:r>
          </a:p>
        </c:rich>
      </c:tx>
      <c:layout>
        <c:manualLayout>
          <c:xMode val="edge"/>
          <c:yMode val="edge"/>
          <c:x val="0.83912379246491642"/>
          <c:y val="2.21219055256372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456304628259816E-2"/>
          <c:y val="0.21193753326927195"/>
          <c:w val="0.87248241238226742"/>
          <c:h val="0.4906306817003449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Dashboard!$B$131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Dashboard!$A$132:$A$144</c:f>
              <c:strCache>
                <c:ptCount val="12"/>
                <c:pt idx="0">
                  <c:v>Environment</c:v>
                </c:pt>
                <c:pt idx="1">
                  <c:v>Fire</c:v>
                </c:pt>
                <c:pt idx="2">
                  <c:v>Health &amp; Safety</c:v>
                </c:pt>
                <c:pt idx="3">
                  <c:v>Insurance</c:v>
                </c:pt>
                <c:pt idx="4">
                  <c:v>Labour Compliance</c:v>
                </c:pt>
                <c:pt idx="5">
                  <c:v>Local Authority</c:v>
                </c:pt>
                <c:pt idx="6">
                  <c:v>Police Clearance</c:v>
                </c:pt>
                <c:pt idx="7">
                  <c:v>Safety</c:v>
                </c:pt>
                <c:pt idx="8">
                  <c:v>Statutory</c:v>
                </c:pt>
                <c:pt idx="9">
                  <c:v>Tax</c:v>
                </c:pt>
                <c:pt idx="10">
                  <c:v>Traffic</c:v>
                </c:pt>
                <c:pt idx="11">
                  <c:v>Utility</c:v>
                </c:pt>
              </c:strCache>
            </c:strRef>
          </c:cat>
          <c:val>
            <c:numRef>
              <c:f>Dashboard!$B$132:$B$144</c:f>
              <c:numCache>
                <c:formatCode>General</c:formatCode>
                <c:ptCount val="12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5</c:v>
                </c:pt>
                <c:pt idx="5">
                  <c:v>3</c:v>
                </c:pt>
                <c:pt idx="6">
                  <c:v>1</c:v>
                </c:pt>
                <c:pt idx="7">
                  <c:v>5</c:v>
                </c:pt>
                <c:pt idx="8">
                  <c:v>3</c:v>
                </c:pt>
                <c:pt idx="9">
                  <c:v>1</c:v>
                </c:pt>
                <c:pt idx="10">
                  <c:v>1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60-41FE-881F-00E54C7CF7A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28584136"/>
        <c:axId val="828585216"/>
      </c:barChart>
      <c:catAx>
        <c:axId val="828584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585216"/>
        <c:crosses val="autoZero"/>
        <c:auto val="1"/>
        <c:lblAlgn val="ctr"/>
        <c:lblOffset val="100"/>
        <c:noMultiLvlLbl val="0"/>
      </c:catAx>
      <c:valAx>
        <c:axId val="82858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584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[Legal Approvals - Dashboard.xlsx]Dashboard!PivotTable3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Approvals Required from Authority </a:t>
            </a:r>
          </a:p>
        </c:rich>
      </c:tx>
      <c:layout>
        <c:manualLayout>
          <c:xMode val="edge"/>
          <c:yMode val="edge"/>
          <c:x val="0.62733347659502769"/>
          <c:y val="1.47995899026323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Dashboard!$B$147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Dashboard!$A$148:$A$167</c:f>
              <c:strCache>
                <c:ptCount val="19"/>
                <c:pt idx="0">
                  <c:v>Electricity Board</c:v>
                </c:pt>
                <c:pt idx="1">
                  <c:v>EPFO</c:v>
                </c:pt>
                <c:pt idx="2">
                  <c:v>ESIC</c:v>
                </c:pt>
                <c:pt idx="3">
                  <c:v>Explosives Department</c:v>
                </c:pt>
                <c:pt idx="4">
                  <c:v>Factory Inspectorate</c:v>
                </c:pt>
                <c:pt idx="5">
                  <c:v>Fire Department</c:v>
                </c:pt>
                <c:pt idx="6">
                  <c:v>Government Hospital</c:v>
                </c:pt>
                <c:pt idx="7">
                  <c:v>Insurance Company</c:v>
                </c:pt>
                <c:pt idx="8">
                  <c:v>Labour Department</c:v>
                </c:pt>
                <c:pt idx="9">
                  <c:v>Lift Inspector</c:v>
                </c:pt>
                <c:pt idx="10">
                  <c:v>Local Authority</c:v>
                </c:pt>
                <c:pt idx="11">
                  <c:v>Local Police Department</c:v>
                </c:pt>
                <c:pt idx="12">
                  <c:v>Municipal Corporation</c:v>
                </c:pt>
                <c:pt idx="13">
                  <c:v>Pollution Control Board</c:v>
                </c:pt>
                <c:pt idx="14">
                  <c:v>State Tax Department</c:v>
                </c:pt>
                <c:pt idx="15">
                  <c:v>Telecom Authority</c:v>
                </c:pt>
                <c:pt idx="16">
                  <c:v>Third Party Agency</c:v>
                </c:pt>
                <c:pt idx="17">
                  <c:v>Traffic Police Department</c:v>
                </c:pt>
                <c:pt idx="18">
                  <c:v>Water Supply Department</c:v>
                </c:pt>
              </c:strCache>
            </c:strRef>
          </c:cat>
          <c:val>
            <c:numRef>
              <c:f>Dashboard!$B$148:$B$167</c:f>
              <c:numCache>
                <c:formatCode>General</c:formatCode>
                <c:ptCount val="1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5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3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6F-417C-88B6-6EDF7C99FEA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029311160"/>
        <c:axId val="1029312960"/>
      </c:barChart>
      <c:catAx>
        <c:axId val="1029311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312960"/>
        <c:crosses val="autoZero"/>
        <c:auto val="1"/>
        <c:lblAlgn val="ctr"/>
        <c:lblOffset val="100"/>
        <c:noMultiLvlLbl val="0"/>
      </c:catAx>
      <c:valAx>
        <c:axId val="1029312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311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[Legal Approvals - Dashboard.xlsx]Dashboard!PivotTable4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Responsible party for Delays</a:t>
            </a:r>
          </a:p>
        </c:rich>
      </c:tx>
      <c:layout>
        <c:manualLayout>
          <c:xMode val="edge"/>
          <c:yMode val="edge"/>
          <c:x val="0.85735728833218272"/>
          <c:y val="1.7912679834520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shade val="76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1">
              <a:tint val="77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</c:pivotFmt>
    </c:pivotFmts>
    <c:plotArea>
      <c:layout/>
      <c:doughnutChart>
        <c:varyColors val="1"/>
        <c:ser>
          <c:idx val="0"/>
          <c:order val="0"/>
          <c:tx>
            <c:strRef>
              <c:f>Dashboard!$E$122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778-4FB1-A3B7-AE849579733D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778-4FB1-A3B7-AE849579733D}"/>
              </c:ext>
            </c:extLst>
          </c:dPt>
          <c:dPt>
            <c:idx val="2"/>
            <c:bubble3D val="0"/>
            <c:spPr>
              <a:solidFill>
                <a:schemeClr val="accent1">
                  <a:tint val="3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778-4FB1-A3B7-AE849579733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Dashboard!$D$123:$D$125</c:f>
              <c:strCache>
                <c:ptCount val="2"/>
                <c:pt idx="0">
                  <c:v>Client</c:v>
                </c:pt>
                <c:pt idx="1">
                  <c:v>Contractor</c:v>
                </c:pt>
              </c:strCache>
            </c:strRef>
          </c:cat>
          <c:val>
            <c:numRef>
              <c:f>Dashboard!$E$123:$E$125</c:f>
              <c:numCache>
                <c:formatCode>General</c:formatCode>
                <c:ptCount val="2"/>
                <c:pt idx="0">
                  <c:v>-1</c:v>
                </c:pt>
                <c:pt idx="1">
                  <c:v>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778-4FB1-A3B7-AE849579733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16920</xdr:colOff>
      <xdr:row>0</xdr:row>
      <xdr:rowOff>97906</xdr:rowOff>
    </xdr:from>
    <xdr:to>
      <xdr:col>0</xdr:col>
      <xdr:colOff>1524000</xdr:colOff>
      <xdr:row>1</xdr:row>
      <xdr:rowOff>306369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871AFCB-F49D-410B-BD00-4ABAE9A8DDF6}"/>
            </a:ext>
          </a:extLst>
        </xdr:cNvPr>
        <xdr:cNvSpPr/>
      </xdr:nvSpPr>
      <xdr:spPr>
        <a:xfrm>
          <a:off x="16920" y="97906"/>
          <a:ext cx="1507080" cy="389438"/>
        </a:xfrm>
        <a:prstGeom prst="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/>
            <a:t>Client Logo</a:t>
          </a:r>
        </a:p>
      </xdr:txBody>
    </xdr:sp>
    <xdr:clientData/>
  </xdr:twoCellAnchor>
  <xdr:twoCellAnchor>
    <xdr:from>
      <xdr:col>0</xdr:col>
      <xdr:colOff>0</xdr:colOff>
      <xdr:row>2</xdr:row>
      <xdr:rowOff>22858</xdr:rowOff>
    </xdr:from>
    <xdr:to>
      <xdr:col>2</xdr:col>
      <xdr:colOff>1207769</xdr:colOff>
      <xdr:row>14</xdr:row>
      <xdr:rowOff>38099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946E325-9239-4DA3-BF45-3DB3CEEE67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1236344</xdr:colOff>
      <xdr:row>2</xdr:row>
      <xdr:rowOff>40004</xdr:rowOff>
    </xdr:from>
    <xdr:to>
      <xdr:col>12</xdr:col>
      <xdr:colOff>503464</xdr:colOff>
      <xdr:row>14</xdr:row>
      <xdr:rowOff>38099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BA2AD0A-2F98-422E-A54F-BF21620EE3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14</xdr:row>
      <xdr:rowOff>105048</xdr:rowOff>
    </xdr:from>
    <xdr:to>
      <xdr:col>5</xdr:col>
      <xdr:colOff>640081</xdr:colOff>
      <xdr:row>37</xdr:row>
      <xdr:rowOff>139883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1408E12-BF95-4547-A9B3-4465070E73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693467</xdr:colOff>
      <xdr:row>14</xdr:row>
      <xdr:rowOff>97425</xdr:rowOff>
    </xdr:from>
    <xdr:to>
      <xdr:col>12</xdr:col>
      <xdr:colOff>534263</xdr:colOff>
      <xdr:row>37</xdr:row>
      <xdr:rowOff>132261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51A0BF36-8F9F-4250-9768-E0C0E1AFE1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10</xdr:col>
      <xdr:colOff>229144</xdr:colOff>
      <xdr:row>0</xdr:row>
      <xdr:rowOff>51369</xdr:rowOff>
    </xdr:from>
    <xdr:to>
      <xdr:col>12</xdr:col>
      <xdr:colOff>549232</xdr:colOff>
      <xdr:row>1</xdr:row>
      <xdr:rowOff>364648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D134B20C-2745-CC7A-8F5E-160B71694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23073" y="51369"/>
          <a:ext cx="1533300" cy="49969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</xdr:colOff>
      <xdr:row>0</xdr:row>
      <xdr:rowOff>56063</xdr:rowOff>
    </xdr:from>
    <xdr:to>
      <xdr:col>1</xdr:col>
      <xdr:colOff>790800</xdr:colOff>
      <xdr:row>1</xdr:row>
      <xdr:rowOff>140970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A4D17BA-3B33-4B39-A881-585729FA20BB}"/>
            </a:ext>
          </a:extLst>
        </xdr:cNvPr>
        <xdr:cNvSpPr/>
      </xdr:nvSpPr>
      <xdr:spPr>
        <a:xfrm>
          <a:off x="24765" y="56063"/>
          <a:ext cx="1508985" cy="323032"/>
        </a:xfrm>
        <a:prstGeom prst="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/>
            <a:t>Client Logo</a:t>
          </a:r>
        </a:p>
      </xdr:txBody>
    </xdr:sp>
    <xdr:clientData/>
  </xdr:twoCellAnchor>
  <xdr:twoCellAnchor editAs="oneCell">
    <xdr:from>
      <xdr:col>11</xdr:col>
      <xdr:colOff>647699</xdr:colOff>
      <xdr:row>0</xdr:row>
      <xdr:rowOff>27919</xdr:rowOff>
    </xdr:from>
    <xdr:to>
      <xdr:col>11</xdr:col>
      <xdr:colOff>1810678</xdr:colOff>
      <xdr:row>1</xdr:row>
      <xdr:rowOff>149672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2F1411-20CD-433D-86B1-CB577AFE6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06599" y="27919"/>
          <a:ext cx="1162979" cy="359878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yam Shah" refreshedDate="46033.139217129632" createdVersion="8" refreshedVersion="8" minRefreshableVersion="3" recordCount="33" xr:uid="{2961FA65-7E75-4C7E-9D6B-65BADA8FA845}">
  <cacheSource type="worksheet">
    <worksheetSource ref="A3:L543" sheet="Legal Approval Tracker"/>
  </cacheSource>
  <cacheFields count="12">
    <cacheField name="Approval ID" numFmtId="0">
      <sharedItems containsBlank="1" count="31">
        <s v="LA-01"/>
        <s v="LA-02"/>
        <s v="LA-03"/>
        <s v="LA-04"/>
        <s v="LA-05"/>
        <s v="LA-06"/>
        <s v="LA-07"/>
        <s v="LA-08"/>
        <s v="LA-09"/>
        <s v="LA-10"/>
        <s v="LA-11"/>
        <s v="LA-12"/>
        <s v="LA-13"/>
        <s v="LA-14"/>
        <s v="LA-15"/>
        <s v="LA-16"/>
        <s v="LA-17"/>
        <s v="LA-18"/>
        <s v="LA-19"/>
        <s v="LA-20"/>
        <s v="LA-21"/>
        <s v="LA-22"/>
        <s v="LA-23"/>
        <s v="LA-24"/>
        <s v="LA-25"/>
        <s v="LA-26"/>
        <s v="LA-27"/>
        <s v="LA-28"/>
        <s v="LA-29"/>
        <s v="LA-30"/>
        <m/>
      </sharedItems>
    </cacheField>
    <cacheField name="Approval Category" numFmtId="0">
      <sharedItems containsBlank="1" count="13">
        <s v="Labour Compliance"/>
        <s v="Insurance"/>
        <s v="Statutory"/>
        <s v="Tax"/>
        <s v="Health &amp; Safety"/>
        <s v="Police Clearance"/>
        <s v="Safety"/>
        <s v="Fire"/>
        <s v="Environment"/>
        <s v="Local Authority"/>
        <s v="Utility"/>
        <s v="Traffic"/>
        <m/>
      </sharedItems>
    </cacheField>
    <cacheField name="Authority Name" numFmtId="0">
      <sharedItems containsBlank="1" count="20">
        <s v="Labour Department"/>
        <s v="Insurance Company"/>
        <s v="EPFO"/>
        <s v="ESIC"/>
        <s v="State Tax Department"/>
        <s v="Government Hospital"/>
        <s v="Local Police Department"/>
        <s v="Third Party Agency"/>
        <s v="Fire Department"/>
        <s v="Pollution Control Board"/>
        <s v="Municipal Corporation"/>
        <s v="Electricity Board"/>
        <s v="Water Supply Department"/>
        <s v="Traffic Police Department"/>
        <s v="Factory Inspectorate"/>
        <s v="Local Authority"/>
        <s v="Telecom Authority"/>
        <s v="Lift Inspector"/>
        <s v="Explosives Department"/>
        <m/>
      </sharedItems>
    </cacheField>
    <cacheField name="Approval Description" numFmtId="0">
      <sharedItems containsBlank="1"/>
    </cacheField>
    <cacheField name="Applicable Building / Package" numFmtId="0">
      <sharedItems containsBlank="1" count="12">
        <s v="All Towers"/>
        <s v="All Packages"/>
        <s v="Tower 1"/>
        <s v="Site Area"/>
        <s v="Project Site"/>
        <s v="Tower 2"/>
        <s v="Site"/>
        <s v="Main Road"/>
        <s v="All Labour"/>
        <s v="Site Boundary"/>
        <s v="Site Office"/>
        <m/>
      </sharedItems>
    </cacheField>
    <cacheField name="Submission Date" numFmtId="0">
      <sharedItems containsNonDate="0" containsDate="1" containsString="0" containsBlank="1" minDate="2024-12-15T00:00:00" maxDate="2025-01-26T00:00:00"/>
    </cacheField>
    <cacheField name="Required By" numFmtId="0">
      <sharedItems containsNonDate="0" containsDate="1" containsString="0" containsBlank="1" minDate="2025-01-10T00:00:00" maxDate="2025-02-16T00:00:00"/>
    </cacheField>
    <cacheField name="Approval Received Date" numFmtId="0">
      <sharedItems containsNonDate="0" containsDate="1" containsString="0" containsBlank="1" minDate="2025-01-09T00:00:00" maxDate="2025-01-29T00:00:00"/>
    </cacheField>
    <cacheField name="Status" numFmtId="0">
      <sharedItems containsBlank="1" count="6">
        <s v="Approved"/>
        <s v="Submitted"/>
        <s v="Delayed"/>
        <s v="In Progress"/>
        <s v="Not Submitted"/>
        <m/>
      </sharedItems>
    </cacheField>
    <cacheField name="Delay (Days)" numFmtId="0">
      <sharedItems containsString="0" containsBlank="1" containsNumber="1" containsInteger="1" minValue="-2" maxValue="2"/>
    </cacheField>
    <cacheField name="Responsible Party" numFmtId="0">
      <sharedItems containsBlank="1" count="3">
        <s v="Client"/>
        <s v="Contractor"/>
        <m/>
      </sharedItems>
    </cacheField>
    <cacheField name="Remark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x v="0"/>
    <x v="0"/>
    <x v="0"/>
    <s v="BOCW Registration – Building &amp; Other Construction Works"/>
    <x v="0"/>
    <d v="2025-01-05T00:00:00"/>
    <d v="2025-01-20T00:00:00"/>
    <d v="2025-01-22T00:00:00"/>
    <x v="0"/>
    <n v="2"/>
    <x v="0"/>
    <s v="Approved with minor delay"/>
  </r>
  <r>
    <x v="1"/>
    <x v="1"/>
    <x v="1"/>
    <s v="CAR Policy – Contractor All Risk"/>
    <x v="1"/>
    <d v="2025-01-02T00:00:00"/>
    <d v="2025-01-10T00:00:00"/>
    <d v="2025-01-09T00:00:00"/>
    <x v="0"/>
    <n v="-1"/>
    <x v="1"/>
    <s v="Submitted on priority"/>
  </r>
  <r>
    <x v="2"/>
    <x v="0"/>
    <x v="0"/>
    <s v="CLRA Registration – Contract Labour Regulation Act"/>
    <x v="0"/>
    <d v="2025-01-06T00:00:00"/>
    <d v="2025-01-25T00:00:00"/>
    <m/>
    <x v="1"/>
    <m/>
    <x v="1"/>
    <s v="Under review by department"/>
  </r>
  <r>
    <x v="3"/>
    <x v="0"/>
    <x v="0"/>
    <s v="Labour License"/>
    <x v="2"/>
    <d v="2025-01-08T00:00:00"/>
    <d v="2025-01-20T00:00:00"/>
    <m/>
    <x v="2"/>
    <m/>
    <x v="1"/>
    <s v="Inspection pending"/>
  </r>
  <r>
    <x v="4"/>
    <x v="2"/>
    <x v="2"/>
    <s v="PF Registration Documents"/>
    <x v="1"/>
    <d v="2025-01-03T00:00:00"/>
    <d v="2025-01-15T00:00:00"/>
    <d v="2025-01-14T00:00:00"/>
    <x v="0"/>
    <n v="-1"/>
    <x v="1"/>
    <s v="-"/>
  </r>
  <r>
    <x v="5"/>
    <x v="2"/>
    <x v="3"/>
    <s v="ESI Registration Documents"/>
    <x v="1"/>
    <d v="2025-01-03T00:00:00"/>
    <d v="2025-01-15T00:00:00"/>
    <d v="2025-01-16T00:00:00"/>
    <x v="0"/>
    <n v="1"/>
    <x v="1"/>
    <s v="One day delay"/>
  </r>
  <r>
    <x v="6"/>
    <x v="3"/>
    <x v="4"/>
    <s v="Professional Tax Registration"/>
    <x v="1"/>
    <d v="2025-01-04T00:00:00"/>
    <d v="2025-01-18T00:00:00"/>
    <d v="2025-01-17T00:00:00"/>
    <x v="0"/>
    <n v="-1"/>
    <x v="1"/>
    <s v="-"/>
  </r>
  <r>
    <x v="7"/>
    <x v="0"/>
    <x v="0"/>
    <s v="LWF – Labour Welfare Fund Registration"/>
    <x v="0"/>
    <d v="2025-01-05T00:00:00"/>
    <d v="2025-01-18T00:00:00"/>
    <m/>
    <x v="1"/>
    <m/>
    <x v="1"/>
    <s v="Follow-up required"/>
  </r>
  <r>
    <x v="8"/>
    <x v="4"/>
    <x v="5"/>
    <s v="Worker Medical Fitness Certification"/>
    <x v="0"/>
    <d v="2025-01-07T00:00:00"/>
    <d v="2025-01-14T00:00:00"/>
    <d v="2025-01-13T00:00:00"/>
    <x v="0"/>
    <n v="-1"/>
    <x v="1"/>
    <s v="-"/>
  </r>
  <r>
    <x v="9"/>
    <x v="5"/>
    <x v="6"/>
    <s v="Worker Police Verification"/>
    <x v="0"/>
    <d v="2025-01-07T00:00:00"/>
    <d v="2025-01-21T00:00:00"/>
    <m/>
    <x v="2"/>
    <m/>
    <x v="1"/>
    <s v="Police clearance pending"/>
  </r>
  <r>
    <x v="10"/>
    <x v="6"/>
    <x v="7"/>
    <s v="Test Certificate – Lifting Tools &amp; Tackles"/>
    <x v="0"/>
    <d v="2025-01-09T00:00:00"/>
    <d v="2025-01-19T00:00:00"/>
    <d v="2025-01-18T00:00:00"/>
    <x v="0"/>
    <n v="-1"/>
    <x v="1"/>
    <s v="-"/>
  </r>
  <r>
    <x v="11"/>
    <x v="6"/>
    <x v="7"/>
    <s v="Pressure Vessel Test Certificate"/>
    <x v="0"/>
    <d v="2025-01-09T00:00:00"/>
    <d v="2025-01-19T00:00:00"/>
    <m/>
    <x v="1"/>
    <m/>
    <x v="1"/>
    <s v="Inspection scheduled"/>
  </r>
  <r>
    <x v="12"/>
    <x v="7"/>
    <x v="8"/>
    <s v="Fire NOC – Temporary Site Office"/>
    <x v="3"/>
    <d v="2025-01-10T00:00:00"/>
    <d v="2025-01-25T00:00:00"/>
    <m/>
    <x v="3"/>
    <m/>
    <x v="0"/>
    <s v="Documents submitted"/>
  </r>
  <r>
    <x v="13"/>
    <x v="8"/>
    <x v="9"/>
    <s v="Consent to Establish (CTE)"/>
    <x v="4"/>
    <d v="2025-01-12T00:00:00"/>
    <d v="2025-02-05T00:00:00"/>
    <m/>
    <x v="1"/>
    <m/>
    <x v="0"/>
    <s v="Under scrutiny"/>
  </r>
  <r>
    <x v="14"/>
    <x v="8"/>
    <x v="9"/>
    <s v="Consent to Operate – DG Set"/>
    <x v="4"/>
    <d v="2025-01-15T00:00:00"/>
    <d v="2025-02-10T00:00:00"/>
    <m/>
    <x v="4"/>
    <m/>
    <x v="1"/>
    <s v="DG set not installed"/>
  </r>
  <r>
    <x v="15"/>
    <x v="9"/>
    <x v="10"/>
    <s v="Building Plan Approval"/>
    <x v="2"/>
    <d v="2024-12-15T00:00:00"/>
    <d v="2025-01-30T00:00:00"/>
    <d v="2025-01-28T00:00:00"/>
    <x v="0"/>
    <n v="-2"/>
    <x v="0"/>
    <s v="-"/>
  </r>
  <r>
    <x v="16"/>
    <x v="9"/>
    <x v="10"/>
    <s v="Commencement Certificate"/>
    <x v="5"/>
    <d v="2025-01-05T00:00:00"/>
    <d v="2025-01-25T00:00:00"/>
    <m/>
    <x v="2"/>
    <m/>
    <x v="0"/>
    <s v="Resubmission required"/>
  </r>
  <r>
    <x v="17"/>
    <x v="10"/>
    <x v="11"/>
    <s v="Temporary Power Connection"/>
    <x v="6"/>
    <d v="2025-01-06T00:00:00"/>
    <d v="2025-01-20T00:00:00"/>
    <d v="2025-01-21T00:00:00"/>
    <x v="0"/>
    <n v="1"/>
    <x v="1"/>
    <s v="-"/>
  </r>
  <r>
    <x v="18"/>
    <x v="10"/>
    <x v="12"/>
    <s v="Temporary Water Connection"/>
    <x v="6"/>
    <d v="2025-01-06T00:00:00"/>
    <d v="2025-01-20T00:00:00"/>
    <m/>
    <x v="1"/>
    <m/>
    <x v="1"/>
    <s v="Pipeline work pending"/>
  </r>
  <r>
    <x v="19"/>
    <x v="11"/>
    <x v="13"/>
    <s v="Traffic Diversion Permission"/>
    <x v="7"/>
    <d v="2025-01-10T00:00:00"/>
    <d v="2025-01-18T00:00:00"/>
    <d v="2025-01-17T00:00:00"/>
    <x v="0"/>
    <n v="-1"/>
    <x v="0"/>
    <s v="-"/>
  </r>
  <r>
    <x v="20"/>
    <x v="6"/>
    <x v="14"/>
    <s v="Site Safety Registration"/>
    <x v="0"/>
    <d v="2025-01-11T00:00:00"/>
    <d v="2025-01-22T00:00:00"/>
    <m/>
    <x v="3"/>
    <m/>
    <x v="1"/>
    <s v="Inspection awaited"/>
  </r>
  <r>
    <x v="21"/>
    <x v="1"/>
    <x v="1"/>
    <s v="Workmen Compensation Policy"/>
    <x v="8"/>
    <d v="2025-01-05T00:00:00"/>
    <d v="2025-01-12T00:00:00"/>
    <d v="2025-01-11T00:00:00"/>
    <x v="0"/>
    <n v="-1"/>
    <x v="1"/>
    <s v="-"/>
  </r>
  <r>
    <x v="22"/>
    <x v="0"/>
    <x v="0"/>
    <s v="Inter-State Migrant Workmen Registration"/>
    <x v="0"/>
    <d v="2025-01-08T00:00:00"/>
    <d v="2025-01-25T00:00:00"/>
    <m/>
    <x v="1"/>
    <m/>
    <x v="1"/>
    <s v="Documents under review"/>
  </r>
  <r>
    <x v="23"/>
    <x v="8"/>
    <x v="15"/>
    <s v="Tree Cutting Permission"/>
    <x v="9"/>
    <d v="2025-01-15T00:00:00"/>
    <d v="2025-02-01T00:00:00"/>
    <m/>
    <x v="4"/>
    <m/>
    <x v="0"/>
    <s v="Tree survey pending"/>
  </r>
  <r>
    <x v="24"/>
    <x v="6"/>
    <x v="8"/>
    <s v="Fire Safety Equipment Approval"/>
    <x v="6"/>
    <d v="2025-01-16T00:00:00"/>
    <d v="2025-01-30T00:00:00"/>
    <m/>
    <x v="3"/>
    <m/>
    <x v="1"/>
    <s v="Partial installation completed"/>
  </r>
  <r>
    <x v="25"/>
    <x v="10"/>
    <x v="16"/>
    <s v="Internet / Telecom Permission"/>
    <x v="10"/>
    <d v="2025-01-14T00:00:00"/>
    <d v="2025-01-28T00:00:00"/>
    <d v="2025-01-27T00:00:00"/>
    <x v="0"/>
    <n v="-1"/>
    <x v="1"/>
    <s v="-"/>
  </r>
  <r>
    <x v="26"/>
    <x v="9"/>
    <x v="10"/>
    <s v="Hoarding Permission"/>
    <x v="9"/>
    <d v="2025-01-18T00:00:00"/>
    <d v="2025-01-28T00:00:00"/>
    <m/>
    <x v="1"/>
    <m/>
    <x v="0"/>
    <s v="Approval awaited"/>
  </r>
  <r>
    <x v="27"/>
    <x v="8"/>
    <x v="15"/>
    <s v="Debris Disposal Permission"/>
    <x v="4"/>
    <d v="2025-01-20T00:00:00"/>
    <d v="2025-02-05T00:00:00"/>
    <m/>
    <x v="4"/>
    <m/>
    <x v="1"/>
    <s v="Vendor finalisation pending"/>
  </r>
  <r>
    <x v="28"/>
    <x v="6"/>
    <x v="17"/>
    <s v="Temporary Construction Lift Approval"/>
    <x v="2"/>
    <d v="2025-01-22T00:00:00"/>
    <d v="2025-02-10T00:00:00"/>
    <m/>
    <x v="3"/>
    <m/>
    <x v="1"/>
    <s v="Inspection scheduled"/>
  </r>
  <r>
    <x v="29"/>
    <x v="2"/>
    <x v="18"/>
    <s v="Diesel Storage License"/>
    <x v="4"/>
    <d v="2025-01-25T00:00:00"/>
    <d v="2025-02-15T00:00:00"/>
    <m/>
    <x v="4"/>
    <m/>
    <x v="1"/>
    <s v="Tank installation pending"/>
  </r>
  <r>
    <x v="30"/>
    <x v="12"/>
    <x v="19"/>
    <m/>
    <x v="11"/>
    <m/>
    <m/>
    <m/>
    <x v="5"/>
    <m/>
    <x v="2"/>
    <m/>
  </r>
  <r>
    <x v="30"/>
    <x v="12"/>
    <x v="19"/>
    <m/>
    <x v="11"/>
    <m/>
    <m/>
    <m/>
    <x v="5"/>
    <m/>
    <x v="2"/>
    <m/>
  </r>
  <r>
    <x v="30"/>
    <x v="12"/>
    <x v="19"/>
    <m/>
    <x v="11"/>
    <m/>
    <m/>
    <m/>
    <x v="5"/>
    <m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BB9379-3B1F-482A-92E4-F248BE5FBC50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D122:E125" firstHeaderRow="1" firstDataRow="1" firstDataCol="1"/>
  <pivotFields count="12">
    <pivotField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>
      <items count="14">
        <item x="8"/>
        <item x="7"/>
        <item x="4"/>
        <item x="1"/>
        <item x="0"/>
        <item x="9"/>
        <item x="5"/>
        <item x="6"/>
        <item x="2"/>
        <item x="3"/>
        <item x="11"/>
        <item x="10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7">
        <item x="0"/>
        <item x="2"/>
        <item x="3"/>
        <item x="4"/>
        <item x="1"/>
        <item x="5"/>
        <item t="default"/>
      </items>
    </pivotField>
    <pivotField dataField="1" showAll="0"/>
    <pivotField axis="axisRow" showAll="0">
      <items count="4">
        <item x="0"/>
        <item x="1"/>
        <item h="1" x="2"/>
        <item t="default"/>
      </items>
    </pivotField>
    <pivotField showAll="0"/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Sum of Delay (Days)" fld="9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6D0ED9-C8D2-46EE-A1C1-69209D7DC2A1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47:B167" firstHeaderRow="1" firstDataRow="1" firstDataCol="1"/>
  <pivotFields count="12">
    <pivotField dataField="1" compact="0" outline="0" showAll="0" defaultSubtota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compact="0" outline="0" showAll="0" defaultSubtotal="0">
      <items count="13">
        <item x="8"/>
        <item x="7"/>
        <item x="4"/>
        <item x="1"/>
        <item x="0"/>
        <item x="9"/>
        <item x="5"/>
        <item x="6"/>
        <item x="2"/>
        <item x="3"/>
        <item x="11"/>
        <item x="10"/>
        <item x="12"/>
      </items>
    </pivotField>
    <pivotField axis="axisRow" compact="0" outline="0" showAll="0" defaultSubtotal="0">
      <items count="20">
        <item x="11"/>
        <item x="2"/>
        <item x="3"/>
        <item x="18"/>
        <item x="14"/>
        <item x="8"/>
        <item x="5"/>
        <item x="1"/>
        <item x="0"/>
        <item x="17"/>
        <item x="15"/>
        <item x="6"/>
        <item x="10"/>
        <item x="9"/>
        <item x="4"/>
        <item x="16"/>
        <item x="7"/>
        <item x="13"/>
        <item x="12"/>
        <item h="1" x="19"/>
      </items>
    </pivotField>
    <pivotField compact="0" outline="0" showAll="0" defaultSubtotal="0"/>
    <pivotField compact="0" outline="0" showAll="0" defaultSubtotal="0">
      <items count="12">
        <item x="8"/>
        <item x="1"/>
        <item x="0"/>
        <item x="7"/>
        <item x="4"/>
        <item x="6"/>
        <item x="3"/>
        <item x="9"/>
        <item x="10"/>
        <item x="2"/>
        <item x="5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6">
        <item x="0"/>
        <item x="2"/>
        <item x="3"/>
        <item x="4"/>
        <item x="1"/>
        <item x="5"/>
      </items>
    </pivotField>
    <pivotField compact="0" outline="0" showAll="0" defaultSubtotal="0"/>
    <pivotField compact="0" outline="0" showAll="0" defaultSubtotal="0"/>
    <pivotField compact="0" outline="0" showAll="0" defaultSubtotal="0"/>
  </pivotFields>
  <rowFields count="1">
    <field x="2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Count of Approval 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1E0C2F-D9C5-4FF3-8C56-DA43DD1913CB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31:B144" firstHeaderRow="1" firstDataRow="1" firstDataCol="1"/>
  <pivotFields count="12">
    <pivotField dataField="1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showAll="0">
      <items count="14">
        <item x="8"/>
        <item x="7"/>
        <item x="4"/>
        <item x="1"/>
        <item x="0"/>
        <item x="9"/>
        <item x="5"/>
        <item x="6"/>
        <item x="2"/>
        <item x="3"/>
        <item x="11"/>
        <item x="10"/>
        <item h="1" x="12"/>
        <item t="default"/>
      </items>
    </pivotField>
    <pivotField showAll="0">
      <items count="21">
        <item x="11"/>
        <item x="2"/>
        <item x="3"/>
        <item x="18"/>
        <item x="14"/>
        <item x="8"/>
        <item x="5"/>
        <item x="1"/>
        <item x="0"/>
        <item x="17"/>
        <item x="15"/>
        <item x="6"/>
        <item x="10"/>
        <item x="9"/>
        <item x="4"/>
        <item x="16"/>
        <item x="7"/>
        <item x="13"/>
        <item x="12"/>
        <item x="19"/>
        <item t="default"/>
      </items>
    </pivotField>
    <pivotField showAll="0"/>
    <pivotField showAll="0"/>
    <pivotField showAll="0"/>
    <pivotField showAll="0"/>
    <pivotField showAll="0"/>
    <pivotField showAll="0">
      <items count="7">
        <item x="0"/>
        <item x="2"/>
        <item x="3"/>
        <item x="4"/>
        <item x="1"/>
        <item x="5"/>
        <item t="default"/>
      </items>
    </pivotField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Approval ID" fld="0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EE7554-11A5-43C2-BCE3-0FE504565995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122:B129" firstHeaderRow="1" firstDataRow="1" firstDataCol="1"/>
  <pivotFields count="12">
    <pivotField dataField="1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2"/>
        <item x="3"/>
        <item x="4"/>
        <item x="1"/>
        <item x="5"/>
        <item t="default"/>
      </items>
    </pivotField>
    <pivotField showAll="0"/>
    <pivotField showAll="0"/>
    <pivotField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Approval ID" fld="0" subtotal="count" baseField="0" baseItem="0"/>
  </dataFields>
  <chartFormats count="7"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8" format="13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09E24-6782-445A-B338-EB41500D7E9B}">
  <dimension ref="A1:M167"/>
  <sheetViews>
    <sheetView tabSelected="1" zoomScale="85" zoomScaleNormal="85" workbookViewId="0">
      <selection activeCell="A122" sqref="A122"/>
    </sheetView>
  </sheetViews>
  <sheetFormatPr defaultRowHeight="14.4" x14ac:dyDescent="0.3"/>
  <cols>
    <col min="1" max="1" width="25" bestFit="1" customWidth="1"/>
    <col min="2" max="2" width="24.5546875" bestFit="1" customWidth="1"/>
    <col min="3" max="3" width="19.33203125" bestFit="1" customWidth="1"/>
    <col min="4" max="4" width="17.33203125" bestFit="1" customWidth="1"/>
    <col min="5" max="5" width="23.88671875" bestFit="1" customWidth="1"/>
    <col min="6" max="6" width="18.88671875" bestFit="1" customWidth="1"/>
    <col min="13" max="13" width="8.77734375" customWidth="1"/>
  </cols>
  <sheetData>
    <row r="1" spans="1:13" x14ac:dyDescent="0.3">
      <c r="A1" s="34" t="s">
        <v>147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6"/>
    </row>
    <row r="2" spans="1:13" ht="33.6" customHeight="1" thickBot="1" x14ac:dyDescent="0.35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9"/>
    </row>
    <row r="3" spans="1:13" x14ac:dyDescent="0.3">
      <c r="A3" s="40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2"/>
    </row>
    <row r="4" spans="1:13" x14ac:dyDescent="0.3">
      <c r="A4" s="43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4"/>
    </row>
    <row r="5" spans="1:13" x14ac:dyDescent="0.3">
      <c r="A5" s="43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4"/>
    </row>
    <row r="6" spans="1:13" x14ac:dyDescent="0.3">
      <c r="A6" s="43"/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4"/>
    </row>
    <row r="7" spans="1:13" x14ac:dyDescent="0.3">
      <c r="A7" s="43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4"/>
    </row>
    <row r="8" spans="1:13" x14ac:dyDescent="0.3">
      <c r="A8" s="43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4"/>
    </row>
    <row r="9" spans="1:13" x14ac:dyDescent="0.3">
      <c r="A9" s="43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4"/>
    </row>
    <row r="10" spans="1:13" x14ac:dyDescent="0.3">
      <c r="A10" s="43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4"/>
    </row>
    <row r="11" spans="1:13" x14ac:dyDescent="0.3">
      <c r="A11" s="43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4"/>
    </row>
    <row r="12" spans="1:13" x14ac:dyDescent="0.3">
      <c r="A12" s="43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4"/>
    </row>
    <row r="13" spans="1:13" x14ac:dyDescent="0.3">
      <c r="A13" s="43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4"/>
    </row>
    <row r="14" spans="1:13" x14ac:dyDescent="0.3">
      <c r="A14" s="43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4"/>
    </row>
    <row r="15" spans="1:13" x14ac:dyDescent="0.3">
      <c r="A15" s="43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4"/>
    </row>
    <row r="16" spans="1:13" x14ac:dyDescent="0.3">
      <c r="A16" s="43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4"/>
    </row>
    <row r="17" spans="1:13" x14ac:dyDescent="0.3">
      <c r="A17" s="43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4"/>
    </row>
    <row r="18" spans="1:13" x14ac:dyDescent="0.3">
      <c r="A18" s="43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4"/>
    </row>
    <row r="19" spans="1:13" x14ac:dyDescent="0.3">
      <c r="A19" s="43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4"/>
    </row>
    <row r="20" spans="1:13" x14ac:dyDescent="0.3">
      <c r="A20" s="43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4"/>
    </row>
    <row r="21" spans="1:13" x14ac:dyDescent="0.3">
      <c r="A21" s="43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4"/>
    </row>
    <row r="22" spans="1:13" x14ac:dyDescent="0.3">
      <c r="A22" s="43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4"/>
    </row>
    <row r="23" spans="1:13" x14ac:dyDescent="0.3">
      <c r="A23" s="43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4"/>
    </row>
    <row r="24" spans="1:13" x14ac:dyDescent="0.3">
      <c r="A24" s="43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4"/>
    </row>
    <row r="25" spans="1:13" x14ac:dyDescent="0.3">
      <c r="A25" s="43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4"/>
    </row>
    <row r="26" spans="1:13" x14ac:dyDescent="0.3">
      <c r="A26" s="43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4"/>
    </row>
    <row r="27" spans="1:13" x14ac:dyDescent="0.3">
      <c r="A27" s="43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4"/>
    </row>
    <row r="28" spans="1:13" x14ac:dyDescent="0.3">
      <c r="A28" s="43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4"/>
    </row>
    <row r="29" spans="1:13" x14ac:dyDescent="0.3">
      <c r="A29" s="43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4"/>
    </row>
    <row r="30" spans="1:13" x14ac:dyDescent="0.3">
      <c r="A30" s="43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4"/>
    </row>
    <row r="31" spans="1:13" x14ac:dyDescent="0.3">
      <c r="A31" s="43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4"/>
    </row>
    <row r="32" spans="1:13" x14ac:dyDescent="0.3">
      <c r="A32" s="43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4"/>
    </row>
    <row r="33" spans="1:13" x14ac:dyDescent="0.3">
      <c r="A33" s="43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4"/>
    </row>
    <row r="34" spans="1:13" x14ac:dyDescent="0.3">
      <c r="A34" s="43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4"/>
    </row>
    <row r="35" spans="1:13" x14ac:dyDescent="0.3">
      <c r="A35" s="43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4"/>
    </row>
    <row r="36" spans="1:13" x14ac:dyDescent="0.3">
      <c r="A36" s="43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4"/>
    </row>
    <row r="37" spans="1:13" x14ac:dyDescent="0.3">
      <c r="A37" s="43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4"/>
    </row>
    <row r="38" spans="1:13" x14ac:dyDescent="0.3">
      <c r="A38" s="43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4"/>
    </row>
    <row r="122" spans="1:5" x14ac:dyDescent="0.3">
      <c r="A122" s="31" t="s">
        <v>142</v>
      </c>
      <c r="B122" t="s">
        <v>145</v>
      </c>
      <c r="D122" s="31" t="s">
        <v>142</v>
      </c>
      <c r="E122" t="s">
        <v>146</v>
      </c>
    </row>
    <row r="123" spans="1:5" x14ac:dyDescent="0.3">
      <c r="A123" s="32" t="s">
        <v>15</v>
      </c>
      <c r="B123" s="33">
        <v>12</v>
      </c>
      <c r="D123" s="32" t="s">
        <v>16</v>
      </c>
      <c r="E123" s="33">
        <v>-1</v>
      </c>
    </row>
    <row r="124" spans="1:5" x14ac:dyDescent="0.3">
      <c r="A124" s="32" t="s">
        <v>32</v>
      </c>
      <c r="B124" s="33">
        <v>3</v>
      </c>
      <c r="D124" s="32" t="s">
        <v>23</v>
      </c>
      <c r="E124" s="33">
        <v>-5</v>
      </c>
    </row>
    <row r="125" spans="1:5" x14ac:dyDescent="0.3">
      <c r="A125" s="32" t="s">
        <v>71</v>
      </c>
      <c r="B125" s="33">
        <v>4</v>
      </c>
      <c r="D125" s="32" t="s">
        <v>144</v>
      </c>
      <c r="E125" s="33">
        <v>-6</v>
      </c>
    </row>
    <row r="126" spans="1:5" x14ac:dyDescent="0.3">
      <c r="A126" s="32" t="s">
        <v>81</v>
      </c>
      <c r="B126" s="33">
        <v>4</v>
      </c>
    </row>
    <row r="127" spans="1:5" x14ac:dyDescent="0.3">
      <c r="A127" s="32" t="s">
        <v>27</v>
      </c>
      <c r="B127" s="33">
        <v>7</v>
      </c>
    </row>
    <row r="128" spans="1:5" x14ac:dyDescent="0.3">
      <c r="A128" s="32" t="s">
        <v>143</v>
      </c>
      <c r="B128" s="33"/>
    </row>
    <row r="129" spans="1:2" x14ac:dyDescent="0.3">
      <c r="A129" s="32" t="s">
        <v>144</v>
      </c>
      <c r="B129" s="33">
        <v>30</v>
      </c>
    </row>
    <row r="131" spans="1:2" x14ac:dyDescent="0.3">
      <c r="A131" s="31" t="s">
        <v>142</v>
      </c>
      <c r="B131" t="s">
        <v>145</v>
      </c>
    </row>
    <row r="132" spans="1:2" x14ac:dyDescent="0.3">
      <c r="A132" s="32" t="s">
        <v>74</v>
      </c>
      <c r="B132" s="33">
        <v>4</v>
      </c>
    </row>
    <row r="133" spans="1:2" x14ac:dyDescent="0.3">
      <c r="A133" s="32" t="s">
        <v>67</v>
      </c>
      <c r="B133" s="33">
        <v>1</v>
      </c>
    </row>
    <row r="134" spans="1:2" x14ac:dyDescent="0.3">
      <c r="A134" s="32" t="s">
        <v>51</v>
      </c>
      <c r="B134" s="33">
        <v>1</v>
      </c>
    </row>
    <row r="135" spans="1:2" x14ac:dyDescent="0.3">
      <c r="A135" s="32" t="s">
        <v>19</v>
      </c>
      <c r="B135" s="33">
        <v>2</v>
      </c>
    </row>
    <row r="136" spans="1:2" x14ac:dyDescent="0.3">
      <c r="A136" s="32" t="s">
        <v>11</v>
      </c>
      <c r="B136" s="33">
        <v>5</v>
      </c>
    </row>
    <row r="137" spans="1:2" x14ac:dyDescent="0.3">
      <c r="A137" s="32" t="s">
        <v>84</v>
      </c>
      <c r="B137" s="33">
        <v>3</v>
      </c>
    </row>
    <row r="138" spans="1:2" x14ac:dyDescent="0.3">
      <c r="A138" s="32" t="s">
        <v>55</v>
      </c>
      <c r="B138" s="33">
        <v>1</v>
      </c>
    </row>
    <row r="139" spans="1:2" x14ac:dyDescent="0.3">
      <c r="A139" s="32" t="s">
        <v>60</v>
      </c>
      <c r="B139" s="33">
        <v>5</v>
      </c>
    </row>
    <row r="140" spans="1:2" x14ac:dyDescent="0.3">
      <c r="A140" s="32" t="s">
        <v>35</v>
      </c>
      <c r="B140" s="33">
        <v>3</v>
      </c>
    </row>
    <row r="141" spans="1:2" x14ac:dyDescent="0.3">
      <c r="A141" s="32" t="s">
        <v>44</v>
      </c>
      <c r="B141" s="33">
        <v>1</v>
      </c>
    </row>
    <row r="142" spans="1:2" x14ac:dyDescent="0.3">
      <c r="A142" s="32" t="s">
        <v>101</v>
      </c>
      <c r="B142" s="33">
        <v>1</v>
      </c>
    </row>
    <row r="143" spans="1:2" x14ac:dyDescent="0.3">
      <c r="A143" s="32" t="s">
        <v>92</v>
      </c>
      <c r="B143" s="33">
        <v>3</v>
      </c>
    </row>
    <row r="144" spans="1:2" x14ac:dyDescent="0.3">
      <c r="A144" s="32" t="s">
        <v>144</v>
      </c>
      <c r="B144" s="33">
        <v>30</v>
      </c>
    </row>
    <row r="147" spans="1:2" x14ac:dyDescent="0.3">
      <c r="A147" s="31" t="s">
        <v>2</v>
      </c>
      <c r="B147" t="s">
        <v>145</v>
      </c>
    </row>
    <row r="148" spans="1:2" x14ac:dyDescent="0.3">
      <c r="A148" t="s">
        <v>93</v>
      </c>
      <c r="B148" s="33">
        <v>1</v>
      </c>
    </row>
    <row r="149" spans="1:2" x14ac:dyDescent="0.3">
      <c r="A149" t="s">
        <v>36</v>
      </c>
      <c r="B149" s="33">
        <v>1</v>
      </c>
    </row>
    <row r="150" spans="1:2" x14ac:dyDescent="0.3">
      <c r="A150" t="s">
        <v>40</v>
      </c>
      <c r="B150" s="33">
        <v>1</v>
      </c>
    </row>
    <row r="151" spans="1:2" x14ac:dyDescent="0.3">
      <c r="A151" t="s">
        <v>136</v>
      </c>
      <c r="B151" s="33">
        <v>1</v>
      </c>
    </row>
    <row r="152" spans="1:2" x14ac:dyDescent="0.3">
      <c r="A152" t="s">
        <v>106</v>
      </c>
      <c r="B152" s="33">
        <v>1</v>
      </c>
    </row>
    <row r="153" spans="1:2" x14ac:dyDescent="0.3">
      <c r="A153" t="s">
        <v>68</v>
      </c>
      <c r="B153" s="33">
        <v>2</v>
      </c>
    </row>
    <row r="154" spans="1:2" x14ac:dyDescent="0.3">
      <c r="A154" t="s">
        <v>52</v>
      </c>
      <c r="B154" s="33">
        <v>1</v>
      </c>
    </row>
    <row r="155" spans="1:2" x14ac:dyDescent="0.3">
      <c r="A155" t="s">
        <v>20</v>
      </c>
      <c r="B155" s="33">
        <v>2</v>
      </c>
    </row>
    <row r="156" spans="1:2" x14ac:dyDescent="0.3">
      <c r="A156" t="s">
        <v>12</v>
      </c>
      <c r="B156" s="33">
        <v>5</v>
      </c>
    </row>
    <row r="157" spans="1:2" x14ac:dyDescent="0.3">
      <c r="A157" t="s">
        <v>133</v>
      </c>
      <c r="B157" s="33">
        <v>1</v>
      </c>
    </row>
    <row r="158" spans="1:2" x14ac:dyDescent="0.3">
      <c r="A158" t="s">
        <v>84</v>
      </c>
      <c r="B158" s="33">
        <v>2</v>
      </c>
    </row>
    <row r="159" spans="1:2" x14ac:dyDescent="0.3">
      <c r="A159" t="s">
        <v>56</v>
      </c>
      <c r="B159" s="33">
        <v>1</v>
      </c>
    </row>
    <row r="160" spans="1:2" x14ac:dyDescent="0.3">
      <c r="A160" t="s">
        <v>85</v>
      </c>
      <c r="B160" s="33">
        <v>3</v>
      </c>
    </row>
    <row r="161" spans="1:2" x14ac:dyDescent="0.3">
      <c r="A161" t="s">
        <v>75</v>
      </c>
      <c r="B161" s="33">
        <v>2</v>
      </c>
    </row>
    <row r="162" spans="1:2" x14ac:dyDescent="0.3">
      <c r="A162" t="s">
        <v>45</v>
      </c>
      <c r="B162" s="33">
        <v>1</v>
      </c>
    </row>
    <row r="163" spans="1:2" x14ac:dyDescent="0.3">
      <c r="A163" t="s">
        <v>123</v>
      </c>
      <c r="B163" s="33">
        <v>1</v>
      </c>
    </row>
    <row r="164" spans="1:2" x14ac:dyDescent="0.3">
      <c r="A164" t="s">
        <v>61</v>
      </c>
      <c r="B164" s="33">
        <v>2</v>
      </c>
    </row>
    <row r="165" spans="1:2" x14ac:dyDescent="0.3">
      <c r="A165" t="s">
        <v>102</v>
      </c>
      <c r="B165" s="33">
        <v>1</v>
      </c>
    </row>
    <row r="166" spans="1:2" x14ac:dyDescent="0.3">
      <c r="A166" t="s">
        <v>97</v>
      </c>
      <c r="B166" s="33">
        <v>1</v>
      </c>
    </row>
    <row r="167" spans="1:2" x14ac:dyDescent="0.3">
      <c r="A167" t="s">
        <v>144</v>
      </c>
      <c r="B167" s="33">
        <v>30</v>
      </c>
    </row>
  </sheetData>
  <mergeCells count="2">
    <mergeCell ref="A1:M2"/>
    <mergeCell ref="A3:M38"/>
  </mergeCells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97AF3-F925-45BE-B462-C4D56E5BCD65}">
  <dimension ref="A1:L33"/>
  <sheetViews>
    <sheetView workbookViewId="0">
      <selection sqref="A1:L2"/>
    </sheetView>
  </sheetViews>
  <sheetFormatPr defaultRowHeight="14.4" x14ac:dyDescent="0.3"/>
  <cols>
    <col min="1" max="1" width="10.77734375" style="2" customWidth="1"/>
    <col min="2" max="2" width="17.88671875" style="2" bestFit="1" customWidth="1"/>
    <col min="3" max="3" width="22.88671875" style="2" bestFit="1" customWidth="1"/>
    <col min="4" max="4" width="36.44140625" style="20" customWidth="1"/>
    <col min="5" max="5" width="26.88671875" style="2" bestFit="1" customWidth="1"/>
    <col min="6" max="6" width="18.109375" style="1" customWidth="1"/>
    <col min="7" max="7" width="16.21875" style="1" customWidth="1"/>
    <col min="8" max="8" width="16.88671875" style="2" customWidth="1"/>
    <col min="9" max="9" width="13.21875" style="2" bestFit="1" customWidth="1"/>
    <col min="10" max="10" width="11.6640625" style="2" bestFit="1" customWidth="1"/>
    <col min="11" max="11" width="13.88671875" style="2" customWidth="1"/>
    <col min="12" max="12" width="27.109375" style="2" customWidth="1"/>
    <col min="13" max="16384" width="8.88671875" style="2"/>
  </cols>
  <sheetData>
    <row r="1" spans="1:12" ht="18.600000000000001" customHeight="1" x14ac:dyDescent="0.3">
      <c r="A1" s="25" t="s">
        <v>141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7"/>
    </row>
    <row r="2" spans="1:12" ht="15" thickBot="1" x14ac:dyDescent="0.3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30"/>
    </row>
    <row r="3" spans="1:12" s="20" customFormat="1" ht="29.4" thickBot="1" x14ac:dyDescent="0.35">
      <c r="A3" s="17" t="s">
        <v>0</v>
      </c>
      <c r="B3" s="18" t="s">
        <v>1</v>
      </c>
      <c r="C3" s="18" t="s">
        <v>2</v>
      </c>
      <c r="D3" s="18" t="s">
        <v>3</v>
      </c>
      <c r="E3" s="18" t="s">
        <v>4</v>
      </c>
      <c r="F3" s="18" t="s">
        <v>139</v>
      </c>
      <c r="G3" s="18" t="s">
        <v>140</v>
      </c>
      <c r="H3" s="18" t="s">
        <v>5</v>
      </c>
      <c r="I3" s="18" t="s">
        <v>6</v>
      </c>
      <c r="J3" s="18" t="s">
        <v>7</v>
      </c>
      <c r="K3" s="18" t="s">
        <v>8</v>
      </c>
      <c r="L3" s="19" t="s">
        <v>9</v>
      </c>
    </row>
    <row r="4" spans="1:12" ht="28.8" x14ac:dyDescent="0.3">
      <c r="A4" s="6" t="s">
        <v>10</v>
      </c>
      <c r="B4" s="7" t="s">
        <v>11</v>
      </c>
      <c r="C4" s="7" t="s">
        <v>12</v>
      </c>
      <c r="D4" s="21" t="s">
        <v>13</v>
      </c>
      <c r="E4" s="24" t="s">
        <v>14</v>
      </c>
      <c r="F4" s="8">
        <v>45662</v>
      </c>
      <c r="G4" s="8">
        <v>45677</v>
      </c>
      <c r="H4" s="8">
        <v>45679</v>
      </c>
      <c r="I4" s="7" t="s">
        <v>15</v>
      </c>
      <c r="J4" s="24">
        <f>H4-G4</f>
        <v>2</v>
      </c>
      <c r="K4" s="7" t="s">
        <v>16</v>
      </c>
      <c r="L4" s="9" t="s">
        <v>17</v>
      </c>
    </row>
    <row r="5" spans="1:12" x14ac:dyDescent="0.3">
      <c r="A5" s="10" t="s">
        <v>18</v>
      </c>
      <c r="B5" s="3" t="s">
        <v>19</v>
      </c>
      <c r="C5" s="3" t="s">
        <v>20</v>
      </c>
      <c r="D5" s="22" t="s">
        <v>21</v>
      </c>
      <c r="E5" s="5" t="s">
        <v>22</v>
      </c>
      <c r="F5" s="4">
        <v>45659</v>
      </c>
      <c r="G5" s="4">
        <v>45667</v>
      </c>
      <c r="H5" s="4">
        <v>45666</v>
      </c>
      <c r="I5" s="3" t="s">
        <v>15</v>
      </c>
      <c r="J5" s="5">
        <v>-1</v>
      </c>
      <c r="K5" s="3" t="s">
        <v>23</v>
      </c>
      <c r="L5" s="11" t="s">
        <v>24</v>
      </c>
    </row>
    <row r="6" spans="1:12" ht="28.8" x14ac:dyDescent="0.3">
      <c r="A6" s="10" t="s">
        <v>25</v>
      </c>
      <c r="B6" s="3" t="s">
        <v>11</v>
      </c>
      <c r="C6" s="3" t="s">
        <v>12</v>
      </c>
      <c r="D6" s="22" t="s">
        <v>26</v>
      </c>
      <c r="E6" s="5" t="s">
        <v>14</v>
      </c>
      <c r="F6" s="4">
        <v>45663</v>
      </c>
      <c r="G6" s="4">
        <v>45682</v>
      </c>
      <c r="H6" s="5"/>
      <c r="I6" s="3" t="s">
        <v>27</v>
      </c>
      <c r="J6" s="5"/>
      <c r="K6" s="3" t="s">
        <v>23</v>
      </c>
      <c r="L6" s="11" t="s">
        <v>28</v>
      </c>
    </row>
    <row r="7" spans="1:12" x14ac:dyDescent="0.3">
      <c r="A7" s="10" t="s">
        <v>29</v>
      </c>
      <c r="B7" s="3" t="s">
        <v>11</v>
      </c>
      <c r="C7" s="3" t="s">
        <v>12</v>
      </c>
      <c r="D7" s="22" t="s">
        <v>30</v>
      </c>
      <c r="E7" s="5" t="s">
        <v>31</v>
      </c>
      <c r="F7" s="4">
        <v>45665</v>
      </c>
      <c r="G7" s="4">
        <v>45677</v>
      </c>
      <c r="H7" s="5"/>
      <c r="I7" s="3" t="s">
        <v>32</v>
      </c>
      <c r="J7" s="5"/>
      <c r="K7" s="3" t="s">
        <v>23</v>
      </c>
      <c r="L7" s="11" t="s">
        <v>33</v>
      </c>
    </row>
    <row r="8" spans="1:12" x14ac:dyDescent="0.3">
      <c r="A8" s="10" t="s">
        <v>34</v>
      </c>
      <c r="B8" s="3" t="s">
        <v>35</v>
      </c>
      <c r="C8" s="3" t="s">
        <v>36</v>
      </c>
      <c r="D8" s="22" t="s">
        <v>37</v>
      </c>
      <c r="E8" s="5" t="s">
        <v>22</v>
      </c>
      <c r="F8" s="4">
        <v>45660</v>
      </c>
      <c r="G8" s="4">
        <v>45672</v>
      </c>
      <c r="H8" s="4">
        <v>45671</v>
      </c>
      <c r="I8" s="3" t="s">
        <v>15</v>
      </c>
      <c r="J8" s="5">
        <v>-1</v>
      </c>
      <c r="K8" s="3" t="s">
        <v>23</v>
      </c>
      <c r="L8" s="11" t="s">
        <v>38</v>
      </c>
    </row>
    <row r="9" spans="1:12" x14ac:dyDescent="0.3">
      <c r="A9" s="10" t="s">
        <v>39</v>
      </c>
      <c r="B9" s="3" t="s">
        <v>35</v>
      </c>
      <c r="C9" s="3" t="s">
        <v>40</v>
      </c>
      <c r="D9" s="22" t="s">
        <v>41</v>
      </c>
      <c r="E9" s="5" t="s">
        <v>22</v>
      </c>
      <c r="F9" s="4">
        <v>45660</v>
      </c>
      <c r="G9" s="4">
        <v>45672</v>
      </c>
      <c r="H9" s="4">
        <v>45673</v>
      </c>
      <c r="I9" s="3" t="s">
        <v>15</v>
      </c>
      <c r="J9" s="5">
        <v>1</v>
      </c>
      <c r="K9" s="3" t="s">
        <v>23</v>
      </c>
      <c r="L9" s="11" t="s">
        <v>42</v>
      </c>
    </row>
    <row r="10" spans="1:12" x14ac:dyDescent="0.3">
      <c r="A10" s="10" t="s">
        <v>43</v>
      </c>
      <c r="B10" s="3" t="s">
        <v>44</v>
      </c>
      <c r="C10" s="3" t="s">
        <v>45</v>
      </c>
      <c r="D10" s="22" t="s">
        <v>46</v>
      </c>
      <c r="E10" s="5" t="s">
        <v>22</v>
      </c>
      <c r="F10" s="4">
        <v>45661</v>
      </c>
      <c r="G10" s="4">
        <v>45675</v>
      </c>
      <c r="H10" s="4">
        <v>45674</v>
      </c>
      <c r="I10" s="3" t="s">
        <v>15</v>
      </c>
      <c r="J10" s="5">
        <v>-1</v>
      </c>
      <c r="K10" s="3" t="s">
        <v>23</v>
      </c>
      <c r="L10" s="11" t="s">
        <v>38</v>
      </c>
    </row>
    <row r="11" spans="1:12" x14ac:dyDescent="0.3">
      <c r="A11" s="10" t="s">
        <v>47</v>
      </c>
      <c r="B11" s="3" t="s">
        <v>11</v>
      </c>
      <c r="C11" s="3" t="s">
        <v>12</v>
      </c>
      <c r="D11" s="22" t="s">
        <v>48</v>
      </c>
      <c r="E11" s="5" t="s">
        <v>14</v>
      </c>
      <c r="F11" s="4">
        <v>45662</v>
      </c>
      <c r="G11" s="4">
        <v>45675</v>
      </c>
      <c r="H11" s="5"/>
      <c r="I11" s="3" t="s">
        <v>27</v>
      </c>
      <c r="J11" s="5"/>
      <c r="K11" s="3" t="s">
        <v>23</v>
      </c>
      <c r="L11" s="11" t="s">
        <v>49</v>
      </c>
    </row>
    <row r="12" spans="1:12" x14ac:dyDescent="0.3">
      <c r="A12" s="10" t="s">
        <v>50</v>
      </c>
      <c r="B12" s="3" t="s">
        <v>51</v>
      </c>
      <c r="C12" s="3" t="s">
        <v>52</v>
      </c>
      <c r="D12" s="22" t="s">
        <v>53</v>
      </c>
      <c r="E12" s="5" t="s">
        <v>14</v>
      </c>
      <c r="F12" s="4">
        <v>45664</v>
      </c>
      <c r="G12" s="4">
        <v>45671</v>
      </c>
      <c r="H12" s="4">
        <v>45670</v>
      </c>
      <c r="I12" s="3" t="s">
        <v>15</v>
      </c>
      <c r="J12" s="5">
        <v>-1</v>
      </c>
      <c r="K12" s="3" t="s">
        <v>23</v>
      </c>
      <c r="L12" s="11" t="s">
        <v>38</v>
      </c>
    </row>
    <row r="13" spans="1:12" x14ac:dyDescent="0.3">
      <c r="A13" s="10" t="s">
        <v>54</v>
      </c>
      <c r="B13" s="3" t="s">
        <v>55</v>
      </c>
      <c r="C13" s="3" t="s">
        <v>56</v>
      </c>
      <c r="D13" s="22" t="s">
        <v>57</v>
      </c>
      <c r="E13" s="5" t="s">
        <v>14</v>
      </c>
      <c r="F13" s="4">
        <v>45664</v>
      </c>
      <c r="G13" s="4">
        <v>45678</v>
      </c>
      <c r="H13" s="5"/>
      <c r="I13" s="3" t="s">
        <v>32</v>
      </c>
      <c r="J13" s="5"/>
      <c r="K13" s="3" t="s">
        <v>23</v>
      </c>
      <c r="L13" s="11" t="s">
        <v>58</v>
      </c>
    </row>
    <row r="14" spans="1:12" x14ac:dyDescent="0.3">
      <c r="A14" s="10" t="s">
        <v>59</v>
      </c>
      <c r="B14" s="3" t="s">
        <v>60</v>
      </c>
      <c r="C14" s="3" t="s">
        <v>61</v>
      </c>
      <c r="D14" s="22" t="s">
        <v>62</v>
      </c>
      <c r="E14" s="5" t="s">
        <v>14</v>
      </c>
      <c r="F14" s="4">
        <v>45666</v>
      </c>
      <c r="G14" s="4">
        <v>45676</v>
      </c>
      <c r="H14" s="4">
        <v>45675</v>
      </c>
      <c r="I14" s="3" t="s">
        <v>15</v>
      </c>
      <c r="J14" s="5">
        <v>-1</v>
      </c>
      <c r="K14" s="3" t="s">
        <v>23</v>
      </c>
      <c r="L14" s="11" t="s">
        <v>38</v>
      </c>
    </row>
    <row r="15" spans="1:12" x14ac:dyDescent="0.3">
      <c r="A15" s="10" t="s">
        <v>63</v>
      </c>
      <c r="B15" s="3" t="s">
        <v>60</v>
      </c>
      <c r="C15" s="3" t="s">
        <v>61</v>
      </c>
      <c r="D15" s="22" t="s">
        <v>64</v>
      </c>
      <c r="E15" s="5" t="s">
        <v>14</v>
      </c>
      <c r="F15" s="4">
        <v>45666</v>
      </c>
      <c r="G15" s="4">
        <v>45676</v>
      </c>
      <c r="H15" s="5"/>
      <c r="I15" s="3" t="s">
        <v>27</v>
      </c>
      <c r="J15" s="5"/>
      <c r="K15" s="3" t="s">
        <v>23</v>
      </c>
      <c r="L15" s="11" t="s">
        <v>65</v>
      </c>
    </row>
    <row r="16" spans="1:12" x14ac:dyDescent="0.3">
      <c r="A16" s="10" t="s">
        <v>66</v>
      </c>
      <c r="B16" s="3" t="s">
        <v>67</v>
      </c>
      <c r="C16" s="3" t="s">
        <v>68</v>
      </c>
      <c r="D16" s="22" t="s">
        <v>69</v>
      </c>
      <c r="E16" s="5" t="s">
        <v>70</v>
      </c>
      <c r="F16" s="4">
        <v>45667</v>
      </c>
      <c r="G16" s="4">
        <v>45682</v>
      </c>
      <c r="H16" s="5"/>
      <c r="I16" s="3" t="s">
        <v>71</v>
      </c>
      <c r="J16" s="5"/>
      <c r="K16" s="3" t="s">
        <v>16</v>
      </c>
      <c r="L16" s="11" t="s">
        <v>72</v>
      </c>
    </row>
    <row r="17" spans="1:12" x14ac:dyDescent="0.3">
      <c r="A17" s="10" t="s">
        <v>73</v>
      </c>
      <c r="B17" s="3" t="s">
        <v>74</v>
      </c>
      <c r="C17" s="3" t="s">
        <v>75</v>
      </c>
      <c r="D17" s="22" t="s">
        <v>76</v>
      </c>
      <c r="E17" s="5" t="s">
        <v>77</v>
      </c>
      <c r="F17" s="4">
        <v>45669</v>
      </c>
      <c r="G17" s="4">
        <v>45693</v>
      </c>
      <c r="H17" s="5"/>
      <c r="I17" s="3" t="s">
        <v>27</v>
      </c>
      <c r="J17" s="5"/>
      <c r="K17" s="3" t="s">
        <v>16</v>
      </c>
      <c r="L17" s="11" t="s">
        <v>78</v>
      </c>
    </row>
    <row r="18" spans="1:12" x14ac:dyDescent="0.3">
      <c r="A18" s="10" t="s">
        <v>79</v>
      </c>
      <c r="B18" s="3" t="s">
        <v>74</v>
      </c>
      <c r="C18" s="3" t="s">
        <v>75</v>
      </c>
      <c r="D18" s="22" t="s">
        <v>80</v>
      </c>
      <c r="E18" s="5" t="s">
        <v>77</v>
      </c>
      <c r="F18" s="4">
        <v>45672</v>
      </c>
      <c r="G18" s="4">
        <v>45698</v>
      </c>
      <c r="H18" s="5"/>
      <c r="I18" s="3" t="s">
        <v>81</v>
      </c>
      <c r="J18" s="5"/>
      <c r="K18" s="3" t="s">
        <v>23</v>
      </c>
      <c r="L18" s="11" t="s">
        <v>82</v>
      </c>
    </row>
    <row r="19" spans="1:12" x14ac:dyDescent="0.3">
      <c r="A19" s="10" t="s">
        <v>83</v>
      </c>
      <c r="B19" s="3" t="s">
        <v>84</v>
      </c>
      <c r="C19" s="3" t="s">
        <v>85</v>
      </c>
      <c r="D19" s="22" t="s">
        <v>86</v>
      </c>
      <c r="E19" s="5" t="s">
        <v>31</v>
      </c>
      <c r="F19" s="4">
        <v>45641</v>
      </c>
      <c r="G19" s="4">
        <v>45687</v>
      </c>
      <c r="H19" s="4">
        <v>45685</v>
      </c>
      <c r="I19" s="3" t="s">
        <v>15</v>
      </c>
      <c r="J19" s="5">
        <v>-2</v>
      </c>
      <c r="K19" s="3" t="s">
        <v>16</v>
      </c>
      <c r="L19" s="11" t="s">
        <v>38</v>
      </c>
    </row>
    <row r="20" spans="1:12" x14ac:dyDescent="0.3">
      <c r="A20" s="10" t="s">
        <v>87</v>
      </c>
      <c r="B20" s="3" t="s">
        <v>84</v>
      </c>
      <c r="C20" s="3" t="s">
        <v>85</v>
      </c>
      <c r="D20" s="22" t="s">
        <v>88</v>
      </c>
      <c r="E20" s="5" t="s">
        <v>89</v>
      </c>
      <c r="F20" s="4">
        <v>45662</v>
      </c>
      <c r="G20" s="4">
        <v>45682</v>
      </c>
      <c r="H20" s="5"/>
      <c r="I20" s="3" t="s">
        <v>32</v>
      </c>
      <c r="J20" s="5"/>
      <c r="K20" s="3" t="s">
        <v>16</v>
      </c>
      <c r="L20" s="11" t="s">
        <v>90</v>
      </c>
    </row>
    <row r="21" spans="1:12" x14ac:dyDescent="0.3">
      <c r="A21" s="10" t="s">
        <v>91</v>
      </c>
      <c r="B21" s="3" t="s">
        <v>92</v>
      </c>
      <c r="C21" s="3" t="s">
        <v>93</v>
      </c>
      <c r="D21" s="22" t="s">
        <v>94</v>
      </c>
      <c r="E21" s="5" t="s">
        <v>95</v>
      </c>
      <c r="F21" s="4">
        <v>45663</v>
      </c>
      <c r="G21" s="4">
        <v>45677</v>
      </c>
      <c r="H21" s="4">
        <v>45678</v>
      </c>
      <c r="I21" s="3" t="s">
        <v>15</v>
      </c>
      <c r="J21" s="5">
        <v>1</v>
      </c>
      <c r="K21" s="3" t="s">
        <v>23</v>
      </c>
      <c r="L21" s="11" t="s">
        <v>38</v>
      </c>
    </row>
    <row r="22" spans="1:12" x14ac:dyDescent="0.3">
      <c r="A22" s="10" t="s">
        <v>96</v>
      </c>
      <c r="B22" s="3" t="s">
        <v>92</v>
      </c>
      <c r="C22" s="3" t="s">
        <v>97</v>
      </c>
      <c r="D22" s="22" t="s">
        <v>98</v>
      </c>
      <c r="E22" s="5" t="s">
        <v>95</v>
      </c>
      <c r="F22" s="4">
        <v>45663</v>
      </c>
      <c r="G22" s="4">
        <v>45677</v>
      </c>
      <c r="H22" s="5"/>
      <c r="I22" s="3" t="s">
        <v>27</v>
      </c>
      <c r="J22" s="5"/>
      <c r="K22" s="3" t="s">
        <v>23</v>
      </c>
      <c r="L22" s="11" t="s">
        <v>99</v>
      </c>
    </row>
    <row r="23" spans="1:12" x14ac:dyDescent="0.3">
      <c r="A23" s="10" t="s">
        <v>100</v>
      </c>
      <c r="B23" s="3" t="s">
        <v>101</v>
      </c>
      <c r="C23" s="3" t="s">
        <v>102</v>
      </c>
      <c r="D23" s="22" t="s">
        <v>103</v>
      </c>
      <c r="E23" s="5" t="s">
        <v>104</v>
      </c>
      <c r="F23" s="4">
        <v>45667</v>
      </c>
      <c r="G23" s="4">
        <v>45675</v>
      </c>
      <c r="H23" s="4">
        <v>45674</v>
      </c>
      <c r="I23" s="3" t="s">
        <v>15</v>
      </c>
      <c r="J23" s="5">
        <v>-1</v>
      </c>
      <c r="K23" s="3" t="s">
        <v>16</v>
      </c>
      <c r="L23" s="11" t="s">
        <v>38</v>
      </c>
    </row>
    <row r="24" spans="1:12" x14ac:dyDescent="0.3">
      <c r="A24" s="10" t="s">
        <v>105</v>
      </c>
      <c r="B24" s="3" t="s">
        <v>60</v>
      </c>
      <c r="C24" s="3" t="s">
        <v>106</v>
      </c>
      <c r="D24" s="22" t="s">
        <v>107</v>
      </c>
      <c r="E24" s="5" t="s">
        <v>14</v>
      </c>
      <c r="F24" s="4">
        <v>45668</v>
      </c>
      <c r="G24" s="4">
        <v>45679</v>
      </c>
      <c r="H24" s="5"/>
      <c r="I24" s="3" t="s">
        <v>71</v>
      </c>
      <c r="J24" s="5"/>
      <c r="K24" s="3" t="s">
        <v>23</v>
      </c>
      <c r="L24" s="11" t="s">
        <v>108</v>
      </c>
    </row>
    <row r="25" spans="1:12" x14ac:dyDescent="0.3">
      <c r="A25" s="10" t="s">
        <v>109</v>
      </c>
      <c r="B25" s="3" t="s">
        <v>19</v>
      </c>
      <c r="C25" s="3" t="s">
        <v>20</v>
      </c>
      <c r="D25" s="22" t="s">
        <v>110</v>
      </c>
      <c r="E25" s="5" t="s">
        <v>111</v>
      </c>
      <c r="F25" s="4">
        <v>45662</v>
      </c>
      <c r="G25" s="4">
        <v>45669</v>
      </c>
      <c r="H25" s="4">
        <v>45668</v>
      </c>
      <c r="I25" s="3" t="s">
        <v>15</v>
      </c>
      <c r="J25" s="5">
        <v>-1</v>
      </c>
      <c r="K25" s="3" t="s">
        <v>23</v>
      </c>
      <c r="L25" s="11" t="s">
        <v>38</v>
      </c>
    </row>
    <row r="26" spans="1:12" x14ac:dyDescent="0.3">
      <c r="A26" s="10" t="s">
        <v>112</v>
      </c>
      <c r="B26" s="3" t="s">
        <v>11</v>
      </c>
      <c r="C26" s="3" t="s">
        <v>12</v>
      </c>
      <c r="D26" s="22" t="s">
        <v>113</v>
      </c>
      <c r="E26" s="5" t="s">
        <v>14</v>
      </c>
      <c r="F26" s="4">
        <v>45665</v>
      </c>
      <c r="G26" s="4">
        <v>45682</v>
      </c>
      <c r="H26" s="5"/>
      <c r="I26" s="3" t="s">
        <v>27</v>
      </c>
      <c r="J26" s="5"/>
      <c r="K26" s="3" t="s">
        <v>23</v>
      </c>
      <c r="L26" s="11" t="s">
        <v>114</v>
      </c>
    </row>
    <row r="27" spans="1:12" x14ac:dyDescent="0.3">
      <c r="A27" s="10" t="s">
        <v>115</v>
      </c>
      <c r="B27" s="3" t="s">
        <v>74</v>
      </c>
      <c r="C27" s="3" t="s">
        <v>84</v>
      </c>
      <c r="D27" s="22" t="s">
        <v>116</v>
      </c>
      <c r="E27" s="5" t="s">
        <v>117</v>
      </c>
      <c r="F27" s="4">
        <v>45672</v>
      </c>
      <c r="G27" s="4">
        <v>45689</v>
      </c>
      <c r="H27" s="5"/>
      <c r="I27" s="3" t="s">
        <v>81</v>
      </c>
      <c r="J27" s="5"/>
      <c r="K27" s="3" t="s">
        <v>16</v>
      </c>
      <c r="L27" s="11" t="s">
        <v>118</v>
      </c>
    </row>
    <row r="28" spans="1:12" x14ac:dyDescent="0.3">
      <c r="A28" s="10" t="s">
        <v>119</v>
      </c>
      <c r="B28" s="3" t="s">
        <v>60</v>
      </c>
      <c r="C28" s="3" t="s">
        <v>68</v>
      </c>
      <c r="D28" s="22" t="s">
        <v>120</v>
      </c>
      <c r="E28" s="5" t="s">
        <v>95</v>
      </c>
      <c r="F28" s="4">
        <v>45673</v>
      </c>
      <c r="G28" s="4">
        <v>45687</v>
      </c>
      <c r="H28" s="5"/>
      <c r="I28" s="3" t="s">
        <v>71</v>
      </c>
      <c r="J28" s="5"/>
      <c r="K28" s="3" t="s">
        <v>23</v>
      </c>
      <c r="L28" s="11" t="s">
        <v>121</v>
      </c>
    </row>
    <row r="29" spans="1:12" x14ac:dyDescent="0.3">
      <c r="A29" s="10" t="s">
        <v>122</v>
      </c>
      <c r="B29" s="3" t="s">
        <v>92</v>
      </c>
      <c r="C29" s="3" t="s">
        <v>123</v>
      </c>
      <c r="D29" s="22" t="s">
        <v>124</v>
      </c>
      <c r="E29" s="5" t="s">
        <v>125</v>
      </c>
      <c r="F29" s="4">
        <v>45671</v>
      </c>
      <c r="G29" s="4">
        <v>45685</v>
      </c>
      <c r="H29" s="4">
        <v>45684</v>
      </c>
      <c r="I29" s="3" t="s">
        <v>15</v>
      </c>
      <c r="J29" s="5">
        <v>-1</v>
      </c>
      <c r="K29" s="3" t="s">
        <v>23</v>
      </c>
      <c r="L29" s="11" t="s">
        <v>38</v>
      </c>
    </row>
    <row r="30" spans="1:12" x14ac:dyDescent="0.3">
      <c r="A30" s="10" t="s">
        <v>126</v>
      </c>
      <c r="B30" s="3" t="s">
        <v>84</v>
      </c>
      <c r="C30" s="3" t="s">
        <v>85</v>
      </c>
      <c r="D30" s="22" t="s">
        <v>127</v>
      </c>
      <c r="E30" s="5" t="s">
        <v>117</v>
      </c>
      <c r="F30" s="4">
        <v>45675</v>
      </c>
      <c r="G30" s="4">
        <v>45685</v>
      </c>
      <c r="H30" s="5"/>
      <c r="I30" s="3" t="s">
        <v>27</v>
      </c>
      <c r="J30" s="5"/>
      <c r="K30" s="3" t="s">
        <v>16</v>
      </c>
      <c r="L30" s="11" t="s">
        <v>128</v>
      </c>
    </row>
    <row r="31" spans="1:12" x14ac:dyDescent="0.3">
      <c r="A31" s="10" t="s">
        <v>129</v>
      </c>
      <c r="B31" s="3" t="s">
        <v>74</v>
      </c>
      <c r="C31" s="3" t="s">
        <v>84</v>
      </c>
      <c r="D31" s="22" t="s">
        <v>130</v>
      </c>
      <c r="E31" s="5" t="s">
        <v>77</v>
      </c>
      <c r="F31" s="4">
        <v>45677</v>
      </c>
      <c r="G31" s="4">
        <v>45693</v>
      </c>
      <c r="H31" s="5"/>
      <c r="I31" s="3" t="s">
        <v>81</v>
      </c>
      <c r="J31" s="5"/>
      <c r="K31" s="3" t="s">
        <v>23</v>
      </c>
      <c r="L31" s="11" t="s">
        <v>131</v>
      </c>
    </row>
    <row r="32" spans="1:12" x14ac:dyDescent="0.3">
      <c r="A32" s="10" t="s">
        <v>132</v>
      </c>
      <c r="B32" s="3" t="s">
        <v>60</v>
      </c>
      <c r="C32" s="3" t="s">
        <v>133</v>
      </c>
      <c r="D32" s="22" t="s">
        <v>134</v>
      </c>
      <c r="E32" s="5" t="s">
        <v>31</v>
      </c>
      <c r="F32" s="4">
        <v>45679</v>
      </c>
      <c r="G32" s="4">
        <v>45698</v>
      </c>
      <c r="H32" s="5"/>
      <c r="I32" s="3" t="s">
        <v>71</v>
      </c>
      <c r="J32" s="5"/>
      <c r="K32" s="3" t="s">
        <v>23</v>
      </c>
      <c r="L32" s="11" t="s">
        <v>65</v>
      </c>
    </row>
    <row r="33" spans="1:12" ht="15" thickBot="1" x14ac:dyDescent="0.35">
      <c r="A33" s="12" t="s">
        <v>135</v>
      </c>
      <c r="B33" s="13" t="s">
        <v>35</v>
      </c>
      <c r="C33" s="13" t="s">
        <v>136</v>
      </c>
      <c r="D33" s="23" t="s">
        <v>137</v>
      </c>
      <c r="E33" s="15" t="s">
        <v>77</v>
      </c>
      <c r="F33" s="14">
        <v>45682</v>
      </c>
      <c r="G33" s="14">
        <v>45703</v>
      </c>
      <c r="H33" s="15"/>
      <c r="I33" s="13" t="s">
        <v>81</v>
      </c>
      <c r="J33" s="15"/>
      <c r="K33" s="13" t="s">
        <v>23</v>
      </c>
      <c r="L33" s="16" t="s">
        <v>138</v>
      </c>
    </row>
  </sheetData>
  <autoFilter ref="A3:L3" xr:uid="{F4897AF3-F925-45BE-B462-C4D56E5BCD65}"/>
  <mergeCells count="1">
    <mergeCell ref="A1:L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Legal Approval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Saiyam Shah</dc:creator>
  <cp:lastModifiedBy>Saiyam Shah</cp:lastModifiedBy>
  <dcterms:created xsi:type="dcterms:W3CDTF">2026-01-10T21:24:13Z</dcterms:created>
  <dcterms:modified xsi:type="dcterms:W3CDTF">2026-01-10T22:10:29Z</dcterms:modified>
</cp:coreProperties>
</file>