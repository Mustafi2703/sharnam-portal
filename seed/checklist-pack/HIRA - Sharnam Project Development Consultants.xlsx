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ownloads\"/>
    </mc:Choice>
  </mc:AlternateContent>
  <xr:revisionPtr revIDLastSave="0" documentId="13_ncr:1_{FFD720F0-4007-436D-9F79-D0AC288E0302}" xr6:coauthVersionLast="47" xr6:coauthVersionMax="47" xr10:uidLastSave="{00000000-0000-0000-0000-000000000000}"/>
  <bookViews>
    <workbookView xWindow="-110" yWindow="-110" windowWidth="19420" windowHeight="10420" xr2:uid="{7D56CA3D-5D87-4C19-B3C0-9F56B42768B9}"/>
  </bookViews>
  <sheets>
    <sheet name="HIRA " sheetId="5" r:id="rId1"/>
  </sheets>
  <definedNames>
    <definedName name="_xlnm._FilterDatabase" localSheetId="0" hidden="1">'HIRA '!$B$6:$O$7</definedName>
    <definedName name="_xlnm.Print_Area" localSheetId="0">'HIRA '!$B$2:$O$40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0" i="5" l="1"/>
  <c r="J40" i="5"/>
  <c r="N39" i="5"/>
  <c r="J39" i="5"/>
  <c r="N38" i="5"/>
  <c r="J38" i="5"/>
  <c r="N37" i="5"/>
  <c r="J37" i="5"/>
  <c r="N36" i="5"/>
  <c r="J36" i="5"/>
  <c r="N35" i="5"/>
  <c r="J35" i="5"/>
  <c r="N34" i="5"/>
  <c r="J34" i="5"/>
  <c r="N33" i="5"/>
  <c r="J33" i="5"/>
  <c r="N32" i="5"/>
  <c r="J32" i="5"/>
  <c r="N31" i="5"/>
  <c r="J31" i="5"/>
  <c r="N30" i="5"/>
  <c r="J30" i="5"/>
  <c r="N29" i="5"/>
  <c r="J29" i="5"/>
  <c r="N28" i="5"/>
  <c r="J28" i="5"/>
  <c r="N27" i="5"/>
  <c r="J27" i="5"/>
  <c r="N26" i="5"/>
  <c r="J26" i="5"/>
  <c r="N25" i="5"/>
  <c r="J25" i="5"/>
  <c r="N24" i="5"/>
  <c r="J24" i="5"/>
  <c r="N23" i="5"/>
  <c r="J23" i="5"/>
  <c r="N22" i="5"/>
  <c r="J22" i="5"/>
  <c r="N21" i="5"/>
  <c r="J21" i="5"/>
  <c r="N20" i="5"/>
  <c r="J20" i="5"/>
  <c r="N19" i="5"/>
  <c r="J19" i="5"/>
  <c r="N18" i="5"/>
  <c r="J18" i="5"/>
  <c r="N17" i="5"/>
  <c r="J17" i="5"/>
  <c r="N16" i="5"/>
  <c r="J16" i="5"/>
  <c r="N15" i="5"/>
  <c r="J15" i="5"/>
  <c r="N14" i="5"/>
  <c r="J14" i="5"/>
  <c r="N13" i="5"/>
  <c r="J13" i="5"/>
  <c r="N12" i="5"/>
  <c r="J12" i="5"/>
  <c r="N11" i="5"/>
  <c r="J11" i="5"/>
  <c r="N10" i="5"/>
  <c r="J10" i="5"/>
  <c r="N9" i="5"/>
  <c r="J9" i="5"/>
  <c r="N8" i="5"/>
  <c r="J8" i="5"/>
</calcChain>
</file>

<file path=xl/sharedStrings.xml><?xml version="1.0" encoding="utf-8"?>
<sst xmlns="http://schemas.openxmlformats.org/spreadsheetml/2006/main" count="187" uniqueCount="166">
  <si>
    <t>ID No :</t>
  </si>
  <si>
    <t>Revision :</t>
  </si>
  <si>
    <t>Approved By:</t>
  </si>
  <si>
    <t>Date:</t>
  </si>
  <si>
    <t>Sr. No.</t>
  </si>
  <si>
    <t>Activity</t>
  </si>
  <si>
    <t>Risk ID</t>
  </si>
  <si>
    <t>Hazard</t>
  </si>
  <si>
    <t>Consequence</t>
  </si>
  <si>
    <t>Legal Concerns (Y/N)</t>
  </si>
  <si>
    <t>Risk Analysis</t>
  </si>
  <si>
    <t>Control Measure</t>
  </si>
  <si>
    <t>Residual Risk</t>
  </si>
  <si>
    <t>Probability</t>
  </si>
  <si>
    <t>Impact</t>
  </si>
  <si>
    <t>Severity</t>
  </si>
  <si>
    <t>A</t>
  </si>
  <si>
    <t>Person working too close to the edge of excavationn</t>
  </si>
  <si>
    <t>A1</t>
  </si>
  <si>
    <t>Fall of person into excavation</t>
  </si>
  <si>
    <t>Major Injury</t>
  </si>
  <si>
    <t>Barricading shall be provided.</t>
  </si>
  <si>
    <t>B</t>
  </si>
  <si>
    <t>Improper house-keeping</t>
  </si>
  <si>
    <t>B1</t>
  </si>
  <si>
    <t>Injury to personnel working near-by</t>
  </si>
  <si>
    <t>Minor Injury</t>
  </si>
  <si>
    <t>Proper house keeping shall be maintained</t>
  </si>
  <si>
    <t>C</t>
  </si>
  <si>
    <t>Concreting</t>
  </si>
  <si>
    <t>C1</t>
  </si>
  <si>
    <t>Earthing of  vibrators not done</t>
  </si>
  <si>
    <t>Can Cause short circuit</t>
  </si>
  <si>
    <t>Ensure earthing of equipment before commencement of work</t>
  </si>
  <si>
    <t>C2</t>
  </si>
  <si>
    <t>Continuous pouring by same gang</t>
  </si>
  <si>
    <t>Cause tiredness of workers and may lead to accident</t>
  </si>
  <si>
    <t>Insist on shift patterns</t>
  </si>
  <si>
    <t>D</t>
  </si>
  <si>
    <t>Bar Bending &amp; Bar Cutting Machine</t>
  </si>
  <si>
    <t>D1</t>
  </si>
  <si>
    <t>Inexperienced operator</t>
  </si>
  <si>
    <t>Ensure complete trained operator to be deployed.</t>
  </si>
  <si>
    <t>D2</t>
  </si>
  <si>
    <t>Defective machine</t>
  </si>
  <si>
    <t>Check machine condition before start</t>
  </si>
  <si>
    <t>D3</t>
  </si>
  <si>
    <t>Loose Electrical connection</t>
  </si>
  <si>
    <t>Fire/Short circuit</t>
  </si>
  <si>
    <t>Electrical connection should connected with ELCB</t>
  </si>
  <si>
    <t>D4</t>
  </si>
  <si>
    <t>Electrical shock</t>
  </si>
  <si>
    <t>Body Earthing provided to machine</t>
  </si>
  <si>
    <t>D5</t>
  </si>
  <si>
    <t>Hit by material</t>
  </si>
  <si>
    <t>Trained operator prrovided</t>
  </si>
  <si>
    <t>D6</t>
  </si>
  <si>
    <t>Defective blades</t>
  </si>
  <si>
    <t>Check blade condition</t>
  </si>
  <si>
    <t>E</t>
  </si>
  <si>
    <t>Reinforcement work</t>
  </si>
  <si>
    <t>E1</t>
  </si>
  <si>
    <t>During unloading rods from truck deck</t>
  </si>
  <si>
    <t xml:space="preserve">Injuries to the person due to hit while unloding rods </t>
  </si>
  <si>
    <t>Unload bars from trailers as closer as possible to work area</t>
  </si>
  <si>
    <t>E2</t>
  </si>
  <si>
    <t>Cutting of rods</t>
  </si>
  <si>
    <t xml:space="preserve">Person may injured his finger or hand </t>
  </si>
  <si>
    <t>Observe careful hand placement</t>
  </si>
  <si>
    <t>E3</t>
  </si>
  <si>
    <t>Carrying of rods for long distance</t>
  </si>
  <si>
    <t>Carrying of rods for short distance</t>
  </si>
  <si>
    <t>Use proper lifting techniques</t>
  </si>
  <si>
    <t>E4</t>
  </si>
  <si>
    <t>Bending of rods</t>
  </si>
  <si>
    <t>Get help with heavy / awkward bars</t>
  </si>
  <si>
    <t>F</t>
  </si>
  <si>
    <t>Formwork</t>
  </si>
  <si>
    <t>F1</t>
  </si>
  <si>
    <t>Working with cutting tools</t>
  </si>
  <si>
    <t>May cause hand injury</t>
  </si>
  <si>
    <t>Observe position of machine and work accordingly</t>
  </si>
  <si>
    <t>F2</t>
  </si>
  <si>
    <t>Falling of shuttering materials</t>
  </si>
  <si>
    <t>Safety net should be provided</t>
  </si>
  <si>
    <t>G</t>
  </si>
  <si>
    <t>Preparation of shuttering</t>
  </si>
  <si>
    <t>G1</t>
  </si>
  <si>
    <t>Nails not stacked properly</t>
  </si>
  <si>
    <t>Eye Injury</t>
  </si>
  <si>
    <t>Use magnet for collection of nails</t>
  </si>
  <si>
    <t>G2</t>
  </si>
  <si>
    <t>Use of loose hammer</t>
  </si>
  <si>
    <t>Use good condition of hammer</t>
  </si>
  <si>
    <t>H</t>
  </si>
  <si>
    <t>Erection of shuttering on height</t>
  </si>
  <si>
    <t>H1</t>
  </si>
  <si>
    <t>Fall of person</t>
  </si>
  <si>
    <t xml:space="preserve">Safety belt should be provided </t>
  </si>
  <si>
    <t>H2</t>
  </si>
  <si>
    <t>Fall of material</t>
  </si>
  <si>
    <t>I</t>
  </si>
  <si>
    <t xml:space="preserve">Walkway jellies laying/ removing </t>
  </si>
  <si>
    <t>I1</t>
  </si>
  <si>
    <t>Fall of jallies</t>
  </si>
  <si>
    <t>Walkway jallies should be bend with bending wires</t>
  </si>
  <si>
    <t>J</t>
  </si>
  <si>
    <t>Concrete Pumping</t>
  </si>
  <si>
    <t>J1</t>
  </si>
  <si>
    <t>Failure of equipment while working</t>
  </si>
  <si>
    <t>Injuries/ fatal/ fracture and equipment damage</t>
  </si>
  <si>
    <t>Check equipment before commencement of  work</t>
  </si>
  <si>
    <t>K</t>
  </si>
  <si>
    <t>Handling &amp; Stacking of scaffold materia</t>
  </si>
  <si>
    <t>K1</t>
  </si>
  <si>
    <t>Fall of material while loading &amp; unloading</t>
  </si>
  <si>
    <t>Injuries &amp; fracture</t>
  </si>
  <si>
    <t>Do not lift the materials with bundle ties and to be unloaded with suitablelifting equipments</t>
  </si>
  <si>
    <t>K2</t>
  </si>
  <si>
    <t>Improper stacking</t>
  </si>
  <si>
    <t>Material should be stacked in stable manner and must be barricaded</t>
  </si>
  <si>
    <t>L</t>
  </si>
  <si>
    <t>Working on scaffolding at height</t>
  </si>
  <si>
    <t>L1</t>
  </si>
  <si>
    <t>Insufficient width of scaffold work platform</t>
  </si>
  <si>
    <t>Injury/fatal</t>
  </si>
  <si>
    <t>Proper width should be provided for working</t>
  </si>
  <si>
    <t>M</t>
  </si>
  <si>
    <t>Use portable electrical power tools and electrical equipments</t>
  </si>
  <si>
    <t>M1</t>
  </si>
  <si>
    <t>Electrical shock and burn injury</t>
  </si>
  <si>
    <t>N</t>
  </si>
  <si>
    <t>Lifting of material</t>
  </si>
  <si>
    <t>N1</t>
  </si>
  <si>
    <t>Failure of lifting gear, improper rigging</t>
  </si>
  <si>
    <t>Fall of material from height, damages to material, man power</t>
  </si>
  <si>
    <t>To ensure safety checklist before commencing work</t>
  </si>
  <si>
    <t>N2</t>
  </si>
  <si>
    <t>Hit by object due with rapid speed of lowering hoist/hook.</t>
  </si>
  <si>
    <t>Close supervision is required</t>
  </si>
  <si>
    <t>O</t>
  </si>
  <si>
    <t>Other risk related to project</t>
  </si>
  <si>
    <t>O1</t>
  </si>
  <si>
    <t>Fire Hazard</t>
  </si>
  <si>
    <t>Major burn injuries</t>
  </si>
  <si>
    <t xml:space="preserve">Fire enstigushier should be provided </t>
  </si>
  <si>
    <t>O2</t>
  </si>
  <si>
    <t>Inflation in material rate</t>
  </si>
  <si>
    <t>Increase cost more than estimated</t>
  </si>
  <si>
    <t>Proper procurement strategy should be provided</t>
  </si>
  <si>
    <t>O3</t>
  </si>
  <si>
    <t>Change in scope</t>
  </si>
  <si>
    <t xml:space="preserve">Delay in project </t>
  </si>
  <si>
    <t>Changes should be done as per the client's requirements and cost should be revised</t>
  </si>
  <si>
    <t>O4</t>
  </si>
  <si>
    <t xml:space="preserve">Labour shortage </t>
  </si>
  <si>
    <t>More sub contractors should be procured to mitigate labour shortage</t>
  </si>
  <si>
    <t>O5</t>
  </si>
  <si>
    <t>Force Majure</t>
  </si>
  <si>
    <t xml:space="preserve">Various Policies and Insurance should be taken by contractor </t>
  </si>
  <si>
    <t>Activity: Execution</t>
  </si>
  <si>
    <t>Remarks if any</t>
  </si>
  <si>
    <t xml:space="preserve">                                                             Hazard Identification &amp; Risk Assessment</t>
  </si>
  <si>
    <t xml:space="preserve">Sharnam Project Development Consultants &amp; Co. </t>
  </si>
  <si>
    <t xml:space="preserve">Name of Project: </t>
  </si>
  <si>
    <t xml:space="preserve">Location: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</si>
</sst>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4" xfId="0" applyBorder="1" applyAlignment="1">
      <alignment wrapText="1"/>
    </xf>
    <xf numFmtId="0" fontId="0" fillId="0" borderId="4" xfId="0" applyBorder="1"/>
    <xf numFmtId="0" fontId="2" fillId="0" borderId="4" xfId="0" applyFont="1" applyBorder="1" applyAlignment="1">
      <alignment vertical="center" textRotation="90"/>
    </xf>
    <xf numFmtId="0" fontId="2" fillId="0" borderId="3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3" fillId="0" borderId="5" xfId="0" applyFont="1" applyBorder="1"/>
    <xf numFmtId="0" fontId="0" fillId="0" borderId="26" xfId="0" applyBorder="1"/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wrapText="1"/>
    </xf>
    <xf numFmtId="0" fontId="0" fillId="0" borderId="27" xfId="0" applyBorder="1"/>
    <xf numFmtId="0" fontId="3" fillId="0" borderId="9" xfId="0" applyFont="1" applyBorder="1" applyAlignment="1">
      <alignment horizontal="left"/>
    </xf>
    <xf numFmtId="0" fontId="0" fillId="0" borderId="4" xfId="0" applyBorder="1" applyAlignment="1">
      <alignment vertical="center" wrapText="1"/>
    </xf>
    <xf numFmtId="0" fontId="2" fillId="0" borderId="2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2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28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textRotation="90"/>
    </xf>
    <xf numFmtId="0" fontId="2" fillId="0" borderId="11" xfId="0" applyFont="1" applyBorder="1" applyAlignment="1">
      <alignment horizontal="center" vertical="center" textRotation="90"/>
    </xf>
    <xf numFmtId="0" fontId="2" fillId="0" borderId="6" xfId="0" applyFont="1" applyBorder="1" applyAlignment="1">
      <alignment horizontal="center" vertical="center" textRotation="90" wrapText="1"/>
    </xf>
    <xf numFmtId="0" fontId="2" fillId="0" borderId="8" xfId="0" applyFont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6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448236</xdr:colOff>
      <xdr:row>0</xdr:row>
      <xdr:rowOff>97118</xdr:rowOff>
    </xdr:from>
    <xdr:to>
      <xdr:col>3</xdr:col>
      <xdr:colOff>184889</xdr:colOff>
      <xdr:row>4</xdr:row>
      <xdr:rowOff>108496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D4395C-6611-46A3-8AB7-83DA27CBE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36" y="97118"/>
          <a:ext cx="2373771" cy="86302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B660-FFE0-4E90-8345-18351F329FD0}">
  <sheetPr>
    <pageSetUpPr fitToPage="1"/>
  </sheetPr>
  <dimension ref="B1:O40"/>
  <sheetViews>
    <sheetView tabSelected="1" view="pageBreakPreview" zoomScale="85" zoomScaleNormal="83" zoomScaleSheetLayoutView="85" workbookViewId="0">
      <selection activeCell="E6" sqref="E6:E7"/>
    </sheetView>
  </sheetViews>
  <sheetFormatPr defaultColWidth="8.90625" defaultRowHeight="14.5" x14ac:dyDescent="0.35"/>
  <cols>
    <col min="2" max="2" width="3.36328125" customWidth="1"/>
    <col min="3" max="3" width="25.54296875" customWidth="1"/>
    <col min="4" max="4" width="9.90625" style="1" customWidth="1"/>
    <col min="5" max="5" width="25.08984375" customWidth="1"/>
    <col min="6" max="6" width="19.54296875" customWidth="1"/>
    <col min="7" max="7" width="12.90625" customWidth="1"/>
    <col min="8" max="8" width="5.36328125" customWidth="1"/>
    <col min="9" max="9" width="4.453125" customWidth="1"/>
    <col min="10" max="10" width="4.90625" bestFit="1" customWidth="1"/>
    <col min="11" max="11" width="31.90625" customWidth="1"/>
    <col min="12" max="12" width="5.1796875" customWidth="1"/>
    <col min="13" max="13" width="4.6328125" customWidth="1"/>
    <col min="14" max="14" width="5.453125" customWidth="1"/>
    <col min="15" max="15" width="26.6328125" customWidth="1"/>
  </cols>
  <sheetData>
    <row r="1" spans="2:15" ht="15" thickBot="1" x14ac:dyDescent="0.4"/>
    <row r="2" spans="2:15" ht="21" x14ac:dyDescent="0.35">
      <c r="B2" s="42"/>
      <c r="C2" s="43"/>
      <c r="D2" s="40" t="s">
        <v>162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1"/>
    </row>
    <row r="3" spans="2:15" ht="15.5" x14ac:dyDescent="0.35">
      <c r="B3" s="44"/>
      <c r="C3" s="45"/>
      <c r="D3" s="28" t="s">
        <v>163</v>
      </c>
      <c r="E3" s="29"/>
      <c r="F3" s="29"/>
      <c r="G3" s="29"/>
      <c r="H3" s="29"/>
      <c r="I3" s="29"/>
      <c r="J3" s="29"/>
      <c r="K3" s="29"/>
      <c r="L3" s="29"/>
      <c r="M3" s="29"/>
      <c r="N3" s="30"/>
      <c r="O3" s="26" t="s">
        <v>0</v>
      </c>
    </row>
    <row r="4" spans="2:15" ht="15.5" x14ac:dyDescent="0.35">
      <c r="B4" s="46"/>
      <c r="C4" s="47"/>
      <c r="D4" s="31"/>
      <c r="E4" s="32"/>
      <c r="F4" s="32"/>
      <c r="G4" s="32"/>
      <c r="H4" s="32"/>
      <c r="I4" s="32"/>
      <c r="J4" s="32"/>
      <c r="K4" s="32"/>
      <c r="L4" s="32"/>
      <c r="M4" s="32"/>
      <c r="N4" s="33"/>
      <c r="O4" s="20" t="s">
        <v>1</v>
      </c>
    </row>
    <row r="5" spans="2:15" ht="15.5" x14ac:dyDescent="0.35">
      <c r="B5" s="17" t="s">
        <v>164</v>
      </c>
      <c r="C5" s="18"/>
      <c r="D5" s="19"/>
      <c r="E5" s="34" t="s">
        <v>165</v>
      </c>
      <c r="F5" s="35"/>
      <c r="G5" s="34" t="s">
        <v>160</v>
      </c>
      <c r="H5" s="36"/>
      <c r="I5" s="36"/>
      <c r="J5" s="35"/>
      <c r="K5" s="37" t="s">
        <v>2</v>
      </c>
      <c r="L5" s="38"/>
      <c r="M5" s="38"/>
      <c r="N5" s="39"/>
      <c r="O5" s="21" t="s">
        <v>3</v>
      </c>
    </row>
    <row r="6" spans="2:15" s="2" customFormat="1" ht="57" customHeight="1" x14ac:dyDescent="0.35">
      <c r="B6" s="64" t="s">
        <v>4</v>
      </c>
      <c r="C6" s="57" t="s">
        <v>5</v>
      </c>
      <c r="D6" s="66" t="s">
        <v>6</v>
      </c>
      <c r="E6" s="57" t="s">
        <v>7</v>
      </c>
      <c r="F6" s="57" t="s">
        <v>8</v>
      </c>
      <c r="G6" s="68" t="s">
        <v>9</v>
      </c>
      <c r="H6" s="54" t="s">
        <v>10</v>
      </c>
      <c r="I6" s="55"/>
      <c r="J6" s="56"/>
      <c r="K6" s="57" t="s">
        <v>11</v>
      </c>
      <c r="L6" s="59" t="s">
        <v>12</v>
      </c>
      <c r="M6" s="60"/>
      <c r="N6" s="61"/>
      <c r="O6" s="62" t="s">
        <v>161</v>
      </c>
    </row>
    <row r="7" spans="2:15" s="3" customFormat="1" ht="82.5" customHeight="1" x14ac:dyDescent="0.35">
      <c r="B7" s="65"/>
      <c r="C7" s="58"/>
      <c r="D7" s="67"/>
      <c r="E7" s="58"/>
      <c r="F7" s="58"/>
      <c r="G7" s="69"/>
      <c r="H7" s="16" t="s">
        <v>13</v>
      </c>
      <c r="I7" s="16" t="s">
        <v>14</v>
      </c>
      <c r="J7" s="16" t="s">
        <v>15</v>
      </c>
      <c r="K7" s="58"/>
      <c r="L7" s="16" t="s">
        <v>13</v>
      </c>
      <c r="M7" s="16" t="s">
        <v>14</v>
      </c>
      <c r="N7" s="16" t="s">
        <v>15</v>
      </c>
      <c r="O7" s="63"/>
    </row>
    <row r="8" spans="2:15" ht="29" x14ac:dyDescent="0.35">
      <c r="B8" s="4" t="s">
        <v>16</v>
      </c>
      <c r="C8" s="5" t="s">
        <v>17</v>
      </c>
      <c r="D8" s="6" t="s">
        <v>18</v>
      </c>
      <c r="E8" s="5" t="s">
        <v>19</v>
      </c>
      <c r="F8" s="5" t="s">
        <v>20</v>
      </c>
      <c r="G8" s="6"/>
      <c r="H8" s="7">
        <v>5</v>
      </c>
      <c r="I8" s="7">
        <v>3</v>
      </c>
      <c r="J8" s="7">
        <f>H8*I8</f>
        <v>15</v>
      </c>
      <c r="K8" s="5" t="s">
        <v>21</v>
      </c>
      <c r="L8" s="7">
        <v>2</v>
      </c>
      <c r="M8" s="7">
        <v>3</v>
      </c>
      <c r="N8" s="7">
        <f>L8*M8</f>
        <v>6</v>
      </c>
      <c r="O8" s="8"/>
    </row>
    <row r="9" spans="2:15" ht="29" x14ac:dyDescent="0.35">
      <c r="B9" s="4" t="s">
        <v>22</v>
      </c>
      <c r="C9" s="5" t="s">
        <v>23</v>
      </c>
      <c r="D9" s="6" t="s">
        <v>24</v>
      </c>
      <c r="E9" s="5" t="s">
        <v>25</v>
      </c>
      <c r="F9" s="5" t="s">
        <v>26</v>
      </c>
      <c r="G9" s="6"/>
      <c r="H9" s="7">
        <v>3</v>
      </c>
      <c r="I9" s="7">
        <v>2</v>
      </c>
      <c r="J9" s="7">
        <f>H9*I9</f>
        <v>6</v>
      </c>
      <c r="K9" s="5" t="s">
        <v>27</v>
      </c>
      <c r="L9" s="7">
        <v>2</v>
      </c>
      <c r="M9" s="7">
        <v>2</v>
      </c>
      <c r="N9" s="7">
        <f t="shared" ref="N9:N40" si="0">L9*M9</f>
        <v>4</v>
      </c>
      <c r="O9" s="8"/>
    </row>
    <row r="10" spans="2:15" ht="29" x14ac:dyDescent="0.35">
      <c r="B10" s="48" t="s">
        <v>28</v>
      </c>
      <c r="C10" s="50" t="s">
        <v>29</v>
      </c>
      <c r="D10" s="6" t="s">
        <v>30</v>
      </c>
      <c r="E10" s="5" t="s">
        <v>31</v>
      </c>
      <c r="F10" s="5" t="s">
        <v>32</v>
      </c>
      <c r="G10" s="6"/>
      <c r="H10" s="7">
        <v>3</v>
      </c>
      <c r="I10" s="7">
        <v>2</v>
      </c>
      <c r="J10" s="7">
        <f t="shared" ref="J10:J35" si="1">H10*I10</f>
        <v>6</v>
      </c>
      <c r="K10" s="5" t="s">
        <v>33</v>
      </c>
      <c r="L10" s="7">
        <v>1</v>
      </c>
      <c r="M10" s="7">
        <v>2</v>
      </c>
      <c r="N10" s="7">
        <f t="shared" si="0"/>
        <v>2</v>
      </c>
      <c r="O10" s="8"/>
    </row>
    <row r="11" spans="2:15" ht="43.5" x14ac:dyDescent="0.35">
      <c r="B11" s="49"/>
      <c r="C11" s="51"/>
      <c r="D11" s="6" t="s">
        <v>34</v>
      </c>
      <c r="E11" s="5" t="s">
        <v>35</v>
      </c>
      <c r="F11" s="5" t="s">
        <v>36</v>
      </c>
      <c r="G11" s="6"/>
      <c r="H11" s="7">
        <v>2</v>
      </c>
      <c r="I11" s="7">
        <v>3</v>
      </c>
      <c r="J11" s="7">
        <f t="shared" si="1"/>
        <v>6</v>
      </c>
      <c r="K11" s="5" t="s">
        <v>37</v>
      </c>
      <c r="L11" s="7">
        <v>1</v>
      </c>
      <c r="M11" s="7">
        <v>3</v>
      </c>
      <c r="N11" s="7">
        <f t="shared" si="0"/>
        <v>3</v>
      </c>
      <c r="O11" s="8"/>
    </row>
    <row r="12" spans="2:15" ht="29" x14ac:dyDescent="0.35">
      <c r="B12" s="48" t="s">
        <v>38</v>
      </c>
      <c r="C12" s="50" t="s">
        <v>39</v>
      </c>
      <c r="D12" s="6" t="s">
        <v>40</v>
      </c>
      <c r="E12" s="5" t="s">
        <v>41</v>
      </c>
      <c r="F12" s="5" t="s">
        <v>20</v>
      </c>
      <c r="G12" s="6"/>
      <c r="H12" s="7">
        <v>3</v>
      </c>
      <c r="I12" s="7">
        <v>3</v>
      </c>
      <c r="J12" s="7">
        <f t="shared" si="1"/>
        <v>9</v>
      </c>
      <c r="K12" s="5" t="s">
        <v>42</v>
      </c>
      <c r="L12" s="7">
        <v>1</v>
      </c>
      <c r="M12" s="7">
        <v>3</v>
      </c>
      <c r="N12" s="7">
        <f t="shared" si="0"/>
        <v>3</v>
      </c>
      <c r="O12" s="8"/>
    </row>
    <row r="13" spans="2:15" ht="29" x14ac:dyDescent="0.35">
      <c r="B13" s="53"/>
      <c r="C13" s="52"/>
      <c r="D13" s="6" t="s">
        <v>43</v>
      </c>
      <c r="E13" s="5" t="s">
        <v>44</v>
      </c>
      <c r="F13" s="5" t="s">
        <v>20</v>
      </c>
      <c r="G13" s="6"/>
      <c r="H13" s="7">
        <v>3</v>
      </c>
      <c r="I13" s="7">
        <v>3</v>
      </c>
      <c r="J13" s="7">
        <f t="shared" si="1"/>
        <v>9</v>
      </c>
      <c r="K13" s="5" t="s">
        <v>45</v>
      </c>
      <c r="L13" s="7">
        <v>2</v>
      </c>
      <c r="M13" s="7">
        <v>3</v>
      </c>
      <c r="N13" s="7">
        <f t="shared" si="0"/>
        <v>6</v>
      </c>
      <c r="O13" s="8"/>
    </row>
    <row r="14" spans="2:15" ht="29" x14ac:dyDescent="0.35">
      <c r="B14" s="53"/>
      <c r="C14" s="52"/>
      <c r="D14" s="6" t="s">
        <v>46</v>
      </c>
      <c r="E14" s="5" t="s">
        <v>47</v>
      </c>
      <c r="F14" s="27" t="s">
        <v>48</v>
      </c>
      <c r="G14" s="6"/>
      <c r="H14" s="7">
        <v>3</v>
      </c>
      <c r="I14" s="7">
        <v>3</v>
      </c>
      <c r="J14" s="7">
        <f t="shared" si="1"/>
        <v>9</v>
      </c>
      <c r="K14" s="5" t="s">
        <v>49</v>
      </c>
      <c r="L14" s="7">
        <v>1</v>
      </c>
      <c r="M14" s="7">
        <v>3</v>
      </c>
      <c r="N14" s="7">
        <f t="shared" si="0"/>
        <v>3</v>
      </c>
      <c r="O14" s="8"/>
    </row>
    <row r="15" spans="2:15" x14ac:dyDescent="0.35">
      <c r="B15" s="53"/>
      <c r="C15" s="52"/>
      <c r="D15" s="6" t="s">
        <v>50</v>
      </c>
      <c r="E15" s="5" t="s">
        <v>51</v>
      </c>
      <c r="F15" s="27" t="s">
        <v>48</v>
      </c>
      <c r="G15" s="6"/>
      <c r="H15" s="7">
        <v>3</v>
      </c>
      <c r="I15" s="7">
        <v>2</v>
      </c>
      <c r="J15" s="7">
        <f t="shared" si="1"/>
        <v>6</v>
      </c>
      <c r="K15" s="5" t="s">
        <v>52</v>
      </c>
      <c r="L15" s="7">
        <v>1</v>
      </c>
      <c r="M15" s="7">
        <v>3</v>
      </c>
      <c r="N15" s="7">
        <f t="shared" si="0"/>
        <v>3</v>
      </c>
      <c r="O15" s="8"/>
    </row>
    <row r="16" spans="2:15" x14ac:dyDescent="0.35">
      <c r="B16" s="53"/>
      <c r="C16" s="52"/>
      <c r="D16" s="6" t="s">
        <v>53</v>
      </c>
      <c r="E16" s="5" t="s">
        <v>54</v>
      </c>
      <c r="F16" s="5" t="s">
        <v>26</v>
      </c>
      <c r="G16" s="6"/>
      <c r="H16" s="7">
        <v>2</v>
      </c>
      <c r="I16" s="7">
        <v>3</v>
      </c>
      <c r="J16" s="7">
        <f t="shared" si="1"/>
        <v>6</v>
      </c>
      <c r="K16" s="5" t="s">
        <v>55</v>
      </c>
      <c r="L16" s="7">
        <v>1</v>
      </c>
      <c r="M16" s="7">
        <v>3</v>
      </c>
      <c r="N16" s="7">
        <f t="shared" si="0"/>
        <v>3</v>
      </c>
      <c r="O16" s="8"/>
    </row>
    <row r="17" spans="2:15" x14ac:dyDescent="0.35">
      <c r="B17" s="49"/>
      <c r="C17" s="51"/>
      <c r="D17" s="6" t="s">
        <v>56</v>
      </c>
      <c r="E17" s="5" t="s">
        <v>57</v>
      </c>
      <c r="F17" s="5" t="s">
        <v>26</v>
      </c>
      <c r="G17" s="6"/>
      <c r="H17" s="7">
        <v>2</v>
      </c>
      <c r="I17" s="7">
        <v>1</v>
      </c>
      <c r="J17" s="7">
        <f t="shared" si="1"/>
        <v>2</v>
      </c>
      <c r="K17" s="5" t="s">
        <v>58</v>
      </c>
      <c r="L17" s="7">
        <v>1</v>
      </c>
      <c r="M17" s="7">
        <v>1</v>
      </c>
      <c r="N17" s="7">
        <f t="shared" si="0"/>
        <v>1</v>
      </c>
      <c r="O17" s="8"/>
    </row>
    <row r="18" spans="2:15" ht="43.5" x14ac:dyDescent="0.35">
      <c r="B18" s="48" t="s">
        <v>59</v>
      </c>
      <c r="C18" s="50" t="s">
        <v>60</v>
      </c>
      <c r="D18" s="6" t="s">
        <v>61</v>
      </c>
      <c r="E18" s="5" t="s">
        <v>62</v>
      </c>
      <c r="F18" s="5" t="s">
        <v>63</v>
      </c>
      <c r="G18" s="6"/>
      <c r="H18" s="7">
        <v>3</v>
      </c>
      <c r="I18" s="7">
        <v>2</v>
      </c>
      <c r="J18" s="7">
        <f t="shared" si="1"/>
        <v>6</v>
      </c>
      <c r="K18" s="5" t="s">
        <v>64</v>
      </c>
      <c r="L18" s="7">
        <v>2</v>
      </c>
      <c r="M18" s="7">
        <v>2</v>
      </c>
      <c r="N18" s="7">
        <f t="shared" si="0"/>
        <v>4</v>
      </c>
      <c r="O18" s="8"/>
    </row>
    <row r="19" spans="2:15" ht="29" x14ac:dyDescent="0.35">
      <c r="B19" s="53"/>
      <c r="C19" s="52"/>
      <c r="D19" s="6" t="s">
        <v>65</v>
      </c>
      <c r="E19" s="5" t="s">
        <v>66</v>
      </c>
      <c r="F19" s="5" t="s">
        <v>67</v>
      </c>
      <c r="G19" s="6"/>
      <c r="H19" s="7">
        <v>3</v>
      </c>
      <c r="I19" s="7">
        <v>2</v>
      </c>
      <c r="J19" s="7">
        <f t="shared" si="1"/>
        <v>6</v>
      </c>
      <c r="K19" s="5" t="s">
        <v>68</v>
      </c>
      <c r="L19" s="7">
        <v>2</v>
      </c>
      <c r="M19" s="7">
        <v>2</v>
      </c>
      <c r="N19" s="7">
        <f t="shared" si="0"/>
        <v>4</v>
      </c>
      <c r="O19" s="8"/>
    </row>
    <row r="20" spans="2:15" ht="29" x14ac:dyDescent="0.35">
      <c r="B20" s="53"/>
      <c r="C20" s="52"/>
      <c r="D20" s="6" t="s">
        <v>69</v>
      </c>
      <c r="E20" s="5" t="s">
        <v>70</v>
      </c>
      <c r="F20" s="5" t="s">
        <v>71</v>
      </c>
      <c r="G20" s="6"/>
      <c r="H20" s="7">
        <v>3</v>
      </c>
      <c r="I20" s="7">
        <v>1</v>
      </c>
      <c r="J20" s="7">
        <f t="shared" si="1"/>
        <v>3</v>
      </c>
      <c r="K20" s="5" t="s">
        <v>72</v>
      </c>
      <c r="L20" s="7">
        <v>1</v>
      </c>
      <c r="M20" s="7">
        <v>1</v>
      </c>
      <c r="N20" s="7">
        <f t="shared" si="0"/>
        <v>1</v>
      </c>
      <c r="O20" s="8"/>
    </row>
    <row r="21" spans="2:15" x14ac:dyDescent="0.35">
      <c r="B21" s="49"/>
      <c r="C21" s="51"/>
      <c r="D21" s="6" t="s">
        <v>73</v>
      </c>
      <c r="E21" s="5" t="s">
        <v>74</v>
      </c>
      <c r="F21" s="5" t="s">
        <v>26</v>
      </c>
      <c r="G21" s="6"/>
      <c r="H21" s="7">
        <v>2</v>
      </c>
      <c r="I21" s="7">
        <v>2</v>
      </c>
      <c r="J21" s="7">
        <f t="shared" si="1"/>
        <v>4</v>
      </c>
      <c r="K21" s="5" t="s">
        <v>75</v>
      </c>
      <c r="L21" s="7">
        <v>1</v>
      </c>
      <c r="M21" s="7">
        <v>2</v>
      </c>
      <c r="N21" s="7">
        <f t="shared" si="0"/>
        <v>2</v>
      </c>
      <c r="O21" s="8"/>
    </row>
    <row r="22" spans="2:15" ht="29" x14ac:dyDescent="0.35">
      <c r="B22" s="48" t="s">
        <v>76</v>
      </c>
      <c r="C22" s="50" t="s">
        <v>77</v>
      </c>
      <c r="D22" s="6" t="s">
        <v>78</v>
      </c>
      <c r="E22" s="5" t="s">
        <v>79</v>
      </c>
      <c r="F22" s="5" t="s">
        <v>80</v>
      </c>
      <c r="G22" s="6"/>
      <c r="H22" s="7">
        <v>3</v>
      </c>
      <c r="I22" s="7">
        <v>2</v>
      </c>
      <c r="J22" s="7">
        <f t="shared" si="1"/>
        <v>6</v>
      </c>
      <c r="K22" s="5" t="s">
        <v>81</v>
      </c>
      <c r="L22" s="7">
        <v>2</v>
      </c>
      <c r="M22" s="7">
        <v>2</v>
      </c>
      <c r="N22" s="7">
        <f t="shared" si="0"/>
        <v>4</v>
      </c>
      <c r="O22" s="8"/>
    </row>
    <row r="23" spans="2:15" ht="29" x14ac:dyDescent="0.35">
      <c r="B23" s="49"/>
      <c r="C23" s="51"/>
      <c r="D23" s="6" t="s">
        <v>82</v>
      </c>
      <c r="E23" s="5" t="s">
        <v>83</v>
      </c>
      <c r="F23" s="5" t="s">
        <v>20</v>
      </c>
      <c r="G23" s="6"/>
      <c r="H23" s="7">
        <v>2</v>
      </c>
      <c r="I23" s="7">
        <v>2</v>
      </c>
      <c r="J23" s="7">
        <f t="shared" si="1"/>
        <v>4</v>
      </c>
      <c r="K23" s="5" t="s">
        <v>84</v>
      </c>
      <c r="L23" s="7">
        <v>1</v>
      </c>
      <c r="M23" s="7">
        <v>2</v>
      </c>
      <c r="N23" s="7">
        <f t="shared" si="0"/>
        <v>2</v>
      </c>
      <c r="O23" s="8"/>
    </row>
    <row r="24" spans="2:15" x14ac:dyDescent="0.35">
      <c r="B24" s="48" t="s">
        <v>85</v>
      </c>
      <c r="C24" s="70" t="s">
        <v>86</v>
      </c>
      <c r="D24" s="7" t="s">
        <v>87</v>
      </c>
      <c r="E24" s="10" t="s">
        <v>88</v>
      </c>
      <c r="F24" s="10" t="s">
        <v>89</v>
      </c>
      <c r="G24" s="7"/>
      <c r="H24" s="7">
        <v>2</v>
      </c>
      <c r="I24" s="7">
        <v>3</v>
      </c>
      <c r="J24" s="7">
        <f t="shared" si="1"/>
        <v>6</v>
      </c>
      <c r="K24" s="5" t="s">
        <v>90</v>
      </c>
      <c r="L24" s="7">
        <v>1</v>
      </c>
      <c r="M24" s="7">
        <v>3</v>
      </c>
      <c r="N24" s="7">
        <f t="shared" si="0"/>
        <v>3</v>
      </c>
      <c r="O24" s="8"/>
    </row>
    <row r="25" spans="2:15" x14ac:dyDescent="0.35">
      <c r="B25" s="49"/>
      <c r="C25" s="71"/>
      <c r="D25" s="6" t="s">
        <v>91</v>
      </c>
      <c r="E25" s="5" t="s">
        <v>92</v>
      </c>
      <c r="F25" s="5" t="s">
        <v>20</v>
      </c>
      <c r="G25" s="6"/>
      <c r="H25" s="7">
        <v>3</v>
      </c>
      <c r="I25" s="7">
        <v>2</v>
      </c>
      <c r="J25" s="7">
        <f t="shared" si="1"/>
        <v>6</v>
      </c>
      <c r="K25" s="5" t="s">
        <v>93</v>
      </c>
      <c r="L25" s="7">
        <v>1</v>
      </c>
      <c r="M25" s="7">
        <v>2</v>
      </c>
      <c r="N25" s="7">
        <f t="shared" si="0"/>
        <v>2</v>
      </c>
      <c r="O25" s="8"/>
    </row>
    <row r="26" spans="2:15" ht="29" customHeight="1" x14ac:dyDescent="0.35">
      <c r="B26" s="48" t="s">
        <v>94</v>
      </c>
      <c r="C26" s="50" t="s">
        <v>95</v>
      </c>
      <c r="D26" s="6" t="s">
        <v>96</v>
      </c>
      <c r="E26" s="5" t="s">
        <v>97</v>
      </c>
      <c r="F26" s="5" t="s">
        <v>20</v>
      </c>
      <c r="G26" s="6"/>
      <c r="H26" s="7">
        <v>2</v>
      </c>
      <c r="I26" s="7">
        <v>4</v>
      </c>
      <c r="J26" s="7">
        <f t="shared" si="1"/>
        <v>8</v>
      </c>
      <c r="K26" s="5" t="s">
        <v>98</v>
      </c>
      <c r="L26" s="7">
        <v>1</v>
      </c>
      <c r="M26" s="7">
        <v>4</v>
      </c>
      <c r="N26" s="7">
        <f t="shared" si="0"/>
        <v>4</v>
      </c>
      <c r="O26" s="8"/>
    </row>
    <row r="27" spans="2:15" x14ac:dyDescent="0.35">
      <c r="B27" s="49"/>
      <c r="C27" s="51"/>
      <c r="D27" s="6" t="s">
        <v>99</v>
      </c>
      <c r="E27" s="5" t="s">
        <v>100</v>
      </c>
      <c r="F27" s="5" t="s">
        <v>20</v>
      </c>
      <c r="G27" s="6"/>
      <c r="H27" s="7">
        <v>2</v>
      </c>
      <c r="I27" s="7">
        <v>4</v>
      </c>
      <c r="J27" s="7">
        <f t="shared" si="1"/>
        <v>8</v>
      </c>
      <c r="K27" s="5" t="s">
        <v>84</v>
      </c>
      <c r="L27" s="7">
        <v>1</v>
      </c>
      <c r="M27" s="7">
        <v>4</v>
      </c>
      <c r="N27" s="7">
        <f t="shared" si="0"/>
        <v>4</v>
      </c>
      <c r="O27" s="8"/>
    </row>
    <row r="28" spans="2:15" ht="29" x14ac:dyDescent="0.35">
      <c r="B28" s="4" t="s">
        <v>101</v>
      </c>
      <c r="C28" s="5" t="s">
        <v>102</v>
      </c>
      <c r="D28" s="6" t="s">
        <v>103</v>
      </c>
      <c r="E28" s="5" t="s">
        <v>104</v>
      </c>
      <c r="F28" s="5" t="s">
        <v>20</v>
      </c>
      <c r="G28" s="6"/>
      <c r="H28" s="7">
        <v>2</v>
      </c>
      <c r="I28" s="7">
        <v>3</v>
      </c>
      <c r="J28" s="7">
        <f t="shared" si="1"/>
        <v>6</v>
      </c>
      <c r="K28" s="5" t="s">
        <v>105</v>
      </c>
      <c r="L28" s="7">
        <v>1</v>
      </c>
      <c r="M28" s="7">
        <v>3</v>
      </c>
      <c r="N28" s="7">
        <f t="shared" si="0"/>
        <v>3</v>
      </c>
      <c r="O28" s="8"/>
    </row>
    <row r="29" spans="2:15" ht="43.5" x14ac:dyDescent="0.35">
      <c r="B29" s="4" t="s">
        <v>106</v>
      </c>
      <c r="C29" s="5" t="s">
        <v>107</v>
      </c>
      <c r="D29" s="6" t="s">
        <v>108</v>
      </c>
      <c r="E29" s="5" t="s">
        <v>109</v>
      </c>
      <c r="F29" s="5" t="s">
        <v>110</v>
      </c>
      <c r="G29" s="6"/>
      <c r="H29" s="7">
        <v>2</v>
      </c>
      <c r="I29" s="7">
        <v>5</v>
      </c>
      <c r="J29" s="7">
        <f t="shared" si="1"/>
        <v>10</v>
      </c>
      <c r="K29" s="5" t="s">
        <v>111</v>
      </c>
      <c r="L29" s="7">
        <v>1</v>
      </c>
      <c r="M29" s="7">
        <v>5</v>
      </c>
      <c r="N29" s="7">
        <f t="shared" si="0"/>
        <v>5</v>
      </c>
      <c r="O29" s="8"/>
    </row>
    <row r="30" spans="2:15" ht="43.5" x14ac:dyDescent="0.35">
      <c r="B30" s="48" t="s">
        <v>112</v>
      </c>
      <c r="C30" s="50" t="s">
        <v>113</v>
      </c>
      <c r="D30" s="6" t="s">
        <v>114</v>
      </c>
      <c r="E30" s="5" t="s">
        <v>115</v>
      </c>
      <c r="F30" s="5" t="s">
        <v>116</v>
      </c>
      <c r="G30" s="6"/>
      <c r="H30" s="7">
        <v>3</v>
      </c>
      <c r="I30" s="7">
        <v>1</v>
      </c>
      <c r="J30" s="7">
        <f t="shared" si="1"/>
        <v>3</v>
      </c>
      <c r="K30" s="5" t="s">
        <v>117</v>
      </c>
      <c r="L30" s="7">
        <v>2</v>
      </c>
      <c r="M30" s="7">
        <v>1</v>
      </c>
      <c r="N30" s="7">
        <f t="shared" si="0"/>
        <v>2</v>
      </c>
      <c r="O30" s="8"/>
    </row>
    <row r="31" spans="2:15" ht="29" x14ac:dyDescent="0.35">
      <c r="B31" s="49"/>
      <c r="C31" s="51"/>
      <c r="D31" s="6" t="s">
        <v>118</v>
      </c>
      <c r="E31" s="5" t="s">
        <v>119</v>
      </c>
      <c r="F31" s="5" t="s">
        <v>26</v>
      </c>
      <c r="G31" s="6"/>
      <c r="H31" s="7">
        <v>4</v>
      </c>
      <c r="I31" s="7">
        <v>1</v>
      </c>
      <c r="J31" s="7">
        <f t="shared" si="1"/>
        <v>4</v>
      </c>
      <c r="K31" s="5" t="s">
        <v>120</v>
      </c>
      <c r="L31" s="7">
        <v>1</v>
      </c>
      <c r="M31" s="7">
        <v>1</v>
      </c>
      <c r="N31" s="7">
        <f t="shared" si="0"/>
        <v>1</v>
      </c>
      <c r="O31" s="8"/>
    </row>
    <row r="32" spans="2:15" ht="29" x14ac:dyDescent="0.35">
      <c r="B32" s="4" t="s">
        <v>121</v>
      </c>
      <c r="C32" s="5" t="s">
        <v>122</v>
      </c>
      <c r="D32" s="6" t="s">
        <v>123</v>
      </c>
      <c r="E32" s="5" t="s">
        <v>124</v>
      </c>
      <c r="F32" s="5" t="s">
        <v>125</v>
      </c>
      <c r="G32" s="6"/>
      <c r="H32" s="7">
        <v>4</v>
      </c>
      <c r="I32" s="7">
        <v>5</v>
      </c>
      <c r="J32" s="7">
        <f t="shared" si="1"/>
        <v>20</v>
      </c>
      <c r="K32" s="5" t="s">
        <v>126</v>
      </c>
      <c r="L32" s="7">
        <v>2</v>
      </c>
      <c r="M32" s="7">
        <v>5</v>
      </c>
      <c r="N32" s="7">
        <f t="shared" si="0"/>
        <v>10</v>
      </c>
      <c r="O32" s="8"/>
    </row>
    <row r="33" spans="2:15" ht="43.5" x14ac:dyDescent="0.35">
      <c r="B33" s="4" t="s">
        <v>127</v>
      </c>
      <c r="C33" s="5" t="s">
        <v>128</v>
      </c>
      <c r="D33" s="6" t="s">
        <v>129</v>
      </c>
      <c r="E33" s="5" t="s">
        <v>41</v>
      </c>
      <c r="F33" s="5" t="s">
        <v>130</v>
      </c>
      <c r="G33" s="6"/>
      <c r="H33" s="7">
        <v>2</v>
      </c>
      <c r="I33" s="7">
        <v>3</v>
      </c>
      <c r="J33" s="7">
        <f t="shared" si="1"/>
        <v>6</v>
      </c>
      <c r="K33" s="5" t="s">
        <v>42</v>
      </c>
      <c r="L33" s="7">
        <v>1</v>
      </c>
      <c r="M33" s="7">
        <v>3</v>
      </c>
      <c r="N33" s="7">
        <f t="shared" si="0"/>
        <v>3</v>
      </c>
      <c r="O33" s="8"/>
    </row>
    <row r="34" spans="2:15" ht="43.5" x14ac:dyDescent="0.35">
      <c r="B34" s="48" t="s">
        <v>131</v>
      </c>
      <c r="C34" s="50" t="s">
        <v>132</v>
      </c>
      <c r="D34" s="6" t="s">
        <v>133</v>
      </c>
      <c r="E34" s="5" t="s">
        <v>134</v>
      </c>
      <c r="F34" s="5" t="s">
        <v>135</v>
      </c>
      <c r="G34" s="6"/>
      <c r="H34" s="7">
        <v>2</v>
      </c>
      <c r="I34" s="7">
        <v>5</v>
      </c>
      <c r="J34" s="7">
        <f t="shared" si="1"/>
        <v>10</v>
      </c>
      <c r="K34" s="5" t="s">
        <v>136</v>
      </c>
      <c r="L34" s="7">
        <v>1</v>
      </c>
      <c r="M34" s="7">
        <v>5</v>
      </c>
      <c r="N34" s="7">
        <f t="shared" si="0"/>
        <v>5</v>
      </c>
      <c r="O34" s="8"/>
    </row>
    <row r="35" spans="2:15" ht="43.5" x14ac:dyDescent="0.35">
      <c r="B35" s="53"/>
      <c r="C35" s="51"/>
      <c r="D35" s="11" t="s">
        <v>137</v>
      </c>
      <c r="E35" s="9" t="s">
        <v>138</v>
      </c>
      <c r="F35" s="9" t="s">
        <v>20</v>
      </c>
      <c r="G35" s="11"/>
      <c r="H35" s="12">
        <v>2</v>
      </c>
      <c r="I35" s="12">
        <v>4</v>
      </c>
      <c r="J35" s="12">
        <f t="shared" si="1"/>
        <v>8</v>
      </c>
      <c r="K35" s="9" t="s">
        <v>139</v>
      </c>
      <c r="L35" s="12">
        <v>1</v>
      </c>
      <c r="M35" s="12">
        <v>4</v>
      </c>
      <c r="N35" s="12">
        <f t="shared" si="0"/>
        <v>4</v>
      </c>
      <c r="O35" s="13"/>
    </row>
    <row r="36" spans="2:15" ht="21.5" customHeight="1" x14ac:dyDescent="0.35">
      <c r="B36" s="75" t="s">
        <v>140</v>
      </c>
      <c r="C36" s="72" t="s">
        <v>141</v>
      </c>
      <c r="D36" s="6" t="s">
        <v>142</v>
      </c>
      <c r="E36" s="14" t="s">
        <v>143</v>
      </c>
      <c r="F36" s="14" t="s">
        <v>144</v>
      </c>
      <c r="G36" s="6"/>
      <c r="H36" s="7">
        <v>1</v>
      </c>
      <c r="I36" s="7">
        <v>5</v>
      </c>
      <c r="J36" s="7">
        <f>H36*I36</f>
        <v>5</v>
      </c>
      <c r="K36" s="14" t="s">
        <v>145</v>
      </c>
      <c r="L36" s="7">
        <v>1</v>
      </c>
      <c r="M36" s="7">
        <v>3</v>
      </c>
      <c r="N36" s="7">
        <f t="shared" si="0"/>
        <v>3</v>
      </c>
      <c r="O36" s="8"/>
    </row>
    <row r="37" spans="2:15" ht="29" x14ac:dyDescent="0.35">
      <c r="B37" s="75"/>
      <c r="C37" s="73"/>
      <c r="D37" s="7" t="s">
        <v>146</v>
      </c>
      <c r="E37" s="15" t="s">
        <v>147</v>
      </c>
      <c r="F37" s="15" t="s">
        <v>148</v>
      </c>
      <c r="G37" s="7"/>
      <c r="H37" s="7">
        <v>3</v>
      </c>
      <c r="I37" s="7">
        <v>2</v>
      </c>
      <c r="J37" s="7">
        <f t="shared" ref="J37:J40" si="2">H37*I37</f>
        <v>6</v>
      </c>
      <c r="K37" s="14" t="s">
        <v>149</v>
      </c>
      <c r="L37" s="7">
        <v>2</v>
      </c>
      <c r="M37" s="7">
        <v>2</v>
      </c>
      <c r="N37" s="7">
        <f t="shared" si="0"/>
        <v>4</v>
      </c>
      <c r="O37" s="8"/>
    </row>
    <row r="38" spans="2:15" ht="43.5" x14ac:dyDescent="0.35">
      <c r="B38" s="75"/>
      <c r="C38" s="73"/>
      <c r="D38" s="7" t="s">
        <v>150</v>
      </c>
      <c r="E38" s="15" t="s">
        <v>151</v>
      </c>
      <c r="F38" s="15" t="s">
        <v>152</v>
      </c>
      <c r="G38" s="7"/>
      <c r="H38" s="7">
        <v>15</v>
      </c>
      <c r="I38" s="7">
        <v>2</v>
      </c>
      <c r="J38" s="7">
        <f t="shared" si="2"/>
        <v>30</v>
      </c>
      <c r="K38" s="14" t="s">
        <v>153</v>
      </c>
      <c r="L38" s="7">
        <v>1</v>
      </c>
      <c r="M38" s="7">
        <v>3</v>
      </c>
      <c r="N38" s="7">
        <f t="shared" si="0"/>
        <v>3</v>
      </c>
      <c r="O38" s="8"/>
    </row>
    <row r="39" spans="2:15" ht="29" x14ac:dyDescent="0.35">
      <c r="B39" s="75"/>
      <c r="C39" s="73"/>
      <c r="D39" s="7" t="s">
        <v>154</v>
      </c>
      <c r="E39" s="15" t="s">
        <v>155</v>
      </c>
      <c r="F39" s="15" t="s">
        <v>152</v>
      </c>
      <c r="G39" s="7"/>
      <c r="H39" s="7">
        <v>4</v>
      </c>
      <c r="I39" s="7">
        <v>4</v>
      </c>
      <c r="J39" s="7">
        <f t="shared" si="2"/>
        <v>16</v>
      </c>
      <c r="K39" s="14" t="s">
        <v>156</v>
      </c>
      <c r="L39" s="7">
        <v>2</v>
      </c>
      <c r="M39" s="7">
        <v>3</v>
      </c>
      <c r="N39" s="7">
        <f t="shared" si="0"/>
        <v>6</v>
      </c>
      <c r="O39" s="8"/>
    </row>
    <row r="40" spans="2:15" ht="29.5" thickBot="1" x14ac:dyDescent="0.4">
      <c r="B40" s="76"/>
      <c r="C40" s="74"/>
      <c r="D40" s="23" t="s">
        <v>157</v>
      </c>
      <c r="E40" s="22" t="s">
        <v>158</v>
      </c>
      <c r="F40" s="22" t="s">
        <v>152</v>
      </c>
      <c r="G40" s="23"/>
      <c r="H40" s="23">
        <v>2</v>
      </c>
      <c r="I40" s="23">
        <v>4</v>
      </c>
      <c r="J40" s="23">
        <f t="shared" si="2"/>
        <v>8</v>
      </c>
      <c r="K40" s="24" t="s">
        <v>159</v>
      </c>
      <c r="L40" s="23">
        <v>2</v>
      </c>
      <c r="M40" s="23">
        <v>3</v>
      </c>
      <c r="N40" s="23">
        <f t="shared" si="0"/>
        <v>6</v>
      </c>
      <c r="O40" s="25"/>
    </row>
  </sheetData>
  <autoFilter ref="B6:O7" xr:uid="{7158B660-FFE0-4E90-8345-18351F329FD0}">
    <filterColumn colId="6" showButton="0"/>
    <filterColumn colId="7" showButton="0"/>
    <filterColumn colId="10" showButton="0"/>
    <filterColumn colId="11" showButton="0"/>
  </autoFilter>
  <mergeCells count="34">
    <mergeCell ref="C36:C40"/>
    <mergeCell ref="B36:B40"/>
    <mergeCell ref="C26:C27"/>
    <mergeCell ref="B26:B27"/>
    <mergeCell ref="C30:C31"/>
    <mergeCell ref="B30:B31"/>
    <mergeCell ref="C34:C35"/>
    <mergeCell ref="B34:B35"/>
    <mergeCell ref="C18:C21"/>
    <mergeCell ref="B18:B21"/>
    <mergeCell ref="C22:C23"/>
    <mergeCell ref="B22:B23"/>
    <mergeCell ref="C24:C25"/>
    <mergeCell ref="B24:B25"/>
    <mergeCell ref="H6:J6"/>
    <mergeCell ref="K6:K7"/>
    <mergeCell ref="L6:N6"/>
    <mergeCell ref="O6:O7"/>
    <mergeCell ref="B6:B7"/>
    <mergeCell ref="C6:C7"/>
    <mergeCell ref="D6:D7"/>
    <mergeCell ref="E6:E7"/>
    <mergeCell ref="F6:F7"/>
    <mergeCell ref="G6:G7"/>
    <mergeCell ref="B2:C4"/>
    <mergeCell ref="B10:B11"/>
    <mergeCell ref="C10:C11"/>
    <mergeCell ref="C12:C17"/>
    <mergeCell ref="B12:B17"/>
    <mergeCell ref="D3:N4"/>
    <mergeCell ref="E5:F5"/>
    <mergeCell ref="G5:J5"/>
    <mergeCell ref="K5:N5"/>
    <mergeCell ref="D2:O2"/>
  </mergeCells>
  <conditionalFormatting sqref="H8:J4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7:N7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:N4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scale="4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HIRA </vt:lpstr>
      <vt:lpstr>'HIRA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Saiyam Shah</dc:creator>
  <cp:lastModifiedBy>Administrator</cp:lastModifiedBy>
  <dcterms:created xsi:type="dcterms:W3CDTF">2023-03-07T07:40:41Z</dcterms:created>
  <dcterms:modified xsi:type="dcterms:W3CDTF">2025-09-10T10:14:32Z</dcterms:modified>
</cp:coreProperties>
</file>