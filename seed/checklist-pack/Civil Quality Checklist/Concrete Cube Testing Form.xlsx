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90A0EDB2-40AB-435F-B925-936F7DACE04D}" xr6:coauthVersionLast="47" xr6:coauthVersionMax="47" xr10:uidLastSave="{00000000-0000-0000-0000-000000000000}"/>
  <bookViews>
    <workbookView xWindow="-110" yWindow="-110" windowWidth="19420" windowHeight="10420" xr2:uid="{27A79435-BA63-4240-AB56-D4BE33224863}"/>
  </bookViews>
  <sheets>
    <sheet name="1" sheetId="1" r:id="rId1"/>
  </sheets>
  <definedNames>
    <definedName name="_Regression_Int">1</definedName>
    <definedName name="_xlnm.Print_Area" localSheetId="0">'1'!$B$2:$L$32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L14" i="1" s="1"/>
  <c r="I13" i="1"/>
  <c r="L13" i="1" s="1"/>
  <c r="I12" i="1"/>
  <c r="L12" i="1" s="1"/>
  <c r="L11" i="1"/>
  <c r="I11" i="1"/>
  <c r="L10" i="1"/>
  <c r="I10" i="1"/>
  <c r="C10" i="1"/>
  <c r="C11" i="1" s="1"/>
  <c r="C12" i="1" s="1"/>
  <c r="C13" i="1" s="1"/>
  <c r="C14" i="1" s="1"/>
  <c r="I9" i="1"/>
  <c r="L9" i="1" s="1"/>
  <c r="L15" i="1" s="1"/>
  <c r="D9" i="1"/>
  <c r="D10" i="1" s="1"/>
  <c r="D11" i="1" l="1"/>
  <c r="E10" i="1"/>
  <c r="E9" i="1"/>
  <c r="E11" i="1" l="1"/>
  <c r="D12" i="1"/>
  <c r="D13" i="1" l="1"/>
  <c r="E12" i="1"/>
  <c r="E13" i="1" l="1"/>
  <c r="D14" i="1"/>
  <c r="E14" i="1" s="1"/>
</calcChain>
</file>

<file path=xl/sharedStrings.xml><?xml version="1.0" encoding="utf-8"?>
<sst xmlns="http://schemas.openxmlformats.org/spreadsheetml/2006/main" count="35" uniqueCount="35">
  <si>
    <t xml:space="preserve">CONCRETE CUBE TESTING FORM   </t>
  </si>
  <si>
    <t>Project</t>
  </si>
  <si>
    <t xml:space="preserve">Date of Inspection:
</t>
  </si>
  <si>
    <t xml:space="preserve">Report No.
</t>
  </si>
  <si>
    <t>Ref. Codes:</t>
  </si>
  <si>
    <t xml:space="preserve">Ref.Drg.No.
</t>
  </si>
  <si>
    <t>Quantity:</t>
  </si>
  <si>
    <t>Location:</t>
  </si>
  <si>
    <t>Sr No</t>
  </si>
  <si>
    <t xml:space="preserve">Grade of  Concrete  </t>
  </si>
  <si>
    <t xml:space="preserve">Casting Date </t>
  </si>
  <si>
    <t xml:space="preserve">Date of Testing  </t>
  </si>
  <si>
    <t xml:space="preserve">Size of Cube  </t>
  </si>
  <si>
    <t>Area</t>
  </si>
  <si>
    <t xml:space="preserve">Weight </t>
  </si>
  <si>
    <t>Load in KN</t>
  </si>
  <si>
    <t xml:space="preserve">Compressive Stregnth  in N/mm2 </t>
  </si>
  <si>
    <t>L</t>
  </si>
  <si>
    <t>B</t>
  </si>
  <si>
    <t>H</t>
  </si>
  <si>
    <t>-</t>
  </si>
  <si>
    <t xml:space="preserve">Avreage  Compressive Load in N/mm2 : </t>
  </si>
  <si>
    <t xml:space="preserve">Grade  </t>
  </si>
  <si>
    <t>Specified  Charasteristics  Compressive  Stregnth  
N/mm2</t>
  </si>
  <si>
    <t>AS PER IS  456: 2000 ( TABLE 2 )  RA 2021</t>
  </si>
  <si>
    <t xml:space="preserve">28  DAYS CURING  </t>
  </si>
  <si>
    <t>M 20</t>
  </si>
  <si>
    <t>M 25</t>
  </si>
  <si>
    <t>M 30</t>
  </si>
  <si>
    <t>M 35</t>
  </si>
  <si>
    <t xml:space="preserve">Remark  : </t>
  </si>
  <si>
    <t xml:space="preserve">QA /QC  ENGINEER </t>
  </si>
  <si>
    <t xml:space="preserve">P.M.C  </t>
  </si>
  <si>
    <t xml:space="preserve">CLIENT  </t>
  </si>
  <si>
    <t>TEST  ON CUBES CONDUCTED AS  PER IS 516 (  PART 1 / SEC 1 ) :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</si>
</sst>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Artifakt Element"/>
      <family val="2"/>
    </font>
    <font>
      <b/>
      <sz val="22"/>
      <color theme="1"/>
      <name val="Artifakt Element"/>
      <family val="2"/>
    </font>
    <font>
      <sz val="11"/>
      <color theme="1"/>
      <name val="Artifakt Element"/>
      <family val="2"/>
    </font>
    <font>
      <b/>
      <sz val="14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9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3" fillId="2" borderId="0" xfId="0" applyFont="1" applyFill="1"/>
    <xf numFmtId="0" fontId="8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306916</xdr:colOff>
      <xdr:row>1</xdr:row>
      <xdr:rowOff>31749</xdr:rowOff>
    </xdr:from>
    <xdr:to>
      <xdr:col>2</xdr:col>
      <xdr:colOff>659809</xdr:colOff>
      <xdr:row>2</xdr:row>
      <xdr:rowOff>149158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7E40E-0C75-45AB-97EB-45E8DB65D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16" y="241299"/>
          <a:ext cx="1311743" cy="923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C4A3-504D-424F-8BE7-C1267306B102}">
  <sheetPr codeName="Sheet39">
    <pageSetUpPr fitToPage="1"/>
  </sheetPr>
  <dimension ref="B2:L32"/>
  <sheetViews>
    <sheetView tabSelected="1" view="pageBreakPreview" zoomScale="60" zoomScaleNormal="100" workbookViewId="0">
      <selection activeCell="C18" sqref="C18:G18"/>
    </sheetView>
  </sheetViews>
  <sheetFormatPr defaultColWidth="8.7265625" defaultRowHeight="16.5" x14ac:dyDescent="0.5"/>
  <cols>
    <col min="1" max="1" width="8.7265625" style="1"/>
    <col min="2" max="3" width="13.7265625" style="1" customWidth="1"/>
    <col min="4" max="5" width="13.453125" style="1" customWidth="1"/>
    <col min="6" max="11" width="8.7265625" style="1"/>
    <col min="12" max="12" width="14" style="1" customWidth="1"/>
    <col min="13" max="16384" width="8.7265625" style="1"/>
  </cols>
  <sheetData>
    <row r="2" spans="2:12" ht="63.65" customHeight="1" x14ac:dyDescent="0.5">
      <c r="B2" s="26"/>
      <c r="C2" s="26"/>
      <c r="D2" s="27" t="s">
        <v>0</v>
      </c>
      <c r="E2" s="27"/>
      <c r="F2" s="27"/>
      <c r="G2" s="27"/>
      <c r="H2" s="27"/>
      <c r="I2" s="27"/>
      <c r="J2" s="27"/>
      <c r="K2" s="27"/>
      <c r="L2" s="27"/>
    </row>
    <row r="3" spans="2:12" s="3" customFormat="1" ht="23.15" customHeight="1" x14ac:dyDescent="0.5">
      <c r="B3" s="2" t="s">
        <v>1</v>
      </c>
      <c r="C3" s="23"/>
      <c r="D3" s="23"/>
      <c r="E3" s="23"/>
      <c r="F3" s="23"/>
      <c r="G3" s="23"/>
      <c r="H3" s="23"/>
      <c r="I3" s="28" t="s">
        <v>2</v>
      </c>
      <c r="J3" s="28"/>
      <c r="K3" s="25"/>
      <c r="L3" s="25"/>
    </row>
    <row r="4" spans="2:12" s="3" customFormat="1" ht="38" customHeight="1" x14ac:dyDescent="0.5">
      <c r="B4" s="4" t="s">
        <v>3</v>
      </c>
      <c r="C4" s="23"/>
      <c r="D4" s="23"/>
      <c r="E4" s="23"/>
      <c r="F4" s="23"/>
      <c r="G4" s="23"/>
      <c r="H4" s="23"/>
      <c r="I4" s="24" t="s">
        <v>4</v>
      </c>
      <c r="J4" s="24"/>
      <c r="K4" s="25"/>
      <c r="L4" s="25"/>
    </row>
    <row r="5" spans="2:12" s="3" customFormat="1" ht="23.15" customHeight="1" x14ac:dyDescent="0.5">
      <c r="B5" s="4" t="s">
        <v>5</v>
      </c>
      <c r="C5" s="23"/>
      <c r="D5" s="23"/>
      <c r="E5" s="23"/>
      <c r="F5" s="23"/>
      <c r="G5" s="23"/>
      <c r="H5" s="23"/>
      <c r="I5" s="24" t="s">
        <v>6</v>
      </c>
      <c r="J5" s="24"/>
      <c r="K5" s="25"/>
      <c r="L5" s="25"/>
    </row>
    <row r="6" spans="2:12" s="3" customFormat="1" ht="23.15" customHeight="1" x14ac:dyDescent="0.5">
      <c r="B6" s="4" t="s">
        <v>7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2:12" x14ac:dyDescent="0.5">
      <c r="B7" s="15" t="s">
        <v>8</v>
      </c>
      <c r="C7" s="17" t="s">
        <v>9</v>
      </c>
      <c r="D7" s="15" t="s">
        <v>10</v>
      </c>
      <c r="E7" s="17" t="s">
        <v>11</v>
      </c>
      <c r="F7" s="13" t="s">
        <v>12</v>
      </c>
      <c r="G7" s="13"/>
      <c r="H7" s="13"/>
      <c r="I7" s="15" t="s">
        <v>13</v>
      </c>
      <c r="J7" s="15" t="s">
        <v>14</v>
      </c>
      <c r="K7" s="17" t="s">
        <v>15</v>
      </c>
      <c r="L7" s="18" t="s">
        <v>16</v>
      </c>
    </row>
    <row r="8" spans="2:12" ht="39" customHeight="1" x14ac:dyDescent="0.5">
      <c r="B8" s="15"/>
      <c r="C8" s="17"/>
      <c r="D8" s="15"/>
      <c r="E8" s="17"/>
      <c r="F8" s="5" t="s">
        <v>17</v>
      </c>
      <c r="G8" s="5" t="s">
        <v>18</v>
      </c>
      <c r="H8" s="5" t="s">
        <v>19</v>
      </c>
      <c r="I8" s="15"/>
      <c r="J8" s="15"/>
      <c r="K8" s="17"/>
      <c r="L8" s="18"/>
    </row>
    <row r="9" spans="2:12" x14ac:dyDescent="0.5">
      <c r="B9" s="5">
        <v>1</v>
      </c>
      <c r="C9" s="5" t="s">
        <v>20</v>
      </c>
      <c r="D9" s="7">
        <f ca="1">TODAY()</f>
        <v>45924</v>
      </c>
      <c r="E9" s="8">
        <f ca="1">D9+7</f>
        <v>45931</v>
      </c>
      <c r="F9" s="6">
        <v>1</v>
      </c>
      <c r="G9" s="6">
        <v>1</v>
      </c>
      <c r="H9" s="6">
        <v>1</v>
      </c>
      <c r="I9" s="6">
        <f>F9*G9</f>
        <v>1</v>
      </c>
      <c r="J9" s="9"/>
      <c r="K9" s="5"/>
      <c r="L9" s="10">
        <f>(K9*1000)/I9</f>
        <v>0</v>
      </c>
    </row>
    <row r="10" spans="2:12" x14ac:dyDescent="0.5">
      <c r="B10" s="5">
        <v>2</v>
      </c>
      <c r="C10" s="5" t="str">
        <f>C9</f>
        <v>-</v>
      </c>
      <c r="D10" s="8">
        <f ca="1">D9</f>
        <v>45924</v>
      </c>
      <c r="E10" s="8">
        <f t="shared" ref="E10:E14" ca="1" si="0">D10+7</f>
        <v>45931</v>
      </c>
      <c r="F10" s="6">
        <v>1</v>
      </c>
      <c r="G10" s="6">
        <v>1</v>
      </c>
      <c r="H10" s="6">
        <v>1</v>
      </c>
      <c r="I10" s="6">
        <f t="shared" ref="I10:I14" si="1">F10*G10</f>
        <v>1</v>
      </c>
      <c r="J10" s="9"/>
      <c r="K10" s="5"/>
      <c r="L10" s="10">
        <f t="shared" ref="L10:L14" si="2">(K10*1000)/I10</f>
        <v>0</v>
      </c>
    </row>
    <row r="11" spans="2:12" x14ac:dyDescent="0.5">
      <c r="B11" s="5">
        <v>3</v>
      </c>
      <c r="C11" s="5" t="str">
        <f t="shared" ref="C11:D14" si="3">C10</f>
        <v>-</v>
      </c>
      <c r="D11" s="8">
        <f t="shared" ca="1" si="3"/>
        <v>45924</v>
      </c>
      <c r="E11" s="8">
        <f t="shared" ca="1" si="0"/>
        <v>45931</v>
      </c>
      <c r="F11" s="6">
        <v>1</v>
      </c>
      <c r="G11" s="6">
        <v>1</v>
      </c>
      <c r="H11" s="6">
        <v>1</v>
      </c>
      <c r="I11" s="6">
        <f t="shared" si="1"/>
        <v>1</v>
      </c>
      <c r="J11" s="9"/>
      <c r="K11" s="5"/>
      <c r="L11" s="10">
        <f t="shared" si="2"/>
        <v>0</v>
      </c>
    </row>
    <row r="12" spans="2:12" x14ac:dyDescent="0.5">
      <c r="B12" s="5">
        <v>4</v>
      </c>
      <c r="C12" s="5" t="str">
        <f t="shared" si="3"/>
        <v>-</v>
      </c>
      <c r="D12" s="8">
        <f t="shared" ca="1" si="3"/>
        <v>45924</v>
      </c>
      <c r="E12" s="8">
        <f t="shared" ca="1" si="0"/>
        <v>45931</v>
      </c>
      <c r="F12" s="6">
        <v>1</v>
      </c>
      <c r="G12" s="6">
        <v>1</v>
      </c>
      <c r="H12" s="6">
        <v>1</v>
      </c>
      <c r="I12" s="6">
        <f t="shared" si="1"/>
        <v>1</v>
      </c>
      <c r="J12" s="9"/>
      <c r="K12" s="9"/>
      <c r="L12" s="10">
        <f t="shared" si="2"/>
        <v>0</v>
      </c>
    </row>
    <row r="13" spans="2:12" x14ac:dyDescent="0.5">
      <c r="B13" s="5">
        <v>5</v>
      </c>
      <c r="C13" s="5" t="str">
        <f t="shared" si="3"/>
        <v>-</v>
      </c>
      <c r="D13" s="8">
        <f t="shared" ca="1" si="3"/>
        <v>45924</v>
      </c>
      <c r="E13" s="8">
        <f t="shared" ca="1" si="0"/>
        <v>45931</v>
      </c>
      <c r="F13" s="6">
        <v>1</v>
      </c>
      <c r="G13" s="6">
        <v>1</v>
      </c>
      <c r="H13" s="6">
        <v>1</v>
      </c>
      <c r="I13" s="6">
        <f t="shared" si="1"/>
        <v>1</v>
      </c>
      <c r="J13" s="9"/>
      <c r="K13" s="9"/>
      <c r="L13" s="10">
        <f t="shared" si="2"/>
        <v>0</v>
      </c>
    </row>
    <row r="14" spans="2:12" x14ac:dyDescent="0.5">
      <c r="B14" s="5">
        <v>6</v>
      </c>
      <c r="C14" s="5" t="str">
        <f t="shared" si="3"/>
        <v>-</v>
      </c>
      <c r="D14" s="8">
        <f t="shared" ca="1" si="3"/>
        <v>45924</v>
      </c>
      <c r="E14" s="8">
        <f t="shared" ca="1" si="0"/>
        <v>45931</v>
      </c>
      <c r="F14" s="6">
        <v>1</v>
      </c>
      <c r="G14" s="6">
        <v>1</v>
      </c>
      <c r="H14" s="6">
        <v>1</v>
      </c>
      <c r="I14" s="6">
        <f t="shared" si="1"/>
        <v>1</v>
      </c>
      <c r="J14" s="9"/>
      <c r="K14" s="9"/>
      <c r="L14" s="10">
        <f t="shared" si="2"/>
        <v>0</v>
      </c>
    </row>
    <row r="15" spans="2:12" x14ac:dyDescent="0.5">
      <c r="B15" s="19" t="s">
        <v>21</v>
      </c>
      <c r="C15" s="19"/>
      <c r="D15" s="19"/>
      <c r="E15" s="19"/>
      <c r="F15" s="19"/>
      <c r="G15" s="19"/>
      <c r="H15" s="19"/>
      <c r="I15" s="19"/>
      <c r="J15" s="19"/>
      <c r="K15" s="19"/>
      <c r="L15" s="12">
        <f>AVERAGE(L9:L11)</f>
        <v>0</v>
      </c>
    </row>
    <row r="16" spans="2:12" ht="29.15" customHeight="1" x14ac:dyDescent="0.5">
      <c r="B16" s="20" t="s">
        <v>22</v>
      </c>
      <c r="C16" s="21" t="s">
        <v>23</v>
      </c>
      <c r="D16" s="22"/>
      <c r="E16" s="22"/>
      <c r="F16" s="22"/>
      <c r="G16" s="22"/>
      <c r="H16" s="11"/>
      <c r="I16" s="11"/>
      <c r="J16" s="11"/>
      <c r="K16" s="11"/>
      <c r="L16" s="5"/>
    </row>
    <row r="17" spans="2:12" x14ac:dyDescent="0.5">
      <c r="B17" s="20"/>
      <c r="C17" s="20" t="s">
        <v>24</v>
      </c>
      <c r="D17" s="20"/>
      <c r="E17" s="20"/>
      <c r="F17" s="20"/>
      <c r="G17" s="20"/>
      <c r="H17" s="11"/>
      <c r="I17" s="11"/>
      <c r="J17" s="11"/>
      <c r="K17" s="11"/>
      <c r="L17" s="5"/>
    </row>
    <row r="18" spans="2:12" x14ac:dyDescent="0.5">
      <c r="B18" s="20"/>
      <c r="C18" s="20" t="s">
        <v>25</v>
      </c>
      <c r="D18" s="20"/>
      <c r="E18" s="20"/>
      <c r="F18" s="20"/>
      <c r="G18" s="20"/>
      <c r="H18" s="11"/>
      <c r="I18" s="11"/>
      <c r="J18" s="11"/>
      <c r="K18" s="11"/>
      <c r="L18" s="5"/>
    </row>
    <row r="19" spans="2:12" x14ac:dyDescent="0.5">
      <c r="B19" s="5" t="s">
        <v>26</v>
      </c>
      <c r="C19" s="15">
        <v>20</v>
      </c>
      <c r="D19" s="15"/>
      <c r="E19" s="15"/>
      <c r="F19" s="15"/>
      <c r="G19" s="15"/>
      <c r="H19" s="11"/>
      <c r="I19" s="11"/>
      <c r="J19" s="11"/>
      <c r="K19" s="11"/>
      <c r="L19" s="5"/>
    </row>
    <row r="20" spans="2:12" x14ac:dyDescent="0.5">
      <c r="B20" s="5" t="s">
        <v>27</v>
      </c>
      <c r="C20" s="15">
        <v>25</v>
      </c>
      <c r="D20" s="15"/>
      <c r="E20" s="15"/>
      <c r="F20" s="15"/>
      <c r="G20" s="15"/>
      <c r="H20" s="11"/>
      <c r="I20" s="11"/>
      <c r="J20" s="11"/>
      <c r="K20" s="11"/>
      <c r="L20" s="5"/>
    </row>
    <row r="21" spans="2:12" x14ac:dyDescent="0.5">
      <c r="B21" s="5" t="s">
        <v>28</v>
      </c>
      <c r="C21" s="15">
        <v>30</v>
      </c>
      <c r="D21" s="15"/>
      <c r="E21" s="15"/>
      <c r="F21" s="15"/>
      <c r="G21" s="15"/>
      <c r="H21" s="11"/>
      <c r="I21" s="11"/>
      <c r="J21" s="11"/>
      <c r="K21" s="11"/>
      <c r="L21" s="5"/>
    </row>
    <row r="22" spans="2:12" x14ac:dyDescent="0.5">
      <c r="B22" s="5" t="s">
        <v>29</v>
      </c>
      <c r="C22" s="15">
        <v>35</v>
      </c>
      <c r="D22" s="15"/>
      <c r="E22" s="15"/>
      <c r="F22" s="15"/>
      <c r="G22" s="15"/>
      <c r="H22" s="11"/>
      <c r="I22" s="11"/>
      <c r="J22" s="11"/>
      <c r="K22" s="11"/>
      <c r="L22" s="5"/>
    </row>
    <row r="23" spans="2:12" x14ac:dyDescent="0.5">
      <c r="B23" s="16" t="s">
        <v>30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2:12" x14ac:dyDescent="0.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2:12" x14ac:dyDescent="0.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2:12" x14ac:dyDescent="0.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2:12" x14ac:dyDescent="0.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2:12" x14ac:dyDescent="0.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2:12" x14ac:dyDescent="0.5">
      <c r="B29" s="14" t="s">
        <v>31</v>
      </c>
      <c r="C29" s="14"/>
      <c r="D29" s="14"/>
      <c r="E29" s="14" t="s">
        <v>32</v>
      </c>
      <c r="F29" s="14"/>
      <c r="G29" s="14"/>
      <c r="H29" s="14"/>
      <c r="I29" s="14"/>
      <c r="J29" s="14" t="s">
        <v>33</v>
      </c>
      <c r="K29" s="14"/>
      <c r="L29" s="14"/>
    </row>
    <row r="30" spans="2:12" ht="59.15" customHeight="1" x14ac:dyDescent="0.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2:12" x14ac:dyDescent="0.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2:12" x14ac:dyDescent="0.5">
      <c r="B32" s="13" t="s">
        <v>34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</sheetData>
  <mergeCells count="39">
    <mergeCell ref="C4:H4"/>
    <mergeCell ref="I4:J4"/>
    <mergeCell ref="K4:L4"/>
    <mergeCell ref="B2:C2"/>
    <mergeCell ref="D2:L2"/>
    <mergeCell ref="C3:H3"/>
    <mergeCell ref="I3:J3"/>
    <mergeCell ref="K3:L3"/>
    <mergeCell ref="C5:H5"/>
    <mergeCell ref="I5:J5"/>
    <mergeCell ref="K5:L5"/>
    <mergeCell ref="C6:L6"/>
    <mergeCell ref="B7:B8"/>
    <mergeCell ref="C7:C8"/>
    <mergeCell ref="D7:D8"/>
    <mergeCell ref="E7:E8"/>
    <mergeCell ref="F7:H7"/>
    <mergeCell ref="I7:I8"/>
    <mergeCell ref="B24:L28"/>
    <mergeCell ref="J7:J8"/>
    <mergeCell ref="K7:K8"/>
    <mergeCell ref="L7:L8"/>
    <mergeCell ref="B15:K15"/>
    <mergeCell ref="B16:B18"/>
    <mergeCell ref="C16:G16"/>
    <mergeCell ref="C17:G17"/>
    <mergeCell ref="C18:G18"/>
    <mergeCell ref="C19:G19"/>
    <mergeCell ref="C20:G20"/>
    <mergeCell ref="C21:G21"/>
    <mergeCell ref="C22:G22"/>
    <mergeCell ref="B23:L23"/>
    <mergeCell ref="B32:L32"/>
    <mergeCell ref="B29:D29"/>
    <mergeCell ref="E29:I29"/>
    <mergeCell ref="J29:L29"/>
    <mergeCell ref="B30:D31"/>
    <mergeCell ref="E30:I31"/>
    <mergeCell ref="J30:L31"/>
  </mergeCells>
  <printOptions horizontalCentered="1" verticalCentered="1"/>
  <pageMargins left="0.11811023622047245" right="0.11811023622047245" top="0.35433070866141736" bottom="0.35433070866141736" header="0.31496062992125984" footer="0.31496062992125984"/>
  <pageSetup scale="87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2025-09-24T10:56:44Z</dcterms:created>
  <dcterms:modified xsi:type="dcterms:W3CDTF">2025-09-24T11:40:54Z</dcterms:modified>
</cp:coreProperties>
</file>