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D:\Sharnam II\Submission\Phase 01\"/>
    </mc:Choice>
  </mc:AlternateContent>
  <xr:revisionPtr revIDLastSave="0" documentId="13_ncr:1_{17D1A659-ED31-4061-AFCC-482692D3EAE7}" xr6:coauthVersionLast="47" xr6:coauthVersionMax="47" xr10:uidLastSave="{00000000-0000-0000-0000-000000000000}"/>
  <bookViews>
    <workbookView xWindow="1536" yWindow="1536" windowWidth="17280" windowHeight="8880" xr2:uid="{620595A7-1DCE-42D0-BCC4-22A3B6827DEB}"/>
  </bookViews>
  <sheets>
    <sheet name="Dashboard" sheetId="15" r:id="rId1"/>
    <sheet name="Risk Register" sheetId="3" r:id="rId2"/>
    <sheet name="List" sheetId="13" r:id="rId3"/>
  </sheets>
  <externalReferences>
    <externalReference r:id="rId4"/>
    <externalReference r:id="rId5"/>
    <externalReference r:id="rId6"/>
  </externalReferences>
  <definedNames>
    <definedName name="closed">OFFSET([1]calculations!$J$16,,,days)</definedName>
    <definedName name="closed_labels">closed+label_offset</definedName>
    <definedName name="dates">OFFSET([1]calculations!$H$16,,,days)</definedName>
    <definedName name="days">[1]calculations!$J$7</definedName>
    <definedName name="keydate">[1]calculations!$J$8</definedName>
    <definedName name="label_offset">MAX(opened, closed)*4%</definedName>
    <definedName name="Milestone_Marker">[2]Purple!$C$6</definedName>
    <definedName name="opened">OFFSET([1]calculations!$I$16,,,days)</definedName>
    <definedName name="opened_labels">opened+label_offset</definedName>
    <definedName name="priorities">OFFSET([1]calculations!$T$16,,,[1]calculations!$O$13+1)</definedName>
    <definedName name="prioritiesUnsorted">OFFSET([1]calculations!$O$15,,,[1]calculations!$O$13+1)</definedName>
    <definedName name="priority">[1]calculations!$J$10</definedName>
    <definedName name="Proj_Phases">[3]Lists!$H$17:$H$21</definedName>
    <definedName name="Project_Start">[2]Purple!$C$5</definedName>
    <definedName name="RowTitleRegion1..J2">#REF!</definedName>
    <definedName name="Scrolling_Increment">[2]Purple!$U$5</definedName>
    <definedName name="Title1">#REF!</definedName>
    <definedName name="type">[1]calculations!$J$9</definedName>
    <definedName name="types">OFFSET([1]calculations!$S$16,,,[1]calculations!$N$13+1)</definedName>
    <definedName name="typesUnsorted">OFFSET([1]calculations!$N$15,,,[1]calculations!$N$13+1)</definedName>
  </definedNames>
  <calcPr calcId="191029"/>
  <pivotCaches>
    <pivotCache cacheId="0"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01" i="15" l="1"/>
  <c r="T101" i="15"/>
  <c r="U101" i="15"/>
  <c r="V101" i="15"/>
  <c r="W101" i="15"/>
  <c r="S102" i="15"/>
  <c r="T102" i="15"/>
  <c r="U102" i="15"/>
  <c r="V102" i="15"/>
  <c r="W102" i="15"/>
  <c r="S103" i="15"/>
  <c r="T103" i="15"/>
  <c r="U103" i="15"/>
  <c r="V103" i="15"/>
  <c r="W103" i="15"/>
  <c r="S104" i="15"/>
  <c r="T104" i="15"/>
  <c r="U104" i="15"/>
  <c r="V104" i="15"/>
  <c r="W104" i="15"/>
  <c r="T100" i="15"/>
  <c r="U100" i="15"/>
  <c r="V100" i="15"/>
  <c r="W100" i="15"/>
  <c r="S100" i="15"/>
  <c r="R32" i="3" l="1"/>
  <c r="R31" i="3"/>
  <c r="R30" i="3"/>
  <c r="R29" i="3"/>
  <c r="R28" i="3"/>
  <c r="R27" i="3"/>
  <c r="R26" i="3"/>
  <c r="R25" i="3"/>
  <c r="R24" i="3"/>
  <c r="R23" i="3"/>
  <c r="R22" i="3"/>
  <c r="R21" i="3"/>
  <c r="R20" i="3"/>
  <c r="R19" i="3"/>
  <c r="R18" i="3"/>
  <c r="R17" i="3"/>
  <c r="R16" i="3"/>
  <c r="R15" i="3"/>
  <c r="R14" i="3"/>
  <c r="R13" i="3"/>
  <c r="R12" i="3"/>
  <c r="R11" i="3"/>
  <c r="R10" i="3"/>
  <c r="R9" i="3"/>
  <c r="R8" i="3"/>
  <c r="R7" i="3"/>
  <c r="R6" i="3"/>
  <c r="R5" i="3"/>
  <c r="R4"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R3" i="3"/>
  <c r="H3" i="3"/>
</calcChain>
</file>

<file path=xl/sharedStrings.xml><?xml version="1.0" encoding="utf-8"?>
<sst xmlns="http://schemas.openxmlformats.org/spreadsheetml/2006/main" count="523" uniqueCount="126">
  <si>
    <t>Step 1: Risk Identification</t>
  </si>
  <si>
    <t>Step 2: Risk Assessment</t>
  </si>
  <si>
    <t>Step 3: Risk Response</t>
  </si>
  <si>
    <t>Step 4: Monitor &amp; Control</t>
  </si>
  <si>
    <t>#</t>
  </si>
  <si>
    <t>Category</t>
  </si>
  <si>
    <t>Opportunity / Threat</t>
  </si>
  <si>
    <t>Risk Name</t>
  </si>
  <si>
    <t>Detailed Description</t>
  </si>
  <si>
    <t>Probability (1 - 5)</t>
  </si>
  <si>
    <t>Consequence (1-5)</t>
  </si>
  <si>
    <t>Severity (Priority)</t>
  </si>
  <si>
    <t>Probability (%)</t>
  </si>
  <si>
    <t>Most Likely (no. of weeks)</t>
  </si>
  <si>
    <t>Response Category</t>
  </si>
  <si>
    <t>Impact</t>
  </si>
  <si>
    <t>Risk Owner</t>
  </si>
  <si>
    <t>Contingency Plan</t>
  </si>
  <si>
    <t>Status</t>
  </si>
  <si>
    <t>Date Last Updated</t>
  </si>
  <si>
    <t>Tracking Comments</t>
  </si>
  <si>
    <t>Threat</t>
  </si>
  <si>
    <t>It has been observed that the manpower currently available at the site is inadequate to meet the scheduled activity requirements of the project. The contractor has been instructed to mobilize the remaining workforce at the earliest. Only 6 masons are available on site for masonry work, which is targeted for 10 nos.</t>
  </si>
  <si>
    <t>Mitigate</t>
  </si>
  <si>
    <t>The shortage of manpower at the site is likely to cause significant delays in executing scheduled project activities, disrupting the overall project timeline. This may lead to resource mismanagement, reduced work efficiency, and a cascading impact on dependent tasks. If not resolved promptly, it can also increase project costs due to idle equipment, extended project duration, and potential contractual penalties.</t>
  </si>
  <si>
    <t xml:space="preserve">The contractor is required to immediately deploy the necessary manpower to meet current site requirements. </t>
  </si>
  <si>
    <t>Active (Ongoing)</t>
  </si>
  <si>
    <t>NA</t>
  </si>
  <si>
    <t>Cost Impact (₹)</t>
  </si>
  <si>
    <t>Row Labels</t>
  </si>
  <si>
    <t>Grand Total</t>
  </si>
  <si>
    <t>Medium</t>
  </si>
  <si>
    <t>Low</t>
  </si>
  <si>
    <t>High</t>
  </si>
  <si>
    <t xml:space="preserve">Categories </t>
  </si>
  <si>
    <t>PM</t>
  </si>
  <si>
    <t>Estimating</t>
  </si>
  <si>
    <t>Planning/ Scope</t>
  </si>
  <si>
    <t>Controlling</t>
  </si>
  <si>
    <t>Communications</t>
  </si>
  <si>
    <t>Schedule</t>
  </si>
  <si>
    <t>Risk Type</t>
  </si>
  <si>
    <t>Opportunity</t>
  </si>
  <si>
    <t>Both</t>
  </si>
  <si>
    <t>Avoid</t>
  </si>
  <si>
    <t>Transfer</t>
  </si>
  <si>
    <t>Share</t>
  </si>
  <si>
    <t>Accept</t>
  </si>
  <si>
    <t>Exploit</t>
  </si>
  <si>
    <t>Enhance</t>
  </si>
  <si>
    <t>Urgency</t>
  </si>
  <si>
    <t>Contractor</t>
  </si>
  <si>
    <t>PMC</t>
  </si>
  <si>
    <t>Designer</t>
  </si>
  <si>
    <t>MEPF Consultant</t>
  </si>
  <si>
    <t>Owner</t>
  </si>
  <si>
    <t>Not Started</t>
  </si>
  <si>
    <t>Dormant (Not Started)</t>
  </si>
  <si>
    <t>Retired (Complete)</t>
  </si>
  <si>
    <t>Completed</t>
  </si>
  <si>
    <t>Esxecution</t>
  </si>
  <si>
    <t>Numbers</t>
  </si>
  <si>
    <t>Opportunity/Threat:</t>
  </si>
  <si>
    <t>Risk identified as an opportunity in the assessment section of the risk register</t>
  </si>
  <si>
    <t>Risk identified as a threat in the assessment section of the risk register</t>
  </si>
  <si>
    <t>Risk identified as an opportunity and a threat in the assessment section of the risk register</t>
  </si>
  <si>
    <t>Response Category:</t>
  </si>
  <si>
    <t>Opportunity or Threat Response - Pick One</t>
  </si>
  <si>
    <t>Indicates that the project team has decided not to change the project plan to deal with a risk, or is unable to identify any other suitable response strategy.  It should be noted, that mitigation or transference is not necessary for all risk threats, particularly those with a small severity rating.  Judgment must be used as to whether a more rigorous (and potentially costly) response should be implemented.</t>
  </si>
  <si>
    <t>Allocates a portion of ownership of a risk threat to another party who is best able to minimize the impact and/or probability of the risks.
Allocates all or a portion of ownership of a risk opportunity to another party who is best able to maximize its probability of occurrence and increase the potential benefits if it does occur.  MnDOT and 3rd party share the benefits of the opportunity.</t>
  </si>
  <si>
    <t>Threat Response</t>
  </si>
  <si>
    <t>Seeks to reduce the probability and/or impact of a risks threat to below an acceptable threshold.</t>
  </si>
  <si>
    <t>Allocates all ownership of a risk threat to another party who is best able to minimize the impact and/or probability of the risk.</t>
  </si>
  <si>
    <t xml:space="preserve">Involves changing the project plan to eliminate the risk threat or to protect the project objectives from its impact. </t>
  </si>
  <si>
    <t>Opportunity Response</t>
  </si>
  <si>
    <t>Seeks to modify the “size” of a risk opportunity by increasing its probability and/or impact thereby maximizing benefits realized for the project.</t>
  </si>
  <si>
    <t>Seeks to eliminate the uncertainty associated with a particular upside risk by making the risk opportunity definitely happen - can be considered a more rigorous response than "enhance".</t>
  </si>
  <si>
    <t>Status:</t>
  </si>
  <si>
    <t>Active (Not Started)</t>
  </si>
  <si>
    <t>Risk is being actively monitored and controlled, but the response plan has not been initiated.</t>
  </si>
  <si>
    <t>Risk is being actively monitored and controlled, and the response plan is currently being implemented.</t>
  </si>
  <si>
    <t>Active (Complete)</t>
  </si>
  <si>
    <t>The risk is still being being actively monitored and controlled; however all work on the response plan is complete.</t>
  </si>
  <si>
    <t>Risk is not currently a high priority, but may become active in the future</t>
  </si>
  <si>
    <t>Risk is no longer a threat to project objectives</t>
  </si>
  <si>
    <t>Count of #</t>
  </si>
  <si>
    <t>Execution</t>
  </si>
  <si>
    <t>Sum of Severity (Priority)</t>
  </si>
  <si>
    <t>Med- Low</t>
  </si>
  <si>
    <t>Med</t>
  </si>
  <si>
    <t>Med- High</t>
  </si>
  <si>
    <t>Probability</t>
  </si>
  <si>
    <t>Consequence</t>
  </si>
  <si>
    <t>Manpower Shortage</t>
  </si>
  <si>
    <t>Manpower Opportunity</t>
  </si>
  <si>
    <t>R1</t>
  </si>
  <si>
    <t>R2</t>
  </si>
  <si>
    <t>R3</t>
  </si>
  <si>
    <t>R4</t>
  </si>
  <si>
    <t>R5</t>
  </si>
  <si>
    <t>R6</t>
  </si>
  <si>
    <t>R7</t>
  </si>
  <si>
    <t>R8</t>
  </si>
  <si>
    <t>R9</t>
  </si>
  <si>
    <t>R10</t>
  </si>
  <si>
    <t>R11</t>
  </si>
  <si>
    <t>R12</t>
  </si>
  <si>
    <t>R13</t>
  </si>
  <si>
    <t>R14</t>
  </si>
  <si>
    <t>R15</t>
  </si>
  <si>
    <t>R16</t>
  </si>
  <si>
    <t>R17</t>
  </si>
  <si>
    <t>R18</t>
  </si>
  <si>
    <t>R19</t>
  </si>
  <si>
    <t>R20</t>
  </si>
  <si>
    <t>R21</t>
  </si>
  <si>
    <t>R22</t>
  </si>
  <si>
    <t>R23</t>
  </si>
  <si>
    <t>R24</t>
  </si>
  <si>
    <t>R25</t>
  </si>
  <si>
    <t>R26</t>
  </si>
  <si>
    <t>R27</t>
  </si>
  <si>
    <t>R28</t>
  </si>
  <si>
    <t>R29</t>
  </si>
  <si>
    <t>R30</t>
  </si>
  <si>
    <t>Risk Assessment Dashboard - Project # - Date 31-12-2025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</si>
</sst>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 &quot;₹&quot;\ * #,##0.00_ ;_ &quot;₹&quot;\ * \-#,##0.00_ ;_ &quot;₹&quot;\ * &quot;-&quot;??_ ;_ @_ "/>
    <numFmt numFmtId="164" formatCode="mm/dd/yy;@"/>
    <numFmt numFmtId="165" formatCode="&quot;₹&quot;\ #,##0.00"/>
  </numFmts>
  <fonts count="29" x14ac:knownFonts="1">
    <font>
      <sz val="11"/>
      <color theme="1"/>
      <name val="Aptos Narrow"/>
      <family val="2"/>
      <scheme val="minor"/>
    </font>
    <font>
      <sz val="11"/>
      <color theme="1"/>
      <name val="Aptos Narrow"/>
      <family val="2"/>
      <scheme val="minor"/>
    </font>
    <font>
      <sz val="11"/>
      <color theme="0"/>
      <name val="Aptos Narrow"/>
      <family val="2"/>
      <scheme val="minor"/>
    </font>
    <font>
      <sz val="11"/>
      <color theme="8" tint="-0.499984740745262"/>
      <name val="Aptos Narrow"/>
      <family val="2"/>
      <scheme val="minor"/>
    </font>
    <font>
      <b/>
      <sz val="22"/>
      <color theme="8" tint="-0.499984740745262"/>
      <name val="Aptos Display"/>
      <family val="2"/>
      <scheme val="major"/>
    </font>
    <font>
      <sz val="16"/>
      <color theme="8" tint="-0.499984740745262"/>
      <name val="Aptos Narrow"/>
      <family val="2"/>
      <scheme val="minor"/>
    </font>
    <font>
      <sz val="10"/>
      <color theme="0"/>
      <name val="Aptos Narrow"/>
      <family val="2"/>
      <scheme val="minor"/>
    </font>
    <font>
      <b/>
      <sz val="12"/>
      <color theme="1"/>
      <name val="Arial"/>
      <family val="2"/>
    </font>
    <font>
      <b/>
      <sz val="14"/>
      <color theme="1"/>
      <name val="Arial"/>
      <family val="2"/>
    </font>
    <font>
      <sz val="10"/>
      <color theme="1"/>
      <name val="Arial"/>
      <family val="2"/>
    </font>
    <font>
      <sz val="12"/>
      <color theme="1"/>
      <name val="Aptos Narrow"/>
      <family val="2"/>
      <scheme val="minor"/>
    </font>
    <font>
      <sz val="12"/>
      <color theme="0"/>
      <name val="Aptos Narrow"/>
      <family val="2"/>
      <scheme val="minor"/>
    </font>
    <font>
      <sz val="28"/>
      <color theme="0"/>
      <name val="Aptos Display"/>
      <family val="2"/>
      <scheme val="major"/>
    </font>
    <font>
      <b/>
      <sz val="19"/>
      <color theme="0"/>
      <name val="Aptos Narrow"/>
      <family val="2"/>
      <scheme val="minor"/>
    </font>
    <font>
      <sz val="13"/>
      <color theme="0"/>
      <name val="Aptos Narrow"/>
      <family val="2"/>
      <scheme val="minor"/>
    </font>
    <font>
      <sz val="12"/>
      <color theme="1" tint="0.34998626667073579"/>
      <name val="Aptos Narrow"/>
      <family val="2"/>
      <scheme val="minor"/>
    </font>
    <font>
      <b/>
      <sz val="16"/>
      <color theme="0"/>
      <name val="Aptos Narrow"/>
      <family val="2"/>
      <scheme val="minor"/>
    </font>
    <font>
      <b/>
      <sz val="16"/>
      <color theme="4"/>
      <name val="Aptos Narrow"/>
      <family val="2"/>
      <scheme val="minor"/>
    </font>
    <font>
      <b/>
      <sz val="16"/>
      <color theme="6"/>
      <name val="Aptos Narrow"/>
      <family val="2"/>
      <scheme val="minor"/>
    </font>
    <font>
      <b/>
      <sz val="12"/>
      <color theme="1" tint="4.9989318521683403E-2"/>
      <name val="Arial"/>
      <family val="2"/>
    </font>
    <font>
      <b/>
      <sz val="11"/>
      <color theme="1"/>
      <name val="Aptos Narrow"/>
      <family val="2"/>
      <scheme val="minor"/>
    </font>
    <font>
      <i/>
      <sz val="11"/>
      <color theme="1"/>
      <name val="Aptos Narrow"/>
      <family val="2"/>
      <scheme val="minor"/>
    </font>
    <font>
      <b/>
      <u/>
      <sz val="11"/>
      <color theme="1"/>
      <name val="Aptos Narrow"/>
      <family val="2"/>
      <scheme val="minor"/>
    </font>
    <font>
      <b/>
      <sz val="18"/>
      <color theme="0"/>
      <name val="Arial"/>
      <family val="2"/>
    </font>
    <font>
      <sz val="8"/>
      <color theme="1"/>
      <name val="Arial"/>
      <family val="2"/>
    </font>
    <font>
      <sz val="11"/>
      <color theme="1"/>
      <name val="Arial"/>
      <family val="2"/>
    </font>
    <font>
      <b/>
      <vertAlign val="superscript"/>
      <sz val="14"/>
      <color theme="1"/>
      <name val="Aptos Narrow"/>
      <family val="2"/>
      <scheme val="minor"/>
    </font>
    <font>
      <sz val="8"/>
      <name val="Aptos Narrow"/>
      <family val="2"/>
      <scheme val="minor"/>
    </font>
    <font>
      <b/>
      <sz val="16"/>
      <color theme="1"/>
      <name val="Aptos Narrow"/>
      <family val="2"/>
      <scheme val="minor"/>
    </font>
  </fonts>
  <fills count="11">
    <fill>
      <patternFill patternType="none"/>
    </fill>
    <fill>
      <patternFill patternType="gray125"/>
    </fill>
    <fill>
      <patternFill patternType="solid">
        <fgColor theme="1" tint="0.34998626667073579"/>
        <bgColor indexed="64"/>
      </patternFill>
    </fill>
    <fill>
      <patternFill patternType="solid">
        <fgColor theme="1" tint="0.14996795556505021"/>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0" tint="-0.14999847407452621"/>
        <bgColor indexed="64"/>
      </patternFill>
    </fill>
    <fill>
      <patternFill patternType="solid">
        <fgColor theme="4" tint="-0.499984740745262"/>
        <bgColor indexed="64"/>
      </patternFill>
    </fill>
    <fill>
      <patternFill patternType="solid">
        <fgColor rgb="FFFFFF99"/>
        <bgColor indexed="64"/>
      </patternFill>
    </fill>
    <fill>
      <patternFill patternType="solid">
        <fgColor theme="0"/>
        <bgColor indexed="64"/>
      </patternFill>
    </fill>
    <fill>
      <patternFill patternType="solid">
        <fgColor rgb="FFFF8181"/>
        <bgColor indexed="64"/>
      </patternFill>
    </fill>
  </fills>
  <borders count="52">
    <border>
      <left/>
      <right/>
      <top/>
      <bottom/>
      <diagonal/>
    </border>
    <border>
      <left/>
      <right/>
      <top style="thin">
        <color theme="8"/>
      </top>
      <bottom style="medium">
        <color theme="8"/>
      </bottom>
      <diagonal/>
    </border>
    <border>
      <left/>
      <right style="thin">
        <color theme="8" tint="0.79998168889431442"/>
      </right>
      <top style="medium">
        <color theme="8"/>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right/>
      <top style="thick">
        <color theme="1" tint="0.499984740745262"/>
      </top>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thin">
        <color indexed="64"/>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s>
  <cellStyleXfs count="21">
    <xf numFmtId="0" fontId="0" fillId="0" borderId="0"/>
    <xf numFmtId="0" fontId="2" fillId="0" borderId="0"/>
    <xf numFmtId="0" fontId="3" fillId="0" borderId="0"/>
    <xf numFmtId="0" fontId="4" fillId="0" borderId="0" applyNumberFormat="0" applyFill="0" applyBorder="0" applyAlignment="0" applyProtection="0"/>
    <xf numFmtId="14" fontId="3" fillId="0" borderId="0" applyFill="0" applyBorder="0">
      <alignment horizontal="center" vertical="center"/>
    </xf>
    <xf numFmtId="0" fontId="3" fillId="0" borderId="0" applyNumberFormat="0" applyFill="0" applyProtection="0">
      <alignment horizontal="right" vertical="center" indent="1"/>
    </xf>
    <xf numFmtId="0" fontId="5" fillId="0" borderId="1" applyNumberFormat="0" applyFill="0" applyProtection="0"/>
    <xf numFmtId="0" fontId="6" fillId="2" borderId="2" applyNumberFormat="0" applyProtection="0">
      <alignment horizontal="center" vertical="center"/>
    </xf>
    <xf numFmtId="9" fontId="1" fillId="0" borderId="0" applyFont="0" applyFill="0" applyBorder="0" applyProtection="0">
      <alignment horizontal="center" vertical="center"/>
    </xf>
    <xf numFmtId="37" fontId="1" fillId="0" borderId="0" applyFont="0" applyFill="0" applyBorder="0" applyProtection="0">
      <alignment horizontal="center" vertical="center"/>
    </xf>
    <xf numFmtId="44" fontId="1" fillId="0" borderId="0" applyFont="0" applyFill="0" applyBorder="0" applyAlignment="0" applyProtection="0"/>
    <xf numFmtId="9" fontId="1" fillId="0" borderId="0" applyFont="0" applyFill="0" applyBorder="0" applyAlignment="0" applyProtection="0"/>
    <xf numFmtId="0" fontId="11" fillId="2" borderId="0">
      <alignment horizontal="left" vertical="center" wrapText="1" indent="1"/>
    </xf>
    <xf numFmtId="0" fontId="12" fillId="3" borderId="12">
      <alignment horizontal="left" vertical="center" wrapText="1"/>
    </xf>
    <xf numFmtId="0" fontId="13" fillId="3" borderId="12">
      <alignment horizontal="left"/>
    </xf>
    <xf numFmtId="0" fontId="14" fillId="3" borderId="0">
      <alignment horizontal="left" vertical="top"/>
    </xf>
    <xf numFmtId="14" fontId="1" fillId="0" borderId="0" applyFont="0" applyFill="0" applyBorder="0" applyAlignment="0" applyProtection="0"/>
    <xf numFmtId="0" fontId="15" fillId="2" borderId="0"/>
    <xf numFmtId="0" fontId="16" fillId="0" borderId="0" applyNumberFormat="0" applyFill="0" applyBorder="0" applyAlignment="0"/>
    <xf numFmtId="0" fontId="17" fillId="0" borderId="0" applyNumberFormat="0" applyFill="0" applyAlignment="0" applyProtection="0"/>
    <xf numFmtId="0" fontId="18" fillId="0" borderId="0" applyNumberFormat="0" applyFill="0" applyBorder="0" applyAlignment="0" applyProtection="0"/>
  </cellStyleXfs>
  <cellXfs count="124">
    <xf numFmtId="0" fontId="0" fillId="0" borderId="0" xfId="0"/>
    <xf numFmtId="0" fontId="7" fillId="0" borderId="0" xfId="0" applyFont="1" applyAlignment="1">
      <alignment vertical="center"/>
    </xf>
    <xf numFmtId="0" fontId="8" fillId="0" borderId="0" xfId="0" applyFont="1" applyAlignment="1">
      <alignment horizontal="center" vertical="center" wrapText="1"/>
    </xf>
    <xf numFmtId="164" fontId="9" fillId="0" borderId="6" xfId="0" applyNumberFormat="1" applyFont="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vertical="center" wrapText="1"/>
    </xf>
    <xf numFmtId="0" fontId="10" fillId="0" borderId="0" xfId="0" applyFont="1" applyAlignment="1">
      <alignment horizontal="center" vertical="center" textRotation="90"/>
    </xf>
    <xf numFmtId="49" fontId="9" fillId="0" borderId="6" xfId="0" quotePrefix="1" applyNumberFormat="1" applyFont="1" applyBorder="1" applyAlignment="1">
      <alignment horizontal="center" vertical="center" wrapText="1"/>
    </xf>
    <xf numFmtId="0" fontId="9" fillId="0" borderId="7" xfId="0" applyFont="1" applyBorder="1" applyAlignment="1">
      <alignment horizontal="center" vertical="center"/>
    </xf>
    <xf numFmtId="9" fontId="9" fillId="0" borderId="7" xfId="11" applyFont="1" applyFill="1" applyBorder="1" applyAlignment="1" applyProtection="1">
      <alignment horizontal="center" vertical="center"/>
    </xf>
    <xf numFmtId="165" fontId="9" fillId="0" borderId="7" xfId="10" quotePrefix="1" applyNumberFormat="1" applyFont="1" applyFill="1" applyBorder="1" applyAlignment="1" applyProtection="1">
      <alignment horizontal="center" vertical="center" wrapText="1"/>
    </xf>
    <xf numFmtId="0" fontId="9" fillId="0" borderId="7" xfId="10" quotePrefix="1" applyNumberFormat="1" applyFont="1" applyFill="1" applyBorder="1" applyAlignment="1" applyProtection="1">
      <alignment horizontal="center" vertical="center" wrapText="1"/>
    </xf>
    <xf numFmtId="0" fontId="9" fillId="0" borderId="7" xfId="0" applyFont="1" applyBorder="1" applyAlignment="1">
      <alignment horizontal="center" vertical="center" wrapText="1"/>
    </xf>
    <xf numFmtId="49" fontId="9" fillId="0" borderId="7" xfId="0" applyNumberFormat="1" applyFont="1" applyBorder="1" applyAlignment="1">
      <alignment horizontal="left" vertical="center" wrapText="1"/>
    </xf>
    <xf numFmtId="49" fontId="9" fillId="0" borderId="7" xfId="0" quotePrefix="1" applyNumberFormat="1" applyFont="1" applyBorder="1" applyAlignment="1">
      <alignment horizontal="left" vertical="center" wrapText="1"/>
    </xf>
    <xf numFmtId="49" fontId="9" fillId="0" borderId="7" xfId="0" quotePrefix="1" applyNumberFormat="1" applyFont="1" applyBorder="1" applyAlignment="1">
      <alignment horizontal="center" vertical="center" wrapText="1"/>
    </xf>
    <xf numFmtId="49" fontId="9" fillId="0" borderId="7" xfId="0" quotePrefix="1" applyNumberFormat="1" applyFont="1" applyBorder="1" applyAlignment="1">
      <alignment vertical="center" wrapText="1"/>
    </xf>
    <xf numFmtId="0" fontId="0" fillId="0" borderId="0" xfId="0" pivotButton="1"/>
    <xf numFmtId="0" fontId="0" fillId="0" borderId="0" xfId="0" applyAlignment="1">
      <alignment horizontal="left"/>
    </xf>
    <xf numFmtId="164" fontId="9" fillId="0" borderId="7" xfId="0" applyNumberFormat="1" applyFont="1" applyBorder="1" applyAlignment="1">
      <alignment horizontal="center" vertical="center" wrapText="1"/>
    </xf>
    <xf numFmtId="0" fontId="0" fillId="0" borderId="16" xfId="0" applyBorder="1"/>
    <xf numFmtId="0" fontId="0" fillId="0" borderId="20" xfId="0" applyBorder="1"/>
    <xf numFmtId="0" fontId="0" fillId="0" borderId="17" xfId="0" applyBorder="1"/>
    <xf numFmtId="0" fontId="0" fillId="0" borderId="21" xfId="0" applyBorder="1"/>
    <xf numFmtId="0" fontId="0" fillId="0" borderId="23" xfId="0" applyBorder="1"/>
    <xf numFmtId="0" fontId="0" fillId="0" borderId="24" xfId="0" applyBorder="1"/>
    <xf numFmtId="0" fontId="0" fillId="0" borderId="6" xfId="0" applyBorder="1"/>
    <xf numFmtId="0" fontId="0" fillId="0" borderId="25" xfId="0" applyBorder="1"/>
    <xf numFmtId="0" fontId="0" fillId="0" borderId="26" xfId="0" applyBorder="1"/>
    <xf numFmtId="0" fontId="0" fillId="0" borderId="27" xfId="0" applyBorder="1"/>
    <xf numFmtId="0" fontId="0" fillId="0" borderId="28" xfId="0" applyBorder="1"/>
    <xf numFmtId="0" fontId="0" fillId="0" borderId="29" xfId="0" applyBorder="1"/>
    <xf numFmtId="0" fontId="0" fillId="0" borderId="19" xfId="0" applyBorder="1"/>
    <xf numFmtId="49" fontId="21" fillId="0" borderId="25" xfId="0" applyNumberFormat="1" applyFont="1" applyBorder="1" applyAlignment="1">
      <alignment horizontal="left" vertical="center" indent="2"/>
    </xf>
    <xf numFmtId="0" fontId="0" fillId="0" borderId="20" xfId="0" applyBorder="1" applyAlignment="1">
      <alignment horizontal="left"/>
    </xf>
    <xf numFmtId="49" fontId="21" fillId="0" borderId="27" xfId="0" applyNumberFormat="1" applyFont="1" applyBorder="1" applyAlignment="1">
      <alignment horizontal="left" vertical="center" indent="2"/>
    </xf>
    <xf numFmtId="49" fontId="21" fillId="0" borderId="32" xfId="0" applyNumberFormat="1" applyFont="1" applyBorder="1" applyAlignment="1">
      <alignment horizontal="left" vertical="center" indent="2"/>
    </xf>
    <xf numFmtId="49" fontId="21" fillId="0" borderId="33" xfId="0" applyNumberFormat="1" applyFont="1" applyBorder="1" applyAlignment="1">
      <alignment horizontal="left" vertical="center" indent="2"/>
    </xf>
    <xf numFmtId="49" fontId="22" fillId="5" borderId="15" xfId="0" applyNumberFormat="1" applyFont="1" applyFill="1" applyBorder="1" applyAlignment="1">
      <alignment vertical="center"/>
    </xf>
    <xf numFmtId="49" fontId="22" fillId="5" borderId="13" xfId="0" applyNumberFormat="1" applyFont="1" applyFill="1" applyBorder="1" applyAlignment="1">
      <alignment vertical="center" wrapText="1"/>
    </xf>
    <xf numFmtId="49" fontId="20" fillId="5" borderId="13" xfId="0" applyNumberFormat="1" applyFont="1" applyFill="1" applyBorder="1" applyAlignment="1">
      <alignment vertical="center" wrapText="1"/>
    </xf>
    <xf numFmtId="49" fontId="20" fillId="5" borderId="15" xfId="0" applyNumberFormat="1" applyFont="1" applyFill="1" applyBorder="1" applyAlignment="1">
      <alignment vertical="center"/>
    </xf>
    <xf numFmtId="0" fontId="0" fillId="4" borderId="18" xfId="0" applyFill="1" applyBorder="1"/>
    <xf numFmtId="0" fontId="0" fillId="4" borderId="19" xfId="0" applyFill="1" applyBorder="1"/>
    <xf numFmtId="0" fontId="0" fillId="0" borderId="22" xfId="0" applyBorder="1"/>
    <xf numFmtId="0" fontId="20" fillId="0" borderId="31" xfId="0" applyFont="1" applyBorder="1"/>
    <xf numFmtId="0" fontId="20" fillId="0" borderId="34" xfId="0" applyFont="1" applyBorder="1"/>
    <xf numFmtId="0" fontId="20" fillId="0" borderId="35" xfId="0" applyFont="1" applyBorder="1"/>
    <xf numFmtId="0" fontId="0" fillId="0" borderId="31" xfId="0" applyBorder="1" applyAlignment="1">
      <alignment vertical="center"/>
    </xf>
    <xf numFmtId="0" fontId="0" fillId="0" borderId="25" xfId="0" applyBorder="1" applyAlignment="1">
      <alignment vertical="center"/>
    </xf>
    <xf numFmtId="0" fontId="0" fillId="0" borderId="27" xfId="0" applyBorder="1" applyAlignment="1">
      <alignment vertical="center"/>
    </xf>
    <xf numFmtId="0" fontId="19" fillId="6" borderId="8" xfId="0" applyFont="1" applyFill="1" applyBorder="1" applyAlignment="1">
      <alignment horizontal="center" vertical="center" wrapText="1"/>
    </xf>
    <xf numFmtId="0" fontId="19" fillId="6" borderId="9" xfId="0" applyFont="1" applyFill="1" applyBorder="1" applyAlignment="1">
      <alignment horizontal="center" vertical="center" textRotation="90" wrapText="1"/>
    </xf>
    <xf numFmtId="0" fontId="19" fillId="6" borderId="9" xfId="0" applyFont="1" applyFill="1" applyBorder="1" applyAlignment="1">
      <alignment horizontal="center" vertical="center" wrapText="1"/>
    </xf>
    <xf numFmtId="0" fontId="19" fillId="6" borderId="10" xfId="0" applyFont="1" applyFill="1" applyBorder="1" applyAlignment="1">
      <alignment horizontal="center" vertical="center" wrapText="1"/>
    </xf>
    <xf numFmtId="0" fontId="19" fillId="6" borderId="8" xfId="0" applyFont="1" applyFill="1" applyBorder="1" applyAlignment="1">
      <alignment horizontal="center" vertical="center" textRotation="90" wrapText="1"/>
    </xf>
    <xf numFmtId="0" fontId="19" fillId="6" borderId="11" xfId="0" applyFont="1" applyFill="1" applyBorder="1" applyAlignment="1">
      <alignment horizontal="center" vertical="center" textRotation="90" wrapText="1"/>
    </xf>
    <xf numFmtId="0" fontId="19" fillId="6" borderId="10" xfId="0" applyFont="1" applyFill="1" applyBorder="1" applyAlignment="1">
      <alignment horizontal="center" vertical="center" textRotation="90" wrapText="1"/>
    </xf>
    <xf numFmtId="0" fontId="19" fillId="6" borderId="14" xfId="0" applyFont="1" applyFill="1" applyBorder="1" applyAlignment="1">
      <alignment horizontal="center" vertical="center" textRotation="90" wrapText="1"/>
    </xf>
    <xf numFmtId="0" fontId="19" fillId="6" borderId="11" xfId="0" applyFont="1" applyFill="1" applyBorder="1" applyAlignment="1">
      <alignment horizontal="center" vertical="center" wrapText="1"/>
    </xf>
    <xf numFmtId="0" fontId="19" fillId="6" borderId="14" xfId="0" applyFont="1" applyFill="1" applyBorder="1" applyAlignment="1">
      <alignment horizontal="center" vertical="center" wrapText="1"/>
    </xf>
    <xf numFmtId="0" fontId="19" fillId="6" borderId="13" xfId="0" applyFont="1" applyFill="1" applyBorder="1" applyAlignment="1">
      <alignment horizontal="center" vertical="center" wrapText="1"/>
    </xf>
    <xf numFmtId="0" fontId="23" fillId="7" borderId="4" xfId="0" applyFont="1" applyFill="1" applyBorder="1" applyAlignment="1">
      <alignment horizontal="center" vertical="center"/>
    </xf>
    <xf numFmtId="0" fontId="23" fillId="7" borderId="3" xfId="0" applyFont="1" applyFill="1" applyBorder="1" applyAlignment="1">
      <alignment vertical="center"/>
    </xf>
    <xf numFmtId="0" fontId="0" fillId="0" borderId="0" xfId="0" applyAlignment="1">
      <alignment horizontal="center"/>
    </xf>
    <xf numFmtId="0" fontId="24" fillId="0" borderId="37" xfId="0" applyFont="1" applyBorder="1" applyAlignment="1">
      <alignment horizontal="center"/>
    </xf>
    <xf numFmtId="0" fontId="24" fillId="8" borderId="38" xfId="0" applyFont="1" applyFill="1" applyBorder="1" applyAlignment="1">
      <alignment horizontal="center"/>
    </xf>
    <xf numFmtId="0" fontId="24" fillId="0" borderId="39" xfId="0" applyFont="1" applyBorder="1" applyAlignment="1">
      <alignment horizontal="center"/>
    </xf>
    <xf numFmtId="0" fontId="24" fillId="0" borderId="40" xfId="0" applyFont="1" applyBorder="1" applyAlignment="1">
      <alignment horizontal="center"/>
    </xf>
    <xf numFmtId="0" fontId="24" fillId="0" borderId="14" xfId="0" applyFont="1" applyBorder="1" applyAlignment="1">
      <alignment horizontal="center"/>
    </xf>
    <xf numFmtId="0" fontId="24" fillId="0" borderId="41" xfId="0" applyFont="1" applyBorder="1" applyAlignment="1">
      <alignment horizontal="center"/>
    </xf>
    <xf numFmtId="0" fontId="24" fillId="0" borderId="36" xfId="0" applyFont="1" applyBorder="1" applyAlignment="1">
      <alignment horizontal="center"/>
    </xf>
    <xf numFmtId="0" fontId="24" fillId="0" borderId="13" xfId="0" applyFont="1" applyBorder="1" applyAlignment="1">
      <alignment horizontal="center"/>
    </xf>
    <xf numFmtId="0" fontId="25" fillId="0" borderId="0" xfId="0" applyFont="1"/>
    <xf numFmtId="0" fontId="25" fillId="0" borderId="0" xfId="0" applyFont="1" applyAlignment="1">
      <alignment horizontal="centerContinuous"/>
    </xf>
    <xf numFmtId="0" fontId="24" fillId="0" borderId="0" xfId="0" applyFont="1" applyAlignment="1">
      <alignment horizontal="center"/>
    </xf>
    <xf numFmtId="0" fontId="0" fillId="9" borderId="0" xfId="0" applyFill="1"/>
    <xf numFmtId="0" fontId="0" fillId="9" borderId="19" xfId="0" applyFill="1" applyBorder="1"/>
    <xf numFmtId="0" fontId="0" fillId="9" borderId="42" xfId="0" applyFill="1" applyBorder="1"/>
    <xf numFmtId="0" fontId="0" fillId="9" borderId="20" xfId="0" applyFill="1" applyBorder="1"/>
    <xf numFmtId="0" fontId="0" fillId="9" borderId="43" xfId="0" applyFill="1" applyBorder="1"/>
    <xf numFmtId="0" fontId="0" fillId="9" borderId="17" xfId="0" applyFill="1" applyBorder="1"/>
    <xf numFmtId="0" fontId="0" fillId="9" borderId="21" xfId="0" applyFill="1" applyBorder="1"/>
    <xf numFmtId="0" fontId="0" fillId="9" borderId="46" xfId="0" applyFill="1" applyBorder="1"/>
    <xf numFmtId="0" fontId="0" fillId="9" borderId="48" xfId="0" applyFill="1" applyBorder="1"/>
    <xf numFmtId="0" fontId="0" fillId="9" borderId="51" xfId="0" applyFill="1" applyBorder="1"/>
    <xf numFmtId="0" fontId="0" fillId="9" borderId="44" xfId="0" applyFill="1" applyBorder="1"/>
    <xf numFmtId="0" fontId="0" fillId="9" borderId="45" xfId="0" applyFill="1" applyBorder="1"/>
    <xf numFmtId="0" fontId="0" fillId="9" borderId="47" xfId="0" applyFill="1" applyBorder="1"/>
    <xf numFmtId="0" fontId="0" fillId="9" borderId="49" xfId="0" applyFill="1" applyBorder="1"/>
    <xf numFmtId="0" fontId="0" fillId="9" borderId="50" xfId="0" applyFill="1" applyBorder="1"/>
    <xf numFmtId="0" fontId="25" fillId="0" borderId="0" xfId="0" applyFont="1" applyAlignment="1">
      <alignment horizontal="center"/>
    </xf>
    <xf numFmtId="0" fontId="26" fillId="0" borderId="6" xfId="0" applyFont="1" applyBorder="1" applyAlignment="1">
      <alignment horizontal="center" vertical="center" wrapText="1"/>
    </xf>
    <xf numFmtId="0" fontId="25" fillId="0" borderId="20" xfId="0" applyFont="1" applyBorder="1" applyAlignment="1">
      <alignment horizontal="center" vertical="center" textRotation="90"/>
    </xf>
    <xf numFmtId="0" fontId="25" fillId="0" borderId="16" xfId="0" applyFont="1" applyBorder="1" applyAlignment="1">
      <alignment horizontal="center"/>
    </xf>
    <xf numFmtId="0" fontId="28" fillId="10" borderId="18" xfId="0" applyFont="1" applyFill="1" applyBorder="1" applyAlignment="1">
      <alignment horizontal="center" vertical="center"/>
    </xf>
    <xf numFmtId="0" fontId="28" fillId="10" borderId="16" xfId="0" applyFont="1" applyFill="1" applyBorder="1" applyAlignment="1">
      <alignment horizontal="center" vertical="center"/>
    </xf>
    <xf numFmtId="0" fontId="28" fillId="10" borderId="19" xfId="0" applyFont="1" applyFill="1" applyBorder="1" applyAlignment="1">
      <alignment horizontal="center" vertical="center"/>
    </xf>
    <xf numFmtId="0" fontId="28" fillId="10" borderId="43" xfId="0" applyFont="1" applyFill="1" applyBorder="1" applyAlignment="1">
      <alignment horizontal="center" vertical="center"/>
    </xf>
    <xf numFmtId="0" fontId="28" fillId="10" borderId="17" xfId="0" applyFont="1" applyFill="1" applyBorder="1" applyAlignment="1">
      <alignment horizontal="center" vertical="center"/>
    </xf>
    <xf numFmtId="0" fontId="28" fillId="10" borderId="21" xfId="0" applyFont="1" applyFill="1" applyBorder="1" applyAlignment="1">
      <alignment horizontal="center" vertical="center"/>
    </xf>
    <xf numFmtId="0" fontId="23" fillId="7" borderId="3" xfId="0" applyFont="1" applyFill="1" applyBorder="1" applyAlignment="1">
      <alignment horizontal="center" vertical="center"/>
    </xf>
    <xf numFmtId="0" fontId="23" fillId="7" borderId="4" xfId="0" applyFont="1" applyFill="1" applyBorder="1" applyAlignment="1">
      <alignment horizontal="center" vertical="center"/>
    </xf>
    <xf numFmtId="0" fontId="23" fillId="7" borderId="3" xfId="0" applyFont="1" applyFill="1" applyBorder="1" applyAlignment="1">
      <alignment horizontal="center" vertical="center" wrapText="1"/>
    </xf>
    <xf numFmtId="0" fontId="23" fillId="7" borderId="4" xfId="0" applyFont="1" applyFill="1" applyBorder="1" applyAlignment="1">
      <alignment horizontal="center" vertical="center" wrapText="1"/>
    </xf>
    <xf numFmtId="0" fontId="23" fillId="7" borderId="5" xfId="0" applyFont="1" applyFill="1" applyBorder="1" applyAlignment="1">
      <alignment horizontal="center" vertical="center" wrapText="1"/>
    </xf>
    <xf numFmtId="0" fontId="0" fillId="0" borderId="28" xfId="0" applyBorder="1" applyAlignment="1">
      <alignment horizontal="left" vertical="center" wrapText="1"/>
    </xf>
    <xf numFmtId="0" fontId="0" fillId="0" borderId="29" xfId="0" applyBorder="1" applyAlignment="1">
      <alignment horizontal="left" vertical="center" wrapText="1"/>
    </xf>
    <xf numFmtId="49" fontId="22" fillId="5" borderId="3" xfId="0" applyNumberFormat="1" applyFont="1" applyFill="1" applyBorder="1" applyAlignment="1">
      <alignment vertical="center"/>
    </xf>
    <xf numFmtId="49" fontId="22" fillId="5" borderId="5" xfId="0" applyNumberFormat="1" applyFont="1" applyFill="1" applyBorder="1" applyAlignment="1">
      <alignment vertical="center"/>
    </xf>
    <xf numFmtId="49" fontId="0" fillId="0" borderId="10" xfId="0" applyNumberFormat="1" applyBorder="1" applyAlignment="1">
      <alignment horizontal="left" vertical="center" wrapText="1"/>
    </xf>
    <xf numFmtId="49" fontId="0" fillId="0" borderId="17" xfId="0" applyNumberFormat="1" applyBorder="1" applyAlignment="1">
      <alignment horizontal="left" vertical="center" wrapText="1"/>
    </xf>
    <xf numFmtId="49" fontId="0" fillId="0" borderId="21" xfId="0" applyNumberFormat="1" applyBorder="1" applyAlignment="1">
      <alignment horizontal="left" vertical="center" wrapText="1"/>
    </xf>
    <xf numFmtId="49" fontId="20" fillId="4" borderId="3" xfId="0" applyNumberFormat="1" applyFont="1" applyFill="1" applyBorder="1" applyAlignment="1">
      <alignment vertical="center" wrapText="1"/>
    </xf>
    <xf numFmtId="49" fontId="20" fillId="4" borderId="5" xfId="0" applyNumberFormat="1" applyFont="1" applyFill="1" applyBorder="1" applyAlignment="1">
      <alignment vertical="center" wrapText="1"/>
    </xf>
    <xf numFmtId="0" fontId="0" fillId="0" borderId="34" xfId="0" applyBorder="1" applyAlignment="1">
      <alignment horizontal="left" vertical="center" wrapText="1"/>
    </xf>
    <xf numFmtId="0" fontId="0" fillId="0" borderId="35" xfId="0" applyBorder="1" applyAlignment="1">
      <alignment horizontal="left" vertical="center" wrapText="1"/>
    </xf>
    <xf numFmtId="0" fontId="0" fillId="0" borderId="6" xfId="0" applyBorder="1" applyAlignment="1">
      <alignment horizontal="left" vertical="center" wrapText="1"/>
    </xf>
    <xf numFmtId="0" fontId="0" fillId="0" borderId="26" xfId="0" applyBorder="1" applyAlignment="1">
      <alignment horizontal="left" vertical="center" wrapText="1"/>
    </xf>
    <xf numFmtId="49" fontId="0" fillId="0" borderId="30" xfId="0" applyNumberFormat="1" applyBorder="1" applyAlignment="1">
      <alignment horizontal="left" vertical="center" wrapText="1"/>
    </xf>
    <xf numFmtId="49" fontId="0" fillId="0" borderId="0" xfId="0" applyNumberFormat="1" applyAlignment="1">
      <alignment horizontal="left" vertical="center" wrapText="1"/>
    </xf>
    <xf numFmtId="49" fontId="0" fillId="0" borderId="20" xfId="0" applyNumberFormat="1" applyBorder="1" applyAlignment="1">
      <alignment horizontal="left" vertical="center" wrapText="1"/>
    </xf>
  </cellXfs>
  <cellStyles count="21">
    <cellStyle name="Comma [0] 2" xfId="9" xr:uid="{C1C96DCC-0ED2-4220-BDF0-A8EC31EBA887}"/>
    <cellStyle name="Currency" xfId="10" builtinId="4"/>
    <cellStyle name="Date" xfId="4" xr:uid="{1C848E07-F934-4526-A455-AC56AF82FC6E}"/>
    <cellStyle name="Date 2" xfId="16" xr:uid="{EADB03C5-844D-4275-892A-D9EDBD347BF9}"/>
    <cellStyle name="Heading 1 2" xfId="14" xr:uid="{E93CC8EA-79FA-4D8C-AE38-2174ECE6C7A3}"/>
    <cellStyle name="Heading 2 2" xfId="6" xr:uid="{357225A7-6437-4C1E-ACB1-F147D5C7489B}"/>
    <cellStyle name="Heading 2 3" xfId="18" xr:uid="{DEC422C4-EE1D-4336-BDC9-A18CDF2D359C}"/>
    <cellStyle name="Heading 3 2" xfId="5" xr:uid="{0335BCAD-D018-4606-B1B1-70D04CDA45ED}"/>
    <cellStyle name="Heading 3 3" xfId="19" xr:uid="{0EF6568A-11CC-4B8A-9A43-7B326EE7431A}"/>
    <cellStyle name="Heading 4 2" xfId="7" xr:uid="{4A0EA9D4-D849-4E16-841A-A7D11EECFEF4}"/>
    <cellStyle name="Heading 4 3" xfId="20" xr:uid="{A958F8B7-F45B-460C-9FA8-A12ABA9EF5C2}"/>
    <cellStyle name="Input 2" xfId="15" xr:uid="{058DF54E-F3AE-463D-BBFB-42B97B0FC352}"/>
    <cellStyle name="Normal" xfId="0" builtinId="0"/>
    <cellStyle name="Normal 2" xfId="2" xr:uid="{FF711063-C0A5-495C-B719-92620DF9D743}"/>
    <cellStyle name="Normal 3" xfId="12" xr:uid="{C0051B47-0B90-4C5A-9C8E-24ABA2F1B88E}"/>
    <cellStyle name="Note 2" xfId="17" xr:uid="{2CBE05C0-D9FC-4DDB-96C1-1DFBFC04FC6A}"/>
    <cellStyle name="Percent" xfId="11" builtinId="5"/>
    <cellStyle name="Percent 2" xfId="8" xr:uid="{FD7F873B-9F9E-45D8-BBB4-C9C3B2F1959C}"/>
    <cellStyle name="Title 2" xfId="3" xr:uid="{C376E6C7-31AE-4247-8327-4BF68D890108}"/>
    <cellStyle name="Title 3" xfId="13" xr:uid="{8D5DB037-3EDC-4A75-B1ED-42FA1A988BCE}"/>
    <cellStyle name="zHiddenText" xfId="1" xr:uid="{94011067-4BB9-46A2-AC9D-C6802A8D3634}"/>
  </cellStyles>
  <dxfs count="39">
    <dxf>
      <fill>
        <patternFill>
          <bgColor rgb="FFFFC000"/>
        </patternFill>
      </fill>
    </dxf>
    <dxf>
      <fill>
        <patternFill>
          <bgColor theme="3" tint="0.749961851863155"/>
        </patternFill>
      </fill>
    </dxf>
    <dxf>
      <fill>
        <patternFill>
          <bgColor theme="9" tint="0.5999633777886288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strike val="0"/>
      </font>
      <fill>
        <patternFill>
          <bgColor theme="5" tint="0.79998168889431442"/>
        </patternFill>
      </fill>
    </dxf>
    <dxf>
      <font>
        <strike val="0"/>
      </font>
      <fill>
        <patternFill>
          <bgColor theme="5" tint="0.59996337778862885"/>
        </patternFill>
      </fill>
    </dxf>
    <dxf>
      <font>
        <strike val="0"/>
      </font>
      <fill>
        <patternFill>
          <bgColor theme="5" tint="0.39994506668294322"/>
        </patternFill>
      </fill>
    </dxf>
    <dxf>
      <font>
        <strike val="0"/>
      </font>
      <fill>
        <patternFill>
          <bgColor theme="5"/>
        </patternFill>
      </fill>
    </dxf>
    <dxf>
      <font>
        <b val="0"/>
        <i val="0"/>
        <strike val="0"/>
        <condense val="0"/>
        <extend val="0"/>
        <outline val="0"/>
        <shadow val="0"/>
        <u val="none"/>
        <vertAlign val="baseline"/>
        <sz val="24"/>
        <color theme="1"/>
        <name val="Arial"/>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4" formatCode="mm/dd/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30" formatCode="@"/>
      <alignment horizontal="center" vertical="center" textRotation="9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6" formatCode="&quot;$&quot;#,##0.0"/>
      <fill>
        <patternFill patternType="none">
          <fgColor indexed="64"/>
          <bgColor indexed="65"/>
        </patternFill>
      </fill>
      <alignment horizontal="center" vertical="center" textRotation="9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0"/>
        <color theme="1"/>
        <name val="Arial"/>
        <family val="2"/>
        <scheme val="none"/>
      </font>
      <numFmt numFmtId="166" formatCode="&quot;$&quot;#,##0.0"/>
      <fill>
        <patternFill patternType="none">
          <fgColor indexed="64"/>
          <bgColor indexed="65"/>
        </patternFill>
      </fill>
      <alignment horizontal="center" vertical="center" textRotation="9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0"/>
        <color theme="1"/>
        <name val="Arial"/>
        <family val="2"/>
        <scheme val="none"/>
      </font>
      <numFmt numFmtId="30" formatCode="@"/>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30" formatCode="@"/>
      <alignment horizontal="center" vertical="center" textRotation="9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bottom style="thin">
          <color indexed="64"/>
        </bottom>
        <vertical/>
        <horizontal/>
      </border>
      <protection locked="1" hidden="0"/>
    </dxf>
    <dxf>
      <font>
        <b val="0"/>
        <i val="0"/>
        <strike val="0"/>
        <condense val="0"/>
        <extend val="0"/>
        <outline val="0"/>
        <shadow val="0"/>
        <u val="none"/>
        <vertAlign val="baseline"/>
        <sz val="10"/>
        <color theme="1"/>
        <name val="Arial"/>
        <family val="2"/>
        <scheme val="none"/>
      </font>
      <numFmt numFmtId="0" formatCode="General"/>
      <fill>
        <patternFill patternType="none">
          <fgColor indexed="64"/>
          <bgColor indexed="65"/>
        </patternFill>
      </fill>
      <alignment horizontal="center" vertical="center" textRotation="9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0"/>
        <color theme="1"/>
        <name val="Arial"/>
        <family val="2"/>
        <scheme val="none"/>
      </font>
      <numFmt numFmtId="0" formatCode="General"/>
      <fill>
        <patternFill patternType="none">
          <fgColor indexed="64"/>
          <bgColor indexed="65"/>
        </patternFill>
      </fill>
      <alignment horizontal="center" vertical="center" textRotation="90" wrapText="1" indent="0" justifyLastLine="0" shrinkToFit="0" readingOrder="0"/>
      <border diagonalUp="0" diagonalDown="0">
        <left style="thin">
          <color indexed="64"/>
        </left>
        <right/>
        <top style="thin">
          <color indexed="64"/>
        </top>
        <bottom style="thin">
          <color indexed="64"/>
        </bottom>
        <vertical/>
        <horizontal/>
      </border>
      <protection locked="1" hidden="0"/>
    </dxf>
    <dxf>
      <font>
        <b val="0"/>
        <i val="0"/>
        <strike val="0"/>
        <condense val="0"/>
        <extend val="0"/>
        <outline val="0"/>
        <shadow val="0"/>
        <u val="none"/>
        <vertAlign val="baseline"/>
        <sz val="10"/>
        <color theme="1"/>
        <name val="Arial"/>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0"/>
        <color theme="1"/>
        <name val="Arial"/>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center"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30" formatCode="@"/>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30" formatCode="@"/>
      <alignment horizontal="center" vertical="center" textRotation="9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30" formatCode="@"/>
      <alignment horizontal="center" vertical="center" textRotation="9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medium">
          <color indexed="64"/>
        </top>
        <bottom style="thin">
          <color indexed="64"/>
        </bottom>
      </border>
    </dxf>
    <dxf>
      <font>
        <strike val="0"/>
        <outline val="0"/>
        <shadow val="0"/>
        <u val="none"/>
        <vertAlign val="baseline"/>
        <sz val="12"/>
        <color theme="1" tint="4.9989318521683403E-2"/>
        <name val="Arial"/>
        <family val="2"/>
        <scheme val="none"/>
      </font>
      <fill>
        <patternFill patternType="solid">
          <fgColor indexed="64"/>
          <bgColor theme="0" tint="-0.14999847407452621"/>
        </patternFill>
      </fill>
    </dxf>
    <dxf>
      <font>
        <color theme="0"/>
      </font>
      <fill>
        <patternFill>
          <bgColor theme="1" tint="0.14996795556505021"/>
        </patternFill>
      </fill>
      <border diagonalUp="1">
        <left style="thin">
          <color theme="1" tint="0.499984740745262"/>
        </left>
        <right style="thin">
          <color theme="1" tint="0.499984740745262"/>
        </right>
        <top style="thin">
          <color theme="1" tint="0.499984740745262"/>
        </top>
        <bottom style="thin">
          <color theme="1" tint="0.499984740745262"/>
        </bottom>
        <diagonal style="thin">
          <color theme="1" tint="0.499984740745262"/>
        </diagonal>
        <vertical style="thin">
          <color theme="1" tint="0.499984740745262"/>
        </vertical>
        <horizontal style="thin">
          <color theme="1" tint="0.499984740745262"/>
        </horizontal>
      </border>
    </dxf>
    <dxf>
      <font>
        <color theme="0"/>
      </font>
      <fill>
        <patternFill>
          <bgColor theme="1" tint="0.34998626667073579"/>
        </patternFill>
      </fill>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font>
        <b/>
        <i val="0"/>
        <color theme="0"/>
      </font>
      <fill>
        <patternFill>
          <bgColor theme="1" tint="0.14996795556505021"/>
        </patternFill>
      </fill>
    </dxf>
    <dxf>
      <border diagonalUp="0" diagonalDown="0">
        <left/>
        <right/>
        <top/>
        <bottom/>
        <vertical/>
        <horizontal/>
      </border>
    </dxf>
    <dxf>
      <border diagonalUp="0" diagonalDown="0">
        <left/>
        <right/>
        <top/>
        <bottom/>
        <vertical/>
        <horizontal/>
      </border>
    </dxf>
    <dxf>
      <fill>
        <patternFill patternType="none">
          <fgColor indexed="64"/>
          <bgColor auto="1"/>
        </patternFill>
      </fill>
      <border diagonalUp="0" diagonalDown="0">
        <left/>
        <right/>
        <top/>
        <bottom/>
        <vertical/>
        <horizontal/>
      </border>
    </dxf>
    <dxf>
      <font>
        <color theme="0"/>
      </font>
      <fill>
        <patternFill>
          <bgColor theme="1" tint="0.34998626667073579"/>
        </patternFill>
      </fill>
      <border diagonalUp="0" diagonalDown="0">
        <left/>
        <right/>
        <top/>
        <bottom/>
        <vertical/>
        <horizontal/>
      </border>
    </dxf>
    <dxf>
      <font>
        <color auto="1"/>
      </font>
      <fill>
        <patternFill>
          <bgColor theme="0" tint="-4.9989318521683403E-2"/>
        </patternFill>
      </fill>
      <border diagonalUp="0" diagonalDown="0">
        <left/>
        <right/>
        <top/>
        <bottom/>
        <vertical/>
        <horizontal/>
      </border>
    </dxf>
  </dxfs>
  <tableStyles count="2" defaultTableStyle="TableStyleMedium2" defaultPivotStyle="PivotStyleLight16">
    <tableStyle name="Gantt Table Style" pivot="0" count="5" xr9:uid="{1EA9D634-ECA9-41CA-AB83-29854D1E3CF1}">
      <tableStyleElement type="wholeTable" dxfId="38"/>
      <tableStyleElement type="headerRow" dxfId="37"/>
      <tableStyleElement type="firstRowStripe" dxfId="36"/>
      <tableStyleElement type="firstColumnStripe" dxfId="35"/>
      <tableStyleElement type="secondColumnStripe" dxfId="34"/>
    </tableStyle>
    <tableStyle name="Project Issue Tracker" pivot="0" count="3" xr9:uid="{4FDC2A83-AE3C-436D-ABB6-9B2D5F410600}">
      <tableStyleElement type="headerRow" dxfId="33"/>
      <tableStyleElement type="firstRowStripe" dxfId="32"/>
      <tableStyleElement type="secondRowStripe" dxfId="31"/>
    </tableStyle>
  </tableStyles>
  <colors>
    <mruColors>
      <color rgb="FFFF8181"/>
      <color rgb="FFFF4B2D"/>
      <color rgb="FFFFABAB"/>
      <color rgb="FFFBFDD5"/>
      <color rgb="FFE847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calcChain" Target="calcChain.xml"/><Relationship Id="rId5" Type="http://schemas.openxmlformats.org/officeDocument/2006/relationships/externalLink" Target="externalLinks/externalLink2.xml"/><Relationship Id="rId10"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[Risk Register - Dashboard.xlsx]Dashboard!PivotTable1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Risk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Dashboard!$B$80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Dashboard!$A$81:$A$88</c:f>
              <c:strCache>
                <c:ptCount val="7"/>
                <c:pt idx="0">
                  <c:v>Controlling</c:v>
                </c:pt>
                <c:pt idx="1">
                  <c:v>Planning/ Scope</c:v>
                </c:pt>
                <c:pt idx="2">
                  <c:v>Communications</c:v>
                </c:pt>
                <c:pt idx="3">
                  <c:v>Schedule</c:v>
                </c:pt>
                <c:pt idx="4">
                  <c:v>Esxecution</c:v>
                </c:pt>
                <c:pt idx="5">
                  <c:v>Execution</c:v>
                </c:pt>
                <c:pt idx="6">
                  <c:v>Estimating</c:v>
                </c:pt>
              </c:strCache>
            </c:strRef>
          </c:cat>
          <c:val>
            <c:numRef>
              <c:f>Dashboard!$B$81:$B$88</c:f>
              <c:numCache>
                <c:formatCode>General</c:formatCode>
                <c:ptCount val="7"/>
                <c:pt idx="0">
                  <c:v>5</c:v>
                </c:pt>
                <c:pt idx="1">
                  <c:v>6</c:v>
                </c:pt>
                <c:pt idx="2">
                  <c:v>6</c:v>
                </c:pt>
                <c:pt idx="3">
                  <c:v>6</c:v>
                </c:pt>
                <c:pt idx="4">
                  <c:v>5</c:v>
                </c:pt>
                <c:pt idx="5">
                  <c:v>1</c:v>
                </c:pt>
                <c:pt idx="6">
                  <c:v>1</c:v>
                </c:pt>
              </c:numCache>
            </c:numRef>
          </c:val>
          <c:extLst>
            <c:ext xmlns:c16="http://schemas.microsoft.com/office/drawing/2014/chart" uri="{C3380CC4-5D6E-409C-BE32-E72D297353CC}">
              <c16:uniqueId val="{00000021-6C2C-42ED-BD9E-16F22DF2B6A2}"/>
            </c:ext>
          </c:extLst>
        </c:ser>
        <c:dLbls>
          <c:dLblPos val="outEnd"/>
          <c:showLegendKey val="0"/>
          <c:showVal val="1"/>
          <c:showCatName val="0"/>
          <c:showSerName val="0"/>
          <c:showPercent val="0"/>
          <c:showBubbleSize val="0"/>
        </c:dLbls>
        <c:gapWidth val="219"/>
        <c:overlap val="-27"/>
        <c:axId val="701541112"/>
        <c:axId val="701539312"/>
      </c:barChart>
      <c:catAx>
        <c:axId val="701541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701539312"/>
        <c:crosses val="autoZero"/>
        <c:auto val="1"/>
        <c:lblAlgn val="ctr"/>
        <c:lblOffset val="100"/>
        <c:noMultiLvlLbl val="0"/>
      </c:catAx>
      <c:valAx>
        <c:axId val="701539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5411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[Risk Register - Dashboard.xlsx]Dashboard!PivotTable2</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Risk Vs. Opp</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barChart>
        <c:barDir val="col"/>
        <c:grouping val="clustered"/>
        <c:varyColors val="0"/>
        <c:ser>
          <c:idx val="0"/>
          <c:order val="0"/>
          <c:tx>
            <c:strRef>
              <c:f>Dashboard!$E$80</c:f>
              <c:strCache>
                <c:ptCount val="1"/>
                <c:pt idx="0">
                  <c:v>Total</c:v>
                </c:pt>
              </c:strCache>
            </c:strRef>
          </c:tx>
          <c:spPr>
            <a:solidFill>
              <a:schemeClr val="accent1"/>
            </a:solidFill>
            <a:ln>
              <a:noFill/>
            </a:ln>
            <a:effectLst/>
            <a:scene3d>
              <a:camera prst="orthographicFront"/>
              <a:lightRig rig="brightRoom" dir="t"/>
            </a:scene3d>
            <a:sp3d prstMaterial="flat">
              <a:bevelT w="50800" h="101600" prst="angle"/>
              <a:contourClr>
                <a:srgbClr val="000000"/>
              </a:contourClr>
            </a:sp3d>
          </c:spPr>
          <c:invertIfNegative val="0"/>
          <c:dPt>
            <c:idx val="0"/>
            <c:invertIfNegative val="0"/>
            <c:bubble3D val="0"/>
            <c:extLst>
              <c:ext xmlns:c16="http://schemas.microsoft.com/office/drawing/2014/chart" uri="{C3380CC4-5D6E-409C-BE32-E72D297353CC}">
                <c16:uniqueId val="{00000001-18FD-45BC-BD47-41E6461D2D61}"/>
              </c:ext>
            </c:extLst>
          </c:dPt>
          <c:dPt>
            <c:idx val="1"/>
            <c:invertIfNegative val="0"/>
            <c:bubble3D val="0"/>
            <c:extLst>
              <c:ext xmlns:c16="http://schemas.microsoft.com/office/drawing/2014/chart" uri="{C3380CC4-5D6E-409C-BE32-E72D297353CC}">
                <c16:uniqueId val="{00000003-18FD-45BC-BD47-41E6461D2D61}"/>
              </c:ext>
            </c:extLst>
          </c:dPt>
          <c:dPt>
            <c:idx val="2"/>
            <c:invertIfNegative val="0"/>
            <c:bubble3D val="0"/>
            <c:extLst>
              <c:ext xmlns:c16="http://schemas.microsoft.com/office/drawing/2014/chart" uri="{C3380CC4-5D6E-409C-BE32-E72D297353CC}">
                <c16:uniqueId val="{00000005-18FD-45BC-BD47-41E6461D2D6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Dashboard!$D$81:$D$84</c:f>
              <c:strCache>
                <c:ptCount val="3"/>
                <c:pt idx="0">
                  <c:v>Both</c:v>
                </c:pt>
                <c:pt idx="1">
                  <c:v>Opportunity</c:v>
                </c:pt>
                <c:pt idx="2">
                  <c:v>Threat</c:v>
                </c:pt>
              </c:strCache>
            </c:strRef>
          </c:cat>
          <c:val>
            <c:numRef>
              <c:f>Dashboard!$E$81:$E$84</c:f>
              <c:numCache>
                <c:formatCode>General</c:formatCode>
                <c:ptCount val="3"/>
                <c:pt idx="0">
                  <c:v>10</c:v>
                </c:pt>
                <c:pt idx="1">
                  <c:v>10</c:v>
                </c:pt>
                <c:pt idx="2">
                  <c:v>10</c:v>
                </c:pt>
              </c:numCache>
            </c:numRef>
          </c:val>
          <c:extLst>
            <c:ext xmlns:c16="http://schemas.microsoft.com/office/drawing/2014/chart" uri="{C3380CC4-5D6E-409C-BE32-E72D297353CC}">
              <c16:uniqueId val="{00000000-7724-4D72-85C9-F48E2673CE25}"/>
            </c:ext>
          </c:extLst>
        </c:ser>
        <c:dLbls>
          <c:showLegendKey val="0"/>
          <c:showVal val="0"/>
          <c:showCatName val="0"/>
          <c:showSerName val="0"/>
          <c:showPercent val="0"/>
          <c:showBubbleSize val="0"/>
        </c:dLbls>
        <c:gapWidth val="100"/>
        <c:axId val="764591584"/>
        <c:axId val="764596264"/>
      </c:barChart>
      <c:catAx>
        <c:axId val="76459158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4596264"/>
        <c:crosses val="autoZero"/>
        <c:auto val="1"/>
        <c:lblAlgn val="ctr"/>
        <c:lblOffset val="100"/>
        <c:noMultiLvlLbl val="0"/>
      </c:catAx>
      <c:valAx>
        <c:axId val="764596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45915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[Risk Register - Dashboard.xlsx]Dashboard!PivotTable53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Risk Owner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Dashboard!$E$87</c:f>
              <c:strCache>
                <c:ptCount val="1"/>
                <c:pt idx="0">
                  <c:v>Total</c:v>
                </c:pt>
              </c:strCache>
            </c:strRef>
          </c:tx>
          <c:spPr>
            <a:solidFill>
              <a:schemeClr val="accent1"/>
            </a:solidFill>
            <a:ln>
              <a:noFill/>
            </a:ln>
            <a:effectLst/>
          </c:spPr>
          <c:invertIfNegative val="0"/>
          <c:cat>
            <c:strRef>
              <c:f>Dashboard!$D$88:$D$93</c:f>
              <c:strCache>
                <c:ptCount val="5"/>
                <c:pt idx="0">
                  <c:v>Contractor</c:v>
                </c:pt>
                <c:pt idx="1">
                  <c:v>Designer</c:v>
                </c:pt>
                <c:pt idx="2">
                  <c:v>MEPF Consultant</c:v>
                </c:pt>
                <c:pt idx="3">
                  <c:v>Owner</c:v>
                </c:pt>
                <c:pt idx="4">
                  <c:v>PMC</c:v>
                </c:pt>
              </c:strCache>
            </c:strRef>
          </c:cat>
          <c:val>
            <c:numRef>
              <c:f>Dashboard!$E$88:$E$93</c:f>
              <c:numCache>
                <c:formatCode>General</c:formatCode>
                <c:ptCount val="5"/>
                <c:pt idx="0">
                  <c:v>6</c:v>
                </c:pt>
                <c:pt idx="1">
                  <c:v>6</c:v>
                </c:pt>
                <c:pt idx="2">
                  <c:v>6</c:v>
                </c:pt>
                <c:pt idx="3">
                  <c:v>6</c:v>
                </c:pt>
                <c:pt idx="4">
                  <c:v>6</c:v>
                </c:pt>
              </c:numCache>
            </c:numRef>
          </c:val>
          <c:extLst>
            <c:ext xmlns:c16="http://schemas.microsoft.com/office/drawing/2014/chart" uri="{C3380CC4-5D6E-409C-BE32-E72D297353CC}">
              <c16:uniqueId val="{0000000C-022D-4E8A-AC1A-0DA6E4AE0399}"/>
            </c:ext>
          </c:extLst>
        </c:ser>
        <c:dLbls>
          <c:showLegendKey val="0"/>
          <c:showVal val="0"/>
          <c:showCatName val="0"/>
          <c:showSerName val="0"/>
          <c:showPercent val="0"/>
          <c:showBubbleSize val="0"/>
        </c:dLbls>
        <c:gapWidth val="219"/>
        <c:axId val="764582224"/>
        <c:axId val="764593744"/>
      </c:barChart>
      <c:catAx>
        <c:axId val="7645822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4593744"/>
        <c:crosses val="autoZero"/>
        <c:auto val="1"/>
        <c:lblAlgn val="ctr"/>
        <c:lblOffset val="100"/>
        <c:noMultiLvlLbl val="0"/>
      </c:catAx>
      <c:valAx>
        <c:axId val="764593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45822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[Risk Register - Dashboard.xlsx]Dashboard!PivotTable54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Response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893048306411056E-2"/>
          <c:y val="0.17278190107494901"/>
          <c:w val="0.82872777401341158"/>
          <c:h val="0.4777129057616929"/>
        </c:manualLayout>
      </c:layout>
      <c:area3DChart>
        <c:grouping val="stacked"/>
        <c:varyColors val="0"/>
        <c:ser>
          <c:idx val="0"/>
          <c:order val="0"/>
          <c:tx>
            <c:strRef>
              <c:f>Dashboard!$C$102</c:f>
              <c:strCache>
                <c:ptCount val="1"/>
                <c:pt idx="0">
                  <c:v>Total</c:v>
                </c:pt>
              </c:strCache>
            </c:strRef>
          </c:tx>
          <c:spPr>
            <a:solidFill>
              <a:schemeClr val="accent1"/>
            </a:solidFill>
            <a:ln w="25400">
              <a:noFill/>
            </a:ln>
            <a:effectLst/>
            <a:sp3d/>
          </c:spPr>
          <c:cat>
            <c:multiLvlStrRef>
              <c:f>Dashboard!$A$103:$B$117</c:f>
              <c:multiLvlStrCache>
                <c:ptCount val="15"/>
                <c:lvl>
                  <c:pt idx="0">
                    <c:v>Accept</c:v>
                  </c:pt>
                  <c:pt idx="1">
                    <c:v>Avoid</c:v>
                  </c:pt>
                  <c:pt idx="2">
                    <c:v>Exploit</c:v>
                  </c:pt>
                  <c:pt idx="3">
                    <c:v>Mitigate</c:v>
                  </c:pt>
                  <c:pt idx="4">
                    <c:v>Share</c:v>
                  </c:pt>
                  <c:pt idx="5">
                    <c:v>Accept</c:v>
                  </c:pt>
                  <c:pt idx="6">
                    <c:v>Avoid</c:v>
                  </c:pt>
                  <c:pt idx="7">
                    <c:v>Enhance</c:v>
                  </c:pt>
                  <c:pt idx="8">
                    <c:v>Mitigate</c:v>
                  </c:pt>
                  <c:pt idx="9">
                    <c:v>Transfer</c:v>
                  </c:pt>
                  <c:pt idx="10">
                    <c:v>Accept</c:v>
                  </c:pt>
                  <c:pt idx="11">
                    <c:v>Avoid</c:v>
                  </c:pt>
                  <c:pt idx="12">
                    <c:v>Enhance</c:v>
                  </c:pt>
                  <c:pt idx="13">
                    <c:v>Exploit</c:v>
                  </c:pt>
                  <c:pt idx="14">
                    <c:v>Transfer</c:v>
                  </c:pt>
                </c:lvl>
                <c:lvl>
                  <c:pt idx="0">
                    <c:v>High</c:v>
                  </c:pt>
                  <c:pt idx="5">
                    <c:v>Low</c:v>
                  </c:pt>
                  <c:pt idx="10">
                    <c:v>Medium</c:v>
                  </c:pt>
                </c:lvl>
              </c:multiLvlStrCache>
            </c:multiLvlStrRef>
          </c:cat>
          <c:val>
            <c:numRef>
              <c:f>Dashboard!$C$103:$C$117</c:f>
              <c:numCache>
                <c:formatCode>General</c:formatCode>
                <c:ptCount val="15"/>
                <c:pt idx="0">
                  <c:v>1</c:v>
                </c:pt>
                <c:pt idx="1">
                  <c:v>3</c:v>
                </c:pt>
                <c:pt idx="2">
                  <c:v>2</c:v>
                </c:pt>
                <c:pt idx="3">
                  <c:v>3</c:v>
                </c:pt>
                <c:pt idx="4">
                  <c:v>1</c:v>
                </c:pt>
                <c:pt idx="5">
                  <c:v>1</c:v>
                </c:pt>
                <c:pt idx="6">
                  <c:v>1</c:v>
                </c:pt>
                <c:pt idx="7">
                  <c:v>1</c:v>
                </c:pt>
                <c:pt idx="8">
                  <c:v>6</c:v>
                </c:pt>
                <c:pt idx="9">
                  <c:v>1</c:v>
                </c:pt>
                <c:pt idx="10">
                  <c:v>1</c:v>
                </c:pt>
                <c:pt idx="11">
                  <c:v>1</c:v>
                </c:pt>
                <c:pt idx="12">
                  <c:v>2</c:v>
                </c:pt>
                <c:pt idx="13">
                  <c:v>2</c:v>
                </c:pt>
                <c:pt idx="14">
                  <c:v>4</c:v>
                </c:pt>
              </c:numCache>
            </c:numRef>
          </c:val>
          <c:extLst>
            <c:ext xmlns:c16="http://schemas.microsoft.com/office/drawing/2014/chart" uri="{C3380CC4-5D6E-409C-BE32-E72D297353CC}">
              <c16:uniqueId val="{00000004-6D16-4446-9C3E-18936D1E262D}"/>
            </c:ext>
          </c:extLst>
        </c:ser>
        <c:dLbls>
          <c:showLegendKey val="0"/>
          <c:showVal val="0"/>
          <c:showCatName val="0"/>
          <c:showSerName val="0"/>
          <c:showPercent val="0"/>
          <c:showBubbleSize val="0"/>
        </c:dLbls>
        <c:axId val="666767656"/>
        <c:axId val="666769456"/>
        <c:axId val="0"/>
      </c:area3DChart>
      <c:catAx>
        <c:axId val="666767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769456"/>
        <c:crosses val="autoZero"/>
        <c:auto val="1"/>
        <c:lblAlgn val="ctr"/>
        <c:lblOffset val="100"/>
        <c:noMultiLvlLbl val="0"/>
      </c:catAx>
      <c:valAx>
        <c:axId val="666769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76765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[Risk Register - Dashboard.xlsx]Dashboard!PivotTable56</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Risk Severity</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tint val="77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Dashboard!$F$102</c:f>
              <c:strCache>
                <c:ptCount val="1"/>
                <c:pt idx="0">
                  <c:v>Total</c:v>
                </c:pt>
              </c:strCache>
            </c:strRef>
          </c:tx>
          <c:dPt>
            <c:idx val="0"/>
            <c:bubble3D val="0"/>
            <c:spPr>
              <a:solidFill>
                <a:schemeClr val="accent1">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306-40A2-908E-2AC50AA1E94B}"/>
              </c:ext>
            </c:extLst>
          </c:dPt>
          <c:dPt>
            <c:idx val="1"/>
            <c:bubble3D val="0"/>
            <c:spPr>
              <a:solidFill>
                <a:schemeClr val="accent1">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306-40A2-908E-2AC50AA1E94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Dashboard!$E$103:$E$105</c:f>
              <c:strCache>
                <c:ptCount val="2"/>
                <c:pt idx="0">
                  <c:v>Manpower Opportunity</c:v>
                </c:pt>
                <c:pt idx="1">
                  <c:v>Manpower Shortage</c:v>
                </c:pt>
              </c:strCache>
            </c:strRef>
          </c:cat>
          <c:val>
            <c:numRef>
              <c:f>Dashboard!$F$103:$F$105</c:f>
              <c:numCache>
                <c:formatCode>General</c:formatCode>
                <c:ptCount val="2"/>
                <c:pt idx="0">
                  <c:v>277</c:v>
                </c:pt>
                <c:pt idx="1">
                  <c:v>250</c:v>
                </c:pt>
              </c:numCache>
            </c:numRef>
          </c:val>
          <c:extLst>
            <c:ext xmlns:c16="http://schemas.microsoft.com/office/drawing/2014/chart" uri="{C3380CC4-5D6E-409C-BE32-E72D297353CC}">
              <c16:uniqueId val="{00000000-5727-4E34-B4A0-ACAFFCA3A3D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[Risk Register - Dashboard.xlsx]Dashboard!PivotTable57</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Risk</a:t>
            </a:r>
            <a:r>
              <a:rPr lang="en-IN" baseline="0"/>
              <a:t> status</a:t>
            </a:r>
            <a:endParaRPr lang="en-IN"/>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hade val="58000"/>
            </a:schemeClr>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hade val="86000"/>
            </a:schemeClr>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tint val="86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tint val="58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Dashboard!$H$80</c:f>
              <c:strCache>
                <c:ptCount val="1"/>
                <c:pt idx="0">
                  <c:v>Total</c:v>
                </c:pt>
              </c:strCache>
            </c:strRef>
          </c:tx>
          <c:dPt>
            <c:idx val="0"/>
            <c:bubble3D val="0"/>
            <c:spPr>
              <a:solidFill>
                <a:schemeClr val="accent1">
                  <a:shade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7AF-42AC-8ADF-8455D31C090F}"/>
              </c:ext>
            </c:extLst>
          </c:dPt>
          <c:dPt>
            <c:idx val="1"/>
            <c:bubble3D val="0"/>
            <c:spPr>
              <a:solidFill>
                <a:schemeClr val="accent1">
                  <a:shade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7AF-42AC-8ADF-8455D31C090F}"/>
              </c:ext>
            </c:extLst>
          </c:dPt>
          <c:dPt>
            <c:idx val="2"/>
            <c:bubble3D val="0"/>
            <c:spPr>
              <a:solidFill>
                <a:schemeClr val="accent1">
                  <a:tint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6EB0-42B5-B402-F994CD85FC2E}"/>
              </c:ext>
            </c:extLst>
          </c:dPt>
          <c:dPt>
            <c:idx val="3"/>
            <c:bubble3D val="0"/>
            <c:spPr>
              <a:solidFill>
                <a:schemeClr val="accent1">
                  <a:tint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4-6EB0-42B5-B402-F994CD85FC2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Dashboard!$G$81:$G$85</c:f>
              <c:strCache>
                <c:ptCount val="4"/>
                <c:pt idx="0">
                  <c:v>Active (Ongoing)</c:v>
                </c:pt>
                <c:pt idx="1">
                  <c:v>Completed</c:v>
                </c:pt>
                <c:pt idx="2">
                  <c:v>Dormant (Not Started)</c:v>
                </c:pt>
                <c:pt idx="3">
                  <c:v>Not Started</c:v>
                </c:pt>
              </c:strCache>
            </c:strRef>
          </c:cat>
          <c:val>
            <c:numRef>
              <c:f>Dashboard!$H$81:$H$85</c:f>
              <c:numCache>
                <c:formatCode>General</c:formatCode>
                <c:ptCount val="4"/>
                <c:pt idx="0">
                  <c:v>8</c:v>
                </c:pt>
                <c:pt idx="1">
                  <c:v>7</c:v>
                </c:pt>
                <c:pt idx="2">
                  <c:v>7</c:v>
                </c:pt>
                <c:pt idx="3">
                  <c:v>8</c:v>
                </c:pt>
              </c:numCache>
            </c:numRef>
          </c:val>
          <c:extLst>
            <c:ext xmlns:c16="http://schemas.microsoft.com/office/drawing/2014/chart" uri="{C3380CC4-5D6E-409C-BE32-E72D297353CC}">
              <c16:uniqueId val="{00000000-6EB0-42B5-B402-F994CD85FC2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Risk Heat Map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5933648002557924E-2"/>
          <c:y val="9.1319619387031314E-2"/>
          <c:w val="0.92208670404207094"/>
          <c:h val="0.78827150583654082"/>
        </c:manualLayout>
      </c:layout>
      <c:scatterChart>
        <c:scatterStyle val="lineMarker"/>
        <c:varyColors val="0"/>
        <c:ser>
          <c:idx val="0"/>
          <c:order val="0"/>
          <c:spPr>
            <a:ln w="38100" cap="rnd">
              <a:noFill/>
              <a:round/>
            </a:ln>
            <a:effectLst/>
          </c:spPr>
          <c:marker>
            <c:symbol val="circle"/>
            <c:size val="5"/>
            <c:spPr>
              <a:solidFill>
                <a:srgbClr val="002060"/>
              </a:solidFill>
              <a:ln w="171450">
                <a:solidFill>
                  <a:schemeClr val="tx1"/>
                </a:solidFill>
              </a:ln>
              <a:effectLst/>
            </c:spPr>
          </c:marker>
          <c:dLbls>
            <c:dLbl>
              <c:idx val="0"/>
              <c:layout>
                <c:manualLayout>
                  <c:x val="3.6753680305752844E-2"/>
                  <c:y val="-8.087573014425975E-2"/>
                </c:manualLayout>
              </c:layout>
              <c:tx>
                <c:rich>
                  <a:bodyPr/>
                  <a:lstStyle/>
                  <a:p>
                    <a:fld id="{56FE7E3B-9233-4F2E-B0A6-D5672FB1A45A}"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56D6-45BD-8763-F1EF7B8A9D7C}"/>
                </c:ext>
              </c:extLst>
            </c:dLbl>
            <c:dLbl>
              <c:idx val="1"/>
              <c:layout>
                <c:manualLayout>
                  <c:x val="-1.9246900419865362E-2"/>
                  <c:y val="-5.0978805247696872E-2"/>
                </c:manualLayout>
              </c:layout>
              <c:tx>
                <c:rich>
                  <a:bodyPr/>
                  <a:lstStyle/>
                  <a:p>
                    <a:fld id="{CCCF7375-9DB8-44E6-AEA4-4A2A0107A8E5}"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56D6-45BD-8763-F1EF7B8A9D7C}"/>
                </c:ext>
              </c:extLst>
            </c:dLbl>
            <c:dLbl>
              <c:idx val="2"/>
              <c:tx>
                <c:rich>
                  <a:bodyPr/>
                  <a:lstStyle/>
                  <a:p>
                    <a:fld id="{4C542398-7C01-4A12-9DAF-459A713C8A12}"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56D6-45BD-8763-F1EF7B8A9D7C}"/>
                </c:ext>
              </c:extLst>
            </c:dLbl>
            <c:dLbl>
              <c:idx val="3"/>
              <c:layout>
                <c:manualLayout>
                  <c:x val="-5.5377895684391727E-2"/>
                  <c:y val="-3.2488821248923994E-2"/>
                </c:manualLayout>
              </c:layout>
              <c:tx>
                <c:rich>
                  <a:bodyPr/>
                  <a:lstStyle/>
                  <a:p>
                    <a:fld id="{29334D25-5C37-4C7D-908B-0EA854F52678}"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56D6-45BD-8763-F1EF7B8A9D7C}"/>
                </c:ext>
              </c:extLst>
            </c:dLbl>
            <c:dLbl>
              <c:idx val="4"/>
              <c:layout>
                <c:manualLayout>
                  <c:x val="-1.930323357926492E-2"/>
                  <c:y val="-4.5438954144199115E-2"/>
                </c:manualLayout>
              </c:layout>
              <c:tx>
                <c:rich>
                  <a:bodyPr/>
                  <a:lstStyle/>
                  <a:p>
                    <a:fld id="{7E4EF5FB-54E6-46C7-8AE1-26D1A5095670}"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56D6-45BD-8763-F1EF7B8A9D7C}"/>
                </c:ext>
              </c:extLst>
            </c:dLbl>
            <c:dLbl>
              <c:idx val="5"/>
              <c:tx>
                <c:rich>
                  <a:bodyPr/>
                  <a:lstStyle/>
                  <a:p>
                    <a:fld id="{89016513-A499-44AB-92D2-E337FBEA8749}"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56D6-45BD-8763-F1EF7B8A9D7C}"/>
                </c:ext>
              </c:extLst>
            </c:dLbl>
            <c:dLbl>
              <c:idx val="6"/>
              <c:tx>
                <c:rich>
                  <a:bodyPr/>
                  <a:lstStyle/>
                  <a:p>
                    <a:fld id="{E26A29B2-D2F2-42F6-B05E-158F94B7960B}"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56D6-45BD-8763-F1EF7B8A9D7C}"/>
                </c:ext>
              </c:extLst>
            </c:dLbl>
            <c:dLbl>
              <c:idx val="7"/>
              <c:layout>
                <c:manualLayout>
                  <c:x val="-6.984540576089443E-2"/>
                  <c:y val="-9.1687342920024326E-2"/>
                </c:manualLayout>
              </c:layout>
              <c:tx>
                <c:rich>
                  <a:bodyPr/>
                  <a:lstStyle/>
                  <a:p>
                    <a:fld id="{987B814B-05B5-4301-AF35-49A66B56E67E}"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56D6-45BD-8763-F1EF7B8A9D7C}"/>
                </c:ext>
              </c:extLst>
            </c:dLbl>
            <c:dLbl>
              <c:idx val="8"/>
              <c:layout>
                <c:manualLayout>
                  <c:x val="9.4781565382818394E-4"/>
                  <c:y val="-4.3382094382681174E-2"/>
                </c:manualLayout>
              </c:layout>
              <c:tx>
                <c:rich>
                  <a:bodyPr/>
                  <a:lstStyle/>
                  <a:p>
                    <a:fld id="{9B0BA37D-1EFD-4C8B-8B20-38FF87940F7B}"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56D6-45BD-8763-F1EF7B8A9D7C}"/>
                </c:ext>
              </c:extLst>
            </c:dLbl>
            <c:dLbl>
              <c:idx val="9"/>
              <c:layout>
                <c:manualLayout>
                  <c:x val="-4.8549255768927164E-2"/>
                  <c:y val="-3.8815392314982353E-3"/>
                </c:manualLayout>
              </c:layout>
              <c:tx>
                <c:rich>
                  <a:bodyPr/>
                  <a:lstStyle/>
                  <a:p>
                    <a:fld id="{C7D20461-4424-43D5-85A4-65F9E927EE79}"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56D6-45BD-8763-F1EF7B8A9D7C}"/>
                </c:ext>
              </c:extLst>
            </c:dLbl>
            <c:dLbl>
              <c:idx val="10"/>
              <c:layout>
                <c:manualLayout>
                  <c:x val="4.980336788739298E-3"/>
                  <c:y val="3.9204467732542186E-3"/>
                </c:manualLayout>
              </c:layout>
              <c:tx>
                <c:rich>
                  <a:bodyPr/>
                  <a:lstStyle/>
                  <a:p>
                    <a:fld id="{BB6E54BF-F9A5-4380-B328-65BC2B3343A4}"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56D6-45BD-8763-F1EF7B8A9D7C}"/>
                </c:ext>
              </c:extLst>
            </c:dLbl>
            <c:dLbl>
              <c:idx val="11"/>
              <c:layout>
                <c:manualLayout>
                  <c:x val="-5.2889493003332552E-2"/>
                  <c:y val="-3.2488821248923896E-2"/>
                </c:manualLayout>
              </c:layout>
              <c:tx>
                <c:rich>
                  <a:bodyPr/>
                  <a:lstStyle/>
                  <a:p>
                    <a:fld id="{CF90A280-5B09-4C37-8C7F-F5C4E276055D}"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56D6-45BD-8763-F1EF7B8A9D7C}"/>
                </c:ext>
              </c:extLst>
            </c:dLbl>
            <c:dLbl>
              <c:idx val="12"/>
              <c:tx>
                <c:rich>
                  <a:bodyPr/>
                  <a:lstStyle/>
                  <a:p>
                    <a:fld id="{B669E518-CAE1-4047-9591-CFD0A08B3FCC}"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56D6-45BD-8763-F1EF7B8A9D7C}"/>
                </c:ext>
              </c:extLst>
            </c:dLbl>
            <c:dLbl>
              <c:idx val="13"/>
              <c:tx>
                <c:rich>
                  <a:bodyPr/>
                  <a:lstStyle/>
                  <a:p>
                    <a:fld id="{FDEE5BA9-2CC1-419C-83E0-E1AF3DC9A933}"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56D6-45BD-8763-F1EF7B8A9D7C}"/>
                </c:ext>
              </c:extLst>
            </c:dLbl>
            <c:dLbl>
              <c:idx val="14"/>
              <c:tx>
                <c:rich>
                  <a:bodyPr/>
                  <a:lstStyle/>
                  <a:p>
                    <a:fld id="{AC0F7FC4-68CC-4EA6-BCF8-28CCE2E9016F}"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56D6-45BD-8763-F1EF7B8A9D7C}"/>
                </c:ext>
              </c:extLst>
            </c:dLbl>
            <c:dLbl>
              <c:idx val="15"/>
              <c:layout>
                <c:manualLayout>
                  <c:x val="6.4270825335410418E-3"/>
                  <c:y val="-0.102706695291696"/>
                </c:manualLayout>
              </c:layout>
              <c:tx>
                <c:rich>
                  <a:bodyPr/>
                  <a:lstStyle/>
                  <a:p>
                    <a:fld id="{2CD7AA36-9555-4121-85F8-A95A788BD90E}"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56D6-45BD-8763-F1EF7B8A9D7C}"/>
                </c:ext>
              </c:extLst>
            </c:dLbl>
            <c:dLbl>
              <c:idx val="16"/>
              <c:layout>
                <c:manualLayout>
                  <c:x val="2.8128268705567998E-2"/>
                  <c:y val="-1.4284187237834865E-2"/>
                </c:manualLayout>
              </c:layout>
              <c:tx>
                <c:rich>
                  <a:bodyPr/>
                  <a:lstStyle/>
                  <a:p>
                    <a:fld id="{74F3E82E-A433-400F-ADC1-ACFF7C2C096B}"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56D6-45BD-8763-F1EF7B8A9D7C}"/>
                </c:ext>
              </c:extLst>
            </c:dLbl>
            <c:dLbl>
              <c:idx val="17"/>
              <c:layout>
                <c:manualLayout>
                  <c:x val="-8.0377662154566668E-2"/>
                  <c:y val="-1.9485511241003166E-2"/>
                </c:manualLayout>
              </c:layout>
              <c:tx>
                <c:rich>
                  <a:bodyPr/>
                  <a:lstStyle/>
                  <a:p>
                    <a:fld id="{38521BE0-64BB-4937-B511-408ADE7DDA82}"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56D6-45BD-8763-F1EF7B8A9D7C}"/>
                </c:ext>
              </c:extLst>
            </c:dLbl>
            <c:dLbl>
              <c:idx val="18"/>
              <c:layout>
                <c:manualLayout>
                  <c:x val="-5.4222774137232248E-2"/>
                  <c:y val="-2.1091810735889165E-2"/>
                </c:manualLayout>
              </c:layout>
              <c:tx>
                <c:rich>
                  <a:bodyPr/>
                  <a:lstStyle/>
                  <a:p>
                    <a:fld id="{13372035-05AC-4EDA-AA02-915E9D89C9E6}"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56D6-45BD-8763-F1EF7B8A9D7C}"/>
                </c:ext>
              </c:extLst>
            </c:dLbl>
            <c:dLbl>
              <c:idx val="19"/>
              <c:layout>
                <c:manualLayout>
                  <c:x val="-7.8930916409764879E-2"/>
                  <c:y val="-5.3294117261597135E-2"/>
                </c:manualLayout>
              </c:layout>
              <c:tx>
                <c:rich>
                  <a:bodyPr/>
                  <a:lstStyle/>
                  <a:p>
                    <a:fld id="{A1C6CE23-B18E-4E78-B2E8-DE8A52FF591C}"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56D6-45BD-8763-F1EF7B8A9D7C}"/>
                </c:ext>
              </c:extLst>
            </c:dLbl>
            <c:dLbl>
              <c:idx val="20"/>
              <c:layout>
                <c:manualLayout>
                  <c:x val="3.5361997429577088E-2"/>
                  <c:y val="-4.289146925526053E-2"/>
                </c:manualLayout>
              </c:layout>
              <c:tx>
                <c:rich>
                  <a:bodyPr/>
                  <a:lstStyle/>
                  <a:p>
                    <a:fld id="{5EFEF1F4-AA42-493B-BAEC-10E8B37F4662}"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4-56D6-45BD-8763-F1EF7B8A9D7C}"/>
                </c:ext>
              </c:extLst>
            </c:dLbl>
            <c:dLbl>
              <c:idx val="21"/>
              <c:layout>
                <c:manualLayout>
                  <c:x val="-2.3908110691247063E-2"/>
                  <c:y val="-0.10381405869153995"/>
                </c:manualLayout>
              </c:layout>
              <c:tx>
                <c:rich>
                  <a:bodyPr/>
                  <a:lstStyle/>
                  <a:p>
                    <a:fld id="{5A48B450-781B-4DEA-9B50-D0452657DBBC}"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5-56D6-45BD-8763-F1EF7B8A9D7C}"/>
                </c:ext>
              </c:extLst>
            </c:dLbl>
            <c:dLbl>
              <c:idx val="22"/>
              <c:layout>
                <c:manualLayout>
                  <c:x val="-4.9996001513728933E-2"/>
                  <c:y val="2.991499230837982E-2"/>
                </c:manualLayout>
              </c:layout>
              <c:tx>
                <c:rich>
                  <a:bodyPr/>
                  <a:lstStyle/>
                  <a:p>
                    <a:fld id="{545BA508-4505-451F-A256-0605A6BE736C}"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6-56D6-45BD-8763-F1EF7B8A9D7C}"/>
                </c:ext>
              </c:extLst>
            </c:dLbl>
            <c:dLbl>
              <c:idx val="23"/>
              <c:layout>
                <c:manualLayout>
                  <c:x val="1.0767319767946433E-2"/>
                  <c:y val="1.1722432778006673E-2"/>
                </c:manualLayout>
              </c:layout>
              <c:tx>
                <c:rich>
                  <a:bodyPr/>
                  <a:lstStyle/>
                  <a:p>
                    <a:fld id="{110DAD12-2844-41A5-82C9-3D2AD9D0E902}"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56D6-45BD-8763-F1EF7B8A9D7C}"/>
                </c:ext>
              </c:extLst>
            </c:dLbl>
            <c:dLbl>
              <c:idx val="24"/>
              <c:layout>
                <c:manualLayout>
                  <c:x val="1.3660811257550132E-2"/>
                  <c:y val="-7.4099413274270345E-2"/>
                </c:manualLayout>
              </c:layout>
              <c:tx>
                <c:rich>
                  <a:bodyPr/>
                  <a:lstStyle/>
                  <a:p>
                    <a:fld id="{4FE56F72-B2AA-456D-9225-BA5D19FBD273}"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8-56D6-45BD-8763-F1EF7B8A9D7C}"/>
                </c:ext>
              </c:extLst>
            </c:dLbl>
            <c:dLbl>
              <c:idx val="25"/>
              <c:layout>
                <c:manualLayout>
                  <c:x val="-5.1442747258530729E-2"/>
                  <c:y val="-7.9300737277438652E-2"/>
                </c:manualLayout>
              </c:layout>
              <c:tx>
                <c:rich>
                  <a:bodyPr/>
                  <a:lstStyle/>
                  <a:p>
                    <a:fld id="{EAB99D8B-A325-4277-81BE-1A337A8C540E}"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9-56D6-45BD-8763-F1EF7B8A9D7C}"/>
                </c:ext>
              </c:extLst>
            </c:dLbl>
            <c:dLbl>
              <c:idx val="26"/>
              <c:layout>
                <c:manualLayout>
                  <c:x val="3.5335910439375545E-3"/>
                  <c:y val="-2.7287497245755597E-2"/>
                </c:manualLayout>
              </c:layout>
              <c:tx>
                <c:rich>
                  <a:bodyPr/>
                  <a:lstStyle/>
                  <a:p>
                    <a:fld id="{14224DF2-F38B-4553-9036-6DBF67067CB9}"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A-56D6-45BD-8763-F1EF7B8A9D7C}"/>
                </c:ext>
              </c:extLst>
            </c:dLbl>
            <c:dLbl>
              <c:idx val="27"/>
              <c:layout>
                <c:manualLayout>
                  <c:x val="-5.9399848854940721E-2"/>
                  <c:y val="-5.181870232290311E-3"/>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fld id="{FD582B7C-A27D-4520-A222-464C09749EDD}" type="CELLRANGE">
                      <a:rPr lang="en-US"/>
                      <a:pPr>
                        <a:defRPr b="1"/>
                      </a:pPr>
                      <a:t>[CELLRANGE]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r"/>
              <c:showLegendKey val="0"/>
              <c:showVal val="0"/>
              <c:showCatName val="0"/>
              <c:showSerName val="0"/>
              <c:showPercent val="0"/>
              <c:showBubbleSize val="0"/>
              <c:extLst>
                <c:ext xmlns:c15="http://schemas.microsoft.com/office/drawing/2012/chart" uri="{CE6537A1-D6FC-4f65-9D91-7224C49458BB}">
                  <c15:layout>
                    <c:manualLayout>
                      <c:w val="4.2122059318398207E-2"/>
                      <c:h val="2.8568374475669681E-2"/>
                    </c:manualLayout>
                  </c15:layout>
                  <c15:dlblFieldTable/>
                  <c15:showDataLabelsRange val="1"/>
                </c:ext>
                <c:ext xmlns:c16="http://schemas.microsoft.com/office/drawing/2014/chart" uri="{C3380CC4-5D6E-409C-BE32-E72D297353CC}">
                  <c16:uniqueId val="{0000001B-56D6-45BD-8763-F1EF7B8A9D7C}"/>
                </c:ext>
              </c:extLst>
            </c:dLbl>
            <c:dLbl>
              <c:idx val="28"/>
              <c:layout>
                <c:manualLayout>
                  <c:x val="-1.8167595128089402E-2"/>
                  <c:y val="-6.3696765267933733E-2"/>
                </c:manualLayout>
              </c:layout>
              <c:tx>
                <c:rich>
                  <a:bodyPr/>
                  <a:lstStyle/>
                  <a:p>
                    <a:fld id="{8083B367-5DB6-42BC-84F8-80840B1B808B}"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C-56D6-45BD-8763-F1EF7B8A9D7C}"/>
                </c:ext>
              </c:extLst>
            </c:dLbl>
            <c:dLbl>
              <c:idx val="29"/>
              <c:layout>
                <c:manualLayout>
                  <c:x val="-5.1442747258530729E-2"/>
                  <c:y val="-3.7690145252092223E-2"/>
                </c:manualLayout>
              </c:layout>
              <c:tx>
                <c:rich>
                  <a:bodyPr/>
                  <a:lstStyle/>
                  <a:p>
                    <a:fld id="{BF405787-5254-42A4-BFFD-8E4D9229AE81}"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D-56D6-45BD-8763-F1EF7B8A9D7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'Risk Register'!$F$3:$F$32</c:f>
              <c:numCache>
                <c:formatCode>General</c:formatCode>
                <c:ptCount val="30"/>
                <c:pt idx="0">
                  <c:v>5</c:v>
                </c:pt>
                <c:pt idx="1">
                  <c:v>3</c:v>
                </c:pt>
                <c:pt idx="2">
                  <c:v>5</c:v>
                </c:pt>
                <c:pt idx="3">
                  <c:v>4</c:v>
                </c:pt>
                <c:pt idx="4">
                  <c:v>2</c:v>
                </c:pt>
                <c:pt idx="5">
                  <c:v>5</c:v>
                </c:pt>
                <c:pt idx="6">
                  <c:v>4</c:v>
                </c:pt>
                <c:pt idx="7">
                  <c:v>5</c:v>
                </c:pt>
                <c:pt idx="8">
                  <c:v>1</c:v>
                </c:pt>
                <c:pt idx="9">
                  <c:v>1</c:v>
                </c:pt>
                <c:pt idx="10">
                  <c:v>1</c:v>
                </c:pt>
                <c:pt idx="11">
                  <c:v>1</c:v>
                </c:pt>
                <c:pt idx="12">
                  <c:v>1</c:v>
                </c:pt>
                <c:pt idx="13">
                  <c:v>5</c:v>
                </c:pt>
                <c:pt idx="14">
                  <c:v>4</c:v>
                </c:pt>
                <c:pt idx="15">
                  <c:v>5</c:v>
                </c:pt>
                <c:pt idx="16">
                  <c:v>5</c:v>
                </c:pt>
                <c:pt idx="17">
                  <c:v>5</c:v>
                </c:pt>
                <c:pt idx="18">
                  <c:v>5</c:v>
                </c:pt>
                <c:pt idx="19">
                  <c:v>5</c:v>
                </c:pt>
                <c:pt idx="20">
                  <c:v>5</c:v>
                </c:pt>
                <c:pt idx="21">
                  <c:v>5</c:v>
                </c:pt>
                <c:pt idx="22">
                  <c:v>5</c:v>
                </c:pt>
                <c:pt idx="23">
                  <c:v>5</c:v>
                </c:pt>
                <c:pt idx="24">
                  <c:v>5</c:v>
                </c:pt>
                <c:pt idx="25">
                  <c:v>5</c:v>
                </c:pt>
                <c:pt idx="26">
                  <c:v>5</c:v>
                </c:pt>
                <c:pt idx="27">
                  <c:v>5</c:v>
                </c:pt>
                <c:pt idx="28">
                  <c:v>5</c:v>
                </c:pt>
                <c:pt idx="29">
                  <c:v>5</c:v>
                </c:pt>
              </c:numCache>
            </c:numRef>
          </c:xVal>
          <c:yVal>
            <c:numRef>
              <c:f>'Risk Register'!$G$3:$G$32</c:f>
              <c:numCache>
                <c:formatCode>General</c:formatCode>
                <c:ptCount val="30"/>
                <c:pt idx="0">
                  <c:v>5</c:v>
                </c:pt>
                <c:pt idx="1">
                  <c:v>2</c:v>
                </c:pt>
                <c:pt idx="2">
                  <c:v>1</c:v>
                </c:pt>
                <c:pt idx="3">
                  <c:v>3</c:v>
                </c:pt>
                <c:pt idx="4">
                  <c:v>5</c:v>
                </c:pt>
                <c:pt idx="5">
                  <c:v>2</c:v>
                </c:pt>
                <c:pt idx="6">
                  <c:v>4</c:v>
                </c:pt>
                <c:pt idx="7">
                  <c:v>5</c:v>
                </c:pt>
                <c:pt idx="8">
                  <c:v>2</c:v>
                </c:pt>
                <c:pt idx="9">
                  <c:v>2</c:v>
                </c:pt>
                <c:pt idx="10">
                  <c:v>2</c:v>
                </c:pt>
                <c:pt idx="11">
                  <c:v>2</c:v>
                </c:pt>
                <c:pt idx="12">
                  <c:v>3</c:v>
                </c:pt>
                <c:pt idx="13">
                  <c:v>4</c:v>
                </c:pt>
                <c:pt idx="14">
                  <c:v>3</c:v>
                </c:pt>
                <c:pt idx="15">
                  <c:v>5</c:v>
                </c:pt>
                <c:pt idx="16">
                  <c:v>5</c:v>
                </c:pt>
                <c:pt idx="17">
                  <c:v>5</c:v>
                </c:pt>
                <c:pt idx="18">
                  <c:v>4</c:v>
                </c:pt>
                <c:pt idx="19">
                  <c:v>5</c:v>
                </c:pt>
                <c:pt idx="20">
                  <c:v>5</c:v>
                </c:pt>
                <c:pt idx="21">
                  <c:v>5</c:v>
                </c:pt>
                <c:pt idx="22">
                  <c:v>5</c:v>
                </c:pt>
                <c:pt idx="23">
                  <c:v>5</c:v>
                </c:pt>
                <c:pt idx="24">
                  <c:v>5</c:v>
                </c:pt>
                <c:pt idx="25">
                  <c:v>5</c:v>
                </c:pt>
                <c:pt idx="26">
                  <c:v>5</c:v>
                </c:pt>
                <c:pt idx="27">
                  <c:v>5</c:v>
                </c:pt>
                <c:pt idx="28">
                  <c:v>5</c:v>
                </c:pt>
                <c:pt idx="29">
                  <c:v>5</c:v>
                </c:pt>
              </c:numCache>
            </c:numRef>
          </c:yVal>
          <c:smooth val="0"/>
          <c:extLst>
            <c:ext xmlns:c15="http://schemas.microsoft.com/office/drawing/2012/chart" uri="{02D57815-91ED-43cb-92C2-25804820EDAC}">
              <c15:datalabelsRange>
                <c15:f>'Risk Register'!$A$3:$A$32</c15:f>
                <c15:dlblRangeCache>
                  <c:ptCount val="30"/>
                  <c:pt idx="0">
                    <c:v>R1</c:v>
                  </c:pt>
                  <c:pt idx="1">
                    <c:v>R2</c:v>
                  </c:pt>
                  <c:pt idx="2">
                    <c:v>R3</c:v>
                  </c:pt>
                  <c:pt idx="3">
                    <c:v>R4</c:v>
                  </c:pt>
                  <c:pt idx="4">
                    <c:v>R5</c:v>
                  </c:pt>
                  <c:pt idx="5">
                    <c:v>R6</c:v>
                  </c:pt>
                  <c:pt idx="6">
                    <c:v>R7</c:v>
                  </c:pt>
                  <c:pt idx="7">
                    <c:v>R8</c:v>
                  </c:pt>
                  <c:pt idx="8">
                    <c:v>R9</c:v>
                  </c:pt>
                  <c:pt idx="9">
                    <c:v>R10</c:v>
                  </c:pt>
                  <c:pt idx="10">
                    <c:v>R11</c:v>
                  </c:pt>
                  <c:pt idx="11">
                    <c:v>R12</c:v>
                  </c:pt>
                  <c:pt idx="12">
                    <c:v>R13</c:v>
                  </c:pt>
                  <c:pt idx="13">
                    <c:v>R14</c:v>
                  </c:pt>
                  <c:pt idx="14">
                    <c:v>R15</c:v>
                  </c:pt>
                  <c:pt idx="15">
                    <c:v>R16</c:v>
                  </c:pt>
                  <c:pt idx="16">
                    <c:v>R17</c:v>
                  </c:pt>
                  <c:pt idx="17">
                    <c:v>R18</c:v>
                  </c:pt>
                  <c:pt idx="18">
                    <c:v>R19</c:v>
                  </c:pt>
                  <c:pt idx="19">
                    <c:v>R20</c:v>
                  </c:pt>
                  <c:pt idx="20">
                    <c:v>R21</c:v>
                  </c:pt>
                  <c:pt idx="21">
                    <c:v>R22</c:v>
                  </c:pt>
                  <c:pt idx="22">
                    <c:v>R23</c:v>
                  </c:pt>
                  <c:pt idx="23">
                    <c:v>R24</c:v>
                  </c:pt>
                  <c:pt idx="24">
                    <c:v>R25</c:v>
                  </c:pt>
                  <c:pt idx="25">
                    <c:v>R26</c:v>
                  </c:pt>
                  <c:pt idx="26">
                    <c:v>R27</c:v>
                  </c:pt>
                  <c:pt idx="27">
                    <c:v>R28</c:v>
                  </c:pt>
                  <c:pt idx="28">
                    <c:v>R29</c:v>
                  </c:pt>
                  <c:pt idx="29">
                    <c:v>R30</c:v>
                  </c:pt>
                </c15:dlblRangeCache>
              </c15:datalabelsRange>
            </c:ext>
            <c:ext xmlns:c16="http://schemas.microsoft.com/office/drawing/2014/chart" uri="{C3380CC4-5D6E-409C-BE32-E72D297353CC}">
              <c16:uniqueId val="{0000001E-56D6-45BD-8763-F1EF7B8A9D7C}"/>
            </c:ext>
          </c:extLst>
        </c:ser>
        <c:dLbls>
          <c:dLblPos val="t"/>
          <c:showLegendKey val="0"/>
          <c:showVal val="1"/>
          <c:showCatName val="0"/>
          <c:showSerName val="0"/>
          <c:showPercent val="0"/>
          <c:showBubbleSize val="0"/>
        </c:dLbls>
        <c:axId val="767191416"/>
        <c:axId val="767188536"/>
      </c:scatterChart>
      <c:valAx>
        <c:axId val="767191416"/>
        <c:scaling>
          <c:orientation val="minMax"/>
        </c:scaling>
        <c:delete val="0"/>
        <c:axPos val="b"/>
        <c:majorGridlines>
          <c:spPr>
            <a:ln w="9525" cap="flat" cmpd="sng" algn="ctr">
              <a:noFill/>
              <a:round/>
            </a:ln>
            <a:effectLst/>
          </c:spPr>
        </c:majorGridlines>
        <c:title>
          <c:tx>
            <c:strRef>
              <c:f>'Risk Register'!$F$2</c:f>
              <c:strCache>
                <c:ptCount val="1"/>
                <c:pt idx="0">
                  <c:v>Probability (1 - 5)</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188536"/>
        <c:crosses val="autoZero"/>
        <c:crossBetween val="midCat"/>
      </c:valAx>
      <c:valAx>
        <c:axId val="767188536"/>
        <c:scaling>
          <c:orientation val="minMax"/>
        </c:scaling>
        <c:delete val="0"/>
        <c:axPos val="l"/>
        <c:majorGridlines>
          <c:spPr>
            <a:ln w="9525" cap="flat" cmpd="sng" algn="ctr">
              <a:noFill/>
              <a:round/>
            </a:ln>
            <a:effectLst/>
          </c:spPr>
        </c:majorGridlines>
        <c:title>
          <c:tx>
            <c:strRef>
              <c:f>'Risk Register'!$G$2</c:f>
              <c:strCache>
                <c:ptCount val="1"/>
                <c:pt idx="0">
                  <c:v>Consequence (1-5)</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191416"/>
        <c:crosses val="autoZero"/>
        <c:crossBetween val="midCat"/>
      </c:valAx>
      <c:spPr>
        <a:gradFill>
          <a:gsLst>
            <a:gs pos="0">
              <a:srgbClr val="FF8181"/>
            </a:gs>
            <a:gs pos="100000">
              <a:srgbClr val="92D050"/>
            </a:gs>
            <a:gs pos="43000">
              <a:srgbClr val="FFFF00"/>
            </a:gs>
          </a:gsLst>
          <a:lin ang="8100000" scaled="1"/>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22</xdr:row>
      <xdr:rowOff>37203</xdr:rowOff>
    </xdr:from>
    <xdr:to>
      <xdr:col>3</xdr:col>
      <xdr:colOff>549088</xdr:colOff>
      <xdr:row>39</xdr:row>
      <xdr:rowOff>35522</xdr:rowOff>
    </xdr:to>
    <xdr:graphicFrame macro="">
      <xdr:nvGraphicFramePr>
        <xdr:cNvPr id="2" name="Chart 1">
          <a:extLst>
            <a:ext uri="{FF2B5EF4-FFF2-40B4-BE49-F238E27FC236}">
              <a16:creationId xmlns:a16="http://schemas.microsoft.com/office/drawing/2014/main" id="{12156700-2416-FDB6-910E-AD3828A83E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593912</xdr:colOff>
      <xdr:row>22</xdr:row>
      <xdr:rowOff>27903</xdr:rowOff>
    </xdr:from>
    <xdr:to>
      <xdr:col>6</xdr:col>
      <xdr:colOff>780601</xdr:colOff>
      <xdr:row>39</xdr:row>
      <xdr:rowOff>74854</xdr:rowOff>
    </xdr:to>
    <xdr:graphicFrame macro="">
      <xdr:nvGraphicFramePr>
        <xdr:cNvPr id="3" name="Chart 2">
          <a:extLst>
            <a:ext uri="{FF2B5EF4-FFF2-40B4-BE49-F238E27FC236}">
              <a16:creationId xmlns:a16="http://schemas.microsoft.com/office/drawing/2014/main" id="{28B30B86-797F-4D8D-A05D-1D76FF7536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892660</xdr:colOff>
      <xdr:row>22</xdr:row>
      <xdr:rowOff>63202</xdr:rowOff>
    </xdr:from>
    <xdr:to>
      <xdr:col>13</xdr:col>
      <xdr:colOff>130884</xdr:colOff>
      <xdr:row>39</xdr:row>
      <xdr:rowOff>114187</xdr:rowOff>
    </xdr:to>
    <xdr:graphicFrame macro="">
      <xdr:nvGraphicFramePr>
        <xdr:cNvPr id="9" name="Chart 8">
          <a:extLst>
            <a:ext uri="{FF2B5EF4-FFF2-40B4-BE49-F238E27FC236}">
              <a16:creationId xmlns:a16="http://schemas.microsoft.com/office/drawing/2014/main" id="{91405496-6EDB-1F41-E02E-FAB7735F6B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190500</xdr:colOff>
      <xdr:row>22</xdr:row>
      <xdr:rowOff>53955</xdr:rowOff>
    </xdr:from>
    <xdr:to>
      <xdr:col>33</xdr:col>
      <xdr:colOff>549088</xdr:colOff>
      <xdr:row>39</xdr:row>
      <xdr:rowOff>95360</xdr:rowOff>
    </xdr:to>
    <xdr:graphicFrame macro="">
      <xdr:nvGraphicFramePr>
        <xdr:cNvPr id="10" name="Chart 9">
          <a:extLst>
            <a:ext uri="{FF2B5EF4-FFF2-40B4-BE49-F238E27FC236}">
              <a16:creationId xmlns:a16="http://schemas.microsoft.com/office/drawing/2014/main" id="{6A7D8F98-7262-8479-2166-980C864063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211681</xdr:colOff>
      <xdr:row>2</xdr:row>
      <xdr:rowOff>20506</xdr:rowOff>
    </xdr:from>
    <xdr:to>
      <xdr:col>33</xdr:col>
      <xdr:colOff>550769</xdr:colOff>
      <xdr:row>22</xdr:row>
      <xdr:rowOff>22411</xdr:rowOff>
    </xdr:to>
    <xdr:graphicFrame macro="">
      <xdr:nvGraphicFramePr>
        <xdr:cNvPr id="11" name="Chart 10">
          <a:extLst>
            <a:ext uri="{FF2B5EF4-FFF2-40B4-BE49-F238E27FC236}">
              <a16:creationId xmlns:a16="http://schemas.microsoft.com/office/drawing/2014/main" id="{FE87405F-69BF-AE3B-B191-512C0FCDCD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2</xdr:row>
      <xdr:rowOff>16920</xdr:rowOff>
    </xdr:from>
    <xdr:to>
      <xdr:col>5</xdr:col>
      <xdr:colOff>22412</xdr:colOff>
      <xdr:row>22</xdr:row>
      <xdr:rowOff>59839</xdr:rowOff>
    </xdr:to>
    <xdr:graphicFrame macro="">
      <xdr:nvGraphicFramePr>
        <xdr:cNvPr id="12" name="Chart 11">
          <a:extLst>
            <a:ext uri="{FF2B5EF4-FFF2-40B4-BE49-F238E27FC236}">
              <a16:creationId xmlns:a16="http://schemas.microsoft.com/office/drawing/2014/main" id="{22CC9035-51B4-957D-0369-CF32DBB093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57932</xdr:colOff>
      <xdr:row>2</xdr:row>
      <xdr:rowOff>18378</xdr:rowOff>
    </xdr:from>
    <xdr:to>
      <xdr:col>21</xdr:col>
      <xdr:colOff>177388</xdr:colOff>
      <xdr:row>22</xdr:row>
      <xdr:rowOff>44823</xdr:rowOff>
    </xdr:to>
    <xdr:graphicFrame macro="">
      <xdr:nvGraphicFramePr>
        <xdr:cNvPr id="13" name="Chart 12">
          <a:extLst>
            <a:ext uri="{FF2B5EF4-FFF2-40B4-BE49-F238E27FC236}">
              <a16:creationId xmlns:a16="http://schemas.microsoft.com/office/drawing/2014/main" id="{EF1027D3-E44C-4692-90CF-CA3D2D4260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Project%20issue%20tracker1"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Date%20tracking%20Gantt%20chart1"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DELL9\Downloads\riskregister.xlsx" TargetMode="External"/><Relationship Id="rId1" Type="http://schemas.openxmlformats.org/officeDocument/2006/relationships/externalLinkPath" Target="file:///C:\Users\DELL9\Downloads\riskregist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Tracker"/>
      <sheetName val="calculations"/>
      <sheetName val="Project issue tracker1"/>
    </sheetNames>
    <sheetDataSet>
      <sheetData sheetId="0"/>
      <sheetData sheetId="1">
        <row r="7">
          <cell r="J7">
            <v>30</v>
          </cell>
        </row>
        <row r="8">
          <cell r="J8">
            <v>45807</v>
          </cell>
        </row>
        <row r="9">
          <cell r="J9" t="str">
            <v>*</v>
          </cell>
        </row>
        <row r="10">
          <cell r="J10" t="str">
            <v>*</v>
          </cell>
        </row>
        <row r="13">
          <cell r="N13">
            <v>4</v>
          </cell>
          <cell r="O13">
            <v>3</v>
          </cell>
        </row>
        <row r="15">
          <cell r="N15" t="str">
            <v>*</v>
          </cell>
          <cell r="O15" t="str">
            <v>*</v>
          </cell>
        </row>
        <row r="16">
          <cell r="H16">
            <v>45778</v>
          </cell>
          <cell r="I16">
            <v>0</v>
          </cell>
          <cell r="J16">
            <v>1</v>
          </cell>
          <cell r="S16" t="str">
            <v>*</v>
          </cell>
          <cell r="T16" t="str">
            <v>*</v>
          </cell>
        </row>
      </sheetData>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out"/>
      <sheetName val="Green"/>
      <sheetName val="Blue"/>
      <sheetName val="Purple"/>
    </sheetNames>
    <sheetDataSet>
      <sheetData sheetId="0" refreshError="1"/>
      <sheetData sheetId="1"/>
      <sheetData sheetId="2" refreshError="1"/>
      <sheetData sheetId="3">
        <row r="5">
          <cell r="C5">
            <v>46011</v>
          </cell>
          <cell r="U5">
            <v>13</v>
          </cell>
        </row>
        <row r="6">
          <cell r="C6">
            <v>1</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ject Template"/>
      <sheetName val="Instructions"/>
      <sheetName val="Opportunity - Rating Desc."/>
      <sheetName val="Threat - Rating Desc."/>
      <sheetName val="Severity matrix"/>
      <sheetName val="Sample Risk Checklist"/>
      <sheetName val="Risk Allocation"/>
      <sheetName val="Lists"/>
    </sheetNames>
    <sheetDataSet>
      <sheetData sheetId="0"/>
      <sheetData sheetId="1"/>
      <sheetData sheetId="2"/>
      <sheetData sheetId="3"/>
      <sheetData sheetId="4"/>
      <sheetData sheetId="5"/>
      <sheetData sheetId="6"/>
      <sheetData sheetId="7">
        <row r="17">
          <cell r="H17" t="str">
            <v>Planning/Scoping</v>
          </cell>
        </row>
        <row r="18">
          <cell r="H18" t="str">
            <v>Design</v>
          </cell>
        </row>
        <row r="19">
          <cell r="H19" t="str">
            <v>ROW-Utilities</v>
          </cell>
        </row>
        <row r="20">
          <cell r="H20" t="str">
            <v>Construction</v>
          </cell>
        </row>
        <row r="21">
          <cell r="H21" t="str">
            <v>Maintenance</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iyam Shah" refreshedDate="46022.774085532408" createdVersion="8" refreshedVersion="8" minRefreshableVersion="3" recordCount="30" xr:uid="{E03E0414-9B2E-4A46-8D1D-66EF46B87B68}">
  <cacheSource type="worksheet">
    <worksheetSource name="Risk_Register"/>
  </cacheSource>
  <cacheFields count="19">
    <cacheField name="#" numFmtId="0">
      <sharedItems count="30">
        <s v="R1"/>
        <s v="R2"/>
        <s v="R3"/>
        <s v="R4"/>
        <s v="R5"/>
        <s v="R6"/>
        <s v="R7"/>
        <s v="R8"/>
        <s v="R9"/>
        <s v="R10"/>
        <s v="R11"/>
        <s v="R12"/>
        <s v="R13"/>
        <s v="R14"/>
        <s v="R15"/>
        <s v="R16"/>
        <s v="R17"/>
        <s v="R18"/>
        <s v="R19"/>
        <s v="R20"/>
        <s v="R21"/>
        <s v="R22"/>
        <s v="R23"/>
        <s v="R24"/>
        <s v="R25"/>
        <s v="R26"/>
        <s v="R27"/>
        <s v="R28"/>
        <s v="R29"/>
        <s v="R30"/>
      </sharedItems>
    </cacheField>
    <cacheField name="Category" numFmtId="0">
      <sharedItems count="7">
        <s v="Execution"/>
        <s v="Planning/ Scope"/>
        <s v="Communications"/>
        <s v="Schedule"/>
        <s v="Estimating"/>
        <s v="Controlling"/>
        <s v="Esxecution"/>
      </sharedItems>
    </cacheField>
    <cacheField name="Opportunity / Threat" numFmtId="0">
      <sharedItems count="3">
        <s v="Threat"/>
        <s v="Opportunity"/>
        <s v="Both"/>
      </sharedItems>
    </cacheField>
    <cacheField name="Risk Name" numFmtId="49">
      <sharedItems count="3">
        <s v="Manpower Shortage"/>
        <s v="Manpower Opportunity"/>
        <s v="The available site manpower is currently insufficient to meet scheduled activity demands, there is insufficiency of masons for masonry and plaster work on site." u="1"/>
      </sharedItems>
    </cacheField>
    <cacheField name="Detailed Description" numFmtId="49">
      <sharedItems longText="1"/>
    </cacheField>
    <cacheField name="Probability (1 - 5)" numFmtId="0">
      <sharedItems containsSemiMixedTypes="0" containsString="0" containsNumber="1" containsInteger="1" minValue="1" maxValue="5"/>
    </cacheField>
    <cacheField name="Consequence (1-5)" numFmtId="0">
      <sharedItems containsSemiMixedTypes="0" containsString="0" containsNumber="1" containsInteger="1" minValue="1" maxValue="5"/>
    </cacheField>
    <cacheField name="Severity (Priority)" numFmtId="0">
      <sharedItems containsSemiMixedTypes="0" containsString="0" containsNumber="1" containsInteger="1" minValue="2" maxValue="25" count="9">
        <n v="25"/>
        <n v="6"/>
        <n v="5"/>
        <n v="12"/>
        <n v="10"/>
        <n v="16"/>
        <n v="2"/>
        <n v="3"/>
        <n v="20"/>
      </sharedItems>
    </cacheField>
    <cacheField name="Probability (%)" numFmtId="9">
      <sharedItems containsSemiMixedTypes="0" containsString="0" containsNumber="1" minValue="0.1" maxValue="0.5"/>
    </cacheField>
    <cacheField name="Cost Impact (₹)" numFmtId="165">
      <sharedItems containsSemiMixedTypes="0" containsString="0" containsNumber="1" containsInteger="1" minValue="100" maxValue="26000"/>
    </cacheField>
    <cacheField name="Most Likely (no. of weeks)" numFmtId="0">
      <sharedItems containsSemiMixedTypes="0" containsString="0" containsNumber="1" containsInteger="1" minValue="1" maxValue="1"/>
    </cacheField>
    <cacheField name="Urgency" numFmtId="0">
      <sharedItems count="3">
        <s v="High"/>
        <s v="Low"/>
        <s v="Medium"/>
      </sharedItems>
    </cacheField>
    <cacheField name="Response Category" numFmtId="0">
      <sharedItems count="7">
        <s v="Mitigate"/>
        <s v="Transfer"/>
        <s v="Avoid"/>
        <s v="Exploit"/>
        <s v="Share"/>
        <s v="Accept"/>
        <s v="Enhance"/>
      </sharedItems>
    </cacheField>
    <cacheField name="Impact" numFmtId="49">
      <sharedItems longText="1"/>
    </cacheField>
    <cacheField name="Risk Owner" numFmtId="49">
      <sharedItems count="5">
        <s v="Designer"/>
        <s v="Contractor"/>
        <s v="PMC"/>
        <s v="MEPF Consultant"/>
        <s v="Owner"/>
      </sharedItems>
    </cacheField>
    <cacheField name="Contingency Plan" numFmtId="49">
      <sharedItems/>
    </cacheField>
    <cacheField name="Status" numFmtId="49">
      <sharedItems count="4">
        <s v="Not Started"/>
        <s v="Active (Ongoing)"/>
        <s v="Dormant (Not Started)"/>
        <s v="Completed"/>
      </sharedItems>
    </cacheField>
    <cacheField name="Date Last Updated" numFmtId="164">
      <sharedItems containsSemiMixedTypes="0" containsNonDate="0" containsDate="1" containsString="0" minDate="2025-12-26T00:00:00" maxDate="2026-01-06T00:00:00"/>
    </cacheField>
    <cacheField name="Tracking Comments" numFmtId="49">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x v="0"/>
    <x v="0"/>
    <x v="0"/>
    <s v="It has been observed that the manpower currently available at the site is inadequate to meet the scheduled activity requirements of the project. The contractor has been instructed to mobilize the remaining workforce at the earliest. Only 6 masons are available on site for masonry work, which is targeted for 10 nos."/>
    <n v="5"/>
    <n v="5"/>
    <x v="0"/>
    <n v="0.2"/>
    <n v="1000"/>
    <n v="1"/>
    <x v="0"/>
    <x v="0"/>
    <s v="The shortage of manpower at the site is likely to cause significant delays in executing scheduled project activities, disrupting the overall project timeline. This may lead to resource mismanagement, reduced work efficiency, and a cascading impact on dependent tasks. If not resolved promptly, it can also increase project costs due to idle equipment, extended project duration, and potential contractual penalties."/>
    <x v="0"/>
    <s v="The contractor is required to immediately deploy the necessary manpower to meet current site requirements. "/>
    <x v="0"/>
    <d v="2025-12-31T00:00:00"/>
    <s v="NA"/>
  </r>
  <r>
    <x v="1"/>
    <x v="1"/>
    <x v="1"/>
    <x v="1"/>
    <s v="It has been observed that the manpower currently available at the site is inadequate to meet the scheduled activity requirements of the project. The contractor has been instructed to mobilize the remaining workforce at the earliest. Only 6 masons are available on site for masonry work, which is targeted for 10 nos."/>
    <n v="3"/>
    <n v="2"/>
    <x v="1"/>
    <n v="0.3"/>
    <n v="2000"/>
    <n v="1"/>
    <x v="1"/>
    <x v="0"/>
    <s v="The shortage of manpower at the site is likely to cause significant delays in executing scheduled project activities, disrupting the overall project timeline. This may lead to resource mismanagement, reduced work efficiency, and a cascading impact on dependent tasks. If not resolved promptly, it can also increase project costs due to idle equipment, extended project duration, and potential contractual penalties."/>
    <x v="1"/>
    <s v="The contractor is required to immediately deploy the necessary manpower to meet current site requirements. "/>
    <x v="1"/>
    <d v="2026-01-05T00:00:00"/>
    <s v="NA"/>
  </r>
  <r>
    <x v="2"/>
    <x v="2"/>
    <x v="2"/>
    <x v="0"/>
    <s v="It has been observed that the manpower currently available at the site is inadequate to meet the scheduled activity requirements of the project. The contractor has been instructed to mobilize the remaining workforce at the earliest. Only 6 masons are available on site for masonry work, which is targeted for 10 nos."/>
    <n v="5"/>
    <n v="1"/>
    <x v="2"/>
    <n v="0.4"/>
    <n v="3000"/>
    <n v="1"/>
    <x v="2"/>
    <x v="1"/>
    <s v="The shortage of manpower at the site is likely to cause significant delays in executing scheduled project activities, disrupting the overall project timeline. This may lead to resource mismanagement, reduced work efficiency, and a cascading impact on dependent tasks. If not resolved promptly, it can also increase project costs due to idle equipment, extended project duration, and potential contractual penalties."/>
    <x v="2"/>
    <s v="The contractor is required to immediately deploy the necessary manpower to meet current site requirements. "/>
    <x v="2"/>
    <d v="2025-12-26T00:00:00"/>
    <s v="NA"/>
  </r>
  <r>
    <x v="3"/>
    <x v="3"/>
    <x v="0"/>
    <x v="1"/>
    <s v="It has been observed that the manpower currently available at the site is inadequate to meet the scheduled activity requirements of the project. The contractor has been instructed to mobilize the remaining workforce at the earliest. Only 6 masons are available on site for masonry work, which is targeted for 10 nos."/>
    <n v="4"/>
    <n v="3"/>
    <x v="3"/>
    <n v="0.5"/>
    <n v="100"/>
    <n v="1"/>
    <x v="0"/>
    <x v="2"/>
    <s v="The shortage of manpower at the site is likely to cause significant delays in executing scheduled project activities, disrupting the overall project timeline. This may lead to resource mismanagement, reduced work efficiency, and a cascading impact on dependent tasks. If not resolved promptly, it can also increase project costs due to idle equipment, extended project duration, and potential contractual penalties."/>
    <x v="3"/>
    <s v="The contractor is required to immediately deploy the necessary manpower to meet current site requirements. "/>
    <x v="3"/>
    <d v="2025-12-31T00:00:00"/>
    <s v="NA"/>
  </r>
  <r>
    <x v="4"/>
    <x v="4"/>
    <x v="1"/>
    <x v="0"/>
    <s v="It has been observed that the manpower currently available at the site is inadequate to meet the scheduled activity requirements of the project. The contractor has been instructed to mobilize the remaining workforce at the earliest. Only 6 masons are available on site for masonry work, which is targeted for 10 nos."/>
    <n v="2"/>
    <n v="5"/>
    <x v="4"/>
    <n v="0.1"/>
    <n v="5000"/>
    <n v="1"/>
    <x v="1"/>
    <x v="0"/>
    <s v="The shortage of manpower at the site is likely to cause significant delays in executing scheduled project activities, disrupting the overall project timeline. This may lead to resource mismanagement, reduced work efficiency, and a cascading impact on dependent tasks. If not resolved promptly, it can also increase project costs due to idle equipment, extended project duration, and potential contractual penalties."/>
    <x v="4"/>
    <s v="The contractor is required to immediately deploy the necessary manpower to meet current site requirements. "/>
    <x v="0"/>
    <d v="2026-01-05T00:00:00"/>
    <s v="NA"/>
  </r>
  <r>
    <x v="5"/>
    <x v="5"/>
    <x v="2"/>
    <x v="1"/>
    <s v="It has been observed that the manpower currently available at the site is inadequate to meet the scheduled activity requirements of the project. The contractor has been instructed to mobilize the remaining workforce at the earliest. Only 6 masons are available on site for masonry work, which is targeted for 10 nos."/>
    <n v="5"/>
    <n v="2"/>
    <x v="4"/>
    <n v="0.2"/>
    <n v="6000"/>
    <n v="1"/>
    <x v="2"/>
    <x v="3"/>
    <s v="The shortage of manpower at the site is likely to cause significant delays in executing scheduled project activities, disrupting the overall project timeline. This may lead to resource mismanagement, reduced work efficiency, and a cascading impact on dependent tasks. If not resolved promptly, it can also increase project costs due to idle equipment, extended project duration, and potential contractual penalties."/>
    <x v="0"/>
    <s v="The contractor is required to immediately deploy the necessary manpower to meet current site requirements. "/>
    <x v="1"/>
    <d v="2025-12-26T00:00:00"/>
    <s v="NA"/>
  </r>
  <r>
    <x v="6"/>
    <x v="1"/>
    <x v="0"/>
    <x v="0"/>
    <s v="It has been observed that the manpower currently available at the site is inadequate to meet the scheduled activity requirements of the project. The contractor has been instructed to mobilize the remaining workforce at the earliest. Only 6 masons are available on site for masonry work, which is targeted for 10 nos."/>
    <n v="4"/>
    <n v="4"/>
    <x v="5"/>
    <n v="0.3"/>
    <n v="10000"/>
    <n v="1"/>
    <x v="0"/>
    <x v="4"/>
    <s v="The shortage of manpower at the site is likely to cause significant delays in executing scheduled project activities, disrupting the overall project timeline. This may lead to resource mismanagement, reduced work efficiency, and a cascading impact on dependent tasks. If not resolved promptly, it can also increase project costs due to idle equipment, extended project duration, and potential contractual penalties."/>
    <x v="1"/>
    <s v="The contractor is required to immediately deploy the necessary manpower to meet current site requirements. "/>
    <x v="2"/>
    <d v="2025-12-31T00:00:00"/>
    <s v="NA"/>
  </r>
  <r>
    <x v="7"/>
    <x v="2"/>
    <x v="1"/>
    <x v="1"/>
    <s v="It has been observed that the manpower currently available at the site is inadequate to meet the scheduled activity requirements of the project. The contractor has been instructed to mobilize the remaining workforce at the earliest. Only 6 masons are available on site for masonry work, which is targeted for 10 nos."/>
    <n v="5"/>
    <n v="5"/>
    <x v="0"/>
    <n v="0.4"/>
    <n v="2000"/>
    <n v="1"/>
    <x v="1"/>
    <x v="0"/>
    <s v="The shortage of manpower at the site is likely to cause significant delays in executing scheduled project activities, disrupting the overall project timeline. This may lead to resource mismanagement, reduced work efficiency, and a cascading impact on dependent tasks. If not resolved promptly, it can also increase project costs due to idle equipment, extended project duration, and potential contractual penalties."/>
    <x v="2"/>
    <s v="The contractor is required to immediately deploy the necessary manpower to meet current site requirements. "/>
    <x v="3"/>
    <d v="2026-01-05T00:00:00"/>
    <s v="NA"/>
  </r>
  <r>
    <x v="8"/>
    <x v="3"/>
    <x v="2"/>
    <x v="0"/>
    <s v="It has been observed that the manpower currently available at the site is inadequate to meet the scheduled activity requirements of the project. The contractor has been instructed to mobilize the remaining workforce at the earliest. Only 6 masons are available on site for masonry work, which is targeted for 10 nos."/>
    <n v="1"/>
    <n v="2"/>
    <x v="6"/>
    <n v="0.5"/>
    <n v="8000"/>
    <n v="1"/>
    <x v="2"/>
    <x v="1"/>
    <s v="The shortage of manpower at the site is likely to cause significant delays in executing scheduled project activities, disrupting the overall project timeline. This may lead to resource mismanagement, reduced work efficiency, and a cascading impact on dependent tasks. If not resolved promptly, it can also increase project costs due to idle equipment, extended project duration, and potential contractual penalties."/>
    <x v="3"/>
    <s v="The contractor is required to immediately deploy the necessary manpower to meet current site requirements. "/>
    <x v="0"/>
    <d v="2025-12-26T00:00:00"/>
    <s v="NA"/>
  </r>
  <r>
    <x v="9"/>
    <x v="6"/>
    <x v="0"/>
    <x v="1"/>
    <s v="It has been observed that the manpower currently available at the site is inadequate to meet the scheduled activity requirements of the project. The contractor has been instructed to mobilize the remaining workforce at the earliest. Only 6 masons are available on site for masonry work, which is targeted for 10 nos."/>
    <n v="1"/>
    <n v="2"/>
    <x v="6"/>
    <n v="0.2"/>
    <n v="3000"/>
    <n v="1"/>
    <x v="0"/>
    <x v="2"/>
    <s v="The shortage of manpower at the site is likely to cause significant delays in executing scheduled project activities, disrupting the overall project timeline. This may lead to resource mismanagement, reduced work efficiency, and a cascading impact on dependent tasks. If not resolved promptly, it can also increase project costs due to idle equipment, extended project duration, and potential contractual penalties."/>
    <x v="4"/>
    <s v="The contractor is required to immediately deploy the necessary manpower to meet current site requirements. "/>
    <x v="1"/>
    <d v="2025-12-31T00:00:00"/>
    <s v="NA"/>
  </r>
  <r>
    <x v="10"/>
    <x v="5"/>
    <x v="1"/>
    <x v="0"/>
    <s v="It has been observed that the manpower currently available at the site is inadequate to meet the scheduled activity requirements of the project. The contractor has been instructed to mobilize the remaining workforce at the earliest. Only 6 masons are available on site for masonry work, which is targeted for 10 nos."/>
    <n v="1"/>
    <n v="2"/>
    <x v="6"/>
    <n v="0.3"/>
    <n v="3500"/>
    <n v="1"/>
    <x v="1"/>
    <x v="0"/>
    <s v="The shortage of manpower at the site is likely to cause significant delays in executing scheduled project activities, disrupting the overall project timeline. This may lead to resource mismanagement, reduced work efficiency, and a cascading impact on dependent tasks. If not resolved promptly, it can also increase project costs due to idle equipment, extended project duration, and potential contractual penalties."/>
    <x v="0"/>
    <s v="The contractor is required to immediately deploy the necessary manpower to meet current site requirements. "/>
    <x v="2"/>
    <d v="2026-01-05T00:00:00"/>
    <s v="NA"/>
  </r>
  <r>
    <x v="11"/>
    <x v="1"/>
    <x v="2"/>
    <x v="1"/>
    <s v="It has been observed that the manpower currently available at the site is inadequate to meet the scheduled activity requirements of the project. The contractor has been instructed to mobilize the remaining workforce at the earliest. Only 6 masons are available on site for masonry work, which is targeted for 10 nos."/>
    <n v="1"/>
    <n v="2"/>
    <x v="6"/>
    <n v="0.4"/>
    <n v="6480"/>
    <n v="1"/>
    <x v="2"/>
    <x v="5"/>
    <s v="The shortage of manpower at the site is likely to cause significant delays in executing scheduled project activities, disrupting the overall project timeline. This may lead to resource mismanagement, reduced work efficiency, and a cascading impact on dependent tasks. If not resolved promptly, it can also increase project costs due to idle equipment, extended project duration, and potential contractual penalties."/>
    <x v="1"/>
    <s v="The contractor is required to immediately deploy the necessary manpower to meet current site requirements. "/>
    <x v="3"/>
    <d v="2025-12-26T00:00:00"/>
    <s v="NA"/>
  </r>
  <r>
    <x v="12"/>
    <x v="2"/>
    <x v="0"/>
    <x v="0"/>
    <s v="It has been observed that the manpower currently available at the site is inadequate to meet the scheduled activity requirements of the project. The contractor has been instructed to mobilize the remaining workforce at the earliest. Only 6 masons are available on site for masonry work, which is targeted for 10 nos."/>
    <n v="1"/>
    <n v="3"/>
    <x v="7"/>
    <n v="0.5"/>
    <n v="6500"/>
    <n v="1"/>
    <x v="0"/>
    <x v="5"/>
    <s v="The shortage of manpower at the site is likely to cause significant delays in executing scheduled project activities, disrupting the overall project timeline. This may lead to resource mismanagement, reduced work efficiency, and a cascading impact on dependent tasks. If not resolved promptly, it can also increase project costs due to idle equipment, extended project duration, and potential contractual penalties."/>
    <x v="2"/>
    <s v="The contractor is required to immediately deploy the necessary manpower to meet current site requirements. "/>
    <x v="0"/>
    <d v="2025-12-31T00:00:00"/>
    <s v="NA"/>
  </r>
  <r>
    <x v="13"/>
    <x v="3"/>
    <x v="1"/>
    <x v="1"/>
    <s v="It has been observed that the manpower currently available at the site is inadequate to meet the scheduled activity requirements of the project. The contractor has been instructed to mobilize the remaining workforce at the earliest. Only 6 masons are available on site for masonry work, which is targeted for 10 nos."/>
    <n v="5"/>
    <n v="4"/>
    <x v="8"/>
    <n v="0.2"/>
    <n v="9000"/>
    <n v="1"/>
    <x v="1"/>
    <x v="2"/>
    <s v="The shortage of manpower at the site is likely to cause significant delays in executing scheduled project activities, disrupting the overall project timeline. This may lead to resource mismanagement, reduced work efficiency, and a cascading impact on dependent tasks. If not resolved promptly, it can also increase project costs due to idle equipment, extended project duration, and potential contractual penalties."/>
    <x v="3"/>
    <s v="The contractor is required to immediately deploy the necessary manpower to meet current site requirements. "/>
    <x v="1"/>
    <d v="2026-01-05T00:00:00"/>
    <s v="NA"/>
  </r>
  <r>
    <x v="14"/>
    <x v="6"/>
    <x v="2"/>
    <x v="0"/>
    <s v="It has been observed that the manpower currently available at the site is inadequate to meet the scheduled activity requirements of the project. The contractor has been instructed to mobilize the remaining workforce at the earliest. Only 6 masons are available on site for masonry work, which is targeted for 10 nos."/>
    <n v="4"/>
    <n v="3"/>
    <x v="3"/>
    <n v="0.3"/>
    <n v="8750"/>
    <n v="1"/>
    <x v="2"/>
    <x v="2"/>
    <s v="The shortage of manpower at the site is likely to cause significant delays in executing scheduled project activities, disrupting the overall project timeline. This may lead to resource mismanagement, reduced work efficiency, and a cascading impact on dependent tasks. If not resolved promptly, it can also increase project costs due to idle equipment, extended project duration, and potential contractual penalties."/>
    <x v="4"/>
    <s v="The contractor is required to immediately deploy the necessary manpower to meet current site requirements. "/>
    <x v="2"/>
    <d v="2025-12-26T00:00:00"/>
    <s v="NA"/>
  </r>
  <r>
    <x v="15"/>
    <x v="5"/>
    <x v="0"/>
    <x v="1"/>
    <s v="It has been observed that the manpower currently available at the site is inadequate to meet the scheduled activity requirements of the project. The contractor has been instructed to mobilize the remaining workforce at the earliest. Only 6 masons are available on site for masonry work, which is targeted for 10 nos."/>
    <n v="5"/>
    <n v="5"/>
    <x v="0"/>
    <n v="0.4"/>
    <n v="250"/>
    <n v="1"/>
    <x v="0"/>
    <x v="0"/>
    <s v="The shortage of manpower at the site is likely to cause significant delays in executing scheduled project activities, disrupting the overall project timeline. This may lead to resource mismanagement, reduced work efficiency, and a cascading impact on dependent tasks. If not resolved promptly, it can also increase project costs due to idle equipment, extended project duration, and potential contractual penalties."/>
    <x v="0"/>
    <s v="The contractor is required to immediately deploy the necessary manpower to meet current site requirements. "/>
    <x v="3"/>
    <d v="2025-12-31T00:00:00"/>
    <s v="NA"/>
  </r>
  <r>
    <x v="16"/>
    <x v="1"/>
    <x v="1"/>
    <x v="0"/>
    <s v="It has been observed that the manpower currently available at the site is inadequate to meet the scheduled activity requirements of the project. The contractor has been instructed to mobilize the remaining workforce at the earliest. Only 6 masons are available on site for masonry work, which is targeted for 10 nos."/>
    <n v="5"/>
    <n v="5"/>
    <x v="0"/>
    <n v="0.5"/>
    <n v="100"/>
    <n v="1"/>
    <x v="1"/>
    <x v="5"/>
    <s v="The shortage of manpower at the site is likely to cause significant delays in executing scheduled project activities, disrupting the overall project timeline. This may lead to resource mismanagement, reduced work efficiency, and a cascading impact on dependent tasks. If not resolved promptly, it can also increase project costs due to idle equipment, extended project duration, and potential contractual penalties."/>
    <x v="1"/>
    <s v="The contractor is required to immediately deploy the necessary manpower to meet current site requirements. "/>
    <x v="0"/>
    <d v="2026-01-05T00:00:00"/>
    <s v="NA"/>
  </r>
  <r>
    <x v="17"/>
    <x v="2"/>
    <x v="2"/>
    <x v="1"/>
    <s v="It has been observed that the manpower currently available at the site is inadequate to meet the scheduled activity requirements of the project. The contractor has been instructed to mobilize the remaining workforce at the earliest. Only 6 masons are available on site for masonry work, which is targeted for 10 nos."/>
    <n v="5"/>
    <n v="5"/>
    <x v="0"/>
    <n v="0.2"/>
    <n v="600"/>
    <n v="1"/>
    <x v="2"/>
    <x v="1"/>
    <s v="The shortage of manpower at the site is likely to cause significant delays in executing scheduled project activities, disrupting the overall project timeline. This may lead to resource mismanagement, reduced work efficiency, and a cascading impact on dependent tasks. If not resolved promptly, it can also increase project costs due to idle equipment, extended project duration, and potential contractual penalties."/>
    <x v="2"/>
    <s v="The contractor is required to immediately deploy the necessary manpower to meet current site requirements. "/>
    <x v="1"/>
    <d v="2025-12-26T00:00:00"/>
    <s v="NA"/>
  </r>
  <r>
    <x v="18"/>
    <x v="3"/>
    <x v="0"/>
    <x v="0"/>
    <s v="It has been observed that the manpower currently available at the site is inadequate to meet the scheduled activity requirements of the project. The contractor has been instructed to mobilize the remaining workforce at the earliest. Only 6 masons are available on site for masonry work, which is targeted for 10 nos."/>
    <n v="5"/>
    <n v="5"/>
    <x v="0"/>
    <n v="0.3"/>
    <n v="13000"/>
    <n v="1"/>
    <x v="0"/>
    <x v="3"/>
    <s v="The shortage of manpower at the site is likely to cause significant delays in executing scheduled project activities, disrupting the overall project timeline. This may lead to resource mismanagement, reduced work efficiency, and a cascading impact on dependent tasks. If not resolved promptly, it can also increase project costs due to idle equipment, extended project duration, and potential contractual penalties."/>
    <x v="3"/>
    <s v="The contractor is required to immediately deploy the necessary manpower to meet current site requirements. "/>
    <x v="2"/>
    <d v="2025-12-31T00:00:00"/>
    <s v="NA"/>
  </r>
  <r>
    <x v="19"/>
    <x v="6"/>
    <x v="1"/>
    <x v="1"/>
    <s v="It has been observed that the manpower currently available at the site is inadequate to meet the scheduled activity requirements of the project. The contractor has been instructed to mobilize the remaining workforce at the earliest. Only 6 masons are available on site for masonry work, which is targeted for 10 nos."/>
    <n v="5"/>
    <n v="5"/>
    <x v="0"/>
    <n v="0.4"/>
    <n v="26000"/>
    <n v="1"/>
    <x v="1"/>
    <x v="0"/>
    <s v="The shortage of manpower at the site is likely to cause significant delays in executing scheduled project activities, disrupting the overall project timeline. This may lead to resource mismanagement, reduced work efficiency, and a cascading impact on dependent tasks. If not resolved promptly, it can also increase project costs due to idle equipment, extended project duration, and potential contractual penalties."/>
    <x v="4"/>
    <s v="The contractor is required to immediately deploy the necessary manpower to meet current site requirements. "/>
    <x v="3"/>
    <d v="2026-01-05T00:00:00"/>
    <s v="NA"/>
  </r>
  <r>
    <x v="20"/>
    <x v="5"/>
    <x v="2"/>
    <x v="0"/>
    <s v="It has been observed that the manpower currently available at the site is inadequate to meet the scheduled activity requirements of the project. The contractor has been instructed to mobilize the remaining workforce at the earliest. Only 6 masons are available on site for masonry work, which is targeted for 10 nos."/>
    <n v="5"/>
    <n v="5"/>
    <x v="0"/>
    <n v="0.5"/>
    <n v="14500"/>
    <n v="1"/>
    <x v="2"/>
    <x v="6"/>
    <s v="The shortage of manpower at the site is likely to cause significant delays in executing scheduled project activities, disrupting the overall project timeline. This may lead to resource mismanagement, reduced work efficiency, and a cascading impact on dependent tasks. If not resolved promptly, it can also increase project costs due to idle equipment, extended project duration, and potential contractual penalties."/>
    <x v="0"/>
    <s v="The contractor is required to immediately deploy the necessary manpower to meet current site requirements. "/>
    <x v="0"/>
    <d v="2025-12-26T00:00:00"/>
    <s v="NA"/>
  </r>
  <r>
    <x v="21"/>
    <x v="1"/>
    <x v="0"/>
    <x v="1"/>
    <s v="It has been observed that the manpower currently available at the site is inadequate to meet the scheduled activity requirements of the project. The contractor has been instructed to mobilize the remaining workforce at the earliest. Only 6 masons are available on site for masonry work, which is targeted for 10 nos."/>
    <n v="5"/>
    <n v="5"/>
    <x v="0"/>
    <n v="0.2"/>
    <n v="18000"/>
    <n v="1"/>
    <x v="0"/>
    <x v="2"/>
    <s v="The shortage of manpower at the site is likely to cause significant delays in executing scheduled project activities, disrupting the overall project timeline. This may lead to resource mismanagement, reduced work efficiency, and a cascading impact on dependent tasks. If not resolved promptly, it can also increase project costs due to idle equipment, extended project duration, and potential contractual penalties."/>
    <x v="1"/>
    <s v="The contractor is required to immediately deploy the necessary manpower to meet current site requirements. "/>
    <x v="1"/>
    <d v="2025-12-31T00:00:00"/>
    <s v="NA"/>
  </r>
  <r>
    <x v="22"/>
    <x v="2"/>
    <x v="1"/>
    <x v="0"/>
    <s v="It has been observed that the manpower currently available at the site is inadequate to meet the scheduled activity requirements of the project. The contractor has been instructed to mobilize the remaining workforce at the earliest. Only 6 masons are available on site for masonry work, which is targeted for 10 nos."/>
    <n v="5"/>
    <n v="5"/>
    <x v="0"/>
    <n v="0.3"/>
    <n v="21500"/>
    <n v="1"/>
    <x v="1"/>
    <x v="1"/>
    <s v="The shortage of manpower at the site is likely to cause significant delays in executing scheduled project activities, disrupting the overall project timeline. This may lead to resource mismanagement, reduced work efficiency, and a cascading impact on dependent tasks. If not resolved promptly, it can also increase project costs due to idle equipment, extended project duration, and potential contractual penalties."/>
    <x v="2"/>
    <s v="The contractor is required to immediately deploy the necessary manpower to meet current site requirements. "/>
    <x v="2"/>
    <d v="2026-01-05T00:00:00"/>
    <s v="NA"/>
  </r>
  <r>
    <x v="23"/>
    <x v="3"/>
    <x v="2"/>
    <x v="1"/>
    <s v="It has been observed that the manpower currently available at the site is inadequate to meet the scheduled activity requirements of the project. The contractor has been instructed to mobilize the remaining workforce at the earliest. Only 6 masons are available on site for masonry work, which is targeted for 10 nos."/>
    <n v="5"/>
    <n v="5"/>
    <x v="0"/>
    <n v="0.4"/>
    <n v="1450"/>
    <n v="1"/>
    <x v="2"/>
    <x v="3"/>
    <s v="The shortage of manpower at the site is likely to cause significant delays in executing scheduled project activities, disrupting the overall project timeline. This may lead to resource mismanagement, reduced work efficiency, and a cascading impact on dependent tasks. If not resolved promptly, it can also increase project costs due to idle equipment, extended project duration, and potential contractual penalties."/>
    <x v="3"/>
    <s v="The contractor is required to immediately deploy the necessary manpower to meet current site requirements. "/>
    <x v="3"/>
    <d v="2025-12-26T00:00:00"/>
    <s v="NA"/>
  </r>
  <r>
    <x v="24"/>
    <x v="6"/>
    <x v="0"/>
    <x v="0"/>
    <s v="It has been observed that the manpower currently available at the site is inadequate to meet the scheduled activity requirements of the project. The contractor has been instructed to mobilize the remaining workforce at the earliest. Only 6 masons are available on site for masonry work, which is targeted for 10 nos."/>
    <n v="5"/>
    <n v="5"/>
    <x v="0"/>
    <n v="0.5"/>
    <n v="1000"/>
    <n v="1"/>
    <x v="0"/>
    <x v="0"/>
    <s v="The shortage of manpower at the site is likely to cause significant delays in executing scheduled project activities, disrupting the overall project timeline. This may lead to resource mismanagement, reduced work efficiency, and a cascading impact on dependent tasks. If not resolved promptly, it can also increase project costs due to idle equipment, extended project duration, and potential contractual penalties."/>
    <x v="4"/>
    <s v="The contractor is required to immediately deploy the necessary manpower to meet current site requirements. "/>
    <x v="0"/>
    <d v="2025-12-31T00:00:00"/>
    <s v="NA"/>
  </r>
  <r>
    <x v="25"/>
    <x v="5"/>
    <x v="1"/>
    <x v="1"/>
    <s v="It has been observed that the manpower currently available at the site is inadequate to meet the scheduled activity requirements of the project. The contractor has been instructed to mobilize the remaining workforce at the earliest. Only 6 masons are available on site for masonry work, which is targeted for 10 nos."/>
    <n v="5"/>
    <n v="5"/>
    <x v="0"/>
    <n v="0.2"/>
    <n v="6200"/>
    <n v="1"/>
    <x v="1"/>
    <x v="6"/>
    <s v="The shortage of manpower at the site is likely to cause significant delays in executing scheduled project activities, disrupting the overall project timeline. This may lead to resource mismanagement, reduced work efficiency, and a cascading impact on dependent tasks. If not resolved promptly, it can also increase project costs due to idle equipment, extended project duration, and potential contractual penalties."/>
    <x v="0"/>
    <s v="The contractor is required to immediately deploy the necessary manpower to meet current site requirements. "/>
    <x v="1"/>
    <d v="2026-01-05T00:00:00"/>
    <s v="NA"/>
  </r>
  <r>
    <x v="26"/>
    <x v="1"/>
    <x v="2"/>
    <x v="0"/>
    <s v="It has been observed that the manpower currently available at the site is inadequate to meet the scheduled activity requirements of the project. The contractor has been instructed to mobilize the remaining workforce at the earliest. Only 6 masons are available on site for masonry work, which is targeted for 10 nos."/>
    <n v="5"/>
    <n v="5"/>
    <x v="0"/>
    <n v="0.3"/>
    <n v="1000"/>
    <n v="1"/>
    <x v="2"/>
    <x v="1"/>
    <s v="The shortage of manpower at the site is likely to cause significant delays in executing scheduled project activities, disrupting the overall project timeline. This may lead to resource mismanagement, reduced work efficiency, and a cascading impact on dependent tasks. If not resolved promptly, it can also increase project costs due to idle equipment, extended project duration, and potential contractual penalties."/>
    <x v="1"/>
    <s v="The contractor is required to immediately deploy the necessary manpower to meet current site requirements. "/>
    <x v="2"/>
    <d v="2025-12-26T00:00:00"/>
    <s v="NA"/>
  </r>
  <r>
    <x v="27"/>
    <x v="2"/>
    <x v="0"/>
    <x v="1"/>
    <s v="It has been observed that the manpower currently available at the site is inadequate to meet the scheduled activity requirements of the project. The contractor has been instructed to mobilize the remaining workforce at the earliest. Only 6 masons are available on site for masonry work, which is targeted for 10 nos."/>
    <n v="5"/>
    <n v="5"/>
    <x v="0"/>
    <n v="0.4"/>
    <n v="1000"/>
    <n v="1"/>
    <x v="0"/>
    <x v="3"/>
    <s v="The shortage of manpower at the site is likely to cause significant delays in executing scheduled project activities, disrupting the overall project timeline. This may lead to resource mismanagement, reduced work efficiency, and a cascading impact on dependent tasks. If not resolved promptly, it can also increase project costs due to idle equipment, extended project duration, and potential contractual penalties."/>
    <x v="2"/>
    <s v="The contractor is required to immediately deploy the necessary manpower to meet current site requirements. "/>
    <x v="3"/>
    <d v="2025-12-31T00:00:00"/>
    <s v="NA"/>
  </r>
  <r>
    <x v="28"/>
    <x v="3"/>
    <x v="1"/>
    <x v="0"/>
    <s v="It has been observed that the manpower currently available at the site is inadequate to meet the scheduled activity requirements of the project. The contractor has been instructed to mobilize the remaining workforce at the earliest. Only 6 masons are available on site for masonry work, which is targeted for 10 nos."/>
    <n v="5"/>
    <n v="5"/>
    <x v="0"/>
    <n v="0.5"/>
    <n v="1000"/>
    <n v="1"/>
    <x v="1"/>
    <x v="0"/>
    <s v="The shortage of manpower at the site is likely to cause significant delays in executing scheduled project activities, disrupting the overall project timeline. This may lead to resource mismanagement, reduced work efficiency, and a cascading impact on dependent tasks. If not resolved promptly, it can also increase project costs due to idle equipment, extended project duration, and potential contractual penalties."/>
    <x v="3"/>
    <s v="The contractor is required to immediately deploy the necessary manpower to meet current site requirements. "/>
    <x v="0"/>
    <d v="2026-01-05T00:00:00"/>
    <s v="NA"/>
  </r>
  <r>
    <x v="29"/>
    <x v="6"/>
    <x v="2"/>
    <x v="1"/>
    <s v="It has been observed that the manpower currently available at the site is inadequate to meet the scheduled activity requirements of the project. The contractor has been instructed to mobilize the remaining workforce at the earliest. Only 6 masons are available on site for masonry work, which is targeted for 10 nos."/>
    <n v="5"/>
    <n v="5"/>
    <x v="0"/>
    <n v="0.2"/>
    <n v="1000"/>
    <n v="1"/>
    <x v="2"/>
    <x v="6"/>
    <s v="The shortage of manpower at the site is likely to cause significant delays in executing scheduled project activities, disrupting the overall project timeline. This may lead to resource mismanagement, reduced work efficiency, and a cascading impact on dependent tasks. If not resolved promptly, it can also increase project costs due to idle equipment, extended project duration, and potential contractual penalties."/>
    <x v="4"/>
    <s v="The contractor is required to immediately deploy the necessary manpower to meet current site requirements. "/>
    <x v="1"/>
    <d v="2025-12-26T00:00:00"/>
    <s v="N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02D632-B09D-459B-9AB7-373E482C7011}" name="PivotTable5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E102:F105" firstHeaderRow="1" firstDataRow="1" firstDataCol="1"/>
  <pivotFields count="19">
    <pivotField showAll="0"/>
    <pivotField showAll="0"/>
    <pivotField showAll="0"/>
    <pivotField axis="axisRow" showAll="0">
      <items count="4">
        <item x="1"/>
        <item x="0"/>
        <item m="1" x="2"/>
        <item t="default"/>
      </items>
    </pivotField>
    <pivotField showAll="0"/>
    <pivotField showAll="0"/>
    <pivotField showAll="0"/>
    <pivotField dataField="1" showAll="0"/>
    <pivotField numFmtId="9" showAll="0"/>
    <pivotField numFmtId="165" showAll="0"/>
    <pivotField showAll="0"/>
    <pivotField showAll="0"/>
    <pivotField showAll="0"/>
    <pivotField showAll="0"/>
    <pivotField showAll="0"/>
    <pivotField showAll="0"/>
    <pivotField showAll="0"/>
    <pivotField numFmtId="164" showAll="0"/>
    <pivotField showAll="0"/>
  </pivotFields>
  <rowFields count="1">
    <field x="3"/>
  </rowFields>
  <rowItems count="3">
    <i>
      <x/>
    </i>
    <i>
      <x v="1"/>
    </i>
    <i t="grand">
      <x/>
    </i>
  </rowItems>
  <colItems count="1">
    <i/>
  </colItems>
  <dataFields count="1">
    <dataField name="Sum of Severity (Priority)" fld="7"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146627E-3A0D-4C08-A4AD-2094A6A1658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80:B88" firstHeaderRow="1" firstDataRow="1" firstDataCol="1"/>
  <pivotFields count="19">
    <pivotField dataField="1" showAll="0"/>
    <pivotField axis="axisRow" showAll="0">
      <items count="8">
        <item x="5"/>
        <item x="1"/>
        <item x="2"/>
        <item x="3"/>
        <item x="6"/>
        <item x="0"/>
        <item x="4"/>
        <item t="default"/>
      </items>
    </pivotField>
    <pivotField showAll="0"/>
    <pivotField showAll="0"/>
    <pivotField showAll="0"/>
    <pivotField showAll="0"/>
    <pivotField showAll="0"/>
    <pivotField showAll="0"/>
    <pivotField numFmtId="9" showAll="0"/>
    <pivotField numFmtId="165" showAll="0"/>
    <pivotField showAll="0"/>
    <pivotField showAll="0"/>
    <pivotField showAll="0"/>
    <pivotField showAll="0"/>
    <pivotField showAll="0"/>
    <pivotField showAll="0"/>
    <pivotField showAll="0"/>
    <pivotField numFmtId="164" showAll="0"/>
    <pivotField showAll="0"/>
  </pivotFields>
  <rowFields count="1">
    <field x="1"/>
  </rowFields>
  <rowItems count="8">
    <i>
      <x/>
    </i>
    <i>
      <x v="1"/>
    </i>
    <i>
      <x v="2"/>
    </i>
    <i>
      <x v="3"/>
    </i>
    <i>
      <x v="4"/>
    </i>
    <i>
      <x v="5"/>
    </i>
    <i>
      <x v="6"/>
    </i>
    <i t="grand">
      <x/>
    </i>
  </rowItems>
  <colItems count="1">
    <i/>
  </colItems>
  <dataFields count="1">
    <dataField name="Count of #" fld="0" subtotal="count" baseField="1" baseItem="0"/>
  </dataFields>
  <chartFormats count="1">
    <chartFormat chart="0" format="3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4DDF8D-3ACA-42D0-AE64-B435FC33482F}" name="PivotTable5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D87:E93" firstHeaderRow="1" firstDataRow="1" firstDataCol="1"/>
  <pivotFields count="19">
    <pivotField dataField="1" showAll="0">
      <items count="31">
        <item x="0"/>
        <item x="9"/>
        <item x="10"/>
        <item x="11"/>
        <item x="12"/>
        <item x="13"/>
        <item x="14"/>
        <item x="15"/>
        <item x="16"/>
        <item x="17"/>
        <item x="18"/>
        <item x="1"/>
        <item x="19"/>
        <item x="20"/>
        <item x="21"/>
        <item x="22"/>
        <item x="23"/>
        <item x="24"/>
        <item x="25"/>
        <item x="26"/>
        <item x="27"/>
        <item x="28"/>
        <item x="2"/>
        <item x="29"/>
        <item x="3"/>
        <item x="4"/>
        <item x="5"/>
        <item x="6"/>
        <item x="7"/>
        <item x="8"/>
        <item t="default"/>
      </items>
    </pivotField>
    <pivotField showAll="0"/>
    <pivotField showAll="0"/>
    <pivotField showAll="0"/>
    <pivotField showAll="0"/>
    <pivotField showAll="0"/>
    <pivotField showAll="0"/>
    <pivotField showAll="0"/>
    <pivotField numFmtId="9" showAll="0"/>
    <pivotField numFmtId="165" showAll="0"/>
    <pivotField showAll="0"/>
    <pivotField showAll="0"/>
    <pivotField showAll="0"/>
    <pivotField showAll="0"/>
    <pivotField axis="axisRow" showAll="0">
      <items count="6">
        <item x="1"/>
        <item x="0"/>
        <item x="3"/>
        <item x="4"/>
        <item x="2"/>
        <item t="default"/>
      </items>
    </pivotField>
    <pivotField showAll="0"/>
    <pivotField showAll="0"/>
    <pivotField numFmtId="164" showAll="0"/>
    <pivotField showAll="0"/>
  </pivotFields>
  <rowFields count="1">
    <field x="14"/>
  </rowFields>
  <rowItems count="6">
    <i>
      <x/>
    </i>
    <i>
      <x v="1"/>
    </i>
    <i>
      <x v="2"/>
    </i>
    <i>
      <x v="3"/>
    </i>
    <i>
      <x v="4"/>
    </i>
    <i t="grand">
      <x/>
    </i>
  </rowItems>
  <colItems count="1">
    <i/>
  </colItems>
  <dataFields count="1">
    <dataField name="Count of #" fld="0" subtotal="count" baseField="0" baseItem="0"/>
  </dataFields>
  <chartFormats count="1">
    <chartFormat chart="0"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D78919-48C4-433F-BA8C-32C1E08682A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89:B99" firstHeaderRow="1" firstDataRow="1" firstDataCol="1"/>
  <pivotFields count="19">
    <pivotField dataField="1" showAll="0"/>
    <pivotField showAll="0"/>
    <pivotField showAll="0"/>
    <pivotField showAll="0"/>
    <pivotField showAll="0"/>
    <pivotField showAll="0"/>
    <pivotField showAll="0"/>
    <pivotField axis="axisRow" showAll="0">
      <items count="10">
        <item x="6"/>
        <item x="7"/>
        <item x="2"/>
        <item x="1"/>
        <item x="4"/>
        <item x="3"/>
        <item x="5"/>
        <item x="8"/>
        <item x="0"/>
        <item t="default"/>
      </items>
    </pivotField>
    <pivotField numFmtId="9" showAll="0"/>
    <pivotField numFmtId="165" showAll="0"/>
    <pivotField showAll="0"/>
    <pivotField showAll="0"/>
    <pivotField showAll="0"/>
    <pivotField showAll="0"/>
    <pivotField showAll="0"/>
    <pivotField showAll="0"/>
    <pivotField showAll="0"/>
    <pivotField numFmtId="164" showAll="0"/>
    <pivotField showAll="0"/>
  </pivotFields>
  <rowFields count="1">
    <field x="7"/>
  </rowFields>
  <rowItems count="10">
    <i>
      <x/>
    </i>
    <i>
      <x v="1"/>
    </i>
    <i>
      <x v="2"/>
    </i>
    <i>
      <x v="3"/>
    </i>
    <i>
      <x v="4"/>
    </i>
    <i>
      <x v="5"/>
    </i>
    <i>
      <x v="6"/>
    </i>
    <i>
      <x v="7"/>
    </i>
    <i>
      <x v="8"/>
    </i>
    <i t="grand">
      <x/>
    </i>
  </rowItems>
  <colItems count="1">
    <i/>
  </colItems>
  <dataFields count="1">
    <dataField name="Count of #"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68896FA-F191-4119-9535-3DCDBAAE83C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D80:E84" firstHeaderRow="1" firstDataRow="1" firstDataCol="1"/>
  <pivotFields count="19">
    <pivotField dataField="1" showAll="0"/>
    <pivotField showAll="0"/>
    <pivotField axis="axisRow" showAll="0">
      <items count="4">
        <item x="2"/>
        <item x="1"/>
        <item x="0"/>
        <item t="default"/>
      </items>
    </pivotField>
    <pivotField showAll="0"/>
    <pivotField showAll="0"/>
    <pivotField showAll="0"/>
    <pivotField showAll="0"/>
    <pivotField showAll="0"/>
    <pivotField numFmtId="9" showAll="0"/>
    <pivotField numFmtId="165" showAll="0"/>
    <pivotField showAll="0"/>
    <pivotField showAll="0"/>
    <pivotField showAll="0"/>
    <pivotField showAll="0"/>
    <pivotField showAll="0"/>
    <pivotField showAll="0"/>
    <pivotField showAll="0"/>
    <pivotField numFmtId="164" showAll="0"/>
    <pivotField showAll="0"/>
  </pivotFields>
  <rowFields count="1">
    <field x="2"/>
  </rowFields>
  <rowItems count="4">
    <i>
      <x/>
    </i>
    <i>
      <x v="1"/>
    </i>
    <i>
      <x v="2"/>
    </i>
    <i t="grand">
      <x/>
    </i>
  </rowItems>
  <colItems count="1">
    <i/>
  </colItems>
  <dataFields count="1">
    <dataField name="Count of #" fld="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0DFB671-06D3-4EC9-AA2D-6A6057EBF185}" name="PivotTable5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G80:H85" firstHeaderRow="1" firstDataRow="1" firstDataCol="1"/>
  <pivotFields count="19">
    <pivotField dataField="1" showAll="0"/>
    <pivotField showAll="0"/>
    <pivotField showAll="0"/>
    <pivotField showAll="0"/>
    <pivotField showAll="0"/>
    <pivotField showAll="0"/>
    <pivotField showAll="0"/>
    <pivotField showAll="0"/>
    <pivotField numFmtId="9" showAll="0"/>
    <pivotField numFmtId="165" showAll="0"/>
    <pivotField showAll="0"/>
    <pivotField showAll="0"/>
    <pivotField showAll="0"/>
    <pivotField showAll="0"/>
    <pivotField showAll="0"/>
    <pivotField showAll="0"/>
    <pivotField axis="axisRow" showAll="0">
      <items count="5">
        <item x="1"/>
        <item x="3"/>
        <item x="2"/>
        <item x="0"/>
        <item t="default"/>
      </items>
    </pivotField>
    <pivotField numFmtId="164" showAll="0"/>
    <pivotField showAll="0"/>
  </pivotFields>
  <rowFields count="1">
    <field x="16"/>
  </rowFields>
  <rowItems count="5">
    <i>
      <x/>
    </i>
    <i>
      <x v="1"/>
    </i>
    <i>
      <x v="2"/>
    </i>
    <i>
      <x v="3"/>
    </i>
    <i t="grand">
      <x/>
    </i>
  </rowItems>
  <colItems count="1">
    <i/>
  </colItems>
  <dataFields count="1">
    <dataField name="Count of #" fld="0" subtotal="count" baseField="16" baseItem="0"/>
  </dataFields>
  <chartFormats count="5">
    <chartFormat chart="0" format="0"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16" count="1" selected="0">
            <x v="0"/>
          </reference>
        </references>
      </pivotArea>
    </chartFormat>
    <chartFormat chart="0" format="4">
      <pivotArea type="data" outline="0" fieldPosition="0">
        <references count="2">
          <reference field="4294967294" count="1" selected="0">
            <x v="0"/>
          </reference>
          <reference field="16" count="1" selected="0">
            <x v="1"/>
          </reference>
        </references>
      </pivotArea>
    </chartFormat>
    <chartFormat chart="0" format="5">
      <pivotArea type="data" outline="0" fieldPosition="0">
        <references count="2">
          <reference field="4294967294" count="1" selected="0">
            <x v="0"/>
          </reference>
          <reference field="16" count="1" selected="0">
            <x v="2"/>
          </reference>
        </references>
      </pivotArea>
    </chartFormat>
    <chartFormat chart="0" format="6">
      <pivotArea type="data" outline="0" fieldPosition="0">
        <references count="2">
          <reference field="4294967294" count="1" selected="0">
            <x v="0"/>
          </reference>
          <reference field="1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9B2F761-1C80-4AD6-AED8-A090C07F8B1A}" name="PivotTable5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5">
  <location ref="A102:C117" firstHeaderRow="1" firstDataRow="1" firstDataCol="2"/>
  <pivotFields count="19">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9" outline="0" showAll="0" defaultSubtotal="0"/>
    <pivotField compact="0" numFmtId="165" outline="0" showAll="0" defaultSubtotal="0"/>
    <pivotField compact="0" outline="0" showAll="0" defaultSubtotal="0"/>
    <pivotField axis="axisRow" compact="0" outline="0" showAll="0" defaultSubtotal="0">
      <items count="3">
        <item x="0"/>
        <item x="1"/>
        <item x="2"/>
      </items>
    </pivotField>
    <pivotField axis="axisRow" compact="0" outline="0" showAll="0" defaultSubtotal="0">
      <items count="7">
        <item x="5"/>
        <item x="2"/>
        <item x="6"/>
        <item x="3"/>
        <item x="0"/>
        <item x="4"/>
        <item x="1"/>
      </items>
    </pivotField>
    <pivotField compact="0" outline="0" showAll="0" defaultSubtotal="0"/>
    <pivotField compact="0" outline="0" showAll="0" defaultSubtotal="0"/>
    <pivotField compact="0" outline="0" showAll="0" defaultSubtotal="0"/>
    <pivotField compact="0" outline="0" showAll="0" defaultSubtotal="0"/>
    <pivotField compact="0" numFmtId="164" outline="0" showAll="0" defaultSubtotal="0"/>
    <pivotField compact="0" outline="0" showAll="0" defaultSubtotal="0"/>
  </pivotFields>
  <rowFields count="2">
    <field x="11"/>
    <field x="12"/>
  </rowFields>
  <rowItems count="15">
    <i>
      <x/>
      <x/>
    </i>
    <i r="1">
      <x v="1"/>
    </i>
    <i r="1">
      <x v="3"/>
    </i>
    <i r="1">
      <x v="4"/>
    </i>
    <i r="1">
      <x v="5"/>
    </i>
    <i>
      <x v="1"/>
      <x/>
    </i>
    <i r="1">
      <x v="1"/>
    </i>
    <i r="1">
      <x v="2"/>
    </i>
    <i r="1">
      <x v="4"/>
    </i>
    <i r="1">
      <x v="6"/>
    </i>
    <i>
      <x v="2"/>
      <x/>
    </i>
    <i r="1">
      <x v="1"/>
    </i>
    <i r="1">
      <x v="2"/>
    </i>
    <i r="1">
      <x v="3"/>
    </i>
    <i r="1">
      <x v="6"/>
    </i>
  </rowItems>
  <colItems count="1">
    <i/>
  </colItems>
  <dataFields count="1">
    <dataField name="Count of #" fld="0" subtotal="count" baseField="0" baseItem="0"/>
  </dataField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FC2EFB-B7F9-405C-8977-9F3E7BCB38E2}" name="Risk_Register" displayName="Risk_Register" ref="A2:S32" totalsRowShown="0" headerRowDxfId="30" tableBorderDxfId="29">
  <autoFilter ref="A2:S32" xr:uid="{9FFC2EFB-B7F9-405C-8977-9F3E7BCB38E2}"/>
  <tableColumns count="19">
    <tableColumn id="1" xr3:uid="{6558CA9D-C33A-40B4-8B37-B083C93E1368}" name="#" dataDxfId="28"/>
    <tableColumn id="2" xr3:uid="{BA0B7067-2F80-4131-A156-0BCBAFCFE1B9}" name="Category" dataDxfId="27"/>
    <tableColumn id="3" xr3:uid="{17AC45BD-F251-4FD9-9A01-1C561BCEE61D}" name="Opportunity / Threat" dataDxfId="26"/>
    <tableColumn id="4" xr3:uid="{DCA2CA49-61ED-4586-B9BB-0C9775AE10A6}" name="Risk Name" dataDxfId="25"/>
    <tableColumn id="5" xr3:uid="{7152D578-FFC7-46B3-8083-C679DF2D60EC}" name="Detailed Description" dataDxfId="24"/>
    <tableColumn id="6" xr3:uid="{2C1D3D8B-CC39-495F-A9E9-7EC0DFA93A32}" name="Probability (1 - 5)" dataDxfId="23"/>
    <tableColumn id="7" xr3:uid="{5F643B4F-19EF-44FE-B5D8-A4C9F5045176}" name="Consequence (1-5)" dataDxfId="22"/>
    <tableColumn id="8" xr3:uid="{98738636-700B-4BCC-BCA3-819748C7516B}" name="Severity (Priority)" dataDxfId="21">
      <calculatedColumnFormula>F3*G3</calculatedColumnFormula>
    </tableColumn>
    <tableColumn id="9" xr3:uid="{C334945F-4A15-4C91-881A-94AEE275055E}" name="Probability (%)" dataDxfId="20" dataCellStyle="Percent"/>
    <tableColumn id="10" xr3:uid="{8F82861F-9E32-4755-B093-C40073295E45}" name="Cost Impact (₹)" dataDxfId="19" dataCellStyle="Currency"/>
    <tableColumn id="11" xr3:uid="{F9FD71DA-AB9B-4E77-81F2-A267829057AE}" name="Most Likely (no. of weeks)" dataDxfId="18" dataCellStyle="Currency"/>
    <tableColumn id="19" xr3:uid="{26E56C34-DD83-48B7-B1B1-140B25FE1444}" name="Urgency" dataDxfId="17" dataCellStyle="Currency"/>
    <tableColumn id="12" xr3:uid="{0BDBEE64-247B-4995-ACFE-582042F503B5}" name="Response Category" dataDxfId="16"/>
    <tableColumn id="13" xr3:uid="{9C18856D-4AB0-4FA8-A6C5-A26AC66F22C9}" name="Impact" dataDxfId="15"/>
    <tableColumn id="14" xr3:uid="{4D480DBE-B200-40F5-A28C-AA29B5E4791D}" name="Risk Owner" dataDxfId="14" dataCellStyle="Currency"/>
    <tableColumn id="15" xr3:uid="{FF5E2250-5866-4D2B-BF2A-2EDB46430D12}" name="Contingency Plan" dataDxfId="13" dataCellStyle="Currency"/>
    <tableColumn id="16" xr3:uid="{FC303109-6A1F-405D-B6C8-8EDAB4D75F33}" name="Status" dataDxfId="12"/>
    <tableColumn id="17" xr3:uid="{73B68219-F78C-4516-BEA2-B6D535EE3A0E}" name="Date Last Updated" dataDxfId="11"/>
    <tableColumn id="18" xr3:uid="{CFD8E3C8-E70E-4A8C-B223-B9585C1DC9BD}" name="Tracking Comments" dataDxfId="10"/>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60D78-2559-4D03-9BE5-ABF2313102D5}">
  <dimension ref="A1:AI117"/>
  <sheetViews>
    <sheetView tabSelected="1" topLeftCell="A19" zoomScale="85" zoomScaleNormal="85" workbookViewId="0">
      <selection activeCell="I62" sqref="I62"/>
    </sheetView>
  </sheetViews>
  <sheetFormatPr defaultRowHeight="14.4" x14ac:dyDescent="0.3"/>
  <cols>
    <col min="1" max="1" width="14.88671875" bestFit="1" customWidth="1"/>
    <col min="2" max="3" width="9.33203125" bestFit="1" customWidth="1"/>
    <col min="4" max="4" width="14.88671875" bestFit="1" customWidth="1"/>
    <col min="5" max="5" width="9.33203125" bestFit="1" customWidth="1"/>
    <col min="6" max="6" width="21.88671875" bestFit="1" customWidth="1"/>
    <col min="7" max="7" width="19.33203125" bestFit="1" customWidth="1"/>
    <col min="8" max="8" width="9.33203125" bestFit="1" customWidth="1"/>
    <col min="9" max="9" width="21.21875" bestFit="1" customWidth="1"/>
    <col min="10" max="10" width="11" bestFit="1" customWidth="1"/>
    <col min="11" max="18" width="3" bestFit="1" customWidth="1"/>
    <col min="19" max="23" width="6.33203125" customWidth="1"/>
    <col min="24" max="31" width="3" bestFit="1" customWidth="1"/>
    <col min="32" max="32" width="10.5546875" bestFit="1" customWidth="1"/>
    <col min="35" max="35" width="0" hidden="1" customWidth="1"/>
  </cols>
  <sheetData>
    <row r="1" spans="1:35" x14ac:dyDescent="0.3">
      <c r="A1" s="97" t="s">
        <v>125</v>
      </c>
      <c r="B1" s="98"/>
      <c r="C1" s="98"/>
      <c r="D1" s="98"/>
      <c r="E1" s="98"/>
      <c r="F1" s="98"/>
      <c r="G1" s="98"/>
      <c r="H1" s="98"/>
      <c r="I1" s="98"/>
      <c r="J1" s="98"/>
      <c r="K1" s="98"/>
      <c r="L1" s="98"/>
      <c r="M1" s="98"/>
      <c r="N1" s="98"/>
      <c r="O1" s="98"/>
      <c r="P1" s="98"/>
      <c r="Q1" s="98"/>
      <c r="R1" s="98"/>
      <c r="S1" s="98"/>
      <c r="T1" s="98"/>
      <c r="U1" s="98"/>
      <c r="V1" s="98"/>
      <c r="W1" s="98"/>
      <c r="X1" s="98"/>
      <c r="Y1" s="98"/>
      <c r="Z1" s="98"/>
      <c r="AA1" s="98"/>
      <c r="AB1" s="98"/>
      <c r="AC1" s="98"/>
      <c r="AD1" s="98"/>
      <c r="AE1" s="98"/>
      <c r="AF1" s="98"/>
      <c r="AG1" s="98"/>
      <c r="AH1" s="99"/>
      <c r="AI1" s="79"/>
    </row>
    <row r="2" spans="1:35" ht="15" thickBot="1" x14ac:dyDescent="0.35">
      <c r="A2" s="100"/>
      <c r="B2" s="101"/>
      <c r="C2" s="101"/>
      <c r="D2" s="101"/>
      <c r="E2" s="101"/>
      <c r="F2" s="101"/>
      <c r="G2" s="101"/>
      <c r="H2" s="101"/>
      <c r="I2" s="101"/>
      <c r="J2" s="101"/>
      <c r="K2" s="101"/>
      <c r="L2" s="101"/>
      <c r="M2" s="101"/>
      <c r="N2" s="101"/>
      <c r="O2" s="101"/>
      <c r="P2" s="101"/>
      <c r="Q2" s="101"/>
      <c r="R2" s="101"/>
      <c r="S2" s="101"/>
      <c r="T2" s="101"/>
      <c r="U2" s="101"/>
      <c r="V2" s="101"/>
      <c r="W2" s="101"/>
      <c r="X2" s="101"/>
      <c r="Y2" s="101"/>
      <c r="Z2" s="101"/>
      <c r="AA2" s="101"/>
      <c r="AB2" s="101"/>
      <c r="AC2" s="101"/>
      <c r="AD2" s="101"/>
      <c r="AE2" s="101"/>
      <c r="AF2" s="101"/>
      <c r="AG2" s="101"/>
      <c r="AH2" s="102"/>
      <c r="AI2" s="81"/>
    </row>
    <row r="3" spans="1:35" x14ac:dyDescent="0.3">
      <c r="A3" s="80"/>
      <c r="B3" s="78"/>
      <c r="C3" s="78"/>
      <c r="D3" s="78"/>
      <c r="E3" s="78"/>
      <c r="F3" s="78"/>
      <c r="G3" s="78"/>
      <c r="H3" s="78"/>
      <c r="I3" s="78"/>
      <c r="J3" s="78"/>
      <c r="K3" s="78"/>
      <c r="L3" s="78"/>
      <c r="M3" s="78"/>
      <c r="N3" s="78"/>
      <c r="O3" s="78"/>
      <c r="P3" s="78"/>
      <c r="Q3" s="78"/>
      <c r="R3" s="78"/>
      <c r="S3" s="78"/>
      <c r="T3" s="78"/>
      <c r="U3" s="78"/>
      <c r="V3" s="78"/>
      <c r="W3" s="78"/>
      <c r="X3" s="78"/>
      <c r="Y3" s="78"/>
      <c r="Z3" s="78"/>
      <c r="AA3" s="78"/>
      <c r="AB3" s="78"/>
      <c r="AC3" s="78"/>
      <c r="AD3" s="78"/>
      <c r="AE3" s="78"/>
      <c r="AF3" s="78"/>
      <c r="AG3" s="78"/>
      <c r="AH3" s="81"/>
      <c r="AI3" s="81"/>
    </row>
    <row r="4" spans="1:35" x14ac:dyDescent="0.3">
      <c r="A4" s="80"/>
      <c r="B4" s="78"/>
      <c r="C4" s="78"/>
      <c r="D4" s="78"/>
      <c r="E4" s="78"/>
      <c r="F4" s="78"/>
      <c r="G4" s="78"/>
      <c r="H4" s="78"/>
      <c r="I4" s="78"/>
      <c r="J4" s="78"/>
      <c r="K4" s="78"/>
      <c r="L4" s="78"/>
      <c r="M4" s="78"/>
      <c r="N4" s="78"/>
      <c r="O4" s="78"/>
      <c r="P4" s="78"/>
      <c r="Q4" s="78"/>
      <c r="R4" s="78"/>
      <c r="S4" s="78"/>
      <c r="T4" s="78"/>
      <c r="U4" s="78"/>
      <c r="V4" s="78"/>
      <c r="W4" s="78"/>
      <c r="X4" s="78"/>
      <c r="Y4" s="78"/>
      <c r="Z4" s="78"/>
      <c r="AA4" s="78"/>
      <c r="AB4" s="78"/>
      <c r="AC4" s="78"/>
      <c r="AD4" s="78"/>
      <c r="AE4" s="78"/>
      <c r="AF4" s="78"/>
      <c r="AG4" s="78"/>
      <c r="AH4" s="81"/>
      <c r="AI4" s="81"/>
    </row>
    <row r="5" spans="1:35" x14ac:dyDescent="0.3">
      <c r="A5" s="80"/>
      <c r="B5" s="78"/>
      <c r="C5" s="78"/>
      <c r="D5" s="78"/>
      <c r="E5" s="78"/>
      <c r="F5" s="78"/>
      <c r="G5" s="78"/>
      <c r="H5" s="78"/>
      <c r="I5" s="78"/>
      <c r="J5" s="78"/>
      <c r="K5" s="78"/>
      <c r="L5" s="78"/>
      <c r="M5" s="78"/>
      <c r="N5" s="78"/>
      <c r="O5" s="78"/>
      <c r="P5" s="78"/>
      <c r="Q5" s="78"/>
      <c r="R5" s="78"/>
      <c r="S5" s="78"/>
      <c r="T5" s="78"/>
      <c r="U5" s="78"/>
      <c r="V5" s="78"/>
      <c r="W5" s="78"/>
      <c r="X5" s="78"/>
      <c r="Y5" s="78"/>
      <c r="Z5" s="78"/>
      <c r="AA5" s="78"/>
      <c r="AB5" s="78"/>
      <c r="AC5" s="78"/>
      <c r="AD5" s="78"/>
      <c r="AE5" s="78"/>
      <c r="AF5" s="78"/>
      <c r="AG5" s="78"/>
      <c r="AH5" s="81"/>
      <c r="AI5" s="81"/>
    </row>
    <row r="6" spans="1:35" x14ac:dyDescent="0.3">
      <c r="A6" s="80"/>
      <c r="B6" s="78"/>
      <c r="C6" s="78"/>
      <c r="D6" s="78"/>
      <c r="E6" s="78"/>
      <c r="F6" s="78"/>
      <c r="G6" s="78"/>
      <c r="H6" s="78"/>
      <c r="I6" s="78"/>
      <c r="J6" s="78"/>
      <c r="K6" s="78"/>
      <c r="L6" s="78"/>
      <c r="M6" s="78"/>
      <c r="N6" s="78"/>
      <c r="O6" s="78"/>
      <c r="P6" s="78"/>
      <c r="Q6" s="78"/>
      <c r="R6" s="78"/>
      <c r="S6" s="78"/>
      <c r="T6" s="78"/>
      <c r="U6" s="78"/>
      <c r="V6" s="78"/>
      <c r="W6" s="78"/>
      <c r="X6" s="78"/>
      <c r="Y6" s="78"/>
      <c r="Z6" s="78"/>
      <c r="AA6" s="78"/>
      <c r="AB6" s="78"/>
      <c r="AC6" s="78"/>
      <c r="AD6" s="78"/>
      <c r="AE6" s="78"/>
      <c r="AF6" s="78"/>
      <c r="AG6" s="78"/>
      <c r="AH6" s="81"/>
      <c r="AI6" s="81"/>
    </row>
    <row r="7" spans="1:35" x14ac:dyDescent="0.3">
      <c r="A7" s="80"/>
      <c r="B7" s="78"/>
      <c r="C7" s="78"/>
      <c r="D7" s="78"/>
      <c r="E7" s="78"/>
      <c r="F7" s="78"/>
      <c r="G7" s="78"/>
      <c r="H7" s="78"/>
      <c r="I7" s="78"/>
      <c r="J7" s="78"/>
      <c r="K7" s="78"/>
      <c r="L7" s="78"/>
      <c r="M7" s="78"/>
      <c r="N7" s="78"/>
      <c r="O7" s="78"/>
      <c r="P7" s="78"/>
      <c r="Q7" s="78"/>
      <c r="R7" s="78"/>
      <c r="S7" s="78"/>
      <c r="T7" s="78"/>
      <c r="U7" s="78"/>
      <c r="V7" s="78"/>
      <c r="W7" s="78"/>
      <c r="X7" s="78"/>
      <c r="Y7" s="78"/>
      <c r="Z7" s="78"/>
      <c r="AA7" s="78"/>
      <c r="AB7" s="78"/>
      <c r="AC7" s="78"/>
      <c r="AD7" s="78"/>
      <c r="AE7" s="78"/>
      <c r="AF7" s="78"/>
      <c r="AG7" s="78"/>
      <c r="AH7" s="81"/>
      <c r="AI7" s="81"/>
    </row>
    <row r="8" spans="1:35" x14ac:dyDescent="0.3">
      <c r="A8" s="80"/>
      <c r="B8" s="78"/>
      <c r="C8" s="78"/>
      <c r="D8" s="78"/>
      <c r="E8" s="78"/>
      <c r="F8" s="78"/>
      <c r="G8" s="78"/>
      <c r="H8" s="78"/>
      <c r="I8" s="78"/>
      <c r="J8" s="78"/>
      <c r="K8" s="78"/>
      <c r="L8" s="78"/>
      <c r="M8" s="78"/>
      <c r="N8" s="78"/>
      <c r="O8" s="78"/>
      <c r="P8" s="78"/>
      <c r="Q8" s="78"/>
      <c r="R8" s="78"/>
      <c r="S8" s="78"/>
      <c r="T8" s="78"/>
      <c r="U8" s="78"/>
      <c r="V8" s="78"/>
      <c r="W8" s="78"/>
      <c r="X8" s="78"/>
      <c r="Y8" s="78"/>
      <c r="Z8" s="78"/>
      <c r="AA8" s="78"/>
      <c r="AB8" s="78"/>
      <c r="AC8" s="78"/>
      <c r="AD8" s="78"/>
      <c r="AE8" s="78"/>
      <c r="AF8" s="78"/>
      <c r="AG8" s="78"/>
      <c r="AH8" s="81"/>
      <c r="AI8" s="81"/>
    </row>
    <row r="9" spans="1:35" x14ac:dyDescent="0.3">
      <c r="A9" s="80"/>
      <c r="B9" s="78"/>
      <c r="C9" s="78"/>
      <c r="D9" s="78"/>
      <c r="E9" s="78"/>
      <c r="F9" s="78"/>
      <c r="G9" s="78"/>
      <c r="H9" s="78"/>
      <c r="I9" s="78"/>
      <c r="J9" s="78"/>
      <c r="K9" s="78"/>
      <c r="L9" s="78"/>
      <c r="M9" s="78"/>
      <c r="N9" s="78"/>
      <c r="O9" s="78"/>
      <c r="P9" s="78"/>
      <c r="Q9" s="78"/>
      <c r="R9" s="78"/>
      <c r="S9" s="78"/>
      <c r="T9" s="78"/>
      <c r="U9" s="78"/>
      <c r="V9" s="78"/>
      <c r="W9" s="78"/>
      <c r="X9" s="78"/>
      <c r="Y9" s="78"/>
      <c r="Z9" s="78"/>
      <c r="AA9" s="78"/>
      <c r="AB9" s="78"/>
      <c r="AC9" s="78"/>
      <c r="AD9" s="78"/>
      <c r="AE9" s="78"/>
      <c r="AF9" s="78"/>
      <c r="AG9" s="78"/>
      <c r="AH9" s="81"/>
      <c r="AI9" s="81"/>
    </row>
    <row r="10" spans="1:35" x14ac:dyDescent="0.3">
      <c r="A10" s="80"/>
      <c r="B10" s="78"/>
      <c r="C10" s="78"/>
      <c r="D10" s="78"/>
      <c r="E10" s="78"/>
      <c r="F10" s="78"/>
      <c r="G10" s="78"/>
      <c r="H10" s="78"/>
      <c r="I10" s="78"/>
      <c r="J10" s="78"/>
      <c r="K10" s="78"/>
      <c r="L10" s="78"/>
      <c r="M10" s="78"/>
      <c r="N10" s="78"/>
      <c r="O10" s="78"/>
      <c r="P10" s="78"/>
      <c r="Q10" s="78"/>
      <c r="R10" s="78"/>
      <c r="S10" s="78"/>
      <c r="T10" s="78"/>
      <c r="U10" s="78"/>
      <c r="V10" s="78"/>
      <c r="W10" s="78"/>
      <c r="X10" s="78"/>
      <c r="Y10" s="78"/>
      <c r="Z10" s="78"/>
      <c r="AA10" s="78"/>
      <c r="AB10" s="78"/>
      <c r="AC10" s="78"/>
      <c r="AD10" s="78"/>
      <c r="AE10" s="78"/>
      <c r="AF10" s="78"/>
      <c r="AG10" s="78"/>
      <c r="AH10" s="81"/>
      <c r="AI10" s="81"/>
    </row>
    <row r="11" spans="1:35" x14ac:dyDescent="0.3">
      <c r="A11" s="80"/>
      <c r="B11" s="78"/>
      <c r="C11" s="78"/>
      <c r="D11" s="78"/>
      <c r="E11" s="78"/>
      <c r="F11" s="78"/>
      <c r="G11" s="78"/>
      <c r="H11" s="78"/>
      <c r="I11" s="78"/>
      <c r="J11" s="78"/>
      <c r="K11" s="78"/>
      <c r="L11" s="78"/>
      <c r="M11" s="78"/>
      <c r="N11" s="78"/>
      <c r="O11" s="78"/>
      <c r="P11" s="78"/>
      <c r="Q11" s="78"/>
      <c r="R11" s="78"/>
      <c r="S11" s="78"/>
      <c r="T11" s="78"/>
      <c r="U11" s="78"/>
      <c r="V11" s="78"/>
      <c r="W11" s="78"/>
      <c r="X11" s="78"/>
      <c r="Y11" s="78"/>
      <c r="Z11" s="78"/>
      <c r="AA11" s="78"/>
      <c r="AB11" s="78"/>
      <c r="AC11" s="78"/>
      <c r="AD11" s="78"/>
      <c r="AE11" s="78"/>
      <c r="AF11" s="78"/>
      <c r="AG11" s="78"/>
      <c r="AH11" s="81"/>
      <c r="AI11" s="81"/>
    </row>
    <row r="12" spans="1:35" x14ac:dyDescent="0.3">
      <c r="A12" s="80"/>
      <c r="B12" s="78"/>
      <c r="C12" s="78"/>
      <c r="D12" s="78"/>
      <c r="E12" s="78"/>
      <c r="F12" s="78"/>
      <c r="G12" s="78"/>
      <c r="H12" s="78"/>
      <c r="I12" s="78"/>
      <c r="J12" s="78"/>
      <c r="K12" s="78"/>
      <c r="L12" s="78"/>
      <c r="M12" s="78"/>
      <c r="N12" s="78"/>
      <c r="O12" s="78"/>
      <c r="P12" s="78"/>
      <c r="Q12" s="78"/>
      <c r="R12" s="78"/>
      <c r="S12" s="78"/>
      <c r="T12" s="78"/>
      <c r="U12" s="78"/>
      <c r="V12" s="78"/>
      <c r="W12" s="78"/>
      <c r="X12" s="78"/>
      <c r="Y12" s="78"/>
      <c r="Z12" s="78"/>
      <c r="AA12" s="78"/>
      <c r="AB12" s="78"/>
      <c r="AC12" s="78"/>
      <c r="AD12" s="78"/>
      <c r="AE12" s="78"/>
      <c r="AF12" s="78"/>
      <c r="AG12" s="78"/>
      <c r="AH12" s="81"/>
      <c r="AI12" s="81"/>
    </row>
    <row r="13" spans="1:35" x14ac:dyDescent="0.3">
      <c r="A13" s="80"/>
      <c r="B13" s="78"/>
      <c r="C13" s="78"/>
      <c r="D13" s="78"/>
      <c r="E13" s="78"/>
      <c r="F13" s="78"/>
      <c r="G13" s="78"/>
      <c r="H13" s="78"/>
      <c r="I13" s="78"/>
      <c r="J13" s="78"/>
      <c r="K13" s="78"/>
      <c r="L13" s="78"/>
      <c r="M13" s="78"/>
      <c r="N13" s="78"/>
      <c r="O13" s="78"/>
      <c r="P13" s="78"/>
      <c r="Q13" s="78"/>
      <c r="R13" s="78"/>
      <c r="S13" s="78"/>
      <c r="T13" s="78"/>
      <c r="U13" s="78"/>
      <c r="V13" s="78"/>
      <c r="W13" s="78"/>
      <c r="X13" s="78"/>
      <c r="Y13" s="78"/>
      <c r="Z13" s="78"/>
      <c r="AA13" s="78"/>
      <c r="AB13" s="78"/>
      <c r="AC13" s="78"/>
      <c r="AD13" s="78"/>
      <c r="AE13" s="78"/>
      <c r="AF13" s="78"/>
      <c r="AG13" s="78"/>
      <c r="AH13" s="81"/>
      <c r="AI13" s="81"/>
    </row>
    <row r="14" spans="1:35" x14ac:dyDescent="0.3">
      <c r="A14" s="80"/>
      <c r="B14" s="78"/>
      <c r="C14" s="78"/>
      <c r="D14" s="78"/>
      <c r="E14" s="78"/>
      <c r="F14" s="78"/>
      <c r="G14" s="78"/>
      <c r="H14" s="78"/>
      <c r="I14" s="78"/>
      <c r="J14" s="78"/>
      <c r="K14" s="78"/>
      <c r="L14" s="78"/>
      <c r="M14" s="78"/>
      <c r="N14" s="78"/>
      <c r="O14" s="78"/>
      <c r="P14" s="78"/>
      <c r="Q14" s="78"/>
      <c r="R14" s="78"/>
      <c r="S14" s="78"/>
      <c r="T14" s="78"/>
      <c r="U14" s="78"/>
      <c r="V14" s="78"/>
      <c r="W14" s="78"/>
      <c r="X14" s="78"/>
      <c r="Y14" s="78"/>
      <c r="Z14" s="78"/>
      <c r="AA14" s="78"/>
      <c r="AB14" s="78"/>
      <c r="AC14" s="78"/>
      <c r="AD14" s="78"/>
      <c r="AE14" s="78"/>
      <c r="AF14" s="78"/>
      <c r="AG14" s="78"/>
      <c r="AH14" s="81"/>
      <c r="AI14" s="81"/>
    </row>
    <row r="15" spans="1:35" x14ac:dyDescent="0.3">
      <c r="A15" s="80"/>
      <c r="B15" s="78"/>
      <c r="C15" s="78"/>
      <c r="D15" s="78"/>
      <c r="E15" s="78"/>
      <c r="F15" s="78"/>
      <c r="G15" s="78"/>
      <c r="H15" s="78"/>
      <c r="I15" s="78"/>
      <c r="J15" s="78"/>
      <c r="K15" s="78"/>
      <c r="L15" s="78"/>
      <c r="M15" s="78"/>
      <c r="N15" s="78"/>
      <c r="O15" s="78"/>
      <c r="P15" s="78"/>
      <c r="Q15" s="78"/>
      <c r="R15" s="78"/>
      <c r="S15" s="78"/>
      <c r="T15" s="78"/>
      <c r="U15" s="78"/>
      <c r="V15" s="78"/>
      <c r="W15" s="78"/>
      <c r="X15" s="78"/>
      <c r="Y15" s="78"/>
      <c r="Z15" s="78"/>
      <c r="AA15" s="78"/>
      <c r="AB15" s="78"/>
      <c r="AC15" s="78"/>
      <c r="AD15" s="78"/>
      <c r="AE15" s="78"/>
      <c r="AF15" s="78"/>
      <c r="AG15" s="78"/>
      <c r="AH15" s="81"/>
      <c r="AI15" s="81"/>
    </row>
    <row r="16" spans="1:35" x14ac:dyDescent="0.3">
      <c r="A16" s="80"/>
      <c r="B16" s="78"/>
      <c r="C16" s="78"/>
      <c r="D16" s="78"/>
      <c r="E16" s="78"/>
      <c r="F16" s="78"/>
      <c r="G16" s="78"/>
      <c r="H16" s="78"/>
      <c r="I16" s="78"/>
      <c r="J16" s="78"/>
      <c r="K16" s="78"/>
      <c r="L16" s="78"/>
      <c r="M16" s="78"/>
      <c r="N16" s="78"/>
      <c r="O16" s="78"/>
      <c r="P16" s="78"/>
      <c r="Q16" s="78"/>
      <c r="R16" s="78"/>
      <c r="S16" s="78"/>
      <c r="T16" s="78"/>
      <c r="U16" s="78"/>
      <c r="V16" s="78"/>
      <c r="W16" s="78"/>
      <c r="X16" s="78"/>
      <c r="Y16" s="78"/>
      <c r="Z16" s="78"/>
      <c r="AA16" s="78"/>
      <c r="AB16" s="78"/>
      <c r="AC16" s="78"/>
      <c r="AD16" s="78"/>
      <c r="AE16" s="78"/>
      <c r="AF16" s="78"/>
      <c r="AG16" s="78"/>
      <c r="AH16" s="81"/>
      <c r="AI16" s="81"/>
    </row>
    <row r="17" spans="1:35" x14ac:dyDescent="0.3">
      <c r="A17" s="80"/>
      <c r="B17" s="78"/>
      <c r="C17" s="78"/>
      <c r="D17" s="78"/>
      <c r="E17" s="78"/>
      <c r="F17" s="78"/>
      <c r="G17" s="78"/>
      <c r="H17" s="78"/>
      <c r="I17" s="78"/>
      <c r="J17" s="78"/>
      <c r="K17" s="78"/>
      <c r="L17" s="78"/>
      <c r="M17" s="78"/>
      <c r="N17" s="78"/>
      <c r="O17" s="78"/>
      <c r="P17" s="78"/>
      <c r="Q17" s="78"/>
      <c r="R17" s="78"/>
      <c r="S17" s="78"/>
      <c r="T17" s="78"/>
      <c r="U17" s="78"/>
      <c r="V17" s="78"/>
      <c r="W17" s="78"/>
      <c r="X17" s="78"/>
      <c r="Y17" s="78"/>
      <c r="Z17" s="78"/>
      <c r="AA17" s="78"/>
      <c r="AB17" s="78"/>
      <c r="AC17" s="78"/>
      <c r="AD17" s="78"/>
      <c r="AE17" s="78"/>
      <c r="AF17" s="78"/>
      <c r="AG17" s="78"/>
      <c r="AH17" s="81"/>
      <c r="AI17" s="81"/>
    </row>
    <row r="18" spans="1:35" x14ac:dyDescent="0.3">
      <c r="A18" s="80"/>
      <c r="B18" s="78"/>
      <c r="C18" s="78"/>
      <c r="D18" s="78"/>
      <c r="E18" s="78"/>
      <c r="F18" s="78"/>
      <c r="G18" s="78"/>
      <c r="H18" s="78"/>
      <c r="I18" s="78"/>
      <c r="J18" s="78"/>
      <c r="K18" s="78"/>
      <c r="L18" s="78"/>
      <c r="M18" s="78"/>
      <c r="N18" s="78"/>
      <c r="O18" s="78"/>
      <c r="P18" s="78"/>
      <c r="Q18" s="78"/>
      <c r="R18" s="78"/>
      <c r="S18" s="78"/>
      <c r="T18" s="78"/>
      <c r="U18" s="78"/>
      <c r="V18" s="78"/>
      <c r="W18" s="78"/>
      <c r="X18" s="78"/>
      <c r="Y18" s="78"/>
      <c r="Z18" s="78"/>
      <c r="AA18" s="78"/>
      <c r="AB18" s="78"/>
      <c r="AC18" s="78"/>
      <c r="AD18" s="78"/>
      <c r="AE18" s="78"/>
      <c r="AF18" s="78"/>
      <c r="AG18" s="78"/>
      <c r="AH18" s="81"/>
      <c r="AI18" s="81"/>
    </row>
    <row r="19" spans="1:35" x14ac:dyDescent="0.3">
      <c r="A19" s="80"/>
      <c r="B19" s="78"/>
      <c r="C19" s="78"/>
      <c r="D19" s="78"/>
      <c r="E19" s="78"/>
      <c r="F19" s="78"/>
      <c r="G19" s="78"/>
      <c r="H19" s="78"/>
      <c r="I19" s="78"/>
      <c r="J19" s="78"/>
      <c r="K19" s="78"/>
      <c r="L19" s="78"/>
      <c r="M19" s="78"/>
      <c r="N19" s="78"/>
      <c r="O19" s="78"/>
      <c r="P19" s="78"/>
      <c r="Q19" s="78"/>
      <c r="R19" s="78"/>
      <c r="S19" s="78"/>
      <c r="T19" s="78"/>
      <c r="U19" s="78"/>
      <c r="V19" s="78"/>
      <c r="W19" s="78"/>
      <c r="X19" s="78"/>
      <c r="Y19" s="78"/>
      <c r="Z19" s="78"/>
      <c r="AA19" s="78"/>
      <c r="AB19" s="78"/>
      <c r="AC19" s="78"/>
      <c r="AD19" s="78"/>
      <c r="AE19" s="78"/>
      <c r="AF19" s="78"/>
      <c r="AG19" s="78"/>
      <c r="AH19" s="81"/>
      <c r="AI19" s="81"/>
    </row>
    <row r="20" spans="1:35" x14ac:dyDescent="0.3">
      <c r="A20" s="80"/>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8"/>
      <c r="AC20" s="78"/>
      <c r="AD20" s="78"/>
      <c r="AE20" s="78"/>
      <c r="AF20" s="78"/>
      <c r="AG20" s="78"/>
      <c r="AH20" s="81"/>
      <c r="AI20" s="81"/>
    </row>
    <row r="21" spans="1:35" x14ac:dyDescent="0.3">
      <c r="A21" s="80"/>
      <c r="B21" s="78"/>
      <c r="C21" s="78"/>
      <c r="D21" s="78"/>
      <c r="E21" s="78"/>
      <c r="F21" s="78"/>
      <c r="G21" s="78"/>
      <c r="H21" s="78"/>
      <c r="I21" s="78"/>
      <c r="J21" s="78"/>
      <c r="K21" s="78"/>
      <c r="L21" s="78"/>
      <c r="M21" s="78"/>
      <c r="N21" s="78"/>
      <c r="O21" s="78"/>
      <c r="P21" s="78"/>
      <c r="Q21" s="78"/>
      <c r="R21" s="78"/>
      <c r="S21" s="78"/>
      <c r="T21" s="78"/>
      <c r="U21" s="78"/>
      <c r="V21" s="78"/>
      <c r="W21" s="78"/>
      <c r="X21" s="78"/>
      <c r="Y21" s="78"/>
      <c r="Z21" s="78"/>
      <c r="AA21" s="78"/>
      <c r="AB21" s="78"/>
      <c r="AC21" s="78"/>
      <c r="AD21" s="78"/>
      <c r="AE21" s="78"/>
      <c r="AF21" s="78"/>
      <c r="AG21" s="78"/>
      <c r="AH21" s="81"/>
      <c r="AI21" s="81"/>
    </row>
    <row r="22" spans="1:35" x14ac:dyDescent="0.3">
      <c r="A22" s="80"/>
      <c r="B22" s="78"/>
      <c r="C22" s="78"/>
      <c r="D22" s="78"/>
      <c r="E22" s="78"/>
      <c r="F22" s="78"/>
      <c r="G22" s="78"/>
      <c r="H22" s="78"/>
      <c r="I22" s="78"/>
      <c r="J22" s="78"/>
      <c r="K22" s="78"/>
      <c r="L22" s="78"/>
      <c r="M22" s="78"/>
      <c r="N22" s="78"/>
      <c r="O22" s="78"/>
      <c r="P22" s="78"/>
      <c r="Q22" s="78"/>
      <c r="R22" s="78"/>
      <c r="S22" s="78"/>
      <c r="T22" s="78"/>
      <c r="U22" s="78"/>
      <c r="V22" s="78"/>
      <c r="W22" s="78"/>
      <c r="X22" s="78"/>
      <c r="Y22" s="78"/>
      <c r="Z22" s="78"/>
      <c r="AA22" s="78"/>
      <c r="AB22" s="78"/>
      <c r="AC22" s="78"/>
      <c r="AD22" s="78"/>
      <c r="AE22" s="78"/>
      <c r="AF22" s="78"/>
      <c r="AG22" s="78"/>
      <c r="AH22" s="81"/>
      <c r="AI22" s="81"/>
    </row>
    <row r="23" spans="1:35" x14ac:dyDescent="0.3">
      <c r="A23" s="80"/>
      <c r="B23" s="78"/>
      <c r="C23" s="78"/>
      <c r="D23" s="78"/>
      <c r="E23" s="78"/>
      <c r="F23" s="78"/>
      <c r="G23" s="78"/>
      <c r="H23" s="78"/>
      <c r="I23" s="78"/>
      <c r="J23" s="78"/>
      <c r="K23" s="78"/>
      <c r="L23" s="78"/>
      <c r="M23" s="78"/>
      <c r="N23" s="78"/>
      <c r="O23" s="78"/>
      <c r="P23" s="78"/>
      <c r="Q23" s="78"/>
      <c r="R23" s="78"/>
      <c r="S23" s="78"/>
      <c r="T23" s="78"/>
      <c r="U23" s="78"/>
      <c r="V23" s="78"/>
      <c r="W23" s="78"/>
      <c r="X23" s="78"/>
      <c r="Y23" s="78"/>
      <c r="Z23" s="78"/>
      <c r="AA23" s="78"/>
      <c r="AB23" s="78"/>
      <c r="AC23" s="78"/>
      <c r="AD23" s="78"/>
      <c r="AE23" s="78"/>
      <c r="AF23" s="78"/>
      <c r="AG23" s="78"/>
      <c r="AH23" s="81"/>
      <c r="AI23" s="81"/>
    </row>
    <row r="24" spans="1:35" x14ac:dyDescent="0.3">
      <c r="A24" s="80"/>
      <c r="B24" s="78"/>
      <c r="C24" s="78"/>
      <c r="D24" s="78"/>
      <c r="E24" s="78"/>
      <c r="F24" s="78"/>
      <c r="G24" s="78"/>
      <c r="H24" s="78"/>
      <c r="I24" s="78"/>
      <c r="J24" s="78"/>
      <c r="K24" s="78"/>
      <c r="L24" s="78"/>
      <c r="M24" s="78"/>
      <c r="N24" s="78"/>
      <c r="O24" s="78"/>
      <c r="P24" s="78"/>
      <c r="Q24" s="78"/>
      <c r="R24" s="78"/>
      <c r="S24" s="78"/>
      <c r="T24" s="78"/>
      <c r="U24" s="78"/>
      <c r="V24" s="78"/>
      <c r="W24" s="78"/>
      <c r="X24" s="78"/>
      <c r="Y24" s="78"/>
      <c r="Z24" s="78"/>
      <c r="AA24" s="78"/>
      <c r="AB24" s="78"/>
      <c r="AC24" s="78"/>
      <c r="AD24" s="78"/>
      <c r="AE24" s="78"/>
      <c r="AF24" s="78"/>
      <c r="AG24" s="78"/>
      <c r="AH24" s="81"/>
      <c r="AI24" s="81"/>
    </row>
    <row r="25" spans="1:35" x14ac:dyDescent="0.3">
      <c r="A25" s="80"/>
      <c r="B25" s="78"/>
      <c r="C25" s="78"/>
      <c r="D25" s="78"/>
      <c r="E25" s="78"/>
      <c r="F25" s="78"/>
      <c r="G25" s="78"/>
      <c r="H25" s="78"/>
      <c r="I25" s="78"/>
      <c r="J25" s="78"/>
      <c r="K25" s="78"/>
      <c r="L25" s="78"/>
      <c r="M25" s="78"/>
      <c r="N25" s="78"/>
      <c r="O25" s="78"/>
      <c r="P25" s="78"/>
      <c r="Q25" s="78"/>
      <c r="R25" s="78"/>
      <c r="S25" s="78"/>
      <c r="T25" s="78"/>
      <c r="U25" s="78"/>
      <c r="V25" s="78"/>
      <c r="W25" s="78"/>
      <c r="X25" s="78"/>
      <c r="Y25" s="78"/>
      <c r="Z25" s="78"/>
      <c r="AA25" s="78"/>
      <c r="AB25" s="78"/>
      <c r="AC25" s="78"/>
      <c r="AD25" s="78"/>
      <c r="AE25" s="78"/>
      <c r="AF25" s="78"/>
      <c r="AG25" s="78"/>
      <c r="AH25" s="81"/>
      <c r="AI25" s="81"/>
    </row>
    <row r="26" spans="1:35" x14ac:dyDescent="0.3">
      <c r="A26" s="80"/>
      <c r="B26" s="78"/>
      <c r="C26" s="78"/>
      <c r="D26" s="78"/>
      <c r="E26" s="78"/>
      <c r="F26" s="78"/>
      <c r="G26" s="78"/>
      <c r="H26" s="78"/>
      <c r="I26" s="78"/>
      <c r="J26" s="78"/>
      <c r="K26" s="78"/>
      <c r="L26" s="78"/>
      <c r="M26" s="78"/>
      <c r="N26" s="78"/>
      <c r="O26" s="78"/>
      <c r="P26" s="78"/>
      <c r="Q26" s="78"/>
      <c r="R26" s="78"/>
      <c r="S26" s="78"/>
      <c r="T26" s="78"/>
      <c r="U26" s="78"/>
      <c r="V26" s="78"/>
      <c r="W26" s="78"/>
      <c r="X26" s="78"/>
      <c r="Y26" s="78"/>
      <c r="Z26" s="78"/>
      <c r="AA26" s="78"/>
      <c r="AB26" s="78"/>
      <c r="AC26" s="78"/>
      <c r="AD26" s="78"/>
      <c r="AE26" s="78"/>
      <c r="AF26" s="78"/>
      <c r="AG26" s="78"/>
      <c r="AH26" s="81"/>
      <c r="AI26" s="81"/>
    </row>
    <row r="27" spans="1:35" x14ac:dyDescent="0.3">
      <c r="A27" s="80"/>
      <c r="B27" s="78"/>
      <c r="C27" s="78"/>
      <c r="D27" s="78"/>
      <c r="E27" s="78"/>
      <c r="F27" s="78"/>
      <c r="G27" s="78"/>
      <c r="H27" s="78"/>
      <c r="I27" s="78"/>
      <c r="J27" s="78"/>
      <c r="K27" s="78"/>
      <c r="L27" s="78"/>
      <c r="M27" s="78"/>
      <c r="N27" s="78"/>
      <c r="O27" s="78"/>
      <c r="P27" s="78"/>
      <c r="Q27" s="78"/>
      <c r="R27" s="78"/>
      <c r="S27" s="78"/>
      <c r="T27" s="78"/>
      <c r="U27" s="78"/>
      <c r="V27" s="78"/>
      <c r="W27" s="78"/>
      <c r="X27" s="78"/>
      <c r="Y27" s="78"/>
      <c r="Z27" s="78"/>
      <c r="AA27" s="78"/>
      <c r="AB27" s="78"/>
      <c r="AC27" s="78"/>
      <c r="AD27" s="78"/>
      <c r="AE27" s="78"/>
      <c r="AF27" s="78"/>
      <c r="AG27" s="78"/>
      <c r="AH27" s="81"/>
      <c r="AI27" s="81"/>
    </row>
    <row r="28" spans="1:35" ht="14.4" customHeight="1" x14ac:dyDescent="0.3">
      <c r="A28" s="80"/>
      <c r="B28" s="78"/>
      <c r="C28" s="78"/>
      <c r="D28" s="78"/>
      <c r="E28" s="78"/>
      <c r="F28" s="78"/>
      <c r="G28" s="78"/>
      <c r="H28" s="78"/>
      <c r="I28" s="78"/>
      <c r="J28" s="78"/>
      <c r="K28" s="78"/>
      <c r="L28" s="78"/>
      <c r="M28" s="78"/>
      <c r="N28" s="78"/>
      <c r="O28" s="78"/>
      <c r="P28" s="78"/>
      <c r="Q28" s="78"/>
      <c r="R28" s="78"/>
      <c r="S28" s="78"/>
      <c r="T28" s="78"/>
      <c r="U28" s="78"/>
      <c r="V28" s="78"/>
      <c r="W28" s="78"/>
      <c r="X28" s="78"/>
      <c r="Y28" s="78"/>
      <c r="Z28" s="78"/>
      <c r="AA28" s="78"/>
      <c r="AB28" s="78"/>
      <c r="AC28" s="78"/>
      <c r="AD28" s="78"/>
      <c r="AE28" s="78"/>
      <c r="AF28" s="78"/>
      <c r="AG28" s="78"/>
      <c r="AH28" s="81"/>
      <c r="AI28" s="81"/>
    </row>
    <row r="29" spans="1:35" x14ac:dyDescent="0.3">
      <c r="A29" s="80"/>
      <c r="B29" s="78"/>
      <c r="C29" s="78"/>
      <c r="D29" s="78"/>
      <c r="E29" s="78"/>
      <c r="F29" s="78"/>
      <c r="G29" s="78"/>
      <c r="H29" s="78"/>
      <c r="I29" s="78"/>
      <c r="J29" s="78"/>
      <c r="K29" s="78"/>
      <c r="L29" s="78"/>
      <c r="M29" s="78"/>
      <c r="N29" s="78"/>
      <c r="O29" s="78"/>
      <c r="P29" s="78"/>
      <c r="Q29" s="78"/>
      <c r="R29" s="78"/>
      <c r="S29" s="78"/>
      <c r="T29" s="78"/>
      <c r="U29" s="78"/>
      <c r="V29" s="78"/>
      <c r="W29" s="78"/>
      <c r="X29" s="78"/>
      <c r="Y29" s="78"/>
      <c r="Z29" s="78"/>
      <c r="AA29" s="78"/>
      <c r="AB29" s="78"/>
      <c r="AC29" s="78"/>
      <c r="AD29" s="78"/>
      <c r="AE29" s="78"/>
      <c r="AF29" s="78"/>
      <c r="AG29" s="78"/>
      <c r="AH29" s="81"/>
      <c r="AI29" s="81"/>
    </row>
    <row r="30" spans="1:35" x14ac:dyDescent="0.3">
      <c r="A30" s="80"/>
      <c r="B30" s="78"/>
      <c r="C30" s="78"/>
      <c r="D30" s="78"/>
      <c r="E30" s="78"/>
      <c r="F30" s="78"/>
      <c r="G30" s="78"/>
      <c r="H30" s="78"/>
      <c r="I30" s="78"/>
      <c r="J30" s="78"/>
      <c r="K30" s="78"/>
      <c r="L30" s="78"/>
      <c r="M30" s="78"/>
      <c r="N30" s="78"/>
      <c r="O30" s="78"/>
      <c r="P30" s="78"/>
      <c r="Q30" s="78"/>
      <c r="R30" s="78"/>
      <c r="S30" s="78"/>
      <c r="T30" s="78"/>
      <c r="U30" s="78"/>
      <c r="V30" s="78"/>
      <c r="W30" s="78"/>
      <c r="X30" s="78"/>
      <c r="Y30" s="78"/>
      <c r="Z30" s="78"/>
      <c r="AA30" s="78"/>
      <c r="AB30" s="78"/>
      <c r="AC30" s="78"/>
      <c r="AD30" s="78"/>
      <c r="AE30" s="78"/>
      <c r="AF30" s="78"/>
      <c r="AG30" s="78"/>
      <c r="AH30" s="81"/>
      <c r="AI30" s="81"/>
    </row>
    <row r="31" spans="1:35" x14ac:dyDescent="0.3">
      <c r="A31" s="80"/>
      <c r="B31" s="78"/>
      <c r="C31" s="78"/>
      <c r="D31" s="78"/>
      <c r="E31" s="78"/>
      <c r="F31" s="78"/>
      <c r="G31" s="78"/>
      <c r="H31" s="78"/>
      <c r="I31" s="78"/>
      <c r="J31" s="78"/>
      <c r="K31" s="78"/>
      <c r="L31" s="78"/>
      <c r="M31" s="78"/>
      <c r="N31" s="78"/>
      <c r="O31" s="78"/>
      <c r="P31" s="78"/>
      <c r="Q31" s="78"/>
      <c r="R31" s="78"/>
      <c r="S31" s="78"/>
      <c r="T31" s="78"/>
      <c r="U31" s="78"/>
      <c r="V31" s="78"/>
      <c r="W31" s="78"/>
      <c r="X31" s="78"/>
      <c r="Y31" s="78"/>
      <c r="Z31" s="78"/>
      <c r="AA31" s="78"/>
      <c r="AB31" s="78"/>
      <c r="AC31" s="78"/>
      <c r="AD31" s="78"/>
      <c r="AE31" s="78"/>
      <c r="AF31" s="78"/>
      <c r="AG31" s="78"/>
      <c r="AH31" s="81"/>
      <c r="AI31" s="81"/>
    </row>
    <row r="32" spans="1:35" x14ac:dyDescent="0.3">
      <c r="A32" s="80"/>
      <c r="B32" s="78"/>
      <c r="C32" s="78"/>
      <c r="D32" s="78"/>
      <c r="E32" s="78"/>
      <c r="F32" s="78"/>
      <c r="G32" s="78"/>
      <c r="H32" s="78"/>
      <c r="I32" s="78"/>
      <c r="J32" s="78"/>
      <c r="K32" s="78"/>
      <c r="L32" s="78"/>
      <c r="M32" s="78"/>
      <c r="N32" s="78"/>
      <c r="O32" s="78"/>
      <c r="P32" s="78"/>
      <c r="Q32" s="78"/>
      <c r="R32" s="78"/>
      <c r="S32" s="78"/>
      <c r="T32" s="78"/>
      <c r="U32" s="78"/>
      <c r="V32" s="78"/>
      <c r="W32" s="78"/>
      <c r="X32" s="78"/>
      <c r="Y32" s="78"/>
      <c r="Z32" s="78"/>
      <c r="AA32" s="78"/>
      <c r="AB32" s="78"/>
      <c r="AC32" s="78"/>
      <c r="AD32" s="78"/>
      <c r="AE32" s="78"/>
      <c r="AF32" s="78"/>
      <c r="AG32" s="78"/>
      <c r="AH32" s="81"/>
      <c r="AI32" s="81"/>
    </row>
    <row r="33" spans="1:35" x14ac:dyDescent="0.3">
      <c r="A33" s="80"/>
      <c r="B33" s="78"/>
      <c r="C33" s="78"/>
      <c r="D33" s="78"/>
      <c r="E33" s="78"/>
      <c r="F33" s="78"/>
      <c r="G33" s="78"/>
      <c r="H33" s="78"/>
      <c r="I33" s="78"/>
      <c r="J33" s="78"/>
      <c r="K33" s="78"/>
      <c r="L33" s="78"/>
      <c r="M33" s="78"/>
      <c r="N33" s="78"/>
      <c r="O33" s="78"/>
      <c r="P33" s="78"/>
      <c r="Q33" s="78"/>
      <c r="R33" s="78"/>
      <c r="S33" s="78"/>
      <c r="T33" s="78"/>
      <c r="U33" s="78"/>
      <c r="V33" s="78"/>
      <c r="W33" s="78"/>
      <c r="X33" s="78"/>
      <c r="Y33" s="78"/>
      <c r="Z33" s="78"/>
      <c r="AA33" s="78"/>
      <c r="AB33" s="78"/>
      <c r="AC33" s="78"/>
      <c r="AD33" s="78"/>
      <c r="AE33" s="78"/>
      <c r="AF33" s="78"/>
      <c r="AG33" s="78"/>
      <c r="AH33" s="81"/>
      <c r="AI33" s="81"/>
    </row>
    <row r="34" spans="1:35" x14ac:dyDescent="0.3">
      <c r="A34" s="80"/>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78"/>
      <c r="AC34" s="78"/>
      <c r="AD34" s="78"/>
      <c r="AE34" s="78"/>
      <c r="AF34" s="78"/>
      <c r="AG34" s="78"/>
      <c r="AH34" s="81"/>
      <c r="AI34" s="81"/>
    </row>
    <row r="35" spans="1:35" x14ac:dyDescent="0.3">
      <c r="A35" s="80"/>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78"/>
      <c r="AC35" s="78"/>
      <c r="AD35" s="78"/>
      <c r="AE35" s="78"/>
      <c r="AF35" s="78"/>
      <c r="AG35" s="78"/>
      <c r="AH35" s="81"/>
      <c r="AI35" s="81"/>
    </row>
    <row r="36" spans="1:35" x14ac:dyDescent="0.3">
      <c r="A36" s="80"/>
      <c r="B36" s="78"/>
      <c r="C36" s="78"/>
      <c r="D36" s="78"/>
      <c r="E36" s="78"/>
      <c r="F36" s="78"/>
      <c r="G36" s="78"/>
      <c r="H36" s="78"/>
      <c r="I36" s="78"/>
      <c r="J36" s="78"/>
      <c r="K36" s="78"/>
      <c r="L36" s="78"/>
      <c r="M36" s="78"/>
      <c r="N36" s="78"/>
      <c r="O36" s="78"/>
      <c r="P36" s="78"/>
      <c r="Q36" s="78"/>
      <c r="R36" s="78"/>
      <c r="S36" s="78"/>
      <c r="T36" s="78"/>
      <c r="U36" s="78"/>
      <c r="V36" s="78"/>
      <c r="W36" s="78"/>
      <c r="X36" s="78"/>
      <c r="Y36" s="78"/>
      <c r="Z36" s="78"/>
      <c r="AA36" s="78"/>
      <c r="AB36" s="78"/>
      <c r="AC36" s="78"/>
      <c r="AD36" s="78"/>
      <c r="AE36" s="78"/>
      <c r="AF36" s="78"/>
      <c r="AG36" s="78"/>
      <c r="AH36" s="81"/>
      <c r="AI36" s="81"/>
    </row>
    <row r="37" spans="1:35" x14ac:dyDescent="0.3">
      <c r="A37" s="80"/>
      <c r="B37" s="78"/>
      <c r="C37" s="78"/>
      <c r="D37" s="78"/>
      <c r="E37" s="78"/>
      <c r="F37" s="78"/>
      <c r="G37" s="78"/>
      <c r="H37" s="78"/>
      <c r="I37" s="78"/>
      <c r="J37" s="78"/>
      <c r="K37" s="78"/>
      <c r="L37" s="78"/>
      <c r="M37" s="78"/>
      <c r="N37" s="78"/>
      <c r="O37" s="78"/>
      <c r="P37" s="78"/>
      <c r="Q37" s="78"/>
      <c r="R37" s="78"/>
      <c r="S37" s="78"/>
      <c r="T37" s="78"/>
      <c r="U37" s="78"/>
      <c r="V37" s="78"/>
      <c r="W37" s="78"/>
      <c r="X37" s="78"/>
      <c r="Y37" s="78"/>
      <c r="Z37" s="78"/>
      <c r="AA37" s="78"/>
      <c r="AB37" s="78"/>
      <c r="AC37" s="78"/>
      <c r="AD37" s="78"/>
      <c r="AE37" s="78"/>
      <c r="AF37" s="78"/>
      <c r="AG37" s="78"/>
      <c r="AH37" s="81"/>
      <c r="AI37" s="81"/>
    </row>
    <row r="38" spans="1:35" x14ac:dyDescent="0.3">
      <c r="A38" s="80"/>
      <c r="B38" s="78"/>
      <c r="C38" s="78"/>
      <c r="D38" s="78"/>
      <c r="E38" s="78"/>
      <c r="F38" s="78"/>
      <c r="G38" s="78"/>
      <c r="H38" s="78"/>
      <c r="I38" s="78"/>
      <c r="J38" s="78"/>
      <c r="K38" s="78"/>
      <c r="L38" s="78"/>
      <c r="M38" s="78"/>
      <c r="N38" s="78"/>
      <c r="O38" s="78"/>
      <c r="P38" s="78"/>
      <c r="Q38" s="78"/>
      <c r="R38" s="78"/>
      <c r="S38" s="78"/>
      <c r="T38" s="78"/>
      <c r="U38" s="78"/>
      <c r="V38" s="78"/>
      <c r="W38" s="78"/>
      <c r="X38" s="78"/>
      <c r="Y38" s="78"/>
      <c r="Z38" s="78"/>
      <c r="AA38" s="78"/>
      <c r="AB38" s="78"/>
      <c r="AC38" s="78"/>
      <c r="AD38" s="78"/>
      <c r="AE38" s="78"/>
      <c r="AF38" s="78"/>
      <c r="AG38" s="78"/>
      <c r="AH38" s="81"/>
      <c r="AI38" s="81"/>
    </row>
    <row r="39" spans="1:35" x14ac:dyDescent="0.3">
      <c r="A39" s="80"/>
      <c r="B39" s="78"/>
      <c r="C39" s="78"/>
      <c r="D39" s="78"/>
      <c r="E39" s="78"/>
      <c r="F39" s="78"/>
      <c r="G39" s="78"/>
      <c r="H39" s="78"/>
      <c r="I39" s="78"/>
      <c r="J39" s="78"/>
      <c r="K39" s="78"/>
      <c r="L39" s="78"/>
      <c r="M39" s="78"/>
      <c r="N39" s="78"/>
      <c r="O39" s="78"/>
      <c r="P39" s="78"/>
      <c r="Q39" s="78"/>
      <c r="R39" s="78"/>
      <c r="S39" s="78"/>
      <c r="T39" s="78"/>
      <c r="U39" s="78"/>
      <c r="V39" s="78"/>
      <c r="W39" s="78"/>
      <c r="X39" s="78"/>
      <c r="Y39" s="78"/>
      <c r="Z39" s="78"/>
      <c r="AA39" s="78"/>
      <c r="AB39" s="78"/>
      <c r="AC39" s="78"/>
      <c r="AD39" s="78"/>
      <c r="AE39" s="78"/>
      <c r="AF39" s="78"/>
      <c r="AG39" s="78"/>
      <c r="AH39" s="81"/>
      <c r="AI39" s="81"/>
    </row>
    <row r="40" spans="1:35" ht="15" thickBot="1" x14ac:dyDescent="0.35">
      <c r="A40" s="82"/>
      <c r="B40" s="83"/>
      <c r="C40" s="83"/>
      <c r="D40" s="83"/>
      <c r="E40" s="83"/>
      <c r="F40" s="83"/>
      <c r="G40" s="83"/>
      <c r="H40" s="83"/>
      <c r="I40" s="83"/>
      <c r="J40" s="83"/>
      <c r="K40" s="83"/>
      <c r="L40" s="83"/>
      <c r="M40" s="83"/>
      <c r="N40" s="83"/>
      <c r="O40" s="83"/>
      <c r="P40" s="83"/>
      <c r="Q40" s="83"/>
      <c r="R40" s="83"/>
      <c r="S40" s="83"/>
      <c r="T40" s="83"/>
      <c r="U40" s="83"/>
      <c r="V40" s="83"/>
      <c r="W40" s="83"/>
      <c r="X40" s="83"/>
      <c r="Y40" s="83"/>
      <c r="Z40" s="83"/>
      <c r="AA40" s="83"/>
      <c r="AB40" s="83"/>
      <c r="AC40" s="83"/>
      <c r="AD40" s="83"/>
      <c r="AE40" s="83"/>
      <c r="AF40" s="83"/>
      <c r="AG40" s="83"/>
      <c r="AH40" s="84"/>
      <c r="AI40" s="81"/>
    </row>
    <row r="41" spans="1:35" hidden="1" x14ac:dyDescent="0.3">
      <c r="A41" s="80"/>
      <c r="B41" s="78"/>
      <c r="C41" s="78"/>
      <c r="D41" s="78"/>
      <c r="E41" s="78"/>
      <c r="F41" s="78"/>
      <c r="G41" s="78"/>
      <c r="H41" s="78"/>
      <c r="I41" s="78"/>
      <c r="J41" s="78"/>
      <c r="K41" s="78"/>
      <c r="L41" s="78"/>
      <c r="M41" s="78"/>
      <c r="N41" s="78"/>
      <c r="O41" s="78"/>
      <c r="P41" s="78"/>
      <c r="Q41" s="78"/>
      <c r="R41" s="78"/>
      <c r="S41" s="78"/>
      <c r="T41" s="78"/>
      <c r="U41" s="78"/>
      <c r="V41" s="78"/>
      <c r="W41" s="78"/>
      <c r="X41" s="78"/>
      <c r="Y41" s="78"/>
      <c r="Z41" s="78"/>
      <c r="AA41" s="78"/>
      <c r="AB41" s="78"/>
      <c r="AC41" s="78"/>
      <c r="AD41" s="78"/>
      <c r="AE41" s="78"/>
      <c r="AF41" s="78"/>
      <c r="AG41" s="78"/>
      <c r="AH41" s="81"/>
      <c r="AI41" s="81"/>
    </row>
    <row r="42" spans="1:35" ht="15" hidden="1" customHeight="1" x14ac:dyDescent="0.3">
      <c r="A42" s="78"/>
      <c r="B42" s="78"/>
      <c r="C42" s="78"/>
      <c r="D42" s="78"/>
      <c r="E42" s="78"/>
      <c r="F42" s="78"/>
      <c r="G42" s="78"/>
      <c r="H42" s="78"/>
      <c r="I42" s="78"/>
      <c r="J42" s="78"/>
      <c r="K42" s="78"/>
      <c r="L42" s="78"/>
      <c r="M42" s="78"/>
      <c r="N42" s="78"/>
      <c r="O42" s="78"/>
      <c r="P42" s="78"/>
      <c r="Q42" s="78"/>
      <c r="R42" s="78"/>
      <c r="S42" s="78"/>
      <c r="T42" s="78"/>
      <c r="U42" s="78"/>
      <c r="V42" s="78"/>
      <c r="W42" s="78"/>
      <c r="X42" s="78"/>
      <c r="Y42" s="78"/>
      <c r="Z42" s="78"/>
      <c r="AA42" s="78"/>
      <c r="AB42" s="78"/>
      <c r="AC42" s="78"/>
      <c r="AD42" s="78"/>
      <c r="AE42" s="78"/>
      <c r="AF42" s="78"/>
      <c r="AG42" s="78"/>
      <c r="AH42" s="78"/>
      <c r="AI42" s="78"/>
    </row>
    <row r="43" spans="1:35" ht="15" hidden="1" customHeight="1" x14ac:dyDescent="0.3"/>
    <row r="44" spans="1:35" ht="15" customHeight="1" x14ac:dyDescent="0.3"/>
    <row r="45" spans="1:35" ht="15" customHeight="1" x14ac:dyDescent="0.3"/>
    <row r="46" spans="1:35" ht="15" customHeight="1" x14ac:dyDescent="0.3"/>
    <row r="47" spans="1:35" ht="15" customHeight="1" x14ac:dyDescent="0.3"/>
    <row r="48" spans="1:35" ht="15" customHeight="1" x14ac:dyDescent="0.3"/>
    <row r="49" ht="15" customHeight="1" x14ac:dyDescent="0.3"/>
    <row r="50" ht="15" customHeight="1" x14ac:dyDescent="0.3"/>
    <row r="51" ht="15" customHeight="1" x14ac:dyDescent="0.3"/>
    <row r="52" ht="15" customHeight="1" x14ac:dyDescent="0.3"/>
    <row r="53" ht="15" customHeight="1" x14ac:dyDescent="0.3"/>
    <row r="54" ht="15" customHeight="1" x14ac:dyDescent="0.3"/>
    <row r="55" ht="15" customHeight="1" x14ac:dyDescent="0.3"/>
    <row r="56" ht="15" customHeight="1" x14ac:dyDescent="0.3"/>
    <row r="57" ht="15" customHeight="1" x14ac:dyDescent="0.3"/>
    <row r="58" ht="15" customHeight="1" x14ac:dyDescent="0.3"/>
    <row r="59" ht="15" customHeight="1" x14ac:dyDescent="0.3"/>
    <row r="60" ht="15" customHeight="1" x14ac:dyDescent="0.3"/>
    <row r="61" ht="15" customHeight="1" x14ac:dyDescent="0.3"/>
    <row r="62" ht="15" customHeight="1" x14ac:dyDescent="0.3"/>
    <row r="63" ht="15" customHeight="1" x14ac:dyDescent="0.3"/>
    <row r="64" ht="15" customHeight="1" x14ac:dyDescent="0.3"/>
    <row r="65" spans="1:8" ht="15" customHeight="1" x14ac:dyDescent="0.3"/>
    <row r="66" spans="1:8" ht="15" customHeight="1" x14ac:dyDescent="0.3"/>
    <row r="67" spans="1:8" ht="15" customHeight="1" x14ac:dyDescent="0.3"/>
    <row r="68" spans="1:8" ht="15" customHeight="1" x14ac:dyDescent="0.3"/>
    <row r="69" spans="1:8" ht="15" customHeight="1" x14ac:dyDescent="0.3"/>
    <row r="70" spans="1:8" ht="15" customHeight="1" x14ac:dyDescent="0.3"/>
    <row r="71" spans="1:8" ht="15" customHeight="1" x14ac:dyDescent="0.3"/>
    <row r="72" spans="1:8" ht="15" customHeight="1" x14ac:dyDescent="0.3"/>
    <row r="73" spans="1:8" ht="15" customHeight="1" x14ac:dyDescent="0.3"/>
    <row r="74" spans="1:8" ht="15" customHeight="1" x14ac:dyDescent="0.3"/>
    <row r="75" spans="1:8" ht="15" customHeight="1" x14ac:dyDescent="0.3"/>
    <row r="76" spans="1:8" ht="15" customHeight="1" x14ac:dyDescent="0.3"/>
    <row r="77" spans="1:8" ht="15" customHeight="1" x14ac:dyDescent="0.3"/>
    <row r="78" spans="1:8" ht="15" customHeight="1" x14ac:dyDescent="0.3"/>
    <row r="80" spans="1:8" x14ac:dyDescent="0.3">
      <c r="A80" s="19" t="s">
        <v>29</v>
      </c>
      <c r="B80" t="s">
        <v>85</v>
      </c>
      <c r="D80" s="19" t="s">
        <v>29</v>
      </c>
      <c r="E80" t="s">
        <v>85</v>
      </c>
      <c r="G80" s="19" t="s">
        <v>29</v>
      </c>
      <c r="H80" t="s">
        <v>85</v>
      </c>
    </row>
    <row r="81" spans="1:26" x14ac:dyDescent="0.3">
      <c r="A81" s="20" t="s">
        <v>38</v>
      </c>
      <c r="B81">
        <v>5</v>
      </c>
      <c r="D81" s="20" t="s">
        <v>43</v>
      </c>
      <c r="E81">
        <v>10</v>
      </c>
      <c r="G81" s="20" t="s">
        <v>26</v>
      </c>
      <c r="H81">
        <v>8</v>
      </c>
      <c r="S81" s="77"/>
      <c r="T81" s="77"/>
      <c r="U81" s="77"/>
      <c r="V81" s="77"/>
      <c r="W81" s="77"/>
    </row>
    <row r="82" spans="1:26" x14ac:dyDescent="0.3">
      <c r="A82" s="20" t="s">
        <v>37</v>
      </c>
      <c r="B82">
        <v>6</v>
      </c>
      <c r="D82" s="20" t="s">
        <v>42</v>
      </c>
      <c r="E82">
        <v>10</v>
      </c>
      <c r="G82" s="20" t="s">
        <v>59</v>
      </c>
      <c r="H82">
        <v>7</v>
      </c>
      <c r="S82" s="77"/>
      <c r="T82" s="77"/>
      <c r="U82" s="77"/>
      <c r="V82" s="77"/>
      <c r="W82" s="77"/>
    </row>
    <row r="83" spans="1:26" x14ac:dyDescent="0.3">
      <c r="A83" s="20" t="s">
        <v>39</v>
      </c>
      <c r="B83">
        <v>6</v>
      </c>
      <c r="D83" s="20" t="s">
        <v>21</v>
      </c>
      <c r="E83">
        <v>10</v>
      </c>
      <c r="G83" s="20" t="s">
        <v>57</v>
      </c>
      <c r="H83">
        <v>7</v>
      </c>
      <c r="N83" s="75"/>
      <c r="O83" s="76"/>
      <c r="P83" s="76"/>
      <c r="Q83" s="76"/>
      <c r="R83" s="76"/>
      <c r="S83" s="77"/>
      <c r="T83" s="77"/>
      <c r="U83" s="77"/>
      <c r="V83" s="77"/>
      <c r="W83" s="77"/>
    </row>
    <row r="84" spans="1:26" x14ac:dyDescent="0.3">
      <c r="A84" s="20" t="s">
        <v>40</v>
      </c>
      <c r="B84">
        <v>6</v>
      </c>
      <c r="D84" s="20" t="s">
        <v>30</v>
      </c>
      <c r="E84">
        <v>30</v>
      </c>
      <c r="G84" s="20" t="s">
        <v>56</v>
      </c>
      <c r="H84">
        <v>8</v>
      </c>
      <c r="S84" s="77"/>
      <c r="T84" s="77"/>
      <c r="U84" s="77"/>
      <c r="V84" s="77"/>
      <c r="W84" s="77"/>
    </row>
    <row r="85" spans="1:26" x14ac:dyDescent="0.3">
      <c r="A85" s="20" t="s">
        <v>60</v>
      </c>
      <c r="B85">
        <v>5</v>
      </c>
      <c r="G85" s="20" t="s">
        <v>30</v>
      </c>
      <c r="H85">
        <v>30</v>
      </c>
      <c r="S85" s="77"/>
      <c r="T85" s="77"/>
      <c r="U85" s="77"/>
      <c r="V85" s="77"/>
      <c r="W85" s="77"/>
    </row>
    <row r="86" spans="1:26" x14ac:dyDescent="0.3">
      <c r="A86" s="20" t="s">
        <v>86</v>
      </c>
      <c r="B86">
        <v>1</v>
      </c>
    </row>
    <row r="87" spans="1:26" x14ac:dyDescent="0.3">
      <c r="A87" s="20" t="s">
        <v>36</v>
      </c>
      <c r="B87">
        <v>1</v>
      </c>
      <c r="D87" s="19" t="s">
        <v>29</v>
      </c>
      <c r="E87" t="s">
        <v>85</v>
      </c>
      <c r="S87" s="77"/>
      <c r="T87" s="77"/>
      <c r="U87" s="77"/>
      <c r="V87" s="77"/>
      <c r="W87" s="77"/>
    </row>
    <row r="88" spans="1:26" x14ac:dyDescent="0.3">
      <c r="A88" s="20" t="s">
        <v>30</v>
      </c>
      <c r="B88">
        <v>30</v>
      </c>
      <c r="D88" s="20" t="s">
        <v>51</v>
      </c>
      <c r="E88">
        <v>6</v>
      </c>
      <c r="S88" s="77"/>
      <c r="T88" s="77"/>
      <c r="U88" s="77"/>
      <c r="V88" s="77"/>
      <c r="W88" s="77"/>
    </row>
    <row r="89" spans="1:26" x14ac:dyDescent="0.3">
      <c r="A89" s="19" t="s">
        <v>29</v>
      </c>
      <c r="B89" t="s">
        <v>85</v>
      </c>
      <c r="D89" s="20" t="s">
        <v>53</v>
      </c>
      <c r="E89">
        <v>6</v>
      </c>
      <c r="S89" s="77"/>
      <c r="T89" s="77"/>
      <c r="U89" s="77"/>
      <c r="V89" s="77"/>
      <c r="W89" s="77"/>
    </row>
    <row r="90" spans="1:26" x14ac:dyDescent="0.3">
      <c r="A90" s="20">
        <v>2</v>
      </c>
      <c r="B90">
        <v>4</v>
      </c>
      <c r="D90" s="20" t="s">
        <v>54</v>
      </c>
      <c r="E90">
        <v>6</v>
      </c>
      <c r="S90" s="77"/>
      <c r="T90" s="77"/>
      <c r="U90" s="77"/>
      <c r="V90" s="77"/>
      <c r="W90" s="77"/>
    </row>
    <row r="91" spans="1:26" x14ac:dyDescent="0.3">
      <c r="A91" s="20">
        <v>3</v>
      </c>
      <c r="B91">
        <v>1</v>
      </c>
      <c r="D91" s="20" t="s">
        <v>55</v>
      </c>
      <c r="E91">
        <v>6</v>
      </c>
      <c r="S91" s="77"/>
      <c r="T91" s="77"/>
      <c r="U91" s="77"/>
      <c r="V91" s="77"/>
      <c r="W91" s="77"/>
    </row>
    <row r="92" spans="1:26" x14ac:dyDescent="0.3">
      <c r="A92" s="20">
        <v>5</v>
      </c>
      <c r="B92">
        <v>1</v>
      </c>
      <c r="D92" s="20" t="s">
        <v>52</v>
      </c>
      <c r="E92">
        <v>6</v>
      </c>
    </row>
    <row r="93" spans="1:26" x14ac:dyDescent="0.3">
      <c r="A93" s="20">
        <v>6</v>
      </c>
      <c r="B93">
        <v>1</v>
      </c>
      <c r="D93" s="20" t="s">
        <v>30</v>
      </c>
      <c r="E93">
        <v>30</v>
      </c>
    </row>
    <row r="94" spans="1:26" x14ac:dyDescent="0.3">
      <c r="A94" s="20">
        <v>10</v>
      </c>
      <c r="B94">
        <v>2</v>
      </c>
    </row>
    <row r="95" spans="1:26" x14ac:dyDescent="0.3">
      <c r="A95" s="20">
        <v>12</v>
      </c>
      <c r="B95">
        <v>2</v>
      </c>
    </row>
    <row r="96" spans="1:26" ht="15" thickBot="1" x14ac:dyDescent="0.35">
      <c r="A96" s="20">
        <v>16</v>
      </c>
      <c r="B96">
        <v>1</v>
      </c>
      <c r="N96" s="78"/>
      <c r="O96" s="78"/>
      <c r="P96" s="78"/>
      <c r="Q96" s="78"/>
      <c r="R96" s="78"/>
      <c r="S96" s="78"/>
      <c r="T96" s="78"/>
      <c r="U96" s="78"/>
      <c r="V96" s="78"/>
      <c r="W96" s="78"/>
      <c r="X96" s="78"/>
      <c r="Y96" s="78"/>
      <c r="Z96" s="78"/>
    </row>
    <row r="97" spans="1:26" ht="15" thickTop="1" x14ac:dyDescent="0.3">
      <c r="A97" s="20">
        <v>20</v>
      </c>
      <c r="B97">
        <v>1</v>
      </c>
      <c r="N97" s="88"/>
      <c r="O97" s="89"/>
      <c r="P97" s="89"/>
      <c r="Q97" s="89"/>
      <c r="R97" s="89"/>
      <c r="S97" s="89"/>
      <c r="T97" s="89"/>
      <c r="U97" s="89"/>
      <c r="V97" s="89"/>
      <c r="W97" s="89"/>
      <c r="X97" s="89"/>
      <c r="Y97" s="89"/>
      <c r="Z97" s="85"/>
    </row>
    <row r="98" spans="1:26" x14ac:dyDescent="0.3">
      <c r="A98" s="20">
        <v>25</v>
      </c>
      <c r="B98">
        <v>17</v>
      </c>
      <c r="N98" s="90"/>
      <c r="V98" s="78"/>
      <c r="W98" s="78"/>
      <c r="X98" s="78"/>
      <c r="Y98" s="78"/>
      <c r="Z98" s="86"/>
    </row>
    <row r="99" spans="1:26" ht="40.200000000000003" thickBot="1" x14ac:dyDescent="0.35">
      <c r="A99" s="20" t="s">
        <v>30</v>
      </c>
      <c r="B99">
        <v>30</v>
      </c>
      <c r="N99" s="90"/>
      <c r="R99" s="66"/>
      <c r="S99" s="94" t="s">
        <v>32</v>
      </c>
      <c r="T99" s="94" t="s">
        <v>88</v>
      </c>
      <c r="U99" s="94" t="s">
        <v>89</v>
      </c>
      <c r="V99" s="94" t="s">
        <v>90</v>
      </c>
      <c r="W99" s="94" t="s">
        <v>33</v>
      </c>
      <c r="Y99" s="78"/>
      <c r="Z99" s="86"/>
    </row>
    <row r="100" spans="1:26" ht="15" thickBot="1" x14ac:dyDescent="0.35">
      <c r="N100" s="90"/>
      <c r="Q100" s="95" t="s">
        <v>91</v>
      </c>
      <c r="R100" s="67">
        <v>5</v>
      </c>
      <c r="S100" s="68">
        <f t="shared" ref="S100:W104" si="0">$R100*S$105</f>
        <v>5</v>
      </c>
      <c r="T100" s="68">
        <f t="shared" si="0"/>
        <v>10</v>
      </c>
      <c r="U100" s="68">
        <f t="shared" si="0"/>
        <v>15</v>
      </c>
      <c r="V100" s="68">
        <f t="shared" si="0"/>
        <v>20</v>
      </c>
      <c r="W100" s="68">
        <f t="shared" si="0"/>
        <v>25</v>
      </c>
      <c r="Y100" s="78"/>
      <c r="Z100" s="86"/>
    </row>
    <row r="101" spans="1:26" ht="15" thickBot="1" x14ac:dyDescent="0.35">
      <c r="N101" s="90"/>
      <c r="Q101" s="95"/>
      <c r="R101" s="69">
        <v>4</v>
      </c>
      <c r="S101" s="68">
        <f t="shared" si="0"/>
        <v>4</v>
      </c>
      <c r="T101" s="68">
        <f t="shared" si="0"/>
        <v>8</v>
      </c>
      <c r="U101" s="68">
        <f t="shared" si="0"/>
        <v>12</v>
      </c>
      <c r="V101" s="68">
        <f t="shared" si="0"/>
        <v>16</v>
      </c>
      <c r="W101" s="68">
        <f t="shared" si="0"/>
        <v>20</v>
      </c>
      <c r="Y101" s="78"/>
      <c r="Z101" s="86"/>
    </row>
    <row r="102" spans="1:26" ht="15" thickBot="1" x14ac:dyDescent="0.35">
      <c r="A102" s="19" t="s">
        <v>50</v>
      </c>
      <c r="B102" s="19" t="s">
        <v>14</v>
      </c>
      <c r="C102" t="s">
        <v>85</v>
      </c>
      <c r="E102" s="19" t="s">
        <v>29</v>
      </c>
      <c r="F102" t="s">
        <v>87</v>
      </c>
      <c r="N102" s="90"/>
      <c r="Q102" s="95"/>
      <c r="R102" s="69">
        <v>3</v>
      </c>
      <c r="S102" s="68">
        <f t="shared" si="0"/>
        <v>3</v>
      </c>
      <c r="T102" s="68">
        <f t="shared" si="0"/>
        <v>6</v>
      </c>
      <c r="U102" s="68">
        <f t="shared" si="0"/>
        <v>9</v>
      </c>
      <c r="V102" s="68">
        <f t="shared" si="0"/>
        <v>12</v>
      </c>
      <c r="W102" s="68">
        <f t="shared" si="0"/>
        <v>15</v>
      </c>
      <c r="Y102" s="78"/>
      <c r="Z102" s="86"/>
    </row>
    <row r="103" spans="1:26" ht="15" thickBot="1" x14ac:dyDescent="0.35">
      <c r="A103" t="s">
        <v>33</v>
      </c>
      <c r="B103" t="s">
        <v>47</v>
      </c>
      <c r="C103">
        <v>1</v>
      </c>
      <c r="E103" s="20" t="s">
        <v>94</v>
      </c>
      <c r="F103">
        <v>277</v>
      </c>
      <c r="N103" s="90"/>
      <c r="Q103" s="95"/>
      <c r="R103" s="69">
        <v>2</v>
      </c>
      <c r="S103" s="68">
        <f t="shared" si="0"/>
        <v>2</v>
      </c>
      <c r="T103" s="68">
        <f t="shared" si="0"/>
        <v>4</v>
      </c>
      <c r="U103" s="68">
        <f t="shared" si="0"/>
        <v>6</v>
      </c>
      <c r="V103" s="68">
        <f t="shared" si="0"/>
        <v>8</v>
      </c>
      <c r="W103" s="68">
        <f t="shared" si="0"/>
        <v>10</v>
      </c>
      <c r="Y103" s="78"/>
      <c r="Z103" s="86"/>
    </row>
    <row r="104" spans="1:26" ht="15" thickBot="1" x14ac:dyDescent="0.35">
      <c r="B104" t="s">
        <v>44</v>
      </c>
      <c r="C104">
        <v>3</v>
      </c>
      <c r="E104" s="20" t="s">
        <v>93</v>
      </c>
      <c r="F104">
        <v>250</v>
      </c>
      <c r="N104" s="90"/>
      <c r="Q104" s="95"/>
      <c r="R104" s="70">
        <v>1</v>
      </c>
      <c r="S104" s="68">
        <f t="shared" si="0"/>
        <v>1</v>
      </c>
      <c r="T104" s="68">
        <f t="shared" si="0"/>
        <v>2</v>
      </c>
      <c r="U104" s="68">
        <f t="shared" si="0"/>
        <v>3</v>
      </c>
      <c r="V104" s="68">
        <f t="shared" si="0"/>
        <v>4</v>
      </c>
      <c r="W104" s="68">
        <f t="shared" si="0"/>
        <v>5</v>
      </c>
      <c r="Y104" s="78"/>
      <c r="Z104" s="86"/>
    </row>
    <row r="105" spans="1:26" ht="15" thickBot="1" x14ac:dyDescent="0.35">
      <c r="B105" t="s">
        <v>48</v>
      </c>
      <c r="C105">
        <v>2</v>
      </c>
      <c r="E105" s="20" t="s">
        <v>30</v>
      </c>
      <c r="F105">
        <v>527</v>
      </c>
      <c r="N105" s="90"/>
      <c r="Q105" s="95"/>
      <c r="R105" s="71"/>
      <c r="S105" s="72">
        <v>1</v>
      </c>
      <c r="T105" s="73">
        <v>2</v>
      </c>
      <c r="U105" s="73">
        <v>3</v>
      </c>
      <c r="V105" s="73">
        <v>4</v>
      </c>
      <c r="W105" s="74">
        <v>5</v>
      </c>
      <c r="Y105" s="78"/>
      <c r="Z105" s="86"/>
    </row>
    <row r="106" spans="1:26" x14ac:dyDescent="0.3">
      <c r="B106" t="s">
        <v>23</v>
      </c>
      <c r="C106">
        <v>3</v>
      </c>
      <c r="N106" s="90"/>
      <c r="O106" s="78"/>
      <c r="Q106" s="75"/>
      <c r="R106" s="93"/>
      <c r="S106" s="96" t="s">
        <v>92</v>
      </c>
      <c r="T106" s="96"/>
      <c r="U106" s="96"/>
      <c r="V106" s="96"/>
      <c r="W106" s="96"/>
      <c r="Y106" s="78"/>
      <c r="Z106" s="86"/>
    </row>
    <row r="107" spans="1:26" x14ac:dyDescent="0.3">
      <c r="B107" t="s">
        <v>46</v>
      </c>
      <c r="C107">
        <v>1</v>
      </c>
      <c r="N107" s="90"/>
      <c r="O107" s="78"/>
      <c r="P107" s="78"/>
      <c r="Q107" s="78"/>
      <c r="R107" s="78"/>
      <c r="S107" s="78"/>
      <c r="T107" s="78"/>
      <c r="U107" s="78"/>
      <c r="V107" s="78"/>
      <c r="W107" s="78"/>
      <c r="X107" s="78"/>
      <c r="Y107" s="78"/>
      <c r="Z107" s="86"/>
    </row>
    <row r="108" spans="1:26" x14ac:dyDescent="0.3">
      <c r="A108" t="s">
        <v>32</v>
      </c>
      <c r="B108" t="s">
        <v>47</v>
      </c>
      <c r="C108">
        <v>1</v>
      </c>
      <c r="N108" s="90"/>
      <c r="O108" s="78"/>
      <c r="P108" s="78"/>
      <c r="Q108" s="78"/>
      <c r="R108" s="78"/>
      <c r="S108" s="78"/>
      <c r="T108" s="78"/>
      <c r="U108" s="78"/>
      <c r="V108" s="78"/>
      <c r="W108" s="78"/>
      <c r="X108" s="78"/>
      <c r="Y108" s="78"/>
      <c r="Z108" s="86"/>
    </row>
    <row r="109" spans="1:26" ht="15" thickBot="1" x14ac:dyDescent="0.35">
      <c r="B109" t="s">
        <v>44</v>
      </c>
      <c r="C109">
        <v>1</v>
      </c>
      <c r="N109" s="91"/>
      <c r="O109" s="92"/>
      <c r="P109" s="92"/>
      <c r="Q109" s="92"/>
      <c r="R109" s="92"/>
      <c r="S109" s="92"/>
      <c r="T109" s="92"/>
      <c r="U109" s="92"/>
      <c r="V109" s="92"/>
      <c r="W109" s="92"/>
      <c r="X109" s="92"/>
      <c r="Y109" s="92"/>
      <c r="Z109" s="87"/>
    </row>
    <row r="110" spans="1:26" ht="15" thickTop="1" x14ac:dyDescent="0.3">
      <c r="B110" t="s">
        <v>49</v>
      </c>
      <c r="C110">
        <v>1</v>
      </c>
      <c r="N110" s="78"/>
      <c r="O110" s="78"/>
      <c r="P110" s="78"/>
      <c r="Q110" s="78"/>
      <c r="R110" s="78"/>
      <c r="S110" s="78"/>
      <c r="T110" s="78"/>
      <c r="U110" s="78"/>
      <c r="V110" s="78"/>
      <c r="W110" s="78"/>
      <c r="X110" s="78"/>
      <c r="Y110" s="78"/>
      <c r="Z110" s="78"/>
    </row>
    <row r="111" spans="1:26" x14ac:dyDescent="0.3">
      <c r="B111" t="s">
        <v>23</v>
      </c>
      <c r="C111">
        <v>6</v>
      </c>
    </row>
    <row r="112" spans="1:26" x14ac:dyDescent="0.3">
      <c r="B112" t="s">
        <v>45</v>
      </c>
      <c r="C112">
        <v>1</v>
      </c>
    </row>
    <row r="113" spans="1:3" x14ac:dyDescent="0.3">
      <c r="A113" t="s">
        <v>31</v>
      </c>
      <c r="B113" t="s">
        <v>47</v>
      </c>
      <c r="C113">
        <v>1</v>
      </c>
    </row>
    <row r="114" spans="1:3" x14ac:dyDescent="0.3">
      <c r="B114" t="s">
        <v>44</v>
      </c>
      <c r="C114">
        <v>1</v>
      </c>
    </row>
    <row r="115" spans="1:3" x14ac:dyDescent="0.3">
      <c r="B115" t="s">
        <v>49</v>
      </c>
      <c r="C115">
        <v>2</v>
      </c>
    </row>
    <row r="116" spans="1:3" x14ac:dyDescent="0.3">
      <c r="B116" t="s">
        <v>48</v>
      </c>
      <c r="C116">
        <v>2</v>
      </c>
    </row>
    <row r="117" spans="1:3" x14ac:dyDescent="0.3">
      <c r="B117" t="s">
        <v>45</v>
      </c>
      <c r="C117">
        <v>4</v>
      </c>
    </row>
  </sheetData>
  <mergeCells count="3">
    <mergeCell ref="Q100:Q105"/>
    <mergeCell ref="S106:W106"/>
    <mergeCell ref="A1:AH2"/>
  </mergeCells>
  <conditionalFormatting sqref="S100:W104">
    <cfRule type="cellIs" dxfId="9" priority="9" operator="greaterThan">
      <formula>17</formula>
    </cfRule>
    <cfRule type="cellIs" dxfId="8" priority="11" operator="between">
      <formula>10</formula>
      <formula>17</formula>
    </cfRule>
    <cfRule type="cellIs" dxfId="7" priority="12" operator="between">
      <formula>6</formula>
      <formula>10</formula>
    </cfRule>
    <cfRule type="cellIs" dxfId="6" priority="13" operator="between">
      <formula>0</formula>
      <formula>5</formula>
    </cfRule>
  </conditionalFormatting>
  <pageMargins left="0.7" right="0.7" top="0.75" bottom="0.75" header="0.3" footer="0.3"/>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D2161-FD72-44A5-9D5D-9F48FBAF5B4E}">
  <dimension ref="A1:S175"/>
  <sheetViews>
    <sheetView zoomScale="69" zoomScaleNormal="70" workbookViewId="0">
      <selection activeCell="B2" sqref="B2"/>
    </sheetView>
  </sheetViews>
  <sheetFormatPr defaultColWidth="8.88671875" defaultRowHeight="14.4" outlineLevelCol="3" x14ac:dyDescent="0.3"/>
  <cols>
    <col min="1" max="1" width="10.6640625" style="5" customWidth="1" outlineLevel="1"/>
    <col min="2" max="2" width="16.44140625" style="6" customWidth="1" outlineLevel="1"/>
    <col min="3" max="3" width="12.21875" style="5" customWidth="1" outlineLevel="1"/>
    <col min="4" max="4" width="34.109375" style="6" customWidth="1"/>
    <col min="5" max="5" width="48.44140625" style="7" customWidth="1"/>
    <col min="6" max="6" width="10.44140625" style="5" customWidth="1" outlineLevel="3"/>
    <col min="7" max="7" width="7.6640625" style="5" customWidth="1" outlineLevel="3"/>
    <col min="8" max="8" width="10.109375" style="5" customWidth="1" outlineLevel="3"/>
    <col min="9" max="9" width="11.77734375" style="5" customWidth="1" outlineLevel="3"/>
    <col min="10" max="10" width="11.21875" style="5" customWidth="1" outlineLevel="1"/>
    <col min="11" max="11" width="13.44140625" style="5" customWidth="1" outlineLevel="1"/>
    <col min="12" max="12" width="11.21875" style="5" customWidth="1" outlineLevel="1"/>
    <col min="13" max="13" width="18.109375" style="5" hidden="1" customWidth="1" outlineLevel="2"/>
    <col min="14" max="14" width="44.109375" style="7" hidden="1" customWidth="1" outlineLevel="2"/>
    <col min="15" max="15" width="15.109375" style="8" customWidth="1" outlineLevel="1" collapsed="1"/>
    <col min="16" max="16" width="33.6640625" style="8" customWidth="1" outlineLevel="1"/>
    <col min="17" max="17" width="13.33203125" style="5" customWidth="1" outlineLevel="1"/>
    <col min="18" max="18" width="27.5546875" style="5" customWidth="1" outlineLevel="1"/>
    <col min="19" max="19" width="42.6640625" style="5" customWidth="1" outlineLevel="1"/>
    <col min="20" max="16384" width="8.88671875" style="4"/>
  </cols>
  <sheetData>
    <row r="1" spans="1:19" s="1" customFormat="1" ht="23.4" thickBot="1" x14ac:dyDescent="0.35">
      <c r="A1" s="103" t="s">
        <v>0</v>
      </c>
      <c r="B1" s="104"/>
      <c r="C1" s="104"/>
      <c r="D1" s="104"/>
      <c r="E1" s="104"/>
      <c r="F1" s="65"/>
      <c r="G1" s="104" t="s">
        <v>1</v>
      </c>
      <c r="H1" s="104"/>
      <c r="I1" s="104"/>
      <c r="J1" s="104"/>
      <c r="K1" s="104"/>
      <c r="L1" s="64"/>
      <c r="M1" s="105" t="s">
        <v>2</v>
      </c>
      <c r="N1" s="106"/>
      <c r="O1" s="106"/>
      <c r="P1" s="107"/>
      <c r="Q1" s="105" t="s">
        <v>3</v>
      </c>
      <c r="R1" s="106"/>
      <c r="S1" s="107"/>
    </row>
    <row r="2" spans="1:19" s="2" customFormat="1" ht="154.80000000000001" customHeight="1" thickBot="1" x14ac:dyDescent="0.35">
      <c r="A2" s="53" t="s">
        <v>4</v>
      </c>
      <c r="B2" s="54" t="s">
        <v>5</v>
      </c>
      <c r="C2" s="54" t="s">
        <v>6</v>
      </c>
      <c r="D2" s="55" t="s">
        <v>7</v>
      </c>
      <c r="E2" s="56" t="s">
        <v>8</v>
      </c>
      <c r="F2" s="57" t="s">
        <v>9</v>
      </c>
      <c r="G2" s="54" t="s">
        <v>10</v>
      </c>
      <c r="H2" s="58" t="s">
        <v>11</v>
      </c>
      <c r="I2" s="57" t="s">
        <v>12</v>
      </c>
      <c r="J2" s="54" t="s">
        <v>28</v>
      </c>
      <c r="K2" s="59" t="s">
        <v>13</v>
      </c>
      <c r="L2" s="60" t="s">
        <v>50</v>
      </c>
      <c r="M2" s="57" t="s">
        <v>14</v>
      </c>
      <c r="N2" s="55" t="s">
        <v>15</v>
      </c>
      <c r="O2" s="55" t="s">
        <v>16</v>
      </c>
      <c r="P2" s="61" t="s">
        <v>17</v>
      </c>
      <c r="Q2" s="61" t="s">
        <v>18</v>
      </c>
      <c r="R2" s="62" t="s">
        <v>19</v>
      </c>
      <c r="S2" s="63" t="s">
        <v>20</v>
      </c>
    </row>
    <row r="3" spans="1:19" ht="169.8" customHeight="1" x14ac:dyDescent="0.3">
      <c r="A3" s="14" t="s">
        <v>95</v>
      </c>
      <c r="B3" s="14" t="s">
        <v>86</v>
      </c>
      <c r="C3" s="14" t="s">
        <v>21</v>
      </c>
      <c r="D3" s="15" t="s">
        <v>93</v>
      </c>
      <c r="E3" s="15" t="s">
        <v>22</v>
      </c>
      <c r="F3" s="10">
        <v>5</v>
      </c>
      <c r="G3" s="10">
        <v>5</v>
      </c>
      <c r="H3" s="10">
        <f t="shared" ref="H3" si="0">F3*G3</f>
        <v>25</v>
      </c>
      <c r="I3" s="11">
        <v>0.2</v>
      </c>
      <c r="J3" s="12">
        <v>1000</v>
      </c>
      <c r="K3" s="13">
        <v>1</v>
      </c>
      <c r="L3" s="13" t="s">
        <v>33</v>
      </c>
      <c r="M3" s="13" t="s">
        <v>23</v>
      </c>
      <c r="N3" s="16" t="s">
        <v>24</v>
      </c>
      <c r="O3" s="17" t="s">
        <v>53</v>
      </c>
      <c r="P3" s="18" t="s">
        <v>25</v>
      </c>
      <c r="Q3" s="17" t="s">
        <v>56</v>
      </c>
      <c r="R3" s="21">
        <f ca="1">TODAY()</f>
        <v>46040</v>
      </c>
      <c r="S3" s="17" t="s">
        <v>27</v>
      </c>
    </row>
    <row r="4" spans="1:19" ht="118.8" x14ac:dyDescent="0.3">
      <c r="A4" s="14" t="s">
        <v>96</v>
      </c>
      <c r="B4" s="14" t="s">
        <v>37</v>
      </c>
      <c r="C4" s="14" t="s">
        <v>42</v>
      </c>
      <c r="D4" s="15" t="s">
        <v>94</v>
      </c>
      <c r="E4" s="15" t="s">
        <v>22</v>
      </c>
      <c r="F4" s="10">
        <v>3</v>
      </c>
      <c r="G4" s="10">
        <v>2</v>
      </c>
      <c r="H4" s="10">
        <f t="shared" ref="H4:H32" si="1">F4*G4</f>
        <v>6</v>
      </c>
      <c r="I4" s="11">
        <v>0.3</v>
      </c>
      <c r="J4" s="12">
        <v>2000</v>
      </c>
      <c r="K4" s="13">
        <v>1</v>
      </c>
      <c r="L4" s="13" t="s">
        <v>32</v>
      </c>
      <c r="M4" s="13" t="s">
        <v>23</v>
      </c>
      <c r="N4" s="16" t="s">
        <v>24</v>
      </c>
      <c r="O4" s="17" t="s">
        <v>51</v>
      </c>
      <c r="P4" s="18" t="s">
        <v>25</v>
      </c>
      <c r="Q4" s="17" t="s">
        <v>26</v>
      </c>
      <c r="R4" s="3">
        <f ca="1">TODAY()+5</f>
        <v>46045</v>
      </c>
      <c r="S4" s="9" t="s">
        <v>27</v>
      </c>
    </row>
    <row r="5" spans="1:19" ht="118.8" x14ac:dyDescent="0.3">
      <c r="A5" s="14" t="s">
        <v>97</v>
      </c>
      <c r="B5" s="14" t="s">
        <v>39</v>
      </c>
      <c r="C5" s="14" t="s">
        <v>43</v>
      </c>
      <c r="D5" s="15" t="s">
        <v>93</v>
      </c>
      <c r="E5" s="15" t="s">
        <v>22</v>
      </c>
      <c r="F5" s="10">
        <v>5</v>
      </c>
      <c r="G5" s="10">
        <v>1</v>
      </c>
      <c r="H5" s="10">
        <f t="shared" si="1"/>
        <v>5</v>
      </c>
      <c r="I5" s="11">
        <v>0.4</v>
      </c>
      <c r="J5" s="12">
        <v>3000</v>
      </c>
      <c r="K5" s="13">
        <v>1</v>
      </c>
      <c r="L5" s="13" t="s">
        <v>31</v>
      </c>
      <c r="M5" s="13" t="s">
        <v>45</v>
      </c>
      <c r="N5" s="16" t="s">
        <v>24</v>
      </c>
      <c r="O5" s="17" t="s">
        <v>52</v>
      </c>
      <c r="P5" s="18" t="s">
        <v>25</v>
      </c>
      <c r="Q5" s="17" t="s">
        <v>57</v>
      </c>
      <c r="R5" s="3">
        <f ca="1">TODAY()-5</f>
        <v>46035</v>
      </c>
      <c r="S5" s="9" t="s">
        <v>27</v>
      </c>
    </row>
    <row r="6" spans="1:19" ht="118.8" x14ac:dyDescent="0.3">
      <c r="A6" s="14" t="s">
        <v>98</v>
      </c>
      <c r="B6" s="14" t="s">
        <v>40</v>
      </c>
      <c r="C6" s="14" t="s">
        <v>21</v>
      </c>
      <c r="D6" s="15" t="s">
        <v>94</v>
      </c>
      <c r="E6" s="15" t="s">
        <v>22</v>
      </c>
      <c r="F6" s="10">
        <v>4</v>
      </c>
      <c r="G6" s="10">
        <v>3</v>
      </c>
      <c r="H6" s="10">
        <f t="shared" si="1"/>
        <v>12</v>
      </c>
      <c r="I6" s="11">
        <v>0.5</v>
      </c>
      <c r="J6" s="12">
        <v>100</v>
      </c>
      <c r="K6" s="13">
        <v>1</v>
      </c>
      <c r="L6" s="13" t="s">
        <v>33</v>
      </c>
      <c r="M6" s="13" t="s">
        <v>44</v>
      </c>
      <c r="N6" s="16" t="s">
        <v>24</v>
      </c>
      <c r="O6" s="17" t="s">
        <v>54</v>
      </c>
      <c r="P6" s="18" t="s">
        <v>25</v>
      </c>
      <c r="Q6" s="17" t="s">
        <v>59</v>
      </c>
      <c r="R6" s="3">
        <f ca="1">TODAY()</f>
        <v>46040</v>
      </c>
      <c r="S6" s="9" t="s">
        <v>27</v>
      </c>
    </row>
    <row r="7" spans="1:19" ht="118.8" x14ac:dyDescent="0.3">
      <c r="A7" s="14" t="s">
        <v>99</v>
      </c>
      <c r="B7" s="14" t="s">
        <v>36</v>
      </c>
      <c r="C7" s="14" t="s">
        <v>42</v>
      </c>
      <c r="D7" s="15" t="s">
        <v>93</v>
      </c>
      <c r="E7" s="15" t="s">
        <v>22</v>
      </c>
      <c r="F7" s="10">
        <v>2</v>
      </c>
      <c r="G7" s="10">
        <v>5</v>
      </c>
      <c r="H7" s="10">
        <f t="shared" si="1"/>
        <v>10</v>
      </c>
      <c r="I7" s="11">
        <v>0.1</v>
      </c>
      <c r="J7" s="12">
        <v>5000</v>
      </c>
      <c r="K7" s="13">
        <v>1</v>
      </c>
      <c r="L7" s="13" t="s">
        <v>32</v>
      </c>
      <c r="M7" s="13" t="s">
        <v>23</v>
      </c>
      <c r="N7" s="16" t="s">
        <v>24</v>
      </c>
      <c r="O7" s="17" t="s">
        <v>55</v>
      </c>
      <c r="P7" s="18" t="s">
        <v>25</v>
      </c>
      <c r="Q7" s="17" t="s">
        <v>56</v>
      </c>
      <c r="R7" s="3">
        <f ca="1">TODAY()+5</f>
        <v>46045</v>
      </c>
      <c r="S7" s="9" t="s">
        <v>27</v>
      </c>
    </row>
    <row r="8" spans="1:19" ht="118.8" x14ac:dyDescent="0.3">
      <c r="A8" s="14" t="s">
        <v>100</v>
      </c>
      <c r="B8" s="14" t="s">
        <v>38</v>
      </c>
      <c r="C8" s="14" t="s">
        <v>43</v>
      </c>
      <c r="D8" s="15" t="s">
        <v>94</v>
      </c>
      <c r="E8" s="15" t="s">
        <v>22</v>
      </c>
      <c r="F8" s="10">
        <v>5</v>
      </c>
      <c r="G8" s="10">
        <v>2</v>
      </c>
      <c r="H8" s="10">
        <f t="shared" si="1"/>
        <v>10</v>
      </c>
      <c r="I8" s="11">
        <v>0.2</v>
      </c>
      <c r="J8" s="12">
        <v>6000</v>
      </c>
      <c r="K8" s="13">
        <v>1</v>
      </c>
      <c r="L8" s="13" t="s">
        <v>31</v>
      </c>
      <c r="M8" s="13" t="s">
        <v>48</v>
      </c>
      <c r="N8" s="16" t="s">
        <v>24</v>
      </c>
      <c r="O8" s="17" t="s">
        <v>53</v>
      </c>
      <c r="P8" s="18" t="s">
        <v>25</v>
      </c>
      <c r="Q8" s="17" t="s">
        <v>26</v>
      </c>
      <c r="R8" s="3">
        <f ca="1">TODAY()-5</f>
        <v>46035</v>
      </c>
      <c r="S8" s="9" t="s">
        <v>27</v>
      </c>
    </row>
    <row r="9" spans="1:19" ht="118.8" x14ac:dyDescent="0.3">
      <c r="A9" s="14" t="s">
        <v>101</v>
      </c>
      <c r="B9" s="14" t="s">
        <v>37</v>
      </c>
      <c r="C9" s="14" t="s">
        <v>21</v>
      </c>
      <c r="D9" s="15" t="s">
        <v>93</v>
      </c>
      <c r="E9" s="15" t="s">
        <v>22</v>
      </c>
      <c r="F9" s="10">
        <v>4</v>
      </c>
      <c r="G9" s="10">
        <v>4</v>
      </c>
      <c r="H9" s="10">
        <f t="shared" si="1"/>
        <v>16</v>
      </c>
      <c r="I9" s="11">
        <v>0.3</v>
      </c>
      <c r="J9" s="12">
        <v>10000</v>
      </c>
      <c r="K9" s="13">
        <v>1</v>
      </c>
      <c r="L9" s="13" t="s">
        <v>33</v>
      </c>
      <c r="M9" s="13" t="s">
        <v>46</v>
      </c>
      <c r="N9" s="16" t="s">
        <v>24</v>
      </c>
      <c r="O9" s="17" t="s">
        <v>51</v>
      </c>
      <c r="P9" s="18" t="s">
        <v>25</v>
      </c>
      <c r="Q9" s="17" t="s">
        <v>57</v>
      </c>
      <c r="R9" s="3">
        <f ca="1">TODAY()</f>
        <v>46040</v>
      </c>
      <c r="S9" s="9" t="s">
        <v>27</v>
      </c>
    </row>
    <row r="10" spans="1:19" ht="118.8" x14ac:dyDescent="0.3">
      <c r="A10" s="14" t="s">
        <v>102</v>
      </c>
      <c r="B10" s="14" t="s">
        <v>39</v>
      </c>
      <c r="C10" s="14" t="s">
        <v>42</v>
      </c>
      <c r="D10" s="15" t="s">
        <v>94</v>
      </c>
      <c r="E10" s="15" t="s">
        <v>22</v>
      </c>
      <c r="F10" s="10">
        <v>5</v>
      </c>
      <c r="G10" s="10">
        <v>5</v>
      </c>
      <c r="H10" s="10">
        <f t="shared" si="1"/>
        <v>25</v>
      </c>
      <c r="I10" s="11">
        <v>0.4</v>
      </c>
      <c r="J10" s="12">
        <v>2000</v>
      </c>
      <c r="K10" s="13">
        <v>1</v>
      </c>
      <c r="L10" s="13" t="s">
        <v>32</v>
      </c>
      <c r="M10" s="13" t="s">
        <v>23</v>
      </c>
      <c r="N10" s="16" t="s">
        <v>24</v>
      </c>
      <c r="O10" s="17" t="s">
        <v>52</v>
      </c>
      <c r="P10" s="18" t="s">
        <v>25</v>
      </c>
      <c r="Q10" s="17" t="s">
        <v>59</v>
      </c>
      <c r="R10" s="3">
        <f ca="1">TODAY()+5</f>
        <v>46045</v>
      </c>
      <c r="S10" s="9" t="s">
        <v>27</v>
      </c>
    </row>
    <row r="11" spans="1:19" ht="118.8" x14ac:dyDescent="0.3">
      <c r="A11" s="14" t="s">
        <v>103</v>
      </c>
      <c r="B11" s="14" t="s">
        <v>40</v>
      </c>
      <c r="C11" s="14" t="s">
        <v>43</v>
      </c>
      <c r="D11" s="15" t="s">
        <v>93</v>
      </c>
      <c r="E11" s="15" t="s">
        <v>22</v>
      </c>
      <c r="F11" s="10">
        <v>1</v>
      </c>
      <c r="G11" s="10">
        <v>2</v>
      </c>
      <c r="H11" s="10">
        <f t="shared" si="1"/>
        <v>2</v>
      </c>
      <c r="I11" s="11">
        <v>0.5</v>
      </c>
      <c r="J11" s="12">
        <v>8000</v>
      </c>
      <c r="K11" s="13">
        <v>1</v>
      </c>
      <c r="L11" s="13" t="s">
        <v>31</v>
      </c>
      <c r="M11" s="13" t="s">
        <v>45</v>
      </c>
      <c r="N11" s="16" t="s">
        <v>24</v>
      </c>
      <c r="O11" s="17" t="s">
        <v>54</v>
      </c>
      <c r="P11" s="18" t="s">
        <v>25</v>
      </c>
      <c r="Q11" s="17" t="s">
        <v>56</v>
      </c>
      <c r="R11" s="3">
        <f ca="1">TODAY()-5</f>
        <v>46035</v>
      </c>
      <c r="S11" s="9" t="s">
        <v>27</v>
      </c>
    </row>
    <row r="12" spans="1:19" ht="118.8" x14ac:dyDescent="0.3">
      <c r="A12" s="14" t="s">
        <v>104</v>
      </c>
      <c r="B12" s="14" t="s">
        <v>60</v>
      </c>
      <c r="C12" s="14" t="s">
        <v>21</v>
      </c>
      <c r="D12" s="15" t="s">
        <v>94</v>
      </c>
      <c r="E12" s="15" t="s">
        <v>22</v>
      </c>
      <c r="F12" s="10">
        <v>1</v>
      </c>
      <c r="G12" s="10">
        <v>2</v>
      </c>
      <c r="H12" s="10">
        <f t="shared" si="1"/>
        <v>2</v>
      </c>
      <c r="I12" s="11">
        <v>0.2</v>
      </c>
      <c r="J12" s="12">
        <v>3000</v>
      </c>
      <c r="K12" s="13">
        <v>1</v>
      </c>
      <c r="L12" s="13" t="s">
        <v>33</v>
      </c>
      <c r="M12" s="13" t="s">
        <v>44</v>
      </c>
      <c r="N12" s="16" t="s">
        <v>24</v>
      </c>
      <c r="O12" s="17" t="s">
        <v>55</v>
      </c>
      <c r="P12" s="18" t="s">
        <v>25</v>
      </c>
      <c r="Q12" s="17" t="s">
        <v>26</v>
      </c>
      <c r="R12" s="3">
        <f ca="1">TODAY()</f>
        <v>46040</v>
      </c>
      <c r="S12" s="9" t="s">
        <v>27</v>
      </c>
    </row>
    <row r="13" spans="1:19" ht="118.8" x14ac:dyDescent="0.3">
      <c r="A13" s="14" t="s">
        <v>105</v>
      </c>
      <c r="B13" s="14" t="s">
        <v>38</v>
      </c>
      <c r="C13" s="14" t="s">
        <v>42</v>
      </c>
      <c r="D13" s="15" t="s">
        <v>93</v>
      </c>
      <c r="E13" s="15" t="s">
        <v>22</v>
      </c>
      <c r="F13" s="10">
        <v>1</v>
      </c>
      <c r="G13" s="10">
        <v>2</v>
      </c>
      <c r="H13" s="10">
        <f t="shared" si="1"/>
        <v>2</v>
      </c>
      <c r="I13" s="11">
        <v>0.3</v>
      </c>
      <c r="J13" s="12">
        <v>3500</v>
      </c>
      <c r="K13" s="13">
        <v>1</v>
      </c>
      <c r="L13" s="13" t="s">
        <v>32</v>
      </c>
      <c r="M13" s="13" t="s">
        <v>23</v>
      </c>
      <c r="N13" s="16" t="s">
        <v>24</v>
      </c>
      <c r="O13" s="17" t="s">
        <v>53</v>
      </c>
      <c r="P13" s="18" t="s">
        <v>25</v>
      </c>
      <c r="Q13" s="17" t="s">
        <v>57</v>
      </c>
      <c r="R13" s="3">
        <f ca="1">TODAY()+5</f>
        <v>46045</v>
      </c>
      <c r="S13" s="9" t="s">
        <v>27</v>
      </c>
    </row>
    <row r="14" spans="1:19" ht="118.8" x14ac:dyDescent="0.3">
      <c r="A14" s="14" t="s">
        <v>106</v>
      </c>
      <c r="B14" s="14" t="s">
        <v>37</v>
      </c>
      <c r="C14" s="14" t="s">
        <v>43</v>
      </c>
      <c r="D14" s="15" t="s">
        <v>94</v>
      </c>
      <c r="E14" s="15" t="s">
        <v>22</v>
      </c>
      <c r="F14" s="10">
        <v>1</v>
      </c>
      <c r="G14" s="10">
        <v>2</v>
      </c>
      <c r="H14" s="10">
        <f t="shared" si="1"/>
        <v>2</v>
      </c>
      <c r="I14" s="11">
        <v>0.4</v>
      </c>
      <c r="J14" s="12">
        <v>6480</v>
      </c>
      <c r="K14" s="13">
        <v>1</v>
      </c>
      <c r="L14" s="13" t="s">
        <v>31</v>
      </c>
      <c r="M14" s="13" t="s">
        <v>47</v>
      </c>
      <c r="N14" s="16" t="s">
        <v>24</v>
      </c>
      <c r="O14" s="17" t="s">
        <v>51</v>
      </c>
      <c r="P14" s="18" t="s">
        <v>25</v>
      </c>
      <c r="Q14" s="17" t="s">
        <v>59</v>
      </c>
      <c r="R14" s="3">
        <f ca="1">TODAY()-5</f>
        <v>46035</v>
      </c>
      <c r="S14" s="9" t="s">
        <v>27</v>
      </c>
    </row>
    <row r="15" spans="1:19" ht="118.8" x14ac:dyDescent="0.3">
      <c r="A15" s="14" t="s">
        <v>107</v>
      </c>
      <c r="B15" s="14" t="s">
        <v>39</v>
      </c>
      <c r="C15" s="14" t="s">
        <v>21</v>
      </c>
      <c r="D15" s="15" t="s">
        <v>93</v>
      </c>
      <c r="E15" s="15" t="s">
        <v>22</v>
      </c>
      <c r="F15" s="10">
        <v>1</v>
      </c>
      <c r="G15" s="10">
        <v>3</v>
      </c>
      <c r="H15" s="10">
        <f t="shared" si="1"/>
        <v>3</v>
      </c>
      <c r="I15" s="11">
        <v>0.5</v>
      </c>
      <c r="J15" s="12">
        <v>6500</v>
      </c>
      <c r="K15" s="13">
        <v>1</v>
      </c>
      <c r="L15" s="13" t="s">
        <v>33</v>
      </c>
      <c r="M15" s="13" t="s">
        <v>47</v>
      </c>
      <c r="N15" s="16" t="s">
        <v>24</v>
      </c>
      <c r="O15" s="17" t="s">
        <v>52</v>
      </c>
      <c r="P15" s="18" t="s">
        <v>25</v>
      </c>
      <c r="Q15" s="17" t="s">
        <v>56</v>
      </c>
      <c r="R15" s="3">
        <f ca="1">TODAY()</f>
        <v>46040</v>
      </c>
      <c r="S15" s="9" t="s">
        <v>27</v>
      </c>
    </row>
    <row r="16" spans="1:19" ht="118.8" x14ac:dyDescent="0.3">
      <c r="A16" s="14" t="s">
        <v>108</v>
      </c>
      <c r="B16" s="14" t="s">
        <v>40</v>
      </c>
      <c r="C16" s="14" t="s">
        <v>42</v>
      </c>
      <c r="D16" s="15" t="s">
        <v>94</v>
      </c>
      <c r="E16" s="15" t="s">
        <v>22</v>
      </c>
      <c r="F16" s="10">
        <v>5</v>
      </c>
      <c r="G16" s="10">
        <v>4</v>
      </c>
      <c r="H16" s="10">
        <f t="shared" si="1"/>
        <v>20</v>
      </c>
      <c r="I16" s="11">
        <v>0.2</v>
      </c>
      <c r="J16" s="12">
        <v>9000</v>
      </c>
      <c r="K16" s="13">
        <v>1</v>
      </c>
      <c r="L16" s="13" t="s">
        <v>32</v>
      </c>
      <c r="M16" s="13" t="s">
        <v>44</v>
      </c>
      <c r="N16" s="16" t="s">
        <v>24</v>
      </c>
      <c r="O16" s="17" t="s">
        <v>54</v>
      </c>
      <c r="P16" s="18" t="s">
        <v>25</v>
      </c>
      <c r="Q16" s="17" t="s">
        <v>26</v>
      </c>
      <c r="R16" s="3">
        <f ca="1">TODAY()+5</f>
        <v>46045</v>
      </c>
      <c r="S16" s="9" t="s">
        <v>27</v>
      </c>
    </row>
    <row r="17" spans="1:19" ht="118.8" x14ac:dyDescent="0.3">
      <c r="A17" s="14" t="s">
        <v>109</v>
      </c>
      <c r="B17" s="14" t="s">
        <v>36</v>
      </c>
      <c r="C17" s="14" t="s">
        <v>43</v>
      </c>
      <c r="D17" s="15" t="s">
        <v>93</v>
      </c>
      <c r="E17" s="15" t="s">
        <v>22</v>
      </c>
      <c r="F17" s="10">
        <v>4</v>
      </c>
      <c r="G17" s="10">
        <v>3</v>
      </c>
      <c r="H17" s="10">
        <f t="shared" si="1"/>
        <v>12</v>
      </c>
      <c r="I17" s="11">
        <v>0.3</v>
      </c>
      <c r="J17" s="12">
        <v>8750</v>
      </c>
      <c r="K17" s="13">
        <v>1</v>
      </c>
      <c r="L17" s="13" t="s">
        <v>31</v>
      </c>
      <c r="M17" s="13" t="s">
        <v>44</v>
      </c>
      <c r="N17" s="16" t="s">
        <v>24</v>
      </c>
      <c r="O17" s="17" t="s">
        <v>55</v>
      </c>
      <c r="P17" s="18" t="s">
        <v>25</v>
      </c>
      <c r="Q17" s="17" t="s">
        <v>57</v>
      </c>
      <c r="R17" s="3">
        <f ca="1">TODAY()-5</f>
        <v>46035</v>
      </c>
      <c r="S17" s="9" t="s">
        <v>27</v>
      </c>
    </row>
    <row r="18" spans="1:19" ht="118.8" x14ac:dyDescent="0.3">
      <c r="A18" s="14" t="s">
        <v>110</v>
      </c>
      <c r="B18" s="14" t="s">
        <v>38</v>
      </c>
      <c r="C18" s="14" t="s">
        <v>21</v>
      </c>
      <c r="D18" s="15" t="s">
        <v>94</v>
      </c>
      <c r="E18" s="15" t="s">
        <v>22</v>
      </c>
      <c r="F18" s="10">
        <v>5</v>
      </c>
      <c r="G18" s="10">
        <v>5</v>
      </c>
      <c r="H18" s="10">
        <f t="shared" si="1"/>
        <v>25</v>
      </c>
      <c r="I18" s="11">
        <v>0.4</v>
      </c>
      <c r="J18" s="12">
        <v>250</v>
      </c>
      <c r="K18" s="13">
        <v>1</v>
      </c>
      <c r="L18" s="13" t="s">
        <v>33</v>
      </c>
      <c r="M18" s="13" t="s">
        <v>23</v>
      </c>
      <c r="N18" s="16" t="s">
        <v>24</v>
      </c>
      <c r="O18" s="17" t="s">
        <v>53</v>
      </c>
      <c r="P18" s="18" t="s">
        <v>25</v>
      </c>
      <c r="Q18" s="17" t="s">
        <v>59</v>
      </c>
      <c r="R18" s="3">
        <f ca="1">TODAY()</f>
        <v>46040</v>
      </c>
      <c r="S18" s="9" t="s">
        <v>27</v>
      </c>
    </row>
    <row r="19" spans="1:19" ht="118.8" x14ac:dyDescent="0.3">
      <c r="A19" s="14" t="s">
        <v>111</v>
      </c>
      <c r="B19" s="14" t="s">
        <v>37</v>
      </c>
      <c r="C19" s="14" t="s">
        <v>42</v>
      </c>
      <c r="D19" s="15" t="s">
        <v>93</v>
      </c>
      <c r="E19" s="15" t="s">
        <v>22</v>
      </c>
      <c r="F19" s="10">
        <v>5</v>
      </c>
      <c r="G19" s="10">
        <v>5</v>
      </c>
      <c r="H19" s="10">
        <f t="shared" si="1"/>
        <v>25</v>
      </c>
      <c r="I19" s="11">
        <v>0.5</v>
      </c>
      <c r="J19" s="12">
        <v>100</v>
      </c>
      <c r="K19" s="13">
        <v>1</v>
      </c>
      <c r="L19" s="13" t="s">
        <v>32</v>
      </c>
      <c r="M19" s="13" t="s">
        <v>47</v>
      </c>
      <c r="N19" s="16" t="s">
        <v>24</v>
      </c>
      <c r="O19" s="17" t="s">
        <v>51</v>
      </c>
      <c r="P19" s="18" t="s">
        <v>25</v>
      </c>
      <c r="Q19" s="17" t="s">
        <v>56</v>
      </c>
      <c r="R19" s="3">
        <f ca="1">TODAY()+5</f>
        <v>46045</v>
      </c>
      <c r="S19" s="9" t="s">
        <v>27</v>
      </c>
    </row>
    <row r="20" spans="1:19" ht="118.8" x14ac:dyDescent="0.3">
      <c r="A20" s="14" t="s">
        <v>112</v>
      </c>
      <c r="B20" s="14" t="s">
        <v>39</v>
      </c>
      <c r="C20" s="14" t="s">
        <v>43</v>
      </c>
      <c r="D20" s="15" t="s">
        <v>94</v>
      </c>
      <c r="E20" s="15" t="s">
        <v>22</v>
      </c>
      <c r="F20" s="10">
        <v>5</v>
      </c>
      <c r="G20" s="10">
        <v>5</v>
      </c>
      <c r="H20" s="10">
        <f t="shared" si="1"/>
        <v>25</v>
      </c>
      <c r="I20" s="11">
        <v>0.2</v>
      </c>
      <c r="J20" s="12">
        <v>600</v>
      </c>
      <c r="K20" s="13">
        <v>1</v>
      </c>
      <c r="L20" s="13" t="s">
        <v>31</v>
      </c>
      <c r="M20" s="13" t="s">
        <v>45</v>
      </c>
      <c r="N20" s="16" t="s">
        <v>24</v>
      </c>
      <c r="O20" s="17" t="s">
        <v>52</v>
      </c>
      <c r="P20" s="18" t="s">
        <v>25</v>
      </c>
      <c r="Q20" s="17" t="s">
        <v>26</v>
      </c>
      <c r="R20" s="3">
        <f ca="1">TODAY()-5</f>
        <v>46035</v>
      </c>
      <c r="S20" s="9" t="s">
        <v>27</v>
      </c>
    </row>
    <row r="21" spans="1:19" ht="118.8" x14ac:dyDescent="0.3">
      <c r="A21" s="14" t="s">
        <v>113</v>
      </c>
      <c r="B21" s="14" t="s">
        <v>40</v>
      </c>
      <c r="C21" s="14" t="s">
        <v>21</v>
      </c>
      <c r="D21" s="15" t="s">
        <v>93</v>
      </c>
      <c r="E21" s="15" t="s">
        <v>22</v>
      </c>
      <c r="F21" s="10">
        <v>5</v>
      </c>
      <c r="G21" s="10">
        <v>4</v>
      </c>
      <c r="H21" s="10">
        <f t="shared" si="1"/>
        <v>20</v>
      </c>
      <c r="I21" s="11">
        <v>0.3</v>
      </c>
      <c r="J21" s="12">
        <v>13000</v>
      </c>
      <c r="K21" s="13">
        <v>1</v>
      </c>
      <c r="L21" s="13" t="s">
        <v>33</v>
      </c>
      <c r="M21" s="13" t="s">
        <v>48</v>
      </c>
      <c r="N21" s="16" t="s">
        <v>24</v>
      </c>
      <c r="O21" s="17" t="s">
        <v>54</v>
      </c>
      <c r="P21" s="18" t="s">
        <v>25</v>
      </c>
      <c r="Q21" s="17" t="s">
        <v>57</v>
      </c>
      <c r="R21" s="3">
        <f ca="1">TODAY()</f>
        <v>46040</v>
      </c>
      <c r="S21" s="9" t="s">
        <v>27</v>
      </c>
    </row>
    <row r="22" spans="1:19" ht="118.8" x14ac:dyDescent="0.3">
      <c r="A22" s="14" t="s">
        <v>114</v>
      </c>
      <c r="B22" s="14" t="s">
        <v>60</v>
      </c>
      <c r="C22" s="14" t="s">
        <v>42</v>
      </c>
      <c r="D22" s="15" t="s">
        <v>94</v>
      </c>
      <c r="E22" s="15" t="s">
        <v>22</v>
      </c>
      <c r="F22" s="10">
        <v>5</v>
      </c>
      <c r="G22" s="10">
        <v>5</v>
      </c>
      <c r="H22" s="10">
        <f t="shared" si="1"/>
        <v>25</v>
      </c>
      <c r="I22" s="11">
        <v>0.4</v>
      </c>
      <c r="J22" s="12">
        <v>26000</v>
      </c>
      <c r="K22" s="13">
        <v>1</v>
      </c>
      <c r="L22" s="13" t="s">
        <v>32</v>
      </c>
      <c r="M22" s="13" t="s">
        <v>23</v>
      </c>
      <c r="N22" s="16" t="s">
        <v>24</v>
      </c>
      <c r="O22" s="17" t="s">
        <v>55</v>
      </c>
      <c r="P22" s="18" t="s">
        <v>25</v>
      </c>
      <c r="Q22" s="17" t="s">
        <v>59</v>
      </c>
      <c r="R22" s="3">
        <f ca="1">TODAY()+5</f>
        <v>46045</v>
      </c>
      <c r="S22" s="9" t="s">
        <v>27</v>
      </c>
    </row>
    <row r="23" spans="1:19" ht="118.8" x14ac:dyDescent="0.3">
      <c r="A23" s="14" t="s">
        <v>115</v>
      </c>
      <c r="B23" s="14" t="s">
        <v>38</v>
      </c>
      <c r="C23" s="14" t="s">
        <v>43</v>
      </c>
      <c r="D23" s="15" t="s">
        <v>93</v>
      </c>
      <c r="E23" s="15" t="s">
        <v>22</v>
      </c>
      <c r="F23" s="10">
        <v>5</v>
      </c>
      <c r="G23" s="10">
        <v>5</v>
      </c>
      <c r="H23" s="10">
        <f t="shared" si="1"/>
        <v>25</v>
      </c>
      <c r="I23" s="11">
        <v>0.5</v>
      </c>
      <c r="J23" s="12">
        <v>14500</v>
      </c>
      <c r="K23" s="13">
        <v>1</v>
      </c>
      <c r="L23" s="13" t="s">
        <v>31</v>
      </c>
      <c r="M23" s="13" t="s">
        <v>49</v>
      </c>
      <c r="N23" s="16" t="s">
        <v>24</v>
      </c>
      <c r="O23" s="17" t="s">
        <v>53</v>
      </c>
      <c r="P23" s="18" t="s">
        <v>25</v>
      </c>
      <c r="Q23" s="17" t="s">
        <v>56</v>
      </c>
      <c r="R23" s="3">
        <f ca="1">TODAY()-5</f>
        <v>46035</v>
      </c>
      <c r="S23" s="9" t="s">
        <v>27</v>
      </c>
    </row>
    <row r="24" spans="1:19" ht="118.8" x14ac:dyDescent="0.3">
      <c r="A24" s="14" t="s">
        <v>116</v>
      </c>
      <c r="B24" s="14" t="s">
        <v>37</v>
      </c>
      <c r="C24" s="14" t="s">
        <v>21</v>
      </c>
      <c r="D24" s="15" t="s">
        <v>94</v>
      </c>
      <c r="E24" s="15" t="s">
        <v>22</v>
      </c>
      <c r="F24" s="10">
        <v>5</v>
      </c>
      <c r="G24" s="10">
        <v>5</v>
      </c>
      <c r="H24" s="10">
        <f t="shared" si="1"/>
        <v>25</v>
      </c>
      <c r="I24" s="11">
        <v>0.2</v>
      </c>
      <c r="J24" s="12">
        <v>18000</v>
      </c>
      <c r="K24" s="13">
        <v>1</v>
      </c>
      <c r="L24" s="13" t="s">
        <v>33</v>
      </c>
      <c r="M24" s="13" t="s">
        <v>44</v>
      </c>
      <c r="N24" s="16" t="s">
        <v>24</v>
      </c>
      <c r="O24" s="17" t="s">
        <v>51</v>
      </c>
      <c r="P24" s="18" t="s">
        <v>25</v>
      </c>
      <c r="Q24" s="17" t="s">
        <v>26</v>
      </c>
      <c r="R24" s="3">
        <f ca="1">TODAY()</f>
        <v>46040</v>
      </c>
      <c r="S24" s="9" t="s">
        <v>27</v>
      </c>
    </row>
    <row r="25" spans="1:19" ht="118.8" x14ac:dyDescent="0.3">
      <c r="A25" s="14" t="s">
        <v>117</v>
      </c>
      <c r="B25" s="14" t="s">
        <v>39</v>
      </c>
      <c r="C25" s="14" t="s">
        <v>42</v>
      </c>
      <c r="D25" s="15" t="s">
        <v>93</v>
      </c>
      <c r="E25" s="15" t="s">
        <v>22</v>
      </c>
      <c r="F25" s="10">
        <v>5</v>
      </c>
      <c r="G25" s="10">
        <v>5</v>
      </c>
      <c r="H25" s="10">
        <f t="shared" si="1"/>
        <v>25</v>
      </c>
      <c r="I25" s="11">
        <v>0.3</v>
      </c>
      <c r="J25" s="12">
        <v>21500</v>
      </c>
      <c r="K25" s="13">
        <v>1</v>
      </c>
      <c r="L25" s="13" t="s">
        <v>32</v>
      </c>
      <c r="M25" s="13" t="s">
        <v>45</v>
      </c>
      <c r="N25" s="16" t="s">
        <v>24</v>
      </c>
      <c r="O25" s="17" t="s">
        <v>52</v>
      </c>
      <c r="P25" s="18" t="s">
        <v>25</v>
      </c>
      <c r="Q25" s="17" t="s">
        <v>57</v>
      </c>
      <c r="R25" s="3">
        <f ca="1">TODAY()+5</f>
        <v>46045</v>
      </c>
      <c r="S25" s="9" t="s">
        <v>27</v>
      </c>
    </row>
    <row r="26" spans="1:19" ht="118.8" x14ac:dyDescent="0.3">
      <c r="A26" s="14" t="s">
        <v>118</v>
      </c>
      <c r="B26" s="14" t="s">
        <v>40</v>
      </c>
      <c r="C26" s="14" t="s">
        <v>43</v>
      </c>
      <c r="D26" s="15" t="s">
        <v>94</v>
      </c>
      <c r="E26" s="15" t="s">
        <v>22</v>
      </c>
      <c r="F26" s="10">
        <v>5</v>
      </c>
      <c r="G26" s="10">
        <v>5</v>
      </c>
      <c r="H26" s="10">
        <f t="shared" si="1"/>
        <v>25</v>
      </c>
      <c r="I26" s="11">
        <v>0.4</v>
      </c>
      <c r="J26" s="12">
        <v>1450</v>
      </c>
      <c r="K26" s="13">
        <v>1</v>
      </c>
      <c r="L26" s="13" t="s">
        <v>31</v>
      </c>
      <c r="M26" s="13" t="s">
        <v>48</v>
      </c>
      <c r="N26" s="16" t="s">
        <v>24</v>
      </c>
      <c r="O26" s="17" t="s">
        <v>54</v>
      </c>
      <c r="P26" s="18" t="s">
        <v>25</v>
      </c>
      <c r="Q26" s="17" t="s">
        <v>59</v>
      </c>
      <c r="R26" s="3">
        <f ca="1">TODAY()-5</f>
        <v>46035</v>
      </c>
      <c r="S26" s="9" t="s">
        <v>27</v>
      </c>
    </row>
    <row r="27" spans="1:19" ht="118.8" x14ac:dyDescent="0.3">
      <c r="A27" s="14" t="s">
        <v>119</v>
      </c>
      <c r="B27" s="14" t="s">
        <v>60</v>
      </c>
      <c r="C27" s="14" t="s">
        <v>21</v>
      </c>
      <c r="D27" s="15" t="s">
        <v>93</v>
      </c>
      <c r="E27" s="15" t="s">
        <v>22</v>
      </c>
      <c r="F27" s="10">
        <v>5</v>
      </c>
      <c r="G27" s="10">
        <v>5</v>
      </c>
      <c r="H27" s="10">
        <f t="shared" si="1"/>
        <v>25</v>
      </c>
      <c r="I27" s="11">
        <v>0.5</v>
      </c>
      <c r="J27" s="12">
        <v>1000</v>
      </c>
      <c r="K27" s="13">
        <v>1</v>
      </c>
      <c r="L27" s="13" t="s">
        <v>33</v>
      </c>
      <c r="M27" s="13" t="s">
        <v>23</v>
      </c>
      <c r="N27" s="16" t="s">
        <v>24</v>
      </c>
      <c r="O27" s="17" t="s">
        <v>55</v>
      </c>
      <c r="P27" s="18" t="s">
        <v>25</v>
      </c>
      <c r="Q27" s="17" t="s">
        <v>56</v>
      </c>
      <c r="R27" s="3">
        <f ca="1">TODAY()</f>
        <v>46040</v>
      </c>
      <c r="S27" s="9" t="s">
        <v>27</v>
      </c>
    </row>
    <row r="28" spans="1:19" ht="118.8" x14ac:dyDescent="0.3">
      <c r="A28" s="14" t="s">
        <v>120</v>
      </c>
      <c r="B28" s="14" t="s">
        <v>38</v>
      </c>
      <c r="C28" s="14" t="s">
        <v>42</v>
      </c>
      <c r="D28" s="15" t="s">
        <v>94</v>
      </c>
      <c r="E28" s="15" t="s">
        <v>22</v>
      </c>
      <c r="F28" s="10">
        <v>5</v>
      </c>
      <c r="G28" s="10">
        <v>5</v>
      </c>
      <c r="H28" s="10">
        <f t="shared" si="1"/>
        <v>25</v>
      </c>
      <c r="I28" s="11">
        <v>0.2</v>
      </c>
      <c r="J28" s="12">
        <v>6200</v>
      </c>
      <c r="K28" s="13">
        <v>1</v>
      </c>
      <c r="L28" s="13" t="s">
        <v>32</v>
      </c>
      <c r="M28" s="13" t="s">
        <v>49</v>
      </c>
      <c r="N28" s="16" t="s">
        <v>24</v>
      </c>
      <c r="O28" s="17" t="s">
        <v>53</v>
      </c>
      <c r="P28" s="18" t="s">
        <v>25</v>
      </c>
      <c r="Q28" s="17" t="s">
        <v>26</v>
      </c>
      <c r="R28" s="3">
        <f ca="1">TODAY()+5</f>
        <v>46045</v>
      </c>
      <c r="S28" s="9" t="s">
        <v>27</v>
      </c>
    </row>
    <row r="29" spans="1:19" ht="118.8" x14ac:dyDescent="0.3">
      <c r="A29" s="14" t="s">
        <v>121</v>
      </c>
      <c r="B29" s="14" t="s">
        <v>37</v>
      </c>
      <c r="C29" s="14" t="s">
        <v>43</v>
      </c>
      <c r="D29" s="15" t="s">
        <v>93</v>
      </c>
      <c r="E29" s="15" t="s">
        <v>22</v>
      </c>
      <c r="F29" s="10">
        <v>5</v>
      </c>
      <c r="G29" s="10">
        <v>5</v>
      </c>
      <c r="H29" s="10">
        <f t="shared" si="1"/>
        <v>25</v>
      </c>
      <c r="I29" s="11">
        <v>0.3</v>
      </c>
      <c r="J29" s="12">
        <v>1000</v>
      </c>
      <c r="K29" s="13">
        <v>1</v>
      </c>
      <c r="L29" s="13" t="s">
        <v>31</v>
      </c>
      <c r="M29" s="13" t="s">
        <v>45</v>
      </c>
      <c r="N29" s="16" t="s">
        <v>24</v>
      </c>
      <c r="O29" s="17" t="s">
        <v>51</v>
      </c>
      <c r="P29" s="18" t="s">
        <v>25</v>
      </c>
      <c r="Q29" s="17" t="s">
        <v>57</v>
      </c>
      <c r="R29" s="3">
        <f ca="1">TODAY()-5</f>
        <v>46035</v>
      </c>
      <c r="S29" s="9" t="s">
        <v>27</v>
      </c>
    </row>
    <row r="30" spans="1:19" ht="118.8" x14ac:dyDescent="0.3">
      <c r="A30" s="14" t="s">
        <v>122</v>
      </c>
      <c r="B30" s="14" t="s">
        <v>39</v>
      </c>
      <c r="C30" s="14" t="s">
        <v>21</v>
      </c>
      <c r="D30" s="15" t="s">
        <v>94</v>
      </c>
      <c r="E30" s="15" t="s">
        <v>22</v>
      </c>
      <c r="F30" s="10">
        <v>5</v>
      </c>
      <c r="G30" s="10">
        <v>5</v>
      </c>
      <c r="H30" s="10">
        <f t="shared" si="1"/>
        <v>25</v>
      </c>
      <c r="I30" s="11">
        <v>0.4</v>
      </c>
      <c r="J30" s="12">
        <v>1000</v>
      </c>
      <c r="K30" s="13">
        <v>1</v>
      </c>
      <c r="L30" s="13" t="s">
        <v>33</v>
      </c>
      <c r="M30" s="13" t="s">
        <v>48</v>
      </c>
      <c r="N30" s="16" t="s">
        <v>24</v>
      </c>
      <c r="O30" s="17" t="s">
        <v>52</v>
      </c>
      <c r="P30" s="18" t="s">
        <v>25</v>
      </c>
      <c r="Q30" s="17" t="s">
        <v>59</v>
      </c>
      <c r="R30" s="3">
        <f ca="1">TODAY()</f>
        <v>46040</v>
      </c>
      <c r="S30" s="9" t="s">
        <v>27</v>
      </c>
    </row>
    <row r="31" spans="1:19" ht="118.8" x14ac:dyDescent="0.3">
      <c r="A31" s="14" t="s">
        <v>123</v>
      </c>
      <c r="B31" s="14" t="s">
        <v>40</v>
      </c>
      <c r="C31" s="14" t="s">
        <v>42</v>
      </c>
      <c r="D31" s="15" t="s">
        <v>93</v>
      </c>
      <c r="E31" s="15" t="s">
        <v>22</v>
      </c>
      <c r="F31" s="10">
        <v>5</v>
      </c>
      <c r="G31" s="10">
        <v>5</v>
      </c>
      <c r="H31" s="10">
        <f t="shared" si="1"/>
        <v>25</v>
      </c>
      <c r="I31" s="11">
        <v>0.5</v>
      </c>
      <c r="J31" s="12">
        <v>1000</v>
      </c>
      <c r="K31" s="13">
        <v>1</v>
      </c>
      <c r="L31" s="13" t="s">
        <v>32</v>
      </c>
      <c r="M31" s="13" t="s">
        <v>23</v>
      </c>
      <c r="N31" s="16" t="s">
        <v>24</v>
      </c>
      <c r="O31" s="17" t="s">
        <v>54</v>
      </c>
      <c r="P31" s="18" t="s">
        <v>25</v>
      </c>
      <c r="Q31" s="17" t="s">
        <v>56</v>
      </c>
      <c r="R31" s="3">
        <f ca="1">TODAY()+5</f>
        <v>46045</v>
      </c>
      <c r="S31" s="9" t="s">
        <v>27</v>
      </c>
    </row>
    <row r="32" spans="1:19" ht="118.8" x14ac:dyDescent="0.3">
      <c r="A32" s="14" t="s">
        <v>124</v>
      </c>
      <c r="B32" s="14" t="s">
        <v>60</v>
      </c>
      <c r="C32" s="14" t="s">
        <v>43</v>
      </c>
      <c r="D32" s="15" t="s">
        <v>94</v>
      </c>
      <c r="E32" s="15" t="s">
        <v>22</v>
      </c>
      <c r="F32" s="10">
        <v>5</v>
      </c>
      <c r="G32" s="10">
        <v>5</v>
      </c>
      <c r="H32" s="10">
        <f t="shared" si="1"/>
        <v>25</v>
      </c>
      <c r="I32" s="11">
        <v>0.2</v>
      </c>
      <c r="J32" s="12">
        <v>1000</v>
      </c>
      <c r="K32" s="13">
        <v>1</v>
      </c>
      <c r="L32" s="13" t="s">
        <v>31</v>
      </c>
      <c r="M32" s="13" t="s">
        <v>49</v>
      </c>
      <c r="N32" s="16" t="s">
        <v>24</v>
      </c>
      <c r="O32" s="17" t="s">
        <v>55</v>
      </c>
      <c r="P32" s="18" t="s">
        <v>25</v>
      </c>
      <c r="Q32" s="17" t="s">
        <v>26</v>
      </c>
      <c r="R32" s="3">
        <f ca="1">TODAY()-5</f>
        <v>46035</v>
      </c>
      <c r="S32" s="9" t="s">
        <v>27</v>
      </c>
    </row>
    <row r="33" spans="1:19" x14ac:dyDescent="0.3">
      <c r="A33" s="14"/>
      <c r="B33" s="14"/>
      <c r="C33" s="14"/>
      <c r="D33" s="15"/>
      <c r="E33" s="15"/>
      <c r="F33" s="10"/>
      <c r="G33" s="10"/>
      <c r="H33" s="10"/>
      <c r="I33" s="11"/>
      <c r="J33" s="12"/>
      <c r="K33" s="13"/>
      <c r="L33" s="13"/>
      <c r="M33" s="13"/>
      <c r="N33" s="16"/>
      <c r="O33" s="17"/>
      <c r="P33" s="18"/>
      <c r="Q33" s="17"/>
      <c r="R33" s="3"/>
      <c r="S33" s="9"/>
    </row>
    <row r="34" spans="1:19" x14ac:dyDescent="0.3">
      <c r="A34" s="14"/>
      <c r="B34" s="14"/>
      <c r="C34" s="14"/>
      <c r="D34" s="15"/>
      <c r="E34" s="15"/>
      <c r="F34" s="10"/>
      <c r="G34" s="10"/>
      <c r="H34" s="10"/>
      <c r="I34" s="11"/>
      <c r="J34" s="12"/>
      <c r="K34" s="13"/>
      <c r="L34" s="13"/>
      <c r="M34" s="13"/>
      <c r="N34" s="16"/>
      <c r="O34" s="17"/>
      <c r="P34" s="18"/>
      <c r="Q34" s="17"/>
      <c r="R34" s="3"/>
      <c r="S34" s="9"/>
    </row>
    <row r="35" spans="1:19" x14ac:dyDescent="0.3">
      <c r="A35" s="14"/>
      <c r="B35" s="14"/>
      <c r="C35" s="14"/>
      <c r="D35" s="15"/>
      <c r="E35" s="15"/>
      <c r="F35" s="10"/>
      <c r="G35" s="10"/>
      <c r="H35" s="10"/>
      <c r="I35" s="11"/>
      <c r="J35" s="12"/>
      <c r="K35" s="13"/>
      <c r="L35" s="13"/>
      <c r="M35" s="13"/>
      <c r="N35" s="16"/>
      <c r="O35" s="17"/>
      <c r="P35" s="18"/>
      <c r="Q35" s="17"/>
      <c r="R35" s="3"/>
      <c r="S35" s="9"/>
    </row>
    <row r="36" spans="1:19" x14ac:dyDescent="0.3">
      <c r="A36" s="14"/>
      <c r="B36" s="14"/>
      <c r="C36" s="14"/>
      <c r="D36" s="15"/>
      <c r="E36" s="15"/>
      <c r="F36" s="10"/>
      <c r="G36" s="10"/>
      <c r="H36" s="10"/>
      <c r="I36" s="11"/>
      <c r="J36" s="12"/>
      <c r="K36" s="13"/>
      <c r="L36" s="13"/>
      <c r="M36" s="13"/>
      <c r="N36" s="16"/>
      <c r="O36" s="17"/>
      <c r="P36" s="18"/>
      <c r="Q36" s="17"/>
      <c r="R36" s="3"/>
      <c r="S36" s="9"/>
    </row>
    <row r="37" spans="1:19" x14ac:dyDescent="0.3">
      <c r="A37" s="14"/>
      <c r="B37" s="14"/>
      <c r="C37" s="14"/>
      <c r="D37" s="15"/>
      <c r="E37" s="15"/>
      <c r="F37" s="10"/>
      <c r="G37" s="10"/>
      <c r="H37" s="10"/>
      <c r="I37" s="11"/>
      <c r="J37" s="12"/>
      <c r="K37" s="13"/>
      <c r="L37" s="13"/>
      <c r="M37" s="13"/>
      <c r="N37" s="16"/>
      <c r="O37" s="17"/>
      <c r="P37" s="18"/>
      <c r="Q37" s="17"/>
      <c r="R37" s="3"/>
      <c r="S37" s="9"/>
    </row>
    <row r="38" spans="1:19" x14ac:dyDescent="0.3">
      <c r="A38" s="14"/>
      <c r="B38" s="14"/>
      <c r="C38" s="14"/>
      <c r="D38" s="15"/>
      <c r="E38" s="15"/>
      <c r="F38" s="10"/>
      <c r="G38" s="10"/>
      <c r="H38" s="10"/>
      <c r="I38" s="11"/>
      <c r="J38" s="12"/>
      <c r="K38" s="13"/>
      <c r="L38" s="13"/>
      <c r="M38" s="13"/>
      <c r="N38" s="16"/>
      <c r="O38" s="17"/>
      <c r="P38" s="18"/>
      <c r="Q38" s="17"/>
      <c r="R38" s="3"/>
      <c r="S38" s="9"/>
    </row>
    <row r="39" spans="1:19" x14ac:dyDescent="0.3">
      <c r="A39" s="14"/>
      <c r="B39" s="14"/>
      <c r="C39" s="14"/>
      <c r="D39" s="15"/>
      <c r="E39" s="15"/>
      <c r="F39" s="10"/>
      <c r="G39" s="10"/>
      <c r="H39" s="10"/>
      <c r="I39" s="11"/>
      <c r="J39" s="12"/>
      <c r="K39" s="13"/>
      <c r="L39" s="13"/>
      <c r="M39" s="13"/>
      <c r="N39" s="16"/>
      <c r="O39" s="17"/>
      <c r="P39" s="18"/>
      <c r="Q39" s="17"/>
      <c r="R39" s="3"/>
      <c r="S39" s="9"/>
    </row>
    <row r="40" spans="1:19" x14ac:dyDescent="0.3">
      <c r="A40" s="14"/>
      <c r="B40" s="14"/>
      <c r="C40" s="14"/>
      <c r="D40" s="15"/>
      <c r="E40" s="15"/>
      <c r="F40" s="10"/>
      <c r="G40" s="10"/>
      <c r="H40" s="10"/>
      <c r="I40" s="11"/>
      <c r="J40" s="12"/>
      <c r="K40" s="13"/>
      <c r="L40" s="13"/>
      <c r="M40" s="13"/>
      <c r="N40" s="16"/>
      <c r="O40" s="17"/>
      <c r="P40" s="18"/>
      <c r="Q40" s="17"/>
      <c r="R40" s="3"/>
      <c r="S40" s="9"/>
    </row>
    <row r="41" spans="1:19" x14ac:dyDescent="0.3">
      <c r="A41" s="14"/>
      <c r="B41" s="14"/>
      <c r="C41" s="14"/>
      <c r="D41" s="15"/>
      <c r="E41" s="15"/>
      <c r="F41" s="10"/>
      <c r="G41" s="10"/>
      <c r="H41" s="10"/>
      <c r="I41" s="11"/>
      <c r="J41" s="12"/>
      <c r="K41" s="13"/>
      <c r="L41" s="13"/>
      <c r="M41" s="13"/>
      <c r="N41" s="16"/>
      <c r="O41" s="17"/>
      <c r="P41" s="18"/>
      <c r="Q41" s="17"/>
      <c r="R41" s="3"/>
      <c r="S41" s="9"/>
    </row>
    <row r="42" spans="1:19" x14ac:dyDescent="0.3">
      <c r="A42" s="14"/>
      <c r="B42" s="14"/>
      <c r="C42" s="14"/>
      <c r="D42" s="15"/>
      <c r="E42" s="15"/>
      <c r="F42" s="10"/>
      <c r="G42" s="10"/>
      <c r="H42" s="10"/>
      <c r="I42" s="11"/>
      <c r="J42" s="12"/>
      <c r="K42" s="13"/>
      <c r="L42" s="13"/>
      <c r="M42" s="13"/>
      <c r="N42" s="16"/>
      <c r="O42" s="17"/>
      <c r="P42" s="18"/>
      <c r="Q42" s="17"/>
      <c r="R42" s="3"/>
      <c r="S42" s="9"/>
    </row>
    <row r="43" spans="1:19" x14ac:dyDescent="0.3">
      <c r="A43" s="14"/>
      <c r="B43" s="14"/>
      <c r="C43" s="14"/>
      <c r="D43" s="15"/>
      <c r="E43" s="15"/>
      <c r="F43" s="10"/>
      <c r="G43" s="10"/>
      <c r="H43" s="10"/>
      <c r="I43" s="11"/>
      <c r="J43" s="12"/>
      <c r="K43" s="13"/>
      <c r="L43" s="13"/>
      <c r="M43" s="13"/>
      <c r="N43" s="16"/>
      <c r="O43" s="17"/>
      <c r="P43" s="18"/>
      <c r="Q43" s="17"/>
      <c r="R43" s="3"/>
      <c r="S43" s="9"/>
    </row>
    <row r="44" spans="1:19" x14ac:dyDescent="0.3">
      <c r="A44" s="14"/>
      <c r="B44" s="14"/>
      <c r="C44" s="14"/>
      <c r="D44" s="15"/>
      <c r="E44" s="15"/>
      <c r="F44" s="10"/>
      <c r="G44" s="10"/>
      <c r="H44" s="10"/>
      <c r="I44" s="11"/>
      <c r="J44" s="12"/>
      <c r="K44" s="13"/>
      <c r="L44" s="13"/>
      <c r="M44" s="13"/>
      <c r="N44" s="16"/>
      <c r="O44" s="17"/>
      <c r="P44" s="18"/>
      <c r="Q44" s="17"/>
      <c r="R44" s="3"/>
      <c r="S44" s="9"/>
    </row>
    <row r="45" spans="1:19" x14ac:dyDescent="0.3">
      <c r="A45" s="14"/>
      <c r="B45" s="14"/>
      <c r="C45" s="14"/>
      <c r="D45" s="15"/>
      <c r="E45" s="15"/>
      <c r="F45" s="10"/>
      <c r="G45" s="10"/>
      <c r="H45" s="10"/>
      <c r="I45" s="11"/>
      <c r="J45" s="12"/>
      <c r="K45" s="13"/>
      <c r="L45" s="13"/>
      <c r="M45" s="13"/>
      <c r="N45" s="16"/>
      <c r="O45" s="17"/>
      <c r="P45" s="18"/>
      <c r="Q45" s="17"/>
      <c r="R45" s="3"/>
      <c r="S45" s="9"/>
    </row>
    <row r="46" spans="1:19" x14ac:dyDescent="0.3">
      <c r="A46" s="14"/>
      <c r="B46" s="14"/>
      <c r="C46" s="14"/>
      <c r="D46" s="15"/>
      <c r="E46" s="15"/>
      <c r="F46" s="10"/>
      <c r="G46" s="10"/>
      <c r="H46" s="10"/>
      <c r="I46" s="11"/>
      <c r="J46" s="12"/>
      <c r="K46" s="13"/>
      <c r="L46" s="13"/>
      <c r="M46" s="13"/>
      <c r="N46" s="16"/>
      <c r="O46" s="17"/>
      <c r="P46" s="18"/>
      <c r="Q46" s="17"/>
      <c r="R46" s="3"/>
      <c r="S46" s="9"/>
    </row>
    <row r="47" spans="1:19" x14ac:dyDescent="0.3">
      <c r="A47" s="14"/>
      <c r="B47" s="14"/>
      <c r="C47" s="14"/>
      <c r="D47" s="15"/>
      <c r="E47" s="15"/>
      <c r="F47" s="10"/>
      <c r="G47" s="10"/>
      <c r="H47" s="10"/>
      <c r="I47" s="11"/>
      <c r="J47" s="12"/>
      <c r="K47" s="13"/>
      <c r="L47" s="13"/>
      <c r="M47" s="13"/>
      <c r="N47" s="16"/>
      <c r="O47" s="17"/>
      <c r="P47" s="18"/>
      <c r="Q47" s="17"/>
      <c r="R47" s="3"/>
      <c r="S47" s="9"/>
    </row>
    <row r="48" spans="1:19" x14ac:dyDescent="0.3">
      <c r="A48" s="14"/>
      <c r="B48" s="14"/>
      <c r="C48" s="14"/>
      <c r="D48" s="15"/>
      <c r="E48" s="15"/>
      <c r="F48" s="10"/>
      <c r="G48" s="10"/>
      <c r="H48" s="10"/>
      <c r="I48" s="11"/>
      <c r="J48" s="12"/>
      <c r="K48" s="13"/>
      <c r="L48" s="13"/>
      <c r="M48" s="13"/>
      <c r="N48" s="16"/>
      <c r="O48" s="17"/>
      <c r="P48" s="18"/>
      <c r="Q48" s="17"/>
      <c r="R48" s="3"/>
      <c r="S48" s="9"/>
    </row>
    <row r="49" spans="1:19" x14ac:dyDescent="0.3">
      <c r="A49" s="14"/>
      <c r="B49" s="14"/>
      <c r="C49" s="14"/>
      <c r="D49" s="15"/>
      <c r="E49" s="15"/>
      <c r="F49" s="10"/>
      <c r="G49" s="10"/>
      <c r="H49" s="10"/>
      <c r="I49" s="11"/>
      <c r="J49" s="12"/>
      <c r="K49" s="13"/>
      <c r="L49" s="13"/>
      <c r="M49" s="13"/>
      <c r="N49" s="16"/>
      <c r="O49" s="17"/>
      <c r="P49" s="18"/>
      <c r="Q49" s="17"/>
      <c r="R49" s="3"/>
      <c r="S49" s="9"/>
    </row>
    <row r="50" spans="1:19" x14ac:dyDescent="0.3">
      <c r="A50" s="14"/>
      <c r="B50" s="14"/>
      <c r="C50" s="14"/>
      <c r="D50" s="15"/>
      <c r="E50" s="15"/>
      <c r="F50" s="10"/>
      <c r="G50" s="10"/>
      <c r="H50" s="10"/>
      <c r="I50" s="11"/>
      <c r="J50" s="12"/>
      <c r="K50" s="13"/>
      <c r="L50" s="13"/>
      <c r="M50" s="13"/>
      <c r="N50" s="16"/>
      <c r="O50" s="17"/>
      <c r="P50" s="18"/>
      <c r="Q50" s="17"/>
      <c r="R50" s="3"/>
      <c r="S50" s="9"/>
    </row>
    <row r="51" spans="1:19" x14ac:dyDescent="0.3">
      <c r="A51" s="14"/>
      <c r="B51" s="14"/>
      <c r="C51" s="14"/>
      <c r="D51" s="15"/>
      <c r="E51" s="15"/>
      <c r="F51" s="10"/>
      <c r="G51" s="10"/>
      <c r="H51" s="10"/>
      <c r="I51" s="11"/>
      <c r="J51" s="12"/>
      <c r="K51" s="13"/>
      <c r="L51" s="13"/>
      <c r="M51" s="13"/>
      <c r="N51" s="16"/>
      <c r="O51" s="17"/>
      <c r="P51" s="18"/>
      <c r="Q51" s="17"/>
      <c r="R51" s="3"/>
      <c r="S51" s="9"/>
    </row>
    <row r="52" spans="1:19" x14ac:dyDescent="0.3">
      <c r="A52" s="14"/>
      <c r="B52" s="14"/>
      <c r="C52" s="14"/>
      <c r="D52" s="15"/>
      <c r="E52" s="15"/>
      <c r="F52" s="10"/>
      <c r="G52" s="10"/>
      <c r="H52" s="10"/>
      <c r="I52" s="11"/>
      <c r="J52" s="12"/>
      <c r="K52" s="13"/>
      <c r="L52" s="13"/>
      <c r="M52" s="13"/>
      <c r="N52" s="16"/>
      <c r="O52" s="17"/>
      <c r="P52" s="18"/>
      <c r="Q52" s="17"/>
      <c r="R52" s="3"/>
      <c r="S52" s="9"/>
    </row>
    <row r="53" spans="1:19" x14ac:dyDescent="0.3">
      <c r="A53" s="14"/>
      <c r="B53" s="14"/>
      <c r="C53" s="14"/>
      <c r="D53" s="15"/>
      <c r="E53" s="15"/>
      <c r="F53" s="10"/>
      <c r="G53" s="10"/>
      <c r="H53" s="10"/>
      <c r="I53" s="11"/>
      <c r="J53" s="12"/>
      <c r="K53" s="13"/>
      <c r="L53" s="13"/>
      <c r="M53" s="13"/>
      <c r="N53" s="16"/>
      <c r="O53" s="17"/>
      <c r="P53" s="18"/>
      <c r="Q53" s="17"/>
      <c r="R53" s="3"/>
      <c r="S53" s="9"/>
    </row>
    <row r="54" spans="1:19" x14ac:dyDescent="0.3">
      <c r="A54" s="14"/>
      <c r="B54" s="14"/>
      <c r="C54" s="14"/>
      <c r="D54" s="15"/>
      <c r="E54" s="15"/>
      <c r="F54" s="10"/>
      <c r="G54" s="10"/>
      <c r="H54" s="10"/>
      <c r="I54" s="11"/>
      <c r="J54" s="12"/>
      <c r="K54" s="13"/>
      <c r="L54" s="13"/>
      <c r="M54" s="13"/>
      <c r="N54" s="16"/>
      <c r="O54" s="17"/>
      <c r="P54" s="18"/>
      <c r="Q54" s="17"/>
      <c r="R54" s="3"/>
      <c r="S54" s="9"/>
    </row>
    <row r="55" spans="1:19" x14ac:dyDescent="0.3">
      <c r="A55" s="14"/>
      <c r="B55" s="14"/>
      <c r="C55" s="14"/>
      <c r="D55" s="15"/>
      <c r="E55" s="15"/>
      <c r="F55" s="10"/>
      <c r="G55" s="10"/>
      <c r="H55" s="10"/>
      <c r="I55" s="11"/>
      <c r="J55" s="12"/>
      <c r="K55" s="13"/>
      <c r="L55" s="13"/>
      <c r="M55" s="13"/>
      <c r="N55" s="16"/>
      <c r="O55" s="17"/>
      <c r="P55" s="18"/>
      <c r="Q55" s="17"/>
      <c r="R55" s="3"/>
      <c r="S55" s="9"/>
    </row>
    <row r="56" spans="1:19" x14ac:dyDescent="0.3">
      <c r="A56" s="14"/>
      <c r="B56" s="14"/>
      <c r="C56" s="14"/>
      <c r="D56" s="15"/>
      <c r="E56" s="15"/>
      <c r="F56" s="10"/>
      <c r="G56" s="10"/>
      <c r="H56" s="10"/>
      <c r="I56" s="11"/>
      <c r="J56" s="12"/>
      <c r="K56" s="13"/>
      <c r="L56" s="13"/>
      <c r="M56" s="13"/>
      <c r="N56" s="16"/>
      <c r="O56" s="17"/>
      <c r="P56" s="18"/>
      <c r="Q56" s="17"/>
      <c r="R56" s="3"/>
      <c r="S56" s="9"/>
    </row>
    <row r="57" spans="1:19" x14ac:dyDescent="0.3">
      <c r="A57" s="14"/>
      <c r="B57" s="14"/>
      <c r="C57" s="14"/>
      <c r="D57" s="15"/>
      <c r="E57" s="15"/>
      <c r="F57" s="10"/>
      <c r="G57" s="10"/>
      <c r="H57" s="10"/>
      <c r="I57" s="11"/>
      <c r="J57" s="12"/>
      <c r="K57" s="13"/>
      <c r="L57" s="13"/>
      <c r="M57" s="13"/>
      <c r="N57" s="16"/>
      <c r="O57" s="17"/>
      <c r="P57" s="18"/>
      <c r="Q57" s="17"/>
      <c r="R57" s="3"/>
      <c r="S57" s="9"/>
    </row>
    <row r="58" spans="1:19" x14ac:dyDescent="0.3">
      <c r="A58" s="14"/>
      <c r="B58" s="14"/>
      <c r="C58" s="14"/>
      <c r="D58" s="15"/>
      <c r="E58" s="15"/>
      <c r="F58" s="10"/>
      <c r="G58" s="10"/>
      <c r="H58" s="10"/>
      <c r="I58" s="11"/>
      <c r="J58" s="12"/>
      <c r="K58" s="13"/>
      <c r="L58" s="13"/>
      <c r="M58" s="13"/>
      <c r="N58" s="16"/>
      <c r="O58" s="17"/>
      <c r="P58" s="18"/>
      <c r="Q58" s="17"/>
      <c r="R58" s="3"/>
      <c r="S58" s="9"/>
    </row>
    <row r="59" spans="1:19" x14ac:dyDescent="0.3">
      <c r="A59" s="14"/>
      <c r="B59" s="14"/>
      <c r="C59" s="14"/>
      <c r="D59" s="15"/>
      <c r="E59" s="15"/>
      <c r="F59" s="10"/>
      <c r="G59" s="10"/>
      <c r="H59" s="10"/>
      <c r="I59" s="11"/>
      <c r="J59" s="12"/>
      <c r="K59" s="13"/>
      <c r="L59" s="13"/>
      <c r="M59" s="13"/>
      <c r="N59" s="16"/>
      <c r="O59" s="17"/>
      <c r="P59" s="18"/>
      <c r="Q59" s="17"/>
      <c r="R59" s="3"/>
      <c r="S59" s="9"/>
    </row>
    <row r="60" spans="1:19" x14ac:dyDescent="0.3">
      <c r="A60" s="14"/>
      <c r="B60" s="14"/>
      <c r="C60" s="14"/>
      <c r="D60" s="15"/>
      <c r="E60" s="15"/>
      <c r="F60" s="10"/>
      <c r="G60" s="10"/>
      <c r="H60" s="10"/>
      <c r="I60" s="11"/>
      <c r="J60" s="12"/>
      <c r="K60" s="13"/>
      <c r="L60" s="13"/>
      <c r="M60" s="13"/>
      <c r="N60" s="16"/>
      <c r="O60" s="17"/>
      <c r="P60" s="18"/>
      <c r="Q60" s="17"/>
      <c r="R60" s="3"/>
      <c r="S60" s="9"/>
    </row>
    <row r="61" spans="1:19" x14ac:dyDescent="0.3">
      <c r="A61" s="14"/>
      <c r="B61" s="14"/>
      <c r="C61" s="14"/>
      <c r="D61" s="15"/>
      <c r="E61" s="15"/>
      <c r="F61" s="10"/>
      <c r="G61" s="10"/>
      <c r="H61" s="10"/>
      <c r="I61" s="11"/>
      <c r="J61" s="12"/>
      <c r="K61" s="13"/>
      <c r="L61" s="13"/>
      <c r="M61" s="13"/>
      <c r="N61" s="16"/>
      <c r="O61" s="17"/>
      <c r="P61" s="18"/>
      <c r="Q61" s="17"/>
      <c r="R61" s="3"/>
      <c r="S61" s="9"/>
    </row>
    <row r="62" spans="1:19" x14ac:dyDescent="0.3">
      <c r="A62" s="14"/>
      <c r="B62" s="14"/>
      <c r="C62" s="14"/>
      <c r="D62" s="15"/>
      <c r="E62" s="15"/>
      <c r="F62" s="10"/>
      <c r="G62" s="10"/>
      <c r="H62" s="10"/>
      <c r="I62" s="11"/>
      <c r="J62" s="12"/>
      <c r="K62" s="13"/>
      <c r="L62" s="13"/>
      <c r="M62" s="13"/>
      <c r="N62" s="16"/>
      <c r="O62" s="17"/>
      <c r="P62" s="18"/>
      <c r="Q62" s="17"/>
      <c r="R62" s="3"/>
      <c r="S62" s="9"/>
    </row>
    <row r="63" spans="1:19" x14ac:dyDescent="0.3">
      <c r="A63" s="14"/>
      <c r="B63" s="14"/>
      <c r="C63" s="14"/>
      <c r="D63" s="15"/>
      <c r="E63" s="15"/>
      <c r="F63" s="10"/>
      <c r="G63" s="10"/>
      <c r="H63" s="10"/>
      <c r="I63" s="11"/>
      <c r="J63" s="12"/>
      <c r="K63" s="13"/>
      <c r="L63" s="13"/>
      <c r="M63" s="13"/>
      <c r="N63" s="16"/>
      <c r="O63" s="17"/>
      <c r="P63" s="18"/>
      <c r="Q63" s="17"/>
      <c r="R63" s="3"/>
      <c r="S63" s="9"/>
    </row>
    <row r="64" spans="1:19" x14ac:dyDescent="0.3">
      <c r="A64" s="14"/>
      <c r="B64" s="14"/>
      <c r="C64" s="14"/>
      <c r="D64" s="15"/>
      <c r="E64" s="15"/>
      <c r="F64" s="10"/>
      <c r="G64" s="10"/>
      <c r="H64" s="10"/>
      <c r="I64" s="11"/>
      <c r="J64" s="12"/>
      <c r="K64" s="13"/>
      <c r="L64" s="13"/>
      <c r="M64" s="13"/>
      <c r="N64" s="16"/>
      <c r="O64" s="17"/>
      <c r="P64" s="18"/>
      <c r="Q64" s="17"/>
      <c r="R64" s="3"/>
      <c r="S64" s="9"/>
    </row>
    <row r="65" spans="1:19" x14ac:dyDescent="0.3">
      <c r="A65" s="14"/>
      <c r="B65" s="14"/>
      <c r="C65" s="14"/>
      <c r="D65" s="15"/>
      <c r="E65" s="15"/>
      <c r="F65" s="10"/>
      <c r="G65" s="10"/>
      <c r="H65" s="10"/>
      <c r="I65" s="11"/>
      <c r="J65" s="12"/>
      <c r="K65" s="13"/>
      <c r="L65" s="13"/>
      <c r="M65" s="13"/>
      <c r="N65" s="16"/>
      <c r="O65" s="17"/>
      <c r="P65" s="18"/>
      <c r="Q65" s="17"/>
      <c r="R65" s="3"/>
      <c r="S65" s="9"/>
    </row>
    <row r="66" spans="1:19" x14ac:dyDescent="0.3">
      <c r="A66" s="14"/>
      <c r="B66" s="14"/>
      <c r="C66" s="14"/>
      <c r="D66" s="15"/>
      <c r="E66" s="15"/>
      <c r="F66" s="10"/>
      <c r="G66" s="10"/>
      <c r="H66" s="10"/>
      <c r="I66" s="11"/>
      <c r="J66" s="12"/>
      <c r="K66" s="13"/>
      <c r="L66" s="13"/>
      <c r="M66" s="13"/>
      <c r="N66" s="16"/>
      <c r="O66" s="17"/>
      <c r="P66" s="18"/>
      <c r="Q66" s="17"/>
      <c r="R66" s="3"/>
      <c r="S66" s="9"/>
    </row>
    <row r="67" spans="1:19" x14ac:dyDescent="0.3">
      <c r="A67" s="14"/>
      <c r="B67" s="14"/>
      <c r="C67" s="14"/>
      <c r="D67" s="15"/>
      <c r="E67" s="15"/>
      <c r="F67" s="10"/>
      <c r="G67" s="10"/>
      <c r="H67" s="10"/>
      <c r="I67" s="11"/>
      <c r="J67" s="12"/>
      <c r="K67" s="13"/>
      <c r="L67" s="13"/>
      <c r="M67" s="13"/>
      <c r="N67" s="16"/>
      <c r="O67" s="17"/>
      <c r="P67" s="18"/>
      <c r="Q67" s="17"/>
      <c r="R67" s="3"/>
      <c r="S67" s="9"/>
    </row>
    <row r="68" spans="1:19" x14ac:dyDescent="0.3">
      <c r="A68" s="14"/>
      <c r="B68" s="14"/>
      <c r="C68" s="14"/>
      <c r="D68" s="15"/>
      <c r="E68" s="15"/>
      <c r="F68" s="10"/>
      <c r="G68" s="10"/>
      <c r="H68" s="10"/>
      <c r="I68" s="11"/>
      <c r="J68" s="12"/>
      <c r="K68" s="13"/>
      <c r="L68" s="13"/>
      <c r="M68" s="13"/>
      <c r="N68" s="16"/>
      <c r="O68" s="17"/>
      <c r="P68" s="18"/>
      <c r="Q68" s="17"/>
      <c r="R68" s="3"/>
      <c r="S68" s="9"/>
    </row>
    <row r="69" spans="1:19" x14ac:dyDescent="0.3">
      <c r="A69" s="14"/>
      <c r="B69" s="14"/>
      <c r="C69" s="14"/>
      <c r="D69" s="15"/>
      <c r="E69" s="15"/>
      <c r="F69" s="10"/>
      <c r="G69" s="10"/>
      <c r="H69" s="10"/>
      <c r="I69" s="11"/>
      <c r="J69" s="12"/>
      <c r="K69" s="13"/>
      <c r="L69" s="13"/>
      <c r="M69" s="13"/>
      <c r="N69" s="16"/>
      <c r="O69" s="17"/>
      <c r="P69" s="18"/>
      <c r="Q69" s="17"/>
      <c r="R69" s="3"/>
      <c r="S69" s="9"/>
    </row>
    <row r="70" spans="1:19" x14ac:dyDescent="0.3">
      <c r="A70" s="14"/>
      <c r="B70" s="14"/>
      <c r="C70" s="14"/>
      <c r="D70" s="15"/>
      <c r="E70" s="15"/>
      <c r="F70" s="10"/>
      <c r="G70" s="10"/>
      <c r="H70" s="10"/>
      <c r="I70" s="11"/>
      <c r="J70" s="12"/>
      <c r="K70" s="13"/>
      <c r="L70" s="13"/>
      <c r="M70" s="13"/>
      <c r="N70" s="16"/>
      <c r="O70" s="17"/>
      <c r="P70" s="18"/>
      <c r="Q70" s="17"/>
      <c r="R70" s="3"/>
      <c r="S70" s="9"/>
    </row>
    <row r="71" spans="1:19" x14ac:dyDescent="0.3">
      <c r="A71" s="14"/>
      <c r="B71" s="14"/>
      <c r="C71" s="14"/>
      <c r="D71" s="15"/>
      <c r="E71" s="15"/>
      <c r="F71" s="10"/>
      <c r="G71" s="10"/>
      <c r="H71" s="10"/>
      <c r="I71" s="11"/>
      <c r="J71" s="12"/>
      <c r="K71" s="13"/>
      <c r="L71" s="13"/>
      <c r="M71" s="13"/>
      <c r="N71" s="16"/>
      <c r="O71" s="17"/>
      <c r="P71" s="18"/>
      <c r="Q71" s="17"/>
      <c r="R71" s="3"/>
      <c r="S71" s="9"/>
    </row>
    <row r="72" spans="1:19" x14ac:dyDescent="0.3">
      <c r="A72" s="14"/>
      <c r="B72" s="14"/>
      <c r="C72" s="14"/>
      <c r="D72" s="15"/>
      <c r="E72" s="15"/>
      <c r="F72" s="10"/>
      <c r="G72" s="10"/>
      <c r="H72" s="10"/>
      <c r="I72" s="11"/>
      <c r="J72" s="12"/>
      <c r="K72" s="13"/>
      <c r="L72" s="13"/>
      <c r="M72" s="13"/>
      <c r="N72" s="16"/>
      <c r="O72" s="17"/>
      <c r="P72" s="18"/>
      <c r="Q72" s="17"/>
      <c r="R72" s="3"/>
      <c r="S72" s="9"/>
    </row>
    <row r="73" spans="1:19" x14ac:dyDescent="0.3">
      <c r="A73" s="14"/>
      <c r="B73" s="14"/>
      <c r="C73" s="14"/>
      <c r="D73" s="15"/>
      <c r="E73" s="15"/>
      <c r="F73" s="10"/>
      <c r="G73" s="10"/>
      <c r="H73" s="10"/>
      <c r="I73" s="11"/>
      <c r="J73" s="12"/>
      <c r="K73" s="13"/>
      <c r="L73" s="13"/>
      <c r="M73" s="13"/>
      <c r="N73" s="16"/>
      <c r="O73" s="17"/>
      <c r="P73" s="18"/>
      <c r="Q73" s="17"/>
      <c r="R73" s="3"/>
      <c r="S73" s="9"/>
    </row>
    <row r="74" spans="1:19" x14ac:dyDescent="0.3">
      <c r="A74" s="14"/>
      <c r="B74" s="14"/>
      <c r="C74" s="14"/>
      <c r="D74" s="15"/>
      <c r="E74" s="15"/>
      <c r="F74" s="10"/>
      <c r="G74" s="10"/>
      <c r="H74" s="10"/>
      <c r="I74" s="11"/>
      <c r="J74" s="12"/>
      <c r="K74" s="13"/>
      <c r="L74" s="13"/>
      <c r="M74" s="13"/>
      <c r="N74" s="16"/>
      <c r="O74" s="17"/>
      <c r="P74" s="18"/>
      <c r="Q74" s="17"/>
      <c r="R74" s="3"/>
      <c r="S74" s="9"/>
    </row>
    <row r="75" spans="1:19" x14ac:dyDescent="0.3">
      <c r="A75" s="14"/>
      <c r="B75" s="14"/>
      <c r="C75" s="14"/>
      <c r="D75" s="15"/>
      <c r="E75" s="15"/>
      <c r="F75" s="10"/>
      <c r="G75" s="10"/>
      <c r="H75" s="10"/>
      <c r="I75" s="11"/>
      <c r="J75" s="12"/>
      <c r="K75" s="13"/>
      <c r="L75" s="13"/>
      <c r="M75" s="13"/>
      <c r="N75" s="16"/>
      <c r="O75" s="17"/>
      <c r="P75" s="18"/>
      <c r="Q75" s="17"/>
      <c r="R75" s="3"/>
      <c r="S75" s="9"/>
    </row>
    <row r="76" spans="1:19" x14ac:dyDescent="0.3">
      <c r="A76" s="14"/>
      <c r="B76" s="14"/>
      <c r="C76" s="14"/>
      <c r="D76" s="15"/>
      <c r="E76" s="15"/>
      <c r="F76" s="10"/>
      <c r="G76" s="10"/>
      <c r="H76" s="10"/>
      <c r="I76" s="11"/>
      <c r="J76" s="12"/>
      <c r="K76" s="13"/>
      <c r="L76" s="13"/>
      <c r="M76" s="13"/>
      <c r="N76" s="16"/>
      <c r="O76" s="17"/>
      <c r="P76" s="18"/>
      <c r="Q76" s="17"/>
      <c r="R76" s="3"/>
      <c r="S76" s="9"/>
    </row>
    <row r="77" spans="1:19" x14ac:dyDescent="0.3">
      <c r="A77" s="14"/>
      <c r="B77" s="14"/>
      <c r="C77" s="14"/>
      <c r="D77" s="15"/>
      <c r="E77" s="15"/>
      <c r="F77" s="10"/>
      <c r="G77" s="10"/>
      <c r="H77" s="10"/>
      <c r="I77" s="11"/>
      <c r="J77" s="12"/>
      <c r="K77" s="13"/>
      <c r="L77" s="13"/>
      <c r="M77" s="13"/>
      <c r="N77" s="16"/>
      <c r="O77" s="17"/>
      <c r="P77" s="18"/>
      <c r="Q77" s="17"/>
      <c r="R77" s="3"/>
      <c r="S77" s="9"/>
    </row>
    <row r="78" spans="1:19" x14ac:dyDescent="0.3">
      <c r="A78" s="14"/>
      <c r="B78" s="14"/>
      <c r="C78" s="14"/>
      <c r="D78" s="15"/>
      <c r="E78" s="15"/>
      <c r="F78" s="10"/>
      <c r="G78" s="10"/>
      <c r="H78" s="10"/>
      <c r="I78" s="11"/>
      <c r="J78" s="12"/>
      <c r="K78" s="13"/>
      <c r="L78" s="13"/>
      <c r="M78" s="13"/>
      <c r="N78" s="16"/>
      <c r="O78" s="17"/>
      <c r="P78" s="18"/>
      <c r="Q78" s="17"/>
      <c r="R78" s="3"/>
      <c r="S78" s="9"/>
    </row>
    <row r="79" spans="1:19" x14ac:dyDescent="0.3">
      <c r="A79" s="14"/>
      <c r="B79" s="14"/>
      <c r="C79" s="14"/>
      <c r="D79" s="15"/>
      <c r="E79" s="15"/>
      <c r="F79" s="10"/>
      <c r="G79" s="10"/>
      <c r="H79" s="10"/>
      <c r="I79" s="11"/>
      <c r="J79" s="12"/>
      <c r="K79" s="13"/>
      <c r="L79" s="13"/>
      <c r="M79" s="13"/>
      <c r="N79" s="16"/>
      <c r="O79" s="17"/>
      <c r="P79" s="18"/>
      <c r="Q79" s="17"/>
      <c r="R79" s="3"/>
      <c r="S79" s="9"/>
    </row>
    <row r="80" spans="1:19" x14ac:dyDescent="0.3">
      <c r="A80" s="14"/>
      <c r="B80" s="14"/>
      <c r="C80" s="14"/>
      <c r="D80" s="15"/>
      <c r="E80" s="15"/>
      <c r="F80" s="10"/>
      <c r="G80" s="10"/>
      <c r="H80" s="10"/>
      <c r="I80" s="11"/>
      <c r="J80" s="12"/>
      <c r="K80" s="13"/>
      <c r="L80" s="13"/>
      <c r="M80" s="13"/>
      <c r="N80" s="16"/>
      <c r="O80" s="17"/>
      <c r="P80" s="18"/>
      <c r="Q80" s="17"/>
      <c r="R80" s="3"/>
      <c r="S80" s="9"/>
    </row>
    <row r="81" spans="1:19" x14ac:dyDescent="0.3">
      <c r="A81" s="14"/>
      <c r="B81" s="14"/>
      <c r="C81" s="14"/>
      <c r="D81" s="15"/>
      <c r="E81" s="15"/>
      <c r="F81" s="10"/>
      <c r="G81" s="10"/>
      <c r="H81" s="10"/>
      <c r="I81" s="11"/>
      <c r="J81" s="12"/>
      <c r="K81" s="13"/>
      <c r="L81" s="13"/>
      <c r="M81" s="13"/>
      <c r="N81" s="16"/>
      <c r="O81" s="17"/>
      <c r="P81" s="18"/>
      <c r="Q81" s="17"/>
      <c r="R81" s="3"/>
      <c r="S81" s="9"/>
    </row>
    <row r="82" spans="1:19" x14ac:dyDescent="0.3">
      <c r="A82" s="14"/>
      <c r="B82" s="14"/>
      <c r="C82" s="14"/>
      <c r="D82" s="15"/>
      <c r="E82" s="15"/>
      <c r="F82" s="10"/>
      <c r="G82" s="10"/>
      <c r="H82" s="10"/>
      <c r="I82" s="11"/>
      <c r="J82" s="12"/>
      <c r="K82" s="13"/>
      <c r="L82" s="13"/>
      <c r="M82" s="13"/>
      <c r="N82" s="16"/>
      <c r="O82" s="17"/>
      <c r="P82" s="18"/>
      <c r="Q82" s="17"/>
      <c r="R82" s="3"/>
      <c r="S82" s="9"/>
    </row>
    <row r="83" spans="1:19" x14ac:dyDescent="0.3">
      <c r="A83" s="14"/>
      <c r="B83" s="14"/>
      <c r="C83" s="14"/>
      <c r="D83" s="15"/>
      <c r="E83" s="15"/>
      <c r="F83" s="10"/>
      <c r="G83" s="10"/>
      <c r="H83" s="10"/>
      <c r="I83" s="11"/>
      <c r="J83" s="12"/>
      <c r="K83" s="13"/>
      <c r="L83" s="13"/>
      <c r="M83" s="13"/>
      <c r="N83" s="16"/>
      <c r="O83" s="17"/>
      <c r="P83" s="18"/>
      <c r="Q83" s="17"/>
      <c r="R83" s="3"/>
      <c r="S83" s="9"/>
    </row>
    <row r="84" spans="1:19" x14ac:dyDescent="0.3">
      <c r="A84" s="14"/>
      <c r="B84" s="14"/>
      <c r="C84" s="14"/>
      <c r="D84" s="15"/>
      <c r="E84" s="15"/>
      <c r="F84" s="10"/>
      <c r="G84" s="10"/>
      <c r="H84" s="10"/>
      <c r="I84" s="11"/>
      <c r="J84" s="12"/>
      <c r="K84" s="13"/>
      <c r="L84" s="13"/>
      <c r="M84" s="13"/>
      <c r="N84" s="16"/>
      <c r="O84" s="17"/>
      <c r="P84" s="18"/>
      <c r="Q84" s="17"/>
      <c r="R84" s="3"/>
      <c r="S84" s="9"/>
    </row>
    <row r="85" spans="1:19" x14ac:dyDescent="0.3">
      <c r="A85" s="14"/>
      <c r="B85" s="14"/>
      <c r="C85" s="14"/>
      <c r="D85" s="15"/>
      <c r="E85" s="15"/>
      <c r="F85" s="10"/>
      <c r="G85" s="10"/>
      <c r="H85" s="10"/>
      <c r="I85" s="11"/>
      <c r="J85" s="12"/>
      <c r="K85" s="13"/>
      <c r="L85" s="13"/>
      <c r="M85" s="13"/>
      <c r="N85" s="16"/>
      <c r="O85" s="17"/>
      <c r="P85" s="18"/>
      <c r="Q85" s="17"/>
      <c r="R85" s="3"/>
      <c r="S85" s="9"/>
    </row>
    <row r="86" spans="1:19" x14ac:dyDescent="0.3">
      <c r="A86" s="14"/>
      <c r="B86" s="14"/>
      <c r="C86" s="14"/>
      <c r="D86" s="15"/>
      <c r="E86" s="15"/>
      <c r="F86" s="10"/>
      <c r="G86" s="10"/>
      <c r="H86" s="10"/>
      <c r="I86" s="11"/>
      <c r="J86" s="12"/>
      <c r="K86" s="13"/>
      <c r="L86" s="13"/>
      <c r="M86" s="13"/>
      <c r="N86" s="16"/>
      <c r="O86" s="17"/>
      <c r="P86" s="18"/>
      <c r="Q86" s="17"/>
      <c r="R86" s="3"/>
      <c r="S86" s="9"/>
    </row>
    <row r="87" spans="1:19" x14ac:dyDescent="0.3">
      <c r="A87" s="14"/>
      <c r="B87" s="14"/>
      <c r="C87" s="14"/>
      <c r="D87" s="15"/>
      <c r="E87" s="15"/>
      <c r="F87" s="10"/>
      <c r="G87" s="10"/>
      <c r="H87" s="10"/>
      <c r="I87" s="11"/>
      <c r="J87" s="12"/>
      <c r="K87" s="13"/>
      <c r="L87" s="13"/>
      <c r="M87" s="13"/>
      <c r="N87" s="16"/>
      <c r="O87" s="17"/>
      <c r="P87" s="18"/>
      <c r="Q87" s="17"/>
      <c r="R87" s="3"/>
      <c r="S87" s="9"/>
    </row>
    <row r="88" spans="1:19" x14ac:dyDescent="0.3">
      <c r="A88" s="14"/>
      <c r="B88" s="14"/>
      <c r="C88" s="14"/>
      <c r="D88" s="15"/>
      <c r="E88" s="15"/>
      <c r="F88" s="10"/>
      <c r="G88" s="10"/>
      <c r="H88" s="10"/>
      <c r="I88" s="11"/>
      <c r="J88" s="12"/>
      <c r="K88" s="13"/>
      <c r="L88" s="13"/>
      <c r="M88" s="13"/>
      <c r="N88" s="16"/>
      <c r="O88" s="17"/>
      <c r="P88" s="18"/>
      <c r="Q88" s="17"/>
      <c r="R88" s="3"/>
      <c r="S88" s="9"/>
    </row>
    <row r="89" spans="1:19" x14ac:dyDescent="0.3">
      <c r="A89" s="14"/>
      <c r="B89" s="14"/>
      <c r="C89" s="14"/>
      <c r="D89" s="15"/>
      <c r="E89" s="15"/>
      <c r="F89" s="10"/>
      <c r="G89" s="10"/>
      <c r="H89" s="10"/>
      <c r="I89" s="11"/>
      <c r="J89" s="12"/>
      <c r="K89" s="13"/>
      <c r="L89" s="13"/>
      <c r="M89" s="13"/>
      <c r="N89" s="16"/>
      <c r="O89" s="17"/>
      <c r="P89" s="18"/>
      <c r="Q89" s="17"/>
      <c r="R89" s="3"/>
      <c r="S89" s="9"/>
    </row>
    <row r="90" spans="1:19" x14ac:dyDescent="0.3">
      <c r="A90" s="14"/>
      <c r="B90" s="14"/>
      <c r="C90" s="14"/>
      <c r="D90" s="15"/>
      <c r="E90" s="15"/>
      <c r="F90" s="10"/>
      <c r="G90" s="10"/>
      <c r="H90" s="10"/>
      <c r="I90" s="11"/>
      <c r="J90" s="12"/>
      <c r="K90" s="13"/>
      <c r="L90" s="13"/>
      <c r="M90" s="13"/>
      <c r="N90" s="16"/>
      <c r="O90" s="17"/>
      <c r="P90" s="18"/>
      <c r="Q90" s="17"/>
      <c r="R90" s="3"/>
      <c r="S90" s="9"/>
    </row>
    <row r="91" spans="1:19" x14ac:dyDescent="0.3">
      <c r="A91" s="14"/>
      <c r="B91" s="14"/>
      <c r="C91" s="14"/>
      <c r="D91" s="15"/>
      <c r="E91" s="15"/>
      <c r="F91" s="10"/>
      <c r="G91" s="10"/>
      <c r="H91" s="10"/>
      <c r="I91" s="11"/>
      <c r="J91" s="12"/>
      <c r="K91" s="13"/>
      <c r="L91" s="13"/>
      <c r="M91" s="13"/>
      <c r="N91" s="16"/>
      <c r="O91" s="17"/>
      <c r="P91" s="18"/>
      <c r="Q91" s="17"/>
      <c r="R91" s="3"/>
      <c r="S91" s="9"/>
    </row>
    <row r="92" spans="1:19" x14ac:dyDescent="0.3">
      <c r="A92" s="14"/>
      <c r="B92" s="14"/>
      <c r="C92" s="14"/>
      <c r="D92" s="15"/>
      <c r="E92" s="15"/>
      <c r="F92" s="10"/>
      <c r="G92" s="10"/>
      <c r="H92" s="10"/>
      <c r="I92" s="11"/>
      <c r="J92" s="12"/>
      <c r="K92" s="13"/>
      <c r="L92" s="13"/>
      <c r="M92" s="13"/>
      <c r="N92" s="16"/>
      <c r="O92" s="17"/>
      <c r="P92" s="18"/>
      <c r="Q92" s="17"/>
      <c r="R92" s="3"/>
      <c r="S92" s="9"/>
    </row>
    <row r="93" spans="1:19" x14ac:dyDescent="0.3">
      <c r="A93" s="14"/>
      <c r="B93" s="14"/>
      <c r="C93" s="14"/>
      <c r="D93" s="15"/>
      <c r="E93" s="15"/>
      <c r="F93" s="10"/>
      <c r="G93" s="10"/>
      <c r="H93" s="10"/>
      <c r="I93" s="11"/>
      <c r="J93" s="12"/>
      <c r="K93" s="13"/>
      <c r="L93" s="13"/>
      <c r="M93" s="13"/>
      <c r="N93" s="16"/>
      <c r="O93" s="17"/>
      <c r="P93" s="18"/>
      <c r="Q93" s="17"/>
      <c r="R93" s="3"/>
      <c r="S93" s="9"/>
    </row>
    <row r="94" spans="1:19" x14ac:dyDescent="0.3">
      <c r="A94" s="14"/>
      <c r="B94" s="14"/>
      <c r="C94" s="14"/>
      <c r="D94" s="15"/>
      <c r="E94" s="15"/>
      <c r="F94" s="10"/>
      <c r="G94" s="10"/>
      <c r="H94" s="10"/>
      <c r="I94" s="11"/>
      <c r="J94" s="12"/>
      <c r="K94" s="13"/>
      <c r="L94" s="13"/>
      <c r="M94" s="13"/>
      <c r="N94" s="16"/>
      <c r="O94" s="17"/>
      <c r="P94" s="18"/>
      <c r="Q94" s="17"/>
      <c r="R94" s="3"/>
      <c r="S94" s="9"/>
    </row>
    <row r="95" spans="1:19" x14ac:dyDescent="0.3">
      <c r="A95" s="14"/>
      <c r="B95" s="14"/>
      <c r="C95" s="14"/>
      <c r="D95" s="15"/>
      <c r="E95" s="15"/>
      <c r="F95" s="10"/>
      <c r="G95" s="10"/>
      <c r="H95" s="10"/>
      <c r="I95" s="11"/>
      <c r="J95" s="12"/>
      <c r="K95" s="13"/>
      <c r="L95" s="13"/>
      <c r="M95" s="13"/>
      <c r="N95" s="16"/>
      <c r="O95" s="17"/>
      <c r="P95" s="18"/>
      <c r="Q95" s="17"/>
      <c r="R95" s="3"/>
      <c r="S95" s="9"/>
    </row>
    <row r="96" spans="1:19" x14ac:dyDescent="0.3">
      <c r="A96" s="14"/>
      <c r="B96" s="14"/>
      <c r="C96" s="14"/>
      <c r="D96" s="15"/>
      <c r="E96" s="15"/>
      <c r="F96" s="10"/>
      <c r="G96" s="10"/>
      <c r="H96" s="10"/>
      <c r="I96" s="11"/>
      <c r="J96" s="12"/>
      <c r="K96" s="13"/>
      <c r="L96" s="13"/>
      <c r="M96" s="13"/>
      <c r="N96" s="16"/>
      <c r="O96" s="17"/>
      <c r="P96" s="18"/>
      <c r="Q96" s="17"/>
      <c r="R96" s="3"/>
      <c r="S96" s="9"/>
    </row>
    <row r="97" spans="1:19" x14ac:dyDescent="0.3">
      <c r="A97" s="14"/>
      <c r="B97" s="14"/>
      <c r="C97" s="14"/>
      <c r="D97" s="15"/>
      <c r="E97" s="15"/>
      <c r="F97" s="10"/>
      <c r="G97" s="10"/>
      <c r="H97" s="10"/>
      <c r="I97" s="11"/>
      <c r="J97" s="12"/>
      <c r="K97" s="13"/>
      <c r="L97" s="13"/>
      <c r="M97" s="13"/>
      <c r="N97" s="16"/>
      <c r="O97" s="17"/>
      <c r="P97" s="18"/>
      <c r="Q97" s="17"/>
      <c r="R97" s="3"/>
      <c r="S97" s="9"/>
    </row>
    <row r="98" spans="1:19" x14ac:dyDescent="0.3">
      <c r="A98" s="14"/>
      <c r="B98" s="14"/>
      <c r="C98" s="14"/>
      <c r="D98" s="15"/>
      <c r="E98" s="15"/>
      <c r="F98" s="10"/>
      <c r="G98" s="10"/>
      <c r="H98" s="10"/>
      <c r="I98" s="11"/>
      <c r="J98" s="12"/>
      <c r="K98" s="13"/>
      <c r="L98" s="13"/>
      <c r="M98" s="13"/>
      <c r="N98" s="16"/>
      <c r="O98" s="17"/>
      <c r="P98" s="18"/>
      <c r="Q98" s="17"/>
      <c r="R98" s="3"/>
      <c r="S98" s="9"/>
    </row>
    <row r="99" spans="1:19" x14ac:dyDescent="0.3">
      <c r="A99" s="14"/>
      <c r="B99" s="14"/>
      <c r="C99" s="14"/>
      <c r="D99" s="15"/>
      <c r="E99" s="15"/>
      <c r="F99" s="10"/>
      <c r="G99" s="10"/>
      <c r="H99" s="10"/>
      <c r="I99" s="11"/>
      <c r="J99" s="12"/>
      <c r="K99" s="13"/>
      <c r="L99" s="13"/>
      <c r="M99" s="13"/>
      <c r="N99" s="16"/>
      <c r="O99" s="17"/>
      <c r="P99" s="18"/>
      <c r="Q99" s="17"/>
      <c r="R99" s="3"/>
      <c r="S99" s="9"/>
    </row>
    <row r="100" spans="1:19" x14ac:dyDescent="0.3">
      <c r="A100" s="14"/>
      <c r="B100" s="14"/>
      <c r="C100" s="14"/>
      <c r="D100" s="15"/>
      <c r="E100" s="15"/>
      <c r="F100" s="10"/>
      <c r="G100" s="10"/>
      <c r="H100" s="10"/>
      <c r="I100" s="11"/>
      <c r="J100" s="12"/>
      <c r="K100" s="13"/>
      <c r="L100" s="13"/>
      <c r="M100" s="13"/>
      <c r="N100" s="16"/>
      <c r="O100" s="17"/>
      <c r="P100" s="18"/>
      <c r="Q100" s="17"/>
      <c r="R100" s="3"/>
      <c r="S100" s="9"/>
    </row>
    <row r="101" spans="1:19" x14ac:dyDescent="0.3">
      <c r="A101" s="14"/>
      <c r="B101" s="14"/>
      <c r="C101" s="14"/>
      <c r="D101" s="15"/>
      <c r="E101" s="15"/>
      <c r="F101" s="10"/>
      <c r="G101" s="10"/>
      <c r="H101" s="10"/>
      <c r="I101" s="11"/>
      <c r="J101" s="12"/>
      <c r="K101" s="13"/>
      <c r="L101" s="13"/>
      <c r="M101" s="13"/>
      <c r="N101" s="16"/>
      <c r="O101" s="17"/>
      <c r="P101" s="18"/>
      <c r="Q101" s="17"/>
      <c r="R101" s="3"/>
      <c r="S101" s="9"/>
    </row>
    <row r="102" spans="1:19" x14ac:dyDescent="0.3">
      <c r="A102" s="14"/>
      <c r="B102" s="14"/>
      <c r="C102" s="14"/>
      <c r="D102" s="15"/>
      <c r="E102" s="15"/>
      <c r="F102" s="10"/>
      <c r="G102" s="10"/>
      <c r="H102" s="10"/>
      <c r="I102" s="11"/>
      <c r="J102" s="12"/>
      <c r="K102" s="13"/>
      <c r="L102" s="13"/>
      <c r="M102" s="13"/>
      <c r="N102" s="16"/>
      <c r="O102" s="17"/>
      <c r="P102" s="18"/>
      <c r="Q102" s="17"/>
      <c r="R102" s="3"/>
      <c r="S102" s="9"/>
    </row>
    <row r="103" spans="1:19" x14ac:dyDescent="0.3">
      <c r="A103" s="14"/>
      <c r="B103" s="14"/>
      <c r="C103" s="14"/>
      <c r="D103" s="15"/>
      <c r="E103" s="15"/>
      <c r="F103" s="10"/>
      <c r="G103" s="10"/>
      <c r="H103" s="10"/>
      <c r="I103" s="11"/>
      <c r="J103" s="12"/>
      <c r="K103" s="13"/>
      <c r="L103" s="13"/>
      <c r="M103" s="13"/>
      <c r="N103" s="16"/>
      <c r="O103" s="17"/>
      <c r="P103" s="18"/>
      <c r="Q103" s="17"/>
      <c r="R103" s="3"/>
      <c r="S103" s="9"/>
    </row>
    <row r="104" spans="1:19" x14ac:dyDescent="0.3">
      <c r="A104" s="14"/>
      <c r="B104" s="14"/>
      <c r="C104" s="14"/>
      <c r="D104" s="15"/>
      <c r="E104" s="15"/>
      <c r="F104" s="10"/>
      <c r="G104" s="10"/>
      <c r="H104" s="10"/>
      <c r="I104" s="11"/>
      <c r="J104" s="12"/>
      <c r="K104" s="13"/>
      <c r="L104" s="13"/>
      <c r="M104" s="13"/>
      <c r="N104" s="16"/>
      <c r="O104" s="17"/>
      <c r="P104" s="18"/>
      <c r="Q104" s="17"/>
      <c r="R104" s="3"/>
      <c r="S104" s="9"/>
    </row>
    <row r="105" spans="1:19" x14ac:dyDescent="0.3">
      <c r="A105" s="14"/>
      <c r="B105" s="14"/>
      <c r="C105" s="14"/>
      <c r="D105" s="15"/>
      <c r="E105" s="15"/>
      <c r="F105" s="10"/>
      <c r="G105" s="10"/>
      <c r="H105" s="10"/>
      <c r="I105" s="11"/>
      <c r="J105" s="12"/>
      <c r="K105" s="13"/>
      <c r="L105" s="13"/>
      <c r="M105" s="13"/>
      <c r="N105" s="16"/>
      <c r="O105" s="17"/>
      <c r="P105" s="18"/>
      <c r="Q105" s="17"/>
      <c r="R105" s="3"/>
      <c r="S105" s="9"/>
    </row>
    <row r="106" spans="1:19" x14ac:dyDescent="0.3">
      <c r="A106" s="14"/>
      <c r="B106" s="14"/>
      <c r="C106" s="14"/>
      <c r="D106" s="15"/>
      <c r="E106" s="15"/>
      <c r="F106" s="10"/>
      <c r="G106" s="10"/>
      <c r="H106" s="10"/>
      <c r="I106" s="11"/>
      <c r="J106" s="12"/>
      <c r="K106" s="13"/>
      <c r="L106" s="13"/>
      <c r="M106" s="13"/>
      <c r="N106" s="16"/>
      <c r="O106" s="17"/>
      <c r="P106" s="18"/>
      <c r="Q106" s="17"/>
      <c r="R106" s="3"/>
      <c r="S106" s="9"/>
    </row>
    <row r="107" spans="1:19" x14ac:dyDescent="0.3">
      <c r="A107" s="14"/>
      <c r="B107" s="14"/>
      <c r="C107" s="14"/>
      <c r="D107" s="15"/>
      <c r="E107" s="15"/>
      <c r="F107" s="10"/>
      <c r="G107" s="10"/>
      <c r="H107" s="10"/>
      <c r="I107" s="11"/>
      <c r="J107" s="12"/>
      <c r="K107" s="13"/>
      <c r="L107" s="13"/>
      <c r="M107" s="13"/>
      <c r="N107" s="16"/>
      <c r="O107" s="17"/>
      <c r="P107" s="18"/>
      <c r="Q107" s="17"/>
      <c r="R107" s="3"/>
      <c r="S107" s="9"/>
    </row>
    <row r="108" spans="1:19" x14ac:dyDescent="0.3">
      <c r="A108" s="14"/>
      <c r="B108" s="14"/>
      <c r="C108" s="14"/>
      <c r="D108" s="15"/>
      <c r="E108" s="15"/>
      <c r="F108" s="10"/>
      <c r="G108" s="10"/>
      <c r="H108" s="10"/>
      <c r="I108" s="11"/>
      <c r="J108" s="12"/>
      <c r="K108" s="13"/>
      <c r="L108" s="13"/>
      <c r="M108" s="13"/>
      <c r="N108" s="16"/>
      <c r="O108" s="17"/>
      <c r="P108" s="18"/>
      <c r="Q108" s="17"/>
      <c r="R108" s="3"/>
      <c r="S108" s="9"/>
    </row>
    <row r="109" spans="1:19" x14ac:dyDescent="0.3">
      <c r="A109" s="14"/>
      <c r="B109" s="14"/>
      <c r="C109" s="14"/>
      <c r="D109" s="15"/>
      <c r="E109" s="15"/>
      <c r="F109" s="10"/>
      <c r="G109" s="10"/>
      <c r="H109" s="10"/>
      <c r="I109" s="11"/>
      <c r="J109" s="12"/>
      <c r="K109" s="13"/>
      <c r="L109" s="13"/>
      <c r="M109" s="13"/>
      <c r="N109" s="16"/>
      <c r="O109" s="17"/>
      <c r="P109" s="18"/>
      <c r="Q109" s="17"/>
      <c r="R109" s="3"/>
      <c r="S109" s="9"/>
    </row>
    <row r="110" spans="1:19" x14ac:dyDescent="0.3">
      <c r="A110" s="14"/>
      <c r="B110" s="14"/>
      <c r="C110" s="14"/>
      <c r="D110" s="15"/>
      <c r="E110" s="15"/>
      <c r="F110" s="10"/>
      <c r="G110" s="10"/>
      <c r="H110" s="10"/>
      <c r="I110" s="11"/>
      <c r="J110" s="12"/>
      <c r="K110" s="13"/>
      <c r="L110" s="13"/>
      <c r="M110" s="13"/>
      <c r="N110" s="16"/>
      <c r="O110" s="17"/>
      <c r="P110" s="18"/>
      <c r="Q110" s="17"/>
      <c r="R110" s="3"/>
      <c r="S110" s="9"/>
    </row>
    <row r="111" spans="1:19" x14ac:dyDescent="0.3">
      <c r="A111" s="14"/>
      <c r="B111" s="14"/>
      <c r="C111" s="14"/>
      <c r="D111" s="15"/>
      <c r="E111" s="15"/>
      <c r="F111" s="10"/>
      <c r="G111" s="10"/>
      <c r="H111" s="10"/>
      <c r="I111" s="11"/>
      <c r="J111" s="12"/>
      <c r="K111" s="13"/>
      <c r="L111" s="13"/>
      <c r="M111" s="13"/>
      <c r="N111" s="16"/>
      <c r="O111" s="17"/>
      <c r="P111" s="18"/>
      <c r="Q111" s="17"/>
      <c r="R111" s="3"/>
      <c r="S111" s="9"/>
    </row>
    <row r="112" spans="1:19" x14ac:dyDescent="0.3">
      <c r="A112" s="14"/>
      <c r="B112" s="14"/>
      <c r="C112" s="14"/>
      <c r="D112" s="15"/>
      <c r="E112" s="15"/>
      <c r="F112" s="10"/>
      <c r="G112" s="10"/>
      <c r="H112" s="10"/>
      <c r="I112" s="11"/>
      <c r="J112" s="12"/>
      <c r="K112" s="13"/>
      <c r="L112" s="13"/>
      <c r="M112" s="13"/>
      <c r="N112" s="16"/>
      <c r="O112" s="17"/>
      <c r="P112" s="18"/>
      <c r="Q112" s="17"/>
      <c r="R112" s="3"/>
      <c r="S112" s="9"/>
    </row>
    <row r="113" spans="1:19" x14ac:dyDescent="0.3">
      <c r="A113" s="14"/>
      <c r="B113" s="14"/>
      <c r="C113" s="14"/>
      <c r="D113" s="15"/>
      <c r="E113" s="15"/>
      <c r="F113" s="10"/>
      <c r="G113" s="10"/>
      <c r="H113" s="10"/>
      <c r="I113" s="11"/>
      <c r="J113" s="12"/>
      <c r="K113" s="13"/>
      <c r="L113" s="13"/>
      <c r="M113" s="13"/>
      <c r="N113" s="16"/>
      <c r="O113" s="17"/>
      <c r="P113" s="18"/>
      <c r="Q113" s="17"/>
      <c r="R113" s="3"/>
      <c r="S113" s="9"/>
    </row>
    <row r="114" spans="1:19" x14ac:dyDescent="0.3">
      <c r="A114" s="14"/>
      <c r="B114" s="14"/>
      <c r="C114" s="14"/>
      <c r="D114" s="15"/>
      <c r="E114" s="15"/>
      <c r="F114" s="10"/>
      <c r="G114" s="10"/>
      <c r="H114" s="10"/>
      <c r="I114" s="11"/>
      <c r="J114" s="12"/>
      <c r="K114" s="13"/>
      <c r="L114" s="13"/>
      <c r="M114" s="13"/>
      <c r="N114" s="16"/>
      <c r="O114" s="17"/>
      <c r="P114" s="18"/>
      <c r="Q114" s="17"/>
      <c r="R114" s="3"/>
      <c r="S114" s="9"/>
    </row>
    <row r="115" spans="1:19" x14ac:dyDescent="0.3">
      <c r="A115" s="14"/>
      <c r="B115" s="14"/>
      <c r="C115" s="14"/>
      <c r="D115" s="15"/>
      <c r="E115" s="15"/>
      <c r="F115" s="10"/>
      <c r="G115" s="10"/>
      <c r="H115" s="10"/>
      <c r="I115" s="11"/>
      <c r="J115" s="12"/>
      <c r="K115" s="13"/>
      <c r="L115" s="13"/>
      <c r="M115" s="13"/>
      <c r="N115" s="16"/>
      <c r="O115" s="17"/>
      <c r="P115" s="18"/>
      <c r="Q115" s="17"/>
      <c r="R115" s="3"/>
      <c r="S115" s="9"/>
    </row>
    <row r="116" spans="1:19" x14ac:dyDescent="0.3">
      <c r="A116" s="14"/>
      <c r="B116" s="14"/>
      <c r="C116" s="14"/>
      <c r="D116" s="15"/>
      <c r="E116" s="15"/>
      <c r="F116" s="10"/>
      <c r="G116" s="10"/>
      <c r="H116" s="10"/>
      <c r="I116" s="11"/>
      <c r="J116" s="12"/>
      <c r="K116" s="13"/>
      <c r="L116" s="13"/>
      <c r="M116" s="13"/>
      <c r="N116" s="16"/>
      <c r="O116" s="17"/>
      <c r="P116" s="18"/>
      <c r="Q116" s="17"/>
      <c r="R116" s="3"/>
      <c r="S116" s="9"/>
    </row>
    <row r="117" spans="1:19" x14ac:dyDescent="0.3">
      <c r="A117" s="14"/>
      <c r="B117" s="14"/>
      <c r="C117" s="14"/>
      <c r="D117" s="15"/>
      <c r="E117" s="15"/>
      <c r="F117" s="10"/>
      <c r="G117" s="10"/>
      <c r="H117" s="10"/>
      <c r="I117" s="11"/>
      <c r="J117" s="12"/>
      <c r="K117" s="13"/>
      <c r="L117" s="13"/>
      <c r="M117" s="13"/>
      <c r="N117" s="16"/>
      <c r="O117" s="17"/>
      <c r="P117" s="18"/>
      <c r="Q117" s="17"/>
      <c r="R117" s="3"/>
      <c r="S117" s="9"/>
    </row>
    <row r="118" spans="1:19" x14ac:dyDescent="0.3">
      <c r="A118" s="14"/>
      <c r="B118" s="14"/>
      <c r="C118" s="14"/>
      <c r="D118" s="15"/>
      <c r="E118" s="15"/>
      <c r="F118" s="10"/>
      <c r="G118" s="10"/>
      <c r="H118" s="10"/>
      <c r="I118" s="11"/>
      <c r="J118" s="12"/>
      <c r="K118" s="13"/>
      <c r="L118" s="13"/>
      <c r="M118" s="13"/>
      <c r="N118" s="16"/>
      <c r="O118" s="17"/>
      <c r="P118" s="18"/>
      <c r="Q118" s="17"/>
      <c r="R118" s="3"/>
      <c r="S118" s="9"/>
    </row>
    <row r="119" spans="1:19" x14ac:dyDescent="0.3">
      <c r="A119" s="14"/>
      <c r="B119" s="14"/>
      <c r="C119" s="14"/>
      <c r="D119" s="15"/>
      <c r="E119" s="15"/>
      <c r="F119" s="10"/>
      <c r="G119" s="10"/>
      <c r="H119" s="10"/>
      <c r="I119" s="11"/>
      <c r="J119" s="12"/>
      <c r="K119" s="13"/>
      <c r="L119" s="13"/>
      <c r="M119" s="13"/>
      <c r="N119" s="16"/>
      <c r="O119" s="17"/>
      <c r="P119" s="18"/>
      <c r="Q119" s="17"/>
      <c r="R119" s="3"/>
      <c r="S119" s="9"/>
    </row>
    <row r="120" spans="1:19" x14ac:dyDescent="0.3">
      <c r="A120" s="14"/>
      <c r="B120" s="14"/>
      <c r="C120" s="14"/>
      <c r="D120" s="15"/>
      <c r="E120" s="15"/>
      <c r="F120" s="10"/>
      <c r="G120" s="10"/>
      <c r="H120" s="10"/>
      <c r="I120" s="11"/>
      <c r="J120" s="12"/>
      <c r="K120" s="13"/>
      <c r="L120" s="13"/>
      <c r="M120" s="13"/>
      <c r="N120" s="16"/>
      <c r="O120" s="17"/>
      <c r="P120" s="18"/>
      <c r="Q120" s="17"/>
      <c r="R120" s="3"/>
      <c r="S120" s="9"/>
    </row>
    <row r="121" spans="1:19" x14ac:dyDescent="0.3">
      <c r="A121" s="14"/>
      <c r="B121" s="14"/>
      <c r="C121" s="14"/>
      <c r="D121" s="15"/>
      <c r="E121" s="15"/>
      <c r="F121" s="10"/>
      <c r="G121" s="10"/>
      <c r="H121" s="10"/>
      <c r="I121" s="11"/>
      <c r="J121" s="12"/>
      <c r="K121" s="13"/>
      <c r="L121" s="13"/>
      <c r="M121" s="13"/>
      <c r="N121" s="16"/>
      <c r="O121" s="17"/>
      <c r="P121" s="18"/>
      <c r="Q121" s="17"/>
      <c r="R121" s="3"/>
      <c r="S121" s="9"/>
    </row>
    <row r="122" spans="1:19" x14ac:dyDescent="0.3">
      <c r="A122" s="14"/>
      <c r="B122" s="14"/>
      <c r="C122" s="14"/>
      <c r="D122" s="15"/>
      <c r="E122" s="15"/>
      <c r="F122" s="10"/>
      <c r="G122" s="10"/>
      <c r="H122" s="10"/>
      <c r="I122" s="11"/>
      <c r="J122" s="12"/>
      <c r="K122" s="13"/>
      <c r="L122" s="13"/>
      <c r="M122" s="13"/>
      <c r="N122" s="16"/>
      <c r="O122" s="17"/>
      <c r="P122" s="18"/>
      <c r="Q122" s="17"/>
      <c r="R122" s="3"/>
      <c r="S122" s="9"/>
    </row>
    <row r="123" spans="1:19" x14ac:dyDescent="0.3">
      <c r="A123" s="14"/>
      <c r="B123" s="14"/>
      <c r="C123" s="14"/>
      <c r="D123" s="15"/>
      <c r="E123" s="15"/>
      <c r="F123" s="10"/>
      <c r="G123" s="10"/>
      <c r="H123" s="10"/>
      <c r="I123" s="11"/>
      <c r="J123" s="12"/>
      <c r="K123" s="13"/>
      <c r="L123" s="13"/>
      <c r="M123" s="13"/>
      <c r="N123" s="16"/>
      <c r="O123" s="17"/>
      <c r="P123" s="18"/>
      <c r="Q123" s="17"/>
      <c r="R123" s="3"/>
      <c r="S123" s="9"/>
    </row>
    <row r="124" spans="1:19" x14ac:dyDescent="0.3">
      <c r="A124" s="14"/>
      <c r="B124" s="14"/>
      <c r="C124" s="14"/>
      <c r="D124" s="15"/>
      <c r="E124" s="15"/>
      <c r="F124" s="10"/>
      <c r="G124" s="10"/>
      <c r="H124" s="10"/>
      <c r="I124" s="11"/>
      <c r="J124" s="12"/>
      <c r="K124" s="13"/>
      <c r="L124" s="13"/>
      <c r="M124" s="13"/>
      <c r="N124" s="16"/>
      <c r="O124" s="17"/>
      <c r="P124" s="18"/>
      <c r="Q124" s="17"/>
      <c r="R124" s="3"/>
      <c r="S124" s="9"/>
    </row>
    <row r="125" spans="1:19" x14ac:dyDescent="0.3">
      <c r="A125" s="14"/>
      <c r="B125" s="14"/>
      <c r="C125" s="14"/>
      <c r="D125" s="15"/>
      <c r="E125" s="15"/>
      <c r="F125" s="10"/>
      <c r="G125" s="10"/>
      <c r="H125" s="10"/>
      <c r="I125" s="11"/>
      <c r="J125" s="12"/>
      <c r="K125" s="13"/>
      <c r="L125" s="13"/>
      <c r="M125" s="13"/>
      <c r="N125" s="16"/>
      <c r="O125" s="17"/>
      <c r="P125" s="18"/>
      <c r="Q125" s="17"/>
      <c r="R125" s="3"/>
      <c r="S125" s="9"/>
    </row>
    <row r="126" spans="1:19" x14ac:dyDescent="0.3">
      <c r="A126" s="14"/>
      <c r="B126" s="14"/>
      <c r="C126" s="14"/>
      <c r="D126" s="15"/>
      <c r="E126" s="15"/>
      <c r="F126" s="10"/>
      <c r="G126" s="10"/>
      <c r="H126" s="10"/>
      <c r="I126" s="11"/>
      <c r="J126" s="12"/>
      <c r="K126" s="13"/>
      <c r="L126" s="13"/>
      <c r="M126" s="13"/>
      <c r="N126" s="16"/>
      <c r="O126" s="17"/>
      <c r="P126" s="18"/>
      <c r="Q126" s="17"/>
      <c r="R126" s="3"/>
      <c r="S126" s="9"/>
    </row>
    <row r="127" spans="1:19" x14ac:dyDescent="0.3">
      <c r="A127" s="14"/>
      <c r="B127" s="14"/>
      <c r="C127" s="14"/>
      <c r="D127" s="15"/>
      <c r="E127" s="15"/>
      <c r="F127" s="10"/>
      <c r="G127" s="10"/>
      <c r="H127" s="10"/>
      <c r="I127" s="11"/>
      <c r="J127" s="12"/>
      <c r="K127" s="13"/>
      <c r="L127" s="13"/>
      <c r="M127" s="13"/>
      <c r="N127" s="16"/>
      <c r="O127" s="17"/>
      <c r="P127" s="18"/>
      <c r="Q127" s="17"/>
      <c r="R127" s="3"/>
      <c r="S127" s="9"/>
    </row>
    <row r="128" spans="1:19" x14ac:dyDescent="0.3">
      <c r="A128" s="14"/>
      <c r="B128" s="14"/>
      <c r="C128" s="14"/>
      <c r="D128" s="15"/>
      <c r="E128" s="15"/>
      <c r="F128" s="10"/>
      <c r="G128" s="10"/>
      <c r="H128" s="10"/>
      <c r="I128" s="11"/>
      <c r="J128" s="12"/>
      <c r="K128" s="13"/>
      <c r="L128" s="13"/>
      <c r="M128" s="13"/>
      <c r="N128" s="16"/>
      <c r="O128" s="17"/>
      <c r="P128" s="18"/>
      <c r="Q128" s="17"/>
      <c r="R128" s="3"/>
      <c r="S128" s="9"/>
    </row>
    <row r="129" spans="1:19" x14ac:dyDescent="0.3">
      <c r="A129" s="14"/>
      <c r="B129" s="14"/>
      <c r="C129" s="14"/>
      <c r="D129" s="15"/>
      <c r="E129" s="15"/>
      <c r="F129" s="10"/>
      <c r="G129" s="10"/>
      <c r="H129" s="10"/>
      <c r="I129" s="11"/>
      <c r="J129" s="12"/>
      <c r="K129" s="13"/>
      <c r="L129" s="13"/>
      <c r="M129" s="13"/>
      <c r="N129" s="16"/>
      <c r="O129" s="17"/>
      <c r="P129" s="18"/>
      <c r="Q129" s="17"/>
      <c r="R129" s="3"/>
      <c r="S129" s="9"/>
    </row>
    <row r="130" spans="1:19" x14ac:dyDescent="0.3">
      <c r="A130" s="14"/>
      <c r="B130" s="14"/>
      <c r="C130" s="14"/>
      <c r="D130" s="15"/>
      <c r="E130" s="15"/>
      <c r="F130" s="10"/>
      <c r="G130" s="10"/>
      <c r="H130" s="10"/>
      <c r="I130" s="11"/>
      <c r="J130" s="12"/>
      <c r="K130" s="13"/>
      <c r="L130" s="13"/>
      <c r="M130" s="13"/>
      <c r="N130" s="16"/>
      <c r="O130" s="17"/>
      <c r="P130" s="18"/>
      <c r="Q130" s="17"/>
      <c r="R130" s="3"/>
      <c r="S130" s="9"/>
    </row>
    <row r="131" spans="1:19" x14ac:dyDescent="0.3">
      <c r="A131" s="14"/>
      <c r="B131" s="14"/>
      <c r="C131" s="14"/>
      <c r="D131" s="15"/>
      <c r="E131" s="15"/>
      <c r="F131" s="10"/>
      <c r="G131" s="10"/>
      <c r="H131" s="10"/>
      <c r="I131" s="11"/>
      <c r="J131" s="12"/>
      <c r="K131" s="13"/>
      <c r="L131" s="13"/>
      <c r="M131" s="13"/>
      <c r="N131" s="16"/>
      <c r="O131" s="17"/>
      <c r="P131" s="18"/>
      <c r="Q131" s="17"/>
      <c r="R131" s="3"/>
      <c r="S131" s="9"/>
    </row>
    <row r="132" spans="1:19" x14ac:dyDescent="0.3">
      <c r="A132" s="14"/>
      <c r="B132" s="14"/>
      <c r="C132" s="14"/>
      <c r="D132" s="15"/>
      <c r="E132" s="15"/>
      <c r="F132" s="10"/>
      <c r="G132" s="10"/>
      <c r="H132" s="10"/>
      <c r="I132" s="11"/>
      <c r="J132" s="12"/>
      <c r="K132" s="13"/>
      <c r="L132" s="13"/>
      <c r="M132" s="13"/>
      <c r="N132" s="16"/>
      <c r="O132" s="17"/>
      <c r="P132" s="18"/>
      <c r="Q132" s="17"/>
      <c r="R132" s="3"/>
      <c r="S132" s="9"/>
    </row>
    <row r="133" spans="1:19" x14ac:dyDescent="0.3">
      <c r="A133" s="14"/>
      <c r="B133" s="14"/>
      <c r="C133" s="14"/>
      <c r="D133" s="15"/>
      <c r="E133" s="15"/>
      <c r="F133" s="10"/>
      <c r="G133" s="10"/>
      <c r="H133" s="10"/>
      <c r="I133" s="11"/>
      <c r="J133" s="12"/>
      <c r="K133" s="13"/>
      <c r="L133" s="13"/>
      <c r="M133" s="13"/>
      <c r="N133" s="16"/>
      <c r="O133" s="17"/>
      <c r="P133" s="18"/>
      <c r="Q133" s="17"/>
      <c r="R133" s="3"/>
      <c r="S133" s="9"/>
    </row>
    <row r="134" spans="1:19" x14ac:dyDescent="0.3">
      <c r="A134" s="14"/>
      <c r="B134" s="14"/>
      <c r="C134" s="14"/>
      <c r="D134" s="15"/>
      <c r="E134" s="15"/>
      <c r="F134" s="10"/>
      <c r="G134" s="10"/>
      <c r="H134" s="10"/>
      <c r="I134" s="11"/>
      <c r="J134" s="12"/>
      <c r="K134" s="13"/>
      <c r="L134" s="13"/>
      <c r="M134" s="13"/>
      <c r="N134" s="16"/>
      <c r="O134" s="17"/>
      <c r="P134" s="18"/>
      <c r="Q134" s="17"/>
      <c r="R134" s="3"/>
      <c r="S134" s="9"/>
    </row>
    <row r="135" spans="1:19" x14ac:dyDescent="0.3">
      <c r="A135" s="14"/>
      <c r="B135" s="14"/>
      <c r="C135" s="14"/>
      <c r="D135" s="15"/>
      <c r="E135" s="15"/>
      <c r="F135" s="10"/>
      <c r="G135" s="10"/>
      <c r="H135" s="10"/>
      <c r="I135" s="11"/>
      <c r="J135" s="12"/>
      <c r="K135" s="13"/>
      <c r="L135" s="13"/>
      <c r="M135" s="13"/>
      <c r="N135" s="16"/>
      <c r="O135" s="17"/>
      <c r="P135" s="18"/>
      <c r="Q135" s="17"/>
      <c r="R135" s="3"/>
      <c r="S135" s="9"/>
    </row>
    <row r="136" spans="1:19" x14ac:dyDescent="0.3">
      <c r="A136" s="14"/>
      <c r="B136" s="14"/>
      <c r="C136" s="14"/>
      <c r="D136" s="15"/>
      <c r="E136" s="15"/>
      <c r="F136" s="10"/>
      <c r="G136" s="10"/>
      <c r="H136" s="10"/>
      <c r="I136" s="11"/>
      <c r="J136" s="12"/>
      <c r="K136" s="13"/>
      <c r="L136" s="13"/>
      <c r="M136" s="13"/>
      <c r="N136" s="16"/>
      <c r="O136" s="17"/>
      <c r="P136" s="18"/>
      <c r="Q136" s="17"/>
      <c r="R136" s="3"/>
      <c r="S136" s="9"/>
    </row>
    <row r="137" spans="1:19" x14ac:dyDescent="0.3">
      <c r="A137" s="14"/>
      <c r="B137" s="14"/>
      <c r="C137" s="14"/>
      <c r="D137" s="15"/>
      <c r="E137" s="15"/>
      <c r="F137" s="10"/>
      <c r="G137" s="10"/>
      <c r="H137" s="10"/>
      <c r="I137" s="11"/>
      <c r="J137" s="12"/>
      <c r="K137" s="13"/>
      <c r="L137" s="13"/>
      <c r="M137" s="13"/>
      <c r="N137" s="16"/>
      <c r="O137" s="17"/>
      <c r="P137" s="18"/>
      <c r="Q137" s="17"/>
      <c r="R137" s="3"/>
      <c r="S137" s="9"/>
    </row>
    <row r="138" spans="1:19" x14ac:dyDescent="0.3">
      <c r="A138" s="14"/>
      <c r="B138" s="14"/>
      <c r="C138" s="14"/>
      <c r="D138" s="15"/>
      <c r="E138" s="15"/>
      <c r="F138" s="10"/>
      <c r="G138" s="10"/>
      <c r="H138" s="10"/>
      <c r="I138" s="11"/>
      <c r="J138" s="12"/>
      <c r="K138" s="13"/>
      <c r="L138" s="13"/>
      <c r="M138" s="13"/>
      <c r="N138" s="16"/>
      <c r="O138" s="17"/>
      <c r="P138" s="18"/>
      <c r="Q138" s="17"/>
      <c r="R138" s="3"/>
      <c r="S138" s="9"/>
    </row>
    <row r="139" spans="1:19" x14ac:dyDescent="0.3">
      <c r="A139" s="14"/>
      <c r="B139" s="14"/>
      <c r="C139" s="14"/>
      <c r="D139" s="15"/>
      <c r="E139" s="15"/>
      <c r="F139" s="10"/>
      <c r="G139" s="10"/>
      <c r="H139" s="10"/>
      <c r="I139" s="11"/>
      <c r="J139" s="12"/>
      <c r="K139" s="13"/>
      <c r="L139" s="13"/>
      <c r="M139" s="13"/>
      <c r="N139" s="16"/>
      <c r="O139" s="17"/>
      <c r="P139" s="18"/>
      <c r="Q139" s="17"/>
      <c r="R139" s="3"/>
      <c r="S139" s="9"/>
    </row>
    <row r="140" spans="1:19" x14ac:dyDescent="0.3">
      <c r="A140" s="14"/>
      <c r="B140" s="14"/>
      <c r="C140" s="14"/>
      <c r="D140" s="15"/>
      <c r="E140" s="15"/>
      <c r="F140" s="10"/>
      <c r="G140" s="10"/>
      <c r="H140" s="10"/>
      <c r="I140" s="11"/>
      <c r="J140" s="12"/>
      <c r="K140" s="13"/>
      <c r="L140" s="13"/>
      <c r="M140" s="13"/>
      <c r="N140" s="16"/>
      <c r="O140" s="17"/>
      <c r="P140" s="18"/>
      <c r="Q140" s="17"/>
      <c r="R140" s="3"/>
      <c r="S140" s="9"/>
    </row>
    <row r="141" spans="1:19" x14ac:dyDescent="0.3">
      <c r="A141" s="14"/>
      <c r="B141" s="14"/>
      <c r="C141" s="14"/>
      <c r="D141" s="15"/>
      <c r="E141" s="15"/>
      <c r="F141" s="10"/>
      <c r="G141" s="10"/>
      <c r="H141" s="10"/>
      <c r="I141" s="11"/>
      <c r="J141" s="12"/>
      <c r="K141" s="13"/>
      <c r="L141" s="13"/>
      <c r="M141" s="13"/>
      <c r="N141" s="16"/>
      <c r="O141" s="17"/>
      <c r="P141" s="18"/>
      <c r="Q141" s="17"/>
      <c r="R141" s="3"/>
      <c r="S141" s="9"/>
    </row>
    <row r="142" spans="1:19" x14ac:dyDescent="0.3">
      <c r="A142" s="14"/>
      <c r="B142" s="14"/>
      <c r="C142" s="14"/>
      <c r="D142" s="15"/>
      <c r="E142" s="15"/>
      <c r="F142" s="10"/>
      <c r="G142" s="10"/>
      <c r="H142" s="10"/>
      <c r="I142" s="11"/>
      <c r="J142" s="12"/>
      <c r="K142" s="13"/>
      <c r="L142" s="13"/>
      <c r="M142" s="13"/>
      <c r="N142" s="16"/>
      <c r="O142" s="17"/>
      <c r="P142" s="18"/>
      <c r="Q142" s="17"/>
      <c r="R142" s="3"/>
      <c r="S142" s="9"/>
    </row>
    <row r="143" spans="1:19" x14ac:dyDescent="0.3">
      <c r="A143" s="14"/>
      <c r="B143" s="14"/>
      <c r="C143" s="14"/>
      <c r="D143" s="15"/>
      <c r="E143" s="15"/>
      <c r="F143" s="10"/>
      <c r="G143" s="10"/>
      <c r="H143" s="10"/>
      <c r="I143" s="11"/>
      <c r="J143" s="12"/>
      <c r="K143" s="13"/>
      <c r="L143" s="13"/>
      <c r="M143" s="13"/>
      <c r="N143" s="16"/>
      <c r="O143" s="17"/>
      <c r="P143" s="18"/>
      <c r="Q143" s="17"/>
      <c r="R143" s="3"/>
      <c r="S143" s="9"/>
    </row>
    <row r="144" spans="1:19" x14ac:dyDescent="0.3">
      <c r="A144" s="14"/>
      <c r="B144" s="14"/>
      <c r="C144" s="14"/>
      <c r="D144" s="15"/>
      <c r="E144" s="15"/>
      <c r="F144" s="10"/>
      <c r="G144" s="10"/>
      <c r="H144" s="10"/>
      <c r="I144" s="11"/>
      <c r="J144" s="12"/>
      <c r="K144" s="13"/>
      <c r="L144" s="13"/>
      <c r="M144" s="13"/>
      <c r="N144" s="16"/>
      <c r="O144" s="17"/>
      <c r="P144" s="18"/>
      <c r="Q144" s="17"/>
      <c r="R144" s="3"/>
      <c r="S144" s="9"/>
    </row>
    <row r="145" spans="1:19" x14ac:dyDescent="0.3">
      <c r="A145" s="14"/>
      <c r="B145" s="14"/>
      <c r="C145" s="14"/>
      <c r="D145" s="15"/>
      <c r="E145" s="15"/>
      <c r="F145" s="10"/>
      <c r="G145" s="10"/>
      <c r="H145" s="10"/>
      <c r="I145" s="11"/>
      <c r="J145" s="12"/>
      <c r="K145" s="13"/>
      <c r="L145" s="13"/>
      <c r="M145" s="13"/>
      <c r="N145" s="16"/>
      <c r="O145" s="17"/>
      <c r="P145" s="18"/>
      <c r="Q145" s="17"/>
      <c r="R145" s="3"/>
      <c r="S145" s="9"/>
    </row>
    <row r="146" spans="1:19" x14ac:dyDescent="0.3">
      <c r="A146" s="14"/>
      <c r="B146" s="14"/>
      <c r="C146" s="14"/>
      <c r="D146" s="15"/>
      <c r="E146" s="15"/>
      <c r="F146" s="10"/>
      <c r="G146" s="10"/>
      <c r="H146" s="10"/>
      <c r="I146" s="11"/>
      <c r="J146" s="12"/>
      <c r="K146" s="13"/>
      <c r="L146" s="13"/>
      <c r="M146" s="13"/>
      <c r="N146" s="16"/>
      <c r="O146" s="17"/>
      <c r="P146" s="18"/>
      <c r="Q146" s="17"/>
      <c r="R146" s="3"/>
      <c r="S146" s="9"/>
    </row>
    <row r="147" spans="1:19" x14ac:dyDescent="0.3">
      <c r="A147" s="14"/>
      <c r="B147" s="14"/>
      <c r="C147" s="14"/>
      <c r="D147" s="15"/>
      <c r="E147" s="15"/>
      <c r="F147" s="10"/>
      <c r="G147" s="10"/>
      <c r="H147" s="10"/>
      <c r="I147" s="11"/>
      <c r="J147" s="12"/>
      <c r="K147" s="13"/>
      <c r="L147" s="13"/>
      <c r="M147" s="13"/>
      <c r="N147" s="16"/>
      <c r="O147" s="17"/>
      <c r="P147" s="18"/>
      <c r="Q147" s="17"/>
      <c r="R147" s="3"/>
      <c r="S147" s="9"/>
    </row>
    <row r="148" spans="1:19" x14ac:dyDescent="0.3">
      <c r="A148" s="14"/>
      <c r="B148" s="14"/>
      <c r="C148" s="14"/>
      <c r="D148" s="15"/>
      <c r="E148" s="15"/>
      <c r="F148" s="10"/>
      <c r="G148" s="10"/>
      <c r="H148" s="10"/>
      <c r="I148" s="11"/>
      <c r="J148" s="12"/>
      <c r="K148" s="13"/>
      <c r="L148" s="13"/>
      <c r="M148" s="13"/>
      <c r="N148" s="16"/>
      <c r="O148" s="17"/>
      <c r="P148" s="18"/>
      <c r="Q148" s="17"/>
      <c r="R148" s="3"/>
      <c r="S148" s="9"/>
    </row>
    <row r="149" spans="1:19" x14ac:dyDescent="0.3">
      <c r="A149" s="14"/>
      <c r="B149" s="14"/>
      <c r="C149" s="14"/>
      <c r="D149" s="15"/>
      <c r="E149" s="15"/>
      <c r="F149" s="10"/>
      <c r="G149" s="10"/>
      <c r="H149" s="10"/>
      <c r="I149" s="11"/>
      <c r="J149" s="12"/>
      <c r="K149" s="13"/>
      <c r="L149" s="13"/>
      <c r="M149" s="13"/>
      <c r="N149" s="16"/>
      <c r="O149" s="17"/>
      <c r="P149" s="18"/>
      <c r="Q149" s="17"/>
      <c r="R149" s="3"/>
      <c r="S149" s="9"/>
    </row>
    <row r="150" spans="1:19" x14ac:dyDescent="0.3">
      <c r="A150" s="14"/>
      <c r="B150" s="14"/>
      <c r="C150" s="14"/>
      <c r="D150" s="15"/>
      <c r="E150" s="15"/>
      <c r="F150" s="10"/>
      <c r="G150" s="10"/>
      <c r="H150" s="10"/>
      <c r="I150" s="11"/>
      <c r="J150" s="12"/>
      <c r="K150" s="13"/>
      <c r="L150" s="13"/>
      <c r="M150" s="13"/>
      <c r="N150" s="16"/>
      <c r="O150" s="17"/>
      <c r="P150" s="18"/>
      <c r="Q150" s="17"/>
      <c r="R150" s="3"/>
      <c r="S150" s="9"/>
    </row>
    <row r="151" spans="1:19" x14ac:dyDescent="0.3">
      <c r="A151" s="14"/>
      <c r="B151" s="14"/>
      <c r="C151" s="14"/>
      <c r="D151" s="15"/>
      <c r="E151" s="15"/>
      <c r="F151" s="10"/>
      <c r="G151" s="10"/>
      <c r="H151" s="10"/>
      <c r="I151" s="11"/>
      <c r="J151" s="12"/>
      <c r="K151" s="13"/>
      <c r="L151" s="13"/>
      <c r="M151" s="13"/>
      <c r="N151" s="16"/>
      <c r="O151" s="17"/>
      <c r="P151" s="18"/>
      <c r="Q151" s="17"/>
      <c r="R151" s="3"/>
      <c r="S151" s="9"/>
    </row>
    <row r="152" spans="1:19" x14ac:dyDescent="0.3">
      <c r="A152" s="14"/>
      <c r="B152" s="14"/>
      <c r="C152" s="14"/>
      <c r="D152" s="15"/>
      <c r="E152" s="15"/>
      <c r="F152" s="10"/>
      <c r="G152" s="10"/>
      <c r="H152" s="10"/>
      <c r="I152" s="11"/>
      <c r="J152" s="12"/>
      <c r="K152" s="13"/>
      <c r="L152" s="13"/>
      <c r="M152" s="13"/>
      <c r="N152" s="16"/>
      <c r="O152" s="17"/>
      <c r="P152" s="18"/>
      <c r="Q152" s="17"/>
      <c r="R152" s="3"/>
      <c r="S152" s="9"/>
    </row>
    <row r="153" spans="1:19" x14ac:dyDescent="0.3">
      <c r="A153" s="14"/>
      <c r="B153" s="14"/>
      <c r="C153" s="14"/>
      <c r="D153" s="15"/>
      <c r="E153" s="15"/>
      <c r="F153" s="10"/>
      <c r="G153" s="10"/>
      <c r="H153" s="10"/>
      <c r="I153" s="11"/>
      <c r="J153" s="12"/>
      <c r="K153" s="13"/>
      <c r="L153" s="13"/>
      <c r="M153" s="13"/>
      <c r="N153" s="16"/>
      <c r="O153" s="17"/>
      <c r="P153" s="18"/>
      <c r="Q153" s="17"/>
      <c r="R153" s="3"/>
      <c r="S153" s="9"/>
    </row>
    <row r="154" spans="1:19" x14ac:dyDescent="0.3">
      <c r="A154" s="14"/>
      <c r="B154" s="14"/>
      <c r="C154" s="14"/>
      <c r="D154" s="15"/>
      <c r="E154" s="15"/>
      <c r="F154" s="10"/>
      <c r="G154" s="10"/>
      <c r="H154" s="10"/>
      <c r="I154" s="11"/>
      <c r="J154" s="12"/>
      <c r="K154" s="13"/>
      <c r="L154" s="13"/>
      <c r="M154" s="13"/>
      <c r="N154" s="16"/>
      <c r="O154" s="17"/>
      <c r="P154" s="18"/>
      <c r="Q154" s="17"/>
      <c r="R154" s="3"/>
      <c r="S154" s="9"/>
    </row>
    <row r="155" spans="1:19" x14ac:dyDescent="0.3">
      <c r="A155" s="14"/>
      <c r="B155" s="14"/>
      <c r="C155" s="14"/>
      <c r="D155" s="15"/>
      <c r="E155" s="15"/>
      <c r="F155" s="10"/>
      <c r="G155" s="10"/>
      <c r="H155" s="10"/>
      <c r="I155" s="11"/>
      <c r="J155" s="12"/>
      <c r="K155" s="13"/>
      <c r="L155" s="13"/>
      <c r="M155" s="13"/>
      <c r="N155" s="16"/>
      <c r="O155" s="17"/>
      <c r="P155" s="18"/>
      <c r="Q155" s="17"/>
      <c r="R155" s="3"/>
      <c r="S155" s="9"/>
    </row>
    <row r="156" spans="1:19" x14ac:dyDescent="0.3">
      <c r="A156" s="14"/>
      <c r="B156" s="14"/>
      <c r="C156" s="14"/>
      <c r="D156" s="15"/>
      <c r="E156" s="15"/>
      <c r="F156" s="10"/>
      <c r="G156" s="10"/>
      <c r="H156" s="10"/>
      <c r="I156" s="11"/>
      <c r="J156" s="12"/>
      <c r="K156" s="13"/>
      <c r="L156" s="13"/>
      <c r="M156" s="13"/>
      <c r="N156" s="16"/>
      <c r="O156" s="17"/>
      <c r="P156" s="18"/>
      <c r="Q156" s="17"/>
      <c r="R156" s="3"/>
      <c r="S156" s="9"/>
    </row>
    <row r="157" spans="1:19" x14ac:dyDescent="0.3">
      <c r="A157" s="14"/>
      <c r="B157" s="14"/>
      <c r="C157" s="14"/>
      <c r="D157" s="15"/>
      <c r="E157" s="15"/>
      <c r="F157" s="10"/>
      <c r="G157" s="10"/>
      <c r="H157" s="10"/>
      <c r="I157" s="11"/>
      <c r="J157" s="12"/>
      <c r="K157" s="13"/>
      <c r="L157" s="13"/>
      <c r="M157" s="13"/>
      <c r="N157" s="16"/>
      <c r="O157" s="17"/>
      <c r="P157" s="18"/>
      <c r="Q157" s="17"/>
      <c r="R157" s="3"/>
      <c r="S157" s="9"/>
    </row>
    <row r="158" spans="1:19" x14ac:dyDescent="0.3">
      <c r="A158" s="14"/>
      <c r="B158" s="14"/>
      <c r="C158" s="14"/>
      <c r="D158" s="15"/>
      <c r="E158" s="15"/>
      <c r="F158" s="10"/>
      <c r="G158" s="10"/>
      <c r="H158" s="10"/>
      <c r="I158" s="11"/>
      <c r="J158" s="12"/>
      <c r="K158" s="13"/>
      <c r="L158" s="13"/>
      <c r="M158" s="13"/>
      <c r="N158" s="16"/>
      <c r="O158" s="17"/>
      <c r="P158" s="18"/>
      <c r="Q158" s="17"/>
      <c r="R158" s="3"/>
      <c r="S158" s="9"/>
    </row>
    <row r="159" spans="1:19" x14ac:dyDescent="0.3">
      <c r="A159" s="14"/>
      <c r="B159" s="14"/>
      <c r="C159" s="14"/>
      <c r="D159" s="15"/>
      <c r="E159" s="15"/>
      <c r="F159" s="10"/>
      <c r="G159" s="10"/>
      <c r="H159" s="10"/>
      <c r="I159" s="11"/>
      <c r="J159" s="12"/>
      <c r="K159" s="13"/>
      <c r="L159" s="13"/>
      <c r="M159" s="13"/>
      <c r="N159" s="16"/>
      <c r="O159" s="17"/>
      <c r="P159" s="18"/>
      <c r="Q159" s="17"/>
      <c r="R159" s="3"/>
      <c r="S159" s="9"/>
    </row>
    <row r="160" spans="1:19" x14ac:dyDescent="0.3">
      <c r="A160" s="14"/>
      <c r="B160" s="14"/>
      <c r="C160" s="14"/>
      <c r="D160" s="15"/>
      <c r="E160" s="15"/>
      <c r="F160" s="10"/>
      <c r="G160" s="10"/>
      <c r="H160" s="10"/>
      <c r="I160" s="11"/>
      <c r="J160" s="12"/>
      <c r="K160" s="13"/>
      <c r="L160" s="13"/>
      <c r="M160" s="13"/>
      <c r="N160" s="16"/>
      <c r="O160" s="17"/>
      <c r="P160" s="18"/>
      <c r="Q160" s="17"/>
      <c r="R160" s="3"/>
      <c r="S160" s="9"/>
    </row>
    <row r="161" spans="1:19" x14ac:dyDescent="0.3">
      <c r="A161" s="14"/>
      <c r="B161" s="14"/>
      <c r="C161" s="14"/>
      <c r="D161" s="15"/>
      <c r="E161" s="15"/>
      <c r="F161" s="10"/>
      <c r="G161" s="10"/>
      <c r="H161" s="10"/>
      <c r="I161" s="11"/>
      <c r="J161" s="12"/>
      <c r="K161" s="13"/>
      <c r="L161" s="13"/>
      <c r="M161" s="13"/>
      <c r="N161" s="16"/>
      <c r="O161" s="17"/>
      <c r="P161" s="18"/>
      <c r="Q161" s="17"/>
      <c r="R161" s="3"/>
      <c r="S161" s="9"/>
    </row>
    <row r="162" spans="1:19" x14ac:dyDescent="0.3">
      <c r="A162" s="14"/>
      <c r="B162" s="14"/>
      <c r="C162" s="14"/>
      <c r="D162" s="15"/>
      <c r="E162" s="15"/>
      <c r="F162" s="10"/>
      <c r="G162" s="10"/>
      <c r="H162" s="10"/>
      <c r="I162" s="11"/>
      <c r="J162" s="12"/>
      <c r="K162" s="13"/>
      <c r="L162" s="13"/>
      <c r="M162" s="13"/>
      <c r="N162" s="16"/>
      <c r="O162" s="17"/>
      <c r="P162" s="18"/>
      <c r="Q162" s="17"/>
      <c r="R162" s="3"/>
      <c r="S162" s="9"/>
    </row>
    <row r="163" spans="1:19" x14ac:dyDescent="0.3">
      <c r="A163" s="14"/>
      <c r="B163" s="14"/>
      <c r="C163" s="14"/>
      <c r="D163" s="15"/>
      <c r="E163" s="15"/>
      <c r="F163" s="10"/>
      <c r="G163" s="10"/>
      <c r="H163" s="10"/>
      <c r="I163" s="11"/>
      <c r="J163" s="12"/>
      <c r="K163" s="13"/>
      <c r="L163" s="13"/>
      <c r="M163" s="13"/>
      <c r="N163" s="16"/>
      <c r="O163" s="17"/>
      <c r="P163" s="18"/>
      <c r="Q163" s="17"/>
      <c r="R163" s="3"/>
      <c r="S163" s="9"/>
    </row>
    <row r="164" spans="1:19" x14ac:dyDescent="0.3">
      <c r="A164" s="14"/>
      <c r="B164" s="14"/>
      <c r="C164" s="14"/>
      <c r="D164" s="15"/>
      <c r="E164" s="15"/>
      <c r="F164" s="10"/>
      <c r="G164" s="10"/>
      <c r="H164" s="10"/>
      <c r="I164" s="11"/>
      <c r="J164" s="12"/>
      <c r="K164" s="13"/>
      <c r="L164" s="13"/>
      <c r="M164" s="13"/>
      <c r="N164" s="16"/>
      <c r="O164" s="17"/>
      <c r="P164" s="18"/>
      <c r="Q164" s="17"/>
      <c r="R164" s="3"/>
      <c r="S164" s="9"/>
    </row>
    <row r="165" spans="1:19" x14ac:dyDescent="0.3">
      <c r="A165" s="14"/>
      <c r="B165" s="14"/>
      <c r="C165" s="14"/>
      <c r="D165" s="15"/>
      <c r="E165" s="15"/>
      <c r="F165" s="10"/>
      <c r="G165" s="10"/>
      <c r="H165" s="10"/>
      <c r="I165" s="11"/>
      <c r="J165" s="12"/>
      <c r="K165" s="13"/>
      <c r="L165" s="13"/>
      <c r="M165" s="13"/>
      <c r="N165" s="16"/>
      <c r="O165" s="17"/>
      <c r="P165" s="18"/>
      <c r="Q165" s="17"/>
      <c r="R165" s="3"/>
      <c r="S165" s="9"/>
    </row>
    <row r="166" spans="1:19" x14ac:dyDescent="0.3">
      <c r="A166" s="14"/>
      <c r="B166" s="14"/>
      <c r="C166" s="14"/>
      <c r="D166" s="15"/>
      <c r="E166" s="15"/>
      <c r="F166" s="10"/>
      <c r="G166" s="10"/>
      <c r="H166" s="10"/>
      <c r="I166" s="11"/>
      <c r="J166" s="12"/>
      <c r="K166" s="13"/>
      <c r="L166" s="13"/>
      <c r="M166" s="13"/>
      <c r="N166" s="16"/>
      <c r="O166" s="17"/>
      <c r="P166" s="18"/>
      <c r="Q166" s="17"/>
      <c r="R166" s="3"/>
      <c r="S166" s="9"/>
    </row>
    <row r="167" spans="1:19" x14ac:dyDescent="0.3">
      <c r="A167" s="14"/>
      <c r="B167" s="14"/>
      <c r="C167" s="14"/>
      <c r="D167" s="15"/>
      <c r="E167" s="15"/>
      <c r="F167" s="10"/>
      <c r="G167" s="10"/>
      <c r="H167" s="10"/>
      <c r="I167" s="11"/>
      <c r="J167" s="12"/>
      <c r="K167" s="13"/>
      <c r="L167" s="13"/>
      <c r="M167" s="13"/>
      <c r="N167" s="16"/>
      <c r="O167" s="17"/>
      <c r="P167" s="18"/>
      <c r="Q167" s="17"/>
      <c r="R167" s="3"/>
      <c r="S167" s="9"/>
    </row>
    <row r="168" spans="1:19" x14ac:dyDescent="0.3">
      <c r="A168" s="14"/>
      <c r="B168" s="14"/>
      <c r="C168" s="14"/>
      <c r="D168" s="15"/>
      <c r="E168" s="15"/>
      <c r="F168" s="10"/>
      <c r="G168" s="10"/>
      <c r="H168" s="10"/>
      <c r="I168" s="11"/>
      <c r="J168" s="12"/>
      <c r="K168" s="13"/>
      <c r="L168" s="13"/>
      <c r="M168" s="13"/>
      <c r="N168" s="16"/>
      <c r="O168" s="17"/>
      <c r="P168" s="18"/>
      <c r="Q168" s="17"/>
      <c r="R168" s="3"/>
      <c r="S168" s="9"/>
    </row>
    <row r="169" spans="1:19" x14ac:dyDescent="0.3">
      <c r="A169" s="14"/>
      <c r="B169" s="14"/>
      <c r="C169" s="14"/>
      <c r="D169" s="15"/>
      <c r="E169" s="15"/>
      <c r="F169" s="10"/>
      <c r="G169" s="10"/>
      <c r="H169" s="10"/>
      <c r="I169" s="11"/>
      <c r="J169" s="12"/>
      <c r="K169" s="13"/>
      <c r="L169" s="13"/>
      <c r="M169" s="13"/>
      <c r="N169" s="16"/>
      <c r="O169" s="17"/>
      <c r="P169" s="18"/>
      <c r="Q169" s="17"/>
      <c r="R169" s="3"/>
      <c r="S169" s="9"/>
    </row>
    <row r="170" spans="1:19" x14ac:dyDescent="0.3">
      <c r="A170" s="14"/>
      <c r="B170" s="14"/>
      <c r="C170" s="14"/>
      <c r="D170" s="15"/>
      <c r="E170" s="15"/>
      <c r="F170" s="10"/>
      <c r="G170" s="10"/>
      <c r="H170" s="10"/>
      <c r="I170" s="11"/>
      <c r="J170" s="12"/>
      <c r="K170" s="13"/>
      <c r="L170" s="13"/>
      <c r="M170" s="13"/>
      <c r="N170" s="16"/>
      <c r="O170" s="17"/>
      <c r="P170" s="18"/>
      <c r="Q170" s="17"/>
      <c r="R170" s="3"/>
      <c r="S170" s="9"/>
    </row>
    <row r="171" spans="1:19" x14ac:dyDescent="0.3">
      <c r="A171" s="14"/>
      <c r="B171" s="14"/>
      <c r="C171" s="14"/>
      <c r="D171" s="15"/>
      <c r="E171" s="15"/>
      <c r="F171" s="10"/>
      <c r="G171" s="10"/>
      <c r="H171" s="10"/>
      <c r="I171" s="11"/>
      <c r="J171" s="12"/>
      <c r="K171" s="13"/>
      <c r="L171" s="13"/>
      <c r="M171" s="13"/>
      <c r="N171" s="16"/>
      <c r="O171" s="17"/>
      <c r="P171" s="18"/>
      <c r="Q171" s="17"/>
      <c r="R171" s="3"/>
      <c r="S171" s="9"/>
    </row>
    <row r="172" spans="1:19" x14ac:dyDescent="0.3">
      <c r="A172" s="14"/>
      <c r="B172" s="14"/>
      <c r="C172" s="14"/>
      <c r="D172" s="15"/>
      <c r="E172" s="15"/>
      <c r="F172" s="10"/>
      <c r="G172" s="10"/>
      <c r="H172" s="10"/>
      <c r="I172" s="11"/>
      <c r="J172" s="12"/>
      <c r="K172" s="13"/>
      <c r="L172" s="13"/>
      <c r="M172" s="13"/>
      <c r="N172" s="16"/>
      <c r="O172" s="17"/>
      <c r="P172" s="18"/>
      <c r="Q172" s="17"/>
      <c r="R172" s="3"/>
      <c r="S172" s="9"/>
    </row>
    <row r="173" spans="1:19" x14ac:dyDescent="0.3">
      <c r="A173" s="14"/>
      <c r="B173" s="14"/>
      <c r="C173" s="14"/>
      <c r="D173" s="15"/>
      <c r="E173" s="15"/>
      <c r="F173" s="10"/>
      <c r="G173" s="10"/>
      <c r="H173" s="10"/>
      <c r="I173" s="11"/>
      <c r="J173" s="12"/>
      <c r="K173" s="13"/>
      <c r="L173" s="13"/>
      <c r="M173" s="13"/>
      <c r="N173" s="16"/>
      <c r="O173" s="17"/>
      <c r="P173" s="18"/>
      <c r="Q173" s="17"/>
      <c r="R173" s="3"/>
      <c r="S173" s="9"/>
    </row>
    <row r="174" spans="1:19" x14ac:dyDescent="0.3">
      <c r="A174" s="14"/>
      <c r="B174" s="14"/>
      <c r="C174" s="14"/>
      <c r="D174" s="15"/>
      <c r="E174" s="15"/>
      <c r="F174" s="10"/>
      <c r="G174" s="10"/>
      <c r="H174" s="10"/>
      <c r="I174" s="11"/>
      <c r="J174" s="12"/>
      <c r="K174" s="13"/>
      <c r="L174" s="13"/>
      <c r="M174" s="13"/>
      <c r="N174" s="16"/>
      <c r="O174" s="17"/>
      <c r="P174" s="18"/>
      <c r="Q174" s="17"/>
      <c r="R174" s="3"/>
      <c r="S174" s="9"/>
    </row>
    <row r="175" spans="1:19" x14ac:dyDescent="0.3">
      <c r="A175" s="14"/>
      <c r="B175" s="14"/>
      <c r="C175" s="14"/>
      <c r="D175" s="15"/>
      <c r="E175" s="15"/>
      <c r="F175" s="10"/>
      <c r="G175" s="10"/>
      <c r="H175" s="10"/>
      <c r="I175" s="11"/>
      <c r="J175" s="12"/>
      <c r="K175" s="13"/>
      <c r="L175" s="13"/>
      <c r="M175" s="13"/>
      <c r="N175" s="16"/>
      <c r="O175" s="17"/>
      <c r="P175" s="18"/>
      <c r="Q175" s="17"/>
      <c r="R175" s="3"/>
      <c r="S175" s="9"/>
    </row>
  </sheetData>
  <mergeCells count="4">
    <mergeCell ref="A1:E1"/>
    <mergeCell ref="G1:K1"/>
    <mergeCell ref="M1:P1"/>
    <mergeCell ref="Q1:S1"/>
  </mergeCells>
  <phoneticPr fontId="27" type="noConversion"/>
  <conditionalFormatting sqref="H3:H175">
    <cfRule type="cellIs" dxfId="5" priority="1" operator="between">
      <formula>13</formula>
      <formula>25</formula>
    </cfRule>
    <cfRule type="cellIs" dxfId="4" priority="2" operator="between">
      <formula>6</formula>
      <formula>12</formula>
    </cfRule>
    <cfRule type="cellIs" dxfId="3" priority="3" operator="between">
      <formula>1</formula>
      <formula>5</formula>
    </cfRule>
  </conditionalFormatting>
  <conditionalFormatting sqref="L3:L1048576">
    <cfRule type="containsText" dxfId="2" priority="4" operator="containsText" text="Low">
      <formula>NOT(ISERROR(SEARCH("Low",L3)))</formula>
    </cfRule>
    <cfRule type="containsText" dxfId="1" priority="5" operator="containsText" text="Medium">
      <formula>NOT(ISERROR(SEARCH("Medium",L3)))</formula>
    </cfRule>
    <cfRule type="containsText" dxfId="0" priority="6" operator="containsText" text="High">
      <formula>NOT(ISERROR(SEARCH("High",L3)))</formula>
    </cfRule>
  </conditionalFormatting>
  <dataValidations count="2">
    <dataValidation allowBlank="1" showErrorMessage="1" promptTitle="Risk Status" prompt="This is the current status of the risk element_x000a__x000a_Active = Risk is being actively monitored and controlled_x000a__x000a_Dormant = Risk is not currently a high priority, but may become active in the future_x000a__x000a_Retired = Risk is no longer a threat to project objectives" sqref="R3:R32" xr:uid="{78FA7A06-7008-40BC-AEB0-45715AC362FC}"/>
    <dataValidation type="whole" allowBlank="1" showInputMessage="1" showErrorMessage="1" promptTitle="Impact" prompt="Threat = 1 to 5 (+ value)_x000a_Opportunity = -1 to -5 (- value)" sqref="F3:G32" xr:uid="{C1F47EDE-F9C0-4AA7-939F-8EB4B334EC19}">
      <formula1>-5</formula1>
      <formula2>5</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6">
        <x14:dataValidation type="list" allowBlank="1" showInputMessage="1" showErrorMessage="1" xr:uid="{00B802F8-A3D7-4EE2-A055-C75ACF92E8B3}">
          <x14:formula1>
            <xm:f>List!$B$2:$B$5</xm:f>
          </x14:formula1>
          <xm:sqref>C3:C1048576</xm:sqref>
        </x14:dataValidation>
        <x14:dataValidation type="list" allowBlank="1" showInputMessage="1" showErrorMessage="1" xr:uid="{5BED0222-BB08-4357-9E53-548AD9AAC02E}">
          <x14:formula1>
            <xm:f>List!$D$2:$D$4</xm:f>
          </x14:formula1>
          <xm:sqref>L3:L1048576</xm:sqref>
        </x14:dataValidation>
        <x14:dataValidation type="list" allowBlank="1" showInputMessage="1" showErrorMessage="1" xr:uid="{2662295F-5DDF-43CA-999B-C54D12B8EE6C}">
          <x14:formula1>
            <xm:f>List!$C$2:$C$9</xm:f>
          </x14:formula1>
          <xm:sqref>M3:M1048576</xm:sqref>
        </x14:dataValidation>
        <x14:dataValidation type="list" allowBlank="1" showInputMessage="1" showErrorMessage="1" xr:uid="{E12A5488-C5ED-4B6B-B7A2-9FDC6FA063AE}">
          <x14:formula1>
            <xm:f>List!$E$2:$E$6</xm:f>
          </x14:formula1>
          <xm:sqref>O3:O1048576</xm:sqref>
        </x14:dataValidation>
        <x14:dataValidation type="list" allowBlank="1" showInputMessage="1" showErrorMessage="1" xr:uid="{4EE65F48-770E-4B1C-8E60-E4374C793C5A}">
          <x14:formula1>
            <xm:f>List!$F$2:$F$5</xm:f>
          </x14:formula1>
          <xm:sqref>Q3:Q1048576</xm:sqref>
        </x14:dataValidation>
        <x14:dataValidation type="list" allowBlank="1" showInputMessage="1" showErrorMessage="1" xr:uid="{B5229A6F-E174-4608-9C3D-A88A36CE13F5}">
          <x14:formula1>
            <xm:f>List!$A$2:$A$9</xm:f>
          </x14:formula1>
          <xm:sqref>B3:B1048576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1C61B-973F-42D9-90CB-1308C157A3C2}">
  <dimension ref="A1:G36"/>
  <sheetViews>
    <sheetView zoomScale="91" workbookViewId="0">
      <selection activeCell="B2" sqref="B2"/>
    </sheetView>
  </sheetViews>
  <sheetFormatPr defaultRowHeight="14.4" x14ac:dyDescent="0.3"/>
  <cols>
    <col min="1" max="1" width="18.21875" customWidth="1"/>
    <col min="2" max="2" width="24.21875" customWidth="1"/>
    <col min="3" max="3" width="11" customWidth="1"/>
    <col min="4" max="4" width="19.21875" customWidth="1"/>
    <col min="5" max="5" width="23.88671875" customWidth="1"/>
  </cols>
  <sheetData>
    <row r="1" spans="1:7" x14ac:dyDescent="0.3">
      <c r="A1" s="47" t="s">
        <v>34</v>
      </c>
      <c r="B1" s="48" t="s">
        <v>41</v>
      </c>
      <c r="C1" s="48" t="s">
        <v>14</v>
      </c>
      <c r="D1" s="48" t="s">
        <v>50</v>
      </c>
      <c r="E1" s="48" t="s">
        <v>16</v>
      </c>
      <c r="F1" s="48" t="s">
        <v>18</v>
      </c>
      <c r="G1" s="49" t="s">
        <v>61</v>
      </c>
    </row>
    <row r="2" spans="1:7" x14ac:dyDescent="0.3">
      <c r="A2" s="29" t="s">
        <v>35</v>
      </c>
      <c r="B2" s="28" t="s">
        <v>42</v>
      </c>
      <c r="C2" s="28" t="s">
        <v>44</v>
      </c>
      <c r="D2" s="28" t="s">
        <v>33</v>
      </c>
      <c r="E2" s="28" t="s">
        <v>51</v>
      </c>
      <c r="F2" s="28" t="s">
        <v>56</v>
      </c>
      <c r="G2" s="30">
        <v>1</v>
      </c>
    </row>
    <row r="3" spans="1:7" x14ac:dyDescent="0.3">
      <c r="A3" s="29" t="s">
        <v>36</v>
      </c>
      <c r="B3" s="28" t="s">
        <v>21</v>
      </c>
      <c r="C3" s="28" t="s">
        <v>45</v>
      </c>
      <c r="D3" s="28" t="s">
        <v>31</v>
      </c>
      <c r="E3" s="28" t="s">
        <v>52</v>
      </c>
      <c r="F3" s="28" t="s">
        <v>26</v>
      </c>
      <c r="G3" s="30">
        <v>2</v>
      </c>
    </row>
    <row r="4" spans="1:7" x14ac:dyDescent="0.3">
      <c r="A4" s="29" t="s">
        <v>37</v>
      </c>
      <c r="B4" s="28" t="s">
        <v>43</v>
      </c>
      <c r="C4" s="28" t="s">
        <v>23</v>
      </c>
      <c r="D4" s="28" t="s">
        <v>32</v>
      </c>
      <c r="E4" s="28" t="s">
        <v>53</v>
      </c>
      <c r="F4" s="28" t="s">
        <v>57</v>
      </c>
      <c r="G4" s="30">
        <v>3</v>
      </c>
    </row>
    <row r="5" spans="1:7" x14ac:dyDescent="0.3">
      <c r="A5" s="29" t="s">
        <v>38</v>
      </c>
      <c r="B5" s="28"/>
      <c r="C5" s="28" t="s">
        <v>46</v>
      </c>
      <c r="D5" s="28"/>
      <c r="E5" s="28" t="s">
        <v>54</v>
      </c>
      <c r="F5" s="28" t="s">
        <v>59</v>
      </c>
      <c r="G5" s="30">
        <v>4</v>
      </c>
    </row>
    <row r="6" spans="1:7" x14ac:dyDescent="0.3">
      <c r="A6" s="29" t="s">
        <v>39</v>
      </c>
      <c r="B6" s="28"/>
      <c r="C6" s="28" t="s">
        <v>47</v>
      </c>
      <c r="D6" s="28"/>
      <c r="E6" s="28" t="s">
        <v>55</v>
      </c>
      <c r="F6" s="28"/>
      <c r="G6" s="30">
        <v>5</v>
      </c>
    </row>
    <row r="7" spans="1:7" x14ac:dyDescent="0.3">
      <c r="A7" s="29" t="s">
        <v>40</v>
      </c>
      <c r="B7" s="28"/>
      <c r="C7" s="28"/>
      <c r="D7" s="28"/>
      <c r="E7" s="28"/>
      <c r="F7" s="28"/>
      <c r="G7" s="30"/>
    </row>
    <row r="8" spans="1:7" x14ac:dyDescent="0.3">
      <c r="A8" s="29" t="s">
        <v>86</v>
      </c>
      <c r="B8" s="28"/>
      <c r="C8" s="28" t="s">
        <v>48</v>
      </c>
      <c r="D8" s="28"/>
      <c r="E8" s="28"/>
      <c r="F8" s="28"/>
      <c r="G8" s="30"/>
    </row>
    <row r="9" spans="1:7" ht="15" thickBot="1" x14ac:dyDescent="0.35">
      <c r="A9" s="31"/>
      <c r="B9" s="32"/>
      <c r="C9" s="32" t="s">
        <v>49</v>
      </c>
      <c r="D9" s="32"/>
      <c r="E9" s="32"/>
      <c r="F9" s="32"/>
      <c r="G9" s="33"/>
    </row>
    <row r="11" spans="1:7" ht="15" thickBot="1" x14ac:dyDescent="0.35"/>
    <row r="12" spans="1:7" ht="15" thickBot="1" x14ac:dyDescent="0.35">
      <c r="A12" s="44" t="s">
        <v>62</v>
      </c>
      <c r="B12" s="45"/>
    </row>
    <row r="13" spans="1:7" x14ac:dyDescent="0.3">
      <c r="A13" s="46" t="s">
        <v>42</v>
      </c>
      <c r="B13" s="22" t="s">
        <v>63</v>
      </c>
      <c r="C13" s="22"/>
      <c r="D13" s="22"/>
      <c r="E13" s="34"/>
    </row>
    <row r="14" spans="1:7" x14ac:dyDescent="0.3">
      <c r="A14" s="26" t="s">
        <v>21</v>
      </c>
      <c r="B14" t="s">
        <v>64</v>
      </c>
      <c r="E14" s="23"/>
    </row>
    <row r="15" spans="1:7" ht="15" thickBot="1" x14ac:dyDescent="0.35">
      <c r="A15" s="27" t="s">
        <v>43</v>
      </c>
      <c r="B15" s="24" t="s">
        <v>65</v>
      </c>
      <c r="C15" s="24"/>
      <c r="D15" s="24"/>
      <c r="E15" s="25"/>
    </row>
    <row r="16" spans="1:7" ht="15" thickBot="1" x14ac:dyDescent="0.35"/>
    <row r="17" spans="1:4" ht="29.4" customHeight="1" thickBot="1" x14ac:dyDescent="0.35">
      <c r="A17" s="115" t="s">
        <v>66</v>
      </c>
      <c r="B17" s="116"/>
    </row>
    <row r="18" spans="1:4" ht="15" thickBot="1" x14ac:dyDescent="0.35">
      <c r="A18" s="43" t="s">
        <v>67</v>
      </c>
      <c r="B18" s="42"/>
      <c r="C18" s="22"/>
      <c r="D18" s="34"/>
    </row>
    <row r="19" spans="1:4" ht="120" customHeight="1" x14ac:dyDescent="0.3">
      <c r="A19" s="39" t="s">
        <v>47</v>
      </c>
      <c r="B19" s="121" t="s">
        <v>68</v>
      </c>
      <c r="C19" s="122"/>
      <c r="D19" s="123"/>
    </row>
    <row r="20" spans="1:4" ht="135" customHeight="1" thickBot="1" x14ac:dyDescent="0.35">
      <c r="A20" s="38" t="s">
        <v>46</v>
      </c>
      <c r="B20" s="121" t="s">
        <v>69</v>
      </c>
      <c r="C20" s="122"/>
      <c r="D20" s="123"/>
    </row>
    <row r="21" spans="1:4" ht="15" thickBot="1" x14ac:dyDescent="0.35">
      <c r="A21" s="40" t="s">
        <v>70</v>
      </c>
      <c r="B21" s="41"/>
      <c r="C21" s="20"/>
      <c r="D21" s="36"/>
    </row>
    <row r="22" spans="1:4" ht="50.4" customHeight="1" x14ac:dyDescent="0.3">
      <c r="A22" s="39" t="s">
        <v>23</v>
      </c>
      <c r="B22" s="121" t="s">
        <v>71</v>
      </c>
      <c r="C22" s="122"/>
      <c r="D22" s="123"/>
    </row>
    <row r="23" spans="1:4" ht="51.6" customHeight="1" x14ac:dyDescent="0.3">
      <c r="A23" s="35" t="s">
        <v>45</v>
      </c>
      <c r="B23" s="121" t="s">
        <v>72</v>
      </c>
      <c r="C23" s="122"/>
      <c r="D23" s="123"/>
    </row>
    <row r="24" spans="1:4" ht="41.4" customHeight="1" thickBot="1" x14ac:dyDescent="0.35">
      <c r="A24" s="35" t="s">
        <v>44</v>
      </c>
      <c r="B24" s="121" t="s">
        <v>73</v>
      </c>
      <c r="C24" s="122"/>
      <c r="D24" s="123"/>
    </row>
    <row r="25" spans="1:4" ht="15" thickBot="1" x14ac:dyDescent="0.35">
      <c r="A25" s="40" t="s">
        <v>74</v>
      </c>
      <c r="B25" s="41"/>
      <c r="C25" s="20"/>
      <c r="D25" s="36"/>
    </row>
    <row r="26" spans="1:4" ht="63.6" customHeight="1" x14ac:dyDescent="0.3">
      <c r="A26" s="35" t="s">
        <v>49</v>
      </c>
      <c r="B26" s="121" t="s">
        <v>75</v>
      </c>
      <c r="C26" s="122"/>
      <c r="D26" s="123"/>
    </row>
    <row r="27" spans="1:4" ht="67.2" customHeight="1" thickBot="1" x14ac:dyDescent="0.35">
      <c r="A27" s="37" t="s">
        <v>48</v>
      </c>
      <c r="B27" s="112" t="s">
        <v>76</v>
      </c>
      <c r="C27" s="113"/>
      <c r="D27" s="114"/>
    </row>
    <row r="29" spans="1:4" ht="15" thickBot="1" x14ac:dyDescent="0.35"/>
    <row r="30" spans="1:4" ht="15" thickBot="1" x14ac:dyDescent="0.35">
      <c r="A30" s="110" t="s">
        <v>77</v>
      </c>
      <c r="B30" s="111"/>
    </row>
    <row r="31" spans="1:4" s="4" customFormat="1" ht="57.6" customHeight="1" x14ac:dyDescent="0.3">
      <c r="A31" s="50" t="s">
        <v>78</v>
      </c>
      <c r="B31" s="117" t="s">
        <v>79</v>
      </c>
      <c r="C31" s="117"/>
      <c r="D31" s="118"/>
    </row>
    <row r="32" spans="1:4" s="4" customFormat="1" ht="40.200000000000003" customHeight="1" x14ac:dyDescent="0.3">
      <c r="A32" s="51" t="s">
        <v>26</v>
      </c>
      <c r="B32" s="119" t="s">
        <v>80</v>
      </c>
      <c r="C32" s="119"/>
      <c r="D32" s="120"/>
    </row>
    <row r="33" spans="1:4" s="4" customFormat="1" ht="35.4" customHeight="1" x14ac:dyDescent="0.3">
      <c r="A33" s="51" t="s">
        <v>81</v>
      </c>
      <c r="B33" s="119" t="s">
        <v>82</v>
      </c>
      <c r="C33" s="119"/>
      <c r="D33" s="120"/>
    </row>
    <row r="34" spans="1:4" s="4" customFormat="1" ht="34.799999999999997" customHeight="1" x14ac:dyDescent="0.3">
      <c r="A34" s="51" t="s">
        <v>57</v>
      </c>
      <c r="B34" s="119" t="s">
        <v>83</v>
      </c>
      <c r="C34" s="119"/>
      <c r="D34" s="120"/>
    </row>
    <row r="35" spans="1:4" s="4" customFormat="1" ht="35.4" customHeight="1" thickBot="1" x14ac:dyDescent="0.35">
      <c r="A35" s="52" t="s">
        <v>58</v>
      </c>
      <c r="B35" s="108" t="s">
        <v>84</v>
      </c>
      <c r="C35" s="108"/>
      <c r="D35" s="109"/>
    </row>
    <row r="36" spans="1:4" s="4" customFormat="1" x14ac:dyDescent="0.3"/>
  </sheetData>
  <mergeCells count="14">
    <mergeCell ref="B35:D35"/>
    <mergeCell ref="A30:B30"/>
    <mergeCell ref="B27:D27"/>
    <mergeCell ref="A17:B17"/>
    <mergeCell ref="B31:D31"/>
    <mergeCell ref="B32:D32"/>
    <mergeCell ref="B33:D33"/>
    <mergeCell ref="B34:D34"/>
    <mergeCell ref="B19:D19"/>
    <mergeCell ref="B20:D20"/>
    <mergeCell ref="B22:D22"/>
    <mergeCell ref="B23:D23"/>
    <mergeCell ref="B24:D24"/>
    <mergeCell ref="B26:D2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Risk Register</vt:lpstr>
      <vt:lpstr>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Saiyam Shah</dc:creator>
  <cp:lastModifiedBy>Saiyam Shah</cp:lastModifiedBy>
  <dcterms:created xsi:type="dcterms:W3CDTF">2025-12-23T15:29:09Z</dcterms:created>
  <dcterms:modified xsi:type="dcterms:W3CDTF">2026-01-18T09:56:34Z</dcterms:modified>
</cp:coreProperties>
</file>