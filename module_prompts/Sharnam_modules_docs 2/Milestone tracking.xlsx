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D7D81E0-FE29-46C3-A373-631D43A6BDDA}" xr6:coauthVersionLast="36" xr6:coauthVersionMax="36" xr10:uidLastSave="{00000000-0000-0000-0000-000000000000}"/>
  <bookViews>
    <workbookView xWindow="0" yWindow="0" windowWidth="20490" windowHeight="7545" xr2:uid="{19DFE9C3-9AD5-444A-8166-96C0D3C2E59D}"/>
  </bookViews>
  <sheets>
    <sheet name="Dashboard" sheetId="5" r:id="rId1"/>
    <sheet name="Data Input" sheetId="1" r:id="rId2"/>
    <sheet name="Sheet1" sheetId="6" state="hidden" r:id="rId3"/>
    <sheet name="Pivoit Status" sheetId="2" state="hidden" r:id="rId4"/>
    <sheet name="Sheet3" sheetId="3" state="hidden" r:id="rId5"/>
    <sheet name="Sheet4" sheetId="4" state="hidden" r:id="rId6"/>
  </sheets>
  <calcPr calcId="191029"/>
  <pivotCaches>
    <pivotCache cacheId="26" r:id="rId7"/>
    <pivotCache cacheId="28" r:id="rId8"/>
    <pivotCache cacheId="33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5" l="1"/>
  <c r="D4" i="5"/>
  <c r="B14" i="1"/>
  <c r="D21" i="5"/>
  <c r="K3" i="1" l="1"/>
  <c r="K4" i="1"/>
  <c r="K5" i="1"/>
  <c r="K6" i="1"/>
  <c r="K7" i="1"/>
  <c r="K8" i="1"/>
  <c r="K10" i="1"/>
  <c r="K11" i="1"/>
  <c r="K2" i="1"/>
  <c r="N2" i="1"/>
  <c r="N3" i="1"/>
  <c r="N4" i="1"/>
  <c r="N5" i="1"/>
  <c r="N6" i="1"/>
  <c r="N7" i="1"/>
  <c r="N8" i="1"/>
  <c r="N9" i="1"/>
  <c r="N10" i="1"/>
  <c r="N11" i="1"/>
  <c r="F2" i="1"/>
  <c r="I10" i="1"/>
  <c r="I3" i="1"/>
  <c r="I4" i="1"/>
  <c r="I5" i="1"/>
  <c r="I6" i="1"/>
  <c r="I7" i="1"/>
  <c r="I9" i="1"/>
  <c r="I2" i="1"/>
  <c r="D11" i="5" l="1"/>
  <c r="J14" i="1"/>
  <c r="F3" i="1" l="1"/>
  <c r="O3" i="1" s="1"/>
  <c r="F4" i="1"/>
  <c r="F5" i="1"/>
  <c r="F6" i="1"/>
  <c r="F7" i="1"/>
  <c r="F9" i="1"/>
  <c r="F10" i="1"/>
  <c r="F11" i="1"/>
  <c r="O9" i="1" l="1"/>
  <c r="O5" i="1"/>
  <c r="O4" i="1"/>
  <c r="O11" i="1"/>
  <c r="O7" i="1"/>
  <c r="O10" i="1"/>
  <c r="O6" i="1"/>
  <c r="O8" i="1"/>
  <c r="O2" i="1" l="1"/>
  <c r="N12" i="1" l="1"/>
</calcChain>
</file>

<file path=xl/sharedStrings.xml><?xml version="1.0" encoding="utf-8"?>
<sst xmlns="http://schemas.openxmlformats.org/spreadsheetml/2006/main" count="162" uniqueCount="84">
  <si>
    <t>Milestone ID</t>
  </si>
  <si>
    <t>Phase</t>
  </si>
  <si>
    <t>Milestone Name</t>
  </si>
  <si>
    <t>Planned End</t>
  </si>
  <si>
    <t>Actual End</t>
  </si>
  <si>
    <t>% Complete</t>
  </si>
  <si>
    <t>Contractor</t>
  </si>
  <si>
    <t>Zone</t>
  </si>
  <si>
    <t>M01</t>
  </si>
  <si>
    <t>Pre-Construction</t>
  </si>
  <si>
    <t>Site Mobilization</t>
  </si>
  <si>
    <t>Completed</t>
  </si>
  <si>
    <t>ABC Infra</t>
  </si>
  <si>
    <t>A</t>
  </si>
  <si>
    <t>M02</t>
  </si>
  <si>
    <t>Excavation</t>
  </si>
  <si>
    <t>Excavation Work</t>
  </si>
  <si>
    <t>M03</t>
  </si>
  <si>
    <t>Foundation</t>
  </si>
  <si>
    <t>PCC Work</t>
  </si>
  <si>
    <t>XYZ Con</t>
  </si>
  <si>
    <t>M04</t>
  </si>
  <si>
    <t>Footing RCC</t>
  </si>
  <si>
    <t>B</t>
  </si>
  <si>
    <t>M05</t>
  </si>
  <si>
    <t>Structure</t>
  </si>
  <si>
    <t>Column RCC</t>
  </si>
  <si>
    <t>In Progress</t>
  </si>
  <si>
    <t>M06</t>
  </si>
  <si>
    <t>Slab Casting</t>
  </si>
  <si>
    <t>LMN Build</t>
  </si>
  <si>
    <t>M07</t>
  </si>
  <si>
    <t>Masonry</t>
  </si>
  <si>
    <t>Block Work</t>
  </si>
  <si>
    <t>C</t>
  </si>
  <si>
    <t>M08</t>
  </si>
  <si>
    <t>Finishing</t>
  </si>
  <si>
    <t>Plastering</t>
  </si>
  <si>
    <t>Not Started</t>
  </si>
  <si>
    <t>M09</t>
  </si>
  <si>
    <t>Flooring</t>
  </si>
  <si>
    <t>PQR Works</t>
  </si>
  <si>
    <t>M10</t>
  </si>
  <si>
    <t>Handover</t>
  </si>
  <si>
    <t>Final Inspection</t>
  </si>
  <si>
    <t>Delays</t>
  </si>
  <si>
    <t>Actual Days</t>
  </si>
  <si>
    <t>Planned Days</t>
  </si>
  <si>
    <t>Row Labels</t>
  </si>
  <si>
    <t>Grand Total</t>
  </si>
  <si>
    <t>Sum of Delays</t>
  </si>
  <si>
    <t>Milstone</t>
  </si>
  <si>
    <t>Count of Milestone ID</t>
  </si>
  <si>
    <t>Average of % Complete</t>
  </si>
  <si>
    <t>Count of Sr. No</t>
  </si>
  <si>
    <t>Sum of Schedule Impact</t>
  </si>
  <si>
    <t>Casting</t>
  </si>
  <si>
    <t>Approval</t>
  </si>
  <si>
    <t>Design &amp; Technical</t>
  </si>
  <si>
    <t>Reinforcement</t>
  </si>
  <si>
    <t>Execution</t>
  </si>
  <si>
    <t>Shutterting</t>
  </si>
  <si>
    <t>Material Procurement</t>
  </si>
  <si>
    <t>Non-overlapping Delay</t>
  </si>
  <si>
    <t>Overlapping Delay</t>
  </si>
  <si>
    <t>Open</t>
  </si>
  <si>
    <t>Resolved</t>
  </si>
  <si>
    <t>Architecture Consultant</t>
  </si>
  <si>
    <t>(blank)</t>
  </si>
  <si>
    <t>Client</t>
  </si>
  <si>
    <t>PMC</t>
  </si>
  <si>
    <t>Structure Consultant</t>
  </si>
  <si>
    <t>Milestone Dashboard - Project # - Week #</t>
  </si>
  <si>
    <t xml:space="preserve">Weightage </t>
  </si>
  <si>
    <t>Planned Start</t>
  </si>
  <si>
    <t>Actual Start</t>
  </si>
  <si>
    <t>Total Milestone</t>
  </si>
  <si>
    <t>Status2</t>
  </si>
  <si>
    <t>Delayed</t>
  </si>
  <si>
    <t>Delayed  Milestone</t>
  </si>
  <si>
    <t>In Progress Milstone</t>
  </si>
  <si>
    <t xml:space="preserve">Stakeholder </t>
  </si>
  <si>
    <t xml:space="preserve">Reason for Milestone Delayed </t>
  </si>
  <si>
    <t xml:space="preserve">Monsson , Labour Shortage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</si>
</sst>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818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5F85"/>
        <bgColor indexed="64"/>
      </patternFill>
    </fill>
    <fill>
      <patternFill patternType="solid">
        <fgColor rgb="FF005F85"/>
        <bgColor auto="1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 applyAlignment="1">
      <alignment horizontal="left"/>
    </xf>
    <xf numFmtId="0" fontId="0" fillId="0" borderId="0" xfId="0" pivotButton="1" applyNumberFormat="1"/>
    <xf numFmtId="0" fontId="2" fillId="4" borderId="0" xfId="0" applyFont="1" applyFill="1" applyBorder="1" applyAlignment="1">
      <alignment horizontal="center" vertical="center"/>
    </xf>
    <xf numFmtId="0" fontId="0" fillId="5" borderId="0" xfId="0" applyFill="1" applyBorder="1" applyAlignment="1"/>
    <xf numFmtId="0" fontId="0" fillId="5" borderId="8" xfId="0" applyFill="1" applyBorder="1" applyAlignment="1"/>
    <xf numFmtId="0" fontId="0" fillId="5" borderId="5" xfId="0" applyFill="1" applyBorder="1" applyAlignment="1"/>
    <xf numFmtId="0" fontId="0" fillId="5" borderId="6" xfId="0" applyFill="1" applyBorder="1" applyAlignment="1"/>
    <xf numFmtId="9" fontId="0" fillId="0" borderId="0" xfId="0" applyNumberFormat="1" applyAlignment="1">
      <alignment vertical="center" wrapText="1"/>
    </xf>
    <xf numFmtId="9" fontId="0" fillId="0" borderId="0" xfId="0" applyNumberFormat="1"/>
    <xf numFmtId="0" fontId="0" fillId="0" borderId="0" xfId="0" applyNumberFormat="1" applyAlignment="1">
      <alignment vertical="center" wrapText="1"/>
    </xf>
    <xf numFmtId="0" fontId="0" fillId="4" borderId="1" xfId="0" applyFill="1" applyBorder="1"/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7" xfId="0" applyFill="1" applyBorder="1"/>
    <xf numFmtId="0" fontId="2" fillId="4" borderId="8" xfId="0" applyFont="1" applyFill="1" applyBorder="1" applyAlignment="1">
      <alignment horizontal="center" vertical="center"/>
    </xf>
    <xf numFmtId="0" fontId="0" fillId="4" borderId="4" xfId="0" applyFill="1" applyBorder="1"/>
    <xf numFmtId="0" fontId="6" fillId="5" borderId="0" xfId="0" applyFont="1" applyFill="1" applyBorder="1" applyAlignment="1"/>
    <xf numFmtId="0" fontId="7" fillId="4" borderId="0" xfId="0" applyFont="1" applyFill="1" applyBorder="1" applyAlignment="1">
      <alignment vertical="center"/>
    </xf>
    <xf numFmtId="0" fontId="8" fillId="5" borderId="0" xfId="0" applyFont="1" applyFill="1" applyBorder="1" applyAlignment="1"/>
    <xf numFmtId="0" fontId="9" fillId="4" borderId="0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9" fontId="9" fillId="6" borderId="9" xfId="0" applyNumberFormat="1" applyFont="1" applyFill="1" applyBorder="1" applyAlignment="1">
      <alignment horizontal="center" vertical="center" wrapText="1"/>
    </xf>
    <xf numFmtId="9" fontId="9" fillId="6" borderId="10" xfId="0" applyNumberFormat="1" applyFont="1" applyFill="1" applyBorder="1" applyAlignment="1">
      <alignment horizontal="center" vertical="center" wrapText="1"/>
    </xf>
    <xf numFmtId="9" fontId="9" fillId="6" borderId="1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3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5F85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 tracking.xlsx]Pivoit Status!PivotTable1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Milestone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'Pivoit Status'!$H$17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D7-42E8-9068-3A6987B316F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D7-42E8-9068-3A6987B316F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D7-42E8-9068-3A6987B316F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9D7-42E8-9068-3A6987B31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'Pivoit Status'!$G$18:$G$22</c:f>
              <c:strCache>
                <c:ptCount val="4"/>
                <c:pt idx="0">
                  <c:v>Completed</c:v>
                </c:pt>
                <c:pt idx="1">
                  <c:v>Delayed</c:v>
                </c:pt>
                <c:pt idx="2">
                  <c:v>In Progress</c:v>
                </c:pt>
                <c:pt idx="3">
                  <c:v>Not Started</c:v>
                </c:pt>
              </c:strCache>
            </c:strRef>
          </c:cat>
          <c:val>
            <c:numRef>
              <c:f>'Pivoit Status'!$H$18:$H$22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9-4FDF-A67F-7C286E2A8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[Milestone tracking.xlsx]Sheet3!PivotTable7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% Complete of Phase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Sheet3!$I$9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Sheet3!$H$10:$H$17</c:f>
              <c:strCache>
                <c:ptCount val="7"/>
                <c:pt idx="0">
                  <c:v>Pre-Construction</c:v>
                </c:pt>
                <c:pt idx="1">
                  <c:v>Excavation</c:v>
                </c:pt>
                <c:pt idx="2">
                  <c:v>Foundation</c:v>
                </c:pt>
                <c:pt idx="3">
                  <c:v>Structure</c:v>
                </c:pt>
                <c:pt idx="4">
                  <c:v>Masonry</c:v>
                </c:pt>
                <c:pt idx="5">
                  <c:v>Finishing</c:v>
                </c:pt>
                <c:pt idx="6">
                  <c:v>Handover</c:v>
                </c:pt>
              </c:strCache>
            </c:strRef>
          </c:cat>
          <c:val>
            <c:numRef>
              <c:f>Sheet3!$I$10:$I$17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0.7</c:v>
                </c:pt>
                <c:pt idx="5">
                  <c:v>0.5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F-4C45-BE26-F81794EC25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022427680"/>
        <c:axId val="2138639552"/>
      </c:barChart>
      <c:catAx>
        <c:axId val="202242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39552"/>
        <c:crosses val="autoZero"/>
        <c:auto val="1"/>
        <c:lblAlgn val="ctr"/>
        <c:lblOffset val="100"/>
        <c:noMultiLvlLbl val="0"/>
      </c:catAx>
      <c:valAx>
        <c:axId val="213863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2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 tracking.xlsx]Sheet4!PivotTable8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baseline="0"/>
              <a:t>No of Delayed Activites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_ ;[Red]\-0\ 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B4-4D7B-B366-F58B386893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B4-4D7B-B366-F58B386893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B4-4D7B-B366-F58B386893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B4-4D7B-B366-F58B386893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B4-4D7B-B366-F58B386893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B4-4D7B-B366-F58B386893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B4-4D7B-B366-F58B3868935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B4-4D7B-B366-F58B3868935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B4-4D7B-B366-F58B3868935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B4-4D7B-B366-F58B3868935E}"/>
              </c:ext>
            </c:extLst>
          </c:dPt>
          <c:dLbls>
            <c:numFmt formatCode="0_ ;[Red]\-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Sheet4!$F$7:$F$17</c:f>
              <c:strCache>
                <c:ptCount val="10"/>
                <c:pt idx="0">
                  <c:v>Block Work</c:v>
                </c:pt>
                <c:pt idx="1">
                  <c:v>Column RCC</c:v>
                </c:pt>
                <c:pt idx="2">
                  <c:v>Excavation Work</c:v>
                </c:pt>
                <c:pt idx="3">
                  <c:v>Final Inspection</c:v>
                </c:pt>
                <c:pt idx="4">
                  <c:v>Flooring</c:v>
                </c:pt>
                <c:pt idx="5">
                  <c:v>Footing RCC</c:v>
                </c:pt>
                <c:pt idx="6">
                  <c:v>PCC Work</c:v>
                </c:pt>
                <c:pt idx="7">
                  <c:v>Plastering</c:v>
                </c:pt>
                <c:pt idx="8">
                  <c:v>Site Mobilization</c:v>
                </c:pt>
                <c:pt idx="9">
                  <c:v>Slab Casting</c:v>
                </c:pt>
              </c:strCache>
            </c:strRef>
          </c:cat>
          <c:val>
            <c:numRef>
              <c:f>Sheet4!$G$7:$G$17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7B4-4D7B-B366-F58B38689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39916079"/>
        <c:axId val="1392358095"/>
      </c:barChart>
      <c:catAx>
        <c:axId val="1439916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Activites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58095"/>
        <c:crosses val="autoZero"/>
        <c:auto val="1"/>
        <c:lblAlgn val="ctr"/>
        <c:lblOffset val="100"/>
        <c:noMultiLvlLbl val="0"/>
      </c:catAx>
      <c:valAx>
        <c:axId val="139235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 of Delays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91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 tracking.xlsx]Sheet1!PivotTable1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Delayed</a:t>
            </a:r>
            <a:r>
              <a:rPr lang="en-US" sz="1800" b="1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by Stakeholders </a:t>
            </a:r>
            <a:endParaRPr lang="en-US" sz="180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Sheet1!$F$8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4D-40E4-9863-6B4342C1518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4D-40E4-9863-6B4342C1518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4D-40E4-9863-6B4342C1518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4D-40E4-9863-6B4342C151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Sheet1!$E$9:$E$13</c:f>
              <c:strCache>
                <c:ptCount val="4"/>
                <c:pt idx="0">
                  <c:v>ABC Infra</c:v>
                </c:pt>
                <c:pt idx="1">
                  <c:v>LMN Build</c:v>
                </c:pt>
                <c:pt idx="2">
                  <c:v>PQR Works</c:v>
                </c:pt>
                <c:pt idx="3">
                  <c:v>XYZ Con</c:v>
                </c:pt>
              </c:strCache>
            </c:strRef>
          </c:cat>
          <c:val>
            <c:numRef>
              <c:f>Sheet1!$F$9:$F$13</c:f>
              <c:numCache>
                <c:formatCode>General</c:formatCode>
                <c:ptCount val="4"/>
                <c:pt idx="0">
                  <c:v>1</c:v>
                </c:pt>
                <c:pt idx="1">
                  <c:v>21</c:v>
                </c:pt>
                <c:pt idx="2">
                  <c:v>0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4D-40E4-9863-6B4342C151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 tracking.xlsx]Sheet1!PivotTable1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410804899387575"/>
          <c:y val="0.17069225721784775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Sheet1!$F$8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DC-43B1-872C-6E222F2A01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DC-43B1-872C-6E222F2A01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DC-43B1-872C-6E222F2A01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DC-43B1-872C-6E222F2A015C}"/>
              </c:ext>
            </c:extLst>
          </c:dPt>
          <c:cat>
            <c:strRef>
              <c:f>Sheet1!$E$9:$E$13</c:f>
              <c:strCache>
                <c:ptCount val="4"/>
                <c:pt idx="0">
                  <c:v>ABC Infra</c:v>
                </c:pt>
                <c:pt idx="1">
                  <c:v>LMN Build</c:v>
                </c:pt>
                <c:pt idx="2">
                  <c:v>PQR Works</c:v>
                </c:pt>
                <c:pt idx="3">
                  <c:v>XYZ Con</c:v>
                </c:pt>
              </c:strCache>
            </c:strRef>
          </c:cat>
          <c:val>
            <c:numRef>
              <c:f>Sheet1!$F$9:$F$13</c:f>
              <c:numCache>
                <c:formatCode>General</c:formatCode>
                <c:ptCount val="4"/>
                <c:pt idx="0">
                  <c:v>1</c:v>
                </c:pt>
                <c:pt idx="1">
                  <c:v>21</c:v>
                </c:pt>
                <c:pt idx="2">
                  <c:v>0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6-47CD-9E2C-80649DD9B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 tracking.xlsx]Pivoit Status!PivotTable1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'Pivoit Status'!$H$17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'Pivoit Status'!$G$18:$G$22</c:f>
              <c:strCache>
                <c:ptCount val="4"/>
                <c:pt idx="0">
                  <c:v>Completed</c:v>
                </c:pt>
                <c:pt idx="1">
                  <c:v>Delayed</c:v>
                </c:pt>
                <c:pt idx="2">
                  <c:v>In Progress</c:v>
                </c:pt>
                <c:pt idx="3">
                  <c:v>Not Started</c:v>
                </c:pt>
              </c:strCache>
            </c:strRef>
          </c:cat>
          <c:val>
            <c:numRef>
              <c:f>'Pivoit Status'!$H$18:$H$22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3-482C-954F-B66E153B3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1286368"/>
        <c:axId val="2138572576"/>
      </c:barChart>
      <c:catAx>
        <c:axId val="203128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72576"/>
        <c:crosses val="autoZero"/>
        <c:auto val="1"/>
        <c:lblAlgn val="ctr"/>
        <c:lblOffset val="100"/>
        <c:noMultiLvlLbl val="0"/>
      </c:catAx>
      <c:valAx>
        <c:axId val="21385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 tracking.xlsx]Sheet3!PivotTable7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Sheet3!$I$9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Sheet3!$H$10:$H$17</c:f>
              <c:strCache>
                <c:ptCount val="7"/>
                <c:pt idx="0">
                  <c:v>Pre-Construction</c:v>
                </c:pt>
                <c:pt idx="1">
                  <c:v>Excavation</c:v>
                </c:pt>
                <c:pt idx="2">
                  <c:v>Foundation</c:v>
                </c:pt>
                <c:pt idx="3">
                  <c:v>Structure</c:v>
                </c:pt>
                <c:pt idx="4">
                  <c:v>Masonry</c:v>
                </c:pt>
                <c:pt idx="5">
                  <c:v>Finishing</c:v>
                </c:pt>
                <c:pt idx="6">
                  <c:v>Handover</c:v>
                </c:pt>
              </c:strCache>
            </c:strRef>
          </c:cat>
          <c:val>
            <c:numRef>
              <c:f>Sheet3!$I$10:$I$17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0.7</c:v>
                </c:pt>
                <c:pt idx="5">
                  <c:v>0.5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4-4EF0-AF38-157F09BDD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2427680"/>
        <c:axId val="2138639552"/>
      </c:barChart>
      <c:catAx>
        <c:axId val="202242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39552"/>
        <c:crosses val="autoZero"/>
        <c:auto val="1"/>
        <c:lblAlgn val="ctr"/>
        <c:lblOffset val="100"/>
        <c:noMultiLvlLbl val="0"/>
      </c:catAx>
      <c:valAx>
        <c:axId val="213863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2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 tracking.xlsx]Sheet4!PivotTable8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9-4CA5-AFB8-1BBF3C91B7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9-4CA5-AFB8-1BBF3C91B7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9-4CA5-AFB8-1BBF3C91B7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9-4CA5-AFB8-1BBF3C91B7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B9-4CA5-AFB8-1BBF3C91B7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B9-4CA5-AFB8-1BBF3C91B7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4B9-4CA5-AFB8-1BBF3C91B7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4B9-4CA5-AFB8-1BBF3C91B74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4B9-4CA5-AFB8-1BBF3C91B74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4B9-4CA5-AFB8-1BBF3C91B744}"/>
              </c:ext>
            </c:extLst>
          </c:dPt>
          <c:cat>
            <c:strRef>
              <c:f>Sheet4!$F$7:$F$17</c:f>
              <c:strCache>
                <c:ptCount val="10"/>
                <c:pt idx="0">
                  <c:v>Block Work</c:v>
                </c:pt>
                <c:pt idx="1">
                  <c:v>Column RCC</c:v>
                </c:pt>
                <c:pt idx="2">
                  <c:v>Excavation Work</c:v>
                </c:pt>
                <c:pt idx="3">
                  <c:v>Final Inspection</c:v>
                </c:pt>
                <c:pt idx="4">
                  <c:v>Flooring</c:v>
                </c:pt>
                <c:pt idx="5">
                  <c:v>Footing RCC</c:v>
                </c:pt>
                <c:pt idx="6">
                  <c:v>PCC Work</c:v>
                </c:pt>
                <c:pt idx="7">
                  <c:v>Plastering</c:v>
                </c:pt>
                <c:pt idx="8">
                  <c:v>Site Mobilization</c:v>
                </c:pt>
                <c:pt idx="9">
                  <c:v>Slab Casting</c:v>
                </c:pt>
              </c:strCache>
            </c:strRef>
          </c:cat>
          <c:val>
            <c:numRef>
              <c:f>Sheet4!$G$7:$G$17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0-4D8C-A149-36B8BE4F6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434417</xdr:colOff>
      <xdr:row>0</xdr:row>
      <xdr:rowOff>38273</xdr:rowOff>
    </xdr:from>
    <xdr:to>
      <xdr:col>16</xdr:col>
      <xdr:colOff>1044786</xdr:colOff>
      <xdr:row>1</xdr:row>
      <xdr:rowOff>330447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FBC3BC-DE88-4667-9247-5E4E001EA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2569" y="38273"/>
          <a:ext cx="1825152" cy="775326"/>
        </a:xfrm>
        <a:prstGeom prst="rect">
          <a:avLst/>
        </a:prstGeom>
      </xdr:spPr>
    </xdr:pic>
    <xdr:clientData/>
  </xdr:twoCellAnchor>
  <xdr:twoCellAnchor>
    <xdr:from>
      <xdr:col>1</xdr:col>
      <xdr:colOff>147436</xdr:colOff>
      <xdr:row>0</xdr:row>
      <xdr:rowOff>94096</xdr:rowOff>
    </xdr:from>
    <xdr:to>
      <xdr:col>4</xdr:col>
      <xdr:colOff>214672</xdr:colOff>
      <xdr:row>1</xdr:row>
      <xdr:rowOff>306369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F5020B2-8FBC-476F-988A-0110D0C2E830}"/>
            </a:ext>
          </a:extLst>
        </xdr:cNvPr>
        <xdr:cNvSpPr/>
      </xdr:nvSpPr>
      <xdr:spPr>
        <a:xfrm>
          <a:off x="147436" y="94096"/>
          <a:ext cx="4536659" cy="688523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Client Logo</a:t>
          </a:r>
        </a:p>
      </xdr:txBody>
    </xdr:sp>
    <xdr:clientData/>
  </xdr:twoCellAnchor>
  <xdr:twoCellAnchor>
    <xdr:from>
      <xdr:col>4</xdr:col>
      <xdr:colOff>317499</xdr:colOff>
      <xdr:row>2</xdr:row>
      <xdr:rowOff>377451</xdr:rowOff>
    </xdr:from>
    <xdr:to>
      <xdr:col>9</xdr:col>
      <xdr:colOff>110434</xdr:colOff>
      <xdr:row>21</xdr:row>
      <xdr:rowOff>151848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AE09E5-A70C-4639-9BE0-06A351CDC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301571</xdr:colOff>
      <xdr:row>2</xdr:row>
      <xdr:rowOff>370644</xdr:rowOff>
    </xdr:from>
    <xdr:to>
      <xdr:col>17</xdr:col>
      <xdr:colOff>45129</xdr:colOff>
      <xdr:row>21</xdr:row>
      <xdr:rowOff>96630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A9C2643-68AF-41B6-9E84-B06EA5DD4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303695</xdr:colOff>
      <xdr:row>22</xdr:row>
      <xdr:rowOff>151848</xdr:rowOff>
    </xdr:from>
    <xdr:to>
      <xdr:col>9</xdr:col>
      <xdr:colOff>143353</xdr:colOff>
      <xdr:row>38</xdr:row>
      <xdr:rowOff>156542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B037930-347F-49B7-93C2-F1477092E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386521</xdr:colOff>
      <xdr:row>22</xdr:row>
      <xdr:rowOff>151848</xdr:rowOff>
    </xdr:from>
    <xdr:to>
      <xdr:col>17</xdr:col>
      <xdr:colOff>82827</xdr:colOff>
      <xdr:row>38</xdr:row>
      <xdr:rowOff>124240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BAFF4A-BE0D-4474-B11D-D49F74E78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</xdr:row>
      <xdr:rowOff>109537</xdr:rowOff>
    </xdr:from>
    <xdr:to>
      <xdr:col>15</xdr:col>
      <xdr:colOff>361950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32CB6-BF20-4483-B43D-E647AEAC2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338137</xdr:colOff>
      <xdr:row>7</xdr:row>
      <xdr:rowOff>119062</xdr:rowOff>
    </xdr:from>
    <xdr:to>
      <xdr:col>9</xdr:col>
      <xdr:colOff>123825</xdr:colOff>
      <xdr:row>19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4A5599-B602-4988-ADC6-917FF1EF2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C4DB3-FDCD-42A9-93D1-0AA95BE12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138112</xdr:colOff>
      <xdr:row>0</xdr:row>
      <xdr:rowOff>157162</xdr:rowOff>
    </xdr:from>
    <xdr:to>
      <xdr:col>14</xdr:col>
      <xdr:colOff>381000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6CBE19-70D8-4FF1-8E1F-C3F49AC25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Inderance%20Register%20Dashboar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yam Shah" refreshedDate="46033.079919791664" createdVersion="8" refreshedVersion="8" minRefreshableVersion="3" recordCount="101" xr:uid="{46AA81BF-C4F9-466B-9593-D8E559DAC65E}">
  <cacheSource type="worksheet">
    <worksheetSource ref="A2:Q1048576" sheet="Hinderance Register" r:id="rId2"/>
  </cacheSource>
  <cacheFields count="20">
    <cacheField name="Sr. No" numFmtId="0">
      <sharedItems containsString="0" containsBlank="1" containsNumber="1" containsInteger="1" minValue="1" maxValue="15"/>
    </cacheField>
    <cacheField name="Description of Hindrance" numFmtId="0">
      <sharedItems containsBlank="1"/>
    </cacheField>
    <cacheField name="Location " numFmtId="0">
      <sharedItems containsBlank="1"/>
    </cacheField>
    <cacheField name="Critical Activity affected" numFmtId="0">
      <sharedItems containsBlank="1" count="5">
        <s v="Shutterting"/>
        <s v="Casting"/>
        <s v="Reinforcement"/>
        <s v="Excavation"/>
        <m/>
      </sharedItems>
    </cacheField>
    <cacheField name="Correspondence " numFmtId="0">
      <sharedItems containsNonDate="0" containsDate="1" containsString="0" containsBlank="1" minDate="2026-12-26T00:00:00" maxDate="2027-03-15T00:00:00" count="7">
        <d v="2026-12-26T00:00:00"/>
        <d v="2027-01-12T00:00:00"/>
        <d v="2027-01-28T00:00:00"/>
        <d v="2027-02-22T00:00:00"/>
        <d v="2027-02-27T00:00:00"/>
        <d v="2027-03-14T00:00:00"/>
        <m/>
      </sharedItems>
      <fieldGroup par="19"/>
    </cacheField>
    <cacheField name="Category" numFmtId="0">
      <sharedItems containsBlank="1" count="5">
        <s v="Design &amp; Technical"/>
        <s v="Approval"/>
        <s v="Execution"/>
        <s v="Material Procurement"/>
        <m/>
      </sharedItems>
    </cacheField>
    <cacheField name="Type of Hindrance" numFmtId="0">
      <sharedItems containsBlank="1" count="13">
        <s v="Storage and handling constraints"/>
        <s v="Delay in mock-up / sample approvals"/>
        <s v="Variation / change order approval delays"/>
        <s v="Work front not available / handed over"/>
        <s v="Import / logistics clearance delays"/>
        <s v="Delay in statutory approvals (Fire, Local Authority, Utilities)"/>
        <s v="Vendor / supplier non-performance"/>
        <s v="Insufficient skilled manpower"/>
        <s v="Constructability issues at site"/>
        <s v="Delay in issue of GFC / IFC drawings"/>
        <s v="Delay in design clarifications (RFIs)"/>
        <s v="Delay in approval from Client / PMC"/>
        <m/>
      </sharedItems>
    </cacheField>
    <cacheField name="Date of Occurrence" numFmtId="0">
      <sharedItems containsNonDate="0" containsDate="1" containsString="0" containsBlank="1" minDate="2026-11-19T00:00:00" maxDate="2027-03-17T00:00:00"/>
    </cacheField>
    <cacheField name="Date Resolved" numFmtId="0">
      <sharedItems containsNonDate="0" containsDate="1" containsString="0" containsBlank="1" minDate="2026-11-22T00:00:00" maxDate="2027-04-05T00:00:00"/>
    </cacheField>
    <cacheField name="No. of Days" numFmtId="0">
      <sharedItems containsString="0" containsBlank="1" containsNumber="1" containsInteger="1" minValue="0" maxValue="31"/>
    </cacheField>
    <cacheField name="Baseline Start Date" numFmtId="0">
      <sharedItems containsNonDate="0" containsDate="1" containsString="0" containsBlank="1" minDate="2026-11-13T00:00:00" maxDate="2027-02-11T00:00:00"/>
    </cacheField>
    <cacheField name="Schedule Impact" numFmtId="0">
      <sharedItems containsString="0" containsBlank="1" containsNumber="1" containsInteger="1" minValue="5" maxValue="64"/>
    </cacheField>
    <cacheField name="Delay Type" numFmtId="0">
      <sharedItems containsBlank="1" count="3">
        <s v="Overlapping Delay"/>
        <s v="Non-overlapping Delay"/>
        <m/>
      </sharedItems>
    </cacheField>
    <cacheField name="Accountable" numFmtId="0">
      <sharedItems containsBlank="1" count="6">
        <s v="Architecture Consultant"/>
        <s v="Contractor"/>
        <s v="Structure Consultant"/>
        <s v="PMC"/>
        <s v="Client"/>
        <m/>
      </sharedItems>
    </cacheField>
    <cacheField name="Status" numFmtId="0">
      <sharedItems containsBlank="1" count="3">
        <s v="Resolved"/>
        <s v="Open"/>
        <m/>
      </sharedItems>
    </cacheField>
    <cacheField name="Description of Resolution" numFmtId="0">
      <sharedItems containsBlank="1"/>
    </cacheField>
    <cacheField name="Remarks" numFmtId="0">
      <sharedItems containsNonDate="0" containsString="0" containsBlank="1"/>
    </cacheField>
    <cacheField name="Months (Correspondence )" numFmtId="0" databaseField="0">
      <fieldGroup base="4">
        <rangePr groupBy="months" startDate="2026-12-26T00:00:00" endDate="2027-03-15T00:00:00"/>
        <groupItems count="14">
          <s v="&lt;26-1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3-2027"/>
        </groupItems>
      </fieldGroup>
    </cacheField>
    <cacheField name="Quarters (Correspondence )" numFmtId="0" databaseField="0">
      <fieldGroup base="4">
        <rangePr groupBy="quarters" startDate="2026-12-26T00:00:00" endDate="2027-03-15T00:00:00"/>
        <groupItems count="6">
          <s v="&lt;26-12-2026"/>
          <s v="Qtr1"/>
          <s v="Qtr2"/>
          <s v="Qtr3"/>
          <s v="Qtr4"/>
          <s v="&gt;15-03-2027"/>
        </groupItems>
      </fieldGroup>
    </cacheField>
    <cacheField name="Years (Correspondence )" numFmtId="0" databaseField="0">
      <fieldGroup base="4">
        <rangePr groupBy="years" startDate="2026-12-26T00:00:00" endDate="2027-03-15T00:00:00"/>
        <groupItems count="4">
          <s v="&lt;26-12-2026"/>
          <s v="2026"/>
          <s v="2027"/>
          <s v="&gt;15-03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IL" refreshedDate="46042.969364467594" createdVersion="6" refreshedVersion="6" minRefreshableVersion="3" recordCount="10" xr:uid="{2B6027DB-7656-439A-AD20-C1A7C26748D5}">
  <cacheSource type="worksheet">
    <worksheetSource name="Table1[[Planned End]:[Delays]]"/>
  </cacheSource>
  <cacheFields count="11">
    <cacheField name="Planned End" numFmtId="15">
      <sharedItems containsSemiMixedTypes="0" containsNonDate="0" containsDate="1" containsString="0" minDate="2026-01-05T00:00:00" maxDate="2026-04-11T00:00:00"/>
    </cacheField>
    <cacheField name="Planned Days" numFmtId="1">
      <sharedItems containsSemiMixedTypes="0" containsString="0" containsNumber="1" containsInteger="1" minValue="4" maxValue="30"/>
    </cacheField>
    <cacheField name="Actual Start" numFmtId="15">
      <sharedItems containsNonDate="0" containsDate="1" containsString="0" containsBlank="1" minDate="2026-01-01T00:00:00" maxDate="2026-02-12T00:00:00"/>
    </cacheField>
    <cacheField name="Actual End" numFmtId="15">
      <sharedItems containsNonDate="0" containsDate="1" containsString="0" containsBlank="1" minDate="2026-01-05T00:00:00" maxDate="2026-03-14T00:00:00"/>
    </cacheField>
    <cacheField name="Actual Days" numFmtId="1">
      <sharedItems containsString="0" containsBlank="1" containsNumber="1" containsInteger="1" minValue="0" maxValue="39"/>
    </cacheField>
    <cacheField name="Weightage " numFmtId="0">
      <sharedItems containsSemiMixedTypes="0" containsString="0" containsNumber="1" containsInteger="1" minValue="5" maxValue="15"/>
    </cacheField>
    <cacheField name="% Complete" numFmtId="9">
      <sharedItems containsSemiMixedTypes="0" containsString="0" containsNumber="1" minValue="0" maxValue="1"/>
    </cacheField>
    <cacheField name="Stakeholder " numFmtId="0">
      <sharedItems count="4">
        <s v="ABC Infra"/>
        <s v="XYZ Con"/>
        <s v="LMN Build"/>
        <s v="PQR Works"/>
      </sharedItems>
    </cacheField>
    <cacheField name="Zone" numFmtId="0">
      <sharedItems/>
    </cacheField>
    <cacheField name="Status2" numFmtId="0">
      <sharedItems/>
    </cacheField>
    <cacheField name="Delays" numFmtId="0">
      <sharedItems containsSemiMixedTypes="0" containsString="0" containsNumber="1" containsInteger="1" minValue="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IL" refreshedDate="46050.901711689818" createdVersion="6" refreshedVersion="6" minRefreshableVersion="3" recordCount="10" xr:uid="{6FC0D9AD-EA82-47B0-A3AB-AE0224AF6C33}">
  <cacheSource type="worksheet">
    <worksheetSource name="Table1"/>
  </cacheSource>
  <cacheFields count="15">
    <cacheField name="Milestone ID" numFmtId="0">
      <sharedItems/>
    </cacheField>
    <cacheField name="Phase" numFmtId="0">
      <sharedItems count="7">
        <s v="Pre-Construction"/>
        <s v="Excavation"/>
        <s v="Foundation"/>
        <s v="Structure"/>
        <s v="Masonry"/>
        <s v="Finishing"/>
        <s v="Handover"/>
      </sharedItems>
    </cacheField>
    <cacheField name="Milestone Name" numFmtId="0">
      <sharedItems count="10">
        <s v="Site Mobilization"/>
        <s v="Excavation Work"/>
        <s v="PCC Work"/>
        <s v="Footing RCC"/>
        <s v="Column RCC"/>
        <s v="Slab Casting"/>
        <s v="Block Work"/>
        <s v="Plastering"/>
        <s v="Flooring"/>
        <s v="Final Inspection"/>
      </sharedItems>
    </cacheField>
    <cacheField name="Planned Start" numFmtId="15">
      <sharedItems containsSemiMixedTypes="0" containsNonDate="0" containsDate="1" containsString="0" minDate="2026-01-01T00:00:00" maxDate="2026-04-07T00:00:00"/>
    </cacheField>
    <cacheField name="Planned End" numFmtId="15">
      <sharedItems containsSemiMixedTypes="0" containsNonDate="0" containsDate="1" containsString="0" minDate="2026-01-05T00:00:00" maxDate="2026-04-11T00:00:00"/>
    </cacheField>
    <cacheField name="Planned Days" numFmtId="1">
      <sharedItems containsSemiMixedTypes="0" containsString="0" containsNumber="1" containsInteger="1" minValue="4" maxValue="30"/>
    </cacheField>
    <cacheField name="Actual Start" numFmtId="15">
      <sharedItems containsNonDate="0" containsDate="1" containsString="0" containsBlank="1" minDate="1900-01-07T00:00:00" maxDate="2026-02-12T00:00:00"/>
    </cacheField>
    <cacheField name="Actual End" numFmtId="15">
      <sharedItems containsNonDate="0" containsDate="1" containsString="0" containsBlank="1" minDate="2026-01-05T00:00:00" maxDate="2026-03-14T00:00:00"/>
    </cacheField>
    <cacheField name="Actual Days" numFmtId="1">
      <sharedItems containsString="0" containsBlank="1" containsNumber="1" containsInteger="1" minValue="-8" maxValue="39"/>
    </cacheField>
    <cacheField name="Weightage " numFmtId="0">
      <sharedItems containsSemiMixedTypes="0" containsString="0" containsNumber="1" containsInteger="1" minValue="5" maxValue="15"/>
    </cacheField>
    <cacheField name="% Complete" numFmtId="9">
      <sharedItems containsSemiMixedTypes="0" containsString="0" containsNumber="1" minValue="0" maxValue="1"/>
    </cacheField>
    <cacheField name="Stakeholder " numFmtId="0">
      <sharedItems/>
    </cacheField>
    <cacheField name="Zone" numFmtId="0">
      <sharedItems/>
    </cacheField>
    <cacheField name="Status2" numFmtId="0">
      <sharedItems count="4">
        <s v="Completed"/>
        <s v="Delayed"/>
        <s v="In Progress"/>
        <s v="Not Started"/>
      </sharedItems>
    </cacheField>
    <cacheField name="Delays" numFmtId="0">
      <sharedItems containsSemiMixedTypes="0" containsString="0" containsNumber="1" containsInteger="1" minValue="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"/>
    <s v="Staircase work "/>
    <s v="Building A"/>
    <x v="0"/>
    <x v="0"/>
    <x v="0"/>
    <x v="0"/>
    <d v="2026-11-19T00:00:00"/>
    <d v="2026-11-22T00:00:00"/>
    <n v="4"/>
    <d v="2026-11-13T00:00:00"/>
    <n v="10"/>
    <x v="0"/>
    <x v="0"/>
    <x v="0"/>
    <s v="drawing was given on 22-11-2026"/>
    <m/>
  </r>
  <r>
    <n v="2"/>
    <s v="Column reinforcement and formwork for part 1A"/>
    <s v="Building B"/>
    <x v="1"/>
    <x v="0"/>
    <x v="1"/>
    <x v="1"/>
    <d v="2026-12-24T00:00:00"/>
    <d v="2026-12-28T00:00:00"/>
    <n v="5"/>
    <d v="2026-12-24T00:00:00"/>
    <n v="5"/>
    <x v="1"/>
    <x v="1"/>
    <x v="0"/>
    <s v="drawing was given on 28-12-2027"/>
    <m/>
  </r>
  <r>
    <n v="3"/>
    <s v="basement 1 slab for Part 1B,1C"/>
    <s v="Building C"/>
    <x v="2"/>
    <x v="1"/>
    <x v="2"/>
    <x v="2"/>
    <d v="2027-01-05T00:00:00"/>
    <d v="2027-01-17T00:00:00"/>
    <n v="13"/>
    <d v="2027-01-06T00:00:00"/>
    <n v="12"/>
    <x v="1"/>
    <x v="2"/>
    <x v="0"/>
    <s v="drawing was given on 17-1-23"/>
    <m/>
  </r>
  <r>
    <n v="4"/>
    <s v="Basement 1 slab for Part 1D"/>
    <s v="Building D"/>
    <x v="3"/>
    <x v="1"/>
    <x v="3"/>
    <x v="3"/>
    <d v="2027-01-12T00:00:00"/>
    <d v="2027-01-17T00:00:00"/>
    <n v="6"/>
    <d v="2026-12-31T00:00:00"/>
    <n v="18"/>
    <x v="0"/>
    <x v="3"/>
    <x v="0"/>
    <s v="drawing was given on 17-1-23"/>
    <m/>
  </r>
  <r>
    <n v="5"/>
    <s v="Ground floor slab for Block A"/>
    <s v="Building E"/>
    <x v="0"/>
    <x v="0"/>
    <x v="3"/>
    <x v="4"/>
    <d v="2027-01-20T00:00:00"/>
    <d v="2027-02-08T00:00:00"/>
    <n v="20"/>
    <d v="2027-01-20T00:00:00"/>
    <n v="20"/>
    <x v="1"/>
    <x v="2"/>
    <x v="0"/>
    <s v="drawing was given on 8-2-23 for shuttering"/>
    <m/>
  </r>
  <r>
    <n v="6"/>
    <s v="Basement 3 slab for Part 2"/>
    <s v="Building A"/>
    <x v="1"/>
    <x v="0"/>
    <x v="1"/>
    <x v="5"/>
    <d v="2027-01-20T00:00:00"/>
    <d v="2027-02-07T00:00:00"/>
    <n v="19"/>
    <d v="2027-01-15T00:00:00"/>
    <n v="24"/>
    <x v="0"/>
    <x v="4"/>
    <x v="0"/>
    <s v="drawing was given on 7-2-23 for shuttering"/>
    <m/>
  </r>
  <r>
    <n v="7"/>
    <s v="Lift 4 "/>
    <s v="Building B"/>
    <x v="2"/>
    <x v="2"/>
    <x v="2"/>
    <x v="6"/>
    <d v="2027-01-18T00:00:00"/>
    <d v="2027-01-31T00:00:00"/>
    <n v="14"/>
    <d v="2027-01-07T00:00:00"/>
    <n v="25"/>
    <x v="1"/>
    <x v="1"/>
    <x v="1"/>
    <s v="drawing was given on 24-1-23 and hold decision was given on 31-1-23"/>
    <m/>
  </r>
  <r>
    <n v="8"/>
    <s v="Stair 5,6,2 - Part 2"/>
    <s v="Building C"/>
    <x v="3"/>
    <x v="3"/>
    <x v="0"/>
    <x v="7"/>
    <d v="2027-02-10T00:00:00"/>
    <d v="2027-03-01T00:00:00"/>
    <n v="20"/>
    <d v="2027-01-15T00:00:00"/>
    <n v="46"/>
    <x v="1"/>
    <x v="0"/>
    <x v="1"/>
    <s v="drawing was given on 8-2-23 for shuttering"/>
    <m/>
  </r>
  <r>
    <n v="9"/>
    <s v="Block B &amp; C - ground floor slab"/>
    <s v="Building D"/>
    <x v="2"/>
    <x v="0"/>
    <x v="1"/>
    <x v="8"/>
    <d v="2027-02-15T00:00:00"/>
    <d v="2027-02-19T00:00:00"/>
    <n v="5"/>
    <d v="2027-01-31T00:00:00"/>
    <n v="20"/>
    <x v="0"/>
    <x v="1"/>
    <x v="0"/>
    <s v="drawing was given on 19-2-23 for shuttering"/>
    <m/>
  </r>
  <r>
    <n v="10"/>
    <s v="Block A - ground floor "/>
    <s v="Building E"/>
    <x v="3"/>
    <x v="0"/>
    <x v="2"/>
    <x v="9"/>
    <d v="2027-02-20T00:00:00"/>
    <d v="2027-02-23T00:00:00"/>
    <n v="4"/>
    <d v="2027-02-07T00:00:00"/>
    <n v="17"/>
    <x v="0"/>
    <x v="2"/>
    <x v="0"/>
    <s v="drawing was given on 8-2-23 for shuttering"/>
    <m/>
  </r>
  <r>
    <n v="11"/>
    <s v="Block C - ground floor"/>
    <s v="Building A"/>
    <x v="0"/>
    <x v="4"/>
    <x v="0"/>
    <x v="9"/>
    <d v="2027-02-26T00:00:00"/>
    <d v="2027-02-28T00:00:00"/>
    <n v="3"/>
    <d v="2027-02-04T00:00:00"/>
    <n v="25"/>
    <x v="0"/>
    <x v="3"/>
    <x v="0"/>
    <m/>
    <m/>
  </r>
  <r>
    <n v="12"/>
    <s v="Block A - ground floor "/>
    <s v="Building B"/>
    <x v="1"/>
    <x v="0"/>
    <x v="2"/>
    <x v="10"/>
    <d v="2027-02-27T00:00:00"/>
    <d v="2027-03-02T00:00:00"/>
    <n v="4"/>
    <d v="2027-02-07T00:00:00"/>
    <n v="24"/>
    <x v="1"/>
    <x v="2"/>
    <x v="0"/>
    <s v="casting done on 2/3/23"/>
    <m/>
  </r>
  <r>
    <n v="13"/>
    <s v="Part 2- ramp work"/>
    <s v="Building C"/>
    <x v="3"/>
    <x v="4"/>
    <x v="3"/>
    <x v="11"/>
    <d v="2027-02-17T00:00:00"/>
    <d v="2027-03-04T00:00:00"/>
    <n v="16"/>
    <d v="2027-01-16T00:00:00"/>
    <n v="48"/>
    <x v="1"/>
    <x v="4"/>
    <x v="0"/>
    <m/>
    <m/>
  </r>
  <r>
    <n v="14"/>
    <s v="Part 1- Stair 1,9"/>
    <s v="Building D"/>
    <x v="0"/>
    <x v="0"/>
    <x v="1"/>
    <x v="5"/>
    <d v="2027-03-05T00:00:00"/>
    <d v="2027-04-04T00:00:00"/>
    <n v="31"/>
    <d v="2027-01-31T00:00:00"/>
    <n v="64"/>
    <x v="0"/>
    <x v="1"/>
    <x v="1"/>
    <m/>
    <m/>
  </r>
  <r>
    <n v="15"/>
    <s v="Part 2A- basement 2 "/>
    <s v="Building E"/>
    <x v="2"/>
    <x v="5"/>
    <x v="2"/>
    <x v="9"/>
    <d v="2027-03-16T00:00:00"/>
    <d v="2027-03-21T00:00:00"/>
    <n v="6"/>
    <d v="2027-02-10T00:00:00"/>
    <n v="40"/>
    <x v="1"/>
    <x v="4"/>
    <x v="0"/>
    <s v="drawing was given on 21-3-23 for shuttering"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n v="0"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  <r>
    <m/>
    <m/>
    <m/>
    <x v="4"/>
    <x v="6"/>
    <x v="4"/>
    <x v="12"/>
    <m/>
    <m/>
    <m/>
    <m/>
    <m/>
    <x v="2"/>
    <x v="5"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1-05T00:00:00"/>
    <n v="4"/>
    <d v="2026-01-01T00:00:00"/>
    <d v="2026-01-05T00:00:00"/>
    <n v="4"/>
    <n v="5"/>
    <n v="1"/>
    <x v="0"/>
    <s v="A"/>
    <s v="Completed"/>
    <n v="0"/>
  </r>
  <r>
    <d v="2026-01-15T00:00:00"/>
    <n v="9"/>
    <d v="2026-01-07T00:00:00"/>
    <d v="2026-01-17T00:00:00"/>
    <n v="10"/>
    <n v="5"/>
    <n v="1"/>
    <x v="0"/>
    <s v="A"/>
    <s v="Delayed"/>
    <n v="1"/>
  </r>
  <r>
    <d v="2026-01-20T00:00:00"/>
    <n v="4"/>
    <d v="2026-01-16T00:00:00"/>
    <d v="2026-01-20T00:00:00"/>
    <n v="4"/>
    <n v="5"/>
    <n v="1"/>
    <x v="1"/>
    <s v="A"/>
    <s v="Completed"/>
    <n v="0"/>
  </r>
  <r>
    <d v="2026-01-30T00:00:00"/>
    <n v="9"/>
    <d v="2026-01-21T00:00:00"/>
    <d v="2026-02-02T00:00:00"/>
    <n v="12"/>
    <n v="10"/>
    <n v="1"/>
    <x v="1"/>
    <s v="B"/>
    <s v="Delayed"/>
    <n v="3"/>
  </r>
  <r>
    <d v="2026-02-10T00:00:00"/>
    <n v="9"/>
    <d v="2026-02-01T00:00:00"/>
    <d v="2026-03-12T00:00:00"/>
    <n v="39"/>
    <n v="15"/>
    <n v="1"/>
    <x v="1"/>
    <s v="B"/>
    <s v="Delayed"/>
    <n v="30"/>
  </r>
  <r>
    <d v="2026-02-20T00:00:00"/>
    <n v="9"/>
    <d v="2026-02-11T00:00:00"/>
    <d v="2026-03-13T00:00:00"/>
    <n v="30"/>
    <n v="15"/>
    <n v="1"/>
    <x v="2"/>
    <s v="B"/>
    <s v="Delayed"/>
    <n v="21"/>
  </r>
  <r>
    <d v="2026-03-05T00:00:00"/>
    <n v="30"/>
    <d v="2026-01-08T00:00:00"/>
    <m/>
    <n v="0"/>
    <n v="15"/>
    <n v="0.43333333333333335"/>
    <x v="2"/>
    <s v="C"/>
    <s v="In Progress"/>
    <n v="0"/>
  </r>
  <r>
    <d v="2026-03-20T00:00:00"/>
    <n v="14"/>
    <m/>
    <m/>
    <n v="0"/>
    <n v="10"/>
    <n v="0"/>
    <x v="2"/>
    <s v="C"/>
    <s v="Not Started"/>
    <n v="0"/>
  </r>
  <r>
    <d v="2026-04-05T00:00:00"/>
    <n v="15"/>
    <m/>
    <m/>
    <n v="0"/>
    <n v="10"/>
    <n v="0"/>
    <x v="3"/>
    <s v="C"/>
    <s v="Not Started"/>
    <n v="0"/>
  </r>
  <r>
    <d v="2026-04-10T00:00:00"/>
    <n v="4"/>
    <m/>
    <m/>
    <m/>
    <n v="10"/>
    <n v="0"/>
    <x v="3"/>
    <s v="C"/>
    <s v="Not Started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M01"/>
    <x v="0"/>
    <x v="0"/>
    <d v="2026-01-01T00:00:00"/>
    <d v="2026-01-05T00:00:00"/>
    <n v="4"/>
    <d v="2026-01-01T00:00:00"/>
    <d v="2026-01-05T00:00:00"/>
    <n v="4"/>
    <n v="5"/>
    <n v="1"/>
    <s v="ABC Infra"/>
    <s v="A"/>
    <x v="0"/>
    <n v="0"/>
  </r>
  <r>
    <s v="M02"/>
    <x v="1"/>
    <x v="1"/>
    <d v="2026-01-06T00:00:00"/>
    <d v="2026-01-15T00:00:00"/>
    <n v="9"/>
    <d v="2026-01-07T00:00:00"/>
    <d v="2026-01-17T00:00:00"/>
    <n v="10"/>
    <n v="5"/>
    <n v="1"/>
    <s v="ABC Infra"/>
    <s v="A"/>
    <x v="1"/>
    <n v="1"/>
  </r>
  <r>
    <s v="M03"/>
    <x v="2"/>
    <x v="2"/>
    <d v="2026-01-16T00:00:00"/>
    <d v="2026-01-20T00:00:00"/>
    <n v="4"/>
    <d v="2026-01-16T00:00:00"/>
    <d v="2026-01-20T00:00:00"/>
    <n v="4"/>
    <n v="5"/>
    <n v="1"/>
    <s v="XYZ Con"/>
    <s v="A"/>
    <x v="0"/>
    <n v="0"/>
  </r>
  <r>
    <s v="M04"/>
    <x v="2"/>
    <x v="3"/>
    <d v="2026-01-21T00:00:00"/>
    <d v="2026-01-30T00:00:00"/>
    <n v="9"/>
    <d v="2026-01-21T00:00:00"/>
    <d v="2026-02-02T00:00:00"/>
    <n v="12"/>
    <n v="10"/>
    <n v="1"/>
    <s v="XYZ Con"/>
    <s v="B"/>
    <x v="1"/>
    <n v="3"/>
  </r>
  <r>
    <s v="M05"/>
    <x v="3"/>
    <x v="4"/>
    <d v="2026-02-01T00:00:00"/>
    <d v="2026-02-10T00:00:00"/>
    <n v="9"/>
    <d v="2026-02-01T00:00:00"/>
    <d v="2026-03-12T00:00:00"/>
    <n v="39"/>
    <n v="15"/>
    <n v="1"/>
    <s v="XYZ Con"/>
    <s v="B"/>
    <x v="1"/>
    <n v="30"/>
  </r>
  <r>
    <s v="M06"/>
    <x v="3"/>
    <x v="5"/>
    <d v="2026-02-11T00:00:00"/>
    <d v="2026-02-20T00:00:00"/>
    <n v="9"/>
    <d v="2026-02-11T00:00:00"/>
    <d v="2026-03-13T00:00:00"/>
    <n v="30"/>
    <n v="15"/>
    <n v="1"/>
    <s v="LMN Build"/>
    <s v="B"/>
    <x v="1"/>
    <n v="21"/>
  </r>
  <r>
    <s v="M07"/>
    <x v="4"/>
    <x v="6"/>
    <d v="2026-02-21T00:00:00"/>
    <d v="2026-03-05T00:00:00"/>
    <n v="30"/>
    <d v="2026-01-08T00:00:00"/>
    <m/>
    <n v="0"/>
    <n v="15"/>
    <n v="0.7"/>
    <s v="LMN Build"/>
    <s v="C"/>
    <x v="2"/>
    <n v="0"/>
  </r>
  <r>
    <s v="M08"/>
    <x v="5"/>
    <x v="7"/>
    <d v="2026-03-06T00:00:00"/>
    <d v="2026-03-20T00:00:00"/>
    <n v="14"/>
    <d v="1900-01-07T00:00:00"/>
    <m/>
    <n v="-8"/>
    <n v="10"/>
    <n v="1"/>
    <s v="LMN Build"/>
    <s v="C"/>
    <x v="2"/>
    <n v="0"/>
  </r>
  <r>
    <s v="M09"/>
    <x v="5"/>
    <x v="8"/>
    <d v="2026-03-21T00:00:00"/>
    <d v="2026-04-05T00:00:00"/>
    <n v="15"/>
    <m/>
    <m/>
    <n v="0"/>
    <n v="10"/>
    <n v="0"/>
    <s v="PQR Works"/>
    <s v="C"/>
    <x v="3"/>
    <n v="0"/>
  </r>
  <r>
    <s v="M10"/>
    <x v="6"/>
    <x v="9"/>
    <d v="2026-04-06T00:00:00"/>
    <d v="2026-04-10T00:00:00"/>
    <n v="4"/>
    <m/>
    <m/>
    <m/>
    <n v="10"/>
    <n v="0"/>
    <s v="PQR Works"/>
    <s v="C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D6ED6-8533-45EB-9EB6-FFD132573E69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24:C129" firstHeaderRow="1" firstDataRow="1" firstDataCol="1"/>
  <pivotFields count="20">
    <pivotField dataField="1"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r. No" fld="0" subtotal="count" baseField="3" baseItem="4"/>
  </dataFields>
  <chartFormats count="6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9D0B1-5B88-4280-A16C-73DA13DF8D1D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1:C148" firstHeaderRow="1" firstDataRow="1" firstDataCol="1"/>
  <pivotFields count="20"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>
      <items count="14">
        <item x="8"/>
        <item x="11"/>
        <item x="10"/>
        <item x="9"/>
        <item x="1"/>
        <item x="5"/>
        <item x="4"/>
        <item x="7"/>
        <item x="0"/>
        <item x="2"/>
        <item x="6"/>
        <item x="3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chedule Impac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1EAFE-6D82-4B38-9820-37B97F572ABE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133:C138" firstHeaderRow="1" firstDataRow="1" firstDataCol="1"/>
  <pivotFields count="20">
    <pivotField dataField="1"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">
        <item x="1"/>
        <item x="0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r. No" fld="0" subtotal="count" baseField="3" baseItem="4"/>
  </dataFields>
  <chartFormats count="6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1EEC4-F65C-4BE5-A0F0-E47B2B942C73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50:C160" firstHeaderRow="1" firstDataRow="1" firstDataCol="1"/>
  <pivotFields count="20">
    <pivotField dataField="1"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>
      <items count="14">
        <item x="8"/>
        <item x="11"/>
        <item x="10"/>
        <item x="9"/>
        <item x="1"/>
        <item x="5"/>
        <item x="4"/>
        <item x="7"/>
        <item x="0"/>
        <item x="2"/>
        <item x="6"/>
        <item x="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1"/>
        <item x="3"/>
        <item x="2"/>
        <item h="1"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4"/>
    <field x="13"/>
  </rowFields>
  <rowItems count="10">
    <i>
      <x/>
    </i>
    <i r="1">
      <x/>
    </i>
    <i r="1">
      <x v="2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Sr. No" fld="0" subtotal="count" baseField="1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89BE3-A344-4EAD-ADB5-C83FC04DB5E1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24:F129" firstHeaderRow="1" firstDataRow="1" firstDataCol="1"/>
  <pivotFields count="20"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">
        <item x="1"/>
        <item x="0"/>
        <item x="2"/>
        <item x="3"/>
        <item h="1" x="4"/>
        <item t="default"/>
      </items>
    </pivotField>
    <pivotField showAll="0">
      <items count="14">
        <item x="8"/>
        <item x="11"/>
        <item x="10"/>
        <item x="9"/>
        <item x="1"/>
        <item x="5"/>
        <item x="4"/>
        <item x="7"/>
        <item x="0"/>
        <item x="2"/>
        <item x="6"/>
        <item x="3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chedule Impact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798C3-C01F-4F3A-A551-24DD8A6C3492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133:F136" firstHeaderRow="1" firstDataRow="1" firstDataCol="1"/>
  <pivotFields count="20">
    <pivotField dataField="1"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>
      <items count="14">
        <item x="8"/>
        <item x="11"/>
        <item x="10"/>
        <item x="9"/>
        <item x="1"/>
        <item x="5"/>
        <item x="4"/>
        <item x="7"/>
        <item x="0"/>
        <item x="2"/>
        <item x="6"/>
        <item x="3"/>
        <item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>
      <items count="7">
        <item x="0"/>
        <item x="4"/>
        <item x="1"/>
        <item x="3"/>
        <item x="2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Sr. No" fld="0" subtotal="count" baseField="12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A2428-0994-4C17-9A11-115CF8175525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139:F143" firstHeaderRow="1" firstDataRow="1" firstDataCol="1"/>
  <pivotFields count="20">
    <pivotField dataField="1"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r. No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BC3BB-358A-40BB-A94E-B45F26A4F0D4}" name="PivotTable1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E8:F13" firstHeaderRow="1" firstDataRow="1" firstDataCol="1"/>
  <pivotFields count="11">
    <pivotField numFmtId="15" showAll="0"/>
    <pivotField numFmtId="1" showAll="0"/>
    <pivotField showAll="0"/>
    <pivotField showAll="0"/>
    <pivotField showAll="0"/>
    <pivotField showAll="0"/>
    <pivotField numFmtId="9"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elays" fld="10" baseField="0" baseItem="0"/>
  </dataFields>
  <chartFormats count="10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C3A20-B71F-4D1B-AD49-AD6445CD394C}" name="PivotTable1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 rowHeaderCaption="Milstone">
  <location ref="G17:H22" firstHeaderRow="1" firstDataRow="1" firstDataCol="1"/>
  <pivotFields count="15">
    <pivotField dataField="1" showAll="0"/>
    <pivotField showAll="0"/>
    <pivotField showAll="0"/>
    <pivotField numFmtId="15" showAll="0"/>
    <pivotField numFmtId="15" showAll="0"/>
    <pivotField numFmtId="1"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ilestone ID" fld="0" subtotal="count" baseField="0" baseItem="0"/>
  </dataFields>
  <chartFormats count="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3842C-FAB1-4E36-BE0F-35C3B06F3BF6}" name="PivotTable7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H9:I17" firstHeaderRow="1" firstDataRow="1" firstDataCol="1"/>
  <pivotFields count="15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5" showAll="0"/>
    <pivotField numFmtId="15" showAll="0"/>
    <pivotField numFmtId="1" showAll="0"/>
    <pivotField numFmtId="15" showAll="0"/>
    <pivotField numFmtId="15" showAll="0"/>
    <pivotField numFmtId="1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% Complete" fld="10" subtotal="average" baseField="1" baseItem="0" numFmtId="9"/>
  </dataFields>
  <formats count="1">
    <format dxfId="1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D1844-0AC0-4AF7-8316-5D19A12D45B7}" name="PivotTable8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F6:G17" firstHeaderRow="1" firstDataRow="1" firstDataCol="1"/>
  <pivotFields count="15">
    <pivotField showAll="0"/>
    <pivotField showAll="0"/>
    <pivotField axis="axisRow" showAll="0" sumSubtotal="1">
      <items count="11">
        <item x="6"/>
        <item x="4"/>
        <item x="1"/>
        <item x="9"/>
        <item x="8"/>
        <item x="3"/>
        <item x="2"/>
        <item x="7"/>
        <item x="0"/>
        <item x="5"/>
        <item t="sum"/>
      </items>
    </pivotField>
    <pivotField numFmtId="15" showAll="0"/>
    <pivotField numFmtId="15" showAll="0"/>
    <pivotField numFmtId="1" showAll="0"/>
    <pivotField numFmtId="15" showAll="0"/>
    <pivotField numFmtId="15" showAll="0"/>
    <pivotField numFmtId="1"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elays" fld="14" baseField="0" baseItem="0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73EAA-B683-44E9-9940-BF0B3B1DB9E5}" name="Table1" displayName="Table1" ref="A1:O12" totalsRowCount="1" headerRowDxfId="32" dataDxfId="31">
  <autoFilter ref="A1:O11" xr:uid="{409D9571-B49C-47B4-BC44-7C20A69CA9D7}"/>
  <tableColumns count="15">
    <tableColumn id="1" xr3:uid="{446150EC-3E90-4A83-9733-F3408CF55E3D}" name="Milestone ID" dataDxfId="30" totalsRowDxfId="14"/>
    <tableColumn id="2" xr3:uid="{A954EC44-7FF9-4178-8F1E-D77612AFD374}" name="Phase" dataDxfId="29" totalsRowDxfId="13"/>
    <tableColumn id="3" xr3:uid="{CDF5D51E-33BF-4977-A0E1-E547AB0091AB}" name="Milestone Name" dataDxfId="28" totalsRowDxfId="12"/>
    <tableColumn id="4" xr3:uid="{DA28D4B8-F084-4D1F-BCB8-A02C7BF2D1C1}" name="Planned Start" dataDxfId="27" totalsRowDxfId="11"/>
    <tableColumn id="5" xr3:uid="{9B3065E2-9C9F-4082-B050-AAFA1BC096ED}" name="Planned End" dataDxfId="26" totalsRowDxfId="10"/>
    <tableColumn id="15" xr3:uid="{2457C75D-BA5F-4321-BFCC-FB67879F790B}" name="Planned Days" dataDxfId="25" totalsRowDxfId="9">
      <calculatedColumnFormula>Table1[[#This Row],[Planned End]]-Table1[[#This Row],[Planned Start]]</calculatedColumnFormula>
    </tableColumn>
    <tableColumn id="17" xr3:uid="{4EC574DE-3E33-471E-BE1F-42B231B8A7DA}" name="Actual Start" dataDxfId="24" totalsRowDxfId="8"/>
    <tableColumn id="6" xr3:uid="{A51AF86F-885F-4A02-8CD3-D77259CFEF89}" name="Actual End" dataDxfId="23" totalsRowDxfId="7"/>
    <tableColumn id="14" xr3:uid="{0B23EB0C-E143-4E87-A9FA-51209A695FB4}" name="Actual Days" dataDxfId="22" totalsRowDxfId="6">
      <calculatedColumnFormula>Table1[[#This Row],[Actual End]]-Table1[[#This Row],[Actual Start]]</calculatedColumnFormula>
    </tableColumn>
    <tableColumn id="16" xr3:uid="{EA6D90BF-D6D2-44E3-9CD1-BD4A05B0D2C1}" name="Weightage " dataDxfId="21" totalsRowDxfId="5"/>
    <tableColumn id="8" xr3:uid="{48F0A130-5EE4-48E9-B535-90BD47D8A0CF}" name="% Complete" dataDxfId="20" totalsRowDxfId="4">
      <calculatedColumnFormula>IF(AND(G2="",H2=""),0,
 IF(AND(G2&lt;&gt;"",H2=""),
  MIN((TODAY()-G2+1)/F2,1),
  1))</calculatedColumnFormula>
    </tableColumn>
    <tableColumn id="10" xr3:uid="{42FFB857-100C-4D73-8ADB-B0E351044C70}" name="Stakeholder " dataDxfId="19" totalsRowDxfId="3"/>
    <tableColumn id="11" xr3:uid="{4E8603B7-3856-4CBF-A57D-8836185F037A}" name="Zone" dataDxfId="18" totalsRowDxfId="2"/>
    <tableColumn id="12" xr3:uid="{DFF3DB5E-3962-4640-BCDA-0D39B5F908CE}" name="Status2" totalsRowFunction="custom" dataDxfId="17" totalsRowDxfId="1">
      <calculatedColumnFormula>IF(AND(G2="",H2=""),"Not Started",
 IF(AND(G2&lt;&gt;"",H2=""),"In Progress",
 IF(H2&lt;=E2,"Completed",
 "Delayed")))</calculatedColumnFormula>
      <totalsRowFormula>COUNTIF(N:N,N7)</totalsRowFormula>
    </tableColumn>
    <tableColumn id="13" xr3:uid="{84DBD0E0-2E93-4397-BF25-D27D06A0F9C7}" name="Delays" dataDxfId="16" totalsRowDxfId="0">
      <calculatedColumnFormula>IF(Table1[[#This Row],[Actual Days]]&gt;Table1[[#This Row],[Planned Days]],Table1[[#This Row],[Actual Days]]-Table1[[#This Row],[Planned Days]],0)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1732-FFF3-44BB-8B40-06BB0CFF6EC4}">
  <dimension ref="A1:R160"/>
  <sheetViews>
    <sheetView tabSelected="1" zoomScale="69" zoomScaleNormal="69" workbookViewId="0">
      <selection activeCell="D4" sqref="D4:D8"/>
    </sheetView>
  </sheetViews>
  <sheetFormatPr defaultRowHeight="15" x14ac:dyDescent="0.25"/>
  <cols>
    <col min="1" max="1" width="6.28515625" customWidth="1"/>
    <col min="2" max="2" width="27.28515625" bestFit="1" customWidth="1"/>
    <col min="3" max="3" width="15.140625" bestFit="1" customWidth="1"/>
    <col min="4" max="4" width="17.85546875" customWidth="1"/>
    <col min="5" max="5" width="14.7109375" bestFit="1" customWidth="1"/>
    <col min="6" max="7" width="15.140625" bestFit="1" customWidth="1"/>
    <col min="8" max="8" width="8" bestFit="1" customWidth="1"/>
    <col min="9" max="9" width="23.28515625" customWidth="1"/>
    <col min="17" max="17" width="16.42578125" customWidth="1"/>
    <col min="18" max="18" width="5.140625" customWidth="1"/>
  </cols>
  <sheetData>
    <row r="1" spans="1:18" ht="37.9" customHeight="1" x14ac:dyDescent="0.25">
      <c r="A1" s="40" t="s">
        <v>72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2"/>
    </row>
    <row r="2" spans="1:18" ht="30" customHeight="1" thickBot="1" x14ac:dyDescent="0.3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/>
    </row>
    <row r="3" spans="1:18" ht="30" customHeight="1" thickBot="1" x14ac:dyDescent="0.3">
      <c r="A3" s="19"/>
      <c r="B3" s="20"/>
      <c r="C3" s="20"/>
      <c r="D3" s="21"/>
      <c r="E3" s="61"/>
      <c r="F3" s="61"/>
      <c r="G3" s="61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</row>
    <row r="4" spans="1:18" ht="17.25" customHeight="1" x14ac:dyDescent="0.25">
      <c r="A4" s="24"/>
      <c r="B4" s="55" t="s">
        <v>76</v>
      </c>
      <c r="C4" s="56"/>
      <c r="D4" s="31">
        <f>COUNTA('Data Input'!A2:A11)</f>
        <v>10</v>
      </c>
      <c r="E4" s="62"/>
      <c r="F4" s="62"/>
      <c r="G4" s="62"/>
      <c r="H4" s="11"/>
      <c r="I4" s="11"/>
      <c r="J4" s="11"/>
      <c r="K4" s="11"/>
      <c r="L4" s="11"/>
      <c r="M4" s="11"/>
      <c r="N4" s="11"/>
      <c r="O4" s="11"/>
      <c r="P4" s="11"/>
      <c r="Q4" s="11"/>
      <c r="R4" s="25"/>
    </row>
    <row r="5" spans="1:18" ht="15" customHeight="1" x14ac:dyDescent="0.25">
      <c r="A5" s="24"/>
      <c r="B5" s="57"/>
      <c r="C5" s="58"/>
      <c r="D5" s="3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15" customHeight="1" x14ac:dyDescent="0.25">
      <c r="A6" s="24"/>
      <c r="B6" s="57"/>
      <c r="C6" s="58"/>
      <c r="D6" s="3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</row>
    <row r="7" spans="1:18" ht="15" customHeight="1" x14ac:dyDescent="0.25">
      <c r="A7" s="24"/>
      <c r="B7" s="57"/>
      <c r="C7" s="58"/>
      <c r="D7" s="3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3"/>
    </row>
    <row r="8" spans="1:18" ht="15" customHeight="1" thickBot="1" x14ac:dyDescent="0.3">
      <c r="A8" s="24"/>
      <c r="B8" s="59"/>
      <c r="C8" s="60"/>
      <c r="D8" s="33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1:18" ht="17.25" customHeight="1" x14ac:dyDescent="0.5">
      <c r="A9" s="24"/>
      <c r="B9" s="27"/>
      <c r="C9" s="27"/>
      <c r="D9" s="29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3"/>
    </row>
    <row r="10" spans="1:18" ht="16.5" customHeight="1" thickBot="1" x14ac:dyDescent="0.55000000000000004">
      <c r="A10" s="24"/>
      <c r="B10" s="27"/>
      <c r="C10" s="27"/>
      <c r="D10" s="29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3"/>
    </row>
    <row r="11" spans="1:18" ht="15" customHeight="1" x14ac:dyDescent="0.25">
      <c r="A11" s="24"/>
      <c r="B11" s="46" t="s">
        <v>5</v>
      </c>
      <c r="C11" s="47"/>
      <c r="D11" s="52">
        <f ca="1">SUMPRODUCT('Data Input'!J2:J11, 'Data Input'!K2:K11) / 100</f>
        <v>0.67500000000000004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3"/>
    </row>
    <row r="12" spans="1:18" ht="15" customHeight="1" x14ac:dyDescent="0.25">
      <c r="A12" s="24"/>
      <c r="B12" s="48"/>
      <c r="C12" s="49"/>
      <c r="D12" s="53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</row>
    <row r="13" spans="1:18" ht="15" customHeight="1" x14ac:dyDescent="0.25">
      <c r="A13" s="24"/>
      <c r="B13" s="48"/>
      <c r="C13" s="49"/>
      <c r="D13" s="53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3"/>
    </row>
    <row r="14" spans="1:18" ht="15" customHeight="1" x14ac:dyDescent="0.25">
      <c r="A14" s="24"/>
      <c r="B14" s="48"/>
      <c r="C14" s="49"/>
      <c r="D14" s="53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</row>
    <row r="15" spans="1:18" ht="15" customHeight="1" x14ac:dyDescent="0.25">
      <c r="A15" s="24"/>
      <c r="B15" s="48"/>
      <c r="C15" s="49"/>
      <c r="D15" s="5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/>
    </row>
    <row r="16" spans="1:18" ht="15" hidden="1" customHeight="1" x14ac:dyDescent="0.25">
      <c r="A16" s="24"/>
      <c r="B16" s="48"/>
      <c r="C16" s="49"/>
      <c r="D16" s="53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3"/>
    </row>
    <row r="17" spans="1:18" ht="15" hidden="1" customHeight="1" x14ac:dyDescent="0.25">
      <c r="A17" s="24"/>
      <c r="B17" s="48"/>
      <c r="C17" s="49"/>
      <c r="D17" s="53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3"/>
    </row>
    <row r="18" spans="1:18" ht="15.75" hidden="1" customHeight="1" thickBot="1" x14ac:dyDescent="0.3">
      <c r="A18" s="24"/>
      <c r="B18" s="50"/>
      <c r="C18" s="51"/>
      <c r="D18" s="54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3"/>
    </row>
    <row r="19" spans="1:18" ht="18.75" customHeight="1" x14ac:dyDescent="0.5">
      <c r="A19" s="24"/>
      <c r="B19" s="27"/>
      <c r="C19" s="27"/>
      <c r="D19" s="29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</row>
    <row r="20" spans="1:18" ht="18.75" customHeight="1" thickBot="1" x14ac:dyDescent="0.55000000000000004">
      <c r="A20" s="24"/>
      <c r="B20" s="27"/>
      <c r="C20" s="27"/>
      <c r="D20" s="29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3"/>
    </row>
    <row r="21" spans="1:18" x14ac:dyDescent="0.25">
      <c r="A21" s="24"/>
      <c r="B21" s="55" t="s">
        <v>79</v>
      </c>
      <c r="C21" s="56"/>
      <c r="D21" s="31">
        <f>COUNTIF('Data Input'!N2:N11,"Delayed")</f>
        <v>4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/>
    </row>
    <row r="22" spans="1:18" x14ac:dyDescent="0.25">
      <c r="A22" s="24"/>
      <c r="B22" s="57"/>
      <c r="C22" s="58"/>
      <c r="D22" s="3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3"/>
    </row>
    <row r="23" spans="1:18" x14ac:dyDescent="0.25">
      <c r="A23" s="24"/>
      <c r="B23" s="57"/>
      <c r="C23" s="58"/>
      <c r="D23" s="3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/>
    </row>
    <row r="24" spans="1:18" x14ac:dyDescent="0.25">
      <c r="A24" s="24"/>
      <c r="B24" s="57"/>
      <c r="C24" s="58"/>
      <c r="D24" s="3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/>
    </row>
    <row r="25" spans="1:18" ht="15.75" thickBot="1" x14ac:dyDescent="0.3">
      <c r="A25" s="24"/>
      <c r="B25" s="59"/>
      <c r="C25" s="60"/>
      <c r="D25" s="33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3"/>
    </row>
    <row r="26" spans="1:18" ht="21.75" customHeight="1" x14ac:dyDescent="0.5">
      <c r="A26" s="24"/>
      <c r="B26" s="27"/>
      <c r="C26" s="27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</row>
    <row r="27" spans="1:18" ht="19.5" customHeight="1" thickBot="1" x14ac:dyDescent="0.55000000000000004">
      <c r="A27" s="24"/>
      <c r="B27" s="27"/>
      <c r="C27" s="27"/>
      <c r="D27" s="29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/>
    </row>
    <row r="28" spans="1:18" ht="15" customHeight="1" x14ac:dyDescent="0.25">
      <c r="A28" s="24"/>
      <c r="B28" s="63" t="s">
        <v>80</v>
      </c>
      <c r="C28" s="64"/>
      <c r="D28" s="69">
        <f>COUNTIF('Data Input'!N2:N11,"In progress")</f>
        <v>2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3"/>
    </row>
    <row r="29" spans="1:18" ht="15" customHeight="1" x14ac:dyDescent="0.25">
      <c r="A29" s="24"/>
      <c r="B29" s="65"/>
      <c r="C29" s="66"/>
      <c r="D29" s="7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3"/>
    </row>
    <row r="30" spans="1:18" ht="15" customHeight="1" x14ac:dyDescent="0.25">
      <c r="A30" s="24"/>
      <c r="B30" s="65"/>
      <c r="C30" s="66"/>
      <c r="D30" s="70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/>
    </row>
    <row r="31" spans="1:18" ht="15" customHeight="1" x14ac:dyDescent="0.25">
      <c r="A31" s="24"/>
      <c r="B31" s="65"/>
      <c r="C31" s="66"/>
      <c r="D31" s="7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3"/>
    </row>
    <row r="32" spans="1:18" ht="15" customHeight="1" thickBot="1" x14ac:dyDescent="0.3">
      <c r="A32" s="24"/>
      <c r="B32" s="67"/>
      <c r="C32" s="68"/>
      <c r="D32" s="7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3"/>
    </row>
    <row r="33" spans="1:18" ht="15" customHeight="1" x14ac:dyDescent="0.25">
      <c r="A33" s="24"/>
      <c r="B33" s="28"/>
      <c r="C33" s="28"/>
      <c r="D33" s="30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3"/>
    </row>
    <row r="34" spans="1:18" ht="15" customHeight="1" thickBot="1" x14ac:dyDescent="0.3">
      <c r="A34" s="24"/>
      <c r="B34" s="28"/>
      <c r="C34" s="28"/>
      <c r="D34" s="30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3"/>
    </row>
    <row r="35" spans="1:18" ht="21" customHeight="1" x14ac:dyDescent="0.25">
      <c r="A35" s="24"/>
      <c r="B35" s="34" t="s">
        <v>82</v>
      </c>
      <c r="C35" s="35"/>
      <c r="D35" s="31" t="s">
        <v>83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3"/>
    </row>
    <row r="36" spans="1:18" ht="17.25" customHeight="1" x14ac:dyDescent="0.25">
      <c r="A36" s="24"/>
      <c r="B36" s="36"/>
      <c r="C36" s="37"/>
      <c r="D36" s="3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3"/>
    </row>
    <row r="37" spans="1:18" ht="19.5" customHeight="1" x14ac:dyDescent="0.25">
      <c r="A37" s="24"/>
      <c r="B37" s="36"/>
      <c r="C37" s="37"/>
      <c r="D37" s="3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3"/>
    </row>
    <row r="38" spans="1:18" ht="12.75" customHeight="1" x14ac:dyDescent="0.25">
      <c r="A38" s="24"/>
      <c r="B38" s="36"/>
      <c r="C38" s="37"/>
      <c r="D38" s="3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3"/>
    </row>
    <row r="39" spans="1:18" ht="15.75" thickBot="1" x14ac:dyDescent="0.3">
      <c r="A39" s="24"/>
      <c r="B39" s="38"/>
      <c r="C39" s="39"/>
      <c r="D39" s="33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3"/>
    </row>
    <row r="40" spans="1:18" ht="15.75" thickBot="1" x14ac:dyDescent="0.3">
      <c r="A40" s="2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5"/>
    </row>
    <row r="124" spans="2:6" x14ac:dyDescent="0.25">
      <c r="B124" s="5" t="s">
        <v>48</v>
      </c>
      <c r="C124" s="5" t="s">
        <v>54</v>
      </c>
      <c r="D124" s="5"/>
      <c r="E124" s="5" t="s">
        <v>48</v>
      </c>
      <c r="F124" s="5" t="s">
        <v>55</v>
      </c>
    </row>
    <row r="125" spans="2:6" x14ac:dyDescent="0.25">
      <c r="B125" s="6" t="s">
        <v>56</v>
      </c>
      <c r="C125" s="7">
        <v>3</v>
      </c>
      <c r="E125" s="6" t="s">
        <v>57</v>
      </c>
      <c r="F125" s="7">
        <v>113</v>
      </c>
    </row>
    <row r="126" spans="2:6" x14ac:dyDescent="0.25">
      <c r="B126" s="6" t="s">
        <v>15</v>
      </c>
      <c r="C126" s="7">
        <v>4</v>
      </c>
      <c r="E126" s="6" t="s">
        <v>58</v>
      </c>
      <c r="F126" s="7">
        <v>81</v>
      </c>
    </row>
    <row r="127" spans="2:6" x14ac:dyDescent="0.25">
      <c r="B127" s="6" t="s">
        <v>59</v>
      </c>
      <c r="C127" s="7">
        <v>4</v>
      </c>
      <c r="E127" s="6" t="s">
        <v>60</v>
      </c>
      <c r="F127" s="7">
        <v>118</v>
      </c>
    </row>
    <row r="128" spans="2:6" x14ac:dyDescent="0.25">
      <c r="B128" s="6" t="s">
        <v>61</v>
      </c>
      <c r="C128" s="7">
        <v>4</v>
      </c>
      <c r="E128" s="6" t="s">
        <v>62</v>
      </c>
      <c r="F128" s="7">
        <v>86</v>
      </c>
    </row>
    <row r="129" spans="2:6" x14ac:dyDescent="0.25">
      <c r="B129" s="6" t="s">
        <v>49</v>
      </c>
      <c r="C129" s="7">
        <v>15</v>
      </c>
      <c r="E129" s="6" t="s">
        <v>49</v>
      </c>
      <c r="F129" s="7">
        <v>398</v>
      </c>
    </row>
    <row r="133" spans="2:6" x14ac:dyDescent="0.25">
      <c r="B133" s="5" t="s">
        <v>48</v>
      </c>
      <c r="C133" s="5" t="s">
        <v>54</v>
      </c>
      <c r="D133" s="5"/>
      <c r="E133" s="5" t="s">
        <v>48</v>
      </c>
      <c r="F133" s="5" t="s">
        <v>54</v>
      </c>
    </row>
    <row r="134" spans="2:6" x14ac:dyDescent="0.25">
      <c r="B134" s="6" t="s">
        <v>57</v>
      </c>
      <c r="C134" s="7">
        <v>4</v>
      </c>
      <c r="E134" s="6" t="s">
        <v>63</v>
      </c>
      <c r="F134" s="7">
        <v>8</v>
      </c>
    </row>
    <row r="135" spans="2:6" x14ac:dyDescent="0.25">
      <c r="B135" s="6" t="s">
        <v>58</v>
      </c>
      <c r="C135" s="7">
        <v>3</v>
      </c>
      <c r="E135" s="6" t="s">
        <v>64</v>
      </c>
      <c r="F135" s="7">
        <v>7</v>
      </c>
    </row>
    <row r="136" spans="2:6" x14ac:dyDescent="0.25">
      <c r="B136" s="6" t="s">
        <v>60</v>
      </c>
      <c r="C136" s="7">
        <v>5</v>
      </c>
      <c r="E136" s="6" t="s">
        <v>49</v>
      </c>
      <c r="F136" s="7">
        <v>15</v>
      </c>
    </row>
    <row r="137" spans="2:6" x14ac:dyDescent="0.25">
      <c r="B137" s="6" t="s">
        <v>62</v>
      </c>
      <c r="C137" s="7">
        <v>3</v>
      </c>
    </row>
    <row r="138" spans="2:6" x14ac:dyDescent="0.25">
      <c r="B138" s="6" t="s">
        <v>49</v>
      </c>
      <c r="C138" s="7">
        <v>15</v>
      </c>
    </row>
    <row r="139" spans="2:6" x14ac:dyDescent="0.25">
      <c r="E139" s="5" t="s">
        <v>48</v>
      </c>
      <c r="F139" s="5" t="s">
        <v>54</v>
      </c>
    </row>
    <row r="140" spans="2:6" x14ac:dyDescent="0.25">
      <c r="E140" s="6" t="s">
        <v>65</v>
      </c>
      <c r="F140" s="7">
        <v>3</v>
      </c>
    </row>
    <row r="141" spans="2:6" x14ac:dyDescent="0.25">
      <c r="B141" s="5" t="s">
        <v>48</v>
      </c>
      <c r="C141" s="5" t="s">
        <v>55</v>
      </c>
      <c r="D141" s="5"/>
      <c r="E141" s="9" t="s">
        <v>66</v>
      </c>
      <c r="F141" s="10">
        <v>12</v>
      </c>
    </row>
    <row r="142" spans="2:6" x14ac:dyDescent="0.25">
      <c r="B142" s="6" t="s">
        <v>67</v>
      </c>
      <c r="C142" s="7">
        <v>56</v>
      </c>
      <c r="E142" s="6" t="s">
        <v>68</v>
      </c>
      <c r="F142" s="7"/>
    </row>
    <row r="143" spans="2:6" x14ac:dyDescent="0.25">
      <c r="B143" s="6" t="s">
        <v>69</v>
      </c>
      <c r="C143" s="7">
        <v>112</v>
      </c>
      <c r="E143" s="6" t="s">
        <v>49</v>
      </c>
      <c r="F143" s="7">
        <v>15</v>
      </c>
    </row>
    <row r="144" spans="2:6" x14ac:dyDescent="0.25">
      <c r="B144" s="6" t="s">
        <v>6</v>
      </c>
      <c r="C144" s="7">
        <v>114</v>
      </c>
    </row>
    <row r="145" spans="2:3" x14ac:dyDescent="0.25">
      <c r="B145" s="6" t="s">
        <v>70</v>
      </c>
      <c r="C145" s="7">
        <v>43</v>
      </c>
    </row>
    <row r="146" spans="2:3" x14ac:dyDescent="0.25">
      <c r="B146" s="6" t="s">
        <v>71</v>
      </c>
      <c r="C146" s="7">
        <v>73</v>
      </c>
    </row>
    <row r="147" spans="2:3" x14ac:dyDescent="0.25">
      <c r="B147" s="6" t="s">
        <v>68</v>
      </c>
      <c r="C147" s="7"/>
    </row>
    <row r="148" spans="2:3" x14ac:dyDescent="0.25">
      <c r="B148" s="6" t="s">
        <v>49</v>
      </c>
      <c r="C148" s="7">
        <v>398</v>
      </c>
    </row>
    <row r="150" spans="2:3" x14ac:dyDescent="0.25">
      <c r="B150" s="5" t="s">
        <v>48</v>
      </c>
      <c r="C150" s="5" t="s">
        <v>54</v>
      </c>
    </row>
    <row r="151" spans="2:3" x14ac:dyDescent="0.25">
      <c r="B151" s="6" t="s">
        <v>65</v>
      </c>
      <c r="C151" s="7">
        <v>3</v>
      </c>
    </row>
    <row r="152" spans="2:3" x14ac:dyDescent="0.25">
      <c r="B152" s="8" t="s">
        <v>67</v>
      </c>
      <c r="C152" s="7">
        <v>1</v>
      </c>
    </row>
    <row r="153" spans="2:3" x14ac:dyDescent="0.25">
      <c r="B153" s="8" t="s">
        <v>6</v>
      </c>
      <c r="C153" s="7">
        <v>2</v>
      </c>
    </row>
    <row r="154" spans="2:3" x14ac:dyDescent="0.25">
      <c r="B154" s="6" t="s">
        <v>66</v>
      </c>
      <c r="C154" s="7">
        <v>12</v>
      </c>
    </row>
    <row r="155" spans="2:3" x14ac:dyDescent="0.25">
      <c r="B155" s="8" t="s">
        <v>67</v>
      </c>
      <c r="C155" s="7">
        <v>1</v>
      </c>
    </row>
    <row r="156" spans="2:3" x14ac:dyDescent="0.25">
      <c r="B156" s="8" t="s">
        <v>69</v>
      </c>
      <c r="C156" s="7">
        <v>3</v>
      </c>
    </row>
    <row r="157" spans="2:3" x14ac:dyDescent="0.25">
      <c r="B157" s="8" t="s">
        <v>6</v>
      </c>
      <c r="C157" s="7">
        <v>2</v>
      </c>
    </row>
    <row r="158" spans="2:3" x14ac:dyDescent="0.25">
      <c r="B158" s="8" t="s">
        <v>70</v>
      </c>
      <c r="C158" s="7">
        <v>2</v>
      </c>
    </row>
    <row r="159" spans="2:3" x14ac:dyDescent="0.25">
      <c r="B159" s="8" t="s">
        <v>71</v>
      </c>
      <c r="C159" s="7">
        <v>4</v>
      </c>
    </row>
    <row r="160" spans="2:3" x14ac:dyDescent="0.25">
      <c r="B160" s="6" t="s">
        <v>49</v>
      </c>
      <c r="C160" s="7">
        <v>15</v>
      </c>
    </row>
  </sheetData>
  <mergeCells count="12">
    <mergeCell ref="D35:D39"/>
    <mergeCell ref="B35:C39"/>
    <mergeCell ref="A1:R2"/>
    <mergeCell ref="B11:C18"/>
    <mergeCell ref="D11:D18"/>
    <mergeCell ref="B21:C25"/>
    <mergeCell ref="E3:G4"/>
    <mergeCell ref="D21:D25"/>
    <mergeCell ref="B4:C8"/>
    <mergeCell ref="D4:D8"/>
    <mergeCell ref="B28:C32"/>
    <mergeCell ref="D28:D32"/>
  </mergeCells>
  <pageMargins left="0.7" right="0.7" top="0.75" bottom="0.75" header="0.3" footer="0.3"/>
  <pageSetup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5FFE-6946-4679-96EA-7CB1D4BD637C}">
  <dimension ref="A1:O14"/>
  <sheetViews>
    <sheetView topLeftCell="E1" workbookViewId="0">
      <selection activeCell="J14" sqref="J14"/>
    </sheetView>
  </sheetViews>
  <sheetFormatPr defaultRowHeight="15" x14ac:dyDescent="0.25"/>
  <cols>
    <col min="1" max="1" width="14.5703125" customWidth="1"/>
    <col min="2" max="2" width="15.140625" customWidth="1"/>
    <col min="3" max="3" width="18.85546875" customWidth="1"/>
    <col min="4" max="4" width="17.85546875" customWidth="1"/>
    <col min="5" max="6" width="19.7109375" customWidth="1"/>
    <col min="7" max="7" width="15.5703125" customWidth="1"/>
    <col min="8" max="8" width="17.42578125" customWidth="1"/>
    <col min="9" max="9" width="20.7109375" customWidth="1"/>
    <col min="10" max="10" width="16.85546875" customWidth="1"/>
    <col min="11" max="11" width="16.5703125" customWidth="1"/>
    <col min="12" max="12" width="15.42578125" customWidth="1"/>
    <col min="13" max="13" width="13.85546875" customWidth="1"/>
    <col min="14" max="14" width="16" customWidth="1"/>
    <col min="15" max="15" width="15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74</v>
      </c>
      <c r="E1" s="1" t="s">
        <v>3</v>
      </c>
      <c r="F1" s="1" t="s">
        <v>47</v>
      </c>
      <c r="G1" s="1" t="s">
        <v>75</v>
      </c>
      <c r="H1" s="1" t="s">
        <v>4</v>
      </c>
      <c r="I1" s="1" t="s">
        <v>46</v>
      </c>
      <c r="J1" s="1" t="s">
        <v>73</v>
      </c>
      <c r="K1" s="1" t="s">
        <v>5</v>
      </c>
      <c r="L1" s="1" t="s">
        <v>81</v>
      </c>
      <c r="M1" s="1" t="s">
        <v>7</v>
      </c>
      <c r="N1" s="1" t="s">
        <v>77</v>
      </c>
      <c r="O1" s="1" t="s">
        <v>45</v>
      </c>
    </row>
    <row r="2" spans="1:15" ht="30" x14ac:dyDescent="0.25">
      <c r="A2" s="2" t="s">
        <v>8</v>
      </c>
      <c r="B2" s="2" t="s">
        <v>9</v>
      </c>
      <c r="C2" s="2" t="s">
        <v>10</v>
      </c>
      <c r="D2" s="3">
        <v>46023</v>
      </c>
      <c r="E2" s="3">
        <v>46027</v>
      </c>
      <c r="F2" s="4">
        <f>Table1[[#This Row],[Planned End]]-Table1[[#This Row],[Planned Start]]</f>
        <v>4</v>
      </c>
      <c r="G2" s="3">
        <v>46023</v>
      </c>
      <c r="H2" s="3">
        <v>46027</v>
      </c>
      <c r="I2" s="4">
        <f>Table1[[#This Row],[Actual End]]-Table1[[#This Row],[Actual Start]]</f>
        <v>4</v>
      </c>
      <c r="J2" s="2">
        <v>5</v>
      </c>
      <c r="K2" s="16">
        <f ca="1">IF(AND(G2="",H2=""),0,
 IF(AND(G2&lt;&gt;"",H2=""),
  MIN((TODAY()-G2+1)/F2,1),
  1))</f>
        <v>1</v>
      </c>
      <c r="L2" s="2" t="s">
        <v>12</v>
      </c>
      <c r="M2" s="2" t="s">
        <v>13</v>
      </c>
      <c r="N2" s="2" t="str">
        <f>IF(AND(G2="",H2=""),"Not Started",
 IF(AND(G2&lt;&gt;"",H2=""),"In Progress",
 IF(H2&lt;=E2,"Completed",
 "Delayed")))</f>
        <v>Completed</v>
      </c>
      <c r="O2" s="2">
        <f>IF(Table1[[#This Row],[Actual Days]]&gt;Table1[[#This Row],[Planned Days]],Table1[[#This Row],[Actual Days]]-Table1[[#This Row],[Planned Days]],0)</f>
        <v>0</v>
      </c>
    </row>
    <row r="3" spans="1:15" x14ac:dyDescent="0.25">
      <c r="A3" s="2" t="s">
        <v>14</v>
      </c>
      <c r="B3" s="2" t="s">
        <v>15</v>
      </c>
      <c r="C3" s="2" t="s">
        <v>16</v>
      </c>
      <c r="D3" s="3">
        <v>46028</v>
      </c>
      <c r="E3" s="3">
        <v>46037</v>
      </c>
      <c r="F3" s="4">
        <f>Table1[[#This Row],[Planned End]]-Table1[[#This Row],[Planned Start]]</f>
        <v>9</v>
      </c>
      <c r="G3" s="3">
        <v>46029</v>
      </c>
      <c r="H3" s="3">
        <v>46039</v>
      </c>
      <c r="I3" s="4">
        <f>Table1[[#This Row],[Actual End]]-Table1[[#This Row],[Actual Start]]</f>
        <v>10</v>
      </c>
      <c r="J3" s="2">
        <v>5</v>
      </c>
      <c r="K3" s="16">
        <f t="shared" ref="K3:K11" ca="1" si="0">IF(AND(G3="",H3=""),0,
 IF(AND(G3&lt;&gt;"",H3=""),
  MIN((TODAY()-G3+1)/F3,1),
  1))</f>
        <v>1</v>
      </c>
      <c r="L3" s="2" t="s">
        <v>12</v>
      </c>
      <c r="M3" s="2" t="s">
        <v>13</v>
      </c>
      <c r="N3" s="2" t="str">
        <f t="shared" ref="N3:N11" si="1">IF(AND(G3="",H3=""),"Not Started",
 IF(AND(G3&lt;&gt;"",H3=""),"In Progress",
 IF(H3&lt;=E3,"Completed",
 "Delayed")))</f>
        <v>Delayed</v>
      </c>
      <c r="O3" s="2">
        <f>IF(Table1[[#This Row],[Actual Days]]&gt;Table1[[#This Row],[Planned Days]],Table1[[#This Row],[Actual Days]]-Table1[[#This Row],[Planned Days]],0)</f>
        <v>1</v>
      </c>
    </row>
    <row r="4" spans="1:15" x14ac:dyDescent="0.25">
      <c r="A4" s="2" t="s">
        <v>17</v>
      </c>
      <c r="B4" s="2" t="s">
        <v>18</v>
      </c>
      <c r="C4" s="2" t="s">
        <v>19</v>
      </c>
      <c r="D4" s="3">
        <v>46038</v>
      </c>
      <c r="E4" s="3">
        <v>46042</v>
      </c>
      <c r="F4" s="4">
        <f>Table1[[#This Row],[Planned End]]-Table1[[#This Row],[Planned Start]]</f>
        <v>4</v>
      </c>
      <c r="G4" s="3">
        <v>46038</v>
      </c>
      <c r="H4" s="3">
        <v>46042</v>
      </c>
      <c r="I4" s="4">
        <f>Table1[[#This Row],[Actual End]]-Table1[[#This Row],[Actual Start]]</f>
        <v>4</v>
      </c>
      <c r="J4" s="2">
        <v>5</v>
      </c>
      <c r="K4" s="16">
        <f t="shared" ca="1" si="0"/>
        <v>1</v>
      </c>
      <c r="L4" s="2" t="s">
        <v>20</v>
      </c>
      <c r="M4" s="2" t="s">
        <v>13</v>
      </c>
      <c r="N4" s="2" t="str">
        <f t="shared" si="1"/>
        <v>Completed</v>
      </c>
      <c r="O4" s="2">
        <f>IF(Table1[[#This Row],[Actual Days]]&gt;Table1[[#This Row],[Planned Days]],Table1[[#This Row],[Actual Days]]-Table1[[#This Row],[Planned Days]],0)</f>
        <v>0</v>
      </c>
    </row>
    <row r="5" spans="1:15" x14ac:dyDescent="0.25">
      <c r="A5" s="2" t="s">
        <v>21</v>
      </c>
      <c r="B5" s="2" t="s">
        <v>18</v>
      </c>
      <c r="C5" s="2" t="s">
        <v>22</v>
      </c>
      <c r="D5" s="3">
        <v>46043</v>
      </c>
      <c r="E5" s="3">
        <v>46052</v>
      </c>
      <c r="F5" s="4">
        <f>Table1[[#This Row],[Planned End]]-Table1[[#This Row],[Planned Start]]</f>
        <v>9</v>
      </c>
      <c r="G5" s="3">
        <v>46043</v>
      </c>
      <c r="H5" s="3">
        <v>46055</v>
      </c>
      <c r="I5" s="4">
        <f>Table1[[#This Row],[Actual End]]-Table1[[#This Row],[Actual Start]]</f>
        <v>12</v>
      </c>
      <c r="J5" s="2">
        <v>10</v>
      </c>
      <c r="K5" s="16">
        <f t="shared" ca="1" si="0"/>
        <v>1</v>
      </c>
      <c r="L5" s="2" t="s">
        <v>20</v>
      </c>
      <c r="M5" s="2" t="s">
        <v>23</v>
      </c>
      <c r="N5" s="2" t="str">
        <f t="shared" si="1"/>
        <v>Delayed</v>
      </c>
      <c r="O5" s="2">
        <f>IF(Table1[[#This Row],[Actual Days]]&gt;Table1[[#This Row],[Planned Days]],Table1[[#This Row],[Actual Days]]-Table1[[#This Row],[Planned Days]],0)</f>
        <v>3</v>
      </c>
    </row>
    <row r="6" spans="1:15" x14ac:dyDescent="0.25">
      <c r="A6" s="2" t="s">
        <v>24</v>
      </c>
      <c r="B6" s="2" t="s">
        <v>25</v>
      </c>
      <c r="C6" s="2" t="s">
        <v>26</v>
      </c>
      <c r="D6" s="3">
        <v>46054</v>
      </c>
      <c r="E6" s="3">
        <v>46063</v>
      </c>
      <c r="F6" s="4">
        <f>Table1[[#This Row],[Planned End]]-Table1[[#This Row],[Planned Start]]</f>
        <v>9</v>
      </c>
      <c r="G6" s="3">
        <v>46054</v>
      </c>
      <c r="H6" s="3">
        <v>46093</v>
      </c>
      <c r="I6" s="4">
        <f>Table1[[#This Row],[Actual End]]-Table1[[#This Row],[Actual Start]]</f>
        <v>39</v>
      </c>
      <c r="J6" s="2">
        <v>15</v>
      </c>
      <c r="K6" s="16">
        <f t="shared" ca="1" si="0"/>
        <v>1</v>
      </c>
      <c r="L6" s="2" t="s">
        <v>20</v>
      </c>
      <c r="M6" s="2" t="s">
        <v>23</v>
      </c>
      <c r="N6" s="2" t="str">
        <f t="shared" si="1"/>
        <v>Delayed</v>
      </c>
      <c r="O6" s="2">
        <f>IF(Table1[[#This Row],[Actual Days]]&gt;Table1[[#This Row],[Planned Days]],Table1[[#This Row],[Actual Days]]-Table1[[#This Row],[Planned Days]],0)</f>
        <v>30</v>
      </c>
    </row>
    <row r="7" spans="1:15" x14ac:dyDescent="0.25">
      <c r="A7" s="2" t="s">
        <v>28</v>
      </c>
      <c r="B7" s="2" t="s">
        <v>25</v>
      </c>
      <c r="C7" s="2" t="s">
        <v>29</v>
      </c>
      <c r="D7" s="3">
        <v>46064</v>
      </c>
      <c r="E7" s="3">
        <v>46073</v>
      </c>
      <c r="F7" s="4">
        <f>Table1[[#This Row],[Planned End]]-Table1[[#This Row],[Planned Start]]</f>
        <v>9</v>
      </c>
      <c r="G7" s="3">
        <v>46064</v>
      </c>
      <c r="H7" s="3">
        <v>46094</v>
      </c>
      <c r="I7" s="4">
        <f>Table1[[#This Row],[Actual End]]-Table1[[#This Row],[Actual Start]]</f>
        <v>30</v>
      </c>
      <c r="J7" s="2">
        <v>15</v>
      </c>
      <c r="K7" s="16">
        <f t="shared" ca="1" si="0"/>
        <v>1</v>
      </c>
      <c r="L7" s="2" t="s">
        <v>30</v>
      </c>
      <c r="M7" s="2" t="s">
        <v>23</v>
      </c>
      <c r="N7" s="2" t="str">
        <f t="shared" si="1"/>
        <v>Delayed</v>
      </c>
      <c r="O7" s="2">
        <f>IF(Table1[[#This Row],[Actual Days]]&gt;Table1[[#This Row],[Planned Days]],Table1[[#This Row],[Actual Days]]-Table1[[#This Row],[Planned Days]],0)</f>
        <v>21</v>
      </c>
    </row>
    <row r="8" spans="1:15" x14ac:dyDescent="0.25">
      <c r="A8" s="2" t="s">
        <v>31</v>
      </c>
      <c r="B8" s="2" t="s">
        <v>32</v>
      </c>
      <c r="C8" s="2" t="s">
        <v>33</v>
      </c>
      <c r="D8" s="3">
        <v>46074</v>
      </c>
      <c r="E8" s="3">
        <v>46086</v>
      </c>
      <c r="F8" s="4">
        <v>30</v>
      </c>
      <c r="G8" s="3">
        <v>46030</v>
      </c>
      <c r="H8" s="3"/>
      <c r="I8" s="4">
        <v>0</v>
      </c>
      <c r="J8" s="2">
        <v>15</v>
      </c>
      <c r="K8" s="16">
        <f t="shared" ca="1" si="0"/>
        <v>0.7</v>
      </c>
      <c r="L8" s="2" t="s">
        <v>30</v>
      </c>
      <c r="M8" s="2" t="s">
        <v>34</v>
      </c>
      <c r="N8" s="2" t="str">
        <f t="shared" si="1"/>
        <v>In Progress</v>
      </c>
      <c r="O8" s="2">
        <f>IF(Table1[[#This Row],[Actual Days]]&gt;Table1[[#This Row],[Planned Days]],Table1[[#This Row],[Actual Days]]-Table1[[#This Row],[Planned Days]],0)</f>
        <v>0</v>
      </c>
    </row>
    <row r="9" spans="1:15" x14ac:dyDescent="0.25">
      <c r="A9" s="2" t="s">
        <v>35</v>
      </c>
      <c r="B9" s="2" t="s">
        <v>36</v>
      </c>
      <c r="C9" s="2" t="s">
        <v>37</v>
      </c>
      <c r="D9" s="3">
        <v>46087</v>
      </c>
      <c r="E9" s="3">
        <v>46101</v>
      </c>
      <c r="F9" s="4">
        <f>Table1[[#This Row],[Planned End]]-Table1[[#This Row],[Planned Start]]</f>
        <v>14</v>
      </c>
      <c r="G9" s="3">
        <v>8</v>
      </c>
      <c r="H9" s="3"/>
      <c r="I9" s="4">
        <f>Table1[[#This Row],[Actual End]]-Table1[[#This Row],[Actual Start]]</f>
        <v>-8</v>
      </c>
      <c r="J9" s="2">
        <v>10</v>
      </c>
      <c r="K9" s="16">
        <v>0.2</v>
      </c>
      <c r="L9" s="2" t="s">
        <v>30</v>
      </c>
      <c r="M9" s="2" t="s">
        <v>34</v>
      </c>
      <c r="N9" s="2" t="str">
        <f t="shared" si="1"/>
        <v>In Progress</v>
      </c>
      <c r="O9" s="2">
        <f>IF(Table1[[#This Row],[Actual Days]]&gt;Table1[[#This Row],[Planned Days]],Table1[[#This Row],[Actual Days]]-Table1[[#This Row],[Planned Days]],0)</f>
        <v>0</v>
      </c>
    </row>
    <row r="10" spans="1:15" x14ac:dyDescent="0.25">
      <c r="A10" s="2" t="s">
        <v>39</v>
      </c>
      <c r="B10" s="2" t="s">
        <v>36</v>
      </c>
      <c r="C10" s="2" t="s">
        <v>40</v>
      </c>
      <c r="D10" s="3">
        <v>46102</v>
      </c>
      <c r="E10" s="3">
        <v>46117</v>
      </c>
      <c r="F10" s="4">
        <f>Table1[[#This Row],[Planned End]]-Table1[[#This Row],[Planned Start]]</f>
        <v>15</v>
      </c>
      <c r="G10" s="3"/>
      <c r="H10" s="3"/>
      <c r="I10" s="4">
        <f>Table1[[#This Row],[Actual End]]-Table1[[#This Row],[Actual Start]]</f>
        <v>0</v>
      </c>
      <c r="J10" s="2">
        <v>10</v>
      </c>
      <c r="K10" s="16">
        <f t="shared" ca="1" si="0"/>
        <v>0</v>
      </c>
      <c r="L10" s="2" t="s">
        <v>41</v>
      </c>
      <c r="M10" s="2" t="s">
        <v>34</v>
      </c>
      <c r="N10" s="2" t="str">
        <f t="shared" si="1"/>
        <v>Not Started</v>
      </c>
      <c r="O10" s="2">
        <f>IF(Table1[[#This Row],[Actual Days]]&gt;Table1[[#This Row],[Planned Days]],Table1[[#This Row],[Actual Days]]-Table1[[#This Row],[Planned Days]],0)</f>
        <v>0</v>
      </c>
    </row>
    <row r="11" spans="1:15" x14ac:dyDescent="0.25">
      <c r="A11" s="2" t="s">
        <v>42</v>
      </c>
      <c r="B11" s="2" t="s">
        <v>43</v>
      </c>
      <c r="C11" s="2" t="s">
        <v>44</v>
      </c>
      <c r="D11" s="3">
        <v>46118</v>
      </c>
      <c r="E11" s="3">
        <v>46122</v>
      </c>
      <c r="F11" s="4">
        <f>Table1[[#This Row],[Planned End]]-Table1[[#This Row],[Planned Start]]</f>
        <v>4</v>
      </c>
      <c r="G11" s="3"/>
      <c r="H11" s="3"/>
      <c r="I11" s="4"/>
      <c r="J11" s="2">
        <v>10</v>
      </c>
      <c r="K11" s="16">
        <f t="shared" ca="1" si="0"/>
        <v>0</v>
      </c>
      <c r="L11" s="2" t="s">
        <v>41</v>
      </c>
      <c r="M11" s="2" t="s">
        <v>34</v>
      </c>
      <c r="N11" s="2" t="str">
        <f t="shared" si="1"/>
        <v>Not Started</v>
      </c>
      <c r="O11" s="2">
        <f>IF(Table1[[#This Row],[Actual Days]]&gt;Table1[[#This Row],[Planned Days]],Table1[[#This Row],[Actual Days]]-Table1[[#This Row],[Planned Days]],0)</f>
        <v>0</v>
      </c>
    </row>
    <row r="12" spans="1:15" x14ac:dyDescent="0.25">
      <c r="A12" s="2"/>
      <c r="B12" s="2"/>
      <c r="C12" s="2"/>
      <c r="D12" s="3"/>
      <c r="E12" s="3"/>
      <c r="F12" s="4"/>
      <c r="G12" s="3"/>
      <c r="H12" s="2"/>
      <c r="I12" s="4"/>
      <c r="J12" s="2"/>
      <c r="K12" s="2"/>
      <c r="L12" s="2"/>
      <c r="M12" s="2"/>
      <c r="N12" s="18">
        <f ca="1">COUNTIF(N:N,N7)</f>
        <v>0</v>
      </c>
      <c r="O12" s="18"/>
    </row>
    <row r="14" spans="1:15" x14ac:dyDescent="0.25">
      <c r="B14">
        <f>COUNTA(A2:A11)</f>
        <v>10</v>
      </c>
      <c r="J14" s="17">
        <f ca="1">SUMPRODUCT(J2:J11, K2:K11) / 100</f>
        <v>0.67500000000000004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B586-0C63-4685-8408-81B4D6E2C96F}">
  <dimension ref="E8:F13"/>
  <sheetViews>
    <sheetView workbookViewId="0">
      <selection activeCell="E9" sqref="E9"/>
    </sheetView>
  </sheetViews>
  <sheetFormatPr defaultRowHeight="15" x14ac:dyDescent="0.25"/>
  <cols>
    <col min="5" max="5" width="13.140625" bestFit="1" customWidth="1"/>
    <col min="6" max="6" width="13.5703125" bestFit="1" customWidth="1"/>
    <col min="7" max="7" width="10.140625" bestFit="1" customWidth="1"/>
    <col min="8" max="8" width="10.85546875" bestFit="1" customWidth="1"/>
    <col min="9" max="9" width="8.140625" bestFit="1" customWidth="1"/>
    <col min="10" max="10" width="11.28515625" bestFit="1" customWidth="1"/>
  </cols>
  <sheetData>
    <row r="8" spans="5:6" x14ac:dyDescent="0.25">
      <c r="E8" s="5" t="s">
        <v>48</v>
      </c>
      <c r="F8" t="s">
        <v>50</v>
      </c>
    </row>
    <row r="9" spans="5:6" x14ac:dyDescent="0.25">
      <c r="E9" s="6" t="s">
        <v>12</v>
      </c>
      <c r="F9" s="7">
        <v>1</v>
      </c>
    </row>
    <row r="10" spans="5:6" x14ac:dyDescent="0.25">
      <c r="E10" s="6" t="s">
        <v>30</v>
      </c>
      <c r="F10" s="7">
        <v>21</v>
      </c>
    </row>
    <row r="11" spans="5:6" x14ac:dyDescent="0.25">
      <c r="E11" s="6" t="s">
        <v>41</v>
      </c>
      <c r="F11" s="7">
        <v>0</v>
      </c>
    </row>
    <row r="12" spans="5:6" x14ac:dyDescent="0.25">
      <c r="E12" s="6" t="s">
        <v>20</v>
      </c>
      <c r="F12" s="7">
        <v>33</v>
      </c>
    </row>
    <row r="13" spans="5:6" x14ac:dyDescent="0.25">
      <c r="E13" s="6" t="s">
        <v>49</v>
      </c>
      <c r="F13" s="7">
        <v>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5644-BBD3-421A-813C-4C8F7D2CDC89}">
  <dimension ref="G15:H22"/>
  <sheetViews>
    <sheetView topLeftCell="A4" workbookViewId="0">
      <selection activeCell="H17" sqref="H17"/>
    </sheetView>
  </sheetViews>
  <sheetFormatPr defaultRowHeight="15" x14ac:dyDescent="0.25"/>
  <cols>
    <col min="7" max="7" width="11.28515625" bestFit="1" customWidth="1"/>
    <col min="8" max="8" width="20.7109375" bestFit="1" customWidth="1"/>
    <col min="9" max="9" width="11.7109375" bestFit="1" customWidth="1"/>
    <col min="10" max="10" width="15.85546875" bestFit="1" customWidth="1"/>
    <col min="11" max="11" width="15.140625" bestFit="1" customWidth="1"/>
    <col min="12" max="12" width="8.5703125" bestFit="1" customWidth="1"/>
    <col min="13" max="13" width="11.5703125" bestFit="1" customWidth="1"/>
    <col min="14" max="14" width="9.7109375" bestFit="1" customWidth="1"/>
    <col min="15" max="15" width="9.85546875" bestFit="1" customWidth="1"/>
    <col min="16" max="16" width="16.28515625" bestFit="1" customWidth="1"/>
    <col min="17" max="17" width="11.5703125" bestFit="1" customWidth="1"/>
    <col min="18" max="18" width="11.28515625" bestFit="1" customWidth="1"/>
  </cols>
  <sheetData>
    <row r="15" spans="7:8" x14ac:dyDescent="0.25">
      <c r="G15" s="5"/>
      <c r="H15" s="5"/>
    </row>
    <row r="17" spans="7:8" x14ac:dyDescent="0.25">
      <c r="G17" s="5" t="s">
        <v>51</v>
      </c>
      <c r="H17" t="s">
        <v>52</v>
      </c>
    </row>
    <row r="18" spans="7:8" x14ac:dyDescent="0.25">
      <c r="G18" s="6" t="s">
        <v>11</v>
      </c>
      <c r="H18" s="7">
        <v>2</v>
      </c>
    </row>
    <row r="19" spans="7:8" x14ac:dyDescent="0.25">
      <c r="G19" s="6" t="s">
        <v>78</v>
      </c>
      <c r="H19" s="7">
        <v>4</v>
      </c>
    </row>
    <row r="20" spans="7:8" x14ac:dyDescent="0.25">
      <c r="G20" s="6" t="s">
        <v>27</v>
      </c>
      <c r="H20" s="7">
        <v>2</v>
      </c>
    </row>
    <row r="21" spans="7:8" x14ac:dyDescent="0.25">
      <c r="G21" s="6" t="s">
        <v>38</v>
      </c>
      <c r="H21" s="7">
        <v>2</v>
      </c>
    </row>
    <row r="22" spans="7:8" x14ac:dyDescent="0.25">
      <c r="G22" s="6" t="s">
        <v>49</v>
      </c>
      <c r="H22" s="7">
        <v>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4C0F-D16D-41F9-8005-D89717CE8E91}">
  <dimension ref="H9:I17"/>
  <sheetViews>
    <sheetView workbookViewId="0">
      <selection activeCell="J11" sqref="J11"/>
    </sheetView>
  </sheetViews>
  <sheetFormatPr defaultRowHeight="15" x14ac:dyDescent="0.25"/>
  <cols>
    <col min="8" max="8" width="16.140625" bestFit="1" customWidth="1"/>
    <col min="9" max="9" width="22.140625" bestFit="1" customWidth="1"/>
  </cols>
  <sheetData>
    <row r="9" spans="8:9" x14ac:dyDescent="0.25">
      <c r="H9" s="5" t="s">
        <v>48</v>
      </c>
      <c r="I9" t="s">
        <v>53</v>
      </c>
    </row>
    <row r="10" spans="8:9" x14ac:dyDescent="0.25">
      <c r="H10" s="6" t="s">
        <v>9</v>
      </c>
      <c r="I10" s="17">
        <v>1</v>
      </c>
    </row>
    <row r="11" spans="8:9" x14ac:dyDescent="0.25">
      <c r="H11" s="6" t="s">
        <v>15</v>
      </c>
      <c r="I11" s="17">
        <v>1</v>
      </c>
    </row>
    <row r="12" spans="8:9" x14ac:dyDescent="0.25">
      <c r="H12" s="6" t="s">
        <v>18</v>
      </c>
      <c r="I12" s="17">
        <v>1</v>
      </c>
    </row>
    <row r="13" spans="8:9" x14ac:dyDescent="0.25">
      <c r="H13" s="6" t="s">
        <v>25</v>
      </c>
      <c r="I13" s="17">
        <v>1</v>
      </c>
    </row>
    <row r="14" spans="8:9" x14ac:dyDescent="0.25">
      <c r="H14" s="6" t="s">
        <v>32</v>
      </c>
      <c r="I14" s="17">
        <v>0.7</v>
      </c>
    </row>
    <row r="15" spans="8:9" x14ac:dyDescent="0.25">
      <c r="H15" s="6" t="s">
        <v>36</v>
      </c>
      <c r="I15" s="17">
        <v>0.5</v>
      </c>
    </row>
    <row r="16" spans="8:9" x14ac:dyDescent="0.25">
      <c r="H16" s="6" t="s">
        <v>43</v>
      </c>
      <c r="I16" s="17">
        <v>0</v>
      </c>
    </row>
    <row r="17" spans="8:9" x14ac:dyDescent="0.25">
      <c r="H17" s="6" t="s">
        <v>49</v>
      </c>
      <c r="I17" s="17">
        <v>0.77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5F2A-AC2E-4B39-8332-0E2507F395BD}">
  <dimension ref="F6:G17"/>
  <sheetViews>
    <sheetView workbookViewId="0">
      <selection activeCell="G9" sqref="G9"/>
    </sheetView>
  </sheetViews>
  <sheetFormatPr defaultRowHeight="15" x14ac:dyDescent="0.25"/>
  <cols>
    <col min="6" max="6" width="16.140625" bestFit="1" customWidth="1"/>
    <col min="7" max="7" width="13.5703125" bestFit="1" customWidth="1"/>
  </cols>
  <sheetData>
    <row r="6" spans="6:7" x14ac:dyDescent="0.25">
      <c r="F6" s="5" t="s">
        <v>48</v>
      </c>
      <c r="G6" t="s">
        <v>50</v>
      </c>
    </row>
    <row r="7" spans="6:7" x14ac:dyDescent="0.25">
      <c r="F7" s="6" t="s">
        <v>33</v>
      </c>
      <c r="G7" s="7">
        <v>0</v>
      </c>
    </row>
    <row r="8" spans="6:7" x14ac:dyDescent="0.25">
      <c r="F8" s="6" t="s">
        <v>26</v>
      </c>
      <c r="G8" s="7">
        <v>30</v>
      </c>
    </row>
    <row r="9" spans="6:7" x14ac:dyDescent="0.25">
      <c r="F9" s="6" t="s">
        <v>16</v>
      </c>
      <c r="G9" s="7">
        <v>1</v>
      </c>
    </row>
    <row r="10" spans="6:7" x14ac:dyDescent="0.25">
      <c r="F10" s="6" t="s">
        <v>44</v>
      </c>
      <c r="G10" s="7">
        <v>0</v>
      </c>
    </row>
    <row r="11" spans="6:7" x14ac:dyDescent="0.25">
      <c r="F11" s="6" t="s">
        <v>40</v>
      </c>
      <c r="G11" s="7">
        <v>0</v>
      </c>
    </row>
    <row r="12" spans="6:7" x14ac:dyDescent="0.25">
      <c r="F12" s="6" t="s">
        <v>22</v>
      </c>
      <c r="G12" s="7">
        <v>3</v>
      </c>
    </row>
    <row r="13" spans="6:7" x14ac:dyDescent="0.25">
      <c r="F13" s="6" t="s">
        <v>19</v>
      </c>
      <c r="G13" s="7">
        <v>0</v>
      </c>
    </row>
    <row r="14" spans="6:7" x14ac:dyDescent="0.25">
      <c r="F14" s="6" t="s">
        <v>37</v>
      </c>
      <c r="G14" s="7">
        <v>0</v>
      </c>
    </row>
    <row r="15" spans="6:7" x14ac:dyDescent="0.25">
      <c r="F15" s="6" t="s">
        <v>10</v>
      </c>
      <c r="G15" s="7">
        <v>0</v>
      </c>
    </row>
    <row r="16" spans="6:7" x14ac:dyDescent="0.25">
      <c r="F16" s="6" t="s">
        <v>29</v>
      </c>
      <c r="G16" s="7">
        <v>21</v>
      </c>
    </row>
    <row r="17" spans="6:7" x14ac:dyDescent="0.25">
      <c r="F17" s="6" t="s">
        <v>49</v>
      </c>
      <c r="G17" s="7">
        <v>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Data Input</vt:lpstr>
      <vt:lpstr>Sheet1</vt:lpstr>
      <vt:lpstr>Pivoit Status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SHANIL</dc:creator>
  <cp:lastModifiedBy>SHANIL</cp:lastModifiedBy>
  <dcterms:created xsi:type="dcterms:W3CDTF">2026-01-12T16:00:24Z</dcterms:created>
  <dcterms:modified xsi:type="dcterms:W3CDTF">2026-01-28T16:39:52Z</dcterms:modified>
</cp:coreProperties>
</file>