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Downloads\"/>
    </mc:Choice>
  </mc:AlternateContent>
  <xr:revisionPtr revIDLastSave="0" documentId="13_ncr:1_{322F0BDD-E27C-446E-9A45-326222EF9C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FC" sheetId="4" r:id="rId1"/>
  </sheets>
  <definedNames>
    <definedName name="_xlnm._FilterDatabase" localSheetId="0" hidden="1">GFC!$A$3:$L$24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2" i="4" l="1"/>
  <c r="R32" i="4"/>
  <c r="Q32" i="4"/>
  <c r="P32" i="4"/>
  <c r="O32" i="4"/>
  <c r="N32" i="4"/>
  <c r="M32" i="4" s="1"/>
  <c r="S9" i="4" l="1"/>
  <c r="R9" i="4"/>
  <c r="Q9" i="4"/>
  <c r="P9" i="4"/>
  <c r="O9" i="4"/>
  <c r="N9" i="4"/>
  <c r="M9" i="4" l="1"/>
  <c r="S12" i="4" l="1"/>
  <c r="R12" i="4"/>
  <c r="Q12" i="4"/>
  <c r="P12" i="4"/>
  <c r="O12" i="4"/>
  <c r="N12" i="4"/>
  <c r="M12" i="4" l="1"/>
  <c r="S5" i="4"/>
  <c r="R5" i="4"/>
  <c r="Q5" i="4"/>
  <c r="P5" i="4"/>
  <c r="O5" i="4"/>
  <c r="N5" i="4"/>
  <c r="R7" i="4"/>
  <c r="S7" i="4"/>
  <c r="R8" i="4"/>
  <c r="S8" i="4"/>
  <c r="R10" i="4"/>
  <c r="S10" i="4"/>
  <c r="R11" i="4"/>
  <c r="S11" i="4"/>
  <c r="R13" i="4"/>
  <c r="S13" i="4"/>
  <c r="R14" i="4"/>
  <c r="S14" i="4"/>
  <c r="R15" i="4"/>
  <c r="S15" i="4"/>
  <c r="R16" i="4"/>
  <c r="S16" i="4"/>
  <c r="R17" i="4"/>
  <c r="S17" i="4"/>
  <c r="R18" i="4"/>
  <c r="S18" i="4"/>
  <c r="R19" i="4"/>
  <c r="S19" i="4"/>
  <c r="R20" i="4"/>
  <c r="S20" i="4"/>
  <c r="R21" i="4"/>
  <c r="S21" i="4"/>
  <c r="R22" i="4"/>
  <c r="S22" i="4"/>
  <c r="R23" i="4"/>
  <c r="S23" i="4"/>
  <c r="R24" i="4"/>
  <c r="S24" i="4"/>
  <c r="R25" i="4"/>
  <c r="S25" i="4"/>
  <c r="R26" i="4"/>
  <c r="S26" i="4"/>
  <c r="R27" i="4"/>
  <c r="S27" i="4"/>
  <c r="R28" i="4"/>
  <c r="S28" i="4"/>
  <c r="R29" i="4"/>
  <c r="S29" i="4"/>
  <c r="R30" i="4"/>
  <c r="S30" i="4"/>
  <c r="R31" i="4"/>
  <c r="S31" i="4"/>
  <c r="R33" i="4"/>
  <c r="S33" i="4"/>
  <c r="R34" i="4"/>
  <c r="S34" i="4"/>
  <c r="R35" i="4"/>
  <c r="S35" i="4"/>
  <c r="R36" i="4"/>
  <c r="S36" i="4"/>
  <c r="R37" i="4"/>
  <c r="S37" i="4"/>
  <c r="R38" i="4"/>
  <c r="S38" i="4"/>
  <c r="R39" i="4"/>
  <c r="S39" i="4"/>
  <c r="R40" i="4"/>
  <c r="S40" i="4"/>
  <c r="R41" i="4"/>
  <c r="S41" i="4"/>
  <c r="R42" i="4"/>
  <c r="S42" i="4"/>
  <c r="R43" i="4"/>
  <c r="S43" i="4"/>
  <c r="Q7" i="4"/>
  <c r="Q8" i="4"/>
  <c r="Q10" i="4"/>
  <c r="Q11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3" i="4"/>
  <c r="Q34" i="4"/>
  <c r="Q35" i="4"/>
  <c r="Q36" i="4"/>
  <c r="Q37" i="4"/>
  <c r="Q38" i="4"/>
  <c r="Q39" i="4"/>
  <c r="Q40" i="4"/>
  <c r="Q41" i="4"/>
  <c r="Q42" i="4"/>
  <c r="Q43" i="4"/>
  <c r="P7" i="4"/>
  <c r="P8" i="4"/>
  <c r="P10" i="4"/>
  <c r="P11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3" i="4"/>
  <c r="P34" i="4"/>
  <c r="P35" i="4"/>
  <c r="P36" i="4"/>
  <c r="P37" i="4"/>
  <c r="P38" i="4"/>
  <c r="P39" i="4"/>
  <c r="P40" i="4"/>
  <c r="P41" i="4"/>
  <c r="P42" i="4"/>
  <c r="P43" i="4"/>
  <c r="O6" i="4"/>
  <c r="O7" i="4"/>
  <c r="O8" i="4"/>
  <c r="O10" i="4"/>
  <c r="O11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3" i="4"/>
  <c r="O34" i="4"/>
  <c r="O35" i="4"/>
  <c r="O36" i="4"/>
  <c r="O37" i="4"/>
  <c r="O38" i="4"/>
  <c r="O39" i="4"/>
  <c r="O40" i="4"/>
  <c r="O41" i="4"/>
  <c r="O42" i="4"/>
  <c r="O43" i="4"/>
  <c r="N7" i="4"/>
  <c r="N8" i="4"/>
  <c r="N10" i="4"/>
  <c r="N11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3" i="4"/>
  <c r="N34" i="4"/>
  <c r="N35" i="4"/>
  <c r="N36" i="4"/>
  <c r="N37" i="4"/>
  <c r="N38" i="4"/>
  <c r="N39" i="4"/>
  <c r="N40" i="4"/>
  <c r="N41" i="4"/>
  <c r="N42" i="4"/>
  <c r="N43" i="4"/>
  <c r="P6" i="4"/>
  <c r="Q6" i="4"/>
  <c r="R6" i="4"/>
  <c r="S6" i="4"/>
  <c r="N6" i="4"/>
  <c r="M33" i="4" l="1"/>
  <c r="S44" i="4"/>
  <c r="R44" i="4"/>
  <c r="M20" i="4"/>
  <c r="M31" i="4"/>
  <c r="P44" i="4"/>
  <c r="B48" i="4" s="1"/>
  <c r="M42" i="4"/>
  <c r="M15" i="4"/>
  <c r="M38" i="4"/>
  <c r="M26" i="4"/>
  <c r="M14" i="4"/>
  <c r="M43" i="4"/>
  <c r="M30" i="4"/>
  <c r="M41" i="4"/>
  <c r="M25" i="4"/>
  <c r="M36" i="4"/>
  <c r="M40" i="4"/>
  <c r="M27" i="4"/>
  <c r="M37" i="4"/>
  <c r="M10" i="4"/>
  <c r="Q44" i="4"/>
  <c r="B49" i="4" s="1"/>
  <c r="M29" i="4"/>
  <c r="M28" i="4"/>
  <c r="M39" i="4"/>
  <c r="M13" i="4"/>
  <c r="M24" i="4"/>
  <c r="M35" i="4"/>
  <c r="M23" i="4"/>
  <c r="M34" i="4"/>
  <c r="M22" i="4"/>
  <c r="M7" i="4"/>
  <c r="M5" i="4"/>
  <c r="N44" i="4"/>
  <c r="B46" i="4" s="1"/>
  <c r="O44" i="4"/>
  <c r="B47" i="4" s="1"/>
  <c r="M19" i="4"/>
  <c r="M6" i="4"/>
  <c r="M11" i="4"/>
  <c r="M16" i="4"/>
  <c r="M17" i="4"/>
  <c r="M18" i="4"/>
  <c r="M21" i="4"/>
  <c r="M8" i="4"/>
  <c r="M44" i="4" l="1"/>
</calcChain>
</file>

<file path=xl/sharedStrings.xml><?xml version="1.0" encoding="utf-8"?>
<sst xmlns="http://schemas.openxmlformats.org/spreadsheetml/2006/main" count="151" uniqueCount="96">
  <si>
    <t>DISCIPLINE</t>
  </si>
  <si>
    <t>BUILDING/AREA</t>
  </si>
  <si>
    <t>TL  No</t>
  </si>
  <si>
    <t>DWG. NO.</t>
  </si>
  <si>
    <t>TITLE</t>
  </si>
  <si>
    <t>R0</t>
  </si>
  <si>
    <t>R1</t>
  </si>
  <si>
    <t>R2</t>
  </si>
  <si>
    <t>R3</t>
  </si>
  <si>
    <t>R4</t>
  </si>
  <si>
    <t>R5</t>
  </si>
  <si>
    <t>TOTAL</t>
  </si>
  <si>
    <t>Summary Of Drawings</t>
  </si>
  <si>
    <t>Total Released Drawings R0</t>
  </si>
  <si>
    <t>Total Released Drawings R1</t>
  </si>
  <si>
    <t>Total Released Drawings R2</t>
  </si>
  <si>
    <t>Total Released Drawings R3</t>
  </si>
  <si>
    <t>Total Released Drawings R4</t>
  </si>
  <si>
    <t>Total Released Drawings R5</t>
  </si>
  <si>
    <t xml:space="preserve">INDORE  : DRAWING REGISTER </t>
  </si>
  <si>
    <t xml:space="preserve">Architectural </t>
  </si>
  <si>
    <t xml:space="preserve">Soil Filling  </t>
  </si>
  <si>
    <t xml:space="preserve">1 , 4 , 7 &amp; 8  </t>
  </si>
  <si>
    <t>C.E.101</t>
  </si>
  <si>
    <t xml:space="preserve"> LAYOUT OF EARTH FILLING</t>
  </si>
  <si>
    <t xml:space="preserve">Compound Wall  </t>
  </si>
  <si>
    <t>2 ,6,14 , 19 , 26</t>
  </si>
  <si>
    <t>AG103</t>
  </si>
  <si>
    <t>COMPOUND WALL LAYOUT / COMPUND WALL ELEVATIONS</t>
  </si>
  <si>
    <t>AG103A</t>
  </si>
  <si>
    <t>COMPOUND WALL DETAIL</t>
  </si>
  <si>
    <t xml:space="preserve">Structural </t>
  </si>
  <si>
    <t>3 , 9 , 21</t>
  </si>
  <si>
    <t xml:space="preserve"> S.G.102</t>
  </si>
  <si>
    <t>FOUNDATION PLAN &amp; DETAIL OF COMPOUND WALL</t>
  </si>
  <si>
    <t>9 , 21</t>
  </si>
  <si>
    <t xml:space="preserve"> S.G.102a </t>
  </si>
  <si>
    <t>OUNDATION PLAN &amp; DETAILS OF COMPOUND WALL 
TYPE-2</t>
  </si>
  <si>
    <t>3 , 12</t>
  </si>
  <si>
    <t xml:space="preserve"> S.G.103</t>
  </si>
  <si>
    <t>5 , 21</t>
  </si>
  <si>
    <t>S.G.104</t>
  </si>
  <si>
    <t>FOUNDATION PLAN &amp; DETAILS OF COMPOUND WALL 
TYPE-1A</t>
  </si>
  <si>
    <t>5, 21</t>
  </si>
  <si>
    <t>S.G.105</t>
  </si>
  <si>
    <t>FOUNDATION PLAN &amp; DETAILS OF COMPOUND WALL 
TYPE-2A</t>
  </si>
  <si>
    <t>S.G.106</t>
  </si>
  <si>
    <t>FOUNDATION PLAN &amp; DETAILS OF COMPOUND WALL 
TYPE-3A</t>
  </si>
  <si>
    <t>S.G.107</t>
  </si>
  <si>
    <t>FOUNDATION PLAN &amp; DETAILS OF COMPOUND WALL 
TYPE-4A</t>
  </si>
  <si>
    <t>5 ,12 ,21</t>
  </si>
  <si>
    <t>S.G.108</t>
  </si>
  <si>
    <t>FOUNDATION PLAN &amp; DETAILS OF COMPOUND WALL 
TYPE-5A</t>
  </si>
  <si>
    <t>5 ,12 , 21</t>
  </si>
  <si>
    <t>S.G.109</t>
  </si>
  <si>
    <t>FOUNDATION PLAN &amp; DETAILS OF COMPOUND WALL 
TYPE-6A</t>
  </si>
  <si>
    <t xml:space="preserve">Approch  Road </t>
  </si>
  <si>
    <t>C.R.101</t>
  </si>
  <si>
    <t>LAYOUT OF ROAD</t>
  </si>
  <si>
    <t xml:space="preserve">Main Factory Building and Admin </t>
  </si>
  <si>
    <t>C.E.102</t>
  </si>
  <si>
    <t>LAYOUT OF EARTH FILLING (FOR MPB &amp; ADMIN AREA)</t>
  </si>
  <si>
    <t>S.1.101</t>
  </si>
  <si>
    <t>EXCAVATION PLAN &amp; PEDESTAL SECTION FOR MAIN PLANT BUILDING</t>
  </si>
  <si>
    <t>14 ,19</t>
  </si>
  <si>
    <t>A.G.103B</t>
  </si>
  <si>
    <t>COMPUND WALL ELEVATIONS</t>
  </si>
  <si>
    <t>A.G.102</t>
  </si>
  <si>
    <t>SETTING OUT</t>
  </si>
  <si>
    <t>15 , 16, 18</t>
  </si>
  <si>
    <t>FOUNDATION PLAN &amp; DETAILS FOR MAIN PLANT BUILDING</t>
  </si>
  <si>
    <t>S.G.101</t>
  </si>
  <si>
    <t>GENERAL NOTES, SPECIFICATION &amp; DETAILS</t>
  </si>
  <si>
    <t xml:space="preserve">Infra </t>
  </si>
  <si>
    <t xml:space="preserve"> S.SK.01</t>
  </si>
  <si>
    <t>FOUNDATION DETAILS FOR  LIGHT POLE</t>
  </si>
  <si>
    <t>Security Building 2</t>
  </si>
  <si>
    <t>A.3.101</t>
  </si>
  <si>
    <t>FLOOR PLANS, SECTIONS, ELEVATIONS &amp; DETAILS</t>
  </si>
  <si>
    <t>23 , 28</t>
  </si>
  <si>
    <t>S.4.101</t>
  </si>
  <si>
    <t>STRU.LAYOUT &amp; DETAILS AT FOUNDATION &amp; PLINTH 
BEAM &amp; TERRACE LVL</t>
  </si>
  <si>
    <t>Infra</t>
  </si>
  <si>
    <t xml:space="preserve">Road </t>
  </si>
  <si>
    <t xml:space="preserve"> LAYOUT OF ROAD LEVELS</t>
  </si>
  <si>
    <t>C.R.101A</t>
  </si>
  <si>
    <t>LAYOUT OF ROAD COORDINATES</t>
  </si>
  <si>
    <t>C.R.102</t>
  </si>
  <si>
    <t>DETAILS OF ROAD SECTION</t>
  </si>
  <si>
    <t>Security</t>
  </si>
  <si>
    <t xml:space="preserve"> A_G_102</t>
  </si>
  <si>
    <t>A.G.103C</t>
  </si>
  <si>
    <t xml:space="preserve">Security Building 1 </t>
  </si>
  <si>
    <t>S.3.101</t>
  </si>
  <si>
    <t>FOUNDATION PLAN &amp; STRUCTURAL DETAILS FOR 
SECURITY CABIN-01</t>
  </si>
  <si>
    <t xml:space="preserve">Drawing Browse (From One Drive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</si>
</sst>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[$-409]d\-mmm\-yy;@"/>
    <numFmt numFmtId="166" formatCode="[$-409]General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17"/>
      <name val="Calibri"/>
      <family val="2"/>
    </font>
    <font>
      <sz val="11"/>
      <color indexed="8"/>
      <name val="Calibri"/>
      <family val="2"/>
    </font>
    <font>
      <sz val="11"/>
      <color indexed="6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4" tint="0.79989013336588644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43"/>
        <bgColor indexed="26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0" fontId="3" fillId="0" borderId="0"/>
    <xf numFmtId="0" fontId="4" fillId="5" borderId="0" applyNumberFormat="0" applyBorder="0" applyAlignment="0" applyProtection="0"/>
    <xf numFmtId="0" fontId="5" fillId="0" borderId="0"/>
    <xf numFmtId="165" fontId="2" fillId="4" borderId="1" applyBorder="0" applyAlignment="0">
      <alignment horizontal="center" vertical="center" wrapText="1"/>
      <protection locked="0"/>
    </xf>
    <xf numFmtId="0" fontId="6" fillId="6" borderId="0" applyNumberFormat="0" applyBorder="0" applyAlignment="0" applyProtection="0"/>
    <xf numFmtId="166" fontId="7" fillId="0" borderId="0"/>
  </cellStyleXfs>
  <cellXfs count="29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15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14" fontId="10" fillId="3" borderId="2" xfId="0" applyNumberFormat="1" applyFont="1" applyFill="1" applyBorder="1" applyAlignment="1">
      <alignment horizontal="center" vertical="center" wrapText="1"/>
    </xf>
    <xf numFmtId="14" fontId="11" fillId="3" borderId="2" xfId="0" applyNumberFormat="1" applyFont="1" applyFill="1" applyBorder="1" applyAlignment="1">
      <alignment horizontal="center" vertical="center" wrapText="1"/>
    </xf>
    <xf numFmtId="164" fontId="11" fillId="3" borderId="2" xfId="0" applyNumberFormat="1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</cellXfs>
  <cellStyles count="8">
    <cellStyle name="Excel Built-in Normal" xfId="7" xr:uid="{00000000-0005-0000-0000-000000000000}"/>
    <cellStyle name="Good 2" xfId="3" xr:uid="{00000000-0005-0000-0000-000001000000}"/>
    <cellStyle name="Neutral 2" xfId="6" xr:uid="{00000000-0005-0000-0000-000002000000}"/>
    <cellStyle name="Normal" xfId="0" builtinId="0"/>
    <cellStyle name="Normal 2" xfId="1" xr:uid="{00000000-0005-0000-0000-000004000000}"/>
    <cellStyle name="Normal 3" xfId="4" xr:uid="{00000000-0005-0000-0000-000005000000}"/>
    <cellStyle name="Normal 4" xfId="2" xr:uid="{00000000-0005-0000-0000-000006000000}"/>
    <cellStyle name="Style 1" xfId="5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51"/>
  <sheetViews>
    <sheetView tabSelected="1" topLeftCell="C1" zoomScale="85" zoomScaleNormal="85" workbookViewId="0">
      <pane ySplit="4" topLeftCell="A5" activePane="bottomLeft" state="frozen"/>
      <selection pane="bottomLeft" activeCell="G10" sqref="G10"/>
    </sheetView>
  </sheetViews>
  <sheetFormatPr defaultColWidth="9.109375" defaultRowHeight="14.4" x14ac:dyDescent="0.3"/>
  <cols>
    <col min="1" max="1" width="24.6640625" style="12" bestFit="1" customWidth="1"/>
    <col min="2" max="2" width="29.109375" style="2" bestFit="1" customWidth="1"/>
    <col min="3" max="3" width="17.88671875" style="12" customWidth="1"/>
    <col min="4" max="4" width="14.109375" style="2" bestFit="1" customWidth="1"/>
    <col min="5" max="5" width="91.5546875" style="18" customWidth="1"/>
    <col min="6" max="6" width="37.6640625" style="18" bestFit="1" customWidth="1"/>
    <col min="7" max="7" width="12.33203125" style="19" bestFit="1" customWidth="1"/>
    <col min="8" max="9" width="11.109375" style="12" bestFit="1" customWidth="1"/>
    <col min="10" max="10" width="12.33203125" style="12" bestFit="1" customWidth="1"/>
    <col min="11" max="11" width="10.6640625" style="12" customWidth="1"/>
    <col min="12" max="12" width="10.6640625" style="2" customWidth="1"/>
    <col min="13" max="17" width="9.109375" style="12" customWidth="1"/>
    <col min="18" max="18" width="7.5546875" style="12" customWidth="1"/>
    <col min="19" max="19" width="8.88671875" style="12" customWidth="1"/>
    <col min="20" max="16384" width="9.109375" style="2"/>
  </cols>
  <sheetData>
    <row r="1" spans="1:19" ht="14.4" customHeight="1" x14ac:dyDescent="0.3">
      <c r="A1" s="24" t="s">
        <v>19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1"/>
      <c r="N1" s="1"/>
      <c r="O1" s="1"/>
      <c r="P1" s="1"/>
      <c r="Q1" s="1"/>
      <c r="R1" s="1"/>
      <c r="S1" s="1"/>
    </row>
    <row r="2" spans="1:19" ht="15" customHeight="1" x14ac:dyDescent="0.3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1"/>
      <c r="N2" s="1"/>
      <c r="O2" s="1"/>
      <c r="P2" s="1"/>
      <c r="Q2" s="1"/>
      <c r="R2" s="1"/>
      <c r="S2" s="1"/>
    </row>
    <row r="3" spans="1:19" s="3" customFormat="1" ht="14.1" customHeight="1" x14ac:dyDescent="0.3">
      <c r="A3" s="25" t="s">
        <v>0</v>
      </c>
      <c r="B3" s="25" t="s">
        <v>1</v>
      </c>
      <c r="C3" s="25" t="s">
        <v>2</v>
      </c>
      <c r="D3" s="26" t="s">
        <v>3</v>
      </c>
      <c r="E3" s="25" t="s">
        <v>4</v>
      </c>
      <c r="F3" s="27" t="s">
        <v>95</v>
      </c>
      <c r="G3" s="21" t="s">
        <v>5</v>
      </c>
      <c r="H3" s="21" t="s">
        <v>6</v>
      </c>
      <c r="I3" s="21" t="s">
        <v>7</v>
      </c>
      <c r="J3" s="21" t="s">
        <v>8</v>
      </c>
      <c r="K3" s="21" t="s">
        <v>9</v>
      </c>
      <c r="L3" s="21" t="s">
        <v>10</v>
      </c>
      <c r="M3" s="22" t="s">
        <v>11</v>
      </c>
      <c r="N3" s="22" t="s">
        <v>5</v>
      </c>
      <c r="O3" s="23" t="s">
        <v>6</v>
      </c>
      <c r="P3" s="23" t="s">
        <v>7</v>
      </c>
      <c r="Q3" s="20" t="s">
        <v>8</v>
      </c>
      <c r="R3" s="20" t="s">
        <v>9</v>
      </c>
      <c r="S3" s="20" t="s">
        <v>10</v>
      </c>
    </row>
    <row r="4" spans="1:19" x14ac:dyDescent="0.3">
      <c r="A4" s="25"/>
      <c r="B4" s="25"/>
      <c r="C4" s="25"/>
      <c r="D4" s="26"/>
      <c r="E4" s="25"/>
      <c r="F4" s="28"/>
      <c r="G4" s="21"/>
      <c r="H4" s="21"/>
      <c r="I4" s="21"/>
      <c r="J4" s="21"/>
      <c r="K4" s="21"/>
      <c r="L4" s="21"/>
      <c r="M4" s="22"/>
      <c r="N4" s="22"/>
      <c r="O4" s="23"/>
      <c r="P4" s="23"/>
      <c r="Q4" s="20"/>
      <c r="R4" s="20"/>
      <c r="S4" s="20"/>
    </row>
    <row r="5" spans="1:19" x14ac:dyDescent="0.3">
      <c r="A5" s="1" t="s">
        <v>20</v>
      </c>
      <c r="B5" s="4" t="s">
        <v>21</v>
      </c>
      <c r="C5" s="1" t="s">
        <v>22</v>
      </c>
      <c r="D5" s="4" t="s">
        <v>23</v>
      </c>
      <c r="E5" s="5" t="s">
        <v>24</v>
      </c>
      <c r="F5" s="5"/>
      <c r="G5" s="6">
        <v>46052</v>
      </c>
      <c r="H5" s="6">
        <v>46084</v>
      </c>
      <c r="I5" s="6">
        <v>46111</v>
      </c>
      <c r="J5" s="6">
        <v>46116</v>
      </c>
      <c r="K5" s="6"/>
      <c r="L5" s="6"/>
      <c r="M5" s="7">
        <f t="shared" ref="M5" si="0">SUM(N5:S5)</f>
        <v>4</v>
      </c>
      <c r="N5" s="7">
        <f t="shared" ref="N5" si="1">COUNTIF(G5,G5)</f>
        <v>1</v>
      </c>
      <c r="O5" s="7">
        <f t="shared" ref="O5" si="2">COUNTIF(H5,H5)</f>
        <v>1</v>
      </c>
      <c r="P5" s="7">
        <f t="shared" ref="P5" si="3">COUNTIF(I5,I5)</f>
        <v>1</v>
      </c>
      <c r="Q5" s="7">
        <f t="shared" ref="Q5" si="4">COUNTIF(J5,J5)</f>
        <v>1</v>
      </c>
      <c r="R5" s="7">
        <f t="shared" ref="R5" si="5">COUNTIF(K5,K5)</f>
        <v>0</v>
      </c>
      <c r="S5" s="7">
        <f t="shared" ref="S5" si="6">COUNTIF(L5,L5)</f>
        <v>0</v>
      </c>
    </row>
    <row r="6" spans="1:19" x14ac:dyDescent="0.3">
      <c r="A6" s="1" t="s">
        <v>20</v>
      </c>
      <c r="B6" s="4" t="s">
        <v>25</v>
      </c>
      <c r="C6" s="1" t="s">
        <v>26</v>
      </c>
      <c r="D6" s="8" t="s">
        <v>27</v>
      </c>
      <c r="E6" s="8" t="s">
        <v>28</v>
      </c>
      <c r="F6" s="8"/>
      <c r="G6" s="6">
        <v>46074</v>
      </c>
      <c r="H6" s="6">
        <v>46102</v>
      </c>
      <c r="I6" s="6">
        <v>46147</v>
      </c>
      <c r="J6" s="6">
        <v>46164</v>
      </c>
      <c r="K6" s="6">
        <v>46178</v>
      </c>
      <c r="L6" s="6"/>
      <c r="M6" s="7">
        <f>SUM(N6:S6)</f>
        <v>5</v>
      </c>
      <c r="N6" s="7">
        <f>COUNTIF(G6,G6)</f>
        <v>1</v>
      </c>
      <c r="O6" s="7">
        <f>COUNTIF(H6,H6)</f>
        <v>1</v>
      </c>
      <c r="P6" s="7">
        <f t="shared" ref="O6:S22" si="7">COUNTIF(I6,I6)</f>
        <v>1</v>
      </c>
      <c r="Q6" s="7">
        <f t="shared" si="7"/>
        <v>1</v>
      </c>
      <c r="R6" s="7">
        <f t="shared" si="7"/>
        <v>1</v>
      </c>
      <c r="S6" s="7">
        <f t="shared" si="7"/>
        <v>0</v>
      </c>
    </row>
    <row r="7" spans="1:19" x14ac:dyDescent="0.3">
      <c r="A7" s="1" t="s">
        <v>20</v>
      </c>
      <c r="B7" s="4" t="s">
        <v>25</v>
      </c>
      <c r="C7" s="1">
        <v>2</v>
      </c>
      <c r="D7" s="8" t="s">
        <v>29</v>
      </c>
      <c r="E7" s="5" t="s">
        <v>30</v>
      </c>
      <c r="F7" s="5"/>
      <c r="G7" s="6">
        <v>46075</v>
      </c>
      <c r="H7" s="6"/>
      <c r="I7" s="6"/>
      <c r="J7" s="6"/>
      <c r="K7" s="6"/>
      <c r="L7" s="6"/>
      <c r="M7" s="7">
        <f t="shared" ref="M7:M43" si="8">SUM(N7:S7)</f>
        <v>1</v>
      </c>
      <c r="N7" s="7">
        <f t="shared" ref="N7:Q43" si="9">COUNTIF(G7,G7)</f>
        <v>1</v>
      </c>
      <c r="O7" s="7">
        <f t="shared" si="7"/>
        <v>0</v>
      </c>
      <c r="P7" s="7">
        <f t="shared" si="7"/>
        <v>0</v>
      </c>
      <c r="Q7" s="7">
        <f t="shared" si="7"/>
        <v>0</v>
      </c>
      <c r="R7" s="7">
        <f t="shared" ref="R7:R43" si="10">COUNTIF(K7,K7)</f>
        <v>0</v>
      </c>
      <c r="S7" s="7">
        <f t="shared" ref="S7:S43" si="11">COUNTIF(L7,L7)</f>
        <v>0</v>
      </c>
    </row>
    <row r="8" spans="1:19" x14ac:dyDescent="0.3">
      <c r="A8" s="1" t="s">
        <v>31</v>
      </c>
      <c r="B8" s="4" t="s">
        <v>25</v>
      </c>
      <c r="C8" s="1" t="s">
        <v>32</v>
      </c>
      <c r="D8" s="4" t="s">
        <v>33</v>
      </c>
      <c r="E8" s="4" t="s">
        <v>34</v>
      </c>
      <c r="F8" s="4"/>
      <c r="G8" s="6">
        <v>46081</v>
      </c>
      <c r="H8" s="6">
        <v>46116</v>
      </c>
      <c r="I8" s="6"/>
      <c r="J8" s="6">
        <v>46168</v>
      </c>
      <c r="K8" s="6"/>
      <c r="L8" s="6"/>
      <c r="M8" s="7">
        <f t="shared" si="8"/>
        <v>3</v>
      </c>
      <c r="N8" s="7">
        <f t="shared" si="9"/>
        <v>1</v>
      </c>
      <c r="O8" s="7">
        <f t="shared" si="7"/>
        <v>1</v>
      </c>
      <c r="P8" s="7">
        <f t="shared" si="7"/>
        <v>0</v>
      </c>
      <c r="Q8" s="7">
        <f t="shared" si="7"/>
        <v>1</v>
      </c>
      <c r="R8" s="7">
        <f t="shared" si="10"/>
        <v>0</v>
      </c>
      <c r="S8" s="7">
        <f t="shared" si="11"/>
        <v>0</v>
      </c>
    </row>
    <row r="9" spans="1:19" ht="28.8" x14ac:dyDescent="0.3">
      <c r="A9" s="1" t="s">
        <v>31</v>
      </c>
      <c r="B9" s="4" t="s">
        <v>25</v>
      </c>
      <c r="C9" s="1" t="s">
        <v>35</v>
      </c>
      <c r="D9" s="4" t="s">
        <v>36</v>
      </c>
      <c r="E9" s="5" t="s">
        <v>37</v>
      </c>
      <c r="F9" s="5"/>
      <c r="G9" s="6">
        <v>46116</v>
      </c>
      <c r="H9" s="6"/>
      <c r="I9" s="6">
        <v>46168</v>
      </c>
      <c r="J9" s="6"/>
      <c r="K9" s="6"/>
      <c r="L9" s="6"/>
      <c r="M9" s="7">
        <f t="shared" ref="M9" si="12">SUM(N9:S9)</f>
        <v>2</v>
      </c>
      <c r="N9" s="7">
        <f t="shared" ref="N9" si="13">COUNTIF(G9,G9)</f>
        <v>1</v>
      </c>
      <c r="O9" s="7">
        <f t="shared" ref="O9" si="14">COUNTIF(H9,H9)</f>
        <v>0</v>
      </c>
      <c r="P9" s="7">
        <f t="shared" ref="P9" si="15">COUNTIF(I9,I9)</f>
        <v>1</v>
      </c>
      <c r="Q9" s="7">
        <f t="shared" ref="Q9" si="16">COUNTIF(J9,J9)</f>
        <v>0</v>
      </c>
      <c r="R9" s="7">
        <f t="shared" ref="R9" si="17">COUNTIF(K9,K9)</f>
        <v>0</v>
      </c>
      <c r="S9" s="7">
        <f t="shared" ref="S9" si="18">COUNTIF(L9,L9)</f>
        <v>0</v>
      </c>
    </row>
    <row r="10" spans="1:19" x14ac:dyDescent="0.3">
      <c r="A10" s="1" t="s">
        <v>31</v>
      </c>
      <c r="B10" s="4" t="s">
        <v>25</v>
      </c>
      <c r="C10" s="1" t="s">
        <v>38</v>
      </c>
      <c r="D10" s="4" t="s">
        <v>39</v>
      </c>
      <c r="E10" s="4" t="s">
        <v>34</v>
      </c>
      <c r="F10" s="4"/>
      <c r="G10" s="6">
        <v>46081</v>
      </c>
      <c r="H10" s="6">
        <v>46141</v>
      </c>
      <c r="I10" s="6"/>
      <c r="J10" s="6"/>
      <c r="K10" s="6"/>
      <c r="L10" s="6"/>
      <c r="M10" s="7">
        <f t="shared" si="8"/>
        <v>2</v>
      </c>
      <c r="N10" s="7">
        <f t="shared" si="9"/>
        <v>1</v>
      </c>
      <c r="O10" s="7">
        <f t="shared" si="7"/>
        <v>1</v>
      </c>
      <c r="P10" s="7">
        <f t="shared" si="7"/>
        <v>0</v>
      </c>
      <c r="Q10" s="7">
        <f t="shared" si="7"/>
        <v>0</v>
      </c>
      <c r="R10" s="7">
        <f t="shared" si="10"/>
        <v>0</v>
      </c>
      <c r="S10" s="7">
        <f t="shared" si="11"/>
        <v>0</v>
      </c>
    </row>
    <row r="11" spans="1:19" x14ac:dyDescent="0.3">
      <c r="A11" s="1" t="s">
        <v>31</v>
      </c>
      <c r="B11" s="4" t="s">
        <v>25</v>
      </c>
      <c r="C11" s="1" t="s">
        <v>40</v>
      </c>
      <c r="D11" s="4" t="s">
        <v>41</v>
      </c>
      <c r="E11" s="4" t="s">
        <v>42</v>
      </c>
      <c r="F11" s="4"/>
      <c r="G11" s="6">
        <v>46091</v>
      </c>
      <c r="H11" s="6">
        <v>46116</v>
      </c>
      <c r="I11" s="6">
        <v>46168</v>
      </c>
      <c r="J11" s="6">
        <v>46168</v>
      </c>
      <c r="K11" s="6"/>
      <c r="L11" s="6"/>
      <c r="M11" s="7">
        <f t="shared" si="8"/>
        <v>4</v>
      </c>
      <c r="N11" s="7">
        <f t="shared" si="9"/>
        <v>1</v>
      </c>
      <c r="O11" s="7">
        <f t="shared" si="7"/>
        <v>1</v>
      </c>
      <c r="P11" s="7">
        <f t="shared" si="7"/>
        <v>1</v>
      </c>
      <c r="Q11" s="7">
        <f t="shared" si="7"/>
        <v>1</v>
      </c>
      <c r="R11" s="7">
        <f t="shared" si="10"/>
        <v>0</v>
      </c>
      <c r="S11" s="7">
        <f t="shared" si="11"/>
        <v>0</v>
      </c>
    </row>
    <row r="12" spans="1:19" x14ac:dyDescent="0.3">
      <c r="A12" s="1" t="s">
        <v>31</v>
      </c>
      <c r="B12" s="4" t="s">
        <v>25</v>
      </c>
      <c r="C12" s="1" t="s">
        <v>43</v>
      </c>
      <c r="D12" s="4" t="s">
        <v>44</v>
      </c>
      <c r="E12" s="4" t="s">
        <v>45</v>
      </c>
      <c r="F12" s="4"/>
      <c r="G12" s="6">
        <v>46091</v>
      </c>
      <c r="H12" s="6">
        <v>46116</v>
      </c>
      <c r="I12" s="6"/>
      <c r="J12" s="6">
        <v>46168</v>
      </c>
      <c r="K12" s="6"/>
      <c r="L12" s="6"/>
      <c r="M12" s="7">
        <f t="shared" ref="M12" si="19">SUM(N12:S12)</f>
        <v>3</v>
      </c>
      <c r="N12" s="7">
        <f t="shared" ref="N12" si="20">COUNTIF(G12,G12)</f>
        <v>1</v>
      </c>
      <c r="O12" s="7">
        <f t="shared" ref="O12" si="21">COUNTIF(H12,H12)</f>
        <v>1</v>
      </c>
      <c r="P12" s="7">
        <f t="shared" ref="P12" si="22">COUNTIF(I12,I12)</f>
        <v>0</v>
      </c>
      <c r="Q12" s="7">
        <f t="shared" ref="Q12" si="23">COUNTIF(J12,J12)</f>
        <v>1</v>
      </c>
      <c r="R12" s="7">
        <f t="shared" ref="R12" si="24">COUNTIF(K12,K12)</f>
        <v>0</v>
      </c>
      <c r="S12" s="7">
        <f t="shared" ref="S12" si="25">COUNTIF(L12,L12)</f>
        <v>0</v>
      </c>
    </row>
    <row r="13" spans="1:19" x14ac:dyDescent="0.3">
      <c r="A13" s="1" t="s">
        <v>31</v>
      </c>
      <c r="B13" s="4" t="s">
        <v>25</v>
      </c>
      <c r="C13" s="1">
        <v>5</v>
      </c>
      <c r="D13" s="4" t="s">
        <v>46</v>
      </c>
      <c r="E13" s="4" t="s">
        <v>47</v>
      </c>
      <c r="F13" s="4"/>
      <c r="G13" s="6">
        <v>46091</v>
      </c>
      <c r="H13" s="6"/>
      <c r="I13" s="6"/>
      <c r="J13" s="6"/>
      <c r="K13" s="6"/>
      <c r="L13" s="6"/>
      <c r="M13" s="7">
        <f t="shared" si="8"/>
        <v>1</v>
      </c>
      <c r="N13" s="7">
        <f t="shared" si="9"/>
        <v>1</v>
      </c>
      <c r="O13" s="7">
        <f t="shared" si="7"/>
        <v>0</v>
      </c>
      <c r="P13" s="7">
        <f t="shared" si="7"/>
        <v>0</v>
      </c>
      <c r="Q13" s="7">
        <f t="shared" si="7"/>
        <v>0</v>
      </c>
      <c r="R13" s="7">
        <f t="shared" si="10"/>
        <v>0</v>
      </c>
      <c r="S13" s="7">
        <f t="shared" si="11"/>
        <v>0</v>
      </c>
    </row>
    <row r="14" spans="1:19" x14ac:dyDescent="0.3">
      <c r="A14" s="1" t="s">
        <v>31</v>
      </c>
      <c r="B14" s="4" t="s">
        <v>25</v>
      </c>
      <c r="C14" s="1">
        <v>5</v>
      </c>
      <c r="D14" s="4" t="s">
        <v>48</v>
      </c>
      <c r="E14" s="4" t="s">
        <v>49</v>
      </c>
      <c r="F14" s="4"/>
      <c r="G14" s="6">
        <v>46091</v>
      </c>
      <c r="H14" s="6"/>
      <c r="I14" s="6"/>
      <c r="J14" s="6"/>
      <c r="K14" s="6"/>
      <c r="L14" s="6"/>
      <c r="M14" s="7">
        <f t="shared" si="8"/>
        <v>1</v>
      </c>
      <c r="N14" s="7">
        <f t="shared" si="9"/>
        <v>1</v>
      </c>
      <c r="O14" s="7">
        <f t="shared" si="7"/>
        <v>0</v>
      </c>
      <c r="P14" s="7">
        <f t="shared" si="7"/>
        <v>0</v>
      </c>
      <c r="Q14" s="7">
        <f t="shared" si="7"/>
        <v>0</v>
      </c>
      <c r="R14" s="7">
        <f t="shared" si="10"/>
        <v>0</v>
      </c>
      <c r="S14" s="7">
        <f t="shared" si="11"/>
        <v>0</v>
      </c>
    </row>
    <row r="15" spans="1:19" x14ac:dyDescent="0.3">
      <c r="A15" s="1" t="s">
        <v>31</v>
      </c>
      <c r="B15" s="4" t="s">
        <v>25</v>
      </c>
      <c r="C15" s="1" t="s">
        <v>50</v>
      </c>
      <c r="D15" s="4" t="s">
        <v>51</v>
      </c>
      <c r="E15" s="4" t="s">
        <v>52</v>
      </c>
      <c r="F15" s="4"/>
      <c r="G15" s="6">
        <v>46091</v>
      </c>
      <c r="H15" s="6">
        <v>46141</v>
      </c>
      <c r="I15" s="6">
        <v>46168</v>
      </c>
      <c r="J15" s="6"/>
      <c r="K15" s="6"/>
      <c r="L15" s="6"/>
      <c r="M15" s="7">
        <f t="shared" si="8"/>
        <v>3</v>
      </c>
      <c r="N15" s="7">
        <f t="shared" si="9"/>
        <v>1</v>
      </c>
      <c r="O15" s="7">
        <f t="shared" si="7"/>
        <v>1</v>
      </c>
      <c r="P15" s="7">
        <f t="shared" si="7"/>
        <v>1</v>
      </c>
      <c r="Q15" s="7">
        <f t="shared" si="7"/>
        <v>0</v>
      </c>
      <c r="R15" s="7">
        <f t="shared" si="10"/>
        <v>0</v>
      </c>
      <c r="S15" s="7">
        <f t="shared" si="11"/>
        <v>0</v>
      </c>
    </row>
    <row r="16" spans="1:19" x14ac:dyDescent="0.3">
      <c r="A16" s="1" t="s">
        <v>31</v>
      </c>
      <c r="B16" s="4" t="s">
        <v>25</v>
      </c>
      <c r="C16" s="1" t="s">
        <v>53</v>
      </c>
      <c r="D16" s="4" t="s">
        <v>54</v>
      </c>
      <c r="E16" s="4" t="s">
        <v>55</v>
      </c>
      <c r="F16" s="4"/>
      <c r="G16" s="6">
        <v>46091</v>
      </c>
      <c r="H16" s="6">
        <v>46141</v>
      </c>
      <c r="I16" s="6">
        <v>46168</v>
      </c>
      <c r="J16" s="6"/>
      <c r="K16" s="6"/>
      <c r="L16" s="6"/>
      <c r="M16" s="7">
        <f t="shared" si="8"/>
        <v>3</v>
      </c>
      <c r="N16" s="7">
        <f t="shared" si="9"/>
        <v>1</v>
      </c>
      <c r="O16" s="7">
        <f t="shared" si="7"/>
        <v>1</v>
      </c>
      <c r="P16" s="7">
        <f t="shared" si="7"/>
        <v>1</v>
      </c>
      <c r="Q16" s="7">
        <f t="shared" si="7"/>
        <v>0</v>
      </c>
      <c r="R16" s="7">
        <f t="shared" si="10"/>
        <v>0</v>
      </c>
      <c r="S16" s="7">
        <f t="shared" si="11"/>
        <v>0</v>
      </c>
    </row>
    <row r="17" spans="1:19" x14ac:dyDescent="0.3">
      <c r="A17" s="1" t="s">
        <v>31</v>
      </c>
      <c r="B17" s="4" t="s">
        <v>56</v>
      </c>
      <c r="C17" s="1">
        <v>10</v>
      </c>
      <c r="D17" s="4" t="s">
        <v>57</v>
      </c>
      <c r="E17" s="5" t="s">
        <v>58</v>
      </c>
      <c r="F17" s="5"/>
      <c r="G17" s="6">
        <v>46122</v>
      </c>
      <c r="H17" s="6"/>
      <c r="I17" s="6"/>
      <c r="J17" s="6"/>
      <c r="K17" s="6"/>
      <c r="L17" s="6"/>
      <c r="M17" s="7">
        <f t="shared" si="8"/>
        <v>1</v>
      </c>
      <c r="N17" s="7">
        <f t="shared" si="9"/>
        <v>1</v>
      </c>
      <c r="O17" s="7">
        <f t="shared" si="7"/>
        <v>0</v>
      </c>
      <c r="P17" s="7">
        <f t="shared" si="7"/>
        <v>0</v>
      </c>
      <c r="Q17" s="7">
        <f t="shared" si="7"/>
        <v>0</v>
      </c>
      <c r="R17" s="7">
        <f t="shared" si="10"/>
        <v>0</v>
      </c>
      <c r="S17" s="7">
        <f t="shared" si="11"/>
        <v>0</v>
      </c>
    </row>
    <row r="18" spans="1:19" x14ac:dyDescent="0.3">
      <c r="A18" s="1" t="s">
        <v>20</v>
      </c>
      <c r="B18" s="4" t="s">
        <v>59</v>
      </c>
      <c r="C18" s="1">
        <v>11</v>
      </c>
      <c r="D18" s="4" t="s">
        <v>60</v>
      </c>
      <c r="E18" s="5" t="s">
        <v>61</v>
      </c>
      <c r="F18" s="5"/>
      <c r="G18" s="6">
        <v>46129</v>
      </c>
      <c r="H18" s="6"/>
      <c r="I18" s="6"/>
      <c r="J18" s="6"/>
      <c r="K18" s="6"/>
      <c r="L18" s="6"/>
      <c r="M18" s="7">
        <f t="shared" si="8"/>
        <v>1</v>
      </c>
      <c r="N18" s="7">
        <f t="shared" si="9"/>
        <v>1</v>
      </c>
      <c r="O18" s="7">
        <f t="shared" si="7"/>
        <v>0</v>
      </c>
      <c r="P18" s="7">
        <f t="shared" si="7"/>
        <v>0</v>
      </c>
      <c r="Q18" s="7">
        <f t="shared" si="7"/>
        <v>0</v>
      </c>
      <c r="R18" s="7">
        <f t="shared" si="10"/>
        <v>0</v>
      </c>
      <c r="S18" s="7">
        <f t="shared" si="11"/>
        <v>0</v>
      </c>
    </row>
    <row r="19" spans="1:19" x14ac:dyDescent="0.3">
      <c r="A19" s="1" t="s">
        <v>31</v>
      </c>
      <c r="B19" s="4" t="s">
        <v>59</v>
      </c>
      <c r="C19" s="1">
        <v>13</v>
      </c>
      <c r="D19" s="4" t="s">
        <v>62</v>
      </c>
      <c r="E19" s="9" t="s">
        <v>63</v>
      </c>
      <c r="F19" s="9"/>
      <c r="G19" s="6">
        <v>46148</v>
      </c>
      <c r="H19" s="6"/>
      <c r="I19" s="6"/>
      <c r="J19" s="6"/>
      <c r="K19" s="6"/>
      <c r="L19" s="6"/>
      <c r="M19" s="7">
        <f t="shared" si="8"/>
        <v>1</v>
      </c>
      <c r="N19" s="7">
        <f t="shared" si="9"/>
        <v>1</v>
      </c>
      <c r="O19" s="7">
        <f t="shared" si="7"/>
        <v>0</v>
      </c>
      <c r="P19" s="7">
        <f t="shared" si="7"/>
        <v>0</v>
      </c>
      <c r="Q19" s="7">
        <f t="shared" si="7"/>
        <v>0</v>
      </c>
      <c r="R19" s="7">
        <f t="shared" si="10"/>
        <v>0</v>
      </c>
      <c r="S19" s="7">
        <f t="shared" si="11"/>
        <v>0</v>
      </c>
    </row>
    <row r="20" spans="1:19" x14ac:dyDescent="0.3">
      <c r="A20" s="1" t="s">
        <v>20</v>
      </c>
      <c r="B20" s="4" t="s">
        <v>25</v>
      </c>
      <c r="C20" s="1" t="s">
        <v>64</v>
      </c>
      <c r="D20" s="4" t="s">
        <v>65</v>
      </c>
      <c r="E20" s="5" t="s">
        <v>66</v>
      </c>
      <c r="F20" s="5"/>
      <c r="G20" s="6">
        <v>46147</v>
      </c>
      <c r="H20" s="6">
        <v>46164</v>
      </c>
      <c r="I20" s="6"/>
      <c r="J20" s="6"/>
      <c r="K20" s="6"/>
      <c r="L20" s="6"/>
      <c r="M20" s="7">
        <f t="shared" si="8"/>
        <v>2</v>
      </c>
      <c r="N20" s="7">
        <f t="shared" si="9"/>
        <v>1</v>
      </c>
      <c r="O20" s="7">
        <f t="shared" si="7"/>
        <v>1</v>
      </c>
      <c r="P20" s="7">
        <f t="shared" si="7"/>
        <v>0</v>
      </c>
      <c r="Q20" s="7">
        <f t="shared" si="7"/>
        <v>0</v>
      </c>
      <c r="R20" s="7">
        <f t="shared" si="10"/>
        <v>0</v>
      </c>
      <c r="S20" s="7">
        <f t="shared" si="11"/>
        <v>0</v>
      </c>
    </row>
    <row r="21" spans="1:19" x14ac:dyDescent="0.3">
      <c r="A21" s="1" t="s">
        <v>20</v>
      </c>
      <c r="B21" s="4" t="s">
        <v>25</v>
      </c>
      <c r="C21" s="1">
        <v>14</v>
      </c>
      <c r="D21" t="s">
        <v>67</v>
      </c>
      <c r="E21" s="5" t="s">
        <v>68</v>
      </c>
      <c r="F21" s="5"/>
      <c r="G21" s="6">
        <v>46147</v>
      </c>
      <c r="H21" s="6"/>
      <c r="I21" s="6"/>
      <c r="J21" s="6"/>
      <c r="K21" s="6"/>
      <c r="L21" s="6"/>
      <c r="M21" s="7">
        <f t="shared" si="8"/>
        <v>1</v>
      </c>
      <c r="N21" s="7">
        <f t="shared" si="9"/>
        <v>1</v>
      </c>
      <c r="O21" s="7">
        <f t="shared" si="7"/>
        <v>0</v>
      </c>
      <c r="P21" s="7">
        <f t="shared" si="7"/>
        <v>0</v>
      </c>
      <c r="Q21" s="7">
        <f t="shared" si="7"/>
        <v>0</v>
      </c>
      <c r="R21" s="7">
        <f t="shared" si="10"/>
        <v>0</v>
      </c>
      <c r="S21" s="7">
        <f t="shared" si="11"/>
        <v>0</v>
      </c>
    </row>
    <row r="22" spans="1:19" x14ac:dyDescent="0.3">
      <c r="A22" s="1" t="s">
        <v>31</v>
      </c>
      <c r="B22" s="4" t="s">
        <v>59</v>
      </c>
      <c r="C22" s="1" t="s">
        <v>69</v>
      </c>
      <c r="D22" s="4" t="s">
        <v>62</v>
      </c>
      <c r="E22" t="s">
        <v>70</v>
      </c>
      <c r="F22"/>
      <c r="G22" s="6">
        <v>46151</v>
      </c>
      <c r="H22" s="6">
        <v>46153</v>
      </c>
      <c r="I22" s="6">
        <v>46162</v>
      </c>
      <c r="J22" s="6"/>
      <c r="K22" s="6"/>
      <c r="L22" s="6"/>
      <c r="M22" s="7">
        <f t="shared" si="8"/>
        <v>3</v>
      </c>
      <c r="N22" s="7">
        <f t="shared" si="9"/>
        <v>1</v>
      </c>
      <c r="O22" s="7">
        <f t="shared" si="7"/>
        <v>1</v>
      </c>
      <c r="P22" s="7">
        <f t="shared" si="7"/>
        <v>1</v>
      </c>
      <c r="Q22" s="7">
        <f t="shared" si="7"/>
        <v>0</v>
      </c>
      <c r="R22" s="7">
        <f t="shared" si="10"/>
        <v>0</v>
      </c>
      <c r="S22" s="7">
        <f t="shared" si="11"/>
        <v>0</v>
      </c>
    </row>
    <row r="23" spans="1:19" x14ac:dyDescent="0.3">
      <c r="A23" s="1" t="s">
        <v>31</v>
      </c>
      <c r="B23" s="4" t="s">
        <v>59</v>
      </c>
      <c r="C23" s="11">
        <v>17</v>
      </c>
      <c r="D23" t="s">
        <v>71</v>
      </c>
      <c r="E23" s="10" t="s">
        <v>72</v>
      </c>
      <c r="F23" s="10"/>
      <c r="G23" s="6">
        <v>46153</v>
      </c>
      <c r="H23" s="6"/>
      <c r="I23" s="6"/>
      <c r="J23" s="6"/>
      <c r="K23" s="6"/>
      <c r="L23" s="6"/>
      <c r="M23" s="7">
        <f t="shared" si="8"/>
        <v>1</v>
      </c>
      <c r="N23" s="7">
        <f t="shared" si="9"/>
        <v>1</v>
      </c>
      <c r="O23" s="7">
        <f t="shared" si="9"/>
        <v>0</v>
      </c>
      <c r="P23" s="7">
        <f t="shared" si="9"/>
        <v>0</v>
      </c>
      <c r="Q23" s="7">
        <f t="shared" si="9"/>
        <v>0</v>
      </c>
      <c r="R23" s="7">
        <f t="shared" si="10"/>
        <v>0</v>
      </c>
      <c r="S23" s="7">
        <f t="shared" si="11"/>
        <v>0</v>
      </c>
    </row>
    <row r="24" spans="1:19" x14ac:dyDescent="0.3">
      <c r="A24" s="1" t="s">
        <v>31</v>
      </c>
      <c r="B24" s="10" t="s">
        <v>73</v>
      </c>
      <c r="C24" s="11">
        <v>17</v>
      </c>
      <c r="D24" s="4" t="s">
        <v>74</v>
      </c>
      <c r="E24" s="10" t="s">
        <v>75</v>
      </c>
      <c r="F24" s="10"/>
      <c r="G24" s="6">
        <v>46153</v>
      </c>
      <c r="H24" s="6"/>
      <c r="I24" s="6"/>
      <c r="J24" s="6"/>
      <c r="K24" s="6"/>
      <c r="L24" s="6"/>
      <c r="M24" s="7">
        <f t="shared" si="8"/>
        <v>1</v>
      </c>
      <c r="N24" s="7">
        <f t="shared" si="9"/>
        <v>1</v>
      </c>
      <c r="O24" s="7">
        <f t="shared" si="9"/>
        <v>0</v>
      </c>
      <c r="P24" s="7">
        <f t="shared" si="9"/>
        <v>0</v>
      </c>
      <c r="Q24" s="7">
        <f t="shared" si="9"/>
        <v>0</v>
      </c>
      <c r="R24" s="7">
        <f t="shared" si="10"/>
        <v>0</v>
      </c>
      <c r="S24" s="7">
        <f t="shared" si="11"/>
        <v>0</v>
      </c>
    </row>
    <row r="25" spans="1:19" x14ac:dyDescent="0.3">
      <c r="A25" s="1" t="s">
        <v>20</v>
      </c>
      <c r="B25" s="10" t="s">
        <v>76</v>
      </c>
      <c r="C25" s="11">
        <v>20</v>
      </c>
      <c r="D25" s="4" t="s">
        <v>77</v>
      </c>
      <c r="E25" s="10" t="s">
        <v>78</v>
      </c>
      <c r="F25" s="10"/>
      <c r="G25" s="6">
        <v>46164</v>
      </c>
      <c r="H25" s="6"/>
      <c r="I25" s="6"/>
      <c r="J25" s="6"/>
      <c r="K25" s="6"/>
      <c r="L25" s="6"/>
      <c r="M25" s="7">
        <f t="shared" si="8"/>
        <v>1</v>
      </c>
      <c r="N25" s="7">
        <f t="shared" si="9"/>
        <v>1</v>
      </c>
      <c r="O25" s="7">
        <f t="shared" si="9"/>
        <v>0</v>
      </c>
      <c r="P25" s="7">
        <f t="shared" si="9"/>
        <v>0</v>
      </c>
      <c r="Q25" s="7">
        <f t="shared" si="9"/>
        <v>0</v>
      </c>
      <c r="R25" s="7">
        <f t="shared" si="10"/>
        <v>0</v>
      </c>
      <c r="S25" s="7">
        <f t="shared" si="11"/>
        <v>0</v>
      </c>
    </row>
    <row r="26" spans="1:19" ht="28.8" x14ac:dyDescent="0.3">
      <c r="A26" s="1" t="s">
        <v>31</v>
      </c>
      <c r="B26" s="10" t="s">
        <v>76</v>
      </c>
      <c r="C26" s="11" t="s">
        <v>79</v>
      </c>
      <c r="D26" s="4" t="s">
        <v>80</v>
      </c>
      <c r="E26" s="10" t="s">
        <v>81</v>
      </c>
      <c r="F26" s="10"/>
      <c r="G26" s="6">
        <v>46177</v>
      </c>
      <c r="H26" s="6">
        <v>46185</v>
      </c>
      <c r="I26" s="6">
        <v>46188</v>
      </c>
      <c r="J26" s="6"/>
      <c r="K26" s="6"/>
      <c r="L26" s="6"/>
      <c r="M26" s="7">
        <f t="shared" si="8"/>
        <v>3</v>
      </c>
      <c r="N26" s="7">
        <f t="shared" si="9"/>
        <v>1</v>
      </c>
      <c r="O26" s="7">
        <f t="shared" si="9"/>
        <v>1</v>
      </c>
      <c r="P26" s="7">
        <f t="shared" si="9"/>
        <v>1</v>
      </c>
      <c r="Q26" s="7">
        <f t="shared" si="9"/>
        <v>0</v>
      </c>
      <c r="R26" s="7">
        <f t="shared" si="10"/>
        <v>0</v>
      </c>
      <c r="S26" s="7">
        <f t="shared" si="11"/>
        <v>0</v>
      </c>
    </row>
    <row r="27" spans="1:19" x14ac:dyDescent="0.3">
      <c r="A27" s="1" t="s">
        <v>82</v>
      </c>
      <c r="B27" s="10" t="s">
        <v>83</v>
      </c>
      <c r="C27" s="11">
        <v>24</v>
      </c>
      <c r="D27" s="4" t="s">
        <v>57</v>
      </c>
      <c r="E27" s="10" t="s">
        <v>84</v>
      </c>
      <c r="F27" s="10"/>
      <c r="G27" s="6">
        <v>46177</v>
      </c>
      <c r="H27" s="6"/>
      <c r="I27" s="6"/>
      <c r="J27" s="6"/>
      <c r="K27" s="6"/>
      <c r="L27" s="6"/>
      <c r="M27" s="7">
        <f t="shared" si="8"/>
        <v>1</v>
      </c>
      <c r="N27" s="7">
        <f t="shared" si="9"/>
        <v>1</v>
      </c>
      <c r="O27" s="7">
        <f t="shared" si="9"/>
        <v>0</v>
      </c>
      <c r="P27" s="7">
        <f t="shared" si="9"/>
        <v>0</v>
      </c>
      <c r="Q27" s="7">
        <f t="shared" si="9"/>
        <v>0</v>
      </c>
      <c r="R27" s="7">
        <f t="shared" si="10"/>
        <v>0</v>
      </c>
      <c r="S27" s="7">
        <f t="shared" si="11"/>
        <v>0</v>
      </c>
    </row>
    <row r="28" spans="1:19" x14ac:dyDescent="0.3">
      <c r="A28" s="1" t="s">
        <v>82</v>
      </c>
      <c r="B28" s="10" t="s">
        <v>83</v>
      </c>
      <c r="C28" s="11">
        <v>24</v>
      </c>
      <c r="D28" s="4" t="s">
        <v>85</v>
      </c>
      <c r="E28" s="10" t="s">
        <v>86</v>
      </c>
      <c r="F28" s="10"/>
      <c r="G28" s="6">
        <v>46177</v>
      </c>
      <c r="H28" s="6"/>
      <c r="I28" s="6"/>
      <c r="J28" s="6"/>
      <c r="K28" s="6"/>
      <c r="L28" s="6"/>
      <c r="M28" s="7">
        <f t="shared" si="8"/>
        <v>1</v>
      </c>
      <c r="N28" s="7">
        <f t="shared" si="9"/>
        <v>1</v>
      </c>
      <c r="O28" s="7">
        <f t="shared" si="9"/>
        <v>0</v>
      </c>
      <c r="P28" s="7">
        <f t="shared" si="9"/>
        <v>0</v>
      </c>
      <c r="Q28" s="7">
        <f t="shared" si="9"/>
        <v>0</v>
      </c>
      <c r="R28" s="7">
        <f t="shared" si="10"/>
        <v>0</v>
      </c>
      <c r="S28" s="7">
        <f t="shared" si="11"/>
        <v>0</v>
      </c>
    </row>
    <row r="29" spans="1:19" x14ac:dyDescent="0.3">
      <c r="A29" s="1" t="s">
        <v>82</v>
      </c>
      <c r="B29" s="10" t="s">
        <v>83</v>
      </c>
      <c r="C29" s="11">
        <v>24</v>
      </c>
      <c r="D29" s="4" t="s">
        <v>87</v>
      </c>
      <c r="E29" s="10" t="s">
        <v>88</v>
      </c>
      <c r="F29" s="10"/>
      <c r="G29" s="6">
        <v>46177</v>
      </c>
      <c r="H29" s="6"/>
      <c r="I29" s="6"/>
      <c r="J29" s="6"/>
      <c r="K29" s="6"/>
      <c r="L29" s="6"/>
      <c r="M29" s="7">
        <f t="shared" si="8"/>
        <v>1</v>
      </c>
      <c r="N29" s="7">
        <f t="shared" si="9"/>
        <v>1</v>
      </c>
      <c r="O29" s="7">
        <f t="shared" si="9"/>
        <v>0</v>
      </c>
      <c r="P29" s="7">
        <f t="shared" si="9"/>
        <v>0</v>
      </c>
      <c r="Q29" s="7">
        <f t="shared" si="9"/>
        <v>0</v>
      </c>
      <c r="R29" s="7">
        <f t="shared" si="10"/>
        <v>0</v>
      </c>
      <c r="S29" s="7">
        <f t="shared" si="11"/>
        <v>0</v>
      </c>
    </row>
    <row r="30" spans="1:19" x14ac:dyDescent="0.3">
      <c r="A30" s="1" t="s">
        <v>20</v>
      </c>
      <c r="B30" s="10" t="s">
        <v>89</v>
      </c>
      <c r="C30" s="11">
        <v>25</v>
      </c>
      <c r="D30" s="4" t="s">
        <v>90</v>
      </c>
      <c r="E30" t="s">
        <v>68</v>
      </c>
      <c r="F30"/>
      <c r="G30" s="6">
        <v>46177</v>
      </c>
      <c r="H30" s="6"/>
      <c r="I30" s="6"/>
      <c r="J30" s="6"/>
      <c r="K30" s="6"/>
      <c r="L30" s="6"/>
      <c r="M30" s="7">
        <f t="shared" si="8"/>
        <v>1</v>
      </c>
      <c r="N30" s="7">
        <f t="shared" si="9"/>
        <v>1</v>
      </c>
      <c r="O30" s="7">
        <f t="shared" si="9"/>
        <v>0</v>
      </c>
      <c r="P30" s="7">
        <f t="shared" si="9"/>
        <v>0</v>
      </c>
      <c r="Q30" s="7">
        <f t="shared" si="9"/>
        <v>0</v>
      </c>
      <c r="R30" s="7">
        <f t="shared" si="10"/>
        <v>0</v>
      </c>
      <c r="S30" s="7">
        <f t="shared" si="11"/>
        <v>0</v>
      </c>
    </row>
    <row r="31" spans="1:19" x14ac:dyDescent="0.3">
      <c r="A31" s="1" t="s">
        <v>20</v>
      </c>
      <c r="B31" s="4" t="s">
        <v>25</v>
      </c>
      <c r="C31" s="1">
        <v>26</v>
      </c>
      <c r="D31" s="4" t="s">
        <v>91</v>
      </c>
      <c r="E31" s="5" t="s">
        <v>66</v>
      </c>
      <c r="F31" s="5"/>
      <c r="G31" s="6">
        <v>46180</v>
      </c>
      <c r="H31" s="6"/>
      <c r="I31" s="6"/>
      <c r="J31" s="6"/>
      <c r="K31" s="6"/>
      <c r="L31" s="6"/>
      <c r="M31" s="7">
        <f t="shared" si="8"/>
        <v>1</v>
      </c>
      <c r="N31" s="7">
        <f t="shared" si="9"/>
        <v>1</v>
      </c>
      <c r="O31" s="7">
        <f t="shared" si="9"/>
        <v>0</v>
      </c>
      <c r="P31" s="7">
        <f t="shared" si="9"/>
        <v>0</v>
      </c>
      <c r="Q31" s="7">
        <f t="shared" si="9"/>
        <v>0</v>
      </c>
      <c r="R31" s="7">
        <f t="shared" si="10"/>
        <v>0</v>
      </c>
      <c r="S31" s="7">
        <f t="shared" si="11"/>
        <v>0</v>
      </c>
    </row>
    <row r="32" spans="1:19" ht="28.8" x14ac:dyDescent="0.3">
      <c r="A32" s="1" t="s">
        <v>31</v>
      </c>
      <c r="B32" s="10" t="s">
        <v>92</v>
      </c>
      <c r="C32" s="11">
        <v>27</v>
      </c>
      <c r="D32" s="4" t="s">
        <v>93</v>
      </c>
      <c r="E32" s="10" t="s">
        <v>94</v>
      </c>
      <c r="F32" s="10"/>
      <c r="G32" s="6">
        <v>46185</v>
      </c>
      <c r="H32" s="6"/>
      <c r="I32" s="6"/>
      <c r="J32" s="6"/>
      <c r="K32" s="6"/>
      <c r="L32" s="6"/>
      <c r="M32" s="7">
        <f t="shared" ref="M32" si="26">SUM(N32:S32)</f>
        <v>1</v>
      </c>
      <c r="N32" s="7">
        <f t="shared" ref="N32" si="27">COUNTIF(G32,G32)</f>
        <v>1</v>
      </c>
      <c r="O32" s="7">
        <f t="shared" ref="O32" si="28">COUNTIF(H32,H32)</f>
        <v>0</v>
      </c>
      <c r="P32" s="7">
        <f t="shared" ref="P32" si="29">COUNTIF(I32,I32)</f>
        <v>0</v>
      </c>
      <c r="Q32" s="7">
        <f t="shared" ref="Q32" si="30">COUNTIF(J32,J32)</f>
        <v>0</v>
      </c>
      <c r="R32" s="7">
        <f t="shared" ref="R32" si="31">COUNTIF(K32,K32)</f>
        <v>0</v>
      </c>
      <c r="S32" s="7">
        <f t="shared" ref="S32" si="32">COUNTIF(L32,L32)</f>
        <v>0</v>
      </c>
    </row>
    <row r="33" spans="1:19" x14ac:dyDescent="0.3">
      <c r="A33" s="1"/>
      <c r="B33" s="10"/>
      <c r="C33" s="11"/>
      <c r="D33" s="4"/>
      <c r="E33" s="10"/>
      <c r="F33" s="10"/>
      <c r="G33" s="6"/>
      <c r="H33" s="6"/>
      <c r="I33" s="6"/>
      <c r="J33" s="6"/>
      <c r="K33" s="6"/>
      <c r="L33" s="6"/>
      <c r="M33" s="7">
        <f t="shared" si="8"/>
        <v>0</v>
      </c>
      <c r="N33" s="7">
        <f t="shared" si="9"/>
        <v>0</v>
      </c>
      <c r="O33" s="7">
        <f t="shared" si="9"/>
        <v>0</v>
      </c>
      <c r="P33" s="7">
        <f t="shared" si="9"/>
        <v>0</v>
      </c>
      <c r="Q33" s="7">
        <f t="shared" si="9"/>
        <v>0</v>
      </c>
      <c r="R33" s="7">
        <f t="shared" si="10"/>
        <v>0</v>
      </c>
      <c r="S33" s="7">
        <f t="shared" si="11"/>
        <v>0</v>
      </c>
    </row>
    <row r="34" spans="1:19" x14ac:dyDescent="0.3">
      <c r="A34" s="1"/>
      <c r="B34" s="10"/>
      <c r="C34" s="11"/>
      <c r="D34" s="4"/>
      <c r="E34" s="10"/>
      <c r="F34" s="10"/>
      <c r="G34" s="6"/>
      <c r="H34" s="6"/>
      <c r="I34" s="6"/>
      <c r="J34" s="6"/>
      <c r="K34" s="6"/>
      <c r="L34" s="6"/>
      <c r="M34" s="7">
        <f t="shared" si="8"/>
        <v>0</v>
      </c>
      <c r="N34" s="7">
        <f t="shared" si="9"/>
        <v>0</v>
      </c>
      <c r="O34" s="7">
        <f t="shared" si="9"/>
        <v>0</v>
      </c>
      <c r="P34" s="7">
        <f t="shared" si="9"/>
        <v>0</v>
      </c>
      <c r="Q34" s="7">
        <f t="shared" si="9"/>
        <v>0</v>
      </c>
      <c r="R34" s="7">
        <f t="shared" si="10"/>
        <v>0</v>
      </c>
      <c r="S34" s="7">
        <f t="shared" si="11"/>
        <v>0</v>
      </c>
    </row>
    <row r="35" spans="1:19" x14ac:dyDescent="0.3">
      <c r="A35" s="1"/>
      <c r="B35" s="10"/>
      <c r="C35" s="11"/>
      <c r="D35" s="4"/>
      <c r="E35" s="10"/>
      <c r="F35" s="10"/>
      <c r="G35" s="6"/>
      <c r="H35" s="6"/>
      <c r="I35" s="6"/>
      <c r="J35" s="6"/>
      <c r="K35" s="6"/>
      <c r="L35" s="6"/>
      <c r="M35" s="7">
        <f t="shared" si="8"/>
        <v>0</v>
      </c>
      <c r="N35" s="7">
        <f t="shared" si="9"/>
        <v>0</v>
      </c>
      <c r="O35" s="7">
        <f t="shared" si="9"/>
        <v>0</v>
      </c>
      <c r="P35" s="7">
        <f t="shared" si="9"/>
        <v>0</v>
      </c>
      <c r="Q35" s="7">
        <f t="shared" si="9"/>
        <v>0</v>
      </c>
      <c r="R35" s="7">
        <f t="shared" si="10"/>
        <v>0</v>
      </c>
      <c r="S35" s="7">
        <f t="shared" si="11"/>
        <v>0</v>
      </c>
    </row>
    <row r="36" spans="1:19" x14ac:dyDescent="0.3">
      <c r="A36" s="1"/>
      <c r="B36" s="10"/>
      <c r="C36" s="11"/>
      <c r="D36" s="4"/>
      <c r="E36" s="10"/>
      <c r="F36" s="10"/>
      <c r="G36" s="6"/>
      <c r="H36" s="6"/>
      <c r="I36" s="6"/>
      <c r="J36" s="6"/>
      <c r="K36" s="6"/>
      <c r="L36" s="6"/>
      <c r="M36" s="7">
        <f t="shared" si="8"/>
        <v>0</v>
      </c>
      <c r="N36" s="7">
        <f t="shared" si="9"/>
        <v>0</v>
      </c>
      <c r="O36" s="7">
        <f t="shared" si="9"/>
        <v>0</v>
      </c>
      <c r="P36" s="7">
        <f t="shared" si="9"/>
        <v>0</v>
      </c>
      <c r="Q36" s="7">
        <f t="shared" si="9"/>
        <v>0</v>
      </c>
      <c r="R36" s="7">
        <f t="shared" si="10"/>
        <v>0</v>
      </c>
      <c r="S36" s="7">
        <f t="shared" si="11"/>
        <v>0</v>
      </c>
    </row>
    <row r="37" spans="1:19" x14ac:dyDescent="0.3">
      <c r="A37" s="1"/>
      <c r="B37" s="10"/>
      <c r="C37" s="11"/>
      <c r="D37" s="4"/>
      <c r="E37" s="10"/>
      <c r="F37" s="10"/>
      <c r="G37" s="6"/>
      <c r="H37" s="6"/>
      <c r="I37" s="6"/>
      <c r="J37" s="6"/>
      <c r="K37" s="6"/>
      <c r="L37" s="6"/>
      <c r="M37" s="7">
        <f t="shared" si="8"/>
        <v>0</v>
      </c>
      <c r="N37" s="7">
        <f t="shared" si="9"/>
        <v>0</v>
      </c>
      <c r="O37" s="7">
        <f t="shared" si="9"/>
        <v>0</v>
      </c>
      <c r="P37" s="7">
        <f t="shared" si="9"/>
        <v>0</v>
      </c>
      <c r="Q37" s="7">
        <f t="shared" si="9"/>
        <v>0</v>
      </c>
      <c r="R37" s="7">
        <f t="shared" si="10"/>
        <v>0</v>
      </c>
      <c r="S37" s="7">
        <f t="shared" si="11"/>
        <v>0</v>
      </c>
    </row>
    <row r="38" spans="1:19" x14ac:dyDescent="0.3">
      <c r="A38" s="1"/>
      <c r="B38" s="10"/>
      <c r="C38" s="11"/>
      <c r="D38" s="4"/>
      <c r="E38" s="10"/>
      <c r="F38" s="10"/>
      <c r="G38" s="6"/>
      <c r="H38" s="6"/>
      <c r="I38" s="6"/>
      <c r="J38" s="6"/>
      <c r="K38" s="6"/>
      <c r="L38" s="6"/>
      <c r="M38" s="7">
        <f t="shared" si="8"/>
        <v>0</v>
      </c>
      <c r="N38" s="7">
        <f t="shared" si="9"/>
        <v>0</v>
      </c>
      <c r="O38" s="7">
        <f t="shared" si="9"/>
        <v>0</v>
      </c>
      <c r="P38" s="7">
        <f t="shared" si="9"/>
        <v>0</v>
      </c>
      <c r="Q38" s="7">
        <f t="shared" si="9"/>
        <v>0</v>
      </c>
      <c r="R38" s="7">
        <f t="shared" si="10"/>
        <v>0</v>
      </c>
      <c r="S38" s="7">
        <f t="shared" si="11"/>
        <v>0</v>
      </c>
    </row>
    <row r="39" spans="1:19" x14ac:dyDescent="0.3">
      <c r="A39" s="1"/>
      <c r="B39" s="10"/>
      <c r="C39" s="11"/>
      <c r="D39" s="4"/>
      <c r="E39" s="10"/>
      <c r="F39" s="10"/>
      <c r="G39" s="6"/>
      <c r="H39" s="6"/>
      <c r="I39" s="6"/>
      <c r="J39" s="6"/>
      <c r="K39" s="6"/>
      <c r="L39" s="6"/>
      <c r="M39" s="7">
        <f t="shared" si="8"/>
        <v>0</v>
      </c>
      <c r="N39" s="7">
        <f t="shared" si="9"/>
        <v>0</v>
      </c>
      <c r="O39" s="7">
        <f t="shared" si="9"/>
        <v>0</v>
      </c>
      <c r="P39" s="7">
        <f t="shared" si="9"/>
        <v>0</v>
      </c>
      <c r="Q39" s="7">
        <f t="shared" si="9"/>
        <v>0</v>
      </c>
      <c r="R39" s="7">
        <f t="shared" si="10"/>
        <v>0</v>
      </c>
      <c r="S39" s="7">
        <f t="shared" si="11"/>
        <v>0</v>
      </c>
    </row>
    <row r="40" spans="1:19" x14ac:dyDescent="0.3">
      <c r="A40" s="1"/>
      <c r="B40" s="10"/>
      <c r="C40" s="11"/>
      <c r="D40" s="4"/>
      <c r="E40" s="10"/>
      <c r="F40" s="10"/>
      <c r="G40" s="6"/>
      <c r="H40" s="6"/>
      <c r="I40" s="6"/>
      <c r="J40" s="6"/>
      <c r="K40" s="6"/>
      <c r="L40" s="6"/>
      <c r="M40" s="7">
        <f t="shared" si="8"/>
        <v>0</v>
      </c>
      <c r="N40" s="7">
        <f t="shared" si="9"/>
        <v>0</v>
      </c>
      <c r="O40" s="7">
        <f t="shared" si="9"/>
        <v>0</v>
      </c>
      <c r="P40" s="7">
        <f t="shared" si="9"/>
        <v>0</v>
      </c>
      <c r="Q40" s="7">
        <f t="shared" si="9"/>
        <v>0</v>
      </c>
      <c r="R40" s="7">
        <f t="shared" si="10"/>
        <v>0</v>
      </c>
      <c r="S40" s="7">
        <f t="shared" si="11"/>
        <v>0</v>
      </c>
    </row>
    <row r="41" spans="1:19" x14ac:dyDescent="0.3">
      <c r="A41" s="1"/>
      <c r="B41" s="10"/>
      <c r="C41" s="11"/>
      <c r="D41" s="4"/>
      <c r="E41" s="10"/>
      <c r="F41" s="10"/>
      <c r="G41" s="6"/>
      <c r="H41" s="6"/>
      <c r="I41" s="6"/>
      <c r="J41" s="6"/>
      <c r="K41" s="6"/>
      <c r="L41" s="6"/>
      <c r="M41" s="7">
        <f t="shared" si="8"/>
        <v>0</v>
      </c>
      <c r="N41" s="7">
        <f t="shared" si="9"/>
        <v>0</v>
      </c>
      <c r="O41" s="7">
        <f t="shared" si="9"/>
        <v>0</v>
      </c>
      <c r="P41" s="7">
        <f t="shared" si="9"/>
        <v>0</v>
      </c>
      <c r="Q41" s="7">
        <f t="shared" si="9"/>
        <v>0</v>
      </c>
      <c r="R41" s="7">
        <f t="shared" si="10"/>
        <v>0</v>
      </c>
      <c r="S41" s="7">
        <f t="shared" si="11"/>
        <v>0</v>
      </c>
    </row>
    <row r="42" spans="1:19" x14ac:dyDescent="0.3">
      <c r="A42" s="1"/>
      <c r="B42" s="10"/>
      <c r="C42" s="11"/>
      <c r="D42" s="4"/>
      <c r="E42" s="10"/>
      <c r="F42" s="10"/>
      <c r="G42" s="6"/>
      <c r="H42" s="6"/>
      <c r="I42" s="6"/>
      <c r="J42" s="6"/>
      <c r="K42" s="6"/>
      <c r="L42" s="6"/>
      <c r="M42" s="7">
        <f t="shared" si="8"/>
        <v>0</v>
      </c>
      <c r="N42" s="7">
        <f t="shared" si="9"/>
        <v>0</v>
      </c>
      <c r="O42" s="7">
        <f t="shared" si="9"/>
        <v>0</v>
      </c>
      <c r="P42" s="7">
        <f t="shared" si="9"/>
        <v>0</v>
      </c>
      <c r="Q42" s="7">
        <f t="shared" si="9"/>
        <v>0</v>
      </c>
      <c r="R42" s="7">
        <f t="shared" si="10"/>
        <v>0</v>
      </c>
      <c r="S42" s="7">
        <f t="shared" si="11"/>
        <v>0</v>
      </c>
    </row>
    <row r="43" spans="1:19" x14ac:dyDescent="0.3">
      <c r="A43" s="1"/>
      <c r="B43" s="10"/>
      <c r="C43" s="11"/>
      <c r="D43" s="4"/>
      <c r="E43" s="10"/>
      <c r="F43" s="10"/>
      <c r="G43" s="6"/>
      <c r="H43" s="6"/>
      <c r="I43" s="6"/>
      <c r="J43" s="6"/>
      <c r="K43" s="6"/>
      <c r="L43" s="6"/>
      <c r="M43" s="7">
        <f t="shared" si="8"/>
        <v>0</v>
      </c>
      <c r="N43" s="7">
        <f t="shared" si="9"/>
        <v>0</v>
      </c>
      <c r="O43" s="7">
        <f t="shared" si="9"/>
        <v>0</v>
      </c>
      <c r="P43" s="7">
        <f t="shared" si="9"/>
        <v>0</v>
      </c>
      <c r="Q43" s="7">
        <f t="shared" si="9"/>
        <v>0</v>
      </c>
      <c r="R43" s="7">
        <f t="shared" si="10"/>
        <v>0</v>
      </c>
      <c r="S43" s="7">
        <f t="shared" si="11"/>
        <v>0</v>
      </c>
    </row>
    <row r="44" spans="1:19" x14ac:dyDescent="0.3">
      <c r="B44" s="13"/>
      <c r="C44" s="14"/>
      <c r="E44" s="13"/>
      <c r="F44" s="13"/>
      <c r="G44" s="15"/>
      <c r="H44" s="16"/>
      <c r="I44" s="16"/>
      <c r="J44" s="16"/>
      <c r="K44" s="16"/>
      <c r="L44" s="16"/>
      <c r="M44" s="7">
        <f>SUM(M5:M43)</f>
        <v>53</v>
      </c>
      <c r="N44" s="7">
        <f t="shared" ref="N44:S44" si="33">SUM(N5:N43)</f>
        <v>28</v>
      </c>
      <c r="O44" s="7">
        <f t="shared" si="33"/>
        <v>11</v>
      </c>
      <c r="P44" s="7">
        <f t="shared" si="33"/>
        <v>8</v>
      </c>
      <c r="Q44" s="7">
        <f t="shared" si="33"/>
        <v>5</v>
      </c>
      <c r="R44" s="7">
        <f t="shared" si="33"/>
        <v>1</v>
      </c>
      <c r="S44" s="7">
        <f t="shared" si="33"/>
        <v>0</v>
      </c>
    </row>
    <row r="45" spans="1:19" ht="18" x14ac:dyDescent="0.3">
      <c r="A45" s="24" t="s">
        <v>12</v>
      </c>
      <c r="B45" s="24"/>
      <c r="C45" s="17"/>
    </row>
    <row r="46" spans="1:19" ht="35.4" customHeight="1" x14ac:dyDescent="0.3">
      <c r="A46" s="5" t="s">
        <v>13</v>
      </c>
      <c r="B46" s="1">
        <f>N44</f>
        <v>28</v>
      </c>
    </row>
    <row r="47" spans="1:19" ht="35.4" customHeight="1" x14ac:dyDescent="0.3">
      <c r="A47" s="5" t="s">
        <v>14</v>
      </c>
      <c r="B47" s="1">
        <f>O44</f>
        <v>11</v>
      </c>
    </row>
    <row r="48" spans="1:19" ht="35.4" customHeight="1" x14ac:dyDescent="0.3">
      <c r="A48" s="5" t="s">
        <v>15</v>
      </c>
      <c r="B48" s="1">
        <f>P44</f>
        <v>8</v>
      </c>
    </row>
    <row r="49" spans="1:2" ht="35.4" customHeight="1" x14ac:dyDescent="0.3">
      <c r="A49" s="5" t="s">
        <v>16</v>
      </c>
      <c r="B49" s="7">
        <f>Q44</f>
        <v>5</v>
      </c>
    </row>
    <row r="50" spans="1:2" ht="35.4" customHeight="1" x14ac:dyDescent="0.3">
      <c r="A50" s="5" t="s">
        <v>17</v>
      </c>
      <c r="B50" s="1">
        <v>0</v>
      </c>
    </row>
    <row r="51" spans="1:2" ht="35.4" customHeight="1" x14ac:dyDescent="0.3">
      <c r="A51" s="5" t="s">
        <v>18</v>
      </c>
      <c r="B51" s="1">
        <v>0</v>
      </c>
    </row>
  </sheetData>
  <autoFilter ref="A3:L24" xr:uid="{00000000-0009-0000-0000-000001000000}"/>
  <mergeCells count="21">
    <mergeCell ref="A45:B45"/>
    <mergeCell ref="P3:P4"/>
    <mergeCell ref="A1:L2"/>
    <mergeCell ref="A3:A4"/>
    <mergeCell ref="B3:B4"/>
    <mergeCell ref="D3:D4"/>
    <mergeCell ref="E3:E4"/>
    <mergeCell ref="L3:L4"/>
    <mergeCell ref="G3:G4"/>
    <mergeCell ref="H3:H4"/>
    <mergeCell ref="I3:I4"/>
    <mergeCell ref="J3:J4"/>
    <mergeCell ref="C3:C4"/>
    <mergeCell ref="F3:F4"/>
    <mergeCell ref="Q3:Q4"/>
    <mergeCell ref="R3:R4"/>
    <mergeCell ref="S3:S4"/>
    <mergeCell ref="K3:K4"/>
    <mergeCell ref="M3:M4"/>
    <mergeCell ref="N3:N4"/>
    <mergeCell ref="O3:O4"/>
  </mergeCells>
  <phoneticPr fontId="8" type="noConversion"/>
  <printOptions horizontalCentered="1"/>
  <pageMargins left="0.23622047244094491" right="0.23622047244094491" top="0.39370078740157483" bottom="0.39370078740157483" header="0.31496062992125984" footer="0.31496062992125984"/>
  <pageSetup paperSize="9" scale="56" fitToHeight="0" orientation="portrait" r:id="rId1"/>
  <headerFooter>
    <oddFooter>&amp;C_x000D_&amp;1#&amp;"Calibri"&amp;10&amp;K000000 Classified as Business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Nishani Salvi</dc:creator>
  <cp:keywords/>
  <dc:description/>
  <cp:lastModifiedBy>Info</cp:lastModifiedBy>
  <cp:revision/>
  <dcterms:created xsi:type="dcterms:W3CDTF">2021-10-30T11:28:35Z</dcterms:created>
  <dcterms:modified xsi:type="dcterms:W3CDTF">2026-07-09T11:46:08Z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d75b2f-c935-4ccb-b92f-4bfb2ab1a740_Enabled">
    <vt:lpwstr>true</vt:lpwstr>
  </property>
  <property fmtid="{D5CDD505-2E9C-101B-9397-08002B2CF9AE}" pid="3" name="MSIP_Label_71d75b2f-c935-4ccb-b92f-4bfb2ab1a740_SetDate">
    <vt:lpwstr>2023-09-21T07:25:10Z</vt:lpwstr>
  </property>
  <property fmtid="{D5CDD505-2E9C-101B-9397-08002B2CF9AE}" pid="4" name="MSIP_Label_71d75b2f-c935-4ccb-b92f-4bfb2ab1a740_Method">
    <vt:lpwstr>Standard</vt:lpwstr>
  </property>
  <property fmtid="{D5CDD505-2E9C-101B-9397-08002B2CF9AE}" pid="5" name="MSIP_Label_71d75b2f-c935-4ccb-b92f-4bfb2ab1a740_Name">
    <vt:lpwstr>Anyone</vt:lpwstr>
  </property>
  <property fmtid="{D5CDD505-2E9C-101B-9397-08002B2CF9AE}" pid="6" name="MSIP_Label_71d75b2f-c935-4ccb-b92f-4bfb2ab1a740_SiteId">
    <vt:lpwstr>d7d6908a-9740-4180-b837-f804f158f56e</vt:lpwstr>
  </property>
  <property fmtid="{D5CDD505-2E9C-101B-9397-08002B2CF9AE}" pid="7" name="MSIP_Label_71d75b2f-c935-4ccb-b92f-4bfb2ab1a740_ActionId">
    <vt:lpwstr>dcb527ae-9cda-43c0-9a93-57f5e322274a</vt:lpwstr>
  </property>
  <property fmtid="{D5CDD505-2E9C-101B-9397-08002B2CF9AE}" pid="8" name="MSIP_Label_71d75b2f-c935-4ccb-b92f-4bfb2ab1a740_ContentBits">
    <vt:lpwstr>2</vt:lpwstr>
  </property>
</Properties>
</file>