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1AD944A5-200D-424A-957B-C1E8079523F7}" xr6:coauthVersionLast="47" xr6:coauthVersionMax="47" xr10:uidLastSave="{00000000-0000-0000-0000-000000000000}"/>
  <bookViews>
    <workbookView xWindow="-110" yWindow="-110" windowWidth="19420" windowHeight="10300" tabRatio="614" xr2:uid="{00000000-000D-0000-FFFF-FFFF00000000}"/>
  </bookViews>
  <sheets>
    <sheet name="summary" sheetId="1" r:id="rId1"/>
    <sheet name="BOQ" sheetId="2" r:id="rId2"/>
    <sheet name="BOQ-CCV " sheetId="3" state="hidden" r:id="rId3"/>
    <sheet name="BOQ ELE. LAB " sheetId="5" state="hidden" r:id="rId4"/>
    <sheet name="BOQ-ADMIN" sheetId="4" state="hidden" r:id="rId5"/>
    <sheet name="BOQ -SECURITY" sheetId="6" state="hidden" r:id="rId6"/>
    <sheet name="BOQ -COOLING TOWER " sheetId="7" state="hidden" r:id="rId7"/>
    <sheet name="BOQ -WEIGH BRIDGE " sheetId="8" state="hidden" r:id="rId8"/>
    <sheet name="BOQ -U.G TANK WITH PUMP ROOM " sheetId="9" state="hidden" r:id="rId9"/>
    <sheet name="BOQ -ENTRANCE GATE " sheetId="10" state="hidden" r:id="rId10"/>
  </sheets>
  <definedNames>
    <definedName name="_xlnm._FilterDatabase" localSheetId="1" hidden="1">BOQ!#REF!</definedName>
    <definedName name="_xlnm._FilterDatabase" localSheetId="6" hidden="1">'BOQ -COOLING TOWER '!#REF!</definedName>
    <definedName name="_xlnm._FilterDatabase" localSheetId="3" hidden="1">'BOQ ELE. LAB '!#REF!</definedName>
    <definedName name="_xlnm._FilterDatabase" localSheetId="9" hidden="1">'BOQ -ENTRANCE GATE '!#REF!</definedName>
    <definedName name="_xlnm._FilterDatabase" localSheetId="5" hidden="1">'BOQ -SECURITY'!#REF!</definedName>
    <definedName name="_xlnm._FilterDatabase" localSheetId="8" hidden="1">'BOQ -U.G TANK WITH PUMP ROOM '!#REF!</definedName>
    <definedName name="_xlnm._FilterDatabase" localSheetId="7" hidden="1">'BOQ -WEIGH BRIDGE '!#REF!</definedName>
    <definedName name="_xlnm._FilterDatabase" localSheetId="4" hidden="1">'BOQ-ADMIN'!#REF!</definedName>
    <definedName name="_xlnm._FilterDatabase" localSheetId="2" hidden="1">'BOQ-CCV '!#REF!</definedName>
    <definedName name="_xlnm.Print_Area" localSheetId="1">BOQ!$B$3:$H$447</definedName>
    <definedName name="_xlnm.Print_Area" localSheetId="6">'BOQ -COOLING TOWER '!$A$1:$F$434</definedName>
    <definedName name="_xlnm.Print_Area" localSheetId="3">'BOQ ELE. LAB '!$A$1:$F$433</definedName>
    <definedName name="_xlnm.Print_Area" localSheetId="9">'BOQ -ENTRANCE GATE '!$A$1:$F$434</definedName>
    <definedName name="_xlnm.Print_Area" localSheetId="5">'BOQ -SECURITY'!$A$1:$F$433</definedName>
    <definedName name="_xlnm.Print_Area" localSheetId="8">'BOQ -U.G TANK WITH PUMP ROOM '!$A$1:$F$434</definedName>
    <definedName name="_xlnm.Print_Area" localSheetId="7">'BOQ -WEIGH BRIDGE '!$A$1:$F$432</definedName>
    <definedName name="_xlnm.Print_Area" localSheetId="4">'BOQ-ADMIN'!$A$1:$F$433</definedName>
    <definedName name="_xlnm.Print_Area" localSheetId="2">'BOQ-CCV '!$A$1:$F$441</definedName>
    <definedName name="_xlnm.Print_Area" localSheetId="0">summary!$A$3:$D$21</definedName>
    <definedName name="_xlnm.Print_Titles" localSheetId="1">BOQ!$3:$6</definedName>
    <definedName name="_xlnm.Print_Titles" localSheetId="6">'BOQ -COOLING TOWER '!$3:$4</definedName>
    <definedName name="_xlnm.Print_Titles" localSheetId="3">'BOQ ELE. LAB '!$4:$5</definedName>
    <definedName name="_xlnm.Print_Titles" localSheetId="9">'BOQ -ENTRANCE GATE '!$3:$4</definedName>
    <definedName name="_xlnm.Print_Titles" localSheetId="5">'BOQ -SECURITY'!$3:$4</definedName>
    <definedName name="_xlnm.Print_Titles" localSheetId="8">'BOQ -U.G TANK WITH PUMP ROOM '!$3:$4</definedName>
    <definedName name="_xlnm.Print_Titles" localSheetId="7">'BOQ -WEIGH BRIDGE '!$3:$4</definedName>
    <definedName name="_xlnm.Print_Titles" localSheetId="4">'BOQ-ADMIN'!$4:$5</definedName>
    <definedName name="_xlnm.Print_Titles" localSheetId="2">'BOQ-CCV '!$4:$5</definedName>
    <definedName name="Z_5399B9A3_C514_4B3F_AA20_DF1128B22F93_.wvu.Cols" localSheetId="1" hidden="1">BOQ!#REF!</definedName>
    <definedName name="Z_5399B9A3_C514_4B3F_AA20_DF1128B22F93_.wvu.PrintArea" localSheetId="1" hidden="1">BOQ!$B$1:$F$447</definedName>
    <definedName name="Z_5399B9A3_C514_4B3F_AA20_DF1128B22F93_.wvu.PrintArea" localSheetId="6" hidden="1">'BOQ -COOLING TOWER '!$A$1:$F$434</definedName>
    <definedName name="Z_5399B9A3_C514_4B3F_AA20_DF1128B22F93_.wvu.PrintArea" localSheetId="3" hidden="1">'BOQ ELE. LAB '!$A$1:$F$433</definedName>
    <definedName name="Z_5399B9A3_C514_4B3F_AA20_DF1128B22F93_.wvu.PrintArea" localSheetId="9" hidden="1">'BOQ -ENTRANCE GATE '!$A$1:$F$434</definedName>
    <definedName name="Z_5399B9A3_C514_4B3F_AA20_DF1128B22F93_.wvu.PrintArea" localSheetId="5" hidden="1">'BOQ -SECURITY'!$A$1:$F$433</definedName>
    <definedName name="Z_5399B9A3_C514_4B3F_AA20_DF1128B22F93_.wvu.PrintArea" localSheetId="8" hidden="1">'BOQ -U.G TANK WITH PUMP ROOM '!$A$1:$F$434</definedName>
    <definedName name="Z_5399B9A3_C514_4B3F_AA20_DF1128B22F93_.wvu.PrintArea" localSheetId="7" hidden="1">'BOQ -WEIGH BRIDGE '!$A$1:$F$432</definedName>
    <definedName name="Z_5399B9A3_C514_4B3F_AA20_DF1128B22F93_.wvu.PrintArea" localSheetId="4" hidden="1">'BOQ-ADMIN'!$A$1:$F$433</definedName>
    <definedName name="Z_5399B9A3_C514_4B3F_AA20_DF1128B22F93_.wvu.PrintArea" localSheetId="2" hidden="1">'BOQ-CCV '!$A$1:$F$441</definedName>
    <definedName name="Z_5399B9A3_C514_4B3F_AA20_DF1128B22F93_.wvu.PrintArea" localSheetId="0" hidden="1">summary!$A$3:$D$21</definedName>
    <definedName name="Z_5399B9A3_C514_4B3F_AA20_DF1128B22F93_.wvu.PrintTitles" localSheetId="1" hidden="1">BOQ!$3:$6</definedName>
    <definedName name="Z_5399B9A3_C514_4B3F_AA20_DF1128B22F93_.wvu.PrintTitles" localSheetId="6" hidden="1">'BOQ -COOLING TOWER '!$3:$4</definedName>
    <definedName name="Z_5399B9A3_C514_4B3F_AA20_DF1128B22F93_.wvu.PrintTitles" localSheetId="3" hidden="1">'BOQ ELE. LAB '!$4:$5</definedName>
    <definedName name="Z_5399B9A3_C514_4B3F_AA20_DF1128B22F93_.wvu.PrintTitles" localSheetId="9" hidden="1">'BOQ -ENTRANCE GATE '!$3:$4</definedName>
    <definedName name="Z_5399B9A3_C514_4B3F_AA20_DF1128B22F93_.wvu.PrintTitles" localSheetId="5" hidden="1">'BOQ -SECURITY'!$3:$4</definedName>
    <definedName name="Z_5399B9A3_C514_4B3F_AA20_DF1128B22F93_.wvu.PrintTitles" localSheetId="8" hidden="1">'BOQ -U.G TANK WITH PUMP ROOM '!$3:$4</definedName>
    <definedName name="Z_5399B9A3_C514_4B3F_AA20_DF1128B22F93_.wvu.PrintTitles" localSheetId="7" hidden="1">'BOQ -WEIGH BRIDGE '!$3:$4</definedName>
    <definedName name="Z_5399B9A3_C514_4B3F_AA20_DF1128B22F93_.wvu.PrintTitles" localSheetId="4" hidden="1">'BOQ-ADMIN'!$4:$5</definedName>
    <definedName name="Z_5399B9A3_C514_4B3F_AA20_DF1128B22F93_.wvu.PrintTitles" localSheetId="2" hidden="1">'BOQ-CCV '!$4:$5</definedName>
    <definedName name="Z_5399B9A3_C514_4B3F_AA20_DF1128B22F93_.wvu.Rows" localSheetId="1" hidden="1">BOQ!$175:$175</definedName>
    <definedName name="Z_5399B9A3_C514_4B3F_AA20_DF1128B22F93_.wvu.Rows" localSheetId="6" hidden="1">'BOQ -COOLING TOWER '!$155:$155</definedName>
    <definedName name="Z_5399B9A3_C514_4B3F_AA20_DF1128B22F93_.wvu.Rows" localSheetId="3" hidden="1">'BOQ ELE. LAB '!$154:$154</definedName>
    <definedName name="Z_5399B9A3_C514_4B3F_AA20_DF1128B22F93_.wvu.Rows" localSheetId="9" hidden="1">'BOQ -ENTRANCE GATE '!$153:$153</definedName>
    <definedName name="Z_5399B9A3_C514_4B3F_AA20_DF1128B22F93_.wvu.Rows" localSheetId="5" hidden="1">'BOQ -SECURITY'!$154:$154</definedName>
    <definedName name="Z_5399B9A3_C514_4B3F_AA20_DF1128B22F93_.wvu.Rows" localSheetId="8" hidden="1">'BOQ -U.G TANK WITH PUMP ROOM '!$153:$153</definedName>
    <definedName name="Z_5399B9A3_C514_4B3F_AA20_DF1128B22F93_.wvu.Rows" localSheetId="7" hidden="1">'BOQ -WEIGH BRIDGE '!$153:$153</definedName>
    <definedName name="Z_5399B9A3_C514_4B3F_AA20_DF1128B22F93_.wvu.Rows" localSheetId="4" hidden="1">'BOQ-ADMIN'!$154:$154</definedName>
    <definedName name="Z_5399B9A3_C514_4B3F_AA20_DF1128B22F93_.wvu.Rows" localSheetId="2" hidden="1">'BOQ-CCV '!$162:$162</definedName>
  </definedNames>
  <calcPr calcId="191029"/>
  <customWorkbookViews>
    <customWorkbookView name="Admin - Personal View" guid="{5399B9A3-C514-4B3F-AA20-DF1128B22F93}" mergeInterval="0" personalView="1" maximized="1" xWindow="-8" yWindow="-8" windowWidth="1382" windowHeight="754" tabRatio="601" activeSheetId="2"/>
  </customWorkbookViews>
</workbook>
</file>

<file path=xl/calcChain.xml><?xml version="1.0" encoding="utf-8"?>
<calcChain xmlns="http://schemas.openxmlformats.org/spreadsheetml/2006/main">
  <c r="J425" i="2" l="1"/>
  <c r="H43" i="2"/>
  <c r="H127" i="2"/>
  <c r="H155" i="2"/>
  <c r="H214" i="2"/>
  <c r="H236" i="2"/>
  <c r="H318" i="2"/>
  <c r="H334" i="2"/>
  <c r="H344" i="2"/>
  <c r="H355" i="2"/>
  <c r="H425" i="2"/>
  <c r="H490"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6" i="2"/>
  <c r="H217" i="2"/>
  <c r="H218" i="2"/>
  <c r="H219" i="2"/>
  <c r="H220" i="2"/>
  <c r="H221" i="2"/>
  <c r="H222" i="2"/>
  <c r="H223" i="2"/>
  <c r="H224" i="2"/>
  <c r="H225" i="2"/>
  <c r="H226" i="2"/>
  <c r="H227" i="2"/>
  <c r="H228" i="2"/>
  <c r="H229" i="2"/>
  <c r="H230" i="2"/>
  <c r="H231" i="2"/>
  <c r="H232" i="2"/>
  <c r="H233" i="2"/>
  <c r="H234" i="2"/>
  <c r="H235"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20" i="2"/>
  <c r="H321" i="2"/>
  <c r="H322" i="2"/>
  <c r="H323" i="2"/>
  <c r="H324" i="2"/>
  <c r="H325" i="2"/>
  <c r="H326" i="2"/>
  <c r="H327" i="2"/>
  <c r="H328" i="2"/>
  <c r="H329" i="2"/>
  <c r="H330" i="2"/>
  <c r="H331" i="2"/>
  <c r="H332" i="2"/>
  <c r="H333" i="2"/>
  <c r="H336" i="2"/>
  <c r="H337" i="2"/>
  <c r="H338" i="2"/>
  <c r="H339" i="2"/>
  <c r="H340" i="2"/>
  <c r="H341" i="2"/>
  <c r="H342" i="2"/>
  <c r="H343" i="2"/>
  <c r="H346" i="2"/>
  <c r="H347" i="2"/>
  <c r="H348" i="2"/>
  <c r="H349" i="2"/>
  <c r="H350" i="2"/>
  <c r="H351" i="2"/>
  <c r="H352" i="2"/>
  <c r="H353" i="2"/>
  <c r="H354"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2" i="2"/>
  <c r="H493" i="2"/>
  <c r="H494" i="2"/>
  <c r="H495" i="2"/>
  <c r="H496" i="2"/>
  <c r="H11" i="2"/>
  <c r="J169" i="2" l="1"/>
  <c r="J211" i="2"/>
  <c r="J204" i="2"/>
  <c r="J200" i="2"/>
  <c r="J198" i="2"/>
  <c r="J196" i="2"/>
  <c r="J194" i="2"/>
  <c r="J192" i="2"/>
  <c r="J189" i="2"/>
  <c r="J188" i="2"/>
  <c r="J184" i="2"/>
  <c r="J182" i="2"/>
  <c r="J178" i="2"/>
  <c r="J177" i="2"/>
  <c r="J173" i="2"/>
  <c r="J171" i="2"/>
  <c r="J170" i="2"/>
  <c r="J167" i="2"/>
  <c r="J165" i="2"/>
  <c r="J163" i="2"/>
  <c r="J162" i="2"/>
  <c r="J158" i="2"/>
  <c r="J152" i="2"/>
  <c r="J149" i="2"/>
  <c r="J148" i="2"/>
  <c r="J147" i="2"/>
  <c r="J146" i="2"/>
  <c r="J145" i="2"/>
  <c r="J141" i="2"/>
  <c r="F169" i="2" l="1"/>
  <c r="F200" i="2" l="1"/>
  <c r="F204" i="2"/>
  <c r="F211" i="2"/>
  <c r="F497" i="2" l="1"/>
  <c r="F492" i="2"/>
  <c r="F481" i="2"/>
  <c r="F480" i="2"/>
  <c r="F479" i="2"/>
  <c r="F478" i="2"/>
  <c r="F476" i="2"/>
  <c r="F475" i="2"/>
  <c r="F472" i="2"/>
  <c r="F471" i="2"/>
  <c r="F468" i="2"/>
  <c r="F467" i="2"/>
  <c r="F456" i="2"/>
  <c r="F452" i="2"/>
  <c r="F451" i="2"/>
  <c r="F447" i="2"/>
  <c r="F442" i="2"/>
  <c r="F439" i="2"/>
  <c r="F438" i="2"/>
  <c r="F433" i="2"/>
  <c r="F432" i="2"/>
  <c r="F430" i="2"/>
  <c r="F429" i="2"/>
  <c r="F428" i="2"/>
  <c r="F424" i="2"/>
  <c r="F416" i="2"/>
  <c r="F415" i="2"/>
  <c r="F410" i="2"/>
  <c r="F409" i="2"/>
  <c r="F408" i="2"/>
  <c r="F407" i="2"/>
  <c r="F406" i="2"/>
  <c r="F405" i="2"/>
  <c r="F404" i="2"/>
  <c r="F403" i="2"/>
  <c r="F402" i="2"/>
  <c r="F401" i="2"/>
  <c r="F400" i="2"/>
  <c r="F398" i="2"/>
  <c r="F395" i="2"/>
  <c r="F392" i="2"/>
  <c r="F391" i="2"/>
  <c r="F390" i="2"/>
  <c r="F389" i="2"/>
  <c r="F387" i="2"/>
  <c r="F386" i="2"/>
  <c r="F382" i="2"/>
  <c r="F380" i="2"/>
  <c r="F379" i="2"/>
  <c r="F376" i="2"/>
  <c r="F375" i="2"/>
  <c r="F372" i="2"/>
  <c r="F371" i="2"/>
  <c r="F367" i="2"/>
  <c r="F366" i="2"/>
  <c r="F364" i="2"/>
  <c r="F362" i="2"/>
  <c r="F361" i="2"/>
  <c r="F360" i="2"/>
  <c r="F359" i="2"/>
  <c r="F358" i="2"/>
  <c r="F357" i="2"/>
  <c r="F354" i="2"/>
  <c r="F349" i="2"/>
  <c r="F348" i="2"/>
  <c r="F346" i="2"/>
  <c r="F336" i="2"/>
  <c r="F344" i="2" s="1"/>
  <c r="F331" i="2"/>
  <c r="F330" i="2"/>
  <c r="F328" i="2"/>
  <c r="F327" i="2"/>
  <c r="F326" i="2"/>
  <c r="F325" i="2"/>
  <c r="F324" i="2"/>
  <c r="F322" i="2"/>
  <c r="F321" i="2"/>
  <c r="F316" i="2"/>
  <c r="F315" i="2"/>
  <c r="F311" i="2"/>
  <c r="F309" i="2"/>
  <c r="F308" i="2"/>
  <c r="F307" i="2"/>
  <c r="F306" i="2"/>
  <c r="F305" i="2"/>
  <c r="F304" i="2"/>
  <c r="F303" i="2"/>
  <c r="F302" i="2"/>
  <c r="F301"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4" i="2"/>
  <c r="F262" i="2"/>
  <c r="F261" i="2"/>
  <c r="F257" i="2"/>
  <c r="F256" i="2"/>
  <c r="F255" i="2"/>
  <c r="F254" i="2"/>
  <c r="F253" i="2"/>
  <c r="F252" i="2"/>
  <c r="F251" i="2"/>
  <c r="F250" i="2"/>
  <c r="F249" i="2"/>
  <c r="F248" i="2"/>
  <c r="F247" i="2"/>
  <c r="F246" i="2"/>
  <c r="F245" i="2"/>
  <c r="F244" i="2"/>
  <c r="F243" i="2"/>
  <c r="F242" i="2"/>
  <c r="F238" i="2"/>
  <c r="F235" i="2"/>
  <c r="F232" i="2"/>
  <c r="F228" i="2"/>
  <c r="F226" i="2"/>
  <c r="F224" i="2"/>
  <c r="F219" i="2"/>
  <c r="F218" i="2"/>
  <c r="F216" i="2"/>
  <c r="F213" i="2"/>
  <c r="F198" i="2"/>
  <c r="F196" i="2"/>
  <c r="F194" i="2"/>
  <c r="F192" i="2"/>
  <c r="F190" i="2"/>
  <c r="F189" i="2"/>
  <c r="F188" i="2"/>
  <c r="F184" i="2"/>
  <c r="F182" i="2"/>
  <c r="F180" i="2"/>
  <c r="F178" i="2"/>
  <c r="F177" i="2"/>
  <c r="F176" i="2"/>
  <c r="F175" i="2"/>
  <c r="F173" i="2"/>
  <c r="F172" i="2"/>
  <c r="F171" i="2"/>
  <c r="F170" i="2"/>
  <c r="F167" i="2"/>
  <c r="F165" i="2"/>
  <c r="F163" i="2"/>
  <c r="F162" i="2"/>
  <c r="F158" i="2"/>
  <c r="F152" i="2"/>
  <c r="F150" i="2"/>
  <c r="F149" i="2"/>
  <c r="F148" i="2"/>
  <c r="F147" i="2"/>
  <c r="F146" i="2"/>
  <c r="F145" i="2"/>
  <c r="F143" i="2"/>
  <c r="F141" i="2"/>
  <c r="F139" i="2"/>
  <c r="F133" i="2"/>
  <c r="F129" i="2"/>
  <c r="F117" i="2"/>
  <c r="F115" i="2"/>
  <c r="F114" i="2"/>
  <c r="F113" i="2"/>
  <c r="F112" i="2"/>
  <c r="F111" i="2"/>
  <c r="F110" i="2"/>
  <c r="F109" i="2"/>
  <c r="F108" i="2"/>
  <c r="F107" i="2"/>
  <c r="F106" i="2"/>
  <c r="F105" i="2"/>
  <c r="F104" i="2"/>
  <c r="F103" i="2"/>
  <c r="F94" i="2"/>
  <c r="F92" i="2"/>
  <c r="F89" i="2"/>
  <c r="F88" i="2"/>
  <c r="F87" i="2"/>
  <c r="F86" i="2"/>
  <c r="F85" i="2"/>
  <c r="F84" i="2"/>
  <c r="F83" i="2"/>
  <c r="F82" i="2"/>
  <c r="F81" i="2"/>
  <c r="F80" i="2"/>
  <c r="F77" i="2"/>
  <c r="F76" i="2"/>
  <c r="F74" i="2"/>
  <c r="F72" i="2"/>
  <c r="F67" i="2"/>
  <c r="F66" i="2"/>
  <c r="F64" i="2"/>
  <c r="F63" i="2"/>
  <c r="F62" i="2"/>
  <c r="F61" i="2"/>
  <c r="F60" i="2"/>
  <c r="F59" i="2"/>
  <c r="F58" i="2"/>
  <c r="F55" i="2"/>
  <c r="F53" i="2"/>
  <c r="F51" i="2"/>
  <c r="F38" i="2"/>
  <c r="F37" i="2"/>
  <c r="F36" i="2"/>
  <c r="F35" i="2"/>
  <c r="F33" i="2"/>
  <c r="F32" i="2"/>
  <c r="F31" i="2"/>
  <c r="F30" i="2"/>
  <c r="F28" i="2"/>
  <c r="F27" i="2"/>
  <c r="F26" i="2"/>
  <c r="F24" i="2"/>
  <c r="F22" i="2"/>
  <c r="F21" i="2"/>
  <c r="F20" i="2"/>
  <c r="F18" i="2"/>
  <c r="F17" i="2"/>
  <c r="F13" i="2"/>
  <c r="F12" i="2"/>
  <c r="F11" i="2"/>
  <c r="F355" i="2" l="1"/>
  <c r="D13" i="1" s="1"/>
  <c r="F490" i="2"/>
  <c r="D15" i="1" s="1"/>
  <c r="F318" i="2"/>
  <c r="D10" i="1" s="1"/>
  <c r="F425" i="2"/>
  <c r="D14" i="1" s="1"/>
  <c r="F334" i="2"/>
  <c r="D11" i="1" s="1"/>
  <c r="F236" i="2"/>
  <c r="D9" i="1" s="1"/>
  <c r="F214" i="2"/>
  <c r="D8" i="1" s="1"/>
  <c r="F155" i="2"/>
  <c r="D7" i="1" s="1"/>
  <c r="F127" i="2"/>
  <c r="D6" i="1" s="1"/>
  <c r="F43" i="2"/>
  <c r="D5" i="1" s="1"/>
  <c r="D17" i="1" l="1"/>
  <c r="J12" i="2"/>
  <c r="J13" i="2"/>
  <c r="J33" i="2" l="1"/>
  <c r="J32" i="2"/>
  <c r="J31" i="2"/>
  <c r="J30" i="2"/>
  <c r="J27" i="2"/>
  <c r="J26" i="2"/>
  <c r="J22" i="2"/>
  <c r="J20" i="2"/>
  <c r="J18" i="2"/>
  <c r="J17" i="2"/>
  <c r="J11" i="2"/>
  <c r="J480" i="2"/>
  <c r="J479" i="2"/>
  <c r="J478" i="2"/>
  <c r="J476" i="2"/>
  <c r="J475" i="2"/>
  <c r="J472" i="2"/>
  <c r="J471" i="2"/>
  <c r="J468" i="2"/>
  <c r="J467" i="2"/>
  <c r="J452" i="2"/>
  <c r="J451" i="2"/>
  <c r="J433" i="2"/>
  <c r="J432" i="2"/>
  <c r="J429" i="2"/>
  <c r="J428" i="2"/>
  <c r="J424" i="2"/>
  <c r="J409" i="2"/>
  <c r="J408" i="2"/>
  <c r="J407" i="2"/>
  <c r="J406" i="2"/>
  <c r="J405" i="2"/>
  <c r="J404" i="2"/>
  <c r="J402" i="2"/>
  <c r="J401" i="2"/>
  <c r="J400" i="2"/>
  <c r="J391" i="2"/>
  <c r="J390" i="2"/>
  <c r="J389" i="2"/>
  <c r="J387" i="2"/>
  <c r="J386" i="2"/>
  <c r="J380" i="2"/>
  <c r="J376" i="2"/>
  <c r="J372" i="2"/>
  <c r="J371" i="2"/>
  <c r="J362" i="2"/>
  <c r="J366" i="2"/>
  <c r="J357" i="2"/>
  <c r="J354" i="2"/>
  <c r="J348" i="2"/>
  <c r="J330" i="2"/>
  <c r="J327" i="2"/>
  <c r="J326" i="2"/>
  <c r="J324" i="2"/>
  <c r="J322" i="2"/>
  <c r="J321" i="2"/>
  <c r="J309" i="2"/>
  <c r="J308" i="2"/>
  <c r="J307" i="2"/>
  <c r="J293" i="2"/>
  <c r="J285" i="2"/>
  <c r="J268" i="2"/>
  <c r="J262" i="2"/>
  <c r="J257" i="2"/>
  <c r="J235" i="2"/>
  <c r="J232" i="2"/>
  <c r="J228" i="2"/>
  <c r="J226" i="2"/>
  <c r="J224" i="2"/>
  <c r="J219" i="2"/>
  <c r="J218" i="2"/>
  <c r="J213" i="2"/>
  <c r="J139" i="2"/>
  <c r="J115" i="2"/>
  <c r="J114" i="2"/>
  <c r="J113" i="2"/>
  <c r="J112" i="2"/>
  <c r="J111" i="2"/>
  <c r="J110" i="2"/>
  <c r="J109" i="2"/>
  <c r="J107" i="2"/>
  <c r="J106" i="2"/>
  <c r="J104" i="2"/>
  <c r="J88" i="2"/>
  <c r="J86" i="2"/>
  <c r="J85" i="2"/>
  <c r="J84" i="2"/>
  <c r="J83" i="2"/>
  <c r="J82" i="2"/>
  <c r="J81" i="2"/>
  <c r="J74" i="2"/>
  <c r="J64" i="2"/>
  <c r="J63" i="2"/>
  <c r="J62" i="2"/>
  <c r="J61" i="2"/>
  <c r="J60" i="2"/>
  <c r="J59" i="2"/>
  <c r="J51" i="2"/>
  <c r="J37" i="2"/>
  <c r="J36" i="2"/>
  <c r="J497" i="2"/>
  <c r="J492" i="2"/>
  <c r="J481" i="2"/>
  <c r="J456" i="2"/>
  <c r="J447" i="2"/>
  <c r="J442" i="2"/>
  <c r="J439" i="2"/>
  <c r="J438" i="2"/>
  <c r="J430" i="2"/>
  <c r="J416" i="2"/>
  <c r="J415" i="2"/>
  <c r="J403" i="2"/>
  <c r="J398" i="2"/>
  <c r="J395" i="2"/>
  <c r="J392" i="2"/>
  <c r="J382" i="2"/>
  <c r="J379" i="2"/>
  <c r="J375" i="2"/>
  <c r="J367" i="2"/>
  <c r="J364" i="2"/>
  <c r="J361" i="2"/>
  <c r="J360" i="2"/>
  <c r="J359" i="2"/>
  <c r="J358" i="2"/>
  <c r="J349" i="2"/>
  <c r="J346" i="2"/>
  <c r="J336" i="2"/>
  <c r="J344" i="2" s="1"/>
  <c r="J331" i="2"/>
  <c r="J328" i="2"/>
  <c r="J325" i="2"/>
  <c r="J316" i="2"/>
  <c r="J315" i="2"/>
  <c r="J311" i="2"/>
  <c r="J306" i="2"/>
  <c r="J305" i="2"/>
  <c r="J304" i="2"/>
  <c r="J303" i="2"/>
  <c r="J302" i="2"/>
  <c r="J301" i="2"/>
  <c r="J299" i="2"/>
  <c r="J298" i="2"/>
  <c r="J297" i="2"/>
  <c r="J296" i="2"/>
  <c r="J295" i="2"/>
  <c r="J294" i="2"/>
  <c r="J292" i="2"/>
  <c r="J291" i="2"/>
  <c r="J290" i="2"/>
  <c r="J289" i="2"/>
  <c r="J288" i="2"/>
  <c r="J287" i="2"/>
  <c r="J286" i="2"/>
  <c r="J284" i="2"/>
  <c r="J283" i="2"/>
  <c r="J282" i="2"/>
  <c r="J281" i="2"/>
  <c r="J280" i="2"/>
  <c r="J279" i="2"/>
  <c r="J278" i="2"/>
  <c r="J277" i="2"/>
  <c r="J276" i="2"/>
  <c r="J275" i="2"/>
  <c r="J274" i="2"/>
  <c r="J273" i="2"/>
  <c r="J272" i="2"/>
  <c r="J271" i="2"/>
  <c r="J270" i="2"/>
  <c r="J269" i="2"/>
  <c r="J267" i="2"/>
  <c r="J264" i="2"/>
  <c r="J261" i="2"/>
  <c r="J256" i="2"/>
  <c r="J255" i="2"/>
  <c r="J254" i="2"/>
  <c r="J253" i="2"/>
  <c r="J252" i="2"/>
  <c r="J251" i="2"/>
  <c r="J250" i="2"/>
  <c r="J249" i="2"/>
  <c r="J248" i="2"/>
  <c r="J247" i="2"/>
  <c r="J246" i="2"/>
  <c r="J245" i="2"/>
  <c r="J244" i="2"/>
  <c r="J243" i="2"/>
  <c r="J242" i="2"/>
  <c r="J238" i="2"/>
  <c r="J216" i="2"/>
  <c r="J207" i="2"/>
  <c r="J190" i="2"/>
  <c r="J180" i="2"/>
  <c r="J176" i="2"/>
  <c r="J175" i="2"/>
  <c r="J172" i="2"/>
  <c r="J150" i="2"/>
  <c r="J143" i="2"/>
  <c r="J133" i="2"/>
  <c r="J129" i="2"/>
  <c r="J117" i="2"/>
  <c r="J108" i="2"/>
  <c r="J105" i="2"/>
  <c r="J103" i="2"/>
  <c r="J94" i="2"/>
  <c r="J92" i="2"/>
  <c r="J89" i="2"/>
  <c r="J87" i="2"/>
  <c r="J80" i="2"/>
  <c r="J77" i="2"/>
  <c r="J76" i="2"/>
  <c r="J72" i="2"/>
  <c r="J67" i="2"/>
  <c r="J66" i="2"/>
  <c r="J58" i="2"/>
  <c r="J55" i="2"/>
  <c r="J53" i="2"/>
  <c r="J38" i="2"/>
  <c r="J35" i="2"/>
  <c r="J28" i="2"/>
  <c r="J24" i="2"/>
  <c r="J21" i="2"/>
  <c r="J10" i="2"/>
  <c r="F14" i="1" l="1"/>
  <c r="E14" i="1"/>
  <c r="J490" i="2"/>
  <c r="F15" i="1" s="1"/>
  <c r="J355" i="2"/>
  <c r="F13" i="1" s="1"/>
  <c r="J334" i="2"/>
  <c r="F11" i="1" s="1"/>
  <c r="J318" i="2"/>
  <c r="F10" i="1" s="1"/>
  <c r="J236" i="2"/>
  <c r="F9" i="1" s="1"/>
  <c r="J214" i="2"/>
  <c r="F8" i="1" s="1"/>
  <c r="J155" i="2"/>
  <c r="F7" i="1" s="1"/>
  <c r="J43" i="2"/>
  <c r="F5" i="1" s="1"/>
  <c r="J127" i="2"/>
  <c r="F6" i="1" s="1"/>
  <c r="E15" i="1"/>
  <c r="E8" i="1"/>
  <c r="E9" i="1"/>
  <c r="E10" i="1"/>
  <c r="E6" i="1"/>
  <c r="E11" i="1"/>
  <c r="E7" i="1"/>
  <c r="E13" i="1"/>
  <c r="E5" i="1"/>
  <c r="F17" i="1" l="1"/>
  <c r="E17" i="1"/>
  <c r="D20" i="1" l="1"/>
  <c r="D21" i="1"/>
  <c r="A6" i="1" l="1"/>
  <c r="A7" i="1" s="1"/>
  <c r="A8" i="1" s="1"/>
  <c r="A9" i="1" s="1"/>
  <c r="A10" i="1" s="1"/>
  <c r="A11" i="1" s="1"/>
  <c r="A12" i="1" s="1"/>
  <c r="A13" i="1" s="1"/>
  <c r="A14" i="1" s="1"/>
  <c r="A15" i="1" s="1"/>
  <c r="A16" i="1" s="1"/>
  <c r="F150" i="6" l="1"/>
  <c r="F270" i="3" l="1"/>
  <c r="F131" i="3"/>
  <c r="F349" i="10" l="1"/>
  <c r="F348" i="10"/>
  <c r="F347" i="10"/>
  <c r="F346" i="10"/>
  <c r="F345" i="10"/>
  <c r="F343" i="9"/>
  <c r="F342" i="9"/>
  <c r="F341" i="9"/>
  <c r="F340" i="9"/>
  <c r="F339" i="9"/>
  <c r="F338" i="9"/>
  <c r="F158" i="7"/>
  <c r="F157" i="7"/>
  <c r="F156" i="7"/>
  <c r="F155" i="7"/>
  <c r="F154" i="7"/>
  <c r="F153" i="7"/>
  <c r="F152" i="7"/>
  <c r="F151" i="7"/>
  <c r="F150" i="7"/>
  <c r="F149" i="7"/>
  <c r="F148" i="7"/>
  <c r="F147" i="7"/>
  <c r="F146" i="7"/>
  <c r="F145" i="7"/>
  <c r="F144" i="7"/>
  <c r="F143" i="7"/>
  <c r="F142" i="7"/>
  <c r="F141" i="7"/>
  <c r="F140" i="7"/>
  <c r="F92" i="7"/>
  <c r="F91" i="7"/>
  <c r="F90" i="7"/>
  <c r="F89" i="7"/>
  <c r="F88" i="7"/>
  <c r="F86" i="7"/>
  <c r="F85" i="7"/>
  <c r="F83" i="7"/>
  <c r="F81" i="7"/>
  <c r="F79" i="7"/>
  <c r="F78" i="7"/>
  <c r="F77" i="7"/>
  <c r="F76" i="7"/>
  <c r="F73" i="7"/>
  <c r="F72" i="7"/>
  <c r="F70" i="7"/>
  <c r="F69" i="7"/>
  <c r="F68" i="7"/>
  <c r="F67" i="7"/>
  <c r="F66" i="7"/>
  <c r="F64" i="7"/>
  <c r="F63" i="7"/>
  <c r="F62" i="7"/>
  <c r="F56" i="7"/>
  <c r="F55" i="7"/>
  <c r="F54" i="7"/>
  <c r="F50" i="7"/>
  <c r="F49" i="7"/>
  <c r="F48" i="7"/>
  <c r="F47" i="7"/>
  <c r="F45" i="7"/>
  <c r="F44" i="7"/>
  <c r="F41" i="7"/>
  <c r="F40" i="7"/>
  <c r="F110" i="4"/>
  <c r="F109" i="4"/>
  <c r="F106" i="4"/>
  <c r="F356" i="3"/>
  <c r="F260" i="3"/>
  <c r="F263" i="3"/>
  <c r="F256" i="3"/>
  <c r="F254" i="3"/>
  <c r="F246" i="3"/>
  <c r="F239" i="3"/>
  <c r="F231" i="3"/>
  <c r="F214" i="3"/>
  <c r="F203" i="3"/>
  <c r="F181" i="3"/>
  <c r="F180" i="3"/>
  <c r="F178" i="3"/>
  <c r="F177" i="3"/>
  <c r="F173" i="3"/>
  <c r="F172" i="3"/>
  <c r="F171" i="3"/>
  <c r="F170" i="3"/>
  <c r="F169" i="3"/>
  <c r="F157" i="3"/>
  <c r="F158" i="3"/>
  <c r="F159" i="3"/>
  <c r="F160" i="3"/>
  <c r="F161" i="3"/>
  <c r="F162" i="3"/>
  <c r="F163" i="3"/>
  <c r="F164" i="3"/>
  <c r="F165" i="3"/>
  <c r="F151" i="3"/>
  <c r="F152" i="3"/>
  <c r="F153" i="3"/>
  <c r="F154" i="3"/>
  <c r="F155" i="3"/>
  <c r="F156" i="3"/>
  <c r="F150" i="3"/>
  <c r="F149" i="3"/>
  <c r="F148" i="3"/>
  <c r="F147" i="3"/>
  <c r="F146" i="3"/>
  <c r="F145" i="3"/>
  <c r="F144" i="3"/>
  <c r="F143" i="3"/>
  <c r="F142" i="3"/>
  <c r="F141" i="3"/>
  <c r="F140" i="3"/>
  <c r="F139" i="3"/>
  <c r="F138" i="3"/>
  <c r="F137" i="3"/>
  <c r="F136" i="3"/>
  <c r="F135" i="3"/>
  <c r="F134" i="3"/>
  <c r="F133" i="3"/>
  <c r="F132" i="3"/>
  <c r="F128" i="3"/>
  <c r="F127" i="3"/>
  <c r="F126" i="3"/>
  <c r="F124" i="3"/>
  <c r="F123" i="3"/>
  <c r="F122" i="3"/>
  <c r="F121" i="3"/>
  <c r="F120" i="3"/>
  <c r="F117" i="3"/>
  <c r="F116" i="3"/>
  <c r="F115" i="3"/>
  <c r="F114" i="3"/>
  <c r="F112" i="3"/>
  <c r="F111" i="3"/>
  <c r="F102" i="3"/>
  <c r="F103" i="3"/>
  <c r="F104" i="3"/>
  <c r="F105" i="3"/>
  <c r="F106" i="3"/>
  <c r="F107" i="3"/>
  <c r="F101" i="3"/>
  <c r="F100" i="3"/>
  <c r="F99" i="3"/>
  <c r="F95" i="3"/>
  <c r="F94" i="3"/>
  <c r="F93" i="3"/>
  <c r="F92" i="3"/>
  <c r="F91" i="3"/>
  <c r="F89" i="3"/>
  <c r="F88" i="3"/>
  <c r="F86" i="3"/>
  <c r="F84" i="3"/>
  <c r="F76" i="3"/>
  <c r="F75" i="3"/>
  <c r="F49" i="3"/>
  <c r="F50" i="3"/>
  <c r="F51" i="3"/>
  <c r="F52" i="3"/>
  <c r="F53" i="3"/>
  <c r="F48" i="3"/>
  <c r="F41" i="3"/>
  <c r="C166" i="10" l="1"/>
  <c r="F86" i="10"/>
  <c r="F433" i="10"/>
  <c r="F432" i="10"/>
  <c r="F431" i="10"/>
  <c r="F430" i="10"/>
  <c r="F426" i="10"/>
  <c r="F425" i="10"/>
  <c r="F424" i="10"/>
  <c r="F422" i="10"/>
  <c r="F421" i="10"/>
  <c r="F420" i="10"/>
  <c r="F417" i="10"/>
  <c r="F416" i="10"/>
  <c r="F415" i="10"/>
  <c r="F414" i="10"/>
  <c r="F411" i="10"/>
  <c r="F410" i="10"/>
  <c r="F409" i="10"/>
  <c r="F408" i="10"/>
  <c r="F407" i="10"/>
  <c r="F405" i="10"/>
  <c r="F401" i="10"/>
  <c r="F399" i="10"/>
  <c r="F398" i="10"/>
  <c r="F392" i="10"/>
  <c r="F390" i="10"/>
  <c r="F388" i="10"/>
  <c r="F387" i="10"/>
  <c r="F381" i="10"/>
  <c r="F380" i="10"/>
  <c r="F373" i="10"/>
  <c r="F372" i="10"/>
  <c r="F369" i="10"/>
  <c r="F368" i="10"/>
  <c r="F367" i="10"/>
  <c r="F366" i="10"/>
  <c r="F364" i="10"/>
  <c r="F361" i="10"/>
  <c r="F359" i="10"/>
  <c r="F358" i="10"/>
  <c r="F357" i="10"/>
  <c r="F356" i="10"/>
  <c r="F354" i="10"/>
  <c r="F353" i="10"/>
  <c r="F352" i="10"/>
  <c r="F343" i="10"/>
  <c r="F342" i="10"/>
  <c r="F341" i="10"/>
  <c r="F340" i="10"/>
  <c r="F339" i="10"/>
  <c r="F338" i="10"/>
  <c r="F336" i="10"/>
  <c r="F335" i="10"/>
  <c r="F334" i="10"/>
  <c r="F333" i="10"/>
  <c r="F325" i="10"/>
  <c r="F324" i="10"/>
  <c r="F323" i="10"/>
  <c r="F322" i="10"/>
  <c r="F321" i="10"/>
  <c r="F319" i="10"/>
  <c r="F318" i="10"/>
  <c r="F317" i="10"/>
  <c r="F314" i="10"/>
  <c r="F305" i="10"/>
  <c r="F304" i="10"/>
  <c r="F301" i="10"/>
  <c r="F298" i="10"/>
  <c r="F293" i="10"/>
  <c r="F290" i="10"/>
  <c r="F284" i="10"/>
  <c r="F275" i="10"/>
  <c r="F274" i="10"/>
  <c r="F281" i="10" s="1"/>
  <c r="F270" i="10"/>
  <c r="F269" i="10"/>
  <c r="F267" i="10"/>
  <c r="F266" i="10"/>
  <c r="F264" i="10"/>
  <c r="F263" i="10"/>
  <c r="F261" i="10"/>
  <c r="F260" i="10"/>
  <c r="F259" i="10"/>
  <c r="F258" i="10"/>
  <c r="F257" i="10"/>
  <c r="F251" i="10"/>
  <c r="F250" i="10"/>
  <c r="F246" i="10"/>
  <c r="F245" i="10"/>
  <c r="F244" i="10"/>
  <c r="F230" i="10"/>
  <c r="F222" i="10"/>
  <c r="F205" i="10"/>
  <c r="F199" i="10"/>
  <c r="F197" i="10"/>
  <c r="F196" i="10"/>
  <c r="F194" i="10"/>
  <c r="F176" i="10"/>
  <c r="F172" i="10"/>
  <c r="F170" i="10"/>
  <c r="F166" i="10"/>
  <c r="F165" i="10"/>
  <c r="F164" i="10"/>
  <c r="F162" i="10"/>
  <c r="F161" i="10"/>
  <c r="F160" i="10"/>
  <c r="F156" i="10"/>
  <c r="F149" i="10"/>
  <c r="F148" i="10"/>
  <c r="F144" i="10"/>
  <c r="F143" i="10"/>
  <c r="F141" i="10"/>
  <c r="F139" i="10"/>
  <c r="F136" i="10"/>
  <c r="F135" i="10"/>
  <c r="F131" i="10"/>
  <c r="F128" i="10"/>
  <c r="F127" i="10"/>
  <c r="F125" i="10"/>
  <c r="F124" i="10"/>
  <c r="F123" i="10"/>
  <c r="F122" i="10"/>
  <c r="F117" i="10"/>
  <c r="F114" i="10"/>
  <c r="F111" i="10"/>
  <c r="F101" i="10"/>
  <c r="F100" i="10"/>
  <c r="F99" i="10"/>
  <c r="F98" i="10"/>
  <c r="F97" i="10"/>
  <c r="F96" i="10"/>
  <c r="F95" i="10"/>
  <c r="F94" i="10"/>
  <c r="F93" i="10"/>
  <c r="F90" i="10"/>
  <c r="F87" i="10"/>
  <c r="F84" i="10"/>
  <c r="F83" i="10"/>
  <c r="F81" i="10"/>
  <c r="F79" i="10"/>
  <c r="F74" i="10"/>
  <c r="F68" i="10"/>
  <c r="F67" i="10"/>
  <c r="F66" i="10"/>
  <c r="F61" i="10"/>
  <c r="F58" i="10"/>
  <c r="F54" i="10"/>
  <c r="F47" i="10"/>
  <c r="F46" i="10"/>
  <c r="F40" i="10"/>
  <c r="F39" i="10"/>
  <c r="F30" i="10"/>
  <c r="F29" i="10"/>
  <c r="F28" i="10"/>
  <c r="F25" i="10"/>
  <c r="F24" i="10"/>
  <c r="F20" i="10"/>
  <c r="F18" i="10"/>
  <c r="F16" i="10"/>
  <c r="F15" i="10"/>
  <c r="F11" i="10"/>
  <c r="F10" i="10"/>
  <c r="F9" i="10"/>
  <c r="F7" i="10"/>
  <c r="F6" i="10"/>
  <c r="F157" i="10" l="1"/>
  <c r="F271" i="10"/>
  <c r="F291" i="10"/>
  <c r="F120" i="10"/>
  <c r="F36" i="10"/>
  <c r="F255" i="10"/>
  <c r="F350" i="10"/>
  <c r="F395" i="10"/>
  <c r="F434" i="10"/>
  <c r="F427" i="10"/>
  <c r="F102" i="10"/>
  <c r="F173" i="10"/>
  <c r="F7" i="7"/>
  <c r="F6" i="7"/>
  <c r="F31" i="7"/>
  <c r="C179" i="3" l="1"/>
  <c r="F179" i="3" s="1"/>
  <c r="C175" i="3"/>
  <c r="F73" i="3"/>
  <c r="F10" i="3"/>
  <c r="F32" i="3"/>
  <c r="F441" i="3"/>
  <c r="F433" i="3"/>
  <c r="F432" i="3"/>
  <c r="F431" i="3"/>
  <c r="F429" i="3"/>
  <c r="F428" i="3"/>
  <c r="F427" i="3"/>
  <c r="F424" i="3"/>
  <c r="F423" i="3"/>
  <c r="F422" i="3"/>
  <c r="F421" i="3"/>
  <c r="F418" i="3"/>
  <c r="F417" i="3"/>
  <c r="F416" i="3"/>
  <c r="F415" i="3"/>
  <c r="F414" i="3"/>
  <c r="F412" i="3"/>
  <c r="F408" i="3"/>
  <c r="F406" i="3"/>
  <c r="F405" i="3"/>
  <c r="F399" i="3"/>
  <c r="F397" i="3"/>
  <c r="F395" i="3"/>
  <c r="F394" i="3"/>
  <c r="F388" i="3"/>
  <c r="F387" i="3"/>
  <c r="F380" i="3"/>
  <c r="F379" i="3"/>
  <c r="F376" i="3"/>
  <c r="F375" i="3"/>
  <c r="F374" i="3"/>
  <c r="F373" i="3"/>
  <c r="F371" i="3"/>
  <c r="F368" i="3"/>
  <c r="F366" i="3"/>
  <c r="F365" i="3"/>
  <c r="F364" i="3"/>
  <c r="F363" i="3"/>
  <c r="F361" i="3"/>
  <c r="F360" i="3"/>
  <c r="F359" i="3"/>
  <c r="F355" i="3"/>
  <c r="F354" i="3"/>
  <c r="F353" i="3"/>
  <c r="F351" i="3"/>
  <c r="F350" i="3"/>
  <c r="F349" i="3"/>
  <c r="F348" i="3"/>
  <c r="F347" i="3"/>
  <c r="F346" i="3"/>
  <c r="F344" i="3"/>
  <c r="F343" i="3"/>
  <c r="F342" i="3"/>
  <c r="F334" i="3"/>
  <c r="F333" i="3"/>
  <c r="F332" i="3"/>
  <c r="F331" i="3"/>
  <c r="F330" i="3"/>
  <c r="F328" i="3"/>
  <c r="F327" i="3"/>
  <c r="F326" i="3"/>
  <c r="F323" i="3"/>
  <c r="F314" i="3"/>
  <c r="F313" i="3"/>
  <c r="F310" i="3"/>
  <c r="F307" i="3"/>
  <c r="F302" i="3"/>
  <c r="F299" i="3"/>
  <c r="F293" i="3"/>
  <c r="F284" i="3"/>
  <c r="F283" i="3"/>
  <c r="F279" i="3"/>
  <c r="F278" i="3"/>
  <c r="F276" i="3"/>
  <c r="F275" i="3"/>
  <c r="F273" i="3"/>
  <c r="F272" i="3"/>
  <c r="F269" i="3"/>
  <c r="F268" i="3"/>
  <c r="F267" i="3"/>
  <c r="F266" i="3"/>
  <c r="F259" i="3"/>
  <c r="F255" i="3"/>
  <c r="F253" i="3"/>
  <c r="F208" i="3"/>
  <c r="F206" i="3"/>
  <c r="F205" i="3"/>
  <c r="F185" i="3"/>
  <c r="F175" i="3"/>
  <c r="F174" i="3"/>
  <c r="F79" i="3"/>
  <c r="F72" i="3"/>
  <c r="F71" i="3"/>
  <c r="F70" i="3"/>
  <c r="F65" i="3"/>
  <c r="F62" i="3"/>
  <c r="F58" i="3"/>
  <c r="F31" i="3"/>
  <c r="F30" i="3"/>
  <c r="F29" i="3"/>
  <c r="F26" i="3"/>
  <c r="F25" i="3"/>
  <c r="F21" i="3"/>
  <c r="F19" i="3"/>
  <c r="F17" i="3"/>
  <c r="F16" i="3"/>
  <c r="F11" i="3"/>
  <c r="F8" i="3"/>
  <c r="F7" i="3"/>
  <c r="F290" i="3" l="1"/>
  <c r="F434" i="3"/>
  <c r="F38" i="3"/>
  <c r="F357" i="3"/>
  <c r="F108" i="3"/>
  <c r="F264" i="3"/>
  <c r="F280" i="3"/>
  <c r="F300" i="3"/>
  <c r="F402" i="3"/>
  <c r="F129" i="3"/>
  <c r="F182" i="3"/>
  <c r="F166" i="3"/>
  <c r="F147" i="4"/>
  <c r="C140" i="5"/>
  <c r="C157" i="5"/>
  <c r="C171" i="4"/>
  <c r="F171" i="4" s="1"/>
  <c r="C167" i="4"/>
  <c r="F116" i="4"/>
  <c r="F206" i="4"/>
  <c r="F195" i="4"/>
  <c r="F40" i="4"/>
  <c r="F19" i="4"/>
  <c r="F433" i="4"/>
  <c r="F425" i="4"/>
  <c r="F424" i="4"/>
  <c r="F423" i="4"/>
  <c r="F421" i="4"/>
  <c r="F420" i="4"/>
  <c r="F419" i="4"/>
  <c r="F416" i="4"/>
  <c r="F415" i="4"/>
  <c r="F414" i="4"/>
  <c r="F413" i="4"/>
  <c r="F410" i="4"/>
  <c r="F409" i="4"/>
  <c r="F408" i="4"/>
  <c r="F407" i="4"/>
  <c r="F406" i="4"/>
  <c r="F404" i="4"/>
  <c r="F400" i="4"/>
  <c r="F398" i="4"/>
  <c r="F397" i="4"/>
  <c r="F391" i="4"/>
  <c r="F389" i="4"/>
  <c r="F387" i="4"/>
  <c r="F386" i="4"/>
  <c r="F380" i="4"/>
  <c r="F379" i="4"/>
  <c r="F372" i="4"/>
  <c r="F371" i="4"/>
  <c r="F368" i="4"/>
  <c r="F367" i="4"/>
  <c r="F366" i="4"/>
  <c r="F365" i="4"/>
  <c r="F363" i="4"/>
  <c r="F360" i="4"/>
  <c r="F358" i="4"/>
  <c r="F357" i="4"/>
  <c r="F356" i="4"/>
  <c r="F355" i="4"/>
  <c r="F353" i="4"/>
  <c r="F352" i="4"/>
  <c r="F351" i="4"/>
  <c r="F348" i="4"/>
  <c r="F347" i="4"/>
  <c r="F346" i="4"/>
  <c r="F345" i="4"/>
  <c r="F343" i="4"/>
  <c r="F342" i="4"/>
  <c r="F341" i="4"/>
  <c r="F340" i="4"/>
  <c r="F339" i="4"/>
  <c r="F338" i="4"/>
  <c r="F336" i="4"/>
  <c r="F335" i="4"/>
  <c r="F334" i="4"/>
  <c r="F326" i="4"/>
  <c r="F325" i="4"/>
  <c r="F324" i="4"/>
  <c r="F323" i="4"/>
  <c r="F322" i="4"/>
  <c r="F320" i="4"/>
  <c r="F319" i="4"/>
  <c r="F318" i="4"/>
  <c r="F315" i="4"/>
  <c r="F306" i="4"/>
  <c r="F305" i="4"/>
  <c r="F302" i="4"/>
  <c r="F299" i="4"/>
  <c r="F294" i="4"/>
  <c r="F291" i="4"/>
  <c r="F285" i="4"/>
  <c r="F276" i="4"/>
  <c r="F275" i="4"/>
  <c r="F271" i="4"/>
  <c r="F270" i="4"/>
  <c r="F268" i="4"/>
  <c r="F267" i="4"/>
  <c r="F265" i="4"/>
  <c r="F264" i="4"/>
  <c r="F262" i="4"/>
  <c r="F261" i="4"/>
  <c r="F260" i="4"/>
  <c r="F259" i="4"/>
  <c r="F258" i="4"/>
  <c r="F252" i="4"/>
  <c r="F251" i="4"/>
  <c r="F247" i="4"/>
  <c r="F246" i="4"/>
  <c r="F245" i="4"/>
  <c r="F231" i="4"/>
  <c r="F223" i="4"/>
  <c r="F200" i="4"/>
  <c r="F198" i="4"/>
  <c r="F197" i="4"/>
  <c r="F177" i="4"/>
  <c r="F173" i="4"/>
  <c r="F166" i="4"/>
  <c r="F165" i="4"/>
  <c r="F163" i="4"/>
  <c r="F162" i="4"/>
  <c r="F161" i="4"/>
  <c r="F157" i="4"/>
  <c r="F150" i="4"/>
  <c r="F149" i="4"/>
  <c r="F145" i="4"/>
  <c r="F144" i="4"/>
  <c r="F142" i="4"/>
  <c r="F140" i="4"/>
  <c r="F137" i="4"/>
  <c r="F136" i="4"/>
  <c r="F132" i="4"/>
  <c r="F129" i="4"/>
  <c r="F128" i="4"/>
  <c r="F126" i="4"/>
  <c r="F125" i="4"/>
  <c r="F124" i="4"/>
  <c r="F123" i="4"/>
  <c r="F118" i="4"/>
  <c r="F115" i="4"/>
  <c r="F112" i="4"/>
  <c r="F102" i="4"/>
  <c r="F101" i="4"/>
  <c r="F100" i="4"/>
  <c r="F99" i="4"/>
  <c r="F98" i="4"/>
  <c r="F97" i="4"/>
  <c r="F96" i="4"/>
  <c r="F95" i="4"/>
  <c r="F94" i="4"/>
  <c r="F91" i="4"/>
  <c r="F88" i="4"/>
  <c r="F84" i="4"/>
  <c r="F82" i="4"/>
  <c r="F80" i="4"/>
  <c r="F75" i="4"/>
  <c r="F69" i="4"/>
  <c r="F68" i="4"/>
  <c r="F67" i="4"/>
  <c r="F62" i="4"/>
  <c r="F59" i="4"/>
  <c r="F47" i="4"/>
  <c r="F48" i="4"/>
  <c r="F41" i="4"/>
  <c r="F31" i="4"/>
  <c r="F30" i="4"/>
  <c r="F29" i="4"/>
  <c r="F26" i="4"/>
  <c r="F25" i="4"/>
  <c r="F21" i="4"/>
  <c r="F17" i="4"/>
  <c r="F16" i="4"/>
  <c r="F11" i="4"/>
  <c r="F10" i="4"/>
  <c r="F8" i="4"/>
  <c r="F7" i="4"/>
  <c r="F349" i="4" l="1"/>
  <c r="F292" i="4"/>
  <c r="F282" i="4"/>
  <c r="F158" i="4"/>
  <c r="F256" i="4"/>
  <c r="F121" i="4"/>
  <c r="F394" i="4"/>
  <c r="F37" i="4"/>
  <c r="F272" i="4"/>
  <c r="F426" i="4"/>
  <c r="F55" i="4"/>
  <c r="F103" i="4" s="1"/>
  <c r="F167" i="4"/>
  <c r="F174" i="4" s="1"/>
  <c r="F90" i="9"/>
  <c r="F349" i="9"/>
  <c r="F336" i="9" l="1"/>
  <c r="C170" i="9"/>
  <c r="C166" i="9"/>
  <c r="F11" i="9"/>
  <c r="F433" i="9" l="1"/>
  <c r="F432" i="9"/>
  <c r="F431" i="9"/>
  <c r="F430" i="9"/>
  <c r="F426" i="9"/>
  <c r="F425" i="9"/>
  <c r="F424" i="9"/>
  <c r="F422" i="9"/>
  <c r="F421" i="9"/>
  <c r="F420" i="9"/>
  <c r="F417" i="9"/>
  <c r="F416" i="9"/>
  <c r="F415" i="9"/>
  <c r="F414" i="9"/>
  <c r="F411" i="9"/>
  <c r="F410" i="9"/>
  <c r="F409" i="9"/>
  <c r="F408" i="9"/>
  <c r="F407" i="9"/>
  <c r="F405" i="9"/>
  <c r="F401" i="9"/>
  <c r="F399" i="9"/>
  <c r="F398" i="9"/>
  <c r="F392" i="9"/>
  <c r="F390" i="9"/>
  <c r="F388" i="9"/>
  <c r="F387" i="9"/>
  <c r="F381" i="9"/>
  <c r="F380" i="9"/>
  <c r="F373" i="9"/>
  <c r="F372" i="9"/>
  <c r="F369" i="9"/>
  <c r="F368" i="9"/>
  <c r="F367" i="9"/>
  <c r="F366" i="9"/>
  <c r="F364" i="9"/>
  <c r="F361" i="9"/>
  <c r="F359" i="9"/>
  <c r="F358" i="9"/>
  <c r="F357" i="9"/>
  <c r="F356" i="9"/>
  <c r="F354" i="9"/>
  <c r="F353" i="9"/>
  <c r="F352" i="9"/>
  <c r="F348" i="9"/>
  <c r="F347" i="9"/>
  <c r="F346" i="9"/>
  <c r="F345" i="9"/>
  <c r="F335" i="9"/>
  <c r="F334" i="9"/>
  <c r="F333" i="9"/>
  <c r="F325" i="9"/>
  <c r="F324" i="9"/>
  <c r="F323" i="9"/>
  <c r="F322" i="9"/>
  <c r="F321" i="9"/>
  <c r="F319" i="9"/>
  <c r="F318" i="9"/>
  <c r="F317" i="9"/>
  <c r="F314" i="9"/>
  <c r="F305" i="9"/>
  <c r="F304" i="9"/>
  <c r="F301" i="9"/>
  <c r="F298" i="9"/>
  <c r="F293" i="9"/>
  <c r="F290" i="9"/>
  <c r="F284" i="9"/>
  <c r="F275" i="9"/>
  <c r="F274" i="9"/>
  <c r="F270" i="9"/>
  <c r="F269" i="9"/>
  <c r="F267" i="9"/>
  <c r="F266" i="9"/>
  <c r="F264" i="9"/>
  <c r="F263" i="9"/>
  <c r="F261" i="9"/>
  <c r="F260" i="9"/>
  <c r="F259" i="9"/>
  <c r="F258" i="9"/>
  <c r="F257" i="9"/>
  <c r="F251" i="9"/>
  <c r="F250" i="9"/>
  <c r="F246" i="9"/>
  <c r="F245" i="9"/>
  <c r="F244" i="9"/>
  <c r="F230" i="9"/>
  <c r="F222" i="9"/>
  <c r="F205" i="9"/>
  <c r="F199" i="9"/>
  <c r="F197" i="9"/>
  <c r="F196" i="9"/>
  <c r="F194" i="9"/>
  <c r="F176" i="9"/>
  <c r="F172" i="9"/>
  <c r="F170" i="9"/>
  <c r="F166" i="9"/>
  <c r="F165" i="9"/>
  <c r="F164" i="9"/>
  <c r="F162" i="9"/>
  <c r="F161" i="9"/>
  <c r="F160" i="9"/>
  <c r="F156" i="9"/>
  <c r="F149" i="9"/>
  <c r="F148" i="9"/>
  <c r="F144" i="9"/>
  <c r="F143" i="9"/>
  <c r="F141" i="9"/>
  <c r="F139" i="9"/>
  <c r="F136" i="9"/>
  <c r="F135" i="9"/>
  <c r="F131" i="9"/>
  <c r="F128" i="9"/>
  <c r="F127" i="9"/>
  <c r="F125" i="9"/>
  <c r="F124" i="9"/>
  <c r="F123" i="9"/>
  <c r="F122" i="9"/>
  <c r="F117" i="9"/>
  <c r="F114" i="9"/>
  <c r="F111" i="9"/>
  <c r="F101" i="9"/>
  <c r="F100" i="9"/>
  <c r="F99" i="9"/>
  <c r="F98" i="9"/>
  <c r="F97" i="9"/>
  <c r="F96" i="9"/>
  <c r="F95" i="9"/>
  <c r="F94" i="9"/>
  <c r="F93" i="9"/>
  <c r="F87" i="9"/>
  <c r="F84" i="9"/>
  <c r="F83" i="9"/>
  <c r="F81" i="9"/>
  <c r="F79" i="9"/>
  <c r="F74" i="9"/>
  <c r="F68" i="9"/>
  <c r="F67" i="9"/>
  <c r="F66" i="9"/>
  <c r="F61" i="9"/>
  <c r="F58" i="9"/>
  <c r="F54" i="9"/>
  <c r="F47" i="9"/>
  <c r="F46" i="9"/>
  <c r="F40" i="9"/>
  <c r="F39" i="9"/>
  <c r="F30" i="9"/>
  <c r="F29" i="9"/>
  <c r="F28" i="9"/>
  <c r="F25" i="9"/>
  <c r="F24" i="9"/>
  <c r="F20" i="9"/>
  <c r="F18" i="9"/>
  <c r="F16" i="9"/>
  <c r="F15" i="9"/>
  <c r="F10" i="9"/>
  <c r="F9" i="9"/>
  <c r="F7" i="9"/>
  <c r="F6" i="9"/>
  <c r="F291" i="9" l="1"/>
  <c r="F157" i="9"/>
  <c r="F434" i="9"/>
  <c r="F350" i="9"/>
  <c r="F395" i="9"/>
  <c r="F173" i="9"/>
  <c r="F120" i="9"/>
  <c r="F255" i="9"/>
  <c r="F102" i="9"/>
  <c r="F271" i="9"/>
  <c r="F281" i="9"/>
  <c r="F427" i="9"/>
  <c r="F36" i="9"/>
  <c r="C259" i="8"/>
  <c r="F259" i="8" s="1"/>
  <c r="F9" i="8"/>
  <c r="F431" i="8"/>
  <c r="F430" i="8"/>
  <c r="F429" i="8"/>
  <c r="F428" i="8"/>
  <c r="F424" i="8"/>
  <c r="F423" i="8"/>
  <c r="F422" i="8"/>
  <c r="F420" i="8"/>
  <c r="F419" i="8"/>
  <c r="F418" i="8"/>
  <c r="F415" i="8"/>
  <c r="F414" i="8"/>
  <c r="F413" i="8"/>
  <c r="F412" i="8"/>
  <c r="F409" i="8"/>
  <c r="F408" i="8"/>
  <c r="F407" i="8"/>
  <c r="F406" i="8"/>
  <c r="F405" i="8"/>
  <c r="F403" i="8"/>
  <c r="F399" i="8"/>
  <c r="F397" i="8"/>
  <c r="F396" i="8"/>
  <c r="F390" i="8"/>
  <c r="F388" i="8"/>
  <c r="F386" i="8"/>
  <c r="F385" i="8"/>
  <c r="F379" i="8"/>
  <c r="F378" i="8"/>
  <c r="F371" i="8"/>
  <c r="F370" i="8"/>
  <c r="F367" i="8"/>
  <c r="F366" i="8"/>
  <c r="F365" i="8"/>
  <c r="F364" i="8"/>
  <c r="F362" i="8"/>
  <c r="F359" i="8"/>
  <c r="F357" i="8"/>
  <c r="F356" i="8"/>
  <c r="F355" i="8"/>
  <c r="F354" i="8"/>
  <c r="F352" i="8"/>
  <c r="F351" i="8"/>
  <c r="F350" i="8"/>
  <c r="F347" i="8"/>
  <c r="F346" i="8"/>
  <c r="F345" i="8"/>
  <c r="F344" i="8"/>
  <c r="F342" i="8"/>
  <c r="F341" i="8"/>
  <c r="F340" i="8"/>
  <c r="F339" i="8"/>
  <c r="F338" i="8"/>
  <c r="F337" i="8"/>
  <c r="F335" i="8"/>
  <c r="F334" i="8"/>
  <c r="F333" i="8"/>
  <c r="F325" i="8"/>
  <c r="F324" i="8"/>
  <c r="F323" i="8"/>
  <c r="F322" i="8"/>
  <c r="F321" i="8"/>
  <c r="F319" i="8"/>
  <c r="F318" i="8"/>
  <c r="F317" i="8"/>
  <c r="F314" i="8"/>
  <c r="F305" i="8"/>
  <c r="F304" i="8"/>
  <c r="F301" i="8"/>
  <c r="F298" i="8"/>
  <c r="F293" i="8"/>
  <c r="F290" i="8"/>
  <c r="F284" i="8"/>
  <c r="F275" i="8"/>
  <c r="F274" i="8"/>
  <c r="F270" i="8"/>
  <c r="F269" i="8"/>
  <c r="F267" i="8"/>
  <c r="F266" i="8"/>
  <c r="F264" i="8"/>
  <c r="F263" i="8"/>
  <c r="F261" i="8"/>
  <c r="F260" i="8"/>
  <c r="F258" i="8"/>
  <c r="F257" i="8"/>
  <c r="F251" i="8"/>
  <c r="F250" i="8"/>
  <c r="F246" i="8"/>
  <c r="F245" i="8"/>
  <c r="F244" i="8"/>
  <c r="F230" i="8"/>
  <c r="F222" i="8"/>
  <c r="F205" i="8"/>
  <c r="F199" i="8"/>
  <c r="F197" i="8"/>
  <c r="F196" i="8"/>
  <c r="F194" i="8"/>
  <c r="F176" i="8"/>
  <c r="F172" i="8"/>
  <c r="F170" i="8"/>
  <c r="F166" i="8"/>
  <c r="F165" i="8"/>
  <c r="F164" i="8"/>
  <c r="F162" i="8"/>
  <c r="F161" i="8"/>
  <c r="F160" i="8"/>
  <c r="F156" i="8"/>
  <c r="F149" i="8"/>
  <c r="F148" i="8"/>
  <c r="F144" i="8"/>
  <c r="F143" i="8"/>
  <c r="F141" i="8"/>
  <c r="F139" i="8"/>
  <c r="F136" i="8"/>
  <c r="F135" i="8"/>
  <c r="F131" i="8"/>
  <c r="F128" i="8"/>
  <c r="F127" i="8"/>
  <c r="F125" i="8"/>
  <c r="F124" i="8"/>
  <c r="F123" i="8"/>
  <c r="F122" i="8"/>
  <c r="F117" i="8"/>
  <c r="F114" i="8"/>
  <c r="F111" i="8"/>
  <c r="F101" i="8"/>
  <c r="F100" i="8"/>
  <c r="F99" i="8"/>
  <c r="F98" i="8"/>
  <c r="F97" i="8"/>
  <c r="F96" i="8"/>
  <c r="F95" i="8"/>
  <c r="F94" i="8"/>
  <c r="F93" i="8"/>
  <c r="F90" i="8"/>
  <c r="F87" i="8"/>
  <c r="F84" i="8"/>
  <c r="F83" i="8"/>
  <c r="F81" i="8"/>
  <c r="F79" i="8"/>
  <c r="F74" i="8"/>
  <c r="F68" i="8"/>
  <c r="F67" i="8"/>
  <c r="F66" i="8"/>
  <c r="F61" i="8"/>
  <c r="F58" i="8"/>
  <c r="F54" i="8"/>
  <c r="F47" i="8"/>
  <c r="F46" i="8"/>
  <c r="F40" i="8"/>
  <c r="F39" i="8"/>
  <c r="F30" i="8"/>
  <c r="F29" i="8"/>
  <c r="F28" i="8"/>
  <c r="F25" i="8"/>
  <c r="F24" i="8"/>
  <c r="F20" i="8"/>
  <c r="F18" i="8"/>
  <c r="F16" i="8"/>
  <c r="F15" i="8"/>
  <c r="F10" i="8"/>
  <c r="F7" i="8"/>
  <c r="F6" i="8"/>
  <c r="F433" i="7"/>
  <c r="F432" i="7"/>
  <c r="F431" i="7"/>
  <c r="F430" i="7"/>
  <c r="F426" i="7"/>
  <c r="F425" i="7"/>
  <c r="F424" i="7"/>
  <c r="F422" i="7"/>
  <c r="F421" i="7"/>
  <c r="F420" i="7"/>
  <c r="F417" i="7"/>
  <c r="F416" i="7"/>
  <c r="F415" i="7"/>
  <c r="F414" i="7"/>
  <c r="F411" i="7"/>
  <c r="F410" i="7"/>
  <c r="F409" i="7"/>
  <c r="F408" i="7"/>
  <c r="F407" i="7"/>
  <c r="F405" i="7"/>
  <c r="F401" i="7"/>
  <c r="F398" i="7"/>
  <c r="F392" i="7"/>
  <c r="F390" i="7"/>
  <c r="F388" i="7"/>
  <c r="F387" i="7"/>
  <c r="F381" i="7"/>
  <c r="F380" i="7"/>
  <c r="F373" i="7"/>
  <c r="F372" i="7"/>
  <c r="F369" i="7"/>
  <c r="F368" i="7"/>
  <c r="F367" i="7"/>
  <c r="F366" i="7"/>
  <c r="F364" i="7"/>
  <c r="F361" i="7"/>
  <c r="F359" i="7"/>
  <c r="F358" i="7"/>
  <c r="F357" i="7"/>
  <c r="F356" i="7"/>
  <c r="F354" i="7"/>
  <c r="F353" i="7"/>
  <c r="F352" i="7"/>
  <c r="F349" i="7"/>
  <c r="F348" i="7"/>
  <c r="F347" i="7"/>
  <c r="F346" i="7"/>
  <c r="F344" i="7"/>
  <c r="F343" i="7"/>
  <c r="F342" i="7"/>
  <c r="F341" i="7"/>
  <c r="F340" i="7"/>
  <c r="F339" i="7"/>
  <c r="F337" i="7"/>
  <c r="F336" i="7"/>
  <c r="F335" i="7"/>
  <c r="F327" i="7"/>
  <c r="F326" i="7"/>
  <c r="F325" i="7"/>
  <c r="F324" i="7"/>
  <c r="F323" i="7"/>
  <c r="F321" i="7"/>
  <c r="F320" i="7"/>
  <c r="F319" i="7"/>
  <c r="F316" i="7"/>
  <c r="F307" i="7"/>
  <c r="F306" i="7"/>
  <c r="F303" i="7"/>
  <c r="F300" i="7"/>
  <c r="F295" i="7"/>
  <c r="F292" i="7"/>
  <c r="F286" i="7"/>
  <c r="F277" i="7"/>
  <c r="F276" i="7"/>
  <c r="F272" i="7"/>
  <c r="F271" i="7"/>
  <c r="F269" i="7"/>
  <c r="F268" i="7"/>
  <c r="F266" i="7"/>
  <c r="F265" i="7"/>
  <c r="F263" i="7"/>
  <c r="F262" i="7"/>
  <c r="F261" i="7"/>
  <c r="F260" i="7"/>
  <c r="F259" i="7"/>
  <c r="F253" i="7"/>
  <c r="F252" i="7"/>
  <c r="F248" i="7"/>
  <c r="F247" i="7"/>
  <c r="F246" i="7"/>
  <c r="F232" i="7"/>
  <c r="F224" i="7"/>
  <c r="F207" i="7"/>
  <c r="F201" i="7"/>
  <c r="F199" i="7"/>
  <c r="F198" i="7"/>
  <c r="F196" i="7"/>
  <c r="F178" i="7"/>
  <c r="F174" i="7"/>
  <c r="F172" i="7"/>
  <c r="F168" i="7"/>
  <c r="F167" i="7"/>
  <c r="F166" i="7"/>
  <c r="F164" i="7"/>
  <c r="F163" i="7"/>
  <c r="F162" i="7"/>
  <c r="F138" i="7"/>
  <c r="F137" i="7"/>
  <c r="F133" i="7"/>
  <c r="F130" i="7"/>
  <c r="F129" i="7"/>
  <c r="F127" i="7"/>
  <c r="F126" i="7"/>
  <c r="F125" i="7"/>
  <c r="F124" i="7"/>
  <c r="F119" i="7"/>
  <c r="F116" i="7"/>
  <c r="F113" i="7"/>
  <c r="F103" i="7"/>
  <c r="F102" i="7"/>
  <c r="F101" i="7"/>
  <c r="F100" i="7"/>
  <c r="F99" i="7"/>
  <c r="F98" i="7"/>
  <c r="F97" i="7"/>
  <c r="F96" i="7"/>
  <c r="F95" i="7"/>
  <c r="F59" i="7"/>
  <c r="F30" i="7"/>
  <c r="F29" i="7"/>
  <c r="F28" i="7"/>
  <c r="F25" i="7"/>
  <c r="F24" i="7"/>
  <c r="F20" i="7"/>
  <c r="F18" i="7"/>
  <c r="F16" i="7"/>
  <c r="F15" i="7"/>
  <c r="F10" i="7"/>
  <c r="F9" i="7"/>
  <c r="C398" i="6"/>
  <c r="C408" i="6" s="1"/>
  <c r="F408" i="6" s="1"/>
  <c r="C139" i="6"/>
  <c r="F149" i="6"/>
  <c r="C167" i="6"/>
  <c r="F167" i="6" s="1"/>
  <c r="C171" i="6"/>
  <c r="F171" i="6" s="1"/>
  <c r="F206" i="6"/>
  <c r="F432" i="6"/>
  <c r="F431" i="6"/>
  <c r="F430" i="6"/>
  <c r="F429" i="6"/>
  <c r="F425" i="6"/>
  <c r="F424" i="6"/>
  <c r="F423" i="6"/>
  <c r="F421" i="6"/>
  <c r="F420" i="6"/>
  <c r="F419" i="6"/>
  <c r="F416" i="6"/>
  <c r="F415" i="6"/>
  <c r="F414" i="6"/>
  <c r="F413" i="6"/>
  <c r="F410" i="6"/>
  <c r="F409" i="6"/>
  <c r="F407" i="6"/>
  <c r="F406" i="6"/>
  <c r="F404" i="6"/>
  <c r="F400" i="6"/>
  <c r="F397" i="6"/>
  <c r="F391" i="6"/>
  <c r="F389" i="6"/>
  <c r="F387" i="6"/>
  <c r="F386" i="6"/>
  <c r="F380" i="6"/>
  <c r="F379" i="6"/>
  <c r="F372" i="6"/>
  <c r="F371" i="6"/>
  <c r="F368" i="6"/>
  <c r="F367" i="6"/>
  <c r="F366" i="6"/>
  <c r="F365" i="6"/>
  <c r="F363" i="6"/>
  <c r="F360" i="6"/>
  <c r="F358" i="6"/>
  <c r="F357" i="6"/>
  <c r="F356" i="6"/>
  <c r="F355" i="6"/>
  <c r="F353" i="6"/>
  <c r="F352" i="6"/>
  <c r="F351" i="6"/>
  <c r="F348" i="6"/>
  <c r="F347" i="6"/>
  <c r="F346" i="6"/>
  <c r="F345" i="6"/>
  <c r="F343" i="6"/>
  <c r="F342" i="6"/>
  <c r="F341" i="6"/>
  <c r="F340" i="6"/>
  <c r="F339" i="6"/>
  <c r="F338" i="6"/>
  <c r="F336" i="6"/>
  <c r="F335" i="6"/>
  <c r="F334" i="6"/>
  <c r="F326" i="6"/>
  <c r="F325" i="6"/>
  <c r="F324" i="6"/>
  <c r="F323" i="6"/>
  <c r="F322" i="6"/>
  <c r="F320" i="6"/>
  <c r="F319" i="6"/>
  <c r="F318" i="6"/>
  <c r="F315" i="6"/>
  <c r="F306" i="6"/>
  <c r="F305" i="6"/>
  <c r="F302" i="6"/>
  <c r="F299" i="6"/>
  <c r="F294" i="6"/>
  <c r="F291" i="6"/>
  <c r="F285" i="6"/>
  <c r="F276" i="6"/>
  <c r="F275" i="6"/>
  <c r="F271" i="6"/>
  <c r="F270" i="6"/>
  <c r="F268" i="6"/>
  <c r="F267" i="6"/>
  <c r="F265" i="6"/>
  <c r="F264" i="6"/>
  <c r="F262" i="6"/>
  <c r="F261" i="6"/>
  <c r="F260" i="6"/>
  <c r="F259" i="6"/>
  <c r="F258" i="6"/>
  <c r="F252" i="6"/>
  <c r="F251" i="6"/>
  <c r="F247" i="6"/>
  <c r="F246" i="6"/>
  <c r="F245" i="6"/>
  <c r="F231" i="6"/>
  <c r="F223" i="6"/>
  <c r="F200" i="6"/>
  <c r="F198" i="6"/>
  <c r="F197" i="6"/>
  <c r="F195" i="6"/>
  <c r="F177" i="6"/>
  <c r="F173" i="6"/>
  <c r="F166" i="6"/>
  <c r="F165" i="6"/>
  <c r="F163" i="6"/>
  <c r="F162" i="6"/>
  <c r="F161" i="6"/>
  <c r="F157" i="6"/>
  <c r="F148" i="6"/>
  <c r="F144" i="6"/>
  <c r="F143" i="6"/>
  <c r="F141" i="6"/>
  <c r="F139" i="6"/>
  <c r="F136" i="6"/>
  <c r="F135" i="6"/>
  <c r="F131" i="6"/>
  <c r="F128" i="6"/>
  <c r="F127" i="6"/>
  <c r="F125" i="6"/>
  <c r="F124" i="6"/>
  <c r="F123" i="6"/>
  <c r="F122" i="6"/>
  <c r="F117" i="6"/>
  <c r="F114" i="6"/>
  <c r="F111" i="6"/>
  <c r="F101" i="6"/>
  <c r="F100" i="6"/>
  <c r="F99" i="6"/>
  <c r="F98" i="6"/>
  <c r="F97" i="6"/>
  <c r="F96" i="6"/>
  <c r="F95" i="6"/>
  <c r="F94" i="6"/>
  <c r="F93" i="6"/>
  <c r="F90" i="6"/>
  <c r="F87" i="6"/>
  <c r="F83" i="6"/>
  <c r="F81" i="6"/>
  <c r="F79" i="6"/>
  <c r="F74" i="6"/>
  <c r="F68" i="6"/>
  <c r="F67" i="6"/>
  <c r="F66" i="6"/>
  <c r="F61" i="6"/>
  <c r="F58" i="6"/>
  <c r="F54" i="6"/>
  <c r="F47" i="6"/>
  <c r="F46" i="6"/>
  <c r="F40" i="6"/>
  <c r="F39" i="6"/>
  <c r="F30" i="6"/>
  <c r="F29" i="6"/>
  <c r="F28" i="6"/>
  <c r="F25" i="6"/>
  <c r="F24" i="6"/>
  <c r="F20" i="6"/>
  <c r="F18" i="6"/>
  <c r="F16" i="6"/>
  <c r="F15" i="6"/>
  <c r="F10" i="6"/>
  <c r="F9" i="6"/>
  <c r="F7" i="6"/>
  <c r="F6" i="6"/>
  <c r="C171" i="5"/>
  <c r="C167" i="5"/>
  <c r="F26" i="5"/>
  <c r="F7" i="5"/>
  <c r="F293" i="7" l="1"/>
  <c r="F159" i="7"/>
  <c r="C399" i="6"/>
  <c r="F398" i="6"/>
  <c r="F426" i="6" s="1"/>
  <c r="F122" i="7"/>
  <c r="F282" i="6"/>
  <c r="F291" i="8"/>
  <c r="F281" i="8"/>
  <c r="F273" i="7"/>
  <c r="F157" i="8"/>
  <c r="F173" i="8"/>
  <c r="F255" i="8"/>
  <c r="F348" i="8"/>
  <c r="F393" i="8"/>
  <c r="F432" i="8"/>
  <c r="F120" i="8"/>
  <c r="F425" i="8"/>
  <c r="F271" i="8"/>
  <c r="F36" i="8"/>
  <c r="F102" i="8"/>
  <c r="F37" i="7"/>
  <c r="F434" i="7"/>
  <c r="F395" i="7"/>
  <c r="F104" i="7"/>
  <c r="F175" i="7"/>
  <c r="F257" i="7"/>
  <c r="F283" i="7"/>
  <c r="F350" i="7"/>
  <c r="F399" i="7"/>
  <c r="F427" i="7" s="1"/>
  <c r="F292" i="6"/>
  <c r="F120" i="6"/>
  <c r="F36" i="6"/>
  <c r="F349" i="6"/>
  <c r="F394" i="6"/>
  <c r="F433" i="6"/>
  <c r="F102" i="6"/>
  <c r="F158" i="6"/>
  <c r="F174" i="6"/>
  <c r="F256" i="6"/>
  <c r="F272" i="6"/>
  <c r="F432" i="5"/>
  <c r="F431" i="5"/>
  <c r="F430" i="5"/>
  <c r="F429" i="5"/>
  <c r="F425" i="5"/>
  <c r="F424" i="5"/>
  <c r="F423" i="5"/>
  <c r="F421" i="5"/>
  <c r="F420" i="5"/>
  <c r="F419" i="5"/>
  <c r="F416" i="5"/>
  <c r="F415" i="5"/>
  <c r="F414" i="5"/>
  <c r="F413" i="5"/>
  <c r="F410" i="5"/>
  <c r="F409" i="5"/>
  <c r="F407" i="5"/>
  <c r="F406" i="5"/>
  <c r="F404" i="5"/>
  <c r="F400" i="5"/>
  <c r="F398" i="5"/>
  <c r="F397" i="5"/>
  <c r="F391" i="5"/>
  <c r="F389" i="5"/>
  <c r="F387" i="5"/>
  <c r="F386" i="5"/>
  <c r="F380" i="5"/>
  <c r="F379" i="5"/>
  <c r="F372" i="5"/>
  <c r="F371" i="5"/>
  <c r="F368" i="5"/>
  <c r="F367" i="5"/>
  <c r="F366" i="5"/>
  <c r="F365" i="5"/>
  <c r="F363" i="5"/>
  <c r="F360" i="5"/>
  <c r="F358" i="5"/>
  <c r="F357" i="5"/>
  <c r="F356" i="5"/>
  <c r="F355" i="5"/>
  <c r="F353" i="5"/>
  <c r="F352" i="5"/>
  <c r="F351" i="5"/>
  <c r="F348" i="5"/>
  <c r="F347" i="5"/>
  <c r="F346" i="5"/>
  <c r="F345" i="5"/>
  <c r="F343" i="5"/>
  <c r="F342" i="5"/>
  <c r="F341" i="5"/>
  <c r="F340" i="5"/>
  <c r="F339" i="5"/>
  <c r="F338" i="5"/>
  <c r="F336" i="5"/>
  <c r="F335" i="5"/>
  <c r="F334" i="5"/>
  <c r="F326" i="5"/>
  <c r="F325" i="5"/>
  <c r="F324" i="5"/>
  <c r="F323" i="5"/>
  <c r="F322" i="5"/>
  <c r="F320" i="5"/>
  <c r="F319" i="5"/>
  <c r="F318" i="5"/>
  <c r="F315" i="5"/>
  <c r="F306" i="5"/>
  <c r="F305" i="5"/>
  <c r="F302" i="5"/>
  <c r="F299" i="5"/>
  <c r="F294" i="5"/>
  <c r="F291" i="5"/>
  <c r="F285" i="5"/>
  <c r="F276" i="5"/>
  <c r="F275" i="5"/>
  <c r="F271" i="5"/>
  <c r="F270" i="5"/>
  <c r="F268" i="5"/>
  <c r="F267" i="5"/>
  <c r="F265" i="5"/>
  <c r="F264" i="5"/>
  <c r="F262" i="5"/>
  <c r="F261" i="5"/>
  <c r="F260" i="5"/>
  <c r="F259" i="5"/>
  <c r="F258" i="5"/>
  <c r="F252" i="5"/>
  <c r="F251" i="5"/>
  <c r="F247" i="5"/>
  <c r="F246" i="5"/>
  <c r="F245" i="5"/>
  <c r="F231" i="5"/>
  <c r="F223" i="5"/>
  <c r="F200" i="5"/>
  <c r="F198" i="5"/>
  <c r="F197" i="5"/>
  <c r="F195" i="5"/>
  <c r="F177" i="5"/>
  <c r="F173" i="5"/>
  <c r="F166" i="5"/>
  <c r="F167" i="5"/>
  <c r="F163" i="5"/>
  <c r="F162" i="5"/>
  <c r="F161" i="5"/>
  <c r="F157" i="5"/>
  <c r="F150" i="5"/>
  <c r="F149" i="5"/>
  <c r="F145" i="5"/>
  <c r="F144" i="5"/>
  <c r="F142" i="5"/>
  <c r="F140" i="5"/>
  <c r="F137" i="5"/>
  <c r="F136" i="5"/>
  <c r="F132" i="5"/>
  <c r="F129" i="5"/>
  <c r="F128" i="5"/>
  <c r="F126" i="5"/>
  <c r="F125" i="5"/>
  <c r="F124" i="5"/>
  <c r="F123" i="5"/>
  <c r="F118" i="5"/>
  <c r="F115" i="5"/>
  <c r="F112" i="5"/>
  <c r="F102" i="5"/>
  <c r="F101" i="5"/>
  <c r="F100" i="5"/>
  <c r="F99" i="5"/>
  <c r="F98" i="5"/>
  <c r="F97" i="5"/>
  <c r="F96" i="5"/>
  <c r="F95" i="5"/>
  <c r="F94" i="5"/>
  <c r="F91" i="5"/>
  <c r="F88" i="5"/>
  <c r="F84" i="5"/>
  <c r="F82" i="5"/>
  <c r="F80" i="5"/>
  <c r="F75" i="5"/>
  <c r="F69" i="5"/>
  <c r="F68" i="5"/>
  <c r="F67" i="5"/>
  <c r="F62" i="5"/>
  <c r="F59" i="5"/>
  <c r="F55" i="5"/>
  <c r="F48" i="5"/>
  <c r="F47" i="5"/>
  <c r="F41" i="5"/>
  <c r="F40" i="5"/>
  <c r="F31" i="5"/>
  <c r="F30" i="5"/>
  <c r="F29" i="5"/>
  <c r="F25" i="5"/>
  <c r="F21" i="5"/>
  <c r="F19" i="5"/>
  <c r="F17" i="5"/>
  <c r="F16" i="5"/>
  <c r="F11" i="5"/>
  <c r="F10" i="5"/>
  <c r="F8" i="5"/>
  <c r="F433" i="5" l="1"/>
  <c r="F292" i="5"/>
  <c r="F158" i="5"/>
  <c r="F256" i="5"/>
  <c r="F272" i="5"/>
  <c r="F282" i="5"/>
  <c r="F349" i="5"/>
  <c r="F394" i="5"/>
  <c r="F37" i="5"/>
  <c r="F103" i="5"/>
  <c r="F121" i="5"/>
  <c r="F165" i="5"/>
  <c r="F171" i="5"/>
  <c r="F408" i="5"/>
  <c r="F426" i="5" s="1"/>
  <c r="F174" i="5" l="1"/>
</calcChain>
</file>

<file path=xl/sharedStrings.xml><?xml version="1.0" encoding="utf-8"?>
<sst xmlns="http://schemas.openxmlformats.org/spreadsheetml/2006/main" count="8295" uniqueCount="756">
  <si>
    <t xml:space="preserve">c) 20mm dis x 200mm mini length to with stand avg. ultimate pull out of 3500 kg. </t>
  </si>
  <si>
    <t>SR NO</t>
  </si>
  <si>
    <t>SECTION</t>
  </si>
  <si>
    <t>TITLE</t>
  </si>
  <si>
    <t>Providing and laying Ceramic tiles 8mm thick in required size and pattern at all levels using tiles of approved make and shade, laid over a layer of cement mortar 1:3 to true plane and level or to slope, close jointed and pointed with matching cement slurry including cutting of tiles, providing holes for pipe line or fixtures, curing, cleaning, etc. complete. (Basic rate-Rs. 425/Sq.mt.)</t>
  </si>
  <si>
    <t>SECTION : -A</t>
  </si>
  <si>
    <t>SECTION : -B</t>
  </si>
  <si>
    <t>SECTION : -C</t>
  </si>
  <si>
    <t>SECTION : -D</t>
  </si>
  <si>
    <t>SECTION : -E</t>
  </si>
  <si>
    <t>SECTION : -F</t>
  </si>
  <si>
    <t>SECTION : -G</t>
  </si>
  <si>
    <t>SECTION : -I</t>
  </si>
  <si>
    <t>SECTION : -J</t>
  </si>
  <si>
    <t>EARTH WORK-SOLING</t>
  </si>
  <si>
    <t>CONCRETE AND ALLIED WORK</t>
  </si>
  <si>
    <t>MASONARY WORKS</t>
  </si>
  <si>
    <t>FLOORING AND FACIAS.</t>
  </si>
  <si>
    <t>DOORS, WINDOWS AND VENTILATORS</t>
  </si>
  <si>
    <t>STRCUTURAL STEEL WORK</t>
  </si>
  <si>
    <t xml:space="preserve">WATERPROOFING </t>
  </si>
  <si>
    <t>MISCELLENOUS ITEMS</t>
  </si>
  <si>
    <t>TOTAL AMOUNT OF TENDER ITEMS</t>
  </si>
  <si>
    <t>E-05</t>
  </si>
  <si>
    <t>A-02</t>
  </si>
  <si>
    <t>A-03</t>
  </si>
  <si>
    <t>c) Below 3.0M up to 4.5M depth</t>
  </si>
  <si>
    <t>d) Below 4.5M up to 6.0M depth</t>
  </si>
  <si>
    <t>a) From average ground level up to 1.50M depth.</t>
  </si>
  <si>
    <t>A-04</t>
  </si>
  <si>
    <t>A-05</t>
  </si>
  <si>
    <t>TOTAL OF SECTION `A`</t>
  </si>
  <si>
    <t>B-01</t>
  </si>
  <si>
    <t>B-02</t>
  </si>
  <si>
    <t>a) Mix 1: 4: 8</t>
  </si>
  <si>
    <t>b) Mix 1: 3: 6</t>
  </si>
  <si>
    <t>B-03</t>
  </si>
  <si>
    <t>B-04</t>
  </si>
  <si>
    <t>B-05</t>
  </si>
  <si>
    <t>B-06</t>
  </si>
  <si>
    <t>Providing and fixing in position in PCC/RCC work at all levels, shuttering for pockets of varying sizes as per details with necessary form work including type of form work where required and carefully removing the same for anchor and holding down bolts for columns, pedestals, pipe rack, equipment foundations, etc. all as per detailed drawing / as directed by the Engineer.</t>
  </si>
  <si>
    <t>E-09</t>
  </si>
  <si>
    <t>J-05</t>
  </si>
  <si>
    <t>A-06</t>
  </si>
  <si>
    <t>H-01</t>
  </si>
  <si>
    <t>SECTION - `H’ :  ROOFING WORK</t>
  </si>
  <si>
    <t>Dismentaling of Brickmasonarywork at all level including carting away the debris material within the boundary limit as directed by engineers incharge/consultant.</t>
  </si>
  <si>
    <t>Dismentaling of P.C.C work at all level including carting away the debris material within the boundary limit as directed by engineers incharge/consultant.</t>
  </si>
  <si>
    <t>a) up to 0.1 Sq.mt area</t>
  </si>
  <si>
    <t>b) up to 0.2 Sq.mt area</t>
  </si>
  <si>
    <t>TOTAL OF SECTION `H’</t>
  </si>
  <si>
    <t>a) For pocket area up to 0.01 Sq.m. and depth up to 0.30M</t>
  </si>
  <si>
    <t>b) For pocket area above 0.01 Sq.m. up to 0.03 Sq.m. and depth up to 0.30M</t>
  </si>
  <si>
    <t>c) For pocket area above 0.03 Sq.m. up to 0.05 Sq.m. and depth up to 0.60M</t>
  </si>
  <si>
    <t>B-08</t>
  </si>
  <si>
    <t>B-09</t>
  </si>
  <si>
    <t>TOTAL OF SECTION `B’</t>
  </si>
  <si>
    <t>UNIT</t>
  </si>
  <si>
    <t>RATE</t>
  </si>
  <si>
    <t>AMOUNT</t>
  </si>
  <si>
    <t>SECTION - `C’   :   MASONRY  WORKS</t>
  </si>
  <si>
    <t>C-01</t>
  </si>
  <si>
    <t>C-02</t>
  </si>
  <si>
    <t>C-03</t>
  </si>
  <si>
    <t>C-04</t>
  </si>
  <si>
    <t>TOTAL OF SECTION `C’</t>
  </si>
  <si>
    <t>SECTION - B CONCRETE</t>
  </si>
  <si>
    <t>SECTION - `D’  :  FLOORING  AND  FACIAS</t>
  </si>
  <si>
    <t>D-01</t>
  </si>
  <si>
    <t>D-02</t>
  </si>
  <si>
    <t>D-03</t>
  </si>
  <si>
    <t>NO</t>
  </si>
  <si>
    <t>D-04</t>
  </si>
  <si>
    <t>RM</t>
  </si>
  <si>
    <t>D-05</t>
  </si>
  <si>
    <t>D-06</t>
  </si>
  <si>
    <t>C-05</t>
  </si>
  <si>
    <t>Providing and laying LDPE sheets of approved manufacturer over base course with standard overlaps including necessary adhesive, etc. complete.</t>
  </si>
  <si>
    <t>SQ.M.</t>
  </si>
  <si>
    <t>QTY.</t>
  </si>
  <si>
    <t>CUM</t>
  </si>
  <si>
    <t>SQM</t>
  </si>
  <si>
    <t>Nos.</t>
  </si>
  <si>
    <t>RMT</t>
  </si>
  <si>
    <t>(a) Upto 50 Kg weight &amp; 600x600mm size</t>
  </si>
  <si>
    <t>LTRS</t>
  </si>
  <si>
    <t>sqm</t>
  </si>
  <si>
    <t>D-10</t>
  </si>
  <si>
    <t>a) For flooring over bed of 20mm thick</t>
  </si>
  <si>
    <t>b) For dado over a base coat plaster 12mm thick and neat cement paste</t>
  </si>
  <si>
    <t>D-11</t>
  </si>
  <si>
    <t>TOTAL OF SECTION `D’</t>
  </si>
  <si>
    <t>E-01</t>
  </si>
  <si>
    <t>a) 8 to 10mm thick (average) on ceiling, soffits of chajjas, canopy, gutters, etc.</t>
  </si>
  <si>
    <t>b) 12 to 15mm thick (average)</t>
  </si>
  <si>
    <t>E-02</t>
  </si>
  <si>
    <t>E-03</t>
  </si>
  <si>
    <t>ii) Filling polysulphide sealant 25mm x 12mm deep over expansion board</t>
  </si>
  <si>
    <t>E-06</t>
  </si>
  <si>
    <t>E-07</t>
  </si>
  <si>
    <t>E-08</t>
  </si>
  <si>
    <t>TOTAL OF SECTION `E’</t>
  </si>
  <si>
    <t>SECTION `E’  -  PLASTERING, PAINTING AND FINISHING</t>
  </si>
  <si>
    <t>SECTION `F’  -  DOORS, WINDOWS AND VENTILATORS</t>
  </si>
  <si>
    <t>F-02</t>
  </si>
  <si>
    <t>a)  MS Single shutter door</t>
  </si>
  <si>
    <t>b)  MS Double shutter door</t>
  </si>
  <si>
    <t>F-03</t>
  </si>
  <si>
    <t>Cu.M.</t>
  </si>
  <si>
    <t>F-04</t>
  </si>
  <si>
    <t>Providing and laying in position marble slabs 20mm thick machine cut and machine / mirror polished in 25mm thick cement mortar 1:4 for window sills, entrance steps &amp; stair steps  including float and filling joints of neat cement slurry of matching colour, half round moulding, curing, polishing, cleaning, etc. complete. (Basic rate shall be Rs.600/- per Sq.m.)</t>
  </si>
  <si>
    <t>(b) above 20mm dia.</t>
  </si>
  <si>
    <t>(Measurement for clear wall opening)</t>
  </si>
  <si>
    <t>Outer frame</t>
  </si>
  <si>
    <t>Size 63.5mm x 38.1mm x 2mm (approx. weight 1.024 kg/M)</t>
  </si>
  <si>
    <t>Shutter</t>
  </si>
  <si>
    <t xml:space="preserve">Top rail 44.45 x 47.62 x 2.1mm </t>
  </si>
  <si>
    <t>(Approx. weight 1.093 kg/M)</t>
  </si>
  <si>
    <t>Bottom 44.45 x 114.3 x 2.15mm</t>
  </si>
  <si>
    <t>(Approx. weight 1.928 kg/M)</t>
  </si>
  <si>
    <t>Vertical 44.45 x 47.62 x 1.9mm</t>
  </si>
  <si>
    <t>(Approx. weight 0.976 kg/M)</t>
  </si>
  <si>
    <t>Lock rail 44.45 x 73.62 x 2mm</t>
  </si>
  <si>
    <t>(Approx. weight 1.311 kg/M)</t>
  </si>
  <si>
    <t>Glazing clip 19.05 x 17.27 x 1.0mm</t>
  </si>
  <si>
    <t>(Approx. weight 0.136 kg/M)</t>
  </si>
  <si>
    <t>a) Single shutter</t>
  </si>
  <si>
    <t>b) Double shutter</t>
  </si>
  <si>
    <t>F-05</t>
  </si>
  <si>
    <t>a)  Single shutter door</t>
  </si>
  <si>
    <t>b)  Double shutter door</t>
  </si>
  <si>
    <t>F-06</t>
  </si>
  <si>
    <t>b) Partly fixed and partly openable windows</t>
  </si>
  <si>
    <t>F-07</t>
  </si>
  <si>
    <t>Sub frame</t>
  </si>
  <si>
    <t>Bottom track box section with water drainage arrangement</t>
  </si>
  <si>
    <t>Top and sides</t>
  </si>
  <si>
    <t>Top and Bottom 40 x 18 x 1.25mm</t>
  </si>
  <si>
    <t>(Approx. weight 0.475 kg/M)</t>
  </si>
  <si>
    <t>Inter lock 40 x 18 x 1.1mm</t>
  </si>
  <si>
    <t>(Approx. weight 0.492 kg/M)</t>
  </si>
  <si>
    <t>Vertical Handle 40 x 18 x 1.25</t>
  </si>
  <si>
    <t>Rectangular tube -  100 x 25 x 1.2mm</t>
  </si>
  <si>
    <t>(Approx. weight 0.765 kg/M)</t>
  </si>
  <si>
    <t>92 x 45.5 x 1.5 mm</t>
  </si>
  <si>
    <t>(Approx. weight 1.742 kg/M)</t>
  </si>
  <si>
    <t>92 x 31.75 x 1.3mm</t>
  </si>
  <si>
    <t>(Approx. weight 0.981 kg/M)</t>
  </si>
  <si>
    <t>F-08</t>
  </si>
  <si>
    <t>Rectangular tube section with single groove section for Top, Bottom and vertical members</t>
  </si>
  <si>
    <t>63.5 x 38.1 x 1.95</t>
  </si>
  <si>
    <t>Rectangular tube section with double groove members</t>
  </si>
  <si>
    <t>Sr. No.</t>
  </si>
  <si>
    <t>Description</t>
  </si>
  <si>
    <t>D-14</t>
  </si>
  <si>
    <t>Providing and laying in position marble slabs 20mm thick machine cut and machine / mirror polished in 25mm thick cement mortar 1:4 bedding on floor   including float and filling joints of neat cement slurry of matching colour, curing, polishing, cleaning, etc. complete. (Basic rate shall be Rs.600/- per Sq.m.)</t>
  </si>
  <si>
    <t>D-07</t>
  </si>
  <si>
    <t>D-08</t>
  </si>
  <si>
    <t>D-09</t>
  </si>
  <si>
    <t>E-04</t>
  </si>
  <si>
    <t>F-01</t>
  </si>
  <si>
    <t xml:space="preserve">Providing and fixing in position 38mm thick solid core flush doors of approved make having commercial ply facing on both sides with teak wood frame of 120mm x 60mm size built in 38mm x 25mm teak wood lapping including MS holdfasts, MS hinges, and anodised aluminium fixtures of approved quality, necessary fastners, mortice lock of approved quality and make including one coat of wood primer and two coats of flat oil paint of approved make, quality and shade, etc. complete as per drawings &amp; specifications. MS holdfasts, MS hinges, and anodised aluminium fixtures of approved quality, necessary fastners, mortice lock of approved quality and make including one coat of wood primer and two coats of flat oil paint of approved make, quality and shade, etc. complete as per drawings &amp; specifications. </t>
  </si>
  <si>
    <t>F-12</t>
  </si>
  <si>
    <t>Extra for gear opetation.</t>
  </si>
  <si>
    <t>No.</t>
  </si>
  <si>
    <t>SECTION : -H</t>
  </si>
  <si>
    <t>ROOFING WORK</t>
  </si>
  <si>
    <t>SECTION- A EARTH WORK AND SOLING</t>
  </si>
  <si>
    <t>A-01</t>
  </si>
  <si>
    <t>SQ.M</t>
  </si>
  <si>
    <t>63.5 x 38.1 x 1.9 (1.093 kg/M)</t>
  </si>
  <si>
    <t>(Approx. weight to 0.136 kg/M)</t>
  </si>
  <si>
    <t>Providing and fixing in position silver gray matt finish anodised (15 microns) aluminium ventilators with staggered glazing using rectangular tube section with single or double groove section of approved manufacturer including distance pieces, 4mm thick plain glass panels, aluminium glazing clips, fixing 25 x 25 x 10mm gauge GI bird mesh 100mm wide between the staggered gap with aluminium angle frame 25 x 25 x 5mm and 20 x 3mm flat, necessary fixtures and fastenings etc. complete as per drawings.</t>
  </si>
  <si>
    <t>Aluminium tube section</t>
  </si>
  <si>
    <t>63.5 x 38.1 x 1.95mm</t>
  </si>
  <si>
    <t>Aluminium glazing clips</t>
  </si>
  <si>
    <t>19.05 x 17.27 x 1.0mm</t>
  </si>
  <si>
    <t>F-10</t>
  </si>
  <si>
    <t>Providing and fixing in position silver gray matt finish anodised (15 microns) aluminium adjustable louvered ventilators of approved make having outer sub frame, vertical jamb, actuating bar, aluminium clips, louvers blade, lever handle, locking arrangement, necessary fixtures and fastenings, etc. complete.</t>
  </si>
  <si>
    <t>Outer sub frame 63.5 x 38.1 x 2mm</t>
  </si>
  <si>
    <t>(Approx weight 1.024 kg/M)</t>
  </si>
  <si>
    <t>Vertical jamb 40.5mm x 23.3mm</t>
  </si>
  <si>
    <t>(Approx. weight 0.607 kg/M)</t>
  </si>
  <si>
    <t>Providing contraction and construction joints in Concrete floor by cutting grooves 4mm wide x 12mm deep using mechanical concrete cutter, filling the grooves with clean dry sand up to a full depth, removing top 10mm deep sand by appropriate tools/templates, sealing top 4mmx10mm with Polysulphide sealant including cleaning the joints thoroughly, removal of all foreign materials, cleaning the floor surfaces, etc. complete. (The operation shall be carried out as soon as concrete is ready to accept the saw cut without reveling)</t>
  </si>
  <si>
    <t>Providing and fixing in position WATER STOPPERS of approved make and shape along construction joints including necessary arrangement for holding in position during concreting, necessary readjustments of reinforcement to suit proper positioning of stop, including proper lapping, etc. complete as per drawings, specifications and as directed by the Engineer.</t>
  </si>
  <si>
    <t>Actuating bar 4.7x10mm (0.119 kg/M)</t>
  </si>
  <si>
    <t>Louvers 1.2mm thick 101mm blade with 4mm thick plain/ground glass panels</t>
  </si>
  <si>
    <t>F-11</t>
  </si>
  <si>
    <t>E-10</t>
  </si>
  <si>
    <t>TOTAL OF SECTION `F’</t>
  </si>
  <si>
    <t>SECTION - `G’ :  STRUCTURAL STEEL WORK</t>
  </si>
  <si>
    <t>MT</t>
  </si>
  <si>
    <t>KG</t>
  </si>
  <si>
    <t>Providing, fabricating and fixing in position at all levels handrails consisting of 40mm dia ‘B’ class MS black pipes (Approx weight 3.61 kg/M) in two horizontal and one vertical at approximately 1.0M spacing to give 1.0M high railing above finished reference level including all required fittings such as bends, elbows, couplings, caps, etc. fixing or grouting to concrete / masonry / steel surfaces, cleaning the pipes with super prep solution and sand papers, painting with one coat of steel primer and two coats of synthetic enamel paint of approved make and shade, all complete.</t>
  </si>
  <si>
    <t>TOTAL OF SECTION `G’</t>
  </si>
  <si>
    <t>SECTION - `I’ : WATERPROOFING</t>
  </si>
  <si>
    <t>I-01</t>
  </si>
  <si>
    <t>b) Below 1.5M up to 3M depth</t>
  </si>
  <si>
    <t>a) On terraces, sunk, floor, etc.</t>
  </si>
  <si>
    <t>b)  On Gutter</t>
  </si>
  <si>
    <t>I-02</t>
  </si>
  <si>
    <t>TOTAL  OF  SECTION  `I’</t>
  </si>
  <si>
    <t>SECTION - `J’ :  MISCELLANEOUS ITEMS</t>
  </si>
  <si>
    <t>J-01</t>
  </si>
  <si>
    <t>Notes:</t>
  </si>
  <si>
    <t>1. Plinth area of Building at ground floor only shall be measured.</t>
  </si>
  <si>
    <t>2. Chemicals to be used as per the manufacturer’s specifications and as per IS.</t>
  </si>
  <si>
    <t>3. Ten years Guarantee for the treatment is to be furnished in favour of the Employer.</t>
  </si>
  <si>
    <t>J-02</t>
  </si>
  <si>
    <t>(a) For 250mm dia. Pile</t>
  </si>
  <si>
    <t>(b) For 300mm dia. Pile</t>
  </si>
  <si>
    <t>A-07</t>
  </si>
  <si>
    <t>-do- as per item no. A-06 but for construction of extra bulb in the pile at any level. The size of the bulb will be as per design.</t>
  </si>
  <si>
    <t>e) Below 6.0M up to 7.5M depth</t>
  </si>
  <si>
    <t>-Do- as per item no. C-01 but Honeycomb brick masonry for soak pit at any depth below ground level.</t>
  </si>
  <si>
    <t>J-03</t>
  </si>
  <si>
    <t>J-04</t>
  </si>
  <si>
    <t>Providing, fabricating and fixing in position MS rungs made from approximately 1.20M long 20mm dia MS bar, fixed @ 300mm c/c in concrete or masonry surfaces including making necessary holes in shuttering (in case of concrete) or in brick work for grouting rungs with cement concrete 1:2:4, curing, painting exposed surface of rungs with two coats of anticorrosive paint, etc. complete.</t>
  </si>
  <si>
    <t>J-10</t>
  </si>
  <si>
    <t>a) 12mm dia x 100mm minimum length to withstand average ultimate pullout load of 1750 kg.</t>
  </si>
  <si>
    <t>b) 16mm dia x 150mm minimum length to withstand average ultimate pullout of 2750 kg.</t>
  </si>
  <si>
    <t>J-11</t>
  </si>
  <si>
    <t>i) 230mm thick Soling</t>
  </si>
  <si>
    <t>Providing and laying Red Terra Cota tiles on masonary wall or concrete surfaces in C M 1:3 in line and level including hacking the concrete surfaces and raking our the joints , pointing tile joints with coloured cement of matching shade, including scaffolding, curing, cleaning etc.complete</t>
  </si>
  <si>
    <t>J-12</t>
  </si>
  <si>
    <t>J-13</t>
  </si>
  <si>
    <t>Providing, fabricating and fixing in position and keeping in operation MS Main Gate sliding type of fully side hung operable as per design including all fittings, holdfasts of approved pattern, heavy duty hinges with standard ball bearings, pivots, guide rollers with standard bearings, MS curved flat for guide rollers with anchor in floor concrete 1:2:4, necessary locking devices etc. including one coat of red oxide primer cum surfacer and two coats of synthetic enamel paint of approved make and different shades complete as per drawings and as directed by the Engineer (All materials shall be in the scope of the Contractor).</t>
  </si>
  <si>
    <t>J-14</t>
  </si>
  <si>
    <t>J-15</t>
  </si>
  <si>
    <t>TOTAL OF SECTION `J’</t>
  </si>
  <si>
    <t>D-12</t>
  </si>
  <si>
    <t>D-13</t>
  </si>
  <si>
    <t>b)  250mm wide PVC water stop</t>
  </si>
  <si>
    <t>Providing and fixing plywood form work including necessary centering for alignment and levels  for columns, blocks, pedestals, lintels, beams (regular and inverted), slabs, chajjas, copings, gutters, pardi, facias, fins, bands, walls, staircases, slopping RCC elements, rain water chutes, etc. of rectangular, square shapes, curve, including strutting, shoring, bracing, propping, staging, water retaining structure / any type of structure member, etc. keeping the same in position during the concreting and removal of the same after a specified period, etc. complete as per drawings and specifications.  The framework shall ensure smooth finish surface without any additional rendering.  Rate to include coating formwork with approved quality of non-staining mineral oil.</t>
  </si>
  <si>
    <t>a) 25mm thick (Basic Rate 40 RS/Sq.ft.)</t>
  </si>
  <si>
    <t>b) 35 to 40mm thick (Basic Rate 50 RS/Sq.ft.)</t>
  </si>
  <si>
    <t xml:space="preserve">(a) 150 micron </t>
  </si>
  <si>
    <t>(b) 250 micron</t>
  </si>
  <si>
    <t>Supply &amp; Installation of General Purpose HMPS Steel Doors Single / Double Leaf, Hinge Type, 1.00 mm thick M S Sheet Cladded 40 mm thick shutter, SS accessories, M S Frame with Single Ribet made from 1.2 mm thick M S Sheet &amp; fixing arrangement, Painting with two coats of synthetic enamel paint over a coat of red oxide zinc chromate primer etc. complete.</t>
  </si>
  <si>
    <t>b) Wall with 8mm dia; 2 Nos. longitudinal bars and 8mm dia. Tie bars @ 300mm centers on every forth course embedded in cement mortar .</t>
  </si>
  <si>
    <t>Kg.</t>
  </si>
  <si>
    <t xml:space="preserve">a) Polysulphied sealant </t>
  </si>
  <si>
    <t>b) Bitumin sealant</t>
  </si>
  <si>
    <t>a)  200mm wide G.I. water stop (16 gage)</t>
  </si>
  <si>
    <t>Providing and doing welding continuous or intermittent using 4.2mm welding rod in line &amp; removing slag etc. complete.(only welding length shall be considered for mesurment.)</t>
  </si>
  <si>
    <t>Providing and applying of asian make wall primer with birla putty as per required to make a surface smooth &amp; equally, then after apply asian make shatin/matt finish oil paint min. two coat or as required &amp; approved by engineer in charge &amp; with neat finishes etc. complete as directed.</t>
  </si>
  <si>
    <t>Providing and applying of asian make wall primer with birla putty as per required to make a surface smooth &amp; equally, then after apply asian make royal paint or dulex make valvet touch  min. two coat or as required &amp; approved by engineer in charge &amp; with neat finishes etc. complete as directed.</t>
  </si>
  <si>
    <t>Providing and applying out side asian make wall primer with asian make ultima of approved shade at all levels to walls, chajjas, canopy and other RCC work including cleaning and wetting the surfaces before application, scaffolding, curing, etc. complete as per specifications and as directed by Engineer. (Contractor shall have to provide uniform painted surface in two or more coats without any additional cost).</t>
  </si>
  <si>
    <t>Providing and applying out side asian make wall primer with asian make texture of approved shade at all levels to walls, chajjas, canopy and other RCC work including cleaning and wetting the surfaces before application, scaffolding, curing, etc. complete as per specifications and as directed by Engineer. (Contractor shall have to provide uniform painted surface in two or more coats without any additional cost).</t>
  </si>
  <si>
    <t>For addition of approved quality plasticiser as directed and specified by the engineer incharge (BASF or SIKA   make only)</t>
  </si>
  <si>
    <t>1. In foundations and up to plinths (FFL) at all depths:</t>
  </si>
  <si>
    <t>Providing and injecting chemical emulsion for pre-constructional Anti-Termite Treatment to the backfilled soil and creating a chemical barrier under and around the column pits, wall, trenches, Pipe work in process plant excavation, to surface of plinth filling, junction of wall and floor, along the external perimeter of building, expansion joints around the embedded pipes, Below trench of R.C.C. Column by providing hole at reqular distance &amp; side wall of trench, In plinth area before P.C.C. by providing hole at reqular distance etc. complete as per IS:6313 (Part – II) – 1981.</t>
  </si>
  <si>
    <t>D-15</t>
  </si>
  <si>
    <t>(c) For 400mm dia. Pile</t>
  </si>
  <si>
    <t>a) Ordinary unreinforced and unstiffened masonry</t>
  </si>
  <si>
    <t>Providing and laying 75mm thick IPS flooring at all levels in cement concrete 1: 2: 4 using 12mm and down graded stone aggregates of approved quality, laid in alternate bays to the required level of slope and finished smooth/rough including cost of angles / channels shuttering, compacting, curing, etc. complete.</t>
  </si>
  <si>
    <t>F-13</t>
  </si>
  <si>
    <t>Providing and laying Exterior Elevation tiles on masonary wall or concrete surfaces in C M 1:3 in line and level including hacking the concrete surfaces and raking our the joints , pointing tile joints with coloured cement of matching shade, including scaffolding, curing, cleaning etc.complete (Basic rate shall be Rs.450/- per Sq.m.)</t>
  </si>
  <si>
    <t>a)  High yield strength deformed bars</t>
  </si>
  <si>
    <t>Providing and laying MS dowel bars 16mm dia x 400mm long in expansion joint at 300 mm c/c having 50% of bar length embedded in old concrete and other rin new concrete including fixing MS / PVC pipe sleeve 25mm dia x 225mm long with compressible materials housed on the dowel bar in new concrete all complete as per drawings and specifications (MS dowel bars wil be supplied by the employer)</t>
  </si>
  <si>
    <t>Providing and laying 25mm thick double polished machine cut approved kotah stone slabs of uniform tint &amp; required size at all levels for entrance steps, stair case treads, platforms, etc. laid on 25mm thick cement mortar 1:4 bedding to true plane and level or to slopes, close jointed and pointed with matching cement paste, including making holes for balusters, Providing required Groove, curing, hand polishing, cleaning, etc. complete.</t>
  </si>
  <si>
    <t>kgs</t>
  </si>
  <si>
    <t>(b) For 350mm dia. Pile</t>
  </si>
  <si>
    <t>(c) For 350mm dia. Pile</t>
  </si>
  <si>
    <t>(d) For 400mm dia. Pile</t>
  </si>
  <si>
    <t>E-02a</t>
  </si>
  <si>
    <t>a) For early de shuttering (basic rate:90 Rs/Ltr.)</t>
  </si>
  <si>
    <t>Providing and laying average 20mm thick water proof plaster in two coats at all heights in CM 1:4 to concrete or brick surfaces, adding approved liquid water proofing compound as per manufacturer’s specifications, including hacking of concrete surfaces, raking out the joints, scaffolding, curing, vatas etc. complete as per specifications and as directed by the Engineer.</t>
  </si>
  <si>
    <t>Providing, lowering and laying Precast RCC pipes NP2/NP3 class of tested quality with collars conforming to IS 458-1988, jointing with Spun Yarn and cement mortar 1:1 in proper line level and slopes including excavation up to 1.5M depth, 150mm thick bedding in cement concrete 1:4:8 at collar joints and encasing collars all around for 150mm for width upto 100mm on either side of collar face, curing, backfilling in 200mm layers, breaking clods, consolidating, tamping, watering, disposing surplus earth within plant boundary, etc. complete as directed by the Engineer (Measurements for the laid length only)</t>
  </si>
  <si>
    <t>Making hole in R.C.C at all level with neat finsihses etc including cleaning the  same etc complete as directed by engineers incharge. (230 Thick)</t>
  </si>
  <si>
    <t>BOQ</t>
  </si>
  <si>
    <t>Providing &amp; fixing CI Heavy duty frame and cover at top of chamber, underground water tank, Overhead water tank &amp; septic tank-soak pit, fixed in cement concrete 1:2:4 including necessary form work, painting the frame and cover with three coats of bitumastic paint.</t>
  </si>
  <si>
    <t>Providing and installing as per manufacturer’s specifications MS Anchor fasteners chemically grouted, of approved make and design in RCC drilling holes, aligning, cleaning existing surface as per enginer in-charge / consultant's requirements etc. complete.</t>
  </si>
  <si>
    <t>Dismentaling of R.C.C work at all level including carting away the debris material within the boundary limit as directed by engineers incharge/consultant.</t>
  </si>
  <si>
    <t>ii) 150mm thick compacted layer metal packing using 63-90 mm size hand broken stone etc. as directed Engineer in charge/consultant.</t>
  </si>
  <si>
    <t>iii) 75mm thick compacted layer metal packing using 40-63 mm size hand broken stone etc. as directed Engineer in charge/consultant.</t>
  </si>
  <si>
    <t>Providing and laying brick masonry out of best approved first class bricks (Min. crushing strength not less then 35Kg/sqcm), in line, level and plumb for foundations, upto plinth, for steps, ramps, trenches, all type chambers, columns, pilasters, etc. in cement mortar 1:6 including raking of joints, curing etc. complete as per drawings and specifications.</t>
  </si>
  <si>
    <t>Providing and laying brick masonry out of best approved first class bricks (Min. crushing strength not less then 35Kg/sqcm) in line, level and plumb, for super structure  including galabid, gable wall, load walls, columns, pillars, etc. in cement mortar 1:6 including scaffolding, raking of joints, curing, etc. complete as per drawings and specifications. (Scaffolding should be independent of wall)</t>
  </si>
  <si>
    <t>Providing and laying 3 mm thick pigmented self level epoxy flooring of "FOSROC"  -  NITOFLOR-SL-2000 or approved equivalent as per manufacturers specification and approved colour including 7 days of air curing over the hardwearing,  dust free,  dry I.P.S. / PKS   Surface including checking of moisture content &amp; undulations  of floor to carry out the work surface preparation etc all  as per below: 
01. Grinding and cleaning of substrate floor
(ie surface preparation)
02. Applying primer coat  of 200 microns thick &amp; allowed to cure for 8 hours
03 Creating 2mm(2000 micron) Self-level epoxy screed   layer and allow to cure for 8 hours
04. Creating 0.8mm(800 micron) coloured top coat and finished thereof
(IPS flooring will be paid under relevant item)</t>
  </si>
  <si>
    <t>(a) Upto 20mm dia.</t>
  </si>
  <si>
    <t xml:space="preserve">   (ii) Vertical surfaces of masonry or concrete parapets.</t>
  </si>
  <si>
    <t xml:space="preserve">   (i) Top surfaces of gutter slab</t>
  </si>
  <si>
    <t xml:space="preserve">Providing and laying plinth protection comprising of 75mm thick plain cement concrete 1:2:4 nominal mix, finished smooth to required slope including necessary earth work and disposal of surplus earth as directed, below a consolidated 65mm thick bedding of P.C.C.(1:4:8) &amp; 75mm th. bedding of dry metal packing including 65mm sand filling laying nominal steel reinforcement in conc. as directed by Engineer Incharge. </t>
  </si>
  <si>
    <t>a) Rungs fixed with concrete surface</t>
  </si>
  <si>
    <t>b) Rungs fixed with masonry surface</t>
  </si>
  <si>
    <t>a) Fully openable windows</t>
  </si>
  <si>
    <t>Providing and fixing in position at all levels  PVC RAIN WATER PIPE (6 Kg/sqcm)</t>
  </si>
  <si>
    <t xml:space="preserve">Providing and fixing in position suspended metal framed plain false ceiling using GI perimeter channels, GI Intermediate channels at 1200mm centers, GI hangers 25mm wide x 0.50mm thick, GI cross channels at 600mm centers, connecting clips, 12.5mm thick tapered edge GYPBOARD (conforming to IS:2095, 1982) with 25mm dry wall screws at 300mm centers including treating joints with jointing compound and paper tape to give jointless finished surface with one coat of Gypsum base top coat, painting the ceiling with two coats of Acrylic Emulsion paint of approved make and shade, all complete as per manufacturer’s specifications. (All GI metal components and Gypboard shall be of M/s. India Gypsum Ltd). </t>
  </si>
  <si>
    <t xml:space="preserve">SQM </t>
  </si>
  <si>
    <t xml:space="preserve">RMT </t>
  </si>
  <si>
    <t xml:space="preserve">Only plan area shall be consider for payment all curve surface and recesses waffles and corbellings shall be part of the flat area measurement, witout any extra for the same. </t>
  </si>
  <si>
    <t xml:space="preserve">ARMSTRONG suspension sytem accesaries manufracture and supplier by armstrong world Industries Consisting of m6 anchore fastener with vertical hangers made of Galvenized steel of size 26x26x25x1.2 mm with a Galvenized thickness of 80 gm/ sqm A prestraightened hanger wire of dia -2.68mm of 1.83 m length thickess of 80 gm per sqm &amp; tensile strenth of 344-413 mpa along with adjustable Hook clips of 0.8 mm thick galvenized spring steel  for 2.68 mm with a minimum pull strength of 110kg the adjustable clip also consists of a 3.5 mm aqiline wire to be used with the main runner. </t>
  </si>
  <si>
    <t>a</t>
  </si>
  <si>
    <t>Supply</t>
  </si>
  <si>
    <t>b.</t>
  </si>
  <si>
    <t>Fabrication &amp; Installation</t>
  </si>
  <si>
    <t>i) From FFL up to + 5.5 M lvl.</t>
  </si>
  <si>
    <t>ii) Above  + 5.5M lvl up to + 11.0 M  lvl</t>
  </si>
  <si>
    <t>ii) Above  + 11.0M lvl up to + 16.5M lvl</t>
  </si>
  <si>
    <t>ii) Above  + 5.5M lvl up to + 11.0 M lvl</t>
  </si>
  <si>
    <t>ii) Above  + 11.0 M lvl up to + 16.5 M  lvl</t>
  </si>
  <si>
    <t>a)</t>
  </si>
  <si>
    <t>In Foundation and upto Plinth/ Finished floor level (FFL)</t>
  </si>
  <si>
    <t>b)</t>
  </si>
  <si>
    <t xml:space="preserve">Above Plinth/ Finished floor level (FFL) upto 5.50 mtr. height </t>
  </si>
  <si>
    <t>i) From FFL up to + 5.5M lvl.</t>
  </si>
  <si>
    <t>ii) Above  + 5.5M lvl up to + 11.0M lvl</t>
  </si>
  <si>
    <t>ii) Above  + 11.0M lvl up to + 14.5M lvl</t>
  </si>
  <si>
    <r>
      <t xml:space="preserve">Providing and laying black trap rubble soling at required level and grade in foundations, in plinth, ramps, etc. including hand packing, filling interstices with quarry spauls and sand, watering and compacting with suitable </t>
    </r>
    <r>
      <rPr>
        <b/>
        <sz val="14"/>
        <rFont val="Calibri"/>
        <family val="2"/>
        <scheme val="minor"/>
      </rPr>
      <t xml:space="preserve">vibro roller </t>
    </r>
    <r>
      <rPr>
        <sz val="14"/>
        <rFont val="Calibri"/>
        <family val="2"/>
        <scheme val="minor"/>
      </rPr>
      <t>or earth compactor wherever applicable as decided by the Engineer to the consolidated thickness as stated below:</t>
    </r>
  </si>
  <si>
    <r>
      <t xml:space="preserve">Providing and laying cement based waterproofing treatment of `India Waterproofing’ or equivalent manufacture like </t>
    </r>
    <r>
      <rPr>
        <b/>
        <sz val="14"/>
        <rFont val="Calibri"/>
        <family val="2"/>
        <scheme val="minor"/>
      </rPr>
      <t>CICO MAKE TAPECRETE - P151</t>
    </r>
    <r>
      <rPr>
        <sz val="14"/>
        <rFont val="Calibri"/>
        <family val="2"/>
        <scheme val="minor"/>
      </rPr>
      <t xml:space="preserve">  for following with brick bats laid to slope and grouted with cement mortar mixed with proprietary products included vatas as directed by architect etc. complete and with wearing IPS layer on top, all laid as per manufacturer’s specifications. (Measurements shall be for unfinished area in plan between the parapets for which the treatment is laid.  No separate measurement shall be taken for rounding and vatas along parapet wall which shall be covered under quoted rates.  A ten years guarantee for the treatment is to be furnished in favour of Employer)</t>
    </r>
  </si>
  <si>
    <r>
      <t xml:space="preserve">Making hole in </t>
    </r>
    <r>
      <rPr>
        <b/>
        <sz val="14"/>
        <rFont val="Calibri"/>
        <family val="2"/>
        <scheme val="minor"/>
      </rPr>
      <t>Brickmasonary/ Block masonary</t>
    </r>
    <r>
      <rPr>
        <sz val="14"/>
        <rFont val="Calibri"/>
        <family val="2"/>
        <scheme val="minor"/>
      </rPr>
      <t xml:space="preserve"> at all level with neat finsihses etc including cleaning the  same etc complete as directed by engineers incharge. (230 Thick)</t>
    </r>
  </si>
  <si>
    <t>G-01</t>
  </si>
  <si>
    <t>G-02</t>
  </si>
  <si>
    <t>H-02</t>
  </si>
  <si>
    <t>Providing and constructing solid Concrete block masonry with approved quality cement concrete Solid block of M5 grade &amp; 200 mm x 200 mm x 400 mm long size at all locations and levels in CM 1:5 including watering, curing, scaffolding, racking of joints, providing weep holes etc.complete as directed and instructed by engineer/owner.</t>
  </si>
  <si>
    <t>G-03</t>
  </si>
  <si>
    <t>G-04</t>
  </si>
  <si>
    <t>J-06</t>
  </si>
  <si>
    <t>J-07</t>
  </si>
  <si>
    <t>J-08</t>
  </si>
  <si>
    <t>J-09</t>
  </si>
  <si>
    <t>C-06</t>
  </si>
  <si>
    <t>Providing and constructing partition block masonry work with Autoclave Aerated Concrete (AAC) Blocks confirming to IS: 2185 Part III, of 125MM thick in 3mm to 5mm thk. Block Jointing mortar "Smartfix" of CK Birla make at all level &amp; depth  including satging, scaffolding, racking out joints, curing, watering etc., comp. (for walls, parapet, galabid, etc.)</t>
  </si>
  <si>
    <t>G-01A</t>
  </si>
  <si>
    <t>Preparation of steel structures by sand blast cleaning to Sa 2.5 Swedish standard and applying one coat of 75 micron - Epilux FRX anti-corrosive primer with intermediate coat of 100 micron - Berger Epilux 155 HB MIO and two coats of finish paint with 50 micron each - Berger Epoxy PU HB.</t>
  </si>
  <si>
    <t>G-05</t>
  </si>
  <si>
    <t>G-06</t>
  </si>
  <si>
    <t>F-14</t>
  </si>
  <si>
    <t>Note: Rate shall include sealing. Sealing shall be done, using weather sealant of Dow Corning 789 or approved equivalent make. Weather stripping shall be extruded Neoprene or EPDM Gaskets. The composite panel shall be measured for area as laid over walls. Also rate shall including making provisions for light fixtures, grooves, bending in profile etc., complete as directed</t>
  </si>
  <si>
    <t>F-15</t>
  </si>
  <si>
    <t>Providing and fixing 120 GSM galvanised louvers with frame of 14 gauge, TATA MAKE, in line and levels etc. complete.</t>
  </si>
  <si>
    <t>F-16</t>
  </si>
  <si>
    <t>K-01</t>
  </si>
  <si>
    <t>K-02</t>
  </si>
  <si>
    <t xml:space="preserve">CUM </t>
  </si>
  <si>
    <t>K-03</t>
  </si>
  <si>
    <t xml:space="preserve">Filling in ground/ Plinth /Foundation Pits/ trenches etc. with selected (non- expansive) earth brought from outside plot boundary, spread in layer of 150 mm to 230 mm thickness to achieve required level, slope / gradient and compacted to 95% Standard Proctor Density including transportation cost, royalty etc. complete. </t>
  </si>
  <si>
    <t>K-04</t>
  </si>
  <si>
    <t>Providing and filling sand of approved quality in floor, sides of cable trench and below cable trench, machine foundation, foundation pits in layers of 150mm thickness and compacted to 95% relative density including watering, ramming, consolidating etc. completed as directed by Engineer-in-charge.</t>
  </si>
  <si>
    <t>a.</t>
  </si>
  <si>
    <t>c.</t>
  </si>
  <si>
    <t>K-06</t>
  </si>
  <si>
    <t>K-07</t>
  </si>
  <si>
    <t>Providing and laying M 7.5 grade (1:4:8) Plain Cement Concrete 40mm down size graded metal for base below RCC road panels including centering, shuttering if required, laying, spreading, ramming, consolidating, curing and finishing top surface as per instructions of Engineer-in-charge.</t>
  </si>
  <si>
    <t>K-08</t>
  </si>
  <si>
    <t>Note: M.S. channel for shuttering shall be procured/used new. Used/old channel shall not be acceptable.</t>
  </si>
  <si>
    <t>Note: Steel reinforcement shall be payable  separately as per relevant item specified in the tender, however shuttering shall not be payable separately.</t>
  </si>
  <si>
    <t>K-10</t>
  </si>
  <si>
    <t>K-11</t>
  </si>
  <si>
    <t>K-12</t>
  </si>
  <si>
    <t xml:space="preserve">Providing  and filling expansion joint  25 mm wide in concrete road with top 25 mm x 25 mm deep  gap sealed with bitumen sealing compound (grade- B), and balance bottom 230mm with impregnated fiber board of approved make including  cleaning joint all complete as directed. </t>
  </si>
  <si>
    <t>K-13</t>
  </si>
  <si>
    <t xml:space="preserve">NOS </t>
  </si>
  <si>
    <t>K-14</t>
  </si>
  <si>
    <t>K-15</t>
  </si>
  <si>
    <t>K-16</t>
  </si>
  <si>
    <t>150mm dia</t>
  </si>
  <si>
    <t>250mm dia</t>
  </si>
  <si>
    <t>300mm dia</t>
  </si>
  <si>
    <t>d.</t>
  </si>
  <si>
    <t xml:space="preserve">450mm dia.                         </t>
  </si>
  <si>
    <t>e.</t>
  </si>
  <si>
    <t xml:space="preserve">600mm dia.                         </t>
  </si>
  <si>
    <t>f.</t>
  </si>
  <si>
    <t xml:space="preserve">750mm dia.                         </t>
  </si>
  <si>
    <t>g.</t>
  </si>
  <si>
    <t xml:space="preserve">900mm dia.                         </t>
  </si>
  <si>
    <t>K-17</t>
  </si>
  <si>
    <t>Providing &amp; laying RCC NP2 class conforming to IS: 458  for pipes with spigot jointed drains, cables etc. including excavation upto required depth &amp;  width &amp; disposal of surplus earth within plot boundary limits lowering to required level/gradient, jointing with CM 1:2, laying of  pipe  in joints, back   filling the trenches, compaction and making good teh same etc. complete (Encasing P.C.C. work and bed concrete for laying will be paid separately as per regular item). Inspection &amp; hydraulic testing of the pipes will be witnessed by the representative of client/Consultant at Manufacturer's shop before dispatch.</t>
  </si>
  <si>
    <t xml:space="preserve">150mm dia.  pipe                       </t>
  </si>
  <si>
    <t xml:space="preserve">250mm dia.  pipe                       </t>
  </si>
  <si>
    <t>300mm dia. Pipe</t>
  </si>
  <si>
    <t>450mm dia. Pipe</t>
  </si>
  <si>
    <t>600mm dia. Pipe</t>
  </si>
  <si>
    <t xml:space="preserve">700mm dia. Pipe                       </t>
  </si>
  <si>
    <t xml:space="preserve">900mm dia. Pipe                       </t>
  </si>
  <si>
    <t>K-18</t>
  </si>
  <si>
    <t>size 300 x450 x150 mm thick</t>
  </si>
  <si>
    <t>K-19</t>
  </si>
  <si>
    <t xml:space="preserve">Providing and applying synthetic enamel Paint  of  approved make &amp; approved colour to precast curbing in approved colour pattern in two or more coats to give good and even shade  including  suitable priming coat, and  cleaning the surfaces   with  all labour and material  etc.  complete.           </t>
  </si>
  <si>
    <t>K-20</t>
  </si>
  <si>
    <t>Providing &amp; laying 150mm dia PVC pipe, of  4 kg per sqcm. pressure, of approved quality and make for disposal of rain water run off  from road sides to drain / chamber including  laying  of pipe, jointing, making the surface good,  compaction etc. complete as directed.</t>
  </si>
  <si>
    <r>
      <t>Providing &amp; fixing factory made Decorative coloured</t>
    </r>
    <r>
      <rPr>
        <b/>
        <sz val="14"/>
        <rFont val="Calibri"/>
        <family val="2"/>
        <scheme val="minor"/>
      </rPr>
      <t xml:space="preserve"> Rubber Mould- M-35 </t>
    </r>
    <r>
      <rPr>
        <sz val="14"/>
        <rFont val="Calibri"/>
        <family val="2"/>
        <scheme val="minor"/>
      </rPr>
      <t xml:space="preserve"> "Paver Block" of 80 mm thick of any pattern as approved, laid in line &amp; level  over and including ungraded sand  bed of 50 mm thick  including transporting, loading, unloading, stacking &amp; fixing in position. </t>
    </r>
  </si>
  <si>
    <t>-Do- as above but for 60 mm thick block</t>
  </si>
  <si>
    <t>TOTAL OF SECTION `K’</t>
  </si>
  <si>
    <t>Providing &amp; filling the chasis (Zarri), upto 150mm wide, made for fixing electrical and other utility conduits in Brick/Concrete surfaces with C.M. 1:4 including cleaning, making the surface good to match with existing wall/concrete, curing etc complete.</t>
  </si>
  <si>
    <t>E-11</t>
  </si>
  <si>
    <t>Providing and laying both side polished Granite slabs 18 to 20 mm thick for Writing platform to be fixed on wall including making &amp; filing jari with cement mortar 1:3 (1 cement : 3 coarse sand) if required including cutting to required size, chamfering as required, moulding  and polishing complete. (measurement shall be taken as per net plan area of granite slab fixed.) (Basic Rate -2000/- sqm)</t>
  </si>
  <si>
    <t>D-16</t>
  </si>
  <si>
    <t>SECTION : - K</t>
  </si>
  <si>
    <t>i) From FFL up to + 5.50M lvl.</t>
  </si>
  <si>
    <t xml:space="preserve">Providing and constructing contraction (dummy) joint of size 4mm x 12mm deep for road including saw cutting of concrete pavement to the required depth, sealing the same with approved sealant bitumen grade - B, cleaning, finishing etc. complete. </t>
  </si>
  <si>
    <t xml:space="preserve">Providing and constructing longitudinal / construction joint of size 4mm x 12mm deep for road including saw cutting of concrete pavement to the required depth, sealing the same with approved sealant bitumen grade - B, cleaning, finishing etc. complete. </t>
  </si>
  <si>
    <t xml:space="preserve">Providing  &amp; fixing  Factory made Kerb stone  using M20 concrete grade including excavation and back filling, transporting, stacking, placing kerb in position, Joint filling with C.M 1:6 etc. complete. In case of embedding kerb stones in PCC, the same shall be paid under relevant item.  </t>
  </si>
  <si>
    <t>Providing and laying reinforced cement concrete with 20mm and down size graded stone aggregates in PRECAST concrete works for storm water trench, Chamber Cover etc. of square, rectangular, hexagonal, octagonal and circular shapes including leaving pockets, openings in covers, vibrating, tamping, finishing, curing and rendering if required, etc. complete as per drawings and specifications. The rate includes the cost of formwork and installing the elements in line and level. (Reinforcement steel is paid seperately in item no. B-05 )</t>
  </si>
  <si>
    <t>(a) M25 grade</t>
  </si>
  <si>
    <t>(b) M30 grade</t>
  </si>
  <si>
    <t>Providing, fabricating, transporting to site and fixing in position various inserts like edge angles, channels, plates, etc. with hold fasts, fixed to RCC, PCC, or masonry, holding them in precise alignment and level during concreting at all heights as per details shown in the drawing including applying one coat of steel primer to the exposed surfaces, all complete as directed by the Engineer (No extra payment shall be made for weight of welding).
Approved Make: TATA / Jindal / SAIL</t>
  </si>
  <si>
    <t>G-05A</t>
  </si>
  <si>
    <t>(b) Upto 75 Kg weight &amp; 600x600mm size</t>
  </si>
  <si>
    <t xml:space="preserve">ROAD &amp;  PAVOR </t>
  </si>
  <si>
    <t>Earth work excavation for all type of work in all soils like black cotton soil, clay, sand, soft and hard murrum, etc. but other than soft and hard rock including shoring, strutting and dewatering due to any sub soil water, rain water or any reason if required and refilling in foundations with selected excavated earth in 350mm layers, watering and consolidating to 250mm thickness, disposing off surplus excavated materials within the plant boundary at selected places, spreading evenly, leveling, etc. complete as per specifications and as directed.
(Payment shall be made for 300mm from R.C.C. face for foundations and 200mm from R.C.C. face for GB)</t>
  </si>
  <si>
    <t>a) With selected earth brought from outside</t>
  </si>
  <si>
    <t>b) With approved filling sand brought from Outside.</t>
  </si>
  <si>
    <t>c) Approved quarry dust filling</t>
  </si>
  <si>
    <t>Disposing off surplus excavated materials by carting away, outside of company premises at location decided by contractor and shall be responsibility of contractor</t>
  </si>
  <si>
    <r>
      <t xml:space="preserve">Providing and laying Plain cement </t>
    </r>
    <r>
      <rPr>
        <b/>
        <sz val="14"/>
        <rFont val="Calibri"/>
        <family val="2"/>
        <scheme val="minor"/>
      </rPr>
      <t>concrete below all R.C.C. member, floors, ramps, chembers</t>
    </r>
    <r>
      <rPr>
        <sz val="14"/>
        <rFont val="Calibri"/>
        <family val="2"/>
        <scheme val="minor"/>
      </rPr>
      <t xml:space="preserve"> etc. with 20mm nominal size graded stone aggregates of approved quality (black trap only) including leveling, compacting, curing and form work if any, etc. complete.</t>
    </r>
  </si>
  <si>
    <r>
      <t xml:space="preserve">Providing and laying M15 grade (1:2:4) Plain Cement Concrete with 20mm down size graded  metal for </t>
    </r>
    <r>
      <rPr>
        <b/>
        <sz val="14"/>
        <rFont val="Calibri"/>
        <family val="2"/>
        <scheme val="minor"/>
      </rPr>
      <t>encasing pipe including formwork</t>
    </r>
    <r>
      <rPr>
        <sz val="14"/>
        <rFont val="Calibri"/>
        <family val="2"/>
        <scheme val="minor"/>
      </rPr>
      <t xml:space="preserve"> where required laying, spreading, ramming, consolidating,  curing and  finishing top surface rough or smooth as per  instructions of Engineer-in-charge.</t>
    </r>
  </si>
  <si>
    <r>
      <t>High Yield Deformed Bar Reinforcement  conforming to IS-1139 or Cold Twisted bar, TOR steel / TMT / or Equivalent) Reinforcement conforming to IS-1786.</t>
    </r>
    <r>
      <rPr>
        <b/>
        <sz val="14"/>
        <rFont val="Calibri"/>
        <family val="2"/>
        <scheme val="minor"/>
      </rPr>
      <t xml:space="preserve"> - Grade of Reinforcement Steel shall be- Fe500/Fe500D            </t>
    </r>
  </si>
  <si>
    <t>Supply and Installation of Rubber Speed Breaker on designated roads as directed by EIC. Rubber Speed Breaker shall be made of high quality virgin rubber with shore hardness of A 65 ± 5, black and yellow segments for high visibility, built-in reflectors for night-time visibility. Each section should have length of 500mm, width of 350mm per segment with 50-75mm height to ensure gradual slope. The speed breaker shall have interlocking segments for easy assembly and maintenance with anti-skid surface and drainage channels to allow water flow, Minimum 20 Tonnes load bearing capacity with UV stabilized and resistant to oil, salt and other chemicals.</t>
  </si>
  <si>
    <t>K-21</t>
  </si>
  <si>
    <t>Supply and Installation of Convex Mirror with necessary Civil / structural support system at all height as directed by EIC. Convex Mirror shall be made of High-quality, impact-resistant polycarbonate or acrylic mirror surface with diameter of 600mm. Mirror shall have rubber or flexible PVC edging to protect against impacts and environmental damages and shall be UV stabilized and capable of withstanding extreme weather conditions without degrading.</t>
  </si>
  <si>
    <t>B-02B</t>
  </si>
  <si>
    <t>Providing and laying reinforced cement concrete with 20mm and down size graded stone aggregates in all types of concrete works such as footings, columns, pedestals, rafts, beams, lofts, slabs, walls, lintels, chajjas, canopies, facias, fins, bands, shelves, staircases, all other any type of structural members, pits, chambers, rain water chutes, gutters, pardi, curbs, pipe racks, &amp; equipment foundations, etc. of square, rectangular, hexagonal, octagonal and circular shapes including leaving pockets, vatas, openings in slabs, including vibrating, tamping, finishing, curing and rendering if required, etc. complete as per drawings and specifications but excluding the cost of formwork and reinforcement. (No false staging shall be given.)
Cement Make: Ultratech / JK Lakshmi / Ambuja - OPC 53 grade (Applicable to all items)</t>
  </si>
  <si>
    <t>B-02C</t>
  </si>
  <si>
    <t>Providing and laying reinforced cement concrete with 20mm and down size graded stone aggregates in PILE. of circular shapes including  tamping, curing and development of pile- including use of trimi,  breaking (Upto 0.60m length), cleanning  etc. complete as per drawings and specifications but excluding the cost of formwork and reinforcement. (USE GRADE OF CONC. M25)</t>
  </si>
  <si>
    <t>Providing free flow grouting under base plates and in pockets for holding down in pockets with GP2 of approved make including formwork, finishing, curing, etc. complete as directed by the Engineer.</t>
  </si>
  <si>
    <t xml:space="preserve">a) Expansion joints 25mm wide </t>
  </si>
  <si>
    <t>iii) Filling bitumin sealant 25mm x 12mm deep over expansion board</t>
  </si>
  <si>
    <t>a) For flooring over 20mm thick cement mortar bedding.</t>
  </si>
  <si>
    <t>Providing and applying out side asian make wall primer with asian make ACE of approved shade at all levels to walls, chajjas, canopy  including cleaning and wetting the surfaces before application, scaffolding, curing, etc. complete as per specifications and as directed by Engineer. (Contractor shall have to provide uniform painted surface in two or more coats without any additional cost).</t>
  </si>
  <si>
    <r>
      <t>Providing and applying of asian make wall primer with birla putty as per required to make a surface smooth &amp; equally, then after apply asian make</t>
    </r>
    <r>
      <rPr>
        <b/>
        <sz val="14"/>
        <rFont val="Calibri"/>
        <family val="2"/>
        <scheme val="minor"/>
      </rPr>
      <t xml:space="preserve"> plastic</t>
    </r>
    <r>
      <rPr>
        <sz val="14"/>
        <rFont val="Calibri"/>
        <family val="2"/>
        <scheme val="minor"/>
      </rPr>
      <t xml:space="preserve"> Emulsion min. two coat or as required &amp; approved by engineer in charge &amp; with neat finishes etc. complete as directed.</t>
    </r>
  </si>
  <si>
    <t>c) extra for door closer</t>
  </si>
  <si>
    <t xml:space="preserve">b) extra for heavy duty floor spring </t>
  </si>
  <si>
    <t>C-07</t>
  </si>
  <si>
    <t>a) M: 25 Grade (Minimum Cement : 340 kg/M3)</t>
  </si>
  <si>
    <t>Designing, providing, fabricating and fixing Aluminum Composite Panels of  Durabuilt OR, Alu-decore OR Altobond solid /approved Metalliccolours including all necessary frame work made out of anodised (20 micron) extruded aluminum  sections of approved size make and weight and complete weather sealing. The composite panel should consist of 3 mm thermoplastic core of LDPE sandwiched between 2 skin of 0.5mm thk aluminum sheet (alloy designation 310S) making a total panel thickness of 4mm.The surface will be furnished with PVDF COATING of atlest  30 microns and service coating on reverse side. The system shall be fixed using GI brackets, ss bolts, nuts, spring washers and cap nuts and all other necessary accessories. The bracket support shall be designed as per manufacturer's specification and shall withstand a wind pressure of 140 kg/sqm.</t>
  </si>
  <si>
    <t>L-1</t>
  </si>
  <si>
    <t>L-2</t>
  </si>
  <si>
    <t>L-3</t>
  </si>
  <si>
    <t>L-4</t>
  </si>
  <si>
    <t>L-5</t>
  </si>
  <si>
    <t>L-6</t>
  </si>
  <si>
    <t>TOTAL OF SECTION `L’</t>
  </si>
  <si>
    <t>L-7</t>
  </si>
  <si>
    <t>SECTION : - L</t>
  </si>
  <si>
    <t>Supply and Installation of Road safety reflect light studs as per IRC guidelines / directed by EIC. Road Indicators shall be made of High-impact plastic, aluminum or ceramic. It shall be resistant to UV light, weather conditions and wear from road and traffic.</t>
  </si>
  <si>
    <t>PLASTERING , PAINTING , FINISHING</t>
  </si>
  <si>
    <t xml:space="preserve">Alternative </t>
  </si>
  <si>
    <t>Cu.m</t>
  </si>
  <si>
    <t>a) M : 20 Grade</t>
  </si>
  <si>
    <t>ii) Above + 5.5M lvl.</t>
  </si>
  <si>
    <t>b) M : 25 Grade</t>
  </si>
  <si>
    <t>c) Extra for M30 Concrete in place of M25 (Min. Cement- 370 KG/M3)</t>
  </si>
  <si>
    <t>b) For skirting  over 12mm thick backing coat, upto 100mm height.</t>
  </si>
  <si>
    <t>Providing and laying in position GRANITE stone slabs 18mm thick machine cut and machine / mirror polished in 25mm thick cement mortar 1:4 bedding on window sill,periphery   of openings with cruves at edges, platform, wash basin counter, stair steps including float and filling joints of neat cement slurry of matching colour, curing, polishing, cleaning, etc. complete. (Basic rate shall be Rs.2000/- per Sq.m.)</t>
  </si>
  <si>
    <t>Providing and laying in position GRANITE stone slabs 18mm thick machine cut and machine / mirror polished in 25mm thick cement mortar 1:4 bedding on floor   including float and filling joints of neat cement slurry of matching colour, curing, polishing, cleaning, etc. complete. (Basic rate shall be Rs.1750/- per Sq.m.)</t>
  </si>
  <si>
    <t>Providing and laying Stone Grit plaster in CM 1:4,  with line &amp; level, no undulation surface should be allowed, at all heights to the concrete or masonry surfaces as directed, including hacking of concrete surfaces, raking of joints, scaffolding, curing, vatas etc. complete as per specifications and as directed by the Engineer.</t>
  </si>
  <si>
    <t>Providing and laying average 20mm thick sand faced plaster  including waterproofing compound at all heights laid in two coats to external concrete or masonry surfaces and around openings in jambs and sills, finished with sponge including hacking of concrete surfaces, raking of joints, scaffolding, curing, vatas, chicken mesh size 20mm square 26 gauge GI wire at joints between concrete and brickwork and wherever required before plastering, including cutting, nailing, screwing, scaffolding, etc. complete as per specifications and as directed by the Engineer. (Inner coat Av. 12mm thick in CM 1:4 Outer coat Av. 8mm thick in CM 1:2). (Second coat applied after three days of first coat)</t>
  </si>
  <si>
    <t>F-09</t>
  </si>
  <si>
    <t>Collecting &amp; fixing in position in correct line, level &amp; plum anchor bolts, holding down bolts of column, trusses, foundation, pipe rack gurders, crane breackets, etc. of specified diameter &amp; length including templetes including nuts, washers, plates, channels, etc. as per details. No extra payment shall be made for weight of welding, nut &amp; templets, washers.</t>
  </si>
  <si>
    <t xml:space="preserve">Providing, fabricating and fixing in position and keeping in operation MS ladder made from angles, flats &amp; plates as per design including all fittings, hold fasts of approved pattern. including one coat of red oxide primer cum surfacer and two coats of synthetic enamel paint of approved make and different shades, all complete. (All materials shall be in the scope of Contractor). </t>
  </si>
  <si>
    <t>J-16</t>
  </si>
  <si>
    <t xml:space="preserve">SECTION - `K’ :  ROAD &amp;  PAVER </t>
  </si>
  <si>
    <t>K-9</t>
  </si>
  <si>
    <t>Supplying &amp; placing in position reinforcement for all type of RCC structures including cleaning, decoiling, cutting, bending to required shape and lengths, binding as per drawing and details, binding with 16 SWG black soft annealed binding wire supplying and straightening, placing with proper cover block, support chairs, overlaps, spacers, etc.complete in all respect as directed. Payment will be made as on length basis (actual or theoretical as per drg. whichever is less) and converted into weight by using standard IS coefficient (rolling margins, wastages, couplings, welded joints, spacer bars, stays, hangers, annnealed steel wire or other methods of binding and placing shall not be measured and not paid separately. Only authorised laps shall be measured and paid)</t>
  </si>
  <si>
    <t>ii) Above + 5.5M lvl up to + 11.0M lvl</t>
  </si>
  <si>
    <r>
      <t xml:space="preserve">Providing &amp; fixing in positionInterloking Rolling Shutters </t>
    </r>
    <r>
      <rPr>
        <b/>
        <sz val="14"/>
        <rFont val="Calibri"/>
        <family val="2"/>
        <scheme val="minor"/>
      </rPr>
      <t>(finish with Epoxy Paint)</t>
    </r>
    <r>
      <rPr>
        <sz val="14"/>
        <rFont val="Calibri"/>
        <family val="2"/>
        <scheme val="minor"/>
      </rPr>
      <t xml:space="preserve"> with 18G x 120mm wide Galvanised Streep, including MS Guide with 100mm by 2.mm  thick with 3.0mm Bracket with Angle welded bottom, 22G Top Cover, Clamps, Axises, T, Iron Pullies, Bearings, Handles, Holding Bolts etc. complete as per drawings and specifications. (measurements for clear unfinished size of opening)</t>
    </r>
  </si>
  <si>
    <t>(a) For Roofing /Cladding</t>
  </si>
  <si>
    <t>a) M: 20 Grade (min . Cement : 300 kg/m3)</t>
  </si>
  <si>
    <t>b) M: 25 Grade (min . Cement : 340 kg/m3)</t>
  </si>
  <si>
    <t>B-02 A1</t>
  </si>
  <si>
    <t>B-02 A2</t>
  </si>
  <si>
    <t xml:space="preserve"> In superstructure above finished floor level at all heights.</t>
  </si>
  <si>
    <t>B-02D</t>
  </si>
  <si>
    <t>-Do as  Item K-08 but using RMC of Grade M25 without Flyash. With Min. Cement : 340 kg/m3( Cement Shall be in contractor's Scope)</t>
  </si>
  <si>
    <t>K-08-A</t>
  </si>
  <si>
    <t>-Do as  Item D-02 but using RMC of Grade M25 without Flyash. With Min. Cement : 340 kg/m3( Cement Shall be in contractor's Scope)</t>
  </si>
  <si>
    <t>D-02 A</t>
  </si>
  <si>
    <t>D-02 B</t>
  </si>
  <si>
    <t>D-02 C</t>
  </si>
  <si>
    <r>
      <t xml:space="preserve">Providing and fixing 100 mm dia. C.I. </t>
    </r>
    <r>
      <rPr>
        <b/>
        <sz val="12"/>
        <rFont val="Calibri"/>
        <family val="2"/>
        <scheme val="minor"/>
      </rPr>
      <t>Vent pipe upto 1m length</t>
    </r>
    <r>
      <rPr>
        <sz val="14"/>
        <rFont val="Calibri"/>
        <family val="2"/>
        <scheme val="minor"/>
      </rPr>
      <t xml:space="preserve"> with Cowl  piece for Air Ventilator with jali wire mesh including 25mm deep seal lead joint. etc. complete.             </t>
    </r>
  </si>
  <si>
    <t>J-17</t>
  </si>
  <si>
    <t>Providing, drilling &amp; fixing reinforcement bars in concrete using Hilti HY-150 chemical grout as per as per manufacturer's specifications. (Reinforcement for rebaring will be in contractor's scope)</t>
  </si>
  <si>
    <t>a) 8mm dia. reinforcement</t>
  </si>
  <si>
    <t>b) 10mm dia. reinforcement</t>
  </si>
  <si>
    <t>c) 12mm dia. reinforcement</t>
  </si>
  <si>
    <t>d) 16mm dia. reinforcement</t>
  </si>
  <si>
    <t>e) 20mm dia. reinforcement</t>
  </si>
  <si>
    <t>f) 25mm dia. reinforcement</t>
  </si>
  <si>
    <t>Cleaning the area by grass cutting, removing vegetations,roots of trees if any, scraping the existing surfaces up to 150mm, removal of all loose materials and other matters, etc. and disposing off the debris beyond the plant boundary as directed by the Engineer.</t>
  </si>
  <si>
    <t>Providing and laying M25 Grade Reinforced cement concrete for water retaining structures/Cable Trech / basement structures/over head tanks, ETP, scale pit, basins sumps / sump pits, manholes, inspection chambers of sewage / drainage lines etc at any level and location. Including addition of water proofing compound WAREP 1000L Manufactured by Thermax Ltd. , FOSROC-CONPLAST '-X4211C- or equivalent approved make in concrete as per approved manufacturer's specification, including pressure cement grouting of mix 1:1 with water proofing additives MAXGROUT 100 MANUFACTURED by THERMAX LTD.or equivalent at construction joints, weak spot / honey combs and testing the same for water tightness as per requirements of IS 3370 and making good defects / leakages as instructed by Engineers / Owners. Rate also to include cost of water proofing compound, testing and rectification of leakage etc</t>
  </si>
  <si>
    <t>Providing and constructing brick masonry out of best approved first class bricks partition walls in foundations and super structure at all levels using best available approved brick in cement mortar 1:4 including raking of joints, scaffolding, curing, etc. complete as per drawings and specifications for the following:</t>
  </si>
  <si>
    <t>Note: Vibrator shall be used "Flex screed SVE- Surface vibrator" of Aquarius Technologies pvt. Ltd. or equivalent make. For Finishing use Ride-on-trowel, Big Blue glider and Magnesium Bull float of Aquarius Technologies pvt. Ltd. or equivalent make. Rate of flooring shall be inclusive of above all.</t>
  </si>
  <si>
    <t>Providing expansion joints in concrete floor with Capseal Board  or equivalent joint filler and filling polysulphide sealant over expansion board including making holes in expansion board for dowel bars wherever required, cleaning the joints thoroughly, removal of all foreign materials, all complete as directed.</t>
  </si>
  <si>
    <t xml:space="preserve">i)  Capseal board or approved equivalent expansion board 25mm thk </t>
  </si>
  <si>
    <t>Providing and laying machine cut  machine polished approved kota stone slabs of uniform tint &amp; required size at all levels in flooring, etc. laid on 25mm thick cement mortar 1:4 bedding to true plane and level or to slopes, close jointed and pointed with matching cement paste, including curing ,Fine Polished with Required emeries, cleaning, etc. complete.</t>
  </si>
  <si>
    <t>Providing and laying “GRANAMITE” vitrified tiles of approved make / shade thick set in 1:4 cement mortar in line, level, plumb and slope including curing, cleaning, etc. complete as per manufacturer’s specifications. (Basic Rate Rs. 550/-per Sq.M)</t>
  </si>
  <si>
    <t>Providing and laying cement plaster in CM 1:4 at all heights to the all concrete or all masonry surfaces, finished smooth with cement finish in lime slurry as directed, including hacking of concrete surfaces, raking of joints, scaffolding, curing,vatas, chicken mesh size 20 mm square 26 gauge GI wire at Joints with Min. 150 mm Overlap on each side between concrete and brickwork and wherever required before plastering, including cutting, nailing, screwing, scaffolding, etc. complete as per specifications and as directed by the Engineer for:</t>
  </si>
  <si>
    <t>Providing and laying cement mala plaster in CM 1:4,  with line &amp; level, no undulation surface should be allowed, at all heights to the concrete or masonry surfaces, smooth with cement finish  as directed, including hacking of concrete surfaces, raking of joints, scaffolding, curing, vatas, chicken mesh size 20mm square 26 gauge GI wire at joints  with Mini. 150 mm Overlap on each side between concrete and brickwork and wherever required before plastering, including cutting, nailing, screwing, scaffolding,etc. complete as per specifications and as directed by the Engineer.</t>
  </si>
  <si>
    <t xml:space="preserve">Providing and fixing in position MS  sliding door 35 mm thk made out of 18 gauge MS sheet on both side and with required steel frame, stiffness, rollers, guides, floor channels, fitting and fixtures, painted with two coats of synthetic enamel paint of approved make and shade, tint over one coat of red oxide primer, etc. complete as per drawings and specifications.(Measurements for clear unfinished size of opening). </t>
  </si>
  <si>
    <t xml:space="preserve">Providing and fixing in position double action full swing anodized aluminum door of approved make having finishing specified in drg. of matt finish frames, stiles and rails (15 micron anodizing) and 5.5mm thick shatter proof toughened glass panel or any other materials of same cost, shutter fixed with S.S hinges/Pivoted, including PVC weather strips, aluminum glazing clips, locking devices and Aluminum tower bolts of flush type built in within the anodized aluminum frames, handle flap including all specials, fittings and fixtures complete as per drawings and specifications. </t>
  </si>
  <si>
    <t>Providing and fixing in position window with standard MS frame made of HMPS section as per specifications of approved manufacture, glazed with 5mm thick toughened glass with glazing bars, transoms, mullions, coupling bars, screws, putty with metal clips, etc. including cost of black oxidized iron fittings such as stays, handles, lock hooks, MS hinges, lugs, etc. complete including painted with one coat of steel primer and two coats of synthetic enamel paint of approved make, quality and shade, as per drawings and specifications.</t>
  </si>
  <si>
    <t>Providing and fixing in position silver grey matt finish anodised Aluminium Fixed Glazing of approved make using 5mm thick toughened transparent glass panel with all fixtures fastening, weathering strips, PVC or Neoprene rubber glazing clip, necessary fixtures and fastenings, etc. complete as per drawing, specification and as directed by the Engineer.</t>
  </si>
  <si>
    <t xml:space="preserve">Providing and fixing in position Partly glazed &amp; partly panneled partition using "Jindal" make  aluminium section with approved colour anodizing (15 microns) having outer frame of size 63.5 mm x 38.1mm x 3.18 mm @ 1.777 kg/m, (jindal code no. 20005) intermediate frames of size 63.5 mm x 38.1 x 3.18mm @ 1.924 Kg/m (Jindal code no. 20004), glazing clip 19.0 x 17.3 x 1.2mm @ 0.154 Kg/m  (Jindal code no.19377) as per detailed sketch including all fittings, 5.0 mm thick  Toughned glass in middle panel. Top &amp; bottom panel with 9 mm th.both side prelaminated board  </t>
  </si>
  <si>
    <t>Preparation of steel structures by cleaning with super prep solution, sand paper and wire brushing, applying one shop coat of red oxide primer cum surface and two coats of synthetic enamel paint of approved make and shade on erection including necessary scaffolding, etc. complete.</t>
  </si>
  <si>
    <t>Do - as -per G-05 but anchor bolts,nuts  &amp; fastner  (as per design Requirements) supplied by contractor.</t>
  </si>
  <si>
    <t>a) 125mm dia pipe (PVC) OD</t>
  </si>
  <si>
    <t>b) 160mm dia pipe  (PVC)  OD</t>
  </si>
  <si>
    <t>Providing &amp; laying RCC NP3 class pipes  with Spigot Joints confirming to IS - 458 for road crossing of cable and other facility including excavation upto required depth &amp; width, disposal of surplus earth withing plot boundary, laying of  pipe, collar, jointing with CM 1:2, back filling the trenches, compaction and making  good the same etc. complete. (Encasing with P.C.C. work and bed concrete for laying will be paid separately as per pcc item).Inspection &amp; hydraulic testing of the pipes will be witnessed by the representative of client/Consultant at Manufacturer's shop before dispatch.</t>
  </si>
  <si>
    <r>
      <t xml:space="preserve">Providing and laying black trap rubble soling at required level and grade in foundations, in plinth, ramps, etc. including hand packing, filling interstices with quarry / sand, watering and compacting with suitable </t>
    </r>
    <r>
      <rPr>
        <b/>
        <sz val="14"/>
        <rFont val="Calibri"/>
        <family val="2"/>
        <scheme val="minor"/>
      </rPr>
      <t xml:space="preserve">vibro roller/ Static roller  </t>
    </r>
    <r>
      <rPr>
        <sz val="14"/>
        <rFont val="Calibri"/>
        <family val="2"/>
        <scheme val="minor"/>
      </rPr>
      <t>or earth compactor wherever applicable as decided by the Engineer to the consolidated thickness as stated below:</t>
    </r>
  </si>
  <si>
    <r>
      <t>Providing and fixing form work</t>
    </r>
    <r>
      <rPr>
        <b/>
        <sz val="14"/>
        <rFont val="Calibri"/>
        <family val="2"/>
        <scheme val="minor"/>
      </rPr>
      <t xml:space="preserve"> </t>
    </r>
    <r>
      <rPr>
        <sz val="14"/>
        <rFont val="Calibri"/>
        <family val="2"/>
        <scheme val="minor"/>
      </rPr>
      <t>including necessary centering  for footings, columns, pedestals, rafts, blocks, walls, beams, slabs, copings, pipe supports, equipment foundations, floors, roads, water retaining structures / any type of structural members etc. of any shapes including strutting, bracing, shoring, propping, staging, etc. keeping the same in position during concreting and removal of the same after a specified period, including smooth rendering of concrete surface if required, complete as per drawings and specifications (Rate to include coating formwork with approved quality of non-staining mineral oil).</t>
    </r>
  </si>
  <si>
    <r>
      <t xml:space="preserve">Providing and constructing </t>
    </r>
    <r>
      <rPr>
        <b/>
        <sz val="14"/>
        <rFont val="Calibri"/>
        <family val="2"/>
        <scheme val="minor"/>
      </rPr>
      <t xml:space="preserve">block masonry work with Autoclave Aerated Concrete (AAC) Blocks </t>
    </r>
    <r>
      <rPr>
        <sz val="14"/>
        <rFont val="Calibri"/>
        <family val="2"/>
        <scheme val="minor"/>
      </rPr>
      <t xml:space="preserve">confirming to IS: 2185 Part III, of 200MM thick in </t>
    </r>
    <r>
      <rPr>
        <b/>
        <sz val="14"/>
        <rFont val="Calibri"/>
        <family val="2"/>
        <scheme val="minor"/>
      </rPr>
      <t xml:space="preserve">3mm to 5mm thk. Block Jointing mortar "Smartfix" of CK Birla make </t>
    </r>
    <r>
      <rPr>
        <sz val="14"/>
        <rFont val="Calibri"/>
        <family val="2"/>
        <scheme val="minor"/>
      </rPr>
      <t>at all level &amp; depth  including staging, scaffolding, racking out joints, curing, watering etc., comp.</t>
    </r>
    <r>
      <rPr>
        <b/>
        <sz val="14"/>
        <rFont val="Calibri"/>
        <family val="2"/>
        <scheme val="minor"/>
      </rPr>
      <t xml:space="preserve"> </t>
    </r>
    <r>
      <rPr>
        <sz val="14"/>
        <rFont val="Calibri"/>
        <family val="2"/>
        <scheme val="minor"/>
      </rPr>
      <t>(for walls, steps, chambers, drain, pillar, column, butresses, parapet, galabid,  etc.)</t>
    </r>
  </si>
  <si>
    <r>
      <t xml:space="preserve">Earthwork in excavation below final ground level   (Raised Ground Level) in foundations, trenches,  Rain water gutter etc. in all classes of soil / hard murrum except rock upto a depth of 1.0 mtr. including dewatering, shoring and strutting if required, refilling the trenches by excavated earth including compaction up to 95% standard proctor density, spreading the surplus earth </t>
    </r>
    <r>
      <rPr>
        <b/>
        <sz val="14"/>
        <rFont val="Calibri"/>
        <family val="2"/>
        <scheme val="minor"/>
      </rPr>
      <t xml:space="preserve">within plot boundary </t>
    </r>
    <r>
      <rPr>
        <sz val="14"/>
        <rFont val="Calibri"/>
        <family val="2"/>
        <scheme val="minor"/>
      </rPr>
      <t>etc. complete as per instruction of Engineer in charge.</t>
    </r>
  </si>
  <si>
    <t xml:space="preserve">c) 0.5 mm PPGI Eave Gutter </t>
  </si>
  <si>
    <t xml:space="preserve">b) 0.5 mm PPGI flashing /apron </t>
  </si>
  <si>
    <t>d) 0.5 mm PPGI Down take</t>
  </si>
  <si>
    <t xml:space="preserve"> Extra for Using Laser Screed machine to carry out Laser Screeding, which simultaneously cuts, vibrates, &amp; levels, the concrete in a single pass. The concrete is poured in bays, in accordance with width of machine's screed head, usually little higher than the required level/ grade. The laser screed vibrating head is then lowered to the grade established by the laser-level transmitter. After screed is completed, the surface is then trowelled for perfect smoothness using ride on trowel machines with different kind of blades to ensure top surface free of pot holes and other abnormalities.\ etc. complete as per the instructions of Engineer-In-Charge.</t>
  </si>
  <si>
    <t xml:space="preserve">Providing and fixing of armstrong mineral fibre acoustical suspended ceiling system with fine fissuure tagular Tiles with Armstrong Suprafine 15 mm Exposed Grid. The tiles sholud have Humidity Resistance (RH) of 90%,NRc.050, Light Reflection&gt;85%, Thermal conductivity K-0.052w/m k,Colour white, Fire Performence Class 0/Class 1(BS-476)in module size of 600mm X600 X15mm with Bio Block coating on the face of the tile , suitable for Green Building application, with Recycled Content of 63%.The grid should be of "Armstrong" make with 15 mm wide T-section flanges colour white having rotary stiching on all T section i.e the main runner , 1200mm &amp;600mm cross tees with a web height of 43mm and a load carrying capacity of 23.71 kgs/m2. The T sections have a Galvanizing of 120 gm/m2 per m2 and pass it through 500hr of salt test. the tile and Grid system Use togher should carry a 15 years warrantee. </t>
  </si>
  <si>
    <t xml:space="preserve">   </t>
  </si>
  <si>
    <r>
      <t>c) Extra over spreading of floor hardner powder</t>
    </r>
    <r>
      <rPr>
        <sz val="14"/>
        <color rgb="FFFF0000"/>
        <rFont val="Calibri"/>
        <family val="2"/>
        <scheme val="minor"/>
      </rPr>
      <t xml:space="preserve"> </t>
    </r>
    <r>
      <rPr>
        <sz val="14"/>
        <color theme="1"/>
        <rFont val="Calibri"/>
        <family val="2"/>
        <scheme val="minor"/>
      </rPr>
      <t>2.5 kg</t>
    </r>
    <r>
      <rPr>
        <sz val="14"/>
        <rFont val="Calibri"/>
        <family val="2"/>
        <scheme val="minor"/>
      </rPr>
      <t xml:space="preserve"> / sq.m. or as required Qty. that result of 7 MOH (BASF Master top 100 OR SIKA Equiavelant. Basic Rate Rs. 12 Kg.)</t>
    </r>
  </si>
  <si>
    <t>D-17</t>
  </si>
  <si>
    <t>Providing and fixing in position Silver gray matt finish anodised (15 microns) aluminium glazed sliding windows of approved make using 4mm thick rattle proof plain glass panels fixed to shutter by means of Neoprene rubber beading or equivalent PVC beading including silver gray matt finish outer frame, all necessary fixtures, fastenings, locking devices, PVC weathering strips, nylon gliders, etc. complete as per drawings, specifications and as directed by the Engineer.  The rate shall includes supplying and fixing on site and putting the glazed sliding windows in operation and including providing 6 mm groove all around and seiling the same from both the faces with silicon base sealent.  All visible and flush type of locking devices shall be made of silver gray matt finish anodised aluminium.</t>
  </si>
  <si>
    <t>a) Labour charges for fabricating and fixing pipe upto 75mm dia.</t>
  </si>
  <si>
    <t>Rmt</t>
  </si>
  <si>
    <t>b) Labour charges for fabricating and fixing pipe above 75mm and upto 125mm dia.</t>
  </si>
  <si>
    <t>c) Labour charges for fabricating and fixing pipe above 125mm and upto 200mm dia.</t>
  </si>
  <si>
    <t>d) Labour charges for fixing of valve</t>
  </si>
  <si>
    <t>B-11</t>
  </si>
  <si>
    <t>d) For pocket area up to 0.01 Sq.m. and depth up to 0.75M</t>
  </si>
  <si>
    <t>e) For pocket area above 0.01 Sq.m. up to 0.03 Sq.m. and depth up to 0.75M</t>
  </si>
  <si>
    <t>f) For pocket area above 0.03 Sq.m. up to 0.05 Sq.m. and depth up to 1.0M</t>
  </si>
  <si>
    <t>g) For pocket area up to 0.01 Sq.m. and depth up to 1.25M</t>
  </si>
  <si>
    <t>h) For pocket area above 0.01 Sq.m. up to 0.03 Sq.m. and depth up to 1.25M</t>
  </si>
  <si>
    <t>i) For pocket area above 0.03 Sq.m. up to 0.05 Sq.m. and depth up to 1.5M</t>
  </si>
  <si>
    <t>SECTION - `M’ :  PRE-CAST DRAIN</t>
  </si>
  <si>
    <t>M-1</t>
  </si>
  <si>
    <r>
      <t xml:space="preserve">Providing &amp; Laying of precast </t>
    </r>
    <r>
      <rPr>
        <b/>
        <sz val="12"/>
        <rFont val="Arial"/>
        <family val="2"/>
      </rPr>
      <t>U shape surface drain of 3G Infratech / FUJI Silvertech</t>
    </r>
    <r>
      <rPr>
        <sz val="12"/>
        <rFont val="Arial"/>
        <family val="2"/>
      </rPr>
      <t xml:space="preserve">, having in-to-in dimension </t>
    </r>
    <r>
      <rPr>
        <b/>
        <sz val="12"/>
        <rFont val="Arial"/>
        <family val="2"/>
      </rPr>
      <t>as given Below</t>
    </r>
    <r>
      <rPr>
        <sz val="12"/>
        <rFont val="Arial"/>
        <family val="2"/>
      </rPr>
      <t xml:space="preserve">, </t>
    </r>
    <r>
      <rPr>
        <b/>
        <sz val="12"/>
        <rFont val="Arial"/>
        <family val="2"/>
      </rPr>
      <t>T-25 load carrying capacity</t>
    </r>
    <r>
      <rPr>
        <sz val="12"/>
        <rFont val="Arial"/>
        <family val="2"/>
      </rPr>
      <t xml:space="preserve"> – 10 T Axle Load – 5 T Wheel load confirming to Japanese Industrial Standards (JIS) &amp; meeting IS requirements, having High Performance  Self Compacting concrete of M-40 cylinder strength / M-50 cube strength &amp; Fe 500 shall be use for reinforcement.. The product shall have tie shape groove 10-20 mm  width, 25 mm depth  on both sides of each for jointing  two precast units using cement mortar 1:3 proportion or suitable non shrink grout. The precast U shape drain must consist of  special in built insert at appropriate location for fixing De-shackle for mechanical installation , including supply ,transportation on specific location at site in line ,level , gradient and plumb with necessary testing commissioning etc complete as per instruction of engineer in charge. 
(Excavation &amp; PCC (Min. 75mm thk. - 1:4:8) &amp; Sand base (Min. 40mm thk.) shall be considered in rates. These shall not be paid separately)</t>
    </r>
  </si>
  <si>
    <t>a) 450 x 450</t>
  </si>
  <si>
    <t>b) 450 x 600</t>
  </si>
  <si>
    <t>c) 600 x 600</t>
  </si>
  <si>
    <t>b) 600 x 750</t>
  </si>
  <si>
    <t>TOTAL OF SECTION `M’</t>
  </si>
  <si>
    <t>(i)                Two track (3/4” series)</t>
  </si>
  <si>
    <t>J-18</t>
  </si>
  <si>
    <t xml:space="preserve"> Ready Mix Concreate
(Prior Permission shall be taken before using Ready Mix Concrete from engineer Incharge)</t>
  </si>
  <si>
    <t>B-02A</t>
  </si>
  <si>
    <t>b) M: 25 Grade (Min. Cement - 340 KG/M3)</t>
  </si>
  <si>
    <t>a) M : 20 Grade (Min. Cement - 300 KG/M3)</t>
  </si>
  <si>
    <r>
      <t xml:space="preserve">Supplying, fabricating, cutting to shape and size, fixing in position M.S. Chequered plates of required thickness at any level with stiffeners if required in  covers for trenches, stair, steps, landing, platforms, floors and similar works etc. complete as per drawings and as directed including bolted / welded joints and connections, grinding etc. including providing &amp; applying two coats of Epoxy Paint over  two coats of </t>
    </r>
    <r>
      <rPr>
        <b/>
        <sz val="14"/>
        <rFont val="Calibri"/>
        <family val="2"/>
        <scheme val="minor"/>
      </rPr>
      <t>epoxy primer.</t>
    </r>
    <r>
      <rPr>
        <b/>
        <sz val="12"/>
        <rFont val="Calibri"/>
        <family val="2"/>
        <scheme val="minor"/>
      </rPr>
      <t xml:space="preserve"> </t>
    </r>
    <r>
      <rPr>
        <sz val="14"/>
        <rFont val="Calibri"/>
        <family val="2"/>
        <scheme val="minor"/>
      </rPr>
      <t xml:space="preserve">Payment shall be done as per actual measurement  and multiplying with standard co efficient to arrive weight. Rolling margin &amp; wastages shall not be paid. </t>
    </r>
  </si>
  <si>
    <t>PRE-CAST STORM WATER DRAIN</t>
  </si>
  <si>
    <r>
      <t xml:space="preserve">Providing and laying ready mix concrete with 20mm and down size graded stone aggregates Without flyash in all types of concrete works such as footings, columns, pedestals, rafts, beams, lofts, slabs, walls, lintels, chajjas, canopies, facias, fins, bands, shelves, staircases, pits, chambers, rain water chutes, gutt­ers, pardi, curbs, pipe racks, &amp; equipment foundations, etc. of square, rectangular, hexagonal, octagonal and circular shapes including leaving pockets, openings in slabs, vibrating, tamping, finishing, curing and rendering if required, etc. complete as per drawings and specifications but excluding the cost of formwork and reinforcement. 
</t>
    </r>
    <r>
      <rPr>
        <b/>
        <sz val="14"/>
        <rFont val="Calibri"/>
        <family val="2"/>
        <scheme val="minor"/>
      </rPr>
      <t xml:space="preserve">Cement: OPC53 grade Ultra tech, Ambuja Supply of cement will be in contractor's scope. Mix Design has to be approved from Consultant. </t>
    </r>
  </si>
  <si>
    <t>In foundations and up to plinths (FFL) at all depths:</t>
  </si>
  <si>
    <r>
      <t xml:space="preserve">Providing, fabricating, transporting to site, erecting and fixing in position at all heights in line, level and plumb, welded and bolted structural steel works in columns, beams, trusses, purlins, crane girders, rails, platforms, staircases, supporting members for chequered plates, lattice and plate girders, ladders with or without cage, struts, bracings, ties, sag rods, composite sections,  triangular frames for louvers, pipe racks, etc. including welding with ISI grade Advani or equivalent welding rods necessary holding down bolts, washers, connection bolts (8.8 grade), splice plates, gusset plates, base plates, etc. complete as per drawings, specifications and as directed by the Engineer. (No extra payment shall be made for weight of welding, site connection bolts, washers and nuts, the cost of which shall be included in the rate quoted for this item)
</t>
    </r>
    <r>
      <rPr>
        <b/>
        <sz val="14"/>
        <rFont val="Calibri"/>
        <family val="2"/>
        <scheme val="minor"/>
      </rPr>
      <t>Approved Make: TATA / Jindal / SAIL</t>
    </r>
  </si>
  <si>
    <r>
      <t xml:space="preserve">Supplying of Precoated GALVALUME Corrugated sheet of </t>
    </r>
    <r>
      <rPr>
        <b/>
        <sz val="14"/>
        <rFont val="Calibri"/>
        <family val="2"/>
        <scheme val="minor"/>
      </rPr>
      <t xml:space="preserve">TCT 0.55 mm </t>
    </r>
    <r>
      <rPr>
        <sz val="14"/>
        <rFont val="Calibri"/>
        <family val="2"/>
        <scheme val="minor"/>
      </rPr>
      <t xml:space="preserve">thick for </t>
    </r>
    <r>
      <rPr>
        <b/>
        <sz val="14"/>
        <rFont val="Calibri"/>
        <family val="2"/>
        <scheme val="minor"/>
      </rPr>
      <t xml:space="preserve">roof /cladding </t>
    </r>
    <r>
      <rPr>
        <sz val="14"/>
        <rFont val="Calibri"/>
        <family val="2"/>
        <scheme val="minor"/>
      </rPr>
      <t xml:space="preserve">of approved manufacturer complete in all respects with self drilling &amp; tapping screws of "Buildex" or "Hilti" or "Corroshield" make, EPDM washers etc. including cutting to proper size, mitering, laps, necessary scaffolding etc. Finish on the weather face of wall and roof panels, and related components shall be Minimum 150 gms/sqm Aluminum / Zinc alloy coating mass – total of both sides (55% Aluminum + 43.5% Zinc + 1.5% Silicon- Coating class AZ150 or equivalent), Pre-treatment Chromate coating on either sides, Primer Coating (Epoxy) On Top Side 5 to 7 Microns, SMP or PVDF material of 20-25 microns on Top side and Back Coat – Epoxy based 5 to 7 Microns. </t>
    </r>
  </si>
  <si>
    <t>c) 300mm dia NP2</t>
  </si>
  <si>
    <t>b) 250mm dia NP2</t>
  </si>
  <si>
    <t>a) 150mm dia NP2</t>
  </si>
  <si>
    <t>d) 450mm dia NP2</t>
  </si>
  <si>
    <t>e) 600mm dia NP2</t>
  </si>
  <si>
    <t>f) 900mm dia  NP2</t>
  </si>
  <si>
    <t>d) 450mm dia NP3</t>
  </si>
  <si>
    <t>e) 600mm dia NP3</t>
  </si>
  <si>
    <t>f) 900mm dia  NP3</t>
  </si>
  <si>
    <t>A-04A</t>
  </si>
  <si>
    <t>a) Measurement of available material by volume</t>
  </si>
  <si>
    <t>b) Measurement of available material by Dumper</t>
  </si>
  <si>
    <t>A-01A</t>
  </si>
  <si>
    <t>F-11A</t>
  </si>
  <si>
    <t>Extra for Motorised Operation.</t>
  </si>
  <si>
    <t>SECTION - `L’ :  PLUMBING (SANITATION) WORKS</t>
  </si>
  <si>
    <t>Note: All material make as per EIC / KEC requirements</t>
  </si>
  <si>
    <t>Providing and fixing white vitreous china extended wall mounting water closet of size 780x370x690 mm of approved shape including providing &amp; fixing white vitreous china cistern with flush fitting etc. complete as per EIC requirements</t>
  </si>
  <si>
    <t>Providing and fixing Hand Faucet with one metre long easy flex tube in chrome finish and wall flange complete as per EIC requirements</t>
  </si>
  <si>
    <t>Providing and fixing C.P. brass stop cock (concealed) of standard design and of approved make conforming to IS:8931</t>
  </si>
  <si>
    <t>15 mm nominal bore</t>
  </si>
  <si>
    <t>Providing and  fixing C.P. Brass  Two  way bib cock with flange of approved quality and make.</t>
  </si>
  <si>
    <t>Providing and fixing heavy ISI marked single lever concealed diverter for bath &amp; shower system Rain shower &amp; its accessories.</t>
  </si>
  <si>
    <t>Providing and fixing C.P. brass angle valve for   basin   mixer   and   geyser   points   of approved quality conforming to IS:8931
a) 15 mm nominal bore</t>
  </si>
  <si>
    <t>White Vitreous China of 'Hindustan &amp; Parryware' make or equivalent under counter type Oval wash basin of size 550 x 480mm with CI brackets suitable for mounting below granite counter including waste fitting with CP brass bottle trap, angle valve with CP connection etc as per EIC requirememnts.</t>
  </si>
  <si>
    <t>Providing and fixing C.P. brass angle valve for basin  PIiller cock of approved quality conforming to IS:893 as per EIC requirements</t>
  </si>
  <si>
    <t>L-8</t>
  </si>
  <si>
    <t>L-9</t>
  </si>
  <si>
    <t>Providing and fixing white vitreous china urinal basin of 355x340x535 mm size</t>
  </si>
  <si>
    <t>P&amp;F Urinal Valve Auto Closing System with Built-in Control Cock &amp; Wall Flange</t>
  </si>
  <si>
    <t>L-10</t>
  </si>
  <si>
    <t>L-11</t>
  </si>
  <si>
    <t>P &amp; F of Bottle Trap 32mm Size with 250mm &amp; 190mm Long Wall Connection Pipes &amp; Wall Flange</t>
  </si>
  <si>
    <t>L-12</t>
  </si>
  <si>
    <t>Providing &amp; Fixing 150 x 150 SS Jali with P trap 31mm single piece moulded with height of 270mm, effective length of tail pipe 260mm from the centre of the waste coupling 77mm breadth with 25mm minimum water seal, weighing not less than 260gms.</t>
  </si>
  <si>
    <t>L-13</t>
  </si>
  <si>
    <t>Providing and  fixing Chlorinated Polyvinyl Chloride (CPVC) pipes, having thermal stability for hot &amp; cold water supply, including all CPVC plain &amp; brass threaded fittings, including fixing the pipe with clamps at 1.00 m spacing, Valves. This includes jointing of pipes &amp; fittings with one step CPVC solvent cement and testing of joints complete as per direction of Engineer in Charge.</t>
  </si>
  <si>
    <t>65 mm dia</t>
  </si>
  <si>
    <t>50 mm dia</t>
  </si>
  <si>
    <t>40 mm dia</t>
  </si>
  <si>
    <t>25 mm dia</t>
  </si>
  <si>
    <t>20 mm dia</t>
  </si>
  <si>
    <t>L-14</t>
  </si>
  <si>
    <t>160 mm dia</t>
  </si>
  <si>
    <t>110 mm dia</t>
  </si>
  <si>
    <t>90 mm dia</t>
  </si>
  <si>
    <t>40mm dia</t>
  </si>
  <si>
    <t>Providing  and   fixing  square-mouth  S.W. gully trap class SP-1 complete with C.I. grating  brick  masonry chamber  with  water tight C.I. cover with  frame of 300 x300 mm size (inside) the weight of cover to be not less than  4.50 kg and frame to be not less than 2.70 kg as per standard design.</t>
  </si>
  <si>
    <t>L-15</t>
  </si>
  <si>
    <t>150 x 100 mm size P type</t>
  </si>
  <si>
    <t>150 mm dia foam cord drainage pipe. (Rates shall be inclusive of excavation, preparation of PCC base, laying of pipe, brick masonry, and re-filling of soil with proper compaction etc. complete as per EIC requirements)</t>
  </si>
  <si>
    <t>Providing and placing on terrace polyethylene water storage tank, ISI : 12701 marked, with cover and suitable locking arrangement and making necessary holes for inlet, outlet and overflow pipes but without fittings and the base support for tank. (1500 liters)</t>
  </si>
  <si>
    <t>L-16</t>
  </si>
  <si>
    <t>L-17</t>
  </si>
  <si>
    <t>Clearing the area by jungle cutting, removing trees / bushes  if any from roots, scraping the existing surfaces up to 150mm, removal of all loose materials and other matters, etc. and disposing off the debris beyond the plant boundary as directed by EIC.</t>
  </si>
  <si>
    <r>
      <t xml:space="preserve">Filling in plinth &amp; foundation pits with approved materials including spreading in 150mm layers, watering, ramming, compacting with 10MT </t>
    </r>
    <r>
      <rPr>
        <b/>
        <sz val="14"/>
        <rFont val="Calibri"/>
        <family val="2"/>
        <scheme val="minor"/>
      </rPr>
      <t>vibro/static roller</t>
    </r>
    <r>
      <rPr>
        <sz val="14"/>
        <rFont val="Calibri"/>
        <family val="2"/>
        <scheme val="minor"/>
      </rPr>
      <t xml:space="preserve"> or portable compactor wherever applicable as decided by the Engineer, leveling, etc. complete. (Measurements for compacted volume is considered)</t>
    </r>
  </si>
  <si>
    <t>Disposing off dumped Earth / Debris  by carting away, outside of company premises at location decided by contractor and shall be responsibility of contractor</t>
  </si>
  <si>
    <r>
      <t>Providing, fabricating, laying and fixing in position reinforcement for all type of RCC works at all levels, including cost of straightening, cutting, bending to required shape, binding with 16 gauge MS annealed binding wire, spacer blocks of cement mortar 1:2 with embedded binding wire of appropriate length, etc. complete as per drawings and specifications [Chairs, pins will not be measured and paid extra. Only authorized laps shall be measured and paid for]
Note:- HYSD reinforcements (Fe500) of make "HY-TUF" ,</t>
    </r>
    <r>
      <rPr>
        <sz val="14"/>
        <color rgb="FFFF0000"/>
        <rFont val="Calibri"/>
        <family val="2"/>
        <scheme val="minor"/>
      </rPr>
      <t xml:space="preserve"> </t>
    </r>
    <r>
      <rPr>
        <sz val="14"/>
        <rFont val="Calibri"/>
        <family val="2"/>
        <scheme val="minor"/>
      </rPr>
      <t>"Electro therm" or "ISPAT"</t>
    </r>
  </si>
  <si>
    <t>Providing and laying 3 mm thick pigmented self level epoxy flooring of "FOSROC"  -  NITOFLOR-SL-2000 or approved equivalent as per manufacturers specification and approved colour including 7 days of air curing over the hardwearing,  dust free,  dry Tremix floor/ I.P.S./ PKS   Surface including checking of moisture content &amp; undulations  of floor to carry out the work surface preparation etc all  as per below: 
01. Grinding and cleaning of substrate floor
(ie surface preparation)
02. Applying primer coat  of 200 microns thick &amp; allowed to cure for 8 hours
03 Creating 2mm(2000 micron) Self-level epoxy screed   layer and allow to cure for 8 hours
04. Creating 0.8mm(800 micron) coloured top coat and finished thereof
(Tremix floor / IPS / PKS flooring will be paid under relevant item)</t>
  </si>
  <si>
    <t xml:space="preserve">Providing and fixing in position GI chainlink fencing of 10 gauge 50mm mesh of approved quality fixed to M.S. L 65 x 65 X 6  by means of 10 gauge GI clips and 6mm dia GI tie rod including providing and fixing 6mm dia GI tie bars at top and bottom throughout the length of fencing by bolting or by `U’ clips etc. all complete as per manufacturer’s specification and as directed by the Engineer. (Measurement shall be for area of actual net laid). </t>
  </si>
  <si>
    <t>Fixing in correct line, level and alignment of SS / M.S / GI pipe sleeves in civil works of machine foundations with required connections and fixtures as per machine vendor requirements / directed by engineer for followings:</t>
  </si>
  <si>
    <r>
      <t>Providing and fixing in position SWR</t>
    </r>
    <r>
      <rPr>
        <sz val="14"/>
        <color rgb="FFFF0000"/>
        <rFont val="Calibri"/>
        <family val="2"/>
        <scheme val="minor"/>
      </rPr>
      <t xml:space="preserve"> </t>
    </r>
    <r>
      <rPr>
        <sz val="14"/>
        <rFont val="Calibri"/>
        <family val="2"/>
        <scheme val="minor"/>
      </rPr>
      <t>pipe in any position including all fittings and accessories, making joints / connections water tight with solvent cement, scaffolding if necessary &amp; making good the damages if any (excluding excavation and refilling the trenches) etc. complete as specified and directed. (No seperate payment shall be made for fittings and accessories).</t>
    </r>
  </si>
  <si>
    <r>
      <t xml:space="preserve">Providing &amp; laying controlled /design mix  </t>
    </r>
    <r>
      <rPr>
        <b/>
        <sz val="14"/>
        <rFont val="Calibri"/>
        <family val="2"/>
        <scheme val="minor"/>
      </rPr>
      <t xml:space="preserve">M25 - VDF </t>
    </r>
    <r>
      <rPr>
        <sz val="14"/>
        <rFont val="Calibri"/>
        <family val="2"/>
        <scheme val="minor"/>
      </rPr>
      <t xml:space="preserve"> grade concrete  upto 250 mm thick,  for Road work, using 20mm &amp; down graded stone aggregates, in alternate panels of suitable size including machine mixing, mechanically vibrated with surface  vibrator, smooth finishing to required level, grade and camber, brooming by appropriate wire brush, curing by ponding, vacuum dewatering as per manufacturer's specifications etc. </t>
    </r>
    <r>
      <rPr>
        <b/>
        <sz val="14"/>
        <rFont val="Calibri"/>
        <family val="2"/>
        <scheme val="minor"/>
      </rPr>
      <t>including MS Channel shuttering</t>
    </r>
    <r>
      <rPr>
        <sz val="14"/>
        <rFont val="Calibri"/>
        <family val="2"/>
        <scheme val="minor"/>
      </rPr>
      <t xml:space="preserve"> with provision of holes for tie / dowel bars and making saucer drain on both side of road etc complete as per drawing as per instruction of engineer-in-charge. (Reinforcement shall be paid separately). (Dowels shall be considered in reinforcement steel item)
</t>
    </r>
  </si>
  <si>
    <r>
      <t>Providing and laying Reinforced Cement Concrete in floor, roads or any flat members upto 200mm thickness etc. in M:25 Grade (</t>
    </r>
    <r>
      <rPr>
        <b/>
        <sz val="14"/>
        <rFont val="Calibri"/>
        <family val="2"/>
        <scheme val="minor"/>
      </rPr>
      <t>using cement not less than 340kg per Cu. m.)</t>
    </r>
    <r>
      <rPr>
        <sz val="14"/>
        <rFont val="Calibri"/>
        <family val="2"/>
        <scheme val="minor"/>
      </rPr>
      <t xml:space="preserve"> using 20mm and downgraded stone aggregates of approved quality, well compacted,  [Reinforcement shall be paid under relevant tender item] (Dowels shall be considered in reinforcement steel item) Formwork will not be paid seperataly.</t>
    </r>
  </si>
  <si>
    <r>
      <t>a) Extra for using authorized TREMIX , approved make</t>
    </r>
    <r>
      <rPr>
        <b/>
        <sz val="14"/>
        <rFont val="Calibri"/>
        <family val="2"/>
        <scheme val="minor"/>
      </rPr>
      <t xml:space="preserve"> </t>
    </r>
    <r>
      <rPr>
        <sz val="14"/>
        <rFont val="Calibri"/>
        <family val="2"/>
        <scheme val="minor"/>
      </rPr>
      <t>machineries for Concrte to be mechanically screed vibrated, finished to required levels with + 3MM variation/Undulation, dewatered by vacuum process using approved system, Power trowelled to get desired smooth finishing, use of floor hardness if any, curing, etc., complete with suitable size of panels 3.0 to 4.0M x 20.0M including MS Channel Shuttering with 8mm / 10mm / 12mm dia holes for tie / dowel bars all complete as per specification and as directed by the Engineer. (Dowels shall be considered in reinforcement steel item)</t>
    </r>
  </si>
  <si>
    <t xml:space="preserve">ESTIMATED BOQ FOR PROPOSED CIVIL &amp; STRUCTURAL WORKS For SUYOG ELECTRICAL LTD. NO 245/33/B,245/55/B/2,MOJE BODIDARA, TA.VADODARA, GUJARAT, INDIA. </t>
  </si>
  <si>
    <r>
      <t>Auguring(</t>
    </r>
    <r>
      <rPr>
        <b/>
        <sz val="14"/>
        <rFont val="Calibri"/>
        <family val="2"/>
        <scheme val="minor"/>
      </rPr>
      <t>Upto 8m depth</t>
    </r>
    <r>
      <rPr>
        <sz val="14"/>
        <rFont val="Calibri"/>
        <family val="2"/>
        <scheme val="minor"/>
      </rPr>
      <t>) of under ream pile foundation work in all sorts of soil viz. sand, clay, soft &amp; hard murrum for execution of the above work. Contractor has to brought all necessary tools, tackles, equipments, manpower &amp; supervision. Items also include carting of debris/soil, unloading, stacking, use of bentonite, spreading, levelling, compacting, consolidating surplus marterial within company premises, dewatering &amp; one bulb as per design etc. complete as directed</t>
    </r>
  </si>
  <si>
    <t>i) From FFL up to + 5.0 M lvl.</t>
  </si>
  <si>
    <t>ii) Above  + 5.0M lvl up to + 11.0 M  lvl</t>
  </si>
  <si>
    <t xml:space="preserve">QRO </t>
  </si>
  <si>
    <t xml:space="preserve">TOTAL 8 NO RS </t>
  </si>
  <si>
    <r>
      <t xml:space="preserve">Followings are the scope of work:
- Shed building Civil and Structural works (Excluding PEB shed) - Approximately </t>
    </r>
    <r>
      <rPr>
        <b/>
        <sz val="11"/>
        <color rgb="FFFF0000"/>
        <rFont val="Calibri"/>
        <family val="2"/>
        <scheme val="minor"/>
      </rPr>
      <t xml:space="preserve"> 425sqm area</t>
    </r>
    <r>
      <rPr>
        <sz val="11"/>
        <rFont val="Calibri"/>
        <family val="2"/>
        <scheme val="minor"/>
      </rPr>
      <t xml:space="preserve">
-</t>
    </r>
    <r>
      <rPr>
        <sz val="11"/>
        <color rgb="FFFF0000"/>
        <rFont val="Calibri"/>
        <family val="2"/>
        <scheme val="minor"/>
      </rPr>
      <t xml:space="preserve"> Machine Foundation
- R.C.C. Road - Approximately 3050 sqm
- Storm Water drain</t>
    </r>
  </si>
  <si>
    <r>
      <t xml:space="preserve">Followings are the scope of work:
- Shed building Civil and Structural works (Excluding PEB shed) - Approximately </t>
    </r>
    <r>
      <rPr>
        <b/>
        <sz val="11"/>
        <color rgb="FFFF0000"/>
        <rFont val="Calibri"/>
        <family val="2"/>
        <scheme val="minor"/>
      </rPr>
      <t xml:space="preserve"> 16sqm area</t>
    </r>
    <r>
      <rPr>
        <sz val="11"/>
        <rFont val="Calibri"/>
        <family val="2"/>
        <scheme val="minor"/>
      </rPr>
      <t xml:space="preserve">
-</t>
    </r>
    <r>
      <rPr>
        <sz val="11"/>
        <color rgb="FFFF0000"/>
        <rFont val="Calibri"/>
        <family val="2"/>
        <scheme val="minor"/>
      </rPr>
      <t xml:space="preserve"> Machine Foundation
- R.C.C. Road - Approximately 3050 sqm
- Storm Water drain</t>
    </r>
  </si>
  <si>
    <t xml:space="preserve">ESTIMATED BOQ FOR PROPOSED SECURITY CIVIL &amp; STRUCTURAL WORKS For SUYOG ELECTRICAL LTD. NO 245/33/B,245/55/B/2,MOJE BODIDARA, TA.VADODARA, GUJARAT, INDIA. </t>
  </si>
  <si>
    <t>Providing and placing on terrace polyethylene water storage tank, ISI : 12701 marked, with cover and suitable locking arrangement and making necessary holes for inlet, outlet and overflow pipes but without fittings and the base support for tank. (1000 liters)</t>
  </si>
  <si>
    <t xml:space="preserve">ESTIMATED BOQ FOR PROPOSED COOLING TOWER CIVIL &amp; STRUCTURAL WORKS For SUYOG ELECTRICAL LTD. NO 245/33/B,245/55/B/2,MOJE BODIDARA, TA.VADODARA, GUJARAT, INDIA. </t>
  </si>
  <si>
    <t xml:space="preserve">ESTIMATED BOQ FOR PROPOSED WEIGH BRIDGE CIVIL &amp; STRUCTURAL WORKS For SUYOG ELECTRICAL LTD. NO 245/33/B,245/55/B/2,MOJE BODIDARA, TA.VADODARA, GUJARAT, INDIA. </t>
  </si>
  <si>
    <r>
      <t xml:space="preserve">Followings are the scope of work:
- 100 TON WEIGH BRIDGE  Civil and Structural works (Excluding PEB shed) - Approximately </t>
    </r>
    <r>
      <rPr>
        <b/>
        <sz val="11"/>
        <color rgb="FFFF0000"/>
        <rFont val="Calibri"/>
        <family val="2"/>
        <scheme val="minor"/>
      </rPr>
      <t xml:space="preserve"> 100 TON </t>
    </r>
    <r>
      <rPr>
        <sz val="11"/>
        <color rgb="FFFF0000"/>
        <rFont val="Calibri"/>
        <family val="2"/>
        <scheme val="minor"/>
      </rPr>
      <t xml:space="preserve">
-
</t>
    </r>
  </si>
  <si>
    <r>
      <t xml:space="preserve">Followings are the scope of work:
- 2 LAKH LITTRE +1 LAKH LITTRE   WITH MC ROOM  Civil and Structural works (Excluding PEB shed) - Approximately </t>
    </r>
    <r>
      <rPr>
        <b/>
        <sz val="11"/>
        <color rgb="FFFF0000"/>
        <rFont val="Calibri"/>
        <family val="2"/>
        <scheme val="minor"/>
      </rPr>
      <t xml:space="preserve"> 72 SQM TANK + 40 SQM PUMP ROOM </t>
    </r>
    <r>
      <rPr>
        <sz val="11"/>
        <color rgb="FFFF0000"/>
        <rFont val="Calibri"/>
        <family val="2"/>
        <scheme val="minor"/>
      </rPr>
      <t xml:space="preserve">
-
</t>
    </r>
  </si>
  <si>
    <t>PVC</t>
  </si>
  <si>
    <t>J-19</t>
  </si>
  <si>
    <t>Providing, fabricating and fixing  50mm to 100mm dia M.S. pipe/ puddle pipes up to 500mm long into brick  work/RCC work including all material, tools, tackles &amp; labours.</t>
  </si>
  <si>
    <t>J-20</t>
  </si>
  <si>
    <t xml:space="preserve">Providing and Making in position shuttering for pocket in RCC walls, machine foundation, pedestal etc. as per drawing as directed by Engineer-in-charge. (Measurement will be as per area of four sides).                                </t>
  </si>
  <si>
    <r>
      <t>Followings are the scope of work:
-  ADMIN building Civil and Structural works (Excluding PEB shed) - Approximately  315</t>
    </r>
    <r>
      <rPr>
        <b/>
        <sz val="11"/>
        <color rgb="FFFF0000"/>
        <rFont val="Calibri"/>
        <family val="2"/>
        <scheme val="minor"/>
      </rPr>
      <t xml:space="preserve"> sqm area</t>
    </r>
    <r>
      <rPr>
        <sz val="11"/>
        <rFont val="Calibri"/>
        <family val="2"/>
        <scheme val="minor"/>
      </rPr>
      <t xml:space="preserve">
-</t>
    </r>
    <r>
      <rPr>
        <sz val="11"/>
        <color rgb="FFFF0000"/>
        <rFont val="Calibri"/>
        <family val="2"/>
        <scheme val="minor"/>
      </rPr>
      <t xml:space="preserve"> Machine Foundation
- R.C.C. Road - Approximately 3050 sqm
- Storm Water drain</t>
    </r>
  </si>
  <si>
    <t xml:space="preserve">ESTIMATED BOQ FOR PROPOSED ADMIN CIVIL &amp; STRUCTURAL WORKS For SUYOG ELECTRICAL LTD. NO 245/33/B,245/55/B/2,MOJE BODIDARA, TA.VADODARA, GUJARAT, INDIA. </t>
  </si>
  <si>
    <t>(d) For 450 mm dia. Pile</t>
  </si>
  <si>
    <t>(c) For 450mm dia. Pile</t>
  </si>
  <si>
    <t xml:space="preserve">IN FLOOR EPOXY  FINISH </t>
  </si>
  <si>
    <r>
      <t xml:space="preserve">Followings are the scope of work:
- Shed building Civil and Structural works (Excluding PEB shed) - Approximately </t>
    </r>
    <r>
      <rPr>
        <b/>
        <sz val="11"/>
        <color rgb="FFFF0000"/>
        <rFont val="Calibri"/>
        <family val="2"/>
        <scheme val="minor"/>
      </rPr>
      <t xml:space="preserve">1250 sqm area (G+3) FLOOR </t>
    </r>
    <r>
      <rPr>
        <sz val="11"/>
        <rFont val="Calibri"/>
        <family val="2"/>
        <scheme val="minor"/>
      </rPr>
      <t xml:space="preserve">
</t>
    </r>
  </si>
  <si>
    <t>(e) For 500mm dia. Pile</t>
  </si>
  <si>
    <r>
      <t>Auguring(</t>
    </r>
    <r>
      <rPr>
        <b/>
        <sz val="14"/>
        <rFont val="Calibri"/>
        <family val="2"/>
        <scheme val="minor"/>
      </rPr>
      <t>Upto 11m depth</t>
    </r>
    <r>
      <rPr>
        <sz val="14"/>
        <rFont val="Calibri"/>
        <family val="2"/>
        <scheme val="minor"/>
      </rPr>
      <t>) of under ream pile foundation work in all sorts of soil viz. sand, clay, soft &amp; hard murrum for execution of the above work. Contractor has to brought all necessary tools, tackles, equipments, manpower &amp; supervision. Items also include carting of debris/soil, unloading, stacking, use of bentonite, spreading, levelling, compacting, consolidating surplus marterial within company premises, dewatering &amp; one bulb as per design etc. complete as directed</t>
    </r>
  </si>
  <si>
    <t>(d) For 500mm dia. Pile</t>
  </si>
  <si>
    <t>ii) Above  + 11.0M lvl up to + 16.0 M  lvl</t>
  </si>
  <si>
    <t>ii) Above  + 16.0M lvl up to + 21.0 M  lvl</t>
  </si>
  <si>
    <t>iii) Above  + 11.0 M lvl up to + 16.5 M  lvl</t>
  </si>
  <si>
    <t>iv) Above  + 11.0 M lvl up to + 16.5 M  lvl</t>
  </si>
  <si>
    <t>ii) Above  + 5.0M lvl up to + 11.0 M lvl</t>
  </si>
  <si>
    <t>i) From FFL up to + 4.750M lvl.</t>
  </si>
  <si>
    <t>ii) Above  + 4.75M lvl up to + 8.25M lvl</t>
  </si>
  <si>
    <t>ii) Above  + 8.25M lvl up to + 11.75M lvl</t>
  </si>
  <si>
    <t>ii) Above  + 11.75 m  lvl up to + 17.75M lvl</t>
  </si>
  <si>
    <t>(e) For 450mm dia. Pile</t>
  </si>
  <si>
    <t>(d) For 450mm dia. Pile</t>
  </si>
  <si>
    <r>
      <t xml:space="preserve">Followings are the scope of work:
- COOLING TOWER  Civil and Structural works (Excluding PEB shed) - Approximately </t>
    </r>
    <r>
      <rPr>
        <b/>
        <sz val="11"/>
        <color rgb="FFFF0000"/>
        <rFont val="Calibri"/>
        <family val="2"/>
        <scheme val="minor"/>
      </rPr>
      <t xml:space="preserve"> 500 TR - 2nos </t>
    </r>
    <r>
      <rPr>
        <sz val="11"/>
        <color rgb="FFFF0000"/>
        <rFont val="Calibri"/>
        <family val="2"/>
        <scheme val="minor"/>
      </rPr>
      <t xml:space="preserve">
-
</t>
    </r>
  </si>
  <si>
    <r>
      <t>Followings are the scope of work:
- 9.0 M WIDE GATE</t>
    </r>
    <r>
      <rPr>
        <sz val="11"/>
        <color rgb="FFFF0000"/>
        <rFont val="Calibri"/>
        <family val="2"/>
        <scheme val="minor"/>
      </rPr>
      <t xml:space="preserve">
-
</t>
    </r>
  </si>
  <si>
    <t xml:space="preserve">ESTIMATED BOQ FOR PROPOSED U.G TANK WITH PUMP ROOM CIVIL &amp; STRUCTURAL WORKS For SUYOG ELECTRICAL LTD. NO 245/33/B,245/55/B/2,MOJE BODIDARA, TA.VADODARA, GUJARAT, INDIA. </t>
  </si>
  <si>
    <t xml:space="preserve">ESTIMATED BOQ FOR PROPOSED ELECTRICAL LAB CIVIL &amp; STRUCTURAL WORKS For SUYOG ELECTRICAL LTD. NO 245/33/B,245/55/B/2,MOJE BODIDARA, TA.VADODARA, GUJARAT, INDIA. </t>
  </si>
  <si>
    <t>GATE AREA</t>
  </si>
  <si>
    <t>Supplying &amp; hire charges for the following (These items are purly used for handling of client's work other than contract awarded work. This should not be used for analysis of non-tender items, if any)</t>
  </si>
  <si>
    <t>Hire Charges for Breaker include removal and Disposal of material outside the Plot Boundary.</t>
  </si>
  <si>
    <t>Providing &amp; supplying water by tanker of 3000 liter for filling work etc. complete as per instructions of the engineers-in-charge.</t>
  </si>
  <si>
    <t>Hire charges for JCB</t>
  </si>
  <si>
    <t>c)</t>
  </si>
  <si>
    <t>Hire charges for breaker</t>
  </si>
  <si>
    <t>d)</t>
  </si>
  <si>
    <t>Hire charges for Tractor</t>
  </si>
  <si>
    <t>HRS.</t>
  </si>
  <si>
    <t>DAY</t>
  </si>
  <si>
    <t>Supplying Manpower (8 Hrs.)</t>
  </si>
  <si>
    <t>Unskilled Labours</t>
  </si>
  <si>
    <t>Skilled labours</t>
  </si>
  <si>
    <t>(f) For 500mm dia. Pile</t>
  </si>
  <si>
    <t xml:space="preserve">Providing and fixing 18 mm thick granite partition. All the edges shall be cut on machine and polished on both side as well as on edge with rounded top including chasing the brick work &amp; finish with cement mortar 1:3, including curing  etc. complete. (Basic Rate -2000/- sqm)       </t>
  </si>
  <si>
    <t>D-11a</t>
  </si>
  <si>
    <t>J-16a</t>
  </si>
  <si>
    <t>J-21</t>
  </si>
  <si>
    <t>D-10 a</t>
  </si>
  <si>
    <t>Providing and fixing machine polished 20mm thick granite platform over 25 mm thick kota stone supports including providing opening for oval shaped wash basin, bibcock etc including Half round moulding, filling joints, making connection for water inlet, etc. complete as directed. (Basic Rate -2000/- sqm)</t>
  </si>
  <si>
    <t>i) From FFL up to +4.5 M lvl.</t>
  </si>
  <si>
    <t>i) From FFL up to + 4.5 M lvl.</t>
  </si>
  <si>
    <t xml:space="preserve">Above Plinth/ Finished floor level (FFL) upto 4.50 mtr. height </t>
  </si>
  <si>
    <t>i) From FFL up to + 4.50M lvl.</t>
  </si>
  <si>
    <t>(a) For Pile</t>
  </si>
  <si>
    <t>A-06 a</t>
  </si>
  <si>
    <t>GRAND TOTAL</t>
  </si>
  <si>
    <t>(a) For 400mm dia. Pile</t>
  </si>
  <si>
    <t>(b) For 500mm dia. Pile</t>
  </si>
  <si>
    <t>ii) Above 4.5M lvl up to + 8.0 M  lvl</t>
  </si>
  <si>
    <t>iii) Above 8.0M lvl up to + 11.5 M  lvl</t>
  </si>
  <si>
    <t>iv) Above 11.5M lvl up to + 17.5 M  lvl</t>
  </si>
  <si>
    <t>v) Above 17.5M lvl up to + 21.0 M  lvl</t>
  </si>
  <si>
    <t>ii) Above  + 4.5M lvl up to + 8.00 M  lvl</t>
  </si>
  <si>
    <t>iii) Above  + 8.0 M lvl up to + 11.50 M  lvl</t>
  </si>
  <si>
    <t>iv) Above  +11.5 M lvl up to + 17.50 M  lvl</t>
  </si>
  <si>
    <t>ii) Above  + 17.5M lvl up to + 21.0M lvl</t>
  </si>
  <si>
    <t>ii) Above  + 4.5M lvl up to + 8.0M lvl</t>
  </si>
  <si>
    <t>ii) Above  + 8.0M lvl up to + 11.5M lvl</t>
  </si>
  <si>
    <t>ii) Above  + 11.5 m  lvl up to + 17.5M lvl</t>
  </si>
  <si>
    <t>ii) Above  + 17.5 m  lvl up to + 21.0M lvl</t>
  </si>
  <si>
    <t>Providing  and constructing chambers / Manholes of  600 x 600 mm clear  size including  excavation, backfilling, removal, formwork, reinforcement laying, M-7.5 bed concrete 150mm thick, 230/350mm thick brick masonry in cement mortar  1:6,12 mm Plaster in C.M (1:3)  with floating coat of neat cement on inside, outside &amp; top surface,  RCC M15 grade  for coping and 100 mm th. slab  to receive precast cover/grating/ C.I cover,  making necessary channel  into floor with PCC 1:2:4 finished with floating coat of neat cement, (exluding  pre cast cover, grating, angle frame, steel reinforcement ) etc. complete.</t>
  </si>
  <si>
    <t xml:space="preserve">Upto 0.75 mtr. Clear depth (from bottom of RCC slab/cover to  top of floor channel).                           </t>
  </si>
  <si>
    <t>Extra for depth beyond 0.75mtr.  and upto 1.5 mtr.</t>
  </si>
  <si>
    <t>Providing  and constructing chambers / Manholes of 750 x 750 mm clear  size including excavation, backfilling, removal, formwork, reinforcement laying, M-7.5 bed concrete 150mm thick, 230/ 350/450mm thick  brick masonry in cement mortar 1:6,12 mm Plaster in C.M (1:3) with floating coat of neat cement on inside, outside &amp; top surface,  RCC M20 grade  for coping and 100 mm th. slab  to receive precast cover/grating/ C.I cover,  making necessary channel  into floor with PCC 1:2:4 finished with floating coat of neat cement, Foot rest of hot dip galvanized 20mm dia bar @ 300mm c/c.  (exluding  pre cast cover, grating, angle frame, steel reinforcement ) etc. complete.</t>
  </si>
  <si>
    <t xml:space="preserve">Upto 1.0 mtr.  Clear depth (from bottom of RCC slab/cover to  top of floor channel ).                           </t>
  </si>
  <si>
    <t>Extra for depth beyond 1.0mtr.  and upto 2.0 mtr.</t>
  </si>
  <si>
    <t>Providing  and constructing chambers / Manholes of  1000 x 1000 mm clear  size including  excavation, backfilling, removal, formwork, reinforcement laying, M-7.5 bed concrete 150mm thick, 230/ 350/450mm   thick brick masonry in cement mortar 1:6,12 mm Plaster in C.M (1:3)  with floating coat of neat cement on inside, outside &amp; top surface, RCC M20 grade  for coping and 100 mm thk. slab to receive precast cover/ grating/ C.I cover, making necessary channel  into floor with PCC 1:2:4 finished with floating coat of neat cement, Foot rest of hot dip galvanized 20mm dia bar @ 300mm c/c. (exluding  pre cast cover, grating, angle frame, steel reinforcement ) etc. complete.</t>
  </si>
  <si>
    <t xml:space="preserve">Upto 1.0 mtr.  Clear depth (from bottom of RCC slab to  top of floor channel ).                           </t>
  </si>
  <si>
    <t xml:space="preserve">Providing &amp; fixing in position ready made S.F.R.C. covers with pre cast frame of approved quality including fixing the frame over the storm water drain/chamber with C.M. 1:3, placing cover, loading  &amp; unloading of cover &amp; frame etc complete as per the instructions of Engineer-In-Charge.   </t>
  </si>
  <si>
    <t>size 600 x 600 x 75mm thick with frame125 mm thick</t>
  </si>
  <si>
    <t xml:space="preserve">size 750 x 750 x 75mm thick cover with  frame 150mm thick </t>
  </si>
  <si>
    <t xml:space="preserve">size 1000 x 1000 x 75mm thick cover with  frame 150mm thick </t>
  </si>
  <si>
    <t>K-22</t>
  </si>
  <si>
    <t>K-23</t>
  </si>
  <si>
    <t>K-24</t>
  </si>
  <si>
    <t>K-25</t>
  </si>
  <si>
    <t xml:space="preserve"> GRAND TOTAL</t>
  </si>
  <si>
    <t xml:space="preserve"> BOQ FOR PROPOSED CIVIL &amp; STRUCTURAL WORKS For SUYOG ELECTRICAL LTD. NO 245/33/B, 245/55/B/2, MOJE BODIDARA, TA.VADODARA, GUJARAT, INDIA. </t>
  </si>
  <si>
    <r>
      <t>Auguring(</t>
    </r>
    <r>
      <rPr>
        <b/>
        <sz val="14"/>
        <rFont val="Calibri"/>
        <family val="2"/>
        <scheme val="minor"/>
      </rPr>
      <t>Upto 9m depth</t>
    </r>
    <r>
      <rPr>
        <sz val="14"/>
        <rFont val="Calibri"/>
        <family val="2"/>
        <scheme val="minor"/>
      </rPr>
      <t>) of under ream pile foundation work in all sorts of soil viz. sand, clay, soft &amp; hard murrum for execution of the above work. Contractor has to brought all necessary tools, tackles, equipments, manpower &amp; supervision. Items also include carting of debris/soil, unloading, stacking, use of bentonite, spreading, levelling, compacting, consolidating surplus marterial within company premises, dewatering &amp; one bulb as per design etc. complete as directed</t>
    </r>
  </si>
  <si>
    <r>
      <t>Auguring (</t>
    </r>
    <r>
      <rPr>
        <b/>
        <sz val="14"/>
        <rFont val="Calibri"/>
        <family val="2"/>
        <scheme val="minor"/>
      </rPr>
      <t>Upto 12 m depth</t>
    </r>
    <r>
      <rPr>
        <sz val="14"/>
        <rFont val="Calibri"/>
        <family val="2"/>
        <scheme val="minor"/>
      </rPr>
      <t>)  of under ream pile foundation work in all sorts of soil viz. sand, clay, soft &amp; hard murrum for execution of the above work. Contractor has to brought all necessary tools, tackles, equipments, manpower &amp; supervision. Items also include carting of debris/soil, unloading, stacking, use of bentonite, spreading, levelling, compacting, consolidating surplus marterial within company premises, dewatering &amp; one bulb as per design etc. complete as directed</t>
    </r>
  </si>
  <si>
    <t>QRO</t>
  </si>
  <si>
    <t>Providing and laying reinforced cement concrete with 20mm and down size graded stone aggregates in all types of concrete works such as footings, columns, pedestals, rafts, beams, lofts, slabs, walls, lintels, chajjas, canopies, facias, fins, bands, shelves, staircases, all other any type of structural members, pits, chambers, rain water chutes, gutters, pardi, curbs, pipe racks, &amp; equipment foundations, etc. of square, rectangular, hexagonal, octagonal and circular shapes including leaving pockets, vatas, openings in slabs, including vibrating, tamping, finishing, curing and rendering if required, etc. complete as per drawings and specifications but excluding the cost of formwork and reinforcement. (No false staging shall be given.)</t>
  </si>
  <si>
    <t xml:space="preserve"> Ready Mix Concreate
(Prior Permission shall be taken before using Ready Mix Concrete from engineer In-charge)</t>
  </si>
  <si>
    <t>Providing and applying of asian make wall primer with birla putty as per required to make a surface smooth &amp; equally, then after apply asian make Tractor Emulsion min. two coat or as required &amp; approved by engineer in charge &amp; with neat finishes etc. complete as directed.</t>
  </si>
  <si>
    <t>E-08A</t>
  </si>
  <si>
    <t>Providing and injecting chemical emulsion for pre-constructional Anti-Termite Treatment to the backfilled soil and creating a chemical barrier under and around the column pits, wall, trenches, Pipe work in process plant excavation, to surface of plinth filling, junction of wall and floor, along the external perimeter of building, expansion joints around the embedded pipes, Below trench of R.C.C. Column by providing hole at reqular distance &amp; side wall of trench, In plinth area before P.C.C. by providing hole at reqular distance etc. complete as per IS:6313 (Part – II) – 1981.
Make : Pidilite or equivalent</t>
  </si>
  <si>
    <t>SECTION - `L’ :  PRE-CAST DRAIN</t>
  </si>
  <si>
    <r>
      <t>Providing and laying Reinforced Cement Concrete in floor, roads or any flat members upto 200mm thickness etc. in M:25 Grade (</t>
    </r>
    <r>
      <rPr>
        <b/>
        <sz val="14"/>
        <rFont val="Calibri"/>
        <family val="2"/>
        <scheme val="minor"/>
      </rPr>
      <t>using cement not less than 340kg per Cu. m.)</t>
    </r>
    <r>
      <rPr>
        <sz val="14"/>
        <rFont val="Calibri"/>
        <family val="2"/>
        <scheme val="minor"/>
      </rPr>
      <t xml:space="preserve"> using 20mm and downgraded stone aggregates of approved quality, well compacted,  [Reinforcement shall be paid under relevant tender item] (Dowels shall be considered in reinforcement steel item) Formwork will not be paid seperataly.
</t>
    </r>
    <r>
      <rPr>
        <b/>
        <sz val="14"/>
        <rFont val="Calibri"/>
        <family val="2"/>
        <scheme val="minor"/>
      </rPr>
      <t>(Plate load test 1 nos. per 3000 sqm shall be in scope of contractor)</t>
    </r>
  </si>
  <si>
    <t>TCC Projects</t>
  </si>
  <si>
    <t>Mahavir Construction</t>
  </si>
  <si>
    <t>TCC PROJECTS</t>
  </si>
  <si>
    <t>MAHAVIR CONSTRUCTION</t>
  </si>
  <si>
    <t>Vikram Builders</t>
  </si>
  <si>
    <t>VIKRAM BUILDER</t>
  </si>
  <si>
    <t xml:space="preserve">RMC  Approved Vendor :  Dev RMC  , Vikram  RMC </t>
  </si>
  <si>
    <t>Contractor with their own Batch Mix Plant at site of Min 20 CUM /Hour Capacity and Transit Mixers/concrete Pump for the Concrete works  will be given preference.</t>
  </si>
  <si>
    <t>All major Concreting shall be done with concrete supplied from Batch Mix Plant installed at site or with concrete bought from Approved RMC plant. Only for small concreting (less than 5 M3),Contractor Shall have their own Weigh Batch Mixer of 5 Bag capacity or Self loading Ajex Mixer for the concrete work. Volumetric mixing for structural concreting will not allowed .</t>
  </si>
  <si>
    <t xml:space="preserve">Basic Rate of  Cement ( OPC 53 ) :  (  Contractor Scope ) : 
282 Rs per Bag  </t>
  </si>
  <si>
    <t>Scope of Cement Work on the Contractor’s Side</t>
  </si>
  <si>
    <t xml:space="preserve">Providing and laying ready mix concrete with 20mm and down size graded stone aggregates Without flyash in all types of concrete works such as footings, columns, pedestals, rafts, beams, lofts, slabs, walls, lintels, chajjas, canopies, facias, fins, bands, shelves, staircases, pits, chambers, rain water chutes, gutt­ers, pardi, curbs, pipe racks, &amp; equipment foundations, etc. of square, rectangular, hexagonal, octagonal and circular shapes including leaving pockets, openings in slabs, vibrating, tamping, finishing, curing and rendering if required, etc. complete as per drawings and specifications but excluding the cost of formwork and reinforcement. </t>
  </si>
  <si>
    <t>Scope of Cement Work on the Client’s Side</t>
  </si>
  <si>
    <t>Scope of Cement Work – Client’s Responsibility
The contractor shall include the cost of waterproofing chemicals separately in the quotation, as this will be considered an additional item beyond the standard cement work.</t>
  </si>
  <si>
    <t>For addition of approved quality plasticiser as directed and specified by the engineer incharge (asian or SIKA make only)</t>
  </si>
  <si>
    <t>Collecting , fabricating, laying and fixing in position reinforcement for all type of RCC works at all levels, including cost of straightening, cutting, bending to required shape, binding with 16 gauge MS annealed binding wire, spacer blocks of cement mortar 1:2 with embedded binding wire of appropriate length, etc. complete as per drawings and specifications [Chairs, pins will not be measured and paid extra. Only authorized laps shall be measured and paid for]
Note:- HYSD reinforcements (Fe500D)</t>
  </si>
  <si>
    <t>Scope of Cement Work on the Contractors’s Side</t>
  </si>
  <si>
    <t xml:space="preserve">-Do as  Item D-02 but using RMC of Grade M25 without Flyash. With Min. Cement : 340 kg/m3 </t>
  </si>
  <si>
    <t>OR</t>
  </si>
  <si>
    <t>Extra for Using Laser Screed machine to carry out Laser Screeding, which simultaneously cuts, vibrates, &amp; levels, the concrete in a single pass. The concrete is poured in bays, in accordance with width of machine's screed head, usually little higher than the required level/ grade. The laser screed vibrating head is then lowered to the grade established by the laser-level transmitter. After screed is completed, the surface is then trowelled for perfect smoothness using ride on trowel machines with different kind of blades to ensure top surface free of pot holes and other abnormalities.\ etc. complete as per the instructions of Engineer-In-Charge.</t>
  </si>
  <si>
    <t>a) Extra for using authorized TREMIX , approved make machineries for Concrte to be mechanically screed vibrated, finished to required levels with + 3MM variation/Undulation, dewatered by vacuum process using approved system, Power trowelled to get desired level/ grade. The laser screed vibrating head is then lowered to the grade established by the laser-level transmitter. After screed is completed, the surface is then trowelled for perfect smoothness using ride on trowel machines with different kind of blades to ensure top surface free of pot holes and other abnormalities.\ etc. complete as per the instructions of Engineer-In-Charge.</t>
  </si>
  <si>
    <r>
      <t>c) Extra over spreading of floor hardner powder</t>
    </r>
    <r>
      <rPr>
        <sz val="14"/>
        <color rgb="FFFF0000"/>
        <rFont val="Calibri"/>
        <family val="2"/>
        <scheme val="minor"/>
      </rPr>
      <t xml:space="preserve"> </t>
    </r>
    <r>
      <rPr>
        <sz val="14"/>
        <color theme="1"/>
        <rFont val="Calibri"/>
        <family val="2"/>
        <scheme val="minor"/>
      </rPr>
      <t>3.5 kg</t>
    </r>
    <r>
      <rPr>
        <sz val="14"/>
        <rFont val="Calibri"/>
        <family val="2"/>
        <scheme val="minor"/>
      </rPr>
      <t xml:space="preserve"> / sq.m. or as required Qty. that result of 7 MOH (Asian OR SIKA)</t>
    </r>
  </si>
  <si>
    <t>a)  200mm wide G.I. water stop (16 guage)</t>
  </si>
  <si>
    <t>-Do as  Item K-08 but using RMC of Grade M25 without Flyash. With Min. Cement : 340 kg/m3</t>
  </si>
  <si>
    <t>Collecting &amp; placing in position reinforcement for all type of RCC structures including cleaning, decoiling, cutting, bending to required shape and lengths, binding as per drawing and details, binding with 16 SWG black soft annealed binding wire supplying and straightening, placing with proper cover block, support chairs, overlaps, spacers, etc.complete in all respect as directed. Payment will be made as on length basis (actual or theoretical as per drg. whichever is less) and converted into weight by using standard IS coefficient (rolling margins, wastages, couplings, welded joints, spacer bars, stays, hangers, annnealed steel wire or other methods of binding and placing shall not be measured and not paid separately. Only authorised laps shall be measured and paid)</t>
  </si>
  <si>
    <t>Note : 
1. Cement for site-mixed concrete will be under the contractor’s scope of supply.
2. Ready-Mix Cement (RMC) will be supplied by the client.
3. The contractor is responsible for maintaining accurate records of concrete usage.
4.The contractor must regularly coordinate with the Engineer-in-Charge to verify:
    1.The quantity of RMC used.
    2.The quantity of site-mixed concrete used.</t>
  </si>
  <si>
    <t>B-02 A 0</t>
  </si>
  <si>
    <t>D-02 B 1</t>
  </si>
  <si>
    <t xml:space="preserve">D-02 C 1 </t>
  </si>
  <si>
    <r>
      <t xml:space="preserve">Providing &amp; Laying of precast </t>
    </r>
    <r>
      <rPr>
        <b/>
        <sz val="12"/>
        <rFont val="Calibri"/>
        <family val="2"/>
        <scheme val="minor"/>
      </rPr>
      <t>U shape surface drain of 3G Infratech / FUJI Silvertech</t>
    </r>
    <r>
      <rPr>
        <sz val="12"/>
        <rFont val="Calibri"/>
        <family val="2"/>
        <scheme val="minor"/>
      </rPr>
      <t xml:space="preserve">, having in-to-in dimension </t>
    </r>
    <r>
      <rPr>
        <b/>
        <sz val="12"/>
        <rFont val="Calibri"/>
        <family val="2"/>
        <scheme val="minor"/>
      </rPr>
      <t>as given Below</t>
    </r>
    <r>
      <rPr>
        <sz val="12"/>
        <rFont val="Calibri"/>
        <family val="2"/>
        <scheme val="minor"/>
      </rPr>
      <t xml:space="preserve">, </t>
    </r>
    <r>
      <rPr>
        <b/>
        <sz val="12"/>
        <rFont val="Calibri"/>
        <family val="2"/>
        <scheme val="minor"/>
      </rPr>
      <t>T-25 load carrying capacity</t>
    </r>
    <r>
      <rPr>
        <sz val="12"/>
        <rFont val="Calibri"/>
        <family val="2"/>
        <scheme val="minor"/>
      </rPr>
      <t xml:space="preserve"> – 10 T Axle Load – 5 T Wheel load confirming to Japanese Industrial Standards (JIS) &amp; meeting IS requirements, having High Performance  Self Compacting concrete of M-40 cylinder strength / M-50 cube strength &amp; Fe 500 shall be use for reinforcement.. The product shall have tie shape groove 10-20 mm  width, 25 mm depth  on both sides of each for jointing  two precast units using cement mortar 1:3 proportion or suitable non shrink grout. The precast U shape drain must consist of  special in built insert at appropriate location for fixing De-shackle for mechanical installation , including supply ,transportation on specific location at site in line ,level , gradient and plumb with necessary testing commissioning etc complete as per instruction of engineer in charge. 
(Excavation &amp; PCC (Min. 75mm thk. - 1:4:8) &amp; Sand base (Min. 40mm thk.) shall be considered in rates. These shall not be paid separately)</t>
    </r>
  </si>
  <si>
    <t xml:space="preserve">Percentange Respect to  L 1  for Diffrence  </t>
  </si>
  <si>
    <t xml:space="preserve">L 1  Compare to L 2 </t>
  </si>
  <si>
    <t>L 1  Compare to 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</si>
</sst>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 #,##0;&quot;₹&quot;\ \-#,##0"/>
    <numFmt numFmtId="7" formatCode="&quot;₹&quot;\ #,##0.00;&quot;₹&quot;\ \-#,##0.00"/>
    <numFmt numFmtId="44" formatCode="_ &quot;₹&quot;\ * #,##0.00_ ;_ &quot;₹&quot;\ * \-#,##0.00_ ;_ &quot;₹&quot;\ * &quot;-&quot;??_ ;_ @_ "/>
    <numFmt numFmtId="43" formatCode="_ * #,##0.00_ ;_ * \-#,##0.00_ ;_ * &quot;-&quot;??_ ;_ @_ "/>
    <numFmt numFmtId="164" formatCode="_(* #,##0.00_);_(* \(#,##0.00\);_(* \-??_);_(@_)"/>
    <numFmt numFmtId="165" formatCode="_ * #,##0_ ;_ * \-#,##0_ ;_ * &quot;-&quot;??_ ;_ @_ "/>
    <numFmt numFmtId="166" formatCode="&quot;₹&quot;\ #,##0"/>
  </numFmts>
  <fonts count="5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10"/>
      <name val="Arial"/>
      <family val="2"/>
    </font>
    <font>
      <sz val="8"/>
      <name val="Arial"/>
      <family val="2"/>
    </font>
    <font>
      <sz val="10"/>
      <name val="Arial"/>
      <family val="2"/>
    </font>
    <font>
      <sz val="12"/>
      <name val="Arial"/>
      <family val="2"/>
    </font>
    <font>
      <sz val="12"/>
      <name val="Arial"/>
      <family val="2"/>
      <charset val="1"/>
    </font>
    <font>
      <sz val="10"/>
      <name val="Arial"/>
      <family val="2"/>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Helv"/>
      <family val="2"/>
      <charset val="204"/>
    </font>
    <font>
      <sz val="12"/>
      <name val="Calibri"/>
      <family val="2"/>
      <scheme val="minor"/>
    </font>
    <font>
      <b/>
      <sz val="12"/>
      <name val="Calibri"/>
      <family val="2"/>
      <scheme val="minor"/>
    </font>
    <font>
      <b/>
      <sz val="14"/>
      <name val="Calibri"/>
      <family val="2"/>
      <scheme val="minor"/>
    </font>
    <font>
      <sz val="14"/>
      <name val="Calibri"/>
      <family val="2"/>
      <scheme val="minor"/>
    </font>
    <font>
      <b/>
      <sz val="16"/>
      <name val="Calibri"/>
      <family val="2"/>
      <scheme val="minor"/>
    </font>
    <font>
      <sz val="10"/>
      <name val="Calibri"/>
      <family val="2"/>
      <scheme val="minor"/>
    </font>
    <font>
      <b/>
      <u/>
      <sz val="14"/>
      <name val="Calibri"/>
      <family val="2"/>
      <scheme val="minor"/>
    </font>
    <font>
      <sz val="10"/>
      <name val="Arial"/>
      <family val="2"/>
    </font>
    <font>
      <sz val="14"/>
      <color rgb="FFFF0000"/>
      <name val="Calibri"/>
      <family val="2"/>
      <scheme val="minor"/>
    </font>
    <font>
      <sz val="14"/>
      <color theme="1"/>
      <name val="Calibri"/>
      <family val="2"/>
      <scheme val="minor"/>
    </font>
    <font>
      <sz val="9"/>
      <name val="Bookman Old Style"/>
      <family val="1"/>
    </font>
    <font>
      <sz val="11"/>
      <name val="Arial"/>
      <family val="2"/>
    </font>
    <font>
      <sz val="10"/>
      <name val="Times New Roman"/>
      <family val="1"/>
    </font>
    <font>
      <b/>
      <sz val="11"/>
      <name val="Calibri"/>
      <family val="2"/>
      <scheme val="minor"/>
    </font>
    <font>
      <sz val="11"/>
      <name val="Calibri"/>
      <family val="2"/>
      <scheme val="minor"/>
    </font>
    <font>
      <b/>
      <sz val="11"/>
      <color rgb="FFFF0000"/>
      <name val="Calibri"/>
      <family val="2"/>
      <scheme val="minor"/>
    </font>
    <font>
      <sz val="11"/>
      <color rgb="FFFF0000"/>
      <name val="Calibri"/>
      <family val="2"/>
      <scheme val="minor"/>
    </font>
    <font>
      <sz val="10"/>
      <color rgb="FF000000"/>
      <name val="Times New Roman"/>
      <family val="1"/>
    </font>
    <font>
      <b/>
      <sz val="20"/>
      <name val="Calibri"/>
      <family val="2"/>
      <scheme val="minor"/>
    </font>
    <font>
      <sz val="16"/>
      <name val="Calibri"/>
      <family val="2"/>
      <scheme val="minor"/>
    </font>
    <font>
      <sz val="10"/>
      <name val="Arial"/>
    </font>
  </fonts>
  <fills count="4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8" tint="0.39997558519241921"/>
        <bgColor indexed="64"/>
      </patternFill>
    </fill>
    <fill>
      <patternFill patternType="solid">
        <fgColor rgb="FF00B0F0"/>
        <bgColor indexed="64"/>
      </patternFill>
    </fill>
    <fill>
      <patternFill patternType="solid">
        <fgColor theme="9" tint="0.79998168889431442"/>
        <bgColor indexed="64"/>
      </patternFill>
    </fill>
    <fill>
      <patternFill patternType="solid">
        <fgColor theme="8"/>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FFFF"/>
        <bgColor rgb="FF000000"/>
      </patternFill>
    </fill>
    <fill>
      <patternFill patternType="solid">
        <fgColor rgb="FFF2F2F2"/>
        <bgColor rgb="FF000000"/>
      </patternFill>
    </fill>
    <fill>
      <patternFill patternType="solid">
        <fgColor theme="6" tint="0.79998168889431442"/>
        <bgColor indexed="64"/>
      </patternFill>
    </fill>
    <fill>
      <patternFill patternType="solid">
        <fgColor rgb="FFD5FFEA"/>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s>
  <cellStyleXfs count="371">
    <xf numFmtId="0" fontId="0" fillId="0" borderId="0"/>
    <xf numFmtId="43" fontId="8" fillId="0" borderId="0" applyFont="0" applyFill="0" applyBorder="0" applyAlignment="0" applyProtection="0"/>
    <xf numFmtId="0" fontId="9" fillId="0" borderId="0"/>
    <xf numFmtId="0" fontId="6" fillId="0" borderId="0"/>
    <xf numFmtId="43" fontId="6" fillId="0" borderId="0" applyFont="0" applyFill="0" applyBorder="0" applyAlignment="0" applyProtection="0"/>
    <xf numFmtId="0" fontId="10" fillId="0" borderId="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23" borderId="2" applyNumberFormat="0" applyAlignment="0" applyProtection="0"/>
    <xf numFmtId="0" fontId="16" fillId="23" borderId="2" applyNumberFormat="0" applyAlignment="0" applyProtection="0"/>
    <xf numFmtId="0" fontId="16" fillId="23" borderId="2" applyNumberFormat="0" applyAlignment="0" applyProtection="0"/>
    <xf numFmtId="0" fontId="16" fillId="23" borderId="2" applyNumberFormat="0" applyAlignment="0" applyProtection="0"/>
    <xf numFmtId="0" fontId="17" fillId="24" borderId="3" applyNumberFormat="0" applyAlignment="0" applyProtection="0"/>
    <xf numFmtId="0" fontId="17" fillId="24" borderId="3" applyNumberFormat="0" applyAlignment="0" applyProtection="0"/>
    <xf numFmtId="0" fontId="17" fillId="24" borderId="3" applyNumberFormat="0" applyAlignment="0" applyProtection="0"/>
    <xf numFmtId="0" fontId="17" fillId="24" borderId="3" applyNumberFormat="0" applyAlignment="0" applyProtection="0"/>
    <xf numFmtId="164" fontId="6" fillId="0" borderId="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12" fillId="0" borderId="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20" fillId="0" borderId="4" applyNumberFormat="0" applyFill="0" applyAlignment="0" applyProtection="0"/>
    <xf numFmtId="0" fontId="20" fillId="0" borderId="4" applyNumberFormat="0" applyFill="0" applyAlignment="0" applyProtection="0"/>
    <xf numFmtId="0" fontId="20" fillId="0" borderId="4"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5" applyNumberFormat="0" applyFill="0" applyAlignment="0" applyProtection="0"/>
    <xf numFmtId="0" fontId="21" fillId="0" borderId="5"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6"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10" borderId="2" applyNumberFormat="0" applyAlignment="0" applyProtection="0"/>
    <xf numFmtId="0" fontId="23" fillId="10" borderId="2" applyNumberFormat="0" applyAlignment="0" applyProtection="0"/>
    <xf numFmtId="0" fontId="23" fillId="10" borderId="2" applyNumberFormat="0" applyAlignment="0" applyProtection="0"/>
    <xf numFmtId="0" fontId="23" fillId="10" borderId="2" applyNumberFormat="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11" fillId="0" borderId="0"/>
    <xf numFmtId="0" fontId="6" fillId="0" borderId="0"/>
    <xf numFmtId="0" fontId="9" fillId="0" borderId="0"/>
    <xf numFmtId="0" fontId="6" fillId="0" borderId="0"/>
    <xf numFmtId="0" fontId="12" fillId="0" borderId="0"/>
    <xf numFmtId="0" fontId="30" fillId="0" borderId="0"/>
    <xf numFmtId="0" fontId="9" fillId="0" borderId="0"/>
    <xf numFmtId="0" fontId="11" fillId="0" borderId="0"/>
    <xf numFmtId="0" fontId="6" fillId="0" borderId="0"/>
    <xf numFmtId="0" fontId="6" fillId="0" borderId="0"/>
    <xf numFmtId="0" fontId="6" fillId="0" borderId="0"/>
    <xf numFmtId="0" fontId="6" fillId="0" borderId="0"/>
    <xf numFmtId="0" fontId="9" fillId="0" borderId="0"/>
    <xf numFmtId="0" fontId="9" fillId="0" borderId="0"/>
    <xf numFmtId="0" fontId="9" fillId="0" borderId="0"/>
    <xf numFmtId="0" fontId="9" fillId="0" borderId="0"/>
    <xf numFmtId="0" fontId="30" fillId="26" borderId="8" applyNumberFormat="0" applyAlignment="0" applyProtection="0"/>
    <xf numFmtId="0" fontId="30" fillId="26" borderId="8" applyNumberFormat="0" applyAlignment="0" applyProtection="0"/>
    <xf numFmtId="0" fontId="30" fillId="26" borderId="8" applyNumberFormat="0" applyAlignment="0" applyProtection="0"/>
    <xf numFmtId="0" fontId="30" fillId="26" borderId="8" applyNumberFormat="0" applyAlignment="0" applyProtection="0"/>
    <xf numFmtId="0" fontId="9" fillId="26" borderId="8"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0" fontId="26" fillId="23" borderId="9" applyNumberFormat="0" applyAlignment="0" applyProtection="0"/>
    <xf numFmtId="9" fontId="6" fillId="0" borderId="0" applyFont="0" applyFill="0" applyBorder="0" applyAlignment="0" applyProtection="0"/>
    <xf numFmtId="9" fontId="12" fillId="0" borderId="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10" applyNumberFormat="0" applyFill="0" applyAlignment="0" applyProtection="0"/>
    <xf numFmtId="0" fontId="28" fillId="0" borderId="10" applyNumberFormat="0" applyFill="0" applyAlignment="0" applyProtection="0"/>
    <xf numFmtId="0" fontId="28" fillId="0" borderId="10" applyNumberFormat="0" applyFill="0" applyAlignment="0" applyProtection="0"/>
    <xf numFmtId="0" fontId="28" fillId="0" borderId="10"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43" fontId="6" fillId="0" borderId="0" applyFont="0" applyFill="0" applyBorder="0" applyAlignment="0" applyProtection="0"/>
    <xf numFmtId="0" fontId="9"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8" fillId="0" borderId="0"/>
    <xf numFmtId="0" fontId="38"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 fillId="0" borderId="0"/>
    <xf numFmtId="0" fontId="41" fillId="0" borderId="0"/>
    <xf numFmtId="0" fontId="13" fillId="0" borderId="0"/>
    <xf numFmtId="0" fontId="4" fillId="0" borderId="0"/>
    <xf numFmtId="43" fontId="4" fillId="0" borderId="0" applyFont="0" applyFill="0" applyBorder="0" applyAlignment="0" applyProtection="0"/>
    <xf numFmtId="0" fontId="42" fillId="0" borderId="0"/>
    <xf numFmtId="0" fontId="6" fillId="0" borderId="0"/>
    <xf numFmtId="0" fontId="4" fillId="0" borderId="0"/>
    <xf numFmtId="43" fontId="13" fillId="0" borderId="0" applyFont="0" applyFill="0" applyBorder="0" applyAlignment="0" applyProtection="0"/>
    <xf numFmtId="9" fontId="43" fillId="0" borderId="0" applyFont="0" applyFill="0" applyBorder="0" applyAlignment="0" applyProtection="0"/>
    <xf numFmtId="43" fontId="4"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48"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43" fontId="1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4" fontId="51" fillId="0" borderId="0" applyFont="0" applyFill="0" applyBorder="0" applyAlignment="0" applyProtection="0"/>
    <xf numFmtId="9" fontId="5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3" fontId="13" fillId="0" borderId="0" applyFont="0" applyFill="0" applyBorder="0" applyAlignment="0" applyProtection="0"/>
    <xf numFmtId="43" fontId="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3"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cellStyleXfs>
  <cellXfs count="223">
    <xf numFmtId="0" fontId="0" fillId="0" borderId="0" xfId="0"/>
    <xf numFmtId="0" fontId="36" fillId="2" borderId="0" xfId="0" applyFont="1" applyFill="1"/>
    <xf numFmtId="0" fontId="36" fillId="2" borderId="0" xfId="0" applyFont="1" applyFill="1" applyAlignment="1">
      <alignment horizontal="center" vertical="center"/>
    </xf>
    <xf numFmtId="0" fontId="33" fillId="4" borderId="1" xfId="0" applyFont="1" applyFill="1" applyBorder="1" applyAlignment="1">
      <alignment horizontal="center" vertical="center" wrapText="1"/>
    </xf>
    <xf numFmtId="0" fontId="36" fillId="4" borderId="1" xfId="0" applyFont="1" applyFill="1" applyBorder="1" applyAlignment="1">
      <alignment horizontal="center" vertical="center"/>
    </xf>
    <xf numFmtId="0" fontId="34" fillId="2" borderId="1" xfId="0" applyFont="1" applyFill="1" applyBorder="1" applyAlignment="1">
      <alignment horizontal="center" vertical="center" wrapText="1"/>
    </xf>
    <xf numFmtId="2" fontId="34" fillId="3"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xf>
    <xf numFmtId="0" fontId="36" fillId="0" borderId="1" xfId="0" applyFont="1" applyBorder="1" applyAlignment="1">
      <alignment horizontal="center" vertical="center"/>
    </xf>
    <xf numFmtId="2" fontId="36" fillId="2" borderId="1" xfId="0" applyNumberFormat="1" applyFont="1" applyFill="1" applyBorder="1" applyAlignment="1">
      <alignment horizontal="center" vertical="center"/>
    </xf>
    <xf numFmtId="2" fontId="36" fillId="2" borderId="0" xfId="0" applyNumberFormat="1" applyFont="1" applyFill="1" applyAlignment="1">
      <alignment horizontal="center" vertical="center"/>
    </xf>
    <xf numFmtId="0" fontId="34" fillId="0" borderId="1" xfId="3" applyFont="1" applyBorder="1" applyAlignment="1">
      <alignment horizontal="justify" vertical="center" wrapText="1"/>
    </xf>
    <xf numFmtId="0" fontId="36" fillId="2" borderId="1" xfId="0" applyFont="1" applyFill="1" applyBorder="1"/>
    <xf numFmtId="0" fontId="34" fillId="0" borderId="1" xfId="3" applyFont="1" applyBorder="1" applyAlignment="1">
      <alignment horizontal="justify" vertical="top" wrapText="1"/>
    </xf>
    <xf numFmtId="0" fontId="36" fillId="0" borderId="1" xfId="0" applyFont="1" applyBorder="1"/>
    <xf numFmtId="0" fontId="34" fillId="0" borderId="0" xfId="0" applyFont="1" applyAlignment="1">
      <alignment horizontal="center" vertical="center"/>
    </xf>
    <xf numFmtId="0" fontId="34" fillId="0" borderId="1" xfId="0" applyFont="1" applyBorder="1" applyAlignment="1">
      <alignment horizontal="left" vertical="center"/>
    </xf>
    <xf numFmtId="0" fontId="34" fillId="0" borderId="1" xfId="0" applyFont="1" applyBorder="1" applyAlignment="1">
      <alignment horizontal="justify" vertical="top" wrapText="1"/>
    </xf>
    <xf numFmtId="0" fontId="33" fillId="0" borderId="1" xfId="0" applyFont="1" applyBorder="1" applyAlignment="1">
      <alignment horizontal="justify" vertical="top" wrapText="1"/>
    </xf>
    <xf numFmtId="0" fontId="33" fillId="2" borderId="1" xfId="0" applyFont="1" applyFill="1" applyBorder="1" applyAlignment="1">
      <alignment vertical="center" wrapText="1"/>
    </xf>
    <xf numFmtId="2" fontId="34" fillId="0" borderId="1" xfId="0" applyNumberFormat="1" applyFont="1" applyBorder="1" applyAlignment="1">
      <alignment horizontal="center" vertical="center"/>
    </xf>
    <xf numFmtId="0" fontId="33" fillId="2" borderId="1" xfId="0" applyFont="1" applyFill="1" applyBorder="1" applyAlignment="1">
      <alignment horizontal="justify" vertical="center" wrapText="1"/>
    </xf>
    <xf numFmtId="0" fontId="33" fillId="4" borderId="1" xfId="0" applyFont="1" applyFill="1" applyBorder="1" applyAlignment="1">
      <alignment vertical="center" wrapText="1"/>
    </xf>
    <xf numFmtId="0" fontId="34" fillId="2" borderId="1" xfId="0" applyFont="1" applyFill="1" applyBorder="1" applyAlignment="1">
      <alignment horizontal="justify" vertical="center" wrapText="1"/>
    </xf>
    <xf numFmtId="2" fontId="34" fillId="0" borderId="1" xfId="0" applyNumberFormat="1" applyFont="1" applyBorder="1" applyAlignment="1">
      <alignment horizontal="center" vertical="center" wrapText="1"/>
    </xf>
    <xf numFmtId="2" fontId="34" fillId="2" borderId="1" xfId="0" applyNumberFormat="1" applyFont="1" applyFill="1" applyBorder="1" applyAlignment="1">
      <alignment horizontal="center" vertical="center" wrapText="1"/>
    </xf>
    <xf numFmtId="0" fontId="34" fillId="2" borderId="1" xfId="0" applyFont="1" applyFill="1" applyBorder="1" applyAlignment="1">
      <alignment horizontal="center" vertical="center"/>
    </xf>
    <xf numFmtId="2" fontId="34" fillId="3" borderId="1" xfId="0" applyNumberFormat="1" applyFont="1" applyFill="1" applyBorder="1" applyAlignment="1">
      <alignment horizontal="center" vertical="center"/>
    </xf>
    <xf numFmtId="0" fontId="34" fillId="0" borderId="1" xfId="0" applyFont="1" applyBorder="1" applyAlignment="1">
      <alignment horizontal="justify" vertical="center" wrapText="1"/>
    </xf>
    <xf numFmtId="0" fontId="34" fillId="2" borderId="1" xfId="0" applyFont="1" applyFill="1" applyBorder="1" applyAlignment="1">
      <alignment vertical="center" wrapText="1"/>
    </xf>
    <xf numFmtId="0" fontId="34" fillId="0" borderId="1" xfId="0" applyFont="1" applyBorder="1" applyAlignment="1">
      <alignment vertical="center" wrapText="1"/>
    </xf>
    <xf numFmtId="0" fontId="34" fillId="2" borderId="1" xfId="0" quotePrefix="1" applyFont="1" applyFill="1" applyBorder="1" applyAlignment="1">
      <alignment horizontal="justify" vertical="center" wrapText="1"/>
    </xf>
    <xf numFmtId="0" fontId="34" fillId="0" borderId="1" xfId="0" applyFont="1" applyBorder="1" applyAlignment="1">
      <alignment horizontal="center" vertical="center"/>
    </xf>
    <xf numFmtId="2" fontId="34" fillId="2" borderId="1" xfId="0" applyNumberFormat="1" applyFont="1" applyFill="1" applyBorder="1" applyAlignment="1">
      <alignment horizontal="center" vertical="center"/>
    </xf>
    <xf numFmtId="2" fontId="34" fillId="2" borderId="1" xfId="0" applyNumberFormat="1" applyFont="1" applyFill="1" applyBorder="1" applyAlignment="1">
      <alignment horizontal="left" vertical="center" wrapText="1"/>
    </xf>
    <xf numFmtId="0" fontId="33" fillId="4" borderId="1" xfId="0" applyFont="1" applyFill="1" applyBorder="1" applyAlignment="1">
      <alignment horizontal="justify" vertical="center" wrapText="1"/>
    </xf>
    <xf numFmtId="0" fontId="37" fillId="4" borderId="1" xfId="0" applyFont="1" applyFill="1" applyBorder="1" applyAlignment="1">
      <alignment vertical="center" wrapText="1"/>
    </xf>
    <xf numFmtId="0" fontId="34" fillId="2" borderId="1" xfId="0" applyFont="1" applyFill="1" applyBorder="1" applyAlignment="1">
      <alignment horizontal="left" vertical="center" wrapText="1"/>
    </xf>
    <xf numFmtId="0" fontId="34" fillId="2" borderId="1" xfId="0" applyFont="1" applyFill="1" applyBorder="1" applyAlignment="1">
      <alignment horizontal="justify" vertical="top" wrapText="1"/>
    </xf>
    <xf numFmtId="0" fontId="34" fillId="0" borderId="1" xfId="0" applyFont="1" applyBorder="1"/>
    <xf numFmtId="0" fontId="34" fillId="0" borderId="1" xfId="0" applyFont="1" applyBorder="1" applyAlignment="1">
      <alignment horizontal="left" vertical="center" wrapText="1"/>
    </xf>
    <xf numFmtId="0" fontId="34" fillId="2" borderId="1" xfId="0" applyFont="1" applyFill="1" applyBorder="1" applyAlignment="1">
      <alignment horizontal="justify" vertical="center"/>
    </xf>
    <xf numFmtId="0" fontId="34" fillId="2" borderId="1" xfId="0" applyFont="1" applyFill="1" applyBorder="1" applyAlignment="1">
      <alignment horizontal="justify" vertical="top"/>
    </xf>
    <xf numFmtId="0" fontId="34" fillId="2" borderId="1" xfId="0" applyFont="1" applyFill="1" applyBorder="1" applyAlignment="1">
      <alignment horizontal="left" vertical="top" wrapText="1"/>
    </xf>
    <xf numFmtId="0" fontId="34" fillId="0" borderId="1" xfId="0" quotePrefix="1" applyFont="1" applyBorder="1" applyAlignment="1">
      <alignment horizontal="left" vertical="center" wrapText="1"/>
    </xf>
    <xf numFmtId="0" fontId="33" fillId="2" borderId="1" xfId="0" applyFont="1" applyFill="1" applyBorder="1" applyAlignment="1">
      <alignment horizontal="left" vertical="top" wrapText="1"/>
    </xf>
    <xf numFmtId="0" fontId="34" fillId="2" borderId="0" xfId="0" applyFont="1" applyFill="1" applyAlignment="1">
      <alignment horizontal="center" vertical="center" wrapText="1"/>
    </xf>
    <xf numFmtId="0" fontId="34" fillId="2" borderId="0" xfId="0" applyFont="1" applyFill="1" applyAlignment="1">
      <alignment horizontal="justify" vertical="center" wrapText="1"/>
    </xf>
    <xf numFmtId="0" fontId="33" fillId="0" borderId="1" xfId="0" quotePrefix="1" applyFont="1" applyBorder="1" applyAlignment="1">
      <alignment horizontal="justify" vertical="top" wrapText="1"/>
    </xf>
    <xf numFmtId="0" fontId="34" fillId="0" borderId="1" xfId="0" applyFont="1" applyBorder="1" applyAlignment="1">
      <alignment horizontal="center" vertical="center" wrapText="1"/>
    </xf>
    <xf numFmtId="0" fontId="34" fillId="2" borderId="1" xfId="0" quotePrefix="1" applyFont="1" applyFill="1" applyBorder="1" applyAlignment="1">
      <alignment horizontal="center" vertical="center" wrapText="1"/>
    </xf>
    <xf numFmtId="0" fontId="34" fillId="0" borderId="1" xfId="0" applyFont="1" applyBorder="1" applyAlignment="1">
      <alignment horizontal="center" vertical="top" wrapText="1"/>
    </xf>
    <xf numFmtId="0" fontId="33" fillId="2" borderId="1" xfId="0" applyFont="1" applyFill="1" applyBorder="1" applyAlignment="1">
      <alignment horizontal="center" vertical="center" wrapText="1"/>
    </xf>
    <xf numFmtId="0" fontId="34" fillId="2" borderId="1" xfId="0" applyFont="1" applyFill="1" applyBorder="1" applyAlignment="1">
      <alignment horizontal="center" vertical="top" wrapText="1"/>
    </xf>
    <xf numFmtId="0" fontId="33" fillId="2" borderId="1" xfId="0" applyFont="1" applyFill="1" applyBorder="1" applyAlignment="1">
      <alignment horizontal="center" vertical="top" wrapText="1"/>
    </xf>
    <xf numFmtId="0" fontId="37" fillId="4" borderId="1" xfId="0" applyFont="1" applyFill="1" applyBorder="1" applyAlignment="1">
      <alignment horizontal="center" vertical="center" wrapText="1"/>
    </xf>
    <xf numFmtId="0" fontId="34" fillId="0" borderId="1" xfId="3" applyFont="1" applyBorder="1" applyAlignment="1">
      <alignment horizontal="center" vertical="center" wrapText="1"/>
    </xf>
    <xf numFmtId="0" fontId="33" fillId="0" borderId="1" xfId="0" applyFont="1" applyBorder="1" applyAlignment="1">
      <alignment horizontal="center" vertical="top" wrapText="1"/>
    </xf>
    <xf numFmtId="0" fontId="34" fillId="0" borderId="1" xfId="3" applyFont="1" applyBorder="1" applyAlignment="1">
      <alignment horizontal="center" vertical="top" wrapText="1"/>
    </xf>
    <xf numFmtId="0" fontId="34" fillId="2" borderId="1" xfId="0" applyFont="1" applyFill="1" applyBorder="1" applyAlignment="1">
      <alignment horizontal="center" vertical="top"/>
    </xf>
    <xf numFmtId="165" fontId="34" fillId="2" borderId="1" xfId="1" applyNumberFormat="1" applyFont="1" applyFill="1" applyBorder="1" applyAlignment="1">
      <alignment horizontal="center" vertical="center" wrapText="1"/>
    </xf>
    <xf numFmtId="0" fontId="33" fillId="0" borderId="1" xfId="0" applyFont="1" applyBorder="1" applyAlignment="1">
      <alignment vertical="center" wrapText="1"/>
    </xf>
    <xf numFmtId="0" fontId="33" fillId="0" borderId="1" xfId="0" applyFont="1" applyBorder="1" applyAlignment="1">
      <alignment horizontal="center" vertical="center" wrapText="1"/>
    </xf>
    <xf numFmtId="1" fontId="34" fillId="0" borderId="1" xfId="0" applyNumberFormat="1" applyFont="1" applyBorder="1" applyAlignment="1">
      <alignment horizontal="center" vertical="center" wrapText="1"/>
    </xf>
    <xf numFmtId="166" fontId="34" fillId="0" borderId="1" xfId="0" applyNumberFormat="1" applyFont="1" applyBorder="1" applyAlignment="1">
      <alignment horizontal="justify" vertical="center" wrapText="1"/>
    </xf>
    <xf numFmtId="0" fontId="34" fillId="0" borderId="1" xfId="0" applyFont="1" applyBorder="1" applyAlignment="1">
      <alignment horizontal="center"/>
    </xf>
    <xf numFmtId="0" fontId="34" fillId="4" borderId="1" xfId="0" applyFont="1" applyFill="1" applyBorder="1" applyAlignment="1">
      <alignment horizontal="center" vertical="center"/>
    </xf>
    <xf numFmtId="0" fontId="34" fillId="4" borderId="1" xfId="0" applyFont="1" applyFill="1" applyBorder="1" applyAlignment="1">
      <alignment horizontal="center" vertical="center" wrapText="1"/>
    </xf>
    <xf numFmtId="43" fontId="33" fillId="4" borderId="1" xfId="4" applyFont="1" applyFill="1" applyBorder="1" applyAlignment="1">
      <alignment horizontal="center" vertical="center" wrapText="1"/>
    </xf>
    <xf numFmtId="166" fontId="33" fillId="4" borderId="1" xfId="4" applyNumberFormat="1" applyFont="1" applyFill="1" applyBorder="1" applyAlignment="1">
      <alignment horizontal="center" vertical="center" wrapText="1"/>
    </xf>
    <xf numFmtId="43" fontId="33" fillId="0" borderId="1" xfId="4" applyFont="1" applyFill="1" applyBorder="1" applyAlignment="1">
      <alignment horizontal="center" vertical="center" wrapText="1"/>
    </xf>
    <xf numFmtId="2" fontId="33" fillId="0" borderId="1" xfId="0" applyNumberFormat="1" applyFont="1" applyBorder="1" applyAlignment="1">
      <alignment horizontal="center" vertical="center" wrapText="1"/>
    </xf>
    <xf numFmtId="2" fontId="33" fillId="2" borderId="1" xfId="0" applyNumberFormat="1" applyFont="1" applyFill="1" applyBorder="1" applyAlignment="1">
      <alignment horizontal="center" vertical="center" wrapText="1"/>
    </xf>
    <xf numFmtId="2" fontId="34" fillId="4" borderId="1" xfId="0" applyNumberFormat="1" applyFont="1" applyFill="1" applyBorder="1" applyAlignment="1">
      <alignment horizontal="center" vertical="center" wrapText="1"/>
    </xf>
    <xf numFmtId="166" fontId="34" fillId="2" borderId="1" xfId="1" applyNumberFormat="1" applyFont="1" applyFill="1" applyBorder="1" applyAlignment="1">
      <alignment horizontal="center" vertical="center" wrapText="1"/>
    </xf>
    <xf numFmtId="166" fontId="34" fillId="2" borderId="1" xfId="0" applyNumberFormat="1" applyFont="1" applyFill="1" applyBorder="1" applyAlignment="1">
      <alignment horizontal="center" vertical="center" wrapText="1"/>
    </xf>
    <xf numFmtId="5" fontId="33" fillId="4" borderId="1" xfId="1" applyNumberFormat="1" applyFont="1" applyFill="1" applyBorder="1" applyAlignment="1">
      <alignment horizontal="center" vertical="center" wrapText="1"/>
    </xf>
    <xf numFmtId="166" fontId="34" fillId="0" borderId="1" xfId="1" applyNumberFormat="1" applyFont="1" applyFill="1" applyBorder="1" applyAlignment="1">
      <alignment horizontal="center" vertical="center" wrapText="1"/>
    </xf>
    <xf numFmtId="166" fontId="34" fillId="0" borderId="1" xfId="0" applyNumberFormat="1" applyFont="1" applyBorder="1" applyAlignment="1">
      <alignment horizontal="center" vertical="center" wrapText="1"/>
    </xf>
    <xf numFmtId="43" fontId="34" fillId="2" borderId="1" xfId="1" applyFont="1" applyFill="1" applyBorder="1" applyAlignment="1">
      <alignment horizontal="center" vertical="center" wrapText="1"/>
    </xf>
    <xf numFmtId="166" fontId="33" fillId="4" borderId="1" xfId="1" applyNumberFormat="1" applyFont="1" applyFill="1" applyBorder="1" applyAlignment="1">
      <alignment horizontal="center" vertical="center" wrapText="1"/>
    </xf>
    <xf numFmtId="43" fontId="34" fillId="0" borderId="1" xfId="1" applyFont="1" applyFill="1" applyBorder="1" applyAlignment="1">
      <alignment horizontal="center" vertical="center" wrapText="1"/>
    </xf>
    <xf numFmtId="0" fontId="31" fillId="0" borderId="1" xfId="0" applyFont="1" applyBorder="1" applyAlignment="1">
      <alignment horizontal="center" vertical="top"/>
    </xf>
    <xf numFmtId="0" fontId="36" fillId="2" borderId="1" xfId="0" applyFont="1" applyFill="1" applyBorder="1" applyAlignment="1">
      <alignment horizontal="center"/>
    </xf>
    <xf numFmtId="0" fontId="36" fillId="4" borderId="1" xfId="0" applyFont="1" applyFill="1" applyBorder="1" applyAlignment="1">
      <alignment horizontal="center"/>
    </xf>
    <xf numFmtId="16" fontId="34" fillId="0" borderId="1" xfId="0" applyNumberFormat="1" applyFont="1" applyBorder="1" applyAlignment="1">
      <alignment horizontal="center" vertical="center"/>
    </xf>
    <xf numFmtId="43" fontId="34" fillId="2" borderId="1" xfId="4" applyFont="1" applyFill="1" applyBorder="1" applyAlignment="1">
      <alignment horizontal="center" vertical="center" wrapText="1"/>
    </xf>
    <xf numFmtId="0" fontId="34" fillId="27" borderId="1" xfId="0" applyFont="1" applyFill="1" applyBorder="1" applyAlignment="1">
      <alignment horizontal="center" vertical="center" wrapText="1"/>
    </xf>
    <xf numFmtId="2" fontId="34" fillId="27" borderId="1" xfId="0" applyNumberFormat="1" applyFont="1" applyFill="1" applyBorder="1" applyAlignment="1">
      <alignment horizontal="center" vertical="center" wrapText="1"/>
    </xf>
    <xf numFmtId="0" fontId="34" fillId="0" borderId="1" xfId="0" quotePrefix="1" applyFont="1" applyBorder="1" applyAlignment="1">
      <alignment horizontal="center" vertical="center" wrapText="1"/>
    </xf>
    <xf numFmtId="0" fontId="39" fillId="0" borderId="1" xfId="0" applyFont="1" applyBorder="1" applyAlignment="1">
      <alignment horizontal="center" vertical="center"/>
    </xf>
    <xf numFmtId="0" fontId="34" fillId="27" borderId="1" xfId="0" applyFont="1" applyFill="1" applyBorder="1" applyAlignment="1">
      <alignment horizontal="center" vertical="center"/>
    </xf>
    <xf numFmtId="1" fontId="34" fillId="0" borderId="1" xfId="0" applyNumberFormat="1" applyFont="1" applyBorder="1" applyAlignment="1">
      <alignment horizontal="center" vertical="center"/>
    </xf>
    <xf numFmtId="2" fontId="34" fillId="28" borderId="1" xfId="0" applyNumberFormat="1" applyFont="1" applyFill="1" applyBorder="1" applyAlignment="1">
      <alignment horizontal="center" vertical="center" wrapText="1"/>
    </xf>
    <xf numFmtId="1" fontId="36" fillId="0" borderId="1" xfId="0" applyNumberFormat="1" applyFont="1" applyBorder="1" applyAlignment="1">
      <alignment horizontal="center" vertical="center"/>
    </xf>
    <xf numFmtId="0" fontId="34" fillId="28" borderId="1" xfId="0" applyFont="1" applyFill="1" applyBorder="1" applyAlignment="1">
      <alignment horizontal="center" vertical="center"/>
    </xf>
    <xf numFmtId="0" fontId="34" fillId="4" borderId="18" xfId="0" applyFont="1" applyFill="1" applyBorder="1" applyAlignment="1">
      <alignment horizontal="center" vertical="center"/>
    </xf>
    <xf numFmtId="0" fontId="34" fillId="4" borderId="0" xfId="0" applyFont="1" applyFill="1" applyAlignment="1">
      <alignment horizontal="center" vertical="center"/>
    </xf>
    <xf numFmtId="0" fontId="34" fillId="0" borderId="0" xfId="0" applyFont="1" applyAlignment="1">
      <alignment horizontal="center" vertical="center" wrapText="1"/>
    </xf>
    <xf numFmtId="0" fontId="33" fillId="0" borderId="1" xfId="0" applyFont="1" applyBorder="1" applyAlignment="1">
      <alignment horizontal="justify" vertical="center" wrapText="1"/>
    </xf>
    <xf numFmtId="0" fontId="35" fillId="2" borderId="22" xfId="0" applyFont="1" applyFill="1" applyBorder="1" applyAlignment="1">
      <alignment horizontal="center" vertical="center" wrapText="1"/>
    </xf>
    <xf numFmtId="0" fontId="35" fillId="2" borderId="0" xfId="0" applyFont="1" applyFill="1" applyAlignment="1">
      <alignment horizontal="center" vertical="center" wrapText="1"/>
    </xf>
    <xf numFmtId="0" fontId="36" fillId="4" borderId="19" xfId="0" applyFont="1" applyFill="1" applyBorder="1" applyAlignment="1">
      <alignment horizontal="center" vertical="center"/>
    </xf>
    <xf numFmtId="2" fontId="34" fillId="0" borderId="19" xfId="0" applyNumberFormat="1" applyFont="1" applyBorder="1" applyAlignment="1">
      <alignment horizontal="center" vertical="center" wrapText="1"/>
    </xf>
    <xf numFmtId="0" fontId="34" fillId="2" borderId="19" xfId="0" applyFont="1" applyFill="1" applyBorder="1" applyAlignment="1">
      <alignment horizontal="center" vertical="center"/>
    </xf>
    <xf numFmtId="0" fontId="36" fillId="2" borderId="19" xfId="0" applyFont="1" applyFill="1" applyBorder="1" applyAlignment="1">
      <alignment horizontal="center" vertical="center"/>
    </xf>
    <xf numFmtId="0" fontId="33" fillId="4" borderId="19" xfId="0" applyFont="1" applyFill="1" applyBorder="1" applyAlignment="1">
      <alignment horizontal="justify" vertical="center" wrapText="1"/>
    </xf>
    <xf numFmtId="0" fontId="33" fillId="0" borderId="19" xfId="0" applyFont="1" applyBorder="1" applyAlignment="1">
      <alignment horizontal="justify" vertical="center" wrapText="1"/>
    </xf>
    <xf numFmtId="0" fontId="34" fillId="0" borderId="19" xfId="0" applyFont="1" applyBorder="1" applyAlignment="1">
      <alignment horizontal="center" vertical="center"/>
    </xf>
    <xf numFmtId="0" fontId="36" fillId="0" borderId="19" xfId="0" applyFont="1" applyBorder="1" applyAlignment="1">
      <alignment horizontal="center" vertical="center"/>
    </xf>
    <xf numFmtId="2" fontId="34" fillId="2" borderId="19" xfId="0" applyNumberFormat="1" applyFont="1" applyFill="1" applyBorder="1" applyAlignment="1">
      <alignment horizontal="center" vertical="center" wrapText="1"/>
    </xf>
    <xf numFmtId="2" fontId="36" fillId="2" borderId="19" xfId="0" applyNumberFormat="1" applyFont="1" applyFill="1" applyBorder="1" applyAlignment="1">
      <alignment horizontal="center" vertical="center"/>
    </xf>
    <xf numFmtId="2" fontId="34" fillId="2" borderId="19" xfId="0" applyNumberFormat="1" applyFont="1" applyFill="1" applyBorder="1" applyAlignment="1">
      <alignment horizontal="center" vertical="center"/>
    </xf>
    <xf numFmtId="2" fontId="34" fillId="3" borderId="19" xfId="0" applyNumberFormat="1" applyFont="1" applyFill="1" applyBorder="1" applyAlignment="1">
      <alignment horizontal="center" vertical="center"/>
    </xf>
    <xf numFmtId="0" fontId="34" fillId="0" borderId="19" xfId="0" applyFont="1" applyBorder="1" applyAlignment="1">
      <alignment horizontal="center" vertical="center" wrapText="1"/>
    </xf>
    <xf numFmtId="0" fontId="34" fillId="0" borderId="19" xfId="0" applyFont="1" applyBorder="1" applyAlignment="1">
      <alignment horizontal="justify" vertical="center" wrapText="1"/>
    </xf>
    <xf numFmtId="0" fontId="36" fillId="2" borderId="19" xfId="0" applyFont="1" applyFill="1" applyBorder="1"/>
    <xf numFmtId="0" fontId="36" fillId="0" borderId="19" xfId="0" applyFont="1" applyBorder="1"/>
    <xf numFmtId="0" fontId="34" fillId="2" borderId="19" xfId="0" applyFont="1" applyFill="1" applyBorder="1" applyAlignment="1">
      <alignment horizontal="justify" vertical="center" wrapText="1"/>
    </xf>
    <xf numFmtId="0" fontId="34" fillId="2" borderId="19" xfId="0" applyFont="1" applyFill="1" applyBorder="1" applyAlignment="1">
      <alignment horizontal="center" vertical="center" wrapText="1"/>
    </xf>
    <xf numFmtId="0" fontId="34" fillId="0" borderId="19" xfId="0" applyFont="1" applyBorder="1"/>
    <xf numFmtId="0" fontId="34" fillId="4" borderId="19" xfId="0" applyFont="1" applyFill="1" applyBorder="1" applyAlignment="1">
      <alignment horizontal="center" vertical="center"/>
    </xf>
    <xf numFmtId="2" fontId="34" fillId="4" borderId="16" xfId="0" applyNumberFormat="1" applyFont="1" applyFill="1" applyBorder="1" applyAlignment="1">
      <alignment horizontal="center" vertical="center" wrapText="1"/>
    </xf>
    <xf numFmtId="0" fontId="50" fillId="2" borderId="0" xfId="0" applyFont="1" applyFill="1"/>
    <xf numFmtId="2" fontId="35" fillId="32" borderId="16" xfId="0" applyNumberFormat="1" applyFont="1" applyFill="1" applyBorder="1" applyAlignment="1">
      <alignment horizontal="center" vertical="center" wrapText="1"/>
    </xf>
    <xf numFmtId="2" fontId="35" fillId="33" borderId="16" xfId="0" applyNumberFormat="1" applyFont="1" applyFill="1" applyBorder="1" applyAlignment="1">
      <alignment horizontal="center" vertical="center" wrapText="1"/>
    </xf>
    <xf numFmtId="2" fontId="35" fillId="38" borderId="1" xfId="0" applyNumberFormat="1" applyFont="1" applyFill="1" applyBorder="1" applyAlignment="1">
      <alignment horizontal="center" vertical="center" wrapText="1"/>
    </xf>
    <xf numFmtId="166" fontId="34" fillId="2" borderId="1" xfId="243" applyNumberFormat="1" applyFont="1" applyFill="1" applyBorder="1" applyAlignment="1">
      <alignment horizontal="center" vertical="center" wrapText="1"/>
    </xf>
    <xf numFmtId="0" fontId="33" fillId="34" borderId="1" xfId="0" applyFont="1" applyFill="1" applyBorder="1" applyAlignment="1">
      <alignment horizontal="justify" vertical="center" wrapText="1"/>
    </xf>
    <xf numFmtId="0" fontId="33" fillId="34" borderId="1" xfId="0" applyFont="1" applyFill="1" applyBorder="1" applyAlignment="1">
      <alignment horizontal="justify" vertical="top" wrapText="1"/>
    </xf>
    <xf numFmtId="0" fontId="34" fillId="35" borderId="1" xfId="0" applyFont="1" applyFill="1" applyBorder="1" applyAlignment="1">
      <alignment horizontal="justify" vertical="center" wrapText="1"/>
    </xf>
    <xf numFmtId="0" fontId="34" fillId="34" borderId="12" xfId="0" applyFont="1" applyFill="1" applyBorder="1" applyAlignment="1">
      <alignment horizontal="center" vertical="center" wrapText="1"/>
    </xf>
    <xf numFmtId="0" fontId="33" fillId="34" borderId="12" xfId="0" applyFont="1" applyFill="1" applyBorder="1" applyAlignment="1">
      <alignment horizontal="center" vertical="center" wrapText="1"/>
    </xf>
    <xf numFmtId="2" fontId="34" fillId="0" borderId="19" xfId="239" applyNumberFormat="1" applyFont="1" applyBorder="1" applyAlignment="1">
      <alignment horizontal="center" vertical="center" wrapText="1"/>
    </xf>
    <xf numFmtId="0" fontId="35" fillId="2" borderId="1" xfId="0" applyFont="1" applyFill="1" applyBorder="1" applyAlignment="1">
      <alignment vertical="center" wrapText="1"/>
    </xf>
    <xf numFmtId="0" fontId="34" fillId="35" borderId="1" xfId="0" applyFont="1" applyFill="1" applyBorder="1" applyAlignment="1">
      <alignment horizontal="center" vertical="center" wrapText="1"/>
    </xf>
    <xf numFmtId="0" fontId="34" fillId="2" borderId="19" xfId="0" applyFont="1" applyFill="1" applyBorder="1" applyAlignment="1">
      <alignment vertical="center" wrapText="1"/>
    </xf>
    <xf numFmtId="0" fontId="34" fillId="34" borderId="19" xfId="0" applyFont="1" applyFill="1" applyBorder="1" applyAlignment="1">
      <alignment vertical="center" wrapText="1"/>
    </xf>
    <xf numFmtId="2" fontId="34" fillId="0" borderId="1" xfId="0" applyNumberFormat="1" applyFont="1" applyBorder="1" applyAlignment="1" applyProtection="1">
      <alignment horizontal="center" vertical="center" wrapText="1"/>
      <protection locked="0"/>
    </xf>
    <xf numFmtId="0" fontId="34" fillId="0" borderId="1" xfId="0" applyFont="1" applyBorder="1" applyAlignment="1" applyProtection="1">
      <alignment horizontal="center" vertical="center"/>
      <protection locked="0"/>
    </xf>
    <xf numFmtId="0" fontId="33" fillId="4" borderId="1" xfId="0" applyFont="1" applyFill="1" applyBorder="1" applyAlignment="1" applyProtection="1">
      <alignment horizontal="justify" vertical="center" wrapText="1"/>
      <protection locked="0"/>
    </xf>
    <xf numFmtId="2" fontId="34" fillId="35" borderId="1" xfId="0" applyNumberFormat="1" applyFont="1" applyFill="1" applyBorder="1" applyAlignment="1" applyProtection="1">
      <alignment horizontal="center" vertical="center" wrapText="1"/>
      <protection locked="0"/>
    </xf>
    <xf numFmtId="0" fontId="34" fillId="0" borderId="1" xfId="0" applyFont="1" applyBorder="1" applyAlignment="1" applyProtection="1">
      <alignment horizontal="center" vertical="center" wrapText="1"/>
      <protection locked="0"/>
    </xf>
    <xf numFmtId="0" fontId="36" fillId="0" borderId="1" xfId="0" applyFont="1" applyBorder="1" applyAlignment="1" applyProtection="1">
      <alignment horizontal="center" vertical="center"/>
      <protection locked="0"/>
    </xf>
    <xf numFmtId="0" fontId="34" fillId="2" borderId="12" xfId="0" applyFont="1" applyFill="1" applyBorder="1" applyAlignment="1">
      <alignment vertical="center" wrapText="1"/>
    </xf>
    <xf numFmtId="0" fontId="34" fillId="34" borderId="12" xfId="0" applyFont="1" applyFill="1" applyBorder="1" applyAlignment="1">
      <alignment vertical="center" wrapText="1"/>
    </xf>
    <xf numFmtId="0" fontId="36" fillId="4" borderId="1" xfId="0" applyFont="1" applyFill="1" applyBorder="1" applyAlignment="1" applyProtection="1">
      <alignment horizontal="center" vertical="center"/>
      <protection locked="0"/>
    </xf>
    <xf numFmtId="2" fontId="34" fillId="0" borderId="1" xfId="0" applyNumberFormat="1" applyFont="1" applyBorder="1" applyAlignment="1" applyProtection="1">
      <alignment horizontal="center" vertical="center"/>
      <protection locked="0"/>
    </xf>
    <xf numFmtId="0" fontId="34" fillId="0" borderId="1" xfId="0" applyFont="1" applyBorder="1" applyAlignment="1" applyProtection="1">
      <alignment horizontal="center"/>
      <protection locked="0"/>
    </xf>
    <xf numFmtId="0" fontId="34" fillId="4" borderId="1" xfId="0" applyFont="1" applyFill="1" applyBorder="1" applyAlignment="1" applyProtection="1">
      <alignment horizontal="center" vertical="center"/>
      <protection locked="0"/>
    </xf>
    <xf numFmtId="44" fontId="36" fillId="2" borderId="0" xfId="287" applyFont="1" applyFill="1"/>
    <xf numFmtId="44" fontId="35" fillId="2" borderId="0" xfId="287" applyFont="1" applyFill="1" applyAlignment="1">
      <alignment horizontal="center" vertical="center" wrapText="1"/>
    </xf>
    <xf numFmtId="44" fontId="36" fillId="4" borderId="17" xfId="287" applyFont="1" applyFill="1" applyBorder="1"/>
    <xf numFmtId="44" fontId="34" fillId="2" borderId="17" xfId="287" applyFont="1" applyFill="1" applyBorder="1" applyAlignment="1">
      <alignment horizontal="center" vertical="center" wrapText="1"/>
    </xf>
    <xf numFmtId="44" fontId="34" fillId="0" borderId="16" xfId="287" applyFont="1" applyBorder="1" applyAlignment="1">
      <alignment horizontal="center" vertical="center" wrapText="1"/>
    </xf>
    <xf numFmtId="44" fontId="33" fillId="4" borderId="23" xfId="287" applyFont="1" applyFill="1" applyBorder="1" applyAlignment="1">
      <alignment horizontal="center" vertical="center" wrapText="1"/>
    </xf>
    <xf numFmtId="44" fontId="34" fillId="2" borderId="0" xfId="287" applyFont="1" applyFill="1" applyBorder="1" applyAlignment="1">
      <alignment horizontal="center" vertical="center" wrapText="1"/>
    </xf>
    <xf numFmtId="43" fontId="34" fillId="0" borderId="1" xfId="243" applyFont="1" applyBorder="1" applyAlignment="1" applyProtection="1">
      <alignment horizontal="center" vertical="center" wrapText="1"/>
      <protection locked="0"/>
    </xf>
    <xf numFmtId="10" fontId="36" fillId="0" borderId="1" xfId="288" applyNumberFormat="1" applyFont="1" applyBorder="1"/>
    <xf numFmtId="0" fontId="45" fillId="0" borderId="1" xfId="0" applyFont="1" applyBorder="1" applyAlignment="1">
      <alignment horizontal="center"/>
    </xf>
    <xf numFmtId="0" fontId="45" fillId="0" borderId="1" xfId="0" applyFont="1" applyBorder="1" applyAlignment="1">
      <alignment horizontal="center" vertical="center"/>
    </xf>
    <xf numFmtId="44" fontId="36" fillId="0" borderId="0" xfId="287" applyFont="1"/>
    <xf numFmtId="44" fontId="44" fillId="0" borderId="1" xfId="287" applyFont="1" applyBorder="1" applyAlignment="1">
      <alignment horizontal="right" vertical="center"/>
    </xf>
    <xf numFmtId="43" fontId="44" fillId="0" borderId="1" xfId="1" applyFont="1" applyBorder="1" applyAlignment="1">
      <alignment horizontal="right" vertical="center"/>
    </xf>
    <xf numFmtId="7" fontId="45" fillId="0" borderId="1" xfId="287" applyNumberFormat="1" applyFont="1" applyBorder="1" applyAlignment="1">
      <alignment horizontal="right" vertical="center"/>
    </xf>
    <xf numFmtId="44" fontId="45" fillId="0" borderId="1" xfId="287" applyFont="1" applyBorder="1" applyAlignment="1">
      <alignment horizontal="right" vertical="center"/>
    </xf>
    <xf numFmtId="43" fontId="45" fillId="0" borderId="1" xfId="1" applyFont="1" applyBorder="1" applyAlignment="1">
      <alignment horizontal="right" vertical="center"/>
    </xf>
    <xf numFmtId="0" fontId="45" fillId="0" borderId="1" xfId="0" applyFont="1" applyBorder="1" applyAlignment="1">
      <alignment horizontal="left" vertical="center"/>
    </xf>
    <xf numFmtId="0" fontId="44" fillId="34" borderId="1" xfId="0" applyFont="1" applyFill="1" applyBorder="1" applyAlignment="1">
      <alignment horizontal="center" vertical="center"/>
    </xf>
    <xf numFmtId="44" fontId="44" fillId="31" borderId="1" xfId="287" applyFont="1" applyFill="1" applyBorder="1" applyAlignment="1">
      <alignment horizontal="center" vertical="center"/>
    </xf>
    <xf numFmtId="0" fontId="36" fillId="0" borderId="0" xfId="0" applyFont="1" applyAlignment="1">
      <alignment horizontal="center" vertical="center"/>
    </xf>
    <xf numFmtId="0" fontId="44" fillId="34" borderId="1" xfId="0" applyFont="1" applyFill="1" applyBorder="1" applyAlignment="1">
      <alignment horizontal="center" vertical="center" wrapText="1"/>
    </xf>
    <xf numFmtId="44" fontId="44" fillId="31" borderId="1" xfId="287" applyFont="1" applyFill="1" applyBorder="1" applyAlignment="1">
      <alignment horizontal="center" vertical="center" wrapText="1"/>
    </xf>
    <xf numFmtId="0" fontId="44" fillId="39" borderId="1" xfId="0" applyFont="1" applyFill="1" applyBorder="1" applyAlignment="1">
      <alignment horizontal="center" vertical="center"/>
    </xf>
    <xf numFmtId="44" fontId="32" fillId="0" borderId="0" xfId="287" applyFont="1" applyAlignment="1">
      <alignment horizontal="center" vertical="center" wrapText="1"/>
    </xf>
    <xf numFmtId="0" fontId="32" fillId="0" borderId="0" xfId="0" applyFont="1" applyAlignment="1">
      <alignment horizontal="center" vertical="center" wrapText="1"/>
    </xf>
    <xf numFmtId="0" fontId="32" fillId="0" borderId="24" xfId="0" applyFont="1" applyBorder="1" applyAlignment="1">
      <alignment horizontal="center" vertical="center" wrapText="1"/>
    </xf>
    <xf numFmtId="0" fontId="36" fillId="0" borderId="0" xfId="0" applyFont="1"/>
    <xf numFmtId="166" fontId="34" fillId="37" borderId="1" xfId="4" applyNumberFormat="1" applyFont="1" applyFill="1" applyBorder="1" applyAlignment="1">
      <alignment horizontal="center" vertical="center" wrapText="1"/>
    </xf>
    <xf numFmtId="44" fontId="34" fillId="37" borderId="1" xfId="287" applyFont="1" applyFill="1" applyBorder="1" applyAlignment="1">
      <alignment horizontal="center" vertical="center" wrapText="1"/>
    </xf>
    <xf numFmtId="44" fontId="33" fillId="37" borderId="1" xfId="287" applyFont="1" applyFill="1" applyBorder="1" applyAlignment="1">
      <alignment horizontal="center" vertical="center" wrapText="1"/>
    </xf>
    <xf numFmtId="44" fontId="33" fillId="37" borderId="20" xfId="287" applyFont="1" applyFill="1" applyBorder="1" applyAlignment="1">
      <alignment horizontal="justify" vertical="center" wrapText="1"/>
    </xf>
    <xf numFmtId="166" fontId="33" fillId="37" borderId="1" xfId="0" applyNumberFormat="1" applyFont="1" applyFill="1" applyBorder="1" applyAlignment="1">
      <alignment horizontal="justify" vertical="center" wrapText="1"/>
    </xf>
    <xf numFmtId="0" fontId="33" fillId="37" borderId="1" xfId="0" applyFont="1" applyFill="1" applyBorder="1" applyAlignment="1">
      <alignment horizontal="justify" vertical="center" wrapText="1"/>
    </xf>
    <xf numFmtId="44" fontId="33" fillId="37" borderId="1" xfId="287" applyFont="1" applyFill="1" applyBorder="1" applyAlignment="1">
      <alignment horizontal="justify" vertical="center" wrapText="1"/>
    </xf>
    <xf numFmtId="166" fontId="34" fillId="36" borderId="1" xfId="4" applyNumberFormat="1" applyFont="1" applyFill="1" applyBorder="1" applyAlignment="1">
      <alignment horizontal="center" vertical="center" wrapText="1"/>
    </xf>
    <xf numFmtId="44" fontId="35" fillId="32" borderId="17" xfId="287" applyFont="1" applyFill="1" applyBorder="1" applyAlignment="1">
      <alignment horizontal="center" vertical="center" wrapText="1"/>
    </xf>
    <xf numFmtId="44" fontId="35" fillId="33" borderId="17" xfId="287" applyFont="1" applyFill="1" applyBorder="1" applyAlignment="1">
      <alignment horizontal="center" vertical="center" wrapText="1"/>
    </xf>
    <xf numFmtId="166" fontId="33" fillId="37" borderId="1" xfId="4" applyNumberFormat="1" applyFont="1" applyFill="1" applyBorder="1" applyAlignment="1">
      <alignment horizontal="center" vertical="center" wrapText="1"/>
    </xf>
    <xf numFmtId="2" fontId="34" fillId="0" borderId="1" xfId="239" applyNumberFormat="1" applyFont="1" applyBorder="1" applyAlignment="1">
      <alignment horizontal="center" vertical="center" wrapText="1"/>
    </xf>
    <xf numFmtId="1" fontId="34" fillId="0" borderId="1" xfId="0" applyNumberFormat="1" applyFont="1" applyBorder="1" applyAlignment="1" applyProtection="1">
      <alignment horizontal="center" vertical="center" wrapText="1"/>
      <protection locked="0"/>
    </xf>
    <xf numFmtId="1" fontId="34" fillId="0" borderId="1" xfId="0" applyNumberFormat="1" applyFont="1" applyBorder="1" applyAlignment="1" applyProtection="1">
      <alignment horizontal="center" vertical="center"/>
      <protection locked="0"/>
    </xf>
    <xf numFmtId="1" fontId="33" fillId="4" borderId="1" xfId="0" applyNumberFormat="1" applyFont="1" applyFill="1" applyBorder="1" applyAlignment="1" applyProtection="1">
      <alignment horizontal="justify" vertical="center" wrapText="1"/>
      <protection locked="0"/>
    </xf>
    <xf numFmtId="1" fontId="34" fillId="35" borderId="1" xfId="0" applyNumberFormat="1" applyFont="1" applyFill="1" applyBorder="1" applyAlignment="1" applyProtection="1">
      <alignment horizontal="center" vertical="center" wrapText="1"/>
      <protection locked="0"/>
    </xf>
    <xf numFmtId="1" fontId="36" fillId="0" borderId="1" xfId="0" applyNumberFormat="1" applyFont="1" applyBorder="1" applyAlignment="1" applyProtection="1">
      <alignment horizontal="center" vertical="center"/>
      <protection locked="0"/>
    </xf>
    <xf numFmtId="1" fontId="34" fillId="2" borderId="12" xfId="0" applyNumberFormat="1" applyFont="1" applyFill="1" applyBorder="1" applyAlignment="1">
      <alignment vertical="center" wrapText="1"/>
    </xf>
    <xf numFmtId="1" fontId="34" fillId="34" borderId="12" xfId="0" applyNumberFormat="1" applyFont="1" applyFill="1" applyBorder="1" applyAlignment="1">
      <alignment vertical="center" wrapText="1"/>
    </xf>
    <xf numFmtId="1" fontId="36" fillId="4" borderId="1" xfId="0" applyNumberFormat="1" applyFont="1" applyFill="1" applyBorder="1" applyAlignment="1" applyProtection="1">
      <alignment horizontal="center" vertical="center"/>
      <protection locked="0"/>
    </xf>
    <xf numFmtId="1" fontId="34" fillId="0" borderId="1" xfId="0" applyNumberFormat="1" applyFont="1" applyBorder="1" applyAlignment="1" applyProtection="1">
      <alignment horizontal="center"/>
      <protection locked="0"/>
    </xf>
    <xf numFmtId="1" fontId="34" fillId="4" borderId="1" xfId="0" applyNumberFormat="1" applyFont="1" applyFill="1" applyBorder="1" applyAlignment="1" applyProtection="1">
      <alignment horizontal="center" vertical="center"/>
      <protection locked="0"/>
    </xf>
    <xf numFmtId="2" fontId="34" fillId="34" borderId="1" xfId="0" applyNumberFormat="1" applyFont="1" applyFill="1" applyBorder="1" applyAlignment="1">
      <alignment horizontal="center" vertical="center" wrapText="1"/>
    </xf>
    <xf numFmtId="0" fontId="35" fillId="0" borderId="24" xfId="0" applyFont="1" applyBorder="1" applyAlignment="1">
      <alignment horizontal="center" vertical="center" wrapText="1"/>
    </xf>
    <xf numFmtId="0" fontId="35" fillId="0" borderId="0" xfId="0" applyFont="1" applyAlignment="1">
      <alignment horizontal="center" vertical="center" wrapText="1"/>
    </xf>
    <xf numFmtId="0" fontId="45" fillId="0" borderId="1" xfId="0" applyFont="1" applyBorder="1" applyAlignment="1">
      <alignment horizontal="center" vertical="center"/>
    </xf>
    <xf numFmtId="0" fontId="44" fillId="0" borderId="1" xfId="0" applyFont="1" applyBorder="1" applyAlignment="1">
      <alignment horizontal="center" vertical="center"/>
    </xf>
    <xf numFmtId="0" fontId="44" fillId="4" borderId="1" xfId="0" applyFont="1" applyFill="1" applyBorder="1" applyAlignment="1">
      <alignment horizontal="center" vertical="center"/>
    </xf>
    <xf numFmtId="2" fontId="35" fillId="38" borderId="1" xfId="0" applyNumberFormat="1" applyFont="1" applyFill="1" applyBorder="1" applyAlignment="1">
      <alignment horizontal="center" vertical="center" wrapText="1"/>
    </xf>
    <xf numFmtId="0" fontId="35" fillId="30" borderId="1" xfId="0" applyFont="1" applyFill="1" applyBorder="1" applyAlignment="1">
      <alignment horizontal="center" vertical="center" wrapText="1"/>
    </xf>
    <xf numFmtId="0" fontId="45" fillId="2" borderId="21" xfId="0" applyFont="1" applyFill="1" applyBorder="1" applyAlignment="1">
      <alignment horizontal="left" vertical="top" wrapText="1"/>
    </xf>
    <xf numFmtId="0" fontId="44" fillId="2" borderId="21" xfId="0" applyFont="1" applyFill="1" applyBorder="1" applyAlignment="1">
      <alignment horizontal="left" vertical="top" wrapText="1"/>
    </xf>
    <xf numFmtId="0" fontId="33" fillId="0" borderId="1" xfId="0" applyFont="1" applyBorder="1" applyAlignment="1">
      <alignment horizontal="center" vertical="center" wrapText="1"/>
    </xf>
    <xf numFmtId="2" fontId="35" fillId="30" borderId="1" xfId="0" applyNumberFormat="1" applyFont="1" applyFill="1" applyBorder="1" applyAlignment="1">
      <alignment horizontal="center" vertical="center" wrapText="1"/>
    </xf>
    <xf numFmtId="2" fontId="35" fillId="30" borderId="19" xfId="0" applyNumberFormat="1" applyFont="1" applyFill="1" applyBorder="1" applyAlignment="1">
      <alignment horizontal="center" vertical="center" wrapText="1"/>
    </xf>
    <xf numFmtId="0" fontId="49" fillId="29" borderId="12" xfId="0" applyFont="1" applyFill="1" applyBorder="1" applyAlignment="1">
      <alignment horizontal="center" vertical="center" wrapText="1"/>
    </xf>
    <xf numFmtId="2" fontId="35" fillId="32" borderId="14" xfId="0" applyNumberFormat="1" applyFont="1" applyFill="1" applyBorder="1" applyAlignment="1">
      <alignment horizontal="center" vertical="center" wrapText="1"/>
    </xf>
    <xf numFmtId="2" fontId="35" fillId="32" borderId="15" xfId="0" applyNumberFormat="1" applyFont="1" applyFill="1" applyBorder="1" applyAlignment="1">
      <alignment horizontal="center" vertical="center" wrapText="1"/>
    </xf>
    <xf numFmtId="2" fontId="35" fillId="33" borderId="14" xfId="0" applyNumberFormat="1" applyFont="1" applyFill="1" applyBorder="1" applyAlignment="1">
      <alignment horizontal="center" vertical="center" wrapText="1"/>
    </xf>
    <xf numFmtId="2" fontId="35" fillId="33" borderId="15" xfId="0" applyNumberFormat="1" applyFont="1" applyFill="1" applyBorder="1" applyAlignment="1">
      <alignment horizontal="center" vertical="center" wrapText="1"/>
    </xf>
    <xf numFmtId="0" fontId="45" fillId="2" borderId="11" xfId="0" applyFont="1" applyFill="1" applyBorder="1" applyAlignment="1">
      <alignment horizontal="left" vertical="top" wrapText="1"/>
    </xf>
    <xf numFmtId="0" fontId="44" fillId="2" borderId="12" xfId="0" applyFont="1" applyFill="1" applyBorder="1" applyAlignment="1">
      <alignment horizontal="left" vertical="top" wrapText="1"/>
    </xf>
    <xf numFmtId="0" fontId="44" fillId="2" borderId="13" xfId="0" applyFont="1" applyFill="1" applyBorder="1" applyAlignment="1">
      <alignment horizontal="left" vertical="top" wrapText="1"/>
    </xf>
    <xf numFmtId="0" fontId="44" fillId="2" borderId="12" xfId="0" quotePrefix="1" applyFont="1" applyFill="1" applyBorder="1" applyAlignment="1">
      <alignment horizontal="left" vertical="top" wrapText="1"/>
    </xf>
    <xf numFmtId="0" fontId="35" fillId="2" borderId="1" xfId="0" applyFont="1" applyFill="1" applyBorder="1" applyAlignment="1">
      <alignment horizontal="center" vertical="center" wrapText="1"/>
    </xf>
  </cellXfs>
  <cellStyles count="371">
    <cellStyle name="20% - Accent1 2 2" xfId="6" xr:uid="{00000000-0005-0000-0000-000000000000}"/>
    <cellStyle name="20% - Accent1 2 3" xfId="7" xr:uid="{00000000-0005-0000-0000-000001000000}"/>
    <cellStyle name="20% - Accent1 3 2" xfId="8" xr:uid="{00000000-0005-0000-0000-000002000000}"/>
    <cellStyle name="20% - Accent1 3 3" xfId="9" xr:uid="{00000000-0005-0000-0000-000003000000}"/>
    <cellStyle name="20% - Accent2 2 2" xfId="10" xr:uid="{00000000-0005-0000-0000-000004000000}"/>
    <cellStyle name="20% - Accent2 2 3" xfId="11" xr:uid="{00000000-0005-0000-0000-000005000000}"/>
    <cellStyle name="20% - Accent2 3 2" xfId="12" xr:uid="{00000000-0005-0000-0000-000006000000}"/>
    <cellStyle name="20% - Accent2 3 3" xfId="13" xr:uid="{00000000-0005-0000-0000-000007000000}"/>
    <cellStyle name="20% - Accent3 2 2" xfId="14" xr:uid="{00000000-0005-0000-0000-000008000000}"/>
    <cellStyle name="20% - Accent3 2 3" xfId="15" xr:uid="{00000000-0005-0000-0000-000009000000}"/>
    <cellStyle name="20% - Accent3 3 2" xfId="16" xr:uid="{00000000-0005-0000-0000-00000A000000}"/>
    <cellStyle name="20% - Accent3 3 3" xfId="17" xr:uid="{00000000-0005-0000-0000-00000B000000}"/>
    <cellStyle name="20% - Accent4 2 2" xfId="18" xr:uid="{00000000-0005-0000-0000-00000C000000}"/>
    <cellStyle name="20% - Accent4 2 3" xfId="19" xr:uid="{00000000-0005-0000-0000-00000D000000}"/>
    <cellStyle name="20% - Accent4 3 2" xfId="20" xr:uid="{00000000-0005-0000-0000-00000E000000}"/>
    <cellStyle name="20% - Accent4 3 3" xfId="21" xr:uid="{00000000-0005-0000-0000-00000F000000}"/>
    <cellStyle name="20% - Accent5 2 2" xfId="22" xr:uid="{00000000-0005-0000-0000-000010000000}"/>
    <cellStyle name="20% - Accent5 2 3" xfId="23" xr:uid="{00000000-0005-0000-0000-000011000000}"/>
    <cellStyle name="20% - Accent5 3 2" xfId="24" xr:uid="{00000000-0005-0000-0000-000012000000}"/>
    <cellStyle name="20% - Accent5 3 3" xfId="25" xr:uid="{00000000-0005-0000-0000-000013000000}"/>
    <cellStyle name="20% - Accent6 2 2" xfId="26" xr:uid="{00000000-0005-0000-0000-000014000000}"/>
    <cellStyle name="20% - Accent6 2 3" xfId="27" xr:uid="{00000000-0005-0000-0000-000015000000}"/>
    <cellStyle name="20% - Accent6 3 2" xfId="28" xr:uid="{00000000-0005-0000-0000-000016000000}"/>
    <cellStyle name="20% - Accent6 3 3" xfId="29" xr:uid="{00000000-0005-0000-0000-000017000000}"/>
    <cellStyle name="40% - Accent1 2 2" xfId="30" xr:uid="{00000000-0005-0000-0000-000018000000}"/>
    <cellStyle name="40% - Accent1 2 3" xfId="31" xr:uid="{00000000-0005-0000-0000-000019000000}"/>
    <cellStyle name="40% - Accent1 3 2" xfId="32" xr:uid="{00000000-0005-0000-0000-00001A000000}"/>
    <cellStyle name="40% - Accent1 3 3" xfId="33" xr:uid="{00000000-0005-0000-0000-00001B000000}"/>
    <cellStyle name="40% - Accent2 2 2" xfId="34" xr:uid="{00000000-0005-0000-0000-00001C000000}"/>
    <cellStyle name="40% - Accent2 2 3" xfId="35" xr:uid="{00000000-0005-0000-0000-00001D000000}"/>
    <cellStyle name="40% - Accent2 3 2" xfId="36" xr:uid="{00000000-0005-0000-0000-00001E000000}"/>
    <cellStyle name="40% - Accent2 3 3" xfId="37" xr:uid="{00000000-0005-0000-0000-00001F000000}"/>
    <cellStyle name="40% - Accent3 2 2" xfId="38" xr:uid="{00000000-0005-0000-0000-000020000000}"/>
    <cellStyle name="40% - Accent3 2 3" xfId="39" xr:uid="{00000000-0005-0000-0000-000021000000}"/>
    <cellStyle name="40% - Accent3 3 2" xfId="40" xr:uid="{00000000-0005-0000-0000-000022000000}"/>
    <cellStyle name="40% - Accent3 3 3" xfId="41" xr:uid="{00000000-0005-0000-0000-000023000000}"/>
    <cellStyle name="40% - Accent4 2 2" xfId="42" xr:uid="{00000000-0005-0000-0000-000024000000}"/>
    <cellStyle name="40% - Accent4 2 3" xfId="43" xr:uid="{00000000-0005-0000-0000-000025000000}"/>
    <cellStyle name="40% - Accent4 3 2" xfId="44" xr:uid="{00000000-0005-0000-0000-000026000000}"/>
    <cellStyle name="40% - Accent4 3 3" xfId="45" xr:uid="{00000000-0005-0000-0000-000027000000}"/>
    <cellStyle name="40% - Accent5 2 2" xfId="46" xr:uid="{00000000-0005-0000-0000-000028000000}"/>
    <cellStyle name="40% - Accent5 2 3" xfId="47" xr:uid="{00000000-0005-0000-0000-000029000000}"/>
    <cellStyle name="40% - Accent5 3 2" xfId="48" xr:uid="{00000000-0005-0000-0000-00002A000000}"/>
    <cellStyle name="40% - Accent5 3 3" xfId="49" xr:uid="{00000000-0005-0000-0000-00002B000000}"/>
    <cellStyle name="40% - Accent6 2 2" xfId="50" xr:uid="{00000000-0005-0000-0000-00002C000000}"/>
    <cellStyle name="40% - Accent6 2 3" xfId="51" xr:uid="{00000000-0005-0000-0000-00002D000000}"/>
    <cellStyle name="40% - Accent6 3 2" xfId="52" xr:uid="{00000000-0005-0000-0000-00002E000000}"/>
    <cellStyle name="40% - Accent6 3 3" xfId="53" xr:uid="{00000000-0005-0000-0000-00002F000000}"/>
    <cellStyle name="60% - Accent1 2 2" xfId="54" xr:uid="{00000000-0005-0000-0000-000030000000}"/>
    <cellStyle name="60% - Accent1 2 3" xfId="55" xr:uid="{00000000-0005-0000-0000-000031000000}"/>
    <cellStyle name="60% - Accent1 3 2" xfId="56" xr:uid="{00000000-0005-0000-0000-000032000000}"/>
    <cellStyle name="60% - Accent1 3 3" xfId="57" xr:uid="{00000000-0005-0000-0000-000033000000}"/>
    <cellStyle name="60% - Accent2 2 2" xfId="58" xr:uid="{00000000-0005-0000-0000-000034000000}"/>
    <cellStyle name="60% - Accent2 2 3" xfId="59" xr:uid="{00000000-0005-0000-0000-000035000000}"/>
    <cellStyle name="60% - Accent2 3 2" xfId="60" xr:uid="{00000000-0005-0000-0000-000036000000}"/>
    <cellStyle name="60% - Accent2 3 3" xfId="61" xr:uid="{00000000-0005-0000-0000-000037000000}"/>
    <cellStyle name="60% - Accent3 2 2" xfId="62" xr:uid="{00000000-0005-0000-0000-000038000000}"/>
    <cellStyle name="60% - Accent3 2 3" xfId="63" xr:uid="{00000000-0005-0000-0000-000039000000}"/>
    <cellStyle name="60% - Accent3 3 2" xfId="64" xr:uid="{00000000-0005-0000-0000-00003A000000}"/>
    <cellStyle name="60% - Accent3 3 3" xfId="65" xr:uid="{00000000-0005-0000-0000-00003B000000}"/>
    <cellStyle name="60% - Accent4 2 2" xfId="66" xr:uid="{00000000-0005-0000-0000-00003C000000}"/>
    <cellStyle name="60% - Accent4 2 3" xfId="67" xr:uid="{00000000-0005-0000-0000-00003D000000}"/>
    <cellStyle name="60% - Accent4 3 2" xfId="68" xr:uid="{00000000-0005-0000-0000-00003E000000}"/>
    <cellStyle name="60% - Accent4 3 3" xfId="69" xr:uid="{00000000-0005-0000-0000-00003F000000}"/>
    <cellStyle name="60% - Accent5 2 2" xfId="70" xr:uid="{00000000-0005-0000-0000-000040000000}"/>
    <cellStyle name="60% - Accent5 2 3" xfId="71" xr:uid="{00000000-0005-0000-0000-000041000000}"/>
    <cellStyle name="60% - Accent5 3 2" xfId="72" xr:uid="{00000000-0005-0000-0000-000042000000}"/>
    <cellStyle name="60% - Accent5 3 3" xfId="73" xr:uid="{00000000-0005-0000-0000-000043000000}"/>
    <cellStyle name="60% - Accent6 2 2" xfId="74" xr:uid="{00000000-0005-0000-0000-000044000000}"/>
    <cellStyle name="60% - Accent6 2 3" xfId="75" xr:uid="{00000000-0005-0000-0000-000045000000}"/>
    <cellStyle name="60% - Accent6 3 2" xfId="76" xr:uid="{00000000-0005-0000-0000-000046000000}"/>
    <cellStyle name="60% - Accent6 3 3" xfId="77" xr:uid="{00000000-0005-0000-0000-000047000000}"/>
    <cellStyle name="Accent1 2 2" xfId="78" xr:uid="{00000000-0005-0000-0000-000048000000}"/>
    <cellStyle name="Accent1 2 3" xfId="79" xr:uid="{00000000-0005-0000-0000-000049000000}"/>
    <cellStyle name="Accent1 3 2" xfId="80" xr:uid="{00000000-0005-0000-0000-00004A000000}"/>
    <cellStyle name="Accent1 3 3" xfId="81" xr:uid="{00000000-0005-0000-0000-00004B000000}"/>
    <cellStyle name="Accent2 2 2" xfId="82" xr:uid="{00000000-0005-0000-0000-00004C000000}"/>
    <cellStyle name="Accent2 2 3" xfId="83" xr:uid="{00000000-0005-0000-0000-00004D000000}"/>
    <cellStyle name="Accent2 3 2" xfId="84" xr:uid="{00000000-0005-0000-0000-00004E000000}"/>
    <cellStyle name="Accent2 3 3" xfId="85" xr:uid="{00000000-0005-0000-0000-00004F000000}"/>
    <cellStyle name="Accent3 2 2" xfId="86" xr:uid="{00000000-0005-0000-0000-000050000000}"/>
    <cellStyle name="Accent3 2 3" xfId="87" xr:uid="{00000000-0005-0000-0000-000051000000}"/>
    <cellStyle name="Accent3 3 2" xfId="88" xr:uid="{00000000-0005-0000-0000-000052000000}"/>
    <cellStyle name="Accent3 3 3" xfId="89" xr:uid="{00000000-0005-0000-0000-000053000000}"/>
    <cellStyle name="Accent4 2 2" xfId="90" xr:uid="{00000000-0005-0000-0000-000054000000}"/>
    <cellStyle name="Accent4 2 3" xfId="91" xr:uid="{00000000-0005-0000-0000-000055000000}"/>
    <cellStyle name="Accent4 3 2" xfId="92" xr:uid="{00000000-0005-0000-0000-000056000000}"/>
    <cellStyle name="Accent4 3 3" xfId="93" xr:uid="{00000000-0005-0000-0000-000057000000}"/>
    <cellStyle name="Accent5 2 2" xfId="94" xr:uid="{00000000-0005-0000-0000-000058000000}"/>
    <cellStyle name="Accent5 2 3" xfId="95" xr:uid="{00000000-0005-0000-0000-000059000000}"/>
    <cellStyle name="Accent5 3 2" xfId="96" xr:uid="{00000000-0005-0000-0000-00005A000000}"/>
    <cellStyle name="Accent5 3 3" xfId="97" xr:uid="{00000000-0005-0000-0000-00005B000000}"/>
    <cellStyle name="Accent6 2 2" xfId="98" xr:uid="{00000000-0005-0000-0000-00005C000000}"/>
    <cellStyle name="Accent6 2 3" xfId="99" xr:uid="{00000000-0005-0000-0000-00005D000000}"/>
    <cellStyle name="Accent6 3 2" xfId="100" xr:uid="{00000000-0005-0000-0000-00005E000000}"/>
    <cellStyle name="Accent6 3 3" xfId="101" xr:uid="{00000000-0005-0000-0000-00005F000000}"/>
    <cellStyle name="Bad 2 2" xfId="102" xr:uid="{00000000-0005-0000-0000-000060000000}"/>
    <cellStyle name="Bad 2 3" xfId="103" xr:uid="{00000000-0005-0000-0000-000061000000}"/>
    <cellStyle name="Bad 3 2" xfId="104" xr:uid="{00000000-0005-0000-0000-000062000000}"/>
    <cellStyle name="Bad 3 3" xfId="105" xr:uid="{00000000-0005-0000-0000-000063000000}"/>
    <cellStyle name="Calculation 2 2" xfId="106" xr:uid="{00000000-0005-0000-0000-000064000000}"/>
    <cellStyle name="Calculation 2 3" xfId="107" xr:uid="{00000000-0005-0000-0000-000065000000}"/>
    <cellStyle name="Calculation 3 2" xfId="108" xr:uid="{00000000-0005-0000-0000-000066000000}"/>
    <cellStyle name="Calculation 3 3" xfId="109" xr:uid="{00000000-0005-0000-0000-000067000000}"/>
    <cellStyle name="Check Cell 2 2" xfId="110" xr:uid="{00000000-0005-0000-0000-000068000000}"/>
    <cellStyle name="Check Cell 2 3" xfId="111" xr:uid="{00000000-0005-0000-0000-000069000000}"/>
    <cellStyle name="Check Cell 3 2" xfId="112" xr:uid="{00000000-0005-0000-0000-00006A000000}"/>
    <cellStyle name="Check Cell 3 3" xfId="113" xr:uid="{00000000-0005-0000-0000-00006B000000}"/>
    <cellStyle name="Comma" xfId="1" builtinId="3"/>
    <cellStyle name="Comma 10" xfId="243" xr:uid="{F1D2F024-83A3-4D05-A826-0265653062E8}"/>
    <cellStyle name="Comma 11" xfId="289" xr:uid="{3F3A6444-0DB0-4B33-A91A-3584C15E5486}"/>
    <cellStyle name="Comma 12" xfId="330" xr:uid="{4C44EEE7-1647-4414-80D2-EB9884642C29}"/>
    <cellStyle name="Comma 2" xfId="4" xr:uid="{00000000-0005-0000-0000-00006D000000}"/>
    <cellStyle name="Comma 2 10" xfId="331" xr:uid="{FE400DF1-F2E1-40EC-8679-24BFF68D63ED}"/>
    <cellStyle name="Comma 2 2" xfId="115" xr:uid="{00000000-0005-0000-0000-00006E000000}"/>
    <cellStyle name="Comma 2 2 2" xfId="116" xr:uid="{00000000-0005-0000-0000-00006F000000}"/>
    <cellStyle name="Comma 2 2 2 2" xfId="205" xr:uid="{00000000-0005-0000-0000-000070000000}"/>
    <cellStyle name="Comma 2 2 2 2 2" xfId="258" xr:uid="{66FDB23E-9132-49DF-934D-95EFE725E6B5}"/>
    <cellStyle name="Comma 2 2 2 2 3" xfId="303" xr:uid="{1F801C1B-7F18-4979-8108-30DC895D396D}"/>
    <cellStyle name="Comma 2 2 2 2 4" xfId="344" xr:uid="{65E4B0FB-4E8F-4D01-B2DC-D7795392BC30}"/>
    <cellStyle name="Comma 2 2 2 3" xfId="222" xr:uid="{00000000-0005-0000-0000-000071000000}"/>
    <cellStyle name="Comma 2 2 2 3 2" xfId="274" xr:uid="{2D83AB88-65F9-4C35-B3A9-36F71F7854E0}"/>
    <cellStyle name="Comma 2 2 2 3 3" xfId="317" xr:uid="{25DF4F86-CFA5-4008-82D6-210C2F8F0A64}"/>
    <cellStyle name="Comma 2 2 2 3 4" xfId="358" xr:uid="{6BD4127D-5F4D-44F2-A1FD-C27D592E44AB}"/>
    <cellStyle name="Comma 2 2 2 4" xfId="246" xr:uid="{DBCABC8C-2227-414D-ADEA-EDF84D624E30}"/>
    <cellStyle name="Comma 2 2 2 5" xfId="292" xr:uid="{C1950141-BD79-4A8E-8105-E7AD25C3CD26}"/>
    <cellStyle name="Comma 2 2 2 6" xfId="333" xr:uid="{8EF4DFA5-9A2E-4CD8-950D-C15DACE4C9F2}"/>
    <cellStyle name="Comma 2 2 3" xfId="209" xr:uid="{00000000-0005-0000-0000-000072000000}"/>
    <cellStyle name="Comma 2 2 3 2" xfId="226" xr:uid="{00000000-0005-0000-0000-000073000000}"/>
    <cellStyle name="Comma 2 2 3 2 2" xfId="278" xr:uid="{FD982C64-2279-4A97-933C-26F7E78D00E6}"/>
    <cellStyle name="Comma 2 2 3 2 3" xfId="321" xr:uid="{3197387D-3A17-46DD-8C21-1B471BBF5850}"/>
    <cellStyle name="Comma 2 2 3 2 4" xfId="362" xr:uid="{3DD4727B-76BF-4569-A1C5-A9EF612B4102}"/>
    <cellStyle name="Comma 2 2 3 3" xfId="262" xr:uid="{0CF650A9-7AFD-4953-B9AD-C561B656648F}"/>
    <cellStyle name="Comma 2 2 3 4" xfId="307" xr:uid="{E5B81935-86D8-4B3A-9A9A-5382B9C57332}"/>
    <cellStyle name="Comma 2 2 3 5" xfId="348" xr:uid="{8379B0DD-E81E-4E30-AD52-F6703A259CAE}"/>
    <cellStyle name="Comma 2 2 4" xfId="201" xr:uid="{00000000-0005-0000-0000-000074000000}"/>
    <cellStyle name="Comma 2 2 4 2" xfId="254" xr:uid="{D8688584-AE90-4BAA-B3A4-60817741888C}"/>
    <cellStyle name="Comma 2 2 4 3" xfId="299" xr:uid="{BB226C45-2448-4561-9BE9-5E00D3461D5D}"/>
    <cellStyle name="Comma 2 2 4 4" xfId="340" xr:uid="{30D62344-2F41-42A1-A4FA-FF3FA25A88FC}"/>
    <cellStyle name="Comma 2 2 5" xfId="218" xr:uid="{00000000-0005-0000-0000-000075000000}"/>
    <cellStyle name="Comma 2 2 5 2" xfId="270" xr:uid="{D08C1C93-7F5E-4480-BC48-C11EA130ED6F}"/>
    <cellStyle name="Comma 2 2 5 3" xfId="313" xr:uid="{BD8764A7-5F1C-4076-819B-A5DB1D14ECC3}"/>
    <cellStyle name="Comma 2 2 5 4" xfId="354" xr:uid="{91F8B8B1-EC92-4858-91D6-8BACB286949D}"/>
    <cellStyle name="Comma 2 2 6" xfId="245" xr:uid="{044D6E36-CC98-4C7A-A373-67599A9D31FF}"/>
    <cellStyle name="Comma 2 2 7" xfId="291" xr:uid="{845B6CD4-255C-4C99-AF53-44D053E911B8}"/>
    <cellStyle name="Comma 2 2 8" xfId="332" xr:uid="{A7952512-5E8A-4364-9FAD-DEDA9991D3D6}"/>
    <cellStyle name="Comma 2 3" xfId="117" xr:uid="{00000000-0005-0000-0000-000076000000}"/>
    <cellStyle name="Comma 2 3 2" xfId="203" xr:uid="{00000000-0005-0000-0000-000077000000}"/>
    <cellStyle name="Comma 2 3 2 2" xfId="256" xr:uid="{DF0C2EC7-718E-4DFE-A19F-F40F3790E957}"/>
    <cellStyle name="Comma 2 3 2 3" xfId="301" xr:uid="{150309B4-677F-4067-89EE-433CBC51DBF7}"/>
    <cellStyle name="Comma 2 3 2 4" xfId="342" xr:uid="{E19B7EB4-D95B-4208-BF04-E6A2EF559FDD}"/>
    <cellStyle name="Comma 2 3 3" xfId="220" xr:uid="{00000000-0005-0000-0000-000078000000}"/>
    <cellStyle name="Comma 2 3 3 2" xfId="272" xr:uid="{18CCF2BA-EE95-4055-B462-15DA5637141F}"/>
    <cellStyle name="Comma 2 3 3 3" xfId="315" xr:uid="{8BBEF130-7205-490B-B606-C890172B6D69}"/>
    <cellStyle name="Comma 2 3 3 4" xfId="356" xr:uid="{EEF46B26-2A2E-48A8-87DE-94D4E0A7917C}"/>
    <cellStyle name="Comma 2 3 4" xfId="247" xr:uid="{FDF8A8C2-A99B-437D-94EA-4A9AB0D3A827}"/>
    <cellStyle name="Comma 2 3 5" xfId="293" xr:uid="{59E57DE6-2D41-46D0-91B2-EA921C793B06}"/>
    <cellStyle name="Comma 2 3 6" xfId="334" xr:uid="{36BCFFCD-423C-4978-9DD2-60F3A0B82CE1}"/>
    <cellStyle name="Comma 2 4" xfId="118" xr:uid="{00000000-0005-0000-0000-000079000000}"/>
    <cellStyle name="Comma 2 4 2" xfId="207" xr:uid="{00000000-0005-0000-0000-00007A000000}"/>
    <cellStyle name="Comma 2 4 2 2" xfId="260" xr:uid="{999118ED-264B-4DEE-A4C6-0FE3F02B1F2C}"/>
    <cellStyle name="Comma 2 4 2 3" xfId="305" xr:uid="{A3FDF5B0-0965-4C19-99AD-98F5B52FC571}"/>
    <cellStyle name="Comma 2 4 2 4" xfId="346" xr:uid="{DEC10252-1911-44FC-BB74-9EE75DC4620B}"/>
    <cellStyle name="Comma 2 4 3" xfId="224" xr:uid="{00000000-0005-0000-0000-00007B000000}"/>
    <cellStyle name="Comma 2 4 3 2" xfId="276" xr:uid="{E97B32F6-B78B-4957-945A-A5C1650D4D4D}"/>
    <cellStyle name="Comma 2 4 3 3" xfId="319" xr:uid="{58D25BB9-5EDA-4E55-A67A-5917CE05EA8C}"/>
    <cellStyle name="Comma 2 4 3 4" xfId="360" xr:uid="{204154DF-B4C4-42F8-A22D-70C3601A109F}"/>
    <cellStyle name="Comma 2 4 4" xfId="248" xr:uid="{1F51CF68-59A1-4737-AB75-0921A04EB4CF}"/>
    <cellStyle name="Comma 2 4 5" xfId="294" xr:uid="{AE290CE5-F8D7-4962-AA24-6CADD96F0E64}"/>
    <cellStyle name="Comma 2 4 6" xfId="335" xr:uid="{583ECF55-C6BF-4BD9-8696-71BADBA147A2}"/>
    <cellStyle name="Comma 2 5" xfId="198" xr:uid="{00000000-0005-0000-0000-00007C000000}"/>
    <cellStyle name="Comma 2 5 2" xfId="252" xr:uid="{1A9E0A6B-C102-491D-8A9C-4586E2E44705}"/>
    <cellStyle name="Comma 2 5 3" xfId="297" xr:uid="{72BF5926-62C4-462E-A724-3F0B2BCC8715}"/>
    <cellStyle name="Comma 2 5 4" xfId="338" xr:uid="{2117145F-AB7C-42AE-9657-81B65070F616}"/>
    <cellStyle name="Comma 2 6" xfId="216" xr:uid="{00000000-0005-0000-0000-00007D000000}"/>
    <cellStyle name="Comma 2 6 2" xfId="268" xr:uid="{015EC8C8-A96C-4475-9CEF-535199AEE837}"/>
    <cellStyle name="Comma 2 6 3" xfId="311" xr:uid="{0663E9D2-1524-4202-AD05-C419A7831278}"/>
    <cellStyle name="Comma 2 6 4" xfId="352" xr:uid="{510274EA-B588-4935-A06A-E271E8EB5693}"/>
    <cellStyle name="Comma 2 7" xfId="236" xr:uid="{00000000-0005-0000-0000-00007E000000}"/>
    <cellStyle name="Comma 2 7 2" xfId="284" xr:uid="{2B2EAFE5-BA19-45D0-8659-7D83A96D8D37}"/>
    <cellStyle name="Comma 2 7 3" xfId="327" xr:uid="{E8D1E202-B98B-4F8F-AED8-8791F06901BF}"/>
    <cellStyle name="Comma 2 7 4" xfId="368" xr:uid="{C3A8FC43-194E-4884-945B-C45AFABE94F0}"/>
    <cellStyle name="Comma 2 8" xfId="244" xr:uid="{7587A2AF-E214-485A-8FB2-A0B71CB89A8A}"/>
    <cellStyle name="Comma 2 9" xfId="290" xr:uid="{064F5899-7FC5-49D8-9DED-9ACC973F8DC0}"/>
    <cellStyle name="Comma 3" xfId="119" xr:uid="{00000000-0005-0000-0000-00007F000000}"/>
    <cellStyle name="Comma 3 2" xfId="204" xr:uid="{00000000-0005-0000-0000-000080000000}"/>
    <cellStyle name="Comma 3 2 2" xfId="221" xr:uid="{00000000-0005-0000-0000-000081000000}"/>
    <cellStyle name="Comma 3 2 2 2" xfId="273" xr:uid="{183C93F4-9B57-40EC-B462-FB4EF09810C9}"/>
    <cellStyle name="Comma 3 2 2 3" xfId="316" xr:uid="{94F0FE3C-F7DB-4BE3-B266-223352A7304F}"/>
    <cellStyle name="Comma 3 2 2 4" xfId="357" xr:uid="{874A093A-1A1F-4A92-9D6D-762907C50B74}"/>
    <cellStyle name="Comma 3 2 3" xfId="257" xr:uid="{6E2AEE2C-D73B-4BDA-A244-93CEE42B1720}"/>
    <cellStyle name="Comma 3 2 4" xfId="302" xr:uid="{38E03C12-8EA1-4A0C-8824-A332364EEDD5}"/>
    <cellStyle name="Comma 3 2 5" xfId="343" xr:uid="{4507F364-6D3A-4342-8B61-52545F27913E}"/>
    <cellStyle name="Comma 3 3" xfId="208" xr:uid="{00000000-0005-0000-0000-000082000000}"/>
    <cellStyle name="Comma 3 3 2" xfId="225" xr:uid="{00000000-0005-0000-0000-000083000000}"/>
    <cellStyle name="Comma 3 3 2 2" xfId="277" xr:uid="{0799344E-F3FA-430A-9DC5-4CA1680B2C8F}"/>
    <cellStyle name="Comma 3 3 2 3" xfId="320" xr:uid="{91A18057-AB30-4194-AEB7-4D28D41CBD9B}"/>
    <cellStyle name="Comma 3 3 2 4" xfId="361" xr:uid="{61788A0E-D49C-41C2-9B64-CFC86E879CD7}"/>
    <cellStyle name="Comma 3 3 3" xfId="261" xr:uid="{E39D5C02-C6D0-46B5-A80F-4F8B33B6E5F0}"/>
    <cellStyle name="Comma 3 3 4" xfId="306" xr:uid="{FD500A79-FFF0-4A9B-ADCC-1321BADE047C}"/>
    <cellStyle name="Comma 3 3 5" xfId="347" xr:uid="{536D4F56-4D64-48ED-AFB3-9132A95859B1}"/>
    <cellStyle name="Comma 3 4" xfId="200" xr:uid="{00000000-0005-0000-0000-000084000000}"/>
    <cellStyle name="Comma 3 4 2" xfId="253" xr:uid="{578DBDD3-5166-4C2E-9B83-7FDBD29E3313}"/>
    <cellStyle name="Comma 3 4 3" xfId="298" xr:uid="{13A73193-11D1-46C0-9A13-DD9DEFB75533}"/>
    <cellStyle name="Comma 3 4 4" xfId="339" xr:uid="{53B1431C-A58C-4B06-8299-F5C187DE23C8}"/>
    <cellStyle name="Comma 3 5" xfId="217" xr:uid="{00000000-0005-0000-0000-000085000000}"/>
    <cellStyle name="Comma 3 5 2" xfId="269" xr:uid="{CCDF532B-0E98-4059-86E3-E5E22A0AC3C8}"/>
    <cellStyle name="Comma 3 5 3" xfId="312" xr:uid="{AABCB776-F5ED-4FD6-AF15-F70355A85055}"/>
    <cellStyle name="Comma 3 5 4" xfId="353" xr:uid="{8AED74B2-E57A-4298-9EE3-8180BDAB4EC0}"/>
    <cellStyle name="Comma 3 6" xfId="238" xr:uid="{00000000-0005-0000-0000-000086000000}"/>
    <cellStyle name="Comma 3 6 2" xfId="285" xr:uid="{F9A9D881-4899-4897-A5BC-A876BFF38DBD}"/>
    <cellStyle name="Comma 3 6 3" xfId="328" xr:uid="{51317A26-6EE8-48EC-84EE-509E67E41180}"/>
    <cellStyle name="Comma 3 6 4" xfId="369" xr:uid="{B6D2281A-6E96-4691-9FDE-6194F5ED63E1}"/>
    <cellStyle name="Comma 4" xfId="114" xr:uid="{00000000-0005-0000-0000-000087000000}"/>
    <cellStyle name="Comma 4 2" xfId="202" xr:uid="{00000000-0005-0000-0000-000088000000}"/>
    <cellStyle name="Comma 4 2 2" xfId="255" xr:uid="{5D60F577-E3BE-436A-B0C4-6405F56B2866}"/>
    <cellStyle name="Comma 4 2 3" xfId="300" xr:uid="{F4E68827-FE45-4B0E-864E-22A531AFCCAA}"/>
    <cellStyle name="Comma 4 2 4" xfId="341" xr:uid="{747CCA75-EEFB-459F-8B10-FB28CE0028E7}"/>
    <cellStyle name="Comma 4 3" xfId="219" xr:uid="{00000000-0005-0000-0000-000089000000}"/>
    <cellStyle name="Comma 4 3 2" xfId="271" xr:uid="{53E533F2-1EEA-4DD3-8D26-F17BA6AA8900}"/>
    <cellStyle name="Comma 4 3 3" xfId="314" xr:uid="{34F98840-9A5C-42AD-84E7-532701280501}"/>
    <cellStyle name="Comma 4 3 4" xfId="355" xr:uid="{9671745B-BCB1-4996-B6D5-F76969E614C5}"/>
    <cellStyle name="Comma 4 4" xfId="232" xr:uid="{00000000-0005-0000-0000-00008A000000}"/>
    <cellStyle name="Comma 4 4 2" xfId="282" xr:uid="{75A9294C-2E68-4423-993D-72FD93418D91}"/>
    <cellStyle name="Comma 4 4 3" xfId="325" xr:uid="{0C101205-A21D-41D6-93CC-B7D50ADD4B2F}"/>
    <cellStyle name="Comma 4 4 4" xfId="366" xr:uid="{1605F372-9049-47C4-B510-4C111B93E121}"/>
    <cellStyle name="Comma 5" xfId="206" xr:uid="{00000000-0005-0000-0000-00008B000000}"/>
    <cellStyle name="Comma 5 2" xfId="223" xr:uid="{00000000-0005-0000-0000-00008C000000}"/>
    <cellStyle name="Comma 5 2 2" xfId="275" xr:uid="{2A5FDA80-FDA0-4655-B9DF-3DCBB708EC04}"/>
    <cellStyle name="Comma 5 2 3" xfId="318" xr:uid="{14337316-84A7-4CD5-81CF-DF86569C43B2}"/>
    <cellStyle name="Comma 5 2 4" xfId="359" xr:uid="{C24AE4B1-0B6E-4B91-98A2-9DBFDD71BE5B}"/>
    <cellStyle name="Comma 5 3" xfId="240" xr:uid="{00000000-0005-0000-0000-00008D000000}"/>
    <cellStyle name="Comma 5 3 2" xfId="286" xr:uid="{880819F7-FCF8-4654-8C38-EB77044B5237}"/>
    <cellStyle name="Comma 5 3 3" xfId="329" xr:uid="{4DA9364E-61A8-40E1-B235-E1424B34C29D}"/>
    <cellStyle name="Comma 5 3 4" xfId="370" xr:uid="{9CA0ADC5-41B1-469E-ADFF-2450CF40B3BC}"/>
    <cellStyle name="Comma 5 4" xfId="259" xr:uid="{C4043709-247F-47CF-9CF8-48DBA7316B77}"/>
    <cellStyle name="Comma 5 5" xfId="304" xr:uid="{99092CDB-7448-4252-A4BC-2FF03E045B79}"/>
    <cellStyle name="Comma 5 6" xfId="345" xr:uid="{C7F1DECF-8241-4460-85EF-939FF753754E}"/>
    <cellStyle name="Comma 6" xfId="210" xr:uid="{00000000-0005-0000-0000-00008E000000}"/>
    <cellStyle name="Comma 6 2" xfId="227" xr:uid="{00000000-0005-0000-0000-00008F000000}"/>
    <cellStyle name="Comma 6 2 2" xfId="279" xr:uid="{E783FD2B-5B2C-4B41-9B06-92599D3E2399}"/>
    <cellStyle name="Comma 6 2 3" xfId="322" xr:uid="{DE778BBB-01BC-4C8F-A539-4659C2408AE5}"/>
    <cellStyle name="Comma 6 2 4" xfId="363" xr:uid="{6E90527C-3055-4C40-A4A4-506BFEA2D1EE}"/>
    <cellStyle name="Comma 6 3" xfId="263" xr:uid="{1D36B114-5B39-4403-A6F2-B2BE10A75E32}"/>
    <cellStyle name="Comma 6 4" xfId="308" xr:uid="{A0046D66-8BAE-4235-9F28-35468EDB843C}"/>
    <cellStyle name="Comma 6 5" xfId="349" xr:uid="{5869A658-CACE-474E-9FBF-9E1EF4C8B05C}"/>
    <cellStyle name="Comma 7" xfId="197" xr:uid="{00000000-0005-0000-0000-000090000000}"/>
    <cellStyle name="Comma 7 2" xfId="215" xr:uid="{00000000-0005-0000-0000-000091000000}"/>
    <cellStyle name="Comma 7 2 2" xfId="267" xr:uid="{CD6519D5-6F74-478B-BF94-4084981FD0D1}"/>
    <cellStyle name="Comma 7 2 3" xfId="310" xr:uid="{E5F1DB67-9918-41AE-9652-2446E9ECA570}"/>
    <cellStyle name="Comma 7 2 4" xfId="351" xr:uid="{FABDB32B-8145-4F62-8C3A-10BC54F89EFE}"/>
    <cellStyle name="Comma 7 3" xfId="251" xr:uid="{439429BE-3628-451E-867E-FAC84766B27C}"/>
    <cellStyle name="Comma 7 4" xfId="296" xr:uid="{609FEAAB-4E9E-475F-9C06-36052660810F}"/>
    <cellStyle name="Comma 7 5" xfId="337" xr:uid="{4FF234BB-CC82-473C-8F02-A32EB65FF3C2}"/>
    <cellStyle name="Comma 8" xfId="195" xr:uid="{00000000-0005-0000-0000-000092000000}"/>
    <cellStyle name="Comma 8 2" xfId="250" xr:uid="{35D83E9F-B370-473F-9132-7EF3A8E6BA2B}"/>
    <cellStyle name="Comma 8 3" xfId="295" xr:uid="{CB0F011E-43BB-47DC-A676-ABE907934E7D}"/>
    <cellStyle name="Comma 8 4" xfId="336" xr:uid="{2CCA8F16-53A8-4190-9181-2DFBCA5632B4}"/>
    <cellStyle name="Comma 9" xfId="214" xr:uid="{00000000-0005-0000-0000-000093000000}"/>
    <cellStyle name="Comma 9 2" xfId="266" xr:uid="{5177BBA1-1921-4E71-B109-12985A11597B}"/>
    <cellStyle name="Comma 9 3" xfId="309" xr:uid="{CA7502A8-4DC4-461F-9791-C4E895BDF5EC}"/>
    <cellStyle name="Comma 9 4" xfId="350" xr:uid="{980FC112-2924-4572-9CE2-6A8354B96877}"/>
    <cellStyle name="Currency" xfId="287" builtinId="4"/>
    <cellStyle name="Explanatory Text 2 2" xfId="120" xr:uid="{00000000-0005-0000-0000-000094000000}"/>
    <cellStyle name="Explanatory Text 2 3" xfId="121" xr:uid="{00000000-0005-0000-0000-000095000000}"/>
    <cellStyle name="Explanatory Text 3 2" xfId="122" xr:uid="{00000000-0005-0000-0000-000096000000}"/>
    <cellStyle name="Explanatory Text 3 3" xfId="123" xr:uid="{00000000-0005-0000-0000-000097000000}"/>
    <cellStyle name="Good 2 2" xfId="124" xr:uid="{00000000-0005-0000-0000-000098000000}"/>
    <cellStyle name="Good 2 3" xfId="125" xr:uid="{00000000-0005-0000-0000-000099000000}"/>
    <cellStyle name="Good 3 2" xfId="126" xr:uid="{00000000-0005-0000-0000-00009A000000}"/>
    <cellStyle name="Good 3 3" xfId="127" xr:uid="{00000000-0005-0000-0000-00009B000000}"/>
    <cellStyle name="Heading 1 2 2" xfId="128" xr:uid="{00000000-0005-0000-0000-00009C000000}"/>
    <cellStyle name="Heading 1 2 3" xfId="129" xr:uid="{00000000-0005-0000-0000-00009D000000}"/>
    <cellStyle name="Heading 1 3 2" xfId="130" xr:uid="{00000000-0005-0000-0000-00009E000000}"/>
    <cellStyle name="Heading 1 3 3" xfId="131" xr:uid="{00000000-0005-0000-0000-00009F000000}"/>
    <cellStyle name="Heading 2 2 2" xfId="132" xr:uid="{00000000-0005-0000-0000-0000A0000000}"/>
    <cellStyle name="Heading 2 2 3" xfId="133" xr:uid="{00000000-0005-0000-0000-0000A1000000}"/>
    <cellStyle name="Heading 2 3 2" xfId="134" xr:uid="{00000000-0005-0000-0000-0000A2000000}"/>
    <cellStyle name="Heading 2 3 3" xfId="135" xr:uid="{00000000-0005-0000-0000-0000A3000000}"/>
    <cellStyle name="Heading 3 2 2" xfId="136" xr:uid="{00000000-0005-0000-0000-0000A4000000}"/>
    <cellStyle name="Heading 3 2 3" xfId="137" xr:uid="{00000000-0005-0000-0000-0000A5000000}"/>
    <cellStyle name="Heading 3 3 2" xfId="138" xr:uid="{00000000-0005-0000-0000-0000A6000000}"/>
    <cellStyle name="Heading 3 3 3" xfId="139" xr:uid="{00000000-0005-0000-0000-0000A7000000}"/>
    <cellStyle name="Heading 4 2 2" xfId="140" xr:uid="{00000000-0005-0000-0000-0000A8000000}"/>
    <cellStyle name="Heading 4 2 3" xfId="141" xr:uid="{00000000-0005-0000-0000-0000A9000000}"/>
    <cellStyle name="Heading 4 3 2" xfId="142" xr:uid="{00000000-0005-0000-0000-0000AA000000}"/>
    <cellStyle name="Heading 4 3 3" xfId="143" xr:uid="{00000000-0005-0000-0000-0000AB000000}"/>
    <cellStyle name="Input 2 2" xfId="144" xr:uid="{00000000-0005-0000-0000-0000AC000000}"/>
    <cellStyle name="Input 2 3" xfId="145" xr:uid="{00000000-0005-0000-0000-0000AD000000}"/>
    <cellStyle name="Input 3 2" xfId="146" xr:uid="{00000000-0005-0000-0000-0000AE000000}"/>
    <cellStyle name="Input 3 3" xfId="147" xr:uid="{00000000-0005-0000-0000-0000AF000000}"/>
    <cellStyle name="Linked Cell 2 2" xfId="148" xr:uid="{00000000-0005-0000-0000-0000B0000000}"/>
    <cellStyle name="Linked Cell 2 3" xfId="149" xr:uid="{00000000-0005-0000-0000-0000B1000000}"/>
    <cellStyle name="Linked Cell 3 2" xfId="150" xr:uid="{00000000-0005-0000-0000-0000B2000000}"/>
    <cellStyle name="Linked Cell 3 3" xfId="151" xr:uid="{00000000-0005-0000-0000-0000B3000000}"/>
    <cellStyle name="Neutral 2 2" xfId="152" xr:uid="{00000000-0005-0000-0000-0000B4000000}"/>
    <cellStyle name="Neutral 2 3" xfId="153" xr:uid="{00000000-0005-0000-0000-0000B5000000}"/>
    <cellStyle name="Neutral 3 2" xfId="154" xr:uid="{00000000-0005-0000-0000-0000B6000000}"/>
    <cellStyle name="Neutral 3 3" xfId="155" xr:uid="{00000000-0005-0000-0000-0000B7000000}"/>
    <cellStyle name="Normal" xfId="0" builtinId="0"/>
    <cellStyle name="Normal 10" xfId="239" xr:uid="{00000000-0005-0000-0000-0000B9000000}"/>
    <cellStyle name="Normal 11" xfId="242" xr:uid="{6EB89EDE-6E47-47A9-B56B-F9F2504A4065}"/>
    <cellStyle name="Normal 2" xfId="3" xr:uid="{00000000-0005-0000-0000-0000BA000000}"/>
    <cellStyle name="Normal 2 10 2" xfId="234" xr:uid="{00000000-0005-0000-0000-0000BB000000}"/>
    <cellStyle name="Normal 2 10 2 2" xfId="213" xr:uid="{00000000-0005-0000-0000-0000BC000000}"/>
    <cellStyle name="Normal 2 2" xfId="157" xr:uid="{00000000-0005-0000-0000-0000BD000000}"/>
    <cellStyle name="Normal 2 2 2" xfId="158" xr:uid="{00000000-0005-0000-0000-0000BE000000}"/>
    <cellStyle name="Normal 2 2 2 2" xfId="5" xr:uid="{00000000-0005-0000-0000-0000BF000000}"/>
    <cellStyle name="Normal 2 2 2 2 2" xfId="196" xr:uid="{00000000-0005-0000-0000-0000C0000000}"/>
    <cellStyle name="Normal 2 2 3" xfId="2" xr:uid="{00000000-0005-0000-0000-0000C1000000}"/>
    <cellStyle name="Normal 2 3" xfId="159" xr:uid="{00000000-0005-0000-0000-0000C2000000}"/>
    <cellStyle name="Normal 2 3 5" xfId="235" xr:uid="{00000000-0005-0000-0000-0000C3000000}"/>
    <cellStyle name="Normal 2 3 5 2" xfId="283" xr:uid="{D48C2C77-5D45-4110-8127-D31835C9D483}"/>
    <cellStyle name="Normal 2 3 5 3" xfId="326" xr:uid="{B5A70019-206F-49D5-B729-CCFD5B3294B1}"/>
    <cellStyle name="Normal 2 3 5 4" xfId="367" xr:uid="{20F91295-01DC-4449-B913-1C0F6A5B60A2}"/>
    <cellStyle name="Normal 2 4" xfId="156" xr:uid="{00000000-0005-0000-0000-0000C4000000}"/>
    <cellStyle name="Normal 2 4 2" xfId="249" xr:uid="{142674D0-7B91-4141-A1AD-9E6B88BB4488}"/>
    <cellStyle name="Normal 2 5" xfId="211" xr:uid="{00000000-0005-0000-0000-0000C5000000}"/>
    <cellStyle name="Normal 2 5 2" xfId="264" xr:uid="{4772C957-8E6A-46CD-A3B7-D38AAADB22E1}"/>
    <cellStyle name="Normal 2 6" xfId="229" xr:uid="{00000000-0005-0000-0000-0000C6000000}"/>
    <cellStyle name="Normal 2 77 2" xfId="230" xr:uid="{00000000-0005-0000-0000-0000C7000000}"/>
    <cellStyle name="Normal 3" xfId="160" xr:uid="{00000000-0005-0000-0000-0000C8000000}"/>
    <cellStyle name="Normal 3 2" xfId="161" xr:uid="{00000000-0005-0000-0000-0000C9000000}"/>
    <cellStyle name="Normal 3 3" xfId="199" xr:uid="{00000000-0005-0000-0000-0000CA000000}"/>
    <cellStyle name="Normal 3 4" xfId="231" xr:uid="{00000000-0005-0000-0000-0000CB000000}"/>
    <cellStyle name="Normal 3 4 2" xfId="281" xr:uid="{8008D5F6-67C7-4172-9475-4A4EE14F26C4}"/>
    <cellStyle name="Normal 3 4 3" xfId="324" xr:uid="{BB2207CD-9DFF-411D-B43E-CF23C163F4CB}"/>
    <cellStyle name="Normal 3 4 4" xfId="365" xr:uid="{399EEE78-B6E7-4709-B3B0-A719DC64AB07}"/>
    <cellStyle name="Normal 4" xfId="162" xr:uid="{00000000-0005-0000-0000-0000CC000000}"/>
    <cellStyle name="Normal 4 2" xfId="233" xr:uid="{00000000-0005-0000-0000-0000CD000000}"/>
    <cellStyle name="Normal 5" xfId="163" xr:uid="{00000000-0005-0000-0000-0000CE000000}"/>
    <cellStyle name="Normal 5 2" xfId="164" xr:uid="{00000000-0005-0000-0000-0000CF000000}"/>
    <cellStyle name="Normal 5 2 2" xfId="165" xr:uid="{00000000-0005-0000-0000-0000D0000000}"/>
    <cellStyle name="Normal 5 2 3" xfId="166" xr:uid="{00000000-0005-0000-0000-0000D1000000}"/>
    <cellStyle name="Normal 5 3" xfId="167" xr:uid="{00000000-0005-0000-0000-0000D2000000}"/>
    <cellStyle name="Normal 5 4" xfId="212" xr:uid="{00000000-0005-0000-0000-0000D3000000}"/>
    <cellStyle name="Normal 5 4 2" xfId="265" xr:uid="{08C9CBB6-5DCA-4126-A724-FA87EC1071FD}"/>
    <cellStyle name="Normal 6" xfId="168" xr:uid="{00000000-0005-0000-0000-0000D4000000}"/>
    <cellStyle name="Normal 6 2" xfId="169" xr:uid="{00000000-0005-0000-0000-0000D5000000}"/>
    <cellStyle name="Normal 7" xfId="170" xr:uid="{00000000-0005-0000-0000-0000D6000000}"/>
    <cellStyle name="Normal 8" xfId="171" xr:uid="{00000000-0005-0000-0000-0000D7000000}"/>
    <cellStyle name="Normal 8 2" xfId="241" xr:uid="{00000000-0005-0000-0000-0000D8000000}"/>
    <cellStyle name="Normal 9" xfId="228" xr:uid="{00000000-0005-0000-0000-0000D9000000}"/>
    <cellStyle name="Normal 9 2" xfId="280" xr:uid="{16A87E15-0BE8-471E-8906-612CCC0C41EA}"/>
    <cellStyle name="Normal 9 3" xfId="323" xr:uid="{E6C834B3-F66E-48DC-A4DF-1AD403AC3621}"/>
    <cellStyle name="Normal 9 4" xfId="364" xr:uid="{1E6CD05E-170C-42B0-9155-9D96287A49AA}"/>
    <cellStyle name="Note 2 2" xfId="172" xr:uid="{00000000-0005-0000-0000-0000DA000000}"/>
    <cellStyle name="Note 2 3" xfId="173" xr:uid="{00000000-0005-0000-0000-0000DB000000}"/>
    <cellStyle name="Note 3 2" xfId="174" xr:uid="{00000000-0005-0000-0000-0000DC000000}"/>
    <cellStyle name="Note 3 3" xfId="175" xr:uid="{00000000-0005-0000-0000-0000DD000000}"/>
    <cellStyle name="Note 4" xfId="176" xr:uid="{00000000-0005-0000-0000-0000DE000000}"/>
    <cellStyle name="Output 2 2" xfId="177" xr:uid="{00000000-0005-0000-0000-0000DF000000}"/>
    <cellStyle name="Output 2 3" xfId="178" xr:uid="{00000000-0005-0000-0000-0000E0000000}"/>
    <cellStyle name="Output 3 2" xfId="179" xr:uid="{00000000-0005-0000-0000-0000E1000000}"/>
    <cellStyle name="Output 3 3" xfId="180" xr:uid="{00000000-0005-0000-0000-0000E2000000}"/>
    <cellStyle name="Percent" xfId="288" builtinId="5"/>
    <cellStyle name="Percent 2" xfId="181" xr:uid="{00000000-0005-0000-0000-0000E3000000}"/>
    <cellStyle name="Percent 2 2" xfId="237" xr:uid="{00000000-0005-0000-0000-0000E4000000}"/>
    <cellStyle name="Percent 3" xfId="182" xr:uid="{00000000-0005-0000-0000-0000E5000000}"/>
    <cellStyle name="Title 2 2" xfId="183" xr:uid="{00000000-0005-0000-0000-0000E6000000}"/>
    <cellStyle name="Title 2 3" xfId="184" xr:uid="{00000000-0005-0000-0000-0000E7000000}"/>
    <cellStyle name="Title 3 2" xfId="185" xr:uid="{00000000-0005-0000-0000-0000E8000000}"/>
    <cellStyle name="Title 3 3" xfId="186" xr:uid="{00000000-0005-0000-0000-0000E9000000}"/>
    <cellStyle name="Total 2 2" xfId="187" xr:uid="{00000000-0005-0000-0000-0000EA000000}"/>
    <cellStyle name="Total 2 3" xfId="188" xr:uid="{00000000-0005-0000-0000-0000EB000000}"/>
    <cellStyle name="Total 3 2" xfId="189" xr:uid="{00000000-0005-0000-0000-0000EC000000}"/>
    <cellStyle name="Total 3 3" xfId="190" xr:uid="{00000000-0005-0000-0000-0000ED000000}"/>
    <cellStyle name="Warning Text 2 2" xfId="191" xr:uid="{00000000-0005-0000-0000-0000EE000000}"/>
    <cellStyle name="Warning Text 2 3" xfId="192" xr:uid="{00000000-0005-0000-0000-0000EF000000}"/>
    <cellStyle name="Warning Text 3 2" xfId="193" xr:uid="{00000000-0005-0000-0000-0000F0000000}"/>
    <cellStyle name="Warning Text 3 3" xfId="194" xr:uid="{00000000-0005-0000-0000-0000F1000000}"/>
  </cellStyles>
  <dxfs count="1265">
    <dxf>
      <numFmt numFmtId="171" formatCode="0\ &quot;L4&quot;"/>
      <fill>
        <patternFill>
          <bgColor rgb="FFFFCCFF"/>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68" formatCode="0\ &quot;H2&quot;"/>
      <fill>
        <patternFill>
          <bgColor rgb="FFEAEAEA"/>
        </patternFill>
      </fill>
    </dxf>
    <dxf>
      <numFmt numFmtId="170" formatCode="0\ &quot;L5&quot;"/>
      <fill>
        <patternFill>
          <bgColor rgb="FFE3DDB3"/>
        </patternFill>
      </fill>
    </dxf>
    <dxf>
      <numFmt numFmtId="174" formatCode="0\ &quot;L1&quot;"/>
      <fill>
        <patternFill>
          <bgColor rgb="FFBDF9C0"/>
        </patternFill>
      </fill>
    </dxf>
    <dxf>
      <numFmt numFmtId="172" formatCode="0\ &quot;L3&quot;"/>
      <fill>
        <patternFill>
          <bgColor rgb="FFADE7ED"/>
        </patternFill>
      </fill>
    </dxf>
    <dxf>
      <numFmt numFmtId="173" formatCode="0\ &quot;L2&quot;"/>
      <fill>
        <patternFill>
          <bgColor rgb="FFFAF890"/>
        </patternFill>
      </fill>
    </dxf>
    <dxf>
      <numFmt numFmtId="171" formatCode="0\ &quot;L4&quot;"/>
      <fill>
        <patternFill>
          <bgColor rgb="FFFFCCFF"/>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68" formatCode="0\ &quot;H2&quot;"/>
      <fill>
        <patternFill>
          <bgColor rgb="FFEAEAEA"/>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3" formatCode="0\ &quot;L2&quot;"/>
      <fill>
        <patternFill>
          <bgColor rgb="FFFAF890"/>
        </patternFill>
      </fill>
    </dxf>
    <dxf>
      <numFmt numFmtId="174" formatCode="0\ &quot;L1&quot;"/>
      <fill>
        <patternFill>
          <bgColor rgb="FFBDF9C0"/>
        </patternFill>
      </fill>
    </dxf>
    <dxf>
      <numFmt numFmtId="170" formatCode="0\ &quot;L5&quot;"/>
      <fill>
        <patternFill>
          <bgColor rgb="FFE3DDB3"/>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67" formatCode="0\ &quot;H3&quot;"/>
      <fill>
        <patternFill>
          <bgColor theme="9" tint="0.79998168889431442"/>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74" formatCode="0\ &quot;L1&quot;"/>
      <fill>
        <patternFill>
          <bgColor rgb="FFBDF9C0"/>
        </patternFill>
      </fill>
    </dxf>
    <dxf>
      <numFmt numFmtId="171" formatCode="0\ &quot;L4&quot;"/>
      <fill>
        <patternFill>
          <bgColor rgb="FFFFCCFF"/>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0" formatCode="0\ &quot;L5&quot;"/>
      <fill>
        <patternFill>
          <bgColor rgb="FFE3DDB3"/>
        </patternFill>
      </fill>
    </dxf>
    <dxf>
      <numFmt numFmtId="173" formatCode="0\ &quot;L2&quot;"/>
      <fill>
        <patternFill>
          <bgColor rgb="FFFAF890"/>
        </patternFill>
      </fill>
    </dxf>
    <dxf>
      <numFmt numFmtId="174" formatCode="0\ &quot;L1&quot;"/>
      <fill>
        <patternFill>
          <bgColor rgb="FFBDF9C0"/>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7" formatCode="0\ &quot;H3&quot;"/>
      <fill>
        <patternFill>
          <bgColor theme="9" tint="0.79998168889431442"/>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69" formatCode="0\ &quot;H1&quot;"/>
      <fill>
        <patternFill>
          <bgColor rgb="FFFCA99E"/>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69" formatCode="0\ &quot;H1&quot;"/>
      <fill>
        <patternFill>
          <bgColor rgb="FFFCA99E"/>
        </patternFill>
      </fill>
    </dxf>
    <dxf>
      <numFmt numFmtId="170" formatCode="0\ &quot;L5&quot;"/>
      <fill>
        <patternFill>
          <bgColor rgb="FFE3DDB3"/>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1" formatCode="0\ &quot;L4&quot;"/>
      <fill>
        <patternFill>
          <bgColor rgb="FFFFCCFF"/>
        </patternFill>
      </fill>
    </dxf>
    <dxf>
      <numFmt numFmtId="167" formatCode="0\ &quot;H3&quot;"/>
      <fill>
        <patternFill>
          <bgColor theme="9" tint="0.79998168889431442"/>
        </patternFill>
      </fill>
    </dxf>
    <dxf>
      <numFmt numFmtId="168" formatCode="0\ &quot;H2&quot;"/>
      <fill>
        <patternFill>
          <bgColor rgb="FFEAEAEA"/>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71" formatCode="0\ &quot;L4&quot;"/>
      <fill>
        <patternFill>
          <bgColor rgb="FFFFCCFF"/>
        </patternFill>
      </fill>
    </dxf>
    <dxf>
      <numFmt numFmtId="167" formatCode="0\ &quot;H3&quot;"/>
      <fill>
        <patternFill>
          <bgColor theme="9" tint="0.79998168889431442"/>
        </patternFill>
      </fill>
    </dxf>
    <dxf>
      <numFmt numFmtId="168" formatCode="0\ &quot;H2&quot;"/>
      <fill>
        <patternFill>
          <bgColor rgb="FFEAEAEA"/>
        </patternFill>
      </fill>
    </dxf>
    <dxf>
      <numFmt numFmtId="172" formatCode="0\ &quot;L3&quot;"/>
      <fill>
        <patternFill>
          <bgColor rgb="FFADE7ED"/>
        </patternFill>
      </fill>
    </dxf>
    <dxf>
      <numFmt numFmtId="170" formatCode="0\ &quot;L5&quot;"/>
      <fill>
        <patternFill>
          <bgColor rgb="FFE3DDB3"/>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67" formatCode="0\ &quot;H3&quot;"/>
      <fill>
        <patternFill>
          <bgColor theme="9" tint="0.79998168889431442"/>
        </patternFill>
      </fill>
    </dxf>
    <dxf>
      <numFmt numFmtId="168" formatCode="0\ &quot;H2&quot;"/>
      <fill>
        <patternFill>
          <bgColor rgb="FFEAEAEA"/>
        </patternFill>
      </fill>
    </dxf>
    <dxf>
      <numFmt numFmtId="168" formatCode="0\ &quot;H2&quot;"/>
      <fill>
        <patternFill>
          <bgColor rgb="FFEAEAEA"/>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69" formatCode="0\ &quot;H1&quot;"/>
      <fill>
        <patternFill>
          <bgColor rgb="FFFCA99E"/>
        </patternFill>
      </fill>
    </dxf>
    <dxf>
      <numFmt numFmtId="167" formatCode="0\ &quot;H3&quot;"/>
      <fill>
        <patternFill>
          <bgColor theme="9" tint="0.79998168889431442"/>
        </patternFill>
      </fill>
    </dxf>
    <dxf>
      <numFmt numFmtId="174" formatCode="0\ &quot;L1&quot;"/>
      <fill>
        <patternFill>
          <bgColor rgb="FFBDF9C0"/>
        </patternFill>
      </fill>
    </dxf>
    <dxf>
      <numFmt numFmtId="167" formatCode="0\ &quot;H3&quot;"/>
      <fill>
        <patternFill>
          <bgColor theme="9" tint="0.79998168889431442"/>
        </patternFill>
      </fill>
    </dxf>
    <dxf>
      <numFmt numFmtId="169" formatCode="0\ &quot;H1&quot;"/>
      <fill>
        <patternFill>
          <bgColor rgb="FFFCA99E"/>
        </patternFill>
      </fill>
    </dxf>
    <dxf>
      <numFmt numFmtId="171" formatCode="0\ &quot;L4&quot;"/>
      <fill>
        <patternFill>
          <bgColor rgb="FFFFCCFF"/>
        </patternFill>
      </fill>
    </dxf>
    <dxf>
      <numFmt numFmtId="172" formatCode="0\ &quot;L3&quot;"/>
      <fill>
        <patternFill>
          <bgColor rgb="FFADE7ED"/>
        </patternFill>
      </fill>
    </dxf>
    <dxf>
      <numFmt numFmtId="174" formatCode="0\ &quot;L1&quot;"/>
      <fill>
        <patternFill>
          <bgColor rgb="FFBDF9C0"/>
        </patternFill>
      </fill>
    </dxf>
    <dxf>
      <numFmt numFmtId="173" formatCode="0\ &quot;L2&quot;"/>
      <fill>
        <patternFill>
          <bgColor rgb="FFFAF890"/>
        </patternFill>
      </fill>
    </dxf>
    <dxf>
      <numFmt numFmtId="168" formatCode="0\ &quot;H2&quot;"/>
      <fill>
        <patternFill>
          <bgColor rgb="FFEAEAEA"/>
        </patternFill>
      </fill>
    </dxf>
    <dxf>
      <numFmt numFmtId="171" formatCode="0\ &quot;L4&quot;"/>
      <fill>
        <patternFill>
          <bgColor rgb="FFFFCCFF"/>
        </patternFill>
      </fill>
    </dxf>
    <dxf>
      <numFmt numFmtId="167" formatCode="0\ &quot;H3&quot;"/>
      <fill>
        <patternFill>
          <bgColor theme="9" tint="0.79998168889431442"/>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69" formatCode="0\ &quot;H1&quot;"/>
      <fill>
        <patternFill>
          <bgColor rgb="FFFCA99E"/>
        </patternFill>
      </fill>
    </dxf>
    <dxf>
      <numFmt numFmtId="168" formatCode="0\ &quot;H2&quot;"/>
      <fill>
        <patternFill>
          <bgColor rgb="FFEAEAEA"/>
        </patternFill>
      </fill>
    </dxf>
    <dxf>
      <numFmt numFmtId="171" formatCode="0\ &quot;L4&quot;"/>
      <fill>
        <patternFill>
          <bgColor rgb="FFFFCCFF"/>
        </patternFill>
      </fill>
    </dxf>
    <dxf>
      <numFmt numFmtId="172" formatCode="0\ &quot;L3&quot;"/>
      <fill>
        <patternFill>
          <bgColor rgb="FFADE7ED"/>
        </patternFill>
      </fill>
    </dxf>
    <dxf>
      <numFmt numFmtId="174" formatCode="0\ &quot;L1&quot;"/>
      <fill>
        <patternFill>
          <bgColor rgb="FFBDF9C0"/>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3" formatCode="0\ &quot;L2&quot;"/>
      <fill>
        <patternFill>
          <bgColor rgb="FFFAF890"/>
        </patternFill>
      </fill>
    </dxf>
    <dxf>
      <numFmt numFmtId="168" formatCode="0\ &quot;H2&quot;"/>
      <fill>
        <patternFill>
          <bgColor rgb="FFEAEAEA"/>
        </patternFill>
      </fill>
    </dxf>
    <dxf>
      <numFmt numFmtId="167" formatCode="0\ &quot;H3&quot;"/>
      <fill>
        <patternFill>
          <bgColor theme="9" tint="0.79998168889431442"/>
        </patternFill>
      </fill>
    </dxf>
    <dxf>
      <numFmt numFmtId="174" formatCode="0\ &quot;L1&quot;"/>
      <fill>
        <patternFill>
          <bgColor rgb="FFBDF9C0"/>
        </patternFill>
      </fill>
    </dxf>
    <dxf>
      <numFmt numFmtId="172" formatCode="0\ &quot;L3&quot;"/>
      <fill>
        <patternFill>
          <bgColor rgb="FFADE7ED"/>
        </patternFill>
      </fill>
    </dxf>
    <dxf>
      <numFmt numFmtId="173" formatCode="0\ &quot;L2&quot;"/>
      <fill>
        <patternFill>
          <bgColor rgb="FFFAF890"/>
        </patternFill>
      </fill>
    </dxf>
    <dxf>
      <numFmt numFmtId="171" formatCode="0\ &quot;L4&quot;"/>
      <fill>
        <patternFill>
          <bgColor rgb="FFFFCCFF"/>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69" formatCode="0\ &quot;H1&quot;"/>
      <fill>
        <patternFill>
          <bgColor rgb="FFFCA99E"/>
        </patternFill>
      </fill>
    </dxf>
    <dxf>
      <numFmt numFmtId="168" formatCode="0\ &quot;H2&quot;"/>
      <fill>
        <patternFill>
          <bgColor rgb="FFEAEAEA"/>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71" formatCode="0\ &quot;L4&quot;"/>
      <fill>
        <patternFill>
          <bgColor rgb="FFFFCCFF"/>
        </patternFill>
      </fill>
    </dxf>
    <dxf>
      <numFmt numFmtId="167" formatCode="0\ &quot;H3&quot;"/>
      <fill>
        <patternFill>
          <bgColor theme="9" tint="0.79998168889431442"/>
        </patternFill>
      </fill>
    </dxf>
    <dxf>
      <numFmt numFmtId="167" formatCode="0\ &quot;H3&quot;"/>
      <fill>
        <patternFill>
          <bgColor theme="9" tint="0.79998168889431442"/>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69" formatCode="0\ &quot;H1&quot;"/>
      <fill>
        <patternFill>
          <bgColor rgb="FFFCA99E"/>
        </patternFill>
      </fill>
    </dxf>
    <dxf>
      <numFmt numFmtId="168" formatCode="0\ &quot;H2&quot;"/>
      <fill>
        <patternFill>
          <bgColor rgb="FFEAEAEA"/>
        </patternFill>
      </fill>
    </dxf>
    <dxf>
      <numFmt numFmtId="171" formatCode="0\ &quot;L4&quot;"/>
      <fill>
        <patternFill>
          <bgColor rgb="FFFFCCFF"/>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72" formatCode="0\ &quot;L3&quot;"/>
      <fill>
        <patternFill>
          <bgColor rgb="FFADE7ED"/>
        </patternFill>
      </fill>
    </dxf>
    <dxf>
      <numFmt numFmtId="167" formatCode="0\ &quot;H3&quot;"/>
      <fill>
        <patternFill>
          <bgColor theme="9" tint="0.79998168889431442"/>
        </patternFill>
      </fill>
    </dxf>
    <dxf>
      <numFmt numFmtId="169" formatCode="0\ &quot;H1&quot;"/>
      <fill>
        <patternFill>
          <bgColor rgb="FFFCA99E"/>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dxf>
    <dxf>
      <numFmt numFmtId="171" formatCode="0\ &quot;L4&quot;"/>
      <fill>
        <patternFill>
          <bgColor rgb="FFFFCCFF"/>
        </patternFill>
      </fill>
    </dxf>
    <dxf>
      <numFmt numFmtId="172" formatCode="0\ &quot;L3&quot;"/>
      <fill>
        <patternFill>
          <bgColor rgb="FFADE7ED"/>
        </patternFill>
      </fill>
    </dxf>
    <dxf>
      <numFmt numFmtId="174" formatCode="0\ &quot;L1&quot;"/>
      <fill>
        <patternFill>
          <bgColor rgb="FFBDF9C0"/>
        </patternFill>
      </fill>
    </dxf>
    <dxf>
      <numFmt numFmtId="173" formatCode="0\ &quot;L2&quot;"/>
      <fill>
        <patternFill>
          <bgColor rgb="FFFAF890"/>
        </patternFill>
      </fill>
    </dxf>
    <dxf>
      <numFmt numFmtId="171" formatCode="0\ &quot;L4&quot;"/>
      <fill>
        <patternFill>
          <bgColor rgb="FFFFCCFF"/>
        </patternFill>
      </fill>
    </dxf>
    <dxf>
      <numFmt numFmtId="172" formatCode="0\ &quot;L3&quot;"/>
      <fill>
        <patternFill>
          <bgColor rgb="FFADE7ED"/>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3" formatCode="0\ &quot;L2&quot;"/>
      <fill>
        <patternFill>
          <bgColor rgb="FFFAF890"/>
        </patternFill>
      </fill>
    </dxf>
    <dxf>
      <numFmt numFmtId="174" formatCode="0\ &quot;L1&quot;"/>
      <fill>
        <patternFill>
          <bgColor rgb="FFBDF9C0"/>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4" formatCode="0\ &quot;L1&quot;"/>
      <fill>
        <patternFill>
          <bgColor rgb="FFBDF9C0"/>
        </patternFill>
      </fill>
    </dxf>
    <dxf>
      <numFmt numFmtId="173" formatCode="0\ &quot;L2&quot;"/>
      <fill>
        <patternFill>
          <bgColor rgb="FFFAF890"/>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7" formatCode="0\ &quot;H3&quot;"/>
      <fill>
        <patternFill>
          <bgColor theme="9" tint="0.79998168889431442"/>
        </patternFill>
      </fill>
    </dxf>
    <dxf>
      <numFmt numFmtId="172" formatCode="0\ &quot;L3&quot;"/>
      <fill>
        <patternFill>
          <bgColor rgb="FFADE7ED"/>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73" formatCode="0\ &quot;L2&quot;"/>
      <fill>
        <patternFill>
          <bgColor rgb="FFFAF890"/>
        </patternFill>
      </fill>
    </dxf>
    <dxf>
      <numFmt numFmtId="167" formatCode="0\ &quot;H3&quot;"/>
      <fill>
        <patternFill>
          <bgColor theme="9" tint="0.79998168889431442"/>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74" formatCode="0\ &quot;L1&quot;"/>
      <fill>
        <patternFill>
          <bgColor rgb="FFBDF9C0"/>
        </patternFill>
      </fill>
    </dxf>
    <dxf>
      <numFmt numFmtId="168" formatCode="0\ &quot;H2&quot;"/>
      <fill>
        <patternFill>
          <bgColor rgb="FFEAEAEA"/>
        </patternFill>
      </fill>
    </dxf>
    <dxf>
      <numFmt numFmtId="169" formatCode="0\ &quot;H1&quot;"/>
      <fill>
        <patternFill>
          <bgColor rgb="FFFCA99E"/>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69" formatCode="0\ &quot;H1&quot;"/>
      <fill>
        <patternFill>
          <bgColor rgb="FFFCA99E"/>
        </patternFill>
      </fill>
    </dxf>
    <dxf>
      <numFmt numFmtId="173" formatCode="0\ &quot;L2&quot;"/>
      <fill>
        <patternFill>
          <bgColor rgb="FFFAF890"/>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0" formatCode="0\ &quot;L5&quot;"/>
      <fill>
        <patternFill>
          <bgColor rgb="FFE3DDB3"/>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1" formatCode="0\ &quot;L4&quot;"/>
      <fill>
        <patternFill>
          <bgColor rgb="FFFFCCFF"/>
        </patternFill>
      </fill>
    </dxf>
    <dxf>
      <numFmt numFmtId="172" formatCode="0\ &quot;L3&quot;"/>
      <fill>
        <patternFill>
          <bgColor rgb="FFADE7ED"/>
        </patternFill>
      </fill>
    </dxf>
    <dxf>
      <numFmt numFmtId="170" formatCode="0\ &quot;L5&quot;"/>
      <fill>
        <patternFill>
          <bgColor rgb="FFE3DDB3"/>
        </patternFill>
      </fill>
    </dxf>
    <dxf>
      <numFmt numFmtId="173" formatCode="0\ &quot;L2&quot;"/>
      <fill>
        <patternFill>
          <bgColor rgb="FFFAF890"/>
        </patternFill>
      </fill>
    </dxf>
    <dxf>
      <numFmt numFmtId="167" formatCode="0\ &quot;H3&quot;"/>
      <fill>
        <patternFill>
          <bgColor theme="9" tint="0.79998168889431442"/>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0" formatCode="0\ &quot;L5&quot;"/>
      <fill>
        <patternFill>
          <bgColor rgb="FFE3DDB3"/>
        </patternFill>
      </fill>
    </dxf>
    <dxf>
      <numFmt numFmtId="171" formatCode="0\ &quot;L4&quot;"/>
      <fill>
        <patternFill>
          <bgColor rgb="FFFFCCFF"/>
        </patternFill>
      </fill>
    </dxf>
    <dxf>
      <numFmt numFmtId="169" formatCode="0\ &quot;H1&quot;"/>
      <fill>
        <patternFill>
          <bgColor rgb="FFFCA99E"/>
        </patternFill>
      </fill>
    </dxf>
    <dxf>
      <numFmt numFmtId="168" formatCode="0\ &quot;H2&quot;"/>
      <fill>
        <patternFill>
          <bgColor rgb="FFEAEAEA"/>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1" formatCode="0\ &quot;L4&quot;"/>
      <fill>
        <patternFill>
          <bgColor rgb="FFFFCCFF"/>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74" formatCode="0\ &quot;L1&quot;"/>
      <fill>
        <patternFill>
          <bgColor rgb="FFBDF9C0"/>
        </patternFill>
      </fill>
    </dxf>
    <dxf>
      <numFmt numFmtId="171" formatCode="0\ &quot;L4&quot;"/>
      <fill>
        <patternFill>
          <bgColor rgb="FFFFCCFF"/>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1" formatCode="0\ &quot;L4&quot;"/>
      <fill>
        <patternFill>
          <bgColor rgb="FFFFCCFF"/>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0" formatCode="0\ &quot;L5&quot;"/>
      <fill>
        <patternFill>
          <bgColor rgb="FFE3DDB3"/>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0" formatCode="0\ &quot;L5&quot;"/>
      <fill>
        <patternFill>
          <bgColor rgb="FFE3DDB3"/>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1" formatCode="0\ &quot;L4&quot;"/>
      <fill>
        <patternFill>
          <bgColor rgb="FFFFCCFF"/>
        </patternFill>
      </fill>
    </dxf>
    <dxf>
      <numFmt numFmtId="171" formatCode="0\ &quot;L4&quot;"/>
      <fill>
        <patternFill>
          <bgColor rgb="FFFFCCFF"/>
        </patternFill>
      </fill>
    </dxf>
    <dxf>
      <numFmt numFmtId="174" formatCode="0\ &quot;L1&quot;"/>
      <fill>
        <patternFill>
          <bgColor rgb="FFBDF9C0"/>
        </patternFill>
      </fill>
    </dxf>
    <dxf>
      <numFmt numFmtId="170" formatCode="0\ &quot;L5&quot;"/>
      <fill>
        <patternFill>
          <bgColor rgb="FFE3DDB3"/>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67" formatCode="0\ &quot;H3&quot;"/>
      <fill>
        <patternFill>
          <bgColor theme="9" tint="0.79998168889431442"/>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1" formatCode="0\ &quot;L4&quot;"/>
      <fill>
        <patternFill>
          <bgColor rgb="FFFFCCFF"/>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67" formatCode="0\ &quot;H3&quot;"/>
      <fill>
        <patternFill>
          <bgColor theme="9" tint="0.79998168889431442"/>
        </patternFill>
      </fill>
    </dxf>
    <dxf>
      <numFmt numFmtId="168" formatCode="0\ &quot;H2&quot;"/>
      <fill>
        <patternFill>
          <bgColor rgb="FFEAEAEA"/>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0" formatCode="0\ &quot;L5&quot;"/>
      <fill>
        <patternFill>
          <bgColor rgb="FFE3DDB3"/>
        </patternFill>
      </fill>
    </dxf>
    <dxf>
      <numFmt numFmtId="174" formatCode="0\ &quot;L1&quot;"/>
      <fill>
        <patternFill>
          <bgColor rgb="FFBDF9C0"/>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1" formatCode="0\ &quot;L4&quot;"/>
      <fill>
        <patternFill>
          <bgColor rgb="FFFFCCFF"/>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7" formatCode="0\ &quot;H3&quot;"/>
      <fill>
        <patternFill>
          <bgColor theme="9" tint="0.79998168889431442"/>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69" formatCode="0\ &quot;H1&quot;"/>
      <fill>
        <patternFill>
          <bgColor rgb="FFFCA99E"/>
        </patternFill>
      </fill>
    </dxf>
    <dxf>
      <numFmt numFmtId="171" formatCode="0\ &quot;L4&quot;"/>
      <fill>
        <patternFill>
          <bgColor rgb="FFFFCCFF"/>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1" formatCode="0\ &quot;L4&quot;"/>
      <fill>
        <patternFill>
          <bgColor rgb="FFFFCCFF"/>
        </patternFill>
      </fill>
    </dxf>
    <dxf>
      <numFmt numFmtId="170" formatCode="0\ &quot;L5&quot;"/>
      <fill>
        <patternFill>
          <bgColor rgb="FFE3DDB3"/>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4" formatCode="0\ &quot;L1&quot;"/>
      <fill>
        <patternFill>
          <bgColor rgb="FFBDF9C0"/>
        </patternFill>
      </fill>
    </dxf>
    <dxf>
      <numFmt numFmtId="170" formatCode="0\ &quot;L5&quot;"/>
      <fill>
        <patternFill>
          <bgColor rgb="FFE3DDB3"/>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68" formatCode="0\ &quot;H2&quot;"/>
      <fill>
        <patternFill>
          <bgColor rgb="FFEAEAEA"/>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74" formatCode="0\ &quot;L1&quot;"/>
      <fill>
        <patternFill>
          <bgColor rgb="FFBDF9C0"/>
        </patternFill>
      </fill>
    </dxf>
    <dxf>
      <numFmt numFmtId="169" formatCode="0\ &quot;H1&quot;"/>
      <fill>
        <patternFill>
          <bgColor rgb="FFFCA99E"/>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74" formatCode="0\ &quot;L1&quot;"/>
      <fill>
        <patternFill>
          <bgColor rgb="FFBDF9C0"/>
        </patternFill>
      </fill>
    </dxf>
    <dxf>
      <numFmt numFmtId="168" formatCode="0\ &quot;H2&quot;"/>
      <fill>
        <patternFill>
          <bgColor rgb="FFEAEAEA"/>
        </patternFill>
      </fill>
    </dxf>
    <dxf>
      <numFmt numFmtId="167" formatCode="0\ &quot;H3&quot;"/>
      <fill>
        <patternFill>
          <bgColor theme="9" tint="0.79998168889431442"/>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0" formatCode="0\ &quot;L5&quot;"/>
      <fill>
        <patternFill>
          <bgColor rgb="FFE3DDB3"/>
        </patternFill>
      </fill>
    </dxf>
    <dxf>
      <numFmt numFmtId="169" formatCode="0\ &quot;H1&quot;"/>
      <fill>
        <patternFill>
          <bgColor rgb="FFFCA99E"/>
        </patternFill>
      </fill>
    </dxf>
    <dxf>
      <numFmt numFmtId="171" formatCode="0\ &quot;L4&quot;"/>
      <fill>
        <patternFill>
          <bgColor rgb="FFFFCCFF"/>
        </patternFill>
      </fill>
    </dxf>
    <dxf>
      <numFmt numFmtId="168" formatCode="0\ &quot;H2&quot;"/>
      <fill>
        <patternFill>
          <bgColor rgb="FFEAEAEA"/>
        </patternFill>
      </fill>
    </dxf>
    <dxf>
      <numFmt numFmtId="167" formatCode="0\ &quot;H3&quot;"/>
      <fill>
        <patternFill>
          <bgColor theme="9" tint="0.79998168889431442"/>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68" formatCode="0\ &quot;H2&quot;"/>
      <fill>
        <patternFill>
          <bgColor rgb="FFEAEAEA"/>
        </patternFill>
      </fill>
    </dxf>
    <dxf>
      <numFmt numFmtId="174" formatCode="0\ &quot;L1&quot;"/>
      <fill>
        <patternFill>
          <bgColor rgb="FFBDF9C0"/>
        </patternFill>
      </fill>
    </dxf>
    <dxf>
      <numFmt numFmtId="174" formatCode="0\ &quot;L1&quot;"/>
      <fill>
        <patternFill>
          <bgColor rgb="FFBDF9C0"/>
        </patternFill>
      </fill>
    </dxf>
    <dxf>
      <numFmt numFmtId="167" formatCode="0\ &quot;H3&quot;"/>
      <fill>
        <patternFill>
          <bgColor theme="9" tint="0.79998168889431442"/>
        </patternFill>
      </fill>
    </dxf>
    <dxf>
      <numFmt numFmtId="169" formatCode="0\ &quot;H1&quot;"/>
      <fill>
        <patternFill>
          <bgColor rgb="FFFCA99E"/>
        </patternFill>
      </fill>
    </dxf>
    <dxf>
      <numFmt numFmtId="168" formatCode="0\ &quot;H2&quot;"/>
      <fill>
        <patternFill>
          <bgColor rgb="FFEAEAEA"/>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1" formatCode="0\ &quot;L4&quot;"/>
      <fill>
        <patternFill>
          <bgColor rgb="FFFFCCFF"/>
        </patternFill>
      </fill>
    </dxf>
    <dxf>
      <numFmt numFmtId="170" formatCode="0\ &quot;L5&quot;"/>
      <fill>
        <patternFill>
          <bgColor rgb="FFE3DDB3"/>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1" formatCode="0\ &quot;L4&quot;"/>
      <fill>
        <patternFill>
          <bgColor rgb="FFFFCCFF"/>
        </patternFill>
      </fill>
    </dxf>
    <dxf>
      <numFmt numFmtId="172" formatCode="0\ &quot;L3&quot;"/>
      <fill>
        <patternFill>
          <bgColor rgb="FFADE7ED"/>
        </patternFill>
      </fill>
    </dxf>
    <dxf>
      <numFmt numFmtId="169" formatCode="0\ &quot;H1&quot;"/>
      <fill>
        <patternFill>
          <bgColor rgb="FFFCA99E"/>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70" formatCode="0\ &quot;L5&quot;"/>
      <fill>
        <patternFill>
          <bgColor rgb="FFE3DDB3"/>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1" formatCode="0\ &quot;L4&quot;"/>
      <fill>
        <patternFill>
          <bgColor rgb="FFFFCCFF"/>
        </patternFill>
      </fill>
    </dxf>
    <dxf>
      <numFmt numFmtId="172" formatCode="0\ &quot;L3&quot;"/>
      <fill>
        <patternFill>
          <bgColor rgb="FFADE7ED"/>
        </patternFill>
      </fill>
    </dxf>
    <dxf>
      <numFmt numFmtId="174" formatCode="0\ &quot;L1&quot;"/>
      <fill>
        <patternFill>
          <bgColor rgb="FFBDF9C0"/>
        </patternFill>
      </fill>
    </dxf>
    <dxf>
      <numFmt numFmtId="173" formatCode="0\ &quot;L2&quot;"/>
      <fill>
        <patternFill>
          <bgColor rgb="FFFAF890"/>
        </patternFill>
      </fill>
    </dxf>
    <dxf>
      <numFmt numFmtId="167" formatCode="0\ &quot;H3&quot;"/>
      <fill>
        <patternFill>
          <bgColor theme="9" tint="0.79998168889431442"/>
        </patternFill>
      </fill>
    </dxf>
    <dxf>
      <numFmt numFmtId="169" formatCode="0\ &quot;H1&quot;"/>
      <fill>
        <patternFill>
          <bgColor rgb="FFFCA99E"/>
        </patternFill>
      </fill>
    </dxf>
    <dxf>
      <numFmt numFmtId="168" formatCode="0\ &quot;H2&quot;"/>
      <fill>
        <patternFill>
          <bgColor rgb="FFEAEAEA"/>
        </patternFill>
      </fill>
    </dxf>
    <dxf>
      <numFmt numFmtId="170" formatCode="0\ &quot;L5&quot;"/>
      <fill>
        <patternFill>
          <bgColor rgb="FFE3DDB3"/>
        </patternFill>
      </fill>
    </dxf>
    <dxf>
      <numFmt numFmtId="174" formatCode="0\ &quot;L1&quot;"/>
      <fill>
        <patternFill>
          <bgColor rgb="FFBDF9C0"/>
        </patternFill>
      </fill>
    </dxf>
    <dxf>
      <numFmt numFmtId="170" formatCode="0\ &quot;L5&quot;"/>
      <fill>
        <patternFill>
          <bgColor rgb="FFE3DDB3"/>
        </patternFill>
      </fill>
    </dxf>
    <dxf>
      <numFmt numFmtId="169" formatCode="0\ &quot;H1&quot;"/>
      <fill>
        <patternFill>
          <bgColor rgb="FFFCA99E"/>
        </patternFill>
      </fill>
    </dxf>
    <dxf>
      <numFmt numFmtId="168" formatCode="0\ &quot;H2&quot;"/>
      <fill>
        <patternFill>
          <bgColor rgb="FFEAEAEA"/>
        </patternFill>
      </fill>
    </dxf>
    <dxf>
      <numFmt numFmtId="167" formatCode="0\ &quot;H3&quot;"/>
      <fill>
        <patternFill>
          <bgColor theme="9" tint="0.79998168889431442"/>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67" formatCode="0\ &quot;H3&quot;"/>
      <fill>
        <patternFill>
          <bgColor theme="9" tint="0.79998168889431442"/>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3" formatCode="0\ &quot;L2&quot;"/>
      <fill>
        <patternFill>
          <bgColor rgb="FFFAF890"/>
        </patternFill>
      </fill>
    </dxf>
    <dxf>
      <numFmt numFmtId="172" formatCode="0\ &quot;L3&quot;"/>
      <fill>
        <patternFill>
          <bgColor rgb="FFADE7ED"/>
        </patternFill>
      </fill>
    </dxf>
    <dxf>
      <numFmt numFmtId="174" formatCode="0\ &quot;L1&quot;"/>
      <fill>
        <patternFill>
          <bgColor rgb="FFBDF9C0"/>
        </patternFill>
      </fill>
    </dxf>
    <dxf>
      <numFmt numFmtId="168" formatCode="0\ &quot;H2&quot;"/>
      <fill>
        <patternFill>
          <bgColor rgb="FFEAEAEA"/>
        </patternFill>
      </fill>
    </dxf>
    <dxf>
      <numFmt numFmtId="174" formatCode="0\ &quot;L1&quot;"/>
      <fill>
        <patternFill>
          <bgColor rgb="FFBDF9C0"/>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71" formatCode="0\ &quot;L4&quot;"/>
      <fill>
        <patternFill>
          <bgColor rgb="FFFFCCFF"/>
        </patternFill>
      </fill>
    </dxf>
    <dxf>
      <numFmt numFmtId="170" formatCode="0\ &quot;L5&quot;"/>
      <fill>
        <patternFill>
          <bgColor rgb="FFE3DDB3"/>
        </patternFill>
      </fill>
    </dxf>
    <dxf>
      <numFmt numFmtId="168" formatCode="0\ &quot;H2&quot;"/>
      <fill>
        <patternFill>
          <bgColor rgb="FFEAEAEA"/>
        </patternFill>
      </fill>
    </dxf>
    <dxf>
      <numFmt numFmtId="167" formatCode="0\ &quot;H3&quot;"/>
      <fill>
        <patternFill>
          <bgColor theme="9" tint="0.79998168889431442"/>
        </patternFill>
      </fill>
    </dxf>
    <dxf>
      <numFmt numFmtId="169" formatCode="0\ &quot;H1&quot;"/>
      <fill>
        <patternFill>
          <bgColor rgb="FFFCA99E"/>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0" formatCode="0\ &quot;L5&quot;"/>
      <fill>
        <patternFill>
          <bgColor rgb="FFE3DDB3"/>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74" formatCode="0\ &quot;L1&quot;"/>
      <fill>
        <patternFill>
          <bgColor rgb="FFBDF9C0"/>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67" formatCode="0\ &quot;H3&quot;"/>
      <fill>
        <patternFill>
          <bgColor theme="9" tint="0.79998168889431442"/>
        </patternFill>
      </fill>
    </dxf>
    <dxf>
      <numFmt numFmtId="174" formatCode="0\ &quot;L1&quot;"/>
      <fill>
        <patternFill>
          <bgColor rgb="FFBDF9C0"/>
        </patternFill>
      </fill>
    </dxf>
    <dxf>
      <numFmt numFmtId="168" formatCode="0\ &quot;H2&quot;"/>
      <fill>
        <patternFill>
          <bgColor rgb="FFEAEAEA"/>
        </patternFill>
      </fill>
    </dxf>
    <dxf>
      <numFmt numFmtId="173" formatCode="0\ &quot;L2&quot;"/>
      <fill>
        <patternFill>
          <bgColor rgb="FFFAF89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67" formatCode="0\ &quot;H3&quot;"/>
      <fill>
        <patternFill>
          <bgColor theme="9" tint="0.79998168889431442"/>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68" formatCode="0\ &quot;H2&quot;"/>
      <fill>
        <patternFill>
          <bgColor rgb="FFEAEAEA"/>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70" formatCode="0\ &quot;L5&quot;"/>
      <fill>
        <patternFill>
          <bgColor rgb="FFE3DDB3"/>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67" formatCode="0\ &quot;H3&quot;"/>
      <fill>
        <patternFill>
          <bgColor theme="9" tint="0.79998168889431442"/>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72" formatCode="0\ &quot;L3&quot;"/>
      <fill>
        <patternFill>
          <bgColor rgb="FFADE7ED"/>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4" formatCode="0\ &quot;L1&quot;"/>
      <fill>
        <patternFill>
          <bgColor rgb="FFBDF9C0"/>
        </patternFill>
      </fill>
    </dxf>
    <dxf>
      <numFmt numFmtId="173" formatCode="0\ &quot;L2&quot;"/>
      <fill>
        <patternFill>
          <bgColor rgb="FFFAF890"/>
        </patternFill>
      </fill>
    </dxf>
    <dxf>
      <numFmt numFmtId="172" formatCode="0\ &quot;L3&quot;"/>
      <fill>
        <patternFill>
          <bgColor rgb="FFADE7ED"/>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9" formatCode="0\ &quot;H1&quot;"/>
      <fill>
        <patternFill>
          <bgColor rgb="FFFCA99E"/>
        </patternFill>
      </fill>
    </dxf>
    <dxf>
      <numFmt numFmtId="167" formatCode="0\ &quot;H3&quot;"/>
      <fill>
        <patternFill>
          <bgColor theme="9" tint="0.79998168889431442"/>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8" formatCode="0\ &quot;H2&quot;"/>
      <fill>
        <patternFill>
          <bgColor rgb="FFEAEAEA"/>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9" formatCode="0\ &quot;H1&quot;"/>
      <fill>
        <patternFill>
          <bgColor rgb="FFFCA99E"/>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2" formatCode="0\ &quot;L3&quot;"/>
      <fill>
        <patternFill>
          <bgColor rgb="FFADE7ED"/>
        </patternFill>
      </fill>
    </dxf>
    <dxf>
      <numFmt numFmtId="173" formatCode="0\ &quot;L2&quot;"/>
      <fill>
        <patternFill>
          <bgColor rgb="FFFAF890"/>
        </patternFill>
      </fill>
    </dxf>
    <dxf>
      <numFmt numFmtId="174" formatCode="0\ &quot;L1&quot;"/>
      <fill>
        <patternFill>
          <bgColor rgb="FFBDF9C0"/>
        </patternFill>
      </fill>
    </dxf>
    <dxf>
      <numFmt numFmtId="167" formatCode="0\ &quot;H3&quot;"/>
      <fill>
        <patternFill>
          <bgColor theme="9" tint="0.79998168889431442"/>
        </patternFill>
      </fill>
    </dxf>
    <dxf>
      <numFmt numFmtId="168" formatCode="0\ &quot;H2&quot;"/>
      <fill>
        <patternFill>
          <bgColor rgb="FFEAEAEA"/>
        </patternFill>
      </fill>
    </dxf>
    <dxf>
      <numFmt numFmtId="169" formatCode="0\ &quot;H1&quot;"/>
      <fill>
        <patternFill>
          <bgColor rgb="FFFCA99E"/>
        </patternFill>
      </fill>
    </dxf>
    <dxf>
      <numFmt numFmtId="170" formatCode="0\ &quot;L5&quot;"/>
      <fill>
        <patternFill>
          <bgColor rgb="FFE3DDB3"/>
        </patternFill>
      </fill>
    </dxf>
    <dxf>
      <numFmt numFmtId="171" formatCode="0\ &quot;L4&quot;"/>
      <fill>
        <patternFill>
          <bgColor rgb="FFFFCCFF"/>
        </patternFill>
      </fill>
    </dxf>
    <dxf>
      <numFmt numFmtId="173" formatCode="0\ &quot;L2&quot;"/>
      <fill>
        <patternFill>
          <bgColor rgb="FFFAF890"/>
        </patternFill>
      </fill>
    </dxf>
    <dxf>
      <numFmt numFmtId="174" formatCode="0\ &quot;L1&quot;"/>
      <fill>
        <patternFill>
          <bgColor rgb="FFBDF9C0"/>
        </patternFill>
      </fill>
    </dxf>
    <dxf>
      <numFmt numFmtId="172" formatCode="0\ &quot;L3&quot;"/>
      <fill>
        <patternFill>
          <bgColor rgb="FFADE7ED"/>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
      <numFmt numFmtId="175" formatCode="&quot;₹&quot;\ ###,###,###\ &quot;H3&quot;"/>
      <fill>
        <patternFill>
          <bgColor rgb="FFC0C0C0"/>
        </patternFill>
      </fill>
    </dxf>
    <dxf>
      <numFmt numFmtId="176" formatCode="&quot;₹&quot;\ ###,###,###\ &quot;H2&quot;"/>
      <fill>
        <patternFill>
          <bgColor rgb="FFF1B5EB"/>
        </patternFill>
      </fill>
    </dxf>
    <dxf>
      <numFmt numFmtId="177" formatCode="&quot;₹&quot;\ ###,###,###\ &quot;H1&quot;\ "/>
      <fill>
        <patternFill>
          <bgColor rgb="FFF193A0"/>
        </patternFill>
      </fill>
    </dxf>
    <dxf>
      <numFmt numFmtId="170" formatCode="0\ &quot;L5&quot;"/>
      <fill>
        <patternFill>
          <bgColor rgb="FFFFFFFF"/>
        </patternFill>
      </fill>
    </dxf>
    <dxf>
      <numFmt numFmtId="178" formatCode="&quot;₹&quot;\ ###,###,###\ \L\4"/>
      <fill>
        <patternFill>
          <bgColor rgb="FF95DAEF"/>
        </patternFill>
      </fill>
    </dxf>
    <dxf>
      <numFmt numFmtId="179" formatCode="&quot;₹&quot;\ ###,###,###\ \L\3"/>
      <fill>
        <patternFill>
          <bgColor rgb="FFBBBBFB"/>
        </patternFill>
      </fill>
    </dxf>
    <dxf>
      <numFmt numFmtId="180" formatCode="&quot;₹&quot;\ ###,###,###\ \L\2"/>
      <fill>
        <patternFill>
          <bgColor rgb="FFEEF3A7"/>
        </patternFill>
      </fill>
    </dxf>
    <dxf>
      <numFmt numFmtId="181" formatCode="&quot;₹&quot;\ ###,###,###\ \L\1"/>
      <fill>
        <patternFill>
          <bgColor rgb="FFBEF4C1"/>
        </patternFill>
      </fill>
    </dxf>
  </dxfs>
  <tableStyles count="0" defaultTableStyle="TableStyleMedium9" defaultPivotStyle="PivotStyleLight16"/>
  <colors>
    <mruColors>
      <color rgb="FFD5FFEA"/>
      <color rgb="FFE3DDB3"/>
      <color rgb="FF28771B"/>
      <color rgb="FFFFFFFF"/>
      <color rgb="FFA3A3FF"/>
      <color rgb="FFEAEAEA"/>
      <color rgb="FF8275E5"/>
      <color rgb="FFFCA99E"/>
      <color rgb="FFBDF9C0"/>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114301</xdr:colOff>
      <xdr:row>0</xdr:row>
      <xdr:rowOff>190500</xdr:rowOff>
    </xdr:from>
    <xdr:to>
      <xdr:col>0</xdr:col>
      <xdr:colOff>1416919</xdr:colOff>
      <xdr:row>0</xdr:row>
      <xdr:rowOff>742950</xdr:rowOff>
    </xdr:to>
    <xdr:pic>
      <xdr:nvPicPr>
        <xdr:cNvPr id="2" name="Picture 1">
          <a:extLst>
            <a:ext uri="{FF2B5EF4-FFF2-40B4-BE49-F238E27FC236}">
              <a16:creationId xmlns:a16="http://schemas.microsoft.com/office/drawing/2014/main" id="{B7B2A2D0-F905-497B-87EB-6245F5B99311}"/>
            </a:ext>
          </a:extLst>
        </xdr:cNvPr>
        <xdr:cNvPicPr>
          <a:picLocks noChangeAspect="1"/>
        </xdr:cNvPicPr>
      </xdr:nvPicPr>
      <xdr:blipFill rotWithShape="1">
        <a:blip xmlns:r="http://schemas.openxmlformats.org/officeDocument/2006/relationships" r:embed="rId1"/>
        <a:srcRect l="8625" t="32626" r="7375" b="31749"/>
        <a:stretch/>
      </xdr:blipFill>
      <xdr:spPr>
        <a:xfrm>
          <a:off x="114301" y="190500"/>
          <a:ext cx="1302618"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190500</xdr:rowOff>
    </xdr:from>
    <xdr:to>
      <xdr:col>0</xdr:col>
      <xdr:colOff>1416919</xdr:colOff>
      <xdr:row>0</xdr:row>
      <xdr:rowOff>742950</xdr:rowOff>
    </xdr:to>
    <xdr:pic>
      <xdr:nvPicPr>
        <xdr:cNvPr id="2" name="Picture 1">
          <a:extLst>
            <a:ext uri="{FF2B5EF4-FFF2-40B4-BE49-F238E27FC236}">
              <a16:creationId xmlns:a16="http://schemas.microsoft.com/office/drawing/2014/main" id="{38BA6063-AF5C-4238-8719-0EC00A09D9A1}"/>
            </a:ext>
          </a:extLst>
        </xdr:cNvPr>
        <xdr:cNvPicPr>
          <a:picLocks noChangeAspect="1"/>
        </xdr:cNvPicPr>
      </xdr:nvPicPr>
      <xdr:blipFill rotWithShape="1">
        <a:blip xmlns:r="http://schemas.openxmlformats.org/officeDocument/2006/relationships" r:embed="rId1"/>
        <a:srcRect l="8625" t="32626" r="7375" b="31749"/>
        <a:stretch/>
      </xdr:blipFill>
      <xdr:spPr>
        <a:xfrm>
          <a:off x="114301" y="190500"/>
          <a:ext cx="1302618" cy="552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114301</xdr:colOff>
      <xdr:row>0</xdr:row>
      <xdr:rowOff>190500</xdr:rowOff>
    </xdr:from>
    <xdr:to>
      <xdr:col>0</xdr:col>
      <xdr:colOff>1416919</xdr:colOff>
      <xdr:row>0</xdr:row>
      <xdr:rowOff>742950</xdr:rowOff>
    </xdr:to>
    <xdr:pic>
      <xdr:nvPicPr>
        <xdr:cNvPr id="2" name="Picture 1">
          <a:extLst>
            <a:ext uri="{FF2B5EF4-FFF2-40B4-BE49-F238E27FC236}">
              <a16:creationId xmlns:a16="http://schemas.microsoft.com/office/drawing/2014/main" id="{DB19AC71-34A6-45C2-8276-1E6F989E4136}"/>
            </a:ext>
          </a:extLst>
        </xdr:cNvPr>
        <xdr:cNvPicPr>
          <a:picLocks noChangeAspect="1"/>
        </xdr:cNvPicPr>
      </xdr:nvPicPr>
      <xdr:blipFill rotWithShape="1">
        <a:blip xmlns:r="http://schemas.openxmlformats.org/officeDocument/2006/relationships" r:embed="rId1"/>
        <a:srcRect l="8625" t="32626" r="7375" b="31749"/>
        <a:stretch/>
      </xdr:blipFill>
      <xdr:spPr>
        <a:xfrm>
          <a:off x="114301" y="190500"/>
          <a:ext cx="1302618" cy="552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114301</xdr:colOff>
      <xdr:row>0</xdr:row>
      <xdr:rowOff>190500</xdr:rowOff>
    </xdr:from>
    <xdr:to>
      <xdr:col>0</xdr:col>
      <xdr:colOff>1416919</xdr:colOff>
      <xdr:row>0</xdr:row>
      <xdr:rowOff>742950</xdr:rowOff>
    </xdr:to>
    <xdr:pic>
      <xdr:nvPicPr>
        <xdr:cNvPr id="2" name="Picture 1">
          <a:extLst>
            <a:ext uri="{FF2B5EF4-FFF2-40B4-BE49-F238E27FC236}">
              <a16:creationId xmlns:a16="http://schemas.microsoft.com/office/drawing/2014/main" id="{5BF837D3-10B2-4C35-85A5-2A4A9D8B4011}"/>
            </a:ext>
          </a:extLst>
        </xdr:cNvPr>
        <xdr:cNvPicPr>
          <a:picLocks noChangeAspect="1"/>
        </xdr:cNvPicPr>
      </xdr:nvPicPr>
      <xdr:blipFill rotWithShape="1">
        <a:blip xmlns:r="http://schemas.openxmlformats.org/officeDocument/2006/relationships" r:embed="rId1"/>
        <a:srcRect l="8625" t="32626" r="7375" b="31749"/>
        <a:stretch/>
      </xdr:blipFill>
      <xdr:spPr>
        <a:xfrm>
          <a:off x="114301" y="190500"/>
          <a:ext cx="1302618" cy="552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114301</xdr:colOff>
      <xdr:row>0</xdr:row>
      <xdr:rowOff>190500</xdr:rowOff>
    </xdr:from>
    <xdr:to>
      <xdr:col>0</xdr:col>
      <xdr:colOff>1416919</xdr:colOff>
      <xdr:row>0</xdr:row>
      <xdr:rowOff>742950</xdr:rowOff>
    </xdr:to>
    <xdr:pic>
      <xdr:nvPicPr>
        <xdr:cNvPr id="2" name="Picture 1">
          <a:extLst>
            <a:ext uri="{FF2B5EF4-FFF2-40B4-BE49-F238E27FC236}">
              <a16:creationId xmlns:a16="http://schemas.microsoft.com/office/drawing/2014/main" id="{36B9F62B-2E23-4A93-9693-CBB17FA35E0F}"/>
            </a:ext>
          </a:extLst>
        </xdr:cNvPr>
        <xdr:cNvPicPr>
          <a:picLocks noChangeAspect="1"/>
        </xdr:cNvPicPr>
      </xdr:nvPicPr>
      <xdr:blipFill rotWithShape="1">
        <a:blip xmlns:r="http://schemas.openxmlformats.org/officeDocument/2006/relationships" r:embed="rId1"/>
        <a:srcRect l="8625" t="32626" r="7375" b="31749"/>
        <a:stretch/>
      </xdr:blipFill>
      <xdr:spPr>
        <a:xfrm>
          <a:off x="114301" y="190500"/>
          <a:ext cx="1302618" cy="552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114301</xdr:colOff>
      <xdr:row>0</xdr:row>
      <xdr:rowOff>190500</xdr:rowOff>
    </xdr:from>
    <xdr:to>
      <xdr:col>0</xdr:col>
      <xdr:colOff>1416919</xdr:colOff>
      <xdr:row>0</xdr:row>
      <xdr:rowOff>742950</xdr:rowOff>
    </xdr:to>
    <xdr:pic>
      <xdr:nvPicPr>
        <xdr:cNvPr id="2" name="Picture 1">
          <a:extLst>
            <a:ext uri="{FF2B5EF4-FFF2-40B4-BE49-F238E27FC236}">
              <a16:creationId xmlns:a16="http://schemas.microsoft.com/office/drawing/2014/main" id="{E06DB9F9-0D6F-4DA5-AA86-90DD500F9488}"/>
            </a:ext>
          </a:extLst>
        </xdr:cNvPr>
        <xdr:cNvPicPr>
          <a:picLocks noChangeAspect="1"/>
        </xdr:cNvPicPr>
      </xdr:nvPicPr>
      <xdr:blipFill rotWithShape="1">
        <a:blip xmlns:r="http://schemas.openxmlformats.org/officeDocument/2006/relationships" r:embed="rId1"/>
        <a:srcRect l="8625" t="32626" r="7375" b="31749"/>
        <a:stretch/>
      </xdr:blipFill>
      <xdr:spPr>
        <a:xfrm>
          <a:off x="114301" y="190500"/>
          <a:ext cx="1302618" cy="5524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114301</xdr:colOff>
      <xdr:row>0</xdr:row>
      <xdr:rowOff>190500</xdr:rowOff>
    </xdr:from>
    <xdr:to>
      <xdr:col>0</xdr:col>
      <xdr:colOff>1416919</xdr:colOff>
      <xdr:row>0</xdr:row>
      <xdr:rowOff>742950</xdr:rowOff>
    </xdr:to>
    <xdr:pic>
      <xdr:nvPicPr>
        <xdr:cNvPr id="2" name="Picture 1">
          <a:extLst>
            <a:ext uri="{FF2B5EF4-FFF2-40B4-BE49-F238E27FC236}">
              <a16:creationId xmlns:a16="http://schemas.microsoft.com/office/drawing/2014/main" id="{F6EB3E5A-38D1-4A5D-AA86-D66995E41393}"/>
            </a:ext>
          </a:extLst>
        </xdr:cNvPr>
        <xdr:cNvPicPr>
          <a:picLocks noChangeAspect="1"/>
        </xdr:cNvPicPr>
      </xdr:nvPicPr>
      <xdr:blipFill rotWithShape="1">
        <a:blip xmlns:r="http://schemas.openxmlformats.org/officeDocument/2006/relationships" r:embed="rId1"/>
        <a:srcRect l="8625" t="32626" r="7375" b="31749"/>
        <a:stretch/>
      </xdr:blipFill>
      <xdr:spPr>
        <a:xfrm>
          <a:off x="114301" y="190500"/>
          <a:ext cx="1302618" cy="5524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114301</xdr:colOff>
      <xdr:row>0</xdr:row>
      <xdr:rowOff>190500</xdr:rowOff>
    </xdr:from>
    <xdr:to>
      <xdr:col>0</xdr:col>
      <xdr:colOff>1416919</xdr:colOff>
      <xdr:row>0</xdr:row>
      <xdr:rowOff>742950</xdr:rowOff>
    </xdr:to>
    <xdr:pic>
      <xdr:nvPicPr>
        <xdr:cNvPr id="2" name="Picture 1">
          <a:extLst>
            <a:ext uri="{FF2B5EF4-FFF2-40B4-BE49-F238E27FC236}">
              <a16:creationId xmlns:a16="http://schemas.microsoft.com/office/drawing/2014/main" id="{69BCF44D-3598-409A-A89C-CA58629F00DD}"/>
            </a:ext>
          </a:extLst>
        </xdr:cNvPr>
        <xdr:cNvPicPr>
          <a:picLocks noChangeAspect="1"/>
        </xdr:cNvPicPr>
      </xdr:nvPicPr>
      <xdr:blipFill rotWithShape="1">
        <a:blip xmlns:r="http://schemas.openxmlformats.org/officeDocument/2006/relationships" r:embed="rId1"/>
        <a:srcRect l="8625" t="32626" r="7375" b="31749"/>
        <a:stretch/>
      </xdr:blipFill>
      <xdr:spPr>
        <a:xfrm>
          <a:off x="114301" y="190500"/>
          <a:ext cx="1302618" cy="55245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1"/>
  <sheetViews>
    <sheetView tabSelected="1" topLeftCell="B1" zoomScale="85" zoomScaleNormal="85" zoomScaleSheetLayoutView="49" workbookViewId="0">
      <selection activeCell="D21" sqref="D21"/>
    </sheetView>
  </sheetViews>
  <sheetFormatPr defaultColWidth="9.1796875" defaultRowHeight="13"/>
  <cols>
    <col min="1" max="1" width="22.81640625" style="177" customWidth="1"/>
    <col min="2" max="2" width="23.54296875" style="177" customWidth="1"/>
    <col min="3" max="3" width="38.1796875" style="177" customWidth="1"/>
    <col min="4" max="4" width="27.1796875" style="177" customWidth="1"/>
    <col min="5" max="5" width="27.453125" style="161" customWidth="1"/>
    <col min="6" max="6" width="28" style="177" customWidth="1"/>
    <col min="7" max="16384" width="9.1796875" style="177"/>
  </cols>
  <sheetData>
    <row r="1" spans="1:6" ht="34" customHeight="1">
      <c r="A1" s="201" t="s">
        <v>712</v>
      </c>
      <c r="B1" s="202"/>
      <c r="C1" s="202"/>
      <c r="D1" s="202"/>
      <c r="E1" s="202"/>
      <c r="F1" s="202"/>
    </row>
    <row r="2" spans="1:6" ht="7.5" customHeight="1">
      <c r="A2" s="176"/>
      <c r="B2" s="175"/>
      <c r="C2" s="175"/>
      <c r="D2" s="175"/>
      <c r="E2" s="174"/>
      <c r="F2" s="175"/>
    </row>
    <row r="3" spans="1:6" s="170" customFormat="1" ht="45.65" customHeight="1">
      <c r="A3" s="205" t="s">
        <v>1</v>
      </c>
      <c r="B3" s="205" t="s">
        <v>2</v>
      </c>
      <c r="C3" s="205" t="s">
        <v>3</v>
      </c>
      <c r="D3" s="173" t="s">
        <v>728</v>
      </c>
      <c r="E3" s="172" t="s">
        <v>725</v>
      </c>
      <c r="F3" s="171" t="s">
        <v>726</v>
      </c>
    </row>
    <row r="4" spans="1:6" s="170" customFormat="1" ht="27" customHeight="1">
      <c r="A4" s="205"/>
      <c r="B4" s="205"/>
      <c r="C4" s="205"/>
      <c r="D4" s="173" t="s">
        <v>680</v>
      </c>
      <c r="E4" s="169" t="s">
        <v>711</v>
      </c>
      <c r="F4" s="168" t="s">
        <v>711</v>
      </c>
    </row>
    <row r="5" spans="1:6" ht="20.149999999999999" customHeight="1">
      <c r="A5" s="160">
        <v>1</v>
      </c>
      <c r="B5" s="160" t="s">
        <v>5</v>
      </c>
      <c r="C5" s="167" t="s">
        <v>14</v>
      </c>
      <c r="D5" s="166">
        <f>BOQ!F43</f>
        <v>16486314.25</v>
      </c>
      <c r="E5" s="165">
        <f>BOQ!H43</f>
        <v>15153396</v>
      </c>
      <c r="F5" s="166">
        <f>BOQ!J43</f>
        <v>18655310.824999996</v>
      </c>
    </row>
    <row r="6" spans="1:6" ht="20.149999999999999" customHeight="1">
      <c r="A6" s="160">
        <f>A5+1</f>
        <v>2</v>
      </c>
      <c r="B6" s="160" t="s">
        <v>6</v>
      </c>
      <c r="C6" s="167" t="s">
        <v>15</v>
      </c>
      <c r="D6" s="165">
        <f>BOQ!F127</f>
        <v>32102029.5</v>
      </c>
      <c r="E6" s="165">
        <f>BOQ!H127</f>
        <v>31604080.699999999</v>
      </c>
      <c r="F6" s="166">
        <f>BOQ!J127</f>
        <v>33191678.372500002</v>
      </c>
    </row>
    <row r="7" spans="1:6" ht="20.149999999999999" customHeight="1">
      <c r="A7" s="160">
        <f t="shared" ref="A7:A16" si="0">A6+1</f>
        <v>3</v>
      </c>
      <c r="B7" s="160" t="s">
        <v>7</v>
      </c>
      <c r="C7" s="167" t="s">
        <v>16</v>
      </c>
      <c r="D7" s="166">
        <f>BOQ!F155</f>
        <v>3686641.25</v>
      </c>
      <c r="E7" s="165">
        <f>BOQ!H155</f>
        <v>3904326</v>
      </c>
      <c r="F7" s="166">
        <f>BOQ!J155</f>
        <v>3877929.2875000001</v>
      </c>
    </row>
    <row r="8" spans="1:6" ht="20.149999999999999" customHeight="1">
      <c r="A8" s="160">
        <f t="shared" si="0"/>
        <v>4</v>
      </c>
      <c r="B8" s="160" t="s">
        <v>8</v>
      </c>
      <c r="C8" s="167" t="s">
        <v>17</v>
      </c>
      <c r="D8" s="166">
        <f>BOQ!F214</f>
        <v>15539867.25</v>
      </c>
      <c r="E8" s="165">
        <f>BOQ!H214</f>
        <v>15982747.6</v>
      </c>
      <c r="F8" s="166">
        <f>BOQ!J214</f>
        <v>17835515.382499997</v>
      </c>
    </row>
    <row r="9" spans="1:6" ht="20.149999999999999" customHeight="1">
      <c r="A9" s="160">
        <f t="shared" si="0"/>
        <v>5</v>
      </c>
      <c r="B9" s="160" t="s">
        <v>9</v>
      </c>
      <c r="C9" s="167" t="s">
        <v>437</v>
      </c>
      <c r="D9" s="166">
        <f>BOQ!F236</f>
        <v>6845605</v>
      </c>
      <c r="E9" s="165">
        <f>BOQ!H236</f>
        <v>7486265</v>
      </c>
      <c r="F9" s="166">
        <f>BOQ!J236</f>
        <v>7366271.0624999991</v>
      </c>
    </row>
    <row r="10" spans="1:6" ht="20.149999999999999" customHeight="1">
      <c r="A10" s="160">
        <f t="shared" si="0"/>
        <v>6</v>
      </c>
      <c r="B10" s="160" t="s">
        <v>10</v>
      </c>
      <c r="C10" s="167" t="s">
        <v>18</v>
      </c>
      <c r="D10" s="166">
        <f>BOQ!F318</f>
        <v>3848426.25</v>
      </c>
      <c r="E10" s="165">
        <f>BOQ!H318</f>
        <v>4262525</v>
      </c>
      <c r="F10" s="166">
        <f>BOQ!J318</f>
        <v>4363147.2874999996</v>
      </c>
    </row>
    <row r="11" spans="1:6" ht="20.149999999999999" customHeight="1">
      <c r="A11" s="160">
        <f t="shared" si="0"/>
        <v>7</v>
      </c>
      <c r="B11" s="160" t="s">
        <v>11</v>
      </c>
      <c r="C11" s="167" t="s">
        <v>19</v>
      </c>
      <c r="D11" s="166">
        <f>BOQ!F334</f>
        <v>1766069</v>
      </c>
      <c r="E11" s="164">
        <f>BOQ!H334</f>
        <v>2344906.7000000002</v>
      </c>
      <c r="F11" s="166">
        <f>BOQ!J334</f>
        <v>1879476.8537500002</v>
      </c>
    </row>
    <row r="12" spans="1:6" ht="20.149999999999999" customHeight="1">
      <c r="A12" s="160">
        <f t="shared" si="0"/>
        <v>8</v>
      </c>
      <c r="B12" s="160" t="s">
        <v>165</v>
      </c>
      <c r="C12" s="167" t="s">
        <v>166</v>
      </c>
      <c r="D12" s="166"/>
      <c r="E12" s="165"/>
      <c r="F12" s="166"/>
    </row>
    <row r="13" spans="1:6" ht="20.149999999999999" customHeight="1">
      <c r="A13" s="160">
        <f t="shared" si="0"/>
        <v>9</v>
      </c>
      <c r="B13" s="160" t="s">
        <v>12</v>
      </c>
      <c r="C13" s="167" t="s">
        <v>20</v>
      </c>
      <c r="D13" s="166">
        <f>BOQ!F355</f>
        <v>830167</v>
      </c>
      <c r="E13" s="165">
        <f>BOQ!H355</f>
        <v>568914</v>
      </c>
      <c r="F13" s="166">
        <f>BOQ!J355</f>
        <v>990008.25000000012</v>
      </c>
    </row>
    <row r="14" spans="1:6" ht="20.149999999999999" customHeight="1">
      <c r="A14" s="160">
        <f t="shared" si="0"/>
        <v>10</v>
      </c>
      <c r="B14" s="160" t="s">
        <v>13</v>
      </c>
      <c r="C14" s="167" t="s">
        <v>21</v>
      </c>
      <c r="D14" s="166">
        <f>BOQ!F425</f>
        <v>3179626.25</v>
      </c>
      <c r="E14" s="165">
        <f>BOQ!H425</f>
        <v>2550960</v>
      </c>
      <c r="F14" s="166">
        <f>BOQ!J425</f>
        <v>2756781.0375000001</v>
      </c>
    </row>
    <row r="15" spans="1:6" ht="20.149999999999999" customHeight="1">
      <c r="A15" s="160">
        <f t="shared" si="0"/>
        <v>11</v>
      </c>
      <c r="B15" s="160" t="s">
        <v>389</v>
      </c>
      <c r="C15" s="167" t="s">
        <v>400</v>
      </c>
      <c r="D15" s="166">
        <f>BOQ!F490</f>
        <v>7397626.25</v>
      </c>
      <c r="E15" s="165">
        <f>BOQ!H490</f>
        <v>7172790</v>
      </c>
      <c r="F15" s="166">
        <f>BOQ!J490</f>
        <v>8919361.6875</v>
      </c>
    </row>
    <row r="16" spans="1:6" ht="20.149999999999999" customHeight="1">
      <c r="A16" s="160">
        <f t="shared" si="0"/>
        <v>12</v>
      </c>
      <c r="B16" s="160" t="s">
        <v>435</v>
      </c>
      <c r="C16" s="167" t="s">
        <v>540</v>
      </c>
      <c r="D16" s="166"/>
      <c r="E16" s="165"/>
      <c r="F16" s="166"/>
    </row>
    <row r="17" spans="1:6" ht="21" customHeight="1">
      <c r="A17" s="204" t="s">
        <v>22</v>
      </c>
      <c r="B17" s="204"/>
      <c r="C17" s="204"/>
      <c r="D17" s="163">
        <f t="shared" ref="D17" si="1">SUM(D5:D16)</f>
        <v>91682372</v>
      </c>
      <c r="E17" s="162">
        <f>SUM(E5:E16)</f>
        <v>91030911.000000015</v>
      </c>
      <c r="F17" s="163">
        <f t="shared" ref="F17" si="2">SUM(F5:F16)</f>
        <v>99835480.046249986</v>
      </c>
    </row>
    <row r="18" spans="1:6" ht="18" customHeight="1"/>
    <row r="19" spans="1:6" ht="18" customHeight="1">
      <c r="C19" s="203" t="s">
        <v>753</v>
      </c>
      <c r="D19" s="203"/>
    </row>
    <row r="20" spans="1:6" ht="14.5">
      <c r="C20" s="159" t="s">
        <v>754</v>
      </c>
      <c r="D20" s="158">
        <f>100%-(($E$17/D17))</f>
        <v>7.1056298587037769E-3</v>
      </c>
    </row>
    <row r="21" spans="1:6" ht="14.5">
      <c r="C21" s="159" t="s">
        <v>755</v>
      </c>
      <c r="D21" s="158">
        <f>100%-(($E$17/F17))</f>
        <v>8.8190781896086978E-2</v>
      </c>
    </row>
  </sheetData>
  <customSheetViews>
    <customSheetView guid="{5399B9A3-C514-4B3F-AA20-DF1128B22F93}" showPageBreaks="1" printArea="1" view="pageBreakPreview">
      <selection activeCell="K17" sqref="K17"/>
      <colBreaks count="1" manualBreakCount="1">
        <brk id="14" max="22" man="1"/>
      </colBreaks>
      <pageMargins left="0.74803149606299213" right="0.74803149606299213" top="0.62992125984251968" bottom="0.98425196850393704" header="0.27559055118110237" footer="0.51181102362204722"/>
      <printOptions horizontalCentered="1"/>
      <pageSetup paperSize="8" scale="59" orientation="landscape" r:id="rId1"/>
      <headerFooter alignWithMargins="0"/>
    </customSheetView>
  </customSheetViews>
  <mergeCells count="6">
    <mergeCell ref="A1:F1"/>
    <mergeCell ref="C19:D19"/>
    <mergeCell ref="A17:C17"/>
    <mergeCell ref="A3:A4"/>
    <mergeCell ref="B3:B4"/>
    <mergeCell ref="C3:C4"/>
  </mergeCells>
  <phoneticPr fontId="7" type="noConversion"/>
  <conditionalFormatting sqref="D5:F5">
    <cfRule type="top10" dxfId="1264" priority="31599" stopIfTrue="1" bottom="1" rank="1"/>
    <cfRule type="top10" dxfId="1263" priority="31600" stopIfTrue="1" bottom="1" rank="2"/>
    <cfRule type="top10" dxfId="1262" priority="31601" stopIfTrue="1" bottom="1" rank="3"/>
    <cfRule type="top10" dxfId="1261" priority="31602" stopIfTrue="1" bottom="1" rank="4"/>
    <cfRule type="top10" dxfId="1260" priority="31603" stopIfTrue="1" bottom="1" rank="5"/>
    <cfRule type="top10" dxfId="1259" priority="31604" stopIfTrue="1" rank="1"/>
    <cfRule type="top10" dxfId="1258" priority="31605" stopIfTrue="1" rank="2"/>
    <cfRule type="top10" dxfId="1257" priority="31606" stopIfTrue="1" rank="3"/>
  </conditionalFormatting>
  <conditionalFormatting sqref="D6:F6">
    <cfRule type="top10" dxfId="1256" priority="31607" stopIfTrue="1" bottom="1" rank="1"/>
    <cfRule type="top10" dxfId="1255" priority="31608" stopIfTrue="1" bottom="1" rank="2"/>
    <cfRule type="top10" dxfId="1254" priority="31609" stopIfTrue="1" bottom="1" rank="3"/>
    <cfRule type="top10" dxfId="1253" priority="31610" stopIfTrue="1" bottom="1" rank="4"/>
    <cfRule type="top10" dxfId="1252" priority="31611" stopIfTrue="1" bottom="1" rank="5"/>
    <cfRule type="top10" dxfId="1251" priority="31612" stopIfTrue="1" rank="1"/>
    <cfRule type="top10" dxfId="1250" priority="31613" stopIfTrue="1" rank="2"/>
    <cfRule type="top10" dxfId="1249" priority="31614" stopIfTrue="1" rank="3"/>
  </conditionalFormatting>
  <conditionalFormatting sqref="D7:F7">
    <cfRule type="top10" dxfId="1248" priority="31615" stopIfTrue="1" bottom="1" rank="1"/>
    <cfRule type="top10" dxfId="1247" priority="31616" stopIfTrue="1" bottom="1" rank="2"/>
    <cfRule type="top10" dxfId="1246" priority="31617" stopIfTrue="1" bottom="1" rank="3"/>
    <cfRule type="top10" dxfId="1245" priority="31618" stopIfTrue="1" bottom="1" rank="4"/>
    <cfRule type="top10" dxfId="1244" priority="31619" stopIfTrue="1" bottom="1" rank="5"/>
    <cfRule type="top10" dxfId="1243" priority="31620" stopIfTrue="1" rank="1"/>
    <cfRule type="top10" dxfId="1242" priority="31621" stopIfTrue="1" rank="2"/>
    <cfRule type="top10" dxfId="1241" priority="31622" stopIfTrue="1" rank="3"/>
  </conditionalFormatting>
  <conditionalFormatting sqref="D8:F8">
    <cfRule type="top10" dxfId="1240" priority="31623" stopIfTrue="1" bottom="1" rank="1"/>
    <cfRule type="top10" dxfId="1239" priority="31624" stopIfTrue="1" bottom="1" rank="2"/>
    <cfRule type="top10" dxfId="1238" priority="31625" stopIfTrue="1" bottom="1" rank="3"/>
    <cfRule type="top10" dxfId="1237" priority="31626" stopIfTrue="1" bottom="1" rank="4"/>
    <cfRule type="top10" dxfId="1236" priority="31627" stopIfTrue="1" bottom="1" rank="5"/>
    <cfRule type="top10" dxfId="1235" priority="31628" stopIfTrue="1" rank="1"/>
    <cfRule type="top10" dxfId="1234" priority="31629" stopIfTrue="1" rank="2"/>
    <cfRule type="top10" dxfId="1233" priority="31630" stopIfTrue="1" rank="3"/>
  </conditionalFormatting>
  <conditionalFormatting sqref="D9:F9">
    <cfRule type="top10" dxfId="1232" priority="31631" stopIfTrue="1" bottom="1" rank="1"/>
    <cfRule type="top10" dxfId="1231" priority="31632" stopIfTrue="1" bottom="1" rank="2"/>
    <cfRule type="top10" dxfId="1230" priority="31633" stopIfTrue="1" bottom="1" rank="3"/>
    <cfRule type="top10" dxfId="1229" priority="31634" stopIfTrue="1" bottom="1" rank="4"/>
    <cfRule type="top10" dxfId="1228" priority="31635" stopIfTrue="1" bottom="1" rank="5"/>
    <cfRule type="top10" dxfId="1227" priority="31636" stopIfTrue="1" rank="1"/>
    <cfRule type="top10" dxfId="1226" priority="31637" stopIfTrue="1" rank="2"/>
    <cfRule type="top10" dxfId="1225" priority="31638" stopIfTrue="1" rank="3"/>
  </conditionalFormatting>
  <conditionalFormatting sqref="D10:F10">
    <cfRule type="top10" dxfId="1224" priority="31639" stopIfTrue="1" bottom="1" rank="1"/>
    <cfRule type="top10" dxfId="1223" priority="31640" stopIfTrue="1" bottom="1" rank="2"/>
    <cfRule type="top10" dxfId="1222" priority="31641" stopIfTrue="1" bottom="1" rank="3"/>
    <cfRule type="top10" dxfId="1221" priority="31642" stopIfTrue="1" bottom="1" rank="4"/>
    <cfRule type="top10" dxfId="1220" priority="31643" stopIfTrue="1" bottom="1" rank="5"/>
    <cfRule type="top10" dxfId="1219" priority="31644" stopIfTrue="1" rank="1"/>
    <cfRule type="top10" dxfId="1218" priority="31645" stopIfTrue="1" rank="2"/>
    <cfRule type="top10" dxfId="1217" priority="31646" stopIfTrue="1" rank="3"/>
  </conditionalFormatting>
  <conditionalFormatting sqref="D11:F11">
    <cfRule type="top10" dxfId="1216" priority="31647" stopIfTrue="1" bottom="1" rank="1"/>
    <cfRule type="top10" dxfId="1215" priority="31648" stopIfTrue="1" bottom="1" rank="2"/>
    <cfRule type="top10" dxfId="1214" priority="31649" stopIfTrue="1" bottom="1" rank="3"/>
    <cfRule type="top10" dxfId="1213" priority="31650" stopIfTrue="1" bottom="1" rank="4"/>
    <cfRule type="top10" dxfId="1212" priority="31651" stopIfTrue="1" bottom="1" rank="5"/>
    <cfRule type="top10" dxfId="1211" priority="31652" stopIfTrue="1" rank="1"/>
    <cfRule type="top10" dxfId="1210" priority="31653" stopIfTrue="1" rank="2"/>
    <cfRule type="top10" dxfId="1209" priority="31654" stopIfTrue="1" rank="3"/>
  </conditionalFormatting>
  <conditionalFormatting sqref="D12:F12">
    <cfRule type="top10" dxfId="1208" priority="31655" stopIfTrue="1" bottom="1" rank="1"/>
    <cfRule type="top10" dxfId="1207" priority="31656" stopIfTrue="1" bottom="1" rank="2"/>
    <cfRule type="top10" dxfId="1206" priority="31657" stopIfTrue="1" bottom="1" rank="3"/>
    <cfRule type="top10" dxfId="1205" priority="31658" stopIfTrue="1" bottom="1" rank="4"/>
    <cfRule type="top10" dxfId="1204" priority="31659" stopIfTrue="1" bottom="1" rank="5"/>
    <cfRule type="top10" dxfId="1203" priority="31660" stopIfTrue="1" rank="1"/>
    <cfRule type="top10" dxfId="1202" priority="31661" stopIfTrue="1" rank="2"/>
    <cfRule type="top10" dxfId="1201" priority="31662" stopIfTrue="1" rank="3"/>
  </conditionalFormatting>
  <conditionalFormatting sqref="D13:F13">
    <cfRule type="top10" dxfId="1200" priority="31663" stopIfTrue="1" bottom="1" rank="1"/>
    <cfRule type="top10" dxfId="1199" priority="31664" stopIfTrue="1" bottom="1" rank="2"/>
    <cfRule type="top10" dxfId="1198" priority="31665" stopIfTrue="1" bottom="1" rank="3"/>
    <cfRule type="top10" dxfId="1197" priority="31666" stopIfTrue="1" bottom="1" rank="4"/>
    <cfRule type="top10" dxfId="1196" priority="31667" stopIfTrue="1" bottom="1" rank="5"/>
    <cfRule type="top10" dxfId="1195" priority="31668" stopIfTrue="1" rank="1"/>
    <cfRule type="top10" dxfId="1194" priority="31669" stopIfTrue="1" rank="2"/>
    <cfRule type="top10" dxfId="1193" priority="31670" stopIfTrue="1" rank="3"/>
  </conditionalFormatting>
  <conditionalFormatting sqref="D14:F14">
    <cfRule type="top10" dxfId="1192" priority="31671" stopIfTrue="1" bottom="1" rank="1"/>
    <cfRule type="top10" dxfId="1191" priority="31672" stopIfTrue="1" bottom="1" rank="2"/>
    <cfRule type="top10" dxfId="1190" priority="31673" stopIfTrue="1" bottom="1" rank="3"/>
    <cfRule type="top10" dxfId="1189" priority="31674" stopIfTrue="1" bottom="1" rank="4"/>
    <cfRule type="top10" dxfId="1188" priority="31675" stopIfTrue="1" bottom="1" rank="5"/>
    <cfRule type="top10" dxfId="1187" priority="31676" stopIfTrue="1" rank="1"/>
    <cfRule type="top10" dxfId="1186" priority="31677" stopIfTrue="1" rank="2"/>
    <cfRule type="top10" dxfId="1185" priority="31678" stopIfTrue="1" rank="3"/>
  </conditionalFormatting>
  <conditionalFormatting sqref="D15:F15">
    <cfRule type="top10" dxfId="1184" priority="31679" stopIfTrue="1" bottom="1" rank="1"/>
    <cfRule type="top10" dxfId="1183" priority="31680" stopIfTrue="1" bottom="1" rank="2"/>
    <cfRule type="top10" dxfId="1182" priority="31681" stopIfTrue="1" bottom="1" rank="3"/>
    <cfRule type="top10" dxfId="1181" priority="31682" stopIfTrue="1" bottom="1" rank="4"/>
    <cfRule type="top10" dxfId="1180" priority="31683" stopIfTrue="1" bottom="1" rank="5"/>
    <cfRule type="top10" dxfId="1179" priority="31684" stopIfTrue="1" rank="1"/>
    <cfRule type="top10" dxfId="1178" priority="31685" stopIfTrue="1" rank="2"/>
    <cfRule type="top10" dxfId="1177" priority="31686" stopIfTrue="1" rank="3"/>
  </conditionalFormatting>
  <conditionalFormatting sqref="D16:F16">
    <cfRule type="top10" dxfId="1176" priority="31687" stopIfTrue="1" bottom="1" rank="1"/>
    <cfRule type="top10" dxfId="1175" priority="31688" stopIfTrue="1" bottom="1" rank="2"/>
    <cfRule type="top10" dxfId="1174" priority="31689" stopIfTrue="1" bottom="1" rank="3"/>
    <cfRule type="top10" dxfId="1173" priority="31690" stopIfTrue="1" bottom="1" rank="4"/>
    <cfRule type="top10" dxfId="1172" priority="31691" stopIfTrue="1" bottom="1" rank="5"/>
    <cfRule type="top10" dxfId="1171" priority="31692" stopIfTrue="1" rank="1"/>
    <cfRule type="top10" dxfId="1170" priority="31693" stopIfTrue="1" rank="2"/>
    <cfRule type="top10" dxfId="1169" priority="31694" stopIfTrue="1" rank="3"/>
  </conditionalFormatting>
  <conditionalFormatting sqref="D17:F17">
    <cfRule type="top10" dxfId="1168" priority="31695" stopIfTrue="1" bottom="1" rank="1"/>
    <cfRule type="top10" dxfId="1167" priority="31696" stopIfTrue="1" bottom="1" rank="2"/>
    <cfRule type="top10" dxfId="1166" priority="31697" stopIfTrue="1" bottom="1" rank="3"/>
    <cfRule type="top10" dxfId="1165" priority="31698" stopIfTrue="1" bottom="1" rank="4"/>
    <cfRule type="top10" dxfId="1164" priority="31699" stopIfTrue="1" bottom="1" rank="5"/>
    <cfRule type="top10" dxfId="1163" priority="31700" stopIfTrue="1" rank="1"/>
    <cfRule type="top10" dxfId="1162" priority="31701" stopIfTrue="1" rank="2"/>
    <cfRule type="top10" dxfId="1161" priority="31702" stopIfTrue="1" rank="3"/>
  </conditionalFormatting>
  <conditionalFormatting sqref="E6:F6">
    <cfRule type="top10" dxfId="1160" priority="31703" stopIfTrue="1" bottom="1" rank="1"/>
    <cfRule type="top10" dxfId="1159" priority="31704" stopIfTrue="1" bottom="1" rank="2"/>
    <cfRule type="top10" dxfId="1158" priority="31705" stopIfTrue="1" bottom="1" rank="3"/>
    <cfRule type="top10" dxfId="1157" priority="31706" stopIfTrue="1" bottom="1" rank="4"/>
    <cfRule type="top10" dxfId="1156" priority="31707" stopIfTrue="1" rank="1"/>
    <cfRule type="top10" dxfId="1155" priority="31708" stopIfTrue="1" rank="2"/>
    <cfRule type="top10" dxfId="1154" priority="31709" stopIfTrue="1" rank="3"/>
  </conditionalFormatting>
  <printOptions horizontalCentered="1"/>
  <pageMargins left="0.74803149606299213" right="0.74803149606299213" top="0.62992125984251968" bottom="0.98425196850393704" header="0.27559055118110237" footer="0.51181102362204722"/>
  <pageSetup paperSize="8" scale="59" orientation="landscape"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97"/>
  <sheetViews>
    <sheetView showZeros="0" topLeftCell="A4" zoomScale="55" zoomScaleNormal="55" zoomScaleSheetLayoutView="68" workbookViewId="0">
      <pane xSplit="4" ySplit="4" topLeftCell="G395" activePane="bottomRight" state="frozen"/>
      <selection activeCell="A4" sqref="A4"/>
      <selection pane="topRight" activeCell="E4" sqref="E4"/>
      <selection pane="bottomLeft" activeCell="A8" sqref="A8"/>
      <selection pane="bottomRight" activeCell="J395" sqref="J395"/>
    </sheetView>
  </sheetViews>
  <sheetFormatPr defaultColWidth="9.1796875" defaultRowHeight="18.5"/>
  <cols>
    <col min="1" max="1" width="22.26953125" style="46" customWidth="1"/>
    <col min="2" max="2" width="95.7265625" style="47" customWidth="1"/>
    <col min="3" max="3" width="18.81640625" style="98" customWidth="1"/>
    <col min="4" max="5" width="17.81640625" style="2" customWidth="1"/>
    <col min="6" max="6" width="32.1796875" style="2" customWidth="1"/>
    <col min="7" max="7" width="36.54296875" style="15" customWidth="1"/>
    <col min="8" max="8" width="36.54296875" style="156" customWidth="1"/>
    <col min="9" max="9" width="36.54296875" style="15" customWidth="1"/>
    <col min="10" max="10" width="36.54296875" style="156" customWidth="1"/>
    <col min="11" max="16384" width="9.1796875" style="1"/>
  </cols>
  <sheetData>
    <row r="1" spans="1:10">
      <c r="A1" s="62"/>
      <c r="B1" s="62"/>
      <c r="C1" s="210"/>
      <c r="D1" s="210"/>
      <c r="E1" s="210"/>
      <c r="F1" s="210"/>
      <c r="G1" s="1"/>
      <c r="H1" s="150"/>
      <c r="I1" s="1"/>
      <c r="J1" s="150"/>
    </row>
    <row r="2" spans="1:10" ht="14.5">
      <c r="A2" s="1"/>
      <c r="B2" s="208"/>
      <c r="C2" s="209"/>
      <c r="D2" s="209"/>
      <c r="E2" s="209"/>
      <c r="F2" s="209"/>
      <c r="G2" s="1"/>
      <c r="H2" s="150"/>
      <c r="I2" s="1"/>
      <c r="J2" s="150"/>
    </row>
    <row r="3" spans="1:10" ht="26">
      <c r="A3" s="134" t="e">
        <v>#VALUE!</v>
      </c>
      <c r="B3" s="213"/>
      <c r="C3" s="213"/>
      <c r="D3" s="213"/>
      <c r="E3" s="213"/>
      <c r="F3" s="213"/>
      <c r="G3" s="213"/>
      <c r="H3" s="213"/>
      <c r="I3" s="213"/>
      <c r="J3" s="213"/>
    </row>
    <row r="4" spans="1:10" ht="21.5" thickBot="1">
      <c r="A4" s="134"/>
      <c r="B4" s="100"/>
      <c r="C4" s="101"/>
      <c r="D4" s="101"/>
      <c r="E4" s="101"/>
      <c r="F4" s="101"/>
      <c r="G4" s="101"/>
      <c r="H4" s="151"/>
      <c r="I4" s="101"/>
      <c r="J4" s="151"/>
    </row>
    <row r="5" spans="1:10" s="123" customFormat="1" ht="21">
      <c r="A5" s="207" t="s">
        <v>152</v>
      </c>
      <c r="B5" s="207" t="s">
        <v>153</v>
      </c>
      <c r="C5" s="211" t="s">
        <v>79</v>
      </c>
      <c r="D5" s="212" t="s">
        <v>57</v>
      </c>
      <c r="E5" s="206" t="s">
        <v>727</v>
      </c>
      <c r="F5" s="206"/>
      <c r="G5" s="214" t="s">
        <v>723</v>
      </c>
      <c r="H5" s="215"/>
      <c r="I5" s="216" t="s">
        <v>724</v>
      </c>
      <c r="J5" s="217"/>
    </row>
    <row r="6" spans="1:10" s="123" customFormat="1" ht="21">
      <c r="A6" s="207"/>
      <c r="B6" s="207"/>
      <c r="C6" s="211"/>
      <c r="D6" s="212"/>
      <c r="E6" s="126" t="s">
        <v>58</v>
      </c>
      <c r="F6" s="126" t="s">
        <v>680</v>
      </c>
      <c r="G6" s="124" t="s">
        <v>58</v>
      </c>
      <c r="H6" s="186" t="s">
        <v>680</v>
      </c>
      <c r="I6" s="125" t="s">
        <v>58</v>
      </c>
      <c r="J6" s="187" t="s">
        <v>680</v>
      </c>
    </row>
    <row r="7" spans="1:10">
      <c r="A7" s="3"/>
      <c r="B7" s="22" t="s">
        <v>167</v>
      </c>
      <c r="C7" s="4"/>
      <c r="D7" s="102"/>
      <c r="E7" s="4"/>
      <c r="F7" s="4"/>
      <c r="G7" s="122"/>
      <c r="H7" s="152"/>
      <c r="I7" s="122"/>
      <c r="J7" s="152"/>
    </row>
    <row r="8" spans="1:10" ht="55.5">
      <c r="A8" s="5" t="s">
        <v>168</v>
      </c>
      <c r="B8" s="28" t="s">
        <v>480</v>
      </c>
      <c r="C8" s="49" t="s">
        <v>715</v>
      </c>
      <c r="D8" s="103" t="s">
        <v>78</v>
      </c>
      <c r="E8" s="190">
        <v>23.75</v>
      </c>
      <c r="F8" s="127"/>
      <c r="G8" s="24">
        <v>13</v>
      </c>
      <c r="H8" s="153"/>
      <c r="I8" s="138">
        <v>13.824999999999999</v>
      </c>
      <c r="J8" s="153"/>
    </row>
    <row r="9" spans="1:10" ht="55.5">
      <c r="A9" s="5" t="s">
        <v>557</v>
      </c>
      <c r="B9" s="28" t="s">
        <v>599</v>
      </c>
      <c r="C9" s="49" t="s">
        <v>715</v>
      </c>
      <c r="D9" s="103" t="s">
        <v>78</v>
      </c>
      <c r="E9" s="190">
        <v>76</v>
      </c>
      <c r="F9" s="127"/>
      <c r="G9" s="24">
        <v>66</v>
      </c>
      <c r="H9" s="153"/>
      <c r="I9" s="138">
        <v>49.375</v>
      </c>
      <c r="J9" s="153"/>
    </row>
    <row r="10" spans="1:10" ht="166.5">
      <c r="A10" s="5" t="s">
        <v>24</v>
      </c>
      <c r="B10" s="23" t="s">
        <v>401</v>
      </c>
      <c r="C10" s="49">
        <v>0</v>
      </c>
      <c r="D10" s="104"/>
      <c r="E10" s="190">
        <v>0</v>
      </c>
      <c r="F10" s="127"/>
      <c r="G10" s="24">
        <v>0</v>
      </c>
      <c r="H10" s="153"/>
      <c r="I10" s="138">
        <v>0</v>
      </c>
      <c r="J10" s="153">
        <f>I10*G9</f>
        <v>0</v>
      </c>
    </row>
    <row r="11" spans="1:10">
      <c r="A11" s="5"/>
      <c r="B11" s="23" t="s">
        <v>28</v>
      </c>
      <c r="C11" s="49">
        <v>3425</v>
      </c>
      <c r="D11" s="104" t="s">
        <v>80</v>
      </c>
      <c r="E11" s="190">
        <v>180.5</v>
      </c>
      <c r="F11" s="127">
        <f>E11*C11</f>
        <v>618212.5</v>
      </c>
      <c r="G11" s="24">
        <v>134</v>
      </c>
      <c r="H11" s="153">
        <f>IFERROR(G11*C11,"")</f>
        <v>458950</v>
      </c>
      <c r="I11" s="138">
        <v>132.32499999999999</v>
      </c>
      <c r="J11" s="153">
        <f>$I11*$C11</f>
        <v>453213.12499999994</v>
      </c>
    </row>
    <row r="12" spans="1:10">
      <c r="A12" s="5"/>
      <c r="B12" s="23" t="s">
        <v>197</v>
      </c>
      <c r="C12" s="49">
        <v>600</v>
      </c>
      <c r="D12" s="104" t="s">
        <v>80</v>
      </c>
      <c r="E12" s="190">
        <v>190</v>
      </c>
      <c r="F12" s="127">
        <f>E12*C12</f>
        <v>114000</v>
      </c>
      <c r="G12" s="24">
        <v>150</v>
      </c>
      <c r="H12" s="153">
        <f t="shared" ref="H12:H75" si="0">IFERROR(G12*C12,"")</f>
        <v>90000</v>
      </c>
      <c r="I12" s="138">
        <v>145.16249999999999</v>
      </c>
      <c r="J12" s="153">
        <f>$I12*$C12</f>
        <v>87097.5</v>
      </c>
    </row>
    <row r="13" spans="1:10">
      <c r="A13" s="5"/>
      <c r="B13" s="23" t="s">
        <v>26</v>
      </c>
      <c r="C13" s="49">
        <v>226</v>
      </c>
      <c r="D13" s="104" t="s">
        <v>80</v>
      </c>
      <c r="E13" s="190">
        <v>256.5</v>
      </c>
      <c r="F13" s="185">
        <f>E13*C13</f>
        <v>57969</v>
      </c>
      <c r="G13" s="24">
        <v>160</v>
      </c>
      <c r="H13" s="153">
        <f t="shared" si="0"/>
        <v>36160</v>
      </c>
      <c r="I13" s="138">
        <v>157.01249999999999</v>
      </c>
      <c r="J13" s="154">
        <f>$I13*$C13</f>
        <v>35484.824999999997</v>
      </c>
    </row>
    <row r="14" spans="1:10">
      <c r="A14" s="5"/>
      <c r="B14" s="23" t="s">
        <v>27</v>
      </c>
      <c r="C14" s="49" t="s">
        <v>715</v>
      </c>
      <c r="D14" s="104" t="s">
        <v>80</v>
      </c>
      <c r="E14" s="190">
        <v>318.25</v>
      </c>
      <c r="F14" s="185"/>
      <c r="G14" s="24">
        <v>185</v>
      </c>
      <c r="H14" s="153" t="str">
        <f t="shared" si="0"/>
        <v/>
      </c>
      <c r="I14" s="138">
        <v>182.6875</v>
      </c>
      <c r="J14" s="154"/>
    </row>
    <row r="15" spans="1:10">
      <c r="A15" s="5"/>
      <c r="B15" s="23" t="s">
        <v>213</v>
      </c>
      <c r="C15" s="49" t="s">
        <v>715</v>
      </c>
      <c r="D15" s="104" t="s">
        <v>80</v>
      </c>
      <c r="E15" s="190">
        <v>389.5</v>
      </c>
      <c r="F15" s="185"/>
      <c r="G15" s="24">
        <v>201</v>
      </c>
      <c r="H15" s="153" t="str">
        <f t="shared" si="0"/>
        <v/>
      </c>
      <c r="I15" s="138">
        <v>197.5</v>
      </c>
      <c r="J15" s="154"/>
    </row>
    <row r="16" spans="1:10" ht="74">
      <c r="A16" s="5" t="s">
        <v>25</v>
      </c>
      <c r="B16" s="28" t="s">
        <v>600</v>
      </c>
      <c r="C16" s="49">
        <v>0</v>
      </c>
      <c r="D16" s="105"/>
      <c r="E16" s="190"/>
      <c r="F16" s="185"/>
      <c r="G16" s="24">
        <v>0</v>
      </c>
      <c r="H16" s="153">
        <f t="shared" si="0"/>
        <v>0</v>
      </c>
      <c r="I16" s="138"/>
      <c r="J16" s="154"/>
    </row>
    <row r="17" spans="1:10">
      <c r="A17" s="5"/>
      <c r="B17" s="23" t="s">
        <v>402</v>
      </c>
      <c r="C17" s="49">
        <v>4450</v>
      </c>
      <c r="D17" s="104" t="s">
        <v>80</v>
      </c>
      <c r="E17" s="190">
        <v>413.25</v>
      </c>
      <c r="F17" s="185">
        <f>E17*C17</f>
        <v>1838962.5</v>
      </c>
      <c r="G17" s="24">
        <v>413</v>
      </c>
      <c r="H17" s="153">
        <f t="shared" si="0"/>
        <v>1837850</v>
      </c>
      <c r="I17" s="138">
        <v>402.9</v>
      </c>
      <c r="J17" s="154">
        <f>$I17*$C17</f>
        <v>1792905</v>
      </c>
    </row>
    <row r="18" spans="1:10">
      <c r="A18" s="5"/>
      <c r="B18" s="23" t="s">
        <v>403</v>
      </c>
      <c r="C18" s="49">
        <v>2995</v>
      </c>
      <c r="D18" s="104" t="s">
        <v>80</v>
      </c>
      <c r="E18" s="190">
        <v>1268.25</v>
      </c>
      <c r="F18" s="185">
        <f>E18*C18</f>
        <v>3798408.75</v>
      </c>
      <c r="G18" s="24">
        <v>755</v>
      </c>
      <c r="H18" s="153">
        <f t="shared" si="0"/>
        <v>2261225</v>
      </c>
      <c r="I18" s="138">
        <v>1463.4749999999999</v>
      </c>
      <c r="J18" s="154">
        <f>$I18*$C18</f>
        <v>4383107.625</v>
      </c>
    </row>
    <row r="19" spans="1:10">
      <c r="A19" s="5"/>
      <c r="B19" s="23" t="s">
        <v>404</v>
      </c>
      <c r="C19" s="49" t="s">
        <v>715</v>
      </c>
      <c r="D19" s="104" t="s">
        <v>80</v>
      </c>
      <c r="E19" s="190">
        <v>1391.75</v>
      </c>
      <c r="F19" s="185"/>
      <c r="G19" s="24">
        <v>1031</v>
      </c>
      <c r="H19" s="153" t="str">
        <f t="shared" si="0"/>
        <v/>
      </c>
      <c r="I19" s="138">
        <v>987.5</v>
      </c>
      <c r="J19" s="154"/>
    </row>
    <row r="20" spans="1:10" ht="37">
      <c r="A20" s="5" t="s">
        <v>29</v>
      </c>
      <c r="B20" s="23" t="s">
        <v>405</v>
      </c>
      <c r="C20" s="49">
        <v>365</v>
      </c>
      <c r="D20" s="104" t="s">
        <v>80</v>
      </c>
      <c r="E20" s="190">
        <v>261.25</v>
      </c>
      <c r="F20" s="185">
        <f>E20*C20</f>
        <v>95356.25</v>
      </c>
      <c r="G20" s="24">
        <v>197</v>
      </c>
      <c r="H20" s="153">
        <f t="shared" si="0"/>
        <v>71905</v>
      </c>
      <c r="I20" s="138">
        <v>188.61250000000001</v>
      </c>
      <c r="J20" s="154">
        <f>$I20*$C20</f>
        <v>68843.5625</v>
      </c>
    </row>
    <row r="21" spans="1:10" ht="37">
      <c r="A21" s="5" t="s">
        <v>554</v>
      </c>
      <c r="B21" s="23" t="s">
        <v>601</v>
      </c>
      <c r="C21" s="49">
        <v>0</v>
      </c>
      <c r="D21" s="104"/>
      <c r="E21" s="190">
        <v>0</v>
      </c>
      <c r="F21" s="185">
        <f>E21*C21</f>
        <v>0</v>
      </c>
      <c r="G21" s="24">
        <v>0</v>
      </c>
      <c r="H21" s="153">
        <f t="shared" si="0"/>
        <v>0</v>
      </c>
      <c r="I21" s="138">
        <v>0</v>
      </c>
      <c r="J21" s="154">
        <f>I21*G20</f>
        <v>0</v>
      </c>
    </row>
    <row r="22" spans="1:10">
      <c r="A22" s="5"/>
      <c r="B22" s="23" t="s">
        <v>555</v>
      </c>
      <c r="C22" s="49">
        <v>950</v>
      </c>
      <c r="D22" s="104" t="s">
        <v>80</v>
      </c>
      <c r="E22" s="190">
        <v>261.25</v>
      </c>
      <c r="F22" s="185">
        <f>E22*C22</f>
        <v>248187.5</v>
      </c>
      <c r="G22" s="24">
        <v>195</v>
      </c>
      <c r="H22" s="153">
        <f t="shared" si="0"/>
        <v>185250</v>
      </c>
      <c r="I22" s="138">
        <v>188.61250000000001</v>
      </c>
      <c r="J22" s="154">
        <f>$I22*$C22</f>
        <v>179181.875</v>
      </c>
    </row>
    <row r="23" spans="1:10">
      <c r="A23" s="5"/>
      <c r="B23" s="23" t="s">
        <v>556</v>
      </c>
      <c r="C23" s="49" t="s">
        <v>715</v>
      </c>
      <c r="D23" s="104" t="s">
        <v>82</v>
      </c>
      <c r="E23" s="190">
        <v>2042.5</v>
      </c>
      <c r="F23" s="185"/>
      <c r="G23" s="24">
        <v>955</v>
      </c>
      <c r="H23" s="153" t="str">
        <f t="shared" si="0"/>
        <v/>
      </c>
      <c r="I23" s="138">
        <v>1481.25</v>
      </c>
      <c r="J23" s="154"/>
    </row>
    <row r="24" spans="1:10" ht="92.5">
      <c r="A24" s="5" t="s">
        <v>30</v>
      </c>
      <c r="B24" s="23" t="s">
        <v>500</v>
      </c>
      <c r="C24" s="49">
        <v>0</v>
      </c>
      <c r="D24" s="105"/>
      <c r="E24" s="190">
        <v>0</v>
      </c>
      <c r="F24" s="185">
        <f>E24*C24</f>
        <v>0</v>
      </c>
      <c r="G24" s="24">
        <v>0</v>
      </c>
      <c r="H24" s="153">
        <f t="shared" si="0"/>
        <v>0</v>
      </c>
      <c r="I24" s="138">
        <v>0</v>
      </c>
      <c r="J24" s="154">
        <f>I24*G23</f>
        <v>0</v>
      </c>
    </row>
    <row r="25" spans="1:10">
      <c r="A25" s="5"/>
      <c r="B25" s="23" t="s">
        <v>222</v>
      </c>
      <c r="C25" s="49" t="s">
        <v>715</v>
      </c>
      <c r="D25" s="104" t="s">
        <v>169</v>
      </c>
      <c r="E25" s="190">
        <v>498.75</v>
      </c>
      <c r="F25" s="185"/>
      <c r="G25" s="24">
        <v>519</v>
      </c>
      <c r="H25" s="153" t="str">
        <f t="shared" si="0"/>
        <v/>
      </c>
      <c r="I25" s="138">
        <v>592.5</v>
      </c>
      <c r="J25" s="154"/>
    </row>
    <row r="26" spans="1:10" ht="37">
      <c r="A26" s="5"/>
      <c r="B26" s="23" t="s">
        <v>274</v>
      </c>
      <c r="C26" s="49">
        <v>16475</v>
      </c>
      <c r="D26" s="104" t="s">
        <v>169</v>
      </c>
      <c r="E26" s="190">
        <v>266</v>
      </c>
      <c r="F26" s="185">
        <f>E26*C26</f>
        <v>4382350</v>
      </c>
      <c r="G26" s="24">
        <v>295</v>
      </c>
      <c r="H26" s="153">
        <f t="shared" si="0"/>
        <v>4860125</v>
      </c>
      <c r="I26" s="138">
        <v>339.7</v>
      </c>
      <c r="J26" s="154">
        <f>$I26*$C26</f>
        <v>5596557.5</v>
      </c>
    </row>
    <row r="27" spans="1:10" ht="37">
      <c r="A27" s="5"/>
      <c r="B27" s="23" t="s">
        <v>275</v>
      </c>
      <c r="C27" s="49">
        <v>14882</v>
      </c>
      <c r="D27" s="104" t="s">
        <v>169</v>
      </c>
      <c r="E27" s="190">
        <v>147.25</v>
      </c>
      <c r="F27" s="185">
        <f>E27*C27</f>
        <v>2191374.5</v>
      </c>
      <c r="G27" s="24">
        <v>168</v>
      </c>
      <c r="H27" s="153">
        <f t="shared" si="0"/>
        <v>2500176</v>
      </c>
      <c r="I27" s="138">
        <v>172.8125</v>
      </c>
      <c r="J27" s="154">
        <f>$I27*$C27</f>
        <v>2571795.625</v>
      </c>
    </row>
    <row r="28" spans="1:10" ht="111">
      <c r="A28" s="5" t="s">
        <v>43</v>
      </c>
      <c r="B28" s="28" t="s">
        <v>713</v>
      </c>
      <c r="C28" s="49">
        <v>0</v>
      </c>
      <c r="D28" s="105"/>
      <c r="E28" s="190">
        <v>0</v>
      </c>
      <c r="F28" s="185">
        <f>E28*C28</f>
        <v>0</v>
      </c>
      <c r="G28" s="24">
        <v>0</v>
      </c>
      <c r="H28" s="153">
        <f t="shared" si="0"/>
        <v>0</v>
      </c>
      <c r="I28" s="138">
        <v>0</v>
      </c>
      <c r="J28" s="154">
        <f>I28*G27</f>
        <v>0</v>
      </c>
    </row>
    <row r="29" spans="1:10">
      <c r="A29" s="5"/>
      <c r="B29" s="30" t="s">
        <v>209</v>
      </c>
      <c r="C29" s="49" t="s">
        <v>715</v>
      </c>
      <c r="D29" s="104" t="s">
        <v>73</v>
      </c>
      <c r="E29" s="190">
        <v>237.5</v>
      </c>
      <c r="F29" s="185"/>
      <c r="G29" s="24">
        <v>312</v>
      </c>
      <c r="H29" s="153" t="str">
        <f t="shared" si="0"/>
        <v/>
      </c>
      <c r="I29" s="138">
        <v>251.8125</v>
      </c>
      <c r="J29" s="154"/>
    </row>
    <row r="30" spans="1:10">
      <c r="A30" s="5"/>
      <c r="B30" s="30" t="s">
        <v>210</v>
      </c>
      <c r="C30" s="49">
        <v>40</v>
      </c>
      <c r="D30" s="104" t="s">
        <v>73</v>
      </c>
      <c r="E30" s="190">
        <v>270.75</v>
      </c>
      <c r="F30" s="185">
        <f>E30*C30</f>
        <v>10830</v>
      </c>
      <c r="G30" s="24">
        <v>332</v>
      </c>
      <c r="H30" s="153">
        <f t="shared" si="0"/>
        <v>13280</v>
      </c>
      <c r="I30" s="138">
        <v>315.01249999999999</v>
      </c>
      <c r="J30" s="154">
        <f>$I30*$C30</f>
        <v>12600.5</v>
      </c>
    </row>
    <row r="31" spans="1:10">
      <c r="A31" s="5"/>
      <c r="B31" s="30" t="s">
        <v>263</v>
      </c>
      <c r="C31" s="49">
        <v>3936</v>
      </c>
      <c r="D31" s="104" t="s">
        <v>73</v>
      </c>
      <c r="E31" s="190">
        <v>342</v>
      </c>
      <c r="F31" s="185">
        <f>E31*C31</f>
        <v>1346112</v>
      </c>
      <c r="G31" s="24">
        <v>382</v>
      </c>
      <c r="H31" s="153">
        <f t="shared" si="0"/>
        <v>1503552</v>
      </c>
      <c r="I31" s="138">
        <v>472.02499999999998</v>
      </c>
      <c r="J31" s="154">
        <f>$I31*$C31</f>
        <v>1857890.4</v>
      </c>
    </row>
    <row r="32" spans="1:10">
      <c r="A32" s="5"/>
      <c r="B32" s="30" t="s">
        <v>264</v>
      </c>
      <c r="C32" s="49">
        <v>334</v>
      </c>
      <c r="D32" s="104" t="s">
        <v>73</v>
      </c>
      <c r="E32" s="190">
        <v>522.5</v>
      </c>
      <c r="F32" s="185">
        <f>E32*C32</f>
        <v>174515</v>
      </c>
      <c r="G32" s="24">
        <v>436</v>
      </c>
      <c r="H32" s="153">
        <f t="shared" si="0"/>
        <v>145624</v>
      </c>
      <c r="I32" s="138">
        <v>535.22500000000002</v>
      </c>
      <c r="J32" s="154">
        <f>$I32*$C32</f>
        <v>178765.15</v>
      </c>
    </row>
    <row r="33" spans="1:10">
      <c r="A33" s="5"/>
      <c r="B33" s="30" t="s">
        <v>647</v>
      </c>
      <c r="C33" s="49">
        <v>766</v>
      </c>
      <c r="D33" s="104" t="s">
        <v>73</v>
      </c>
      <c r="E33" s="190">
        <v>570</v>
      </c>
      <c r="F33" s="185">
        <f>E33*C33</f>
        <v>436620</v>
      </c>
      <c r="G33" s="24">
        <v>519</v>
      </c>
      <c r="H33" s="153">
        <f t="shared" si="0"/>
        <v>397554</v>
      </c>
      <c r="I33" s="138">
        <v>597.4375</v>
      </c>
      <c r="J33" s="154">
        <f>$I33*$C33</f>
        <v>457637.125</v>
      </c>
    </row>
    <row r="34" spans="1:10">
      <c r="A34" s="5"/>
      <c r="B34" s="30" t="s">
        <v>667</v>
      </c>
      <c r="C34" s="49" t="s">
        <v>715</v>
      </c>
      <c r="D34" s="104" t="s">
        <v>73</v>
      </c>
      <c r="E34" s="190">
        <v>731.5</v>
      </c>
      <c r="F34" s="185"/>
      <c r="G34" s="24">
        <v>727</v>
      </c>
      <c r="H34" s="153" t="str">
        <f t="shared" si="0"/>
        <v/>
      </c>
      <c r="I34" s="138">
        <v>660.63750000000005</v>
      </c>
      <c r="J34" s="154"/>
    </row>
    <row r="35" spans="1:10" ht="111">
      <c r="A35" s="5" t="s">
        <v>679</v>
      </c>
      <c r="B35" s="28" t="s">
        <v>714</v>
      </c>
      <c r="C35" s="49"/>
      <c r="D35" s="104"/>
      <c r="E35" s="190">
        <v>0</v>
      </c>
      <c r="F35" s="185">
        <f>E35*C35</f>
        <v>0</v>
      </c>
      <c r="G35" s="24">
        <v>0</v>
      </c>
      <c r="H35" s="153">
        <f t="shared" si="0"/>
        <v>0</v>
      </c>
      <c r="I35" s="138">
        <v>0</v>
      </c>
      <c r="J35" s="154">
        <f>I35*G34</f>
        <v>0</v>
      </c>
    </row>
    <row r="36" spans="1:10">
      <c r="A36" s="5"/>
      <c r="B36" s="30" t="s">
        <v>681</v>
      </c>
      <c r="C36" s="49">
        <v>1492</v>
      </c>
      <c r="D36" s="104" t="s">
        <v>73</v>
      </c>
      <c r="E36" s="190">
        <v>617.5</v>
      </c>
      <c r="F36" s="185">
        <f>E36*C36</f>
        <v>921310</v>
      </c>
      <c r="G36" s="24">
        <v>435</v>
      </c>
      <c r="H36" s="153">
        <f t="shared" si="0"/>
        <v>649020</v>
      </c>
      <c r="I36" s="138">
        <v>535.22500000000002</v>
      </c>
      <c r="J36" s="154">
        <f>$I36*$C36</f>
        <v>798555.70000000007</v>
      </c>
    </row>
    <row r="37" spans="1:10">
      <c r="A37" s="5"/>
      <c r="B37" s="30" t="s">
        <v>682</v>
      </c>
      <c r="C37" s="49">
        <v>275</v>
      </c>
      <c r="D37" s="104" t="s">
        <v>73</v>
      </c>
      <c r="E37" s="190">
        <v>916.75</v>
      </c>
      <c r="F37" s="185">
        <f>E37*C37</f>
        <v>252106.25</v>
      </c>
      <c r="G37" s="24">
        <v>519</v>
      </c>
      <c r="H37" s="153">
        <f t="shared" si="0"/>
        <v>142725</v>
      </c>
      <c r="I37" s="138">
        <v>660.63750000000005</v>
      </c>
      <c r="J37" s="154">
        <f>$I37*$C37</f>
        <v>181675.3125</v>
      </c>
    </row>
    <row r="38" spans="1:10" ht="37">
      <c r="A38" s="5" t="s">
        <v>211</v>
      </c>
      <c r="B38" s="31" t="s">
        <v>212</v>
      </c>
      <c r="C38" s="49">
        <v>0</v>
      </c>
      <c r="D38" s="105"/>
      <c r="E38" s="191">
        <v>0</v>
      </c>
      <c r="F38" s="185">
        <f>E38*C38</f>
        <v>0</v>
      </c>
      <c r="G38" s="32">
        <v>0</v>
      </c>
      <c r="H38" s="153">
        <f t="shared" si="0"/>
        <v>0</v>
      </c>
      <c r="I38" s="139">
        <v>0</v>
      </c>
      <c r="J38" s="154">
        <f>I38*G37</f>
        <v>0</v>
      </c>
    </row>
    <row r="39" spans="1:10">
      <c r="A39" s="5"/>
      <c r="B39" s="30" t="s">
        <v>209</v>
      </c>
      <c r="C39" s="49" t="s">
        <v>715</v>
      </c>
      <c r="D39" s="104" t="s">
        <v>71</v>
      </c>
      <c r="E39" s="190">
        <v>237.5</v>
      </c>
      <c r="F39" s="185"/>
      <c r="G39" s="24">
        <v>307</v>
      </c>
      <c r="H39" s="153" t="str">
        <f t="shared" si="0"/>
        <v/>
      </c>
      <c r="I39" s="138">
        <v>296.25</v>
      </c>
      <c r="J39" s="154"/>
    </row>
    <row r="40" spans="1:10">
      <c r="A40" s="5"/>
      <c r="B40" s="30" t="s">
        <v>210</v>
      </c>
      <c r="C40" s="49" t="s">
        <v>715</v>
      </c>
      <c r="D40" s="104" t="s">
        <v>71</v>
      </c>
      <c r="E40" s="190">
        <v>237.5</v>
      </c>
      <c r="F40" s="185"/>
      <c r="G40" s="24">
        <v>316</v>
      </c>
      <c r="H40" s="153" t="str">
        <f t="shared" si="0"/>
        <v/>
      </c>
      <c r="I40" s="138">
        <v>395</v>
      </c>
      <c r="J40" s="154"/>
    </row>
    <row r="41" spans="1:10">
      <c r="A41" s="5"/>
      <c r="B41" s="30" t="s">
        <v>263</v>
      </c>
      <c r="C41" s="49" t="s">
        <v>715</v>
      </c>
      <c r="D41" s="104" t="s">
        <v>71</v>
      </c>
      <c r="E41" s="190">
        <v>332.5</v>
      </c>
      <c r="F41" s="185"/>
      <c r="G41" s="24">
        <v>378</v>
      </c>
      <c r="H41" s="153" t="str">
        <f t="shared" si="0"/>
        <v/>
      </c>
      <c r="I41" s="138">
        <v>493.75</v>
      </c>
      <c r="J41" s="154"/>
    </row>
    <row r="42" spans="1:10">
      <c r="A42" s="5"/>
      <c r="B42" s="30" t="s">
        <v>264</v>
      </c>
      <c r="C42" s="49" t="s">
        <v>715</v>
      </c>
      <c r="D42" s="104" t="s">
        <v>71</v>
      </c>
      <c r="E42" s="190">
        <v>380</v>
      </c>
      <c r="F42" s="185"/>
      <c r="G42" s="24">
        <v>408</v>
      </c>
      <c r="H42" s="153" t="str">
        <f t="shared" si="0"/>
        <v/>
      </c>
      <c r="I42" s="138">
        <v>691.25</v>
      </c>
      <c r="J42" s="154"/>
    </row>
    <row r="43" spans="1:10">
      <c r="A43" s="67"/>
      <c r="B43" s="22" t="s">
        <v>31</v>
      </c>
      <c r="C43" s="35">
        <v>0</v>
      </c>
      <c r="D43" s="106"/>
      <c r="E43" s="192">
        <v>0</v>
      </c>
      <c r="F43" s="184">
        <f>SUM(F8:F42)</f>
        <v>16486314.25</v>
      </c>
      <c r="G43" s="140">
        <v>0</v>
      </c>
      <c r="H43" s="184">
        <f>SUM(H8:H42)</f>
        <v>15153396</v>
      </c>
      <c r="I43" s="184"/>
      <c r="J43" s="184">
        <f>SUM(J8:J42)</f>
        <v>18655310.824999996</v>
      </c>
    </row>
    <row r="44" spans="1:10">
      <c r="A44" s="67"/>
      <c r="B44" s="22" t="s">
        <v>66</v>
      </c>
      <c r="C44" s="35">
        <v>0</v>
      </c>
      <c r="D44" s="106"/>
      <c r="E44" s="192">
        <v>0</v>
      </c>
      <c r="F44" s="183"/>
      <c r="G44" s="140">
        <v>0</v>
      </c>
      <c r="H44" s="183"/>
      <c r="I44" s="183"/>
      <c r="J44" s="183"/>
    </row>
    <row r="45" spans="1:10" ht="219" customHeight="1">
      <c r="A45" s="49"/>
      <c r="B45" s="128" t="s">
        <v>748</v>
      </c>
      <c r="C45" s="35"/>
      <c r="D45" s="106"/>
      <c r="E45" s="190">
        <v>0</v>
      </c>
      <c r="F45" s="183"/>
      <c r="G45" s="138">
        <v>0</v>
      </c>
      <c r="H45" s="153">
        <f t="shared" si="0"/>
        <v>0</v>
      </c>
      <c r="I45" s="138">
        <v>0</v>
      </c>
      <c r="J45" s="154"/>
    </row>
    <row r="46" spans="1:10">
      <c r="A46" s="49"/>
      <c r="B46" s="128" t="s">
        <v>729</v>
      </c>
      <c r="C46" s="35"/>
      <c r="D46" s="106"/>
      <c r="E46" s="190">
        <v>0</v>
      </c>
      <c r="F46" s="183"/>
      <c r="G46" s="138">
        <v>0</v>
      </c>
      <c r="H46" s="153">
        <f t="shared" si="0"/>
        <v>0</v>
      </c>
      <c r="I46" s="138">
        <v>0</v>
      </c>
      <c r="J46" s="154"/>
    </row>
    <row r="47" spans="1:10" ht="37">
      <c r="A47" s="49"/>
      <c r="B47" s="128" t="s">
        <v>730</v>
      </c>
      <c r="C47" s="35"/>
      <c r="D47" s="106"/>
      <c r="E47" s="190">
        <v>0</v>
      </c>
      <c r="F47" s="183"/>
      <c r="G47" s="138">
        <v>0</v>
      </c>
      <c r="H47" s="153">
        <f t="shared" si="0"/>
        <v>0</v>
      </c>
      <c r="I47" s="138">
        <v>0</v>
      </c>
      <c r="J47" s="154"/>
    </row>
    <row r="48" spans="1:10" ht="92.5">
      <c r="A48" s="49"/>
      <c r="B48" s="128" t="s">
        <v>731</v>
      </c>
      <c r="C48" s="35"/>
      <c r="D48" s="106"/>
      <c r="E48" s="190">
        <v>0</v>
      </c>
      <c r="F48" s="183"/>
      <c r="G48" s="138">
        <v>0</v>
      </c>
      <c r="H48" s="153">
        <f t="shared" si="0"/>
        <v>0</v>
      </c>
      <c r="I48" s="138">
        <v>0</v>
      </c>
      <c r="J48" s="154"/>
    </row>
    <row r="49" spans="1:10" ht="37">
      <c r="A49" s="49"/>
      <c r="B49" s="128" t="s">
        <v>732</v>
      </c>
      <c r="C49" s="99"/>
      <c r="D49" s="107"/>
      <c r="E49" s="190">
        <v>0</v>
      </c>
      <c r="F49" s="99"/>
      <c r="G49" s="138">
        <v>0</v>
      </c>
      <c r="H49" s="153">
        <f t="shared" si="0"/>
        <v>0</v>
      </c>
      <c r="I49" s="138">
        <v>0</v>
      </c>
      <c r="J49" s="154"/>
    </row>
    <row r="50" spans="1:10" ht="74">
      <c r="A50" s="5" t="s">
        <v>32</v>
      </c>
      <c r="B50" s="23" t="s">
        <v>406</v>
      </c>
      <c r="C50" s="49">
        <v>0</v>
      </c>
      <c r="D50" s="105"/>
      <c r="E50" s="190">
        <v>0</v>
      </c>
      <c r="F50" s="185"/>
      <c r="G50" s="138">
        <v>0</v>
      </c>
      <c r="H50" s="153">
        <f t="shared" si="0"/>
        <v>0</v>
      </c>
      <c r="I50" s="138">
        <v>0</v>
      </c>
      <c r="J50" s="154"/>
    </row>
    <row r="51" spans="1:10">
      <c r="A51" s="5"/>
      <c r="B51" s="23" t="s">
        <v>34</v>
      </c>
      <c r="C51" s="49">
        <v>1407</v>
      </c>
      <c r="D51" s="104" t="s">
        <v>80</v>
      </c>
      <c r="E51" s="190">
        <v>4322.5</v>
      </c>
      <c r="F51" s="185">
        <f>E51*C51</f>
        <v>6081757.5</v>
      </c>
      <c r="G51" s="138">
        <v>3748</v>
      </c>
      <c r="H51" s="153">
        <f t="shared" si="0"/>
        <v>5273436</v>
      </c>
      <c r="I51" s="138">
        <v>4507.9375</v>
      </c>
      <c r="J51" s="154">
        <f>$I51*$C51</f>
        <v>6342668.0625</v>
      </c>
    </row>
    <row r="52" spans="1:10">
      <c r="A52" s="5"/>
      <c r="B52" s="23" t="s">
        <v>35</v>
      </c>
      <c r="C52" s="49" t="s">
        <v>715</v>
      </c>
      <c r="D52" s="104" t="s">
        <v>80</v>
      </c>
      <c r="E52" s="190">
        <v>4655</v>
      </c>
      <c r="F52" s="185"/>
      <c r="G52" s="138">
        <v>4000</v>
      </c>
      <c r="H52" s="153" t="str">
        <f t="shared" si="0"/>
        <v/>
      </c>
      <c r="I52" s="138">
        <v>4834.8</v>
      </c>
      <c r="J52" s="154"/>
    </row>
    <row r="53" spans="1:10" ht="166.5">
      <c r="A53" s="5" t="s">
        <v>33</v>
      </c>
      <c r="B53" s="38" t="s">
        <v>716</v>
      </c>
      <c r="C53" s="49">
        <v>0</v>
      </c>
      <c r="D53" s="105"/>
      <c r="E53" s="191">
        <v>0</v>
      </c>
      <c r="F53" s="185">
        <f>E53*C53</f>
        <v>0</v>
      </c>
      <c r="G53" s="139">
        <v>0</v>
      </c>
      <c r="H53" s="153">
        <f t="shared" si="0"/>
        <v>0</v>
      </c>
      <c r="I53" s="139">
        <v>0</v>
      </c>
      <c r="J53" s="154">
        <f>I53*G52</f>
        <v>0</v>
      </c>
    </row>
    <row r="54" spans="1:10">
      <c r="A54" s="5"/>
      <c r="B54" s="129" t="s">
        <v>733</v>
      </c>
      <c r="C54" s="49"/>
      <c r="D54" s="105"/>
      <c r="E54" s="191">
        <v>0</v>
      </c>
      <c r="F54" s="185"/>
      <c r="G54" s="139">
        <v>0</v>
      </c>
      <c r="H54" s="153">
        <f t="shared" si="0"/>
        <v>0</v>
      </c>
      <c r="I54" s="139">
        <v>0</v>
      </c>
      <c r="J54" s="154"/>
    </row>
    <row r="55" spans="1:10">
      <c r="A55" s="5"/>
      <c r="B55" s="21" t="s">
        <v>538</v>
      </c>
      <c r="C55" s="49">
        <v>0</v>
      </c>
      <c r="D55" s="105"/>
      <c r="E55" s="191">
        <v>0</v>
      </c>
      <c r="F55" s="185">
        <f>E55*C55</f>
        <v>0</v>
      </c>
      <c r="G55" s="139">
        <v>0</v>
      </c>
      <c r="H55" s="153">
        <f t="shared" si="0"/>
        <v>0</v>
      </c>
      <c r="I55" s="139">
        <v>0</v>
      </c>
      <c r="J55" s="154">
        <f>I55*G53</f>
        <v>0</v>
      </c>
    </row>
    <row r="56" spans="1:10">
      <c r="A56" s="5"/>
      <c r="B56" s="28" t="s">
        <v>250</v>
      </c>
      <c r="C56" s="49" t="s">
        <v>715</v>
      </c>
      <c r="D56" s="104" t="s">
        <v>80</v>
      </c>
      <c r="E56" s="190">
        <v>5343.75</v>
      </c>
      <c r="F56" s="185"/>
      <c r="G56" s="138">
        <v>4260</v>
      </c>
      <c r="H56" s="153" t="str">
        <f t="shared" si="0"/>
        <v/>
      </c>
      <c r="I56" s="138">
        <v>5826.25</v>
      </c>
      <c r="J56" s="154"/>
    </row>
    <row r="57" spans="1:10">
      <c r="A57" s="49"/>
      <c r="B57" s="28" t="s">
        <v>296</v>
      </c>
      <c r="C57" s="49" t="s">
        <v>715</v>
      </c>
      <c r="D57" s="104" t="s">
        <v>80</v>
      </c>
      <c r="E57" s="190">
        <v>5628.75</v>
      </c>
      <c r="F57" s="185"/>
      <c r="G57" s="138">
        <v>4571</v>
      </c>
      <c r="H57" s="153" t="str">
        <f t="shared" si="0"/>
        <v/>
      </c>
      <c r="I57" s="138">
        <v>5925</v>
      </c>
      <c r="J57" s="154"/>
    </row>
    <row r="58" spans="1:10">
      <c r="A58" s="5"/>
      <c r="B58" s="21" t="s">
        <v>537</v>
      </c>
      <c r="C58" s="49">
        <v>0</v>
      </c>
      <c r="D58" s="105"/>
      <c r="E58" s="191">
        <v>0</v>
      </c>
      <c r="F58" s="185">
        <f t="shared" ref="F58:F64" si="1">E58*C58</f>
        <v>0</v>
      </c>
      <c r="G58" s="139">
        <v>0</v>
      </c>
      <c r="H58" s="153">
        <f t="shared" si="0"/>
        <v>0</v>
      </c>
      <c r="I58" s="139">
        <v>0</v>
      </c>
      <c r="J58" s="154">
        <f>I58*G57</f>
        <v>0</v>
      </c>
    </row>
    <row r="59" spans="1:10">
      <c r="A59" s="5"/>
      <c r="B59" s="28" t="s">
        <v>250</v>
      </c>
      <c r="C59" s="49">
        <v>884</v>
      </c>
      <c r="D59" s="108" t="s">
        <v>80</v>
      </c>
      <c r="E59" s="190">
        <v>5391.25</v>
      </c>
      <c r="F59" s="185">
        <f t="shared" si="1"/>
        <v>4765865</v>
      </c>
      <c r="G59" s="138">
        <v>5297</v>
      </c>
      <c r="H59" s="153">
        <f t="shared" si="0"/>
        <v>4682548</v>
      </c>
      <c r="I59" s="138">
        <v>6011.9</v>
      </c>
      <c r="J59" s="154">
        <f t="shared" ref="J59:J64" si="2">$I59*$C59</f>
        <v>5314519.5999999996</v>
      </c>
    </row>
    <row r="60" spans="1:10">
      <c r="A60" s="49"/>
      <c r="B60" s="28" t="s">
        <v>675</v>
      </c>
      <c r="C60" s="49">
        <v>329.5</v>
      </c>
      <c r="D60" s="108" t="s">
        <v>80</v>
      </c>
      <c r="E60" s="190">
        <v>5676.25</v>
      </c>
      <c r="F60" s="185">
        <f t="shared" si="1"/>
        <v>1870324.375</v>
      </c>
      <c r="G60" s="138">
        <v>5507</v>
      </c>
      <c r="H60" s="153">
        <f t="shared" si="0"/>
        <v>1814556.5</v>
      </c>
      <c r="I60" s="138">
        <v>6145.2124999999996</v>
      </c>
      <c r="J60" s="154">
        <f t="shared" si="2"/>
        <v>2024847.5187499998</v>
      </c>
    </row>
    <row r="61" spans="1:10">
      <c r="A61" s="49"/>
      <c r="B61" s="28" t="s">
        <v>683</v>
      </c>
      <c r="C61" s="49">
        <v>30</v>
      </c>
      <c r="D61" s="108" t="s">
        <v>80</v>
      </c>
      <c r="E61" s="190">
        <v>5961.25</v>
      </c>
      <c r="F61" s="185">
        <f t="shared" si="1"/>
        <v>178837.5</v>
      </c>
      <c r="G61" s="138">
        <v>5715</v>
      </c>
      <c r="H61" s="153">
        <f t="shared" si="0"/>
        <v>171450</v>
      </c>
      <c r="I61" s="138">
        <v>6178.7875000000004</v>
      </c>
      <c r="J61" s="154">
        <f t="shared" si="2"/>
        <v>185363.625</v>
      </c>
    </row>
    <row r="62" spans="1:10">
      <c r="A62" s="49"/>
      <c r="B62" s="28" t="s">
        <v>684</v>
      </c>
      <c r="C62" s="49">
        <v>14</v>
      </c>
      <c r="D62" s="108" t="s">
        <v>80</v>
      </c>
      <c r="E62" s="190">
        <v>6531.25</v>
      </c>
      <c r="F62" s="185">
        <f t="shared" si="1"/>
        <v>91437.5</v>
      </c>
      <c r="G62" s="138">
        <v>5818</v>
      </c>
      <c r="H62" s="153">
        <f t="shared" si="0"/>
        <v>81452</v>
      </c>
      <c r="I62" s="138">
        <v>6279.5124999999998</v>
      </c>
      <c r="J62" s="154">
        <f t="shared" si="2"/>
        <v>87913.175000000003</v>
      </c>
    </row>
    <row r="63" spans="1:10">
      <c r="A63" s="49"/>
      <c r="B63" s="28" t="s">
        <v>685</v>
      </c>
      <c r="C63" s="49">
        <v>24</v>
      </c>
      <c r="D63" s="108" t="s">
        <v>80</v>
      </c>
      <c r="E63" s="190">
        <v>6816.25</v>
      </c>
      <c r="F63" s="185">
        <f t="shared" si="1"/>
        <v>163590</v>
      </c>
      <c r="G63" s="138">
        <v>5922</v>
      </c>
      <c r="H63" s="153">
        <f t="shared" si="0"/>
        <v>142128</v>
      </c>
      <c r="I63" s="138">
        <v>6279.5124999999998</v>
      </c>
      <c r="J63" s="154">
        <f t="shared" si="2"/>
        <v>150708.29999999999</v>
      </c>
    </row>
    <row r="64" spans="1:10">
      <c r="A64" s="49"/>
      <c r="B64" s="28" t="s">
        <v>686</v>
      </c>
      <c r="C64" s="49">
        <v>7</v>
      </c>
      <c r="D64" s="108"/>
      <c r="E64" s="190">
        <v>0</v>
      </c>
      <c r="F64" s="185">
        <f t="shared" si="1"/>
        <v>0</v>
      </c>
      <c r="G64" s="138">
        <v>6234</v>
      </c>
      <c r="H64" s="153">
        <f t="shared" si="0"/>
        <v>43638</v>
      </c>
      <c r="I64" s="138">
        <v>6345.6750000000002</v>
      </c>
      <c r="J64" s="154">
        <f t="shared" si="2"/>
        <v>44419.724999999999</v>
      </c>
    </row>
    <row r="65" spans="1:10">
      <c r="A65" s="5"/>
      <c r="B65" s="21" t="s">
        <v>443</v>
      </c>
      <c r="C65" s="49" t="s">
        <v>715</v>
      </c>
      <c r="D65" s="104" t="s">
        <v>80</v>
      </c>
      <c r="E65" s="190">
        <v>0</v>
      </c>
      <c r="F65" s="185"/>
      <c r="G65" s="138">
        <v>321</v>
      </c>
      <c r="H65" s="153" t="str">
        <f t="shared" si="0"/>
        <v/>
      </c>
      <c r="I65" s="138">
        <v>493.75</v>
      </c>
      <c r="J65" s="154"/>
    </row>
    <row r="66" spans="1:10" ht="55.5">
      <c r="A66" s="5" t="s">
        <v>536</v>
      </c>
      <c r="B66" s="61" t="s">
        <v>717</v>
      </c>
      <c r="C66" s="49">
        <v>0</v>
      </c>
      <c r="D66" s="109"/>
      <c r="E66" s="190">
        <v>0</v>
      </c>
      <c r="F66" s="185">
        <f>E66*C66</f>
        <v>0</v>
      </c>
      <c r="G66" s="138">
        <v>0</v>
      </c>
      <c r="H66" s="153">
        <f t="shared" si="0"/>
        <v>0</v>
      </c>
      <c r="I66" s="138">
        <v>0</v>
      </c>
      <c r="J66" s="154">
        <f>I66*G65</f>
        <v>0</v>
      </c>
    </row>
    <row r="67" spans="1:10" ht="148">
      <c r="A67" s="5"/>
      <c r="B67" s="38" t="s">
        <v>734</v>
      </c>
      <c r="C67" s="49">
        <v>0</v>
      </c>
      <c r="D67" s="109"/>
      <c r="E67" s="190">
        <v>0</v>
      </c>
      <c r="F67" s="185">
        <f>E67*C67</f>
        <v>0</v>
      </c>
      <c r="G67" s="138">
        <v>0</v>
      </c>
      <c r="H67" s="153">
        <f t="shared" si="0"/>
        <v>0</v>
      </c>
      <c r="I67" s="138">
        <v>0</v>
      </c>
      <c r="J67" s="154">
        <f>I67*G66</f>
        <v>0</v>
      </c>
    </row>
    <row r="68" spans="1:10">
      <c r="A68" s="5"/>
      <c r="B68" s="129" t="s">
        <v>735</v>
      </c>
      <c r="C68" s="49"/>
      <c r="D68" s="109"/>
      <c r="E68" s="191">
        <v>0</v>
      </c>
      <c r="F68" s="185"/>
      <c r="G68" s="139">
        <v>0</v>
      </c>
      <c r="H68" s="153">
        <f t="shared" si="0"/>
        <v>0</v>
      </c>
      <c r="I68" s="139">
        <v>0</v>
      </c>
      <c r="J68" s="154"/>
    </row>
    <row r="69" spans="1:10" ht="74">
      <c r="A69" s="135" t="s">
        <v>749</v>
      </c>
      <c r="B69" s="130" t="s">
        <v>406</v>
      </c>
      <c r="C69" s="49"/>
      <c r="D69" s="109"/>
      <c r="E69" s="193">
        <v>0</v>
      </c>
      <c r="F69" s="185"/>
      <c r="G69" s="141">
        <v>0</v>
      </c>
      <c r="H69" s="153">
        <f t="shared" si="0"/>
        <v>0</v>
      </c>
      <c r="I69" s="141">
        <v>0</v>
      </c>
      <c r="J69" s="154"/>
    </row>
    <row r="70" spans="1:10">
      <c r="A70" s="135"/>
      <c r="B70" s="130" t="s">
        <v>34</v>
      </c>
      <c r="C70" s="49"/>
      <c r="D70" s="109"/>
      <c r="E70" s="193">
        <v>3396.25</v>
      </c>
      <c r="F70" s="185"/>
      <c r="G70" s="141">
        <v>3325</v>
      </c>
      <c r="H70" s="153">
        <f t="shared" si="0"/>
        <v>0</v>
      </c>
      <c r="I70" s="141">
        <v>3327.875</v>
      </c>
      <c r="J70" s="154"/>
    </row>
    <row r="71" spans="1:10">
      <c r="A71" s="135"/>
      <c r="B71" s="130" t="s">
        <v>35</v>
      </c>
      <c r="C71" s="49"/>
      <c r="D71" s="109"/>
      <c r="E71" s="193">
        <v>3372.5</v>
      </c>
      <c r="F71" s="185"/>
      <c r="G71" s="141">
        <v>3325</v>
      </c>
      <c r="H71" s="153">
        <f t="shared" si="0"/>
        <v>0</v>
      </c>
      <c r="I71" s="141">
        <v>3327.875</v>
      </c>
      <c r="J71" s="154"/>
    </row>
    <row r="72" spans="1:10">
      <c r="A72" s="5" t="s">
        <v>461</v>
      </c>
      <c r="B72" s="43" t="s">
        <v>542</v>
      </c>
      <c r="C72" s="49">
        <v>0</v>
      </c>
      <c r="D72" s="109"/>
      <c r="E72" s="190">
        <v>0</v>
      </c>
      <c r="F72" s="185">
        <f>E72*C72</f>
        <v>0</v>
      </c>
      <c r="G72" s="138">
        <v>0</v>
      </c>
      <c r="H72" s="153">
        <f t="shared" si="0"/>
        <v>0</v>
      </c>
      <c r="I72" s="138">
        <v>0</v>
      </c>
      <c r="J72" s="154">
        <f>I72*G67</f>
        <v>0</v>
      </c>
    </row>
    <row r="73" spans="1:10">
      <c r="A73" s="53"/>
      <c r="B73" s="43" t="s">
        <v>459</v>
      </c>
      <c r="C73" s="49" t="s">
        <v>715</v>
      </c>
      <c r="D73" s="110" t="s">
        <v>439</v>
      </c>
      <c r="E73" s="190">
        <v>3467.5</v>
      </c>
      <c r="F73" s="185"/>
      <c r="G73" s="138">
        <v>38446</v>
      </c>
      <c r="H73" s="153" t="str">
        <f t="shared" si="0"/>
        <v/>
      </c>
      <c r="I73" s="138">
        <v>3473.0374999999999</v>
      </c>
      <c r="J73" s="154"/>
    </row>
    <row r="74" spans="1:10">
      <c r="A74" s="53"/>
      <c r="B74" s="43" t="s">
        <v>460</v>
      </c>
      <c r="C74" s="49">
        <v>556</v>
      </c>
      <c r="D74" s="110" t="s">
        <v>439</v>
      </c>
      <c r="E74" s="190">
        <v>3467.5</v>
      </c>
      <c r="F74" s="185">
        <f>E74*C74</f>
        <v>1927930</v>
      </c>
      <c r="G74" s="138">
        <v>3844</v>
      </c>
      <c r="H74" s="153">
        <f t="shared" si="0"/>
        <v>2137264</v>
      </c>
      <c r="I74" s="138">
        <v>3477.9749999999999</v>
      </c>
      <c r="J74" s="154">
        <f>$I74*$C74</f>
        <v>1933754.0999999999</v>
      </c>
    </row>
    <row r="75" spans="1:10">
      <c r="A75" s="53"/>
      <c r="B75" s="23" t="s">
        <v>443</v>
      </c>
      <c r="C75" s="49" t="s">
        <v>715</v>
      </c>
      <c r="D75" s="110" t="s">
        <v>439</v>
      </c>
      <c r="E75" s="190">
        <v>0</v>
      </c>
      <c r="F75" s="185"/>
      <c r="G75" s="138">
        <v>1454</v>
      </c>
      <c r="H75" s="153" t="str">
        <f t="shared" si="0"/>
        <v/>
      </c>
      <c r="I75" s="138">
        <v>289.33749999999998</v>
      </c>
      <c r="J75" s="154"/>
    </row>
    <row r="76" spans="1:10">
      <c r="A76" s="5" t="s">
        <v>462</v>
      </c>
      <c r="B76" s="43" t="s">
        <v>463</v>
      </c>
      <c r="C76" s="49"/>
      <c r="D76" s="109"/>
      <c r="E76" s="190">
        <v>0</v>
      </c>
      <c r="F76" s="185">
        <f>E76*C76</f>
        <v>0</v>
      </c>
      <c r="G76" s="138">
        <v>0</v>
      </c>
      <c r="H76" s="153">
        <f t="shared" ref="H76:H139" si="3">IFERROR(G76*C76,"")</f>
        <v>0</v>
      </c>
      <c r="I76" s="138">
        <v>0</v>
      </c>
      <c r="J76" s="154">
        <f>I76*G75</f>
        <v>0</v>
      </c>
    </row>
    <row r="77" spans="1:10">
      <c r="A77" s="53"/>
      <c r="B77" s="45" t="s">
        <v>440</v>
      </c>
      <c r="C77" s="49"/>
      <c r="D77" s="109"/>
      <c r="E77" s="190">
        <v>0</v>
      </c>
      <c r="F77" s="185">
        <f>E77*C77</f>
        <v>0</v>
      </c>
      <c r="G77" s="138">
        <v>0</v>
      </c>
      <c r="H77" s="153">
        <f t="shared" si="3"/>
        <v>0</v>
      </c>
      <c r="I77" s="138">
        <v>0</v>
      </c>
      <c r="J77" s="154">
        <f>I77*G76</f>
        <v>0</v>
      </c>
    </row>
    <row r="78" spans="1:10">
      <c r="A78" s="53"/>
      <c r="B78" s="43" t="s">
        <v>305</v>
      </c>
      <c r="C78" s="49" t="s">
        <v>715</v>
      </c>
      <c r="D78" s="110" t="s">
        <v>439</v>
      </c>
      <c r="E78" s="190">
        <v>3800</v>
      </c>
      <c r="F78" s="185"/>
      <c r="G78" s="138">
        <v>3325</v>
      </c>
      <c r="H78" s="153" t="str">
        <f t="shared" si="3"/>
        <v/>
      </c>
      <c r="I78" s="138">
        <v>3367.375</v>
      </c>
      <c r="J78" s="154"/>
    </row>
    <row r="79" spans="1:10">
      <c r="A79" s="53"/>
      <c r="B79" s="43" t="s">
        <v>441</v>
      </c>
      <c r="C79" s="49" t="s">
        <v>715</v>
      </c>
      <c r="D79" s="110" t="s">
        <v>439</v>
      </c>
      <c r="E79" s="190">
        <v>4085</v>
      </c>
      <c r="F79" s="185"/>
      <c r="G79" s="138">
        <v>3740</v>
      </c>
      <c r="H79" s="153" t="str">
        <f t="shared" si="3"/>
        <v/>
      </c>
      <c r="I79" s="138">
        <v>3505.625</v>
      </c>
      <c r="J79" s="154"/>
    </row>
    <row r="80" spans="1:10">
      <c r="A80" s="53"/>
      <c r="B80" s="45" t="s">
        <v>442</v>
      </c>
      <c r="C80" s="49"/>
      <c r="D80" s="104"/>
      <c r="E80" s="190">
        <v>0</v>
      </c>
      <c r="F80" s="185">
        <f t="shared" ref="F80:F89" si="4">E80*C80</f>
        <v>0</v>
      </c>
      <c r="G80" s="138">
        <v>0</v>
      </c>
      <c r="H80" s="153">
        <f t="shared" si="3"/>
        <v>0</v>
      </c>
      <c r="I80" s="138">
        <v>0</v>
      </c>
      <c r="J80" s="154">
        <f>I80*G79</f>
        <v>0</v>
      </c>
    </row>
    <row r="81" spans="1:10">
      <c r="A81" s="53"/>
      <c r="B81" s="28" t="s">
        <v>675</v>
      </c>
      <c r="C81" s="49">
        <v>100</v>
      </c>
      <c r="D81" s="110" t="s">
        <v>439</v>
      </c>
      <c r="E81" s="190">
        <v>3800</v>
      </c>
      <c r="F81" s="185">
        <f t="shared" si="4"/>
        <v>380000</v>
      </c>
      <c r="G81" s="138">
        <v>3740</v>
      </c>
      <c r="H81" s="153">
        <f t="shared" si="3"/>
        <v>374000</v>
      </c>
      <c r="I81" s="138">
        <v>3611.2874999999999</v>
      </c>
      <c r="J81" s="154">
        <f t="shared" ref="J81:J86" si="5">$I81*$C81</f>
        <v>361128.75</v>
      </c>
    </row>
    <row r="82" spans="1:10">
      <c r="A82" s="53"/>
      <c r="B82" s="28" t="s">
        <v>683</v>
      </c>
      <c r="C82" s="49">
        <v>100</v>
      </c>
      <c r="D82" s="110" t="s">
        <v>439</v>
      </c>
      <c r="E82" s="190">
        <v>4085</v>
      </c>
      <c r="F82" s="185">
        <f t="shared" si="4"/>
        <v>408500</v>
      </c>
      <c r="G82" s="138">
        <v>3740</v>
      </c>
      <c r="H82" s="153">
        <f t="shared" si="3"/>
        <v>374000</v>
      </c>
      <c r="I82" s="138">
        <v>3644.8625000000002</v>
      </c>
      <c r="J82" s="154">
        <f t="shared" si="5"/>
        <v>364486.25</v>
      </c>
    </row>
    <row r="83" spans="1:10">
      <c r="A83" s="53"/>
      <c r="B83" s="28" t="s">
        <v>684</v>
      </c>
      <c r="C83" s="49">
        <v>135</v>
      </c>
      <c r="D83" s="110" t="s">
        <v>439</v>
      </c>
      <c r="E83" s="190">
        <v>4227.5</v>
      </c>
      <c r="F83" s="185">
        <f t="shared" si="4"/>
        <v>570712.5</v>
      </c>
      <c r="G83" s="138">
        <v>3844</v>
      </c>
      <c r="H83" s="153">
        <f t="shared" si="3"/>
        <v>518940</v>
      </c>
      <c r="I83" s="138">
        <v>3644.8625000000002</v>
      </c>
      <c r="J83" s="154">
        <f t="shared" si="5"/>
        <v>492056.4375</v>
      </c>
    </row>
    <row r="84" spans="1:10">
      <c r="A84" s="53"/>
      <c r="B84" s="28" t="s">
        <v>685</v>
      </c>
      <c r="C84" s="49">
        <v>170</v>
      </c>
      <c r="D84" s="110" t="s">
        <v>439</v>
      </c>
      <c r="E84" s="190">
        <v>4370</v>
      </c>
      <c r="F84" s="185">
        <f t="shared" si="4"/>
        <v>742900</v>
      </c>
      <c r="G84" s="138">
        <v>3948</v>
      </c>
      <c r="H84" s="153">
        <f t="shared" si="3"/>
        <v>671160</v>
      </c>
      <c r="I84" s="138">
        <v>3744.6</v>
      </c>
      <c r="J84" s="154">
        <f t="shared" si="5"/>
        <v>636582</v>
      </c>
    </row>
    <row r="85" spans="1:10">
      <c r="A85" s="53"/>
      <c r="B85" s="28" t="s">
        <v>686</v>
      </c>
      <c r="C85" s="49">
        <v>50</v>
      </c>
      <c r="D85" s="110" t="s">
        <v>439</v>
      </c>
      <c r="E85" s="190">
        <v>4750</v>
      </c>
      <c r="F85" s="185">
        <f t="shared" si="4"/>
        <v>237500</v>
      </c>
      <c r="G85" s="138">
        <v>4260</v>
      </c>
      <c r="H85" s="153">
        <f t="shared" si="3"/>
        <v>213000</v>
      </c>
      <c r="I85" s="138">
        <v>3811.75</v>
      </c>
      <c r="J85" s="154">
        <f t="shared" si="5"/>
        <v>190587.5</v>
      </c>
    </row>
    <row r="86" spans="1:10">
      <c r="A86" s="53"/>
      <c r="B86" s="21" t="s">
        <v>443</v>
      </c>
      <c r="C86" s="49">
        <v>450</v>
      </c>
      <c r="D86" s="110" t="s">
        <v>439</v>
      </c>
      <c r="E86" s="190">
        <v>0</v>
      </c>
      <c r="F86" s="185">
        <f t="shared" si="4"/>
        <v>0</v>
      </c>
      <c r="G86" s="138">
        <v>519</v>
      </c>
      <c r="H86" s="153">
        <f t="shared" si="3"/>
        <v>233550</v>
      </c>
      <c r="I86" s="138">
        <v>277.48750000000001</v>
      </c>
      <c r="J86" s="154">
        <f t="shared" si="5"/>
        <v>124869.375</v>
      </c>
    </row>
    <row r="87" spans="1:10" ht="92.5">
      <c r="A87" s="49" t="s">
        <v>412</v>
      </c>
      <c r="B87" s="28" t="s">
        <v>415</v>
      </c>
      <c r="C87" s="49">
        <v>0</v>
      </c>
      <c r="D87" s="105"/>
      <c r="E87" s="190">
        <v>0</v>
      </c>
      <c r="F87" s="185">
        <f t="shared" si="4"/>
        <v>0</v>
      </c>
      <c r="G87" s="138">
        <v>0</v>
      </c>
      <c r="H87" s="153">
        <f t="shared" si="3"/>
        <v>0</v>
      </c>
      <c r="I87" s="138">
        <v>0</v>
      </c>
      <c r="J87" s="154">
        <f>I87*G86</f>
        <v>0</v>
      </c>
    </row>
    <row r="88" spans="1:10">
      <c r="A88" s="49"/>
      <c r="B88" s="29" t="s">
        <v>678</v>
      </c>
      <c r="C88" s="49">
        <v>1028</v>
      </c>
      <c r="D88" s="108" t="s">
        <v>80</v>
      </c>
      <c r="E88" s="190">
        <v>3576.75</v>
      </c>
      <c r="F88" s="185">
        <f t="shared" si="4"/>
        <v>3676899</v>
      </c>
      <c r="G88" s="138">
        <v>3323</v>
      </c>
      <c r="H88" s="153">
        <f t="shared" si="3"/>
        <v>3416044</v>
      </c>
      <c r="I88" s="138">
        <v>3416.75</v>
      </c>
      <c r="J88" s="154">
        <f>$I88*$C88</f>
        <v>3512419</v>
      </c>
    </row>
    <row r="89" spans="1:10" ht="129.5">
      <c r="A89" s="49" t="s">
        <v>414</v>
      </c>
      <c r="B89" s="17" t="s">
        <v>394</v>
      </c>
      <c r="C89" s="49">
        <v>0</v>
      </c>
      <c r="D89" s="108"/>
      <c r="E89" s="190">
        <v>0</v>
      </c>
      <c r="F89" s="185">
        <f t="shared" si="4"/>
        <v>0</v>
      </c>
      <c r="G89" s="138">
        <v>0</v>
      </c>
      <c r="H89" s="153">
        <f t="shared" si="3"/>
        <v>0</v>
      </c>
      <c r="I89" s="138">
        <v>0</v>
      </c>
      <c r="J89" s="154">
        <f>I89*G88</f>
        <v>0</v>
      </c>
    </row>
    <row r="90" spans="1:10">
      <c r="A90" s="49"/>
      <c r="B90" s="29" t="s">
        <v>395</v>
      </c>
      <c r="C90" s="49" t="s">
        <v>715</v>
      </c>
      <c r="D90" s="108" t="s">
        <v>80</v>
      </c>
      <c r="E90" s="190">
        <v>13490</v>
      </c>
      <c r="F90" s="185"/>
      <c r="G90" s="138">
        <v>9040</v>
      </c>
      <c r="H90" s="153" t="str">
        <f t="shared" si="3"/>
        <v/>
      </c>
      <c r="I90" s="138">
        <v>8393.75</v>
      </c>
      <c r="J90" s="154"/>
    </row>
    <row r="91" spans="1:10">
      <c r="A91" s="49"/>
      <c r="B91" s="29" t="s">
        <v>396</v>
      </c>
      <c r="C91" s="49" t="s">
        <v>715</v>
      </c>
      <c r="D91" s="108" t="s">
        <v>80</v>
      </c>
      <c r="E91" s="190">
        <v>13775</v>
      </c>
      <c r="F91" s="185"/>
      <c r="G91" s="138">
        <v>10391</v>
      </c>
      <c r="H91" s="153" t="str">
        <f t="shared" si="3"/>
        <v/>
      </c>
      <c r="I91" s="138">
        <v>9875</v>
      </c>
      <c r="J91" s="154"/>
    </row>
    <row r="92" spans="1:10" s="10" customFormat="1" ht="203.5">
      <c r="A92" s="49" t="s">
        <v>464</v>
      </c>
      <c r="B92" s="28" t="s">
        <v>481</v>
      </c>
      <c r="C92" s="49">
        <v>0</v>
      </c>
      <c r="D92" s="108"/>
      <c r="E92" s="190">
        <v>0</v>
      </c>
      <c r="F92" s="185">
        <f>E92*C92</f>
        <v>0</v>
      </c>
      <c r="G92" s="138">
        <v>0</v>
      </c>
      <c r="H92" s="153">
        <f t="shared" si="3"/>
        <v>0</v>
      </c>
      <c r="I92" s="138">
        <v>0</v>
      </c>
      <c r="J92" s="154">
        <f>I92*G91</f>
        <v>0</v>
      </c>
    </row>
    <row r="93" spans="1:10" s="10" customFormat="1" ht="74">
      <c r="A93" s="5"/>
      <c r="B93" s="129" t="s">
        <v>736</v>
      </c>
      <c r="C93" s="49"/>
      <c r="D93" s="108"/>
      <c r="E93" s="191">
        <v>0</v>
      </c>
      <c r="F93" s="185"/>
      <c r="G93" s="139">
        <v>0</v>
      </c>
      <c r="H93" s="153">
        <f t="shared" si="3"/>
        <v>0</v>
      </c>
      <c r="I93" s="139">
        <v>0</v>
      </c>
      <c r="J93" s="154"/>
    </row>
    <row r="94" spans="1:10" s="10" customFormat="1">
      <c r="A94" s="49"/>
      <c r="B94" s="19" t="s">
        <v>425</v>
      </c>
      <c r="C94" s="49">
        <v>0</v>
      </c>
      <c r="D94" s="108"/>
      <c r="E94" s="190">
        <v>0</v>
      </c>
      <c r="F94" s="185">
        <f>E94*C94</f>
        <v>0</v>
      </c>
      <c r="G94" s="138">
        <v>0</v>
      </c>
      <c r="H94" s="153">
        <f t="shared" si="3"/>
        <v>0</v>
      </c>
      <c r="I94" s="138">
        <v>0</v>
      </c>
      <c r="J94" s="154">
        <f>I94*G92</f>
        <v>0</v>
      </c>
    </row>
    <row r="95" spans="1:10" s="10" customFormat="1">
      <c r="A95" s="49"/>
      <c r="B95" s="28" t="s">
        <v>250</v>
      </c>
      <c r="C95" s="49" t="s">
        <v>715</v>
      </c>
      <c r="D95" s="108" t="s">
        <v>80</v>
      </c>
      <c r="E95" s="190">
        <v>5082.5</v>
      </c>
      <c r="F95" s="185"/>
      <c r="G95" s="138">
        <v>3844</v>
      </c>
      <c r="H95" s="153" t="str">
        <f t="shared" si="3"/>
        <v/>
      </c>
      <c r="I95" s="138">
        <v>3851.25</v>
      </c>
      <c r="J95" s="154"/>
    </row>
    <row r="96" spans="1:10">
      <c r="A96" s="49"/>
      <c r="B96" s="28" t="s">
        <v>674</v>
      </c>
      <c r="C96" s="49" t="s">
        <v>715</v>
      </c>
      <c r="D96" s="108" t="s">
        <v>80</v>
      </c>
      <c r="E96" s="190">
        <v>5225</v>
      </c>
      <c r="F96" s="185"/>
      <c r="G96" s="138">
        <v>3844</v>
      </c>
      <c r="H96" s="153" t="str">
        <f t="shared" si="3"/>
        <v/>
      </c>
      <c r="I96" s="138">
        <v>3950</v>
      </c>
      <c r="J96" s="154"/>
    </row>
    <row r="97" spans="1:10">
      <c r="A97" s="49"/>
      <c r="B97" s="28" t="s">
        <v>687</v>
      </c>
      <c r="C97" s="49" t="s">
        <v>715</v>
      </c>
      <c r="D97" s="108" t="s">
        <v>80</v>
      </c>
      <c r="E97" s="190">
        <v>5462.5</v>
      </c>
      <c r="F97" s="185"/>
      <c r="G97" s="138">
        <v>3948</v>
      </c>
      <c r="H97" s="153" t="str">
        <f t="shared" si="3"/>
        <v/>
      </c>
      <c r="I97" s="138">
        <v>4048.75</v>
      </c>
      <c r="J97" s="154"/>
    </row>
    <row r="98" spans="1:10" s="10" customFormat="1">
      <c r="A98" s="49"/>
      <c r="B98" s="28" t="s">
        <v>688</v>
      </c>
      <c r="C98" s="49" t="s">
        <v>715</v>
      </c>
      <c r="D98" s="108" t="s">
        <v>80</v>
      </c>
      <c r="E98" s="190">
        <v>5700</v>
      </c>
      <c r="F98" s="185"/>
      <c r="G98" s="138">
        <v>4156</v>
      </c>
      <c r="H98" s="153" t="str">
        <f t="shared" si="3"/>
        <v/>
      </c>
      <c r="I98" s="138">
        <v>4246.25</v>
      </c>
      <c r="J98" s="154"/>
    </row>
    <row r="99" spans="1:10">
      <c r="A99" s="49"/>
      <c r="B99" s="28" t="s">
        <v>689</v>
      </c>
      <c r="C99" s="49" t="s">
        <v>715</v>
      </c>
      <c r="D99" s="108" t="s">
        <v>80</v>
      </c>
      <c r="E99" s="190">
        <v>5890</v>
      </c>
      <c r="F99" s="185"/>
      <c r="G99" s="138">
        <v>4260</v>
      </c>
      <c r="H99" s="153" t="str">
        <f t="shared" si="3"/>
        <v/>
      </c>
      <c r="I99" s="138">
        <v>4443.75</v>
      </c>
      <c r="J99" s="154"/>
    </row>
    <row r="100" spans="1:10">
      <c r="A100" s="49"/>
      <c r="B100" s="28" t="s">
        <v>690</v>
      </c>
      <c r="C100" s="49" t="s">
        <v>715</v>
      </c>
      <c r="D100" s="108" t="s">
        <v>80</v>
      </c>
      <c r="E100" s="190">
        <v>6270</v>
      </c>
      <c r="F100" s="185"/>
      <c r="G100" s="138">
        <v>4364</v>
      </c>
      <c r="H100" s="153" t="str">
        <f t="shared" si="3"/>
        <v/>
      </c>
      <c r="I100" s="138">
        <v>4641.25</v>
      </c>
      <c r="J100" s="154"/>
    </row>
    <row r="101" spans="1:10" ht="37">
      <c r="A101" s="25" t="s">
        <v>36</v>
      </c>
      <c r="B101" s="23" t="s">
        <v>737</v>
      </c>
      <c r="C101" s="49">
        <v>0</v>
      </c>
      <c r="D101" s="111"/>
      <c r="E101" s="190">
        <v>0</v>
      </c>
      <c r="F101" s="185"/>
      <c r="G101" s="138">
        <v>0</v>
      </c>
      <c r="H101" s="153">
        <f t="shared" si="3"/>
        <v>0</v>
      </c>
      <c r="I101" s="138">
        <v>0</v>
      </c>
      <c r="J101" s="154"/>
    </row>
    <row r="102" spans="1:10">
      <c r="A102" s="25"/>
      <c r="B102" s="34" t="s">
        <v>266</v>
      </c>
      <c r="C102" s="49" t="s">
        <v>715</v>
      </c>
      <c r="D102" s="112" t="s">
        <v>85</v>
      </c>
      <c r="E102" s="190">
        <v>114</v>
      </c>
      <c r="F102" s="185"/>
      <c r="G102" s="138">
        <v>94</v>
      </c>
      <c r="H102" s="153" t="str">
        <f t="shared" si="3"/>
        <v/>
      </c>
      <c r="I102" s="138">
        <v>123.4375</v>
      </c>
      <c r="J102" s="154"/>
    </row>
    <row r="103" spans="1:10" ht="129.5">
      <c r="A103" s="25" t="s">
        <v>37</v>
      </c>
      <c r="B103" s="23" t="s">
        <v>738</v>
      </c>
      <c r="C103" s="49">
        <v>0</v>
      </c>
      <c r="D103" s="111"/>
      <c r="E103" s="190">
        <v>0</v>
      </c>
      <c r="F103" s="185">
        <f t="shared" ref="F103:F115" si="6">E103*C103</f>
        <v>0</v>
      </c>
      <c r="G103" s="138">
        <v>0</v>
      </c>
      <c r="H103" s="153">
        <f t="shared" si="3"/>
        <v>0</v>
      </c>
      <c r="I103" s="138">
        <v>0</v>
      </c>
      <c r="J103" s="154">
        <f>I103*G102</f>
        <v>0</v>
      </c>
    </row>
    <row r="104" spans="1:10">
      <c r="A104" s="25"/>
      <c r="B104" s="34" t="s">
        <v>258</v>
      </c>
      <c r="C104" s="49">
        <v>425</v>
      </c>
      <c r="D104" s="113" t="s">
        <v>191</v>
      </c>
      <c r="E104" s="190">
        <v>11495</v>
      </c>
      <c r="F104" s="185">
        <f t="shared" si="6"/>
        <v>4885375</v>
      </c>
      <c r="G104" s="138">
        <v>11429</v>
      </c>
      <c r="H104" s="153">
        <f t="shared" si="3"/>
        <v>4857325</v>
      </c>
      <c r="I104" s="138">
        <v>9821.6749999999993</v>
      </c>
      <c r="J104" s="154">
        <f>$I104*$C104</f>
        <v>4174211.8749999995</v>
      </c>
    </row>
    <row r="105" spans="1:10" ht="148">
      <c r="A105" s="25" t="s">
        <v>38</v>
      </c>
      <c r="B105" s="23" t="s">
        <v>501</v>
      </c>
      <c r="C105" s="49">
        <v>0</v>
      </c>
      <c r="D105" s="111"/>
      <c r="E105" s="190">
        <v>0</v>
      </c>
      <c r="F105" s="185">
        <f t="shared" si="6"/>
        <v>0</v>
      </c>
      <c r="G105" s="138">
        <v>0</v>
      </c>
      <c r="H105" s="153">
        <f t="shared" si="3"/>
        <v>0</v>
      </c>
      <c r="I105" s="138">
        <v>0</v>
      </c>
      <c r="J105" s="154">
        <f>I105*G104</f>
        <v>0</v>
      </c>
    </row>
    <row r="106" spans="1:10">
      <c r="A106" s="5"/>
      <c r="B106" s="28" t="s">
        <v>250</v>
      </c>
      <c r="C106" s="49">
        <v>3681</v>
      </c>
      <c r="D106" s="108" t="s">
        <v>81</v>
      </c>
      <c r="E106" s="190">
        <v>427.5</v>
      </c>
      <c r="F106" s="185">
        <f t="shared" si="6"/>
        <v>1573627.5</v>
      </c>
      <c r="G106" s="138">
        <v>475</v>
      </c>
      <c r="H106" s="153">
        <f t="shared" si="3"/>
        <v>1748475</v>
      </c>
      <c r="I106" s="138">
        <v>556.95000000000005</v>
      </c>
      <c r="J106" s="154">
        <f>$I106*$C106</f>
        <v>2050132.9500000002</v>
      </c>
    </row>
    <row r="107" spans="1:10">
      <c r="A107" s="5"/>
      <c r="B107" s="28" t="s">
        <v>675</v>
      </c>
      <c r="C107" s="49">
        <v>260</v>
      </c>
      <c r="D107" s="108" t="s">
        <v>81</v>
      </c>
      <c r="E107" s="190">
        <v>475</v>
      </c>
      <c r="F107" s="185">
        <f t="shared" si="6"/>
        <v>123500</v>
      </c>
      <c r="G107" s="138">
        <v>519</v>
      </c>
      <c r="H107" s="153">
        <f t="shared" si="3"/>
        <v>134940</v>
      </c>
      <c r="I107" s="138">
        <v>603.36249999999995</v>
      </c>
      <c r="J107" s="154">
        <f>$I107*$C107</f>
        <v>156874.25</v>
      </c>
    </row>
    <row r="108" spans="1:10" ht="166.5">
      <c r="A108" s="5" t="s">
        <v>39</v>
      </c>
      <c r="B108" s="28" t="s">
        <v>233</v>
      </c>
      <c r="C108" s="49">
        <v>0</v>
      </c>
      <c r="D108" s="109"/>
      <c r="E108" s="190">
        <v>0</v>
      </c>
      <c r="F108" s="185">
        <f t="shared" si="6"/>
        <v>0</v>
      </c>
      <c r="G108" s="138">
        <v>0</v>
      </c>
      <c r="H108" s="153">
        <f t="shared" si="3"/>
        <v>0</v>
      </c>
      <c r="I108" s="138">
        <v>0</v>
      </c>
      <c r="J108" s="154">
        <f>I108*G107</f>
        <v>0</v>
      </c>
    </row>
    <row r="109" spans="1:10">
      <c r="A109" s="5"/>
      <c r="B109" s="28" t="s">
        <v>250</v>
      </c>
      <c r="C109" s="49">
        <v>950</v>
      </c>
      <c r="D109" s="108" t="s">
        <v>81</v>
      </c>
      <c r="E109" s="190">
        <v>475</v>
      </c>
      <c r="F109" s="185">
        <f t="shared" si="6"/>
        <v>451250</v>
      </c>
      <c r="G109" s="138">
        <v>519</v>
      </c>
      <c r="H109" s="153">
        <f t="shared" si="3"/>
        <v>493050</v>
      </c>
      <c r="I109" s="138">
        <v>556.95000000000005</v>
      </c>
      <c r="J109" s="154">
        <f t="shared" ref="J109:J115" si="7">$I109*$C109</f>
        <v>529102.5</v>
      </c>
    </row>
    <row r="110" spans="1:10">
      <c r="A110" s="5"/>
      <c r="B110" s="28" t="s">
        <v>674</v>
      </c>
      <c r="C110" s="49">
        <v>2909.5</v>
      </c>
      <c r="D110" s="108" t="s">
        <v>81</v>
      </c>
      <c r="E110" s="190">
        <v>498.75</v>
      </c>
      <c r="F110" s="185">
        <f t="shared" si="6"/>
        <v>1451113.125</v>
      </c>
      <c r="G110" s="138">
        <v>540</v>
      </c>
      <c r="H110" s="153">
        <f t="shared" si="3"/>
        <v>1571130</v>
      </c>
      <c r="I110" s="138">
        <v>603.36249999999995</v>
      </c>
      <c r="J110" s="154">
        <f t="shared" si="7"/>
        <v>1755483.1937499999</v>
      </c>
    </row>
    <row r="111" spans="1:10">
      <c r="A111" s="49"/>
      <c r="B111" s="28" t="s">
        <v>687</v>
      </c>
      <c r="C111" s="49">
        <v>937</v>
      </c>
      <c r="D111" s="108" t="s">
        <v>81</v>
      </c>
      <c r="E111" s="190">
        <v>570</v>
      </c>
      <c r="F111" s="185">
        <f t="shared" si="6"/>
        <v>534090</v>
      </c>
      <c r="G111" s="138">
        <v>605</v>
      </c>
      <c r="H111" s="153">
        <f t="shared" si="3"/>
        <v>566885</v>
      </c>
      <c r="I111" s="138">
        <v>632.98749999999995</v>
      </c>
      <c r="J111" s="154">
        <f t="shared" si="7"/>
        <v>593109.28749999998</v>
      </c>
    </row>
    <row r="112" spans="1:10">
      <c r="A112" s="49"/>
      <c r="B112" s="28" t="s">
        <v>688</v>
      </c>
      <c r="C112" s="49">
        <v>742</v>
      </c>
      <c r="D112" s="108" t="s">
        <v>81</v>
      </c>
      <c r="E112" s="190">
        <v>617.5</v>
      </c>
      <c r="F112" s="185">
        <f t="shared" si="6"/>
        <v>458185</v>
      </c>
      <c r="G112" s="138">
        <v>659</v>
      </c>
      <c r="H112" s="153">
        <f t="shared" si="3"/>
        <v>488978</v>
      </c>
      <c r="I112" s="138">
        <v>683.35</v>
      </c>
      <c r="J112" s="154">
        <f t="shared" si="7"/>
        <v>507045.7</v>
      </c>
    </row>
    <row r="113" spans="1:10">
      <c r="A113" s="49"/>
      <c r="B113" s="28" t="s">
        <v>689</v>
      </c>
      <c r="C113" s="49">
        <v>1346</v>
      </c>
      <c r="D113" s="108" t="s">
        <v>81</v>
      </c>
      <c r="E113" s="190">
        <v>641.25</v>
      </c>
      <c r="F113" s="185">
        <f t="shared" si="6"/>
        <v>863122.5</v>
      </c>
      <c r="G113" s="138">
        <v>693</v>
      </c>
      <c r="H113" s="153">
        <f t="shared" si="3"/>
        <v>932778</v>
      </c>
      <c r="I113" s="138">
        <v>716.92499999999995</v>
      </c>
      <c r="J113" s="154">
        <f t="shared" si="7"/>
        <v>964981.04999999993</v>
      </c>
    </row>
    <row r="114" spans="1:10">
      <c r="A114" s="49"/>
      <c r="B114" s="28" t="s">
        <v>690</v>
      </c>
      <c r="C114" s="49">
        <v>460</v>
      </c>
      <c r="D114" s="108" t="s">
        <v>81</v>
      </c>
      <c r="E114" s="190">
        <v>712.5</v>
      </c>
      <c r="F114" s="185">
        <f t="shared" si="6"/>
        <v>327750</v>
      </c>
      <c r="G114" s="138">
        <v>787</v>
      </c>
      <c r="H114" s="153">
        <f t="shared" si="3"/>
        <v>362020</v>
      </c>
      <c r="I114" s="138">
        <v>754.45</v>
      </c>
      <c r="J114" s="154">
        <f t="shared" si="7"/>
        <v>347047</v>
      </c>
    </row>
    <row r="115" spans="1:10" ht="55.5">
      <c r="A115" s="49" t="s">
        <v>54</v>
      </c>
      <c r="B115" s="28" t="s">
        <v>416</v>
      </c>
      <c r="C115" s="49">
        <v>5.8</v>
      </c>
      <c r="D115" s="104" t="s">
        <v>80</v>
      </c>
      <c r="E115" s="190">
        <v>58235</v>
      </c>
      <c r="F115" s="185">
        <f t="shared" si="6"/>
        <v>337763</v>
      </c>
      <c r="G115" s="138">
        <v>51954</v>
      </c>
      <c r="H115" s="153">
        <f t="shared" si="3"/>
        <v>301333.2</v>
      </c>
      <c r="I115" s="138">
        <v>59890.887499999997</v>
      </c>
      <c r="J115" s="154">
        <f t="shared" si="7"/>
        <v>347367.14749999996</v>
      </c>
    </row>
    <row r="116" spans="1:10" ht="37">
      <c r="A116" s="49" t="s">
        <v>55</v>
      </c>
      <c r="B116" s="28" t="s">
        <v>244</v>
      </c>
      <c r="C116" s="49" t="s">
        <v>715</v>
      </c>
      <c r="D116" s="114" t="s">
        <v>83</v>
      </c>
      <c r="E116" s="190">
        <v>1092.5</v>
      </c>
      <c r="F116" s="185"/>
      <c r="G116" s="142">
        <v>259</v>
      </c>
      <c r="H116" s="153" t="str">
        <f t="shared" si="3"/>
        <v/>
      </c>
      <c r="I116" s="142">
        <v>493.75</v>
      </c>
      <c r="J116" s="154"/>
    </row>
    <row r="117" spans="1:10" ht="92.5">
      <c r="A117" s="49" t="s">
        <v>518</v>
      </c>
      <c r="B117" s="28" t="s">
        <v>40</v>
      </c>
      <c r="C117" s="49">
        <v>0</v>
      </c>
      <c r="D117" s="115"/>
      <c r="E117" s="190">
        <v>0</v>
      </c>
      <c r="F117" s="185">
        <f>E117*C117</f>
        <v>0</v>
      </c>
      <c r="G117" s="142">
        <v>0</v>
      </c>
      <c r="H117" s="153">
        <f t="shared" si="3"/>
        <v>0</v>
      </c>
      <c r="I117" s="142">
        <v>0</v>
      </c>
      <c r="J117" s="154">
        <f>I117*G116</f>
        <v>0</v>
      </c>
    </row>
    <row r="118" spans="1:10">
      <c r="A118" s="49"/>
      <c r="B118" s="28" t="s">
        <v>51</v>
      </c>
      <c r="C118" s="49" t="s">
        <v>715</v>
      </c>
      <c r="D118" s="114" t="s">
        <v>82</v>
      </c>
      <c r="E118" s="190">
        <v>665</v>
      </c>
      <c r="F118" s="185"/>
      <c r="G118" s="49">
        <v>402</v>
      </c>
      <c r="H118" s="153" t="str">
        <f t="shared" si="3"/>
        <v/>
      </c>
      <c r="I118" s="142">
        <v>345.625</v>
      </c>
      <c r="J118" s="154"/>
    </row>
    <row r="119" spans="1:10">
      <c r="A119" s="49"/>
      <c r="B119" s="28" t="s">
        <v>52</v>
      </c>
      <c r="C119" s="49" t="s">
        <v>715</v>
      </c>
      <c r="D119" s="114" t="s">
        <v>82</v>
      </c>
      <c r="E119" s="190">
        <v>902.5</v>
      </c>
      <c r="F119" s="185"/>
      <c r="G119" s="49">
        <v>475</v>
      </c>
      <c r="H119" s="153" t="str">
        <f t="shared" si="3"/>
        <v/>
      </c>
      <c r="I119" s="142">
        <v>444.375</v>
      </c>
      <c r="J119" s="154"/>
    </row>
    <row r="120" spans="1:10">
      <c r="A120" s="49"/>
      <c r="B120" s="28" t="s">
        <v>53</v>
      </c>
      <c r="C120" s="49" t="s">
        <v>715</v>
      </c>
      <c r="D120" s="114" t="s">
        <v>82</v>
      </c>
      <c r="E120" s="190">
        <v>1045</v>
      </c>
      <c r="F120" s="185"/>
      <c r="G120" s="49">
        <v>904</v>
      </c>
      <c r="H120" s="153" t="str">
        <f t="shared" si="3"/>
        <v/>
      </c>
      <c r="I120" s="142">
        <v>493.75</v>
      </c>
      <c r="J120" s="154"/>
    </row>
    <row r="121" spans="1:10">
      <c r="A121" s="49"/>
      <c r="B121" s="28" t="s">
        <v>519</v>
      </c>
      <c r="C121" s="49" t="s">
        <v>715</v>
      </c>
      <c r="D121" s="114" t="s">
        <v>82</v>
      </c>
      <c r="E121" s="190">
        <v>902.5</v>
      </c>
      <c r="F121" s="185"/>
      <c r="G121" s="49">
        <v>946</v>
      </c>
      <c r="H121" s="153" t="str">
        <f t="shared" si="3"/>
        <v/>
      </c>
      <c r="I121" s="142">
        <v>543.125</v>
      </c>
      <c r="J121" s="154"/>
    </row>
    <row r="122" spans="1:10">
      <c r="A122" s="49"/>
      <c r="B122" s="28" t="s">
        <v>520</v>
      </c>
      <c r="C122" s="49" t="s">
        <v>715</v>
      </c>
      <c r="D122" s="114" t="s">
        <v>82</v>
      </c>
      <c r="E122" s="190">
        <v>1140</v>
      </c>
      <c r="F122" s="185"/>
      <c r="G122" s="49">
        <v>1278</v>
      </c>
      <c r="H122" s="153" t="str">
        <f t="shared" si="3"/>
        <v/>
      </c>
      <c r="I122" s="142">
        <v>641.875</v>
      </c>
      <c r="J122" s="154"/>
    </row>
    <row r="123" spans="1:10">
      <c r="A123" s="49"/>
      <c r="B123" s="28" t="s">
        <v>521</v>
      </c>
      <c r="C123" s="49" t="s">
        <v>715</v>
      </c>
      <c r="D123" s="114" t="s">
        <v>82</v>
      </c>
      <c r="E123" s="190">
        <v>1425</v>
      </c>
      <c r="F123" s="185"/>
      <c r="G123" s="49">
        <v>1424</v>
      </c>
      <c r="H123" s="153" t="str">
        <f t="shared" si="3"/>
        <v/>
      </c>
      <c r="I123" s="142">
        <v>740.625</v>
      </c>
      <c r="J123" s="154"/>
    </row>
    <row r="124" spans="1:10">
      <c r="A124" s="49"/>
      <c r="B124" s="28" t="s">
        <v>522</v>
      </c>
      <c r="C124" s="49" t="s">
        <v>715</v>
      </c>
      <c r="D124" s="114" t="s">
        <v>82</v>
      </c>
      <c r="E124" s="190">
        <v>1187.5</v>
      </c>
      <c r="F124" s="185"/>
      <c r="G124" s="49">
        <v>1460</v>
      </c>
      <c r="H124" s="153" t="str">
        <f t="shared" si="3"/>
        <v/>
      </c>
      <c r="I124" s="142">
        <v>888.75</v>
      </c>
      <c r="J124" s="154"/>
    </row>
    <row r="125" spans="1:10">
      <c r="A125" s="49"/>
      <c r="B125" s="28" t="s">
        <v>523</v>
      </c>
      <c r="C125" s="49" t="s">
        <v>715</v>
      </c>
      <c r="D125" s="114" t="s">
        <v>82</v>
      </c>
      <c r="E125" s="190">
        <v>1425</v>
      </c>
      <c r="F125" s="185"/>
      <c r="G125" s="49">
        <v>1798</v>
      </c>
      <c r="H125" s="153" t="str">
        <f t="shared" si="3"/>
        <v/>
      </c>
      <c r="I125" s="142">
        <v>987.5</v>
      </c>
      <c r="J125" s="154"/>
    </row>
    <row r="126" spans="1:10">
      <c r="A126" s="49"/>
      <c r="B126" s="28" t="s">
        <v>524</v>
      </c>
      <c r="C126" s="49" t="s">
        <v>715</v>
      </c>
      <c r="D126" s="114" t="s">
        <v>82</v>
      </c>
      <c r="E126" s="190">
        <v>1900</v>
      </c>
      <c r="F126" s="185"/>
      <c r="G126" s="49">
        <v>1953</v>
      </c>
      <c r="H126" s="153" t="str">
        <f t="shared" si="3"/>
        <v/>
      </c>
      <c r="I126" s="142">
        <v>1185</v>
      </c>
      <c r="J126" s="154"/>
    </row>
    <row r="127" spans="1:10">
      <c r="A127" s="67"/>
      <c r="B127" s="35" t="s">
        <v>56</v>
      </c>
      <c r="C127" s="35">
        <v>0</v>
      </c>
      <c r="D127" s="106"/>
      <c r="E127" s="192">
        <v>0</v>
      </c>
      <c r="F127" s="182">
        <f>SUM(F50:F126)</f>
        <v>32102029.5</v>
      </c>
      <c r="G127" s="140">
        <v>0</v>
      </c>
      <c r="H127" s="182">
        <f>SUM(H50:H126)</f>
        <v>31604080.699999999</v>
      </c>
      <c r="I127" s="140">
        <v>0</v>
      </c>
      <c r="J127" s="184">
        <f>SUM(J50:J126)</f>
        <v>33191678.372500002</v>
      </c>
    </row>
    <row r="128" spans="1:10">
      <c r="A128" s="67"/>
      <c r="B128" s="36" t="s">
        <v>60</v>
      </c>
      <c r="C128" s="35">
        <v>0</v>
      </c>
      <c r="D128" s="106"/>
      <c r="E128" s="192">
        <v>0</v>
      </c>
      <c r="F128" s="183"/>
      <c r="G128" s="140">
        <v>0</v>
      </c>
      <c r="H128" s="183"/>
      <c r="I128" s="140">
        <v>0</v>
      </c>
      <c r="J128" s="184"/>
    </row>
    <row r="129" spans="1:10" ht="74">
      <c r="A129" s="5" t="s">
        <v>61</v>
      </c>
      <c r="B129" s="11" t="s">
        <v>314</v>
      </c>
      <c r="C129" s="49">
        <v>0</v>
      </c>
      <c r="D129" s="109"/>
      <c r="E129" s="194">
        <v>0</v>
      </c>
      <c r="F129" s="185">
        <f>E129*C129</f>
        <v>0</v>
      </c>
      <c r="G129" s="143">
        <v>0</v>
      </c>
      <c r="H129" s="153">
        <f t="shared" si="3"/>
        <v>0</v>
      </c>
      <c r="I129" s="143">
        <v>0</v>
      </c>
      <c r="J129" s="154">
        <f>I129*G128</f>
        <v>0</v>
      </c>
    </row>
    <row r="130" spans="1:10">
      <c r="A130" s="5"/>
      <c r="B130" s="129" t="s">
        <v>739</v>
      </c>
      <c r="C130" s="49"/>
      <c r="D130" s="109"/>
      <c r="E130" s="191">
        <v>0</v>
      </c>
      <c r="F130" s="185"/>
      <c r="G130" s="139">
        <v>0</v>
      </c>
      <c r="H130" s="153">
        <f t="shared" si="3"/>
        <v>0</v>
      </c>
      <c r="I130" s="139">
        <v>0</v>
      </c>
      <c r="J130" s="154"/>
    </row>
    <row r="131" spans="1:10">
      <c r="A131" s="5" t="s">
        <v>301</v>
      </c>
      <c r="B131" s="23" t="s">
        <v>302</v>
      </c>
      <c r="C131" s="49" t="s">
        <v>715</v>
      </c>
      <c r="D131" s="108" t="s">
        <v>80</v>
      </c>
      <c r="E131" s="190">
        <v>6412.5</v>
      </c>
      <c r="F131" s="185"/>
      <c r="G131" s="142">
        <v>6545</v>
      </c>
      <c r="H131" s="153" t="str">
        <f t="shared" si="3"/>
        <v/>
      </c>
      <c r="I131" s="142">
        <v>0</v>
      </c>
      <c r="J131" s="154"/>
    </row>
    <row r="132" spans="1:10">
      <c r="A132" s="5" t="s">
        <v>303</v>
      </c>
      <c r="B132" s="23" t="s">
        <v>676</v>
      </c>
      <c r="C132" s="49" t="s">
        <v>715</v>
      </c>
      <c r="D132" s="108" t="s">
        <v>80</v>
      </c>
      <c r="E132" s="190">
        <v>6507.5</v>
      </c>
      <c r="F132" s="185"/>
      <c r="G132" s="142">
        <v>6650</v>
      </c>
      <c r="H132" s="153" t="str">
        <f t="shared" si="3"/>
        <v/>
      </c>
      <c r="I132" s="142">
        <v>0</v>
      </c>
      <c r="J132" s="154"/>
    </row>
    <row r="133" spans="1:10" ht="92.5">
      <c r="A133" s="49" t="s">
        <v>62</v>
      </c>
      <c r="B133" s="11" t="s">
        <v>502</v>
      </c>
      <c r="C133" s="49">
        <v>0</v>
      </c>
      <c r="D133" s="109"/>
      <c r="E133" s="194">
        <v>0</v>
      </c>
      <c r="F133" s="185">
        <f>E133*C133</f>
        <v>0</v>
      </c>
      <c r="G133" s="143">
        <v>0</v>
      </c>
      <c r="H133" s="153">
        <f t="shared" si="3"/>
        <v>0</v>
      </c>
      <c r="I133" s="143">
        <v>0</v>
      </c>
      <c r="J133" s="154">
        <f>I133*G132</f>
        <v>0</v>
      </c>
    </row>
    <row r="134" spans="1:10">
      <c r="A134" s="49"/>
      <c r="B134" s="28" t="s">
        <v>674</v>
      </c>
      <c r="C134" s="49" t="s">
        <v>715</v>
      </c>
      <c r="D134" s="108" t="s">
        <v>80</v>
      </c>
      <c r="E134" s="190">
        <v>6792.5</v>
      </c>
      <c r="F134" s="185"/>
      <c r="G134" s="24">
        <v>6235</v>
      </c>
      <c r="H134" s="153" t="str">
        <f t="shared" si="3"/>
        <v/>
      </c>
      <c r="I134" s="138">
        <v>5925</v>
      </c>
      <c r="J134" s="154"/>
    </row>
    <row r="135" spans="1:10">
      <c r="A135" s="49"/>
      <c r="B135" s="28" t="s">
        <v>687</v>
      </c>
      <c r="C135" s="49" t="s">
        <v>715</v>
      </c>
      <c r="D135" s="108" t="s">
        <v>80</v>
      </c>
      <c r="E135" s="190">
        <v>7030</v>
      </c>
      <c r="F135" s="185"/>
      <c r="G135" s="24">
        <v>6338</v>
      </c>
      <c r="H135" s="153" t="str">
        <f t="shared" si="3"/>
        <v/>
      </c>
      <c r="I135" s="138">
        <v>6073.125</v>
      </c>
      <c r="J135" s="154"/>
    </row>
    <row r="136" spans="1:10">
      <c r="A136" s="49"/>
      <c r="B136" s="28" t="s">
        <v>688</v>
      </c>
      <c r="C136" s="49" t="s">
        <v>715</v>
      </c>
      <c r="D136" s="108" t="s">
        <v>80</v>
      </c>
      <c r="E136" s="190">
        <v>7338.75</v>
      </c>
      <c r="F136" s="185"/>
      <c r="G136" s="24">
        <v>6442</v>
      </c>
      <c r="H136" s="153" t="str">
        <f t="shared" si="3"/>
        <v/>
      </c>
      <c r="I136" s="138">
        <v>6171.875</v>
      </c>
      <c r="J136" s="154"/>
    </row>
    <row r="137" spans="1:10">
      <c r="A137" s="49"/>
      <c r="B137" s="28" t="s">
        <v>689</v>
      </c>
      <c r="C137" s="49" t="s">
        <v>715</v>
      </c>
      <c r="D137" s="108" t="s">
        <v>80</v>
      </c>
      <c r="E137" s="190">
        <v>7505</v>
      </c>
      <c r="F137" s="185"/>
      <c r="G137" s="24">
        <v>6546</v>
      </c>
      <c r="H137" s="153" t="str">
        <f t="shared" si="3"/>
        <v/>
      </c>
      <c r="I137" s="138">
        <v>6270.625</v>
      </c>
      <c r="J137" s="154"/>
    </row>
    <row r="138" spans="1:10">
      <c r="A138" s="49"/>
      <c r="B138" s="28" t="s">
        <v>690</v>
      </c>
      <c r="C138" s="49" t="s">
        <v>715</v>
      </c>
      <c r="D138" s="108" t="s">
        <v>80</v>
      </c>
      <c r="E138" s="190">
        <v>7695</v>
      </c>
      <c r="F138" s="185"/>
      <c r="G138" s="24">
        <v>6650</v>
      </c>
      <c r="H138" s="153" t="str">
        <f t="shared" si="3"/>
        <v/>
      </c>
      <c r="I138" s="138">
        <v>6369.375</v>
      </c>
      <c r="J138" s="154"/>
    </row>
    <row r="139" spans="1:10" ht="74">
      <c r="A139" s="49" t="s">
        <v>63</v>
      </c>
      <c r="B139" s="28" t="s">
        <v>276</v>
      </c>
      <c r="C139" s="49">
        <v>246</v>
      </c>
      <c r="D139" s="108" t="s">
        <v>80</v>
      </c>
      <c r="E139" s="190">
        <v>5391.25</v>
      </c>
      <c r="F139" s="185">
        <f>E139*C139</f>
        <v>1326247.5</v>
      </c>
      <c r="G139" s="138">
        <v>5715</v>
      </c>
      <c r="H139" s="153">
        <f t="shared" si="3"/>
        <v>1405890</v>
      </c>
      <c r="I139" s="138">
        <v>5639.6125000000002</v>
      </c>
      <c r="J139" s="154">
        <f>$I139*$C139</f>
        <v>1387344.675</v>
      </c>
    </row>
    <row r="140" spans="1:10">
      <c r="A140" s="5"/>
      <c r="B140" s="129" t="s">
        <v>739</v>
      </c>
      <c r="C140" s="49"/>
      <c r="D140" s="108"/>
      <c r="E140" s="191">
        <v>0</v>
      </c>
      <c r="F140" s="185"/>
      <c r="G140" s="139">
        <v>0</v>
      </c>
      <c r="H140" s="153">
        <f t="shared" ref="H140:H203" si="8">IFERROR(G140*C140,"")</f>
        <v>0</v>
      </c>
      <c r="I140" s="139">
        <v>0</v>
      </c>
      <c r="J140" s="154"/>
    </row>
    <row r="141" spans="1:10" ht="37">
      <c r="A141" s="49" t="s">
        <v>64</v>
      </c>
      <c r="B141" s="44" t="s">
        <v>214</v>
      </c>
      <c r="C141" s="49">
        <v>20</v>
      </c>
      <c r="D141" s="108" t="s">
        <v>80</v>
      </c>
      <c r="E141" s="190">
        <v>4669.25</v>
      </c>
      <c r="F141" s="185">
        <f>E141*C141</f>
        <v>93385</v>
      </c>
      <c r="G141" s="138">
        <v>5195</v>
      </c>
      <c r="H141" s="153">
        <f t="shared" si="8"/>
        <v>103900</v>
      </c>
      <c r="I141" s="138">
        <v>5276.2124999999996</v>
      </c>
      <c r="J141" s="154">
        <f>$I141*$C141</f>
        <v>105524.25</v>
      </c>
    </row>
    <row r="142" spans="1:10">
      <c r="A142" s="5"/>
      <c r="B142" s="129" t="s">
        <v>739</v>
      </c>
      <c r="C142" s="49"/>
      <c r="D142" s="108"/>
      <c r="E142" s="191">
        <v>0</v>
      </c>
      <c r="F142" s="185"/>
      <c r="G142" s="139">
        <v>0</v>
      </c>
      <c r="H142" s="153">
        <f t="shared" si="8"/>
        <v>0</v>
      </c>
      <c r="I142" s="139">
        <v>0</v>
      </c>
      <c r="J142" s="154"/>
    </row>
    <row r="143" spans="1:10" s="2" customFormat="1" ht="92.5">
      <c r="A143" s="49" t="s">
        <v>76</v>
      </c>
      <c r="B143" s="28" t="s">
        <v>277</v>
      </c>
      <c r="C143" s="49">
        <v>0</v>
      </c>
      <c r="D143" s="189"/>
      <c r="E143" s="190">
        <v>0</v>
      </c>
      <c r="F143" s="185">
        <f>E143*C143</f>
        <v>0</v>
      </c>
      <c r="G143" s="138">
        <v>0</v>
      </c>
      <c r="H143" s="153">
        <f t="shared" si="8"/>
        <v>0</v>
      </c>
      <c r="I143" s="138">
        <v>0</v>
      </c>
      <c r="J143" s="154">
        <f>I143*G141</f>
        <v>0</v>
      </c>
    </row>
    <row r="144" spans="1:10" s="2" customFormat="1">
      <c r="A144" s="5"/>
      <c r="B144" s="129" t="s">
        <v>739</v>
      </c>
      <c r="C144" s="49"/>
      <c r="D144" s="133"/>
      <c r="E144" s="191">
        <v>0</v>
      </c>
      <c r="F144" s="185"/>
      <c r="G144" s="139">
        <v>0</v>
      </c>
      <c r="H144" s="153">
        <f t="shared" si="8"/>
        <v>0</v>
      </c>
      <c r="I144" s="139">
        <v>0</v>
      </c>
      <c r="J144" s="154"/>
    </row>
    <row r="145" spans="1:10">
      <c r="A145" s="5"/>
      <c r="B145" s="28" t="s">
        <v>677</v>
      </c>
      <c r="C145" s="49">
        <v>284</v>
      </c>
      <c r="D145" s="108" t="s">
        <v>80</v>
      </c>
      <c r="E145" s="190">
        <v>5462.5</v>
      </c>
      <c r="F145" s="185">
        <f t="shared" ref="F145:F150" si="9">E145*C145</f>
        <v>1551350</v>
      </c>
      <c r="G145" s="24">
        <v>5715</v>
      </c>
      <c r="H145" s="153">
        <f t="shared" si="8"/>
        <v>1623060</v>
      </c>
      <c r="I145" s="138">
        <v>5753.1750000000002</v>
      </c>
      <c r="J145" s="154">
        <f>$I145*$C145</f>
        <v>1633901.7</v>
      </c>
    </row>
    <row r="146" spans="1:10">
      <c r="A146" s="5"/>
      <c r="B146" s="28" t="s">
        <v>691</v>
      </c>
      <c r="C146" s="49">
        <v>30</v>
      </c>
      <c r="D146" s="108" t="s">
        <v>80</v>
      </c>
      <c r="E146" s="190">
        <v>5533.75</v>
      </c>
      <c r="F146" s="185">
        <f t="shared" si="9"/>
        <v>166012.5</v>
      </c>
      <c r="G146" s="24">
        <v>5715</v>
      </c>
      <c r="H146" s="153">
        <f t="shared" si="8"/>
        <v>171450</v>
      </c>
      <c r="I146" s="138">
        <v>5877.6</v>
      </c>
      <c r="J146" s="154">
        <f>$I146*$C146</f>
        <v>176328</v>
      </c>
    </row>
    <row r="147" spans="1:10">
      <c r="A147" s="5"/>
      <c r="B147" s="28" t="s">
        <v>692</v>
      </c>
      <c r="C147" s="49">
        <v>11</v>
      </c>
      <c r="D147" s="108" t="s">
        <v>80</v>
      </c>
      <c r="E147" s="190">
        <v>5628.75</v>
      </c>
      <c r="F147" s="185">
        <f t="shared" si="9"/>
        <v>61916.25</v>
      </c>
      <c r="G147" s="24">
        <v>6234</v>
      </c>
      <c r="H147" s="153">
        <f t="shared" si="8"/>
        <v>68574</v>
      </c>
      <c r="I147" s="138">
        <v>6015.85</v>
      </c>
      <c r="J147" s="154">
        <f>$I147*$C147</f>
        <v>66174.350000000006</v>
      </c>
    </row>
    <row r="148" spans="1:10">
      <c r="A148" s="5"/>
      <c r="B148" s="28" t="s">
        <v>693</v>
      </c>
      <c r="C148" s="49">
        <v>40</v>
      </c>
      <c r="D148" s="108" t="s">
        <v>80</v>
      </c>
      <c r="E148" s="190">
        <v>5771.25</v>
      </c>
      <c r="F148" s="185">
        <f t="shared" si="9"/>
        <v>230850</v>
      </c>
      <c r="G148" s="24">
        <v>6338</v>
      </c>
      <c r="H148" s="153">
        <f t="shared" si="8"/>
        <v>253520</v>
      </c>
      <c r="I148" s="138">
        <v>6068.1875</v>
      </c>
      <c r="J148" s="154">
        <f>$I148*$C148</f>
        <v>242727.5</v>
      </c>
    </row>
    <row r="149" spans="1:10">
      <c r="A149" s="5"/>
      <c r="B149" s="28" t="s">
        <v>694</v>
      </c>
      <c r="C149" s="49">
        <v>32</v>
      </c>
      <c r="D149" s="108" t="s">
        <v>80</v>
      </c>
      <c r="E149" s="190">
        <v>5961.25</v>
      </c>
      <c r="F149" s="185">
        <f t="shared" si="9"/>
        <v>190760</v>
      </c>
      <c r="G149" s="24">
        <v>6369</v>
      </c>
      <c r="H149" s="153">
        <f t="shared" si="8"/>
        <v>203808</v>
      </c>
      <c r="I149" s="138">
        <v>6224.2124999999996</v>
      </c>
      <c r="J149" s="154">
        <f>$I149*$C149</f>
        <v>199174.8</v>
      </c>
    </row>
    <row r="150" spans="1:10" ht="74">
      <c r="A150" s="5" t="s">
        <v>321</v>
      </c>
      <c r="B150" s="38" t="s">
        <v>482</v>
      </c>
      <c r="C150" s="49">
        <v>0</v>
      </c>
      <c r="D150" s="105"/>
      <c r="E150" s="190">
        <v>0</v>
      </c>
      <c r="F150" s="185">
        <f t="shared" si="9"/>
        <v>0</v>
      </c>
      <c r="G150" s="138">
        <v>0</v>
      </c>
      <c r="H150" s="153">
        <f t="shared" si="8"/>
        <v>0</v>
      </c>
      <c r="I150" s="138">
        <v>0</v>
      </c>
      <c r="J150" s="154">
        <f>I150*G149</f>
        <v>0</v>
      </c>
    </row>
    <row r="151" spans="1:10">
      <c r="A151" s="5"/>
      <c r="B151" s="129" t="s">
        <v>739</v>
      </c>
      <c r="C151" s="49"/>
      <c r="D151" s="105"/>
      <c r="E151" s="191">
        <v>0</v>
      </c>
      <c r="F151" s="185"/>
      <c r="G151" s="139">
        <v>0</v>
      </c>
      <c r="H151" s="153">
        <f t="shared" si="8"/>
        <v>0</v>
      </c>
      <c r="I151" s="139">
        <v>0</v>
      </c>
      <c r="J151" s="154"/>
    </row>
    <row r="152" spans="1:10">
      <c r="A152" s="5"/>
      <c r="B152" s="37" t="s">
        <v>254</v>
      </c>
      <c r="C152" s="49">
        <v>87</v>
      </c>
      <c r="D152" s="108" t="s">
        <v>81</v>
      </c>
      <c r="E152" s="190">
        <v>760</v>
      </c>
      <c r="F152" s="185">
        <f>E152*C152</f>
        <v>66120</v>
      </c>
      <c r="G152" s="138">
        <v>852</v>
      </c>
      <c r="H152" s="153">
        <f t="shared" si="8"/>
        <v>74124</v>
      </c>
      <c r="I152" s="138">
        <v>767.28750000000002</v>
      </c>
      <c r="J152" s="154">
        <f>$I152*$C152</f>
        <v>66754.012499999997</v>
      </c>
    </row>
    <row r="153" spans="1:10" ht="37">
      <c r="A153" s="49"/>
      <c r="B153" s="28" t="s">
        <v>239</v>
      </c>
      <c r="C153" s="49" t="s">
        <v>715</v>
      </c>
      <c r="D153" s="108" t="s">
        <v>81</v>
      </c>
      <c r="E153" s="190">
        <v>783.75</v>
      </c>
      <c r="F153" s="185"/>
      <c r="G153" s="138">
        <v>1558</v>
      </c>
      <c r="H153" s="153" t="str">
        <f t="shared" si="8"/>
        <v/>
      </c>
      <c r="I153" s="138">
        <v>780.125</v>
      </c>
      <c r="J153" s="154"/>
    </row>
    <row r="154" spans="1:10" ht="92.5">
      <c r="A154" s="5" t="s">
        <v>424</v>
      </c>
      <c r="B154" s="38" t="s">
        <v>322</v>
      </c>
      <c r="C154" s="49" t="s">
        <v>715</v>
      </c>
      <c r="D154" s="108" t="s">
        <v>288</v>
      </c>
      <c r="E154" s="190">
        <v>807.5</v>
      </c>
      <c r="F154" s="185"/>
      <c r="G154" s="138">
        <v>1454</v>
      </c>
      <c r="H154" s="153" t="str">
        <f t="shared" si="8"/>
        <v/>
      </c>
      <c r="I154" s="138">
        <v>987.5</v>
      </c>
      <c r="J154" s="154"/>
    </row>
    <row r="155" spans="1:10">
      <c r="A155" s="67"/>
      <c r="B155" s="22" t="s">
        <v>65</v>
      </c>
      <c r="C155" s="35">
        <v>0</v>
      </c>
      <c r="D155" s="106"/>
      <c r="E155" s="192">
        <v>0</v>
      </c>
      <c r="F155" s="184">
        <f>SUM(F129:F154)</f>
        <v>3686641.25</v>
      </c>
      <c r="G155" s="140">
        <v>0</v>
      </c>
      <c r="H155" s="184">
        <f>SUM(H129:H154)</f>
        <v>3904326</v>
      </c>
      <c r="I155" s="140">
        <v>0</v>
      </c>
      <c r="J155" s="184">
        <f>SUM(J129:J154)</f>
        <v>3877929.2875000001</v>
      </c>
    </row>
    <row r="156" spans="1:10">
      <c r="A156" s="67"/>
      <c r="B156" s="36" t="s">
        <v>67</v>
      </c>
      <c r="C156" s="35">
        <v>0</v>
      </c>
      <c r="D156" s="106"/>
      <c r="E156" s="192">
        <v>0</v>
      </c>
      <c r="F156" s="184"/>
      <c r="G156" s="140">
        <v>0</v>
      </c>
      <c r="H156" s="184"/>
      <c r="I156" s="140">
        <v>0</v>
      </c>
      <c r="J156" s="184"/>
    </row>
    <row r="157" spans="1:10">
      <c r="A157" s="5"/>
      <c r="B157" s="129" t="s">
        <v>739</v>
      </c>
      <c r="C157" s="35"/>
      <c r="D157" s="106"/>
      <c r="E157" s="191">
        <v>0</v>
      </c>
      <c r="F157" s="184"/>
      <c r="G157" s="139">
        <v>0</v>
      </c>
      <c r="H157" s="153">
        <f t="shared" si="8"/>
        <v>0</v>
      </c>
      <c r="I157" s="139">
        <v>0</v>
      </c>
      <c r="J157" s="181"/>
    </row>
    <row r="158" spans="1:10" ht="74">
      <c r="A158" s="5" t="s">
        <v>68</v>
      </c>
      <c r="B158" s="23" t="s">
        <v>255</v>
      </c>
      <c r="C158" s="49">
        <v>265</v>
      </c>
      <c r="D158" s="104" t="s">
        <v>81</v>
      </c>
      <c r="E158" s="190">
        <v>489.25</v>
      </c>
      <c r="F158" s="185">
        <f>E158*C158</f>
        <v>129651.25</v>
      </c>
      <c r="G158" s="138">
        <v>520</v>
      </c>
      <c r="H158" s="153">
        <f t="shared" si="8"/>
        <v>137800</v>
      </c>
      <c r="I158" s="138">
        <v>663.6</v>
      </c>
      <c r="J158" s="154">
        <f>$I158*$C158</f>
        <v>175854</v>
      </c>
    </row>
    <row r="159" spans="1:10">
      <c r="A159" s="5"/>
      <c r="B159" s="129" t="s">
        <v>735</v>
      </c>
      <c r="C159" s="49"/>
      <c r="D159" s="104"/>
      <c r="E159" s="191">
        <v>0</v>
      </c>
      <c r="F159" s="185"/>
      <c r="G159" s="139">
        <v>0</v>
      </c>
      <c r="H159" s="153">
        <f t="shared" si="8"/>
        <v>0</v>
      </c>
      <c r="I159" s="139">
        <v>0</v>
      </c>
      <c r="J159" s="154"/>
    </row>
    <row r="160" spans="1:10" ht="111">
      <c r="A160" s="5" t="s">
        <v>69</v>
      </c>
      <c r="B160" s="23" t="s">
        <v>722</v>
      </c>
      <c r="C160" s="49" t="s">
        <v>715</v>
      </c>
      <c r="D160" s="104" t="s">
        <v>80</v>
      </c>
      <c r="E160" s="190">
        <v>5177.5</v>
      </c>
      <c r="F160" s="185"/>
      <c r="G160" s="138">
        <v>6079</v>
      </c>
      <c r="H160" s="153" t="str">
        <f t="shared" si="8"/>
        <v/>
      </c>
      <c r="I160" s="138">
        <v>3584.625</v>
      </c>
      <c r="J160" s="154"/>
    </row>
    <row r="161" spans="1:10">
      <c r="A161" s="5"/>
      <c r="B161" s="129" t="s">
        <v>735</v>
      </c>
      <c r="C161" s="49"/>
      <c r="D161" s="104"/>
      <c r="E161" s="191">
        <v>0</v>
      </c>
      <c r="F161" s="185"/>
      <c r="G161" s="139">
        <v>0</v>
      </c>
      <c r="H161" s="153">
        <f t="shared" si="8"/>
        <v>0</v>
      </c>
      <c r="I161" s="139">
        <v>0</v>
      </c>
      <c r="J161" s="154"/>
    </row>
    <row r="162" spans="1:10" ht="37">
      <c r="A162" s="5" t="s">
        <v>468</v>
      </c>
      <c r="B162" s="48" t="s">
        <v>740</v>
      </c>
      <c r="C162" s="49">
        <v>2245</v>
      </c>
      <c r="D162" s="104" t="s">
        <v>80</v>
      </c>
      <c r="E162" s="190">
        <v>3253.75</v>
      </c>
      <c r="F162" s="185">
        <f>E162*C162</f>
        <v>7304668.75</v>
      </c>
      <c r="G162" s="138">
        <v>3115</v>
      </c>
      <c r="H162" s="153">
        <f t="shared" si="8"/>
        <v>6993175</v>
      </c>
      <c r="I162" s="138">
        <v>3584.625</v>
      </c>
      <c r="J162" s="154">
        <f>$I162*$C162</f>
        <v>8047483.125</v>
      </c>
    </row>
    <row r="163" spans="1:10" ht="148">
      <c r="A163" s="5" t="s">
        <v>469</v>
      </c>
      <c r="B163" s="28" t="s">
        <v>609</v>
      </c>
      <c r="C163" s="49">
        <v>42</v>
      </c>
      <c r="D163" s="104" t="s">
        <v>288</v>
      </c>
      <c r="E163" s="190">
        <v>95</v>
      </c>
      <c r="F163" s="185">
        <f>E163*C163</f>
        <v>3990</v>
      </c>
      <c r="G163" s="138">
        <v>104</v>
      </c>
      <c r="H163" s="153">
        <f t="shared" si="8"/>
        <v>4368</v>
      </c>
      <c r="I163" s="138">
        <v>79.987499999999997</v>
      </c>
      <c r="J163" s="154">
        <f>$I163*$C163</f>
        <v>3359.4749999999999</v>
      </c>
    </row>
    <row r="164" spans="1:10">
      <c r="A164" s="136"/>
      <c r="B164" s="131" t="s">
        <v>741</v>
      </c>
      <c r="C164" s="49"/>
      <c r="D164" s="104"/>
      <c r="E164" s="195">
        <v>0</v>
      </c>
      <c r="F164" s="185"/>
      <c r="G164" s="144">
        <v>0</v>
      </c>
      <c r="H164" s="153">
        <f t="shared" si="8"/>
        <v>0</v>
      </c>
      <c r="I164" s="144">
        <v>0</v>
      </c>
      <c r="J164" s="154"/>
    </row>
    <row r="165" spans="1:10" ht="148">
      <c r="A165" s="135" t="s">
        <v>750</v>
      </c>
      <c r="B165" s="130" t="s">
        <v>742</v>
      </c>
      <c r="C165" s="49">
        <v>42</v>
      </c>
      <c r="D165" s="104" t="s">
        <v>288</v>
      </c>
      <c r="E165" s="193">
        <v>128.25</v>
      </c>
      <c r="F165" s="185">
        <f>E165*C165</f>
        <v>5386.5</v>
      </c>
      <c r="G165" s="141">
        <v>166</v>
      </c>
      <c r="H165" s="153">
        <f t="shared" si="8"/>
        <v>6972</v>
      </c>
      <c r="I165" s="141">
        <v>166.88749999999999</v>
      </c>
      <c r="J165" s="154">
        <f>$I165*$C165</f>
        <v>7009.2749999999996</v>
      </c>
    </row>
    <row r="166" spans="1:10" ht="74">
      <c r="A166" s="49"/>
      <c r="B166" s="18" t="s">
        <v>483</v>
      </c>
      <c r="C166" s="49"/>
      <c r="D166" s="104"/>
      <c r="E166" s="190">
        <v>0</v>
      </c>
      <c r="F166" s="185"/>
      <c r="G166" s="138">
        <v>0</v>
      </c>
      <c r="H166" s="153">
        <f t="shared" si="8"/>
        <v>0</v>
      </c>
      <c r="I166" s="138">
        <v>0</v>
      </c>
      <c r="J166" s="154"/>
    </row>
    <row r="167" spans="1:10" ht="148">
      <c r="A167" s="5" t="s">
        <v>470</v>
      </c>
      <c r="B167" s="28" t="s">
        <v>507</v>
      </c>
      <c r="C167" s="49">
        <v>14146</v>
      </c>
      <c r="D167" s="104" t="s">
        <v>288</v>
      </c>
      <c r="E167" s="190">
        <v>128.25</v>
      </c>
      <c r="F167" s="185">
        <f>E167*C167</f>
        <v>1814224.5</v>
      </c>
      <c r="G167" s="138">
        <v>165</v>
      </c>
      <c r="H167" s="153">
        <f t="shared" si="8"/>
        <v>2334090</v>
      </c>
      <c r="I167" s="138">
        <v>166.88749999999999</v>
      </c>
      <c r="J167" s="154">
        <f>$I167*$C167</f>
        <v>2360790.5749999997</v>
      </c>
    </row>
    <row r="168" spans="1:10">
      <c r="A168" s="137"/>
      <c r="B168" s="132" t="s">
        <v>741</v>
      </c>
      <c r="C168" s="49"/>
      <c r="D168" s="104"/>
      <c r="E168" s="196">
        <v>0</v>
      </c>
      <c r="F168" s="185"/>
      <c r="G168" s="145">
        <v>0</v>
      </c>
      <c r="H168" s="153">
        <f t="shared" si="8"/>
        <v>0</v>
      </c>
      <c r="I168" s="145">
        <v>0</v>
      </c>
      <c r="J168" s="154"/>
    </row>
    <row r="169" spans="1:10" ht="148">
      <c r="A169" s="135" t="s">
        <v>751</v>
      </c>
      <c r="B169" s="130" t="s">
        <v>743</v>
      </c>
      <c r="C169" s="49">
        <v>14146</v>
      </c>
      <c r="D169" s="104" t="s">
        <v>288</v>
      </c>
      <c r="E169" s="193">
        <v>95</v>
      </c>
      <c r="F169" s="185">
        <f>E169*C169</f>
        <v>1343870</v>
      </c>
      <c r="G169" s="141">
        <v>103</v>
      </c>
      <c r="H169" s="153">
        <f t="shared" si="8"/>
        <v>1457038</v>
      </c>
      <c r="I169" s="141">
        <v>79.987499999999997</v>
      </c>
      <c r="J169" s="154">
        <f>$I169*$C169</f>
        <v>1131503.175</v>
      </c>
    </row>
    <row r="170" spans="1:10" ht="37">
      <c r="A170" s="49"/>
      <c r="B170" s="28" t="s">
        <v>744</v>
      </c>
      <c r="C170" s="49">
        <v>47690</v>
      </c>
      <c r="D170" s="104" t="s">
        <v>240</v>
      </c>
      <c r="E170" s="190">
        <v>16.149999999999999</v>
      </c>
      <c r="F170" s="185">
        <f>E170*C170</f>
        <v>770193.49999999988</v>
      </c>
      <c r="G170" s="138">
        <v>14</v>
      </c>
      <c r="H170" s="153">
        <f t="shared" si="8"/>
        <v>667660</v>
      </c>
      <c r="I170" s="138">
        <v>16.787500000000001</v>
      </c>
      <c r="J170" s="154">
        <f>$I170*$C170</f>
        <v>800595.87500000012</v>
      </c>
    </row>
    <row r="171" spans="1:10" ht="92.5">
      <c r="A171" s="5" t="s">
        <v>70</v>
      </c>
      <c r="B171" s="23" t="s">
        <v>259</v>
      </c>
      <c r="C171" s="49">
        <v>1570</v>
      </c>
      <c r="D171" s="104" t="s">
        <v>71</v>
      </c>
      <c r="E171" s="190">
        <v>76</v>
      </c>
      <c r="F171" s="185">
        <f>E171*C171</f>
        <v>119320</v>
      </c>
      <c r="G171" s="138">
        <v>113</v>
      </c>
      <c r="H171" s="153">
        <f t="shared" si="8"/>
        <v>177410</v>
      </c>
      <c r="I171" s="138">
        <v>463.13749999999999</v>
      </c>
      <c r="J171" s="154">
        <f>$I171*$C171</f>
        <v>727125.875</v>
      </c>
    </row>
    <row r="172" spans="1:10" ht="129.5">
      <c r="A172" s="5" t="s">
        <v>72</v>
      </c>
      <c r="B172" s="23" t="s">
        <v>183</v>
      </c>
      <c r="C172" s="49">
        <v>0</v>
      </c>
      <c r="D172" s="104"/>
      <c r="E172" s="190">
        <v>0</v>
      </c>
      <c r="F172" s="185">
        <f>E172*C172</f>
        <v>0</v>
      </c>
      <c r="G172" s="138">
        <v>0</v>
      </c>
      <c r="H172" s="153">
        <f t="shared" si="8"/>
        <v>0</v>
      </c>
      <c r="I172" s="138">
        <v>0</v>
      </c>
      <c r="J172" s="154">
        <f>I172*G171</f>
        <v>0</v>
      </c>
    </row>
    <row r="173" spans="1:10">
      <c r="A173" s="49"/>
      <c r="B173" s="28" t="s">
        <v>241</v>
      </c>
      <c r="C173" s="49">
        <v>7429</v>
      </c>
      <c r="D173" s="104" t="s">
        <v>83</v>
      </c>
      <c r="E173" s="190">
        <v>118.75</v>
      </c>
      <c r="F173" s="185">
        <f>E173*C173</f>
        <v>882193.75</v>
      </c>
      <c r="G173" s="138">
        <v>143</v>
      </c>
      <c r="H173" s="153">
        <f t="shared" si="8"/>
        <v>1062347</v>
      </c>
      <c r="I173" s="138">
        <v>133.3125</v>
      </c>
      <c r="J173" s="154">
        <f>$I173*$C173</f>
        <v>990378.5625</v>
      </c>
    </row>
    <row r="174" spans="1:10">
      <c r="A174" s="49"/>
      <c r="B174" s="28" t="s">
        <v>242</v>
      </c>
      <c r="C174" s="49" t="s">
        <v>715</v>
      </c>
      <c r="D174" s="104" t="s">
        <v>83</v>
      </c>
      <c r="E174" s="190">
        <v>95</v>
      </c>
      <c r="F174" s="185"/>
      <c r="G174" s="138">
        <v>73</v>
      </c>
      <c r="H174" s="153" t="str">
        <f t="shared" si="8"/>
        <v/>
      </c>
      <c r="I174" s="138">
        <v>47.4</v>
      </c>
      <c r="J174" s="154"/>
    </row>
    <row r="175" spans="1:10" ht="74">
      <c r="A175" s="5" t="s">
        <v>74</v>
      </c>
      <c r="B175" s="23" t="s">
        <v>484</v>
      </c>
      <c r="C175" s="49">
        <v>0</v>
      </c>
      <c r="D175" s="105"/>
      <c r="E175" s="190">
        <v>0</v>
      </c>
      <c r="F175" s="185">
        <f>E175*C175</f>
        <v>0</v>
      </c>
      <c r="G175" s="138">
        <v>0</v>
      </c>
      <c r="H175" s="153">
        <f t="shared" si="8"/>
        <v>0</v>
      </c>
      <c r="I175" s="138">
        <v>0</v>
      </c>
      <c r="J175" s="154">
        <f>I175*G174</f>
        <v>0</v>
      </c>
    </row>
    <row r="176" spans="1:10">
      <c r="A176" s="5"/>
      <c r="B176" s="23" t="s">
        <v>417</v>
      </c>
      <c r="C176" s="49">
        <v>0</v>
      </c>
      <c r="D176" s="104"/>
      <c r="E176" s="190">
        <v>0</v>
      </c>
      <c r="F176" s="185">
        <f>E176*C176</f>
        <v>0</v>
      </c>
      <c r="G176" s="138">
        <v>0</v>
      </c>
      <c r="H176" s="153">
        <f t="shared" si="8"/>
        <v>0</v>
      </c>
      <c r="I176" s="138">
        <v>0</v>
      </c>
      <c r="J176" s="154">
        <f>I176*G175</f>
        <v>0</v>
      </c>
    </row>
    <row r="177" spans="1:10">
      <c r="A177" s="5"/>
      <c r="B177" s="23" t="s">
        <v>485</v>
      </c>
      <c r="C177" s="49">
        <v>69</v>
      </c>
      <c r="D177" s="104" t="s">
        <v>81</v>
      </c>
      <c r="E177" s="190">
        <v>997.5</v>
      </c>
      <c r="F177" s="185">
        <f>E177*C177</f>
        <v>68827.5</v>
      </c>
      <c r="G177" s="24">
        <v>682</v>
      </c>
      <c r="H177" s="153">
        <f t="shared" si="8"/>
        <v>47058</v>
      </c>
      <c r="I177" s="138">
        <v>651.75</v>
      </c>
      <c r="J177" s="154">
        <f>$I177*$C177</f>
        <v>44970.75</v>
      </c>
    </row>
    <row r="178" spans="1:10">
      <c r="A178" s="5"/>
      <c r="B178" s="23" t="s">
        <v>97</v>
      </c>
      <c r="C178" s="49">
        <v>500</v>
      </c>
      <c r="D178" s="104" t="s">
        <v>83</v>
      </c>
      <c r="E178" s="190">
        <v>427.5</v>
      </c>
      <c r="F178" s="185">
        <f>E178*C178</f>
        <v>213750</v>
      </c>
      <c r="G178" s="24">
        <v>444</v>
      </c>
      <c r="H178" s="153">
        <f t="shared" si="8"/>
        <v>222000</v>
      </c>
      <c r="I178" s="138">
        <v>399.9375</v>
      </c>
      <c r="J178" s="154">
        <f>$I178*$C178</f>
        <v>199968.75</v>
      </c>
    </row>
    <row r="179" spans="1:10">
      <c r="A179" s="49"/>
      <c r="B179" s="28" t="s">
        <v>418</v>
      </c>
      <c r="C179" s="49" t="s">
        <v>715</v>
      </c>
      <c r="D179" s="104" t="s">
        <v>83</v>
      </c>
      <c r="E179" s="190">
        <v>237.5</v>
      </c>
      <c r="F179" s="185"/>
      <c r="G179" s="24">
        <v>91</v>
      </c>
      <c r="H179" s="153" t="str">
        <f t="shared" si="8"/>
        <v/>
      </c>
      <c r="I179" s="138">
        <v>151.08750000000001</v>
      </c>
      <c r="J179" s="154"/>
    </row>
    <row r="180" spans="1:10" ht="92.5">
      <c r="A180" s="49" t="s">
        <v>75</v>
      </c>
      <c r="B180" s="28" t="s">
        <v>486</v>
      </c>
      <c r="C180" s="49">
        <v>0</v>
      </c>
      <c r="D180" s="104"/>
      <c r="E180" s="190">
        <v>0</v>
      </c>
      <c r="F180" s="185">
        <f>E180*C180</f>
        <v>0</v>
      </c>
      <c r="G180" s="138">
        <v>0</v>
      </c>
      <c r="H180" s="153">
        <f t="shared" si="8"/>
        <v>0</v>
      </c>
      <c r="I180" s="138">
        <v>0</v>
      </c>
      <c r="J180" s="154">
        <f>I180*G179</f>
        <v>0</v>
      </c>
    </row>
    <row r="181" spans="1:10">
      <c r="A181" s="5"/>
      <c r="B181" s="129" t="s">
        <v>733</v>
      </c>
      <c r="C181" s="49"/>
      <c r="D181" s="104"/>
      <c r="E181" s="191">
        <v>0</v>
      </c>
      <c r="F181" s="185"/>
      <c r="G181" s="139">
        <v>0</v>
      </c>
      <c r="H181" s="153">
        <f t="shared" si="8"/>
        <v>0</v>
      </c>
      <c r="I181" s="139">
        <v>0</v>
      </c>
      <c r="J181" s="154"/>
    </row>
    <row r="182" spans="1:10">
      <c r="A182" s="49"/>
      <c r="B182" s="28" t="s">
        <v>234</v>
      </c>
      <c r="C182" s="49">
        <v>465</v>
      </c>
      <c r="D182" s="104" t="s">
        <v>81</v>
      </c>
      <c r="E182" s="190">
        <v>1353.75</v>
      </c>
      <c r="F182" s="185">
        <f>E182*C182</f>
        <v>629493.75</v>
      </c>
      <c r="G182" s="24">
        <v>1328</v>
      </c>
      <c r="H182" s="153">
        <f t="shared" si="8"/>
        <v>617520</v>
      </c>
      <c r="I182" s="138">
        <v>1573.0875000000001</v>
      </c>
      <c r="J182" s="154">
        <f>$I182*$C182</f>
        <v>731485.6875</v>
      </c>
    </row>
    <row r="183" spans="1:10">
      <c r="A183" s="49"/>
      <c r="B183" s="28" t="s">
        <v>235</v>
      </c>
      <c r="C183" s="49" t="s">
        <v>715</v>
      </c>
      <c r="D183" s="104" t="s">
        <v>81</v>
      </c>
      <c r="E183" s="190">
        <v>1543.75</v>
      </c>
      <c r="F183" s="185"/>
      <c r="G183" s="24">
        <v>1486</v>
      </c>
      <c r="H183" s="153" t="str">
        <f t="shared" si="8"/>
        <v/>
      </c>
      <c r="I183" s="138">
        <v>1742.9375</v>
      </c>
      <c r="J183" s="154"/>
    </row>
    <row r="184" spans="1:10" ht="111">
      <c r="A184" s="5" t="s">
        <v>156</v>
      </c>
      <c r="B184" s="38" t="s">
        <v>260</v>
      </c>
      <c r="C184" s="49">
        <v>164</v>
      </c>
      <c r="D184" s="104" t="s">
        <v>81</v>
      </c>
      <c r="E184" s="190">
        <v>2018.75</v>
      </c>
      <c r="F184" s="185">
        <f>E184*C184</f>
        <v>331075</v>
      </c>
      <c r="G184" s="24">
        <v>2328</v>
      </c>
      <c r="H184" s="153">
        <f t="shared" si="8"/>
        <v>381792</v>
      </c>
      <c r="I184" s="138">
        <v>2750.1875</v>
      </c>
      <c r="J184" s="154">
        <f>$I184*$C184</f>
        <v>451030.75</v>
      </c>
    </row>
    <row r="185" spans="1:10">
      <c r="A185" s="5"/>
      <c r="B185" s="129" t="s">
        <v>733</v>
      </c>
      <c r="C185" s="49"/>
      <c r="D185" s="104"/>
      <c r="E185" s="191">
        <v>0</v>
      </c>
      <c r="F185" s="185"/>
      <c r="G185" s="24">
        <v>0</v>
      </c>
      <c r="H185" s="153">
        <f t="shared" si="8"/>
        <v>0</v>
      </c>
      <c r="I185" s="139">
        <v>0</v>
      </c>
      <c r="J185" s="154"/>
    </row>
    <row r="186" spans="1:10" ht="92.5">
      <c r="A186" s="5" t="s">
        <v>157</v>
      </c>
      <c r="B186" s="23" t="s">
        <v>4</v>
      </c>
      <c r="C186" s="49"/>
      <c r="D186" s="104"/>
      <c r="E186" s="190">
        <v>0</v>
      </c>
      <c r="F186" s="185"/>
      <c r="G186" s="24">
        <v>0</v>
      </c>
      <c r="H186" s="153">
        <f t="shared" si="8"/>
        <v>0</v>
      </c>
      <c r="I186" s="138">
        <v>0</v>
      </c>
      <c r="J186" s="154"/>
    </row>
    <row r="187" spans="1:10">
      <c r="A187" s="5"/>
      <c r="B187" s="129" t="s">
        <v>733</v>
      </c>
      <c r="C187" s="49"/>
      <c r="D187" s="105"/>
      <c r="E187" s="191">
        <v>0</v>
      </c>
      <c r="F187" s="185"/>
      <c r="G187" s="24">
        <v>0</v>
      </c>
      <c r="H187" s="153">
        <f t="shared" si="8"/>
        <v>0</v>
      </c>
      <c r="I187" s="139">
        <v>0</v>
      </c>
      <c r="J187" s="154"/>
    </row>
    <row r="188" spans="1:10">
      <c r="A188" s="5"/>
      <c r="B188" s="23" t="s">
        <v>88</v>
      </c>
      <c r="C188" s="49">
        <v>85</v>
      </c>
      <c r="D188" s="108" t="s">
        <v>81</v>
      </c>
      <c r="E188" s="190">
        <v>1140</v>
      </c>
      <c r="F188" s="185">
        <f>E188*C188</f>
        <v>96900</v>
      </c>
      <c r="G188" s="24">
        <v>1091</v>
      </c>
      <c r="H188" s="153">
        <f t="shared" si="8"/>
        <v>92735</v>
      </c>
      <c r="I188" s="138">
        <v>1106.9875</v>
      </c>
      <c r="J188" s="154">
        <f>$I188*$C188</f>
        <v>94093.9375</v>
      </c>
    </row>
    <row r="189" spans="1:10">
      <c r="A189" s="5"/>
      <c r="B189" s="23" t="s">
        <v>89</v>
      </c>
      <c r="C189" s="49">
        <v>236</v>
      </c>
      <c r="D189" s="108" t="s">
        <v>81</v>
      </c>
      <c r="E189" s="190">
        <v>1187.5</v>
      </c>
      <c r="F189" s="185">
        <f>E189*C189</f>
        <v>280250</v>
      </c>
      <c r="G189" s="24">
        <v>1174</v>
      </c>
      <c r="H189" s="153">
        <f t="shared" si="8"/>
        <v>277064</v>
      </c>
      <c r="I189" s="138">
        <v>1208.7</v>
      </c>
      <c r="J189" s="154">
        <f>$I189*$C189</f>
        <v>285253.2</v>
      </c>
    </row>
    <row r="190" spans="1:10" ht="55.5">
      <c r="A190" s="5" t="s">
        <v>158</v>
      </c>
      <c r="B190" s="23" t="s">
        <v>487</v>
      </c>
      <c r="C190" s="49">
        <v>0</v>
      </c>
      <c r="D190" s="105"/>
      <c r="E190" s="190">
        <v>0</v>
      </c>
      <c r="F190" s="185">
        <f>E190*C190</f>
        <v>0</v>
      </c>
      <c r="G190" s="24">
        <v>0</v>
      </c>
      <c r="H190" s="153">
        <f t="shared" si="8"/>
        <v>0</v>
      </c>
      <c r="I190" s="138">
        <v>0</v>
      </c>
      <c r="J190" s="154">
        <f>I190*G189</f>
        <v>0</v>
      </c>
    </row>
    <row r="191" spans="1:10">
      <c r="A191" s="5"/>
      <c r="B191" s="129" t="s">
        <v>733</v>
      </c>
      <c r="C191" s="49"/>
      <c r="D191" s="105"/>
      <c r="E191" s="191">
        <v>0</v>
      </c>
      <c r="F191" s="185"/>
      <c r="G191" s="24">
        <v>0</v>
      </c>
      <c r="H191" s="153">
        <f t="shared" si="8"/>
        <v>0</v>
      </c>
      <c r="I191" s="139">
        <v>0</v>
      </c>
      <c r="J191" s="154"/>
    </row>
    <row r="192" spans="1:10">
      <c r="A192" s="5"/>
      <c r="B192" s="28" t="s">
        <v>419</v>
      </c>
      <c r="C192" s="49">
        <v>277</v>
      </c>
      <c r="D192" s="108" t="s">
        <v>81</v>
      </c>
      <c r="E192" s="190">
        <v>1258.75</v>
      </c>
      <c r="F192" s="185">
        <f>E192*C192</f>
        <v>348673.75</v>
      </c>
      <c r="G192" s="24">
        <v>1143</v>
      </c>
      <c r="H192" s="153">
        <f t="shared" si="8"/>
        <v>316611</v>
      </c>
      <c r="I192" s="138">
        <v>1279.8</v>
      </c>
      <c r="J192" s="154">
        <f>$I192*$C192</f>
        <v>354504.6</v>
      </c>
    </row>
    <row r="193" spans="1:10">
      <c r="A193" s="5"/>
      <c r="B193" s="28" t="s">
        <v>444</v>
      </c>
      <c r="C193" s="49" t="s">
        <v>715</v>
      </c>
      <c r="D193" s="108" t="s">
        <v>83</v>
      </c>
      <c r="E193" s="190">
        <v>190</v>
      </c>
      <c r="F193" s="185"/>
      <c r="G193" s="24">
        <v>239</v>
      </c>
      <c r="H193" s="153" t="str">
        <f t="shared" si="8"/>
        <v/>
      </c>
      <c r="I193" s="138">
        <v>154.05000000000001</v>
      </c>
      <c r="J193" s="154"/>
    </row>
    <row r="194" spans="1:10" ht="92.5">
      <c r="A194" s="49" t="s">
        <v>87</v>
      </c>
      <c r="B194" s="28" t="s">
        <v>445</v>
      </c>
      <c r="C194" s="49">
        <v>110</v>
      </c>
      <c r="D194" s="108" t="s">
        <v>81</v>
      </c>
      <c r="E194" s="190">
        <v>4465</v>
      </c>
      <c r="F194" s="185">
        <f>E194*C194</f>
        <v>491150</v>
      </c>
      <c r="G194" s="24">
        <v>3441</v>
      </c>
      <c r="H194" s="153">
        <f t="shared" si="8"/>
        <v>378510</v>
      </c>
      <c r="I194" s="138">
        <v>4824.9250000000002</v>
      </c>
      <c r="J194" s="154">
        <f>$I194*$C194</f>
        <v>530741.75</v>
      </c>
    </row>
    <row r="195" spans="1:10">
      <c r="A195" s="5"/>
      <c r="B195" s="129" t="s">
        <v>733</v>
      </c>
      <c r="C195" s="49"/>
      <c r="D195" s="108"/>
      <c r="E195" s="191">
        <v>0</v>
      </c>
      <c r="F195" s="185"/>
      <c r="G195" s="24">
        <v>0</v>
      </c>
      <c r="H195" s="153">
        <f t="shared" si="8"/>
        <v>0</v>
      </c>
      <c r="I195" s="139">
        <v>0</v>
      </c>
      <c r="J195" s="154"/>
    </row>
    <row r="196" spans="1:10" ht="74">
      <c r="A196" s="49" t="s">
        <v>672</v>
      </c>
      <c r="B196" s="28" t="s">
        <v>673</v>
      </c>
      <c r="C196" s="49">
        <v>18</v>
      </c>
      <c r="D196" s="108" t="s">
        <v>288</v>
      </c>
      <c r="E196" s="190">
        <v>5106.25</v>
      </c>
      <c r="F196" s="185">
        <f>E196*C196</f>
        <v>91912.5</v>
      </c>
      <c r="G196" s="24">
        <v>3637</v>
      </c>
      <c r="H196" s="153">
        <f t="shared" si="8"/>
        <v>65466</v>
      </c>
      <c r="I196" s="139">
        <v>8333.5125000000007</v>
      </c>
      <c r="J196" s="154">
        <f>$I196*$C196</f>
        <v>150003.22500000001</v>
      </c>
    </row>
    <row r="197" spans="1:10">
      <c r="A197" s="5"/>
      <c r="B197" s="129" t="s">
        <v>733</v>
      </c>
      <c r="C197" s="49"/>
      <c r="D197" s="108"/>
      <c r="E197" s="191">
        <v>0</v>
      </c>
      <c r="F197" s="185"/>
      <c r="G197" s="24">
        <v>0</v>
      </c>
      <c r="H197" s="153">
        <f t="shared" si="8"/>
        <v>0</v>
      </c>
      <c r="I197" s="139">
        <v>0</v>
      </c>
      <c r="J197" s="154"/>
    </row>
    <row r="198" spans="1:10" ht="74">
      <c r="A198" s="5" t="s">
        <v>90</v>
      </c>
      <c r="B198" s="23" t="s">
        <v>446</v>
      </c>
      <c r="C198" s="49">
        <v>2</v>
      </c>
      <c r="D198" s="108" t="s">
        <v>81</v>
      </c>
      <c r="E198" s="190">
        <v>3291.75</v>
      </c>
      <c r="F198" s="185">
        <f>E198*C198</f>
        <v>6583.5</v>
      </c>
      <c r="G198" s="24">
        <v>3421</v>
      </c>
      <c r="H198" s="153">
        <f t="shared" si="8"/>
        <v>6842</v>
      </c>
      <c r="I198" s="139">
        <v>4047.7624999999998</v>
      </c>
      <c r="J198" s="154">
        <f>$I198*$C198</f>
        <v>8095.5249999999996</v>
      </c>
    </row>
    <row r="199" spans="1:10">
      <c r="A199" s="5"/>
      <c r="B199" s="129" t="s">
        <v>733</v>
      </c>
      <c r="C199" s="49"/>
      <c r="D199" s="108"/>
      <c r="E199" s="191">
        <v>0</v>
      </c>
      <c r="F199" s="185"/>
      <c r="G199" s="24">
        <v>0</v>
      </c>
      <c r="H199" s="153">
        <f t="shared" si="8"/>
        <v>0</v>
      </c>
      <c r="I199" s="139">
        <v>0</v>
      </c>
      <c r="J199" s="154"/>
    </row>
    <row r="200" spans="1:10" ht="74">
      <c r="A200" s="5" t="s">
        <v>669</v>
      </c>
      <c r="B200" s="23" t="s">
        <v>668</v>
      </c>
      <c r="C200" s="49">
        <v>7.6</v>
      </c>
      <c r="D200" s="108" t="s">
        <v>81</v>
      </c>
      <c r="E200" s="190">
        <v>4417.5</v>
      </c>
      <c r="F200" s="185">
        <f>E200*C200</f>
        <v>33573</v>
      </c>
      <c r="G200" s="24">
        <v>3471</v>
      </c>
      <c r="H200" s="153">
        <f t="shared" si="8"/>
        <v>26379.599999999999</v>
      </c>
      <c r="I200" s="138">
        <v>4047.7624999999998</v>
      </c>
      <c r="J200" s="154">
        <f>$I200*$C200</f>
        <v>30762.994999999999</v>
      </c>
    </row>
    <row r="201" spans="1:10">
      <c r="A201" s="5"/>
      <c r="B201" s="129" t="s">
        <v>733</v>
      </c>
      <c r="C201" s="49"/>
      <c r="D201" s="108"/>
      <c r="E201" s="191">
        <v>0</v>
      </c>
      <c r="F201" s="185"/>
      <c r="G201" s="200">
        <v>0</v>
      </c>
      <c r="H201" s="153">
        <f t="shared" si="8"/>
        <v>0</v>
      </c>
      <c r="I201" s="139">
        <v>0</v>
      </c>
      <c r="J201" s="154"/>
    </row>
    <row r="202" spans="1:10" ht="74">
      <c r="A202" s="5" t="s">
        <v>230</v>
      </c>
      <c r="B202" s="23" t="s">
        <v>155</v>
      </c>
      <c r="C202" s="49" t="s">
        <v>715</v>
      </c>
      <c r="D202" s="108" t="s">
        <v>81</v>
      </c>
      <c r="E202" s="190">
        <v>1805</v>
      </c>
      <c r="F202" s="185"/>
      <c r="G202" s="138">
        <v>1195</v>
      </c>
      <c r="H202" s="153" t="str">
        <f t="shared" si="8"/>
        <v/>
      </c>
      <c r="I202" s="138">
        <v>4443.75</v>
      </c>
      <c r="J202" s="154"/>
    </row>
    <row r="203" spans="1:10">
      <c r="A203" s="5"/>
      <c r="B203" s="129" t="s">
        <v>733</v>
      </c>
      <c r="C203" s="49"/>
      <c r="D203" s="108"/>
      <c r="E203" s="191">
        <v>0</v>
      </c>
      <c r="F203" s="185"/>
      <c r="G203" s="139">
        <v>0</v>
      </c>
      <c r="H203" s="153">
        <f t="shared" si="8"/>
        <v>0</v>
      </c>
      <c r="I203" s="139">
        <v>0</v>
      </c>
      <c r="J203" s="154"/>
    </row>
    <row r="204" spans="1:10" ht="92.5">
      <c r="A204" s="5" t="s">
        <v>231</v>
      </c>
      <c r="B204" s="23" t="s">
        <v>110</v>
      </c>
      <c r="C204" s="49">
        <v>20</v>
      </c>
      <c r="D204" s="108" t="s">
        <v>81</v>
      </c>
      <c r="E204" s="190">
        <v>2075.75</v>
      </c>
      <c r="F204" s="185">
        <f>E204*C204</f>
        <v>41515</v>
      </c>
      <c r="G204" s="138">
        <v>1534</v>
      </c>
      <c r="H204" s="153">
        <f t="shared" ref="H204:H267" si="10">IFERROR(G204*C204,"")</f>
        <v>30680</v>
      </c>
      <c r="I204" s="138">
        <v>4007.2750000000001</v>
      </c>
      <c r="J204" s="154">
        <f>$I204*$C204</f>
        <v>80145.5</v>
      </c>
    </row>
    <row r="205" spans="1:10">
      <c r="A205" s="5"/>
      <c r="B205" s="129" t="s">
        <v>733</v>
      </c>
      <c r="C205" s="49"/>
      <c r="D205" s="108"/>
      <c r="E205" s="191">
        <v>0</v>
      </c>
      <c r="F205" s="185"/>
      <c r="G205" s="139">
        <v>0</v>
      </c>
      <c r="H205" s="153">
        <f t="shared" si="10"/>
        <v>0</v>
      </c>
      <c r="I205" s="139">
        <v>0</v>
      </c>
      <c r="J205" s="154"/>
    </row>
    <row r="206" spans="1:10" ht="74">
      <c r="A206" s="5" t="s">
        <v>154</v>
      </c>
      <c r="B206" s="23" t="s">
        <v>223</v>
      </c>
      <c r="C206" s="49" t="s">
        <v>715</v>
      </c>
      <c r="D206" s="108" t="s">
        <v>81</v>
      </c>
      <c r="E206" s="190">
        <v>1268.25</v>
      </c>
      <c r="F206" s="185"/>
      <c r="G206" s="138">
        <v>1631</v>
      </c>
      <c r="H206" s="153" t="str">
        <f t="shared" si="10"/>
        <v/>
      </c>
      <c r="I206" s="138">
        <v>0</v>
      </c>
      <c r="J206" s="154"/>
    </row>
    <row r="207" spans="1:10" ht="222">
      <c r="A207" s="5" t="s">
        <v>252</v>
      </c>
      <c r="B207" s="38" t="s">
        <v>278</v>
      </c>
      <c r="C207" s="49" t="s">
        <v>715</v>
      </c>
      <c r="D207" s="32" t="s">
        <v>81</v>
      </c>
      <c r="E207" s="190">
        <v>1258.75</v>
      </c>
      <c r="F207" s="127"/>
      <c r="G207" s="138">
        <v>0</v>
      </c>
      <c r="H207" s="153" t="str">
        <f t="shared" si="10"/>
        <v/>
      </c>
      <c r="I207" s="138">
        <v>0</v>
      </c>
      <c r="J207" s="154">
        <f>I207*G206</f>
        <v>0</v>
      </c>
    </row>
    <row r="208" spans="1:10">
      <c r="A208" s="5"/>
      <c r="B208" s="129" t="s">
        <v>733</v>
      </c>
      <c r="C208" s="49"/>
      <c r="D208" s="108"/>
      <c r="E208" s="191">
        <v>0</v>
      </c>
      <c r="F208" s="185"/>
      <c r="G208" s="139">
        <v>0</v>
      </c>
      <c r="H208" s="153">
        <f t="shared" si="10"/>
        <v>0</v>
      </c>
      <c r="I208" s="139">
        <v>0</v>
      </c>
      <c r="J208" s="154"/>
    </row>
    <row r="209" spans="1:10" ht="74">
      <c r="A209" s="5" t="s">
        <v>252</v>
      </c>
      <c r="B209" s="23" t="s">
        <v>257</v>
      </c>
      <c r="C209" s="49" t="s">
        <v>715</v>
      </c>
      <c r="D209" s="108" t="s">
        <v>81</v>
      </c>
      <c r="E209" s="190">
        <v>1258.75</v>
      </c>
      <c r="F209" s="185"/>
      <c r="G209" s="138">
        <v>1101</v>
      </c>
      <c r="H209" s="153" t="str">
        <f t="shared" si="10"/>
        <v/>
      </c>
      <c r="I209" s="138">
        <v>4443.75</v>
      </c>
      <c r="J209" s="154"/>
    </row>
    <row r="210" spans="1:10">
      <c r="A210" s="5"/>
      <c r="B210" s="129" t="s">
        <v>733</v>
      </c>
      <c r="C210" s="49"/>
      <c r="D210" s="108"/>
      <c r="E210" s="191">
        <v>0</v>
      </c>
      <c r="F210" s="185"/>
      <c r="G210" s="139">
        <v>0</v>
      </c>
      <c r="H210" s="153">
        <f t="shared" si="10"/>
        <v>0</v>
      </c>
      <c r="I210" s="139">
        <v>0</v>
      </c>
      <c r="J210" s="154"/>
    </row>
    <row r="211" spans="1:10" ht="92.5">
      <c r="A211" s="5" t="s">
        <v>388</v>
      </c>
      <c r="B211" s="23" t="s">
        <v>387</v>
      </c>
      <c r="C211" s="49">
        <v>2</v>
      </c>
      <c r="D211" s="108" t="s">
        <v>81</v>
      </c>
      <c r="E211" s="190">
        <v>4132.5</v>
      </c>
      <c r="F211" s="185">
        <f>E211*C211</f>
        <v>8265</v>
      </c>
      <c r="G211" s="138">
        <v>5195</v>
      </c>
      <c r="H211" s="153">
        <f t="shared" si="10"/>
        <v>10390</v>
      </c>
      <c r="I211" s="138">
        <v>8333.5125000000007</v>
      </c>
      <c r="J211" s="154">
        <f>$I211*$C211</f>
        <v>16667.025000000001</v>
      </c>
    </row>
    <row r="212" spans="1:10">
      <c r="A212" s="5"/>
      <c r="B212" s="129" t="s">
        <v>733</v>
      </c>
      <c r="C212" s="49"/>
      <c r="D212" s="108"/>
      <c r="E212" s="191">
        <v>0</v>
      </c>
      <c r="F212" s="185"/>
      <c r="G212" s="139">
        <v>0</v>
      </c>
      <c r="H212" s="153">
        <f t="shared" si="10"/>
        <v>0</v>
      </c>
      <c r="I212" s="139">
        <v>0</v>
      </c>
      <c r="J212" s="154"/>
    </row>
    <row r="213" spans="1:10" ht="222">
      <c r="A213" s="5" t="s">
        <v>511</v>
      </c>
      <c r="B213" s="23" t="s">
        <v>603</v>
      </c>
      <c r="C213" s="49">
        <v>460</v>
      </c>
      <c r="D213" s="108" t="s">
        <v>81</v>
      </c>
      <c r="E213" s="190">
        <v>1140</v>
      </c>
      <c r="F213" s="185">
        <f>E213*C213</f>
        <v>524400</v>
      </c>
      <c r="G213" s="138">
        <v>1454</v>
      </c>
      <c r="H213" s="153">
        <f t="shared" si="10"/>
        <v>668840</v>
      </c>
      <c r="I213" s="147">
        <v>1334.1125</v>
      </c>
      <c r="J213" s="154">
        <f>$I213*$C213</f>
        <v>613691.75</v>
      </c>
    </row>
    <row r="214" spans="1:10">
      <c r="A214" s="67"/>
      <c r="B214" s="22" t="s">
        <v>91</v>
      </c>
      <c r="C214" s="67">
        <v>0</v>
      </c>
      <c r="D214" s="102"/>
      <c r="E214" s="197">
        <v>0</v>
      </c>
      <c r="F214" s="180">
        <f>SUM(F158:F213)</f>
        <v>15539867.25</v>
      </c>
      <c r="G214" s="146">
        <v>0</v>
      </c>
      <c r="H214" s="180">
        <f>SUM(H158:H213)</f>
        <v>15982747.6</v>
      </c>
      <c r="I214" s="146">
        <v>0</v>
      </c>
      <c r="J214" s="180">
        <f>SUM(J158:J213)</f>
        <v>17835515.382499997</v>
      </c>
    </row>
    <row r="215" spans="1:10">
      <c r="A215" s="67"/>
      <c r="B215" s="36" t="s">
        <v>102</v>
      </c>
      <c r="C215" s="67">
        <v>0</v>
      </c>
      <c r="D215" s="102"/>
      <c r="E215" s="197">
        <v>0</v>
      </c>
      <c r="F215" s="179"/>
      <c r="G215" s="146">
        <v>0</v>
      </c>
      <c r="H215" s="179"/>
      <c r="I215" s="146">
        <v>0</v>
      </c>
      <c r="J215" s="179"/>
    </row>
    <row r="216" spans="1:10" ht="129.5">
      <c r="A216" s="49" t="s">
        <v>92</v>
      </c>
      <c r="B216" s="28" t="s">
        <v>488</v>
      </c>
      <c r="C216" s="49">
        <v>0</v>
      </c>
      <c r="D216" s="109"/>
      <c r="E216" s="190">
        <v>0</v>
      </c>
      <c r="F216" s="185">
        <f>E216*C216</f>
        <v>0</v>
      </c>
      <c r="G216" s="138">
        <v>0</v>
      </c>
      <c r="H216" s="153">
        <f t="shared" si="10"/>
        <v>0</v>
      </c>
      <c r="I216" s="138">
        <v>0</v>
      </c>
      <c r="J216" s="154">
        <f>I216*G215</f>
        <v>0</v>
      </c>
    </row>
    <row r="217" spans="1:10">
      <c r="A217" s="5"/>
      <c r="B217" s="129" t="s">
        <v>733</v>
      </c>
      <c r="C217" s="49"/>
      <c r="D217" s="109"/>
      <c r="E217" s="191">
        <v>0</v>
      </c>
      <c r="F217" s="185"/>
      <c r="G217" s="139">
        <v>0</v>
      </c>
      <c r="H217" s="153">
        <f t="shared" si="10"/>
        <v>0</v>
      </c>
      <c r="I217" s="139">
        <v>0</v>
      </c>
      <c r="J217" s="154"/>
    </row>
    <row r="218" spans="1:10">
      <c r="A218" s="49"/>
      <c r="B218" s="28" t="s">
        <v>93</v>
      </c>
      <c r="C218" s="49">
        <v>2010</v>
      </c>
      <c r="D218" s="108" t="s">
        <v>81</v>
      </c>
      <c r="E218" s="190">
        <v>332.5</v>
      </c>
      <c r="F218" s="185">
        <f>E218*C218</f>
        <v>668325</v>
      </c>
      <c r="G218" s="138">
        <v>258</v>
      </c>
      <c r="H218" s="153">
        <f t="shared" si="10"/>
        <v>518580</v>
      </c>
      <c r="I218" s="138">
        <v>298.22500000000002</v>
      </c>
      <c r="J218" s="154">
        <f>$I218*$C218</f>
        <v>599432.25</v>
      </c>
    </row>
    <row r="219" spans="1:10">
      <c r="A219" s="49"/>
      <c r="B219" s="28" t="s">
        <v>94</v>
      </c>
      <c r="C219" s="49">
        <v>5050</v>
      </c>
      <c r="D219" s="108" t="s">
        <v>81</v>
      </c>
      <c r="E219" s="190">
        <v>299.25</v>
      </c>
      <c r="F219" s="185">
        <f>E219*C219</f>
        <v>1511212.5</v>
      </c>
      <c r="G219" s="138">
        <v>362</v>
      </c>
      <c r="H219" s="153">
        <f t="shared" si="10"/>
        <v>1828100</v>
      </c>
      <c r="I219" s="138">
        <v>306.125</v>
      </c>
      <c r="J219" s="154">
        <f>$I219*$C219</f>
        <v>1545931.25</v>
      </c>
    </row>
    <row r="220" spans="1:10" ht="129.5">
      <c r="A220" s="49" t="s">
        <v>95</v>
      </c>
      <c r="B220" s="28" t="s">
        <v>489</v>
      </c>
      <c r="C220" s="49" t="s">
        <v>715</v>
      </c>
      <c r="D220" s="108" t="s">
        <v>81</v>
      </c>
      <c r="E220" s="190">
        <v>403.75</v>
      </c>
      <c r="F220" s="185"/>
      <c r="G220" s="138">
        <v>426</v>
      </c>
      <c r="H220" s="153" t="str">
        <f t="shared" si="10"/>
        <v/>
      </c>
      <c r="I220" s="138">
        <v>543.125</v>
      </c>
      <c r="J220" s="154"/>
    </row>
    <row r="221" spans="1:10">
      <c r="A221" s="5"/>
      <c r="B221" s="129" t="s">
        <v>733</v>
      </c>
      <c r="C221" s="49"/>
      <c r="D221" s="108"/>
      <c r="E221" s="191">
        <v>0</v>
      </c>
      <c r="F221" s="185"/>
      <c r="G221" s="139">
        <v>0</v>
      </c>
      <c r="H221" s="153">
        <f t="shared" si="10"/>
        <v>0</v>
      </c>
      <c r="I221" s="139">
        <v>0</v>
      </c>
      <c r="J221" s="154"/>
    </row>
    <row r="222" spans="1:10" ht="74">
      <c r="A222" s="5" t="s">
        <v>265</v>
      </c>
      <c r="B222" s="28" t="s">
        <v>447</v>
      </c>
      <c r="C222" s="49" t="s">
        <v>715</v>
      </c>
      <c r="D222" s="108" t="s">
        <v>81</v>
      </c>
      <c r="E222" s="190">
        <v>688.75</v>
      </c>
      <c r="F222" s="185"/>
      <c r="G222" s="138">
        <v>759</v>
      </c>
      <c r="H222" s="153" t="str">
        <f t="shared" si="10"/>
        <v/>
      </c>
      <c r="I222" s="138">
        <v>0</v>
      </c>
      <c r="J222" s="154"/>
    </row>
    <row r="223" spans="1:10">
      <c r="A223" s="5"/>
      <c r="B223" s="129" t="s">
        <v>733</v>
      </c>
      <c r="C223" s="49"/>
      <c r="D223" s="108"/>
      <c r="E223" s="191">
        <v>0</v>
      </c>
      <c r="F223" s="185"/>
      <c r="G223" s="139">
        <v>0</v>
      </c>
      <c r="H223" s="153">
        <f t="shared" si="10"/>
        <v>0</v>
      </c>
      <c r="I223" s="139">
        <v>0</v>
      </c>
      <c r="J223" s="154"/>
    </row>
    <row r="224" spans="1:10" ht="148">
      <c r="A224" s="5" t="s">
        <v>96</v>
      </c>
      <c r="B224" s="17" t="s">
        <v>448</v>
      </c>
      <c r="C224" s="49">
        <v>4173</v>
      </c>
      <c r="D224" s="108" t="s">
        <v>81</v>
      </c>
      <c r="E224" s="190">
        <v>437</v>
      </c>
      <c r="F224" s="185">
        <f>E224*C224</f>
        <v>1823601</v>
      </c>
      <c r="G224" s="138">
        <v>464</v>
      </c>
      <c r="H224" s="153">
        <f t="shared" si="10"/>
        <v>1936272</v>
      </c>
      <c r="I224" s="138">
        <v>516.46249999999998</v>
      </c>
      <c r="J224" s="154">
        <f>$I224*$C224</f>
        <v>2155198.0124999997</v>
      </c>
    </row>
    <row r="225" spans="1:10">
      <c r="A225" s="5"/>
      <c r="B225" s="129" t="s">
        <v>733</v>
      </c>
      <c r="C225" s="49"/>
      <c r="D225" s="108"/>
      <c r="E225" s="191">
        <v>0</v>
      </c>
      <c r="F225" s="185"/>
      <c r="G225" s="139" t="e">
        <v>#VALUE!</v>
      </c>
      <c r="H225" s="153" t="str">
        <f t="shared" si="10"/>
        <v/>
      </c>
      <c r="I225" s="139">
        <v>0</v>
      </c>
      <c r="J225" s="154"/>
    </row>
    <row r="226" spans="1:10" ht="92.5">
      <c r="A226" s="49" t="s">
        <v>159</v>
      </c>
      <c r="B226" s="28" t="s">
        <v>267</v>
      </c>
      <c r="C226" s="49">
        <v>1375</v>
      </c>
      <c r="D226" s="108" t="s">
        <v>81</v>
      </c>
      <c r="E226" s="190">
        <v>427.5</v>
      </c>
      <c r="F226" s="185">
        <f>E226*C226</f>
        <v>587812.5</v>
      </c>
      <c r="G226" s="138">
        <v>485</v>
      </c>
      <c r="H226" s="153">
        <f t="shared" si="10"/>
        <v>666875</v>
      </c>
      <c r="I226" s="147">
        <v>536.21249999999998</v>
      </c>
      <c r="J226" s="154">
        <f>$I226*$C226</f>
        <v>737292.1875</v>
      </c>
    </row>
    <row r="227" spans="1:10">
      <c r="A227" s="5"/>
      <c r="B227" s="129" t="s">
        <v>733</v>
      </c>
      <c r="C227" s="49"/>
      <c r="D227" s="108"/>
      <c r="E227" s="191">
        <v>0</v>
      </c>
      <c r="F227" s="185"/>
      <c r="G227" s="139">
        <v>0</v>
      </c>
      <c r="H227" s="153">
        <f t="shared" si="10"/>
        <v>0</v>
      </c>
      <c r="I227" s="139">
        <v>0</v>
      </c>
      <c r="J227" s="154"/>
    </row>
    <row r="228" spans="1:10" ht="92.5">
      <c r="A228" s="49" t="s">
        <v>23</v>
      </c>
      <c r="B228" s="23" t="s">
        <v>420</v>
      </c>
      <c r="C228" s="49">
        <v>4332</v>
      </c>
      <c r="D228" s="104" t="s">
        <v>81</v>
      </c>
      <c r="E228" s="190">
        <v>175.75</v>
      </c>
      <c r="F228" s="185">
        <f>E228*C228</f>
        <v>761349</v>
      </c>
      <c r="G228" s="138">
        <v>174</v>
      </c>
      <c r="H228" s="153">
        <f t="shared" si="10"/>
        <v>753768</v>
      </c>
      <c r="I228" s="138">
        <v>190.58750000000001</v>
      </c>
      <c r="J228" s="154">
        <f>$I228*$C228</f>
        <v>825625.05</v>
      </c>
    </row>
    <row r="229" spans="1:10" ht="92.5">
      <c r="A229" s="5" t="s">
        <v>98</v>
      </c>
      <c r="B229" s="23" t="s">
        <v>248</v>
      </c>
      <c r="C229" s="49" t="s">
        <v>715</v>
      </c>
      <c r="D229" s="104" t="s">
        <v>81</v>
      </c>
      <c r="E229" s="190">
        <v>636.5</v>
      </c>
      <c r="F229" s="185"/>
      <c r="G229" s="138">
        <v>852</v>
      </c>
      <c r="H229" s="153" t="str">
        <f t="shared" si="10"/>
        <v/>
      </c>
      <c r="I229" s="138">
        <v>790</v>
      </c>
      <c r="J229" s="154"/>
    </row>
    <row r="230" spans="1:10" ht="92.5">
      <c r="A230" s="5" t="s">
        <v>99</v>
      </c>
      <c r="B230" s="23" t="s">
        <v>247</v>
      </c>
      <c r="C230" s="49" t="s">
        <v>715</v>
      </c>
      <c r="D230" s="104" t="s">
        <v>81</v>
      </c>
      <c r="E230" s="190">
        <v>237.5</v>
      </c>
      <c r="F230" s="185"/>
      <c r="G230" s="24">
        <v>213</v>
      </c>
      <c r="H230" s="153" t="str">
        <f t="shared" si="10"/>
        <v/>
      </c>
      <c r="I230" s="138">
        <v>246.875</v>
      </c>
      <c r="J230" s="154"/>
    </row>
    <row r="231" spans="1:10" ht="74">
      <c r="A231" s="5" t="s">
        <v>100</v>
      </c>
      <c r="B231" s="23" t="s">
        <v>421</v>
      </c>
      <c r="C231" s="49" t="s">
        <v>715</v>
      </c>
      <c r="D231" s="104" t="s">
        <v>81</v>
      </c>
      <c r="E231" s="190">
        <v>237.5</v>
      </c>
      <c r="F231" s="185"/>
      <c r="G231" s="24">
        <v>327</v>
      </c>
      <c r="H231" s="153" t="str">
        <f t="shared" si="10"/>
        <v/>
      </c>
      <c r="I231" s="138">
        <v>256.75</v>
      </c>
      <c r="J231" s="154"/>
    </row>
    <row r="232" spans="1:10" ht="74">
      <c r="A232" s="5" t="s">
        <v>719</v>
      </c>
      <c r="B232" s="23" t="s">
        <v>718</v>
      </c>
      <c r="C232" s="49">
        <v>6910</v>
      </c>
      <c r="D232" s="104" t="s">
        <v>81</v>
      </c>
      <c r="E232" s="190">
        <v>204.25</v>
      </c>
      <c r="F232" s="185">
        <f>E232*C232</f>
        <v>1411367.5</v>
      </c>
      <c r="G232" s="24">
        <v>247</v>
      </c>
      <c r="H232" s="153">
        <f t="shared" si="10"/>
        <v>1706770</v>
      </c>
      <c r="I232" s="138">
        <v>206.38749999999999</v>
      </c>
      <c r="J232" s="154">
        <f>$I232*$C232</f>
        <v>1426137.625</v>
      </c>
    </row>
    <row r="233" spans="1:10" ht="74">
      <c r="A233" s="5" t="s">
        <v>41</v>
      </c>
      <c r="B233" s="23" t="s">
        <v>246</v>
      </c>
      <c r="C233" s="49" t="s">
        <v>715</v>
      </c>
      <c r="D233" s="104" t="s">
        <v>81</v>
      </c>
      <c r="E233" s="190">
        <v>285</v>
      </c>
      <c r="F233" s="185"/>
      <c r="G233" s="24">
        <v>292</v>
      </c>
      <c r="H233" s="153" t="str">
        <f t="shared" si="10"/>
        <v/>
      </c>
      <c r="I233" s="138">
        <v>345.625</v>
      </c>
      <c r="J233" s="154"/>
    </row>
    <row r="234" spans="1:10" ht="74">
      <c r="A234" s="5" t="s">
        <v>188</v>
      </c>
      <c r="B234" s="23" t="s">
        <v>245</v>
      </c>
      <c r="C234" s="49" t="s">
        <v>715</v>
      </c>
      <c r="D234" s="104" t="s">
        <v>81</v>
      </c>
      <c r="E234" s="191">
        <v>256.5</v>
      </c>
      <c r="F234" s="185"/>
      <c r="G234" s="20">
        <v>286</v>
      </c>
      <c r="H234" s="153" t="str">
        <f t="shared" si="10"/>
        <v/>
      </c>
      <c r="I234" s="147">
        <v>256.75</v>
      </c>
      <c r="J234" s="154"/>
    </row>
    <row r="235" spans="1:10" ht="55.5">
      <c r="A235" s="5" t="s">
        <v>386</v>
      </c>
      <c r="B235" s="23" t="s">
        <v>385</v>
      </c>
      <c r="C235" s="49">
        <v>575</v>
      </c>
      <c r="D235" s="104" t="s">
        <v>289</v>
      </c>
      <c r="E235" s="191">
        <v>142.5</v>
      </c>
      <c r="F235" s="185">
        <f>E235*C235</f>
        <v>81937.5</v>
      </c>
      <c r="G235" s="20">
        <v>132</v>
      </c>
      <c r="H235" s="153">
        <f t="shared" si="10"/>
        <v>75900</v>
      </c>
      <c r="I235" s="147">
        <v>133.3125</v>
      </c>
      <c r="J235" s="154">
        <f>$I235*$C235</f>
        <v>76654.6875</v>
      </c>
    </row>
    <row r="236" spans="1:10">
      <c r="A236" s="67"/>
      <c r="B236" s="22" t="s">
        <v>101</v>
      </c>
      <c r="C236" s="35">
        <v>0</v>
      </c>
      <c r="D236" s="106"/>
      <c r="E236" s="192">
        <v>0</v>
      </c>
      <c r="F236" s="182">
        <f>SUM(F216:F235)</f>
        <v>6845605</v>
      </c>
      <c r="G236" s="140"/>
      <c r="H236" s="182">
        <f>SUM(H216:H235)</f>
        <v>7486265</v>
      </c>
      <c r="I236" s="140">
        <v>0</v>
      </c>
      <c r="J236" s="154">
        <f>SUM(J216:J235)</f>
        <v>7366271.0624999991</v>
      </c>
    </row>
    <row r="237" spans="1:10">
      <c r="A237" s="67"/>
      <c r="B237" s="36" t="s">
        <v>103</v>
      </c>
      <c r="C237" s="35">
        <v>0</v>
      </c>
      <c r="D237" s="106"/>
      <c r="E237" s="192">
        <v>0</v>
      </c>
      <c r="F237" s="183"/>
      <c r="G237" s="140">
        <v>0</v>
      </c>
      <c r="H237" s="183"/>
      <c r="I237" s="140">
        <v>0</v>
      </c>
      <c r="J237" s="154"/>
    </row>
    <row r="238" spans="1:10" ht="92.5">
      <c r="A238" s="5" t="s">
        <v>160</v>
      </c>
      <c r="B238" s="23" t="s">
        <v>238</v>
      </c>
      <c r="C238" s="49">
        <v>0</v>
      </c>
      <c r="D238" s="105"/>
      <c r="E238" s="191">
        <v>0</v>
      </c>
      <c r="F238" s="185">
        <f>E238*C238</f>
        <v>0</v>
      </c>
      <c r="G238" s="139">
        <v>0</v>
      </c>
      <c r="H238" s="153">
        <f t="shared" si="10"/>
        <v>0</v>
      </c>
      <c r="I238" s="139">
        <v>0</v>
      </c>
      <c r="J238" s="154">
        <f>I238*G237</f>
        <v>0</v>
      </c>
    </row>
    <row r="239" spans="1:10">
      <c r="A239" s="5"/>
      <c r="B239" s="23" t="s">
        <v>105</v>
      </c>
      <c r="C239" s="49" t="s">
        <v>715</v>
      </c>
      <c r="D239" s="104" t="s">
        <v>81</v>
      </c>
      <c r="E239" s="190">
        <v>11993.75</v>
      </c>
      <c r="F239" s="185"/>
      <c r="G239" s="24">
        <v>13508</v>
      </c>
      <c r="H239" s="153" t="str">
        <f t="shared" si="10"/>
        <v/>
      </c>
      <c r="I239" s="138">
        <v>9529.375</v>
      </c>
      <c r="J239" s="154"/>
    </row>
    <row r="240" spans="1:10">
      <c r="A240" s="5"/>
      <c r="B240" s="23" t="s">
        <v>106</v>
      </c>
      <c r="C240" s="49" t="s">
        <v>715</v>
      </c>
      <c r="D240" s="104" t="s">
        <v>81</v>
      </c>
      <c r="E240" s="190">
        <v>14250</v>
      </c>
      <c r="F240" s="185"/>
      <c r="G240" s="24">
        <v>16625</v>
      </c>
      <c r="H240" s="153" t="str">
        <f t="shared" si="10"/>
        <v/>
      </c>
      <c r="I240" s="138">
        <v>9628.125</v>
      </c>
      <c r="J240" s="154"/>
    </row>
    <row r="241" spans="1:10" ht="92.5">
      <c r="A241" s="5" t="s">
        <v>104</v>
      </c>
      <c r="B241" s="23" t="s">
        <v>490</v>
      </c>
      <c r="C241" s="49" t="s">
        <v>715</v>
      </c>
      <c r="D241" s="104" t="s">
        <v>81</v>
      </c>
      <c r="E241" s="190">
        <v>9500</v>
      </c>
      <c r="F241" s="185"/>
      <c r="G241" s="24">
        <v>11430</v>
      </c>
      <c r="H241" s="153" t="str">
        <f t="shared" si="10"/>
        <v/>
      </c>
      <c r="I241" s="138">
        <v>0</v>
      </c>
      <c r="J241" s="154"/>
    </row>
    <row r="242" spans="1:10" ht="129.5">
      <c r="A242" s="5" t="s">
        <v>107</v>
      </c>
      <c r="B242" s="23" t="s">
        <v>491</v>
      </c>
      <c r="C242" s="49">
        <v>0</v>
      </c>
      <c r="D242" s="105"/>
      <c r="E242" s="190">
        <v>0</v>
      </c>
      <c r="F242" s="185">
        <f t="shared" ref="F242:F257" si="11">E242*C242</f>
        <v>0</v>
      </c>
      <c r="G242" s="24">
        <v>0</v>
      </c>
      <c r="H242" s="153">
        <f t="shared" si="10"/>
        <v>0</v>
      </c>
      <c r="I242" s="138">
        <v>0</v>
      </c>
      <c r="J242" s="154">
        <f t="shared" ref="J242:J256" si="12">I242*G241</f>
        <v>0</v>
      </c>
    </row>
    <row r="243" spans="1:10">
      <c r="A243" s="5"/>
      <c r="B243" s="23" t="s">
        <v>112</v>
      </c>
      <c r="C243" s="49">
        <v>0</v>
      </c>
      <c r="D243" s="105"/>
      <c r="E243" s="190">
        <v>0</v>
      </c>
      <c r="F243" s="185">
        <f t="shared" si="11"/>
        <v>0</v>
      </c>
      <c r="G243" s="24">
        <v>0</v>
      </c>
      <c r="H243" s="153">
        <f t="shared" si="10"/>
        <v>0</v>
      </c>
      <c r="I243" s="138">
        <v>0</v>
      </c>
      <c r="J243" s="154">
        <f t="shared" si="12"/>
        <v>0</v>
      </c>
    </row>
    <row r="244" spans="1:10">
      <c r="A244" s="5"/>
      <c r="B244" s="23" t="s">
        <v>113</v>
      </c>
      <c r="C244" s="49">
        <v>0</v>
      </c>
      <c r="D244" s="105"/>
      <c r="E244" s="190">
        <v>0</v>
      </c>
      <c r="F244" s="185">
        <f t="shared" si="11"/>
        <v>0</v>
      </c>
      <c r="G244" s="24">
        <v>0</v>
      </c>
      <c r="H244" s="153">
        <f t="shared" si="10"/>
        <v>0</v>
      </c>
      <c r="I244" s="138">
        <v>0</v>
      </c>
      <c r="J244" s="154">
        <f t="shared" si="12"/>
        <v>0</v>
      </c>
    </row>
    <row r="245" spans="1:10">
      <c r="A245" s="5"/>
      <c r="B245" s="23" t="s">
        <v>114</v>
      </c>
      <c r="C245" s="49">
        <v>0</v>
      </c>
      <c r="D245" s="105"/>
      <c r="E245" s="190">
        <v>0</v>
      </c>
      <c r="F245" s="185">
        <f t="shared" si="11"/>
        <v>0</v>
      </c>
      <c r="G245" s="24">
        <v>0</v>
      </c>
      <c r="H245" s="153">
        <f t="shared" si="10"/>
        <v>0</v>
      </c>
      <c r="I245" s="138">
        <v>0</v>
      </c>
      <c r="J245" s="154">
        <f t="shared" si="12"/>
        <v>0</v>
      </c>
    </row>
    <row r="246" spans="1:10">
      <c r="A246" s="5"/>
      <c r="B246" s="23" t="s">
        <v>115</v>
      </c>
      <c r="C246" s="49">
        <v>0</v>
      </c>
      <c r="D246" s="105"/>
      <c r="E246" s="190">
        <v>0</v>
      </c>
      <c r="F246" s="185">
        <f t="shared" si="11"/>
        <v>0</v>
      </c>
      <c r="G246" s="24">
        <v>0</v>
      </c>
      <c r="H246" s="153">
        <f t="shared" si="10"/>
        <v>0</v>
      </c>
      <c r="I246" s="138">
        <v>0</v>
      </c>
      <c r="J246" s="154">
        <f t="shared" si="12"/>
        <v>0</v>
      </c>
    </row>
    <row r="247" spans="1:10">
      <c r="A247" s="5"/>
      <c r="B247" s="23" t="s">
        <v>116</v>
      </c>
      <c r="C247" s="49">
        <v>0</v>
      </c>
      <c r="D247" s="105"/>
      <c r="E247" s="190">
        <v>0</v>
      </c>
      <c r="F247" s="185">
        <f t="shared" si="11"/>
        <v>0</v>
      </c>
      <c r="G247" s="24">
        <v>0</v>
      </c>
      <c r="H247" s="153">
        <f t="shared" si="10"/>
        <v>0</v>
      </c>
      <c r="I247" s="138">
        <v>0</v>
      </c>
      <c r="J247" s="154">
        <f t="shared" si="12"/>
        <v>0</v>
      </c>
    </row>
    <row r="248" spans="1:10">
      <c r="A248" s="5"/>
      <c r="B248" s="23" t="s">
        <v>117</v>
      </c>
      <c r="C248" s="49">
        <v>0</v>
      </c>
      <c r="D248" s="105"/>
      <c r="E248" s="190">
        <v>0</v>
      </c>
      <c r="F248" s="185">
        <f t="shared" si="11"/>
        <v>0</v>
      </c>
      <c r="G248" s="24">
        <v>0</v>
      </c>
      <c r="H248" s="153">
        <f t="shared" si="10"/>
        <v>0</v>
      </c>
      <c r="I248" s="138">
        <v>0</v>
      </c>
      <c r="J248" s="154">
        <f t="shared" si="12"/>
        <v>0</v>
      </c>
    </row>
    <row r="249" spans="1:10">
      <c r="A249" s="5"/>
      <c r="B249" s="23" t="s">
        <v>118</v>
      </c>
      <c r="C249" s="49">
        <v>0</v>
      </c>
      <c r="D249" s="105"/>
      <c r="E249" s="190">
        <v>0</v>
      </c>
      <c r="F249" s="185">
        <f t="shared" si="11"/>
        <v>0</v>
      </c>
      <c r="G249" s="24">
        <v>0</v>
      </c>
      <c r="H249" s="153">
        <f t="shared" si="10"/>
        <v>0</v>
      </c>
      <c r="I249" s="138">
        <v>0</v>
      </c>
      <c r="J249" s="154">
        <f t="shared" si="12"/>
        <v>0</v>
      </c>
    </row>
    <row r="250" spans="1:10">
      <c r="A250" s="5"/>
      <c r="B250" s="23" t="s">
        <v>119</v>
      </c>
      <c r="C250" s="49">
        <v>0</v>
      </c>
      <c r="D250" s="105"/>
      <c r="E250" s="190">
        <v>0</v>
      </c>
      <c r="F250" s="185">
        <f t="shared" si="11"/>
        <v>0</v>
      </c>
      <c r="G250" s="24">
        <v>0</v>
      </c>
      <c r="H250" s="153">
        <f t="shared" si="10"/>
        <v>0</v>
      </c>
      <c r="I250" s="138">
        <v>0</v>
      </c>
      <c r="J250" s="154">
        <f t="shared" si="12"/>
        <v>0</v>
      </c>
    </row>
    <row r="251" spans="1:10">
      <c r="A251" s="5"/>
      <c r="B251" s="23" t="s">
        <v>120</v>
      </c>
      <c r="C251" s="49">
        <v>0</v>
      </c>
      <c r="D251" s="105"/>
      <c r="E251" s="190">
        <v>0</v>
      </c>
      <c r="F251" s="185">
        <f t="shared" si="11"/>
        <v>0</v>
      </c>
      <c r="G251" s="24">
        <v>0</v>
      </c>
      <c r="H251" s="153">
        <f t="shared" si="10"/>
        <v>0</v>
      </c>
      <c r="I251" s="138">
        <v>0</v>
      </c>
      <c r="J251" s="154">
        <f t="shared" si="12"/>
        <v>0</v>
      </c>
    </row>
    <row r="252" spans="1:10">
      <c r="A252" s="5"/>
      <c r="B252" s="23" t="s">
        <v>121</v>
      </c>
      <c r="C252" s="49">
        <v>0</v>
      </c>
      <c r="D252" s="105"/>
      <c r="E252" s="190">
        <v>0</v>
      </c>
      <c r="F252" s="185">
        <f t="shared" si="11"/>
        <v>0</v>
      </c>
      <c r="G252" s="24">
        <v>0</v>
      </c>
      <c r="H252" s="153">
        <f t="shared" si="10"/>
        <v>0</v>
      </c>
      <c r="I252" s="138">
        <v>0</v>
      </c>
      <c r="J252" s="154">
        <f t="shared" si="12"/>
        <v>0</v>
      </c>
    </row>
    <row r="253" spans="1:10">
      <c r="A253" s="5"/>
      <c r="B253" s="23" t="s">
        <v>122</v>
      </c>
      <c r="C253" s="49">
        <v>0</v>
      </c>
      <c r="D253" s="105"/>
      <c r="E253" s="190">
        <v>0</v>
      </c>
      <c r="F253" s="185">
        <f t="shared" si="11"/>
        <v>0</v>
      </c>
      <c r="G253" s="24">
        <v>0</v>
      </c>
      <c r="H253" s="153">
        <f t="shared" si="10"/>
        <v>0</v>
      </c>
      <c r="I253" s="138">
        <v>0</v>
      </c>
      <c r="J253" s="154">
        <f t="shared" si="12"/>
        <v>0</v>
      </c>
    </row>
    <row r="254" spans="1:10">
      <c r="A254" s="5"/>
      <c r="B254" s="23" t="s">
        <v>123</v>
      </c>
      <c r="C254" s="49">
        <v>0</v>
      </c>
      <c r="D254" s="105"/>
      <c r="E254" s="190">
        <v>0</v>
      </c>
      <c r="F254" s="185">
        <f t="shared" si="11"/>
        <v>0</v>
      </c>
      <c r="G254" s="24">
        <v>0</v>
      </c>
      <c r="H254" s="153">
        <f t="shared" si="10"/>
        <v>0</v>
      </c>
      <c r="I254" s="138">
        <v>0</v>
      </c>
      <c r="J254" s="154">
        <f t="shared" si="12"/>
        <v>0</v>
      </c>
    </row>
    <row r="255" spans="1:10">
      <c r="A255" s="5"/>
      <c r="B255" s="23" t="s">
        <v>124</v>
      </c>
      <c r="C255" s="49">
        <v>0</v>
      </c>
      <c r="D255" s="105"/>
      <c r="E255" s="190">
        <v>0</v>
      </c>
      <c r="F255" s="185">
        <f t="shared" si="11"/>
        <v>0</v>
      </c>
      <c r="G255" s="24">
        <v>0</v>
      </c>
      <c r="H255" s="153">
        <f t="shared" si="10"/>
        <v>0</v>
      </c>
      <c r="I255" s="138">
        <v>0</v>
      </c>
      <c r="J255" s="154">
        <f t="shared" si="12"/>
        <v>0</v>
      </c>
    </row>
    <row r="256" spans="1:10">
      <c r="A256" s="5"/>
      <c r="B256" s="23" t="s">
        <v>125</v>
      </c>
      <c r="C256" s="49">
        <v>0</v>
      </c>
      <c r="D256" s="105"/>
      <c r="E256" s="190">
        <v>0</v>
      </c>
      <c r="F256" s="185">
        <f t="shared" si="11"/>
        <v>0</v>
      </c>
      <c r="G256" s="24">
        <v>0</v>
      </c>
      <c r="H256" s="153">
        <f t="shared" si="10"/>
        <v>0</v>
      </c>
      <c r="I256" s="138">
        <v>0</v>
      </c>
      <c r="J256" s="154">
        <f t="shared" si="12"/>
        <v>0</v>
      </c>
    </row>
    <row r="257" spans="1:10">
      <c r="A257" s="5"/>
      <c r="B257" s="23" t="s">
        <v>126</v>
      </c>
      <c r="C257" s="49">
        <v>100</v>
      </c>
      <c r="D257" s="104" t="s">
        <v>81</v>
      </c>
      <c r="E257" s="190">
        <v>7125</v>
      </c>
      <c r="F257" s="185">
        <f t="shared" si="11"/>
        <v>712500</v>
      </c>
      <c r="G257" s="24">
        <v>7274</v>
      </c>
      <c r="H257" s="153">
        <f t="shared" si="10"/>
        <v>727400</v>
      </c>
      <c r="I257" s="138">
        <v>6375.3</v>
      </c>
      <c r="J257" s="154">
        <f>$I257*$C257</f>
        <v>637530</v>
      </c>
    </row>
    <row r="258" spans="1:10">
      <c r="A258" s="5"/>
      <c r="B258" s="23" t="s">
        <v>127</v>
      </c>
      <c r="C258" s="49" t="s">
        <v>715</v>
      </c>
      <c r="D258" s="104" t="s">
        <v>81</v>
      </c>
      <c r="E258" s="190">
        <v>5937.5</v>
      </c>
      <c r="F258" s="185"/>
      <c r="G258" s="24">
        <v>8313</v>
      </c>
      <c r="H258" s="153" t="str">
        <f t="shared" si="10"/>
        <v/>
      </c>
      <c r="I258" s="138">
        <v>6336.7875000000004</v>
      </c>
      <c r="J258" s="154"/>
    </row>
    <row r="259" spans="1:10">
      <c r="A259" s="5"/>
      <c r="B259" s="23" t="s">
        <v>422</v>
      </c>
      <c r="C259" s="49" t="s">
        <v>715</v>
      </c>
      <c r="D259" s="104" t="s">
        <v>352</v>
      </c>
      <c r="E259" s="190">
        <v>3230</v>
      </c>
      <c r="F259" s="185"/>
      <c r="G259" s="24">
        <v>2078</v>
      </c>
      <c r="H259" s="153" t="str">
        <f t="shared" si="10"/>
        <v/>
      </c>
      <c r="I259" s="138">
        <v>4937.5</v>
      </c>
      <c r="J259" s="154"/>
    </row>
    <row r="260" spans="1:10">
      <c r="A260" s="5"/>
      <c r="B260" s="23" t="s">
        <v>423</v>
      </c>
      <c r="C260" s="49" t="s">
        <v>715</v>
      </c>
      <c r="D260" s="104" t="s">
        <v>352</v>
      </c>
      <c r="E260" s="190">
        <v>9120</v>
      </c>
      <c r="F260" s="185"/>
      <c r="G260" s="24">
        <v>6235</v>
      </c>
      <c r="H260" s="153" t="str">
        <f t="shared" si="10"/>
        <v/>
      </c>
      <c r="I260" s="138">
        <v>7900</v>
      </c>
      <c r="J260" s="154"/>
    </row>
    <row r="261" spans="1:10" ht="185">
      <c r="A261" s="5" t="s">
        <v>109</v>
      </c>
      <c r="B261" s="23" t="s">
        <v>161</v>
      </c>
      <c r="C261" s="49">
        <v>0</v>
      </c>
      <c r="D261" s="116"/>
      <c r="E261" s="190">
        <v>0</v>
      </c>
      <c r="F261" s="185">
        <f>E261*C261</f>
        <v>0</v>
      </c>
      <c r="G261" s="24">
        <v>0</v>
      </c>
      <c r="H261" s="153">
        <f t="shared" si="10"/>
        <v>0</v>
      </c>
      <c r="I261" s="138">
        <v>0</v>
      </c>
      <c r="J261" s="154">
        <f>I261*G260</f>
        <v>0</v>
      </c>
    </row>
    <row r="262" spans="1:10">
      <c r="A262" s="5"/>
      <c r="B262" s="23" t="s">
        <v>129</v>
      </c>
      <c r="C262" s="49">
        <v>7</v>
      </c>
      <c r="D262" s="104" t="s">
        <v>81</v>
      </c>
      <c r="E262" s="190">
        <v>6103.75</v>
      </c>
      <c r="F262" s="185">
        <f>E262*C262</f>
        <v>42726.25</v>
      </c>
      <c r="G262" s="24">
        <v>6235</v>
      </c>
      <c r="H262" s="153">
        <f t="shared" si="10"/>
        <v>43645</v>
      </c>
      <c r="I262" s="138">
        <v>7768.6625000000004</v>
      </c>
      <c r="J262" s="154">
        <f>$I262*$C262</f>
        <v>54380.637500000004</v>
      </c>
    </row>
    <row r="263" spans="1:10">
      <c r="A263" s="5"/>
      <c r="B263" s="23" t="s">
        <v>130</v>
      </c>
      <c r="C263" s="49" t="s">
        <v>715</v>
      </c>
      <c r="D263" s="104" t="s">
        <v>81</v>
      </c>
      <c r="E263" s="190">
        <v>6507.5</v>
      </c>
      <c r="F263" s="185"/>
      <c r="G263" s="24">
        <v>7274</v>
      </c>
      <c r="H263" s="153" t="str">
        <f t="shared" si="10"/>
        <v/>
      </c>
      <c r="I263" s="138">
        <v>7701.5124999999998</v>
      </c>
      <c r="J263" s="154"/>
    </row>
    <row r="264" spans="1:10" ht="129.5">
      <c r="A264" s="5" t="s">
        <v>128</v>
      </c>
      <c r="B264" s="23" t="s">
        <v>492</v>
      </c>
      <c r="C264" s="49">
        <v>0</v>
      </c>
      <c r="D264" s="105"/>
      <c r="E264" s="190">
        <v>0</v>
      </c>
      <c r="F264" s="185">
        <f>E264*C264</f>
        <v>0</v>
      </c>
      <c r="G264" s="24">
        <v>0</v>
      </c>
      <c r="H264" s="153">
        <f t="shared" si="10"/>
        <v>0</v>
      </c>
      <c r="I264" s="138">
        <v>0</v>
      </c>
      <c r="J264" s="154">
        <f>I264*G263</f>
        <v>0</v>
      </c>
    </row>
    <row r="265" spans="1:10">
      <c r="A265" s="5"/>
      <c r="B265" s="23" t="s">
        <v>285</v>
      </c>
      <c r="C265" s="49" t="s">
        <v>715</v>
      </c>
      <c r="D265" s="104" t="s">
        <v>81</v>
      </c>
      <c r="E265" s="190">
        <v>9167.5</v>
      </c>
      <c r="F265" s="185"/>
      <c r="G265" s="24">
        <v>7066</v>
      </c>
      <c r="H265" s="153" t="str">
        <f t="shared" si="10"/>
        <v/>
      </c>
      <c r="I265" s="138">
        <v>7406.25</v>
      </c>
      <c r="J265" s="154"/>
    </row>
    <row r="266" spans="1:10">
      <c r="A266" s="5"/>
      <c r="B266" s="23" t="s">
        <v>132</v>
      </c>
      <c r="C266" s="49" t="s">
        <v>715</v>
      </c>
      <c r="D266" s="104" t="s">
        <v>81</v>
      </c>
      <c r="E266" s="190">
        <v>8550</v>
      </c>
      <c r="F266" s="185"/>
      <c r="G266" s="24">
        <v>6754</v>
      </c>
      <c r="H266" s="153" t="str">
        <f t="shared" si="10"/>
        <v/>
      </c>
      <c r="I266" s="138">
        <v>6912.5</v>
      </c>
      <c r="J266" s="154"/>
    </row>
    <row r="267" spans="1:10" ht="185">
      <c r="A267" s="5" t="s">
        <v>131</v>
      </c>
      <c r="B267" s="23" t="s">
        <v>512</v>
      </c>
      <c r="C267" s="49">
        <v>0</v>
      </c>
      <c r="D267" s="105"/>
      <c r="E267" s="190">
        <v>0</v>
      </c>
      <c r="F267" s="185">
        <f t="shared" ref="F267:F299" si="13">E267*C267</f>
        <v>0</v>
      </c>
      <c r="G267" s="24">
        <v>0</v>
      </c>
      <c r="H267" s="153">
        <f t="shared" si="10"/>
        <v>0</v>
      </c>
      <c r="I267" s="138">
        <v>0</v>
      </c>
      <c r="J267" s="154">
        <f>I267*G266</f>
        <v>0</v>
      </c>
    </row>
    <row r="268" spans="1:10">
      <c r="A268" s="5"/>
      <c r="B268" s="23" t="s">
        <v>533</v>
      </c>
      <c r="C268" s="49">
        <v>392</v>
      </c>
      <c r="D268" s="104" t="s">
        <v>86</v>
      </c>
      <c r="E268" s="190">
        <v>4275</v>
      </c>
      <c r="F268" s="185">
        <f t="shared" si="13"/>
        <v>1675800</v>
      </c>
      <c r="G268" s="24">
        <v>4676</v>
      </c>
      <c r="H268" s="153">
        <f t="shared" ref="H268:H331" si="14">IFERROR(G268*C268,"")</f>
        <v>1832992</v>
      </c>
      <c r="I268" s="138">
        <v>5320.65</v>
      </c>
      <c r="J268" s="154">
        <f>$I268*$C268</f>
        <v>2085694.7999999998</v>
      </c>
    </row>
    <row r="269" spans="1:10">
      <c r="A269" s="5"/>
      <c r="B269" s="23" t="s">
        <v>134</v>
      </c>
      <c r="C269" s="49">
        <v>0</v>
      </c>
      <c r="D269" s="105"/>
      <c r="E269" s="190">
        <v>0</v>
      </c>
      <c r="F269" s="185">
        <f t="shared" si="13"/>
        <v>0</v>
      </c>
      <c r="G269" s="24">
        <v>0</v>
      </c>
      <c r="H269" s="153">
        <f t="shared" si="14"/>
        <v>0</v>
      </c>
      <c r="I269" s="138">
        <v>0</v>
      </c>
      <c r="J269" s="154">
        <f t="shared" ref="J269:J284" si="15">I269*G268</f>
        <v>0</v>
      </c>
    </row>
    <row r="270" spans="1:10">
      <c r="A270" s="5"/>
      <c r="B270" s="23" t="s">
        <v>142</v>
      </c>
      <c r="C270" s="49">
        <v>0</v>
      </c>
      <c r="D270" s="105"/>
      <c r="E270" s="190">
        <v>0</v>
      </c>
      <c r="F270" s="185">
        <f t="shared" si="13"/>
        <v>0</v>
      </c>
      <c r="G270" s="24">
        <v>0</v>
      </c>
      <c r="H270" s="153">
        <f t="shared" si="14"/>
        <v>0</v>
      </c>
      <c r="I270" s="138">
        <v>0</v>
      </c>
      <c r="J270" s="154">
        <f t="shared" si="15"/>
        <v>0</v>
      </c>
    </row>
    <row r="271" spans="1:10">
      <c r="A271" s="5"/>
      <c r="B271" s="23" t="s">
        <v>143</v>
      </c>
      <c r="C271" s="49">
        <v>0</v>
      </c>
      <c r="D271" s="105"/>
      <c r="E271" s="190">
        <v>0</v>
      </c>
      <c r="F271" s="185">
        <f t="shared" si="13"/>
        <v>0</v>
      </c>
      <c r="G271" s="24">
        <v>0</v>
      </c>
      <c r="H271" s="153">
        <f t="shared" si="14"/>
        <v>0</v>
      </c>
      <c r="I271" s="138">
        <v>0</v>
      </c>
      <c r="J271" s="154">
        <f t="shared" si="15"/>
        <v>0</v>
      </c>
    </row>
    <row r="272" spans="1:10">
      <c r="A272" s="5"/>
      <c r="B272" s="23" t="s">
        <v>113</v>
      </c>
      <c r="C272" s="49">
        <v>0</v>
      </c>
      <c r="D272" s="105"/>
      <c r="E272" s="190">
        <v>0</v>
      </c>
      <c r="F272" s="185">
        <f t="shared" si="13"/>
        <v>0</v>
      </c>
      <c r="G272" s="24">
        <v>0</v>
      </c>
      <c r="H272" s="153">
        <f t="shared" si="14"/>
        <v>0</v>
      </c>
      <c r="I272" s="138">
        <v>0</v>
      </c>
      <c r="J272" s="154">
        <f t="shared" si="15"/>
        <v>0</v>
      </c>
    </row>
    <row r="273" spans="1:10">
      <c r="A273" s="5"/>
      <c r="B273" s="23" t="s">
        <v>135</v>
      </c>
      <c r="C273" s="49">
        <v>0</v>
      </c>
      <c r="D273" s="105"/>
      <c r="E273" s="190">
        <v>0</v>
      </c>
      <c r="F273" s="185">
        <f t="shared" si="13"/>
        <v>0</v>
      </c>
      <c r="G273" s="24">
        <v>0</v>
      </c>
      <c r="H273" s="153">
        <f t="shared" si="14"/>
        <v>0</v>
      </c>
      <c r="I273" s="138">
        <v>0</v>
      </c>
      <c r="J273" s="154">
        <f t="shared" si="15"/>
        <v>0</v>
      </c>
    </row>
    <row r="274" spans="1:10">
      <c r="A274" s="5"/>
      <c r="B274" s="23" t="s">
        <v>144</v>
      </c>
      <c r="C274" s="49">
        <v>0</v>
      </c>
      <c r="D274" s="105"/>
      <c r="E274" s="190">
        <v>0</v>
      </c>
      <c r="F274" s="185">
        <f t="shared" si="13"/>
        <v>0</v>
      </c>
      <c r="G274" s="24">
        <v>0</v>
      </c>
      <c r="H274" s="153">
        <f t="shared" si="14"/>
        <v>0</v>
      </c>
      <c r="I274" s="138">
        <v>0</v>
      </c>
      <c r="J274" s="154">
        <f t="shared" si="15"/>
        <v>0</v>
      </c>
    </row>
    <row r="275" spans="1:10">
      <c r="A275" s="5"/>
      <c r="B275" s="23" t="s">
        <v>145</v>
      </c>
      <c r="C275" s="49">
        <v>0</v>
      </c>
      <c r="D275" s="105"/>
      <c r="E275" s="190">
        <v>0</v>
      </c>
      <c r="F275" s="185">
        <f t="shared" si="13"/>
        <v>0</v>
      </c>
      <c r="G275" s="24">
        <v>0</v>
      </c>
      <c r="H275" s="153">
        <f t="shared" si="14"/>
        <v>0</v>
      </c>
      <c r="I275" s="138">
        <v>0</v>
      </c>
      <c r="J275" s="154">
        <f t="shared" si="15"/>
        <v>0</v>
      </c>
    </row>
    <row r="276" spans="1:10">
      <c r="A276" s="5"/>
      <c r="B276" s="23" t="s">
        <v>136</v>
      </c>
      <c r="C276" s="49">
        <v>0</v>
      </c>
      <c r="D276" s="105"/>
      <c r="E276" s="190">
        <v>0</v>
      </c>
      <c r="F276" s="185">
        <f t="shared" si="13"/>
        <v>0</v>
      </c>
      <c r="G276" s="24">
        <v>0</v>
      </c>
      <c r="H276" s="153">
        <f t="shared" si="14"/>
        <v>0</v>
      </c>
      <c r="I276" s="138">
        <v>0</v>
      </c>
      <c r="J276" s="154">
        <f t="shared" si="15"/>
        <v>0</v>
      </c>
    </row>
    <row r="277" spans="1:10">
      <c r="A277" s="5"/>
      <c r="B277" s="23" t="s">
        <v>146</v>
      </c>
      <c r="C277" s="49">
        <v>0</v>
      </c>
      <c r="D277" s="105"/>
      <c r="E277" s="190">
        <v>0</v>
      </c>
      <c r="F277" s="185">
        <f t="shared" si="13"/>
        <v>0</v>
      </c>
      <c r="G277" s="24">
        <v>0</v>
      </c>
      <c r="H277" s="153">
        <f t="shared" si="14"/>
        <v>0</v>
      </c>
      <c r="I277" s="138">
        <v>0</v>
      </c>
      <c r="J277" s="154">
        <f t="shared" si="15"/>
        <v>0</v>
      </c>
    </row>
    <row r="278" spans="1:10">
      <c r="A278" s="5"/>
      <c r="B278" s="23" t="s">
        <v>147</v>
      </c>
      <c r="C278" s="49">
        <v>0</v>
      </c>
      <c r="D278" s="105"/>
      <c r="E278" s="190">
        <v>0</v>
      </c>
      <c r="F278" s="185">
        <f t="shared" si="13"/>
        <v>0</v>
      </c>
      <c r="G278" s="24">
        <v>0</v>
      </c>
      <c r="H278" s="153">
        <f t="shared" si="14"/>
        <v>0</v>
      </c>
      <c r="I278" s="138">
        <v>0</v>
      </c>
      <c r="J278" s="154">
        <f t="shared" si="15"/>
        <v>0</v>
      </c>
    </row>
    <row r="279" spans="1:10">
      <c r="A279" s="5"/>
      <c r="B279" s="23" t="s">
        <v>115</v>
      </c>
      <c r="C279" s="49">
        <v>0</v>
      </c>
      <c r="D279" s="105"/>
      <c r="E279" s="190">
        <v>0</v>
      </c>
      <c r="F279" s="185">
        <f t="shared" si="13"/>
        <v>0</v>
      </c>
      <c r="G279" s="24">
        <v>0</v>
      </c>
      <c r="H279" s="153">
        <f t="shared" si="14"/>
        <v>0</v>
      </c>
      <c r="I279" s="138">
        <v>0</v>
      </c>
      <c r="J279" s="154">
        <f t="shared" si="15"/>
        <v>0</v>
      </c>
    </row>
    <row r="280" spans="1:10">
      <c r="A280" s="5"/>
      <c r="B280" s="23" t="s">
        <v>137</v>
      </c>
      <c r="C280" s="49">
        <v>0</v>
      </c>
      <c r="D280" s="105"/>
      <c r="E280" s="190">
        <v>0</v>
      </c>
      <c r="F280" s="185">
        <f t="shared" si="13"/>
        <v>0</v>
      </c>
      <c r="G280" s="24">
        <v>0</v>
      </c>
      <c r="H280" s="153">
        <f t="shared" si="14"/>
        <v>0</v>
      </c>
      <c r="I280" s="138">
        <v>0</v>
      </c>
      <c r="J280" s="154">
        <f t="shared" si="15"/>
        <v>0</v>
      </c>
    </row>
    <row r="281" spans="1:10">
      <c r="A281" s="5"/>
      <c r="B281" s="23" t="s">
        <v>138</v>
      </c>
      <c r="C281" s="49">
        <v>0</v>
      </c>
      <c r="D281" s="105"/>
      <c r="E281" s="190">
        <v>0</v>
      </c>
      <c r="F281" s="185">
        <f t="shared" si="13"/>
        <v>0</v>
      </c>
      <c r="G281" s="24">
        <v>0</v>
      </c>
      <c r="H281" s="153">
        <f t="shared" si="14"/>
        <v>0</v>
      </c>
      <c r="I281" s="138">
        <v>0</v>
      </c>
      <c r="J281" s="154">
        <f t="shared" si="15"/>
        <v>0</v>
      </c>
    </row>
    <row r="282" spans="1:10">
      <c r="A282" s="5"/>
      <c r="B282" s="23" t="s">
        <v>139</v>
      </c>
      <c r="C282" s="49">
        <v>0</v>
      </c>
      <c r="D282" s="105"/>
      <c r="E282" s="190">
        <v>0</v>
      </c>
      <c r="F282" s="185">
        <f t="shared" si="13"/>
        <v>0</v>
      </c>
      <c r="G282" s="24">
        <v>0</v>
      </c>
      <c r="H282" s="153">
        <f t="shared" si="14"/>
        <v>0</v>
      </c>
      <c r="I282" s="138">
        <v>0</v>
      </c>
      <c r="J282" s="154">
        <f t="shared" si="15"/>
        <v>0</v>
      </c>
    </row>
    <row r="283" spans="1:10">
      <c r="A283" s="5"/>
      <c r="B283" s="23" t="s">
        <v>140</v>
      </c>
      <c r="C283" s="49">
        <v>0</v>
      </c>
      <c r="D283" s="105"/>
      <c r="E283" s="190">
        <v>0</v>
      </c>
      <c r="F283" s="185">
        <f t="shared" si="13"/>
        <v>0</v>
      </c>
      <c r="G283" s="24">
        <v>0</v>
      </c>
      <c r="H283" s="153">
        <f t="shared" si="14"/>
        <v>0</v>
      </c>
      <c r="I283" s="138">
        <v>0</v>
      </c>
      <c r="J283" s="154">
        <f t="shared" si="15"/>
        <v>0</v>
      </c>
    </row>
    <row r="284" spans="1:10">
      <c r="A284" s="5"/>
      <c r="B284" s="23" t="s">
        <v>141</v>
      </c>
      <c r="C284" s="49">
        <v>0</v>
      </c>
      <c r="D284" s="105"/>
      <c r="E284" s="190">
        <v>0</v>
      </c>
      <c r="F284" s="185">
        <f t="shared" si="13"/>
        <v>0</v>
      </c>
      <c r="G284" s="24">
        <v>0</v>
      </c>
      <c r="H284" s="153">
        <f t="shared" si="14"/>
        <v>0</v>
      </c>
      <c r="I284" s="138">
        <v>0</v>
      </c>
      <c r="J284" s="154">
        <f t="shared" si="15"/>
        <v>0</v>
      </c>
    </row>
    <row r="285" spans="1:10" ht="92.5">
      <c r="A285" s="5" t="s">
        <v>133</v>
      </c>
      <c r="B285" s="23" t="s">
        <v>493</v>
      </c>
      <c r="C285" s="49">
        <v>5</v>
      </c>
      <c r="D285" s="104" t="s">
        <v>81</v>
      </c>
      <c r="E285" s="190">
        <v>4417.5</v>
      </c>
      <c r="F285" s="185">
        <f t="shared" si="13"/>
        <v>22087.5</v>
      </c>
      <c r="G285" s="24">
        <v>5195</v>
      </c>
      <c r="H285" s="153">
        <f t="shared" si="14"/>
        <v>25975</v>
      </c>
      <c r="I285" s="138">
        <v>4855.5375000000004</v>
      </c>
      <c r="J285" s="154">
        <f>$I285*$C285</f>
        <v>24277.6875</v>
      </c>
    </row>
    <row r="286" spans="1:10" ht="37">
      <c r="A286" s="5"/>
      <c r="B286" s="23" t="s">
        <v>149</v>
      </c>
      <c r="C286" s="49">
        <v>0</v>
      </c>
      <c r="D286" s="105"/>
      <c r="E286" s="190">
        <v>0</v>
      </c>
      <c r="F286" s="185">
        <f t="shared" si="13"/>
        <v>0</v>
      </c>
      <c r="G286" s="24">
        <v>0</v>
      </c>
      <c r="H286" s="153">
        <f t="shared" si="14"/>
        <v>0</v>
      </c>
      <c r="I286" s="138">
        <v>0</v>
      </c>
      <c r="J286" s="154">
        <f t="shared" ref="J286:J292" si="16">I286*G285</f>
        <v>0</v>
      </c>
    </row>
    <row r="287" spans="1:10">
      <c r="A287" s="5"/>
      <c r="B287" s="23" t="s">
        <v>150</v>
      </c>
      <c r="C287" s="49">
        <v>0</v>
      </c>
      <c r="D287" s="105"/>
      <c r="E287" s="190">
        <v>0</v>
      </c>
      <c r="F287" s="185">
        <f t="shared" si="13"/>
        <v>0</v>
      </c>
      <c r="G287" s="24">
        <v>0</v>
      </c>
      <c r="H287" s="153">
        <f t="shared" si="14"/>
        <v>0</v>
      </c>
      <c r="I287" s="138">
        <v>0</v>
      </c>
      <c r="J287" s="154">
        <f t="shared" si="16"/>
        <v>0</v>
      </c>
    </row>
    <row r="288" spans="1:10">
      <c r="A288" s="5"/>
      <c r="B288" s="23" t="s">
        <v>117</v>
      </c>
      <c r="C288" s="49">
        <v>0</v>
      </c>
      <c r="D288" s="105"/>
      <c r="E288" s="190">
        <v>0</v>
      </c>
      <c r="F288" s="185">
        <f t="shared" si="13"/>
        <v>0</v>
      </c>
      <c r="G288" s="24">
        <v>0</v>
      </c>
      <c r="H288" s="153">
        <f t="shared" si="14"/>
        <v>0</v>
      </c>
      <c r="I288" s="138">
        <v>0</v>
      </c>
      <c r="J288" s="154">
        <f t="shared" si="16"/>
        <v>0</v>
      </c>
    </row>
    <row r="289" spans="1:10">
      <c r="A289" s="5"/>
      <c r="B289" s="23" t="s">
        <v>151</v>
      </c>
      <c r="C289" s="49">
        <v>0</v>
      </c>
      <c r="D289" s="105"/>
      <c r="E289" s="190">
        <v>0</v>
      </c>
      <c r="F289" s="185">
        <f t="shared" si="13"/>
        <v>0</v>
      </c>
      <c r="G289" s="24">
        <v>0</v>
      </c>
      <c r="H289" s="153">
        <f t="shared" si="14"/>
        <v>0</v>
      </c>
      <c r="I289" s="138">
        <v>0</v>
      </c>
      <c r="J289" s="154">
        <f t="shared" si="16"/>
        <v>0</v>
      </c>
    </row>
    <row r="290" spans="1:10">
      <c r="A290" s="5"/>
      <c r="B290" s="23" t="s">
        <v>170</v>
      </c>
      <c r="C290" s="49">
        <v>0</v>
      </c>
      <c r="D290" s="105"/>
      <c r="E290" s="190">
        <v>0</v>
      </c>
      <c r="F290" s="185">
        <f t="shared" si="13"/>
        <v>0</v>
      </c>
      <c r="G290" s="24">
        <v>0</v>
      </c>
      <c r="H290" s="153">
        <f t="shared" si="14"/>
        <v>0</v>
      </c>
      <c r="I290" s="138">
        <v>0</v>
      </c>
      <c r="J290" s="154">
        <f t="shared" si="16"/>
        <v>0</v>
      </c>
    </row>
    <row r="291" spans="1:10">
      <c r="A291" s="5"/>
      <c r="B291" s="23" t="s">
        <v>124</v>
      </c>
      <c r="C291" s="49">
        <v>0</v>
      </c>
      <c r="D291" s="105"/>
      <c r="E291" s="190">
        <v>0</v>
      </c>
      <c r="F291" s="185">
        <f t="shared" si="13"/>
        <v>0</v>
      </c>
      <c r="G291" s="24">
        <v>0</v>
      </c>
      <c r="H291" s="153">
        <f t="shared" si="14"/>
        <v>0</v>
      </c>
      <c r="I291" s="138">
        <v>0</v>
      </c>
      <c r="J291" s="154">
        <f t="shared" si="16"/>
        <v>0</v>
      </c>
    </row>
    <row r="292" spans="1:10">
      <c r="A292" s="5"/>
      <c r="B292" s="23" t="s">
        <v>171</v>
      </c>
      <c r="C292" s="49">
        <v>0</v>
      </c>
      <c r="D292" s="105"/>
      <c r="E292" s="190">
        <v>0</v>
      </c>
      <c r="F292" s="185">
        <f t="shared" si="13"/>
        <v>0</v>
      </c>
      <c r="G292" s="24">
        <v>0</v>
      </c>
      <c r="H292" s="153">
        <f t="shared" si="14"/>
        <v>0</v>
      </c>
      <c r="I292" s="138">
        <v>0</v>
      </c>
      <c r="J292" s="154">
        <f t="shared" si="16"/>
        <v>0</v>
      </c>
    </row>
    <row r="293" spans="1:10" ht="111">
      <c r="A293" s="5" t="s">
        <v>148</v>
      </c>
      <c r="B293" s="23" t="s">
        <v>172</v>
      </c>
      <c r="C293" s="49">
        <v>15</v>
      </c>
      <c r="D293" s="104" t="s">
        <v>81</v>
      </c>
      <c r="E293" s="190">
        <v>4417.5</v>
      </c>
      <c r="F293" s="185">
        <f t="shared" si="13"/>
        <v>66262.5</v>
      </c>
      <c r="G293" s="24">
        <v>5195</v>
      </c>
      <c r="H293" s="153">
        <f t="shared" si="14"/>
        <v>77925</v>
      </c>
      <c r="I293" s="138">
        <v>8856.8875000000007</v>
      </c>
      <c r="J293" s="154">
        <f>$I293*$C293</f>
        <v>132853.3125</v>
      </c>
    </row>
    <row r="294" spans="1:10">
      <c r="A294" s="5"/>
      <c r="B294" s="23" t="s">
        <v>173</v>
      </c>
      <c r="C294" s="49">
        <v>0</v>
      </c>
      <c r="D294" s="105"/>
      <c r="E294" s="190">
        <v>0</v>
      </c>
      <c r="F294" s="185">
        <f t="shared" si="13"/>
        <v>0</v>
      </c>
      <c r="G294" s="24">
        <v>0</v>
      </c>
      <c r="H294" s="153">
        <f t="shared" si="14"/>
        <v>0</v>
      </c>
      <c r="I294" s="138">
        <v>0</v>
      </c>
      <c r="J294" s="154">
        <f t="shared" ref="J294:J299" si="17">I294*G293</f>
        <v>0</v>
      </c>
    </row>
    <row r="295" spans="1:10">
      <c r="A295" s="5"/>
      <c r="B295" s="23" t="s">
        <v>174</v>
      </c>
      <c r="C295" s="49">
        <v>0</v>
      </c>
      <c r="D295" s="105"/>
      <c r="E295" s="190">
        <v>0</v>
      </c>
      <c r="F295" s="185">
        <f t="shared" si="13"/>
        <v>0</v>
      </c>
      <c r="G295" s="24">
        <v>0</v>
      </c>
      <c r="H295" s="153">
        <f t="shared" si="14"/>
        <v>0</v>
      </c>
      <c r="I295" s="138">
        <v>0</v>
      </c>
      <c r="J295" s="154">
        <f t="shared" si="17"/>
        <v>0</v>
      </c>
    </row>
    <row r="296" spans="1:10">
      <c r="A296" s="5"/>
      <c r="B296" s="23" t="s">
        <v>117</v>
      </c>
      <c r="C296" s="49">
        <v>0</v>
      </c>
      <c r="D296" s="105"/>
      <c r="E296" s="190">
        <v>0</v>
      </c>
      <c r="F296" s="185">
        <f t="shared" si="13"/>
        <v>0</v>
      </c>
      <c r="G296" s="24">
        <v>0</v>
      </c>
      <c r="H296" s="153">
        <f t="shared" si="14"/>
        <v>0</v>
      </c>
      <c r="I296" s="138">
        <v>0</v>
      </c>
      <c r="J296" s="154">
        <f t="shared" si="17"/>
        <v>0</v>
      </c>
    </row>
    <row r="297" spans="1:10">
      <c r="A297" s="5"/>
      <c r="B297" s="23" t="s">
        <v>175</v>
      </c>
      <c r="C297" s="49">
        <v>0</v>
      </c>
      <c r="D297" s="105"/>
      <c r="E297" s="190">
        <v>0</v>
      </c>
      <c r="F297" s="185">
        <f t="shared" si="13"/>
        <v>0</v>
      </c>
      <c r="G297" s="24">
        <v>0</v>
      </c>
      <c r="H297" s="153">
        <f t="shared" si="14"/>
        <v>0</v>
      </c>
      <c r="I297" s="138">
        <v>0</v>
      </c>
      <c r="J297" s="154">
        <f t="shared" si="17"/>
        <v>0</v>
      </c>
    </row>
    <row r="298" spans="1:10">
      <c r="A298" s="5"/>
      <c r="B298" s="23" t="s">
        <v>176</v>
      </c>
      <c r="C298" s="49">
        <v>0</v>
      </c>
      <c r="D298" s="105"/>
      <c r="E298" s="190">
        <v>0</v>
      </c>
      <c r="F298" s="185">
        <f t="shared" si="13"/>
        <v>0</v>
      </c>
      <c r="G298" s="24">
        <v>0</v>
      </c>
      <c r="H298" s="153">
        <f t="shared" si="14"/>
        <v>0</v>
      </c>
      <c r="I298" s="138">
        <v>0</v>
      </c>
      <c r="J298" s="154">
        <f t="shared" si="17"/>
        <v>0</v>
      </c>
    </row>
    <row r="299" spans="1:10">
      <c r="A299" s="5"/>
      <c r="B299" s="23" t="s">
        <v>125</v>
      </c>
      <c r="C299" s="49">
        <v>0</v>
      </c>
      <c r="D299" s="105"/>
      <c r="E299" s="190">
        <v>0</v>
      </c>
      <c r="F299" s="185">
        <f t="shared" si="13"/>
        <v>0</v>
      </c>
      <c r="G299" s="24">
        <v>0</v>
      </c>
      <c r="H299" s="153">
        <f t="shared" si="14"/>
        <v>0</v>
      </c>
      <c r="I299" s="138">
        <v>0</v>
      </c>
      <c r="J299" s="154">
        <f t="shared" si="17"/>
        <v>0</v>
      </c>
    </row>
    <row r="300" spans="1:10" ht="74">
      <c r="A300" s="5" t="s">
        <v>449</v>
      </c>
      <c r="B300" s="23" t="s">
        <v>178</v>
      </c>
      <c r="C300" s="49" t="s">
        <v>715</v>
      </c>
      <c r="D300" s="104" t="s">
        <v>81</v>
      </c>
      <c r="E300" s="190">
        <v>3847.5</v>
      </c>
      <c r="F300" s="185"/>
      <c r="G300" s="24">
        <v>3637</v>
      </c>
      <c r="H300" s="153" t="str">
        <f t="shared" si="14"/>
        <v/>
      </c>
      <c r="I300" s="138">
        <v>6418.75</v>
      </c>
      <c r="J300" s="154"/>
    </row>
    <row r="301" spans="1:10">
      <c r="A301" s="5"/>
      <c r="B301" s="23" t="s">
        <v>179</v>
      </c>
      <c r="C301" s="49">
        <v>0</v>
      </c>
      <c r="D301" s="105"/>
      <c r="E301" s="190">
        <v>0</v>
      </c>
      <c r="F301" s="185">
        <f t="shared" ref="F301:F309" si="18">E301*C301</f>
        <v>0</v>
      </c>
      <c r="G301" s="24">
        <v>0</v>
      </c>
      <c r="H301" s="153">
        <f t="shared" si="14"/>
        <v>0</v>
      </c>
      <c r="I301" s="138">
        <v>0</v>
      </c>
      <c r="J301" s="154">
        <f t="shared" ref="J301:J306" si="19">I301*G300</f>
        <v>0</v>
      </c>
    </row>
    <row r="302" spans="1:10">
      <c r="A302" s="5"/>
      <c r="B302" s="23" t="s">
        <v>180</v>
      </c>
      <c r="C302" s="49">
        <v>0</v>
      </c>
      <c r="D302" s="105"/>
      <c r="E302" s="190">
        <v>0</v>
      </c>
      <c r="F302" s="185">
        <f t="shared" si="18"/>
        <v>0</v>
      </c>
      <c r="G302" s="24">
        <v>0</v>
      </c>
      <c r="H302" s="153">
        <f t="shared" si="14"/>
        <v>0</v>
      </c>
      <c r="I302" s="138">
        <v>0</v>
      </c>
      <c r="J302" s="154">
        <f t="shared" si="19"/>
        <v>0</v>
      </c>
    </row>
    <row r="303" spans="1:10">
      <c r="A303" s="5"/>
      <c r="B303" s="23" t="s">
        <v>181</v>
      </c>
      <c r="C303" s="49">
        <v>0</v>
      </c>
      <c r="D303" s="105"/>
      <c r="E303" s="190">
        <v>0</v>
      </c>
      <c r="F303" s="185">
        <f t="shared" si="18"/>
        <v>0</v>
      </c>
      <c r="G303" s="24">
        <v>0</v>
      </c>
      <c r="H303" s="153">
        <f t="shared" si="14"/>
        <v>0</v>
      </c>
      <c r="I303" s="138">
        <v>0</v>
      </c>
      <c r="J303" s="154">
        <f t="shared" si="19"/>
        <v>0</v>
      </c>
    </row>
    <row r="304" spans="1:10">
      <c r="A304" s="5"/>
      <c r="B304" s="23" t="s">
        <v>182</v>
      </c>
      <c r="C304" s="49">
        <v>0</v>
      </c>
      <c r="D304" s="105"/>
      <c r="E304" s="190">
        <v>0</v>
      </c>
      <c r="F304" s="185">
        <f t="shared" si="18"/>
        <v>0</v>
      </c>
      <c r="G304" s="24">
        <v>0</v>
      </c>
      <c r="H304" s="153">
        <f t="shared" si="14"/>
        <v>0</v>
      </c>
      <c r="I304" s="138">
        <v>0</v>
      </c>
      <c r="J304" s="154">
        <f t="shared" si="19"/>
        <v>0</v>
      </c>
    </row>
    <row r="305" spans="1:10">
      <c r="A305" s="5"/>
      <c r="B305" s="23" t="s">
        <v>185</v>
      </c>
      <c r="C305" s="49">
        <v>0</v>
      </c>
      <c r="D305" s="105"/>
      <c r="E305" s="190">
        <v>0</v>
      </c>
      <c r="F305" s="185">
        <f t="shared" si="18"/>
        <v>0</v>
      </c>
      <c r="G305" s="24">
        <v>0</v>
      </c>
      <c r="H305" s="153">
        <f t="shared" si="14"/>
        <v>0</v>
      </c>
      <c r="I305" s="138">
        <v>0</v>
      </c>
      <c r="J305" s="154">
        <f t="shared" si="19"/>
        <v>0</v>
      </c>
    </row>
    <row r="306" spans="1:10">
      <c r="A306" s="5"/>
      <c r="B306" s="23" t="s">
        <v>186</v>
      </c>
      <c r="C306" s="49">
        <v>0</v>
      </c>
      <c r="D306" s="105"/>
      <c r="E306" s="190">
        <v>0</v>
      </c>
      <c r="F306" s="185">
        <f t="shared" si="18"/>
        <v>0</v>
      </c>
      <c r="G306" s="24">
        <v>0</v>
      </c>
      <c r="H306" s="153">
        <f t="shared" si="14"/>
        <v>0</v>
      </c>
      <c r="I306" s="138">
        <v>0</v>
      </c>
      <c r="J306" s="154">
        <f t="shared" si="19"/>
        <v>0</v>
      </c>
    </row>
    <row r="307" spans="1:10" ht="92.5">
      <c r="A307" s="5" t="s">
        <v>177</v>
      </c>
      <c r="B307" s="23" t="s">
        <v>457</v>
      </c>
      <c r="C307" s="49">
        <v>236</v>
      </c>
      <c r="D307" s="104" t="s">
        <v>81</v>
      </c>
      <c r="E307" s="190">
        <v>4987.5</v>
      </c>
      <c r="F307" s="185">
        <f t="shared" si="18"/>
        <v>1177050</v>
      </c>
      <c r="G307" s="24">
        <v>6235</v>
      </c>
      <c r="H307" s="153">
        <f t="shared" si="14"/>
        <v>1471460</v>
      </c>
      <c r="I307" s="138">
        <v>4961.2</v>
      </c>
      <c r="J307" s="154">
        <f>$I307*$C307</f>
        <v>1170843.2</v>
      </c>
    </row>
    <row r="308" spans="1:10">
      <c r="A308" s="5" t="s">
        <v>187</v>
      </c>
      <c r="B308" s="23" t="s">
        <v>163</v>
      </c>
      <c r="C308" s="49">
        <v>4</v>
      </c>
      <c r="D308" s="104" t="s">
        <v>71</v>
      </c>
      <c r="E308" s="190">
        <v>19000</v>
      </c>
      <c r="F308" s="185">
        <f t="shared" si="18"/>
        <v>76000</v>
      </c>
      <c r="G308" s="24">
        <v>11430</v>
      </c>
      <c r="H308" s="153">
        <f t="shared" si="14"/>
        <v>45720</v>
      </c>
      <c r="I308" s="138">
        <v>11955.6625</v>
      </c>
      <c r="J308" s="154">
        <f>$I308*$C308</f>
        <v>47822.65</v>
      </c>
    </row>
    <row r="309" spans="1:10">
      <c r="A309" s="5" t="s">
        <v>558</v>
      </c>
      <c r="B309" s="23" t="s">
        <v>559</v>
      </c>
      <c r="C309" s="49">
        <v>2</v>
      </c>
      <c r="D309" s="104" t="s">
        <v>71</v>
      </c>
      <c r="E309" s="190">
        <v>38000</v>
      </c>
      <c r="F309" s="185">
        <f t="shared" si="18"/>
        <v>76000</v>
      </c>
      <c r="G309" s="24">
        <v>18704</v>
      </c>
      <c r="H309" s="153">
        <f t="shared" si="14"/>
        <v>37408</v>
      </c>
      <c r="I309" s="138">
        <v>104872.5</v>
      </c>
      <c r="J309" s="154">
        <f>$I309*$C309</f>
        <v>209745</v>
      </c>
    </row>
    <row r="310" spans="1:10" ht="203.5">
      <c r="A310" s="5" t="s">
        <v>162</v>
      </c>
      <c r="B310" s="28" t="s">
        <v>426</v>
      </c>
      <c r="C310" s="49" t="s">
        <v>715</v>
      </c>
      <c r="D310" s="104" t="s">
        <v>81</v>
      </c>
      <c r="E310" s="190">
        <v>6175</v>
      </c>
      <c r="F310" s="185"/>
      <c r="G310" s="24">
        <v>6235</v>
      </c>
      <c r="H310" s="153" t="str">
        <f t="shared" si="14"/>
        <v/>
      </c>
      <c r="I310" s="138">
        <v>0</v>
      </c>
      <c r="J310" s="154"/>
    </row>
    <row r="311" spans="1:10" ht="92.5">
      <c r="A311" s="5"/>
      <c r="B311" s="28" t="s">
        <v>328</v>
      </c>
      <c r="C311" s="49">
        <v>0</v>
      </c>
      <c r="D311" s="104"/>
      <c r="E311" s="190">
        <v>0</v>
      </c>
      <c r="F311" s="185">
        <f>E311*C311</f>
        <v>0</v>
      </c>
      <c r="G311" s="24">
        <v>0</v>
      </c>
      <c r="H311" s="153">
        <f t="shared" si="14"/>
        <v>0</v>
      </c>
      <c r="I311" s="138">
        <v>0</v>
      </c>
      <c r="J311" s="154">
        <f>I311*G310</f>
        <v>0</v>
      </c>
    </row>
    <row r="312" spans="1:10" ht="37">
      <c r="A312" s="5" t="s">
        <v>256</v>
      </c>
      <c r="B312" s="28" t="s">
        <v>330</v>
      </c>
      <c r="C312" s="49" t="s">
        <v>715</v>
      </c>
      <c r="D312" s="104" t="s">
        <v>81</v>
      </c>
      <c r="E312" s="190">
        <v>4916.25</v>
      </c>
      <c r="F312" s="185"/>
      <c r="G312" s="24">
        <v>5195</v>
      </c>
      <c r="H312" s="153" t="str">
        <f t="shared" si="14"/>
        <v/>
      </c>
      <c r="I312" s="138">
        <v>0</v>
      </c>
      <c r="J312" s="154"/>
    </row>
    <row r="313" spans="1:10" ht="166.5">
      <c r="A313" s="5" t="s">
        <v>327</v>
      </c>
      <c r="B313" s="23" t="s">
        <v>287</v>
      </c>
      <c r="C313" s="49" t="s">
        <v>715</v>
      </c>
      <c r="D313" s="104" t="s">
        <v>81</v>
      </c>
      <c r="E313" s="190">
        <v>1425</v>
      </c>
      <c r="F313" s="185"/>
      <c r="G313" s="24">
        <v>1870</v>
      </c>
      <c r="H313" s="153" t="str">
        <f t="shared" si="14"/>
        <v/>
      </c>
      <c r="I313" s="138">
        <v>0</v>
      </c>
      <c r="J313" s="154"/>
    </row>
    <row r="314" spans="1:10" ht="203.5">
      <c r="A314" s="5" t="s">
        <v>329</v>
      </c>
      <c r="B314" s="38" t="s">
        <v>508</v>
      </c>
      <c r="C314" s="49" t="s">
        <v>715</v>
      </c>
      <c r="D314" s="104" t="s">
        <v>81</v>
      </c>
      <c r="E314" s="190">
        <v>4227.5</v>
      </c>
      <c r="F314" s="185"/>
      <c r="G314" s="24">
        <v>2078</v>
      </c>
      <c r="H314" s="153" t="str">
        <f t="shared" si="14"/>
        <v/>
      </c>
      <c r="I314" s="138">
        <v>0</v>
      </c>
      <c r="J314" s="154"/>
    </row>
    <row r="315" spans="1:10" ht="129.5">
      <c r="A315" s="5"/>
      <c r="B315" s="38" t="s">
        <v>291</v>
      </c>
      <c r="C315" s="49">
        <v>0</v>
      </c>
      <c r="D315" s="104"/>
      <c r="E315" s="190">
        <v>0</v>
      </c>
      <c r="F315" s="185">
        <f>E315*C315</f>
        <v>0</v>
      </c>
      <c r="G315" s="24">
        <v>0</v>
      </c>
      <c r="H315" s="153">
        <f t="shared" si="14"/>
        <v>0</v>
      </c>
      <c r="I315" s="138">
        <v>0</v>
      </c>
      <c r="J315" s="154">
        <f>I315*G314</f>
        <v>0</v>
      </c>
    </row>
    <row r="316" spans="1:10" ht="37">
      <c r="A316" s="5"/>
      <c r="B316" s="38" t="s">
        <v>290</v>
      </c>
      <c r="C316" s="49">
        <v>0</v>
      </c>
      <c r="D316" s="104"/>
      <c r="E316" s="190">
        <v>0</v>
      </c>
      <c r="F316" s="185">
        <f>E316*C316</f>
        <v>0</v>
      </c>
      <c r="G316" s="24">
        <v>0</v>
      </c>
      <c r="H316" s="153">
        <f t="shared" si="14"/>
        <v>0</v>
      </c>
      <c r="I316" s="138">
        <v>0</v>
      </c>
      <c r="J316" s="154">
        <f>I316*G315</f>
        <v>0</v>
      </c>
    </row>
    <row r="317" spans="1:10" ht="129.5">
      <c r="A317" s="5" t="s">
        <v>331</v>
      </c>
      <c r="B317" s="38" t="s">
        <v>494</v>
      </c>
      <c r="C317" s="49" t="s">
        <v>715</v>
      </c>
      <c r="D317" s="104" t="s">
        <v>81</v>
      </c>
      <c r="E317" s="190">
        <v>5866.25</v>
      </c>
      <c r="F317" s="185"/>
      <c r="G317" s="24">
        <v>4676</v>
      </c>
      <c r="H317" s="153" t="str">
        <f t="shared" si="14"/>
        <v/>
      </c>
      <c r="I317" s="138">
        <v>0</v>
      </c>
      <c r="J317" s="154"/>
    </row>
    <row r="318" spans="1:10">
      <c r="A318" s="67"/>
      <c r="B318" s="22" t="s">
        <v>189</v>
      </c>
      <c r="C318" s="67">
        <v>0</v>
      </c>
      <c r="D318" s="102"/>
      <c r="E318" s="197">
        <v>0</v>
      </c>
      <c r="F318" s="188">
        <f>SUM(F238:F317)</f>
        <v>3848426.25</v>
      </c>
      <c r="G318" s="146">
        <v>0</v>
      </c>
      <c r="H318" s="188">
        <f>SUM(H238:H317)</f>
        <v>4262525</v>
      </c>
      <c r="I318" s="146">
        <v>0</v>
      </c>
      <c r="J318" s="154">
        <f>SUM(J238:J317)</f>
        <v>4363147.2874999996</v>
      </c>
    </row>
    <row r="319" spans="1:10">
      <c r="A319" s="67"/>
      <c r="B319" s="36" t="s">
        <v>190</v>
      </c>
      <c r="C319" s="67">
        <v>0</v>
      </c>
      <c r="D319" s="102"/>
      <c r="E319" s="197">
        <v>0</v>
      </c>
      <c r="F319" s="178"/>
      <c r="G319" s="146">
        <v>0</v>
      </c>
      <c r="H319" s="178"/>
      <c r="I319" s="146">
        <v>0</v>
      </c>
      <c r="J319" s="154"/>
    </row>
    <row r="320" spans="1:10" ht="203.5">
      <c r="A320" s="5" t="s">
        <v>311</v>
      </c>
      <c r="B320" s="23" t="s">
        <v>543</v>
      </c>
      <c r="C320" s="49" t="s">
        <v>715</v>
      </c>
      <c r="D320" s="104" t="s">
        <v>191</v>
      </c>
      <c r="E320" s="190">
        <v>117800</v>
      </c>
      <c r="F320" s="185"/>
      <c r="G320" s="24">
        <v>124691</v>
      </c>
      <c r="H320" s="153" t="str">
        <f t="shared" si="14"/>
        <v/>
      </c>
      <c r="I320" s="157">
        <v>148125</v>
      </c>
      <c r="J320" s="154"/>
    </row>
    <row r="321" spans="1:10" ht="129.5">
      <c r="A321" s="5" t="s">
        <v>323</v>
      </c>
      <c r="B321" s="23" t="s">
        <v>397</v>
      </c>
      <c r="C321" s="49">
        <v>10.8</v>
      </c>
      <c r="D321" s="104" t="s">
        <v>191</v>
      </c>
      <c r="E321" s="190">
        <v>99750</v>
      </c>
      <c r="F321" s="185">
        <f>E321*C321</f>
        <v>1077300</v>
      </c>
      <c r="G321" s="24">
        <v>114300</v>
      </c>
      <c r="H321" s="153">
        <f t="shared" si="14"/>
        <v>1234440</v>
      </c>
      <c r="I321" s="157">
        <v>110116.125</v>
      </c>
      <c r="J321" s="154">
        <f>$I321*$C321</f>
        <v>1189254.1500000001</v>
      </c>
    </row>
    <row r="322" spans="1:10" ht="74">
      <c r="A322" s="5" t="s">
        <v>312</v>
      </c>
      <c r="B322" s="23" t="s">
        <v>495</v>
      </c>
      <c r="C322" s="49">
        <v>0.3</v>
      </c>
      <c r="D322" s="104" t="s">
        <v>191</v>
      </c>
      <c r="E322" s="190">
        <v>5130</v>
      </c>
      <c r="F322" s="185">
        <f>E322*C322</f>
        <v>1539</v>
      </c>
      <c r="G322" s="24">
        <v>103909</v>
      </c>
      <c r="H322" s="153">
        <f t="shared" si="14"/>
        <v>31172.699999999997</v>
      </c>
      <c r="I322" s="138">
        <v>13340.137500000001</v>
      </c>
      <c r="J322" s="154">
        <f>$I322*$C322</f>
        <v>4002.0412500000002</v>
      </c>
    </row>
    <row r="323" spans="1:10" ht="74">
      <c r="A323" s="5" t="s">
        <v>315</v>
      </c>
      <c r="B323" s="23" t="s">
        <v>324</v>
      </c>
      <c r="C323" s="49" t="s">
        <v>715</v>
      </c>
      <c r="D323" s="104" t="s">
        <v>191</v>
      </c>
      <c r="E323" s="190">
        <v>12350</v>
      </c>
      <c r="F323" s="185"/>
      <c r="G323" s="24">
        <v>20782</v>
      </c>
      <c r="H323" s="153" t="str">
        <f t="shared" si="14"/>
        <v/>
      </c>
      <c r="I323" s="138">
        <v>24687.5</v>
      </c>
      <c r="J323" s="154"/>
    </row>
    <row r="324" spans="1:10" ht="129.5">
      <c r="A324" s="5" t="s">
        <v>316</v>
      </c>
      <c r="B324" s="23" t="s">
        <v>193</v>
      </c>
      <c r="C324" s="49">
        <v>167</v>
      </c>
      <c r="D324" s="104" t="s">
        <v>83</v>
      </c>
      <c r="E324" s="190">
        <v>665</v>
      </c>
      <c r="F324" s="185">
        <f>E324*C324</f>
        <v>111055</v>
      </c>
      <c r="G324" s="24">
        <v>2182</v>
      </c>
      <c r="H324" s="153">
        <f t="shared" si="14"/>
        <v>364394</v>
      </c>
      <c r="I324" s="138">
        <v>1600.7375</v>
      </c>
      <c r="J324" s="154">
        <f>$I324*$C324</f>
        <v>267323.16249999998</v>
      </c>
    </row>
    <row r="325" spans="1:10" ht="92.5">
      <c r="A325" s="49" t="s">
        <v>325</v>
      </c>
      <c r="B325" s="28" t="s">
        <v>450</v>
      </c>
      <c r="C325" s="49">
        <v>0</v>
      </c>
      <c r="D325" s="109"/>
      <c r="E325" s="191">
        <v>0</v>
      </c>
      <c r="F325" s="185">
        <f>E325*C325</f>
        <v>0</v>
      </c>
      <c r="G325" s="32">
        <v>0</v>
      </c>
      <c r="H325" s="153">
        <f t="shared" si="14"/>
        <v>0</v>
      </c>
      <c r="I325" s="139">
        <v>0</v>
      </c>
      <c r="J325" s="154">
        <f>I325*G324</f>
        <v>0</v>
      </c>
    </row>
    <row r="326" spans="1:10">
      <c r="A326" s="5"/>
      <c r="B326" s="28" t="s">
        <v>279</v>
      </c>
      <c r="C326" s="49">
        <v>300</v>
      </c>
      <c r="D326" s="108" t="s">
        <v>261</v>
      </c>
      <c r="E326" s="190">
        <v>76</v>
      </c>
      <c r="F326" s="185">
        <f>E326*C326</f>
        <v>22800</v>
      </c>
      <c r="G326" s="24">
        <v>88</v>
      </c>
      <c r="H326" s="153">
        <f t="shared" si="14"/>
        <v>26400</v>
      </c>
      <c r="I326" s="138">
        <v>300.2</v>
      </c>
      <c r="J326" s="154">
        <f>$I326*$C326</f>
        <v>90060</v>
      </c>
    </row>
    <row r="327" spans="1:10">
      <c r="A327" s="5"/>
      <c r="B327" s="23" t="s">
        <v>111</v>
      </c>
      <c r="C327" s="49">
        <v>5500</v>
      </c>
      <c r="D327" s="108" t="s">
        <v>261</v>
      </c>
      <c r="E327" s="190">
        <v>71.25</v>
      </c>
      <c r="F327" s="185">
        <f>E327*C327</f>
        <v>391875</v>
      </c>
      <c r="G327" s="24">
        <v>103</v>
      </c>
      <c r="H327" s="153">
        <f t="shared" si="14"/>
        <v>566500</v>
      </c>
      <c r="I327" s="138">
        <v>33.575000000000003</v>
      </c>
      <c r="J327" s="154">
        <f>$I327*$C327</f>
        <v>184662.50000000003</v>
      </c>
    </row>
    <row r="328" spans="1:10" ht="37">
      <c r="A328" s="5" t="s">
        <v>398</v>
      </c>
      <c r="B328" s="23" t="s">
        <v>496</v>
      </c>
      <c r="C328" s="49">
        <v>0</v>
      </c>
      <c r="D328" s="108"/>
      <c r="E328" s="190">
        <v>0</v>
      </c>
      <c r="F328" s="185">
        <f>E328*C328</f>
        <v>0</v>
      </c>
      <c r="G328" s="24">
        <v>0</v>
      </c>
      <c r="H328" s="153">
        <f t="shared" si="14"/>
        <v>0</v>
      </c>
      <c r="I328" s="138">
        <v>0</v>
      </c>
      <c r="J328" s="154">
        <f>I328*G327</f>
        <v>0</v>
      </c>
    </row>
    <row r="329" spans="1:10">
      <c r="A329" s="5"/>
      <c r="B329" s="28" t="s">
        <v>279</v>
      </c>
      <c r="C329" s="49" t="s">
        <v>715</v>
      </c>
      <c r="D329" s="108" t="s">
        <v>261</v>
      </c>
      <c r="E329" s="190">
        <v>152</v>
      </c>
      <c r="F329" s="185"/>
      <c r="G329" s="24">
        <v>107</v>
      </c>
      <c r="H329" s="153" t="str">
        <f t="shared" si="14"/>
        <v/>
      </c>
      <c r="I329" s="138">
        <v>144.17500000000001</v>
      </c>
      <c r="J329" s="154"/>
    </row>
    <row r="330" spans="1:10">
      <c r="A330" s="5"/>
      <c r="B330" s="23" t="s">
        <v>111</v>
      </c>
      <c r="C330" s="49">
        <v>1000</v>
      </c>
      <c r="D330" s="108" t="s">
        <v>261</v>
      </c>
      <c r="E330" s="190">
        <v>161.5</v>
      </c>
      <c r="F330" s="185">
        <f>E330*C330</f>
        <v>161500</v>
      </c>
      <c r="G330" s="24">
        <v>122</v>
      </c>
      <c r="H330" s="153">
        <f t="shared" si="14"/>
        <v>122000</v>
      </c>
      <c r="I330" s="138">
        <v>144.17500000000001</v>
      </c>
      <c r="J330" s="154">
        <f>$I330*$C330</f>
        <v>144175</v>
      </c>
    </row>
    <row r="331" spans="1:10" ht="129.5">
      <c r="A331" s="5" t="s">
        <v>326</v>
      </c>
      <c r="B331" s="28" t="s">
        <v>539</v>
      </c>
      <c r="C331" s="49">
        <v>0</v>
      </c>
      <c r="D331" s="108"/>
      <c r="E331" s="190">
        <v>0</v>
      </c>
      <c r="F331" s="185">
        <f>E331*C331</f>
        <v>0</v>
      </c>
      <c r="G331" s="24">
        <v>0</v>
      </c>
      <c r="H331" s="153">
        <f t="shared" si="14"/>
        <v>0</v>
      </c>
      <c r="I331" s="138">
        <v>0</v>
      </c>
      <c r="J331" s="154">
        <f>I331*G330</f>
        <v>0</v>
      </c>
    </row>
    <row r="332" spans="1:10">
      <c r="A332" s="82" t="s">
        <v>292</v>
      </c>
      <c r="B332" s="28" t="s">
        <v>293</v>
      </c>
      <c r="C332" s="49" t="s">
        <v>715</v>
      </c>
      <c r="D332" s="104" t="s">
        <v>191</v>
      </c>
      <c r="E332" s="190">
        <v>81700</v>
      </c>
      <c r="F332" s="185"/>
      <c r="G332" s="24">
        <v>83127</v>
      </c>
      <c r="H332" s="153" t="str">
        <f t="shared" ref="H332:H395" si="20">IFERROR(G332*C332,"")</f>
        <v/>
      </c>
      <c r="I332" s="138">
        <v>83937.5</v>
      </c>
      <c r="J332" s="154"/>
    </row>
    <row r="333" spans="1:10">
      <c r="A333" s="82" t="s">
        <v>294</v>
      </c>
      <c r="B333" s="28" t="s">
        <v>295</v>
      </c>
      <c r="C333" s="49" t="s">
        <v>715</v>
      </c>
      <c r="D333" s="104" t="s">
        <v>191</v>
      </c>
      <c r="E333" s="190">
        <v>36100</v>
      </c>
      <c r="F333" s="185"/>
      <c r="G333" s="24">
        <v>36368</v>
      </c>
      <c r="H333" s="153" t="str">
        <f t="shared" si="20"/>
        <v/>
      </c>
      <c r="I333" s="138">
        <v>49375</v>
      </c>
      <c r="J333" s="154"/>
    </row>
    <row r="334" spans="1:10">
      <c r="A334" s="67"/>
      <c r="B334" s="35" t="s">
        <v>194</v>
      </c>
      <c r="C334" s="35">
        <v>0</v>
      </c>
      <c r="D334" s="106"/>
      <c r="E334" s="192">
        <v>0</v>
      </c>
      <c r="F334" s="183">
        <f>SUM(F320:F333)</f>
        <v>1766069</v>
      </c>
      <c r="G334" s="140">
        <v>0</v>
      </c>
      <c r="H334" s="183">
        <f>SUM(H320:H333)</f>
        <v>2344906.7000000002</v>
      </c>
      <c r="I334" s="140">
        <v>0</v>
      </c>
      <c r="J334" s="154">
        <f>SUM(J320:J333)</f>
        <v>1879476.8537500002</v>
      </c>
    </row>
    <row r="335" spans="1:10">
      <c r="A335" s="67"/>
      <c r="B335" s="36" t="s">
        <v>45</v>
      </c>
      <c r="C335" s="35">
        <v>0</v>
      </c>
      <c r="D335" s="106"/>
      <c r="E335" s="192">
        <v>0</v>
      </c>
      <c r="F335" s="183"/>
      <c r="G335" s="140">
        <v>0</v>
      </c>
      <c r="H335" s="183"/>
      <c r="I335" s="140">
        <v>0</v>
      </c>
      <c r="J335" s="154"/>
    </row>
    <row r="336" spans="1:10">
      <c r="A336" s="49" t="s">
        <v>44</v>
      </c>
      <c r="B336" s="28" t="s">
        <v>286</v>
      </c>
      <c r="C336" s="49">
        <v>0</v>
      </c>
      <c r="D336" s="105"/>
      <c r="E336" s="191">
        <v>0</v>
      </c>
      <c r="F336" s="185">
        <f>E336*C336</f>
        <v>0</v>
      </c>
      <c r="G336" s="139">
        <v>0</v>
      </c>
      <c r="H336" s="153">
        <f t="shared" si="20"/>
        <v>0</v>
      </c>
      <c r="I336" s="139">
        <v>0</v>
      </c>
      <c r="J336" s="154">
        <f>I336*G335</f>
        <v>0</v>
      </c>
    </row>
    <row r="337" spans="1:10">
      <c r="A337" s="49"/>
      <c r="B337" s="28" t="s">
        <v>497</v>
      </c>
      <c r="C337" s="49" t="s">
        <v>715</v>
      </c>
      <c r="D337" s="104" t="s">
        <v>83</v>
      </c>
      <c r="E337" s="190">
        <v>950</v>
      </c>
      <c r="F337" s="185"/>
      <c r="G337" s="24">
        <v>727</v>
      </c>
      <c r="H337" s="153" t="str">
        <f t="shared" si="20"/>
        <v/>
      </c>
      <c r="I337" s="138">
        <v>987.5</v>
      </c>
      <c r="J337" s="154"/>
    </row>
    <row r="338" spans="1:10">
      <c r="A338" s="49"/>
      <c r="B338" s="28" t="s">
        <v>498</v>
      </c>
      <c r="C338" s="49" t="s">
        <v>715</v>
      </c>
      <c r="D338" s="104" t="s">
        <v>83</v>
      </c>
      <c r="E338" s="190">
        <v>1282.5</v>
      </c>
      <c r="F338" s="185"/>
      <c r="G338" s="24">
        <v>1129</v>
      </c>
      <c r="H338" s="153" t="str">
        <f t="shared" si="20"/>
        <v/>
      </c>
      <c r="I338" s="138">
        <v>1678.75</v>
      </c>
      <c r="J338" s="154"/>
    </row>
    <row r="339" spans="1:10" ht="166.5">
      <c r="A339" s="49" t="s">
        <v>313</v>
      </c>
      <c r="B339" s="28" t="s">
        <v>544</v>
      </c>
      <c r="C339" s="49">
        <v>0</v>
      </c>
      <c r="D339" s="104"/>
      <c r="E339" s="190">
        <v>0</v>
      </c>
      <c r="F339" s="185"/>
      <c r="G339" s="24">
        <v>0</v>
      </c>
      <c r="H339" s="153">
        <f t="shared" si="20"/>
        <v>0</v>
      </c>
      <c r="I339" s="138">
        <v>0</v>
      </c>
      <c r="J339" s="154"/>
    </row>
    <row r="340" spans="1:10">
      <c r="A340" s="49"/>
      <c r="B340" s="28" t="s">
        <v>458</v>
      </c>
      <c r="C340" s="49" t="s">
        <v>715</v>
      </c>
      <c r="D340" s="104" t="s">
        <v>81</v>
      </c>
      <c r="E340" s="190">
        <v>745.75</v>
      </c>
      <c r="F340" s="185"/>
      <c r="G340" s="24">
        <v>741</v>
      </c>
      <c r="H340" s="153" t="str">
        <f t="shared" si="20"/>
        <v/>
      </c>
      <c r="I340" s="138">
        <v>1481.25</v>
      </c>
      <c r="J340" s="154"/>
    </row>
    <row r="341" spans="1:10">
      <c r="A341" s="49"/>
      <c r="B341" s="28" t="s">
        <v>505</v>
      </c>
      <c r="C341" s="49" t="s">
        <v>715</v>
      </c>
      <c r="D341" s="104" t="s">
        <v>289</v>
      </c>
      <c r="E341" s="190">
        <v>522.5</v>
      </c>
      <c r="F341" s="185"/>
      <c r="G341" s="24">
        <v>520</v>
      </c>
      <c r="H341" s="153" t="str">
        <f t="shared" si="20"/>
        <v/>
      </c>
      <c r="I341" s="138">
        <v>839.375</v>
      </c>
      <c r="J341" s="154"/>
    </row>
    <row r="342" spans="1:10">
      <c r="A342" s="49"/>
      <c r="B342" s="28" t="s">
        <v>504</v>
      </c>
      <c r="C342" s="49" t="s">
        <v>715</v>
      </c>
      <c r="D342" s="104" t="s">
        <v>289</v>
      </c>
      <c r="E342" s="190">
        <v>1235</v>
      </c>
      <c r="F342" s="185"/>
      <c r="G342" s="24">
        <v>1247</v>
      </c>
      <c r="H342" s="153" t="str">
        <f t="shared" si="20"/>
        <v/>
      </c>
      <c r="I342" s="138">
        <v>839.375</v>
      </c>
      <c r="J342" s="154"/>
    </row>
    <row r="343" spans="1:10">
      <c r="A343" s="49"/>
      <c r="B343" s="28" t="s">
        <v>506</v>
      </c>
      <c r="C343" s="49" t="s">
        <v>715</v>
      </c>
      <c r="D343" s="104" t="s">
        <v>289</v>
      </c>
      <c r="E343" s="190">
        <v>807.5</v>
      </c>
      <c r="F343" s="185"/>
      <c r="G343" s="24">
        <v>935</v>
      </c>
      <c r="H343" s="153" t="str">
        <f t="shared" si="20"/>
        <v/>
      </c>
      <c r="I343" s="138">
        <v>839.375</v>
      </c>
      <c r="J343" s="154"/>
    </row>
    <row r="344" spans="1:10">
      <c r="A344" s="67"/>
      <c r="B344" s="35" t="s">
        <v>50</v>
      </c>
      <c r="C344" s="35">
        <v>0</v>
      </c>
      <c r="D344" s="106"/>
      <c r="E344" s="192">
        <v>0</v>
      </c>
      <c r="F344" s="182">
        <f>SUM(F336:F343)</f>
        <v>0</v>
      </c>
      <c r="G344" s="140">
        <v>0</v>
      </c>
      <c r="H344" s="182">
        <f>SUM(H336:H343)</f>
        <v>0</v>
      </c>
      <c r="I344" s="140">
        <v>0</v>
      </c>
      <c r="J344" s="154">
        <f>SUM(J336:J343)</f>
        <v>0</v>
      </c>
    </row>
    <row r="345" spans="1:10">
      <c r="A345" s="67"/>
      <c r="B345" s="36" t="s">
        <v>195</v>
      </c>
      <c r="C345" s="35">
        <v>0</v>
      </c>
      <c r="D345" s="106"/>
      <c r="E345" s="192">
        <v>0</v>
      </c>
      <c r="F345" s="183"/>
      <c r="G345" s="140">
        <v>0</v>
      </c>
      <c r="H345" s="183"/>
      <c r="I345" s="140">
        <v>0</v>
      </c>
      <c r="J345" s="154"/>
    </row>
    <row r="346" spans="1:10" ht="166.5">
      <c r="A346" s="5" t="s">
        <v>196</v>
      </c>
      <c r="B346" s="13" t="s">
        <v>309</v>
      </c>
      <c r="C346" s="49">
        <v>0</v>
      </c>
      <c r="D346" s="117"/>
      <c r="E346" s="190">
        <v>0</v>
      </c>
      <c r="F346" s="185">
        <f>E346*C346</f>
        <v>0</v>
      </c>
      <c r="G346" s="138">
        <v>0</v>
      </c>
      <c r="H346" s="153">
        <f t="shared" si="20"/>
        <v>0</v>
      </c>
      <c r="I346" s="138">
        <v>0</v>
      </c>
      <c r="J346" s="154">
        <f>I346*G345</f>
        <v>0</v>
      </c>
    </row>
    <row r="347" spans="1:10">
      <c r="A347" s="5"/>
      <c r="B347" s="129" t="s">
        <v>733</v>
      </c>
      <c r="C347" s="49"/>
      <c r="D347" s="117"/>
      <c r="E347" s="191">
        <v>0</v>
      </c>
      <c r="F347" s="185"/>
      <c r="G347" s="139">
        <v>0</v>
      </c>
      <c r="H347" s="153">
        <f t="shared" si="20"/>
        <v>0</v>
      </c>
      <c r="I347" s="139">
        <v>0</v>
      </c>
      <c r="J347" s="154"/>
    </row>
    <row r="348" spans="1:10">
      <c r="A348" s="5"/>
      <c r="B348" s="28" t="s">
        <v>198</v>
      </c>
      <c r="C348" s="49">
        <v>769</v>
      </c>
      <c r="D348" s="108" t="s">
        <v>86</v>
      </c>
      <c r="E348" s="190">
        <v>821.75</v>
      </c>
      <c r="F348" s="185">
        <f>E348*C348</f>
        <v>631925.75</v>
      </c>
      <c r="G348" s="24">
        <v>524</v>
      </c>
      <c r="H348" s="153">
        <f t="shared" si="20"/>
        <v>402956</v>
      </c>
      <c r="I348" s="138">
        <v>1108.9625000000001</v>
      </c>
      <c r="J348" s="154">
        <f>$I348*$C348</f>
        <v>852792.16250000009</v>
      </c>
    </row>
    <row r="349" spans="1:10">
      <c r="A349" s="5"/>
      <c r="B349" s="28" t="s">
        <v>199</v>
      </c>
      <c r="C349" s="49">
        <v>0</v>
      </c>
      <c r="D349" s="109"/>
      <c r="E349" s="190">
        <v>0</v>
      </c>
      <c r="F349" s="185">
        <f>E349*C349</f>
        <v>0</v>
      </c>
      <c r="G349" s="24">
        <v>0</v>
      </c>
      <c r="H349" s="153">
        <f t="shared" si="20"/>
        <v>0</v>
      </c>
      <c r="I349" s="138">
        <v>0</v>
      </c>
      <c r="J349" s="154">
        <f>I349*G348</f>
        <v>0</v>
      </c>
    </row>
    <row r="350" spans="1:10">
      <c r="A350" s="5"/>
      <c r="B350" s="30" t="s">
        <v>281</v>
      </c>
      <c r="C350" s="49" t="s">
        <v>715</v>
      </c>
      <c r="D350" s="108" t="s">
        <v>86</v>
      </c>
      <c r="E350" s="190">
        <v>902.5</v>
      </c>
      <c r="F350" s="185"/>
      <c r="G350" s="24">
        <v>533</v>
      </c>
      <c r="H350" s="153" t="str">
        <f t="shared" si="20"/>
        <v/>
      </c>
      <c r="I350" s="138">
        <v>1108.9625000000001</v>
      </c>
      <c r="J350" s="154"/>
    </row>
    <row r="351" spans="1:10">
      <c r="A351" s="5"/>
      <c r="B351" s="40" t="s">
        <v>280</v>
      </c>
      <c r="C351" s="49" t="s">
        <v>715</v>
      </c>
      <c r="D351" s="108" t="s">
        <v>86</v>
      </c>
      <c r="E351" s="190">
        <v>1045</v>
      </c>
      <c r="F351" s="185"/>
      <c r="G351" s="24">
        <v>605</v>
      </c>
      <c r="H351" s="153" t="str">
        <f t="shared" si="20"/>
        <v/>
      </c>
      <c r="I351" s="138">
        <v>938.125</v>
      </c>
      <c r="J351" s="154"/>
    </row>
    <row r="352" spans="1:10" ht="92.5">
      <c r="A352" s="5" t="s">
        <v>200</v>
      </c>
      <c r="B352" s="28" t="s">
        <v>184</v>
      </c>
      <c r="C352" s="49">
        <v>0</v>
      </c>
      <c r="D352" s="103"/>
      <c r="E352" s="190">
        <v>0</v>
      </c>
      <c r="F352" s="185"/>
      <c r="G352" s="24">
        <v>0</v>
      </c>
      <c r="H352" s="153">
        <f t="shared" si="20"/>
        <v>0</v>
      </c>
      <c r="I352" s="138">
        <v>0</v>
      </c>
      <c r="J352" s="154"/>
    </row>
    <row r="353" spans="1:10">
      <c r="A353" s="5"/>
      <c r="B353" s="28" t="s">
        <v>745</v>
      </c>
      <c r="C353" s="49" t="s">
        <v>715</v>
      </c>
      <c r="D353" s="108" t="s">
        <v>83</v>
      </c>
      <c r="E353" s="190">
        <v>570</v>
      </c>
      <c r="F353" s="185"/>
      <c r="G353" s="24">
        <v>399</v>
      </c>
      <c r="H353" s="153" t="str">
        <f t="shared" si="20"/>
        <v/>
      </c>
      <c r="I353" s="138">
        <v>0</v>
      </c>
      <c r="J353" s="154"/>
    </row>
    <row r="354" spans="1:10">
      <c r="A354" s="5"/>
      <c r="B354" s="28" t="s">
        <v>232</v>
      </c>
      <c r="C354" s="49">
        <v>491</v>
      </c>
      <c r="D354" s="108" t="s">
        <v>83</v>
      </c>
      <c r="E354" s="190">
        <v>403.75</v>
      </c>
      <c r="F354" s="185">
        <f>E354*C354</f>
        <v>198241.25</v>
      </c>
      <c r="G354" s="24">
        <v>338</v>
      </c>
      <c r="H354" s="153">
        <f t="shared" si="20"/>
        <v>165958</v>
      </c>
      <c r="I354" s="138">
        <v>279.46249999999998</v>
      </c>
      <c r="J354" s="154">
        <f>$I354*$C354</f>
        <v>137216.08749999999</v>
      </c>
    </row>
    <row r="355" spans="1:10">
      <c r="A355" s="67"/>
      <c r="B355" s="35" t="s">
        <v>201</v>
      </c>
      <c r="C355" s="67">
        <v>0</v>
      </c>
      <c r="D355" s="102"/>
      <c r="E355" s="197">
        <v>0</v>
      </c>
      <c r="F355" s="188">
        <f>SUM(F346:F354)</f>
        <v>830167</v>
      </c>
      <c r="G355" s="146">
        <v>0</v>
      </c>
      <c r="H355" s="188">
        <f>SUM(H346:H354)</f>
        <v>568914</v>
      </c>
      <c r="I355" s="146">
        <v>0</v>
      </c>
      <c r="J355" s="154">
        <f>SUM(J346:J354)</f>
        <v>990008.25000000012</v>
      </c>
    </row>
    <row r="356" spans="1:10">
      <c r="A356" s="67"/>
      <c r="B356" s="36" t="s">
        <v>202</v>
      </c>
      <c r="C356" s="67">
        <v>0</v>
      </c>
      <c r="D356" s="102"/>
      <c r="E356" s="197">
        <v>0</v>
      </c>
      <c r="F356" s="178"/>
      <c r="G356" s="146">
        <v>0</v>
      </c>
      <c r="H356" s="178"/>
      <c r="I356" s="146">
        <v>0</v>
      </c>
      <c r="J356" s="154"/>
    </row>
    <row r="357" spans="1:10" ht="148">
      <c r="A357" s="5" t="s">
        <v>203</v>
      </c>
      <c r="B357" s="38" t="s">
        <v>720</v>
      </c>
      <c r="C357" s="49">
        <v>15117</v>
      </c>
      <c r="D357" s="104" t="s">
        <v>81</v>
      </c>
      <c r="E357" s="190">
        <v>47.5</v>
      </c>
      <c r="F357" s="185">
        <f t="shared" ref="F357:F362" si="21">E357*C357</f>
        <v>718057.5</v>
      </c>
      <c r="G357" s="24">
        <v>50</v>
      </c>
      <c r="H357" s="153">
        <f t="shared" si="20"/>
        <v>755850</v>
      </c>
      <c r="I357" s="138">
        <v>57.274999999999999</v>
      </c>
      <c r="J357" s="154">
        <f>$I357*$C357</f>
        <v>865826.17499999993</v>
      </c>
    </row>
    <row r="358" spans="1:10">
      <c r="A358" s="5"/>
      <c r="B358" s="42" t="s">
        <v>204</v>
      </c>
      <c r="C358" s="49">
        <v>0</v>
      </c>
      <c r="D358" s="105"/>
      <c r="E358" s="190">
        <v>0</v>
      </c>
      <c r="F358" s="185">
        <f t="shared" si="21"/>
        <v>0</v>
      </c>
      <c r="G358" s="24">
        <v>0</v>
      </c>
      <c r="H358" s="153">
        <f t="shared" si="20"/>
        <v>0</v>
      </c>
      <c r="I358" s="138">
        <v>0</v>
      </c>
      <c r="J358" s="154">
        <f>I358*G357</f>
        <v>0</v>
      </c>
    </row>
    <row r="359" spans="1:10">
      <c r="A359" s="5"/>
      <c r="B359" s="41" t="s">
        <v>205</v>
      </c>
      <c r="C359" s="49">
        <v>0</v>
      </c>
      <c r="D359" s="116"/>
      <c r="E359" s="190">
        <v>0</v>
      </c>
      <c r="F359" s="185">
        <f t="shared" si="21"/>
        <v>0</v>
      </c>
      <c r="G359" s="24">
        <v>0</v>
      </c>
      <c r="H359" s="153">
        <f t="shared" si="20"/>
        <v>0</v>
      </c>
      <c r="I359" s="138">
        <v>0</v>
      </c>
      <c r="J359" s="154">
        <f>I359*G358</f>
        <v>0</v>
      </c>
    </row>
    <row r="360" spans="1:10">
      <c r="A360" s="5"/>
      <c r="B360" s="41" t="s">
        <v>206</v>
      </c>
      <c r="C360" s="49">
        <v>0</v>
      </c>
      <c r="D360" s="104"/>
      <c r="E360" s="190">
        <v>0</v>
      </c>
      <c r="F360" s="185">
        <f t="shared" si="21"/>
        <v>0</v>
      </c>
      <c r="G360" s="24">
        <v>0</v>
      </c>
      <c r="H360" s="153">
        <f t="shared" si="20"/>
        <v>0</v>
      </c>
      <c r="I360" s="138">
        <v>0</v>
      </c>
      <c r="J360" s="154">
        <f>I360*G359</f>
        <v>0</v>
      </c>
    </row>
    <row r="361" spans="1:10">
      <c r="A361" s="5"/>
      <c r="B361" s="41" t="s">
        <v>207</v>
      </c>
      <c r="C361" s="49">
        <v>0</v>
      </c>
      <c r="D361" s="104"/>
      <c r="E361" s="190">
        <v>0</v>
      </c>
      <c r="F361" s="185">
        <f t="shared" si="21"/>
        <v>0</v>
      </c>
      <c r="G361" s="24">
        <v>0</v>
      </c>
      <c r="H361" s="153">
        <f t="shared" si="20"/>
        <v>0</v>
      </c>
      <c r="I361" s="138">
        <v>0</v>
      </c>
      <c r="J361" s="154">
        <f>I361*G360</f>
        <v>0</v>
      </c>
    </row>
    <row r="362" spans="1:10" ht="92.5">
      <c r="A362" s="5" t="s">
        <v>208</v>
      </c>
      <c r="B362" s="28" t="s">
        <v>282</v>
      </c>
      <c r="C362" s="49">
        <v>839</v>
      </c>
      <c r="D362" s="104" t="s">
        <v>81</v>
      </c>
      <c r="E362" s="190">
        <v>997.5</v>
      </c>
      <c r="F362" s="185">
        <f t="shared" si="21"/>
        <v>836902.5</v>
      </c>
      <c r="G362" s="24">
        <v>904</v>
      </c>
      <c r="H362" s="153">
        <f t="shared" si="20"/>
        <v>758456</v>
      </c>
      <c r="I362" s="138">
        <v>920.35</v>
      </c>
      <c r="J362" s="154">
        <f>$I362*$C362</f>
        <v>772173.65</v>
      </c>
    </row>
    <row r="363" spans="1:10">
      <c r="A363" s="5"/>
      <c r="B363" s="129" t="s">
        <v>733</v>
      </c>
      <c r="C363" s="49"/>
      <c r="D363" s="104"/>
      <c r="E363" s="191">
        <v>0</v>
      </c>
      <c r="F363" s="185"/>
      <c r="G363" s="24">
        <v>0</v>
      </c>
      <c r="H363" s="153">
        <f t="shared" si="20"/>
        <v>0</v>
      </c>
      <c r="I363" s="139">
        <v>0</v>
      </c>
      <c r="J363" s="154"/>
    </row>
    <row r="364" spans="1:10" ht="37">
      <c r="A364" s="5" t="s">
        <v>215</v>
      </c>
      <c r="B364" s="23" t="s">
        <v>77</v>
      </c>
      <c r="C364" s="49">
        <v>0</v>
      </c>
      <c r="D364" s="105"/>
      <c r="E364" s="190">
        <v>0</v>
      </c>
      <c r="F364" s="185">
        <f>E364*C364</f>
        <v>0</v>
      </c>
      <c r="G364" s="24">
        <v>0</v>
      </c>
      <c r="H364" s="153">
        <f t="shared" si="20"/>
        <v>0</v>
      </c>
      <c r="I364" s="138">
        <v>0</v>
      </c>
      <c r="J364" s="154">
        <f>I364*G362</f>
        <v>0</v>
      </c>
    </row>
    <row r="365" spans="1:10">
      <c r="A365" s="5"/>
      <c r="B365" s="23" t="s">
        <v>236</v>
      </c>
      <c r="C365" s="49" t="s">
        <v>715</v>
      </c>
      <c r="D365" s="104" t="s">
        <v>81</v>
      </c>
      <c r="E365" s="190">
        <v>33.25</v>
      </c>
      <c r="F365" s="185"/>
      <c r="G365" s="24">
        <v>31</v>
      </c>
      <c r="H365" s="153" t="str">
        <f t="shared" si="20"/>
        <v/>
      </c>
      <c r="I365" s="138">
        <v>64.1875</v>
      </c>
      <c r="J365" s="154"/>
    </row>
    <row r="366" spans="1:10">
      <c r="A366" s="5"/>
      <c r="B366" s="23" t="s">
        <v>237</v>
      </c>
      <c r="C366" s="49">
        <v>500</v>
      </c>
      <c r="D366" s="104" t="s">
        <v>81</v>
      </c>
      <c r="E366" s="190">
        <v>42.75</v>
      </c>
      <c r="F366" s="185">
        <f>E366*C366</f>
        <v>21375</v>
      </c>
      <c r="G366" s="24">
        <v>43</v>
      </c>
      <c r="H366" s="153">
        <f t="shared" si="20"/>
        <v>21500</v>
      </c>
      <c r="I366" s="138">
        <v>90.85</v>
      </c>
      <c r="J366" s="154">
        <f>$I366*$C366</f>
        <v>45425</v>
      </c>
    </row>
    <row r="367" spans="1:10" ht="148">
      <c r="A367" s="5" t="s">
        <v>216</v>
      </c>
      <c r="B367" s="28" t="s">
        <v>268</v>
      </c>
      <c r="C367" s="49">
        <v>0</v>
      </c>
      <c r="D367" s="105"/>
      <c r="E367" s="190">
        <v>0</v>
      </c>
      <c r="F367" s="185">
        <f>E367*C367</f>
        <v>0</v>
      </c>
      <c r="G367" s="24">
        <v>0</v>
      </c>
      <c r="H367" s="153">
        <f t="shared" si="20"/>
        <v>0</v>
      </c>
      <c r="I367" s="138">
        <v>0</v>
      </c>
      <c r="J367" s="154">
        <f>I367*G366</f>
        <v>0</v>
      </c>
    </row>
    <row r="368" spans="1:10">
      <c r="A368" s="5"/>
      <c r="B368" s="129" t="s">
        <v>733</v>
      </c>
      <c r="C368" s="49"/>
      <c r="D368" s="105"/>
      <c r="E368" s="191">
        <v>0</v>
      </c>
      <c r="F368" s="185"/>
      <c r="G368" s="24">
        <v>0</v>
      </c>
      <c r="H368" s="153">
        <f t="shared" si="20"/>
        <v>0</v>
      </c>
      <c r="I368" s="139">
        <v>0</v>
      </c>
      <c r="J368" s="154"/>
    </row>
    <row r="369" spans="1:10">
      <c r="A369" s="5" t="s">
        <v>301</v>
      </c>
      <c r="B369" s="23" t="s">
        <v>547</v>
      </c>
      <c r="C369" s="49" t="s">
        <v>715</v>
      </c>
      <c r="D369" s="110" t="s">
        <v>83</v>
      </c>
      <c r="E369" s="190">
        <v>926.25</v>
      </c>
      <c r="F369" s="185"/>
      <c r="G369" s="24">
        <v>816</v>
      </c>
      <c r="H369" s="153" t="str">
        <f t="shared" si="20"/>
        <v/>
      </c>
      <c r="I369" s="138">
        <v>888.75</v>
      </c>
      <c r="J369" s="154"/>
    </row>
    <row r="370" spans="1:10">
      <c r="A370" s="5"/>
      <c r="B370" s="23" t="s">
        <v>546</v>
      </c>
      <c r="C370" s="49" t="s">
        <v>715</v>
      </c>
      <c r="D370" s="110" t="s">
        <v>83</v>
      </c>
      <c r="E370" s="190">
        <v>1377.5</v>
      </c>
      <c r="F370" s="185"/>
      <c r="G370" s="24">
        <v>930</v>
      </c>
      <c r="H370" s="153" t="str">
        <f t="shared" si="20"/>
        <v/>
      </c>
      <c r="I370" s="138">
        <v>987.5</v>
      </c>
      <c r="J370" s="154"/>
    </row>
    <row r="371" spans="1:10">
      <c r="A371" s="5"/>
      <c r="B371" s="23" t="s">
        <v>545</v>
      </c>
      <c r="C371" s="49">
        <v>220</v>
      </c>
      <c r="D371" s="110" t="s">
        <v>83</v>
      </c>
      <c r="E371" s="190">
        <v>1553.25</v>
      </c>
      <c r="F371" s="185">
        <f>E371*C371</f>
        <v>341715</v>
      </c>
      <c r="G371" s="24">
        <v>1034</v>
      </c>
      <c r="H371" s="153">
        <f t="shared" si="20"/>
        <v>227480</v>
      </c>
      <c r="I371" s="138">
        <v>1039.8375000000001</v>
      </c>
      <c r="J371" s="154">
        <f>$I371*$C371</f>
        <v>228764.25000000003</v>
      </c>
    </row>
    <row r="372" spans="1:10">
      <c r="A372" s="5"/>
      <c r="B372" s="23" t="s">
        <v>548</v>
      </c>
      <c r="C372" s="49">
        <v>110</v>
      </c>
      <c r="D372" s="110" t="s">
        <v>83</v>
      </c>
      <c r="E372" s="190">
        <v>2280</v>
      </c>
      <c r="F372" s="185">
        <f>E372*C372</f>
        <v>250800</v>
      </c>
      <c r="G372" s="24">
        <v>1148</v>
      </c>
      <c r="H372" s="153">
        <f t="shared" si="20"/>
        <v>126280</v>
      </c>
      <c r="I372" s="138">
        <v>1463.4749999999999</v>
      </c>
      <c r="J372" s="154">
        <f>$I372*$C372</f>
        <v>160982.25</v>
      </c>
    </row>
    <row r="373" spans="1:10">
      <c r="A373" s="5"/>
      <c r="B373" s="23" t="s">
        <v>549</v>
      </c>
      <c r="C373" s="49" t="s">
        <v>715</v>
      </c>
      <c r="D373" s="110" t="s">
        <v>83</v>
      </c>
      <c r="E373" s="190">
        <v>2897.5</v>
      </c>
      <c r="F373" s="185"/>
      <c r="G373" s="24">
        <v>1850</v>
      </c>
      <c r="H373" s="153" t="str">
        <f t="shared" si="20"/>
        <v/>
      </c>
      <c r="I373" s="138">
        <v>1678.75</v>
      </c>
      <c r="J373" s="154"/>
    </row>
    <row r="374" spans="1:10">
      <c r="A374" s="5"/>
      <c r="B374" s="23" t="s">
        <v>550</v>
      </c>
      <c r="C374" s="49" t="s">
        <v>715</v>
      </c>
      <c r="D374" s="110" t="s">
        <v>83</v>
      </c>
      <c r="E374" s="190">
        <v>5700</v>
      </c>
      <c r="F374" s="185"/>
      <c r="G374" s="24">
        <v>3195</v>
      </c>
      <c r="H374" s="153" t="str">
        <f t="shared" si="20"/>
        <v/>
      </c>
      <c r="I374" s="138">
        <v>2518.125</v>
      </c>
      <c r="J374" s="154"/>
    </row>
    <row r="375" spans="1:10">
      <c r="A375" s="5"/>
      <c r="B375" s="21" t="s">
        <v>438</v>
      </c>
      <c r="C375" s="49">
        <v>0</v>
      </c>
      <c r="D375" s="110"/>
      <c r="E375" s="190">
        <v>0</v>
      </c>
      <c r="F375" s="185">
        <f>E375*C375</f>
        <v>0</v>
      </c>
      <c r="G375" s="24">
        <v>0</v>
      </c>
      <c r="H375" s="153">
        <f t="shared" si="20"/>
        <v>0</v>
      </c>
      <c r="I375" s="138">
        <v>0</v>
      </c>
      <c r="J375" s="154">
        <f>I375*G374</f>
        <v>0</v>
      </c>
    </row>
    <row r="376" spans="1:10">
      <c r="A376" s="5" t="s">
        <v>303</v>
      </c>
      <c r="B376" s="23" t="s">
        <v>551</v>
      </c>
      <c r="C376" s="49">
        <v>60</v>
      </c>
      <c r="D376" s="110" t="s">
        <v>83</v>
      </c>
      <c r="E376" s="190">
        <v>2802.5</v>
      </c>
      <c r="F376" s="185">
        <f>E376*C376</f>
        <v>168150</v>
      </c>
      <c r="G376" s="24">
        <v>1330</v>
      </c>
      <c r="H376" s="153">
        <f t="shared" si="20"/>
        <v>79800</v>
      </c>
      <c r="I376" s="138">
        <v>1912.7874999999999</v>
      </c>
      <c r="J376" s="154">
        <f>$I376*$C376</f>
        <v>114767.25</v>
      </c>
    </row>
    <row r="377" spans="1:10">
      <c r="A377" s="5"/>
      <c r="B377" s="23" t="s">
        <v>552</v>
      </c>
      <c r="C377" s="49" t="s">
        <v>715</v>
      </c>
      <c r="D377" s="110" t="s">
        <v>83</v>
      </c>
      <c r="E377" s="190">
        <v>3372.5</v>
      </c>
      <c r="F377" s="185"/>
      <c r="G377" s="24">
        <v>2148</v>
      </c>
      <c r="H377" s="153" t="str">
        <f t="shared" si="20"/>
        <v/>
      </c>
      <c r="I377" s="138">
        <v>2221.875</v>
      </c>
      <c r="J377" s="154"/>
    </row>
    <row r="378" spans="1:10">
      <c r="A378" s="5"/>
      <c r="B378" s="23" t="s">
        <v>553</v>
      </c>
      <c r="C378" s="49" t="s">
        <v>715</v>
      </c>
      <c r="D378" s="110" t="s">
        <v>83</v>
      </c>
      <c r="E378" s="190">
        <v>6412.5</v>
      </c>
      <c r="F378" s="185"/>
      <c r="G378" s="24">
        <v>3689</v>
      </c>
      <c r="H378" s="153" t="str">
        <f t="shared" si="20"/>
        <v/>
      </c>
      <c r="I378" s="138">
        <v>2518.125</v>
      </c>
      <c r="J378" s="154"/>
    </row>
    <row r="379" spans="1:10" ht="92.5">
      <c r="A379" s="5" t="s">
        <v>42</v>
      </c>
      <c r="B379" s="23" t="s">
        <v>217</v>
      </c>
      <c r="C379" s="49">
        <v>0</v>
      </c>
      <c r="D379" s="105"/>
      <c r="E379" s="190">
        <v>0</v>
      </c>
      <c r="F379" s="185">
        <f>E379*C379</f>
        <v>0</v>
      </c>
      <c r="G379" s="24">
        <v>0</v>
      </c>
      <c r="H379" s="153">
        <f t="shared" si="20"/>
        <v>0</v>
      </c>
      <c r="I379" s="138">
        <v>0</v>
      </c>
      <c r="J379" s="154">
        <f>I379*G378</f>
        <v>0</v>
      </c>
    </row>
    <row r="380" spans="1:10">
      <c r="A380" s="5"/>
      <c r="B380" s="23" t="s">
        <v>283</v>
      </c>
      <c r="C380" s="49">
        <v>120</v>
      </c>
      <c r="D380" s="110" t="s">
        <v>71</v>
      </c>
      <c r="E380" s="190">
        <v>712.5</v>
      </c>
      <c r="F380" s="185">
        <f>E380*C380</f>
        <v>85500</v>
      </c>
      <c r="G380" s="24">
        <v>218</v>
      </c>
      <c r="H380" s="153">
        <f t="shared" si="20"/>
        <v>26160</v>
      </c>
      <c r="I380" s="138">
        <v>390.0625</v>
      </c>
      <c r="J380" s="154">
        <f>$I380*$C380</f>
        <v>46807.5</v>
      </c>
    </row>
    <row r="381" spans="1:10">
      <c r="A381" s="5"/>
      <c r="B381" s="23" t="s">
        <v>284</v>
      </c>
      <c r="C381" s="49" t="s">
        <v>715</v>
      </c>
      <c r="D381" s="110" t="s">
        <v>71</v>
      </c>
      <c r="E381" s="190">
        <v>617.5</v>
      </c>
      <c r="F381" s="185"/>
      <c r="G381" s="24">
        <v>192</v>
      </c>
      <c r="H381" s="153" t="str">
        <f t="shared" si="20"/>
        <v/>
      </c>
      <c r="I381" s="138">
        <v>395</v>
      </c>
      <c r="J381" s="154"/>
    </row>
    <row r="382" spans="1:10" ht="55.5">
      <c r="A382" s="5" t="s">
        <v>317</v>
      </c>
      <c r="B382" s="38" t="s">
        <v>272</v>
      </c>
      <c r="C382" s="49">
        <v>0</v>
      </c>
      <c r="D382" s="105"/>
      <c r="E382" s="190">
        <v>0</v>
      </c>
      <c r="F382" s="185">
        <f>E382*C382</f>
        <v>0</v>
      </c>
      <c r="G382" s="24">
        <v>0</v>
      </c>
      <c r="H382" s="153">
        <f t="shared" si="20"/>
        <v>0</v>
      </c>
      <c r="I382" s="138">
        <v>0</v>
      </c>
      <c r="J382" s="154">
        <f>I382*G381</f>
        <v>0</v>
      </c>
    </row>
    <row r="383" spans="1:10" ht="37">
      <c r="A383" s="5"/>
      <c r="B383" s="23" t="s">
        <v>219</v>
      </c>
      <c r="C383" s="49" t="s">
        <v>715</v>
      </c>
      <c r="D383" s="110" t="s">
        <v>71</v>
      </c>
      <c r="E383" s="190">
        <v>261.25</v>
      </c>
      <c r="F383" s="185"/>
      <c r="G383" s="24">
        <v>268</v>
      </c>
      <c r="H383" s="153" t="str">
        <f t="shared" si="20"/>
        <v/>
      </c>
      <c r="I383" s="138">
        <v>493.75</v>
      </c>
      <c r="J383" s="154"/>
    </row>
    <row r="384" spans="1:10" ht="37">
      <c r="A384" s="5"/>
      <c r="B384" s="23" t="s">
        <v>220</v>
      </c>
      <c r="C384" s="49" t="s">
        <v>715</v>
      </c>
      <c r="D384" s="110" t="s">
        <v>71</v>
      </c>
      <c r="E384" s="190">
        <v>356.25</v>
      </c>
      <c r="F384" s="185"/>
      <c r="G384" s="24">
        <v>473</v>
      </c>
      <c r="H384" s="153" t="str">
        <f t="shared" si="20"/>
        <v/>
      </c>
      <c r="I384" s="138">
        <v>543.125</v>
      </c>
      <c r="J384" s="154"/>
    </row>
    <row r="385" spans="1:10">
      <c r="A385" s="5"/>
      <c r="B385" s="23" t="s">
        <v>0</v>
      </c>
      <c r="C385" s="49" t="s">
        <v>715</v>
      </c>
      <c r="D385" s="110" t="s">
        <v>71</v>
      </c>
      <c r="E385" s="190">
        <v>603.25</v>
      </c>
      <c r="F385" s="185"/>
      <c r="G385" s="24">
        <v>747</v>
      </c>
      <c r="H385" s="153" t="str">
        <f t="shared" si="20"/>
        <v/>
      </c>
      <c r="I385" s="138">
        <v>740.625</v>
      </c>
      <c r="J385" s="154"/>
    </row>
    <row r="386" spans="1:10" ht="148">
      <c r="A386" s="5" t="s">
        <v>318</v>
      </c>
      <c r="B386" s="23" t="s">
        <v>226</v>
      </c>
      <c r="C386" s="49">
        <v>1500</v>
      </c>
      <c r="D386" s="110" t="s">
        <v>192</v>
      </c>
      <c r="E386" s="190">
        <v>237.5</v>
      </c>
      <c r="F386" s="185">
        <f>E386*C386</f>
        <v>356250</v>
      </c>
      <c r="G386" s="24">
        <v>125</v>
      </c>
      <c r="H386" s="153">
        <f t="shared" si="20"/>
        <v>187500</v>
      </c>
      <c r="I386" s="138">
        <v>135.28749999999999</v>
      </c>
      <c r="J386" s="154">
        <f>$I386*$C386</f>
        <v>202931.25</v>
      </c>
    </row>
    <row r="387" spans="1:10" ht="92.5">
      <c r="A387" s="5" t="s">
        <v>319</v>
      </c>
      <c r="B387" s="23" t="s">
        <v>451</v>
      </c>
      <c r="C387" s="49">
        <v>100</v>
      </c>
      <c r="D387" s="110" t="s">
        <v>192</v>
      </c>
      <c r="E387" s="190">
        <v>118.75</v>
      </c>
      <c r="F387" s="185">
        <f>E387*C387</f>
        <v>11875</v>
      </c>
      <c r="G387" s="24">
        <v>125</v>
      </c>
      <c r="H387" s="153">
        <f t="shared" si="20"/>
        <v>12500</v>
      </c>
      <c r="I387" s="138">
        <v>126.4</v>
      </c>
      <c r="J387" s="154">
        <f>$I387*$C387</f>
        <v>12640</v>
      </c>
    </row>
    <row r="388" spans="1:10" ht="111">
      <c r="A388" s="5" t="s">
        <v>320</v>
      </c>
      <c r="B388" s="23" t="s">
        <v>604</v>
      </c>
      <c r="C388" s="49" t="s">
        <v>715</v>
      </c>
      <c r="D388" s="110" t="s">
        <v>169</v>
      </c>
      <c r="E388" s="190">
        <v>570</v>
      </c>
      <c r="F388" s="185"/>
      <c r="G388" s="24">
        <v>727</v>
      </c>
      <c r="H388" s="153" t="str">
        <f t="shared" si="20"/>
        <v/>
      </c>
      <c r="I388" s="138">
        <v>1185</v>
      </c>
      <c r="J388" s="154"/>
    </row>
    <row r="389" spans="1:10" ht="37">
      <c r="A389" s="5" t="s">
        <v>218</v>
      </c>
      <c r="B389" s="23" t="s">
        <v>46</v>
      </c>
      <c r="C389" s="49">
        <v>25</v>
      </c>
      <c r="D389" s="110" t="s">
        <v>108</v>
      </c>
      <c r="E389" s="190">
        <v>1733.75</v>
      </c>
      <c r="F389" s="185">
        <f>E389*C389</f>
        <v>43343.75</v>
      </c>
      <c r="G389" s="24">
        <v>1294</v>
      </c>
      <c r="H389" s="153">
        <f t="shared" si="20"/>
        <v>32350</v>
      </c>
      <c r="I389" s="138">
        <v>1334.1125</v>
      </c>
      <c r="J389" s="154">
        <f>$I389*$C389</f>
        <v>33352.8125</v>
      </c>
    </row>
    <row r="390" spans="1:10" ht="37">
      <c r="A390" s="5" t="s">
        <v>221</v>
      </c>
      <c r="B390" s="23" t="s">
        <v>47</v>
      </c>
      <c r="C390" s="49">
        <v>25</v>
      </c>
      <c r="D390" s="110" t="s">
        <v>108</v>
      </c>
      <c r="E390" s="190">
        <v>2256.25</v>
      </c>
      <c r="F390" s="185">
        <f>E390*C390</f>
        <v>56406.25</v>
      </c>
      <c r="G390" s="24">
        <v>2494</v>
      </c>
      <c r="H390" s="153">
        <f t="shared" si="20"/>
        <v>62350</v>
      </c>
      <c r="I390" s="138">
        <v>1600.7375</v>
      </c>
      <c r="J390" s="154">
        <f>$I390*$C390</f>
        <v>40018.4375</v>
      </c>
    </row>
    <row r="391" spans="1:10" ht="37">
      <c r="A391" s="5" t="s">
        <v>224</v>
      </c>
      <c r="B391" s="23" t="s">
        <v>273</v>
      </c>
      <c r="C391" s="49">
        <v>25</v>
      </c>
      <c r="D391" s="110" t="s">
        <v>108</v>
      </c>
      <c r="E391" s="190">
        <v>5700</v>
      </c>
      <c r="F391" s="185">
        <f>E391*C391</f>
        <v>142500</v>
      </c>
      <c r="G391" s="24">
        <v>4676</v>
      </c>
      <c r="H391" s="153">
        <f t="shared" si="20"/>
        <v>116900</v>
      </c>
      <c r="I391" s="138">
        <v>3068.1624999999999</v>
      </c>
      <c r="J391" s="154">
        <f>$I391*$C391</f>
        <v>76704.0625</v>
      </c>
    </row>
    <row r="392" spans="1:10" ht="37">
      <c r="A392" s="5" t="s">
        <v>225</v>
      </c>
      <c r="B392" s="28" t="s">
        <v>310</v>
      </c>
      <c r="C392" s="49">
        <v>0</v>
      </c>
      <c r="D392" s="103"/>
      <c r="E392" s="190">
        <v>0</v>
      </c>
      <c r="F392" s="185">
        <f>E392*C392</f>
        <v>0</v>
      </c>
      <c r="G392" s="24">
        <v>0</v>
      </c>
      <c r="H392" s="153">
        <f t="shared" si="20"/>
        <v>0</v>
      </c>
      <c r="I392" s="138">
        <v>0</v>
      </c>
      <c r="J392" s="154">
        <f>I392*G391</f>
        <v>0</v>
      </c>
    </row>
    <row r="393" spans="1:10">
      <c r="A393" s="5"/>
      <c r="B393" s="28" t="s">
        <v>48</v>
      </c>
      <c r="C393" s="49" t="s">
        <v>715</v>
      </c>
      <c r="D393" s="103" t="s">
        <v>164</v>
      </c>
      <c r="E393" s="190">
        <v>475</v>
      </c>
      <c r="F393" s="185"/>
      <c r="G393" s="24">
        <v>574</v>
      </c>
      <c r="H393" s="153" t="str">
        <f t="shared" si="20"/>
        <v/>
      </c>
      <c r="I393" s="138">
        <v>592.5</v>
      </c>
      <c r="J393" s="154"/>
    </row>
    <row r="394" spans="1:10">
      <c r="A394" s="5"/>
      <c r="B394" s="28" t="s">
        <v>49</v>
      </c>
      <c r="C394" s="49" t="s">
        <v>715</v>
      </c>
      <c r="D394" s="103" t="s">
        <v>164</v>
      </c>
      <c r="E394" s="190">
        <v>712.5</v>
      </c>
      <c r="F394" s="185"/>
      <c r="G394" s="24">
        <v>975</v>
      </c>
      <c r="H394" s="153" t="str">
        <f t="shared" si="20"/>
        <v/>
      </c>
      <c r="I394" s="138">
        <v>740.625</v>
      </c>
      <c r="J394" s="154"/>
    </row>
    <row r="395" spans="1:10" ht="37">
      <c r="A395" s="5" t="s">
        <v>227</v>
      </c>
      <c r="B395" s="28" t="s">
        <v>269</v>
      </c>
      <c r="C395" s="49">
        <v>0</v>
      </c>
      <c r="D395" s="103"/>
      <c r="E395" s="190">
        <v>0</v>
      </c>
      <c r="F395" s="185">
        <f>E395*C395</f>
        <v>0</v>
      </c>
      <c r="G395" s="24">
        <v>0</v>
      </c>
      <c r="H395" s="153">
        <f t="shared" si="20"/>
        <v>0</v>
      </c>
      <c r="I395" s="138">
        <v>0</v>
      </c>
      <c r="J395" s="154">
        <f>I395*G394</f>
        <v>0</v>
      </c>
    </row>
    <row r="396" spans="1:10">
      <c r="A396" s="5"/>
      <c r="B396" s="28" t="s">
        <v>48</v>
      </c>
      <c r="C396" s="49" t="s">
        <v>715</v>
      </c>
      <c r="D396" s="103" t="s">
        <v>164</v>
      </c>
      <c r="E396" s="190">
        <v>665</v>
      </c>
      <c r="F396" s="185"/>
      <c r="G396" s="24">
        <v>831</v>
      </c>
      <c r="H396" s="153" t="str">
        <f t="shared" ref="H396:H459" si="22">IFERROR(G396*C396,"")</f>
        <v/>
      </c>
      <c r="I396" s="138">
        <v>839.375</v>
      </c>
      <c r="J396" s="154"/>
    </row>
    <row r="397" spans="1:10">
      <c r="A397" s="5"/>
      <c r="B397" s="28" t="s">
        <v>49</v>
      </c>
      <c r="C397" s="49" t="s">
        <v>715</v>
      </c>
      <c r="D397" s="103" t="s">
        <v>164</v>
      </c>
      <c r="E397" s="190">
        <v>950</v>
      </c>
      <c r="F397" s="185"/>
      <c r="G397" s="24">
        <v>966</v>
      </c>
      <c r="H397" s="153" t="str">
        <f t="shared" si="22"/>
        <v/>
      </c>
      <c r="I397" s="138">
        <v>938.125</v>
      </c>
      <c r="J397" s="154"/>
    </row>
    <row r="398" spans="1:10" ht="74">
      <c r="A398" s="5" t="s">
        <v>228</v>
      </c>
      <c r="B398" s="23" t="s">
        <v>271</v>
      </c>
      <c r="C398" s="49">
        <v>0</v>
      </c>
      <c r="D398" s="110"/>
      <c r="E398" s="190">
        <v>0</v>
      </c>
      <c r="F398" s="185">
        <f>E398*C398</f>
        <v>0</v>
      </c>
      <c r="G398" s="24">
        <v>0</v>
      </c>
      <c r="H398" s="153">
        <f t="shared" si="22"/>
        <v>0</v>
      </c>
      <c r="I398" s="138">
        <v>0</v>
      </c>
      <c r="J398" s="154">
        <f>I398*G397</f>
        <v>0</v>
      </c>
    </row>
    <row r="399" spans="1:10">
      <c r="A399" s="5"/>
      <c r="B399" s="23" t="s">
        <v>84</v>
      </c>
      <c r="C399" s="49" t="s">
        <v>715</v>
      </c>
      <c r="D399" s="110" t="s">
        <v>164</v>
      </c>
      <c r="E399" s="190">
        <v>6863.75</v>
      </c>
      <c r="F399" s="185"/>
      <c r="G399" s="24">
        <v>5784</v>
      </c>
      <c r="H399" s="153" t="str">
        <f t="shared" si="22"/>
        <v/>
      </c>
      <c r="I399" s="138">
        <v>5431.25</v>
      </c>
      <c r="J399" s="154"/>
    </row>
    <row r="400" spans="1:10">
      <c r="A400" s="83"/>
      <c r="B400" s="23" t="s">
        <v>399</v>
      </c>
      <c r="C400" s="49">
        <v>8</v>
      </c>
      <c r="D400" s="110" t="s">
        <v>164</v>
      </c>
      <c r="E400" s="190">
        <v>9500</v>
      </c>
      <c r="F400" s="185">
        <f t="shared" ref="F400:F410" si="23">E400*C400</f>
        <v>76000</v>
      </c>
      <c r="G400" s="24">
        <v>9560</v>
      </c>
      <c r="H400" s="153">
        <f t="shared" si="22"/>
        <v>76480</v>
      </c>
      <c r="I400" s="138">
        <v>9029.7000000000007</v>
      </c>
      <c r="J400" s="154">
        <f>$I400*$C400</f>
        <v>72237.600000000006</v>
      </c>
    </row>
    <row r="401" spans="1:10" ht="37">
      <c r="A401" s="5" t="s">
        <v>452</v>
      </c>
      <c r="B401" s="23" t="s">
        <v>471</v>
      </c>
      <c r="C401" s="49">
        <v>4</v>
      </c>
      <c r="D401" s="110" t="s">
        <v>352</v>
      </c>
      <c r="E401" s="190">
        <v>2042.5</v>
      </c>
      <c r="F401" s="185">
        <f t="shared" si="23"/>
        <v>8170</v>
      </c>
      <c r="G401" s="24">
        <v>1673</v>
      </c>
      <c r="H401" s="153">
        <f t="shared" si="22"/>
        <v>6692</v>
      </c>
      <c r="I401" s="138">
        <v>2977.3125</v>
      </c>
      <c r="J401" s="154">
        <f>$I401*$C401</f>
        <v>11909.25</v>
      </c>
    </row>
    <row r="402" spans="1:10" ht="37">
      <c r="A402" s="5" t="s">
        <v>670</v>
      </c>
      <c r="B402" s="23" t="s">
        <v>626</v>
      </c>
      <c r="C402" s="49">
        <v>10</v>
      </c>
      <c r="D402" s="110" t="s">
        <v>352</v>
      </c>
      <c r="E402" s="190">
        <v>950</v>
      </c>
      <c r="F402" s="185">
        <f t="shared" si="23"/>
        <v>9500</v>
      </c>
      <c r="G402" s="24">
        <v>597</v>
      </c>
      <c r="H402" s="153">
        <f t="shared" si="22"/>
        <v>5970</v>
      </c>
      <c r="I402" s="138">
        <v>3377.25</v>
      </c>
      <c r="J402" s="154">
        <f>$I402*$C402</f>
        <v>33772.5</v>
      </c>
    </row>
    <row r="403" spans="1:10" ht="55.5">
      <c r="A403" s="5" t="s">
        <v>472</v>
      </c>
      <c r="B403" s="23" t="s">
        <v>473</v>
      </c>
      <c r="C403" s="49">
        <v>0</v>
      </c>
      <c r="D403" s="110"/>
      <c r="E403" s="190">
        <v>0</v>
      </c>
      <c r="F403" s="185">
        <f t="shared" si="23"/>
        <v>0</v>
      </c>
      <c r="G403" s="24">
        <v>0</v>
      </c>
      <c r="H403" s="153">
        <f t="shared" si="22"/>
        <v>0</v>
      </c>
      <c r="I403" s="138">
        <v>0</v>
      </c>
      <c r="J403" s="154">
        <f>I403*G402</f>
        <v>0</v>
      </c>
    </row>
    <row r="404" spans="1:10">
      <c r="A404" s="5"/>
      <c r="B404" s="23" t="s">
        <v>474</v>
      </c>
      <c r="C404" s="49">
        <v>15</v>
      </c>
      <c r="D404" s="110" t="s">
        <v>164</v>
      </c>
      <c r="E404" s="190">
        <v>137.75</v>
      </c>
      <c r="F404" s="185">
        <f t="shared" si="23"/>
        <v>2066.25</v>
      </c>
      <c r="G404" s="24">
        <v>156</v>
      </c>
      <c r="H404" s="153">
        <f t="shared" si="22"/>
        <v>2340</v>
      </c>
      <c r="I404" s="138">
        <v>82.95</v>
      </c>
      <c r="J404" s="154">
        <f t="shared" ref="J404:J409" si="24">$I404*$C404</f>
        <v>1244.25</v>
      </c>
    </row>
    <row r="405" spans="1:10">
      <c r="A405" s="5"/>
      <c r="B405" s="23" t="s">
        <v>475</v>
      </c>
      <c r="C405" s="49">
        <v>25</v>
      </c>
      <c r="D405" s="110" t="s">
        <v>164</v>
      </c>
      <c r="E405" s="190">
        <v>152</v>
      </c>
      <c r="F405" s="185">
        <f t="shared" si="23"/>
        <v>3800</v>
      </c>
      <c r="G405" s="24">
        <v>177</v>
      </c>
      <c r="H405" s="153">
        <f t="shared" si="22"/>
        <v>4425</v>
      </c>
      <c r="I405" s="138">
        <v>122.45</v>
      </c>
      <c r="J405" s="154">
        <f t="shared" si="24"/>
        <v>3061.25</v>
      </c>
    </row>
    <row r="406" spans="1:10">
      <c r="A406" s="5"/>
      <c r="B406" s="23" t="s">
        <v>476</v>
      </c>
      <c r="C406" s="49">
        <v>25</v>
      </c>
      <c r="D406" s="110" t="s">
        <v>164</v>
      </c>
      <c r="E406" s="190">
        <v>180.5</v>
      </c>
      <c r="F406" s="185">
        <f t="shared" si="23"/>
        <v>4512.5</v>
      </c>
      <c r="G406" s="24">
        <v>202</v>
      </c>
      <c r="H406" s="153">
        <f t="shared" si="22"/>
        <v>5050</v>
      </c>
      <c r="I406" s="138">
        <v>129.36250000000001</v>
      </c>
      <c r="J406" s="154">
        <f t="shared" si="24"/>
        <v>3234.0625000000005</v>
      </c>
    </row>
    <row r="407" spans="1:10">
      <c r="A407" s="5"/>
      <c r="B407" s="23" t="s">
        <v>477</v>
      </c>
      <c r="C407" s="49">
        <v>25</v>
      </c>
      <c r="D407" s="110" t="s">
        <v>164</v>
      </c>
      <c r="E407" s="190">
        <v>327.75</v>
      </c>
      <c r="F407" s="185">
        <f t="shared" si="23"/>
        <v>8193.75</v>
      </c>
      <c r="G407" s="24">
        <v>384</v>
      </c>
      <c r="H407" s="153">
        <f t="shared" si="22"/>
        <v>9600</v>
      </c>
      <c r="I407" s="138">
        <v>219.22499999999999</v>
      </c>
      <c r="J407" s="154">
        <f t="shared" si="24"/>
        <v>5480.625</v>
      </c>
    </row>
    <row r="408" spans="1:10">
      <c r="A408" s="5"/>
      <c r="B408" s="23" t="s">
        <v>478</v>
      </c>
      <c r="C408" s="49">
        <v>15</v>
      </c>
      <c r="D408" s="110" t="s">
        <v>164</v>
      </c>
      <c r="E408" s="190">
        <v>593.75</v>
      </c>
      <c r="F408" s="185">
        <f t="shared" si="23"/>
        <v>8906.25</v>
      </c>
      <c r="G408" s="24">
        <v>675</v>
      </c>
      <c r="H408" s="153">
        <f t="shared" si="22"/>
        <v>10125</v>
      </c>
      <c r="I408" s="138">
        <v>241.9375</v>
      </c>
      <c r="J408" s="154">
        <f t="shared" si="24"/>
        <v>3629.0625</v>
      </c>
    </row>
    <row r="409" spans="1:10">
      <c r="A409" s="5"/>
      <c r="B409" s="23" t="s">
        <v>479</v>
      </c>
      <c r="C409" s="49">
        <v>10</v>
      </c>
      <c r="D409" s="110" t="s">
        <v>164</v>
      </c>
      <c r="E409" s="190">
        <v>1078.25</v>
      </c>
      <c r="F409" s="185">
        <f t="shared" si="23"/>
        <v>10782.5</v>
      </c>
      <c r="G409" s="24">
        <v>1153</v>
      </c>
      <c r="H409" s="153">
        <f t="shared" si="22"/>
        <v>11530</v>
      </c>
      <c r="I409" s="138">
        <v>382.16250000000002</v>
      </c>
      <c r="J409" s="154">
        <f t="shared" si="24"/>
        <v>3821.625</v>
      </c>
    </row>
    <row r="410" spans="1:10" ht="55.5">
      <c r="A410" s="5" t="s">
        <v>534</v>
      </c>
      <c r="B410" s="23" t="s">
        <v>605</v>
      </c>
      <c r="C410" s="49">
        <v>0</v>
      </c>
      <c r="D410" s="118"/>
      <c r="E410" s="190">
        <v>0</v>
      </c>
      <c r="F410" s="185">
        <f t="shared" si="23"/>
        <v>0</v>
      </c>
      <c r="G410" s="49">
        <v>0</v>
      </c>
      <c r="H410" s="153">
        <f t="shared" si="22"/>
        <v>0</v>
      </c>
      <c r="I410" s="142">
        <v>0</v>
      </c>
      <c r="J410" s="154"/>
    </row>
    <row r="411" spans="1:10">
      <c r="A411" s="5"/>
      <c r="B411" s="23" t="s">
        <v>513</v>
      </c>
      <c r="C411" s="49" t="s">
        <v>715</v>
      </c>
      <c r="D411" s="119" t="s">
        <v>514</v>
      </c>
      <c r="E411" s="190">
        <v>380</v>
      </c>
      <c r="F411" s="185"/>
      <c r="G411" s="49">
        <v>572</v>
      </c>
      <c r="H411" s="153" t="str">
        <f t="shared" si="22"/>
        <v/>
      </c>
      <c r="I411" s="142">
        <v>987.5</v>
      </c>
      <c r="J411" s="154"/>
    </row>
    <row r="412" spans="1:10">
      <c r="A412" s="5"/>
      <c r="B412" s="23" t="s">
        <v>515</v>
      </c>
      <c r="C412" s="49" t="s">
        <v>715</v>
      </c>
      <c r="D412" s="119" t="s">
        <v>514</v>
      </c>
      <c r="E412" s="190">
        <v>475</v>
      </c>
      <c r="F412" s="185"/>
      <c r="G412" s="49">
        <v>1455</v>
      </c>
      <c r="H412" s="153" t="str">
        <f t="shared" si="22"/>
        <v/>
      </c>
      <c r="I412" s="142">
        <v>1481.25</v>
      </c>
      <c r="J412" s="154"/>
    </row>
    <row r="413" spans="1:10">
      <c r="A413" s="5"/>
      <c r="B413" s="23" t="s">
        <v>516</v>
      </c>
      <c r="C413" s="49" t="s">
        <v>715</v>
      </c>
      <c r="D413" s="119" t="s">
        <v>514</v>
      </c>
      <c r="E413" s="190">
        <v>855</v>
      </c>
      <c r="F413" s="185"/>
      <c r="G413" s="49">
        <v>2494</v>
      </c>
      <c r="H413" s="153" t="str">
        <f t="shared" si="22"/>
        <v/>
      </c>
      <c r="I413" s="142">
        <v>1975</v>
      </c>
      <c r="J413" s="154"/>
    </row>
    <row r="414" spans="1:10">
      <c r="A414" s="5"/>
      <c r="B414" s="23" t="s">
        <v>517</v>
      </c>
      <c r="C414" s="49" t="s">
        <v>715</v>
      </c>
      <c r="D414" s="119" t="s">
        <v>82</v>
      </c>
      <c r="E414" s="190">
        <v>950</v>
      </c>
      <c r="F414" s="185"/>
      <c r="G414" s="49">
        <v>1870</v>
      </c>
      <c r="H414" s="153" t="str">
        <f t="shared" si="22"/>
        <v/>
      </c>
      <c r="I414" s="142">
        <v>2468.75</v>
      </c>
      <c r="J414" s="154"/>
    </row>
    <row r="415" spans="1:10" ht="55.5">
      <c r="A415" s="5" t="s">
        <v>625</v>
      </c>
      <c r="B415" s="23" t="s">
        <v>654</v>
      </c>
      <c r="C415" s="49">
        <v>0</v>
      </c>
      <c r="D415" s="119"/>
      <c r="E415" s="190">
        <v>0</v>
      </c>
      <c r="F415" s="185">
        <f>E415*C415</f>
        <v>0</v>
      </c>
      <c r="G415" s="49">
        <v>0</v>
      </c>
      <c r="H415" s="153">
        <f t="shared" si="22"/>
        <v>0</v>
      </c>
      <c r="I415" s="142">
        <v>0</v>
      </c>
      <c r="J415" s="154">
        <f>I415*G414</f>
        <v>0</v>
      </c>
    </row>
    <row r="416" spans="1:10" ht="37">
      <c r="A416" s="5"/>
      <c r="B416" s="23" t="s">
        <v>655</v>
      </c>
      <c r="C416" s="49">
        <v>0</v>
      </c>
      <c r="D416" s="119"/>
      <c r="E416" s="190">
        <v>0</v>
      </c>
      <c r="F416" s="185">
        <f>E416*C416</f>
        <v>0</v>
      </c>
      <c r="G416" s="49">
        <v>0</v>
      </c>
      <c r="H416" s="153">
        <f t="shared" si="22"/>
        <v>0</v>
      </c>
      <c r="I416" s="142">
        <v>0</v>
      </c>
      <c r="J416" s="154">
        <f>I416*G415</f>
        <v>0</v>
      </c>
    </row>
    <row r="417" spans="1:10" ht="37">
      <c r="A417" s="5" t="s">
        <v>301</v>
      </c>
      <c r="B417" s="23" t="s">
        <v>656</v>
      </c>
      <c r="C417" s="49" t="s">
        <v>715</v>
      </c>
      <c r="D417" s="119" t="s">
        <v>82</v>
      </c>
      <c r="E417" s="190">
        <v>712.5</v>
      </c>
      <c r="F417" s="185"/>
      <c r="G417" s="49">
        <v>831</v>
      </c>
      <c r="H417" s="153" t="str">
        <f t="shared" si="22"/>
        <v/>
      </c>
      <c r="I417" s="142">
        <v>1185</v>
      </c>
      <c r="J417" s="154"/>
    </row>
    <row r="418" spans="1:10">
      <c r="A418" s="5" t="s">
        <v>303</v>
      </c>
      <c r="B418" s="23" t="s">
        <v>657</v>
      </c>
      <c r="C418" s="49" t="s">
        <v>715</v>
      </c>
      <c r="D418" s="119" t="s">
        <v>662</v>
      </c>
      <c r="E418" s="190">
        <v>855</v>
      </c>
      <c r="F418" s="185"/>
      <c r="G418" s="49">
        <v>1039</v>
      </c>
      <c r="H418" s="153" t="str">
        <f t="shared" si="22"/>
        <v/>
      </c>
      <c r="I418" s="142">
        <v>1086.25</v>
      </c>
      <c r="J418" s="154"/>
    </row>
    <row r="419" spans="1:10">
      <c r="A419" s="5" t="s">
        <v>658</v>
      </c>
      <c r="B419" s="23" t="s">
        <v>659</v>
      </c>
      <c r="C419" s="49" t="s">
        <v>715</v>
      </c>
      <c r="D419" s="119" t="s">
        <v>662</v>
      </c>
      <c r="E419" s="190">
        <v>299.25</v>
      </c>
      <c r="F419" s="185"/>
      <c r="G419" s="49">
        <v>1247</v>
      </c>
      <c r="H419" s="153" t="str">
        <f t="shared" si="22"/>
        <v/>
      </c>
      <c r="I419" s="142">
        <v>493.75</v>
      </c>
      <c r="J419" s="154"/>
    </row>
    <row r="420" spans="1:10">
      <c r="A420" s="5" t="s">
        <v>660</v>
      </c>
      <c r="B420" s="23" t="s">
        <v>661</v>
      </c>
      <c r="C420" s="49" t="s">
        <v>715</v>
      </c>
      <c r="D420" s="119" t="s">
        <v>663</v>
      </c>
      <c r="E420" s="190">
        <v>3420</v>
      </c>
      <c r="F420" s="185"/>
      <c r="G420" s="49">
        <v>3117</v>
      </c>
      <c r="H420" s="153" t="str">
        <f t="shared" si="22"/>
        <v/>
      </c>
      <c r="I420" s="142">
        <v>2468.75</v>
      </c>
      <c r="J420" s="154"/>
    </row>
    <row r="421" spans="1:10">
      <c r="A421" s="5" t="s">
        <v>627</v>
      </c>
      <c r="B421" s="23" t="s">
        <v>664</v>
      </c>
      <c r="C421" s="49">
        <v>0</v>
      </c>
      <c r="D421" s="119"/>
      <c r="E421" s="190">
        <v>0</v>
      </c>
      <c r="F421" s="185"/>
      <c r="G421" s="49">
        <v>0</v>
      </c>
      <c r="H421" s="153">
        <f t="shared" si="22"/>
        <v>0</v>
      </c>
      <c r="I421" s="142">
        <v>0</v>
      </c>
      <c r="J421" s="154"/>
    </row>
    <row r="422" spans="1:10">
      <c r="A422" s="82" t="s">
        <v>301</v>
      </c>
      <c r="B422" s="23" t="s">
        <v>665</v>
      </c>
      <c r="C422" s="49" t="s">
        <v>715</v>
      </c>
      <c r="D422" s="119" t="s">
        <v>82</v>
      </c>
      <c r="E422" s="190">
        <v>546.25</v>
      </c>
      <c r="F422" s="185"/>
      <c r="G422" s="49">
        <v>623</v>
      </c>
      <c r="H422" s="153" t="str">
        <f t="shared" si="22"/>
        <v/>
      </c>
      <c r="I422" s="142">
        <v>740.625</v>
      </c>
      <c r="J422" s="154"/>
    </row>
    <row r="423" spans="1:10">
      <c r="A423" s="82" t="s">
        <v>303</v>
      </c>
      <c r="B423" s="23" t="s">
        <v>666</v>
      </c>
      <c r="C423" s="49" t="s">
        <v>715</v>
      </c>
      <c r="D423" s="119" t="s">
        <v>82</v>
      </c>
      <c r="E423" s="190">
        <v>736.25</v>
      </c>
      <c r="F423" s="185"/>
      <c r="G423" s="49">
        <v>1039</v>
      </c>
      <c r="H423" s="153" t="str">
        <f t="shared" si="22"/>
        <v/>
      </c>
      <c r="I423" s="142">
        <v>987.5</v>
      </c>
      <c r="J423" s="154"/>
    </row>
    <row r="424" spans="1:10" ht="55.5">
      <c r="A424" s="5" t="s">
        <v>671</v>
      </c>
      <c r="B424" s="23" t="s">
        <v>628</v>
      </c>
      <c r="C424" s="49">
        <v>13</v>
      </c>
      <c r="D424" s="119" t="s">
        <v>288</v>
      </c>
      <c r="E424" s="190">
        <v>1140</v>
      </c>
      <c r="F424" s="185">
        <f>E424*C424</f>
        <v>14820</v>
      </c>
      <c r="G424" s="49">
        <v>894</v>
      </c>
      <c r="H424" s="153">
        <f t="shared" si="22"/>
        <v>11622</v>
      </c>
      <c r="I424" s="142">
        <v>1384.4749999999999</v>
      </c>
      <c r="J424" s="154">
        <f>$I424*$C424</f>
        <v>17998.174999999999</v>
      </c>
    </row>
    <row r="425" spans="1:10">
      <c r="A425" s="67"/>
      <c r="B425" s="35" t="s">
        <v>229</v>
      </c>
      <c r="C425" s="35">
        <v>0</v>
      </c>
      <c r="D425" s="106"/>
      <c r="E425" s="192">
        <v>0</v>
      </c>
      <c r="F425" s="183">
        <f>SUM(F357:F424)</f>
        <v>3179626.25</v>
      </c>
      <c r="G425" s="140">
        <v>0</v>
      </c>
      <c r="H425" s="183">
        <f>SUM(H357:H424)</f>
        <v>2550960</v>
      </c>
      <c r="I425" s="140">
        <v>0</v>
      </c>
      <c r="J425" s="183">
        <f>SUM(J357:J424)</f>
        <v>2756781.0375000001</v>
      </c>
    </row>
    <row r="426" spans="1:10">
      <c r="A426" s="84"/>
      <c r="B426" s="36" t="s">
        <v>453</v>
      </c>
      <c r="C426" s="35">
        <v>0</v>
      </c>
      <c r="D426" s="106"/>
      <c r="E426" s="192">
        <v>0</v>
      </c>
      <c r="F426" s="183"/>
      <c r="G426" s="140">
        <v>0</v>
      </c>
      <c r="H426" s="183"/>
      <c r="I426" s="140">
        <v>0</v>
      </c>
      <c r="J426" s="183"/>
    </row>
    <row r="427" spans="1:10" ht="111">
      <c r="A427" s="85" t="s">
        <v>332</v>
      </c>
      <c r="B427" s="23" t="s">
        <v>503</v>
      </c>
      <c r="C427" s="49" t="s">
        <v>715</v>
      </c>
      <c r="D427" s="108" t="s">
        <v>334</v>
      </c>
      <c r="E427" s="191">
        <v>142.5</v>
      </c>
      <c r="F427" s="185"/>
      <c r="G427" s="32">
        <v>171</v>
      </c>
      <c r="H427" s="153" t="str">
        <f t="shared" si="22"/>
        <v/>
      </c>
      <c r="I427" s="139">
        <v>246.875</v>
      </c>
      <c r="J427" s="154"/>
    </row>
    <row r="428" spans="1:10" ht="74">
      <c r="A428" s="85" t="s">
        <v>333</v>
      </c>
      <c r="B428" s="23" t="s">
        <v>336</v>
      </c>
      <c r="C428" s="49">
        <v>1700</v>
      </c>
      <c r="D428" s="108" t="s">
        <v>334</v>
      </c>
      <c r="E428" s="191">
        <v>413.25</v>
      </c>
      <c r="F428" s="185">
        <f>E428*C428</f>
        <v>702525</v>
      </c>
      <c r="G428" s="32">
        <v>470</v>
      </c>
      <c r="H428" s="153">
        <f t="shared" si="22"/>
        <v>799000</v>
      </c>
      <c r="I428" s="139">
        <v>402.9</v>
      </c>
      <c r="J428" s="154">
        <f>$I428*$C428</f>
        <v>684930</v>
      </c>
    </row>
    <row r="429" spans="1:10" ht="74">
      <c r="A429" s="85" t="s">
        <v>335</v>
      </c>
      <c r="B429" s="23" t="s">
        <v>338</v>
      </c>
      <c r="C429" s="49">
        <v>1675</v>
      </c>
      <c r="D429" s="108" t="s">
        <v>334</v>
      </c>
      <c r="E429" s="191">
        <v>1268.25</v>
      </c>
      <c r="F429" s="185">
        <f>E429*C429</f>
        <v>2124318.75</v>
      </c>
      <c r="G429" s="32">
        <v>926</v>
      </c>
      <c r="H429" s="153">
        <f t="shared" si="22"/>
        <v>1551050</v>
      </c>
      <c r="I429" s="139">
        <v>1463.4749999999999</v>
      </c>
      <c r="J429" s="154">
        <f>$I429*$C429</f>
        <v>2451320.625</v>
      </c>
    </row>
    <row r="430" spans="1:10" ht="74">
      <c r="A430" s="85" t="s">
        <v>337</v>
      </c>
      <c r="B430" s="23" t="s">
        <v>308</v>
      </c>
      <c r="C430" s="49">
        <v>0</v>
      </c>
      <c r="D430" s="108"/>
      <c r="E430" s="191">
        <v>0</v>
      </c>
      <c r="F430" s="185">
        <f>E430*C430</f>
        <v>0</v>
      </c>
      <c r="G430" s="32">
        <v>0</v>
      </c>
      <c r="H430" s="153">
        <f t="shared" si="22"/>
        <v>0</v>
      </c>
      <c r="I430" s="139">
        <v>0</v>
      </c>
      <c r="J430" s="154">
        <f>I430*G429</f>
        <v>0</v>
      </c>
    </row>
    <row r="431" spans="1:10">
      <c r="A431" s="32" t="s">
        <v>339</v>
      </c>
      <c r="B431" s="23" t="s">
        <v>222</v>
      </c>
      <c r="C431" s="49" t="s">
        <v>715</v>
      </c>
      <c r="D431" s="104" t="s">
        <v>169</v>
      </c>
      <c r="E431" s="191">
        <v>498.75</v>
      </c>
      <c r="F431" s="185"/>
      <c r="G431" s="32">
        <v>551</v>
      </c>
      <c r="H431" s="153" t="str">
        <f t="shared" si="22"/>
        <v/>
      </c>
      <c r="I431" s="139">
        <v>592.5</v>
      </c>
      <c r="J431" s="154"/>
    </row>
    <row r="432" spans="1:10" ht="37">
      <c r="A432" s="85" t="s">
        <v>294</v>
      </c>
      <c r="B432" s="23" t="s">
        <v>274</v>
      </c>
      <c r="C432" s="49">
        <v>8360</v>
      </c>
      <c r="D432" s="104" t="s">
        <v>169</v>
      </c>
      <c r="E432" s="191">
        <v>266</v>
      </c>
      <c r="F432" s="185">
        <f>E432*C432</f>
        <v>2223760</v>
      </c>
      <c r="G432" s="32">
        <v>269</v>
      </c>
      <c r="H432" s="153">
        <f t="shared" si="22"/>
        <v>2248840</v>
      </c>
      <c r="I432" s="139">
        <v>339.7</v>
      </c>
      <c r="J432" s="154">
        <f>$I432*$C432</f>
        <v>2839892</v>
      </c>
    </row>
    <row r="433" spans="1:10" ht="37">
      <c r="A433" s="32" t="s">
        <v>340</v>
      </c>
      <c r="B433" s="23" t="s">
        <v>275</v>
      </c>
      <c r="C433" s="49">
        <v>8360</v>
      </c>
      <c r="D433" s="104" t="s">
        <v>169</v>
      </c>
      <c r="E433" s="191">
        <v>147.25</v>
      </c>
      <c r="F433" s="185">
        <f>E433*C433</f>
        <v>1231010</v>
      </c>
      <c r="G433" s="32">
        <v>165</v>
      </c>
      <c r="H433" s="153">
        <f t="shared" si="22"/>
        <v>1379400</v>
      </c>
      <c r="I433" s="139">
        <v>172.8125</v>
      </c>
      <c r="J433" s="154">
        <f>$I433*$C433</f>
        <v>1444712.5</v>
      </c>
    </row>
    <row r="434" spans="1:10" ht="74">
      <c r="A434" s="32" t="s">
        <v>341</v>
      </c>
      <c r="B434" s="17" t="s">
        <v>343</v>
      </c>
      <c r="C434" s="49" t="s">
        <v>715</v>
      </c>
      <c r="D434" s="108" t="s">
        <v>334</v>
      </c>
      <c r="E434" s="191">
        <v>4322.5</v>
      </c>
      <c r="F434" s="185"/>
      <c r="G434" s="139">
        <v>4260</v>
      </c>
      <c r="H434" s="153" t="str">
        <f t="shared" si="22"/>
        <v/>
      </c>
      <c r="I434" s="139">
        <v>3327.875</v>
      </c>
      <c r="J434" s="154"/>
    </row>
    <row r="435" spans="1:10" ht="74">
      <c r="A435" s="32" t="s">
        <v>342</v>
      </c>
      <c r="B435" s="17" t="s">
        <v>407</v>
      </c>
      <c r="C435" s="49" t="s">
        <v>715</v>
      </c>
      <c r="D435" s="108" t="s">
        <v>334</v>
      </c>
      <c r="E435" s="191">
        <v>5035</v>
      </c>
      <c r="F435" s="185"/>
      <c r="G435" s="139">
        <v>4780</v>
      </c>
      <c r="H435" s="153" t="str">
        <f t="shared" si="22"/>
        <v/>
      </c>
      <c r="I435" s="139">
        <v>3327.875</v>
      </c>
      <c r="J435" s="154"/>
    </row>
    <row r="436" spans="1:10">
      <c r="A436" s="5"/>
      <c r="B436" s="129" t="s">
        <v>733</v>
      </c>
      <c r="C436" s="49"/>
      <c r="D436" s="108"/>
      <c r="E436" s="191">
        <v>0</v>
      </c>
      <c r="F436" s="185"/>
      <c r="G436" s="139">
        <v>0</v>
      </c>
      <c r="H436" s="153">
        <f t="shared" si="22"/>
        <v>0</v>
      </c>
      <c r="I436" s="139">
        <v>0</v>
      </c>
      <c r="J436" s="154"/>
    </row>
    <row r="437" spans="1:10" ht="185">
      <c r="A437" s="32" t="s">
        <v>344</v>
      </c>
      <c r="B437" s="17" t="s">
        <v>607</v>
      </c>
      <c r="C437" s="49" t="s">
        <v>715</v>
      </c>
      <c r="D437" s="108" t="s">
        <v>334</v>
      </c>
      <c r="E437" s="191">
        <v>5177.5</v>
      </c>
      <c r="F437" s="185"/>
      <c r="G437" s="139">
        <v>7585</v>
      </c>
      <c r="H437" s="153" t="str">
        <f t="shared" si="22"/>
        <v/>
      </c>
      <c r="I437" s="139">
        <v>5974.375</v>
      </c>
      <c r="J437" s="154"/>
    </row>
    <row r="438" spans="1:10" ht="37">
      <c r="A438" s="65"/>
      <c r="B438" s="18" t="s">
        <v>345</v>
      </c>
      <c r="C438" s="49">
        <v>0</v>
      </c>
      <c r="D438" s="108"/>
      <c r="E438" s="191">
        <v>0</v>
      </c>
      <c r="F438" s="185">
        <f>E438*C438</f>
        <v>0</v>
      </c>
      <c r="G438" s="139">
        <v>0</v>
      </c>
      <c r="H438" s="153">
        <f t="shared" si="22"/>
        <v>0</v>
      </c>
      <c r="I438" s="139">
        <v>0</v>
      </c>
      <c r="J438" s="154">
        <f>I438*G437</f>
        <v>0</v>
      </c>
    </row>
    <row r="439" spans="1:10" ht="37">
      <c r="A439" s="65"/>
      <c r="B439" s="17" t="s">
        <v>346</v>
      </c>
      <c r="C439" s="49">
        <v>0</v>
      </c>
      <c r="D439" s="108"/>
      <c r="E439" s="191">
        <v>0</v>
      </c>
      <c r="F439" s="185">
        <f>E439*C439</f>
        <v>0</v>
      </c>
      <c r="G439" s="139">
        <v>0</v>
      </c>
      <c r="H439" s="153">
        <f t="shared" si="22"/>
        <v>0</v>
      </c>
      <c r="I439" s="139">
        <v>0</v>
      </c>
      <c r="J439" s="154">
        <f>I439*G438</f>
        <v>0</v>
      </c>
    </row>
    <row r="440" spans="1:10">
      <c r="A440" s="5"/>
      <c r="B440" s="129" t="s">
        <v>733</v>
      </c>
      <c r="C440" s="49"/>
      <c r="D440" s="108"/>
      <c r="E440" s="191">
        <v>0</v>
      </c>
      <c r="F440" s="185"/>
      <c r="G440" s="139">
        <v>0</v>
      </c>
      <c r="H440" s="153">
        <f t="shared" si="22"/>
        <v>0</v>
      </c>
      <c r="I440" s="139">
        <v>0</v>
      </c>
      <c r="J440" s="154"/>
    </row>
    <row r="441" spans="1:10" ht="37">
      <c r="A441" s="32" t="s">
        <v>466</v>
      </c>
      <c r="B441" s="48" t="s">
        <v>746</v>
      </c>
      <c r="C441" s="49" t="s">
        <v>715</v>
      </c>
      <c r="D441" s="108" t="s">
        <v>334</v>
      </c>
      <c r="E441" s="191">
        <v>3253.75</v>
      </c>
      <c r="F441" s="185"/>
      <c r="G441" s="139">
        <v>7585</v>
      </c>
      <c r="H441" s="153" t="str">
        <f t="shared" si="22"/>
        <v/>
      </c>
      <c r="I441" s="139">
        <v>5974.375</v>
      </c>
      <c r="J441" s="154"/>
    </row>
    <row r="442" spans="1:10" ht="166.5">
      <c r="A442" s="32" t="s">
        <v>454</v>
      </c>
      <c r="B442" s="17" t="s">
        <v>747</v>
      </c>
      <c r="C442" s="49">
        <v>0</v>
      </c>
      <c r="D442" s="108"/>
      <c r="E442" s="191">
        <v>0</v>
      </c>
      <c r="F442" s="185">
        <f>E442*C442</f>
        <v>0</v>
      </c>
      <c r="G442" s="139">
        <v>0</v>
      </c>
      <c r="H442" s="153">
        <f t="shared" si="22"/>
        <v>0</v>
      </c>
      <c r="I442" s="139">
        <v>0</v>
      </c>
      <c r="J442" s="154">
        <f>I442*G441</f>
        <v>0</v>
      </c>
    </row>
    <row r="443" spans="1:10" ht="55.5">
      <c r="A443" s="32" t="s">
        <v>339</v>
      </c>
      <c r="B443" s="17" t="s">
        <v>408</v>
      </c>
      <c r="C443" s="49" t="s">
        <v>715</v>
      </c>
      <c r="D443" s="108" t="s">
        <v>191</v>
      </c>
      <c r="E443" s="191">
        <v>9737.5</v>
      </c>
      <c r="F443" s="185"/>
      <c r="G443" s="139">
        <v>15586</v>
      </c>
      <c r="H443" s="153" t="str">
        <f t="shared" si="22"/>
        <v/>
      </c>
      <c r="I443" s="139">
        <v>9875</v>
      </c>
      <c r="J443" s="154"/>
    </row>
    <row r="444" spans="1:10" ht="74">
      <c r="A444" s="32" t="s">
        <v>347</v>
      </c>
      <c r="B444" s="17" t="s">
        <v>350</v>
      </c>
      <c r="C444" s="49" t="s">
        <v>715</v>
      </c>
      <c r="D444" s="108" t="s">
        <v>289</v>
      </c>
      <c r="E444" s="191">
        <v>356.25</v>
      </c>
      <c r="F444" s="185"/>
      <c r="G444" s="32">
        <v>520</v>
      </c>
      <c r="H444" s="153" t="str">
        <f t="shared" si="22"/>
        <v/>
      </c>
      <c r="I444" s="139">
        <v>543.125</v>
      </c>
      <c r="J444" s="154"/>
    </row>
    <row r="445" spans="1:10" ht="55.5">
      <c r="A445" s="32" t="s">
        <v>348</v>
      </c>
      <c r="B445" s="17" t="s">
        <v>391</v>
      </c>
      <c r="C445" s="49" t="s">
        <v>715</v>
      </c>
      <c r="D445" s="108" t="s">
        <v>289</v>
      </c>
      <c r="E445" s="191">
        <v>109.25</v>
      </c>
      <c r="F445" s="185"/>
      <c r="G445" s="32">
        <v>83</v>
      </c>
      <c r="H445" s="153" t="str">
        <f t="shared" si="22"/>
        <v/>
      </c>
      <c r="I445" s="139">
        <v>47.4</v>
      </c>
      <c r="J445" s="154"/>
    </row>
    <row r="446" spans="1:10" ht="55.5">
      <c r="A446" s="32" t="s">
        <v>349</v>
      </c>
      <c r="B446" s="23" t="s">
        <v>392</v>
      </c>
      <c r="C446" s="49" t="s">
        <v>715</v>
      </c>
      <c r="D446" s="108" t="s">
        <v>289</v>
      </c>
      <c r="E446" s="191">
        <v>109.25</v>
      </c>
      <c r="F446" s="185"/>
      <c r="G446" s="32">
        <v>62</v>
      </c>
      <c r="H446" s="153" t="str">
        <f t="shared" si="22"/>
        <v/>
      </c>
      <c r="I446" s="139">
        <v>0</v>
      </c>
      <c r="J446" s="154"/>
    </row>
    <row r="447" spans="1:10" ht="129.5">
      <c r="A447" s="32" t="s">
        <v>351</v>
      </c>
      <c r="B447" s="23" t="s">
        <v>499</v>
      </c>
      <c r="C447" s="49">
        <v>0</v>
      </c>
      <c r="D447" s="108"/>
      <c r="E447" s="191">
        <v>0</v>
      </c>
      <c r="F447" s="185">
        <f>E447*C447</f>
        <v>0</v>
      </c>
      <c r="G447" s="139">
        <v>0</v>
      </c>
      <c r="H447" s="153">
        <f t="shared" si="22"/>
        <v>0</v>
      </c>
      <c r="I447" s="139">
        <v>0</v>
      </c>
      <c r="J447" s="154">
        <f>I447*G446</f>
        <v>0</v>
      </c>
    </row>
    <row r="448" spans="1:10">
      <c r="A448" s="5"/>
      <c r="B448" s="129" t="s">
        <v>733</v>
      </c>
      <c r="C448" s="49"/>
      <c r="D448" s="108"/>
      <c r="E448" s="191">
        <v>0</v>
      </c>
      <c r="F448" s="185"/>
      <c r="G448" s="139">
        <v>0</v>
      </c>
      <c r="H448" s="153">
        <f t="shared" si="22"/>
        <v>0</v>
      </c>
      <c r="I448" s="139">
        <v>0</v>
      </c>
      <c r="J448" s="154"/>
    </row>
    <row r="449" spans="1:10">
      <c r="A449" s="51" t="s">
        <v>339</v>
      </c>
      <c r="B449" s="17" t="s">
        <v>356</v>
      </c>
      <c r="C449" s="49" t="s">
        <v>715</v>
      </c>
      <c r="D449" s="108" t="s">
        <v>289</v>
      </c>
      <c r="E449" s="191">
        <v>950</v>
      </c>
      <c r="F449" s="185"/>
      <c r="G449" s="32">
        <v>384</v>
      </c>
      <c r="H449" s="153" t="str">
        <f t="shared" si="22"/>
        <v/>
      </c>
      <c r="I449" s="139">
        <v>1036.875</v>
      </c>
      <c r="J449" s="154"/>
    </row>
    <row r="450" spans="1:10">
      <c r="A450" s="51" t="s">
        <v>294</v>
      </c>
      <c r="B450" s="17" t="s">
        <v>357</v>
      </c>
      <c r="C450" s="49" t="s">
        <v>715</v>
      </c>
      <c r="D450" s="108" t="s">
        <v>289</v>
      </c>
      <c r="E450" s="191">
        <v>1377.5</v>
      </c>
      <c r="F450" s="185"/>
      <c r="G450" s="32">
        <v>447</v>
      </c>
      <c r="H450" s="153" t="str">
        <f t="shared" si="22"/>
        <v/>
      </c>
      <c r="I450" s="139">
        <v>1135.625</v>
      </c>
      <c r="J450" s="154"/>
    </row>
    <row r="451" spans="1:10">
      <c r="A451" s="51" t="s">
        <v>340</v>
      </c>
      <c r="B451" s="17" t="s">
        <v>358</v>
      </c>
      <c r="C451" s="49">
        <v>75</v>
      </c>
      <c r="D451" s="108" t="s">
        <v>289</v>
      </c>
      <c r="E451" s="191">
        <v>0</v>
      </c>
      <c r="F451" s="185">
        <f>E451*C451</f>
        <v>0</v>
      </c>
      <c r="G451" s="32">
        <v>741</v>
      </c>
      <c r="H451" s="153">
        <f t="shared" si="22"/>
        <v>55575</v>
      </c>
      <c r="I451" s="139">
        <v>1239.3125</v>
      </c>
      <c r="J451" s="154">
        <f>$I451*$C451</f>
        <v>92948.4375</v>
      </c>
    </row>
    <row r="452" spans="1:10">
      <c r="A452" s="51" t="s">
        <v>359</v>
      </c>
      <c r="B452" s="17" t="s">
        <v>360</v>
      </c>
      <c r="C452" s="49">
        <v>100</v>
      </c>
      <c r="D452" s="108" t="s">
        <v>289</v>
      </c>
      <c r="E452" s="191">
        <v>0</v>
      </c>
      <c r="F452" s="185">
        <f>E452*C452</f>
        <v>0</v>
      </c>
      <c r="G452" s="32">
        <v>1330</v>
      </c>
      <c r="H452" s="153">
        <f t="shared" si="22"/>
        <v>133000</v>
      </c>
      <c r="I452" s="139">
        <v>2097.4499999999998</v>
      </c>
      <c r="J452" s="154">
        <f>$I452*$C452</f>
        <v>209744.99999999997</v>
      </c>
    </row>
    <row r="453" spans="1:10">
      <c r="A453" s="51" t="s">
        <v>361</v>
      </c>
      <c r="B453" s="17" t="s">
        <v>362</v>
      </c>
      <c r="C453" s="49" t="s">
        <v>715</v>
      </c>
      <c r="D453" s="108" t="s">
        <v>289</v>
      </c>
      <c r="E453" s="191">
        <v>0</v>
      </c>
      <c r="F453" s="185"/>
      <c r="G453" s="32">
        <v>2148</v>
      </c>
      <c r="H453" s="153" t="str">
        <f t="shared" si="22"/>
        <v/>
      </c>
      <c r="I453" s="139">
        <v>2221.875</v>
      </c>
      <c r="J453" s="154"/>
    </row>
    <row r="454" spans="1:10">
      <c r="A454" s="51" t="s">
        <v>363</v>
      </c>
      <c r="B454" s="17" t="s">
        <v>364</v>
      </c>
      <c r="C454" s="49" t="s">
        <v>715</v>
      </c>
      <c r="D454" s="108" t="s">
        <v>289</v>
      </c>
      <c r="E454" s="191">
        <v>0</v>
      </c>
      <c r="F454" s="185"/>
      <c r="G454" s="32">
        <v>3593</v>
      </c>
      <c r="H454" s="153" t="str">
        <f t="shared" si="22"/>
        <v/>
      </c>
      <c r="I454" s="139">
        <v>2913.125</v>
      </c>
      <c r="J454" s="154"/>
    </row>
    <row r="455" spans="1:10">
      <c r="A455" s="51" t="s">
        <v>365</v>
      </c>
      <c r="B455" s="17" t="s">
        <v>366</v>
      </c>
      <c r="C455" s="49" t="s">
        <v>715</v>
      </c>
      <c r="D455" s="108" t="s">
        <v>289</v>
      </c>
      <c r="E455" s="191">
        <v>0</v>
      </c>
      <c r="F455" s="185"/>
      <c r="G455" s="32">
        <v>6037</v>
      </c>
      <c r="H455" s="153" t="str">
        <f t="shared" si="22"/>
        <v/>
      </c>
      <c r="I455" s="139">
        <v>3308.125</v>
      </c>
      <c r="J455" s="154"/>
    </row>
    <row r="456" spans="1:10" ht="148">
      <c r="A456" s="32" t="s">
        <v>353</v>
      </c>
      <c r="B456" s="23" t="s">
        <v>368</v>
      </c>
      <c r="C456" s="49">
        <v>0</v>
      </c>
      <c r="D456" s="108"/>
      <c r="E456" s="191">
        <v>0</v>
      </c>
      <c r="F456" s="185">
        <f>E456*C456</f>
        <v>0</v>
      </c>
      <c r="G456" s="139">
        <v>0</v>
      </c>
      <c r="H456" s="153">
        <f t="shared" si="22"/>
        <v>0</v>
      </c>
      <c r="I456" s="139">
        <v>0</v>
      </c>
      <c r="J456" s="154">
        <f>I456*G455</f>
        <v>0</v>
      </c>
    </row>
    <row r="457" spans="1:10">
      <c r="A457" s="5"/>
      <c r="B457" s="129" t="s">
        <v>733</v>
      </c>
      <c r="C457" s="49"/>
      <c r="D457" s="108"/>
      <c r="E457" s="191">
        <v>0</v>
      </c>
      <c r="F457" s="185"/>
      <c r="G457" s="139">
        <v>0</v>
      </c>
      <c r="H457" s="153">
        <f t="shared" si="22"/>
        <v>0</v>
      </c>
      <c r="I457" s="139">
        <v>0</v>
      </c>
      <c r="J457" s="154"/>
    </row>
    <row r="458" spans="1:10">
      <c r="A458" s="51" t="s">
        <v>339</v>
      </c>
      <c r="B458" s="16" t="s">
        <v>369</v>
      </c>
      <c r="C458" s="49" t="s">
        <v>715</v>
      </c>
      <c r="D458" s="108" t="s">
        <v>289</v>
      </c>
      <c r="E458" s="190">
        <v>926.25</v>
      </c>
      <c r="F458" s="185"/>
      <c r="G458" s="32">
        <v>333</v>
      </c>
      <c r="H458" s="153" t="str">
        <f t="shared" si="22"/>
        <v/>
      </c>
      <c r="I458" s="139">
        <v>888.75</v>
      </c>
      <c r="J458" s="154"/>
    </row>
    <row r="459" spans="1:10">
      <c r="A459" s="51" t="s">
        <v>294</v>
      </c>
      <c r="B459" s="16" t="s">
        <v>370</v>
      </c>
      <c r="C459" s="49" t="s">
        <v>715</v>
      </c>
      <c r="D459" s="108" t="s">
        <v>289</v>
      </c>
      <c r="E459" s="190">
        <v>1377.5</v>
      </c>
      <c r="F459" s="185"/>
      <c r="G459" s="32">
        <v>388</v>
      </c>
      <c r="H459" s="153" t="str">
        <f t="shared" si="22"/>
        <v/>
      </c>
      <c r="I459" s="139">
        <v>987.5</v>
      </c>
      <c r="J459" s="154"/>
    </row>
    <row r="460" spans="1:10">
      <c r="A460" s="51" t="s">
        <v>340</v>
      </c>
      <c r="B460" s="16" t="s">
        <v>371</v>
      </c>
      <c r="C460" s="49" t="s">
        <v>715</v>
      </c>
      <c r="D460" s="108" t="s">
        <v>289</v>
      </c>
      <c r="E460" s="190">
        <v>1591.25</v>
      </c>
      <c r="F460" s="185"/>
      <c r="G460" s="32">
        <v>639</v>
      </c>
      <c r="H460" s="153" t="str">
        <f t="shared" ref="H460:H496" si="25">IFERROR(G460*C460,"")</f>
        <v/>
      </c>
      <c r="I460" s="139">
        <v>1061.5625</v>
      </c>
      <c r="J460" s="154"/>
    </row>
    <row r="461" spans="1:10">
      <c r="A461" s="51" t="s">
        <v>359</v>
      </c>
      <c r="B461" s="16" t="s">
        <v>372</v>
      </c>
      <c r="C461" s="49" t="s">
        <v>715</v>
      </c>
      <c r="D461" s="108" t="s">
        <v>289</v>
      </c>
      <c r="E461" s="190">
        <v>2280</v>
      </c>
      <c r="F461" s="185"/>
      <c r="G461" s="32">
        <v>1148</v>
      </c>
      <c r="H461" s="153" t="str">
        <f t="shared" si="25"/>
        <v/>
      </c>
      <c r="I461" s="139">
        <v>1481.25</v>
      </c>
      <c r="J461" s="154"/>
    </row>
    <row r="462" spans="1:10">
      <c r="A462" s="51" t="s">
        <v>361</v>
      </c>
      <c r="B462" s="16" t="s">
        <v>373</v>
      </c>
      <c r="C462" s="49" t="s">
        <v>715</v>
      </c>
      <c r="D462" s="108" t="s">
        <v>289</v>
      </c>
      <c r="E462" s="190">
        <v>2897.5</v>
      </c>
      <c r="F462" s="185"/>
      <c r="G462" s="32">
        <v>1850</v>
      </c>
      <c r="H462" s="153" t="str">
        <f t="shared" si="25"/>
        <v/>
      </c>
      <c r="I462" s="139">
        <v>1678.75</v>
      </c>
      <c r="J462" s="154"/>
    </row>
    <row r="463" spans="1:10">
      <c r="A463" s="51" t="s">
        <v>363</v>
      </c>
      <c r="B463" s="16" t="s">
        <v>374</v>
      </c>
      <c r="C463" s="49" t="s">
        <v>715</v>
      </c>
      <c r="D463" s="108" t="s">
        <v>289</v>
      </c>
      <c r="E463" s="190">
        <v>5557.5</v>
      </c>
      <c r="F463" s="185"/>
      <c r="G463" s="32">
        <v>2783</v>
      </c>
      <c r="H463" s="153" t="str">
        <f t="shared" si="25"/>
        <v/>
      </c>
      <c r="I463" s="139">
        <v>2518.125</v>
      </c>
      <c r="J463" s="154"/>
    </row>
    <row r="464" spans="1:10">
      <c r="A464" s="51" t="s">
        <v>365</v>
      </c>
      <c r="B464" s="16" t="s">
        <v>375</v>
      </c>
      <c r="C464" s="49" t="s">
        <v>715</v>
      </c>
      <c r="D464" s="108" t="s">
        <v>289</v>
      </c>
      <c r="E464" s="190">
        <v>5700</v>
      </c>
      <c r="F464" s="185"/>
      <c r="G464" s="32">
        <v>3195</v>
      </c>
      <c r="H464" s="153" t="str">
        <f t="shared" si="25"/>
        <v/>
      </c>
      <c r="I464" s="139">
        <v>3209.375</v>
      </c>
      <c r="J464" s="154"/>
    </row>
    <row r="465" spans="1:10" ht="148">
      <c r="A465" s="32" t="s">
        <v>354</v>
      </c>
      <c r="B465" s="23" t="s">
        <v>695</v>
      </c>
      <c r="C465" s="49"/>
      <c r="D465" s="108"/>
      <c r="E465" s="191">
        <v>0</v>
      </c>
      <c r="F465" s="185"/>
      <c r="G465" s="139">
        <v>0</v>
      </c>
      <c r="H465" s="153">
        <f t="shared" si="25"/>
        <v>0</v>
      </c>
      <c r="I465" s="139">
        <v>0</v>
      </c>
      <c r="J465" s="154"/>
    </row>
    <row r="466" spans="1:10">
      <c r="A466" s="5"/>
      <c r="B466" s="129" t="s">
        <v>733</v>
      </c>
      <c r="C466" s="49"/>
      <c r="D466" s="108"/>
      <c r="E466" s="191">
        <v>0</v>
      </c>
      <c r="F466" s="185"/>
      <c r="G466" s="139">
        <v>0</v>
      </c>
      <c r="H466" s="153">
        <f t="shared" si="25"/>
        <v>0</v>
      </c>
      <c r="I466" s="139">
        <v>0</v>
      </c>
      <c r="J466" s="154"/>
    </row>
    <row r="467" spans="1:10">
      <c r="A467" s="51" t="s">
        <v>339</v>
      </c>
      <c r="B467" s="23" t="s">
        <v>696</v>
      </c>
      <c r="C467" s="49">
        <v>10</v>
      </c>
      <c r="D467" s="108" t="s">
        <v>82</v>
      </c>
      <c r="E467" s="191">
        <v>9096.25</v>
      </c>
      <c r="F467" s="185">
        <f>E467*C467</f>
        <v>90962.5</v>
      </c>
      <c r="G467" s="32">
        <v>9352</v>
      </c>
      <c r="H467" s="153">
        <f t="shared" si="25"/>
        <v>93520</v>
      </c>
      <c r="I467" s="139">
        <v>8215.0125000000007</v>
      </c>
      <c r="J467" s="154">
        <f>$I467*$C467</f>
        <v>82150.125</v>
      </c>
    </row>
    <row r="468" spans="1:10">
      <c r="A468" s="51" t="s">
        <v>294</v>
      </c>
      <c r="B468" s="23" t="s">
        <v>697</v>
      </c>
      <c r="C468" s="49">
        <v>5</v>
      </c>
      <c r="D468" s="108" t="s">
        <v>82</v>
      </c>
      <c r="E468" s="191">
        <v>4275</v>
      </c>
      <c r="F468" s="185">
        <f>E468*C468</f>
        <v>21375</v>
      </c>
      <c r="G468" s="32">
        <v>3689</v>
      </c>
      <c r="H468" s="153">
        <f t="shared" si="25"/>
        <v>18445</v>
      </c>
      <c r="I468" s="139">
        <v>3966.7874999999999</v>
      </c>
      <c r="J468" s="154">
        <f>$I468*$C468</f>
        <v>19833.9375</v>
      </c>
    </row>
    <row r="469" spans="1:10" ht="148">
      <c r="A469" s="32" t="s">
        <v>355</v>
      </c>
      <c r="B469" s="23" t="s">
        <v>698</v>
      </c>
      <c r="C469" s="49"/>
      <c r="D469" s="108"/>
      <c r="E469" s="191">
        <v>0</v>
      </c>
      <c r="F469" s="185"/>
      <c r="G469" s="139">
        <v>0</v>
      </c>
      <c r="H469" s="153">
        <f t="shared" si="25"/>
        <v>0</v>
      </c>
      <c r="I469" s="139">
        <v>0</v>
      </c>
      <c r="J469" s="154"/>
    </row>
    <row r="470" spans="1:10">
      <c r="A470" s="5"/>
      <c r="B470" s="129" t="s">
        <v>733</v>
      </c>
      <c r="C470" s="49"/>
      <c r="D470" s="108"/>
      <c r="E470" s="191">
        <v>0</v>
      </c>
      <c r="F470" s="185"/>
      <c r="G470" s="139">
        <v>0</v>
      </c>
      <c r="H470" s="153">
        <f t="shared" si="25"/>
        <v>0</v>
      </c>
      <c r="I470" s="139">
        <v>0</v>
      </c>
      <c r="J470" s="154"/>
    </row>
    <row r="471" spans="1:10">
      <c r="A471" s="51" t="s">
        <v>339</v>
      </c>
      <c r="B471" s="23" t="s">
        <v>699</v>
      </c>
      <c r="C471" s="49">
        <v>10</v>
      </c>
      <c r="D471" s="108" t="s">
        <v>82</v>
      </c>
      <c r="E471" s="191">
        <v>10450</v>
      </c>
      <c r="F471" s="185">
        <f>E471*C471</f>
        <v>104500</v>
      </c>
      <c r="G471" s="32">
        <v>8313</v>
      </c>
      <c r="H471" s="153">
        <f t="shared" si="25"/>
        <v>83130</v>
      </c>
      <c r="I471" s="139">
        <v>9627.1375000000007</v>
      </c>
      <c r="J471" s="154">
        <f>$I471*$C471</f>
        <v>96271.375</v>
      </c>
    </row>
    <row r="472" spans="1:10">
      <c r="A472" s="51" t="s">
        <v>294</v>
      </c>
      <c r="B472" s="23" t="s">
        <v>700</v>
      </c>
      <c r="C472" s="49">
        <v>5</v>
      </c>
      <c r="D472" s="108" t="s">
        <v>82</v>
      </c>
      <c r="E472" s="191">
        <v>6175</v>
      </c>
      <c r="F472" s="185">
        <f>E472*C472</f>
        <v>30875</v>
      </c>
      <c r="G472" s="32">
        <v>4468</v>
      </c>
      <c r="H472" s="153">
        <f t="shared" si="25"/>
        <v>22340</v>
      </c>
      <c r="I472" s="139">
        <v>7701.5124999999998</v>
      </c>
      <c r="J472" s="154">
        <f>$I472*$C472</f>
        <v>38507.5625</v>
      </c>
    </row>
    <row r="473" spans="1:10" ht="148">
      <c r="A473" s="32" t="s">
        <v>367</v>
      </c>
      <c r="B473" s="23" t="s">
        <v>701</v>
      </c>
      <c r="C473" s="49"/>
      <c r="D473" s="108"/>
      <c r="E473" s="191">
        <v>0</v>
      </c>
      <c r="F473" s="185"/>
      <c r="G473" s="139">
        <v>0</v>
      </c>
      <c r="H473" s="153">
        <f t="shared" si="25"/>
        <v>0</v>
      </c>
      <c r="I473" s="139">
        <v>0</v>
      </c>
      <c r="J473" s="154"/>
    </row>
    <row r="474" spans="1:10">
      <c r="A474" s="5"/>
      <c r="B474" s="129" t="s">
        <v>733</v>
      </c>
      <c r="C474" s="49"/>
      <c r="D474" s="108"/>
      <c r="E474" s="191">
        <v>0</v>
      </c>
      <c r="F474" s="185"/>
      <c r="G474" s="139">
        <v>0</v>
      </c>
      <c r="H474" s="153">
        <f t="shared" si="25"/>
        <v>0</v>
      </c>
      <c r="I474" s="139">
        <v>0</v>
      </c>
      <c r="J474" s="154"/>
    </row>
    <row r="475" spans="1:10">
      <c r="A475" s="51" t="s">
        <v>339</v>
      </c>
      <c r="B475" s="23" t="s">
        <v>702</v>
      </c>
      <c r="C475" s="49">
        <v>30</v>
      </c>
      <c r="D475" s="108" t="s">
        <v>82</v>
      </c>
      <c r="E475" s="191">
        <v>15675</v>
      </c>
      <c r="F475" s="185">
        <f>E475*C475</f>
        <v>470250</v>
      </c>
      <c r="G475" s="32">
        <v>16833</v>
      </c>
      <c r="H475" s="153">
        <f t="shared" si="25"/>
        <v>504990</v>
      </c>
      <c r="I475" s="139">
        <v>13783.525</v>
      </c>
      <c r="J475" s="154">
        <f>$I475*$C475</f>
        <v>413505.75</v>
      </c>
    </row>
    <row r="476" spans="1:10">
      <c r="A476" s="51" t="s">
        <v>294</v>
      </c>
      <c r="B476" s="23" t="s">
        <v>700</v>
      </c>
      <c r="C476" s="49">
        <v>10</v>
      </c>
      <c r="D476" s="108" t="s">
        <v>82</v>
      </c>
      <c r="E476" s="191">
        <v>7125</v>
      </c>
      <c r="F476" s="185">
        <f>E476*C476</f>
        <v>71250</v>
      </c>
      <c r="G476" s="32">
        <v>6442</v>
      </c>
      <c r="H476" s="153">
        <f t="shared" si="25"/>
        <v>64420</v>
      </c>
      <c r="I476" s="139">
        <v>9627.1375000000007</v>
      </c>
      <c r="J476" s="154">
        <f>$I476*$C476</f>
        <v>96271.375</v>
      </c>
    </row>
    <row r="477" spans="1:10" ht="74">
      <c r="A477" s="49" t="s">
        <v>376</v>
      </c>
      <c r="B477" s="23" t="s">
        <v>703</v>
      </c>
      <c r="C477" s="49"/>
      <c r="D477" s="108"/>
      <c r="E477" s="191">
        <v>0</v>
      </c>
      <c r="F477" s="185"/>
      <c r="G477" s="139">
        <v>0</v>
      </c>
      <c r="H477" s="153">
        <f t="shared" si="25"/>
        <v>0</v>
      </c>
      <c r="I477" s="139">
        <v>0</v>
      </c>
      <c r="J477" s="154"/>
    </row>
    <row r="478" spans="1:10">
      <c r="A478" s="51" t="s">
        <v>339</v>
      </c>
      <c r="B478" s="23" t="s">
        <v>704</v>
      </c>
      <c r="C478" s="49">
        <v>10</v>
      </c>
      <c r="D478" s="108" t="s">
        <v>82</v>
      </c>
      <c r="E478" s="191">
        <v>3515</v>
      </c>
      <c r="F478" s="185">
        <f>E478*C478</f>
        <v>35150</v>
      </c>
      <c r="G478" s="32">
        <v>2347</v>
      </c>
      <c r="H478" s="153">
        <f t="shared" si="25"/>
        <v>23470</v>
      </c>
      <c r="I478" s="139">
        <v>3851.25</v>
      </c>
      <c r="J478" s="154">
        <f>$I478*$C478</f>
        <v>38512.5</v>
      </c>
    </row>
    <row r="479" spans="1:10">
      <c r="A479" s="51" t="s">
        <v>294</v>
      </c>
      <c r="B479" s="23" t="s">
        <v>705</v>
      </c>
      <c r="C479" s="49">
        <v>10</v>
      </c>
      <c r="D479" s="108" t="s">
        <v>82</v>
      </c>
      <c r="E479" s="191">
        <v>4940</v>
      </c>
      <c r="F479" s="185">
        <f>E479*C479</f>
        <v>49400</v>
      </c>
      <c r="G479" s="32">
        <v>3130</v>
      </c>
      <c r="H479" s="153">
        <f t="shared" si="25"/>
        <v>31300</v>
      </c>
      <c r="I479" s="139">
        <v>6417.7624999999998</v>
      </c>
      <c r="J479" s="154">
        <f>$I479*$C479</f>
        <v>64177.625</v>
      </c>
    </row>
    <row r="480" spans="1:10">
      <c r="A480" s="51" t="s">
        <v>340</v>
      </c>
      <c r="B480" s="23" t="s">
        <v>706</v>
      </c>
      <c r="C480" s="49">
        <v>30</v>
      </c>
      <c r="D480" s="108" t="s">
        <v>82</v>
      </c>
      <c r="E480" s="191">
        <v>8075</v>
      </c>
      <c r="F480" s="185">
        <f>E480*C480</f>
        <v>242250</v>
      </c>
      <c r="G480" s="32">
        <v>5477</v>
      </c>
      <c r="H480" s="153">
        <f t="shared" si="25"/>
        <v>164310</v>
      </c>
      <c r="I480" s="139">
        <v>11552.762500000001</v>
      </c>
      <c r="J480" s="154">
        <f>$I480*$C480</f>
        <v>346582.875</v>
      </c>
    </row>
    <row r="481" spans="1:10" ht="74">
      <c r="A481" s="32" t="s">
        <v>378</v>
      </c>
      <c r="B481" s="23" t="s">
        <v>393</v>
      </c>
      <c r="C481" s="49">
        <v>0</v>
      </c>
      <c r="D481" s="120"/>
      <c r="E481" s="198">
        <v>0</v>
      </c>
      <c r="F481" s="185">
        <f>E481*C481</f>
        <v>0</v>
      </c>
      <c r="G481" s="148">
        <v>0</v>
      </c>
      <c r="H481" s="153">
        <f t="shared" si="25"/>
        <v>0</v>
      </c>
      <c r="I481" s="148">
        <v>0</v>
      </c>
      <c r="J481" s="154">
        <f>I481*G480</f>
        <v>0</v>
      </c>
    </row>
    <row r="482" spans="1:10">
      <c r="A482" s="5"/>
      <c r="B482" s="23" t="s">
        <v>377</v>
      </c>
      <c r="C482" s="49" t="s">
        <v>715</v>
      </c>
      <c r="D482" s="108" t="s">
        <v>289</v>
      </c>
      <c r="E482" s="191">
        <v>712.5</v>
      </c>
      <c r="F482" s="185"/>
      <c r="G482" s="32">
        <v>1083</v>
      </c>
      <c r="H482" s="153" t="str">
        <f t="shared" si="25"/>
        <v/>
      </c>
      <c r="I482" s="139">
        <v>493.75</v>
      </c>
      <c r="J482" s="154"/>
    </row>
    <row r="483" spans="1:10" ht="74">
      <c r="A483" s="32" t="s">
        <v>380</v>
      </c>
      <c r="B483" s="23" t="s">
        <v>379</v>
      </c>
      <c r="C483" s="49" t="s">
        <v>715</v>
      </c>
      <c r="D483" s="108" t="s">
        <v>288</v>
      </c>
      <c r="E483" s="191">
        <v>342</v>
      </c>
      <c r="F483" s="185"/>
      <c r="G483" s="32">
        <v>255</v>
      </c>
      <c r="H483" s="153" t="str">
        <f t="shared" si="25"/>
        <v/>
      </c>
      <c r="I483" s="139">
        <v>246.875</v>
      </c>
      <c r="J483" s="154"/>
    </row>
    <row r="484" spans="1:10" ht="55.5">
      <c r="A484" s="32" t="s">
        <v>410</v>
      </c>
      <c r="B484" s="23" t="s">
        <v>381</v>
      </c>
      <c r="C484" s="49" t="s">
        <v>715</v>
      </c>
      <c r="D484" s="108" t="s">
        <v>289</v>
      </c>
      <c r="E484" s="191">
        <v>20767</v>
      </c>
      <c r="F484" s="185"/>
      <c r="G484" s="32">
        <v>911</v>
      </c>
      <c r="H484" s="153" t="str">
        <f t="shared" si="25"/>
        <v/>
      </c>
      <c r="I484" s="139">
        <v>1481.25</v>
      </c>
      <c r="J484" s="154"/>
    </row>
    <row r="485" spans="1:10" ht="74">
      <c r="A485" s="32" t="s">
        <v>707</v>
      </c>
      <c r="B485" s="23" t="s">
        <v>382</v>
      </c>
      <c r="C485" s="49" t="s">
        <v>715</v>
      </c>
      <c r="D485" s="110" t="s">
        <v>81</v>
      </c>
      <c r="E485" s="190">
        <v>1087.75</v>
      </c>
      <c r="F485" s="185"/>
      <c r="G485" s="24">
        <v>1726</v>
      </c>
      <c r="H485" s="153" t="str">
        <f t="shared" si="25"/>
        <v/>
      </c>
      <c r="I485" s="138">
        <v>839.375</v>
      </c>
      <c r="J485" s="154"/>
    </row>
    <row r="486" spans="1:10">
      <c r="A486" s="5" t="s">
        <v>301</v>
      </c>
      <c r="B486" s="23" t="s">
        <v>383</v>
      </c>
      <c r="C486" s="49" t="s">
        <v>715</v>
      </c>
      <c r="D486" s="110" t="s">
        <v>81</v>
      </c>
      <c r="E486" s="190">
        <v>902.5</v>
      </c>
      <c r="F486" s="185"/>
      <c r="G486" s="24">
        <v>1039</v>
      </c>
      <c r="H486" s="153" t="str">
        <f t="shared" si="25"/>
        <v/>
      </c>
      <c r="I486" s="138">
        <v>740.625</v>
      </c>
      <c r="J486" s="154"/>
    </row>
    <row r="487" spans="1:10" ht="148">
      <c r="A487" s="32" t="s">
        <v>708</v>
      </c>
      <c r="B487" s="23" t="s">
        <v>409</v>
      </c>
      <c r="C487" s="49" t="s">
        <v>715</v>
      </c>
      <c r="D487" s="103" t="s">
        <v>289</v>
      </c>
      <c r="E487" s="190">
        <v>2009.25</v>
      </c>
      <c r="F487" s="185"/>
      <c r="G487" s="24">
        <v>1766</v>
      </c>
      <c r="H487" s="153" t="str">
        <f t="shared" si="25"/>
        <v/>
      </c>
      <c r="I487" s="138">
        <v>2468.75</v>
      </c>
      <c r="J487" s="154"/>
    </row>
    <row r="488" spans="1:10" ht="111">
      <c r="A488" s="32" t="s">
        <v>709</v>
      </c>
      <c r="B488" s="23" t="s">
        <v>411</v>
      </c>
      <c r="C488" s="49" t="s">
        <v>715</v>
      </c>
      <c r="D488" s="103" t="s">
        <v>352</v>
      </c>
      <c r="E488" s="190">
        <v>7528.75</v>
      </c>
      <c r="F488" s="185"/>
      <c r="G488" s="24">
        <v>5195</v>
      </c>
      <c r="H488" s="153" t="str">
        <f t="shared" si="25"/>
        <v/>
      </c>
      <c r="I488" s="138">
        <v>4937.5</v>
      </c>
      <c r="J488" s="154"/>
    </row>
    <row r="489" spans="1:10" ht="55.5">
      <c r="A489" s="5" t="s">
        <v>710</v>
      </c>
      <c r="B489" s="23" t="s">
        <v>436</v>
      </c>
      <c r="C489" s="49" t="s">
        <v>715</v>
      </c>
      <c r="D489" s="103" t="s">
        <v>352</v>
      </c>
      <c r="E489" s="190">
        <v>508.25</v>
      </c>
      <c r="F489" s="185"/>
      <c r="G489" s="24">
        <v>260</v>
      </c>
      <c r="H489" s="153" t="str">
        <f t="shared" si="25"/>
        <v/>
      </c>
      <c r="I489" s="138">
        <v>493.75</v>
      </c>
      <c r="J489" s="154"/>
    </row>
    <row r="490" spans="1:10">
      <c r="A490" s="67"/>
      <c r="B490" s="35" t="s">
        <v>384</v>
      </c>
      <c r="C490" s="67">
        <v>0</v>
      </c>
      <c r="D490" s="121"/>
      <c r="E490" s="199">
        <v>0</v>
      </c>
      <c r="F490" s="188">
        <f>SUM(F427:F489)</f>
        <v>7397626.25</v>
      </c>
      <c r="G490" s="149">
        <v>0</v>
      </c>
      <c r="H490" s="188">
        <f>SUM(H427:H489)</f>
        <v>7172790</v>
      </c>
      <c r="I490" s="149">
        <v>0</v>
      </c>
      <c r="J490" s="154">
        <f>SUM(J427:J489)</f>
        <v>8919361.6875</v>
      </c>
    </row>
    <row r="491" spans="1:10">
      <c r="A491" s="67"/>
      <c r="B491" s="35" t="s">
        <v>721</v>
      </c>
      <c r="C491" s="35">
        <v>0</v>
      </c>
      <c r="D491" s="106"/>
      <c r="E491" s="192">
        <v>0</v>
      </c>
      <c r="F491" s="183"/>
      <c r="G491" s="140">
        <v>0</v>
      </c>
      <c r="H491" s="183"/>
      <c r="I491" s="140">
        <v>0</v>
      </c>
      <c r="J491" s="154"/>
    </row>
    <row r="492" spans="1:10" ht="189">
      <c r="A492" s="5" t="s">
        <v>427</v>
      </c>
      <c r="B492" s="23" t="s">
        <v>752</v>
      </c>
      <c r="C492" s="49">
        <v>0</v>
      </c>
      <c r="D492" s="110"/>
      <c r="E492" s="191">
        <v>0</v>
      </c>
      <c r="F492" s="185">
        <f>E492*C492</f>
        <v>0</v>
      </c>
      <c r="G492" s="15">
        <v>0</v>
      </c>
      <c r="H492" s="153">
        <f t="shared" si="25"/>
        <v>0</v>
      </c>
      <c r="I492" s="139">
        <v>0</v>
      </c>
      <c r="J492" s="154">
        <f>I492*G491</f>
        <v>0</v>
      </c>
    </row>
    <row r="493" spans="1:10">
      <c r="A493" s="5"/>
      <c r="B493" s="23" t="s">
        <v>528</v>
      </c>
      <c r="C493" s="49" t="s">
        <v>715</v>
      </c>
      <c r="D493" s="110" t="s">
        <v>83</v>
      </c>
      <c r="E493" s="191">
        <v>6483.75</v>
      </c>
      <c r="F493" s="185"/>
      <c r="G493" s="32">
        <v>5144</v>
      </c>
      <c r="H493" s="153" t="str">
        <f t="shared" si="25"/>
        <v/>
      </c>
      <c r="I493" s="139">
        <v>8887.5</v>
      </c>
      <c r="J493" s="154"/>
    </row>
    <row r="494" spans="1:10">
      <c r="A494" s="5"/>
      <c r="B494" s="23" t="s">
        <v>529</v>
      </c>
      <c r="C494" s="49" t="s">
        <v>715</v>
      </c>
      <c r="D494" s="110" t="s">
        <v>83</v>
      </c>
      <c r="E494" s="191">
        <v>12350</v>
      </c>
      <c r="F494" s="185"/>
      <c r="G494" s="32">
        <v>6183</v>
      </c>
      <c r="H494" s="153" t="str">
        <f t="shared" si="25"/>
        <v/>
      </c>
      <c r="I494" s="139">
        <v>11850</v>
      </c>
      <c r="J494" s="154"/>
    </row>
    <row r="495" spans="1:10">
      <c r="A495" s="5"/>
      <c r="B495" s="23" t="s">
        <v>530</v>
      </c>
      <c r="C495" s="49" t="s">
        <v>715</v>
      </c>
      <c r="D495" s="110" t="s">
        <v>83</v>
      </c>
      <c r="E495" s="191">
        <v>8740</v>
      </c>
      <c r="F495" s="185"/>
      <c r="G495" s="32">
        <v>7222</v>
      </c>
      <c r="H495" s="153" t="str">
        <f t="shared" si="25"/>
        <v/>
      </c>
      <c r="I495" s="139">
        <v>12343.75</v>
      </c>
      <c r="J495" s="154"/>
    </row>
    <row r="496" spans="1:10">
      <c r="A496" s="5"/>
      <c r="B496" s="23" t="s">
        <v>531</v>
      </c>
      <c r="C496" s="49" t="s">
        <v>715</v>
      </c>
      <c r="D496" s="110" t="s">
        <v>83</v>
      </c>
      <c r="E496" s="191">
        <v>12350</v>
      </c>
      <c r="F496" s="185"/>
      <c r="G496" s="32">
        <v>8396</v>
      </c>
      <c r="H496" s="153" t="str">
        <f t="shared" si="25"/>
        <v/>
      </c>
      <c r="I496" s="139">
        <v>14812.5</v>
      </c>
      <c r="J496" s="154"/>
    </row>
    <row r="497" spans="1:10" ht="19" thickBot="1">
      <c r="A497" s="67"/>
      <c r="B497" s="35" t="s">
        <v>433</v>
      </c>
      <c r="C497" s="67">
        <v>0</v>
      </c>
      <c r="D497" s="121"/>
      <c r="E497" s="149"/>
      <c r="F497" s="188">
        <f>SUM(F493:F496)</f>
        <v>0</v>
      </c>
      <c r="G497" s="149">
        <v>0</v>
      </c>
      <c r="H497" s="155"/>
      <c r="I497" s="149"/>
      <c r="J497" s="155">
        <f>SUM(J493:J496)</f>
        <v>0</v>
      </c>
    </row>
  </sheetData>
  <customSheetViews>
    <customSheetView guid="{5399B9A3-C514-4B3F-AA20-DF1128B22F93}" scale="70" showPageBreaks="1" fitToPage="1" printArea="1" hiddenRows="1" hiddenColumns="1" view="pageBreakPreview" topLeftCell="A81">
      <selection activeCell="F85" sqref="F85"/>
      <rowBreaks count="8" manualBreakCount="8">
        <brk id="102" max="5" man="1"/>
        <brk id="128" max="5" man="1"/>
        <brk id="170" max="5" man="1"/>
        <brk id="181" max="5" man="1"/>
        <brk id="212" max="5" man="1"/>
        <brk id="283" max="5" man="1"/>
        <brk id="309" max="5" man="1"/>
        <brk id="366" max="5" man="1"/>
      </rowBreaks>
      <pageMargins left="0.55118110236220474" right="0.39370078740157483" top="0.39370078740157483" bottom="0.39370078740157483" header="0.51181102362204722" footer="0.11811023622047245"/>
      <printOptions horizontalCentered="1"/>
      <pageSetup paperSize="9" scale="36" fitToHeight="0" orientation="portrait" r:id="rId1"/>
      <headerFooter alignWithMargins="0">
        <oddFooter>&amp;C&amp;P OF &amp;N</oddFooter>
      </headerFooter>
    </customSheetView>
  </customSheetViews>
  <mergeCells count="10">
    <mergeCell ref="E5:F5"/>
    <mergeCell ref="B5:B6"/>
    <mergeCell ref="A5:A6"/>
    <mergeCell ref="B2:F2"/>
    <mergeCell ref="C1:F1"/>
    <mergeCell ref="C5:C6"/>
    <mergeCell ref="D5:D6"/>
    <mergeCell ref="B3:J3"/>
    <mergeCell ref="G5:H5"/>
    <mergeCell ref="I5:J5"/>
  </mergeCells>
  <phoneticPr fontId="7" type="noConversion"/>
  <conditionalFormatting sqref="D143:D144">
    <cfRule type="top10" dxfId="1153" priority="4747" stopIfTrue="1" bottom="1" rank="3"/>
    <cfRule type="top10" dxfId="1152" priority="4745" stopIfTrue="1" bottom="1" rank="1"/>
    <cfRule type="top10" dxfId="1151" priority="4746" stopIfTrue="1" bottom="1" rank="2"/>
    <cfRule type="top10" dxfId="1150" priority="4748" stopIfTrue="1" bottom="1" rank="4"/>
    <cfRule type="top10" dxfId="1149" priority="4749" stopIfTrue="1" bottom="1" rank="5"/>
    <cfRule type="top10" dxfId="1148" priority="4750" stopIfTrue="1" rank="1"/>
    <cfRule type="top10" dxfId="1147" priority="4751" stopIfTrue="1" rank="2"/>
    <cfRule type="top10" dxfId="1146" priority="4752" stopIfTrue="1" rank="3"/>
  </conditionalFormatting>
  <conditionalFormatting sqref="E9 G9:J9">
    <cfRule type="top10" dxfId="1145" priority="30985" stopIfTrue="1" bottom="1" rank="1"/>
    <cfRule type="top10" dxfId="1144" priority="30986" stopIfTrue="1" bottom="1" rank="2"/>
    <cfRule type="top10" dxfId="1143" priority="30987" stopIfTrue="1" bottom="1" rank="3"/>
    <cfRule type="top10" dxfId="1142" priority="30988" stopIfTrue="1" bottom="1" rank="4"/>
    <cfRule type="top10" dxfId="1141" priority="30989" stopIfTrue="1" bottom="1" rank="5"/>
    <cfRule type="top10" dxfId="1140" priority="30990" stopIfTrue="1" rank="1"/>
    <cfRule type="top10" dxfId="1139" priority="30991" stopIfTrue="1" rank="2"/>
    <cfRule type="top10" dxfId="1138" priority="30992" stopIfTrue="1" rank="3"/>
  </conditionalFormatting>
  <conditionalFormatting sqref="E11 G11 I11">
    <cfRule type="top10" dxfId="1137" priority="28841" stopIfTrue="1" rank="1"/>
    <cfRule type="top10" dxfId="1136" priority="28843" stopIfTrue="1" rank="3"/>
    <cfRule type="top10" dxfId="1135" priority="28836" stopIfTrue="1" bottom="1" rank="1"/>
    <cfRule type="top10" dxfId="1134" priority="28837" stopIfTrue="1" bottom="1" rank="2"/>
    <cfRule type="top10" dxfId="1133" priority="28838" stopIfTrue="1" bottom="1" rank="3"/>
    <cfRule type="top10" dxfId="1132" priority="28839" stopIfTrue="1" bottom="1" rank="4"/>
    <cfRule type="top10" dxfId="1131" priority="28840" stopIfTrue="1" bottom="1" rank="5"/>
    <cfRule type="top10" dxfId="1130" priority="28842" stopIfTrue="1" rank="2"/>
  </conditionalFormatting>
  <conditionalFormatting sqref="E12 G12 I12">
    <cfRule type="top10" dxfId="1129" priority="28860" stopIfTrue="1" bottom="1" rank="1"/>
    <cfRule type="top10" dxfId="1128" priority="28861" stopIfTrue="1" bottom="1" rank="2"/>
    <cfRule type="top10" dxfId="1127" priority="28862" stopIfTrue="1" bottom="1" rank="3"/>
    <cfRule type="top10" dxfId="1126" priority="28863" stopIfTrue="1" bottom="1" rank="5"/>
    <cfRule type="top10" dxfId="1125" priority="28864" stopIfTrue="1" rank="1"/>
    <cfRule type="top10" dxfId="1124" priority="28865" stopIfTrue="1" rank="2"/>
    <cfRule type="top10" dxfId="1123" priority="28866" stopIfTrue="1" rank="3"/>
  </conditionalFormatting>
  <conditionalFormatting sqref="E13 G13 I13">
    <cfRule type="top10" dxfId="1122" priority="28887" stopIfTrue="1" rank="2"/>
    <cfRule type="top10" dxfId="1121" priority="28888" stopIfTrue="1" rank="3"/>
    <cfRule type="top10" dxfId="1120" priority="28881" stopIfTrue="1" bottom="1" rank="1"/>
    <cfRule type="top10" dxfId="1119" priority="28882" stopIfTrue="1" bottom="1" rank="2"/>
    <cfRule type="top10" dxfId="1118" priority="28883" stopIfTrue="1" bottom="1" rank="3"/>
    <cfRule type="top10" dxfId="1117" priority="28884" stopIfTrue="1" bottom="1" rank="4"/>
    <cfRule type="top10" dxfId="1116" priority="28885" stopIfTrue="1" bottom="1" rank="5"/>
    <cfRule type="top10" dxfId="1115" priority="28886" stopIfTrue="1" rank="1"/>
  </conditionalFormatting>
  <conditionalFormatting sqref="E14 G14 I14">
    <cfRule type="top10" dxfId="1114" priority="28912" stopIfTrue="1" rank="3"/>
    <cfRule type="top10" dxfId="1113" priority="28910" stopIfTrue="1" rank="1"/>
    <cfRule type="top10" dxfId="1112" priority="28905" stopIfTrue="1" bottom="1" rank="1"/>
    <cfRule type="top10" dxfId="1111" priority="28906" stopIfTrue="1" bottom="1" rank="2"/>
    <cfRule type="top10" dxfId="1110" priority="28907" stopIfTrue="1" bottom="1" rank="3"/>
    <cfRule type="top10" dxfId="1109" priority="28908" stopIfTrue="1" bottom="1" rank="4"/>
    <cfRule type="top10" dxfId="1108" priority="28909" stopIfTrue="1" bottom="1" rank="5"/>
    <cfRule type="top10" dxfId="1107" priority="28911" stopIfTrue="1" rank="2"/>
  </conditionalFormatting>
  <conditionalFormatting sqref="E15 G15 I15">
    <cfRule type="top10" dxfId="1106" priority="28929" stopIfTrue="1" bottom="1" rank="1"/>
    <cfRule type="top10" dxfId="1105" priority="28930" stopIfTrue="1" bottom="1" rank="2"/>
    <cfRule type="top10" dxfId="1104" priority="28931" stopIfTrue="1" bottom="1" rank="3"/>
    <cfRule type="top10" dxfId="1103" priority="28932" stopIfTrue="1" bottom="1" rank="4"/>
    <cfRule type="top10" dxfId="1102" priority="28933" stopIfTrue="1" bottom="1" rank="5"/>
    <cfRule type="top10" dxfId="1101" priority="28934" stopIfTrue="1" rank="1"/>
    <cfRule type="top10" dxfId="1100" priority="28935" stopIfTrue="1" rank="2"/>
    <cfRule type="top10" dxfId="1099" priority="28936" stopIfTrue="1" rank="3"/>
  </conditionalFormatting>
  <conditionalFormatting sqref="E17 G17 I17">
    <cfRule type="top10" dxfId="1098" priority="28953" stopIfTrue="1" bottom="1" rank="1"/>
    <cfRule type="top10" dxfId="1097" priority="28954" stopIfTrue="1" bottom="1" rank="2"/>
    <cfRule type="top10" dxfId="1096" priority="28955" stopIfTrue="1" bottom="1" rank="3"/>
    <cfRule type="top10" dxfId="1095" priority="28956" stopIfTrue="1" bottom="1" rank="4"/>
    <cfRule type="top10" dxfId="1094" priority="28957" stopIfTrue="1" bottom="1" rank="5"/>
    <cfRule type="top10" dxfId="1093" priority="28958" stopIfTrue="1" rank="1"/>
    <cfRule type="top10" dxfId="1092" priority="28959" stopIfTrue="1" rank="2"/>
    <cfRule type="top10" dxfId="1091" priority="28960" stopIfTrue="1" rank="3"/>
  </conditionalFormatting>
  <conditionalFormatting sqref="E18 G18 I18">
    <cfRule type="top10" dxfId="1090" priority="28979" stopIfTrue="1" bottom="1" rank="3"/>
    <cfRule type="top10" dxfId="1089" priority="28978" stopIfTrue="1" bottom="1" rank="2"/>
    <cfRule type="top10" dxfId="1088" priority="28977" stopIfTrue="1" bottom="1" rank="1"/>
    <cfRule type="top10" dxfId="1087" priority="28980" stopIfTrue="1" bottom="1" rank="4"/>
    <cfRule type="top10" dxfId="1086" priority="28981" stopIfTrue="1" bottom="1" rank="5"/>
    <cfRule type="top10" dxfId="1085" priority="28982" stopIfTrue="1" rank="1"/>
    <cfRule type="top10" dxfId="1084" priority="28983" stopIfTrue="1" rank="2"/>
    <cfRule type="top10" dxfId="1083" priority="28984" stopIfTrue="1" rank="3"/>
  </conditionalFormatting>
  <conditionalFormatting sqref="E19 G19 I19">
    <cfRule type="top10" dxfId="1082" priority="29001" stopIfTrue="1" bottom="1" rank="1"/>
    <cfRule type="top10" dxfId="1081" priority="29002" stopIfTrue="1" bottom="1" rank="2"/>
    <cfRule type="top10" dxfId="1080" priority="29003" stopIfTrue="1" bottom="1" rank="3"/>
    <cfRule type="top10" dxfId="1079" priority="29004" stopIfTrue="1" bottom="1" rank="4"/>
    <cfRule type="top10" dxfId="1078" priority="29005" stopIfTrue="1" bottom="1" rank="5"/>
    <cfRule type="top10" dxfId="1077" priority="29006" stopIfTrue="1" rank="1"/>
    <cfRule type="top10" dxfId="1076" priority="29007" stopIfTrue="1" rank="2"/>
    <cfRule type="top10" dxfId="1075" priority="29008" stopIfTrue="1" rank="3"/>
  </conditionalFormatting>
  <conditionalFormatting sqref="E20 G20 I20">
    <cfRule type="top10" dxfId="1074" priority="29031" stopIfTrue="1" rank="2"/>
    <cfRule type="top10" dxfId="1073" priority="29032" stopIfTrue="1" rank="3"/>
    <cfRule type="top10" dxfId="1072" priority="29025" stopIfTrue="1" bottom="1" rank="1"/>
    <cfRule type="top10" dxfId="1071" priority="29026" stopIfTrue="1" bottom="1" rank="2"/>
    <cfRule type="top10" dxfId="1070" priority="29027" stopIfTrue="1" bottom="1" rank="3"/>
    <cfRule type="top10" dxfId="1069" priority="29028" stopIfTrue="1" bottom="1" rank="4"/>
    <cfRule type="top10" dxfId="1068" priority="29029" stopIfTrue="1" bottom="1" rank="5"/>
    <cfRule type="top10" dxfId="1067" priority="29030" stopIfTrue="1" rank="1"/>
  </conditionalFormatting>
  <conditionalFormatting sqref="E22 G22 I22">
    <cfRule type="top10" dxfId="1066" priority="29055" stopIfTrue="1" rank="2"/>
    <cfRule type="top10" dxfId="1065" priority="29056" stopIfTrue="1" rank="3"/>
    <cfRule type="top10" dxfId="1064" priority="29049" stopIfTrue="1" bottom="1" rank="1"/>
    <cfRule type="top10" dxfId="1063" priority="29050" stopIfTrue="1" bottom="1" rank="2"/>
    <cfRule type="top10" dxfId="1062" priority="29051" stopIfTrue="1" bottom="1" rank="3"/>
    <cfRule type="top10" dxfId="1061" priority="29052" stopIfTrue="1" bottom="1" rank="4"/>
    <cfRule type="top10" dxfId="1060" priority="29053" stopIfTrue="1" bottom="1" rank="5"/>
    <cfRule type="top10" dxfId="1059" priority="29054" stopIfTrue="1" rank="1"/>
  </conditionalFormatting>
  <conditionalFormatting sqref="E23 G23 I23">
    <cfRule type="top10" dxfId="1058" priority="29073" stopIfTrue="1" bottom="1" rank="1"/>
    <cfRule type="top10" dxfId="1057" priority="29074" stopIfTrue="1" bottom="1" rank="2"/>
    <cfRule type="top10" dxfId="1056" priority="29075" stopIfTrue="1" bottom="1" rank="3"/>
    <cfRule type="top10" dxfId="1055" priority="29076" stopIfTrue="1" bottom="1" rank="4"/>
    <cfRule type="top10" dxfId="1054" priority="29077" stopIfTrue="1" bottom="1" rank="5"/>
    <cfRule type="top10" dxfId="1053" priority="29078" stopIfTrue="1" rank="1"/>
    <cfRule type="top10" dxfId="1052" priority="29079" stopIfTrue="1" rank="2"/>
    <cfRule type="top10" dxfId="1051" priority="29080" stopIfTrue="1" rank="3"/>
  </conditionalFormatting>
  <conditionalFormatting sqref="E25 G25 I25">
    <cfRule type="top10" dxfId="1050" priority="29099" stopIfTrue="1" bottom="1" rank="3"/>
    <cfRule type="top10" dxfId="1049" priority="29103" stopIfTrue="1" rank="2"/>
    <cfRule type="top10" dxfId="1048" priority="29097" stopIfTrue="1" bottom="1" rank="1"/>
    <cfRule type="top10" dxfId="1047" priority="29098" stopIfTrue="1" bottom="1" rank="2"/>
    <cfRule type="top10" dxfId="1046" priority="29104" stopIfTrue="1" rank="3"/>
    <cfRule type="top10" dxfId="1045" priority="29100" stopIfTrue="1" bottom="1" rank="4"/>
    <cfRule type="top10" dxfId="1044" priority="29101" stopIfTrue="1" bottom="1" rank="5"/>
    <cfRule type="top10" dxfId="1043" priority="29102" stopIfTrue="1" rank="1"/>
  </conditionalFormatting>
  <conditionalFormatting sqref="E26 G26 I26">
    <cfRule type="top10" dxfId="1042" priority="29128" stopIfTrue="1" rank="3"/>
    <cfRule type="top10" dxfId="1041" priority="29127" stopIfTrue="1" rank="2"/>
    <cfRule type="top10" dxfId="1040" priority="29121" stopIfTrue="1" bottom="1" rank="1"/>
    <cfRule type="top10" dxfId="1039" priority="29122" stopIfTrue="1" bottom="1" rank="2"/>
    <cfRule type="top10" dxfId="1038" priority="29123" stopIfTrue="1" bottom="1" rank="3"/>
    <cfRule type="top10" dxfId="1037" priority="29124" stopIfTrue="1" bottom="1" rank="4"/>
    <cfRule type="top10" dxfId="1036" priority="29125" stopIfTrue="1" bottom="1" rank="5"/>
    <cfRule type="top10" dxfId="1035" priority="29126" stopIfTrue="1" rank="1"/>
  </conditionalFormatting>
  <conditionalFormatting sqref="E27 G27 I27">
    <cfRule type="top10" dxfId="1034" priority="29145" stopIfTrue="1" bottom="1" rank="1"/>
    <cfRule type="top10" dxfId="1033" priority="29146" stopIfTrue="1" bottom="1" rank="2"/>
    <cfRule type="top10" dxfId="1032" priority="29147" stopIfTrue="1" bottom="1" rank="3"/>
    <cfRule type="top10" dxfId="1031" priority="29148" stopIfTrue="1" bottom="1" rank="4"/>
    <cfRule type="top10" dxfId="1030" priority="29149" stopIfTrue="1" bottom="1" rank="5"/>
    <cfRule type="top10" dxfId="1029" priority="29150" stopIfTrue="1" rank="1"/>
    <cfRule type="top10" dxfId="1028" priority="29151" stopIfTrue="1" rank="2"/>
    <cfRule type="top10" dxfId="1027" priority="29152" stopIfTrue="1" rank="3"/>
  </conditionalFormatting>
  <conditionalFormatting sqref="E29 G29 I29">
    <cfRule type="top10" dxfId="1026" priority="29175" stopIfTrue="1" rank="2"/>
    <cfRule type="top10" dxfId="1025" priority="29176" stopIfTrue="1" rank="3"/>
    <cfRule type="top10" dxfId="1024" priority="29169" stopIfTrue="1" bottom="1" rank="1"/>
    <cfRule type="top10" dxfId="1023" priority="29170" stopIfTrue="1" bottom="1" rank="2"/>
    <cfRule type="top10" dxfId="1022" priority="29171" stopIfTrue="1" bottom="1" rank="3"/>
    <cfRule type="top10" dxfId="1021" priority="29172" stopIfTrue="1" bottom="1" rank="4"/>
    <cfRule type="top10" dxfId="1020" priority="29173" stopIfTrue="1" bottom="1" rank="5"/>
    <cfRule type="top10" dxfId="1019" priority="29174" stopIfTrue="1" rank="1"/>
  </conditionalFormatting>
  <conditionalFormatting sqref="E30 G30 I30">
    <cfRule type="top10" dxfId="1018" priority="29199" stopIfTrue="1" rank="2"/>
    <cfRule type="top10" dxfId="1017" priority="29200" stopIfTrue="1" rank="3"/>
    <cfRule type="top10" dxfId="1016" priority="29193" stopIfTrue="1" bottom="1" rank="1"/>
    <cfRule type="top10" dxfId="1015" priority="29194" stopIfTrue="1" bottom="1" rank="2"/>
    <cfRule type="top10" dxfId="1014" priority="29195" stopIfTrue="1" bottom="1" rank="3"/>
    <cfRule type="top10" dxfId="1013" priority="29196" stopIfTrue="1" bottom="1" rank="4"/>
    <cfRule type="top10" dxfId="1012" priority="29197" stopIfTrue="1" bottom="1" rank="5"/>
    <cfRule type="top10" dxfId="1011" priority="29198" stopIfTrue="1" rank="1"/>
  </conditionalFormatting>
  <conditionalFormatting sqref="E31 G31 I31">
    <cfRule type="top10" dxfId="1010" priority="29221" stopIfTrue="1" bottom="1" rank="5"/>
    <cfRule type="top10" dxfId="1009" priority="29217" stopIfTrue="1" bottom="1" rank="1"/>
    <cfRule type="top10" dxfId="1008" priority="29218" stopIfTrue="1" bottom="1" rank="2"/>
    <cfRule type="top10" dxfId="1007" priority="29219" stopIfTrue="1" bottom="1" rank="3"/>
    <cfRule type="top10" dxfId="1006" priority="29220" stopIfTrue="1" bottom="1" rank="4"/>
    <cfRule type="top10" dxfId="1005" priority="29222" stopIfTrue="1" rank="1"/>
    <cfRule type="top10" dxfId="1004" priority="29223" stopIfTrue="1" rank="2"/>
    <cfRule type="top10" dxfId="1003" priority="29224" stopIfTrue="1" rank="3"/>
  </conditionalFormatting>
  <conditionalFormatting sqref="E32 G32 I32">
    <cfRule type="top10" dxfId="1002" priority="29247" stopIfTrue="1" rank="2"/>
    <cfRule type="top10" dxfId="1001" priority="29243" stopIfTrue="1" bottom="1" rank="3"/>
    <cfRule type="top10" dxfId="1000" priority="29241" stopIfTrue="1" bottom="1" rank="1"/>
    <cfRule type="top10" dxfId="999" priority="29242" stopIfTrue="1" bottom="1" rank="2"/>
    <cfRule type="top10" dxfId="998" priority="29248" stopIfTrue="1" rank="3"/>
    <cfRule type="top10" dxfId="997" priority="29244" stopIfTrue="1" bottom="1" rank="4"/>
    <cfRule type="top10" dxfId="996" priority="29245" stopIfTrue="1" bottom="1" rank="5"/>
    <cfRule type="top10" dxfId="995" priority="29246" stopIfTrue="1" rank="1"/>
  </conditionalFormatting>
  <conditionalFormatting sqref="E33 G33 I33">
    <cfRule type="top10" dxfId="994" priority="29271" stopIfTrue="1" rank="2"/>
    <cfRule type="top10" dxfId="993" priority="29272" stopIfTrue="1" rank="3"/>
    <cfRule type="top10" dxfId="992" priority="29265" stopIfTrue="1" bottom="1" rank="1"/>
    <cfRule type="top10" dxfId="991" priority="29266" stopIfTrue="1" bottom="1" rank="2"/>
    <cfRule type="top10" dxfId="990" priority="29267" stopIfTrue="1" bottom="1" rank="3"/>
    <cfRule type="top10" dxfId="989" priority="29268" stopIfTrue="1" bottom="1" rank="4"/>
    <cfRule type="top10" dxfId="988" priority="29269" stopIfTrue="1" bottom="1" rank="5"/>
    <cfRule type="top10" dxfId="987" priority="29270" stopIfTrue="1" rank="1"/>
  </conditionalFormatting>
  <conditionalFormatting sqref="E34 G34 I34">
    <cfRule type="top10" dxfId="986" priority="29289" stopIfTrue="1" bottom="1" rank="1"/>
    <cfRule type="top10" dxfId="985" priority="29290" stopIfTrue="1" bottom="1" rank="2"/>
    <cfRule type="top10" dxfId="984" priority="29291" stopIfTrue="1" bottom="1" rank="3"/>
    <cfRule type="top10" dxfId="983" priority="29292" stopIfTrue="1" bottom="1" rank="4"/>
    <cfRule type="top10" dxfId="982" priority="29293" stopIfTrue="1" bottom="1" rank="5"/>
    <cfRule type="top10" dxfId="981" priority="29294" stopIfTrue="1" rank="1"/>
    <cfRule type="top10" dxfId="980" priority="29295" stopIfTrue="1" rank="2"/>
    <cfRule type="top10" dxfId="979" priority="29296" stopIfTrue="1" rank="3"/>
  </conditionalFormatting>
  <conditionalFormatting sqref="E36 G36 I36">
    <cfRule type="top10" dxfId="978" priority="29313" stopIfTrue="1" bottom="1" rank="1"/>
    <cfRule type="top10" dxfId="977" priority="29314" stopIfTrue="1" bottom="1" rank="2"/>
    <cfRule type="top10" dxfId="976" priority="29315" stopIfTrue="1" bottom="1" rank="3"/>
    <cfRule type="top10" dxfId="975" priority="29316" stopIfTrue="1" bottom="1" rank="4"/>
    <cfRule type="top10" dxfId="974" priority="29317" stopIfTrue="1" bottom="1" rank="5"/>
    <cfRule type="top10" dxfId="973" priority="29318" stopIfTrue="1" rank="1"/>
    <cfRule type="top10" dxfId="972" priority="29319" stopIfTrue="1" rank="2"/>
    <cfRule type="top10" dxfId="971" priority="29320" stopIfTrue="1" rank="3"/>
  </conditionalFormatting>
  <conditionalFormatting sqref="E37 G37 I37">
    <cfRule type="top10" dxfId="970" priority="29343" stopIfTrue="1" rank="2"/>
    <cfRule type="top10" dxfId="969" priority="29344" stopIfTrue="1" rank="3"/>
    <cfRule type="top10" dxfId="968" priority="29337" stopIfTrue="1" bottom="1" rank="1"/>
    <cfRule type="top10" dxfId="967" priority="29338" stopIfTrue="1" bottom="1" rank="2"/>
    <cfRule type="top10" dxfId="966" priority="29339" stopIfTrue="1" bottom="1" rank="3"/>
    <cfRule type="top10" dxfId="965" priority="29340" stopIfTrue="1" bottom="1" rank="4"/>
    <cfRule type="top10" dxfId="964" priority="29341" stopIfTrue="1" bottom="1" rank="5"/>
    <cfRule type="top10" dxfId="963" priority="29342" stopIfTrue="1" rank="1"/>
  </conditionalFormatting>
  <conditionalFormatting sqref="E51 G51 I51">
    <cfRule type="top10" dxfId="962" priority="29367" stopIfTrue="1" rank="2"/>
    <cfRule type="top10" dxfId="961" priority="29368" stopIfTrue="1" rank="3"/>
    <cfRule type="top10" dxfId="960" priority="29361" stopIfTrue="1" bottom="1" rank="1"/>
    <cfRule type="top10" dxfId="959" priority="29362" stopIfTrue="1" bottom="1" rank="2"/>
    <cfRule type="top10" dxfId="958" priority="29363" stopIfTrue="1" bottom="1" rank="3"/>
    <cfRule type="top10" dxfId="957" priority="29364" stopIfTrue="1" bottom="1" rank="4"/>
    <cfRule type="top10" dxfId="956" priority="29365" stopIfTrue="1" bottom="1" rank="5"/>
    <cfRule type="top10" dxfId="955" priority="29366" stopIfTrue="1" rank="1"/>
  </conditionalFormatting>
  <conditionalFormatting sqref="E60 G60 I60">
    <cfRule type="top10" dxfId="954" priority="29385" stopIfTrue="1" bottom="1" rank="1"/>
    <cfRule type="top10" dxfId="953" priority="29386" stopIfTrue="1" bottom="1" rank="2"/>
    <cfRule type="top10" dxfId="952" priority="29387" stopIfTrue="1" bottom="1" rank="3"/>
    <cfRule type="top10" dxfId="951" priority="29388" stopIfTrue="1" bottom="1" rank="4"/>
    <cfRule type="top10" dxfId="950" priority="29389" stopIfTrue="1" bottom="1" rank="5"/>
    <cfRule type="top10" dxfId="949" priority="29390" stopIfTrue="1" rank="1"/>
    <cfRule type="top10" dxfId="948" priority="29391" stopIfTrue="1" rank="2"/>
    <cfRule type="top10" dxfId="947" priority="29392" stopIfTrue="1" rank="3"/>
  </conditionalFormatting>
  <conditionalFormatting sqref="E61 G61 I61">
    <cfRule type="top10" dxfId="946" priority="29410" stopIfTrue="1" bottom="1" rank="2"/>
    <cfRule type="top10" dxfId="945" priority="29415" stopIfTrue="1" rank="2"/>
    <cfRule type="top10" dxfId="944" priority="29409" stopIfTrue="1" bottom="1" rank="1"/>
    <cfRule type="top10" dxfId="943" priority="29416" stopIfTrue="1" rank="3"/>
    <cfRule type="top10" dxfId="942" priority="29411" stopIfTrue="1" bottom="1" rank="3"/>
    <cfRule type="top10" dxfId="941" priority="29412" stopIfTrue="1" bottom="1" rank="4"/>
    <cfRule type="top10" dxfId="940" priority="29413" stopIfTrue="1" bottom="1" rank="5"/>
    <cfRule type="top10" dxfId="939" priority="29414" stopIfTrue="1" rank="1"/>
  </conditionalFormatting>
  <conditionalFormatting sqref="E62 G62 I62">
    <cfRule type="top10" dxfId="938" priority="29440" stopIfTrue="1" rank="3"/>
    <cfRule type="top10" dxfId="937" priority="29439" stopIfTrue="1" rank="2"/>
    <cfRule type="top10" dxfId="936" priority="29433" stopIfTrue="1" bottom="1" rank="1"/>
    <cfRule type="top10" dxfId="935" priority="29434" stopIfTrue="1" bottom="1" rank="2"/>
    <cfRule type="top10" dxfId="934" priority="29435" stopIfTrue="1" bottom="1" rank="3"/>
    <cfRule type="top10" dxfId="933" priority="29436" stopIfTrue="1" bottom="1" rank="4"/>
    <cfRule type="top10" dxfId="932" priority="29437" stopIfTrue="1" bottom="1" rank="5"/>
    <cfRule type="top10" dxfId="931" priority="29438" stopIfTrue="1" rank="1"/>
  </conditionalFormatting>
  <conditionalFormatting sqref="E63 G63 I63">
    <cfRule type="top10" dxfId="930" priority="29457" stopIfTrue="1" bottom="1" rank="1"/>
    <cfRule type="top10" dxfId="929" priority="29458" stopIfTrue="1" bottom="1" rank="2"/>
    <cfRule type="top10" dxfId="928" priority="29459" stopIfTrue="1" bottom="1" rank="3"/>
    <cfRule type="top10" dxfId="927" priority="29460" stopIfTrue="1" bottom="1" rank="4"/>
    <cfRule type="top10" dxfId="926" priority="29461" stopIfTrue="1" bottom="1" rank="5"/>
    <cfRule type="top10" dxfId="925" priority="29462" stopIfTrue="1" rank="1"/>
    <cfRule type="top10" dxfId="924" priority="29463" stopIfTrue="1" rank="2"/>
    <cfRule type="top10" dxfId="923" priority="29464" stopIfTrue="1" rank="3"/>
  </conditionalFormatting>
  <conditionalFormatting sqref="E64 G64 I64">
    <cfRule type="top10" dxfId="922" priority="29487" stopIfTrue="1" rank="2"/>
    <cfRule type="top10" dxfId="921" priority="29488" stopIfTrue="1" rank="3"/>
    <cfRule type="top10" dxfId="920" priority="29481" stopIfTrue="1" bottom="1" rank="1"/>
    <cfRule type="top10" dxfId="919" priority="29482" stopIfTrue="1" bottom="1" rank="2"/>
    <cfRule type="top10" dxfId="918" priority="29483" stopIfTrue="1" bottom="1" rank="3"/>
    <cfRule type="top10" dxfId="917" priority="29484" stopIfTrue="1" bottom="1" rank="4"/>
    <cfRule type="top10" dxfId="916" priority="29485" stopIfTrue="1" bottom="1" rank="5"/>
    <cfRule type="top10" dxfId="915" priority="29486" stopIfTrue="1" rank="1"/>
  </conditionalFormatting>
  <conditionalFormatting sqref="E74 G74 I74">
    <cfRule type="top10" dxfId="914" priority="29512" stopIfTrue="1" rank="3"/>
    <cfRule type="top10" dxfId="913" priority="29511" stopIfTrue="1" rank="2"/>
    <cfRule type="top10" dxfId="912" priority="29505" stopIfTrue="1" bottom="1" rank="1"/>
    <cfRule type="top10" dxfId="911" priority="29506" stopIfTrue="1" bottom="1" rank="2"/>
    <cfRule type="top10" dxfId="910" priority="29507" stopIfTrue="1" bottom="1" rank="3"/>
    <cfRule type="top10" dxfId="909" priority="29508" stopIfTrue="1" bottom="1" rank="4"/>
    <cfRule type="top10" dxfId="908" priority="29509" stopIfTrue="1" bottom="1" rank="5"/>
    <cfRule type="top10" dxfId="907" priority="29510" stopIfTrue="1" rank="1"/>
  </conditionalFormatting>
  <conditionalFormatting sqref="E81 G81 I81">
    <cfRule type="top10" dxfId="906" priority="29529" stopIfTrue="1" bottom="1" rank="1"/>
    <cfRule type="top10" dxfId="905" priority="29530" stopIfTrue="1" bottom="1" rank="2"/>
    <cfRule type="top10" dxfId="904" priority="29531" stopIfTrue="1" bottom="1" rank="3"/>
    <cfRule type="top10" dxfId="903" priority="29532" stopIfTrue="1" bottom="1" rank="4"/>
    <cfRule type="top10" dxfId="902" priority="29533" stopIfTrue="1" bottom="1" rank="5"/>
    <cfRule type="top10" dxfId="901" priority="29534" stopIfTrue="1" rank="1"/>
    <cfRule type="top10" dxfId="900" priority="29535" stopIfTrue="1" rank="2"/>
    <cfRule type="top10" dxfId="899" priority="29536" stopIfTrue="1" rank="3"/>
  </conditionalFormatting>
  <conditionalFormatting sqref="E82 G82 I82">
    <cfRule type="top10" dxfId="898" priority="29553" stopIfTrue="1" bottom="1" rank="1"/>
    <cfRule type="top10" dxfId="897" priority="29554" stopIfTrue="1" bottom="1" rank="2"/>
    <cfRule type="top10" dxfId="896" priority="29555" stopIfTrue="1" bottom="1" rank="3"/>
    <cfRule type="top10" dxfId="895" priority="29556" stopIfTrue="1" bottom="1" rank="4"/>
    <cfRule type="top10" dxfId="894" priority="29557" stopIfTrue="1" bottom="1" rank="5"/>
    <cfRule type="top10" dxfId="893" priority="29558" stopIfTrue="1" rank="1"/>
    <cfRule type="top10" dxfId="892" priority="29559" stopIfTrue="1" rank="2"/>
    <cfRule type="top10" dxfId="891" priority="29560" stopIfTrue="1" rank="3"/>
  </conditionalFormatting>
  <conditionalFormatting sqref="E83 G83 I83">
    <cfRule type="top10" dxfId="890" priority="29579" stopIfTrue="1" bottom="1" rank="3"/>
    <cfRule type="top10" dxfId="889" priority="29578" stopIfTrue="1" bottom="1" rank="2"/>
    <cfRule type="top10" dxfId="888" priority="29577" stopIfTrue="1" bottom="1" rank="1"/>
    <cfRule type="top10" dxfId="887" priority="29580" stopIfTrue="1" bottom="1" rank="4"/>
    <cfRule type="top10" dxfId="886" priority="29581" stopIfTrue="1" bottom="1" rank="5"/>
    <cfRule type="top10" dxfId="885" priority="29582" stopIfTrue="1" rank="1"/>
    <cfRule type="top10" dxfId="884" priority="29583" stopIfTrue="1" rank="2"/>
    <cfRule type="top10" dxfId="883" priority="29584" stopIfTrue="1" rank="3"/>
  </conditionalFormatting>
  <conditionalFormatting sqref="E84 G84 I84">
    <cfRule type="top10" dxfId="882" priority="29601" stopIfTrue="1" bottom="1" rank="1"/>
    <cfRule type="top10" dxfId="881" priority="29602" stopIfTrue="1" bottom="1" rank="2"/>
    <cfRule type="top10" dxfId="880" priority="29603" stopIfTrue="1" bottom="1" rank="3"/>
    <cfRule type="top10" dxfId="879" priority="29604" stopIfTrue="1" bottom="1" rank="4"/>
    <cfRule type="top10" dxfId="878" priority="29605" stopIfTrue="1" bottom="1" rank="5"/>
    <cfRule type="top10" dxfId="877" priority="29606" stopIfTrue="1" rank="1"/>
    <cfRule type="top10" dxfId="876" priority="29607" stopIfTrue="1" rank="2"/>
    <cfRule type="top10" dxfId="875" priority="29608" stopIfTrue="1" rank="3"/>
  </conditionalFormatting>
  <conditionalFormatting sqref="E85 G85 I85">
    <cfRule type="top10" dxfId="874" priority="29630" stopIfTrue="1" rank="2"/>
    <cfRule type="top10" dxfId="873" priority="29631" stopIfTrue="1" rank="3"/>
    <cfRule type="top10" dxfId="872" priority="29625" stopIfTrue="1" bottom="1" rank="2"/>
    <cfRule type="top10" dxfId="871" priority="29626" stopIfTrue="1" bottom="1" rank="3"/>
    <cfRule type="top10" dxfId="870" priority="29627" stopIfTrue="1" bottom="1" rank="4"/>
    <cfRule type="top10" dxfId="869" priority="29628" stopIfTrue="1" bottom="1" rank="5"/>
    <cfRule type="top10" dxfId="868" priority="29629" stopIfTrue="1" rank="1"/>
  </conditionalFormatting>
  <conditionalFormatting sqref="E85">
    <cfRule type="top10" dxfId="867" priority="5081" stopIfTrue="1" bottom="1" rank="1"/>
  </conditionalFormatting>
  <conditionalFormatting sqref="E86 G86 I86">
    <cfRule type="top10" dxfId="866" priority="29653" stopIfTrue="1" rank="3"/>
    <cfRule type="top10" dxfId="865" priority="29646" stopIfTrue="1" bottom="1" rank="1"/>
    <cfRule type="top10" dxfId="864" priority="29647" stopIfTrue="1" bottom="1" rank="2"/>
    <cfRule type="top10" dxfId="863" priority="29648" stopIfTrue="1" bottom="1" rank="3"/>
    <cfRule type="top10" dxfId="862" priority="29649" stopIfTrue="1" bottom="1" rank="4"/>
    <cfRule type="top10" dxfId="861" priority="29650" stopIfTrue="1" bottom="1" rank="5"/>
    <cfRule type="top10" dxfId="860" priority="29651" stopIfTrue="1" rank="1"/>
    <cfRule type="top10" dxfId="859" priority="29652" stopIfTrue="1" rank="2"/>
  </conditionalFormatting>
  <conditionalFormatting sqref="E88 G88 I88">
    <cfRule type="top10" dxfId="858" priority="29670" stopIfTrue="1" bottom="1" rank="1"/>
    <cfRule type="top10" dxfId="857" priority="29671" stopIfTrue="1" bottom="1" rank="2"/>
    <cfRule type="top10" dxfId="856" priority="29672" stopIfTrue="1" bottom="1" rank="3"/>
    <cfRule type="top10" dxfId="855" priority="29673" stopIfTrue="1" bottom="1" rank="4"/>
    <cfRule type="top10" dxfId="854" priority="29674" stopIfTrue="1" bottom="1" rank="5"/>
    <cfRule type="top10" dxfId="853" priority="29675" stopIfTrue="1" rank="1"/>
    <cfRule type="top10" dxfId="852" priority="29676" stopIfTrue="1" rank="2"/>
    <cfRule type="top10" dxfId="851" priority="29677" stopIfTrue="1" rank="3"/>
  </conditionalFormatting>
  <conditionalFormatting sqref="E102">
    <cfRule type="top10" dxfId="850" priority="5000" stopIfTrue="1" rank="3"/>
  </conditionalFormatting>
  <conditionalFormatting sqref="E104 G104 I104">
    <cfRule type="top10" dxfId="849" priority="29694" stopIfTrue="1" bottom="1" rank="1"/>
    <cfRule type="top10" dxfId="848" priority="29695" stopIfTrue="1" bottom="1" rank="2"/>
    <cfRule type="top10" dxfId="847" priority="29696" stopIfTrue="1" bottom="1" rank="3"/>
    <cfRule type="top10" dxfId="846" priority="29697" stopIfTrue="1" bottom="1" rank="4"/>
    <cfRule type="top10" dxfId="845" priority="29698" stopIfTrue="1" bottom="1" rank="5"/>
    <cfRule type="top10" dxfId="844" priority="29699" stopIfTrue="1" rank="1"/>
    <cfRule type="top10" dxfId="843" priority="29700" stopIfTrue="1" rank="2"/>
    <cfRule type="top10" dxfId="842" priority="29701" stopIfTrue="1" rank="3"/>
  </conditionalFormatting>
  <conditionalFormatting sqref="E106 G106 I106">
    <cfRule type="top10" dxfId="841" priority="29718" stopIfTrue="1" bottom="1" rank="1"/>
    <cfRule type="top10" dxfId="840" priority="29719" stopIfTrue="1" bottom="1" rank="2"/>
    <cfRule type="top10" dxfId="839" priority="29720" stopIfTrue="1" bottom="1" rank="3"/>
    <cfRule type="top10" dxfId="838" priority="29721" stopIfTrue="1" bottom="1" rank="4"/>
    <cfRule type="top10" dxfId="837" priority="29722" stopIfTrue="1" bottom="1" rank="5"/>
    <cfRule type="top10" dxfId="836" priority="29723" stopIfTrue="1" rank="1"/>
    <cfRule type="top10" dxfId="835" priority="29724" stopIfTrue="1" rank="2"/>
    <cfRule type="top10" dxfId="834" priority="29725" stopIfTrue="1" rank="3"/>
  </conditionalFormatting>
  <conditionalFormatting sqref="E107 G107 I107">
    <cfRule type="top10" dxfId="833" priority="29742" stopIfTrue="1" bottom="1" rank="1"/>
    <cfRule type="top10" dxfId="832" priority="29743" stopIfTrue="1" bottom="1" rank="2"/>
    <cfRule type="top10" dxfId="831" priority="29744" stopIfTrue="1" bottom="1" rank="3"/>
    <cfRule type="top10" dxfId="830" priority="29745" stopIfTrue="1" bottom="1" rank="4"/>
    <cfRule type="top10" dxfId="829" priority="29746" stopIfTrue="1" bottom="1" rank="5"/>
    <cfRule type="top10" dxfId="828" priority="29747" stopIfTrue="1" rank="1"/>
    <cfRule type="top10" dxfId="827" priority="29748" stopIfTrue="1" rank="2"/>
    <cfRule type="top10" dxfId="826" priority="29749" stopIfTrue="1" rank="3"/>
  </conditionalFormatting>
  <conditionalFormatting sqref="E109 G109 I109">
    <cfRule type="top10" dxfId="825" priority="29766" stopIfTrue="1" bottom="1" rank="1"/>
    <cfRule type="top10" dxfId="824" priority="29767" stopIfTrue="1" bottom="1" rank="2"/>
    <cfRule type="top10" dxfId="823" priority="29768" stopIfTrue="1" bottom="1" rank="3"/>
    <cfRule type="top10" dxfId="822" priority="29769" stopIfTrue="1" bottom="1" rank="4"/>
    <cfRule type="top10" dxfId="821" priority="29770" stopIfTrue="1" bottom="1" rank="5"/>
    <cfRule type="top10" dxfId="820" priority="29771" stopIfTrue="1" rank="1"/>
    <cfRule type="top10" dxfId="819" priority="29772" stopIfTrue="1" rank="2"/>
    <cfRule type="top10" dxfId="818" priority="29773" stopIfTrue="1" rank="3"/>
  </conditionalFormatting>
  <conditionalFormatting sqref="E110 G110 I110">
    <cfRule type="top10" dxfId="817" priority="29790" stopIfTrue="1" bottom="1" rank="1"/>
    <cfRule type="top10" dxfId="816" priority="29791" stopIfTrue="1" bottom="1" rank="2"/>
    <cfRule type="top10" dxfId="815" priority="29792" stopIfTrue="1" bottom="1" rank="3"/>
    <cfRule type="top10" dxfId="814" priority="29793" stopIfTrue="1" bottom="1" rank="4"/>
    <cfRule type="top10" dxfId="813" priority="29794" stopIfTrue="1" bottom="1" rank="5"/>
    <cfRule type="top10" dxfId="812" priority="29795" stopIfTrue="1" rank="1"/>
    <cfRule type="top10" dxfId="811" priority="29796" stopIfTrue="1" rank="2"/>
    <cfRule type="top10" dxfId="810" priority="29797" stopIfTrue="1" rank="3"/>
  </conditionalFormatting>
  <conditionalFormatting sqref="E111 G111 I111">
    <cfRule type="top10" dxfId="809" priority="29814" stopIfTrue="1" bottom="1" rank="1"/>
    <cfRule type="top10" dxfId="808" priority="29815" stopIfTrue="1" bottom="1" rank="2"/>
    <cfRule type="top10" dxfId="807" priority="29816" stopIfTrue="1" bottom="1" rank="3"/>
    <cfRule type="top10" dxfId="806" priority="29817" stopIfTrue="1" bottom="1" rank="4"/>
    <cfRule type="top10" dxfId="805" priority="29818" stopIfTrue="1" bottom="1" rank="5"/>
    <cfRule type="top10" dxfId="804" priority="29819" stopIfTrue="1" rank="1"/>
    <cfRule type="top10" dxfId="803" priority="29820" stopIfTrue="1" rank="2"/>
    <cfRule type="top10" dxfId="802" priority="29821" stopIfTrue="1" rank="3"/>
  </conditionalFormatting>
  <conditionalFormatting sqref="E112 G112 I112">
    <cfRule type="top10" dxfId="801" priority="29838" stopIfTrue="1" bottom="1" rank="1"/>
    <cfRule type="top10" dxfId="800" priority="29839" stopIfTrue="1" bottom="1" rank="2"/>
    <cfRule type="top10" dxfId="799" priority="29840" stopIfTrue="1" bottom="1" rank="3"/>
    <cfRule type="top10" dxfId="798" priority="29841" stopIfTrue="1" bottom="1" rank="4"/>
    <cfRule type="top10" dxfId="797" priority="29842" stopIfTrue="1" bottom="1" rank="5"/>
    <cfRule type="top10" dxfId="796" priority="29843" stopIfTrue="1" rank="1"/>
    <cfRule type="top10" dxfId="795" priority="29844" stopIfTrue="1" rank="2"/>
    <cfRule type="top10" dxfId="794" priority="29845" stopIfTrue="1" rank="3"/>
  </conditionalFormatting>
  <conditionalFormatting sqref="E113 G113 I113">
    <cfRule type="top10" dxfId="793" priority="29862" stopIfTrue="1" bottom="1" rank="1"/>
    <cfRule type="top10" dxfId="792" priority="29863" stopIfTrue="1" bottom="1" rank="2"/>
    <cfRule type="top10" dxfId="791" priority="29864" stopIfTrue="1" bottom="1" rank="3"/>
    <cfRule type="top10" dxfId="790" priority="29865" stopIfTrue="1" bottom="1" rank="4"/>
    <cfRule type="top10" dxfId="789" priority="29866" stopIfTrue="1" bottom="1" rank="5"/>
    <cfRule type="top10" dxfId="788" priority="29867" stopIfTrue="1" rank="1"/>
    <cfRule type="top10" dxfId="787" priority="29868" stopIfTrue="1" rank="2"/>
    <cfRule type="top10" dxfId="786" priority="29869" stopIfTrue="1" rank="3"/>
  </conditionalFormatting>
  <conditionalFormatting sqref="E114 G114 I114">
    <cfRule type="top10" dxfId="785" priority="29886" stopIfTrue="1" bottom="1" rank="1"/>
    <cfRule type="top10" dxfId="784" priority="29887" stopIfTrue="1" bottom="1" rank="2"/>
    <cfRule type="top10" dxfId="783" priority="29888" stopIfTrue="1" bottom="1" rank="3"/>
    <cfRule type="top10" dxfId="782" priority="29889" stopIfTrue="1" bottom="1" rank="4"/>
    <cfRule type="top10" dxfId="781" priority="29890" stopIfTrue="1" bottom="1" rank="5"/>
    <cfRule type="top10" dxfId="780" priority="29891" stopIfTrue="1" rank="1"/>
    <cfRule type="top10" dxfId="779" priority="29892" stopIfTrue="1" rank="2"/>
    <cfRule type="top10" dxfId="778" priority="29893" stopIfTrue="1" rank="3"/>
  </conditionalFormatting>
  <conditionalFormatting sqref="E115 G115 I115">
    <cfRule type="top10" dxfId="777" priority="29910" stopIfTrue="1" bottom="1" rank="1"/>
    <cfRule type="top10" dxfId="776" priority="29911" stopIfTrue="1" bottom="1" rank="2"/>
    <cfRule type="top10" dxfId="775" priority="29912" stopIfTrue="1" bottom="1" rank="3"/>
    <cfRule type="top10" dxfId="774" priority="29913" stopIfTrue="1" bottom="1" rank="4"/>
    <cfRule type="top10" dxfId="773" priority="29914" stopIfTrue="1" bottom="1" rank="5"/>
    <cfRule type="top10" dxfId="772" priority="29915" stopIfTrue="1" rank="1"/>
    <cfRule type="top10" dxfId="771" priority="29916" stopIfTrue="1" rank="2"/>
    <cfRule type="top10" dxfId="770" priority="29917" stopIfTrue="1" rank="3"/>
  </conditionalFormatting>
  <conditionalFormatting sqref="E145 G145 I145">
    <cfRule type="top10" dxfId="769" priority="29982" stopIfTrue="1" bottom="1" rank="1"/>
    <cfRule type="top10" dxfId="768" priority="29983" stopIfTrue="1" bottom="1" rank="2"/>
    <cfRule type="top10" dxfId="767" priority="29984" stopIfTrue="1" bottom="1" rank="3"/>
    <cfRule type="top10" dxfId="766" priority="29985" stopIfTrue="1" bottom="1" rank="4"/>
    <cfRule type="top10" dxfId="765" priority="29986" stopIfTrue="1" bottom="1" rank="5"/>
    <cfRule type="top10" dxfId="764" priority="29987" stopIfTrue="1" rank="1"/>
    <cfRule type="top10" dxfId="763" priority="29988" stopIfTrue="1" rank="2"/>
    <cfRule type="top10" dxfId="762" priority="29989" stopIfTrue="1" rank="3"/>
  </conditionalFormatting>
  <conditionalFormatting sqref="E146 G146 I146">
    <cfRule type="top10" dxfId="761" priority="30006" stopIfTrue="1" bottom="1" rank="1"/>
    <cfRule type="top10" dxfId="760" priority="30007" stopIfTrue="1" bottom="1" rank="2"/>
    <cfRule type="top10" dxfId="759" priority="30008" stopIfTrue="1" bottom="1" rank="3"/>
    <cfRule type="top10" dxfId="758" priority="30009" stopIfTrue="1" bottom="1" rank="4"/>
    <cfRule type="top10" dxfId="757" priority="30010" stopIfTrue="1" bottom="1" rank="5"/>
    <cfRule type="top10" dxfId="756" priority="30011" stopIfTrue="1" rank="1"/>
    <cfRule type="top10" dxfId="755" priority="30012" stopIfTrue="1" rank="2"/>
    <cfRule type="top10" dxfId="754" priority="30013" stopIfTrue="1" rank="3"/>
  </conditionalFormatting>
  <conditionalFormatting sqref="E147 G147 I147">
    <cfRule type="top10" dxfId="753" priority="30030" stopIfTrue="1" bottom="1" rank="1"/>
    <cfRule type="top10" dxfId="752" priority="30031" stopIfTrue="1" bottom="1" rank="2"/>
    <cfRule type="top10" dxfId="751" priority="30032" stopIfTrue="1" bottom="1" rank="3"/>
    <cfRule type="top10" dxfId="750" priority="30033" stopIfTrue="1" bottom="1" rank="4"/>
    <cfRule type="top10" dxfId="749" priority="30034" stopIfTrue="1" bottom="1" rank="5"/>
    <cfRule type="top10" dxfId="748" priority="30035" stopIfTrue="1" rank="1"/>
    <cfRule type="top10" dxfId="747" priority="30036" stopIfTrue="1" rank="2"/>
    <cfRule type="top10" dxfId="746" priority="30037" stopIfTrue="1" rank="3"/>
  </conditionalFormatting>
  <conditionalFormatting sqref="E148 G148 I148">
    <cfRule type="top10" dxfId="745" priority="30058" stopIfTrue="1" bottom="1" rank="5"/>
    <cfRule type="top10" dxfId="744" priority="30054" stopIfTrue="1" bottom="1" rank="1"/>
    <cfRule type="top10" dxfId="743" priority="30055" stopIfTrue="1" bottom="1" rank="2"/>
    <cfRule type="top10" dxfId="742" priority="30056" stopIfTrue="1" bottom="1" rank="3"/>
    <cfRule type="top10" dxfId="741" priority="30057" stopIfTrue="1" bottom="1" rank="4"/>
    <cfRule type="top10" dxfId="740" priority="30059" stopIfTrue="1" rank="1"/>
    <cfRule type="top10" dxfId="739" priority="30060" stopIfTrue="1" rank="2"/>
    <cfRule type="top10" dxfId="738" priority="30061" stopIfTrue="1" rank="3"/>
  </conditionalFormatting>
  <conditionalFormatting sqref="E149 G149 I149">
    <cfRule type="top10" dxfId="737" priority="30079" stopIfTrue="1" bottom="1" rank="2"/>
    <cfRule type="top10" dxfId="736" priority="30080" stopIfTrue="1" bottom="1" rank="3"/>
    <cfRule type="top10" dxfId="735" priority="30081" stopIfTrue="1" bottom="1" rank="4"/>
    <cfRule type="top10" dxfId="734" priority="30082" stopIfTrue="1" bottom="1" rank="5"/>
    <cfRule type="top10" dxfId="733" priority="30083" stopIfTrue="1" rank="1"/>
    <cfRule type="top10" dxfId="732" priority="30084" stopIfTrue="1" rank="2"/>
    <cfRule type="top10" dxfId="731" priority="30085" stopIfTrue="1" rank="3"/>
    <cfRule type="top10" dxfId="730" priority="30078" stopIfTrue="1" bottom="1" rank="1"/>
  </conditionalFormatting>
  <conditionalFormatting sqref="E152 G152 I152">
    <cfRule type="top10" dxfId="729" priority="30109" stopIfTrue="1" rank="3"/>
    <cfRule type="top10" dxfId="728" priority="30102" stopIfTrue="1" bottom="1" rank="1"/>
    <cfRule type="top10" dxfId="727" priority="30103" stopIfTrue="1" bottom="1" rank="2"/>
    <cfRule type="top10" dxfId="726" priority="30104" stopIfTrue="1" bottom="1" rank="3"/>
    <cfRule type="top10" dxfId="725" priority="30105" stopIfTrue="1" bottom="1" rank="4"/>
    <cfRule type="top10" dxfId="724" priority="30106" stopIfTrue="1" bottom="1" rank="5"/>
    <cfRule type="top10" dxfId="723" priority="30107" stopIfTrue="1" rank="1"/>
    <cfRule type="top10" dxfId="722" priority="30108" stopIfTrue="1" rank="2"/>
  </conditionalFormatting>
  <conditionalFormatting sqref="E162 G162 I162">
    <cfRule type="top10" dxfId="721" priority="30150" stopIfTrue="1" bottom="1" rank="1"/>
    <cfRule type="top10" dxfId="720" priority="30151" stopIfTrue="1" bottom="1" rank="2"/>
    <cfRule type="top10" dxfId="719" priority="30152" stopIfTrue="1" bottom="1" rank="3"/>
    <cfRule type="top10" dxfId="718" priority="30153" stopIfTrue="1" bottom="1" rank="4"/>
    <cfRule type="top10" dxfId="717" priority="30154" stopIfTrue="1" bottom="1" rank="5"/>
    <cfRule type="top10" dxfId="716" priority="30155" stopIfTrue="1" rank="1"/>
    <cfRule type="top10" dxfId="715" priority="30156" stopIfTrue="1" rank="2"/>
    <cfRule type="top10" dxfId="714" priority="30157" stopIfTrue="1" rank="3"/>
  </conditionalFormatting>
  <conditionalFormatting sqref="E170 G170 I170">
    <cfRule type="top10" dxfId="713" priority="30227" stopIfTrue="1" rank="1"/>
    <cfRule type="top10" dxfId="712" priority="30229" stopIfTrue="1" rank="3"/>
    <cfRule type="top10" dxfId="711" priority="30228" stopIfTrue="1" rank="2"/>
    <cfRule type="top10" dxfId="710" priority="30226" stopIfTrue="1" bottom="1" rank="5"/>
    <cfRule type="top10" dxfId="709" priority="30225" stopIfTrue="1" bottom="1" rank="4"/>
    <cfRule type="top10" dxfId="708" priority="30224" stopIfTrue="1" bottom="1" rank="3"/>
    <cfRule type="top10" dxfId="707" priority="30223" stopIfTrue="1" bottom="1" rank="2"/>
    <cfRule type="top10" dxfId="706" priority="30222" stopIfTrue="1" bottom="1" rank="1"/>
  </conditionalFormatting>
  <conditionalFormatting sqref="E171 G171 I171">
    <cfRule type="top10" dxfId="705" priority="30253" stopIfTrue="1" rank="3"/>
    <cfRule type="top10" dxfId="704" priority="30247" stopIfTrue="1" bottom="1" rank="2"/>
    <cfRule type="top10" dxfId="703" priority="30248" stopIfTrue="1" bottom="1" rank="3"/>
    <cfRule type="top10" dxfId="702" priority="30249" stopIfTrue="1" bottom="1" rank="4"/>
    <cfRule type="top10" dxfId="701" priority="30250" stopIfTrue="1" bottom="1" rank="5"/>
    <cfRule type="top10" dxfId="700" priority="30251" stopIfTrue="1" rank="1"/>
    <cfRule type="top10" dxfId="699" priority="30252" stopIfTrue="1" rank="2"/>
    <cfRule type="top10" dxfId="698" priority="30246" stopIfTrue="1" bottom="1" rank="1"/>
  </conditionalFormatting>
  <conditionalFormatting sqref="E173 G173 I173">
    <cfRule type="top10" dxfId="697" priority="30276" stopIfTrue="1" rank="2"/>
    <cfRule type="top10" dxfId="696" priority="30270" stopIfTrue="1" bottom="1" rank="1"/>
    <cfRule type="top10" dxfId="695" priority="30272" stopIfTrue="1" bottom="1" rank="3"/>
    <cfRule type="top10" dxfId="694" priority="30271" stopIfTrue="1" bottom="1" rank="2"/>
    <cfRule type="top10" dxfId="693" priority="30273" stopIfTrue="1" bottom="1" rank="4"/>
    <cfRule type="top10" dxfId="692" priority="30274" stopIfTrue="1" bottom="1" rank="5"/>
    <cfRule type="top10" dxfId="691" priority="30275" stopIfTrue="1" rank="1"/>
    <cfRule type="top10" dxfId="690" priority="30277" stopIfTrue="1" rank="3"/>
  </conditionalFormatting>
  <conditionalFormatting sqref="E177 G177 I177">
    <cfRule type="top10" dxfId="689" priority="30301" stopIfTrue="1" rank="3"/>
    <cfRule type="top10" dxfId="688" priority="30296" stopIfTrue="1" bottom="1" rank="3"/>
    <cfRule type="top10" dxfId="687" priority="30294" stopIfTrue="1" bottom="1" rank="1"/>
    <cfRule type="top10" dxfId="686" priority="30295" stopIfTrue="1" bottom="1" rank="2"/>
    <cfRule type="top10" dxfId="685" priority="30297" stopIfTrue="1" bottom="1" rank="4"/>
    <cfRule type="top10" dxfId="684" priority="30298" stopIfTrue="1" bottom="1" rank="5"/>
    <cfRule type="top10" dxfId="683" priority="30299" stopIfTrue="1" rank="1"/>
    <cfRule type="top10" dxfId="682" priority="30300" stopIfTrue="1" rank="2"/>
  </conditionalFormatting>
  <conditionalFormatting sqref="E178 G178 I178">
    <cfRule type="top10" dxfId="681" priority="30321" stopIfTrue="1" bottom="1" rank="4"/>
    <cfRule type="top10" dxfId="680" priority="30320" stopIfTrue="1" bottom="1" rank="3"/>
    <cfRule type="top10" dxfId="679" priority="30319" stopIfTrue="1" bottom="1" rank="2"/>
    <cfRule type="top10" dxfId="678" priority="30325" stopIfTrue="1" rank="3"/>
    <cfRule type="top10" dxfId="677" priority="30324" stopIfTrue="1" rank="2"/>
    <cfRule type="top10" dxfId="676" priority="30323" stopIfTrue="1" rank="1"/>
    <cfRule type="top10" dxfId="675" priority="30322" stopIfTrue="1" bottom="1" rank="5"/>
    <cfRule type="top10" dxfId="674" priority="30318" stopIfTrue="1" bottom="1" rank="1"/>
  </conditionalFormatting>
  <conditionalFormatting sqref="E182 G182 I182">
    <cfRule type="top10" dxfId="673" priority="30346" stopIfTrue="1" bottom="1" rank="5"/>
    <cfRule type="top10" dxfId="672" priority="30348" stopIfTrue="1" rank="2"/>
    <cfRule type="top10" dxfId="671" priority="30347" stopIfTrue="1" rank="1"/>
    <cfRule type="top10" dxfId="670" priority="30349" stopIfTrue="1" rank="3"/>
    <cfRule type="top10" dxfId="669" priority="30343" stopIfTrue="1" bottom="1" rank="2"/>
    <cfRule type="top10" dxfId="668" priority="30342" stopIfTrue="1" bottom="1" rank="1"/>
    <cfRule type="top10" dxfId="667" priority="30344" stopIfTrue="1" bottom="1" rank="3"/>
    <cfRule type="top10" dxfId="666" priority="30345" stopIfTrue="1" bottom="1" rank="4"/>
  </conditionalFormatting>
  <conditionalFormatting sqref="E188 G188 I188">
    <cfRule type="top10" dxfId="665" priority="30393" stopIfTrue="1" bottom="1" rank="4"/>
    <cfRule type="top10" dxfId="664" priority="30392" stopIfTrue="1" bottom="1" rank="3"/>
    <cfRule type="top10" dxfId="663" priority="30391" stopIfTrue="1" bottom="1" rank="2"/>
    <cfRule type="top10" dxfId="662" priority="30394" stopIfTrue="1" bottom="1" rank="5"/>
    <cfRule type="top10" dxfId="661" priority="30395" stopIfTrue="1" rank="1"/>
    <cfRule type="top10" dxfId="660" priority="30396" stopIfTrue="1" rank="2"/>
    <cfRule type="top10" dxfId="659" priority="30397" stopIfTrue="1" rank="3"/>
    <cfRule type="top10" dxfId="658" priority="30390" stopIfTrue="1" bottom="1" rank="1"/>
  </conditionalFormatting>
  <conditionalFormatting sqref="E189 G189 I189">
    <cfRule type="top10" dxfId="657" priority="30418" stopIfTrue="1" bottom="1" rank="5"/>
    <cfRule type="top10" dxfId="656" priority="30420" stopIfTrue="1" rank="2"/>
    <cfRule type="top10" dxfId="655" priority="30421" stopIfTrue="1" rank="3"/>
    <cfRule type="top10" dxfId="654" priority="30414" stopIfTrue="1" bottom="1" rank="1"/>
    <cfRule type="top10" dxfId="653" priority="30415" stopIfTrue="1" bottom="1" rank="2"/>
    <cfRule type="top10" dxfId="652" priority="30419" stopIfTrue="1" rank="1"/>
    <cfRule type="top10" dxfId="651" priority="30416" stopIfTrue="1" bottom="1" rank="3"/>
    <cfRule type="top10" dxfId="650" priority="30417" stopIfTrue="1" bottom="1" rank="4"/>
  </conditionalFormatting>
  <conditionalFormatting sqref="E192 G192 I192">
    <cfRule type="top10" dxfId="649" priority="30438" stopIfTrue="1" bottom="1" rank="1"/>
    <cfRule type="top10" dxfId="648" priority="30439" stopIfTrue="1" bottom="1" rank="2"/>
    <cfRule type="top10" dxfId="647" priority="30440" stopIfTrue="1" bottom="1" rank="3"/>
    <cfRule type="top10" dxfId="646" priority="30441" stopIfTrue="1" bottom="1" rank="4"/>
    <cfRule type="top10" dxfId="645" priority="30442" stopIfTrue="1" bottom="1" rank="5"/>
    <cfRule type="top10" dxfId="644" priority="30443" stopIfTrue="1" rank="1"/>
    <cfRule type="top10" dxfId="643" priority="30444" stopIfTrue="1" rank="2"/>
    <cfRule type="top10" dxfId="642" priority="30445" stopIfTrue="1" rank="3"/>
  </conditionalFormatting>
  <conditionalFormatting sqref="E194:E195 G194:G195 I194:I195">
    <cfRule type="top10" dxfId="641" priority="30462" stopIfTrue="1" bottom="1" rank="1"/>
    <cfRule type="top10" dxfId="640" priority="30463" stopIfTrue="1" bottom="1" rank="2"/>
    <cfRule type="top10" dxfId="639" priority="30464" stopIfTrue="1" bottom="1" rank="3"/>
    <cfRule type="top10" dxfId="638" priority="30465" stopIfTrue="1" bottom="1" rank="4"/>
    <cfRule type="top10" dxfId="637" priority="30466" stopIfTrue="1" bottom="1" rank="5"/>
    <cfRule type="top10" dxfId="636" priority="30467" stopIfTrue="1" rank="1"/>
    <cfRule type="top10" dxfId="635" priority="30468" stopIfTrue="1" rank="2"/>
    <cfRule type="top10" dxfId="634" priority="30469" stopIfTrue="1" rank="3"/>
  </conditionalFormatting>
  <conditionalFormatting sqref="E213 G213 I213">
    <cfRule type="top10" dxfId="633" priority="30606" stopIfTrue="1" bottom="1" rank="1"/>
    <cfRule type="top10" dxfId="632" priority="30607" stopIfTrue="1" bottom="1" rank="2"/>
    <cfRule type="top10" dxfId="631" priority="30608" stopIfTrue="1" bottom="1" rank="3"/>
    <cfRule type="top10" dxfId="630" priority="30609" stopIfTrue="1" bottom="1" rank="4"/>
    <cfRule type="top10" dxfId="629" priority="30610" stopIfTrue="1" bottom="1" rank="5"/>
    <cfRule type="top10" dxfId="628" priority="30611" stopIfTrue="1" rank="1"/>
    <cfRule type="top10" dxfId="627" priority="30612" stopIfTrue="1" rank="2"/>
    <cfRule type="top10" dxfId="626" priority="30613" stopIfTrue="1" rank="3"/>
  </conditionalFormatting>
  <conditionalFormatting sqref="E218 G218 I218">
    <cfRule type="top10" dxfId="625" priority="30630" stopIfTrue="1" bottom="1" rank="1"/>
    <cfRule type="top10" dxfId="624" priority="30631" stopIfTrue="1" bottom="1" rank="2"/>
    <cfRule type="top10" dxfId="623" priority="30632" stopIfTrue="1" bottom="1" rank="3"/>
    <cfRule type="top10" dxfId="622" priority="30634" stopIfTrue="1" bottom="1" rank="5"/>
    <cfRule type="top10" dxfId="621" priority="30633" stopIfTrue="1" bottom="1" rank="4"/>
    <cfRule type="top10" dxfId="620" priority="30635" stopIfTrue="1" rank="1"/>
    <cfRule type="top10" dxfId="619" priority="30636" stopIfTrue="1" rank="2"/>
    <cfRule type="top10" dxfId="618" priority="30637" stopIfTrue="1" rank="3"/>
  </conditionalFormatting>
  <conditionalFormatting sqref="E219 G219 I219">
    <cfRule type="top10" dxfId="617" priority="30655" stopIfTrue="1" bottom="1" rank="2"/>
    <cfRule type="top10" dxfId="616" priority="30656" stopIfTrue="1" bottom="1" rank="3"/>
    <cfRule type="top10" dxfId="615" priority="30657" stopIfTrue="1" bottom="1" rank="4"/>
    <cfRule type="top10" dxfId="614" priority="30658" stopIfTrue="1" bottom="1" rank="5"/>
    <cfRule type="top10" dxfId="613" priority="30659" stopIfTrue="1" rank="1"/>
    <cfRule type="top10" dxfId="612" priority="30660" stopIfTrue="1" rank="2"/>
    <cfRule type="top10" dxfId="611" priority="30661" stopIfTrue="1" rank="3"/>
    <cfRule type="top10" dxfId="610" priority="30654" stopIfTrue="1" bottom="1" rank="1"/>
  </conditionalFormatting>
  <conditionalFormatting sqref="E224:E225">
    <cfRule type="top10" dxfId="609" priority="4380" stopIfTrue="1" bottom="1" rank="4"/>
    <cfRule type="top10" dxfId="608" priority="4381" stopIfTrue="1" bottom="1" rank="5"/>
    <cfRule type="top10" dxfId="607" priority="4382" stopIfTrue="1" rank="1"/>
    <cfRule type="top10" dxfId="606" priority="4383" stopIfTrue="1" rank="2"/>
    <cfRule type="top10" dxfId="605" priority="4384" stopIfTrue="1" rank="3"/>
    <cfRule type="top10" dxfId="604" priority="4377" stopIfTrue="1" bottom="1" rank="1"/>
    <cfRule type="top10" dxfId="603" priority="4378" stopIfTrue="1" bottom="1" rank="2"/>
    <cfRule type="top10" dxfId="602" priority="4379" stopIfTrue="1" bottom="1" rank="3"/>
  </conditionalFormatting>
  <conditionalFormatting sqref="E39:G39 I39:J39">
    <cfRule type="top10" dxfId="601" priority="31004" stopIfTrue="1" bottom="1" rank="4"/>
    <cfRule type="top10" dxfId="600" priority="31001" stopIfTrue="1" bottom="1" rank="1"/>
    <cfRule type="top10" dxfId="599" priority="31002" stopIfTrue="1" bottom="1" rank="2"/>
    <cfRule type="top10" dxfId="598" priority="31003" stopIfTrue="1" bottom="1" rank="3"/>
    <cfRule type="top10" dxfId="597" priority="31005" stopIfTrue="1" bottom="1" rank="5"/>
    <cfRule type="top10" dxfId="596" priority="31006" stopIfTrue="1" rank="1"/>
    <cfRule type="top10" dxfId="595" priority="31007" stopIfTrue="1" rank="2"/>
    <cfRule type="top10" dxfId="594" priority="31008" stopIfTrue="1" rank="3"/>
  </conditionalFormatting>
  <conditionalFormatting sqref="E40:G40 I40:J40">
    <cfRule type="top10" dxfId="593" priority="31010" stopIfTrue="1" bottom="1" rank="2"/>
    <cfRule type="top10" dxfId="592" priority="31011" stopIfTrue="1" bottom="1" rank="3"/>
    <cfRule type="top10" dxfId="591" priority="31012" stopIfTrue="1" bottom="1" rank="4"/>
    <cfRule type="top10" dxfId="590" priority="31013" stopIfTrue="1" bottom="1" rank="5"/>
    <cfRule type="top10" dxfId="589" priority="31015" stopIfTrue="1" rank="2"/>
    <cfRule type="top10" dxfId="588" priority="31014" stopIfTrue="1" rank="1"/>
    <cfRule type="top10" dxfId="587" priority="31016" stopIfTrue="1" rank="3"/>
    <cfRule type="top10" dxfId="586" priority="31009" stopIfTrue="1" bottom="1" rank="1"/>
  </conditionalFormatting>
  <conditionalFormatting sqref="E41:G41 I41:J41">
    <cfRule type="top10" dxfId="585" priority="31017" stopIfTrue="1" bottom="1" rank="1"/>
    <cfRule type="top10" dxfId="584" priority="31023" stopIfTrue="1" rank="2"/>
    <cfRule type="top10" dxfId="583" priority="31018" stopIfTrue="1" bottom="1" rank="2"/>
    <cfRule type="top10" dxfId="582" priority="31019" stopIfTrue="1" bottom="1" rank="3"/>
    <cfRule type="top10" dxfId="581" priority="31020" stopIfTrue="1" bottom="1" rank="4"/>
    <cfRule type="top10" dxfId="580" priority="31021" stopIfTrue="1" bottom="1" rank="5"/>
    <cfRule type="top10" dxfId="579" priority="31022" stopIfTrue="1" rank="1"/>
    <cfRule type="top10" dxfId="578" priority="31024" stopIfTrue="1" rank="3"/>
  </conditionalFormatting>
  <conditionalFormatting sqref="E42:G42 I42:J42">
    <cfRule type="top10" dxfId="577" priority="31025" stopIfTrue="1" bottom="1" rank="1"/>
    <cfRule type="top10" dxfId="576" priority="31026" stopIfTrue="1" bottom="1" rank="2"/>
    <cfRule type="top10" dxfId="575" priority="31027" stopIfTrue="1" bottom="1" rank="3"/>
    <cfRule type="top10" dxfId="574" priority="31028" stopIfTrue="1" bottom="1" rank="4"/>
    <cfRule type="top10" dxfId="573" priority="31029" stopIfTrue="1" bottom="1" rank="5"/>
    <cfRule type="top10" dxfId="572" priority="31030" stopIfTrue="1" rank="1"/>
    <cfRule type="top10" dxfId="571" priority="31031" stopIfTrue="1" rank="2"/>
    <cfRule type="top10" dxfId="570" priority="31032" stopIfTrue="1" rank="3"/>
  </conditionalFormatting>
  <conditionalFormatting sqref="E52:G52 I52:J52">
    <cfRule type="top10" dxfId="569" priority="31320" stopIfTrue="1" bottom="1" rank="1"/>
    <cfRule type="top10" dxfId="568" priority="31321" stopIfTrue="1" bottom="1" rank="2"/>
    <cfRule type="top10" dxfId="567" priority="31322" stopIfTrue="1" bottom="1" rank="3"/>
    <cfRule type="top10" dxfId="566" priority="31323" stopIfTrue="1" bottom="1" rank="4"/>
    <cfRule type="top10" dxfId="565" priority="31324" stopIfTrue="1" bottom="1" rank="5"/>
    <cfRule type="top10" dxfId="564" priority="31325" stopIfTrue="1" rank="1"/>
    <cfRule type="top10" dxfId="563" priority="31326" stopIfTrue="1" rank="2"/>
    <cfRule type="top10" dxfId="562" priority="31327" stopIfTrue="1" rank="3"/>
  </conditionalFormatting>
  <conditionalFormatting sqref="E56:G56 I56:J56">
    <cfRule type="top10" dxfId="561" priority="31033" stopIfTrue="1" bottom="1" rank="1"/>
    <cfRule type="top10" dxfId="560" priority="31034" stopIfTrue="1" bottom="1" rank="2"/>
    <cfRule type="top10" dxfId="559" priority="31035" stopIfTrue="1" bottom="1" rank="3"/>
    <cfRule type="top10" dxfId="558" priority="31036" stopIfTrue="1" bottom="1" rank="4"/>
    <cfRule type="top10" dxfId="557" priority="31037" stopIfTrue="1" bottom="1" rank="5"/>
    <cfRule type="top10" dxfId="556" priority="31038" stopIfTrue="1" rank="1"/>
    <cfRule type="top10" dxfId="555" priority="31039" stopIfTrue="1" rank="2"/>
    <cfRule type="top10" dxfId="554" priority="31040" stopIfTrue="1" rank="3"/>
  </conditionalFormatting>
  <conditionalFormatting sqref="E57:G57 I57:J57">
    <cfRule type="top10" dxfId="553" priority="31046" stopIfTrue="1" rank="1"/>
    <cfRule type="top10" dxfId="552" priority="31041" stopIfTrue="1" bottom="1" rank="1"/>
    <cfRule type="top10" dxfId="551" priority="31042" stopIfTrue="1" bottom="1" rank="2"/>
    <cfRule type="top10" dxfId="550" priority="31043" stopIfTrue="1" bottom="1" rank="3"/>
    <cfRule type="top10" dxfId="549" priority="31044" stopIfTrue="1" bottom="1" rank="4"/>
    <cfRule type="top10" dxfId="548" priority="31045" stopIfTrue="1" bottom="1" rank="5"/>
    <cfRule type="top10" dxfId="547" priority="31047" stopIfTrue="1" rank="2"/>
    <cfRule type="top10" dxfId="546" priority="31048" stopIfTrue="1" rank="3"/>
  </conditionalFormatting>
  <conditionalFormatting sqref="E65:G65 I65:J65">
    <cfRule type="top10" dxfId="545" priority="31328" stopIfTrue="1" bottom="1" rank="1"/>
    <cfRule type="top10" dxfId="544" priority="31329" stopIfTrue="1" bottom="1" rank="2"/>
    <cfRule type="top10" dxfId="543" priority="31330" stopIfTrue="1" bottom="1" rank="3"/>
    <cfRule type="top10" dxfId="542" priority="31331" stopIfTrue="1" bottom="1" rank="4"/>
    <cfRule type="top10" dxfId="541" priority="31332" stopIfTrue="1" bottom="1" rank="5"/>
    <cfRule type="top10" dxfId="540" priority="31333" stopIfTrue="1" rank="1"/>
    <cfRule type="top10" dxfId="539" priority="31334" stopIfTrue="1" rank="2"/>
    <cfRule type="top10" dxfId="538" priority="31335" stopIfTrue="1" rank="3"/>
  </conditionalFormatting>
  <conditionalFormatting sqref="E73:G73 I73:J73">
    <cfRule type="top10" dxfId="537" priority="31343" stopIfTrue="1" rank="3"/>
    <cfRule type="top10" dxfId="536" priority="31342" stopIfTrue="1" rank="2"/>
    <cfRule type="top10" dxfId="535" priority="31339" stopIfTrue="1" bottom="1" rank="4"/>
    <cfRule type="top10" dxfId="534" priority="31341" stopIfTrue="1" rank="1"/>
    <cfRule type="top10" dxfId="533" priority="31340" stopIfTrue="1" bottom="1" rank="5"/>
    <cfRule type="top10" dxfId="532" priority="31336" stopIfTrue="1" bottom="1" rank="1"/>
    <cfRule type="top10" dxfId="531" priority="31337" stopIfTrue="1" bottom="1" rank="2"/>
    <cfRule type="top10" dxfId="530" priority="31338" stopIfTrue="1" bottom="1" rank="3"/>
  </conditionalFormatting>
  <conditionalFormatting sqref="E75:G75 I75:J75">
    <cfRule type="top10" dxfId="529" priority="31347" stopIfTrue="1" bottom="1" rank="4"/>
    <cfRule type="top10" dxfId="528" priority="31346" stopIfTrue="1" bottom="1" rank="3"/>
    <cfRule type="top10" dxfId="527" priority="31345" stopIfTrue="1" bottom="1" rank="2"/>
    <cfRule type="top10" dxfId="526" priority="31344" stopIfTrue="1" bottom="1" rank="1"/>
    <cfRule type="top10" dxfId="525" priority="31348" stopIfTrue="1" bottom="1" rank="5"/>
    <cfRule type="top10" dxfId="524" priority="31349" stopIfTrue="1" rank="1"/>
    <cfRule type="top10" dxfId="523" priority="31350" stopIfTrue="1" rank="2"/>
    <cfRule type="top10" dxfId="522" priority="31351" stopIfTrue="1" rank="3"/>
  </conditionalFormatting>
  <conditionalFormatting sqref="E78:G78 I78:J78">
    <cfRule type="top10" dxfId="521" priority="31359" stopIfTrue="1" rank="3"/>
    <cfRule type="top10" dxfId="520" priority="31352" stopIfTrue="1" bottom="1" rank="1"/>
    <cfRule type="top10" dxfId="519" priority="31353" stopIfTrue="1" bottom="1" rank="2"/>
    <cfRule type="top10" dxfId="518" priority="31354" stopIfTrue="1" bottom="1" rank="3"/>
    <cfRule type="top10" dxfId="517" priority="31355" stopIfTrue="1" bottom="1" rank="4"/>
    <cfRule type="top10" dxfId="516" priority="31356" stopIfTrue="1" bottom="1" rank="5"/>
    <cfRule type="top10" dxfId="515" priority="31357" stopIfTrue="1" rank="1"/>
    <cfRule type="top10" dxfId="514" priority="31358" stopIfTrue="1" rank="2"/>
  </conditionalFormatting>
  <conditionalFormatting sqref="E79:G79 I79:J79">
    <cfRule type="top10" dxfId="513" priority="31054" stopIfTrue="1" rank="1"/>
    <cfRule type="top10" dxfId="512" priority="31053" stopIfTrue="1" bottom="1" rank="5"/>
    <cfRule type="top10" dxfId="511" priority="31052" stopIfTrue="1" bottom="1" rank="4"/>
    <cfRule type="top10" dxfId="510" priority="31051" stopIfTrue="1" bottom="1" rank="3"/>
    <cfRule type="top10" dxfId="509" priority="31050" stopIfTrue="1" bottom="1" rank="2"/>
    <cfRule type="top10" dxfId="508" priority="31056" stopIfTrue="1" rank="3"/>
    <cfRule type="top10" dxfId="507" priority="31055" stopIfTrue="1" rank="2"/>
    <cfRule type="top10" dxfId="506" priority="31049" stopIfTrue="1" bottom="1" rank="1"/>
  </conditionalFormatting>
  <conditionalFormatting sqref="E90:G90 I90:J90">
    <cfRule type="top10" dxfId="505" priority="31367" stopIfTrue="1" rank="3"/>
    <cfRule type="top10" dxfId="504" priority="31360" stopIfTrue="1" bottom="1" rank="1"/>
    <cfRule type="top10" dxfId="503" priority="31361" stopIfTrue="1" bottom="1" rank="2"/>
    <cfRule type="top10" dxfId="502" priority="31362" stopIfTrue="1" bottom="1" rank="3"/>
    <cfRule type="top10" dxfId="501" priority="31363" stopIfTrue="1" bottom="1" rank="4"/>
    <cfRule type="top10" dxfId="500" priority="31364" stopIfTrue="1" bottom="1" rank="5"/>
    <cfRule type="top10" dxfId="499" priority="31365" stopIfTrue="1" rank="1"/>
    <cfRule type="top10" dxfId="498" priority="31366" stopIfTrue="1" rank="2"/>
  </conditionalFormatting>
  <conditionalFormatting sqref="E91:G91 I91:J91">
    <cfRule type="top10" dxfId="497" priority="31057" stopIfTrue="1" bottom="1" rank="1"/>
    <cfRule type="top10" dxfId="496" priority="31058" stopIfTrue="1" bottom="1" rank="2"/>
    <cfRule type="top10" dxfId="495" priority="31059" stopIfTrue="1" bottom="1" rank="3"/>
    <cfRule type="top10" dxfId="494" priority="31060" stopIfTrue="1" bottom="1" rank="4"/>
    <cfRule type="top10" dxfId="493" priority="31061" stopIfTrue="1" bottom="1" rank="5"/>
    <cfRule type="top10" dxfId="492" priority="31062" stopIfTrue="1" rank="1"/>
    <cfRule type="top10" dxfId="491" priority="31063" stopIfTrue="1" rank="2"/>
    <cfRule type="top10" dxfId="490" priority="31064" stopIfTrue="1" rank="3"/>
  </conditionalFormatting>
  <conditionalFormatting sqref="E95:G95 I95:J95">
    <cfRule type="top10" dxfId="489" priority="31070" stopIfTrue="1" rank="1"/>
    <cfRule type="top10" dxfId="488" priority="31065" stopIfTrue="1" bottom="1" rank="1"/>
    <cfRule type="top10" dxfId="487" priority="31072" stopIfTrue="1" rank="3"/>
    <cfRule type="top10" dxfId="486" priority="31066" stopIfTrue="1" bottom="1" rank="2"/>
    <cfRule type="top10" dxfId="485" priority="31067" stopIfTrue="1" bottom="1" rank="3"/>
    <cfRule type="top10" dxfId="484" priority="31068" stopIfTrue="1" bottom="1" rank="4"/>
    <cfRule type="top10" dxfId="483" priority="31069" stopIfTrue="1" bottom="1" rank="5"/>
    <cfRule type="top10" dxfId="482" priority="31071" stopIfTrue="1" rank="2"/>
  </conditionalFormatting>
  <conditionalFormatting sqref="E96:G96 I96:J96">
    <cfRule type="top10" dxfId="481" priority="31076" stopIfTrue="1" bottom="1" rank="4"/>
    <cfRule type="top10" dxfId="480" priority="31075" stopIfTrue="1" bottom="1" rank="3"/>
    <cfRule type="top10" dxfId="479" priority="31074" stopIfTrue="1" bottom="1" rank="2"/>
    <cfRule type="top10" dxfId="478" priority="31077" stopIfTrue="1" bottom="1" rank="5"/>
    <cfRule type="top10" dxfId="477" priority="31073" stopIfTrue="1" bottom="1" rank="1"/>
    <cfRule type="top10" dxfId="476" priority="31080" stopIfTrue="1" rank="3"/>
    <cfRule type="top10" dxfId="475" priority="31079" stopIfTrue="1" rank="2"/>
    <cfRule type="top10" dxfId="474" priority="31078" stopIfTrue="1" rank="1"/>
  </conditionalFormatting>
  <conditionalFormatting sqref="E97:G97 I97:J97">
    <cfRule type="top10" dxfId="473" priority="31086" stopIfTrue="1" rank="1"/>
    <cfRule type="top10" dxfId="472" priority="31087" stopIfTrue="1" rank="2"/>
    <cfRule type="top10" dxfId="471" priority="31088" stopIfTrue="1" rank="3"/>
    <cfRule type="top10" dxfId="470" priority="31085" stopIfTrue="1" bottom="1" rank="5"/>
    <cfRule type="top10" dxfId="469" priority="31084" stopIfTrue="1" bottom="1" rank="4"/>
    <cfRule type="top10" dxfId="468" priority="31083" stopIfTrue="1" bottom="1" rank="3"/>
    <cfRule type="top10" dxfId="467" priority="31082" stopIfTrue="1" bottom="1" rank="2"/>
    <cfRule type="top10" dxfId="466" priority="31081" stopIfTrue="1" bottom="1" rank="1"/>
  </conditionalFormatting>
  <conditionalFormatting sqref="E98:G98 I98:J98">
    <cfRule type="top10" dxfId="465" priority="31096" stopIfTrue="1" rank="3"/>
    <cfRule type="top10" dxfId="464" priority="31095" stopIfTrue="1" rank="2"/>
    <cfRule type="top10" dxfId="463" priority="31094" stopIfTrue="1" rank="1"/>
    <cfRule type="top10" dxfId="462" priority="31091" stopIfTrue="1" bottom="1" rank="3"/>
    <cfRule type="top10" dxfId="461" priority="31090" stopIfTrue="1" bottom="1" rank="2"/>
    <cfRule type="top10" dxfId="460" priority="31089" stopIfTrue="1" bottom="1" rank="1"/>
    <cfRule type="top10" dxfId="459" priority="31093" stopIfTrue="1" bottom="1" rank="5"/>
    <cfRule type="top10" dxfId="458" priority="31092" stopIfTrue="1" bottom="1" rank="4"/>
  </conditionalFormatting>
  <conditionalFormatting sqref="E99:G99 I99:J99">
    <cfRule type="top10" dxfId="457" priority="31104" stopIfTrue="1" rank="3"/>
    <cfRule type="top10" dxfId="456" priority="31103" stopIfTrue="1" rank="2"/>
    <cfRule type="top10" dxfId="455" priority="31102" stopIfTrue="1" rank="1"/>
    <cfRule type="top10" dxfId="454" priority="31101" stopIfTrue="1" bottom="1" rank="5"/>
    <cfRule type="top10" dxfId="453" priority="31099" stopIfTrue="1" bottom="1" rank="3"/>
    <cfRule type="top10" dxfId="452" priority="31098" stopIfTrue="1" bottom="1" rank="2"/>
    <cfRule type="top10" dxfId="451" priority="31097" stopIfTrue="1" bottom="1" rank="1"/>
    <cfRule type="top10" dxfId="450" priority="31100" stopIfTrue="1" bottom="1" rank="4"/>
  </conditionalFormatting>
  <conditionalFormatting sqref="E100:G100 I100:J100">
    <cfRule type="top10" dxfId="449" priority="31110" stopIfTrue="1" rank="1"/>
    <cfRule type="top10" dxfId="448" priority="31109" stopIfTrue="1" bottom="1" rank="5"/>
    <cfRule type="top10" dxfId="447" priority="31108" stopIfTrue="1" bottom="1" rank="4"/>
    <cfRule type="top10" dxfId="446" priority="31107" stopIfTrue="1" bottom="1" rank="3"/>
    <cfRule type="top10" dxfId="445" priority="31106" stopIfTrue="1" bottom="1" rank="2"/>
    <cfRule type="top10" dxfId="444" priority="31105" stopIfTrue="1" bottom="1" rank="1"/>
    <cfRule type="top10" dxfId="443" priority="31112" stopIfTrue="1" rank="3"/>
    <cfRule type="top10" dxfId="442" priority="31111" stopIfTrue="1" rank="2"/>
  </conditionalFormatting>
  <conditionalFormatting sqref="E102:G102 I102:J102">
    <cfRule type="top10" dxfId="441" priority="31113" stopIfTrue="1" bottom="1" rank="1"/>
    <cfRule type="top10" dxfId="440" priority="31114" stopIfTrue="1" bottom="1" rank="2"/>
    <cfRule type="top10" dxfId="439" priority="31115" stopIfTrue="1" bottom="1" rank="3"/>
    <cfRule type="top10" dxfId="438" priority="31116" stopIfTrue="1" bottom="1" rank="4"/>
    <cfRule type="top10" dxfId="437" priority="31117" stopIfTrue="1" bottom="1" rank="5"/>
    <cfRule type="top10" dxfId="436" priority="31118" stopIfTrue="1" rank="1"/>
    <cfRule type="top10" dxfId="435" priority="31119" stopIfTrue="1" rank="2"/>
  </conditionalFormatting>
  <conditionalFormatting sqref="E116:G116 I116:J116">
    <cfRule type="top10" dxfId="434" priority="31123" stopIfTrue="1" bottom="1" rank="4"/>
    <cfRule type="top10" dxfId="433" priority="31127" stopIfTrue="1" rank="3"/>
    <cfRule type="top10" dxfId="432" priority="31126" stopIfTrue="1" rank="2"/>
    <cfRule type="top10" dxfId="431" priority="31125" stopIfTrue="1" rank="1"/>
    <cfRule type="top10" dxfId="430" priority="31120" stopIfTrue="1" bottom="1" rank="1"/>
    <cfRule type="top10" dxfId="429" priority="31124" stopIfTrue="1" bottom="1" rank="5"/>
    <cfRule type="top10" dxfId="428" priority="31122" stopIfTrue="1" bottom="1" rank="3"/>
    <cfRule type="top10" dxfId="427" priority="31121" stopIfTrue="1" bottom="1" rank="2"/>
  </conditionalFormatting>
  <conditionalFormatting sqref="E118:G118 I118:J118">
    <cfRule type="top10" dxfId="426" priority="31128" stopIfTrue="1" bottom="1" rank="1"/>
    <cfRule type="top10" dxfId="425" priority="31129" stopIfTrue="1" bottom="1" rank="2"/>
    <cfRule type="top10" dxfId="424" priority="31130" stopIfTrue="1" bottom="1" rank="3"/>
    <cfRule type="top10" dxfId="423" priority="31131" stopIfTrue="1" bottom="1" rank="4"/>
    <cfRule type="top10" dxfId="422" priority="31132" stopIfTrue="1" bottom="1" rank="5"/>
    <cfRule type="top10" dxfId="421" priority="31134" stopIfTrue="1" rank="2"/>
    <cfRule type="top10" dxfId="420" priority="31135" stopIfTrue="1" rank="3"/>
    <cfRule type="top10" dxfId="419" priority="31133" stopIfTrue="1" rank="1"/>
  </conditionalFormatting>
  <conditionalFormatting sqref="E119:G119 I119:J119">
    <cfRule type="top10" dxfId="418" priority="31136" stopIfTrue="1" bottom="1" rank="1"/>
    <cfRule type="top10" dxfId="417" priority="31137" stopIfTrue="1" bottom="1" rank="2"/>
    <cfRule type="top10" dxfId="416" priority="31138" stopIfTrue="1" bottom="1" rank="3"/>
    <cfRule type="top10" dxfId="415" priority="31139" stopIfTrue="1" bottom="1" rank="4"/>
    <cfRule type="top10" dxfId="414" priority="31140" stopIfTrue="1" bottom="1" rank="5"/>
    <cfRule type="top10" dxfId="413" priority="31141" stopIfTrue="1" rank="1"/>
    <cfRule type="top10" dxfId="412" priority="31142" stopIfTrue="1" rank="2"/>
    <cfRule type="top10" dxfId="411" priority="31143" stopIfTrue="1" rank="3"/>
  </conditionalFormatting>
  <conditionalFormatting sqref="E120:G120 I120:J120">
    <cfRule type="top10" dxfId="410" priority="31144" stopIfTrue="1" bottom="1" rank="1"/>
    <cfRule type="top10" dxfId="409" priority="31145" stopIfTrue="1" bottom="1" rank="2"/>
    <cfRule type="top10" dxfId="408" priority="31146" stopIfTrue="1" bottom="1" rank="3"/>
    <cfRule type="top10" dxfId="407" priority="31147" stopIfTrue="1" bottom="1" rank="4"/>
    <cfRule type="top10" dxfId="406" priority="31148" stopIfTrue="1" bottom="1" rank="5"/>
    <cfRule type="top10" dxfId="405" priority="31149" stopIfTrue="1" rank="1"/>
    <cfRule type="top10" dxfId="404" priority="31150" stopIfTrue="1" rank="2"/>
    <cfRule type="top10" dxfId="403" priority="31151" stopIfTrue="1" rank="3"/>
  </conditionalFormatting>
  <conditionalFormatting sqref="E121:G121 I121:J121">
    <cfRule type="top10" dxfId="402" priority="31152" stopIfTrue="1" bottom="1" rank="1"/>
    <cfRule type="top10" dxfId="401" priority="31153" stopIfTrue="1" bottom="1" rank="2"/>
    <cfRule type="top10" dxfId="400" priority="31154" stopIfTrue="1" bottom="1" rank="3"/>
    <cfRule type="top10" dxfId="399" priority="31155" stopIfTrue="1" bottom="1" rank="4"/>
    <cfRule type="top10" dxfId="398" priority="31156" stopIfTrue="1" bottom="1" rank="5"/>
    <cfRule type="top10" dxfId="397" priority="31157" stopIfTrue="1" rank="1"/>
    <cfRule type="top10" dxfId="396" priority="31158" stopIfTrue="1" rank="2"/>
    <cfRule type="top10" dxfId="395" priority="31159" stopIfTrue="1" rank="3"/>
  </conditionalFormatting>
  <conditionalFormatting sqref="E122:G122 I122:J122">
    <cfRule type="top10" dxfId="394" priority="31161" stopIfTrue="1" bottom="1" rank="2"/>
    <cfRule type="top10" dxfId="393" priority="31162" stopIfTrue="1" bottom="1" rank="3"/>
    <cfRule type="top10" dxfId="392" priority="31163" stopIfTrue="1" bottom="1" rank="4"/>
    <cfRule type="top10" dxfId="391" priority="31164" stopIfTrue="1" bottom="1" rank="5"/>
    <cfRule type="top10" dxfId="390" priority="31165" stopIfTrue="1" rank="1"/>
    <cfRule type="top10" dxfId="389" priority="31166" stopIfTrue="1" rank="2"/>
    <cfRule type="top10" dxfId="388" priority="31167" stopIfTrue="1" rank="3"/>
    <cfRule type="top10" dxfId="387" priority="31160" stopIfTrue="1" bottom="1" rank="1"/>
  </conditionalFormatting>
  <conditionalFormatting sqref="E123:G123 I123:J123">
    <cfRule type="top10" dxfId="386" priority="31171" stopIfTrue="1" bottom="1" rank="4"/>
    <cfRule type="top10" dxfId="385" priority="31175" stopIfTrue="1" rank="3"/>
    <cfRule type="top10" dxfId="384" priority="31174" stopIfTrue="1" rank="2"/>
    <cfRule type="top10" dxfId="383" priority="31173" stopIfTrue="1" rank="1"/>
    <cfRule type="top10" dxfId="382" priority="31172" stopIfTrue="1" bottom="1" rank="5"/>
    <cfRule type="top10" dxfId="381" priority="31170" stopIfTrue="1" bottom="1" rank="3"/>
    <cfRule type="top10" dxfId="380" priority="31169" stopIfTrue="1" bottom="1" rank="2"/>
    <cfRule type="top10" dxfId="379" priority="31168" stopIfTrue="1" bottom="1" rank="1"/>
  </conditionalFormatting>
  <conditionalFormatting sqref="E124:G124 I124:J124">
    <cfRule type="top10" dxfId="378" priority="31182" stopIfTrue="1" rank="2"/>
    <cfRule type="top10" dxfId="377" priority="31181" stopIfTrue="1" rank="1"/>
    <cfRule type="top10" dxfId="376" priority="31180" stopIfTrue="1" bottom="1" rank="5"/>
    <cfRule type="top10" dxfId="375" priority="31179" stopIfTrue="1" bottom="1" rank="4"/>
    <cfRule type="top10" dxfId="374" priority="31178" stopIfTrue="1" bottom="1" rank="3"/>
    <cfRule type="top10" dxfId="373" priority="31177" stopIfTrue="1" bottom="1" rank="2"/>
    <cfRule type="top10" dxfId="372" priority="31176" stopIfTrue="1" bottom="1" rank="1"/>
    <cfRule type="top10" dxfId="371" priority="31183" stopIfTrue="1" rank="3"/>
  </conditionalFormatting>
  <conditionalFormatting sqref="E125:G125 I125:J125">
    <cfRule type="top10" dxfId="370" priority="31188" stopIfTrue="1" bottom="1" rank="5"/>
    <cfRule type="top10" dxfId="369" priority="31189" stopIfTrue="1" rank="1"/>
    <cfRule type="top10" dxfId="368" priority="31190" stopIfTrue="1" rank="2"/>
    <cfRule type="top10" dxfId="367" priority="31191" stopIfTrue="1" rank="3"/>
    <cfRule type="top10" dxfId="366" priority="31187" stopIfTrue="1" bottom="1" rank="4"/>
    <cfRule type="top10" dxfId="365" priority="31186" stopIfTrue="1" bottom="1" rank="3"/>
    <cfRule type="top10" dxfId="364" priority="31185" stopIfTrue="1" bottom="1" rank="2"/>
    <cfRule type="top10" dxfId="363" priority="31184" stopIfTrue="1" bottom="1" rank="1"/>
  </conditionalFormatting>
  <conditionalFormatting sqref="E126:G126 I126:J126">
    <cfRule type="top10" dxfId="362" priority="31197" stopIfTrue="1" rank="1"/>
    <cfRule type="top10" dxfId="361" priority="31198" stopIfTrue="1" rank="2"/>
    <cfRule type="top10" dxfId="360" priority="31199" stopIfTrue="1" rank="3"/>
    <cfRule type="top10" dxfId="359" priority="31193" stopIfTrue="1" bottom="1" rank="2"/>
    <cfRule type="top10" dxfId="358" priority="31194" stopIfTrue="1" bottom="1" rank="3"/>
    <cfRule type="top10" dxfId="357" priority="31196" stopIfTrue="1" bottom="1" rank="5"/>
    <cfRule type="top10" dxfId="356" priority="31192" stopIfTrue="1" bottom="1" rank="1"/>
    <cfRule type="top10" dxfId="355" priority="31195" stopIfTrue="1" bottom="1" rank="4"/>
  </conditionalFormatting>
  <conditionalFormatting sqref="E131:G131 I131:J131">
    <cfRule type="top10" dxfId="354" priority="31203" stopIfTrue="1" bottom="1" rank="4"/>
    <cfRule type="top10" dxfId="353" priority="31205" stopIfTrue="1" rank="1"/>
    <cfRule type="top10" dxfId="352" priority="31206" stopIfTrue="1" rank="2"/>
    <cfRule type="top10" dxfId="351" priority="31207" stopIfTrue="1" rank="3"/>
    <cfRule type="top10" dxfId="350" priority="31204" stopIfTrue="1" bottom="1" rank="5"/>
    <cfRule type="top10" dxfId="349" priority="31200" stopIfTrue="1" bottom="1" rank="1"/>
    <cfRule type="top10" dxfId="348" priority="31201" stopIfTrue="1" bottom="1" rank="2"/>
    <cfRule type="top10" dxfId="347" priority="31202" stopIfTrue="1" bottom="1" rank="3"/>
  </conditionalFormatting>
  <conditionalFormatting sqref="E132:G132 I132:J132">
    <cfRule type="top10" dxfId="346" priority="31211" stopIfTrue="1" bottom="1" rank="4"/>
    <cfRule type="top10" dxfId="345" priority="31210" stopIfTrue="1" bottom="1" rank="3"/>
    <cfRule type="top10" dxfId="344" priority="31209" stopIfTrue="1" bottom="1" rank="2"/>
    <cfRule type="top10" dxfId="343" priority="31208" stopIfTrue="1" bottom="1" rank="1"/>
    <cfRule type="top10" dxfId="342" priority="31212" stopIfTrue="1" bottom="1" rank="5"/>
    <cfRule type="top10" dxfId="341" priority="31215" stopIfTrue="1" rank="3"/>
    <cfRule type="top10" dxfId="340" priority="31214" stopIfTrue="1" rank="2"/>
    <cfRule type="top10" dxfId="339" priority="31213" stopIfTrue="1" rank="1"/>
  </conditionalFormatting>
  <conditionalFormatting sqref="E134:G134 I134:J134">
    <cfRule type="top10" dxfId="338" priority="31220" stopIfTrue="1" bottom="1" rank="5"/>
    <cfRule type="top10" dxfId="337" priority="31219" stopIfTrue="1" bottom="1" rank="4"/>
    <cfRule type="top10" dxfId="336" priority="31223" stopIfTrue="1" rank="3"/>
    <cfRule type="top10" dxfId="335" priority="31222" stopIfTrue="1" rank="2"/>
    <cfRule type="top10" dxfId="334" priority="31221" stopIfTrue="1" rank="1"/>
    <cfRule type="top10" dxfId="333" priority="31218" stopIfTrue="1" bottom="1" rank="3"/>
    <cfRule type="top10" dxfId="332" priority="31217" stopIfTrue="1" bottom="1" rank="2"/>
    <cfRule type="top10" dxfId="331" priority="31216" stopIfTrue="1" bottom="1" rank="1"/>
  </conditionalFormatting>
  <conditionalFormatting sqref="E135:G135 I135:J135">
    <cfRule type="top10" dxfId="330" priority="31230" stopIfTrue="1" rank="2"/>
    <cfRule type="top10" dxfId="329" priority="31229" stopIfTrue="1" rank="1"/>
    <cfRule type="top10" dxfId="328" priority="31228" stopIfTrue="1" bottom="1" rank="5"/>
    <cfRule type="top10" dxfId="327" priority="31227" stopIfTrue="1" bottom="1" rank="4"/>
    <cfRule type="top10" dxfId="326" priority="31224" stopIfTrue="1" bottom="1" rank="1"/>
    <cfRule type="top10" dxfId="325" priority="31231" stopIfTrue="1" rank="3"/>
    <cfRule type="top10" dxfId="324" priority="31225" stopIfTrue="1" bottom="1" rank="2"/>
    <cfRule type="top10" dxfId="323" priority="31226" stopIfTrue="1" bottom="1" rank="3"/>
  </conditionalFormatting>
  <conditionalFormatting sqref="E136:G136 I136:J136">
    <cfRule type="top10" dxfId="322" priority="31239" stopIfTrue="1" rank="3"/>
    <cfRule type="top10" dxfId="321" priority="31232" stopIfTrue="1" bottom="1" rank="1"/>
    <cfRule type="top10" dxfId="320" priority="31233" stopIfTrue="1" bottom="1" rank="2"/>
    <cfRule type="top10" dxfId="319" priority="31234" stopIfTrue="1" bottom="1" rank="3"/>
    <cfRule type="top10" dxfId="318" priority="31235" stopIfTrue="1" bottom="1" rank="4"/>
    <cfRule type="top10" dxfId="317" priority="31236" stopIfTrue="1" bottom="1" rank="5"/>
    <cfRule type="top10" dxfId="316" priority="31237" stopIfTrue="1" rank="1"/>
    <cfRule type="top10" dxfId="315" priority="31238" stopIfTrue="1" rank="2"/>
  </conditionalFormatting>
  <conditionalFormatting sqref="E137:G137 I137:J137">
    <cfRule type="top10" dxfId="314" priority="31247" stopIfTrue="1" rank="3"/>
    <cfRule type="top10" dxfId="313" priority="31240" stopIfTrue="1" bottom="1" rank="1"/>
    <cfRule type="top10" dxfId="312" priority="31241" stopIfTrue="1" bottom="1" rank="2"/>
    <cfRule type="top10" dxfId="311" priority="31242" stopIfTrue="1" bottom="1" rank="3"/>
    <cfRule type="top10" dxfId="310" priority="31243" stopIfTrue="1" bottom="1" rank="4"/>
    <cfRule type="top10" dxfId="309" priority="31244" stopIfTrue="1" bottom="1" rank="5"/>
    <cfRule type="top10" dxfId="308" priority="31245" stopIfTrue="1" rank="1"/>
    <cfRule type="top10" dxfId="307" priority="31246" stopIfTrue="1" rank="2"/>
  </conditionalFormatting>
  <conditionalFormatting sqref="E138:G138 I138:J138">
    <cfRule type="top10" dxfId="306" priority="31248" stopIfTrue="1" bottom="1" rank="1"/>
    <cfRule type="top10" dxfId="305" priority="31249" stopIfTrue="1" bottom="1" rank="2"/>
    <cfRule type="top10" dxfId="304" priority="31250" stopIfTrue="1" bottom="1" rank="3"/>
    <cfRule type="top10" dxfId="303" priority="31251" stopIfTrue="1" bottom="1" rank="4"/>
    <cfRule type="top10" dxfId="302" priority="31252" stopIfTrue="1" bottom="1" rank="5"/>
    <cfRule type="top10" dxfId="301" priority="31253" stopIfTrue="1" rank="1"/>
    <cfRule type="top10" dxfId="300" priority="31254" stopIfTrue="1" rank="2"/>
    <cfRule type="top10" dxfId="299" priority="31255" stopIfTrue="1" rank="3"/>
  </conditionalFormatting>
  <conditionalFormatting sqref="E153:G153 I153:J153">
    <cfRule type="top10" dxfId="298" priority="31259" stopIfTrue="1" bottom="1" rank="4"/>
    <cfRule type="top10" dxfId="297" priority="31258" stopIfTrue="1" bottom="1" rank="3"/>
    <cfRule type="top10" dxfId="296" priority="31257" stopIfTrue="1" bottom="1" rank="2"/>
    <cfRule type="top10" dxfId="295" priority="31256" stopIfTrue="1" bottom="1" rank="1"/>
    <cfRule type="top10" dxfId="294" priority="31263" stopIfTrue="1" rank="3"/>
    <cfRule type="top10" dxfId="293" priority="31262" stopIfTrue="1" rank="2"/>
    <cfRule type="top10" dxfId="292" priority="31261" stopIfTrue="1" rank="1"/>
    <cfRule type="top10" dxfId="291" priority="31260" stopIfTrue="1" bottom="1" rank="5"/>
  </conditionalFormatting>
  <conditionalFormatting sqref="E154:G154 I154:J154">
    <cfRule type="top10" dxfId="290" priority="31267" stopIfTrue="1" bottom="1" rank="4"/>
    <cfRule type="top10" dxfId="289" priority="31271" stopIfTrue="1" rank="3"/>
    <cfRule type="top10" dxfId="288" priority="31270" stopIfTrue="1" rank="2"/>
    <cfRule type="top10" dxfId="287" priority="31269" stopIfTrue="1" rank="1"/>
    <cfRule type="top10" dxfId="286" priority="31268" stopIfTrue="1" bottom="1" rank="5"/>
    <cfRule type="top10" dxfId="285" priority="31266" stopIfTrue="1" bottom="1" rank="3"/>
    <cfRule type="top10" dxfId="284" priority="31264" stopIfTrue="1" bottom="1" rank="1"/>
    <cfRule type="top10" dxfId="283" priority="31265" stopIfTrue="1" bottom="1" rank="2"/>
  </conditionalFormatting>
  <conditionalFormatting sqref="E160:G161 I160:J161">
    <cfRule type="top10" dxfId="282" priority="31275" stopIfTrue="1" bottom="1" rank="4"/>
    <cfRule type="top10" dxfId="281" priority="31276" stopIfTrue="1" bottom="1" rank="5"/>
    <cfRule type="top10" dxfId="280" priority="31277" stopIfTrue="1" rank="1"/>
    <cfRule type="top10" dxfId="279" priority="31278" stopIfTrue="1" rank="2"/>
    <cfRule type="top10" dxfId="278" priority="31279" stopIfTrue="1" rank="3"/>
    <cfRule type="top10" dxfId="277" priority="31272" stopIfTrue="1" bottom="1" rank="1"/>
    <cfRule type="top10" dxfId="276" priority="31273" stopIfTrue="1" bottom="1" rank="2"/>
    <cfRule type="top10" dxfId="275" priority="31274" stopIfTrue="1" bottom="1" rank="3"/>
  </conditionalFormatting>
  <conditionalFormatting sqref="E174:G174 I174:J174">
    <cfRule type="top10" dxfId="274" priority="31286" stopIfTrue="1" rank="2"/>
    <cfRule type="top10" dxfId="273" priority="31285" stopIfTrue="1" rank="1"/>
    <cfRule type="top10" dxfId="272" priority="31283" stopIfTrue="1" bottom="1" rank="4"/>
    <cfRule type="top10" dxfId="271" priority="31284" stopIfTrue="1" bottom="1" rank="5"/>
    <cfRule type="top10" dxfId="270" priority="31282" stopIfTrue="1" bottom="1" rank="3"/>
    <cfRule type="top10" dxfId="269" priority="31281" stopIfTrue="1" bottom="1" rank="2"/>
    <cfRule type="top10" dxfId="268" priority="31280" stopIfTrue="1" bottom="1" rank="1"/>
    <cfRule type="top10" dxfId="267" priority="31287" stopIfTrue="1" rank="3"/>
  </conditionalFormatting>
  <conditionalFormatting sqref="E179:G179 I179:J179">
    <cfRule type="top10" dxfId="266" priority="31289" stopIfTrue="1" bottom="1" rank="2"/>
    <cfRule type="top10" dxfId="265" priority="31292" stopIfTrue="1" bottom="1" rank="5"/>
    <cfRule type="top10" dxfId="264" priority="31290" stopIfTrue="1" bottom="1" rank="3"/>
    <cfRule type="top10" dxfId="263" priority="31291" stopIfTrue="1" bottom="1" rank="4"/>
    <cfRule type="top10" dxfId="262" priority="31293" stopIfTrue="1" rank="1"/>
    <cfRule type="top10" dxfId="261" priority="31294" stopIfTrue="1" rank="2"/>
    <cfRule type="top10" dxfId="260" priority="31295" stopIfTrue="1" rank="3"/>
    <cfRule type="top10" dxfId="259" priority="31288" stopIfTrue="1" bottom="1" rank="1"/>
  </conditionalFormatting>
  <conditionalFormatting sqref="E193:G193 I193:J193">
    <cfRule type="top10" dxfId="258" priority="31300" stopIfTrue="1" bottom="1" rank="5"/>
    <cfRule type="top10" dxfId="257" priority="31303" stopIfTrue="1" rank="3"/>
    <cfRule type="top10" dxfId="256" priority="31302" stopIfTrue="1" rank="2"/>
    <cfRule type="top10" dxfId="255" priority="31301" stopIfTrue="1" rank="1"/>
    <cfRule type="top10" dxfId="254" priority="31299" stopIfTrue="1" bottom="1" rank="4"/>
    <cfRule type="top10" dxfId="253" priority="31298" stopIfTrue="1" bottom="1" rank="3"/>
    <cfRule type="top10" dxfId="252" priority="31297" stopIfTrue="1" bottom="1" rank="2"/>
    <cfRule type="top10" dxfId="251" priority="31296" stopIfTrue="1" bottom="1" rank="1"/>
  </conditionalFormatting>
  <conditionalFormatting sqref="E206:G206 I206:J206">
    <cfRule type="top10" dxfId="250" priority="31305" stopIfTrue="1" bottom="1" rank="2"/>
    <cfRule type="top10" dxfId="249" priority="31309" stopIfTrue="1" rank="1"/>
    <cfRule type="top10" dxfId="248" priority="31308" stopIfTrue="1" bottom="1" rank="5"/>
    <cfRule type="top10" dxfId="247" priority="31307" stopIfTrue="1" bottom="1" rank="4"/>
    <cfRule type="top10" dxfId="246" priority="31306" stopIfTrue="1" bottom="1" rank="3"/>
    <cfRule type="top10" dxfId="245" priority="31310" stopIfTrue="1" rank="2"/>
    <cfRule type="top10" dxfId="244" priority="31311" stopIfTrue="1" rank="3"/>
    <cfRule type="top10" dxfId="243" priority="31304" stopIfTrue="1" bottom="1" rank="1"/>
  </conditionalFormatting>
  <conditionalFormatting sqref="E209:G210 I209:J210">
    <cfRule type="top10" dxfId="242" priority="31317" stopIfTrue="1" rank="1"/>
    <cfRule type="top10" dxfId="241" priority="31318" stopIfTrue="1" rank="2"/>
    <cfRule type="top10" dxfId="240" priority="31312" stopIfTrue="1" bottom="1" rank="1"/>
    <cfRule type="top10" dxfId="239" priority="31316" stopIfTrue="1" bottom="1" rank="5"/>
    <cfRule type="top10" dxfId="238" priority="31315" stopIfTrue="1" bottom="1" rank="4"/>
    <cfRule type="top10" dxfId="237" priority="31314" stopIfTrue="1" bottom="1" rank="3"/>
    <cfRule type="top10" dxfId="236" priority="31319" stopIfTrue="1" rank="3"/>
    <cfRule type="top10" dxfId="235" priority="31313" stopIfTrue="1" bottom="1" rank="2"/>
  </conditionalFormatting>
  <conditionalFormatting sqref="E220:G221 I220:J221">
    <cfRule type="top10" dxfId="234" priority="31374" stopIfTrue="1" rank="2"/>
    <cfRule type="top10" dxfId="233" priority="31375" stopIfTrue="1" rank="3"/>
    <cfRule type="top10" dxfId="232" priority="31368" stopIfTrue="1" bottom="1" rank="1"/>
    <cfRule type="top10" dxfId="231" priority="31369" stopIfTrue="1" bottom="1" rank="2"/>
    <cfRule type="top10" dxfId="230" priority="31371" stopIfTrue="1" bottom="1" rank="4"/>
    <cfRule type="top10" dxfId="229" priority="31372" stopIfTrue="1" bottom="1" rank="5"/>
    <cfRule type="top10" dxfId="228" priority="31373" stopIfTrue="1" rank="1"/>
    <cfRule type="top10" dxfId="227" priority="31370" stopIfTrue="1" bottom="1" rank="3"/>
  </conditionalFormatting>
  <conditionalFormatting sqref="E222:G223 I222:J223">
    <cfRule type="top10" dxfId="226" priority="31383" stopIfTrue="1" rank="3"/>
    <cfRule type="top10" dxfId="225" priority="31382" stopIfTrue="1" rank="2"/>
    <cfRule type="top10" dxfId="224" priority="31376" stopIfTrue="1" bottom="1" rank="1"/>
    <cfRule type="top10" dxfId="223" priority="31377" stopIfTrue="1" bottom="1" rank="2"/>
    <cfRule type="top10" dxfId="222" priority="31378" stopIfTrue="1" bottom="1" rank="3"/>
    <cfRule type="top10" dxfId="221" priority="31379" stopIfTrue="1" bottom="1" rank="4"/>
    <cfRule type="top10" dxfId="220" priority="31380" stopIfTrue="1" bottom="1" rank="5"/>
    <cfRule type="top10" dxfId="219" priority="31381" stopIfTrue="1" rank="1"/>
  </conditionalFormatting>
  <conditionalFormatting sqref="F9 E8:J8">
    <cfRule type="top10" dxfId="218" priority="30970" stopIfTrue="1" bottom="1" rank="2"/>
    <cfRule type="top10" dxfId="217" priority="30969" stopIfTrue="1" bottom="1" rank="1"/>
    <cfRule type="top10" dxfId="216" priority="30976" stopIfTrue="1" rank="3"/>
    <cfRule type="top10" dxfId="215" priority="30975" stopIfTrue="1" rank="2"/>
    <cfRule type="top10" dxfId="214" priority="30974" stopIfTrue="1" rank="1"/>
    <cfRule type="top10" dxfId="213" priority="30971" stopIfTrue="1" bottom="1" rank="3"/>
    <cfRule type="top10" dxfId="212" priority="30972" stopIfTrue="1" bottom="1" rank="4"/>
    <cfRule type="top10" dxfId="211" priority="30973" stopIfTrue="1" bottom="1" rank="5"/>
  </conditionalFormatting>
  <conditionalFormatting sqref="F14:G14 I14">
    <cfRule type="top10" dxfId="210" priority="30678" stopIfTrue="1" bottom="1" rank="1"/>
    <cfRule type="top10" dxfId="209" priority="30679" stopIfTrue="1" bottom="1" rank="2"/>
    <cfRule type="top10" dxfId="208" priority="30681" stopIfTrue="1" bottom="1" rank="4"/>
    <cfRule type="top10" dxfId="207" priority="30682" stopIfTrue="1" bottom="1" rank="5"/>
    <cfRule type="top10" dxfId="206" priority="30683" stopIfTrue="1" rank="1"/>
    <cfRule type="top10" dxfId="205" priority="30684" stopIfTrue="1" rank="2"/>
    <cfRule type="top10" dxfId="204" priority="30685" stopIfTrue="1" rank="3"/>
    <cfRule type="top10" dxfId="203" priority="30680" stopIfTrue="1" bottom="1" rank="3"/>
  </conditionalFormatting>
  <conditionalFormatting sqref="G11 I11 E12">
    <cfRule type="top10" dxfId="202" priority="30694" stopIfTrue="1" bottom="1" rank="4"/>
  </conditionalFormatting>
  <conditionalFormatting sqref="G11:G12 I11:I12">
    <cfRule type="top10" dxfId="201" priority="30954" stopIfTrue="1" bottom="1" rank="2"/>
    <cfRule type="top10" dxfId="200" priority="30953" stopIfTrue="1" bottom="1" rank="1"/>
    <cfRule type="top10" dxfId="199" priority="30955" stopIfTrue="1" bottom="1" rank="3"/>
    <cfRule type="top10" dxfId="198" priority="30956" stopIfTrue="1" bottom="1" rank="4"/>
    <cfRule type="top10" dxfId="197" priority="30957" stopIfTrue="1" bottom="1" rank="5"/>
    <cfRule type="top10" dxfId="196" priority="30958" stopIfTrue="1" rank="1"/>
    <cfRule type="top10" dxfId="195" priority="30959" stopIfTrue="1" rank="2"/>
    <cfRule type="top10" dxfId="194" priority="30960" stopIfTrue="1" rank="3"/>
  </conditionalFormatting>
  <conditionalFormatting sqref="G13 I13">
    <cfRule type="top10" dxfId="193" priority="30701" stopIfTrue="1" rank="1"/>
    <cfRule type="top10" dxfId="192" priority="30703" stopIfTrue="1" rank="3"/>
    <cfRule type="top10" dxfId="191" priority="30699" stopIfTrue="1" bottom="1" rank="3"/>
    <cfRule type="top10" dxfId="190" priority="30702" stopIfTrue="1" rank="2"/>
    <cfRule type="top10" dxfId="189" priority="30697" stopIfTrue="1" bottom="1" rank="1"/>
    <cfRule type="top10" dxfId="188" priority="30698" stopIfTrue="1" bottom="1" rank="2"/>
    <cfRule type="top10" dxfId="187" priority="30700" stopIfTrue="1" bottom="1" rank="4"/>
  </conditionalFormatting>
  <conditionalFormatting sqref="G14 I14">
    <cfRule type="top10" dxfId="186" priority="30716" stopIfTrue="1" rank="2"/>
    <cfRule type="top10" dxfId="185" priority="30715" stopIfTrue="1" rank="1"/>
    <cfRule type="top10" dxfId="184" priority="30714" stopIfTrue="1" bottom="1" rank="4"/>
    <cfRule type="top10" dxfId="183" priority="30713" stopIfTrue="1" bottom="1" rank="3"/>
    <cfRule type="top10" dxfId="182" priority="30712" stopIfTrue="1" bottom="1" rank="2"/>
    <cfRule type="top10" dxfId="181" priority="30711" stopIfTrue="1" bottom="1" rank="1"/>
    <cfRule type="top10" dxfId="180" priority="30717" stopIfTrue="1" rank="3"/>
  </conditionalFormatting>
  <conditionalFormatting sqref="G15 I15">
    <cfRule type="top10" dxfId="179" priority="30731" stopIfTrue="1" rank="3"/>
    <cfRule type="top10" dxfId="178" priority="30728" stopIfTrue="1" bottom="1" rank="4"/>
    <cfRule type="top10" dxfId="177" priority="30727" stopIfTrue="1" bottom="1" rank="3"/>
    <cfRule type="top10" dxfId="176" priority="30725" stopIfTrue="1" bottom="1" rank="1"/>
    <cfRule type="top10" dxfId="175" priority="30726" stopIfTrue="1" bottom="1" rank="2"/>
    <cfRule type="top10" dxfId="174" priority="30730" stopIfTrue="1" rank="2"/>
    <cfRule type="top10" dxfId="173" priority="30729" stopIfTrue="1" rank="1"/>
  </conditionalFormatting>
  <conditionalFormatting sqref="G16:G42 I16:I42 I45:I126 G44:G126 G129:G154 I129:I154 I158:I213 G158:G213 G216:G424 I216:I424 I427:I496 G427:G496">
    <cfRule type="top10" dxfId="172" priority="30930" stopIfTrue="1" rank="3"/>
    <cfRule type="top10" dxfId="171" priority="30929" stopIfTrue="1" rank="2"/>
  </conditionalFormatting>
  <conditionalFormatting sqref="G17 I17">
    <cfRule type="top10" dxfId="170" priority="30743" stopIfTrue="1" rank="1"/>
    <cfRule type="top10" dxfId="169" priority="30742" stopIfTrue="1" bottom="1" rank="4"/>
    <cfRule type="top10" dxfId="168" priority="30740" stopIfTrue="1" bottom="1" rank="2"/>
    <cfRule type="top10" dxfId="167" priority="30741" stopIfTrue="1" bottom="1" rank="3"/>
    <cfRule type="top10" dxfId="166" priority="30739" stopIfTrue="1" bottom="1" rank="1"/>
    <cfRule type="top10" dxfId="165" priority="30745" stopIfTrue="1" rank="3"/>
    <cfRule type="top10" dxfId="164" priority="30744" stopIfTrue="1" rank="2"/>
  </conditionalFormatting>
  <conditionalFormatting sqref="G18 I18">
    <cfRule type="top10" dxfId="163" priority="30754" stopIfTrue="1" bottom="1" rank="2"/>
    <cfRule type="top10" dxfId="162" priority="30759" stopIfTrue="1" rank="3"/>
    <cfRule type="top10" dxfId="161" priority="30758" stopIfTrue="1" rank="2"/>
    <cfRule type="top10" dxfId="160" priority="30757" stopIfTrue="1" rank="1"/>
    <cfRule type="top10" dxfId="159" priority="30753" stopIfTrue="1" bottom="1" rank="1"/>
    <cfRule type="top10" dxfId="158" priority="30755" stopIfTrue="1" bottom="1" rank="3"/>
    <cfRule type="top10" dxfId="157" priority="30756" stopIfTrue="1" bottom="1" rank="4"/>
  </conditionalFormatting>
  <conditionalFormatting sqref="G19 I19">
    <cfRule type="top10" dxfId="156" priority="30772" stopIfTrue="1" rank="2"/>
    <cfRule type="top10" dxfId="155" priority="30771" stopIfTrue="1" rank="1"/>
    <cfRule type="top10" dxfId="154" priority="30769" stopIfTrue="1" bottom="1" rank="3"/>
    <cfRule type="top10" dxfId="153" priority="30767" stopIfTrue="1" bottom="1" rank="1"/>
    <cfRule type="top10" dxfId="152" priority="30768" stopIfTrue="1" bottom="1" rank="2"/>
    <cfRule type="top10" dxfId="151" priority="30773" stopIfTrue="1" rank="3"/>
    <cfRule type="top10" dxfId="150" priority="30770" stopIfTrue="1" bottom="1" rank="4"/>
  </conditionalFormatting>
  <conditionalFormatting sqref="G20 I20">
    <cfRule type="top10" dxfId="149" priority="30786" stopIfTrue="1" rank="2"/>
    <cfRule type="top10" dxfId="148" priority="30782" stopIfTrue="1" bottom="1" rank="2"/>
    <cfRule type="top10" dxfId="147" priority="30781" stopIfTrue="1" bottom="1" rank="1"/>
    <cfRule type="top10" dxfId="146" priority="30783" stopIfTrue="1" bottom="1" rank="3"/>
    <cfRule type="top10" dxfId="145" priority="30784" stopIfTrue="1" bottom="1" rank="4"/>
    <cfRule type="top10" dxfId="144" priority="30785" stopIfTrue="1" rank="1"/>
    <cfRule type="top10" dxfId="143" priority="30787" stopIfTrue="1" rank="3"/>
  </conditionalFormatting>
  <conditionalFormatting sqref="G22 I22">
    <cfRule type="top10" dxfId="142" priority="30795" stopIfTrue="1" bottom="1" rank="1"/>
    <cfRule type="top10" dxfId="141" priority="30801" stopIfTrue="1" rank="3"/>
    <cfRule type="top10" dxfId="140" priority="30799" stopIfTrue="1" rank="1"/>
    <cfRule type="top10" dxfId="139" priority="30798" stopIfTrue="1" bottom="1" rank="4"/>
    <cfRule type="top10" dxfId="138" priority="30797" stopIfTrue="1" bottom="1" rank="3"/>
    <cfRule type="top10" dxfId="137" priority="30796" stopIfTrue="1" bottom="1" rank="2"/>
    <cfRule type="top10" dxfId="136" priority="30800" stopIfTrue="1" rank="2"/>
  </conditionalFormatting>
  <conditionalFormatting sqref="G59 I59 E59">
    <cfRule type="top10" dxfId="135" priority="30815" stopIfTrue="1" rank="2"/>
    <cfRule type="top10" dxfId="134" priority="30816" stopIfTrue="1" rank="3"/>
    <cfRule type="top10" dxfId="133" priority="30811" stopIfTrue="1" bottom="1" rank="3"/>
    <cfRule type="top10" dxfId="132" priority="30809" stopIfTrue="1" bottom="1" rank="1"/>
    <cfRule type="top10" dxfId="131" priority="30810" stopIfTrue="1" bottom="1" rank="2"/>
    <cfRule type="top10" dxfId="130" priority="30812" stopIfTrue="1" bottom="1" rank="4"/>
    <cfRule type="top10" dxfId="129" priority="30813" stopIfTrue="1" bottom="1" rank="5"/>
    <cfRule type="top10" dxfId="128" priority="30814" stopIfTrue="1" rank="1"/>
  </conditionalFormatting>
  <conditionalFormatting sqref="G139:G140 I139:I140 E139:E140">
    <cfRule type="top10" dxfId="127" priority="29938" stopIfTrue="1" bottom="1" rank="5"/>
    <cfRule type="top10" dxfId="126" priority="29936" stopIfTrue="1" bottom="1" rank="3"/>
    <cfRule type="top10" dxfId="125" priority="29940" stopIfTrue="1" rank="2"/>
    <cfRule type="top10" dxfId="124" priority="29941" stopIfTrue="1" rank="3"/>
    <cfRule type="top10" dxfId="123" priority="29937" stopIfTrue="1" bottom="1" rank="4"/>
    <cfRule type="top10" dxfId="122" priority="29939" stopIfTrue="1" rank="1"/>
    <cfRule type="top10" dxfId="121" priority="29934" stopIfTrue="1" bottom="1" rank="1"/>
    <cfRule type="top10" dxfId="120" priority="29935" stopIfTrue="1" bottom="1" rank="2"/>
  </conditionalFormatting>
  <conditionalFormatting sqref="G141:G142 I141:I142 E141:E142">
    <cfRule type="top10" dxfId="119" priority="29964" stopIfTrue="1" rank="2"/>
    <cfRule type="top10" dxfId="118" priority="29965" stopIfTrue="1" rank="3"/>
    <cfRule type="top10" dxfId="117" priority="29961" stopIfTrue="1" bottom="1" rank="4"/>
    <cfRule type="top10" dxfId="116" priority="29958" stopIfTrue="1" bottom="1" rank="1"/>
    <cfRule type="top10" dxfId="115" priority="29959" stopIfTrue="1" bottom="1" rank="2"/>
    <cfRule type="top10" dxfId="114" priority="29960" stopIfTrue="1" bottom="1" rank="3"/>
    <cfRule type="top10" dxfId="113" priority="29962" stopIfTrue="1" bottom="1" rank="5"/>
    <cfRule type="top10" dxfId="112" priority="29963" stopIfTrue="1" rank="1"/>
  </conditionalFormatting>
  <conditionalFormatting sqref="G147 I147">
    <cfRule type="top10" dxfId="111" priority="30836" stopIfTrue="1" bottom="1" rank="4"/>
    <cfRule type="top10" dxfId="110" priority="30837" stopIfTrue="1" bottom="1" rank="5"/>
    <cfRule type="top10" dxfId="109" priority="30838" stopIfTrue="1" rank="1"/>
    <cfRule type="top10" dxfId="108" priority="30840" stopIfTrue="1" rank="3"/>
    <cfRule type="top10" dxfId="107" priority="30839" stopIfTrue="1" rank="2"/>
    <cfRule type="top10" dxfId="106" priority="30833" stopIfTrue="1" bottom="1" rank="1"/>
    <cfRule type="top10" dxfId="105" priority="30834" stopIfTrue="1" bottom="1" rank="2"/>
    <cfRule type="top10" dxfId="104" priority="30835" stopIfTrue="1" bottom="1" rank="3"/>
  </conditionalFormatting>
  <conditionalFormatting sqref="G158:G159 I158:I159 E158:E159">
    <cfRule type="top10" dxfId="103" priority="30129" stopIfTrue="1" bottom="1" rank="4"/>
    <cfRule type="top10" dxfId="102" priority="30128" stopIfTrue="1" bottom="1" rank="3"/>
    <cfRule type="top10" dxfId="101" priority="30126" stopIfTrue="1" bottom="1" rank="1"/>
    <cfRule type="top10" dxfId="100" priority="30127" stopIfTrue="1" bottom="1" rank="2"/>
    <cfRule type="top10" dxfId="99" priority="30130" stopIfTrue="1" bottom="1" rank="5"/>
    <cfRule type="top10" dxfId="98" priority="30131" stopIfTrue="1" rank="1"/>
    <cfRule type="top10" dxfId="97" priority="30132" stopIfTrue="1" rank="2"/>
    <cfRule type="top10" dxfId="96" priority="30133" stopIfTrue="1" rank="3"/>
  </conditionalFormatting>
  <conditionalFormatting sqref="G163:G164 I163:I164 E163:E164">
    <cfRule type="top10" dxfId="95" priority="30179" stopIfTrue="1" rank="1"/>
    <cfRule type="top10" dxfId="94" priority="30178" stopIfTrue="1" bottom="1" rank="5"/>
    <cfRule type="top10" dxfId="93" priority="30177" stopIfTrue="1" bottom="1" rank="4"/>
    <cfRule type="top10" dxfId="92" priority="30176" stopIfTrue="1" bottom="1" rank="3"/>
    <cfRule type="top10" dxfId="91" priority="30174" stopIfTrue="1" bottom="1" rank="1"/>
    <cfRule type="top10" dxfId="90" priority="30175" stopIfTrue="1" bottom="1" rank="2"/>
    <cfRule type="top10" dxfId="89" priority="30180" stopIfTrue="1" rank="2"/>
    <cfRule type="top10" dxfId="88" priority="30181" stopIfTrue="1" rank="3"/>
  </conditionalFormatting>
  <conditionalFormatting sqref="G167:G169 I167:I169 E167:E169">
    <cfRule type="top10" dxfId="87" priority="30198" stopIfTrue="1" bottom="1" rank="1"/>
    <cfRule type="top10" dxfId="86" priority="30200" stopIfTrue="1" bottom="1" rank="3"/>
    <cfRule type="top10" dxfId="85" priority="30201" stopIfTrue="1" bottom="1" rank="4"/>
    <cfRule type="top10" dxfId="84" priority="30202" stopIfTrue="1" bottom="1" rank="5"/>
    <cfRule type="top10" dxfId="83" priority="30203" stopIfTrue="1" rank="1"/>
    <cfRule type="top10" dxfId="82" priority="30204" stopIfTrue="1" rank="2"/>
    <cfRule type="top10" dxfId="81" priority="30205" stopIfTrue="1" rank="3"/>
    <cfRule type="top10" dxfId="80" priority="30199" stopIfTrue="1" bottom="1" rank="2"/>
  </conditionalFormatting>
  <conditionalFormatting sqref="G182 I182">
    <cfRule type="top10" dxfId="79" priority="30856" stopIfTrue="1" rank="3"/>
    <cfRule type="top10" dxfId="78" priority="30855" stopIfTrue="1" rank="2"/>
    <cfRule type="top10" dxfId="77" priority="30849" stopIfTrue="1" bottom="1" rank="1"/>
    <cfRule type="top10" dxfId="76" priority="30850" stopIfTrue="1" bottom="1" rank="2"/>
    <cfRule type="top10" dxfId="75" priority="30851" stopIfTrue="1" bottom="1" rank="3"/>
    <cfRule type="top10" dxfId="74" priority="30852" stopIfTrue="1" bottom="1" rank="4"/>
    <cfRule type="top10" dxfId="73" priority="30853" stopIfTrue="1" bottom="1" rank="5"/>
    <cfRule type="top10" dxfId="72" priority="30854" stopIfTrue="1" rank="1"/>
  </conditionalFormatting>
  <conditionalFormatting sqref="G183 I183 E183">
    <cfRule type="top10" dxfId="71" priority="30867" stopIfTrue="1" bottom="1" rank="3"/>
    <cfRule type="top10" dxfId="70" priority="30868" stopIfTrue="1" bottom="1" rank="4"/>
    <cfRule type="top10" dxfId="69" priority="30869" stopIfTrue="1" bottom="1" rank="5"/>
    <cfRule type="top10" dxfId="68" priority="30870" stopIfTrue="1" rank="1"/>
    <cfRule type="top10" dxfId="67" priority="30871" stopIfTrue="1" rank="2"/>
    <cfRule type="top10" dxfId="66" priority="30872" stopIfTrue="1" rank="3"/>
    <cfRule type="top10" dxfId="65" priority="30866" stopIfTrue="1" bottom="1" rank="2"/>
    <cfRule type="top10" dxfId="64" priority="30865" stopIfTrue="1" bottom="1" rank="1"/>
  </conditionalFormatting>
  <conditionalFormatting sqref="G184:G186 I184:I186 E184:E186">
    <cfRule type="top10" dxfId="63" priority="30367" stopIfTrue="1" bottom="1" rank="2"/>
    <cfRule type="top10" dxfId="62" priority="30370" stopIfTrue="1" bottom="1" rank="5"/>
    <cfRule type="top10" dxfId="61" priority="30373" stopIfTrue="1" rank="3"/>
    <cfRule type="top10" dxfId="60" priority="30372" stopIfTrue="1" rank="2"/>
    <cfRule type="top10" dxfId="59" priority="30371" stopIfTrue="1" rank="1"/>
    <cfRule type="top10" dxfId="58" priority="30369" stopIfTrue="1" bottom="1" rank="4"/>
    <cfRule type="top10" dxfId="57" priority="30366" stopIfTrue="1" bottom="1" rank="1"/>
    <cfRule type="top10" dxfId="56" priority="30368" stopIfTrue="1" bottom="1" rank="3"/>
  </conditionalFormatting>
  <conditionalFormatting sqref="G196:G197 I196:I197 E196:E197">
    <cfRule type="top10" dxfId="55" priority="30486" stopIfTrue="1" bottom="1" rank="1"/>
    <cfRule type="top10" dxfId="54" priority="30487" stopIfTrue="1" bottom="1" rank="2"/>
    <cfRule type="top10" dxfId="53" priority="30493" stopIfTrue="1" rank="3"/>
    <cfRule type="top10" dxfId="52" priority="30488" stopIfTrue="1" bottom="1" rank="3"/>
    <cfRule type="top10" dxfId="51" priority="30489" stopIfTrue="1" bottom="1" rank="4"/>
    <cfRule type="top10" dxfId="50" priority="30490" stopIfTrue="1" bottom="1" rank="5"/>
    <cfRule type="top10" dxfId="49" priority="30491" stopIfTrue="1" rank="1"/>
    <cfRule type="top10" dxfId="48" priority="30492" stopIfTrue="1" rank="2"/>
  </conditionalFormatting>
  <conditionalFormatting sqref="G198:G199 I198:I199 E198:E199">
    <cfRule type="top10" dxfId="47" priority="30515" stopIfTrue="1" rank="1"/>
    <cfRule type="top10" dxfId="46" priority="30516" stopIfTrue="1" rank="2"/>
    <cfRule type="top10" dxfId="45" priority="30517" stopIfTrue="1" rank="3"/>
    <cfRule type="top10" dxfId="44" priority="30514" stopIfTrue="1" bottom="1" rank="5"/>
    <cfRule type="top10" dxfId="43" priority="30513" stopIfTrue="1" bottom="1" rank="4"/>
    <cfRule type="top10" dxfId="42" priority="30512" stopIfTrue="1" bottom="1" rank="3"/>
    <cfRule type="top10" dxfId="41" priority="30511" stopIfTrue="1" bottom="1" rank="2"/>
    <cfRule type="top10" dxfId="40" priority="30510" stopIfTrue="1" bottom="1" rank="1"/>
  </conditionalFormatting>
  <conditionalFormatting sqref="G200:G201 I200:I201 E200:E201">
    <cfRule type="top10" dxfId="39" priority="30534" stopIfTrue="1" bottom="1" rank="1"/>
    <cfRule type="top10" dxfId="38" priority="30535" stopIfTrue="1" bottom="1" rank="2"/>
    <cfRule type="top10" dxfId="37" priority="30536" stopIfTrue="1" bottom="1" rank="3"/>
    <cfRule type="top10" dxfId="36" priority="30537" stopIfTrue="1" bottom="1" rank="4"/>
    <cfRule type="top10" dxfId="35" priority="30539" stopIfTrue="1" rank="1"/>
    <cfRule type="top10" dxfId="34" priority="30540" stopIfTrue="1" rank="2"/>
    <cfRule type="top10" dxfId="33" priority="30541" stopIfTrue="1" rank="3"/>
    <cfRule type="top10" dxfId="32" priority="30538" stopIfTrue="1" bottom="1" rank="5"/>
  </conditionalFormatting>
  <conditionalFormatting sqref="G202:G203 I202:I203 E202:E203">
    <cfRule type="top10" dxfId="31" priority="30889" stopIfTrue="1" bottom="1" rank="1"/>
    <cfRule type="top10" dxfId="30" priority="30890" stopIfTrue="1" bottom="1" rank="2"/>
    <cfRule type="top10" dxfId="29" priority="30892" stopIfTrue="1" bottom="1" rank="4"/>
    <cfRule type="top10" dxfId="28" priority="30893" stopIfTrue="1" bottom="1" rank="5"/>
    <cfRule type="top10" dxfId="27" priority="30894" stopIfTrue="1" rank="1"/>
    <cfRule type="top10" dxfId="26" priority="30895" stopIfTrue="1" rank="2"/>
    <cfRule type="top10" dxfId="25" priority="30896" stopIfTrue="1" rank="3"/>
    <cfRule type="top10" dxfId="24" priority="30891" stopIfTrue="1" bottom="1" rank="3"/>
  </conditionalFormatting>
  <conditionalFormatting sqref="G204:G205 I204:I205 E204:E205">
    <cfRule type="top10" dxfId="23" priority="30558" stopIfTrue="1" bottom="1" rank="1"/>
    <cfRule type="top10" dxfId="22" priority="30559" stopIfTrue="1" bottom="1" rank="2"/>
    <cfRule type="top10" dxfId="21" priority="30560" stopIfTrue="1" bottom="1" rank="3"/>
    <cfRule type="top10" dxfId="20" priority="30561" stopIfTrue="1" bottom="1" rank="4"/>
    <cfRule type="top10" dxfId="19" priority="30562" stopIfTrue="1" bottom="1" rank="5"/>
    <cfRule type="top10" dxfId="18" priority="30563" stopIfTrue="1" rank="1"/>
    <cfRule type="top10" dxfId="17" priority="30565" stopIfTrue="1" rank="3"/>
    <cfRule type="top10" dxfId="16" priority="30564" stopIfTrue="1" rank="2"/>
  </conditionalFormatting>
  <conditionalFormatting sqref="G211:G212 I211:I212 E211:E212">
    <cfRule type="top10" dxfId="15" priority="30589" stopIfTrue="1" rank="3"/>
    <cfRule type="top10" dxfId="14" priority="30588" stopIfTrue="1" rank="2"/>
    <cfRule type="top10" dxfId="13" priority="30587" stopIfTrue="1" rank="1"/>
    <cfRule type="top10" dxfId="12" priority="30585" stopIfTrue="1" bottom="1" rank="4"/>
    <cfRule type="top10" dxfId="11" priority="30583" stopIfTrue="1" bottom="1" rank="2"/>
    <cfRule type="top10" dxfId="10" priority="30584" stopIfTrue="1" bottom="1" rank="3"/>
    <cfRule type="top10" dxfId="9" priority="30582" stopIfTrue="1" bottom="1" rank="1"/>
    <cfRule type="top10" dxfId="8" priority="30586" stopIfTrue="1" bottom="1" rank="5"/>
  </conditionalFormatting>
  <conditionalFormatting sqref="G219 I219">
    <cfRule type="top10" dxfId="7" priority="30919" stopIfTrue="1" rank="2"/>
    <cfRule type="top10" dxfId="6" priority="30915" stopIfTrue="1" bottom="1" rank="3"/>
    <cfRule type="top10" dxfId="5" priority="30913" stopIfTrue="1" bottom="1" rank="1"/>
    <cfRule type="top10" dxfId="4" priority="30914" stopIfTrue="1" bottom="1" rank="2"/>
    <cfRule type="top10" dxfId="3" priority="30917" stopIfTrue="1" bottom="1" rank="5"/>
    <cfRule type="top10" dxfId="2" priority="30918" stopIfTrue="1" rank="1"/>
    <cfRule type="top10" dxfId="1" priority="30920" stopIfTrue="1" rank="3"/>
    <cfRule type="top10" dxfId="0" priority="30916" stopIfTrue="1" bottom="1" rank="4"/>
  </conditionalFormatting>
  <printOptions horizontalCentered="1"/>
  <pageMargins left="0.55118110236220474" right="0.39370078740157483" top="0.39370078740157483" bottom="0.39370078740157483" header="0.51181102362204722" footer="0.11811023622047245"/>
  <pageSetup paperSize="9" scale="40" fitToHeight="0" orientation="portrait" r:id="rId2"/>
  <headerFooter alignWithMargins="0">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441"/>
  <sheetViews>
    <sheetView view="pageBreakPreview" topLeftCell="A434" zoomScale="70" zoomScaleNormal="70" zoomScaleSheetLayoutView="70" workbookViewId="0">
      <selection activeCell="B359" sqref="B359"/>
    </sheetView>
  </sheetViews>
  <sheetFormatPr defaultColWidth="9.1796875" defaultRowHeight="18.5"/>
  <cols>
    <col min="1" max="1" width="22.453125" style="46" customWidth="1"/>
    <col min="2" max="2" width="66.1796875" style="47" customWidth="1"/>
    <col min="3" max="3" width="18.81640625" style="46" customWidth="1"/>
    <col min="4" max="4" width="17.81640625" style="2" customWidth="1"/>
    <col min="5" max="5" width="17.81640625" style="15" customWidth="1"/>
    <col min="6" max="6" width="21.453125" style="2" customWidth="1"/>
    <col min="7" max="16384" width="9.1796875" style="1"/>
  </cols>
  <sheetData>
    <row r="1" spans="1:6" ht="66" customHeight="1">
      <c r="A1" s="62"/>
      <c r="B1" s="210" t="s">
        <v>610</v>
      </c>
      <c r="C1" s="210"/>
      <c r="D1" s="210"/>
      <c r="E1" s="210"/>
      <c r="F1" s="61"/>
    </row>
    <row r="2" spans="1:6" ht="74.25" customHeight="1">
      <c r="A2" s="218" t="s">
        <v>634</v>
      </c>
      <c r="B2" s="219"/>
      <c r="C2" s="219"/>
      <c r="D2" s="219"/>
      <c r="E2" s="219"/>
      <c r="F2" s="220"/>
    </row>
    <row r="3" spans="1:6" ht="62.25" customHeight="1">
      <c r="A3" s="221"/>
      <c r="B3" s="219"/>
      <c r="C3" s="219"/>
      <c r="D3" s="219"/>
      <c r="E3" s="219"/>
      <c r="F3" s="219"/>
    </row>
    <row r="4" spans="1:6" ht="21">
      <c r="A4" s="222" t="s">
        <v>270</v>
      </c>
      <c r="B4" s="222"/>
      <c r="C4" s="222"/>
      <c r="D4" s="222"/>
      <c r="E4" s="222"/>
      <c r="F4" s="222"/>
    </row>
    <row r="5" spans="1:6">
      <c r="A5" s="52" t="s">
        <v>152</v>
      </c>
      <c r="B5" s="52" t="s">
        <v>153</v>
      </c>
      <c r="C5" s="71" t="s">
        <v>79</v>
      </c>
      <c r="D5" s="72" t="s">
        <v>57</v>
      </c>
      <c r="E5" s="71" t="s">
        <v>58</v>
      </c>
      <c r="F5" s="72" t="s">
        <v>59</v>
      </c>
    </row>
    <row r="6" spans="1:6" ht="17.5" customHeight="1">
      <c r="A6" s="3"/>
      <c r="B6" s="22" t="s">
        <v>167</v>
      </c>
      <c r="C6" s="3"/>
      <c r="D6" s="4"/>
      <c r="E6" s="73"/>
      <c r="F6" s="4"/>
    </row>
    <row r="7" spans="1:6" ht="97.5" customHeight="1">
      <c r="A7" s="5" t="s">
        <v>168</v>
      </c>
      <c r="B7" s="28" t="s">
        <v>480</v>
      </c>
      <c r="C7" s="49"/>
      <c r="D7" s="24" t="s">
        <v>78</v>
      </c>
      <c r="E7" s="24">
        <v>35</v>
      </c>
      <c r="F7" s="74">
        <f>E7*C7</f>
        <v>0</v>
      </c>
    </row>
    <row r="8" spans="1:6" ht="97.5" customHeight="1">
      <c r="A8" s="5" t="s">
        <v>557</v>
      </c>
      <c r="B8" s="28" t="s">
        <v>599</v>
      </c>
      <c r="C8" s="49"/>
      <c r="D8" s="24" t="s">
        <v>78</v>
      </c>
      <c r="E8" s="24">
        <v>25</v>
      </c>
      <c r="F8" s="74">
        <f>E8*C8</f>
        <v>0</v>
      </c>
    </row>
    <row r="9" spans="1:6" ht="256.5" customHeight="1">
      <c r="A9" s="5" t="s">
        <v>24</v>
      </c>
      <c r="B9" s="23" t="s">
        <v>401</v>
      </c>
      <c r="C9" s="5"/>
      <c r="D9" s="26"/>
      <c r="E9" s="24"/>
      <c r="F9" s="75"/>
    </row>
    <row r="10" spans="1:6">
      <c r="A10" s="5"/>
      <c r="B10" s="23" t="s">
        <v>28</v>
      </c>
      <c r="C10" s="5">
        <v>642</v>
      </c>
      <c r="D10" s="26" t="s">
        <v>80</v>
      </c>
      <c r="E10" s="24">
        <v>250</v>
      </c>
      <c r="F10" s="74">
        <f>E10*C10</f>
        <v>160500</v>
      </c>
    </row>
    <row r="11" spans="1:6">
      <c r="A11" s="5"/>
      <c r="B11" s="23" t="s">
        <v>197</v>
      </c>
      <c r="C11" s="5"/>
      <c r="D11" s="26" t="s">
        <v>80</v>
      </c>
      <c r="E11" s="24">
        <v>285</v>
      </c>
      <c r="F11" s="74">
        <f t="shared" ref="F11" si="0">E11*C11</f>
        <v>0</v>
      </c>
    </row>
    <row r="12" spans="1:6">
      <c r="A12" s="5"/>
      <c r="B12" s="23" t="s">
        <v>26</v>
      </c>
      <c r="C12" s="24"/>
      <c r="D12" s="26" t="s">
        <v>80</v>
      </c>
      <c r="E12" s="24">
        <v>350</v>
      </c>
      <c r="F12" s="74"/>
    </row>
    <row r="13" spans="1:6">
      <c r="A13" s="5"/>
      <c r="B13" s="23" t="s">
        <v>27</v>
      </c>
      <c r="C13" s="24"/>
      <c r="D13" s="26" t="s">
        <v>80</v>
      </c>
      <c r="E13" s="24">
        <v>450</v>
      </c>
      <c r="F13" s="74"/>
    </row>
    <row r="14" spans="1:6">
      <c r="A14" s="5"/>
      <c r="B14" s="23" t="s">
        <v>213</v>
      </c>
      <c r="C14" s="24"/>
      <c r="D14" s="26" t="s">
        <v>80</v>
      </c>
      <c r="E14" s="24">
        <v>575</v>
      </c>
      <c r="F14" s="74"/>
    </row>
    <row r="15" spans="1:6" ht="128.15" customHeight="1">
      <c r="A15" s="5" t="s">
        <v>25</v>
      </c>
      <c r="B15" s="28" t="s">
        <v>600</v>
      </c>
      <c r="C15" s="49"/>
      <c r="D15" s="7"/>
      <c r="E15" s="24"/>
      <c r="F15" s="75"/>
    </row>
    <row r="16" spans="1:6">
      <c r="A16" s="5"/>
      <c r="B16" s="23" t="s">
        <v>402</v>
      </c>
      <c r="C16" s="63">
        <v>57</v>
      </c>
      <c r="D16" s="26" t="s">
        <v>80</v>
      </c>
      <c r="E16" s="24">
        <v>490</v>
      </c>
      <c r="F16" s="74">
        <f t="shared" ref="F16:F17" si="1">E16*C16</f>
        <v>27930</v>
      </c>
    </row>
    <row r="17" spans="1:6">
      <c r="A17" s="5"/>
      <c r="B17" s="23" t="s">
        <v>403</v>
      </c>
      <c r="C17" s="63">
        <v>57</v>
      </c>
      <c r="D17" s="26" t="s">
        <v>80</v>
      </c>
      <c r="E17" s="24">
        <v>1025</v>
      </c>
      <c r="F17" s="74">
        <f t="shared" si="1"/>
        <v>58425</v>
      </c>
    </row>
    <row r="18" spans="1:6">
      <c r="A18" s="5"/>
      <c r="B18" s="23" t="s">
        <v>404</v>
      </c>
      <c r="C18" s="63"/>
      <c r="D18" s="26" t="s">
        <v>80</v>
      </c>
      <c r="E18" s="24">
        <v>1150</v>
      </c>
      <c r="F18" s="74"/>
    </row>
    <row r="19" spans="1:6" ht="57.65" customHeight="1">
      <c r="A19" s="5" t="s">
        <v>29</v>
      </c>
      <c r="B19" s="23" t="s">
        <v>405</v>
      </c>
      <c r="C19" s="63"/>
      <c r="D19" s="26" t="s">
        <v>80</v>
      </c>
      <c r="E19" s="24">
        <v>150</v>
      </c>
      <c r="F19" s="74">
        <f>E19*C19</f>
        <v>0</v>
      </c>
    </row>
    <row r="20" spans="1:6" ht="66.75" customHeight="1">
      <c r="A20" s="5" t="s">
        <v>554</v>
      </c>
      <c r="B20" s="23" t="s">
        <v>601</v>
      </c>
      <c r="C20" s="63"/>
      <c r="D20" s="26"/>
      <c r="E20" s="24"/>
      <c r="F20" s="74"/>
    </row>
    <row r="21" spans="1:6">
      <c r="A21" s="5"/>
      <c r="B21" s="23" t="s">
        <v>555</v>
      </c>
      <c r="C21" s="63"/>
      <c r="D21" s="26" t="s">
        <v>80</v>
      </c>
      <c r="E21" s="24">
        <v>100</v>
      </c>
      <c r="F21" s="74">
        <f>E21*C21</f>
        <v>0</v>
      </c>
    </row>
    <row r="22" spans="1:6">
      <c r="A22" s="5"/>
      <c r="B22" s="23" t="s">
        <v>556</v>
      </c>
      <c r="C22" s="63"/>
      <c r="D22" s="26" t="s">
        <v>82</v>
      </c>
      <c r="E22" s="24">
        <v>3500</v>
      </c>
      <c r="F22" s="74"/>
    </row>
    <row r="23" spans="1:6" ht="128.5" customHeight="1">
      <c r="A23" s="5" t="s">
        <v>30</v>
      </c>
      <c r="B23" s="23" t="s">
        <v>500</v>
      </c>
      <c r="C23" s="5"/>
      <c r="D23" s="7"/>
      <c r="E23" s="24"/>
      <c r="F23" s="75"/>
    </row>
    <row r="24" spans="1:6">
      <c r="A24" s="5"/>
      <c r="B24" s="23" t="s">
        <v>222</v>
      </c>
      <c r="C24" s="24"/>
      <c r="D24" s="26" t="s">
        <v>169</v>
      </c>
      <c r="E24" s="24">
        <v>517</v>
      </c>
      <c r="F24" s="75"/>
    </row>
    <row r="25" spans="1:6" ht="55.5">
      <c r="A25" s="5"/>
      <c r="B25" s="23" t="s">
        <v>274</v>
      </c>
      <c r="C25" s="63">
        <v>284</v>
      </c>
      <c r="D25" s="26" t="s">
        <v>169</v>
      </c>
      <c r="E25" s="24">
        <v>310</v>
      </c>
      <c r="F25" s="74">
        <f t="shared" ref="F25:F26" si="2">E25*C25</f>
        <v>88040</v>
      </c>
    </row>
    <row r="26" spans="1:6" ht="55.5">
      <c r="A26" s="5"/>
      <c r="B26" s="23" t="s">
        <v>275</v>
      </c>
      <c r="C26" s="63">
        <v>284</v>
      </c>
      <c r="D26" s="26" t="s">
        <v>169</v>
      </c>
      <c r="E26" s="24">
        <v>150</v>
      </c>
      <c r="F26" s="74">
        <f t="shared" si="2"/>
        <v>42600</v>
      </c>
    </row>
    <row r="27" spans="1:6" ht="166.5">
      <c r="A27" s="5" t="s">
        <v>43</v>
      </c>
      <c r="B27" s="28" t="s">
        <v>636</v>
      </c>
      <c r="C27" s="49"/>
      <c r="D27" s="7"/>
      <c r="E27" s="24"/>
      <c r="F27" s="75"/>
    </row>
    <row r="28" spans="1:6">
      <c r="A28" s="5"/>
      <c r="B28" s="30" t="s">
        <v>209</v>
      </c>
      <c r="C28" s="24"/>
      <c r="D28" s="26" t="s">
        <v>73</v>
      </c>
      <c r="E28" s="24">
        <v>300</v>
      </c>
      <c r="F28" s="74"/>
    </row>
    <row r="29" spans="1:6">
      <c r="A29" s="5"/>
      <c r="B29" s="30" t="s">
        <v>210</v>
      </c>
      <c r="C29" s="24"/>
      <c r="D29" s="26" t="s">
        <v>73</v>
      </c>
      <c r="E29" s="24">
        <v>350</v>
      </c>
      <c r="F29" s="74">
        <f t="shared" ref="F29:F32" si="3">E29*C29</f>
        <v>0</v>
      </c>
    </row>
    <row r="30" spans="1:6">
      <c r="A30" s="5"/>
      <c r="B30" s="30" t="s">
        <v>263</v>
      </c>
      <c r="C30" s="20"/>
      <c r="D30" s="26" t="s">
        <v>73</v>
      </c>
      <c r="E30" s="24">
        <v>425</v>
      </c>
      <c r="F30" s="74">
        <f t="shared" si="3"/>
        <v>0</v>
      </c>
    </row>
    <row r="31" spans="1:6">
      <c r="A31" s="5"/>
      <c r="B31" s="30" t="s">
        <v>264</v>
      </c>
      <c r="C31" s="24"/>
      <c r="D31" s="26" t="s">
        <v>73</v>
      </c>
      <c r="E31" s="24">
        <v>495</v>
      </c>
      <c r="F31" s="74">
        <f t="shared" si="3"/>
        <v>0</v>
      </c>
    </row>
    <row r="32" spans="1:6">
      <c r="A32" s="5"/>
      <c r="B32" s="30" t="s">
        <v>635</v>
      </c>
      <c r="C32" s="24">
        <v>1834</v>
      </c>
      <c r="D32" s="26" t="s">
        <v>73</v>
      </c>
      <c r="E32" s="32">
        <v>500</v>
      </c>
      <c r="F32" s="74">
        <f t="shared" si="3"/>
        <v>917000</v>
      </c>
    </row>
    <row r="33" spans="1:6" ht="57.65" customHeight="1">
      <c r="A33" s="5" t="s">
        <v>211</v>
      </c>
      <c r="B33" s="31" t="s">
        <v>212</v>
      </c>
      <c r="C33" s="50"/>
      <c r="D33" s="7"/>
      <c r="F33" s="75"/>
    </row>
    <row r="34" spans="1:6">
      <c r="A34" s="5"/>
      <c r="B34" s="30" t="s">
        <v>209</v>
      </c>
      <c r="C34" s="24"/>
      <c r="D34" s="26" t="s">
        <v>71</v>
      </c>
      <c r="E34" s="24">
        <v>300</v>
      </c>
      <c r="F34" s="74"/>
    </row>
    <row r="35" spans="1:6">
      <c r="A35" s="5"/>
      <c r="B35" s="30" t="s">
        <v>210</v>
      </c>
      <c r="C35" s="24"/>
      <c r="D35" s="26" t="s">
        <v>71</v>
      </c>
      <c r="E35" s="24">
        <v>400</v>
      </c>
      <c r="F35" s="74"/>
    </row>
    <row r="36" spans="1:6">
      <c r="A36" s="5"/>
      <c r="B36" s="30" t="s">
        <v>263</v>
      </c>
      <c r="C36" s="24"/>
      <c r="D36" s="26" t="s">
        <v>71</v>
      </c>
      <c r="E36" s="24">
        <v>450</v>
      </c>
      <c r="F36" s="74"/>
    </row>
    <row r="37" spans="1:6">
      <c r="A37" s="5"/>
      <c r="B37" s="30" t="s">
        <v>264</v>
      </c>
      <c r="C37" s="24"/>
      <c r="D37" s="26" t="s">
        <v>71</v>
      </c>
      <c r="E37" s="24">
        <v>500</v>
      </c>
      <c r="F37" s="74"/>
    </row>
    <row r="38" spans="1:6">
      <c r="A38" s="67"/>
      <c r="B38" s="22" t="s">
        <v>31</v>
      </c>
      <c r="C38" s="3"/>
      <c r="D38" s="4"/>
      <c r="E38" s="4"/>
      <c r="F38" s="76">
        <f>SUM(F7:F37)</f>
        <v>1294495</v>
      </c>
    </row>
    <row r="39" spans="1:6" ht="17.5" customHeight="1">
      <c r="A39" s="67"/>
      <c r="B39" s="22" t="s">
        <v>66</v>
      </c>
      <c r="C39" s="3"/>
      <c r="D39" s="4"/>
      <c r="E39" s="4"/>
      <c r="F39" s="73"/>
    </row>
    <row r="40" spans="1:6" ht="93.65" customHeight="1">
      <c r="A40" s="5" t="s">
        <v>32</v>
      </c>
      <c r="B40" s="23" t="s">
        <v>406</v>
      </c>
      <c r="C40" s="5"/>
      <c r="D40" s="7"/>
      <c r="E40" s="24"/>
      <c r="F40" s="25"/>
    </row>
    <row r="41" spans="1:6">
      <c r="A41" s="5"/>
      <c r="B41" s="23" t="s">
        <v>34</v>
      </c>
      <c r="C41" s="24">
        <v>60</v>
      </c>
      <c r="D41" s="26" t="s">
        <v>80</v>
      </c>
      <c r="E41" s="24">
        <v>4100</v>
      </c>
      <c r="F41" s="74">
        <f>E41*C41</f>
        <v>246000</v>
      </c>
    </row>
    <row r="42" spans="1:6">
      <c r="A42" s="5"/>
      <c r="B42" s="23" t="s">
        <v>35</v>
      </c>
      <c r="C42" s="20"/>
      <c r="D42" s="26" t="s">
        <v>80</v>
      </c>
      <c r="E42" s="24">
        <v>4175</v>
      </c>
      <c r="F42" s="74"/>
    </row>
    <row r="43" spans="1:6" ht="288.75" customHeight="1">
      <c r="A43" s="5" t="s">
        <v>33</v>
      </c>
      <c r="B43" s="38" t="s">
        <v>413</v>
      </c>
      <c r="C43" s="51"/>
      <c r="D43" s="7"/>
      <c r="E43" s="32"/>
      <c r="F43" s="74"/>
    </row>
    <row r="44" spans="1:6">
      <c r="A44" s="5"/>
      <c r="B44" s="21" t="s">
        <v>538</v>
      </c>
      <c r="C44" s="52"/>
      <c r="D44" s="7"/>
      <c r="F44" s="75"/>
    </row>
    <row r="45" spans="1:6">
      <c r="A45" s="5"/>
      <c r="B45" s="28" t="s">
        <v>250</v>
      </c>
      <c r="C45" s="24"/>
      <c r="D45" s="26" t="s">
        <v>80</v>
      </c>
      <c r="E45" s="24">
        <v>5450</v>
      </c>
      <c r="F45" s="74"/>
    </row>
    <row r="46" spans="1:6">
      <c r="A46" s="49"/>
      <c r="B46" s="28" t="s">
        <v>296</v>
      </c>
      <c r="C46" s="24"/>
      <c r="D46" s="26" t="s">
        <v>80</v>
      </c>
      <c r="E46" s="24">
        <v>5950</v>
      </c>
      <c r="F46" s="75"/>
    </row>
    <row r="47" spans="1:6">
      <c r="A47" s="5"/>
      <c r="B47" s="21" t="s">
        <v>537</v>
      </c>
      <c r="C47" s="52"/>
      <c r="D47" s="7"/>
      <c r="E47" s="32"/>
      <c r="F47" s="74"/>
    </row>
    <row r="48" spans="1:6">
      <c r="A48" s="5"/>
      <c r="B48" s="28" t="s">
        <v>250</v>
      </c>
      <c r="C48" s="24">
        <v>270</v>
      </c>
      <c r="D48" s="32" t="s">
        <v>80</v>
      </c>
      <c r="E48" s="24">
        <v>5850</v>
      </c>
      <c r="F48" s="74">
        <f t="shared" ref="F48:F53" si="4">E48*C48</f>
        <v>1579500</v>
      </c>
    </row>
    <row r="49" spans="1:6">
      <c r="A49" s="49"/>
      <c r="B49" s="28" t="s">
        <v>612</v>
      </c>
      <c r="C49" s="24">
        <v>134</v>
      </c>
      <c r="D49" s="32" t="s">
        <v>80</v>
      </c>
      <c r="E49" s="24">
        <v>6175</v>
      </c>
      <c r="F49" s="74">
        <f t="shared" si="4"/>
        <v>827450</v>
      </c>
    </row>
    <row r="50" spans="1:6">
      <c r="A50" s="49"/>
      <c r="B50" s="28" t="s">
        <v>613</v>
      </c>
      <c r="C50" s="24">
        <v>128</v>
      </c>
      <c r="D50" s="32" t="s">
        <v>80</v>
      </c>
      <c r="E50" s="24">
        <v>6350</v>
      </c>
      <c r="F50" s="74">
        <f t="shared" si="4"/>
        <v>812800</v>
      </c>
    </row>
    <row r="51" spans="1:6">
      <c r="A51" s="49"/>
      <c r="B51" s="28" t="s">
        <v>638</v>
      </c>
      <c r="C51" s="24">
        <v>149</v>
      </c>
      <c r="D51" s="32" t="s">
        <v>80</v>
      </c>
      <c r="E51" s="24">
        <v>6525</v>
      </c>
      <c r="F51" s="74">
        <f t="shared" si="4"/>
        <v>972225</v>
      </c>
    </row>
    <row r="52" spans="1:6">
      <c r="A52" s="49"/>
      <c r="B52" s="28" t="s">
        <v>639</v>
      </c>
      <c r="C52" s="24">
        <v>211</v>
      </c>
      <c r="D52" s="32" t="s">
        <v>80</v>
      </c>
      <c r="E52" s="24">
        <v>6700</v>
      </c>
      <c r="F52" s="74">
        <f t="shared" si="4"/>
        <v>1413700</v>
      </c>
    </row>
    <row r="53" spans="1:6" ht="37">
      <c r="A53" s="5"/>
      <c r="B53" s="21" t="s">
        <v>443</v>
      </c>
      <c r="C53" s="24"/>
      <c r="D53" s="26" t="s">
        <v>80</v>
      </c>
      <c r="E53" s="24">
        <v>950</v>
      </c>
      <c r="F53" s="74">
        <f t="shared" si="4"/>
        <v>0</v>
      </c>
    </row>
    <row r="54" spans="1:6" ht="55.5">
      <c r="A54" s="5" t="s">
        <v>536</v>
      </c>
      <c r="B54" s="61" t="s">
        <v>535</v>
      </c>
      <c r="C54" s="62"/>
      <c r="D54" s="8"/>
      <c r="E54" s="24"/>
      <c r="F54" s="74"/>
    </row>
    <row r="55" spans="1:6" ht="297" customHeight="1">
      <c r="A55" s="5"/>
      <c r="B55" s="38" t="s">
        <v>541</v>
      </c>
      <c r="C55" s="53"/>
      <c r="D55" s="8"/>
      <c r="E55" s="24"/>
      <c r="F55" s="74"/>
    </row>
    <row r="56" spans="1:6">
      <c r="A56" s="5" t="s">
        <v>461</v>
      </c>
      <c r="B56" s="43" t="s">
        <v>542</v>
      </c>
      <c r="C56" s="53"/>
      <c r="D56" s="8"/>
      <c r="E56" s="24"/>
      <c r="F56" s="74"/>
    </row>
    <row r="57" spans="1:6">
      <c r="A57" s="53"/>
      <c r="B57" s="43" t="s">
        <v>459</v>
      </c>
      <c r="C57" s="24"/>
      <c r="D57" s="25" t="s">
        <v>439</v>
      </c>
      <c r="E57" s="24">
        <v>5450</v>
      </c>
      <c r="F57" s="74"/>
    </row>
    <row r="58" spans="1:6">
      <c r="A58" s="53"/>
      <c r="B58" s="43" t="s">
        <v>460</v>
      </c>
      <c r="C58" s="6"/>
      <c r="D58" s="25" t="s">
        <v>439</v>
      </c>
      <c r="E58" s="24">
        <v>5850</v>
      </c>
      <c r="F58" s="74">
        <f>E58*C58</f>
        <v>0</v>
      </c>
    </row>
    <row r="59" spans="1:6" ht="37">
      <c r="A59" s="53"/>
      <c r="B59" s="21" t="s">
        <v>443</v>
      </c>
      <c r="C59" s="24"/>
      <c r="D59" s="25" t="s">
        <v>439</v>
      </c>
      <c r="E59" s="24">
        <v>950</v>
      </c>
      <c r="F59" s="74"/>
    </row>
    <row r="60" spans="1:6" ht="30.75" customHeight="1">
      <c r="A60" s="5" t="s">
        <v>462</v>
      </c>
      <c r="B60" s="43" t="s">
        <v>463</v>
      </c>
      <c r="C60" s="53"/>
      <c r="D60" s="8"/>
      <c r="E60" s="24"/>
      <c r="F60" s="74"/>
    </row>
    <row r="61" spans="1:6">
      <c r="A61" s="53"/>
      <c r="B61" s="45" t="s">
        <v>440</v>
      </c>
      <c r="C61" s="54"/>
      <c r="D61" s="8"/>
      <c r="E61" s="24"/>
      <c r="F61" s="74"/>
    </row>
    <row r="62" spans="1:6">
      <c r="A62" s="53"/>
      <c r="B62" s="43" t="s">
        <v>305</v>
      </c>
      <c r="C62" s="6"/>
      <c r="D62" s="25" t="s">
        <v>439</v>
      </c>
      <c r="E62" s="24">
        <v>5700</v>
      </c>
      <c r="F62" s="74">
        <f>E62*C62</f>
        <v>0</v>
      </c>
    </row>
    <row r="63" spans="1:6">
      <c r="A63" s="53"/>
      <c r="B63" s="43" t="s">
        <v>441</v>
      </c>
      <c r="C63" s="24"/>
      <c r="D63" s="25" t="s">
        <v>439</v>
      </c>
      <c r="E63" s="24"/>
      <c r="F63" s="74"/>
    </row>
    <row r="64" spans="1:6">
      <c r="A64" s="53"/>
      <c r="B64" s="45" t="s">
        <v>442</v>
      </c>
      <c r="C64" s="54"/>
      <c r="D64" s="26"/>
      <c r="E64" s="24"/>
      <c r="F64" s="74"/>
    </row>
    <row r="65" spans="1:6">
      <c r="A65" s="53"/>
      <c r="B65" s="28" t="s">
        <v>305</v>
      </c>
      <c r="C65" s="6"/>
      <c r="D65" s="25" t="s">
        <v>439</v>
      </c>
      <c r="E65" s="24">
        <v>5900</v>
      </c>
      <c r="F65" s="74">
        <f>E65*C65</f>
        <v>0</v>
      </c>
    </row>
    <row r="66" spans="1:6">
      <c r="A66" s="53"/>
      <c r="B66" s="28" t="s">
        <v>456</v>
      </c>
      <c r="C66" s="24"/>
      <c r="D66" s="25" t="s">
        <v>439</v>
      </c>
      <c r="E66" s="24">
        <v>6650</v>
      </c>
      <c r="F66" s="74"/>
    </row>
    <row r="67" spans="1:6" ht="37">
      <c r="A67" s="53"/>
      <c r="B67" s="21" t="s">
        <v>443</v>
      </c>
      <c r="C67" s="24"/>
      <c r="D67" s="25" t="s">
        <v>439</v>
      </c>
      <c r="E67" s="24">
        <v>950</v>
      </c>
      <c r="F67" s="74"/>
    </row>
    <row r="68" spans="1:6" ht="129.5">
      <c r="A68" s="49" t="s">
        <v>412</v>
      </c>
      <c r="B68" s="28" t="s">
        <v>415</v>
      </c>
      <c r="C68" s="49"/>
      <c r="D68" s="7"/>
      <c r="E68" s="24"/>
      <c r="F68" s="75"/>
    </row>
    <row r="69" spans="1:6">
      <c r="A69" s="49"/>
      <c r="B69" s="29" t="s">
        <v>209</v>
      </c>
      <c r="C69" s="20"/>
      <c r="D69" s="32" t="s">
        <v>80</v>
      </c>
      <c r="E69" s="24">
        <v>5600</v>
      </c>
      <c r="F69" s="77"/>
    </row>
    <row r="70" spans="1:6">
      <c r="A70" s="49"/>
      <c r="B70" s="29" t="s">
        <v>210</v>
      </c>
      <c r="C70" s="20"/>
      <c r="D70" s="32" t="s">
        <v>80</v>
      </c>
      <c r="E70" s="24">
        <v>5369</v>
      </c>
      <c r="F70" s="74">
        <f>E70*C70</f>
        <v>0</v>
      </c>
    </row>
    <row r="71" spans="1:6">
      <c r="A71" s="49"/>
      <c r="B71" s="29" t="s">
        <v>262</v>
      </c>
      <c r="C71" s="20"/>
      <c r="D71" s="32" t="s">
        <v>80</v>
      </c>
      <c r="E71" s="24">
        <v>5650</v>
      </c>
      <c r="F71" s="74">
        <f>E71*C71</f>
        <v>0</v>
      </c>
    </row>
    <row r="72" spans="1:6">
      <c r="A72" s="49"/>
      <c r="B72" s="29" t="s">
        <v>253</v>
      </c>
      <c r="C72" s="20"/>
      <c r="D72" s="32" t="s">
        <v>80</v>
      </c>
      <c r="E72" s="24">
        <v>5650</v>
      </c>
      <c r="F72" s="74">
        <f>E72*C72</f>
        <v>0</v>
      </c>
    </row>
    <row r="73" spans="1:6">
      <c r="A73" s="49"/>
      <c r="B73" s="29" t="s">
        <v>637</v>
      </c>
      <c r="C73" s="20">
        <v>406</v>
      </c>
      <c r="D73" s="32" t="s">
        <v>80</v>
      </c>
      <c r="E73" s="24">
        <v>5650</v>
      </c>
      <c r="F73" s="74">
        <f>E73*C73</f>
        <v>2293900</v>
      </c>
    </row>
    <row r="74" spans="1:6" ht="200.25" customHeight="1">
      <c r="A74" s="49" t="s">
        <v>414</v>
      </c>
      <c r="B74" s="17" t="s">
        <v>394</v>
      </c>
      <c r="C74" s="5"/>
      <c r="D74" s="32"/>
      <c r="F74" s="77"/>
    </row>
    <row r="75" spans="1:6">
      <c r="A75" s="49"/>
      <c r="B75" s="29" t="s">
        <v>395</v>
      </c>
      <c r="C75" s="24"/>
      <c r="D75" s="32" t="s">
        <v>80</v>
      </c>
      <c r="E75" s="24">
        <v>9500</v>
      </c>
      <c r="F75" s="74">
        <f t="shared" ref="F75:F76" si="5">E75*C75</f>
        <v>0</v>
      </c>
    </row>
    <row r="76" spans="1:6">
      <c r="A76" s="49"/>
      <c r="B76" s="29" t="s">
        <v>396</v>
      </c>
      <c r="C76" s="24"/>
      <c r="D76" s="32" t="s">
        <v>80</v>
      </c>
      <c r="E76" s="24">
        <v>9500</v>
      </c>
      <c r="F76" s="74">
        <f t="shared" si="5"/>
        <v>0</v>
      </c>
    </row>
    <row r="77" spans="1:6" ht="296">
      <c r="A77" s="49" t="s">
        <v>464</v>
      </c>
      <c r="B77" s="28" t="s">
        <v>481</v>
      </c>
      <c r="C77" s="5"/>
      <c r="D77" s="32"/>
      <c r="E77" s="24"/>
      <c r="F77" s="77"/>
    </row>
    <row r="78" spans="1:6">
      <c r="A78" s="49"/>
      <c r="B78" s="19" t="s">
        <v>425</v>
      </c>
      <c r="C78" s="52"/>
      <c r="D78" s="32"/>
      <c r="F78" s="77"/>
    </row>
    <row r="79" spans="1:6">
      <c r="A79" s="49"/>
      <c r="B79" s="28" t="s">
        <v>250</v>
      </c>
      <c r="C79" s="5"/>
      <c r="D79" s="32" t="s">
        <v>80</v>
      </c>
      <c r="E79" s="24">
        <v>5750</v>
      </c>
      <c r="F79" s="74">
        <f>E80*C79</f>
        <v>0</v>
      </c>
    </row>
    <row r="80" spans="1:6">
      <c r="A80" s="49"/>
      <c r="B80" s="28" t="s">
        <v>296</v>
      </c>
      <c r="C80" s="24"/>
      <c r="D80" s="32" t="s">
        <v>80</v>
      </c>
      <c r="E80" s="24">
        <v>6650</v>
      </c>
      <c r="F80" s="77"/>
    </row>
    <row r="81" spans="1:6">
      <c r="A81" s="49"/>
      <c r="B81" s="28" t="s">
        <v>297</v>
      </c>
      <c r="C81" s="24"/>
      <c r="D81" s="32" t="s">
        <v>80</v>
      </c>
      <c r="E81" s="24">
        <v>6850</v>
      </c>
      <c r="F81" s="77"/>
    </row>
    <row r="82" spans="1:6">
      <c r="A82" s="49"/>
      <c r="B82" s="28" t="s">
        <v>298</v>
      </c>
      <c r="C82" s="24"/>
      <c r="D82" s="32" t="s">
        <v>80</v>
      </c>
      <c r="E82" s="24">
        <v>7250</v>
      </c>
      <c r="F82" s="77"/>
    </row>
    <row r="83" spans="1:6" ht="57.65" customHeight="1">
      <c r="A83" s="25" t="s">
        <v>36</v>
      </c>
      <c r="B83" s="23" t="s">
        <v>249</v>
      </c>
      <c r="C83" s="25"/>
      <c r="D83" s="9"/>
      <c r="F83" s="75"/>
    </row>
    <row r="84" spans="1:6" s="10" customFormat="1">
      <c r="A84" s="25"/>
      <c r="B84" s="34" t="s">
        <v>266</v>
      </c>
      <c r="C84" s="88"/>
      <c r="D84" s="33" t="s">
        <v>85</v>
      </c>
      <c r="E84" s="24">
        <v>175</v>
      </c>
      <c r="F84" s="74">
        <f>E84*C84</f>
        <v>0</v>
      </c>
    </row>
    <row r="85" spans="1:6" s="10" customFormat="1" ht="225" customHeight="1">
      <c r="A85" s="25" t="s">
        <v>37</v>
      </c>
      <c r="B85" s="23" t="s">
        <v>602</v>
      </c>
      <c r="C85" s="5"/>
      <c r="D85" s="9"/>
      <c r="F85" s="75"/>
    </row>
    <row r="86" spans="1:6" s="10" customFormat="1">
      <c r="A86" s="25"/>
      <c r="B86" s="34" t="s">
        <v>258</v>
      </c>
      <c r="C86" s="24">
        <v>153</v>
      </c>
      <c r="D86" s="27" t="s">
        <v>191</v>
      </c>
      <c r="E86" s="24">
        <v>69500</v>
      </c>
      <c r="F86" s="74">
        <f>E86*C86</f>
        <v>10633500</v>
      </c>
    </row>
    <row r="87" spans="1:6" s="10" customFormat="1" ht="203.5">
      <c r="A87" s="25" t="s">
        <v>38</v>
      </c>
      <c r="B87" s="23" t="s">
        <v>501</v>
      </c>
      <c r="C87" s="5"/>
      <c r="D87" s="9"/>
      <c r="F87" s="75"/>
    </row>
    <row r="88" spans="1:6" ht="22.5" customHeight="1">
      <c r="A88" s="5"/>
      <c r="B88" s="28" t="s">
        <v>250</v>
      </c>
      <c r="C88" s="24">
        <v>387</v>
      </c>
      <c r="D88" s="32" t="s">
        <v>81</v>
      </c>
      <c r="E88" s="24">
        <v>550</v>
      </c>
      <c r="F88" s="74">
        <f t="shared" ref="F88:F107" si="6">E88*C88</f>
        <v>212850</v>
      </c>
    </row>
    <row r="89" spans="1:6">
      <c r="A89" s="5"/>
      <c r="B89" s="28" t="s">
        <v>296</v>
      </c>
      <c r="C89" s="24"/>
      <c r="D89" s="32" t="s">
        <v>81</v>
      </c>
      <c r="E89" s="24">
        <v>625</v>
      </c>
      <c r="F89" s="74">
        <f t="shared" si="6"/>
        <v>0</v>
      </c>
    </row>
    <row r="90" spans="1:6" s="10" customFormat="1" ht="240.5">
      <c r="A90" s="5" t="s">
        <v>39</v>
      </c>
      <c r="B90" s="28" t="s">
        <v>233</v>
      </c>
      <c r="C90" s="49"/>
      <c r="D90" s="8"/>
      <c r="F90" s="78"/>
    </row>
    <row r="91" spans="1:6" ht="20.25" customHeight="1">
      <c r="A91" s="5"/>
      <c r="B91" s="28" t="s">
        <v>250</v>
      </c>
      <c r="C91" s="24"/>
      <c r="D91" s="32" t="s">
        <v>81</v>
      </c>
      <c r="E91" s="24">
        <v>575</v>
      </c>
      <c r="F91" s="74">
        <f t="shared" si="6"/>
        <v>0</v>
      </c>
    </row>
    <row r="92" spans="1:6">
      <c r="A92" s="5"/>
      <c r="B92" s="28" t="s">
        <v>612</v>
      </c>
      <c r="C92" s="24">
        <v>926</v>
      </c>
      <c r="D92" s="32" t="s">
        <v>81</v>
      </c>
      <c r="E92" s="24">
        <v>650</v>
      </c>
      <c r="F92" s="74">
        <f t="shared" si="6"/>
        <v>601900</v>
      </c>
    </row>
    <row r="93" spans="1:6">
      <c r="A93" s="49"/>
      <c r="B93" s="28" t="s">
        <v>642</v>
      </c>
      <c r="C93" s="24">
        <v>898</v>
      </c>
      <c r="D93" s="32" t="s">
        <v>81</v>
      </c>
      <c r="E93" s="24">
        <v>725</v>
      </c>
      <c r="F93" s="74">
        <f t="shared" si="6"/>
        <v>651050</v>
      </c>
    </row>
    <row r="94" spans="1:6">
      <c r="A94" s="49"/>
      <c r="B94" s="28" t="s">
        <v>640</v>
      </c>
      <c r="C94" s="24">
        <v>883</v>
      </c>
      <c r="D94" s="32" t="s">
        <v>81</v>
      </c>
      <c r="E94" s="24">
        <v>850</v>
      </c>
      <c r="F94" s="74">
        <f t="shared" si="6"/>
        <v>750550</v>
      </c>
    </row>
    <row r="95" spans="1:6">
      <c r="A95" s="49"/>
      <c r="B95" s="28" t="s">
        <v>641</v>
      </c>
      <c r="C95" s="24">
        <v>1396</v>
      </c>
      <c r="D95" s="32" t="s">
        <v>81</v>
      </c>
      <c r="E95" s="49">
        <v>950</v>
      </c>
      <c r="F95" s="74">
        <f t="shared" si="6"/>
        <v>1326200</v>
      </c>
    </row>
    <row r="96" spans="1:6" ht="81.650000000000006" customHeight="1">
      <c r="A96" s="49" t="s">
        <v>54</v>
      </c>
      <c r="B96" s="28" t="s">
        <v>416</v>
      </c>
      <c r="C96" s="24"/>
      <c r="D96" s="26" t="s">
        <v>80</v>
      </c>
      <c r="E96" s="24">
        <v>52500</v>
      </c>
      <c r="F96" s="74"/>
    </row>
    <row r="97" spans="1:6" ht="74">
      <c r="A97" s="49" t="s">
        <v>55</v>
      </c>
      <c r="B97" s="28" t="s">
        <v>244</v>
      </c>
      <c r="C97" s="87"/>
      <c r="D97" s="49" t="s">
        <v>83</v>
      </c>
      <c r="E97" s="49">
        <v>550</v>
      </c>
      <c r="F97" s="74"/>
    </row>
    <row r="98" spans="1:6" ht="129.5">
      <c r="A98" s="49" t="s">
        <v>518</v>
      </c>
      <c r="B98" s="28" t="s">
        <v>40</v>
      </c>
      <c r="C98" s="49"/>
      <c r="D98" s="28"/>
      <c r="F98" s="64"/>
    </row>
    <row r="99" spans="1:6">
      <c r="A99" s="49"/>
      <c r="B99" s="28" t="s">
        <v>51</v>
      </c>
      <c r="C99" s="49"/>
      <c r="D99" s="49" t="s">
        <v>82</v>
      </c>
      <c r="E99" s="49">
        <v>800</v>
      </c>
      <c r="F99" s="74">
        <f t="shared" si="6"/>
        <v>0</v>
      </c>
    </row>
    <row r="100" spans="1:6" ht="37">
      <c r="A100" s="49"/>
      <c r="B100" s="28" t="s">
        <v>52</v>
      </c>
      <c r="C100" s="49"/>
      <c r="D100" s="49" t="s">
        <v>82</v>
      </c>
      <c r="E100" s="49">
        <v>1050</v>
      </c>
      <c r="F100" s="74">
        <f t="shared" si="6"/>
        <v>0</v>
      </c>
    </row>
    <row r="101" spans="1:6" ht="37">
      <c r="A101" s="49"/>
      <c r="B101" s="28" t="s">
        <v>53</v>
      </c>
      <c r="C101" s="49"/>
      <c r="D101" s="49" t="s">
        <v>82</v>
      </c>
      <c r="E101" s="49">
        <v>1250</v>
      </c>
      <c r="F101" s="74">
        <f t="shared" si="6"/>
        <v>0</v>
      </c>
    </row>
    <row r="102" spans="1:6">
      <c r="A102" s="49"/>
      <c r="B102" s="28" t="s">
        <v>519</v>
      </c>
      <c r="C102" s="49"/>
      <c r="D102" s="49" t="s">
        <v>82</v>
      </c>
      <c r="E102" s="49">
        <v>1250</v>
      </c>
      <c r="F102" s="74">
        <f t="shared" si="6"/>
        <v>0</v>
      </c>
    </row>
    <row r="103" spans="1:6" ht="37">
      <c r="A103" s="49"/>
      <c r="B103" s="28" t="s">
        <v>520</v>
      </c>
      <c r="C103" s="49"/>
      <c r="D103" s="49" t="s">
        <v>82</v>
      </c>
      <c r="E103" s="49">
        <v>1350</v>
      </c>
      <c r="F103" s="74">
        <f t="shared" si="6"/>
        <v>0</v>
      </c>
    </row>
    <row r="104" spans="1:6" ht="37">
      <c r="A104" s="49"/>
      <c r="B104" s="28" t="s">
        <v>521</v>
      </c>
      <c r="C104" s="49"/>
      <c r="D104" s="49" t="s">
        <v>82</v>
      </c>
      <c r="E104" s="49">
        <v>2000</v>
      </c>
      <c r="F104" s="74">
        <f t="shared" si="6"/>
        <v>0</v>
      </c>
    </row>
    <row r="105" spans="1:6">
      <c r="A105" s="49"/>
      <c r="B105" s="28" t="s">
        <v>522</v>
      </c>
      <c r="C105" s="49"/>
      <c r="D105" s="49" t="s">
        <v>82</v>
      </c>
      <c r="E105" s="49">
        <v>1950</v>
      </c>
      <c r="F105" s="74">
        <f t="shared" si="6"/>
        <v>0</v>
      </c>
    </row>
    <row r="106" spans="1:6" ht="37">
      <c r="A106" s="49"/>
      <c r="B106" s="28" t="s">
        <v>523</v>
      </c>
      <c r="C106" s="49"/>
      <c r="D106" s="49" t="s">
        <v>82</v>
      </c>
      <c r="E106" s="49">
        <v>2250</v>
      </c>
      <c r="F106" s="74">
        <f t="shared" si="6"/>
        <v>0</v>
      </c>
    </row>
    <row r="107" spans="1:6" ht="37">
      <c r="A107" s="49"/>
      <c r="B107" s="28" t="s">
        <v>524</v>
      </c>
      <c r="C107" s="49"/>
      <c r="D107" s="49" t="s">
        <v>82</v>
      </c>
      <c r="E107" s="49">
        <v>2750</v>
      </c>
      <c r="F107" s="74">
        <f t="shared" si="6"/>
        <v>0</v>
      </c>
    </row>
    <row r="108" spans="1:6">
      <c r="A108" s="67"/>
      <c r="B108" s="35" t="s">
        <v>56</v>
      </c>
      <c r="C108" s="3"/>
      <c r="D108" s="4"/>
      <c r="E108" s="4"/>
      <c r="F108" s="76">
        <f>SUM(F40:F107)</f>
        <v>22321625</v>
      </c>
    </row>
    <row r="109" spans="1:6" ht="17.5" customHeight="1">
      <c r="A109" s="67"/>
      <c r="B109" s="36" t="s">
        <v>60</v>
      </c>
      <c r="C109" s="55"/>
      <c r="D109" s="4"/>
      <c r="E109" s="4"/>
      <c r="F109" s="73"/>
    </row>
    <row r="110" spans="1:6" ht="111">
      <c r="A110" s="5" t="s">
        <v>61</v>
      </c>
      <c r="B110" s="11" t="s">
        <v>314</v>
      </c>
      <c r="C110" s="56"/>
      <c r="D110" s="8"/>
      <c r="F110" s="24"/>
    </row>
    <row r="111" spans="1:6" ht="17.5" customHeight="1">
      <c r="A111" s="5" t="s">
        <v>301</v>
      </c>
      <c r="B111" s="23" t="s">
        <v>302</v>
      </c>
      <c r="C111" s="24"/>
      <c r="D111" s="32" t="s">
        <v>80</v>
      </c>
      <c r="E111" s="49">
        <v>7250</v>
      </c>
      <c r="F111" s="74">
        <f t="shared" ref="F111:F112" si="7">E111*C111</f>
        <v>0</v>
      </c>
    </row>
    <row r="112" spans="1:6" ht="17.5" customHeight="1">
      <c r="A112" s="5" t="s">
        <v>303</v>
      </c>
      <c r="B112" s="23" t="s">
        <v>304</v>
      </c>
      <c r="C112" s="24"/>
      <c r="D112" s="32" t="s">
        <v>80</v>
      </c>
      <c r="E112" s="49">
        <v>7250</v>
      </c>
      <c r="F112" s="74">
        <f t="shared" si="7"/>
        <v>0</v>
      </c>
    </row>
    <row r="113" spans="1:6" ht="129.5">
      <c r="A113" s="49" t="s">
        <v>62</v>
      </c>
      <c r="B113" s="11" t="s">
        <v>502</v>
      </c>
      <c r="C113" s="32"/>
      <c r="D113" s="8"/>
      <c r="E113" s="8"/>
      <c r="F113" s="24"/>
    </row>
    <row r="114" spans="1:6" ht="17.5" customHeight="1">
      <c r="A114" s="49"/>
      <c r="B114" s="28" t="s">
        <v>305</v>
      </c>
      <c r="C114" s="24"/>
      <c r="D114" s="32" t="s">
        <v>80</v>
      </c>
      <c r="E114" s="24">
        <v>6950</v>
      </c>
      <c r="F114" s="74">
        <f t="shared" ref="F114:F122" si="8">E114*C114</f>
        <v>0</v>
      </c>
    </row>
    <row r="115" spans="1:6" ht="17.5" customHeight="1">
      <c r="A115" s="49"/>
      <c r="B115" s="28" t="s">
        <v>306</v>
      </c>
      <c r="C115" s="24"/>
      <c r="D115" s="32" t="s">
        <v>80</v>
      </c>
      <c r="E115" s="24">
        <v>7250</v>
      </c>
      <c r="F115" s="74">
        <f t="shared" si="8"/>
        <v>0</v>
      </c>
    </row>
    <row r="116" spans="1:6" ht="17.5" customHeight="1">
      <c r="A116" s="49"/>
      <c r="B116" s="28" t="s">
        <v>307</v>
      </c>
      <c r="C116" s="24"/>
      <c r="D116" s="32" t="s">
        <v>80</v>
      </c>
      <c r="E116" s="24">
        <v>7650</v>
      </c>
      <c r="F116" s="74">
        <f t="shared" si="8"/>
        <v>0</v>
      </c>
    </row>
    <row r="117" spans="1:6" ht="129.65" customHeight="1">
      <c r="A117" s="49" t="s">
        <v>63</v>
      </c>
      <c r="B117" s="28" t="s">
        <v>276</v>
      </c>
      <c r="C117" s="24">
        <v>8</v>
      </c>
      <c r="D117" s="32" t="s">
        <v>80</v>
      </c>
      <c r="E117" s="24">
        <v>6350</v>
      </c>
      <c r="F117" s="74">
        <f t="shared" si="8"/>
        <v>50800</v>
      </c>
    </row>
    <row r="118" spans="1:6" ht="37">
      <c r="A118" s="49" t="s">
        <v>64</v>
      </c>
      <c r="B118" s="44" t="s">
        <v>214</v>
      </c>
      <c r="C118" s="24"/>
      <c r="D118" s="32" t="s">
        <v>80</v>
      </c>
      <c r="E118" s="24">
        <v>6650</v>
      </c>
      <c r="F118" s="74"/>
    </row>
    <row r="119" spans="1:6" ht="129.5">
      <c r="A119" s="49" t="s">
        <v>76</v>
      </c>
      <c r="B119" s="28" t="s">
        <v>277</v>
      </c>
      <c r="C119" s="49"/>
      <c r="D119" s="8"/>
      <c r="E119" s="24"/>
      <c r="F119" s="74"/>
    </row>
    <row r="120" spans="1:6">
      <c r="A120" s="5"/>
      <c r="B120" s="28" t="s">
        <v>643</v>
      </c>
      <c r="C120" s="24">
        <v>13</v>
      </c>
      <c r="D120" s="32" t="s">
        <v>80</v>
      </c>
      <c r="E120" s="24">
        <v>6350</v>
      </c>
      <c r="F120" s="74">
        <f t="shared" si="8"/>
        <v>82550</v>
      </c>
    </row>
    <row r="121" spans="1:6">
      <c r="A121" s="5"/>
      <c r="B121" s="28" t="s">
        <v>644</v>
      </c>
      <c r="C121" s="24">
        <v>20</v>
      </c>
      <c r="D121" s="32" t="s">
        <v>80</v>
      </c>
      <c r="E121" s="24">
        <v>6750</v>
      </c>
      <c r="F121" s="74">
        <f t="shared" si="8"/>
        <v>135000</v>
      </c>
    </row>
    <row r="122" spans="1:6">
      <c r="A122" s="5"/>
      <c r="B122" s="28" t="s">
        <v>645</v>
      </c>
      <c r="C122" s="24">
        <v>20</v>
      </c>
      <c r="D122" s="32" t="s">
        <v>80</v>
      </c>
      <c r="E122" s="24">
        <v>7150</v>
      </c>
      <c r="F122" s="74">
        <f t="shared" si="8"/>
        <v>143000</v>
      </c>
    </row>
    <row r="123" spans="1:6">
      <c r="A123" s="5"/>
      <c r="B123" s="28" t="s">
        <v>646</v>
      </c>
      <c r="C123" s="24">
        <v>39</v>
      </c>
      <c r="D123" s="32" t="s">
        <v>80</v>
      </c>
      <c r="E123" s="24">
        <v>7500</v>
      </c>
      <c r="F123" s="74">
        <f t="shared" ref="F123:F128" si="9">E123*C123</f>
        <v>292500</v>
      </c>
    </row>
    <row r="124" spans="1:6">
      <c r="A124" s="5"/>
      <c r="B124" s="28" t="s">
        <v>646</v>
      </c>
      <c r="C124" s="24">
        <v>16</v>
      </c>
      <c r="D124" s="32" t="s">
        <v>80</v>
      </c>
      <c r="E124" s="24">
        <v>7800</v>
      </c>
      <c r="F124" s="74">
        <f t="shared" si="9"/>
        <v>124800</v>
      </c>
    </row>
    <row r="125" spans="1:6" ht="117.75" customHeight="1">
      <c r="A125" s="5" t="s">
        <v>321</v>
      </c>
      <c r="B125" s="38" t="s">
        <v>482</v>
      </c>
      <c r="C125" s="53"/>
      <c r="D125" s="7"/>
      <c r="E125" s="8"/>
      <c r="F125" s="25"/>
    </row>
    <row r="126" spans="1:6">
      <c r="A126" s="5"/>
      <c r="B126" s="37" t="s">
        <v>254</v>
      </c>
      <c r="C126" s="24"/>
      <c r="D126" s="32" t="s">
        <v>81</v>
      </c>
      <c r="E126" s="24">
        <v>850</v>
      </c>
      <c r="F126" s="74">
        <f t="shared" si="9"/>
        <v>0</v>
      </c>
    </row>
    <row r="127" spans="1:6" ht="54" customHeight="1">
      <c r="A127" s="49"/>
      <c r="B127" s="28" t="s">
        <v>239</v>
      </c>
      <c r="C127" s="24"/>
      <c r="D127" s="32" t="s">
        <v>81</v>
      </c>
      <c r="E127" s="24">
        <v>875</v>
      </c>
      <c r="F127" s="74">
        <f t="shared" si="9"/>
        <v>0</v>
      </c>
    </row>
    <row r="128" spans="1:6" ht="118.5" customHeight="1">
      <c r="A128" s="5" t="s">
        <v>424</v>
      </c>
      <c r="B128" s="38" t="s">
        <v>322</v>
      </c>
      <c r="C128" s="24"/>
      <c r="D128" s="32" t="s">
        <v>288</v>
      </c>
      <c r="E128" s="24">
        <v>875</v>
      </c>
      <c r="F128" s="74">
        <f t="shared" si="9"/>
        <v>0</v>
      </c>
    </row>
    <row r="129" spans="1:6">
      <c r="A129" s="67"/>
      <c r="B129" s="22" t="s">
        <v>65</v>
      </c>
      <c r="C129" s="3"/>
      <c r="D129" s="4"/>
      <c r="F129" s="76">
        <f>SUM(F110:F128)</f>
        <v>828650</v>
      </c>
    </row>
    <row r="130" spans="1:6" ht="27.75" customHeight="1">
      <c r="A130" s="67"/>
      <c r="B130" s="36" t="s">
        <v>67</v>
      </c>
      <c r="C130" s="55"/>
      <c r="D130" s="4"/>
      <c r="F130" s="73"/>
    </row>
    <row r="131" spans="1:6" ht="122.25" customHeight="1">
      <c r="A131" s="5" t="s">
        <v>68</v>
      </c>
      <c r="B131" s="23" t="s">
        <v>255</v>
      </c>
      <c r="C131" s="20"/>
      <c r="D131" s="26" t="s">
        <v>81</v>
      </c>
      <c r="E131" s="24">
        <v>625</v>
      </c>
      <c r="F131" s="74">
        <f>E131*C131</f>
        <v>0</v>
      </c>
    </row>
    <row r="132" spans="1:6" s="2" customFormat="1" ht="153.75" customHeight="1">
      <c r="A132" s="5" t="s">
        <v>69</v>
      </c>
      <c r="B132" s="23" t="s">
        <v>608</v>
      </c>
      <c r="C132" s="32"/>
      <c r="D132" s="26" t="s">
        <v>80</v>
      </c>
      <c r="E132" s="24">
        <v>5450</v>
      </c>
      <c r="F132" s="74">
        <f t="shared" ref="F132:F165" si="10">E132*C132</f>
        <v>0</v>
      </c>
    </row>
    <row r="133" spans="1:6" s="2" customFormat="1" ht="55.5">
      <c r="A133" s="5" t="s">
        <v>468</v>
      </c>
      <c r="B133" s="48" t="s">
        <v>467</v>
      </c>
      <c r="C133" s="89">
        <v>43</v>
      </c>
      <c r="D133" s="26" t="s">
        <v>80</v>
      </c>
      <c r="E133" s="24">
        <v>5650</v>
      </c>
      <c r="F133" s="74">
        <f t="shared" si="10"/>
        <v>242950</v>
      </c>
    </row>
    <row r="134" spans="1:6" ht="222.75" customHeight="1">
      <c r="A134" s="5" t="s">
        <v>469</v>
      </c>
      <c r="B134" s="28" t="s">
        <v>609</v>
      </c>
      <c r="C134" s="63"/>
      <c r="D134" s="26" t="s">
        <v>288</v>
      </c>
      <c r="E134" s="24">
        <v>95</v>
      </c>
      <c r="F134" s="74">
        <f t="shared" si="10"/>
        <v>0</v>
      </c>
    </row>
    <row r="135" spans="1:6" ht="111">
      <c r="A135" s="49"/>
      <c r="B135" s="18" t="s">
        <v>483</v>
      </c>
      <c r="C135" s="57"/>
      <c r="D135" s="26"/>
      <c r="E135" s="24"/>
      <c r="F135" s="74">
        <f t="shared" si="10"/>
        <v>0</v>
      </c>
    </row>
    <row r="136" spans="1:6" ht="231.75" customHeight="1">
      <c r="A136" s="5" t="s">
        <v>470</v>
      </c>
      <c r="B136" s="28" t="s">
        <v>507</v>
      </c>
      <c r="C136" s="24">
        <v>794</v>
      </c>
      <c r="D136" s="26" t="s">
        <v>288</v>
      </c>
      <c r="E136" s="24">
        <v>125</v>
      </c>
      <c r="F136" s="74">
        <f t="shared" si="10"/>
        <v>99250</v>
      </c>
    </row>
    <row r="137" spans="1:6" ht="55.5">
      <c r="A137" s="49"/>
      <c r="B137" s="28" t="s">
        <v>510</v>
      </c>
      <c r="C137" s="24">
        <v>511</v>
      </c>
      <c r="D137" s="26" t="s">
        <v>240</v>
      </c>
      <c r="E137" s="24">
        <v>22.5</v>
      </c>
      <c r="F137" s="74">
        <f t="shared" si="10"/>
        <v>11497.5</v>
      </c>
    </row>
    <row r="138" spans="1:6" ht="159.75" customHeight="1">
      <c r="A138" s="5" t="s">
        <v>70</v>
      </c>
      <c r="B138" s="23" t="s">
        <v>259</v>
      </c>
      <c r="C138" s="24"/>
      <c r="D138" s="26" t="s">
        <v>71</v>
      </c>
      <c r="E138" s="24">
        <v>250</v>
      </c>
      <c r="F138" s="74">
        <f t="shared" si="10"/>
        <v>0</v>
      </c>
    </row>
    <row r="139" spans="1:6" ht="200.25" customHeight="1">
      <c r="A139" s="5" t="s">
        <v>72</v>
      </c>
      <c r="B139" s="23" t="s">
        <v>183</v>
      </c>
      <c r="C139" s="5"/>
      <c r="D139" s="26"/>
      <c r="E139" s="24"/>
      <c r="F139" s="74">
        <f t="shared" si="10"/>
        <v>0</v>
      </c>
    </row>
    <row r="140" spans="1:6">
      <c r="A140" s="49"/>
      <c r="B140" s="28" t="s">
        <v>241</v>
      </c>
      <c r="C140" s="24">
        <v>134</v>
      </c>
      <c r="D140" s="26" t="s">
        <v>83</v>
      </c>
      <c r="E140" s="24">
        <v>175</v>
      </c>
      <c r="F140" s="74">
        <f t="shared" si="10"/>
        <v>23450</v>
      </c>
    </row>
    <row r="141" spans="1:6">
      <c r="A141" s="49"/>
      <c r="B141" s="28" t="s">
        <v>242</v>
      </c>
      <c r="C141" s="24"/>
      <c r="D141" s="26" t="s">
        <v>83</v>
      </c>
      <c r="E141" s="24">
        <v>165</v>
      </c>
      <c r="F141" s="74">
        <f t="shared" si="10"/>
        <v>0</v>
      </c>
    </row>
    <row r="142" spans="1:6" ht="111">
      <c r="A142" s="5" t="s">
        <v>74</v>
      </c>
      <c r="B142" s="23" t="s">
        <v>484</v>
      </c>
      <c r="C142" s="5"/>
      <c r="D142" s="7"/>
      <c r="E142" s="24"/>
      <c r="F142" s="74">
        <f t="shared" si="10"/>
        <v>0</v>
      </c>
    </row>
    <row r="143" spans="1:6">
      <c r="A143" s="5"/>
      <c r="B143" s="23" t="s">
        <v>417</v>
      </c>
      <c r="C143" s="5"/>
      <c r="D143" s="26"/>
      <c r="E143" s="24"/>
      <c r="F143" s="74">
        <f t="shared" si="10"/>
        <v>0</v>
      </c>
    </row>
    <row r="144" spans="1:6" ht="37">
      <c r="A144" s="5"/>
      <c r="B144" s="23" t="s">
        <v>485</v>
      </c>
      <c r="C144" s="24"/>
      <c r="D144" s="26" t="s">
        <v>81</v>
      </c>
      <c r="E144" s="24">
        <v>750</v>
      </c>
      <c r="F144" s="74">
        <f t="shared" si="10"/>
        <v>0</v>
      </c>
    </row>
    <row r="145" spans="1:6" ht="37">
      <c r="A145" s="5"/>
      <c r="B145" s="23" t="s">
        <v>97</v>
      </c>
      <c r="C145" s="20"/>
      <c r="D145" s="26" t="s">
        <v>83</v>
      </c>
      <c r="E145" s="24">
        <v>550</v>
      </c>
      <c r="F145" s="74">
        <f t="shared" si="10"/>
        <v>0</v>
      </c>
    </row>
    <row r="146" spans="1:6" ht="37">
      <c r="A146" s="49"/>
      <c r="B146" s="28" t="s">
        <v>418</v>
      </c>
      <c r="C146" s="24"/>
      <c r="D146" s="26" t="s">
        <v>83</v>
      </c>
      <c r="E146" s="24">
        <v>550</v>
      </c>
      <c r="F146" s="74">
        <f t="shared" si="10"/>
        <v>0</v>
      </c>
    </row>
    <row r="147" spans="1:6" ht="137.25" customHeight="1">
      <c r="A147" s="49" t="s">
        <v>75</v>
      </c>
      <c r="B147" s="28" t="s">
        <v>486</v>
      </c>
      <c r="C147" s="49"/>
      <c r="D147" s="26"/>
      <c r="E147" s="24"/>
      <c r="F147" s="74">
        <f t="shared" si="10"/>
        <v>0</v>
      </c>
    </row>
    <row r="148" spans="1:6">
      <c r="A148" s="49"/>
      <c r="B148" s="28" t="s">
        <v>234</v>
      </c>
      <c r="C148" s="24"/>
      <c r="D148" s="26" t="s">
        <v>81</v>
      </c>
      <c r="E148" s="24">
        <v>1375</v>
      </c>
      <c r="F148" s="74">
        <f t="shared" si="10"/>
        <v>0</v>
      </c>
    </row>
    <row r="149" spans="1:6">
      <c r="A149" s="49"/>
      <c r="B149" s="28" t="s">
        <v>235</v>
      </c>
      <c r="C149" s="24"/>
      <c r="D149" s="26" t="s">
        <v>81</v>
      </c>
      <c r="E149" s="24">
        <v>1675</v>
      </c>
      <c r="F149" s="74">
        <f t="shared" si="10"/>
        <v>0</v>
      </c>
    </row>
    <row r="150" spans="1:6" ht="156" customHeight="1">
      <c r="A150" s="5" t="s">
        <v>156</v>
      </c>
      <c r="B150" s="38" t="s">
        <v>260</v>
      </c>
      <c r="C150" s="24">
        <v>145</v>
      </c>
      <c r="D150" s="26" t="s">
        <v>81</v>
      </c>
      <c r="E150" s="24">
        <v>1575</v>
      </c>
      <c r="F150" s="74">
        <f t="shared" si="10"/>
        <v>228375</v>
      </c>
    </row>
    <row r="151" spans="1:6" ht="137.25" customHeight="1">
      <c r="A151" s="5" t="s">
        <v>157</v>
      </c>
      <c r="B151" s="23" t="s">
        <v>4</v>
      </c>
      <c r="C151" s="5"/>
      <c r="D151" s="7"/>
      <c r="E151" s="24"/>
      <c r="F151" s="74">
        <f t="shared" si="10"/>
        <v>0</v>
      </c>
    </row>
    <row r="152" spans="1:6">
      <c r="A152" s="5"/>
      <c r="B152" s="23" t="s">
        <v>88</v>
      </c>
      <c r="C152" s="20"/>
      <c r="D152" s="32" t="s">
        <v>81</v>
      </c>
      <c r="E152" s="24">
        <v>1150</v>
      </c>
      <c r="F152" s="74">
        <f t="shared" si="10"/>
        <v>0</v>
      </c>
    </row>
    <row r="153" spans="1:6" ht="37">
      <c r="A153" s="5"/>
      <c r="B153" s="23" t="s">
        <v>89</v>
      </c>
      <c r="C153" s="20"/>
      <c r="D153" s="32" t="s">
        <v>81</v>
      </c>
      <c r="E153" s="24">
        <v>1250</v>
      </c>
      <c r="F153" s="74">
        <f t="shared" si="10"/>
        <v>0</v>
      </c>
    </row>
    <row r="154" spans="1:6" ht="92.5">
      <c r="A154" s="5" t="s">
        <v>158</v>
      </c>
      <c r="B154" s="23" t="s">
        <v>487</v>
      </c>
      <c r="C154" s="5"/>
      <c r="D154" s="7"/>
      <c r="E154" s="24"/>
      <c r="F154" s="74">
        <f t="shared" si="10"/>
        <v>0</v>
      </c>
    </row>
    <row r="155" spans="1:6">
      <c r="A155" s="5"/>
      <c r="B155" s="28" t="s">
        <v>419</v>
      </c>
      <c r="C155" s="24"/>
      <c r="D155" s="32" t="s">
        <v>81</v>
      </c>
      <c r="E155" s="24">
        <v>1275</v>
      </c>
      <c r="F155" s="74">
        <f t="shared" si="10"/>
        <v>0</v>
      </c>
    </row>
    <row r="156" spans="1:6" ht="37">
      <c r="A156" s="5"/>
      <c r="B156" s="28" t="s">
        <v>444</v>
      </c>
      <c r="C156" s="24"/>
      <c r="D156" s="32" t="s">
        <v>83</v>
      </c>
      <c r="E156" s="24">
        <v>500</v>
      </c>
      <c r="F156" s="74">
        <f t="shared" si="10"/>
        <v>0</v>
      </c>
    </row>
    <row r="157" spans="1:6" ht="129.5">
      <c r="A157" s="49" t="s">
        <v>87</v>
      </c>
      <c r="B157" s="28" t="s">
        <v>445</v>
      </c>
      <c r="C157" s="32">
        <v>60</v>
      </c>
      <c r="D157" s="32" t="s">
        <v>81</v>
      </c>
      <c r="E157" s="24">
        <v>3550</v>
      </c>
      <c r="F157" s="74">
        <f t="shared" si="10"/>
        <v>213000</v>
      </c>
    </row>
    <row r="158" spans="1:6" ht="111">
      <c r="A158" s="5" t="s">
        <v>90</v>
      </c>
      <c r="B158" s="23" t="s">
        <v>446</v>
      </c>
      <c r="C158" s="24"/>
      <c r="D158" s="32" t="s">
        <v>81</v>
      </c>
      <c r="E158" s="24">
        <v>3500</v>
      </c>
      <c r="F158" s="74">
        <f t="shared" si="10"/>
        <v>0</v>
      </c>
    </row>
    <row r="159" spans="1:6" ht="111">
      <c r="A159" s="5" t="s">
        <v>230</v>
      </c>
      <c r="B159" s="23" t="s">
        <v>155</v>
      </c>
      <c r="C159" s="24"/>
      <c r="D159" s="32" t="s">
        <v>81</v>
      </c>
      <c r="E159" s="24">
        <v>2750</v>
      </c>
      <c r="F159" s="74">
        <f t="shared" si="10"/>
        <v>0</v>
      </c>
    </row>
    <row r="160" spans="1:6" ht="129.5">
      <c r="A160" s="5" t="s">
        <v>231</v>
      </c>
      <c r="B160" s="23" t="s">
        <v>110</v>
      </c>
      <c r="C160" s="24"/>
      <c r="D160" s="32" t="s">
        <v>81</v>
      </c>
      <c r="E160" s="4">
        <v>2750</v>
      </c>
      <c r="F160" s="74">
        <f t="shared" si="10"/>
        <v>0</v>
      </c>
    </row>
    <row r="161" spans="1:6" ht="92.5">
      <c r="A161" s="5" t="s">
        <v>154</v>
      </c>
      <c r="B161" s="23" t="s">
        <v>223</v>
      </c>
      <c r="C161" s="24"/>
      <c r="D161" s="32" t="s">
        <v>81</v>
      </c>
      <c r="E161" s="4">
        <v>1250</v>
      </c>
      <c r="F161" s="74">
        <f t="shared" si="10"/>
        <v>0</v>
      </c>
    </row>
    <row r="162" spans="1:6" ht="315" hidden="1" customHeight="1">
      <c r="A162" s="5" t="s">
        <v>252</v>
      </c>
      <c r="B162" s="38" t="s">
        <v>278</v>
      </c>
      <c r="C162" s="20"/>
      <c r="D162" s="32" t="s">
        <v>81</v>
      </c>
      <c r="E162" s="24"/>
      <c r="F162" s="74">
        <f t="shared" si="10"/>
        <v>0</v>
      </c>
    </row>
    <row r="163" spans="1:6" ht="111">
      <c r="A163" s="5" t="s">
        <v>252</v>
      </c>
      <c r="B163" s="23" t="s">
        <v>257</v>
      </c>
      <c r="C163" s="24"/>
      <c r="D163" s="32" t="s">
        <v>81</v>
      </c>
      <c r="E163" s="24">
        <v>1250</v>
      </c>
      <c r="F163" s="74">
        <f t="shared" si="10"/>
        <v>0</v>
      </c>
    </row>
    <row r="164" spans="1:6" ht="129.5">
      <c r="A164" s="5" t="s">
        <v>388</v>
      </c>
      <c r="B164" s="23" t="s">
        <v>387</v>
      </c>
      <c r="C164" s="24"/>
      <c r="D164" s="32" t="s">
        <v>81</v>
      </c>
      <c r="E164" s="24">
        <v>3750</v>
      </c>
      <c r="F164" s="74">
        <f t="shared" si="10"/>
        <v>0</v>
      </c>
    </row>
    <row r="165" spans="1:6" ht="351" customHeight="1">
      <c r="A165" s="5" t="s">
        <v>511</v>
      </c>
      <c r="B165" s="23" t="s">
        <v>603</v>
      </c>
      <c r="C165" s="24"/>
      <c r="D165" s="32" t="s">
        <v>81</v>
      </c>
      <c r="E165" s="24">
        <v>810</v>
      </c>
      <c r="F165" s="74">
        <f t="shared" si="10"/>
        <v>0</v>
      </c>
    </row>
    <row r="166" spans="1:6">
      <c r="A166" s="67"/>
      <c r="B166" s="22" t="s">
        <v>91</v>
      </c>
      <c r="C166" s="3"/>
      <c r="D166" s="4"/>
      <c r="E166" s="24"/>
      <c r="F166" s="80">
        <f>SUM(F131:F165)</f>
        <v>818522.5</v>
      </c>
    </row>
    <row r="167" spans="1:6" ht="17.5" customHeight="1">
      <c r="A167" s="67"/>
      <c r="B167" s="36" t="s">
        <v>102</v>
      </c>
      <c r="C167" s="55"/>
      <c r="D167" s="4"/>
      <c r="E167" s="24"/>
      <c r="F167" s="73"/>
    </row>
    <row r="168" spans="1:6" ht="166.5">
      <c r="A168" s="49" t="s">
        <v>92</v>
      </c>
      <c r="B168" s="28" t="s">
        <v>488</v>
      </c>
      <c r="C168" s="49"/>
      <c r="D168" s="8"/>
      <c r="E168" s="24"/>
      <c r="F168" s="24"/>
    </row>
    <row r="169" spans="1:6" ht="38.25" customHeight="1">
      <c r="A169" s="49"/>
      <c r="B169" s="28" t="s">
        <v>93</v>
      </c>
      <c r="C169" s="24">
        <v>1354</v>
      </c>
      <c r="D169" s="32" t="s">
        <v>81</v>
      </c>
      <c r="E169" s="24">
        <v>395</v>
      </c>
      <c r="F169" s="74">
        <f t="shared" ref="F169:F173" si="11">E169*C169</f>
        <v>534830</v>
      </c>
    </row>
    <row r="170" spans="1:6">
      <c r="A170" s="49"/>
      <c r="B170" s="28" t="s">
        <v>94</v>
      </c>
      <c r="C170" s="24">
        <v>2556</v>
      </c>
      <c r="D170" s="32" t="s">
        <v>81</v>
      </c>
      <c r="E170" s="24">
        <v>425</v>
      </c>
      <c r="F170" s="74">
        <f t="shared" si="11"/>
        <v>1086300</v>
      </c>
    </row>
    <row r="171" spans="1:6" ht="213.75" customHeight="1">
      <c r="A171" s="49" t="s">
        <v>95</v>
      </c>
      <c r="B171" s="28" t="s">
        <v>489</v>
      </c>
      <c r="C171" s="20"/>
      <c r="D171" s="32" t="s">
        <v>81</v>
      </c>
      <c r="E171" s="24">
        <v>485</v>
      </c>
      <c r="F171" s="74">
        <f t="shared" si="11"/>
        <v>0</v>
      </c>
    </row>
    <row r="172" spans="1:6" ht="132" customHeight="1">
      <c r="A172" s="5" t="s">
        <v>265</v>
      </c>
      <c r="B172" s="28" t="s">
        <v>447</v>
      </c>
      <c r="C172" s="24"/>
      <c r="D172" s="32" t="s">
        <v>81</v>
      </c>
      <c r="E172" s="24">
        <v>575</v>
      </c>
      <c r="F172" s="74">
        <f t="shared" si="11"/>
        <v>0</v>
      </c>
    </row>
    <row r="173" spans="1:6" ht="261" customHeight="1">
      <c r="A173" s="5" t="s">
        <v>96</v>
      </c>
      <c r="B173" s="17" t="s">
        <v>448</v>
      </c>
      <c r="C173" s="24">
        <v>1780</v>
      </c>
      <c r="D173" s="32" t="s">
        <v>81</v>
      </c>
      <c r="E173" s="24">
        <v>575</v>
      </c>
      <c r="F173" s="74">
        <f t="shared" si="11"/>
        <v>1023500</v>
      </c>
    </row>
    <row r="174" spans="1:6" ht="141.75" customHeight="1">
      <c r="A174" s="49" t="s">
        <v>159</v>
      </c>
      <c r="B174" s="28" t="s">
        <v>267</v>
      </c>
      <c r="C174" s="24">
        <v>113</v>
      </c>
      <c r="D174" s="32" t="s">
        <v>81</v>
      </c>
      <c r="E174" s="20">
        <v>525</v>
      </c>
      <c r="F174" s="74">
        <f>E176*C174</f>
        <v>42375</v>
      </c>
    </row>
    <row r="175" spans="1:6" ht="129.5">
      <c r="A175" s="49" t="s">
        <v>23</v>
      </c>
      <c r="B175" s="23" t="s">
        <v>420</v>
      </c>
      <c r="C175" s="24">
        <f>C173</f>
        <v>1780</v>
      </c>
      <c r="D175" s="26" t="s">
        <v>81</v>
      </c>
      <c r="E175" s="20">
        <v>160</v>
      </c>
      <c r="F175" s="74">
        <f>E177*C175</f>
        <v>667500</v>
      </c>
    </row>
    <row r="176" spans="1:6" ht="170.25" customHeight="1">
      <c r="A176" s="5" t="s">
        <v>98</v>
      </c>
      <c r="B176" s="23" t="s">
        <v>248</v>
      </c>
      <c r="C176" s="24"/>
      <c r="D176" s="26" t="s">
        <v>81</v>
      </c>
      <c r="E176" s="4">
        <v>375</v>
      </c>
      <c r="F176" s="79"/>
    </row>
    <row r="177" spans="1:6" ht="159.75" customHeight="1">
      <c r="A177" s="5" t="s">
        <v>99</v>
      </c>
      <c r="B177" s="23" t="s">
        <v>247</v>
      </c>
      <c r="C177" s="24"/>
      <c r="D177" s="26" t="s">
        <v>81</v>
      </c>
      <c r="E177" s="4">
        <v>375</v>
      </c>
      <c r="F177" s="74">
        <f t="shared" ref="F177:F180" si="12">E177*C177</f>
        <v>0</v>
      </c>
    </row>
    <row r="178" spans="1:6" ht="113.25" customHeight="1">
      <c r="A178" s="5" t="s">
        <v>100</v>
      </c>
      <c r="B178" s="23" t="s">
        <v>421</v>
      </c>
      <c r="C178" s="24"/>
      <c r="D178" s="26" t="s">
        <v>81</v>
      </c>
      <c r="E178" s="32">
        <v>265</v>
      </c>
      <c r="F178" s="74">
        <f t="shared" si="12"/>
        <v>0</v>
      </c>
    </row>
    <row r="179" spans="1:6" ht="115.5" customHeight="1">
      <c r="A179" s="5" t="s">
        <v>41</v>
      </c>
      <c r="B179" s="23" t="s">
        <v>246</v>
      </c>
      <c r="C179" s="20">
        <f>C169+C170</f>
        <v>3910</v>
      </c>
      <c r="D179" s="26" t="s">
        <v>81</v>
      </c>
      <c r="E179" s="24">
        <v>240</v>
      </c>
      <c r="F179" s="74">
        <f t="shared" si="12"/>
        <v>938400</v>
      </c>
    </row>
    <row r="180" spans="1:6" ht="92.5">
      <c r="A180" s="5" t="s">
        <v>188</v>
      </c>
      <c r="B180" s="23" t="s">
        <v>245</v>
      </c>
      <c r="C180" s="24"/>
      <c r="D180" s="26" t="s">
        <v>81</v>
      </c>
      <c r="E180" s="24">
        <v>230</v>
      </c>
      <c r="F180" s="74">
        <f t="shared" si="12"/>
        <v>0</v>
      </c>
    </row>
    <row r="181" spans="1:6" ht="92.5">
      <c r="A181" s="5" t="s">
        <v>386</v>
      </c>
      <c r="B181" s="23" t="s">
        <v>385</v>
      </c>
      <c r="C181" s="24">
        <v>200</v>
      </c>
      <c r="D181" s="26" t="s">
        <v>289</v>
      </c>
      <c r="E181" s="24">
        <v>125</v>
      </c>
      <c r="F181" s="74">
        <f>E181*C181</f>
        <v>25000</v>
      </c>
    </row>
    <row r="182" spans="1:6">
      <c r="A182" s="67"/>
      <c r="B182" s="22" t="s">
        <v>101</v>
      </c>
      <c r="C182" s="3"/>
      <c r="D182" s="4"/>
      <c r="E182" s="24"/>
      <c r="F182" s="80">
        <f>SUM(F168:F181)</f>
        <v>4317905</v>
      </c>
    </row>
    <row r="183" spans="1:6">
      <c r="A183" s="67"/>
      <c r="B183" s="36" t="s">
        <v>103</v>
      </c>
      <c r="C183" s="55"/>
      <c r="D183" s="4"/>
      <c r="E183" s="24"/>
      <c r="F183" s="73"/>
    </row>
    <row r="184" spans="1:6" ht="138.75" customHeight="1">
      <c r="A184" s="5" t="s">
        <v>160</v>
      </c>
      <c r="B184" s="23" t="s">
        <v>238</v>
      </c>
      <c r="C184" s="5"/>
      <c r="D184" s="7"/>
      <c r="E184" s="24"/>
      <c r="F184" s="25"/>
    </row>
    <row r="185" spans="1:6">
      <c r="A185" s="5"/>
      <c r="B185" s="23" t="s">
        <v>105</v>
      </c>
      <c r="C185" s="24"/>
      <c r="D185" s="26" t="s">
        <v>81</v>
      </c>
      <c r="E185" s="24">
        <v>16500</v>
      </c>
      <c r="F185" s="74">
        <f t="shared" ref="F185" si="13">E185*C185</f>
        <v>0</v>
      </c>
    </row>
    <row r="186" spans="1:6">
      <c r="A186" s="5"/>
      <c r="B186" s="23" t="s">
        <v>106</v>
      </c>
      <c r="C186" s="24"/>
      <c r="D186" s="26" t="s">
        <v>81</v>
      </c>
      <c r="E186" s="24"/>
      <c r="F186" s="79"/>
    </row>
    <row r="187" spans="1:6" ht="148">
      <c r="A187" s="5" t="s">
        <v>104</v>
      </c>
      <c r="B187" s="23" t="s">
        <v>490</v>
      </c>
      <c r="C187" s="24"/>
      <c r="D187" s="26" t="s">
        <v>81</v>
      </c>
      <c r="E187" s="24"/>
      <c r="F187" s="79"/>
    </row>
    <row r="188" spans="1:6" ht="185">
      <c r="A188" s="5" t="s">
        <v>107</v>
      </c>
      <c r="B188" s="23" t="s">
        <v>491</v>
      </c>
      <c r="C188" s="5"/>
      <c r="D188" s="7"/>
      <c r="E188" s="24"/>
      <c r="F188" s="25"/>
    </row>
    <row r="189" spans="1:6">
      <c r="A189" s="5"/>
      <c r="B189" s="23" t="s">
        <v>112</v>
      </c>
      <c r="C189" s="5"/>
      <c r="D189" s="7"/>
      <c r="E189" s="24"/>
      <c r="F189" s="25"/>
    </row>
    <row r="190" spans="1:6">
      <c r="A190" s="5"/>
      <c r="B190" s="23" t="s">
        <v>113</v>
      </c>
      <c r="C190" s="5"/>
      <c r="D190" s="7"/>
      <c r="E190" s="24"/>
      <c r="F190" s="25"/>
    </row>
    <row r="191" spans="1:6">
      <c r="A191" s="5"/>
      <c r="B191" s="23" t="s">
        <v>114</v>
      </c>
      <c r="C191" s="5"/>
      <c r="D191" s="7"/>
      <c r="E191" s="24"/>
      <c r="F191" s="25"/>
    </row>
    <row r="192" spans="1:6">
      <c r="A192" s="5"/>
      <c r="B192" s="23" t="s">
        <v>115</v>
      </c>
      <c r="C192" s="5"/>
      <c r="D192" s="7"/>
      <c r="E192" s="24"/>
      <c r="F192" s="25"/>
    </row>
    <row r="193" spans="1:6">
      <c r="A193" s="5"/>
      <c r="B193" s="23" t="s">
        <v>116</v>
      </c>
      <c r="C193" s="5"/>
      <c r="D193" s="7"/>
      <c r="E193" s="24"/>
      <c r="F193" s="25"/>
    </row>
    <row r="194" spans="1:6">
      <c r="A194" s="5"/>
      <c r="B194" s="23" t="s">
        <v>117</v>
      </c>
      <c r="C194" s="5"/>
      <c r="D194" s="7"/>
      <c r="E194" s="24"/>
      <c r="F194" s="25"/>
    </row>
    <row r="195" spans="1:6">
      <c r="A195" s="5"/>
      <c r="B195" s="23" t="s">
        <v>118</v>
      </c>
      <c r="C195" s="5"/>
      <c r="D195" s="7"/>
      <c r="E195" s="24"/>
      <c r="F195" s="25"/>
    </row>
    <row r="196" spans="1:6">
      <c r="A196" s="5"/>
      <c r="B196" s="23" t="s">
        <v>119</v>
      </c>
      <c r="C196" s="5"/>
      <c r="D196" s="7"/>
      <c r="E196" s="24"/>
      <c r="F196" s="25"/>
    </row>
    <row r="197" spans="1:6">
      <c r="A197" s="5"/>
      <c r="B197" s="23" t="s">
        <v>120</v>
      </c>
      <c r="C197" s="5"/>
      <c r="D197" s="7"/>
      <c r="E197" s="24"/>
      <c r="F197" s="25"/>
    </row>
    <row r="198" spans="1:6">
      <c r="A198" s="5"/>
      <c r="B198" s="23" t="s">
        <v>121</v>
      </c>
      <c r="C198" s="5"/>
      <c r="D198" s="7"/>
      <c r="E198" s="24"/>
      <c r="F198" s="25"/>
    </row>
    <row r="199" spans="1:6">
      <c r="A199" s="5"/>
      <c r="B199" s="23" t="s">
        <v>122</v>
      </c>
      <c r="C199" s="5"/>
      <c r="D199" s="7"/>
      <c r="E199" s="24"/>
      <c r="F199" s="25"/>
    </row>
    <row r="200" spans="1:6">
      <c r="A200" s="5"/>
      <c r="B200" s="23" t="s">
        <v>123</v>
      </c>
      <c r="C200" s="5"/>
      <c r="D200" s="7"/>
      <c r="E200" s="24"/>
      <c r="F200" s="25"/>
    </row>
    <row r="201" spans="1:6">
      <c r="A201" s="5"/>
      <c r="B201" s="23" t="s">
        <v>124</v>
      </c>
      <c r="C201" s="5"/>
      <c r="D201" s="7"/>
      <c r="E201" s="24"/>
      <c r="F201" s="25"/>
    </row>
    <row r="202" spans="1:6">
      <c r="A202" s="5"/>
      <c r="B202" s="23" t="s">
        <v>125</v>
      </c>
      <c r="C202" s="5"/>
      <c r="D202" s="7"/>
      <c r="E202" s="24"/>
      <c r="F202" s="25"/>
    </row>
    <row r="203" spans="1:6">
      <c r="A203" s="5"/>
      <c r="B203" s="23" t="s">
        <v>126</v>
      </c>
      <c r="C203" s="24">
        <v>28</v>
      </c>
      <c r="D203" s="26" t="s">
        <v>81</v>
      </c>
      <c r="E203" s="24">
        <v>5250</v>
      </c>
      <c r="F203" s="74">
        <f>E203*C203</f>
        <v>147000</v>
      </c>
    </row>
    <row r="204" spans="1:6">
      <c r="A204" s="5"/>
      <c r="B204" s="23" t="s">
        <v>127</v>
      </c>
      <c r="C204" s="24"/>
      <c r="D204" s="26" t="s">
        <v>81</v>
      </c>
      <c r="E204" s="24"/>
      <c r="F204" s="79"/>
    </row>
    <row r="205" spans="1:6">
      <c r="A205" s="5"/>
      <c r="B205" s="23" t="s">
        <v>422</v>
      </c>
      <c r="C205" s="24"/>
      <c r="D205" s="26" t="s">
        <v>352</v>
      </c>
      <c r="E205" s="24"/>
      <c r="F205" s="74">
        <f>E205*C205</f>
        <v>0</v>
      </c>
    </row>
    <row r="206" spans="1:6">
      <c r="A206" s="5"/>
      <c r="B206" s="23" t="s">
        <v>423</v>
      </c>
      <c r="C206" s="24"/>
      <c r="D206" s="26" t="s">
        <v>352</v>
      </c>
      <c r="E206" s="24"/>
      <c r="F206" s="74">
        <f>E206*C206</f>
        <v>0</v>
      </c>
    </row>
    <row r="207" spans="1:6" ht="259">
      <c r="A207" s="5" t="s">
        <v>109</v>
      </c>
      <c r="B207" s="23" t="s">
        <v>161</v>
      </c>
      <c r="C207" s="5"/>
      <c r="D207" s="12"/>
      <c r="E207" s="24"/>
      <c r="F207" s="25" t="s">
        <v>509</v>
      </c>
    </row>
    <row r="208" spans="1:6">
      <c r="A208" s="5"/>
      <c r="B208" s="23" t="s">
        <v>129</v>
      </c>
      <c r="C208" s="20"/>
      <c r="D208" s="26" t="s">
        <v>81</v>
      </c>
      <c r="E208" s="24">
        <v>4450</v>
      </c>
      <c r="F208" s="74">
        <f t="shared" ref="F208" si="14">E208*C208</f>
        <v>0</v>
      </c>
    </row>
    <row r="209" spans="1:6">
      <c r="A209" s="5"/>
      <c r="B209" s="23" t="s">
        <v>130</v>
      </c>
      <c r="C209" s="24"/>
      <c r="D209" s="26" t="s">
        <v>81</v>
      </c>
      <c r="E209" s="24">
        <v>4750</v>
      </c>
      <c r="F209" s="79"/>
    </row>
    <row r="210" spans="1:6" ht="185">
      <c r="A210" s="5" t="s">
        <v>128</v>
      </c>
      <c r="B210" s="23" t="s">
        <v>492</v>
      </c>
      <c r="C210" s="5"/>
      <c r="D210" s="7"/>
      <c r="E210" s="24"/>
      <c r="F210" s="25"/>
    </row>
    <row r="211" spans="1:6">
      <c r="A211" s="5"/>
      <c r="B211" s="23" t="s">
        <v>285</v>
      </c>
      <c r="C211" s="24"/>
      <c r="D211" s="26" t="s">
        <v>81</v>
      </c>
      <c r="E211" s="24">
        <v>3750</v>
      </c>
      <c r="F211" s="79"/>
    </row>
    <row r="212" spans="1:6">
      <c r="A212" s="5"/>
      <c r="B212" s="23" t="s">
        <v>132</v>
      </c>
      <c r="C212" s="24"/>
      <c r="D212" s="26" t="s">
        <v>81</v>
      </c>
      <c r="E212" s="24">
        <v>3750</v>
      </c>
      <c r="F212" s="79"/>
    </row>
    <row r="213" spans="1:6" ht="288.75" customHeight="1">
      <c r="A213" s="5" t="s">
        <v>131</v>
      </c>
      <c r="B213" s="23" t="s">
        <v>512</v>
      </c>
      <c r="C213" s="5"/>
      <c r="D213" s="7"/>
      <c r="E213" s="24"/>
      <c r="F213" s="25"/>
    </row>
    <row r="214" spans="1:6">
      <c r="A214" s="5"/>
      <c r="B214" s="23" t="s">
        <v>533</v>
      </c>
      <c r="C214" s="24">
        <v>115</v>
      </c>
      <c r="D214" s="26" t="s">
        <v>86</v>
      </c>
      <c r="E214" s="24">
        <v>3850</v>
      </c>
      <c r="F214" s="74">
        <f>E214*C214</f>
        <v>442750</v>
      </c>
    </row>
    <row r="215" spans="1:6">
      <c r="A215" s="5"/>
      <c r="B215" s="23" t="s">
        <v>134</v>
      </c>
      <c r="C215" s="5"/>
      <c r="D215" s="7"/>
      <c r="E215" s="24"/>
      <c r="F215" s="25"/>
    </row>
    <row r="216" spans="1:6">
      <c r="A216" s="5"/>
      <c r="B216" s="23" t="s">
        <v>142</v>
      </c>
      <c r="C216" s="5"/>
      <c r="D216" s="7"/>
      <c r="E216" s="24"/>
      <c r="F216" s="25"/>
    </row>
    <row r="217" spans="1:6">
      <c r="A217" s="5"/>
      <c r="B217" s="23" t="s">
        <v>143</v>
      </c>
      <c r="C217" s="5"/>
      <c r="D217" s="7"/>
      <c r="E217" s="24"/>
      <c r="F217" s="25"/>
    </row>
    <row r="218" spans="1:6">
      <c r="A218" s="5"/>
      <c r="B218" s="23" t="s">
        <v>113</v>
      </c>
      <c r="C218" s="5"/>
      <c r="D218" s="7"/>
      <c r="E218" s="24"/>
      <c r="F218" s="25"/>
    </row>
    <row r="219" spans="1:6">
      <c r="A219" s="5"/>
      <c r="B219" s="23" t="s">
        <v>135</v>
      </c>
      <c r="C219" s="5"/>
      <c r="D219" s="7"/>
      <c r="E219" s="24"/>
      <c r="F219" s="25"/>
    </row>
    <row r="220" spans="1:6">
      <c r="A220" s="5"/>
      <c r="B220" s="23" t="s">
        <v>144</v>
      </c>
      <c r="C220" s="5"/>
      <c r="D220" s="7"/>
      <c r="E220" s="24"/>
      <c r="F220" s="25"/>
    </row>
    <row r="221" spans="1:6">
      <c r="A221" s="5"/>
      <c r="B221" s="23" t="s">
        <v>145</v>
      </c>
      <c r="C221" s="5"/>
      <c r="D221" s="7"/>
      <c r="E221" s="24"/>
      <c r="F221" s="25"/>
    </row>
    <row r="222" spans="1:6">
      <c r="A222" s="5"/>
      <c r="B222" s="23" t="s">
        <v>136</v>
      </c>
      <c r="C222" s="5"/>
      <c r="D222" s="7"/>
      <c r="E222" s="24"/>
      <c r="F222" s="25"/>
    </row>
    <row r="223" spans="1:6">
      <c r="A223" s="5"/>
      <c r="B223" s="23" t="s">
        <v>146</v>
      </c>
      <c r="C223" s="5"/>
      <c r="D223" s="7"/>
      <c r="E223" s="24"/>
      <c r="F223" s="25"/>
    </row>
    <row r="224" spans="1:6">
      <c r="A224" s="5"/>
      <c r="B224" s="23" t="s">
        <v>147</v>
      </c>
      <c r="C224" s="5"/>
      <c r="D224" s="7"/>
      <c r="E224" s="24"/>
      <c r="F224" s="25"/>
    </row>
    <row r="225" spans="1:6">
      <c r="A225" s="5"/>
      <c r="B225" s="23" t="s">
        <v>115</v>
      </c>
      <c r="C225" s="5"/>
      <c r="D225" s="7"/>
      <c r="E225" s="24"/>
      <c r="F225" s="25"/>
    </row>
    <row r="226" spans="1:6">
      <c r="A226" s="5"/>
      <c r="B226" s="23" t="s">
        <v>137</v>
      </c>
      <c r="C226" s="5"/>
      <c r="D226" s="7"/>
      <c r="E226" s="24"/>
      <c r="F226" s="25"/>
    </row>
    <row r="227" spans="1:6">
      <c r="A227" s="5"/>
      <c r="B227" s="23" t="s">
        <v>138</v>
      </c>
      <c r="C227" s="5"/>
      <c r="D227" s="7"/>
      <c r="E227" s="24"/>
      <c r="F227" s="25"/>
    </row>
    <row r="228" spans="1:6">
      <c r="A228" s="5"/>
      <c r="B228" s="23" t="s">
        <v>139</v>
      </c>
      <c r="C228" s="5"/>
      <c r="D228" s="7"/>
      <c r="E228" s="24"/>
      <c r="F228" s="25"/>
    </row>
    <row r="229" spans="1:6">
      <c r="A229" s="5"/>
      <c r="B229" s="23" t="s">
        <v>140</v>
      </c>
      <c r="C229" s="5"/>
      <c r="D229" s="7"/>
      <c r="E229" s="24"/>
      <c r="F229" s="25"/>
    </row>
    <row r="230" spans="1:6">
      <c r="A230" s="5"/>
      <c r="B230" s="23" t="s">
        <v>141</v>
      </c>
      <c r="C230" s="5"/>
      <c r="D230" s="7"/>
      <c r="E230" s="24"/>
      <c r="F230" s="25"/>
    </row>
    <row r="231" spans="1:6" ht="142.5" customHeight="1">
      <c r="A231" s="5" t="s">
        <v>133</v>
      </c>
      <c r="B231" s="23" t="s">
        <v>493</v>
      </c>
      <c r="C231" s="24"/>
      <c r="D231" s="26" t="s">
        <v>81</v>
      </c>
      <c r="E231" s="24">
        <v>4250</v>
      </c>
      <c r="F231" s="74">
        <f>E231*C231</f>
        <v>0</v>
      </c>
    </row>
    <row r="232" spans="1:6" ht="37">
      <c r="A232" s="5"/>
      <c r="B232" s="23" t="s">
        <v>149</v>
      </c>
      <c r="C232" s="5"/>
      <c r="D232" s="7"/>
      <c r="E232" s="24"/>
      <c r="F232" s="25"/>
    </row>
    <row r="233" spans="1:6">
      <c r="A233" s="5"/>
      <c r="B233" s="23" t="s">
        <v>150</v>
      </c>
      <c r="C233" s="5"/>
      <c r="D233" s="7"/>
      <c r="E233" s="24"/>
      <c r="F233" s="25"/>
    </row>
    <row r="234" spans="1:6">
      <c r="A234" s="5"/>
      <c r="B234" s="23" t="s">
        <v>117</v>
      </c>
      <c r="C234" s="5"/>
      <c r="D234" s="7"/>
      <c r="E234" s="24"/>
      <c r="F234" s="25"/>
    </row>
    <row r="235" spans="1:6" ht="18.75" customHeight="1">
      <c r="A235" s="5"/>
      <c r="B235" s="23" t="s">
        <v>151</v>
      </c>
      <c r="C235" s="5"/>
      <c r="D235" s="7"/>
      <c r="E235" s="24"/>
      <c r="F235" s="25"/>
    </row>
    <row r="236" spans="1:6">
      <c r="A236" s="5"/>
      <c r="B236" s="23" t="s">
        <v>170</v>
      </c>
      <c r="C236" s="5"/>
      <c r="D236" s="7"/>
      <c r="E236" s="24"/>
      <c r="F236" s="25"/>
    </row>
    <row r="237" spans="1:6">
      <c r="A237" s="5"/>
      <c r="B237" s="23" t="s">
        <v>124</v>
      </c>
      <c r="C237" s="5"/>
      <c r="D237" s="7"/>
      <c r="E237" s="24"/>
      <c r="F237" s="25"/>
    </row>
    <row r="238" spans="1:6">
      <c r="A238" s="5"/>
      <c r="B238" s="23" t="s">
        <v>171</v>
      </c>
      <c r="C238" s="5"/>
      <c r="D238" s="7"/>
      <c r="E238" s="24"/>
      <c r="F238" s="25"/>
    </row>
    <row r="239" spans="1:6" ht="184.5" customHeight="1">
      <c r="A239" s="5" t="s">
        <v>148</v>
      </c>
      <c r="B239" s="23" t="s">
        <v>172</v>
      </c>
      <c r="C239" s="24"/>
      <c r="D239" s="26" t="s">
        <v>81</v>
      </c>
      <c r="E239" s="24">
        <v>4750</v>
      </c>
      <c r="F239" s="74">
        <f>E239*C239</f>
        <v>0</v>
      </c>
    </row>
    <row r="240" spans="1:6">
      <c r="A240" s="5"/>
      <c r="B240" s="23" t="s">
        <v>173</v>
      </c>
      <c r="C240" s="5"/>
      <c r="D240" s="7"/>
      <c r="E240" s="24"/>
      <c r="F240" s="25"/>
    </row>
    <row r="241" spans="1:6">
      <c r="A241" s="5"/>
      <c r="B241" s="23" t="s">
        <v>174</v>
      </c>
      <c r="C241" s="5"/>
      <c r="D241" s="7"/>
      <c r="E241" s="24"/>
      <c r="F241" s="25"/>
    </row>
    <row r="242" spans="1:6">
      <c r="A242" s="5"/>
      <c r="B242" s="23" t="s">
        <v>117</v>
      </c>
      <c r="C242" s="5"/>
      <c r="D242" s="7"/>
      <c r="E242" s="24"/>
      <c r="F242" s="25"/>
    </row>
    <row r="243" spans="1:6">
      <c r="A243" s="5"/>
      <c r="B243" s="23" t="s">
        <v>175</v>
      </c>
      <c r="C243" s="5"/>
      <c r="D243" s="7"/>
      <c r="E243" s="24"/>
      <c r="F243" s="25"/>
    </row>
    <row r="244" spans="1:6">
      <c r="A244" s="5"/>
      <c r="B244" s="23" t="s">
        <v>176</v>
      </c>
      <c r="C244" s="5"/>
      <c r="D244" s="7"/>
      <c r="E244" s="24"/>
      <c r="F244" s="25"/>
    </row>
    <row r="245" spans="1:6">
      <c r="A245" s="5"/>
      <c r="B245" s="23" t="s">
        <v>125</v>
      </c>
      <c r="C245" s="5"/>
      <c r="D245" s="7"/>
      <c r="E245" s="24"/>
      <c r="F245" s="25"/>
    </row>
    <row r="246" spans="1:6" ht="112.5" customHeight="1">
      <c r="A246" s="5" t="s">
        <v>449</v>
      </c>
      <c r="B246" s="23" t="s">
        <v>178</v>
      </c>
      <c r="C246" s="24"/>
      <c r="D246" s="26" t="s">
        <v>81</v>
      </c>
      <c r="E246" s="24">
        <v>3500</v>
      </c>
      <c r="F246" s="74">
        <f>E246*C246</f>
        <v>0</v>
      </c>
    </row>
    <row r="247" spans="1:6">
      <c r="A247" s="5"/>
      <c r="B247" s="23" t="s">
        <v>179</v>
      </c>
      <c r="C247" s="5"/>
      <c r="D247" s="7"/>
      <c r="E247" s="24"/>
      <c r="F247" s="25"/>
    </row>
    <row r="248" spans="1:6">
      <c r="A248" s="5"/>
      <c r="B248" s="23" t="s">
        <v>180</v>
      </c>
      <c r="C248" s="5"/>
      <c r="D248" s="7"/>
      <c r="E248" s="24"/>
      <c r="F248" s="25"/>
    </row>
    <row r="249" spans="1:6">
      <c r="A249" s="5"/>
      <c r="B249" s="23" t="s">
        <v>181</v>
      </c>
      <c r="C249" s="5"/>
      <c r="D249" s="7"/>
      <c r="E249" s="24"/>
      <c r="F249" s="25"/>
    </row>
    <row r="250" spans="1:6">
      <c r="A250" s="5"/>
      <c r="B250" s="23" t="s">
        <v>182</v>
      </c>
      <c r="C250" s="5"/>
      <c r="D250" s="7"/>
      <c r="E250" s="24"/>
      <c r="F250" s="25"/>
    </row>
    <row r="251" spans="1:6">
      <c r="A251" s="5"/>
      <c r="B251" s="23" t="s">
        <v>185</v>
      </c>
      <c r="C251" s="5"/>
      <c r="D251" s="7"/>
      <c r="E251" s="24"/>
      <c r="F251" s="25"/>
    </row>
    <row r="252" spans="1:6" ht="37">
      <c r="A252" s="5"/>
      <c r="B252" s="23" t="s">
        <v>186</v>
      </c>
      <c r="C252" s="5"/>
      <c r="D252" s="7"/>
      <c r="E252" s="24"/>
      <c r="F252" s="25"/>
    </row>
    <row r="253" spans="1:6" ht="129.5">
      <c r="A253" s="5" t="s">
        <v>177</v>
      </c>
      <c r="B253" s="23" t="s">
        <v>457</v>
      </c>
      <c r="C253" s="24"/>
      <c r="D253" s="26" t="s">
        <v>81</v>
      </c>
      <c r="E253" s="24">
        <v>3750</v>
      </c>
      <c r="F253" s="74">
        <f>E253*C253</f>
        <v>0</v>
      </c>
    </row>
    <row r="254" spans="1:6">
      <c r="A254" s="5" t="s">
        <v>187</v>
      </c>
      <c r="B254" s="23" t="s">
        <v>163</v>
      </c>
      <c r="C254" s="24"/>
      <c r="D254" s="26" t="s">
        <v>71</v>
      </c>
      <c r="E254" s="24">
        <v>14500</v>
      </c>
      <c r="F254" s="74">
        <f>E254*C254</f>
        <v>0</v>
      </c>
    </row>
    <row r="255" spans="1:6">
      <c r="A255" s="5" t="s">
        <v>558</v>
      </c>
      <c r="B255" s="23" t="s">
        <v>559</v>
      </c>
      <c r="C255" s="24"/>
      <c r="D255" s="26" t="s">
        <v>71</v>
      </c>
      <c r="E255" s="24">
        <v>42500</v>
      </c>
      <c r="F255" s="74">
        <f t="shared" ref="F255" si="15">E255*C255</f>
        <v>0</v>
      </c>
    </row>
    <row r="256" spans="1:6" ht="314.25" customHeight="1">
      <c r="A256" s="5" t="s">
        <v>162</v>
      </c>
      <c r="B256" s="28" t="s">
        <v>426</v>
      </c>
      <c r="C256" s="20"/>
      <c r="D256" s="26" t="s">
        <v>81</v>
      </c>
      <c r="E256" s="8">
        <v>3750</v>
      </c>
      <c r="F256" s="74">
        <f>E256*C256</f>
        <v>0</v>
      </c>
    </row>
    <row r="257" spans="1:6" ht="129.5">
      <c r="A257" s="5"/>
      <c r="B257" s="28" t="s">
        <v>328</v>
      </c>
      <c r="C257" s="49"/>
      <c r="D257" s="26"/>
      <c r="E257" s="8"/>
      <c r="F257" s="79"/>
    </row>
    <row r="258" spans="1:6" ht="37">
      <c r="A258" s="5" t="s">
        <v>256</v>
      </c>
      <c r="B258" s="28" t="s">
        <v>330</v>
      </c>
      <c r="C258" s="24"/>
      <c r="D258" s="26" t="s">
        <v>81</v>
      </c>
      <c r="E258" s="24">
        <v>4500</v>
      </c>
      <c r="F258" s="79"/>
    </row>
    <row r="259" spans="1:6" ht="240.5">
      <c r="A259" s="5" t="s">
        <v>327</v>
      </c>
      <c r="B259" s="23" t="s">
        <v>287</v>
      </c>
      <c r="C259" s="24"/>
      <c r="D259" s="26" t="s">
        <v>81</v>
      </c>
      <c r="E259" s="24">
        <v>815</v>
      </c>
      <c r="F259" s="74">
        <f>E259*C259</f>
        <v>0</v>
      </c>
    </row>
    <row r="260" spans="1:6" ht="335.25" customHeight="1">
      <c r="A260" s="5" t="s">
        <v>329</v>
      </c>
      <c r="B260" s="38" t="s">
        <v>508</v>
      </c>
      <c r="C260" s="20"/>
      <c r="D260" s="26" t="s">
        <v>81</v>
      </c>
      <c r="E260" s="24">
        <v>2195</v>
      </c>
      <c r="F260" s="74">
        <f t="shared" ref="F260" si="16">E260*C260</f>
        <v>0</v>
      </c>
    </row>
    <row r="261" spans="1:6" ht="185">
      <c r="A261" s="5"/>
      <c r="B261" s="38" t="s">
        <v>291</v>
      </c>
      <c r="C261" s="53"/>
      <c r="D261" s="26"/>
      <c r="E261" s="24"/>
      <c r="F261" s="79"/>
    </row>
    <row r="262" spans="1:6" ht="55.5">
      <c r="A262" s="5"/>
      <c r="B262" s="38" t="s">
        <v>290</v>
      </c>
      <c r="C262" s="53"/>
      <c r="D262" s="26"/>
      <c r="E262" s="24"/>
      <c r="F262" s="79"/>
    </row>
    <row r="263" spans="1:6" ht="185">
      <c r="A263" s="5" t="s">
        <v>331</v>
      </c>
      <c r="B263" s="38" t="s">
        <v>494</v>
      </c>
      <c r="C263" s="24"/>
      <c r="D263" s="26" t="s">
        <v>81</v>
      </c>
      <c r="E263" s="32">
        <v>4650</v>
      </c>
      <c r="F263" s="74">
        <f t="shared" ref="F263" si="17">E263*C263</f>
        <v>0</v>
      </c>
    </row>
    <row r="264" spans="1:6">
      <c r="A264" s="67"/>
      <c r="B264" s="22" t="s">
        <v>189</v>
      </c>
      <c r="C264" s="3"/>
      <c r="D264" s="4"/>
      <c r="E264" s="4"/>
      <c r="F264" s="80">
        <f>SUM(F184:F263)</f>
        <v>589750</v>
      </c>
    </row>
    <row r="265" spans="1:6" ht="17.5" customHeight="1">
      <c r="A265" s="67"/>
      <c r="B265" s="36" t="s">
        <v>190</v>
      </c>
      <c r="C265" s="55"/>
      <c r="D265" s="4"/>
      <c r="E265" s="4"/>
      <c r="F265" s="73"/>
    </row>
    <row r="266" spans="1:6" ht="341.25" customHeight="1">
      <c r="A266" s="5" t="s">
        <v>311</v>
      </c>
      <c r="B266" s="23" t="s">
        <v>543</v>
      </c>
      <c r="C266" s="24"/>
      <c r="D266" s="26" t="s">
        <v>191</v>
      </c>
      <c r="E266" s="24">
        <v>115000</v>
      </c>
      <c r="F266" s="74">
        <f t="shared" ref="F266:F269" si="18">E266*C266</f>
        <v>0</v>
      </c>
    </row>
    <row r="267" spans="1:6" ht="165.75" customHeight="1">
      <c r="A267" s="5" t="s">
        <v>323</v>
      </c>
      <c r="B267" s="23" t="s">
        <v>397</v>
      </c>
      <c r="C267" s="24">
        <v>6</v>
      </c>
      <c r="D267" s="26" t="s">
        <v>191</v>
      </c>
      <c r="E267" s="24">
        <v>145000</v>
      </c>
      <c r="F267" s="74">
        <f t="shared" si="18"/>
        <v>870000</v>
      </c>
    </row>
    <row r="268" spans="1:6" ht="92.5">
      <c r="A268" s="5" t="s">
        <v>312</v>
      </c>
      <c r="B268" s="23" t="s">
        <v>495</v>
      </c>
      <c r="C268" s="24"/>
      <c r="D268" s="26" t="s">
        <v>191</v>
      </c>
      <c r="E268" s="24">
        <v>15000</v>
      </c>
      <c r="F268" s="74">
        <f t="shared" si="18"/>
        <v>0</v>
      </c>
    </row>
    <row r="269" spans="1:6" ht="92.5">
      <c r="A269" s="5" t="s">
        <v>315</v>
      </c>
      <c r="B269" s="23" t="s">
        <v>324</v>
      </c>
      <c r="C269" s="24"/>
      <c r="D269" s="26" t="s">
        <v>191</v>
      </c>
      <c r="E269" s="24">
        <v>45000</v>
      </c>
      <c r="F269" s="74">
        <f t="shared" si="18"/>
        <v>0</v>
      </c>
    </row>
    <row r="270" spans="1:6" ht="216" customHeight="1">
      <c r="A270" s="5" t="s">
        <v>316</v>
      </c>
      <c r="B270" s="23" t="s">
        <v>193</v>
      </c>
      <c r="C270" s="24">
        <v>45</v>
      </c>
      <c r="D270" s="26" t="s">
        <v>83</v>
      </c>
      <c r="E270" s="24">
        <v>3750</v>
      </c>
      <c r="F270" s="74">
        <f>E270*C270</f>
        <v>168750</v>
      </c>
    </row>
    <row r="271" spans="1:6" ht="129.5">
      <c r="A271" s="49" t="s">
        <v>325</v>
      </c>
      <c r="B271" s="28" t="s">
        <v>450</v>
      </c>
      <c r="C271" s="49"/>
      <c r="D271" s="8"/>
      <c r="E271" s="24"/>
      <c r="F271" s="24"/>
    </row>
    <row r="272" spans="1:6">
      <c r="A272" s="5"/>
      <c r="B272" s="28" t="s">
        <v>279</v>
      </c>
      <c r="C272" s="49"/>
      <c r="D272" s="32" t="s">
        <v>261</v>
      </c>
      <c r="E272" s="24">
        <v>55</v>
      </c>
      <c r="F272" s="74">
        <f t="shared" ref="F272" si="19">E272*C272</f>
        <v>0</v>
      </c>
    </row>
    <row r="273" spans="1:6">
      <c r="A273" s="5"/>
      <c r="B273" s="23" t="s">
        <v>111</v>
      </c>
      <c r="C273" s="5"/>
      <c r="D273" s="32" t="s">
        <v>261</v>
      </c>
      <c r="E273" s="24">
        <v>45</v>
      </c>
      <c r="F273" s="74">
        <f>E273*C273</f>
        <v>0</v>
      </c>
    </row>
    <row r="274" spans="1:6" ht="37">
      <c r="A274" s="5" t="s">
        <v>398</v>
      </c>
      <c r="B274" s="23" t="s">
        <v>496</v>
      </c>
      <c r="C274" s="5"/>
      <c r="D274" s="32"/>
      <c r="E274" s="32"/>
      <c r="F274" s="79"/>
    </row>
    <row r="275" spans="1:6">
      <c r="A275" s="5"/>
      <c r="B275" s="28" t="s">
        <v>279</v>
      </c>
      <c r="C275" s="20"/>
      <c r="D275" s="32" t="s">
        <v>261</v>
      </c>
      <c r="E275" s="24">
        <v>165</v>
      </c>
      <c r="F275" s="74">
        <f t="shared" ref="F275:F276" si="20">E275*C275</f>
        <v>0</v>
      </c>
    </row>
    <row r="276" spans="1:6">
      <c r="A276" s="5"/>
      <c r="B276" s="23" t="s">
        <v>111</v>
      </c>
      <c r="C276" s="92"/>
      <c r="D276" s="32" t="s">
        <v>261</v>
      </c>
      <c r="E276" s="24">
        <v>165</v>
      </c>
      <c r="F276" s="74">
        <f t="shared" si="20"/>
        <v>0</v>
      </c>
    </row>
    <row r="277" spans="1:6" ht="185">
      <c r="A277" s="5" t="s">
        <v>326</v>
      </c>
      <c r="B277" s="28" t="s">
        <v>539</v>
      </c>
      <c r="C277" s="49"/>
      <c r="D277" s="32"/>
      <c r="E277" s="24"/>
      <c r="F277" s="79"/>
    </row>
    <row r="278" spans="1:6">
      <c r="A278" s="82" t="s">
        <v>292</v>
      </c>
      <c r="B278" s="28" t="s">
        <v>293</v>
      </c>
      <c r="C278" s="24"/>
      <c r="D278" s="26" t="s">
        <v>191</v>
      </c>
      <c r="E278" s="24">
        <v>95000</v>
      </c>
      <c r="F278" s="74">
        <f t="shared" ref="F278:F279" si="21">E278*C278</f>
        <v>0</v>
      </c>
    </row>
    <row r="279" spans="1:6">
      <c r="A279" s="82" t="s">
        <v>294</v>
      </c>
      <c r="B279" s="28" t="s">
        <v>295</v>
      </c>
      <c r="C279" s="24"/>
      <c r="D279" s="26" t="s">
        <v>191</v>
      </c>
      <c r="E279" s="24">
        <v>45000</v>
      </c>
      <c r="F279" s="74">
        <f t="shared" si="21"/>
        <v>0</v>
      </c>
    </row>
    <row r="280" spans="1:6">
      <c r="A280" s="67"/>
      <c r="B280" s="35" t="s">
        <v>194</v>
      </c>
      <c r="C280" s="3"/>
      <c r="D280" s="4"/>
      <c r="E280" s="4"/>
      <c r="F280" s="80">
        <f>SUM(F266:F279)</f>
        <v>1038750</v>
      </c>
    </row>
    <row r="281" spans="1:6" ht="17.5" customHeight="1">
      <c r="A281" s="67"/>
      <c r="B281" s="36" t="s">
        <v>45</v>
      </c>
      <c r="C281" s="55"/>
      <c r="D281" s="4"/>
      <c r="E281" s="4"/>
      <c r="F281" s="73"/>
    </row>
    <row r="282" spans="1:6" ht="37">
      <c r="A282" s="49" t="s">
        <v>44</v>
      </c>
      <c r="B282" s="28" t="s">
        <v>286</v>
      </c>
      <c r="C282" s="49"/>
      <c r="D282" s="7"/>
      <c r="E282" s="8"/>
      <c r="F282" s="25"/>
    </row>
    <row r="283" spans="1:6">
      <c r="A283" s="49"/>
      <c r="B283" s="28" t="s">
        <v>497</v>
      </c>
      <c r="C283" s="32"/>
      <c r="D283" s="26" t="s">
        <v>83</v>
      </c>
      <c r="E283" s="24">
        <v>1150</v>
      </c>
      <c r="F283" s="74">
        <f t="shared" ref="F283:F284" si="22">E283*C283</f>
        <v>0</v>
      </c>
    </row>
    <row r="284" spans="1:6">
      <c r="A284" s="49"/>
      <c r="B284" s="28" t="s">
        <v>498</v>
      </c>
      <c r="C284" s="24"/>
      <c r="D284" s="26" t="s">
        <v>83</v>
      </c>
      <c r="E284" s="24">
        <v>1650</v>
      </c>
      <c r="F284" s="74">
        <f t="shared" si="22"/>
        <v>0</v>
      </c>
    </row>
    <row r="285" spans="1:6" ht="269.25" customHeight="1">
      <c r="A285" s="49" t="s">
        <v>313</v>
      </c>
      <c r="B285" s="28" t="s">
        <v>544</v>
      </c>
      <c r="C285" s="49"/>
      <c r="D285" s="26"/>
      <c r="E285" s="24"/>
      <c r="F285" s="79"/>
    </row>
    <row r="286" spans="1:6">
      <c r="A286" s="49"/>
      <c r="B286" s="28" t="s">
        <v>458</v>
      </c>
      <c r="C286" s="24"/>
      <c r="D286" s="26" t="s">
        <v>81</v>
      </c>
      <c r="E286" s="24">
        <v>725</v>
      </c>
      <c r="F286" s="79"/>
    </row>
    <row r="287" spans="1:6">
      <c r="A287" s="49"/>
      <c r="B287" s="28" t="s">
        <v>505</v>
      </c>
      <c r="C287" s="24"/>
      <c r="D287" s="26" t="s">
        <v>289</v>
      </c>
      <c r="E287" s="24">
        <v>720</v>
      </c>
      <c r="F287" s="79"/>
    </row>
    <row r="288" spans="1:6">
      <c r="A288" s="49"/>
      <c r="B288" s="28" t="s">
        <v>504</v>
      </c>
      <c r="C288" s="24"/>
      <c r="D288" s="26" t="s">
        <v>289</v>
      </c>
      <c r="E288" s="24">
        <v>850</v>
      </c>
      <c r="F288" s="79"/>
    </row>
    <row r="289" spans="1:6">
      <c r="A289" s="49"/>
      <c r="B289" s="28" t="s">
        <v>506</v>
      </c>
      <c r="C289" s="24"/>
      <c r="D289" s="26" t="s">
        <v>289</v>
      </c>
      <c r="E289" s="24">
        <v>650</v>
      </c>
      <c r="F289" s="79"/>
    </row>
    <row r="290" spans="1:6">
      <c r="A290" s="67"/>
      <c r="B290" s="35" t="s">
        <v>50</v>
      </c>
      <c r="C290" s="3"/>
      <c r="D290" s="4"/>
      <c r="E290" s="4"/>
      <c r="F290" s="80">
        <f>SUM(F282:F289)</f>
        <v>0</v>
      </c>
    </row>
    <row r="291" spans="1:6" ht="17.5" customHeight="1">
      <c r="A291" s="67"/>
      <c r="B291" s="36" t="s">
        <v>195</v>
      </c>
      <c r="C291" s="55"/>
      <c r="D291" s="4"/>
      <c r="E291" s="4"/>
      <c r="F291" s="73"/>
    </row>
    <row r="292" spans="1:6" ht="258.75" customHeight="1">
      <c r="A292" s="5" t="s">
        <v>196</v>
      </c>
      <c r="B292" s="13" t="s">
        <v>309</v>
      </c>
      <c r="C292" s="58"/>
      <c r="D292" s="14"/>
      <c r="E292" s="8"/>
      <c r="F292" s="24"/>
    </row>
    <row r="293" spans="1:6">
      <c r="A293" s="5"/>
      <c r="B293" s="28" t="s">
        <v>198</v>
      </c>
      <c r="C293" s="24">
        <v>287</v>
      </c>
      <c r="D293" s="32" t="s">
        <v>86</v>
      </c>
      <c r="E293" s="24">
        <v>650</v>
      </c>
      <c r="F293" s="74">
        <f t="shared" ref="F293" si="23">E293*C293</f>
        <v>186550</v>
      </c>
    </row>
    <row r="294" spans="1:6">
      <c r="A294" s="5"/>
      <c r="B294" s="28" t="s">
        <v>199</v>
      </c>
      <c r="C294" s="49"/>
      <c r="D294" s="8"/>
      <c r="E294" s="24"/>
      <c r="F294" s="24"/>
    </row>
    <row r="295" spans="1:6">
      <c r="A295" s="5"/>
      <c r="B295" s="30" t="s">
        <v>281</v>
      </c>
      <c r="C295" s="49"/>
      <c r="D295" s="32" t="s">
        <v>86</v>
      </c>
      <c r="E295" s="24">
        <v>650</v>
      </c>
      <c r="F295" s="24"/>
    </row>
    <row r="296" spans="1:6">
      <c r="A296" s="5"/>
      <c r="B296" s="40" t="s">
        <v>280</v>
      </c>
      <c r="C296" s="49"/>
      <c r="D296" s="32" t="s">
        <v>86</v>
      </c>
      <c r="E296" s="24">
        <v>650</v>
      </c>
      <c r="F296" s="24"/>
    </row>
    <row r="297" spans="1:6" ht="129.5">
      <c r="A297" s="5" t="s">
        <v>200</v>
      </c>
      <c r="B297" s="28" t="s">
        <v>184</v>
      </c>
      <c r="C297" s="49"/>
      <c r="D297" s="24"/>
      <c r="E297" s="24"/>
      <c r="F297" s="24"/>
    </row>
    <row r="298" spans="1:6">
      <c r="A298" s="5"/>
      <c r="B298" s="28" t="s">
        <v>243</v>
      </c>
      <c r="C298" s="24"/>
      <c r="D298" s="32" t="s">
        <v>83</v>
      </c>
      <c r="E298" s="24">
        <v>750</v>
      </c>
      <c r="F298" s="24"/>
    </row>
    <row r="299" spans="1:6">
      <c r="A299" s="5"/>
      <c r="B299" s="28" t="s">
        <v>232</v>
      </c>
      <c r="C299" s="24">
        <v>52</v>
      </c>
      <c r="D299" s="32" t="s">
        <v>83</v>
      </c>
      <c r="E299" s="24">
        <v>450</v>
      </c>
      <c r="F299" s="74">
        <f t="shared" ref="F299" si="24">E299*C299</f>
        <v>23400</v>
      </c>
    </row>
    <row r="300" spans="1:6">
      <c r="A300" s="67"/>
      <c r="B300" s="35" t="s">
        <v>201</v>
      </c>
      <c r="C300" s="3"/>
      <c r="D300" s="4"/>
      <c r="E300" s="4"/>
      <c r="F300" s="80">
        <f>SUM(F293:F299)</f>
        <v>209950</v>
      </c>
    </row>
    <row r="301" spans="1:6" ht="18" customHeight="1">
      <c r="A301" s="67"/>
      <c r="B301" s="36" t="s">
        <v>202</v>
      </c>
      <c r="C301" s="55"/>
      <c r="D301" s="4"/>
      <c r="E301" s="4"/>
      <c r="F301" s="73"/>
    </row>
    <row r="302" spans="1:6" ht="218.25" customHeight="1">
      <c r="A302" s="5" t="s">
        <v>203</v>
      </c>
      <c r="B302" s="42" t="s">
        <v>251</v>
      </c>
      <c r="C302" s="24">
        <v>284</v>
      </c>
      <c r="D302" s="26" t="s">
        <v>81</v>
      </c>
      <c r="E302" s="24">
        <v>55</v>
      </c>
      <c r="F302" s="74">
        <f t="shared" ref="F302" si="25">E302*C302</f>
        <v>15620</v>
      </c>
    </row>
    <row r="303" spans="1:6">
      <c r="A303" s="5"/>
      <c r="B303" s="42" t="s">
        <v>204</v>
      </c>
      <c r="C303" s="59"/>
      <c r="D303" s="7"/>
      <c r="E303" s="24"/>
      <c r="F303" s="25"/>
    </row>
    <row r="304" spans="1:6" ht="37">
      <c r="A304" s="5"/>
      <c r="B304" s="41" t="s">
        <v>205</v>
      </c>
      <c r="C304" s="26"/>
      <c r="D304" s="12"/>
      <c r="E304" s="24"/>
      <c r="F304" s="25"/>
    </row>
    <row r="305" spans="1:6" ht="37">
      <c r="A305" s="5"/>
      <c r="B305" s="41" t="s">
        <v>206</v>
      </c>
      <c r="C305" s="26"/>
      <c r="D305" s="26"/>
      <c r="E305" s="24"/>
      <c r="F305" s="25"/>
    </row>
    <row r="306" spans="1:6" ht="37">
      <c r="A306" s="5"/>
      <c r="B306" s="41" t="s">
        <v>207</v>
      </c>
      <c r="C306" s="26"/>
      <c r="D306" s="26"/>
      <c r="E306" s="24"/>
      <c r="F306" s="25"/>
    </row>
    <row r="307" spans="1:6" ht="165.75" customHeight="1">
      <c r="A307" s="5" t="s">
        <v>208</v>
      </c>
      <c r="B307" s="28" t="s">
        <v>282</v>
      </c>
      <c r="C307" s="24"/>
      <c r="D307" s="26" t="s">
        <v>81</v>
      </c>
      <c r="E307" s="24">
        <v>940</v>
      </c>
      <c r="F307" s="74">
        <f>E307*C307</f>
        <v>0</v>
      </c>
    </row>
    <row r="308" spans="1:6" ht="64.5" customHeight="1">
      <c r="A308" s="5" t="s">
        <v>215</v>
      </c>
      <c r="B308" s="23" t="s">
        <v>77</v>
      </c>
      <c r="C308" s="5"/>
      <c r="D308" s="7"/>
      <c r="E308" s="24"/>
      <c r="F308" s="25"/>
    </row>
    <row r="309" spans="1:6">
      <c r="A309" s="5"/>
      <c r="B309" s="23" t="s">
        <v>236</v>
      </c>
      <c r="C309" s="24"/>
      <c r="D309" s="26" t="s">
        <v>81</v>
      </c>
      <c r="E309" s="24">
        <v>70</v>
      </c>
      <c r="F309" s="79"/>
    </row>
    <row r="310" spans="1:6">
      <c r="A310" s="5"/>
      <c r="B310" s="23" t="s">
        <v>237</v>
      </c>
      <c r="C310" s="90"/>
      <c r="D310" s="26" t="s">
        <v>81</v>
      </c>
      <c r="E310" s="24">
        <v>75</v>
      </c>
      <c r="F310" s="74">
        <f t="shared" ref="F310" si="26">E310*C310</f>
        <v>0</v>
      </c>
    </row>
    <row r="311" spans="1:6" ht="226.5" customHeight="1">
      <c r="A311" s="5" t="s">
        <v>216</v>
      </c>
      <c r="B311" s="28" t="s">
        <v>268</v>
      </c>
      <c r="C311" s="49"/>
      <c r="D311" s="7"/>
      <c r="E311" s="24"/>
      <c r="F311" s="25"/>
    </row>
    <row r="312" spans="1:6">
      <c r="A312" s="5" t="s">
        <v>301</v>
      </c>
      <c r="B312" s="23" t="s">
        <v>547</v>
      </c>
      <c r="C312" s="88"/>
      <c r="D312" s="25" t="s">
        <v>83</v>
      </c>
      <c r="E312" s="24">
        <v>575</v>
      </c>
      <c r="F312" s="25"/>
    </row>
    <row r="313" spans="1:6">
      <c r="A313" s="5"/>
      <c r="B313" s="23" t="s">
        <v>546</v>
      </c>
      <c r="C313" s="91"/>
      <c r="D313" s="25" t="s">
        <v>83</v>
      </c>
      <c r="E313" s="24">
        <v>650</v>
      </c>
      <c r="F313" s="74">
        <f t="shared" ref="F313:F314" si="27">E313*C313</f>
        <v>0</v>
      </c>
    </row>
    <row r="314" spans="1:6" ht="21.75" customHeight="1">
      <c r="A314" s="5"/>
      <c r="B314" s="23" t="s">
        <v>545</v>
      </c>
      <c r="C314" s="91"/>
      <c r="D314" s="25" t="s">
        <v>83</v>
      </c>
      <c r="E314" s="24">
        <v>950</v>
      </c>
      <c r="F314" s="74">
        <f t="shared" si="27"/>
        <v>0</v>
      </c>
    </row>
    <row r="315" spans="1:6">
      <c r="A315" s="5"/>
      <c r="B315" s="23" t="s">
        <v>548</v>
      </c>
      <c r="C315" s="88"/>
      <c r="D315" s="25" t="s">
        <v>83</v>
      </c>
      <c r="E315" s="24">
        <v>1550</v>
      </c>
      <c r="F315" s="79"/>
    </row>
    <row r="316" spans="1:6">
      <c r="A316" s="5"/>
      <c r="B316" s="23" t="s">
        <v>549</v>
      </c>
      <c r="C316" s="88"/>
      <c r="D316" s="25" t="s">
        <v>83</v>
      </c>
      <c r="E316" s="24">
        <v>2650</v>
      </c>
      <c r="F316" s="25"/>
    </row>
    <row r="317" spans="1:6">
      <c r="A317" s="5"/>
      <c r="B317" s="23" t="s">
        <v>550</v>
      </c>
      <c r="C317" s="88"/>
      <c r="D317" s="25" t="s">
        <v>83</v>
      </c>
      <c r="E317" s="24">
        <v>37850</v>
      </c>
      <c r="F317" s="25"/>
    </row>
    <row r="318" spans="1:6">
      <c r="A318" s="5"/>
      <c r="B318" s="21" t="s">
        <v>438</v>
      </c>
      <c r="C318" s="88"/>
      <c r="D318" s="25"/>
      <c r="E318" s="24"/>
      <c r="F318" s="25"/>
    </row>
    <row r="319" spans="1:6">
      <c r="A319" s="5" t="s">
        <v>303</v>
      </c>
      <c r="B319" s="23" t="s">
        <v>551</v>
      </c>
      <c r="C319" s="88"/>
      <c r="D319" s="25" t="s">
        <v>83</v>
      </c>
      <c r="E319" s="24">
        <v>1750</v>
      </c>
      <c r="F319" s="79"/>
    </row>
    <row r="320" spans="1:6">
      <c r="A320" s="5"/>
      <c r="B320" s="23" t="s">
        <v>552</v>
      </c>
      <c r="C320" s="88"/>
      <c r="D320" s="25" t="s">
        <v>83</v>
      </c>
      <c r="E320" s="24">
        <v>2950</v>
      </c>
      <c r="F320" s="25"/>
    </row>
    <row r="321" spans="1:6">
      <c r="A321" s="5"/>
      <c r="B321" s="23" t="s">
        <v>553</v>
      </c>
      <c r="C321" s="88"/>
      <c r="D321" s="25" t="s">
        <v>83</v>
      </c>
      <c r="E321" s="24">
        <v>4250</v>
      </c>
      <c r="F321" s="25"/>
    </row>
    <row r="322" spans="1:6" ht="129.5">
      <c r="A322" s="5" t="s">
        <v>42</v>
      </c>
      <c r="B322" s="23" t="s">
        <v>217</v>
      </c>
      <c r="C322" s="5"/>
      <c r="D322" s="7"/>
      <c r="E322" s="24"/>
      <c r="F322" s="25"/>
    </row>
    <row r="323" spans="1:6">
      <c r="A323" s="5"/>
      <c r="B323" s="23" t="s">
        <v>283</v>
      </c>
      <c r="C323" s="32">
        <v>7</v>
      </c>
      <c r="D323" s="25" t="s">
        <v>71</v>
      </c>
      <c r="E323" s="24">
        <v>1250</v>
      </c>
      <c r="F323" s="74">
        <f t="shared" ref="F323" si="28">E323*C323</f>
        <v>8750</v>
      </c>
    </row>
    <row r="324" spans="1:6">
      <c r="A324" s="5"/>
      <c r="B324" s="23" t="s">
        <v>284</v>
      </c>
      <c r="C324" s="5"/>
      <c r="D324" s="25" t="s">
        <v>71</v>
      </c>
      <c r="E324" s="24">
        <v>1150</v>
      </c>
      <c r="F324" s="79"/>
    </row>
    <row r="325" spans="1:6" ht="95.25" customHeight="1">
      <c r="A325" s="5" t="s">
        <v>317</v>
      </c>
      <c r="B325" s="38" t="s">
        <v>272</v>
      </c>
      <c r="C325" s="53"/>
      <c r="D325" s="7"/>
      <c r="E325" s="24"/>
      <c r="F325" s="25"/>
    </row>
    <row r="326" spans="1:6" ht="37">
      <c r="A326" s="5"/>
      <c r="B326" s="23" t="s">
        <v>219</v>
      </c>
      <c r="C326" s="32"/>
      <c r="D326" s="25" t="s">
        <v>71</v>
      </c>
      <c r="E326" s="24">
        <v>650</v>
      </c>
      <c r="F326" s="74">
        <f t="shared" ref="F326:F328" si="29">E326*C326</f>
        <v>0</v>
      </c>
    </row>
    <row r="327" spans="1:6" ht="37">
      <c r="A327" s="5"/>
      <c r="B327" s="23" t="s">
        <v>220</v>
      </c>
      <c r="C327" s="32"/>
      <c r="D327" s="25" t="s">
        <v>71</v>
      </c>
      <c r="E327" s="24">
        <v>1250</v>
      </c>
      <c r="F327" s="74">
        <f t="shared" si="29"/>
        <v>0</v>
      </c>
    </row>
    <row r="328" spans="1:6" ht="37">
      <c r="A328" s="5"/>
      <c r="B328" s="23" t="s">
        <v>0</v>
      </c>
      <c r="C328" s="32"/>
      <c r="D328" s="25" t="s">
        <v>71</v>
      </c>
      <c r="E328" s="24">
        <v>1675</v>
      </c>
      <c r="F328" s="74">
        <f t="shared" si="29"/>
        <v>0</v>
      </c>
    </row>
    <row r="329" spans="1:6" ht="221.25" customHeight="1">
      <c r="A329" s="5" t="s">
        <v>318</v>
      </c>
      <c r="B329" s="23" t="s">
        <v>226</v>
      </c>
      <c r="C329" s="24"/>
      <c r="D329" s="25" t="s">
        <v>192</v>
      </c>
      <c r="E329" s="24">
        <v>165</v>
      </c>
      <c r="F329" s="79"/>
    </row>
    <row r="330" spans="1:6" ht="143.25" customHeight="1">
      <c r="A330" s="5" t="s">
        <v>319</v>
      </c>
      <c r="B330" s="23" t="s">
        <v>451</v>
      </c>
      <c r="C330" s="32">
        <v>100</v>
      </c>
      <c r="D330" s="25" t="s">
        <v>192</v>
      </c>
      <c r="E330" s="24">
        <v>135</v>
      </c>
      <c r="F330" s="74">
        <f t="shared" ref="F330:F334" si="30">E330*C330</f>
        <v>13500</v>
      </c>
    </row>
    <row r="331" spans="1:6" ht="148">
      <c r="A331" s="5" t="s">
        <v>320</v>
      </c>
      <c r="B331" s="23" t="s">
        <v>604</v>
      </c>
      <c r="C331" s="24"/>
      <c r="D331" s="25" t="s">
        <v>169</v>
      </c>
      <c r="E331" s="24">
        <v>3750</v>
      </c>
      <c r="F331" s="74">
        <f t="shared" si="30"/>
        <v>0</v>
      </c>
    </row>
    <row r="332" spans="1:6" ht="55.5">
      <c r="A332" s="5" t="s">
        <v>218</v>
      </c>
      <c r="B332" s="23" t="s">
        <v>46</v>
      </c>
      <c r="C332" s="88"/>
      <c r="D332" s="25" t="s">
        <v>108</v>
      </c>
      <c r="E332" s="24">
        <v>2950</v>
      </c>
      <c r="F332" s="74">
        <f t="shared" si="30"/>
        <v>0</v>
      </c>
    </row>
    <row r="333" spans="1:6" ht="55.5">
      <c r="A333" s="5" t="s">
        <v>221</v>
      </c>
      <c r="B333" s="23" t="s">
        <v>47</v>
      </c>
      <c r="C333" s="88"/>
      <c r="D333" s="25" t="s">
        <v>108</v>
      </c>
      <c r="E333" s="24">
        <v>3500</v>
      </c>
      <c r="F333" s="74">
        <f t="shared" si="30"/>
        <v>0</v>
      </c>
    </row>
    <row r="334" spans="1:6" ht="58.4" customHeight="1">
      <c r="A334" s="5" t="s">
        <v>224</v>
      </c>
      <c r="B334" s="23" t="s">
        <v>273</v>
      </c>
      <c r="C334" s="88"/>
      <c r="D334" s="25" t="s">
        <v>108</v>
      </c>
      <c r="E334" s="24">
        <v>5500</v>
      </c>
      <c r="F334" s="74">
        <f t="shared" si="30"/>
        <v>0</v>
      </c>
    </row>
    <row r="335" spans="1:6" ht="55.5">
      <c r="A335" s="5" t="s">
        <v>225</v>
      </c>
      <c r="B335" s="28" t="s">
        <v>310</v>
      </c>
      <c r="C335" s="49"/>
      <c r="D335" s="24"/>
      <c r="E335" s="24"/>
      <c r="F335" s="25"/>
    </row>
    <row r="336" spans="1:6">
      <c r="A336" s="5"/>
      <c r="B336" s="28" t="s">
        <v>48</v>
      </c>
      <c r="C336" s="24"/>
      <c r="D336" s="24" t="s">
        <v>164</v>
      </c>
      <c r="E336" s="24">
        <v>250</v>
      </c>
      <c r="F336" s="79"/>
    </row>
    <row r="337" spans="1:6">
      <c r="A337" s="5"/>
      <c r="B337" s="28" t="s">
        <v>49</v>
      </c>
      <c r="C337" s="24"/>
      <c r="D337" s="24" t="s">
        <v>164</v>
      </c>
      <c r="E337" s="24">
        <v>350</v>
      </c>
      <c r="F337" s="79"/>
    </row>
    <row r="338" spans="1:6" ht="64.400000000000006" customHeight="1">
      <c r="A338" s="5" t="s">
        <v>227</v>
      </c>
      <c r="B338" s="28" t="s">
        <v>269</v>
      </c>
      <c r="C338" s="32"/>
      <c r="D338" s="24"/>
      <c r="E338" s="24"/>
      <c r="F338" s="25"/>
    </row>
    <row r="339" spans="1:6">
      <c r="A339" s="5"/>
      <c r="B339" s="28" t="s">
        <v>48</v>
      </c>
      <c r="C339" s="24"/>
      <c r="D339" s="24" t="s">
        <v>164</v>
      </c>
      <c r="E339" s="24">
        <v>650</v>
      </c>
      <c r="F339" s="79"/>
    </row>
    <row r="340" spans="1:6">
      <c r="A340" s="5"/>
      <c r="B340" s="28" t="s">
        <v>49</v>
      </c>
      <c r="C340" s="24"/>
      <c r="D340" s="24" t="s">
        <v>164</v>
      </c>
      <c r="E340" s="24">
        <v>750</v>
      </c>
      <c r="F340" s="79"/>
    </row>
    <row r="341" spans="1:6" ht="92.5">
      <c r="A341" s="5" t="s">
        <v>228</v>
      </c>
      <c r="B341" s="23" t="s">
        <v>271</v>
      </c>
      <c r="C341" s="5"/>
      <c r="D341" s="25"/>
      <c r="E341" s="24"/>
      <c r="F341" s="25"/>
    </row>
    <row r="342" spans="1:6">
      <c r="A342" s="5"/>
      <c r="B342" s="23" t="s">
        <v>84</v>
      </c>
      <c r="C342" s="32"/>
      <c r="D342" s="25" t="s">
        <v>164</v>
      </c>
      <c r="E342" s="24">
        <v>11500</v>
      </c>
      <c r="F342" s="74">
        <f t="shared" ref="F342:F344" si="31">E342*C342</f>
        <v>0</v>
      </c>
    </row>
    <row r="343" spans="1:6">
      <c r="A343" s="83"/>
      <c r="B343" s="23" t="s">
        <v>399</v>
      </c>
      <c r="C343" s="32">
        <v>1</v>
      </c>
      <c r="D343" s="25" t="s">
        <v>164</v>
      </c>
      <c r="E343" s="24">
        <v>16500</v>
      </c>
      <c r="F343" s="74">
        <f t="shared" si="31"/>
        <v>16500</v>
      </c>
    </row>
    <row r="344" spans="1:6" ht="55.5">
      <c r="A344" s="5" t="s">
        <v>452</v>
      </c>
      <c r="B344" s="23" t="s">
        <v>471</v>
      </c>
      <c r="C344" s="32">
        <v>1</v>
      </c>
      <c r="D344" s="25" t="s">
        <v>352</v>
      </c>
      <c r="E344" s="24">
        <v>1450</v>
      </c>
      <c r="F344" s="74">
        <f t="shared" si="31"/>
        <v>1450</v>
      </c>
    </row>
    <row r="345" spans="1:6" ht="74">
      <c r="A345" s="5" t="s">
        <v>472</v>
      </c>
      <c r="B345" s="23" t="s">
        <v>473</v>
      </c>
      <c r="C345" s="5"/>
      <c r="D345" s="25"/>
      <c r="E345" s="24"/>
      <c r="F345" s="79"/>
    </row>
    <row r="346" spans="1:6">
      <c r="A346" s="5"/>
      <c r="B346" s="23" t="s">
        <v>474</v>
      </c>
      <c r="C346" s="5"/>
      <c r="D346" s="25" t="s">
        <v>164</v>
      </c>
      <c r="E346" s="24">
        <v>250</v>
      </c>
      <c r="F346" s="74">
        <f>E346*C346</f>
        <v>0</v>
      </c>
    </row>
    <row r="347" spans="1:6">
      <c r="A347" s="5"/>
      <c r="B347" s="23" t="s">
        <v>475</v>
      </c>
      <c r="C347" s="5"/>
      <c r="D347" s="25" t="s">
        <v>164</v>
      </c>
      <c r="E347" s="24">
        <v>375</v>
      </c>
      <c r="F347" s="74">
        <f>E347*C347</f>
        <v>0</v>
      </c>
    </row>
    <row r="348" spans="1:6">
      <c r="A348" s="5"/>
      <c r="B348" s="23" t="s">
        <v>476</v>
      </c>
      <c r="C348" s="5"/>
      <c r="D348" s="25" t="s">
        <v>164</v>
      </c>
      <c r="E348" s="24">
        <v>550</v>
      </c>
      <c r="F348" s="74">
        <f>E348*C348</f>
        <v>0</v>
      </c>
    </row>
    <row r="349" spans="1:6">
      <c r="A349" s="5"/>
      <c r="B349" s="23" t="s">
        <v>477</v>
      </c>
      <c r="C349" s="5"/>
      <c r="D349" s="25" t="s">
        <v>164</v>
      </c>
      <c r="E349" s="24">
        <v>750</v>
      </c>
      <c r="F349" s="74">
        <f>E349*C349</f>
        <v>0</v>
      </c>
    </row>
    <row r="350" spans="1:6">
      <c r="A350" s="5"/>
      <c r="B350" s="23" t="s">
        <v>478</v>
      </c>
      <c r="C350" s="5"/>
      <c r="D350" s="25" t="s">
        <v>164</v>
      </c>
      <c r="E350" s="24">
        <v>1200</v>
      </c>
      <c r="F350" s="74">
        <f t="shared" ref="F350:F351" si="32">E350*C350</f>
        <v>0</v>
      </c>
    </row>
    <row r="351" spans="1:6">
      <c r="A351" s="5"/>
      <c r="B351" s="23" t="s">
        <v>479</v>
      </c>
      <c r="C351" s="63"/>
      <c r="D351" s="25" t="s">
        <v>164</v>
      </c>
      <c r="E351" s="24">
        <v>1875</v>
      </c>
      <c r="F351" s="74">
        <f t="shared" si="32"/>
        <v>0</v>
      </c>
    </row>
    <row r="352" spans="1:6" ht="74">
      <c r="A352" s="5" t="s">
        <v>534</v>
      </c>
      <c r="B352" s="23" t="s">
        <v>605</v>
      </c>
      <c r="C352" s="5"/>
      <c r="D352" s="23"/>
      <c r="E352" s="5"/>
      <c r="F352" s="23"/>
    </row>
    <row r="353" spans="1:6" ht="37">
      <c r="A353" s="5"/>
      <c r="B353" s="23" t="s">
        <v>513</v>
      </c>
      <c r="C353" s="5"/>
      <c r="D353" s="5" t="s">
        <v>514</v>
      </c>
      <c r="E353" s="5">
        <v>750</v>
      </c>
      <c r="F353" s="74">
        <f t="shared" ref="F353:F355" si="33">E353*C353</f>
        <v>0</v>
      </c>
    </row>
    <row r="354" spans="1:6" ht="37">
      <c r="A354" s="5"/>
      <c r="B354" s="23" t="s">
        <v>515</v>
      </c>
      <c r="C354" s="5"/>
      <c r="D354" s="5" t="s">
        <v>514</v>
      </c>
      <c r="E354" s="5">
        <v>950</v>
      </c>
      <c r="F354" s="74">
        <f t="shared" si="33"/>
        <v>0</v>
      </c>
    </row>
    <row r="355" spans="1:6" ht="37">
      <c r="A355" s="5"/>
      <c r="B355" s="23" t="s">
        <v>516</v>
      </c>
      <c r="C355" s="5"/>
      <c r="D355" s="5" t="s">
        <v>514</v>
      </c>
      <c r="E355" s="5">
        <v>1250</v>
      </c>
      <c r="F355" s="74">
        <f t="shared" si="33"/>
        <v>0</v>
      </c>
    </row>
    <row r="356" spans="1:6">
      <c r="A356" s="5"/>
      <c r="B356" s="23" t="s">
        <v>517</v>
      </c>
      <c r="C356" s="5"/>
      <c r="D356" s="5" t="s">
        <v>82</v>
      </c>
      <c r="E356" s="5">
        <v>1250</v>
      </c>
      <c r="F356" s="74">
        <f>E356*C356</f>
        <v>0</v>
      </c>
    </row>
    <row r="357" spans="1:6">
      <c r="A357" s="67"/>
      <c r="B357" s="35" t="s">
        <v>229</v>
      </c>
      <c r="C357" s="3"/>
      <c r="D357" s="4"/>
      <c r="E357" s="4"/>
      <c r="F357" s="80">
        <f>SUM(F302:F356)</f>
        <v>55820</v>
      </c>
    </row>
    <row r="358" spans="1:6">
      <c r="A358" s="84"/>
      <c r="B358" s="36" t="s">
        <v>453</v>
      </c>
      <c r="C358" s="55"/>
      <c r="D358" s="4"/>
      <c r="E358" s="4"/>
      <c r="F358" s="4"/>
    </row>
    <row r="359" spans="1:6" ht="148">
      <c r="A359" s="85" t="s">
        <v>332</v>
      </c>
      <c r="B359" s="23" t="s">
        <v>503</v>
      </c>
      <c r="C359" s="5"/>
      <c r="D359" s="32" t="s">
        <v>334</v>
      </c>
      <c r="E359" s="32">
        <v>150</v>
      </c>
      <c r="F359" s="74">
        <f t="shared" ref="F359:F361" si="34">E359*C359</f>
        <v>0</v>
      </c>
    </row>
    <row r="360" spans="1:6" ht="120" customHeight="1">
      <c r="A360" s="85" t="s">
        <v>333</v>
      </c>
      <c r="B360" s="23" t="s">
        <v>336</v>
      </c>
      <c r="C360" s="5"/>
      <c r="D360" s="32" t="s">
        <v>334</v>
      </c>
      <c r="E360" s="32">
        <v>500</v>
      </c>
      <c r="F360" s="74">
        <f t="shared" si="34"/>
        <v>0</v>
      </c>
    </row>
    <row r="361" spans="1:6" ht="111">
      <c r="A361" s="85" t="s">
        <v>335</v>
      </c>
      <c r="B361" s="23" t="s">
        <v>338</v>
      </c>
      <c r="C361" s="5"/>
      <c r="D361" s="32" t="s">
        <v>334</v>
      </c>
      <c r="E361" s="32">
        <v>1050</v>
      </c>
      <c r="F361" s="74">
        <f t="shared" si="34"/>
        <v>0</v>
      </c>
    </row>
    <row r="362" spans="1:6" ht="111">
      <c r="A362" s="85" t="s">
        <v>337</v>
      </c>
      <c r="B362" s="23" t="s">
        <v>308</v>
      </c>
      <c r="C362" s="5"/>
      <c r="D362" s="32"/>
      <c r="E362" s="32"/>
      <c r="F362" s="32"/>
    </row>
    <row r="363" spans="1:6">
      <c r="A363" s="32" t="s">
        <v>339</v>
      </c>
      <c r="B363" s="23" t="s">
        <v>222</v>
      </c>
      <c r="C363" s="5"/>
      <c r="D363" s="26" t="s">
        <v>169</v>
      </c>
      <c r="E363" s="32">
        <v>517</v>
      </c>
      <c r="F363" s="74">
        <f t="shared" ref="F363:F365" si="35">E363*C363</f>
        <v>0</v>
      </c>
    </row>
    <row r="364" spans="1:6" ht="55.5">
      <c r="A364" s="85" t="s">
        <v>294</v>
      </c>
      <c r="B364" s="23" t="s">
        <v>274</v>
      </c>
      <c r="C364" s="5"/>
      <c r="D364" s="26" t="s">
        <v>169</v>
      </c>
      <c r="E364" s="32">
        <v>340</v>
      </c>
      <c r="F364" s="74">
        <f t="shared" si="35"/>
        <v>0</v>
      </c>
    </row>
    <row r="365" spans="1:6" ht="55.5">
      <c r="A365" s="32" t="s">
        <v>340</v>
      </c>
      <c r="B365" s="23" t="s">
        <v>275</v>
      </c>
      <c r="C365" s="5"/>
      <c r="D365" s="26" t="s">
        <v>169</v>
      </c>
      <c r="E365" s="32">
        <v>170</v>
      </c>
      <c r="F365" s="74">
        <f t="shared" si="35"/>
        <v>0</v>
      </c>
    </row>
    <row r="366" spans="1:6" ht="92.5">
      <c r="A366" s="32" t="s">
        <v>341</v>
      </c>
      <c r="B366" s="17" t="s">
        <v>343</v>
      </c>
      <c r="C366" s="49"/>
      <c r="D366" s="32" t="s">
        <v>334</v>
      </c>
      <c r="E366" s="32">
        <v>4150</v>
      </c>
      <c r="F366" s="74">
        <f>E366*C366</f>
        <v>0</v>
      </c>
    </row>
    <row r="367" spans="1:6" ht="132.75" customHeight="1">
      <c r="A367" s="32" t="s">
        <v>342</v>
      </c>
      <c r="B367" s="17" t="s">
        <v>407</v>
      </c>
      <c r="C367" s="24"/>
      <c r="D367" s="32" t="s">
        <v>334</v>
      </c>
      <c r="E367" s="32">
        <v>4750</v>
      </c>
      <c r="F367" s="79"/>
    </row>
    <row r="368" spans="1:6" ht="273.75" customHeight="1">
      <c r="A368" s="32" t="s">
        <v>344</v>
      </c>
      <c r="B368" s="17" t="s">
        <v>607</v>
      </c>
      <c r="C368" s="32"/>
      <c r="D368" s="32" t="s">
        <v>334</v>
      </c>
      <c r="E368" s="32">
        <v>6250</v>
      </c>
      <c r="F368" s="74">
        <f t="shared" ref="F368" si="36">E368*C368</f>
        <v>0</v>
      </c>
    </row>
    <row r="369" spans="1:6" ht="37">
      <c r="A369" s="65"/>
      <c r="B369" s="18" t="s">
        <v>345</v>
      </c>
      <c r="C369" s="57"/>
      <c r="D369" s="32"/>
      <c r="E369" s="32"/>
      <c r="F369" s="32"/>
    </row>
    <row r="370" spans="1:6" ht="55.5">
      <c r="A370" s="65"/>
      <c r="B370" s="17" t="s">
        <v>346</v>
      </c>
      <c r="C370" s="51"/>
      <c r="D370" s="32"/>
      <c r="E370" s="32"/>
      <c r="F370" s="32"/>
    </row>
    <row r="371" spans="1:6" ht="55.5">
      <c r="A371" s="32" t="s">
        <v>466</v>
      </c>
      <c r="B371" s="48" t="s">
        <v>465</v>
      </c>
      <c r="C371" s="32"/>
      <c r="D371" s="32" t="s">
        <v>334</v>
      </c>
      <c r="E371" s="32">
        <v>5950</v>
      </c>
      <c r="F371" s="74">
        <f t="shared" ref="F371" si="37">E371*C371</f>
        <v>0</v>
      </c>
    </row>
    <row r="372" spans="1:6" ht="240.5">
      <c r="A372" s="32" t="s">
        <v>454</v>
      </c>
      <c r="B372" s="17" t="s">
        <v>455</v>
      </c>
      <c r="C372" s="51"/>
      <c r="D372" s="32"/>
      <c r="E372" s="32"/>
      <c r="F372" s="32"/>
    </row>
    <row r="373" spans="1:6" ht="74">
      <c r="A373" s="32" t="s">
        <v>339</v>
      </c>
      <c r="B373" s="17" t="s">
        <v>408</v>
      </c>
      <c r="C373" s="49"/>
      <c r="D373" s="32" t="s">
        <v>191</v>
      </c>
      <c r="E373" s="32">
        <v>65500</v>
      </c>
      <c r="F373" s="74">
        <f t="shared" ref="F373:F376" si="38">E373*C373</f>
        <v>0</v>
      </c>
    </row>
    <row r="374" spans="1:6" ht="92.5">
      <c r="A374" s="32" t="s">
        <v>347</v>
      </c>
      <c r="B374" s="17" t="s">
        <v>350</v>
      </c>
      <c r="C374" s="49"/>
      <c r="D374" s="32" t="s">
        <v>289</v>
      </c>
      <c r="E374" s="32">
        <v>225</v>
      </c>
      <c r="F374" s="74">
        <f t="shared" si="38"/>
        <v>0</v>
      </c>
    </row>
    <row r="375" spans="1:6" ht="92.5">
      <c r="A375" s="32" t="s">
        <v>348</v>
      </c>
      <c r="B375" s="17" t="s">
        <v>391</v>
      </c>
      <c r="C375" s="49"/>
      <c r="D375" s="32" t="s">
        <v>289</v>
      </c>
      <c r="E375" s="32">
        <v>165</v>
      </c>
      <c r="F375" s="74">
        <f t="shared" si="38"/>
        <v>0</v>
      </c>
    </row>
    <row r="376" spans="1:6" ht="92.5">
      <c r="A376" s="32" t="s">
        <v>349</v>
      </c>
      <c r="B376" s="23" t="s">
        <v>392</v>
      </c>
      <c r="C376" s="5"/>
      <c r="D376" s="32" t="s">
        <v>289</v>
      </c>
      <c r="E376" s="32">
        <v>165</v>
      </c>
      <c r="F376" s="74">
        <f t="shared" si="38"/>
        <v>0</v>
      </c>
    </row>
    <row r="377" spans="1:6" ht="185">
      <c r="A377" s="32" t="s">
        <v>351</v>
      </c>
      <c r="B377" s="23" t="s">
        <v>499</v>
      </c>
      <c r="C377" s="5"/>
      <c r="D377" s="32"/>
      <c r="E377" s="32"/>
      <c r="F377" s="32"/>
    </row>
    <row r="378" spans="1:6">
      <c r="A378" s="51" t="s">
        <v>339</v>
      </c>
      <c r="B378" s="17" t="s">
        <v>356</v>
      </c>
      <c r="C378" s="24"/>
      <c r="D378" s="32" t="s">
        <v>289</v>
      </c>
      <c r="E378" s="32">
        <v>575</v>
      </c>
      <c r="F378" s="32"/>
    </row>
    <row r="379" spans="1:6">
      <c r="A379" s="51" t="s">
        <v>294</v>
      </c>
      <c r="B379" s="17" t="s">
        <v>357</v>
      </c>
      <c r="C379" s="32"/>
      <c r="D379" s="32" t="s">
        <v>289</v>
      </c>
      <c r="E379" s="32">
        <v>720</v>
      </c>
      <c r="F379" s="74">
        <f t="shared" ref="F379:F380" si="39">E379*C379</f>
        <v>0</v>
      </c>
    </row>
    <row r="380" spans="1:6">
      <c r="A380" s="51" t="s">
        <v>340</v>
      </c>
      <c r="B380" s="17" t="s">
        <v>358</v>
      </c>
      <c r="C380" s="32"/>
      <c r="D380" s="32" t="s">
        <v>289</v>
      </c>
      <c r="E380" s="32">
        <v>920</v>
      </c>
      <c r="F380" s="74">
        <f t="shared" si="39"/>
        <v>0</v>
      </c>
    </row>
    <row r="381" spans="1:6">
      <c r="A381" s="51" t="s">
        <v>359</v>
      </c>
      <c r="B381" s="17" t="s">
        <v>360</v>
      </c>
      <c r="C381" s="24"/>
      <c r="D381" s="32" t="s">
        <v>289</v>
      </c>
      <c r="E381" s="32">
        <v>1750</v>
      </c>
      <c r="F381" s="79"/>
    </row>
    <row r="382" spans="1:6">
      <c r="A382" s="51" t="s">
        <v>361</v>
      </c>
      <c r="B382" s="17" t="s">
        <v>362</v>
      </c>
      <c r="C382" s="24"/>
      <c r="D382" s="32" t="s">
        <v>289</v>
      </c>
      <c r="E382" s="32">
        <v>2950</v>
      </c>
      <c r="F382" s="32"/>
    </row>
    <row r="383" spans="1:6">
      <c r="A383" s="51" t="s">
        <v>363</v>
      </c>
      <c r="B383" s="17" t="s">
        <v>364</v>
      </c>
      <c r="C383" s="24"/>
      <c r="D383" s="32" t="s">
        <v>289</v>
      </c>
      <c r="E383" s="32">
        <v>3950</v>
      </c>
      <c r="F383" s="32"/>
    </row>
    <row r="384" spans="1:6">
      <c r="A384" s="51" t="s">
        <v>365</v>
      </c>
      <c r="B384" s="17" t="s">
        <v>366</v>
      </c>
      <c r="C384" s="24"/>
      <c r="D384" s="32" t="s">
        <v>289</v>
      </c>
      <c r="E384" s="32">
        <v>4250</v>
      </c>
      <c r="F384" s="32"/>
    </row>
    <row r="385" spans="1:6" ht="203.5">
      <c r="A385" s="32" t="s">
        <v>353</v>
      </c>
      <c r="B385" s="23" t="s">
        <v>368</v>
      </c>
      <c r="C385" s="5"/>
      <c r="D385" s="32"/>
      <c r="E385" s="65"/>
      <c r="F385" s="32"/>
    </row>
    <row r="386" spans="1:6">
      <c r="A386" s="51" t="s">
        <v>339</v>
      </c>
      <c r="B386" s="16" t="s">
        <v>369</v>
      </c>
      <c r="C386" s="24"/>
      <c r="D386" s="32" t="s">
        <v>289</v>
      </c>
      <c r="E386" s="32">
        <v>525</v>
      </c>
      <c r="F386" s="32"/>
    </row>
    <row r="387" spans="1:6">
      <c r="A387" s="51" t="s">
        <v>294</v>
      </c>
      <c r="B387" s="16" t="s">
        <v>370</v>
      </c>
      <c r="C387" s="32"/>
      <c r="D387" s="32" t="s">
        <v>289</v>
      </c>
      <c r="E387" s="32">
        <v>650</v>
      </c>
      <c r="F387" s="74">
        <f t="shared" ref="F387:F388" si="40">E387*C387</f>
        <v>0</v>
      </c>
    </row>
    <row r="388" spans="1:6">
      <c r="A388" s="51" t="s">
        <v>340</v>
      </c>
      <c r="B388" s="16" t="s">
        <v>371</v>
      </c>
      <c r="C388" s="32"/>
      <c r="D388" s="32" t="s">
        <v>289</v>
      </c>
      <c r="E388" s="32">
        <v>830</v>
      </c>
      <c r="F388" s="74">
        <f t="shared" si="40"/>
        <v>0</v>
      </c>
    </row>
    <row r="389" spans="1:6">
      <c r="A389" s="51" t="s">
        <v>359</v>
      </c>
      <c r="B389" s="16" t="s">
        <v>372</v>
      </c>
      <c r="C389" s="24"/>
      <c r="D389" s="32" t="s">
        <v>289</v>
      </c>
      <c r="E389" s="63">
        <v>1590</v>
      </c>
      <c r="F389" s="79"/>
    </row>
    <row r="390" spans="1:6">
      <c r="A390" s="51" t="s">
        <v>361</v>
      </c>
      <c r="B390" s="16" t="s">
        <v>373</v>
      </c>
      <c r="C390" s="24"/>
      <c r="D390" s="32" t="s">
        <v>289</v>
      </c>
      <c r="E390" s="63">
        <v>2680</v>
      </c>
      <c r="F390" s="32"/>
    </row>
    <row r="391" spans="1:6">
      <c r="A391" s="51" t="s">
        <v>363</v>
      </c>
      <c r="B391" s="16" t="s">
        <v>374</v>
      </c>
      <c r="C391" s="24"/>
      <c r="D391" s="32" t="s">
        <v>289</v>
      </c>
      <c r="E391" s="63">
        <v>3590</v>
      </c>
      <c r="F391" s="32"/>
    </row>
    <row r="392" spans="1:6">
      <c r="A392" s="51" t="s">
        <v>365</v>
      </c>
      <c r="B392" s="16" t="s">
        <v>375</v>
      </c>
      <c r="C392" s="24"/>
      <c r="D392" s="32" t="s">
        <v>289</v>
      </c>
      <c r="E392" s="63">
        <v>3850</v>
      </c>
      <c r="F392" s="32"/>
    </row>
    <row r="393" spans="1:6" ht="92.5">
      <c r="A393" s="32" t="s">
        <v>354</v>
      </c>
      <c r="B393" s="23" t="s">
        <v>393</v>
      </c>
      <c r="C393" s="5"/>
      <c r="D393" s="39"/>
      <c r="E393" s="88"/>
      <c r="F393" s="32"/>
    </row>
    <row r="394" spans="1:6">
      <c r="A394" s="5"/>
      <c r="B394" s="23" t="s">
        <v>377</v>
      </c>
      <c r="C394" s="5"/>
      <c r="D394" s="32" t="s">
        <v>289</v>
      </c>
      <c r="E394" s="66">
        <v>850</v>
      </c>
      <c r="F394" s="74">
        <f t="shared" ref="F394:F395" si="41">E394*C394</f>
        <v>0</v>
      </c>
    </row>
    <row r="395" spans="1:6" ht="92.5">
      <c r="A395" s="32" t="s">
        <v>355</v>
      </c>
      <c r="B395" s="23" t="s">
        <v>379</v>
      </c>
      <c r="C395" s="5"/>
      <c r="D395" s="32" t="s">
        <v>288</v>
      </c>
      <c r="E395" s="66">
        <v>150</v>
      </c>
      <c r="F395" s="74">
        <f t="shared" si="41"/>
        <v>0</v>
      </c>
    </row>
    <row r="396" spans="1:6" ht="92.5">
      <c r="A396" s="32" t="s">
        <v>367</v>
      </c>
      <c r="B396" s="23" t="s">
        <v>381</v>
      </c>
      <c r="C396" s="5"/>
      <c r="D396" s="32" t="s">
        <v>289</v>
      </c>
      <c r="E396" s="32">
        <v>1750</v>
      </c>
      <c r="F396" s="32"/>
    </row>
    <row r="397" spans="1:6" ht="92.5">
      <c r="A397" s="32" t="s">
        <v>376</v>
      </c>
      <c r="B397" s="23" t="s">
        <v>382</v>
      </c>
      <c r="C397" s="5"/>
      <c r="D397" s="25" t="s">
        <v>81</v>
      </c>
      <c r="E397" s="32">
        <v>750</v>
      </c>
      <c r="F397" s="74">
        <f t="shared" ref="F397" si="42">E397*C397</f>
        <v>0</v>
      </c>
    </row>
    <row r="398" spans="1:6">
      <c r="A398" s="5" t="s">
        <v>301</v>
      </c>
      <c r="B398" s="23" t="s">
        <v>383</v>
      </c>
      <c r="C398" s="24"/>
      <c r="D398" s="25" t="s">
        <v>81</v>
      </c>
      <c r="E398" s="32">
        <v>725</v>
      </c>
      <c r="F398" s="86"/>
    </row>
    <row r="399" spans="1:6" ht="222">
      <c r="A399" s="32" t="s">
        <v>378</v>
      </c>
      <c r="B399" s="23" t="s">
        <v>409</v>
      </c>
      <c r="C399" s="5"/>
      <c r="D399" s="24" t="s">
        <v>289</v>
      </c>
      <c r="E399" s="32">
        <v>550</v>
      </c>
      <c r="F399" s="74">
        <f t="shared" ref="F399" si="43">E399*C399</f>
        <v>0</v>
      </c>
    </row>
    <row r="400" spans="1:6" ht="148">
      <c r="A400" s="32" t="s">
        <v>380</v>
      </c>
      <c r="B400" s="23" t="s">
        <v>411</v>
      </c>
      <c r="C400" s="24"/>
      <c r="D400" s="24" t="s">
        <v>352</v>
      </c>
      <c r="E400" s="32">
        <v>7500</v>
      </c>
      <c r="F400" s="79"/>
    </row>
    <row r="401" spans="1:6" ht="92.5">
      <c r="A401" s="5" t="s">
        <v>410</v>
      </c>
      <c r="B401" s="23" t="s">
        <v>436</v>
      </c>
      <c r="C401" s="24"/>
      <c r="D401" s="24" t="s">
        <v>352</v>
      </c>
      <c r="E401" s="32"/>
      <c r="F401" s="79"/>
    </row>
    <row r="402" spans="1:6">
      <c r="A402" s="67"/>
      <c r="B402" s="35" t="s">
        <v>384</v>
      </c>
      <c r="C402" s="3"/>
      <c r="D402" s="66"/>
      <c r="E402" s="66"/>
      <c r="F402" s="69">
        <f>SUM(F359:F401)</f>
        <v>0</v>
      </c>
    </row>
    <row r="403" spans="1:6">
      <c r="A403" s="67"/>
      <c r="B403" s="35" t="s">
        <v>560</v>
      </c>
      <c r="C403" s="3"/>
      <c r="D403" s="66"/>
      <c r="E403" s="66"/>
      <c r="F403" s="68"/>
    </row>
    <row r="404" spans="1:6">
      <c r="A404" s="49"/>
      <c r="B404" s="28" t="s">
        <v>561</v>
      </c>
      <c r="C404" s="49"/>
      <c r="D404" s="32"/>
      <c r="E404" s="32"/>
      <c r="F404" s="70"/>
    </row>
    <row r="405" spans="1:6" ht="92.5">
      <c r="A405" s="5" t="s">
        <v>427</v>
      </c>
      <c r="B405" s="23" t="s">
        <v>562</v>
      </c>
      <c r="C405" s="24"/>
      <c r="D405" s="25" t="s">
        <v>82</v>
      </c>
      <c r="E405" s="32">
        <v>9500</v>
      </c>
      <c r="F405" s="60">
        <f t="shared" ref="F405:F406" si="44">E405*C405</f>
        <v>0</v>
      </c>
    </row>
    <row r="406" spans="1:6" ht="55.5">
      <c r="A406" s="5" t="s">
        <v>428</v>
      </c>
      <c r="B406" s="23" t="s">
        <v>563</v>
      </c>
      <c r="C406" s="24"/>
      <c r="D406" s="25" t="s">
        <v>82</v>
      </c>
      <c r="E406" s="32">
        <v>1450</v>
      </c>
      <c r="F406" s="60">
        <f t="shared" si="44"/>
        <v>0</v>
      </c>
    </row>
    <row r="407" spans="1:6" ht="55.5">
      <c r="A407" s="5" t="s">
        <v>429</v>
      </c>
      <c r="B407" s="23" t="s">
        <v>564</v>
      </c>
      <c r="C407" s="24"/>
      <c r="D407" s="25"/>
      <c r="E407" s="32"/>
      <c r="F407" s="60"/>
    </row>
    <row r="408" spans="1:6">
      <c r="A408" s="5"/>
      <c r="B408" s="23" t="s">
        <v>565</v>
      </c>
      <c r="C408" s="24"/>
      <c r="D408" s="25" t="s">
        <v>82</v>
      </c>
      <c r="E408" s="32">
        <v>2550</v>
      </c>
      <c r="F408" s="60">
        <f t="shared" ref="F408" si="45">E408*C408</f>
        <v>0</v>
      </c>
    </row>
    <row r="409" spans="1:6" ht="37">
      <c r="A409" s="5" t="s">
        <v>430</v>
      </c>
      <c r="B409" s="23" t="s">
        <v>566</v>
      </c>
      <c r="C409" s="24"/>
      <c r="D409" s="25" t="s">
        <v>82</v>
      </c>
      <c r="E409" s="32">
        <v>2650</v>
      </c>
      <c r="F409" s="60"/>
    </row>
    <row r="410" spans="1:6" ht="55.5">
      <c r="A410" s="5" t="s">
        <v>431</v>
      </c>
      <c r="B410" s="23" t="s">
        <v>567</v>
      </c>
      <c r="C410" s="24"/>
      <c r="D410" s="25" t="s">
        <v>82</v>
      </c>
      <c r="E410" s="32">
        <v>6500</v>
      </c>
      <c r="F410" s="60"/>
    </row>
    <row r="411" spans="1:6" ht="74">
      <c r="A411" s="5" t="s">
        <v>432</v>
      </c>
      <c r="B411" s="23" t="s">
        <v>568</v>
      </c>
      <c r="C411" s="24"/>
      <c r="D411" s="25" t="s">
        <v>82</v>
      </c>
      <c r="E411" s="32">
        <v>1250</v>
      </c>
      <c r="F411" s="60"/>
    </row>
    <row r="412" spans="1:6" ht="111">
      <c r="A412" s="5" t="s">
        <v>434</v>
      </c>
      <c r="B412" s="23" t="s">
        <v>569</v>
      </c>
      <c r="C412" s="24"/>
      <c r="D412" s="25" t="s">
        <v>82</v>
      </c>
      <c r="E412" s="32">
        <v>6500</v>
      </c>
      <c r="F412" s="60">
        <f t="shared" ref="F412" si="46">E412*C412</f>
        <v>0</v>
      </c>
    </row>
    <row r="413" spans="1:6" ht="55.5">
      <c r="A413" s="5" t="s">
        <v>571</v>
      </c>
      <c r="B413" s="23" t="s">
        <v>570</v>
      </c>
      <c r="C413" s="24"/>
      <c r="D413" s="25"/>
      <c r="E413" s="32"/>
      <c r="F413" s="60"/>
    </row>
    <row r="414" spans="1:6">
      <c r="A414" s="5"/>
      <c r="B414" s="23" t="s">
        <v>565</v>
      </c>
      <c r="C414" s="24"/>
      <c r="D414" s="25" t="s">
        <v>82</v>
      </c>
      <c r="E414" s="32">
        <v>1150</v>
      </c>
      <c r="F414" s="60">
        <f t="shared" ref="F414:F418" si="47">E414*C414</f>
        <v>0</v>
      </c>
    </row>
    <row r="415" spans="1:6" ht="37">
      <c r="A415" s="5" t="s">
        <v>572</v>
      </c>
      <c r="B415" s="23" t="s">
        <v>573</v>
      </c>
      <c r="C415" s="24"/>
      <c r="D415" s="25" t="s">
        <v>82</v>
      </c>
      <c r="E415" s="32">
        <v>7500</v>
      </c>
      <c r="F415" s="60">
        <f t="shared" si="47"/>
        <v>0</v>
      </c>
    </row>
    <row r="416" spans="1:6" ht="37">
      <c r="A416" s="5" t="s">
        <v>575</v>
      </c>
      <c r="B416" s="23" t="s">
        <v>574</v>
      </c>
      <c r="C416" s="24"/>
      <c r="D416" s="25" t="s">
        <v>82</v>
      </c>
      <c r="E416" s="32">
        <v>9500</v>
      </c>
      <c r="F416" s="60">
        <f t="shared" si="47"/>
        <v>0</v>
      </c>
    </row>
    <row r="417" spans="1:6" ht="37">
      <c r="A417" s="5" t="s">
        <v>576</v>
      </c>
      <c r="B417" s="23" t="s">
        <v>577</v>
      </c>
      <c r="C417" s="24"/>
      <c r="D417" s="25" t="s">
        <v>82</v>
      </c>
      <c r="E417" s="32">
        <v>2500</v>
      </c>
      <c r="F417" s="60">
        <f t="shared" si="47"/>
        <v>0</v>
      </c>
    </row>
    <row r="418" spans="1:6" ht="92.5">
      <c r="A418" s="5" t="s">
        <v>578</v>
      </c>
      <c r="B418" s="23" t="s">
        <v>579</v>
      </c>
      <c r="C418" s="24"/>
      <c r="D418" s="25" t="s">
        <v>82</v>
      </c>
      <c r="E418" s="32">
        <v>1950</v>
      </c>
      <c r="F418" s="60">
        <f t="shared" si="47"/>
        <v>0</v>
      </c>
    </row>
    <row r="419" spans="1:6" ht="129.5">
      <c r="A419" s="5" t="s">
        <v>580</v>
      </c>
      <c r="B419" s="23" t="s">
        <v>581</v>
      </c>
      <c r="C419" s="24"/>
      <c r="D419" s="25"/>
      <c r="E419" s="32"/>
      <c r="F419" s="60"/>
    </row>
    <row r="420" spans="1:6">
      <c r="A420" s="5"/>
      <c r="B420" s="23" t="s">
        <v>582</v>
      </c>
      <c r="C420" s="24"/>
      <c r="D420" s="25" t="s">
        <v>514</v>
      </c>
      <c r="E420" s="32">
        <v>750</v>
      </c>
      <c r="F420" s="60"/>
    </row>
    <row r="421" spans="1:6">
      <c r="A421" s="5"/>
      <c r="B421" s="23" t="s">
        <v>583</v>
      </c>
      <c r="C421" s="24"/>
      <c r="D421" s="25" t="s">
        <v>514</v>
      </c>
      <c r="E421" s="32">
        <v>600</v>
      </c>
      <c r="F421" s="60">
        <f t="shared" ref="F421:F424" si="48">E421*C421</f>
        <v>0</v>
      </c>
    </row>
    <row r="422" spans="1:6">
      <c r="A422" s="5"/>
      <c r="B422" s="23" t="s">
        <v>584</v>
      </c>
      <c r="C422" s="24"/>
      <c r="D422" s="25" t="s">
        <v>514</v>
      </c>
      <c r="E422" s="32">
        <v>375</v>
      </c>
      <c r="F422" s="60">
        <f t="shared" si="48"/>
        <v>0</v>
      </c>
    </row>
    <row r="423" spans="1:6">
      <c r="A423" s="5"/>
      <c r="B423" s="23" t="s">
        <v>585</v>
      </c>
      <c r="C423" s="24"/>
      <c r="D423" s="25" t="s">
        <v>514</v>
      </c>
      <c r="E423" s="32">
        <v>185</v>
      </c>
      <c r="F423" s="60">
        <f t="shared" si="48"/>
        <v>0</v>
      </c>
    </row>
    <row r="424" spans="1:6">
      <c r="A424" s="5"/>
      <c r="B424" s="23" t="s">
        <v>586</v>
      </c>
      <c r="C424" s="24"/>
      <c r="D424" s="25" t="s">
        <v>514</v>
      </c>
      <c r="E424" s="32">
        <v>135</v>
      </c>
      <c r="F424" s="60">
        <f t="shared" si="48"/>
        <v>0</v>
      </c>
    </row>
    <row r="425" spans="1:6" ht="141" customHeight="1">
      <c r="A425" s="5" t="s">
        <v>587</v>
      </c>
      <c r="B425" s="23" t="s">
        <v>606</v>
      </c>
      <c r="C425" s="24"/>
      <c r="D425" s="25"/>
      <c r="E425" s="32"/>
      <c r="F425" s="60"/>
    </row>
    <row r="426" spans="1:6">
      <c r="A426" s="5"/>
      <c r="B426" s="23" t="s">
        <v>588</v>
      </c>
      <c r="C426" s="24"/>
      <c r="D426" s="25" t="s">
        <v>514</v>
      </c>
      <c r="E426" s="32">
        <v>1750</v>
      </c>
      <c r="F426" s="60"/>
    </row>
    <row r="427" spans="1:6">
      <c r="A427" s="5"/>
      <c r="B427" s="23" t="s">
        <v>589</v>
      </c>
      <c r="C427" s="24"/>
      <c r="D427" s="25" t="s">
        <v>514</v>
      </c>
      <c r="E427" s="32">
        <v>1176</v>
      </c>
      <c r="F427" s="60">
        <f t="shared" ref="F427:F429" si="49">E427*C427</f>
        <v>0</v>
      </c>
    </row>
    <row r="428" spans="1:6">
      <c r="A428" s="5"/>
      <c r="B428" s="23" t="s">
        <v>590</v>
      </c>
      <c r="C428" s="24"/>
      <c r="D428" s="25" t="s">
        <v>514</v>
      </c>
      <c r="E428" s="32">
        <v>900</v>
      </c>
      <c r="F428" s="60">
        <f t="shared" si="49"/>
        <v>0</v>
      </c>
    </row>
    <row r="429" spans="1:6">
      <c r="A429" s="5"/>
      <c r="B429" s="23" t="s">
        <v>591</v>
      </c>
      <c r="C429" s="24"/>
      <c r="D429" s="25" t="s">
        <v>514</v>
      </c>
      <c r="E429" s="32">
        <v>670</v>
      </c>
      <c r="F429" s="60">
        <f t="shared" si="49"/>
        <v>0</v>
      </c>
    </row>
    <row r="430" spans="1:6" ht="92.5">
      <c r="A430" s="5" t="s">
        <v>593</v>
      </c>
      <c r="B430" s="23" t="s">
        <v>592</v>
      </c>
      <c r="C430" s="24"/>
      <c r="D430" s="25"/>
      <c r="E430" s="32"/>
      <c r="F430" s="60"/>
    </row>
    <row r="431" spans="1:6">
      <c r="A431" s="5"/>
      <c r="B431" s="23" t="s">
        <v>594</v>
      </c>
      <c r="C431" s="24"/>
      <c r="D431" s="25" t="s">
        <v>82</v>
      </c>
      <c r="E431" s="32">
        <v>750</v>
      </c>
      <c r="F431" s="60">
        <f>E431*C431</f>
        <v>0</v>
      </c>
    </row>
    <row r="432" spans="1:6" ht="74">
      <c r="A432" s="5" t="s">
        <v>597</v>
      </c>
      <c r="B432" s="23" t="s">
        <v>595</v>
      </c>
      <c r="C432" s="24"/>
      <c r="D432" s="25" t="s">
        <v>514</v>
      </c>
      <c r="E432" s="32">
        <v>1950</v>
      </c>
      <c r="F432" s="60">
        <f>E432*C432</f>
        <v>0</v>
      </c>
    </row>
    <row r="433" spans="1:6" ht="92.5">
      <c r="A433" s="5" t="s">
        <v>598</v>
      </c>
      <c r="B433" s="23" t="s">
        <v>596</v>
      </c>
      <c r="C433" s="24"/>
      <c r="D433" s="25" t="s">
        <v>82</v>
      </c>
      <c r="E433" s="32">
        <v>25000</v>
      </c>
      <c r="F433" s="60">
        <f>E433*C433</f>
        <v>0</v>
      </c>
    </row>
    <row r="434" spans="1:6">
      <c r="A434" s="67"/>
      <c r="B434" s="35" t="s">
        <v>433</v>
      </c>
      <c r="C434" s="3"/>
      <c r="D434" s="66"/>
      <c r="E434" s="66"/>
      <c r="F434" s="68">
        <f>SUM(F405:F433)</f>
        <v>0</v>
      </c>
    </row>
    <row r="435" spans="1:6">
      <c r="A435" s="67"/>
      <c r="B435" s="35" t="s">
        <v>525</v>
      </c>
      <c r="C435" s="3"/>
      <c r="D435" s="66"/>
      <c r="E435" s="66"/>
      <c r="F435" s="68"/>
    </row>
    <row r="436" spans="1:6" ht="297.5">
      <c r="A436" s="5" t="s">
        <v>526</v>
      </c>
      <c r="B436" s="23" t="s">
        <v>527</v>
      </c>
      <c r="C436" s="24"/>
      <c r="D436" s="25"/>
      <c r="E436" s="32"/>
      <c r="F436" s="60"/>
    </row>
    <row r="437" spans="1:6">
      <c r="A437" s="5"/>
      <c r="B437" s="23" t="s">
        <v>528</v>
      </c>
      <c r="C437" s="5"/>
      <c r="D437" s="25" t="s">
        <v>83</v>
      </c>
      <c r="E437" s="32">
        <v>5125</v>
      </c>
      <c r="F437" s="74"/>
    </row>
    <row r="438" spans="1:6">
      <c r="A438" s="5"/>
      <c r="B438" s="23" t="s">
        <v>529</v>
      </c>
      <c r="C438" s="5"/>
      <c r="D438" s="25" t="s">
        <v>83</v>
      </c>
      <c r="E438" s="32">
        <v>5875</v>
      </c>
      <c r="F438" s="74"/>
    </row>
    <row r="439" spans="1:6">
      <c r="A439" s="5"/>
      <c r="B439" s="23" t="s">
        <v>530</v>
      </c>
      <c r="C439" s="5"/>
      <c r="D439" s="25" t="s">
        <v>83</v>
      </c>
      <c r="E439" s="32">
        <v>6625</v>
      </c>
      <c r="F439" s="74"/>
    </row>
    <row r="440" spans="1:6">
      <c r="A440" s="5"/>
      <c r="B440" s="23" t="s">
        <v>531</v>
      </c>
      <c r="C440" s="5"/>
      <c r="D440" s="25" t="s">
        <v>83</v>
      </c>
      <c r="E440" s="32">
        <v>12500</v>
      </c>
      <c r="F440" s="74"/>
    </row>
    <row r="441" spans="1:6">
      <c r="A441" s="67"/>
      <c r="B441" s="35" t="s">
        <v>532</v>
      </c>
      <c r="C441" s="3"/>
      <c r="D441" s="66"/>
      <c r="E441" s="66"/>
      <c r="F441" s="69">
        <f>SUM(F437:F440)</f>
        <v>0</v>
      </c>
    </row>
  </sheetData>
  <customSheetViews>
    <customSheetView guid="{5399B9A3-C514-4B3F-AA20-DF1128B22F93}" scale="70" showPageBreaks="1" fitToPage="1" printArea="1" hiddenRows="1" state="hidden" view="pageBreakPreview" topLeftCell="A434">
      <selection activeCell="B359" sqref="B359"/>
      <rowBreaks count="7" manualBreakCount="7">
        <brk id="103" max="16383" man="1"/>
        <brk id="129" max="16383" man="1"/>
        <brk id="171" max="16383" man="1"/>
        <brk id="182" max="16383" man="1"/>
        <brk id="280" max="5" man="1"/>
        <brk id="310" max="16383" man="1"/>
        <brk id="402" max="5" man="1"/>
      </rowBreaks>
      <pageMargins left="0.55118110236220474" right="0.39370078740157483" top="0.39370078740157483" bottom="0.39370078740157483" header="0.51181102362204722" footer="0.11811023622047245"/>
      <printOptions horizontalCentered="1"/>
      <pageSetup paperSize="9" scale="57" fitToHeight="0" orientation="portrait" r:id="rId1"/>
      <headerFooter alignWithMargins="0">
        <oddFooter>&amp;C&amp;P OF &amp;N</oddFooter>
      </headerFooter>
    </customSheetView>
  </customSheetViews>
  <mergeCells count="4">
    <mergeCell ref="B1:E1"/>
    <mergeCell ref="A2:F2"/>
    <mergeCell ref="A3:F3"/>
    <mergeCell ref="A4:F4"/>
  </mergeCells>
  <printOptions horizontalCentered="1"/>
  <pageMargins left="0.55118110236220474" right="0.39370078740157483" top="0.39370078740157483" bottom="0.39370078740157483" header="0.51181102362204722" footer="0.11811023622047245"/>
  <pageSetup paperSize="9" scale="57" fitToHeight="0" orientation="portrait" r:id="rId2"/>
  <headerFooter alignWithMargins="0">
    <oddFooter>&amp;C&amp;P OF &amp;N</oddFooter>
  </headerFooter>
  <rowBreaks count="7" manualBreakCount="7">
    <brk id="103" max="16383" man="1"/>
    <brk id="129" max="16383" man="1"/>
    <brk id="171" max="16383" man="1"/>
    <brk id="182" max="16383" man="1"/>
    <brk id="280" max="5" man="1"/>
    <brk id="310" max="16383" man="1"/>
    <brk id="402" max="5"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G433"/>
  <sheetViews>
    <sheetView view="pageBreakPreview" topLeftCell="A2" zoomScale="70" zoomScaleNormal="70" zoomScaleSheetLayoutView="70" workbookViewId="0">
      <selection activeCell="C433" sqref="C7:C433"/>
    </sheetView>
  </sheetViews>
  <sheetFormatPr defaultColWidth="9.1796875" defaultRowHeight="18.5"/>
  <cols>
    <col min="1" max="1" width="22.453125" style="46" customWidth="1"/>
    <col min="2" max="2" width="66.1796875" style="47" customWidth="1"/>
    <col min="3" max="3" width="18.81640625" style="46" customWidth="1"/>
    <col min="4" max="4" width="17.81640625" style="2" customWidth="1"/>
    <col min="5" max="5" width="17.81640625" style="15" customWidth="1"/>
    <col min="6" max="6" width="21.453125" style="2" customWidth="1"/>
    <col min="7" max="16384" width="9.1796875" style="1"/>
  </cols>
  <sheetData>
    <row r="1" spans="1:6" ht="66" customHeight="1">
      <c r="A1" s="62"/>
      <c r="B1" s="210" t="s">
        <v>652</v>
      </c>
      <c r="C1" s="210"/>
      <c r="D1" s="210"/>
      <c r="E1" s="210"/>
      <c r="F1" s="61"/>
    </row>
    <row r="2" spans="1:6" ht="74.25" customHeight="1">
      <c r="A2" s="218" t="s">
        <v>616</v>
      </c>
      <c r="B2" s="219"/>
      <c r="C2" s="219"/>
      <c r="D2" s="219"/>
      <c r="E2" s="219"/>
      <c r="F2" s="220"/>
    </row>
    <row r="3" spans="1:6" ht="62.25" customHeight="1">
      <c r="A3" s="221"/>
      <c r="B3" s="219"/>
      <c r="C3" s="219"/>
      <c r="D3" s="219"/>
      <c r="E3" s="219"/>
      <c r="F3" s="219"/>
    </row>
    <row r="4" spans="1:6" ht="21">
      <c r="A4" s="222" t="s">
        <v>270</v>
      </c>
      <c r="B4" s="222"/>
      <c r="C4" s="222"/>
      <c r="D4" s="222"/>
      <c r="E4" s="222"/>
      <c r="F4" s="222"/>
    </row>
    <row r="5" spans="1:6">
      <c r="A5" s="52" t="s">
        <v>152</v>
      </c>
      <c r="B5" s="52" t="s">
        <v>153</v>
      </c>
      <c r="C5" s="71" t="s">
        <v>79</v>
      </c>
      <c r="D5" s="72" t="s">
        <v>57</v>
      </c>
      <c r="E5" s="71" t="s">
        <v>58</v>
      </c>
      <c r="F5" s="72" t="s">
        <v>59</v>
      </c>
    </row>
    <row r="6" spans="1:6" ht="17.5" customHeight="1">
      <c r="A6" s="3"/>
      <c r="B6" s="22" t="s">
        <v>167</v>
      </c>
      <c r="C6" s="3"/>
      <c r="D6" s="4"/>
      <c r="E6" s="73"/>
      <c r="F6" s="4"/>
    </row>
    <row r="7" spans="1:6" ht="97.5" customHeight="1">
      <c r="A7" s="5" t="s">
        <v>168</v>
      </c>
      <c r="B7" s="28" t="s">
        <v>480</v>
      </c>
      <c r="C7" s="49">
        <v>501</v>
      </c>
      <c r="D7" s="24" t="s">
        <v>78</v>
      </c>
      <c r="E7" s="24">
        <v>35</v>
      </c>
      <c r="F7" s="74">
        <f>E7*C7</f>
        <v>17535</v>
      </c>
    </row>
    <row r="8" spans="1:6" ht="97.5" customHeight="1">
      <c r="A8" s="5" t="s">
        <v>557</v>
      </c>
      <c r="B8" s="28" t="s">
        <v>599</v>
      </c>
      <c r="C8" s="49"/>
      <c r="D8" s="24" t="s">
        <v>78</v>
      </c>
      <c r="E8" s="24">
        <v>25</v>
      </c>
      <c r="F8" s="74">
        <f>E8*C8</f>
        <v>0</v>
      </c>
    </row>
    <row r="9" spans="1:6" ht="256.5" customHeight="1">
      <c r="A9" s="5" t="s">
        <v>24</v>
      </c>
      <c r="B9" s="23" t="s">
        <v>401</v>
      </c>
      <c r="C9" s="5"/>
      <c r="D9" s="26"/>
      <c r="E9" s="24"/>
      <c r="F9" s="75"/>
    </row>
    <row r="10" spans="1:6">
      <c r="A10" s="5"/>
      <c r="B10" s="23" t="s">
        <v>28</v>
      </c>
      <c r="C10" s="5">
        <v>136</v>
      </c>
      <c r="D10" s="26" t="s">
        <v>80</v>
      </c>
      <c r="E10" s="24">
        <v>250</v>
      </c>
      <c r="F10" s="74">
        <f>E10*C10</f>
        <v>34000</v>
      </c>
    </row>
    <row r="11" spans="1:6">
      <c r="A11" s="5"/>
      <c r="B11" s="23" t="s">
        <v>197</v>
      </c>
      <c r="C11" s="5"/>
      <c r="D11" s="26" t="s">
        <v>80</v>
      </c>
      <c r="E11" s="24">
        <v>285</v>
      </c>
      <c r="F11" s="74">
        <f>E11*C11</f>
        <v>0</v>
      </c>
    </row>
    <row r="12" spans="1:6">
      <c r="A12" s="5"/>
      <c r="B12" s="23" t="s">
        <v>26</v>
      </c>
      <c r="C12" s="24"/>
      <c r="D12" s="26" t="s">
        <v>80</v>
      </c>
      <c r="E12" s="24">
        <v>350</v>
      </c>
      <c r="F12" s="74"/>
    </row>
    <row r="13" spans="1:6">
      <c r="A13" s="5"/>
      <c r="B13" s="23" t="s">
        <v>27</v>
      </c>
      <c r="C13" s="24"/>
      <c r="D13" s="26" t="s">
        <v>80</v>
      </c>
      <c r="E13" s="24">
        <v>450</v>
      </c>
      <c r="F13" s="74"/>
    </row>
    <row r="14" spans="1:6">
      <c r="A14" s="5"/>
      <c r="B14" s="23" t="s">
        <v>213</v>
      </c>
      <c r="C14" s="24"/>
      <c r="D14" s="26" t="s">
        <v>80</v>
      </c>
      <c r="E14" s="24">
        <v>575</v>
      </c>
      <c r="F14" s="74"/>
    </row>
    <row r="15" spans="1:6" ht="128.15" customHeight="1">
      <c r="A15" s="5" t="s">
        <v>25</v>
      </c>
      <c r="B15" s="28" t="s">
        <v>600</v>
      </c>
      <c r="C15" s="49"/>
      <c r="D15" s="7"/>
      <c r="E15" s="24"/>
      <c r="F15" s="75"/>
    </row>
    <row r="16" spans="1:6">
      <c r="A16" s="5"/>
      <c r="B16" s="23" t="s">
        <v>402</v>
      </c>
      <c r="C16" s="63">
        <v>95</v>
      </c>
      <c r="D16" s="26" t="s">
        <v>80</v>
      </c>
      <c r="E16" s="24">
        <v>490</v>
      </c>
      <c r="F16" s="74">
        <f>E16*C16</f>
        <v>46550</v>
      </c>
    </row>
    <row r="17" spans="1:6">
      <c r="A17" s="5"/>
      <c r="B17" s="23" t="s">
        <v>403</v>
      </c>
      <c r="C17" s="63">
        <v>90</v>
      </c>
      <c r="D17" s="26" t="s">
        <v>80</v>
      </c>
      <c r="E17" s="24">
        <v>1025</v>
      </c>
      <c r="F17" s="74">
        <f>E17*C17</f>
        <v>92250</v>
      </c>
    </row>
    <row r="18" spans="1:6">
      <c r="A18" s="5"/>
      <c r="B18" s="23" t="s">
        <v>404</v>
      </c>
      <c r="C18" s="63"/>
      <c r="D18" s="26" t="s">
        <v>80</v>
      </c>
      <c r="E18" s="24">
        <v>1150</v>
      </c>
      <c r="F18" s="74"/>
    </row>
    <row r="19" spans="1:6" ht="57.65" customHeight="1">
      <c r="A19" s="5" t="s">
        <v>29</v>
      </c>
      <c r="B19" s="23" t="s">
        <v>405</v>
      </c>
      <c r="C19" s="63"/>
      <c r="D19" s="26" t="s">
        <v>80</v>
      </c>
      <c r="E19" s="24">
        <v>150</v>
      </c>
      <c r="F19" s="74">
        <f>E19*C19</f>
        <v>0</v>
      </c>
    </row>
    <row r="20" spans="1:6" ht="66.75" customHeight="1">
      <c r="A20" s="5" t="s">
        <v>554</v>
      </c>
      <c r="B20" s="23" t="s">
        <v>601</v>
      </c>
      <c r="C20" s="63"/>
      <c r="D20" s="26"/>
      <c r="E20" s="24"/>
      <c r="F20" s="74"/>
    </row>
    <row r="21" spans="1:6">
      <c r="A21" s="5"/>
      <c r="B21" s="23" t="s">
        <v>555</v>
      </c>
      <c r="C21" s="63">
        <v>91</v>
      </c>
      <c r="D21" s="26" t="s">
        <v>80</v>
      </c>
      <c r="E21" s="24">
        <v>100</v>
      </c>
      <c r="F21" s="74">
        <f>E21*C21</f>
        <v>9100</v>
      </c>
    </row>
    <row r="22" spans="1:6">
      <c r="A22" s="5"/>
      <c r="B22" s="23" t="s">
        <v>556</v>
      </c>
      <c r="C22" s="63"/>
      <c r="D22" s="26" t="s">
        <v>82</v>
      </c>
      <c r="E22" s="24">
        <v>3500</v>
      </c>
      <c r="F22" s="74"/>
    </row>
    <row r="23" spans="1:6" ht="128.5" customHeight="1">
      <c r="A23" s="5" t="s">
        <v>30</v>
      </c>
      <c r="B23" s="23" t="s">
        <v>500</v>
      </c>
      <c r="C23" s="5"/>
      <c r="D23" s="7"/>
      <c r="E23" s="24"/>
      <c r="F23" s="75"/>
    </row>
    <row r="24" spans="1:6">
      <c r="A24" s="5"/>
      <c r="B24" s="23" t="s">
        <v>222</v>
      </c>
      <c r="C24" s="24"/>
      <c r="D24" s="26" t="s">
        <v>169</v>
      </c>
      <c r="E24" s="24">
        <v>517</v>
      </c>
      <c r="F24" s="75"/>
    </row>
    <row r="25" spans="1:6" ht="55.5">
      <c r="A25" s="5"/>
      <c r="B25" s="23" t="s">
        <v>274</v>
      </c>
      <c r="C25" s="63">
        <v>447</v>
      </c>
      <c r="D25" s="26" t="s">
        <v>169</v>
      </c>
      <c r="E25" s="24">
        <v>310</v>
      </c>
      <c r="F25" s="74">
        <f>E25*C25</f>
        <v>138570</v>
      </c>
    </row>
    <row r="26" spans="1:6" ht="55.5">
      <c r="A26" s="5"/>
      <c r="B26" s="23" t="s">
        <v>275</v>
      </c>
      <c r="C26" s="63">
        <v>447</v>
      </c>
      <c r="D26" s="26" t="s">
        <v>169</v>
      </c>
      <c r="E26" s="24">
        <v>150</v>
      </c>
      <c r="F26" s="74">
        <f>E26*C26</f>
        <v>67050</v>
      </c>
    </row>
    <row r="27" spans="1:6" ht="166.5">
      <c r="A27" s="5" t="s">
        <v>43</v>
      </c>
      <c r="B27" s="28" t="s">
        <v>611</v>
      </c>
      <c r="C27" s="49"/>
      <c r="D27" s="7"/>
      <c r="E27" s="24"/>
      <c r="F27" s="75"/>
    </row>
    <row r="28" spans="1:6">
      <c r="A28" s="5"/>
      <c r="B28" s="30" t="s">
        <v>209</v>
      </c>
      <c r="C28" s="24"/>
      <c r="D28" s="26" t="s">
        <v>73</v>
      </c>
      <c r="E28" s="24">
        <v>300</v>
      </c>
      <c r="F28" s="74"/>
    </row>
    <row r="29" spans="1:6">
      <c r="A29" s="5"/>
      <c r="B29" s="30" t="s">
        <v>210</v>
      </c>
      <c r="C29" s="24"/>
      <c r="D29" s="26" t="s">
        <v>73</v>
      </c>
      <c r="E29" s="24">
        <v>350</v>
      </c>
      <c r="F29" s="74">
        <f t="shared" ref="F29:F31" si="0">E29*C29</f>
        <v>0</v>
      </c>
    </row>
    <row r="30" spans="1:6">
      <c r="A30" s="5"/>
      <c r="B30" s="30" t="s">
        <v>263</v>
      </c>
      <c r="C30" s="20">
        <v>375</v>
      </c>
      <c r="D30" s="26" t="s">
        <v>73</v>
      </c>
      <c r="E30" s="24">
        <v>425</v>
      </c>
      <c r="F30" s="74">
        <f t="shared" si="0"/>
        <v>159375</v>
      </c>
    </row>
    <row r="31" spans="1:6">
      <c r="A31" s="5"/>
      <c r="B31" s="30" t="s">
        <v>264</v>
      </c>
      <c r="C31" s="24"/>
      <c r="D31" s="26" t="s">
        <v>73</v>
      </c>
      <c r="E31" s="24">
        <v>495</v>
      </c>
      <c r="F31" s="74">
        <f t="shared" si="0"/>
        <v>0</v>
      </c>
    </row>
    <row r="32" spans="1:6" ht="57.65" customHeight="1">
      <c r="A32" s="5" t="s">
        <v>211</v>
      </c>
      <c r="B32" s="31" t="s">
        <v>212</v>
      </c>
      <c r="C32" s="50"/>
      <c r="D32" s="7"/>
      <c r="E32" s="32"/>
      <c r="F32" s="75"/>
    </row>
    <row r="33" spans="1:6">
      <c r="A33" s="5"/>
      <c r="B33" s="30" t="s">
        <v>209</v>
      </c>
      <c r="C33" s="24"/>
      <c r="D33" s="26" t="s">
        <v>71</v>
      </c>
      <c r="E33" s="24">
        <v>300</v>
      </c>
      <c r="F33" s="74"/>
    </row>
    <row r="34" spans="1:6">
      <c r="A34" s="5"/>
      <c r="B34" s="30" t="s">
        <v>210</v>
      </c>
      <c r="C34" s="24"/>
      <c r="D34" s="26" t="s">
        <v>71</v>
      </c>
      <c r="E34" s="24">
        <v>400</v>
      </c>
      <c r="F34" s="74"/>
    </row>
    <row r="35" spans="1:6">
      <c r="A35" s="5"/>
      <c r="B35" s="30" t="s">
        <v>263</v>
      </c>
      <c r="C35" s="24"/>
      <c r="D35" s="26" t="s">
        <v>71</v>
      </c>
      <c r="E35" s="24">
        <v>450</v>
      </c>
      <c r="F35" s="74"/>
    </row>
    <row r="36" spans="1:6">
      <c r="A36" s="5"/>
      <c r="B36" s="30" t="s">
        <v>264</v>
      </c>
      <c r="C36" s="24"/>
      <c r="D36" s="26" t="s">
        <v>71</v>
      </c>
      <c r="E36" s="24">
        <v>500</v>
      </c>
      <c r="F36" s="74"/>
    </row>
    <row r="37" spans="1:6">
      <c r="A37" s="67"/>
      <c r="B37" s="22" t="s">
        <v>31</v>
      </c>
      <c r="C37" s="3"/>
      <c r="D37" s="4"/>
      <c r="E37" s="4"/>
      <c r="F37" s="76">
        <f>SUM(F7:F36)</f>
        <v>564430</v>
      </c>
    </row>
    <row r="38" spans="1:6" ht="17.5" customHeight="1">
      <c r="A38" s="67"/>
      <c r="B38" s="22" t="s">
        <v>66</v>
      </c>
      <c r="C38" s="3"/>
      <c r="D38" s="4"/>
      <c r="E38" s="4"/>
      <c r="F38" s="73"/>
    </row>
    <row r="39" spans="1:6" ht="93.65" customHeight="1">
      <c r="A39" s="5" t="s">
        <v>32</v>
      </c>
      <c r="B39" s="23" t="s">
        <v>406</v>
      </c>
      <c r="C39" s="5"/>
      <c r="D39" s="7"/>
      <c r="E39" s="24"/>
      <c r="F39" s="25"/>
    </row>
    <row r="40" spans="1:6">
      <c r="A40" s="5"/>
      <c r="B40" s="23" t="s">
        <v>34</v>
      </c>
      <c r="C40" s="24">
        <v>43</v>
      </c>
      <c r="D40" s="26" t="s">
        <v>80</v>
      </c>
      <c r="E40" s="24">
        <v>4100</v>
      </c>
      <c r="F40" s="74">
        <f>E40*C40</f>
        <v>176300</v>
      </c>
    </row>
    <row r="41" spans="1:6">
      <c r="A41" s="5"/>
      <c r="B41" s="23" t="s">
        <v>35</v>
      </c>
      <c r="C41" s="20"/>
      <c r="D41" s="26" t="s">
        <v>80</v>
      </c>
      <c r="E41" s="24">
        <v>4175</v>
      </c>
      <c r="F41" s="74">
        <f t="shared" ref="F41" si="1">E41*C41</f>
        <v>0</v>
      </c>
    </row>
    <row r="42" spans="1:6" ht="288.75" customHeight="1">
      <c r="A42" s="5" t="s">
        <v>33</v>
      </c>
      <c r="B42" s="38" t="s">
        <v>413</v>
      </c>
      <c r="C42" s="51"/>
      <c r="D42" s="7"/>
      <c r="E42" s="32"/>
      <c r="F42" s="75"/>
    </row>
    <row r="43" spans="1:6">
      <c r="A43" s="5"/>
      <c r="B43" s="21" t="s">
        <v>538</v>
      </c>
      <c r="C43" s="52"/>
      <c r="D43" s="7"/>
      <c r="E43" s="32"/>
      <c r="F43" s="75"/>
    </row>
    <row r="44" spans="1:6">
      <c r="A44" s="5"/>
      <c r="B44" s="28" t="s">
        <v>250</v>
      </c>
      <c r="C44" s="24"/>
      <c r="D44" s="26" t="s">
        <v>80</v>
      </c>
      <c r="E44" s="24">
        <v>5450</v>
      </c>
      <c r="F44" s="74"/>
    </row>
    <row r="45" spans="1:6">
      <c r="A45" s="49"/>
      <c r="B45" s="28" t="s">
        <v>296</v>
      </c>
      <c r="C45" s="24"/>
      <c r="D45" s="26" t="s">
        <v>80</v>
      </c>
      <c r="E45" s="24">
        <v>5950</v>
      </c>
      <c r="F45" s="75"/>
    </row>
    <row r="46" spans="1:6">
      <c r="A46" s="5"/>
      <c r="B46" s="21" t="s">
        <v>537</v>
      </c>
      <c r="C46" s="52"/>
      <c r="D46" s="7"/>
      <c r="E46" s="32"/>
      <c r="F46" s="75"/>
    </row>
    <row r="47" spans="1:6">
      <c r="A47" s="5"/>
      <c r="B47" s="28" t="s">
        <v>250</v>
      </c>
      <c r="C47" s="24">
        <v>55</v>
      </c>
      <c r="D47" s="32" t="s">
        <v>80</v>
      </c>
      <c r="E47" s="24">
        <v>5850</v>
      </c>
      <c r="F47" s="74">
        <f>E47*C47</f>
        <v>321750</v>
      </c>
    </row>
    <row r="48" spans="1:6">
      <c r="A48" s="49"/>
      <c r="B48" s="28" t="s">
        <v>612</v>
      </c>
      <c r="C48" s="24">
        <v>12</v>
      </c>
      <c r="D48" s="32" t="s">
        <v>80</v>
      </c>
      <c r="E48" s="24">
        <v>6175</v>
      </c>
      <c r="F48" s="74">
        <f>E48*C48</f>
        <v>74100</v>
      </c>
    </row>
    <row r="49" spans="1:6">
      <c r="A49" s="49"/>
      <c r="B49" s="28" t="s">
        <v>613</v>
      </c>
      <c r="C49" s="24"/>
      <c r="D49" s="32" t="s">
        <v>80</v>
      </c>
      <c r="E49" s="24">
        <v>6350</v>
      </c>
      <c r="F49" s="74"/>
    </row>
    <row r="50" spans="1:6" ht="37">
      <c r="A50" s="5"/>
      <c r="B50" s="21" t="s">
        <v>443</v>
      </c>
      <c r="C50" s="24"/>
      <c r="D50" s="26" t="s">
        <v>80</v>
      </c>
      <c r="E50" s="24">
        <v>950</v>
      </c>
      <c r="F50" s="74"/>
    </row>
    <row r="51" spans="1:6" ht="55.5">
      <c r="A51" s="5" t="s">
        <v>536</v>
      </c>
      <c r="B51" s="61" t="s">
        <v>535</v>
      </c>
      <c r="C51" s="62"/>
      <c r="D51" s="8"/>
      <c r="E51" s="24"/>
      <c r="F51" s="74"/>
    </row>
    <row r="52" spans="1:6" ht="297" customHeight="1">
      <c r="A52" s="5"/>
      <c r="B52" s="38" t="s">
        <v>541</v>
      </c>
      <c r="C52" s="53"/>
      <c r="D52" s="8"/>
      <c r="E52" s="24"/>
      <c r="F52" s="74"/>
    </row>
    <row r="53" spans="1:6">
      <c r="A53" s="5" t="s">
        <v>461</v>
      </c>
      <c r="B53" s="43" t="s">
        <v>542</v>
      </c>
      <c r="C53" s="53"/>
      <c r="D53" s="8"/>
      <c r="E53" s="24"/>
      <c r="F53" s="74"/>
    </row>
    <row r="54" spans="1:6">
      <c r="A54" s="53"/>
      <c r="B54" s="43" t="s">
        <v>459</v>
      </c>
      <c r="C54" s="24"/>
      <c r="D54" s="25" t="s">
        <v>439</v>
      </c>
      <c r="E54" s="24">
        <v>5450</v>
      </c>
      <c r="F54" s="74"/>
    </row>
    <row r="55" spans="1:6">
      <c r="A55" s="53"/>
      <c r="B55" s="43" t="s">
        <v>460</v>
      </c>
      <c r="C55" s="6"/>
      <c r="D55" s="25" t="s">
        <v>439</v>
      </c>
      <c r="E55" s="24">
        <v>5850</v>
      </c>
      <c r="F55" s="74">
        <f>E55*C55</f>
        <v>0</v>
      </c>
    </row>
    <row r="56" spans="1:6" ht="37">
      <c r="A56" s="53"/>
      <c r="B56" s="21" t="s">
        <v>443</v>
      </c>
      <c r="C56" s="24"/>
      <c r="D56" s="25" t="s">
        <v>439</v>
      </c>
      <c r="E56" s="24">
        <v>950</v>
      </c>
      <c r="F56" s="74"/>
    </row>
    <row r="57" spans="1:6" ht="30.75" customHeight="1">
      <c r="A57" s="5" t="s">
        <v>462</v>
      </c>
      <c r="B57" s="43" t="s">
        <v>463</v>
      </c>
      <c r="C57" s="53"/>
      <c r="D57" s="8"/>
      <c r="E57" s="24"/>
      <c r="F57" s="74"/>
    </row>
    <row r="58" spans="1:6">
      <c r="A58" s="53"/>
      <c r="B58" s="45" t="s">
        <v>440</v>
      </c>
      <c r="C58" s="54"/>
      <c r="D58" s="8"/>
      <c r="E58" s="24"/>
      <c r="F58" s="74"/>
    </row>
    <row r="59" spans="1:6">
      <c r="A59" s="53"/>
      <c r="B59" s="43" t="s">
        <v>305</v>
      </c>
      <c r="C59" s="6"/>
      <c r="D59" s="25" t="s">
        <v>439</v>
      </c>
      <c r="E59" s="24">
        <v>5700</v>
      </c>
      <c r="F59" s="74">
        <f>E59*C59</f>
        <v>0</v>
      </c>
    </row>
    <row r="60" spans="1:6">
      <c r="A60" s="53"/>
      <c r="B60" s="43" t="s">
        <v>441</v>
      </c>
      <c r="C60" s="24"/>
      <c r="D60" s="25" t="s">
        <v>439</v>
      </c>
      <c r="E60" s="24"/>
      <c r="F60" s="74"/>
    </row>
    <row r="61" spans="1:6">
      <c r="A61" s="53"/>
      <c r="B61" s="45" t="s">
        <v>442</v>
      </c>
      <c r="C61" s="54"/>
      <c r="D61" s="26"/>
      <c r="E61" s="24"/>
      <c r="F61" s="74"/>
    </row>
    <row r="62" spans="1:6">
      <c r="A62" s="53"/>
      <c r="B62" s="28" t="s">
        <v>305</v>
      </c>
      <c r="C62" s="6"/>
      <c r="D62" s="25" t="s">
        <v>439</v>
      </c>
      <c r="E62" s="24">
        <v>5900</v>
      </c>
      <c r="F62" s="74">
        <f>E62*C62</f>
        <v>0</v>
      </c>
    </row>
    <row r="63" spans="1:6">
      <c r="A63" s="53"/>
      <c r="B63" s="28" t="s">
        <v>456</v>
      </c>
      <c r="C63" s="24"/>
      <c r="D63" s="25" t="s">
        <v>439</v>
      </c>
      <c r="E63" s="24">
        <v>6650</v>
      </c>
      <c r="F63" s="74"/>
    </row>
    <row r="64" spans="1:6" ht="37">
      <c r="A64" s="53"/>
      <c r="B64" s="21" t="s">
        <v>443</v>
      </c>
      <c r="C64" s="24"/>
      <c r="D64" s="25" t="s">
        <v>439</v>
      </c>
      <c r="E64" s="24">
        <v>950</v>
      </c>
      <c r="F64" s="74"/>
    </row>
    <row r="65" spans="1:6" ht="129.5">
      <c r="A65" s="49" t="s">
        <v>412</v>
      </c>
      <c r="B65" s="28" t="s">
        <v>415</v>
      </c>
      <c r="C65" s="49"/>
      <c r="D65" s="7"/>
      <c r="E65" s="24"/>
      <c r="F65" s="75"/>
    </row>
    <row r="66" spans="1:6">
      <c r="A66" s="49"/>
      <c r="B66" s="29" t="s">
        <v>209</v>
      </c>
      <c r="C66" s="20"/>
      <c r="D66" s="32" t="s">
        <v>80</v>
      </c>
      <c r="E66" s="24">
        <v>5600</v>
      </c>
      <c r="F66" s="77"/>
    </row>
    <row r="67" spans="1:6">
      <c r="A67" s="49"/>
      <c r="B67" s="29" t="s">
        <v>210</v>
      </c>
      <c r="C67" s="20"/>
      <c r="D67" s="32" t="s">
        <v>80</v>
      </c>
      <c r="E67" s="24">
        <v>5369</v>
      </c>
      <c r="F67" s="74">
        <f t="shared" ref="F67:F69" si="2">E67*C67</f>
        <v>0</v>
      </c>
    </row>
    <row r="68" spans="1:6">
      <c r="A68" s="49"/>
      <c r="B68" s="29" t="s">
        <v>262</v>
      </c>
      <c r="C68" s="20">
        <v>41</v>
      </c>
      <c r="D68" s="32" t="s">
        <v>80</v>
      </c>
      <c r="E68" s="24">
        <v>5650</v>
      </c>
      <c r="F68" s="74">
        <f t="shared" si="2"/>
        <v>231650</v>
      </c>
    </row>
    <row r="69" spans="1:6">
      <c r="A69" s="49"/>
      <c r="B69" s="29" t="s">
        <v>253</v>
      </c>
      <c r="C69" s="20"/>
      <c r="D69" s="32" t="s">
        <v>80</v>
      </c>
      <c r="E69" s="24">
        <v>5650</v>
      </c>
      <c r="F69" s="74">
        <f t="shared" si="2"/>
        <v>0</v>
      </c>
    </row>
    <row r="70" spans="1:6" ht="200.25" customHeight="1">
      <c r="A70" s="49" t="s">
        <v>414</v>
      </c>
      <c r="B70" s="17" t="s">
        <v>394</v>
      </c>
      <c r="C70" s="5"/>
      <c r="D70" s="32"/>
      <c r="E70" s="24"/>
      <c r="F70" s="77"/>
    </row>
    <row r="71" spans="1:6">
      <c r="A71" s="49"/>
      <c r="B71" s="29" t="s">
        <v>395</v>
      </c>
      <c r="C71" s="24"/>
      <c r="D71" s="32" t="s">
        <v>80</v>
      </c>
      <c r="E71" s="24">
        <v>9500</v>
      </c>
      <c r="F71" s="77"/>
    </row>
    <row r="72" spans="1:6">
      <c r="A72" s="49"/>
      <c r="B72" s="29" t="s">
        <v>396</v>
      </c>
      <c r="C72" s="24"/>
      <c r="D72" s="32" t="s">
        <v>80</v>
      </c>
      <c r="E72" s="24">
        <v>9500</v>
      </c>
      <c r="F72" s="77"/>
    </row>
    <row r="73" spans="1:6" ht="296">
      <c r="A73" s="49" t="s">
        <v>464</v>
      </c>
      <c r="B73" s="28" t="s">
        <v>481</v>
      </c>
      <c r="C73" s="5"/>
      <c r="D73" s="32"/>
      <c r="E73" s="24"/>
      <c r="F73" s="77"/>
    </row>
    <row r="74" spans="1:6">
      <c r="A74" s="49"/>
      <c r="B74" s="19" t="s">
        <v>425</v>
      </c>
      <c r="C74" s="52"/>
      <c r="D74" s="32"/>
      <c r="E74" s="24"/>
      <c r="F74" s="77"/>
    </row>
    <row r="75" spans="1:6">
      <c r="A75" s="49"/>
      <c r="B75" s="28" t="s">
        <v>250</v>
      </c>
      <c r="C75" s="5"/>
      <c r="D75" s="32" t="s">
        <v>80</v>
      </c>
      <c r="E75" s="24">
        <v>5750</v>
      </c>
      <c r="F75" s="74">
        <f>E75*C75</f>
        <v>0</v>
      </c>
    </row>
    <row r="76" spans="1:6">
      <c r="A76" s="49"/>
      <c r="B76" s="28" t="s">
        <v>296</v>
      </c>
      <c r="C76" s="24"/>
      <c r="D76" s="32" t="s">
        <v>80</v>
      </c>
      <c r="E76" s="24">
        <v>6650</v>
      </c>
      <c r="F76" s="77"/>
    </row>
    <row r="77" spans="1:6">
      <c r="A77" s="49"/>
      <c r="B77" s="28" t="s">
        <v>297</v>
      </c>
      <c r="C77" s="24"/>
      <c r="D77" s="32" t="s">
        <v>80</v>
      </c>
      <c r="E77" s="24">
        <v>6850</v>
      </c>
      <c r="F77" s="77"/>
    </row>
    <row r="78" spans="1:6">
      <c r="A78" s="49"/>
      <c r="B78" s="28" t="s">
        <v>298</v>
      </c>
      <c r="C78" s="24"/>
      <c r="D78" s="32" t="s">
        <v>80</v>
      </c>
      <c r="E78" s="24">
        <v>7250</v>
      </c>
      <c r="F78" s="77"/>
    </row>
    <row r="79" spans="1:6" ht="57.65" customHeight="1">
      <c r="A79" s="25" t="s">
        <v>36</v>
      </c>
      <c r="B79" s="23" t="s">
        <v>249</v>
      </c>
      <c r="C79" s="25"/>
      <c r="D79" s="9"/>
      <c r="E79" s="24"/>
      <c r="F79" s="75"/>
    </row>
    <row r="80" spans="1:6" s="10" customFormat="1">
      <c r="A80" s="25"/>
      <c r="B80" s="34" t="s">
        <v>266</v>
      </c>
      <c r="C80" s="88"/>
      <c r="D80" s="33" t="s">
        <v>85</v>
      </c>
      <c r="E80" s="24">
        <v>175</v>
      </c>
      <c r="F80" s="74">
        <f>E80*C80</f>
        <v>0</v>
      </c>
    </row>
    <row r="81" spans="1:6" s="10" customFormat="1" ht="225" customHeight="1">
      <c r="A81" s="25" t="s">
        <v>37</v>
      </c>
      <c r="B81" s="23" t="s">
        <v>602</v>
      </c>
      <c r="C81" s="5"/>
      <c r="D81" s="9"/>
      <c r="E81" s="24"/>
      <c r="F81" s="75"/>
    </row>
    <row r="82" spans="1:6" s="10" customFormat="1">
      <c r="A82" s="25"/>
      <c r="B82" s="34" t="s">
        <v>258</v>
      </c>
      <c r="C82" s="24">
        <v>17</v>
      </c>
      <c r="D82" s="27" t="s">
        <v>191</v>
      </c>
      <c r="E82" s="24">
        <v>69500</v>
      </c>
      <c r="F82" s="74">
        <f>E82*C82</f>
        <v>1181500</v>
      </c>
    </row>
    <row r="83" spans="1:6" s="10" customFormat="1" ht="203.5">
      <c r="A83" s="25" t="s">
        <v>38</v>
      </c>
      <c r="B83" s="23" t="s">
        <v>501</v>
      </c>
      <c r="C83" s="5"/>
      <c r="D83" s="9"/>
      <c r="E83" s="24"/>
      <c r="F83" s="75"/>
    </row>
    <row r="84" spans="1:6" ht="22.5" customHeight="1">
      <c r="A84" s="5"/>
      <c r="B84" s="28" t="s">
        <v>250</v>
      </c>
      <c r="C84" s="24">
        <v>219</v>
      </c>
      <c r="D84" s="32" t="s">
        <v>81</v>
      </c>
      <c r="E84" s="24">
        <v>550</v>
      </c>
      <c r="F84" s="74">
        <f>C84*E84</f>
        <v>120450</v>
      </c>
    </row>
    <row r="85" spans="1:6">
      <c r="A85" s="5"/>
      <c r="B85" s="28" t="s">
        <v>296</v>
      </c>
      <c r="C85" s="24"/>
      <c r="D85" s="32" t="s">
        <v>81</v>
      </c>
      <c r="E85" s="24">
        <v>625</v>
      </c>
      <c r="F85" s="74"/>
    </row>
    <row r="86" spans="1:6" s="10" customFormat="1" ht="240.5">
      <c r="A86" s="5" t="s">
        <v>39</v>
      </c>
      <c r="B86" s="28" t="s">
        <v>233</v>
      </c>
      <c r="C86" s="49"/>
      <c r="D86" s="8"/>
      <c r="E86" s="24"/>
      <c r="F86" s="78"/>
    </row>
    <row r="87" spans="1:6" ht="20.25" customHeight="1">
      <c r="A87" s="5"/>
      <c r="B87" s="28" t="s">
        <v>250</v>
      </c>
      <c r="C87" s="24"/>
      <c r="D87" s="32" t="s">
        <v>81</v>
      </c>
      <c r="E87" s="24">
        <v>575</v>
      </c>
      <c r="F87" s="74"/>
    </row>
    <row r="88" spans="1:6">
      <c r="A88" s="5"/>
      <c r="B88" s="28" t="s">
        <v>296</v>
      </c>
      <c r="C88" s="24">
        <v>119</v>
      </c>
      <c r="D88" s="32" t="s">
        <v>81</v>
      </c>
      <c r="E88" s="24">
        <v>650</v>
      </c>
      <c r="F88" s="74">
        <f t="shared" ref="F88" si="3">E88*C88</f>
        <v>77350</v>
      </c>
    </row>
    <row r="89" spans="1:6">
      <c r="A89" s="49"/>
      <c r="B89" s="28" t="s">
        <v>299</v>
      </c>
      <c r="C89" s="24"/>
      <c r="D89" s="32" t="s">
        <v>81</v>
      </c>
      <c r="E89" s="24">
        <v>725</v>
      </c>
      <c r="F89" s="74"/>
    </row>
    <row r="90" spans="1:6">
      <c r="A90" s="49"/>
      <c r="B90" s="28" t="s">
        <v>300</v>
      </c>
      <c r="C90" s="24"/>
      <c r="D90" s="32" t="s">
        <v>81</v>
      </c>
      <c r="E90" s="24">
        <v>850</v>
      </c>
      <c r="F90" s="74"/>
    </row>
    <row r="91" spans="1:6" ht="81.650000000000006" customHeight="1">
      <c r="A91" s="49" t="s">
        <v>54</v>
      </c>
      <c r="B91" s="28" t="s">
        <v>416</v>
      </c>
      <c r="C91" s="24">
        <v>0.5</v>
      </c>
      <c r="D91" s="26" t="s">
        <v>80</v>
      </c>
      <c r="E91" s="24">
        <v>52500</v>
      </c>
      <c r="F91" s="74">
        <f>E91*C91</f>
        <v>26250</v>
      </c>
    </row>
    <row r="92" spans="1:6" ht="74">
      <c r="A92" s="49" t="s">
        <v>55</v>
      </c>
      <c r="B92" s="28" t="s">
        <v>244</v>
      </c>
      <c r="C92" s="87"/>
      <c r="D92" s="49" t="s">
        <v>83</v>
      </c>
      <c r="E92" s="49">
        <v>550</v>
      </c>
      <c r="F92" s="64"/>
    </row>
    <row r="93" spans="1:6" ht="129.5">
      <c r="A93" s="49" t="s">
        <v>518</v>
      </c>
      <c r="B93" s="28" t="s">
        <v>40</v>
      </c>
      <c r="C93" s="49"/>
      <c r="D93" s="28"/>
      <c r="E93" s="49"/>
      <c r="F93" s="64"/>
    </row>
    <row r="94" spans="1:6">
      <c r="A94" s="49"/>
      <c r="B94" s="28" t="s">
        <v>51</v>
      </c>
      <c r="C94" s="49"/>
      <c r="D94" s="49" t="s">
        <v>82</v>
      </c>
      <c r="E94" s="49">
        <v>800</v>
      </c>
      <c r="F94" s="74">
        <f t="shared" ref="F94:F102" si="4">E94*C94</f>
        <v>0</v>
      </c>
    </row>
    <row r="95" spans="1:6" ht="37">
      <c r="A95" s="49"/>
      <c r="B95" s="28" t="s">
        <v>52</v>
      </c>
      <c r="C95" s="49"/>
      <c r="D95" s="49" t="s">
        <v>82</v>
      </c>
      <c r="E95" s="49">
        <v>1050</v>
      </c>
      <c r="F95" s="74">
        <f t="shared" si="4"/>
        <v>0</v>
      </c>
    </row>
    <row r="96" spans="1:6" ht="37">
      <c r="A96" s="49"/>
      <c r="B96" s="28" t="s">
        <v>53</v>
      </c>
      <c r="C96" s="49"/>
      <c r="D96" s="49" t="s">
        <v>82</v>
      </c>
      <c r="E96" s="49">
        <v>1250</v>
      </c>
      <c r="F96" s="74">
        <f t="shared" si="4"/>
        <v>0</v>
      </c>
    </row>
    <row r="97" spans="1:6">
      <c r="A97" s="49"/>
      <c r="B97" s="28" t="s">
        <v>519</v>
      </c>
      <c r="C97" s="49"/>
      <c r="D97" s="49" t="s">
        <v>82</v>
      </c>
      <c r="E97" s="49">
        <v>1250</v>
      </c>
      <c r="F97" s="74">
        <f t="shared" si="4"/>
        <v>0</v>
      </c>
    </row>
    <row r="98" spans="1:6" ht="37">
      <c r="A98" s="49"/>
      <c r="B98" s="28" t="s">
        <v>520</v>
      </c>
      <c r="C98" s="49"/>
      <c r="D98" s="49" t="s">
        <v>82</v>
      </c>
      <c r="E98" s="49">
        <v>1350</v>
      </c>
      <c r="F98" s="74">
        <f t="shared" si="4"/>
        <v>0</v>
      </c>
    </row>
    <row r="99" spans="1:6" ht="37">
      <c r="A99" s="49"/>
      <c r="B99" s="28" t="s">
        <v>521</v>
      </c>
      <c r="C99" s="49"/>
      <c r="D99" s="49" t="s">
        <v>82</v>
      </c>
      <c r="E99" s="49">
        <v>2000</v>
      </c>
      <c r="F99" s="74">
        <f t="shared" si="4"/>
        <v>0</v>
      </c>
    </row>
    <row r="100" spans="1:6">
      <c r="A100" s="49"/>
      <c r="B100" s="28" t="s">
        <v>522</v>
      </c>
      <c r="C100" s="49"/>
      <c r="D100" s="49" t="s">
        <v>82</v>
      </c>
      <c r="E100" s="49">
        <v>1950</v>
      </c>
      <c r="F100" s="74">
        <f t="shared" si="4"/>
        <v>0</v>
      </c>
    </row>
    <row r="101" spans="1:6" ht="37">
      <c r="A101" s="49"/>
      <c r="B101" s="28" t="s">
        <v>523</v>
      </c>
      <c r="C101" s="49"/>
      <c r="D101" s="49" t="s">
        <v>82</v>
      </c>
      <c r="E101" s="49">
        <v>2250</v>
      </c>
      <c r="F101" s="74">
        <f t="shared" si="4"/>
        <v>0</v>
      </c>
    </row>
    <row r="102" spans="1:6" ht="37">
      <c r="A102" s="49"/>
      <c r="B102" s="28" t="s">
        <v>524</v>
      </c>
      <c r="C102" s="49"/>
      <c r="D102" s="49" t="s">
        <v>82</v>
      </c>
      <c r="E102" s="49">
        <v>2750</v>
      </c>
      <c r="F102" s="74">
        <f t="shared" si="4"/>
        <v>0</v>
      </c>
    </row>
    <row r="103" spans="1:6">
      <c r="A103" s="67"/>
      <c r="B103" s="35" t="s">
        <v>56</v>
      </c>
      <c r="C103" s="3"/>
      <c r="D103" s="4"/>
      <c r="E103" s="4"/>
      <c r="F103" s="76">
        <f>SUM(F39:F102)</f>
        <v>2209350</v>
      </c>
    </row>
    <row r="104" spans="1:6" ht="17.5" customHeight="1">
      <c r="A104" s="67"/>
      <c r="B104" s="36" t="s">
        <v>60</v>
      </c>
      <c r="C104" s="55"/>
      <c r="D104" s="4"/>
      <c r="E104" s="4"/>
      <c r="F104" s="73"/>
    </row>
    <row r="105" spans="1:6" ht="111">
      <c r="A105" s="5" t="s">
        <v>61</v>
      </c>
      <c r="B105" s="11" t="s">
        <v>314</v>
      </c>
      <c r="C105" s="56"/>
      <c r="D105" s="8"/>
      <c r="E105" s="8"/>
      <c r="F105" s="24"/>
    </row>
    <row r="106" spans="1:6" ht="17.5" customHeight="1">
      <c r="A106" s="5" t="s">
        <v>301</v>
      </c>
      <c r="B106" s="23" t="s">
        <v>302</v>
      </c>
      <c r="C106" s="24"/>
      <c r="D106" s="32" t="s">
        <v>80</v>
      </c>
      <c r="E106" s="49">
        <v>7250</v>
      </c>
      <c r="F106" s="24"/>
    </row>
    <row r="107" spans="1:6" ht="17.5" customHeight="1">
      <c r="A107" s="5" t="s">
        <v>303</v>
      </c>
      <c r="B107" s="23" t="s">
        <v>304</v>
      </c>
      <c r="C107" s="24"/>
      <c r="D107" s="32" t="s">
        <v>80</v>
      </c>
      <c r="E107" s="49">
        <v>7250</v>
      </c>
      <c r="F107" s="24"/>
    </row>
    <row r="108" spans="1:6" ht="129.5">
      <c r="A108" s="49" t="s">
        <v>62</v>
      </c>
      <c r="B108" s="11" t="s">
        <v>502</v>
      </c>
      <c r="C108" s="32"/>
      <c r="D108" s="8"/>
      <c r="E108" s="8"/>
      <c r="F108" s="24"/>
    </row>
    <row r="109" spans="1:6" ht="17.5" customHeight="1">
      <c r="A109" s="49"/>
      <c r="B109" s="28" t="s">
        <v>305</v>
      </c>
      <c r="C109" s="24"/>
      <c r="D109" s="32" t="s">
        <v>80</v>
      </c>
      <c r="E109" s="24">
        <v>6950</v>
      </c>
      <c r="F109" s="24"/>
    </row>
    <row r="110" spans="1:6" ht="17.5" customHeight="1">
      <c r="A110" s="49"/>
      <c r="B110" s="28" t="s">
        <v>306</v>
      </c>
      <c r="C110" s="24"/>
      <c r="D110" s="32" t="s">
        <v>80</v>
      </c>
      <c r="E110" s="24">
        <v>7250</v>
      </c>
      <c r="F110" s="24"/>
    </row>
    <row r="111" spans="1:6" ht="17.5" customHeight="1">
      <c r="A111" s="49"/>
      <c r="B111" s="28" t="s">
        <v>307</v>
      </c>
      <c r="C111" s="24"/>
      <c r="D111" s="32" t="s">
        <v>80</v>
      </c>
      <c r="E111" s="24">
        <v>7650</v>
      </c>
      <c r="F111" s="24"/>
    </row>
    <row r="112" spans="1:6" ht="129.65" customHeight="1">
      <c r="A112" s="49" t="s">
        <v>63</v>
      </c>
      <c r="B112" s="28" t="s">
        <v>276</v>
      </c>
      <c r="C112" s="24">
        <v>11</v>
      </c>
      <c r="D112" s="32" t="s">
        <v>80</v>
      </c>
      <c r="E112" s="24">
        <v>6350</v>
      </c>
      <c r="F112" s="74">
        <f t="shared" ref="F112" si="5">E112*C112</f>
        <v>69850</v>
      </c>
    </row>
    <row r="113" spans="1:6" ht="37">
      <c r="A113" s="49" t="s">
        <v>64</v>
      </c>
      <c r="B113" s="44" t="s">
        <v>214</v>
      </c>
      <c r="C113" s="24"/>
      <c r="D113" s="32" t="s">
        <v>80</v>
      </c>
      <c r="E113" s="24">
        <v>6650</v>
      </c>
      <c r="F113" s="24"/>
    </row>
    <row r="114" spans="1:6" ht="129.5">
      <c r="A114" s="49" t="s">
        <v>76</v>
      </c>
      <c r="B114" s="28" t="s">
        <v>277</v>
      </c>
      <c r="C114" s="49"/>
      <c r="D114" s="8"/>
      <c r="E114" s="24"/>
      <c r="F114" s="25"/>
    </row>
    <row r="115" spans="1:6">
      <c r="A115" s="5"/>
      <c r="B115" s="28" t="s">
        <v>390</v>
      </c>
      <c r="C115" s="24">
        <v>34</v>
      </c>
      <c r="D115" s="32" t="s">
        <v>80</v>
      </c>
      <c r="E115" s="24">
        <v>6350</v>
      </c>
      <c r="F115" s="74">
        <f t="shared" ref="F115" si="6">E115*C115</f>
        <v>215900</v>
      </c>
    </row>
    <row r="116" spans="1:6">
      <c r="A116" s="5"/>
      <c r="B116" s="28" t="s">
        <v>306</v>
      </c>
      <c r="C116" s="24"/>
      <c r="D116" s="32" t="s">
        <v>80</v>
      </c>
      <c r="E116" s="24">
        <v>6750</v>
      </c>
      <c r="F116" s="79"/>
    </row>
    <row r="117" spans="1:6" ht="117.75" customHeight="1">
      <c r="A117" s="5" t="s">
        <v>321</v>
      </c>
      <c r="B117" s="38" t="s">
        <v>482</v>
      </c>
      <c r="C117" s="53"/>
      <c r="D117" s="7"/>
      <c r="E117" s="24"/>
      <c r="F117" s="25"/>
    </row>
    <row r="118" spans="1:6">
      <c r="A118" s="5"/>
      <c r="B118" s="37" t="s">
        <v>254</v>
      </c>
      <c r="C118" s="24"/>
      <c r="D118" s="32" t="s">
        <v>81</v>
      </c>
      <c r="E118" s="24">
        <v>850</v>
      </c>
      <c r="F118" s="74">
        <f>E118*C118</f>
        <v>0</v>
      </c>
    </row>
    <row r="119" spans="1:6" ht="54" customHeight="1">
      <c r="A119" s="49"/>
      <c r="B119" s="28" t="s">
        <v>239</v>
      </c>
      <c r="C119" s="24"/>
      <c r="D119" s="32" t="s">
        <v>81</v>
      </c>
      <c r="E119" s="24">
        <v>875</v>
      </c>
      <c r="F119" s="79"/>
    </row>
    <row r="120" spans="1:6" ht="118.5" customHeight="1">
      <c r="A120" s="5" t="s">
        <v>424</v>
      </c>
      <c r="B120" s="38" t="s">
        <v>322</v>
      </c>
      <c r="C120" s="24"/>
      <c r="D120" s="32" t="s">
        <v>288</v>
      </c>
      <c r="E120" s="24">
        <v>875</v>
      </c>
      <c r="F120" s="79"/>
    </row>
    <row r="121" spans="1:6">
      <c r="A121" s="67"/>
      <c r="B121" s="22" t="s">
        <v>65</v>
      </c>
      <c r="C121" s="3"/>
      <c r="D121" s="4"/>
      <c r="E121" s="4"/>
      <c r="F121" s="76">
        <f>SUM(F105:F120)</f>
        <v>285750</v>
      </c>
    </row>
    <row r="122" spans="1:6" ht="27.75" customHeight="1">
      <c r="A122" s="67"/>
      <c r="B122" s="36" t="s">
        <v>67</v>
      </c>
      <c r="C122" s="55"/>
      <c r="D122" s="4"/>
      <c r="E122" s="4"/>
      <c r="F122" s="73"/>
    </row>
    <row r="123" spans="1:6" ht="122.25" customHeight="1">
      <c r="A123" s="5" t="s">
        <v>68</v>
      </c>
      <c r="B123" s="23" t="s">
        <v>255</v>
      </c>
      <c r="C123" s="20"/>
      <c r="D123" s="26" t="s">
        <v>81</v>
      </c>
      <c r="E123" s="24">
        <v>625</v>
      </c>
      <c r="F123" s="74">
        <f t="shared" ref="F123" si="7">E123*C123</f>
        <v>0</v>
      </c>
    </row>
    <row r="124" spans="1:6" s="2" customFormat="1" ht="153.75" customHeight="1">
      <c r="A124" s="5" t="s">
        <v>69</v>
      </c>
      <c r="B124" s="23" t="s">
        <v>608</v>
      </c>
      <c r="C124" s="32"/>
      <c r="D124" s="26" t="s">
        <v>80</v>
      </c>
      <c r="E124" s="24">
        <v>5450</v>
      </c>
      <c r="F124" s="74">
        <f>E124*C124</f>
        <v>0</v>
      </c>
    </row>
    <row r="125" spans="1:6" s="2" customFormat="1" ht="55.5">
      <c r="A125" s="5" t="s">
        <v>468</v>
      </c>
      <c r="B125" s="48" t="s">
        <v>467</v>
      </c>
      <c r="C125" s="89">
        <v>68</v>
      </c>
      <c r="D125" s="26" t="s">
        <v>80</v>
      </c>
      <c r="E125" s="24">
        <v>5650</v>
      </c>
      <c r="F125" s="74">
        <f>E125*C125</f>
        <v>384200</v>
      </c>
    </row>
    <row r="126" spans="1:6" ht="222.75" customHeight="1">
      <c r="A126" s="5" t="s">
        <v>469</v>
      </c>
      <c r="B126" s="28" t="s">
        <v>609</v>
      </c>
      <c r="C126" s="63">
        <v>460</v>
      </c>
      <c r="D126" s="26" t="s">
        <v>288</v>
      </c>
      <c r="E126" s="24">
        <v>95</v>
      </c>
      <c r="F126" s="74">
        <f t="shared" ref="F126" si="8">E126*C126</f>
        <v>43700</v>
      </c>
    </row>
    <row r="127" spans="1:6" ht="111">
      <c r="A127" s="49"/>
      <c r="B127" s="18" t="s">
        <v>483</v>
      </c>
      <c r="C127" s="57"/>
      <c r="D127" s="26"/>
      <c r="E127" s="24"/>
      <c r="F127" s="79"/>
    </row>
    <row r="128" spans="1:6" ht="231.75" customHeight="1">
      <c r="A128" s="5" t="s">
        <v>470</v>
      </c>
      <c r="B128" s="28" t="s">
        <v>507</v>
      </c>
      <c r="C128" s="24"/>
      <c r="D128" s="26" t="s">
        <v>288</v>
      </c>
      <c r="E128" s="24">
        <v>125</v>
      </c>
      <c r="F128" s="74">
        <f t="shared" ref="F128:F129" si="9">E128*C128</f>
        <v>0</v>
      </c>
    </row>
    <row r="129" spans="1:7" ht="55.5">
      <c r="A129" s="49"/>
      <c r="B129" s="28" t="s">
        <v>510</v>
      </c>
      <c r="C129" s="24"/>
      <c r="D129" s="26" t="s">
        <v>240</v>
      </c>
      <c r="E129" s="24">
        <v>22.5</v>
      </c>
      <c r="F129" s="74">
        <f t="shared" si="9"/>
        <v>0</v>
      </c>
    </row>
    <row r="130" spans="1:7" ht="159.75" customHeight="1">
      <c r="A130" s="5" t="s">
        <v>70</v>
      </c>
      <c r="B130" s="23" t="s">
        <v>259</v>
      </c>
      <c r="C130" s="24"/>
      <c r="D130" s="26" t="s">
        <v>71</v>
      </c>
      <c r="E130" s="24">
        <v>250</v>
      </c>
      <c r="F130" s="79"/>
    </row>
    <row r="131" spans="1:7" ht="200.25" customHeight="1">
      <c r="A131" s="5" t="s">
        <v>72</v>
      </c>
      <c r="B131" s="23" t="s">
        <v>183</v>
      </c>
      <c r="C131" s="5"/>
      <c r="D131" s="26"/>
      <c r="E131" s="24"/>
      <c r="F131" s="25"/>
    </row>
    <row r="132" spans="1:7">
      <c r="A132" s="49"/>
      <c r="B132" s="28" t="s">
        <v>241</v>
      </c>
      <c r="C132" s="24"/>
      <c r="D132" s="26" t="s">
        <v>83</v>
      </c>
      <c r="E132" s="24">
        <v>175</v>
      </c>
      <c r="F132" s="74">
        <f t="shared" ref="F132" si="10">E132*C132</f>
        <v>0</v>
      </c>
    </row>
    <row r="133" spans="1:7">
      <c r="A133" s="49"/>
      <c r="B133" s="28" t="s">
        <v>242</v>
      </c>
      <c r="C133" s="24"/>
      <c r="D133" s="26" t="s">
        <v>83</v>
      </c>
      <c r="E133" s="24">
        <v>165</v>
      </c>
      <c r="F133" s="79"/>
    </row>
    <row r="134" spans="1:7" ht="111">
      <c r="A134" s="5" t="s">
        <v>74</v>
      </c>
      <c r="B134" s="23" t="s">
        <v>484</v>
      </c>
      <c r="C134" s="5"/>
      <c r="D134" s="7"/>
      <c r="E134" s="24"/>
      <c r="F134" s="25"/>
    </row>
    <row r="135" spans="1:7">
      <c r="A135" s="5"/>
      <c r="B135" s="23" t="s">
        <v>417</v>
      </c>
      <c r="C135" s="5"/>
      <c r="D135" s="26"/>
      <c r="E135" s="24"/>
      <c r="F135" s="25"/>
    </row>
    <row r="136" spans="1:7" ht="37">
      <c r="A136" s="5"/>
      <c r="B136" s="23" t="s">
        <v>485</v>
      </c>
      <c r="C136" s="24"/>
      <c r="D136" s="26" t="s">
        <v>81</v>
      </c>
      <c r="E136" s="24">
        <v>750</v>
      </c>
      <c r="F136" s="74">
        <f>E136*C136</f>
        <v>0</v>
      </c>
    </row>
    <row r="137" spans="1:7" ht="37">
      <c r="A137" s="5"/>
      <c r="B137" s="23" t="s">
        <v>97</v>
      </c>
      <c r="C137" s="20"/>
      <c r="D137" s="26" t="s">
        <v>83</v>
      </c>
      <c r="E137" s="24">
        <v>550</v>
      </c>
      <c r="F137" s="74">
        <f>E137*C137</f>
        <v>0</v>
      </c>
    </row>
    <row r="138" spans="1:7" ht="37">
      <c r="A138" s="49"/>
      <c r="B138" s="28" t="s">
        <v>418</v>
      </c>
      <c r="C138" s="24"/>
      <c r="D138" s="26" t="s">
        <v>83</v>
      </c>
      <c r="E138" s="24">
        <v>550</v>
      </c>
      <c r="F138" s="79"/>
    </row>
    <row r="139" spans="1:7" ht="137.25" customHeight="1">
      <c r="A139" s="49" t="s">
        <v>75</v>
      </c>
      <c r="B139" s="28" t="s">
        <v>486</v>
      </c>
      <c r="C139" s="49"/>
      <c r="D139" s="26"/>
      <c r="E139" s="24"/>
      <c r="F139" s="25"/>
    </row>
    <row r="140" spans="1:7">
      <c r="A140" s="49"/>
      <c r="B140" s="28" t="s">
        <v>234</v>
      </c>
      <c r="C140" s="24">
        <f>3</f>
        <v>3</v>
      </c>
      <c r="D140" s="26" t="s">
        <v>81</v>
      </c>
      <c r="E140" s="24">
        <v>1375</v>
      </c>
      <c r="F140" s="74">
        <f t="shared" ref="F140" si="11">E140*C140</f>
        <v>4125</v>
      </c>
      <c r="G140" s="1" t="s">
        <v>633</v>
      </c>
    </row>
    <row r="141" spans="1:7">
      <c r="A141" s="49"/>
      <c r="B141" s="28" t="s">
        <v>235</v>
      </c>
      <c r="C141" s="24"/>
      <c r="D141" s="26" t="s">
        <v>81</v>
      </c>
      <c r="E141" s="24">
        <v>1675</v>
      </c>
      <c r="F141" s="79"/>
    </row>
    <row r="142" spans="1:7" ht="156" customHeight="1">
      <c r="A142" s="5" t="s">
        <v>156</v>
      </c>
      <c r="B142" s="38" t="s">
        <v>260</v>
      </c>
      <c r="C142" s="24"/>
      <c r="D142" s="26" t="s">
        <v>81</v>
      </c>
      <c r="E142" s="24">
        <v>1575</v>
      </c>
      <c r="F142" s="74">
        <f>E142*C142</f>
        <v>0</v>
      </c>
    </row>
    <row r="143" spans="1:7" ht="137.25" customHeight="1">
      <c r="A143" s="5" t="s">
        <v>157</v>
      </c>
      <c r="B143" s="23" t="s">
        <v>4</v>
      </c>
      <c r="C143" s="5"/>
      <c r="D143" s="7"/>
      <c r="E143" s="24"/>
      <c r="F143" s="25"/>
    </row>
    <row r="144" spans="1:7">
      <c r="A144" s="5"/>
      <c r="B144" s="23" t="s">
        <v>88</v>
      </c>
      <c r="C144" s="20"/>
      <c r="D144" s="32" t="s">
        <v>81</v>
      </c>
      <c r="E144" s="24">
        <v>1150</v>
      </c>
      <c r="F144" s="74">
        <f t="shared" ref="F144:F145" si="12">E144*C144</f>
        <v>0</v>
      </c>
    </row>
    <row r="145" spans="1:6" ht="37">
      <c r="A145" s="5"/>
      <c r="B145" s="23" t="s">
        <v>89</v>
      </c>
      <c r="C145" s="20"/>
      <c r="D145" s="32" t="s">
        <v>81</v>
      </c>
      <c r="E145" s="24">
        <v>1250</v>
      </c>
      <c r="F145" s="74">
        <f t="shared" si="12"/>
        <v>0</v>
      </c>
    </row>
    <row r="146" spans="1:6" ht="92.5">
      <c r="A146" s="5" t="s">
        <v>158</v>
      </c>
      <c r="B146" s="23" t="s">
        <v>487</v>
      </c>
      <c r="C146" s="5"/>
      <c r="D146" s="7"/>
      <c r="E146" s="24"/>
      <c r="F146" s="25"/>
    </row>
    <row r="147" spans="1:6">
      <c r="A147" s="5"/>
      <c r="B147" s="28" t="s">
        <v>419</v>
      </c>
      <c r="C147" s="24"/>
      <c r="D147" s="32" t="s">
        <v>81</v>
      </c>
      <c r="E147" s="24">
        <v>1275</v>
      </c>
      <c r="F147" s="79"/>
    </row>
    <row r="148" spans="1:6" ht="37">
      <c r="A148" s="5"/>
      <c r="B148" s="28" t="s">
        <v>444</v>
      </c>
      <c r="C148" s="24"/>
      <c r="D148" s="32" t="s">
        <v>83</v>
      </c>
      <c r="E148" s="24">
        <v>500</v>
      </c>
      <c r="F148" s="79"/>
    </row>
    <row r="149" spans="1:6" ht="129.5">
      <c r="A149" s="49" t="s">
        <v>87</v>
      </c>
      <c r="B149" s="28" t="s">
        <v>445</v>
      </c>
      <c r="C149" s="32">
        <v>17</v>
      </c>
      <c r="D149" s="32" t="s">
        <v>81</v>
      </c>
      <c r="E149" s="24">
        <v>3550</v>
      </c>
      <c r="F149" s="74">
        <f t="shared" ref="F149:F150" si="13">E149*C149</f>
        <v>60350</v>
      </c>
    </row>
    <row r="150" spans="1:6" ht="111">
      <c r="A150" s="5" t="s">
        <v>90</v>
      </c>
      <c r="B150" s="23" t="s">
        <v>446</v>
      </c>
      <c r="C150" s="24"/>
      <c r="D150" s="32" t="s">
        <v>81</v>
      </c>
      <c r="E150" s="24">
        <v>3500</v>
      </c>
      <c r="F150" s="74">
        <f t="shared" si="13"/>
        <v>0</v>
      </c>
    </row>
    <row r="151" spans="1:6" ht="111">
      <c r="A151" s="5" t="s">
        <v>230</v>
      </c>
      <c r="B151" s="23" t="s">
        <v>155</v>
      </c>
      <c r="C151" s="24"/>
      <c r="D151" s="32" t="s">
        <v>81</v>
      </c>
      <c r="E151" s="24">
        <v>2750</v>
      </c>
      <c r="F151" s="79"/>
    </row>
    <row r="152" spans="1:6" ht="129.5">
      <c r="A152" s="5" t="s">
        <v>231</v>
      </c>
      <c r="B152" s="23" t="s">
        <v>110</v>
      </c>
      <c r="C152" s="24"/>
      <c r="D152" s="32" t="s">
        <v>81</v>
      </c>
      <c r="E152" s="24">
        <v>2750</v>
      </c>
      <c r="F152" s="79"/>
    </row>
    <row r="153" spans="1:6" ht="92.5">
      <c r="A153" s="5" t="s">
        <v>154</v>
      </c>
      <c r="B153" s="23" t="s">
        <v>223</v>
      </c>
      <c r="C153" s="24"/>
      <c r="D153" s="32" t="s">
        <v>81</v>
      </c>
      <c r="E153" s="24">
        <v>1250</v>
      </c>
      <c r="F153" s="79"/>
    </row>
    <row r="154" spans="1:6" ht="315" hidden="1" customHeight="1">
      <c r="A154" s="5" t="s">
        <v>252</v>
      </c>
      <c r="B154" s="38" t="s">
        <v>278</v>
      </c>
      <c r="C154" s="20"/>
      <c r="D154" s="32" t="s">
        <v>81</v>
      </c>
      <c r="E154" s="24"/>
      <c r="F154" s="79"/>
    </row>
    <row r="155" spans="1:6" ht="111">
      <c r="A155" s="5" t="s">
        <v>252</v>
      </c>
      <c r="B155" s="23" t="s">
        <v>257</v>
      </c>
      <c r="C155" s="24"/>
      <c r="D155" s="32" t="s">
        <v>81</v>
      </c>
      <c r="E155" s="24">
        <v>1250</v>
      </c>
      <c r="F155" s="79"/>
    </row>
    <row r="156" spans="1:6" ht="129.5">
      <c r="A156" s="5" t="s">
        <v>388</v>
      </c>
      <c r="B156" s="23" t="s">
        <v>387</v>
      </c>
      <c r="C156" s="24"/>
      <c r="D156" s="32" t="s">
        <v>81</v>
      </c>
      <c r="E156" s="24">
        <v>3750</v>
      </c>
      <c r="F156" s="79"/>
    </row>
    <row r="157" spans="1:6" ht="351" customHeight="1">
      <c r="A157" s="5" t="s">
        <v>511</v>
      </c>
      <c r="B157" s="23" t="s">
        <v>603</v>
      </c>
      <c r="C157" s="24">
        <f>C126</f>
        <v>460</v>
      </c>
      <c r="D157" s="32" t="s">
        <v>81</v>
      </c>
      <c r="E157" s="24">
        <v>810</v>
      </c>
      <c r="F157" s="74">
        <f t="shared" ref="F157" si="14">E157*C157</f>
        <v>372600</v>
      </c>
    </row>
    <row r="158" spans="1:6">
      <c r="A158" s="67"/>
      <c r="B158" s="22" t="s">
        <v>91</v>
      </c>
      <c r="C158" s="3"/>
      <c r="D158" s="4"/>
      <c r="E158" s="4"/>
      <c r="F158" s="80">
        <f>SUM(F123:F157)</f>
        <v>864975</v>
      </c>
    </row>
    <row r="159" spans="1:6" ht="17.5" customHeight="1">
      <c r="A159" s="67"/>
      <c r="B159" s="36" t="s">
        <v>102</v>
      </c>
      <c r="C159" s="55"/>
      <c r="D159" s="4"/>
      <c r="E159" s="4"/>
      <c r="F159" s="73"/>
    </row>
    <row r="160" spans="1:6" ht="166.5">
      <c r="A160" s="49" t="s">
        <v>92</v>
      </c>
      <c r="B160" s="28" t="s">
        <v>488</v>
      </c>
      <c r="C160" s="49"/>
      <c r="D160" s="8"/>
      <c r="E160" s="24"/>
      <c r="F160" s="24"/>
    </row>
    <row r="161" spans="1:6" ht="38.25" customHeight="1">
      <c r="A161" s="49"/>
      <c r="B161" s="28" t="s">
        <v>93</v>
      </c>
      <c r="C161" s="24">
        <v>11</v>
      </c>
      <c r="D161" s="32" t="s">
        <v>81</v>
      </c>
      <c r="E161" s="24">
        <v>395</v>
      </c>
      <c r="F161" s="74">
        <f t="shared" ref="F161:F163" si="15">E161*C161</f>
        <v>4345</v>
      </c>
    </row>
    <row r="162" spans="1:6">
      <c r="A162" s="49"/>
      <c r="B162" s="28" t="s">
        <v>94</v>
      </c>
      <c r="C162" s="24">
        <v>242</v>
      </c>
      <c r="D162" s="32" t="s">
        <v>81</v>
      </c>
      <c r="E162" s="24">
        <v>425</v>
      </c>
      <c r="F162" s="74">
        <f t="shared" si="15"/>
        <v>102850</v>
      </c>
    </row>
    <row r="163" spans="1:6" ht="213.75" customHeight="1">
      <c r="A163" s="49" t="s">
        <v>95</v>
      </c>
      <c r="B163" s="28" t="s">
        <v>489</v>
      </c>
      <c r="C163" s="20"/>
      <c r="D163" s="32" t="s">
        <v>81</v>
      </c>
      <c r="E163" s="24">
        <v>485</v>
      </c>
      <c r="F163" s="74">
        <f t="shared" si="15"/>
        <v>0</v>
      </c>
    </row>
    <row r="164" spans="1:6" ht="132" customHeight="1">
      <c r="A164" s="5" t="s">
        <v>265</v>
      </c>
      <c r="B164" s="28" t="s">
        <v>447</v>
      </c>
      <c r="C164" s="24"/>
      <c r="D164" s="32" t="s">
        <v>81</v>
      </c>
      <c r="E164" s="24">
        <v>575</v>
      </c>
      <c r="F164" s="81"/>
    </row>
    <row r="165" spans="1:6" ht="261" customHeight="1">
      <c r="A165" s="5" t="s">
        <v>96</v>
      </c>
      <c r="B165" s="17" t="s">
        <v>448</v>
      </c>
      <c r="C165" s="24">
        <v>282</v>
      </c>
      <c r="D165" s="32" t="s">
        <v>81</v>
      </c>
      <c r="E165" s="24">
        <v>575</v>
      </c>
      <c r="F165" s="74">
        <f t="shared" ref="F165:F167" si="16">E165*C165</f>
        <v>162150</v>
      </c>
    </row>
    <row r="166" spans="1:6" ht="141.75" customHeight="1">
      <c r="A166" s="49" t="s">
        <v>159</v>
      </c>
      <c r="B166" s="28" t="s">
        <v>267</v>
      </c>
      <c r="C166" s="24"/>
      <c r="D166" s="32" t="s">
        <v>81</v>
      </c>
      <c r="E166" s="24">
        <v>525</v>
      </c>
      <c r="F166" s="74">
        <f t="shared" si="16"/>
        <v>0</v>
      </c>
    </row>
    <row r="167" spans="1:6" ht="129.5">
      <c r="A167" s="49" t="s">
        <v>23</v>
      </c>
      <c r="B167" s="23" t="s">
        <v>420</v>
      </c>
      <c r="C167" s="24">
        <f>C165</f>
        <v>282</v>
      </c>
      <c r="D167" s="26" t="s">
        <v>81</v>
      </c>
      <c r="E167" s="24">
        <v>160</v>
      </c>
      <c r="F167" s="74">
        <f t="shared" si="16"/>
        <v>45120</v>
      </c>
    </row>
    <row r="168" spans="1:6" ht="170.25" customHeight="1">
      <c r="A168" s="5" t="s">
        <v>98</v>
      </c>
      <c r="B168" s="23" t="s">
        <v>248</v>
      </c>
      <c r="C168" s="24"/>
      <c r="D168" s="26" t="s">
        <v>81</v>
      </c>
      <c r="E168" s="24">
        <v>375</v>
      </c>
      <c r="F168" s="79"/>
    </row>
    <row r="169" spans="1:6" ht="159.75" customHeight="1">
      <c r="A169" s="5" t="s">
        <v>99</v>
      </c>
      <c r="B169" s="23" t="s">
        <v>247</v>
      </c>
      <c r="C169" s="24"/>
      <c r="D169" s="26" t="s">
        <v>81</v>
      </c>
      <c r="E169" s="24">
        <v>375</v>
      </c>
      <c r="F169" s="79"/>
    </row>
    <row r="170" spans="1:6" ht="113.25" customHeight="1">
      <c r="A170" s="5" t="s">
        <v>100</v>
      </c>
      <c r="B170" s="23" t="s">
        <v>421</v>
      </c>
      <c r="C170" s="24"/>
      <c r="D170" s="26" t="s">
        <v>81</v>
      </c>
      <c r="E170" s="24">
        <v>265</v>
      </c>
      <c r="F170" s="79"/>
    </row>
    <row r="171" spans="1:6" ht="115.5" customHeight="1">
      <c r="A171" s="5" t="s">
        <v>41</v>
      </c>
      <c r="B171" s="23" t="s">
        <v>246</v>
      </c>
      <c r="C171" s="20">
        <f>C161+C162</f>
        <v>253</v>
      </c>
      <c r="D171" s="26" t="s">
        <v>81</v>
      </c>
      <c r="E171" s="24">
        <v>240</v>
      </c>
      <c r="F171" s="74">
        <f t="shared" ref="F171" si="17">E171*C171</f>
        <v>60720</v>
      </c>
    </row>
    <row r="172" spans="1:6" ht="92.5">
      <c r="A172" s="5" t="s">
        <v>188</v>
      </c>
      <c r="B172" s="23" t="s">
        <v>245</v>
      </c>
      <c r="C172" s="24"/>
      <c r="D172" s="26" t="s">
        <v>81</v>
      </c>
      <c r="E172" s="20">
        <v>230</v>
      </c>
      <c r="F172" s="79"/>
    </row>
    <row r="173" spans="1:6" ht="92.5">
      <c r="A173" s="5" t="s">
        <v>386</v>
      </c>
      <c r="B173" s="23" t="s">
        <v>385</v>
      </c>
      <c r="C173" s="24">
        <v>50</v>
      </c>
      <c r="D173" s="26" t="s">
        <v>289</v>
      </c>
      <c r="E173" s="20">
        <v>125</v>
      </c>
      <c r="F173" s="79">
        <f>C173*E173</f>
        <v>6250</v>
      </c>
    </row>
    <row r="174" spans="1:6">
      <c r="A174" s="67"/>
      <c r="B174" s="22" t="s">
        <v>101</v>
      </c>
      <c r="C174" s="3"/>
      <c r="D174" s="4"/>
      <c r="E174" s="4"/>
      <c r="F174" s="80">
        <f>SUM(F160:F173)</f>
        <v>381435</v>
      </c>
    </row>
    <row r="175" spans="1:6">
      <c r="A175" s="67"/>
      <c r="B175" s="36" t="s">
        <v>103</v>
      </c>
      <c r="C175" s="55"/>
      <c r="D175" s="4"/>
      <c r="E175" s="4"/>
      <c r="F175" s="73"/>
    </row>
    <row r="176" spans="1:6" ht="138.75" customHeight="1">
      <c r="A176" s="5" t="s">
        <v>160</v>
      </c>
      <c r="B176" s="23" t="s">
        <v>238</v>
      </c>
      <c r="C176" s="5"/>
      <c r="D176" s="7"/>
      <c r="E176" s="32"/>
      <c r="F176" s="25"/>
    </row>
    <row r="177" spans="1:6">
      <c r="A177" s="5"/>
      <c r="B177" s="23" t="s">
        <v>105</v>
      </c>
      <c r="C177" s="24"/>
      <c r="D177" s="26" t="s">
        <v>81</v>
      </c>
      <c r="E177" s="24">
        <v>16500</v>
      </c>
      <c r="F177" s="74">
        <f t="shared" ref="F177" si="18">E177*C177</f>
        <v>0</v>
      </c>
    </row>
    <row r="178" spans="1:6">
      <c r="A178" s="5"/>
      <c r="B178" s="23" t="s">
        <v>106</v>
      </c>
      <c r="C178" s="24"/>
      <c r="D178" s="26" t="s">
        <v>81</v>
      </c>
      <c r="E178" s="24"/>
      <c r="F178" s="79"/>
    </row>
    <row r="179" spans="1:6" ht="148">
      <c r="A179" s="5" t="s">
        <v>104</v>
      </c>
      <c r="B179" s="23" t="s">
        <v>490</v>
      </c>
      <c r="C179" s="24"/>
      <c r="D179" s="26" t="s">
        <v>81</v>
      </c>
      <c r="E179" s="24"/>
      <c r="F179" s="79"/>
    </row>
    <row r="180" spans="1:6" ht="185">
      <c r="A180" s="5" t="s">
        <v>107</v>
      </c>
      <c r="B180" s="23" t="s">
        <v>491</v>
      </c>
      <c r="C180" s="5"/>
      <c r="D180" s="7"/>
      <c r="E180" s="24"/>
      <c r="F180" s="25"/>
    </row>
    <row r="181" spans="1:6">
      <c r="A181" s="5"/>
      <c r="B181" s="23" t="s">
        <v>112</v>
      </c>
      <c r="C181" s="5"/>
      <c r="D181" s="7"/>
      <c r="E181" s="24"/>
      <c r="F181" s="25"/>
    </row>
    <row r="182" spans="1:6">
      <c r="A182" s="5"/>
      <c r="B182" s="23" t="s">
        <v>113</v>
      </c>
      <c r="C182" s="5"/>
      <c r="D182" s="7"/>
      <c r="E182" s="24"/>
      <c r="F182" s="25"/>
    </row>
    <row r="183" spans="1:6">
      <c r="A183" s="5"/>
      <c r="B183" s="23" t="s">
        <v>114</v>
      </c>
      <c r="C183" s="5"/>
      <c r="D183" s="7"/>
      <c r="E183" s="24"/>
      <c r="F183" s="25"/>
    </row>
    <row r="184" spans="1:6">
      <c r="A184" s="5"/>
      <c r="B184" s="23" t="s">
        <v>115</v>
      </c>
      <c r="C184" s="5"/>
      <c r="D184" s="7"/>
      <c r="E184" s="24"/>
      <c r="F184" s="25"/>
    </row>
    <row r="185" spans="1:6">
      <c r="A185" s="5"/>
      <c r="B185" s="23" t="s">
        <v>116</v>
      </c>
      <c r="C185" s="5"/>
      <c r="D185" s="7"/>
      <c r="E185" s="24"/>
      <c r="F185" s="25"/>
    </row>
    <row r="186" spans="1:6">
      <c r="A186" s="5"/>
      <c r="B186" s="23" t="s">
        <v>117</v>
      </c>
      <c r="C186" s="5"/>
      <c r="D186" s="7"/>
      <c r="E186" s="24"/>
      <c r="F186" s="25"/>
    </row>
    <row r="187" spans="1:6">
      <c r="A187" s="5"/>
      <c r="B187" s="23" t="s">
        <v>118</v>
      </c>
      <c r="C187" s="5"/>
      <c r="D187" s="7"/>
      <c r="E187" s="24"/>
      <c r="F187" s="25"/>
    </row>
    <row r="188" spans="1:6">
      <c r="A188" s="5"/>
      <c r="B188" s="23" t="s">
        <v>119</v>
      </c>
      <c r="C188" s="5"/>
      <c r="D188" s="7"/>
      <c r="E188" s="24"/>
      <c r="F188" s="25"/>
    </row>
    <row r="189" spans="1:6">
      <c r="A189" s="5"/>
      <c r="B189" s="23" t="s">
        <v>120</v>
      </c>
      <c r="C189" s="5"/>
      <c r="D189" s="7"/>
      <c r="E189" s="24"/>
      <c r="F189" s="25"/>
    </row>
    <row r="190" spans="1:6">
      <c r="A190" s="5"/>
      <c r="B190" s="23" t="s">
        <v>121</v>
      </c>
      <c r="C190" s="5"/>
      <c r="D190" s="7"/>
      <c r="E190" s="24"/>
      <c r="F190" s="25"/>
    </row>
    <row r="191" spans="1:6">
      <c r="A191" s="5"/>
      <c r="B191" s="23" t="s">
        <v>122</v>
      </c>
      <c r="C191" s="5"/>
      <c r="D191" s="7"/>
      <c r="E191" s="24"/>
      <c r="F191" s="25"/>
    </row>
    <row r="192" spans="1:6">
      <c r="A192" s="5"/>
      <c r="B192" s="23" t="s">
        <v>123</v>
      </c>
      <c r="C192" s="5"/>
      <c r="D192" s="7"/>
      <c r="E192" s="24"/>
      <c r="F192" s="25"/>
    </row>
    <row r="193" spans="1:6">
      <c r="A193" s="5"/>
      <c r="B193" s="23" t="s">
        <v>124</v>
      </c>
      <c r="C193" s="5"/>
      <c r="D193" s="7"/>
      <c r="E193" s="24"/>
      <c r="F193" s="25"/>
    </row>
    <row r="194" spans="1:6">
      <c r="A194" s="5"/>
      <c r="B194" s="23" t="s">
        <v>125</v>
      </c>
      <c r="C194" s="5"/>
      <c r="D194" s="7"/>
      <c r="E194" s="24"/>
      <c r="F194" s="25"/>
    </row>
    <row r="195" spans="1:6">
      <c r="A195" s="5"/>
      <c r="B195" s="23" t="s">
        <v>126</v>
      </c>
      <c r="C195" s="24"/>
      <c r="D195" s="26" t="s">
        <v>81</v>
      </c>
      <c r="E195" s="24">
        <v>5250</v>
      </c>
      <c r="F195" s="74">
        <f t="shared" ref="F195" si="19">E195*C195</f>
        <v>0</v>
      </c>
    </row>
    <row r="196" spans="1:6">
      <c r="A196" s="5"/>
      <c r="B196" s="23" t="s">
        <v>127</v>
      </c>
      <c r="C196" s="24"/>
      <c r="D196" s="26" t="s">
        <v>81</v>
      </c>
      <c r="E196" s="24"/>
      <c r="F196" s="79"/>
    </row>
    <row r="197" spans="1:6">
      <c r="A197" s="5"/>
      <c r="B197" s="23" t="s">
        <v>422</v>
      </c>
      <c r="C197" s="24"/>
      <c r="D197" s="26" t="s">
        <v>352</v>
      </c>
      <c r="E197" s="88"/>
      <c r="F197" s="74">
        <f>E197*C197</f>
        <v>0</v>
      </c>
    </row>
    <row r="198" spans="1:6">
      <c r="A198" s="5"/>
      <c r="B198" s="23" t="s">
        <v>423</v>
      </c>
      <c r="C198" s="24"/>
      <c r="D198" s="26" t="s">
        <v>352</v>
      </c>
      <c r="E198" s="88"/>
      <c r="F198" s="74">
        <f>E198*C198</f>
        <v>0</v>
      </c>
    </row>
    <row r="199" spans="1:6" ht="259">
      <c r="A199" s="5" t="s">
        <v>109</v>
      </c>
      <c r="B199" s="23" t="s">
        <v>161</v>
      </c>
      <c r="C199" s="5"/>
      <c r="D199" s="12"/>
      <c r="E199" s="24"/>
      <c r="F199" s="25" t="s">
        <v>509</v>
      </c>
    </row>
    <row r="200" spans="1:6">
      <c r="A200" s="5"/>
      <c r="B200" s="23" t="s">
        <v>129</v>
      </c>
      <c r="C200" s="20"/>
      <c r="D200" s="26" t="s">
        <v>81</v>
      </c>
      <c r="E200" s="24">
        <v>4450</v>
      </c>
      <c r="F200" s="74">
        <f t="shared" ref="F200" si="20">E200*C200</f>
        <v>0</v>
      </c>
    </row>
    <row r="201" spans="1:6">
      <c r="A201" s="5"/>
      <c r="B201" s="23" t="s">
        <v>130</v>
      </c>
      <c r="C201" s="24"/>
      <c r="D201" s="26" t="s">
        <v>81</v>
      </c>
      <c r="E201" s="24">
        <v>4750</v>
      </c>
      <c r="F201" s="79"/>
    </row>
    <row r="202" spans="1:6" ht="185">
      <c r="A202" s="5" t="s">
        <v>128</v>
      </c>
      <c r="B202" s="23" t="s">
        <v>492</v>
      </c>
      <c r="C202" s="5"/>
      <c r="D202" s="7"/>
      <c r="E202" s="24"/>
      <c r="F202" s="25"/>
    </row>
    <row r="203" spans="1:6">
      <c r="A203" s="5"/>
      <c r="B203" s="23" t="s">
        <v>285</v>
      </c>
      <c r="C203" s="24"/>
      <c r="D203" s="26" t="s">
        <v>81</v>
      </c>
      <c r="E203" s="24">
        <v>3750</v>
      </c>
      <c r="F203" s="79"/>
    </row>
    <row r="204" spans="1:6">
      <c r="A204" s="5"/>
      <c r="B204" s="23" t="s">
        <v>132</v>
      </c>
      <c r="C204" s="24"/>
      <c r="D204" s="26" t="s">
        <v>81</v>
      </c>
      <c r="E204" s="24">
        <v>3750</v>
      </c>
      <c r="F204" s="79"/>
    </row>
    <row r="205" spans="1:6" ht="288.75" customHeight="1">
      <c r="A205" s="5" t="s">
        <v>131</v>
      </c>
      <c r="B205" s="23" t="s">
        <v>512</v>
      </c>
      <c r="C205" s="5"/>
      <c r="D205" s="7"/>
      <c r="E205" s="24"/>
      <c r="F205" s="25"/>
    </row>
    <row r="206" spans="1:6">
      <c r="A206" s="5"/>
      <c r="B206" s="23" t="s">
        <v>533</v>
      </c>
      <c r="C206" s="24">
        <v>25</v>
      </c>
      <c r="D206" s="26" t="s">
        <v>86</v>
      </c>
      <c r="E206" s="88">
        <v>3850</v>
      </c>
      <c r="F206" s="79"/>
    </row>
    <row r="207" spans="1:6">
      <c r="A207" s="5"/>
      <c r="B207" s="23" t="s">
        <v>134</v>
      </c>
      <c r="C207" s="5"/>
      <c r="D207" s="7"/>
      <c r="E207" s="24"/>
      <c r="F207" s="25"/>
    </row>
    <row r="208" spans="1:6">
      <c r="A208" s="5"/>
      <c r="B208" s="23" t="s">
        <v>142</v>
      </c>
      <c r="C208" s="5"/>
      <c r="D208" s="7"/>
      <c r="E208" s="24"/>
      <c r="F208" s="25"/>
    </row>
    <row r="209" spans="1:6">
      <c r="A209" s="5"/>
      <c r="B209" s="23" t="s">
        <v>143</v>
      </c>
      <c r="C209" s="5"/>
      <c r="D209" s="7"/>
      <c r="E209" s="24"/>
      <c r="F209" s="25"/>
    </row>
    <row r="210" spans="1:6">
      <c r="A210" s="5"/>
      <c r="B210" s="23" t="s">
        <v>113</v>
      </c>
      <c r="C210" s="5"/>
      <c r="D210" s="7"/>
      <c r="E210" s="24"/>
      <c r="F210" s="25"/>
    </row>
    <row r="211" spans="1:6">
      <c r="A211" s="5"/>
      <c r="B211" s="23" t="s">
        <v>135</v>
      </c>
      <c r="C211" s="5"/>
      <c r="D211" s="7"/>
      <c r="E211" s="24"/>
      <c r="F211" s="25"/>
    </row>
    <row r="212" spans="1:6">
      <c r="A212" s="5"/>
      <c r="B212" s="23" t="s">
        <v>144</v>
      </c>
      <c r="C212" s="5"/>
      <c r="D212" s="7"/>
      <c r="E212" s="24"/>
      <c r="F212" s="25"/>
    </row>
    <row r="213" spans="1:6">
      <c r="A213" s="5"/>
      <c r="B213" s="23" t="s">
        <v>145</v>
      </c>
      <c r="C213" s="5"/>
      <c r="D213" s="7"/>
      <c r="E213" s="24"/>
      <c r="F213" s="25"/>
    </row>
    <row r="214" spans="1:6">
      <c r="A214" s="5"/>
      <c r="B214" s="23" t="s">
        <v>136</v>
      </c>
      <c r="C214" s="5"/>
      <c r="D214" s="7"/>
      <c r="E214" s="24"/>
      <c r="F214" s="25"/>
    </row>
    <row r="215" spans="1:6">
      <c r="A215" s="5"/>
      <c r="B215" s="23" t="s">
        <v>146</v>
      </c>
      <c r="C215" s="5"/>
      <c r="D215" s="7"/>
      <c r="E215" s="24"/>
      <c r="F215" s="25"/>
    </row>
    <row r="216" spans="1:6">
      <c r="A216" s="5"/>
      <c r="B216" s="23" t="s">
        <v>147</v>
      </c>
      <c r="C216" s="5"/>
      <c r="D216" s="7"/>
      <c r="E216" s="24"/>
      <c r="F216" s="25"/>
    </row>
    <row r="217" spans="1:6">
      <c r="A217" s="5"/>
      <c r="B217" s="23" t="s">
        <v>115</v>
      </c>
      <c r="C217" s="5"/>
      <c r="D217" s="7"/>
      <c r="E217" s="24"/>
      <c r="F217" s="25"/>
    </row>
    <row r="218" spans="1:6">
      <c r="A218" s="5"/>
      <c r="B218" s="23" t="s">
        <v>137</v>
      </c>
      <c r="C218" s="5"/>
      <c r="D218" s="7"/>
      <c r="E218" s="24"/>
      <c r="F218" s="25"/>
    </row>
    <row r="219" spans="1:6">
      <c r="A219" s="5"/>
      <c r="B219" s="23" t="s">
        <v>138</v>
      </c>
      <c r="C219" s="5"/>
      <c r="D219" s="7"/>
      <c r="E219" s="24"/>
      <c r="F219" s="25"/>
    </row>
    <row r="220" spans="1:6">
      <c r="A220" s="5"/>
      <c r="B220" s="23" t="s">
        <v>139</v>
      </c>
      <c r="C220" s="5"/>
      <c r="D220" s="7"/>
      <c r="E220" s="24"/>
      <c r="F220" s="25"/>
    </row>
    <row r="221" spans="1:6">
      <c r="A221" s="5"/>
      <c r="B221" s="23" t="s">
        <v>140</v>
      </c>
      <c r="C221" s="5"/>
      <c r="D221" s="7"/>
      <c r="E221" s="24"/>
      <c r="F221" s="25"/>
    </row>
    <row r="222" spans="1:6">
      <c r="A222" s="5"/>
      <c r="B222" s="23" t="s">
        <v>141</v>
      </c>
      <c r="C222" s="5"/>
      <c r="D222" s="7"/>
      <c r="E222" s="24"/>
      <c r="F222" s="25"/>
    </row>
    <row r="223" spans="1:6" ht="142.5" customHeight="1">
      <c r="A223" s="5" t="s">
        <v>133</v>
      </c>
      <c r="B223" s="23" t="s">
        <v>493</v>
      </c>
      <c r="C223" s="24"/>
      <c r="D223" s="26" t="s">
        <v>81</v>
      </c>
      <c r="E223" s="24">
        <v>4250</v>
      </c>
      <c r="F223" s="74">
        <f>E223*C223</f>
        <v>0</v>
      </c>
    </row>
    <row r="224" spans="1:6" ht="37">
      <c r="A224" s="5"/>
      <c r="B224" s="23" t="s">
        <v>149</v>
      </c>
      <c r="C224" s="5"/>
      <c r="D224" s="7"/>
      <c r="E224" s="24"/>
      <c r="F224" s="25"/>
    </row>
    <row r="225" spans="1:6">
      <c r="A225" s="5"/>
      <c r="B225" s="23" t="s">
        <v>150</v>
      </c>
      <c r="C225" s="5"/>
      <c r="D225" s="7"/>
      <c r="E225" s="24"/>
      <c r="F225" s="25"/>
    </row>
    <row r="226" spans="1:6">
      <c r="A226" s="5"/>
      <c r="B226" s="23" t="s">
        <v>117</v>
      </c>
      <c r="C226" s="5"/>
      <c r="D226" s="7"/>
      <c r="E226" s="24"/>
      <c r="F226" s="25"/>
    </row>
    <row r="227" spans="1:6" ht="18.75" customHeight="1">
      <c r="A227" s="5"/>
      <c r="B227" s="23" t="s">
        <v>151</v>
      </c>
      <c r="C227" s="5"/>
      <c r="D227" s="7"/>
      <c r="E227" s="24"/>
      <c r="F227" s="25"/>
    </row>
    <row r="228" spans="1:6">
      <c r="A228" s="5"/>
      <c r="B228" s="23" t="s">
        <v>170</v>
      </c>
      <c r="C228" s="5"/>
      <c r="D228" s="7"/>
      <c r="E228" s="24"/>
      <c r="F228" s="25"/>
    </row>
    <row r="229" spans="1:6">
      <c r="A229" s="5"/>
      <c r="B229" s="23" t="s">
        <v>124</v>
      </c>
      <c r="C229" s="5"/>
      <c r="D229" s="7"/>
      <c r="E229" s="24"/>
      <c r="F229" s="25"/>
    </row>
    <row r="230" spans="1:6">
      <c r="A230" s="5"/>
      <c r="B230" s="23" t="s">
        <v>171</v>
      </c>
      <c r="C230" s="5"/>
      <c r="D230" s="7"/>
      <c r="E230" s="24"/>
      <c r="F230" s="25"/>
    </row>
    <row r="231" spans="1:6" ht="184.5" customHeight="1">
      <c r="A231" s="5" t="s">
        <v>148</v>
      </c>
      <c r="B231" s="23" t="s">
        <v>172</v>
      </c>
      <c r="C231" s="24"/>
      <c r="D231" s="26" t="s">
        <v>81</v>
      </c>
      <c r="E231" s="24">
        <v>4750</v>
      </c>
      <c r="F231" s="74">
        <f t="shared" ref="F231" si="21">E231*C231</f>
        <v>0</v>
      </c>
    </row>
    <row r="232" spans="1:6">
      <c r="A232" s="5"/>
      <c r="B232" s="23" t="s">
        <v>173</v>
      </c>
      <c r="C232" s="5"/>
      <c r="D232" s="7"/>
      <c r="E232" s="24"/>
      <c r="F232" s="25"/>
    </row>
    <row r="233" spans="1:6">
      <c r="A233" s="5"/>
      <c r="B233" s="23" t="s">
        <v>174</v>
      </c>
      <c r="C233" s="5"/>
      <c r="D233" s="7"/>
      <c r="E233" s="24"/>
      <c r="F233" s="25"/>
    </row>
    <row r="234" spans="1:6">
      <c r="A234" s="5"/>
      <c r="B234" s="23" t="s">
        <v>117</v>
      </c>
      <c r="C234" s="5"/>
      <c r="D234" s="7"/>
      <c r="E234" s="24"/>
      <c r="F234" s="25"/>
    </row>
    <row r="235" spans="1:6">
      <c r="A235" s="5"/>
      <c r="B235" s="23" t="s">
        <v>175</v>
      </c>
      <c r="C235" s="5"/>
      <c r="D235" s="7"/>
      <c r="E235" s="24"/>
      <c r="F235" s="25"/>
    </row>
    <row r="236" spans="1:6">
      <c r="A236" s="5"/>
      <c r="B236" s="23" t="s">
        <v>176</v>
      </c>
      <c r="C236" s="5"/>
      <c r="D236" s="7"/>
      <c r="E236" s="24"/>
      <c r="F236" s="25"/>
    </row>
    <row r="237" spans="1:6">
      <c r="A237" s="5"/>
      <c r="B237" s="23" t="s">
        <v>125</v>
      </c>
      <c r="C237" s="5"/>
      <c r="D237" s="7"/>
      <c r="E237" s="24"/>
      <c r="F237" s="25"/>
    </row>
    <row r="238" spans="1:6" ht="112.5" customHeight="1">
      <c r="A238" s="5" t="s">
        <v>449</v>
      </c>
      <c r="B238" s="23" t="s">
        <v>178</v>
      </c>
      <c r="C238" s="24"/>
      <c r="D238" s="26" t="s">
        <v>81</v>
      </c>
      <c r="E238" s="24">
        <v>3500</v>
      </c>
      <c r="F238" s="79"/>
    </row>
    <row r="239" spans="1:6">
      <c r="A239" s="5"/>
      <c r="B239" s="23" t="s">
        <v>179</v>
      </c>
      <c r="C239" s="5"/>
      <c r="D239" s="7"/>
      <c r="E239" s="24"/>
      <c r="F239" s="25"/>
    </row>
    <row r="240" spans="1:6">
      <c r="A240" s="5"/>
      <c r="B240" s="23" t="s">
        <v>180</v>
      </c>
      <c r="C240" s="5"/>
      <c r="D240" s="7"/>
      <c r="E240" s="24"/>
      <c r="F240" s="25"/>
    </row>
    <row r="241" spans="1:7">
      <c r="A241" s="5"/>
      <c r="B241" s="23" t="s">
        <v>181</v>
      </c>
      <c r="C241" s="5"/>
      <c r="D241" s="7"/>
      <c r="E241" s="24"/>
      <c r="F241" s="25"/>
    </row>
    <row r="242" spans="1:7">
      <c r="A242" s="5"/>
      <c r="B242" s="23" t="s">
        <v>182</v>
      </c>
      <c r="C242" s="5"/>
      <c r="D242" s="7"/>
      <c r="E242" s="24"/>
      <c r="F242" s="25"/>
    </row>
    <row r="243" spans="1:7">
      <c r="A243" s="5"/>
      <c r="B243" s="23" t="s">
        <v>185</v>
      </c>
      <c r="C243" s="5"/>
      <c r="D243" s="7"/>
      <c r="E243" s="24"/>
      <c r="F243" s="25"/>
    </row>
    <row r="244" spans="1:7" ht="37">
      <c r="A244" s="5"/>
      <c r="B244" s="23" t="s">
        <v>186</v>
      </c>
      <c r="C244" s="5"/>
      <c r="D244" s="7"/>
      <c r="E244" s="24"/>
      <c r="F244" s="25"/>
    </row>
    <row r="245" spans="1:7" ht="129.5">
      <c r="A245" s="5" t="s">
        <v>177</v>
      </c>
      <c r="B245" s="23" t="s">
        <v>457</v>
      </c>
      <c r="C245" s="24">
        <v>27</v>
      </c>
      <c r="D245" s="26" t="s">
        <v>81</v>
      </c>
      <c r="E245" s="24">
        <v>3750</v>
      </c>
      <c r="F245" s="74">
        <f>E245*C245</f>
        <v>101250</v>
      </c>
    </row>
    <row r="246" spans="1:7">
      <c r="A246" s="5" t="s">
        <v>187</v>
      </c>
      <c r="B246" s="23" t="s">
        <v>163</v>
      </c>
      <c r="C246" s="24">
        <v>1</v>
      </c>
      <c r="D246" s="26" t="s">
        <v>71</v>
      </c>
      <c r="E246" s="24">
        <v>14500</v>
      </c>
      <c r="F246" s="74">
        <f t="shared" ref="F246:F247" si="22">E246*C246</f>
        <v>14500</v>
      </c>
      <c r="G246" s="1" t="s">
        <v>615</v>
      </c>
    </row>
    <row r="247" spans="1:7">
      <c r="A247" s="5" t="s">
        <v>558</v>
      </c>
      <c r="B247" s="23" t="s">
        <v>559</v>
      </c>
      <c r="C247" s="24"/>
      <c r="D247" s="26" t="s">
        <v>71</v>
      </c>
      <c r="E247" s="24">
        <v>42500</v>
      </c>
      <c r="F247" s="74">
        <f t="shared" si="22"/>
        <v>0</v>
      </c>
    </row>
    <row r="248" spans="1:7" ht="314.25" customHeight="1">
      <c r="A248" s="5" t="s">
        <v>162</v>
      </c>
      <c r="B248" s="28" t="s">
        <v>426</v>
      </c>
      <c r="C248" s="20"/>
      <c r="D248" s="26" t="s">
        <v>81</v>
      </c>
      <c r="E248" s="24">
        <v>3750</v>
      </c>
      <c r="F248" s="74"/>
    </row>
    <row r="249" spans="1:7" ht="129.5">
      <c r="A249" s="5"/>
      <c r="B249" s="28" t="s">
        <v>328</v>
      </c>
      <c r="C249" s="49"/>
      <c r="D249" s="26"/>
      <c r="E249" s="24"/>
      <c r="F249" s="79"/>
    </row>
    <row r="250" spans="1:7" ht="37">
      <c r="A250" s="5" t="s">
        <v>256</v>
      </c>
      <c r="B250" s="28" t="s">
        <v>330</v>
      </c>
      <c r="C250" s="24"/>
      <c r="D250" s="26" t="s">
        <v>81</v>
      </c>
      <c r="E250" s="24">
        <v>4500</v>
      </c>
      <c r="F250" s="79"/>
    </row>
    <row r="251" spans="1:7" ht="240.5">
      <c r="A251" s="5" t="s">
        <v>327</v>
      </c>
      <c r="B251" s="23" t="s">
        <v>287</v>
      </c>
      <c r="C251" s="24"/>
      <c r="D251" s="26" t="s">
        <v>81</v>
      </c>
      <c r="E251" s="24">
        <v>815</v>
      </c>
      <c r="F251" s="74">
        <f>E251*C251</f>
        <v>0</v>
      </c>
    </row>
    <row r="252" spans="1:7" ht="335.25" customHeight="1">
      <c r="A252" s="5" t="s">
        <v>329</v>
      </c>
      <c r="B252" s="38" t="s">
        <v>508</v>
      </c>
      <c r="C252" s="20"/>
      <c r="D252" s="26" t="s">
        <v>81</v>
      </c>
      <c r="E252" s="24">
        <v>2195</v>
      </c>
      <c r="F252" s="74">
        <f>E252*C252</f>
        <v>0</v>
      </c>
    </row>
    <row r="253" spans="1:7" ht="185">
      <c r="A253" s="5"/>
      <c r="B253" s="38" t="s">
        <v>291</v>
      </c>
      <c r="C253" s="53"/>
      <c r="D253" s="26"/>
      <c r="E253" s="24"/>
      <c r="F253" s="79"/>
    </row>
    <row r="254" spans="1:7" ht="55.5">
      <c r="A254" s="5"/>
      <c r="B254" s="38" t="s">
        <v>290</v>
      </c>
      <c r="C254" s="53"/>
      <c r="D254" s="26"/>
      <c r="E254" s="24"/>
      <c r="F254" s="79"/>
    </row>
    <row r="255" spans="1:7" ht="185">
      <c r="A255" s="5" t="s">
        <v>331</v>
      </c>
      <c r="B255" s="38" t="s">
        <v>494</v>
      </c>
      <c r="C255" s="24"/>
      <c r="D255" s="26" t="s">
        <v>81</v>
      </c>
      <c r="E255" s="24">
        <v>4650</v>
      </c>
      <c r="F255" s="79"/>
    </row>
    <row r="256" spans="1:7">
      <c r="A256" s="67"/>
      <c r="B256" s="22" t="s">
        <v>189</v>
      </c>
      <c r="C256" s="3"/>
      <c r="D256" s="4"/>
      <c r="E256" s="4"/>
      <c r="F256" s="80">
        <f>SUM(F176:F255)</f>
        <v>115750</v>
      </c>
    </row>
    <row r="257" spans="1:6" ht="17.5" customHeight="1">
      <c r="A257" s="67"/>
      <c r="B257" s="36" t="s">
        <v>190</v>
      </c>
      <c r="C257" s="55"/>
      <c r="D257" s="4"/>
      <c r="E257" s="4"/>
      <c r="F257" s="73"/>
    </row>
    <row r="258" spans="1:6" ht="341.25" customHeight="1">
      <c r="A258" s="5" t="s">
        <v>311</v>
      </c>
      <c r="B258" s="23" t="s">
        <v>543</v>
      </c>
      <c r="C258" s="24"/>
      <c r="D258" s="26" t="s">
        <v>191</v>
      </c>
      <c r="E258" s="24">
        <v>115000</v>
      </c>
      <c r="F258" s="74">
        <f t="shared" ref="F258:F262" si="23">E258*C258</f>
        <v>0</v>
      </c>
    </row>
    <row r="259" spans="1:6" ht="165.75" customHeight="1">
      <c r="A259" s="5" t="s">
        <v>323</v>
      </c>
      <c r="B259" s="23" t="s">
        <v>397</v>
      </c>
      <c r="C259" s="24"/>
      <c r="D259" s="26" t="s">
        <v>191</v>
      </c>
      <c r="E259" s="24">
        <v>145000</v>
      </c>
      <c r="F259" s="74">
        <f t="shared" si="23"/>
        <v>0</v>
      </c>
    </row>
    <row r="260" spans="1:6" ht="92.5">
      <c r="A260" s="5" t="s">
        <v>312</v>
      </c>
      <c r="B260" s="23" t="s">
        <v>495</v>
      </c>
      <c r="C260" s="24"/>
      <c r="D260" s="26" t="s">
        <v>191</v>
      </c>
      <c r="E260" s="24">
        <v>15000</v>
      </c>
      <c r="F260" s="74">
        <f t="shared" si="23"/>
        <v>0</v>
      </c>
    </row>
    <row r="261" spans="1:6" ht="92.5">
      <c r="A261" s="5" t="s">
        <v>315</v>
      </c>
      <c r="B261" s="23" t="s">
        <v>324</v>
      </c>
      <c r="C261" s="24"/>
      <c r="D261" s="26" t="s">
        <v>191</v>
      </c>
      <c r="E261" s="24">
        <v>45000</v>
      </c>
      <c r="F261" s="74">
        <f t="shared" si="23"/>
        <v>0</v>
      </c>
    </row>
    <row r="262" spans="1:6" ht="216" customHeight="1">
      <c r="A262" s="5" t="s">
        <v>316</v>
      </c>
      <c r="B262" s="23" t="s">
        <v>193</v>
      </c>
      <c r="C262" s="24"/>
      <c r="D262" s="26" t="s">
        <v>83</v>
      </c>
      <c r="E262" s="24">
        <v>3750</v>
      </c>
      <c r="F262" s="74">
        <f t="shared" si="23"/>
        <v>0</v>
      </c>
    </row>
    <row r="263" spans="1:6" ht="129.5">
      <c r="A263" s="49" t="s">
        <v>325</v>
      </c>
      <c r="B263" s="28" t="s">
        <v>450</v>
      </c>
      <c r="C263" s="49"/>
      <c r="D263" s="8"/>
      <c r="E263" s="32"/>
      <c r="F263" s="24"/>
    </row>
    <row r="264" spans="1:6">
      <c r="A264" s="5"/>
      <c r="B264" s="28" t="s">
        <v>279</v>
      </c>
      <c r="C264" s="49"/>
      <c r="D264" s="32" t="s">
        <v>261</v>
      </c>
      <c r="E264" s="24">
        <v>55</v>
      </c>
      <c r="F264" s="74">
        <f t="shared" ref="F264" si="24">E264*C264</f>
        <v>0</v>
      </c>
    </row>
    <row r="265" spans="1:6">
      <c r="A265" s="5"/>
      <c r="B265" s="23" t="s">
        <v>111</v>
      </c>
      <c r="C265" s="5">
        <v>1000</v>
      </c>
      <c r="D265" s="32" t="s">
        <v>261</v>
      </c>
      <c r="E265" s="24">
        <v>45</v>
      </c>
      <c r="F265" s="74">
        <f>E265*C265</f>
        <v>45000</v>
      </c>
    </row>
    <row r="266" spans="1:6" ht="37">
      <c r="A266" s="5" t="s">
        <v>398</v>
      </c>
      <c r="B266" s="23" t="s">
        <v>496</v>
      </c>
      <c r="C266" s="5"/>
      <c r="D266" s="32"/>
      <c r="E266" s="24"/>
      <c r="F266" s="79"/>
    </row>
    <row r="267" spans="1:6">
      <c r="A267" s="5"/>
      <c r="B267" s="28" t="s">
        <v>279</v>
      </c>
      <c r="C267" s="20"/>
      <c r="D267" s="32" t="s">
        <v>261</v>
      </c>
      <c r="E267" s="24">
        <v>165</v>
      </c>
      <c r="F267" s="74">
        <f t="shared" ref="F267:F268" si="25">E267*C267</f>
        <v>0</v>
      </c>
    </row>
    <row r="268" spans="1:6">
      <c r="A268" s="5"/>
      <c r="B268" s="23" t="s">
        <v>111</v>
      </c>
      <c r="C268" s="5">
        <v>1000</v>
      </c>
      <c r="D268" s="32" t="s">
        <v>261</v>
      </c>
      <c r="E268" s="24">
        <v>165</v>
      </c>
      <c r="F268" s="74">
        <f t="shared" si="25"/>
        <v>165000</v>
      </c>
    </row>
    <row r="269" spans="1:6" ht="185">
      <c r="A269" s="5" t="s">
        <v>326</v>
      </c>
      <c r="B269" s="28" t="s">
        <v>539</v>
      </c>
      <c r="C269" s="49"/>
      <c r="D269" s="32"/>
      <c r="E269" s="24"/>
      <c r="F269" s="79"/>
    </row>
    <row r="270" spans="1:6">
      <c r="A270" s="82" t="s">
        <v>292</v>
      </c>
      <c r="B270" s="28" t="s">
        <v>293</v>
      </c>
      <c r="C270" s="24"/>
      <c r="D270" s="26" t="s">
        <v>191</v>
      </c>
      <c r="E270" s="24">
        <v>95000</v>
      </c>
      <c r="F270" s="74">
        <f t="shared" ref="F270:F271" si="26">E270*C270</f>
        <v>0</v>
      </c>
    </row>
    <row r="271" spans="1:6">
      <c r="A271" s="82" t="s">
        <v>294</v>
      </c>
      <c r="B271" s="28" t="s">
        <v>295</v>
      </c>
      <c r="C271" s="24"/>
      <c r="D271" s="26" t="s">
        <v>191</v>
      </c>
      <c r="E271" s="24">
        <v>45000</v>
      </c>
      <c r="F271" s="74">
        <f t="shared" si="26"/>
        <v>0</v>
      </c>
    </row>
    <row r="272" spans="1:6">
      <c r="A272" s="67"/>
      <c r="B272" s="35" t="s">
        <v>194</v>
      </c>
      <c r="C272" s="3"/>
      <c r="D272" s="4"/>
      <c r="E272" s="4"/>
      <c r="F272" s="80">
        <f>SUM(F258:F271)</f>
        <v>210000</v>
      </c>
    </row>
    <row r="273" spans="1:6" ht="17.5" customHeight="1">
      <c r="A273" s="67"/>
      <c r="B273" s="36" t="s">
        <v>45</v>
      </c>
      <c r="C273" s="55"/>
      <c r="D273" s="4"/>
      <c r="E273" s="4"/>
      <c r="F273" s="73"/>
    </row>
    <row r="274" spans="1:6" ht="37">
      <c r="A274" s="49" t="s">
        <v>44</v>
      </c>
      <c r="B274" s="28" t="s">
        <v>286</v>
      </c>
      <c r="C274" s="49"/>
      <c r="D274" s="7"/>
      <c r="E274" s="32"/>
      <c r="F274" s="25"/>
    </row>
    <row r="275" spans="1:6">
      <c r="A275" s="49"/>
      <c r="B275" s="28" t="s">
        <v>497</v>
      </c>
      <c r="C275" s="32"/>
      <c r="D275" s="26" t="s">
        <v>83</v>
      </c>
      <c r="E275" s="24">
        <v>1150</v>
      </c>
      <c r="F275" s="74">
        <f t="shared" ref="F275:F276" si="27">E275*C275</f>
        <v>0</v>
      </c>
    </row>
    <row r="276" spans="1:6">
      <c r="A276" s="49"/>
      <c r="B276" s="28" t="s">
        <v>498</v>
      </c>
      <c r="C276" s="24"/>
      <c r="D276" s="26" t="s">
        <v>83</v>
      </c>
      <c r="E276" s="24">
        <v>1650</v>
      </c>
      <c r="F276" s="74">
        <f t="shared" si="27"/>
        <v>0</v>
      </c>
    </row>
    <row r="277" spans="1:6" ht="240.5">
      <c r="A277" s="49" t="s">
        <v>313</v>
      </c>
      <c r="B277" s="28" t="s">
        <v>544</v>
      </c>
      <c r="C277" s="49"/>
      <c r="D277" s="26"/>
      <c r="E277" s="24"/>
      <c r="F277" s="79"/>
    </row>
    <row r="278" spans="1:6">
      <c r="A278" s="49"/>
      <c r="B278" s="28" t="s">
        <v>458</v>
      </c>
      <c r="C278" s="24"/>
      <c r="D278" s="26" t="s">
        <v>81</v>
      </c>
      <c r="E278" s="24">
        <v>725</v>
      </c>
      <c r="F278" s="79"/>
    </row>
    <row r="279" spans="1:6">
      <c r="A279" s="49"/>
      <c r="B279" s="28" t="s">
        <v>505</v>
      </c>
      <c r="C279" s="24"/>
      <c r="D279" s="26" t="s">
        <v>289</v>
      </c>
      <c r="E279" s="24">
        <v>720</v>
      </c>
      <c r="F279" s="79"/>
    </row>
    <row r="280" spans="1:6">
      <c r="A280" s="49"/>
      <c r="B280" s="28" t="s">
        <v>504</v>
      </c>
      <c r="C280" s="24"/>
      <c r="D280" s="26" t="s">
        <v>289</v>
      </c>
      <c r="E280" s="24">
        <v>850</v>
      </c>
      <c r="F280" s="79"/>
    </row>
    <row r="281" spans="1:6">
      <c r="A281" s="49"/>
      <c r="B281" s="28" t="s">
        <v>506</v>
      </c>
      <c r="C281" s="24"/>
      <c r="D281" s="26" t="s">
        <v>289</v>
      </c>
      <c r="E281" s="24">
        <v>650</v>
      </c>
      <c r="F281" s="79"/>
    </row>
    <row r="282" spans="1:6">
      <c r="A282" s="67"/>
      <c r="B282" s="35" t="s">
        <v>50</v>
      </c>
      <c r="C282" s="3"/>
      <c r="D282" s="4"/>
      <c r="E282" s="4"/>
      <c r="F282" s="80">
        <f>SUM(F274:F281)</f>
        <v>0</v>
      </c>
    </row>
    <row r="283" spans="1:6" ht="17.5" customHeight="1">
      <c r="A283" s="67"/>
      <c r="B283" s="36" t="s">
        <v>195</v>
      </c>
      <c r="C283" s="55"/>
      <c r="D283" s="4"/>
      <c r="E283" s="4"/>
      <c r="F283" s="73"/>
    </row>
    <row r="284" spans="1:6" ht="258.75" customHeight="1">
      <c r="A284" s="5" t="s">
        <v>196</v>
      </c>
      <c r="B284" s="13" t="s">
        <v>309</v>
      </c>
      <c r="C284" s="58"/>
      <c r="D284" s="14"/>
      <c r="E284" s="24"/>
      <c r="F284" s="24"/>
    </row>
    <row r="285" spans="1:6">
      <c r="A285" s="5"/>
      <c r="B285" s="28" t="s">
        <v>198</v>
      </c>
      <c r="C285" s="24"/>
      <c r="D285" s="32" t="s">
        <v>86</v>
      </c>
      <c r="E285" s="24">
        <v>650</v>
      </c>
      <c r="F285" s="74">
        <f t="shared" ref="F285" si="28">E285*C285</f>
        <v>0</v>
      </c>
    </row>
    <row r="286" spans="1:6">
      <c r="A286" s="5"/>
      <c r="B286" s="28" t="s">
        <v>199</v>
      </c>
      <c r="C286" s="49"/>
      <c r="D286" s="8"/>
      <c r="E286" s="24"/>
      <c r="F286" s="24"/>
    </row>
    <row r="287" spans="1:6">
      <c r="A287" s="5"/>
      <c r="B287" s="30" t="s">
        <v>281</v>
      </c>
      <c r="C287" s="49"/>
      <c r="D287" s="32" t="s">
        <v>86</v>
      </c>
      <c r="E287" s="24">
        <v>650</v>
      </c>
      <c r="F287" s="24"/>
    </row>
    <row r="288" spans="1:6">
      <c r="A288" s="5"/>
      <c r="B288" s="40" t="s">
        <v>280</v>
      </c>
      <c r="C288" s="49"/>
      <c r="D288" s="32" t="s">
        <v>86</v>
      </c>
      <c r="E288" s="24">
        <v>650</v>
      </c>
      <c r="F288" s="24"/>
    </row>
    <row r="289" spans="1:6" ht="129.5">
      <c r="A289" s="5" t="s">
        <v>200</v>
      </c>
      <c r="B289" s="28" t="s">
        <v>184</v>
      </c>
      <c r="C289" s="49"/>
      <c r="D289" s="24"/>
      <c r="E289" s="24"/>
      <c r="F289" s="24"/>
    </row>
    <row r="290" spans="1:6">
      <c r="A290" s="5"/>
      <c r="B290" s="28" t="s">
        <v>243</v>
      </c>
      <c r="C290" s="24"/>
      <c r="D290" s="32" t="s">
        <v>83</v>
      </c>
      <c r="E290" s="24">
        <v>750</v>
      </c>
      <c r="F290" s="24"/>
    </row>
    <row r="291" spans="1:6">
      <c r="A291" s="5"/>
      <c r="B291" s="28" t="s">
        <v>232</v>
      </c>
      <c r="C291" s="24"/>
      <c r="D291" s="32" t="s">
        <v>83</v>
      </c>
      <c r="E291" s="24">
        <v>450</v>
      </c>
      <c r="F291" s="74">
        <f t="shared" ref="F291" si="29">E291*C291</f>
        <v>0</v>
      </c>
    </row>
    <row r="292" spans="1:6">
      <c r="A292" s="67"/>
      <c r="B292" s="35" t="s">
        <v>201</v>
      </c>
      <c r="C292" s="3"/>
      <c r="D292" s="4"/>
      <c r="E292" s="4"/>
      <c r="F292" s="80">
        <f>SUM(F285:F291)</f>
        <v>0</v>
      </c>
    </row>
    <row r="293" spans="1:6" ht="18" customHeight="1">
      <c r="A293" s="67"/>
      <c r="B293" s="36" t="s">
        <v>202</v>
      </c>
      <c r="C293" s="55"/>
      <c r="D293" s="4"/>
      <c r="E293" s="4"/>
      <c r="F293" s="73"/>
    </row>
    <row r="294" spans="1:6" ht="218.25" customHeight="1">
      <c r="A294" s="5" t="s">
        <v>203</v>
      </c>
      <c r="B294" s="42" t="s">
        <v>251</v>
      </c>
      <c r="C294" s="24">
        <v>447</v>
      </c>
      <c r="D294" s="26" t="s">
        <v>81</v>
      </c>
      <c r="E294" s="24">
        <v>55</v>
      </c>
      <c r="F294" s="74">
        <f t="shared" ref="F294" si="30">E294*C294</f>
        <v>24585</v>
      </c>
    </row>
    <row r="295" spans="1:6">
      <c r="A295" s="5"/>
      <c r="B295" s="42" t="s">
        <v>204</v>
      </c>
      <c r="C295" s="59"/>
      <c r="D295" s="7"/>
      <c r="E295" s="24"/>
      <c r="F295" s="25"/>
    </row>
    <row r="296" spans="1:6" ht="37">
      <c r="A296" s="5"/>
      <c r="B296" s="41" t="s">
        <v>205</v>
      </c>
      <c r="C296" s="26"/>
      <c r="D296" s="12"/>
      <c r="E296" s="24"/>
      <c r="F296" s="25"/>
    </row>
    <row r="297" spans="1:6" ht="37">
      <c r="A297" s="5"/>
      <c r="B297" s="41" t="s">
        <v>206</v>
      </c>
      <c r="C297" s="26"/>
      <c r="D297" s="26"/>
      <c r="E297" s="24"/>
      <c r="F297" s="25"/>
    </row>
    <row r="298" spans="1:6" ht="37">
      <c r="A298" s="5"/>
      <c r="B298" s="41" t="s">
        <v>207</v>
      </c>
      <c r="C298" s="26"/>
      <c r="D298" s="26"/>
      <c r="E298" s="24"/>
      <c r="F298" s="25"/>
    </row>
    <row r="299" spans="1:6" ht="165.75" customHeight="1">
      <c r="A299" s="5" t="s">
        <v>208</v>
      </c>
      <c r="B299" s="28" t="s">
        <v>282</v>
      </c>
      <c r="C299" s="24">
        <v>89</v>
      </c>
      <c r="D299" s="26" t="s">
        <v>81</v>
      </c>
      <c r="E299" s="24">
        <v>940</v>
      </c>
      <c r="F299" s="74">
        <f>E299*C299</f>
        <v>83660</v>
      </c>
    </row>
    <row r="300" spans="1:6" ht="64.5" customHeight="1">
      <c r="A300" s="5" t="s">
        <v>215</v>
      </c>
      <c r="B300" s="23" t="s">
        <v>77</v>
      </c>
      <c r="C300" s="5"/>
      <c r="D300" s="7"/>
      <c r="E300" s="24"/>
      <c r="F300" s="25"/>
    </row>
    <row r="301" spans="1:6">
      <c r="A301" s="5"/>
      <c r="B301" s="23" t="s">
        <v>236</v>
      </c>
      <c r="C301" s="24"/>
      <c r="D301" s="26" t="s">
        <v>81</v>
      </c>
      <c r="E301" s="24">
        <v>70</v>
      </c>
      <c r="F301" s="79"/>
    </row>
    <row r="302" spans="1:6">
      <c r="A302" s="5"/>
      <c r="B302" s="23" t="s">
        <v>237</v>
      </c>
      <c r="C302" s="90"/>
      <c r="D302" s="26" t="s">
        <v>81</v>
      </c>
      <c r="E302" s="24">
        <v>75</v>
      </c>
      <c r="F302" s="74">
        <f t="shared" ref="F302" si="31">E302*C302</f>
        <v>0</v>
      </c>
    </row>
    <row r="303" spans="1:6" ht="226.5" customHeight="1">
      <c r="A303" s="5" t="s">
        <v>216</v>
      </c>
      <c r="B303" s="28" t="s">
        <v>268</v>
      </c>
      <c r="C303" s="49"/>
      <c r="D303" s="7"/>
      <c r="E303" s="24"/>
      <c r="F303" s="25"/>
    </row>
    <row r="304" spans="1:6">
      <c r="A304" s="5" t="s">
        <v>301</v>
      </c>
      <c r="B304" s="23" t="s">
        <v>547</v>
      </c>
      <c r="C304" s="88"/>
      <c r="D304" s="25" t="s">
        <v>83</v>
      </c>
      <c r="E304" s="24">
        <v>575</v>
      </c>
      <c r="F304" s="25"/>
    </row>
    <row r="305" spans="1:6">
      <c r="A305" s="5"/>
      <c r="B305" s="23" t="s">
        <v>546</v>
      </c>
      <c r="C305" s="91"/>
      <c r="D305" s="25" t="s">
        <v>83</v>
      </c>
      <c r="E305" s="24">
        <v>650</v>
      </c>
      <c r="F305" s="74">
        <f t="shared" ref="F305:F306" si="32">E305*C305</f>
        <v>0</v>
      </c>
    </row>
    <row r="306" spans="1:6" ht="21.75" customHeight="1">
      <c r="A306" s="5"/>
      <c r="B306" s="23" t="s">
        <v>545</v>
      </c>
      <c r="C306" s="91"/>
      <c r="D306" s="25" t="s">
        <v>83</v>
      </c>
      <c r="E306" s="24">
        <v>950</v>
      </c>
      <c r="F306" s="74">
        <f t="shared" si="32"/>
        <v>0</v>
      </c>
    </row>
    <row r="307" spans="1:6">
      <c r="A307" s="5"/>
      <c r="B307" s="23" t="s">
        <v>548</v>
      </c>
      <c r="C307" s="88"/>
      <c r="D307" s="25" t="s">
        <v>83</v>
      </c>
      <c r="E307" s="24">
        <v>1550</v>
      </c>
      <c r="F307" s="79"/>
    </row>
    <row r="308" spans="1:6">
      <c r="A308" s="5"/>
      <c r="B308" s="23" t="s">
        <v>549</v>
      </c>
      <c r="C308" s="88"/>
      <c r="D308" s="25" t="s">
        <v>83</v>
      </c>
      <c r="E308" s="24">
        <v>2650</v>
      </c>
      <c r="F308" s="25"/>
    </row>
    <row r="309" spans="1:6">
      <c r="A309" s="5"/>
      <c r="B309" s="23" t="s">
        <v>550</v>
      </c>
      <c r="C309" s="88"/>
      <c r="D309" s="25" t="s">
        <v>83</v>
      </c>
      <c r="E309" s="24">
        <v>37850</v>
      </c>
      <c r="F309" s="25"/>
    </row>
    <row r="310" spans="1:6">
      <c r="A310" s="5"/>
      <c r="B310" s="21" t="s">
        <v>438</v>
      </c>
      <c r="C310" s="88"/>
      <c r="D310" s="25"/>
      <c r="E310" s="24"/>
      <c r="F310" s="25"/>
    </row>
    <row r="311" spans="1:6">
      <c r="A311" s="5" t="s">
        <v>303</v>
      </c>
      <c r="B311" s="23" t="s">
        <v>551</v>
      </c>
      <c r="C311" s="88"/>
      <c r="D311" s="25" t="s">
        <v>83</v>
      </c>
      <c r="E311" s="24">
        <v>1750</v>
      </c>
      <c r="F311" s="79"/>
    </row>
    <row r="312" spans="1:6">
      <c r="A312" s="5"/>
      <c r="B312" s="23" t="s">
        <v>552</v>
      </c>
      <c r="C312" s="88"/>
      <c r="D312" s="25" t="s">
        <v>83</v>
      </c>
      <c r="E312" s="24">
        <v>2950</v>
      </c>
      <c r="F312" s="25"/>
    </row>
    <row r="313" spans="1:6">
      <c r="A313" s="5"/>
      <c r="B313" s="23" t="s">
        <v>553</v>
      </c>
      <c r="C313" s="88"/>
      <c r="D313" s="25" t="s">
        <v>83</v>
      </c>
      <c r="E313" s="24">
        <v>4250</v>
      </c>
      <c r="F313" s="25"/>
    </row>
    <row r="314" spans="1:6" ht="129.5">
      <c r="A314" s="5" t="s">
        <v>42</v>
      </c>
      <c r="B314" s="23" t="s">
        <v>217</v>
      </c>
      <c r="C314" s="5"/>
      <c r="D314" s="7"/>
      <c r="E314" s="24"/>
      <c r="F314" s="25"/>
    </row>
    <row r="315" spans="1:6">
      <c r="A315" s="5"/>
      <c r="B315" s="23" t="s">
        <v>283</v>
      </c>
      <c r="C315" s="32"/>
      <c r="D315" s="25" t="s">
        <v>71</v>
      </c>
      <c r="E315" s="24">
        <v>1250</v>
      </c>
      <c r="F315" s="74">
        <f t="shared" ref="F315" si="33">E315*C315</f>
        <v>0</v>
      </c>
    </row>
    <row r="316" spans="1:6">
      <c r="A316" s="5"/>
      <c r="B316" s="23" t="s">
        <v>284</v>
      </c>
      <c r="C316" s="5"/>
      <c r="D316" s="25" t="s">
        <v>71</v>
      </c>
      <c r="E316" s="24">
        <v>1150</v>
      </c>
      <c r="F316" s="79"/>
    </row>
    <row r="317" spans="1:6" ht="95.25" customHeight="1">
      <c r="A317" s="5" t="s">
        <v>317</v>
      </c>
      <c r="B317" s="38" t="s">
        <v>272</v>
      </c>
      <c r="C317" s="53"/>
      <c r="D317" s="7"/>
      <c r="E317" s="24"/>
      <c r="F317" s="25"/>
    </row>
    <row r="318" spans="1:6" ht="37">
      <c r="A318" s="5"/>
      <c r="B318" s="23" t="s">
        <v>219</v>
      </c>
      <c r="C318" s="32"/>
      <c r="D318" s="25" t="s">
        <v>71</v>
      </c>
      <c r="E318" s="24">
        <v>650</v>
      </c>
      <c r="F318" s="74">
        <f t="shared" ref="F318:F320" si="34">E318*C318</f>
        <v>0</v>
      </c>
    </row>
    <row r="319" spans="1:6" ht="37">
      <c r="A319" s="5"/>
      <c r="B319" s="23" t="s">
        <v>220</v>
      </c>
      <c r="C319" s="32"/>
      <c r="D319" s="25" t="s">
        <v>71</v>
      </c>
      <c r="E319" s="24">
        <v>1250</v>
      </c>
      <c r="F319" s="74">
        <f t="shared" si="34"/>
        <v>0</v>
      </c>
    </row>
    <row r="320" spans="1:6" ht="37">
      <c r="A320" s="5"/>
      <c r="B320" s="23" t="s">
        <v>0</v>
      </c>
      <c r="C320" s="32"/>
      <c r="D320" s="25" t="s">
        <v>71</v>
      </c>
      <c r="E320" s="24">
        <v>1675</v>
      </c>
      <c r="F320" s="74">
        <f t="shared" si="34"/>
        <v>0</v>
      </c>
    </row>
    <row r="321" spans="1:6" ht="221.25" customHeight="1">
      <c r="A321" s="5" t="s">
        <v>318</v>
      </c>
      <c r="B321" s="23" t="s">
        <v>226</v>
      </c>
      <c r="C321" s="24"/>
      <c r="D321" s="25" t="s">
        <v>192</v>
      </c>
      <c r="E321" s="24">
        <v>165</v>
      </c>
      <c r="F321" s="79"/>
    </row>
    <row r="322" spans="1:6" ht="143.25" customHeight="1">
      <c r="A322" s="5" t="s">
        <v>319</v>
      </c>
      <c r="B322" s="23" t="s">
        <v>451</v>
      </c>
      <c r="C322" s="32"/>
      <c r="D322" s="25" t="s">
        <v>192</v>
      </c>
      <c r="E322" s="24">
        <v>135</v>
      </c>
      <c r="F322" s="74">
        <f t="shared" ref="F322:F326" si="35">E322*C322</f>
        <v>0</v>
      </c>
    </row>
    <row r="323" spans="1:6" ht="148">
      <c r="A323" s="5" t="s">
        <v>320</v>
      </c>
      <c r="B323" s="23" t="s">
        <v>604</v>
      </c>
      <c r="C323" s="24"/>
      <c r="D323" s="25" t="s">
        <v>169</v>
      </c>
      <c r="E323" s="24">
        <v>3750</v>
      </c>
      <c r="F323" s="74">
        <f t="shared" si="35"/>
        <v>0</v>
      </c>
    </row>
    <row r="324" spans="1:6" ht="55.5">
      <c r="A324" s="5" t="s">
        <v>218</v>
      </c>
      <c r="B324" s="23" t="s">
        <v>46</v>
      </c>
      <c r="C324" s="88"/>
      <c r="D324" s="25" t="s">
        <v>108</v>
      </c>
      <c r="E324" s="24">
        <v>2950</v>
      </c>
      <c r="F324" s="74">
        <f t="shared" si="35"/>
        <v>0</v>
      </c>
    </row>
    <row r="325" spans="1:6" ht="55.5">
      <c r="A325" s="5" t="s">
        <v>221</v>
      </c>
      <c r="B325" s="23" t="s">
        <v>47</v>
      </c>
      <c r="C325" s="88"/>
      <c r="D325" s="25" t="s">
        <v>108</v>
      </c>
      <c r="E325" s="24">
        <v>3500</v>
      </c>
      <c r="F325" s="74">
        <f t="shared" si="35"/>
        <v>0</v>
      </c>
    </row>
    <row r="326" spans="1:6" ht="58.4" customHeight="1">
      <c r="A326" s="5" t="s">
        <v>224</v>
      </c>
      <c r="B326" s="23" t="s">
        <v>273</v>
      </c>
      <c r="C326" s="88"/>
      <c r="D326" s="25" t="s">
        <v>108</v>
      </c>
      <c r="E326" s="24">
        <v>5500</v>
      </c>
      <c r="F326" s="74">
        <f t="shared" si="35"/>
        <v>0</v>
      </c>
    </row>
    <row r="327" spans="1:6" ht="55.5">
      <c r="A327" s="5" t="s">
        <v>225</v>
      </c>
      <c r="B327" s="28" t="s">
        <v>310</v>
      </c>
      <c r="C327" s="49"/>
      <c r="D327" s="24"/>
      <c r="E327" s="24"/>
      <c r="F327" s="25"/>
    </row>
    <row r="328" spans="1:6">
      <c r="A328" s="5"/>
      <c r="B328" s="28" t="s">
        <v>48</v>
      </c>
      <c r="C328" s="24"/>
      <c r="D328" s="24" t="s">
        <v>164</v>
      </c>
      <c r="E328" s="24">
        <v>250</v>
      </c>
      <c r="F328" s="79"/>
    </row>
    <row r="329" spans="1:6">
      <c r="A329" s="5"/>
      <c r="B329" s="28" t="s">
        <v>49</v>
      </c>
      <c r="C329" s="24"/>
      <c r="D329" s="24" t="s">
        <v>164</v>
      </c>
      <c r="E329" s="24">
        <v>350</v>
      </c>
      <c r="F329" s="79"/>
    </row>
    <row r="330" spans="1:6" ht="64.400000000000006" customHeight="1">
      <c r="A330" s="5" t="s">
        <v>227</v>
      </c>
      <c r="B330" s="28" t="s">
        <v>269</v>
      </c>
      <c r="C330" s="32"/>
      <c r="D330" s="24"/>
      <c r="E330" s="24"/>
      <c r="F330" s="25"/>
    </row>
    <row r="331" spans="1:6">
      <c r="A331" s="5"/>
      <c r="B331" s="28" t="s">
        <v>48</v>
      </c>
      <c r="C331" s="24"/>
      <c r="D331" s="24" t="s">
        <v>164</v>
      </c>
      <c r="E331" s="24">
        <v>650</v>
      </c>
      <c r="F331" s="79"/>
    </row>
    <row r="332" spans="1:6">
      <c r="A332" s="5"/>
      <c r="B332" s="28" t="s">
        <v>49</v>
      </c>
      <c r="C332" s="24"/>
      <c r="D332" s="24" t="s">
        <v>164</v>
      </c>
      <c r="E332" s="24">
        <v>750</v>
      </c>
      <c r="F332" s="79"/>
    </row>
    <row r="333" spans="1:6" ht="92.5">
      <c r="A333" s="5" t="s">
        <v>228</v>
      </c>
      <c r="B333" s="23" t="s">
        <v>271</v>
      </c>
      <c r="C333" s="5"/>
      <c r="D333" s="25"/>
      <c r="E333" s="24"/>
      <c r="F333" s="25"/>
    </row>
    <row r="334" spans="1:6">
      <c r="A334" s="5"/>
      <c r="B334" s="23" t="s">
        <v>84</v>
      </c>
      <c r="C334" s="32"/>
      <c r="D334" s="25" t="s">
        <v>164</v>
      </c>
      <c r="E334" s="24">
        <v>11500</v>
      </c>
      <c r="F334" s="74">
        <f t="shared" ref="F334:F336" si="36">E334*C334</f>
        <v>0</v>
      </c>
    </row>
    <row r="335" spans="1:6">
      <c r="A335" s="83"/>
      <c r="B335" s="23" t="s">
        <v>399</v>
      </c>
      <c r="C335" s="32"/>
      <c r="D335" s="25" t="s">
        <v>164</v>
      </c>
      <c r="E335" s="24">
        <v>16500</v>
      </c>
      <c r="F335" s="74">
        <f t="shared" si="36"/>
        <v>0</v>
      </c>
    </row>
    <row r="336" spans="1:6" ht="55.5">
      <c r="A336" s="5" t="s">
        <v>452</v>
      </c>
      <c r="B336" s="23" t="s">
        <v>471</v>
      </c>
      <c r="C336" s="32"/>
      <c r="D336" s="25" t="s">
        <v>352</v>
      </c>
      <c r="E336" s="24">
        <v>1450</v>
      </c>
      <c r="F336" s="74">
        <f t="shared" si="36"/>
        <v>0</v>
      </c>
    </row>
    <row r="337" spans="1:6" ht="74">
      <c r="A337" s="5" t="s">
        <v>472</v>
      </c>
      <c r="B337" s="23" t="s">
        <v>473</v>
      </c>
      <c r="C337" s="5"/>
      <c r="D337" s="25"/>
      <c r="E337" s="24"/>
      <c r="F337" s="79"/>
    </row>
    <row r="338" spans="1:6">
      <c r="A338" s="5"/>
      <c r="B338" s="23" t="s">
        <v>474</v>
      </c>
      <c r="C338" s="5"/>
      <c r="D338" s="25" t="s">
        <v>164</v>
      </c>
      <c r="E338" s="24">
        <v>250</v>
      </c>
      <c r="F338" s="74">
        <f>E338*C338</f>
        <v>0</v>
      </c>
    </row>
    <row r="339" spans="1:6">
      <c r="A339" s="5"/>
      <c r="B339" s="23" t="s">
        <v>475</v>
      </c>
      <c r="C339" s="5"/>
      <c r="D339" s="25" t="s">
        <v>164</v>
      </c>
      <c r="E339" s="24">
        <v>375</v>
      </c>
      <c r="F339" s="74">
        <f>E339*C339</f>
        <v>0</v>
      </c>
    </row>
    <row r="340" spans="1:6">
      <c r="A340" s="5"/>
      <c r="B340" s="23" t="s">
        <v>476</v>
      </c>
      <c r="C340" s="5"/>
      <c r="D340" s="25" t="s">
        <v>164</v>
      </c>
      <c r="E340" s="24">
        <v>550</v>
      </c>
      <c r="F340" s="74">
        <f>E340*C340</f>
        <v>0</v>
      </c>
    </row>
    <row r="341" spans="1:6">
      <c r="A341" s="5"/>
      <c r="B341" s="23" t="s">
        <v>477</v>
      </c>
      <c r="C341" s="5"/>
      <c r="D341" s="25" t="s">
        <v>164</v>
      </c>
      <c r="E341" s="24">
        <v>750</v>
      </c>
      <c r="F341" s="74">
        <f>E341*C341</f>
        <v>0</v>
      </c>
    </row>
    <row r="342" spans="1:6">
      <c r="A342" s="5"/>
      <c r="B342" s="23" t="s">
        <v>478</v>
      </c>
      <c r="C342" s="5"/>
      <c r="D342" s="25" t="s">
        <v>164</v>
      </c>
      <c r="E342" s="24">
        <v>1200</v>
      </c>
      <c r="F342" s="74">
        <f t="shared" ref="F342:F343" si="37">E342*C342</f>
        <v>0</v>
      </c>
    </row>
    <row r="343" spans="1:6">
      <c r="A343" s="5"/>
      <c r="B343" s="23" t="s">
        <v>479</v>
      </c>
      <c r="C343" s="63"/>
      <c r="D343" s="25" t="s">
        <v>164</v>
      </c>
      <c r="E343" s="24">
        <v>1875</v>
      </c>
      <c r="F343" s="74">
        <f t="shared" si="37"/>
        <v>0</v>
      </c>
    </row>
    <row r="344" spans="1:6" ht="74">
      <c r="A344" s="5" t="s">
        <v>534</v>
      </c>
      <c r="B344" s="23" t="s">
        <v>605</v>
      </c>
      <c r="C344" s="5"/>
      <c r="D344" s="23"/>
      <c r="E344" s="5"/>
      <c r="F344" s="23"/>
    </row>
    <row r="345" spans="1:6" ht="37">
      <c r="A345" s="5"/>
      <c r="B345" s="23" t="s">
        <v>513</v>
      </c>
      <c r="C345" s="5"/>
      <c r="D345" s="5" t="s">
        <v>514</v>
      </c>
      <c r="E345" s="5">
        <v>750</v>
      </c>
      <c r="F345" s="74">
        <f t="shared" ref="F345:F348" si="38">E345*C345</f>
        <v>0</v>
      </c>
    </row>
    <row r="346" spans="1:6" ht="37">
      <c r="A346" s="5"/>
      <c r="B346" s="23" t="s">
        <v>515</v>
      </c>
      <c r="C346" s="5"/>
      <c r="D346" s="5" t="s">
        <v>514</v>
      </c>
      <c r="E346" s="5">
        <v>950</v>
      </c>
      <c r="F346" s="74">
        <f t="shared" si="38"/>
        <v>0</v>
      </c>
    </row>
    <row r="347" spans="1:6" ht="37">
      <c r="A347" s="5"/>
      <c r="B347" s="23" t="s">
        <v>516</v>
      </c>
      <c r="C347" s="5"/>
      <c r="D347" s="5" t="s">
        <v>514</v>
      </c>
      <c r="E347" s="5">
        <v>1250</v>
      </c>
      <c r="F347" s="74">
        <f t="shared" si="38"/>
        <v>0</v>
      </c>
    </row>
    <row r="348" spans="1:6">
      <c r="A348" s="5"/>
      <c r="B348" s="23" t="s">
        <v>517</v>
      </c>
      <c r="C348" s="5"/>
      <c r="D348" s="5" t="s">
        <v>82</v>
      </c>
      <c r="E348" s="5">
        <v>1250</v>
      </c>
      <c r="F348" s="74">
        <f t="shared" si="38"/>
        <v>0</v>
      </c>
    </row>
    <row r="349" spans="1:6">
      <c r="A349" s="67"/>
      <c r="B349" s="35" t="s">
        <v>229</v>
      </c>
      <c r="C349" s="3"/>
      <c r="D349" s="4"/>
      <c r="E349" s="4"/>
      <c r="F349" s="80">
        <f>SUM(F294:F348)</f>
        <v>108245</v>
      </c>
    </row>
    <row r="350" spans="1:6">
      <c r="A350" s="84"/>
      <c r="B350" s="36" t="s">
        <v>453</v>
      </c>
      <c r="C350" s="55"/>
      <c r="D350" s="4"/>
      <c r="E350" s="66"/>
      <c r="F350" s="4"/>
    </row>
    <row r="351" spans="1:6" ht="148">
      <c r="A351" s="85" t="s">
        <v>332</v>
      </c>
      <c r="B351" s="23" t="s">
        <v>503</v>
      </c>
      <c r="C351" s="5"/>
      <c r="D351" s="32" t="s">
        <v>334</v>
      </c>
      <c r="E351" s="32">
        <v>150</v>
      </c>
      <c r="F351" s="74">
        <f t="shared" ref="F351:F353" si="39">E351*C351</f>
        <v>0</v>
      </c>
    </row>
    <row r="352" spans="1:6" ht="111">
      <c r="A352" s="85" t="s">
        <v>333</v>
      </c>
      <c r="B352" s="23" t="s">
        <v>336</v>
      </c>
      <c r="C352" s="5"/>
      <c r="D352" s="32" t="s">
        <v>334</v>
      </c>
      <c r="E352" s="32">
        <v>500</v>
      </c>
      <c r="F352" s="74">
        <f t="shared" si="39"/>
        <v>0</v>
      </c>
    </row>
    <row r="353" spans="1:6" ht="111">
      <c r="A353" s="85" t="s">
        <v>335</v>
      </c>
      <c r="B353" s="23" t="s">
        <v>338</v>
      </c>
      <c r="C353" s="5"/>
      <c r="D353" s="32" t="s">
        <v>334</v>
      </c>
      <c r="E353" s="32">
        <v>1050</v>
      </c>
      <c r="F353" s="74">
        <f t="shared" si="39"/>
        <v>0</v>
      </c>
    </row>
    <row r="354" spans="1:6" ht="111">
      <c r="A354" s="85" t="s">
        <v>337</v>
      </c>
      <c r="B354" s="23" t="s">
        <v>308</v>
      </c>
      <c r="C354" s="5"/>
      <c r="D354" s="32"/>
      <c r="E354" s="32"/>
      <c r="F354" s="32"/>
    </row>
    <row r="355" spans="1:6">
      <c r="A355" s="32" t="s">
        <v>339</v>
      </c>
      <c r="B355" s="23" t="s">
        <v>222</v>
      </c>
      <c r="C355" s="5"/>
      <c r="D355" s="26" t="s">
        <v>169</v>
      </c>
      <c r="E355" s="32">
        <v>517</v>
      </c>
      <c r="F355" s="74">
        <f t="shared" ref="F355:F358" si="40">E355*C355</f>
        <v>0</v>
      </c>
    </row>
    <row r="356" spans="1:6" ht="55.5">
      <c r="A356" s="85" t="s">
        <v>294</v>
      </c>
      <c r="B356" s="23" t="s">
        <v>274</v>
      </c>
      <c r="C356" s="5"/>
      <c r="D356" s="26" t="s">
        <v>169</v>
      </c>
      <c r="E356" s="32">
        <v>340</v>
      </c>
      <c r="F356" s="74">
        <f t="shared" si="40"/>
        <v>0</v>
      </c>
    </row>
    <row r="357" spans="1:6" ht="55.5">
      <c r="A357" s="32" t="s">
        <v>340</v>
      </c>
      <c r="B357" s="23" t="s">
        <v>275</v>
      </c>
      <c r="C357" s="5"/>
      <c r="D357" s="26" t="s">
        <v>169</v>
      </c>
      <c r="E357" s="32">
        <v>170</v>
      </c>
      <c r="F357" s="74">
        <f t="shared" si="40"/>
        <v>0</v>
      </c>
    </row>
    <row r="358" spans="1:6" ht="92.5">
      <c r="A358" s="32" t="s">
        <v>341</v>
      </c>
      <c r="B358" s="17" t="s">
        <v>343</v>
      </c>
      <c r="C358" s="49"/>
      <c r="D358" s="32" t="s">
        <v>334</v>
      </c>
      <c r="E358" s="32">
        <v>4150</v>
      </c>
      <c r="F358" s="74">
        <f t="shared" si="40"/>
        <v>0</v>
      </c>
    </row>
    <row r="359" spans="1:6" ht="92.5">
      <c r="A359" s="32" t="s">
        <v>342</v>
      </c>
      <c r="B359" s="17" t="s">
        <v>407</v>
      </c>
      <c r="C359" s="24"/>
      <c r="D359" s="32" t="s">
        <v>334</v>
      </c>
      <c r="E359" s="32">
        <v>4750</v>
      </c>
      <c r="F359" s="79"/>
    </row>
    <row r="360" spans="1:6" ht="259">
      <c r="A360" s="32" t="s">
        <v>344</v>
      </c>
      <c r="B360" s="17" t="s">
        <v>607</v>
      </c>
      <c r="C360" s="32"/>
      <c r="D360" s="32" t="s">
        <v>334</v>
      </c>
      <c r="E360" s="32">
        <v>6250</v>
      </c>
      <c r="F360" s="74">
        <f t="shared" ref="F360" si="41">E360*C360</f>
        <v>0</v>
      </c>
    </row>
    <row r="361" spans="1:6" ht="37">
      <c r="A361" s="65"/>
      <c r="B361" s="18" t="s">
        <v>345</v>
      </c>
      <c r="C361" s="57"/>
      <c r="D361" s="32"/>
      <c r="E361" s="32"/>
      <c r="F361" s="32"/>
    </row>
    <row r="362" spans="1:6" ht="55.5">
      <c r="A362" s="65"/>
      <c r="B362" s="17" t="s">
        <v>346</v>
      </c>
      <c r="C362" s="51"/>
      <c r="D362" s="32"/>
      <c r="E362" s="32"/>
      <c r="F362" s="32"/>
    </row>
    <row r="363" spans="1:6" ht="55.5">
      <c r="A363" s="32" t="s">
        <v>466</v>
      </c>
      <c r="B363" s="48" t="s">
        <v>465</v>
      </c>
      <c r="C363" s="32"/>
      <c r="D363" s="32" t="s">
        <v>334</v>
      </c>
      <c r="E363" s="32">
        <v>5950</v>
      </c>
      <c r="F363" s="74">
        <f t="shared" ref="F363" si="42">E363*C363</f>
        <v>0</v>
      </c>
    </row>
    <row r="364" spans="1:6" ht="240.5">
      <c r="A364" s="32" t="s">
        <v>454</v>
      </c>
      <c r="B364" s="17" t="s">
        <v>455</v>
      </c>
      <c r="C364" s="51"/>
      <c r="D364" s="32"/>
      <c r="E364" s="32"/>
      <c r="F364" s="32"/>
    </row>
    <row r="365" spans="1:6" ht="74">
      <c r="A365" s="32" t="s">
        <v>339</v>
      </c>
      <c r="B365" s="17" t="s">
        <v>408</v>
      </c>
      <c r="C365" s="49"/>
      <c r="D365" s="32" t="s">
        <v>191</v>
      </c>
      <c r="E365" s="32">
        <v>65500</v>
      </c>
      <c r="F365" s="74">
        <f t="shared" ref="F365:F368" si="43">E365*C365</f>
        <v>0</v>
      </c>
    </row>
    <row r="366" spans="1:6" ht="92.5">
      <c r="A366" s="32" t="s">
        <v>347</v>
      </c>
      <c r="B366" s="17" t="s">
        <v>350</v>
      </c>
      <c r="C366" s="49"/>
      <c r="D366" s="32" t="s">
        <v>289</v>
      </c>
      <c r="E366" s="32">
        <v>225</v>
      </c>
      <c r="F366" s="74">
        <f t="shared" si="43"/>
        <v>0</v>
      </c>
    </row>
    <row r="367" spans="1:6" ht="92.5">
      <c r="A367" s="32" t="s">
        <v>348</v>
      </c>
      <c r="B367" s="17" t="s">
        <v>391</v>
      </c>
      <c r="C367" s="49"/>
      <c r="D367" s="32" t="s">
        <v>289</v>
      </c>
      <c r="E367" s="32">
        <v>165</v>
      </c>
      <c r="F367" s="74">
        <f t="shared" si="43"/>
        <v>0</v>
      </c>
    </row>
    <row r="368" spans="1:6" ht="92.5">
      <c r="A368" s="32" t="s">
        <v>349</v>
      </c>
      <c r="B368" s="23" t="s">
        <v>392</v>
      </c>
      <c r="C368" s="5"/>
      <c r="D368" s="32" t="s">
        <v>289</v>
      </c>
      <c r="E368" s="32">
        <v>165</v>
      </c>
      <c r="F368" s="74">
        <f t="shared" si="43"/>
        <v>0</v>
      </c>
    </row>
    <row r="369" spans="1:6" ht="185">
      <c r="A369" s="32" t="s">
        <v>351</v>
      </c>
      <c r="B369" s="23" t="s">
        <v>499</v>
      </c>
      <c r="C369" s="5"/>
      <c r="D369" s="32"/>
      <c r="E369" s="32"/>
      <c r="F369" s="32"/>
    </row>
    <row r="370" spans="1:6">
      <c r="A370" s="51" t="s">
        <v>339</v>
      </c>
      <c r="B370" s="17" t="s">
        <v>356</v>
      </c>
      <c r="C370" s="24"/>
      <c r="D370" s="32" t="s">
        <v>289</v>
      </c>
      <c r="E370" s="32">
        <v>575</v>
      </c>
      <c r="F370" s="32"/>
    </row>
    <row r="371" spans="1:6">
      <c r="A371" s="51" t="s">
        <v>294</v>
      </c>
      <c r="B371" s="17" t="s">
        <v>357</v>
      </c>
      <c r="C371" s="32"/>
      <c r="D371" s="32" t="s">
        <v>289</v>
      </c>
      <c r="E371" s="32">
        <v>720</v>
      </c>
      <c r="F371" s="74">
        <f t="shared" ref="F371:F372" si="44">E371*C371</f>
        <v>0</v>
      </c>
    </row>
    <row r="372" spans="1:6">
      <c r="A372" s="51" t="s">
        <v>340</v>
      </c>
      <c r="B372" s="17" t="s">
        <v>358</v>
      </c>
      <c r="C372" s="32"/>
      <c r="D372" s="32" t="s">
        <v>289</v>
      </c>
      <c r="E372" s="32">
        <v>920</v>
      </c>
      <c r="F372" s="74">
        <f t="shared" si="44"/>
        <v>0</v>
      </c>
    </row>
    <row r="373" spans="1:6">
      <c r="A373" s="51" t="s">
        <v>359</v>
      </c>
      <c r="B373" s="17" t="s">
        <v>360</v>
      </c>
      <c r="C373" s="24"/>
      <c r="D373" s="32" t="s">
        <v>289</v>
      </c>
      <c r="E373" s="32">
        <v>1750</v>
      </c>
      <c r="F373" s="79"/>
    </row>
    <row r="374" spans="1:6">
      <c r="A374" s="51" t="s">
        <v>361</v>
      </c>
      <c r="B374" s="17" t="s">
        <v>362</v>
      </c>
      <c r="C374" s="24"/>
      <c r="D374" s="32" t="s">
        <v>289</v>
      </c>
      <c r="E374" s="32">
        <v>2950</v>
      </c>
      <c r="F374" s="32"/>
    </row>
    <row r="375" spans="1:6">
      <c r="A375" s="51" t="s">
        <v>363</v>
      </c>
      <c r="B375" s="17" t="s">
        <v>364</v>
      </c>
      <c r="C375" s="24"/>
      <c r="D375" s="32" t="s">
        <v>289</v>
      </c>
      <c r="E375" s="32">
        <v>3950</v>
      </c>
      <c r="F375" s="32"/>
    </row>
    <row r="376" spans="1:6">
      <c r="A376" s="51" t="s">
        <v>365</v>
      </c>
      <c r="B376" s="17" t="s">
        <v>366</v>
      </c>
      <c r="C376" s="24"/>
      <c r="D376" s="32" t="s">
        <v>289</v>
      </c>
      <c r="E376" s="32">
        <v>4250</v>
      </c>
      <c r="F376" s="32"/>
    </row>
    <row r="377" spans="1:6" ht="203.5">
      <c r="A377" s="32" t="s">
        <v>353</v>
      </c>
      <c r="B377" s="23" t="s">
        <v>368</v>
      </c>
      <c r="C377" s="5"/>
      <c r="D377" s="32"/>
      <c r="E377" s="32"/>
      <c r="F377" s="32"/>
    </row>
    <row r="378" spans="1:6">
      <c r="A378" s="51" t="s">
        <v>339</v>
      </c>
      <c r="B378" s="16" t="s">
        <v>369</v>
      </c>
      <c r="C378" s="24"/>
      <c r="D378" s="32" t="s">
        <v>289</v>
      </c>
      <c r="E378" s="32">
        <v>525</v>
      </c>
      <c r="F378" s="32"/>
    </row>
    <row r="379" spans="1:6">
      <c r="A379" s="51" t="s">
        <v>294</v>
      </c>
      <c r="B379" s="16" t="s">
        <v>370</v>
      </c>
      <c r="C379" s="32"/>
      <c r="D379" s="32" t="s">
        <v>289</v>
      </c>
      <c r="E379" s="32">
        <v>650</v>
      </c>
      <c r="F379" s="74">
        <f t="shared" ref="F379:F380" si="45">E379*C379</f>
        <v>0</v>
      </c>
    </row>
    <row r="380" spans="1:6">
      <c r="A380" s="51" t="s">
        <v>340</v>
      </c>
      <c r="B380" s="16" t="s">
        <v>371</v>
      </c>
      <c r="C380" s="32"/>
      <c r="D380" s="32" t="s">
        <v>289</v>
      </c>
      <c r="E380" s="32">
        <v>830</v>
      </c>
      <c r="F380" s="74">
        <f t="shared" si="45"/>
        <v>0</v>
      </c>
    </row>
    <row r="381" spans="1:6">
      <c r="A381" s="51" t="s">
        <v>359</v>
      </c>
      <c r="B381" s="16" t="s">
        <v>372</v>
      </c>
      <c r="C381" s="24"/>
      <c r="D381" s="32" t="s">
        <v>289</v>
      </c>
      <c r="E381" s="32">
        <v>1590</v>
      </c>
      <c r="F381" s="79"/>
    </row>
    <row r="382" spans="1:6">
      <c r="A382" s="51" t="s">
        <v>361</v>
      </c>
      <c r="B382" s="16" t="s">
        <v>373</v>
      </c>
      <c r="C382" s="24"/>
      <c r="D382" s="32" t="s">
        <v>289</v>
      </c>
      <c r="E382" s="32">
        <v>2680</v>
      </c>
      <c r="F382" s="32"/>
    </row>
    <row r="383" spans="1:6">
      <c r="A383" s="51" t="s">
        <v>363</v>
      </c>
      <c r="B383" s="16" t="s">
        <v>374</v>
      </c>
      <c r="C383" s="24"/>
      <c r="D383" s="32" t="s">
        <v>289</v>
      </c>
      <c r="E383" s="32">
        <v>3590</v>
      </c>
      <c r="F383" s="32"/>
    </row>
    <row r="384" spans="1:6">
      <c r="A384" s="51" t="s">
        <v>365</v>
      </c>
      <c r="B384" s="16" t="s">
        <v>375</v>
      </c>
      <c r="C384" s="24"/>
      <c r="D384" s="32" t="s">
        <v>289</v>
      </c>
      <c r="E384" s="32">
        <v>3850</v>
      </c>
      <c r="F384" s="32"/>
    </row>
    <row r="385" spans="1:6" ht="92.5">
      <c r="A385" s="32" t="s">
        <v>354</v>
      </c>
      <c r="B385" s="23" t="s">
        <v>393</v>
      </c>
      <c r="C385" s="5"/>
      <c r="D385" s="39"/>
      <c r="E385" s="65"/>
      <c r="F385" s="32"/>
    </row>
    <row r="386" spans="1:6">
      <c r="A386" s="5"/>
      <c r="B386" s="23" t="s">
        <v>377</v>
      </c>
      <c r="C386" s="5"/>
      <c r="D386" s="32" t="s">
        <v>289</v>
      </c>
      <c r="E386" s="32">
        <v>850</v>
      </c>
      <c r="F386" s="74">
        <f t="shared" ref="F386:F387" si="46">E386*C386</f>
        <v>0</v>
      </c>
    </row>
    <row r="387" spans="1:6" ht="92.5">
      <c r="A387" s="32" t="s">
        <v>355</v>
      </c>
      <c r="B387" s="23" t="s">
        <v>379</v>
      </c>
      <c r="C387" s="5"/>
      <c r="D387" s="32" t="s">
        <v>288</v>
      </c>
      <c r="E387" s="32">
        <v>150</v>
      </c>
      <c r="F387" s="74">
        <f t="shared" si="46"/>
        <v>0</v>
      </c>
    </row>
    <row r="388" spans="1:6" ht="92.5">
      <c r="A388" s="32" t="s">
        <v>367</v>
      </c>
      <c r="B388" s="23" t="s">
        <v>381</v>
      </c>
      <c r="C388" s="5"/>
      <c r="D388" s="32" t="s">
        <v>289</v>
      </c>
      <c r="E388" s="32">
        <v>1750</v>
      </c>
      <c r="F388" s="32"/>
    </row>
    <row r="389" spans="1:6" ht="92.5">
      <c r="A389" s="32" t="s">
        <v>376</v>
      </c>
      <c r="B389" s="23" t="s">
        <v>382</v>
      </c>
      <c r="C389" s="5"/>
      <c r="D389" s="25" t="s">
        <v>81</v>
      </c>
      <c r="E389" s="24">
        <v>750</v>
      </c>
      <c r="F389" s="74">
        <f t="shared" ref="F389" si="47">E389*C389</f>
        <v>0</v>
      </c>
    </row>
    <row r="390" spans="1:6">
      <c r="A390" s="5" t="s">
        <v>301</v>
      </c>
      <c r="B390" s="23" t="s">
        <v>383</v>
      </c>
      <c r="C390" s="24"/>
      <c r="D390" s="25" t="s">
        <v>81</v>
      </c>
      <c r="E390" s="24">
        <v>725</v>
      </c>
      <c r="F390" s="86"/>
    </row>
    <row r="391" spans="1:6" ht="222">
      <c r="A391" s="32" t="s">
        <v>378</v>
      </c>
      <c r="B391" s="23" t="s">
        <v>409</v>
      </c>
      <c r="C391" s="5"/>
      <c r="D391" s="24" t="s">
        <v>289</v>
      </c>
      <c r="E391" s="24">
        <v>550</v>
      </c>
      <c r="F391" s="74">
        <f t="shared" ref="F391" si="48">E391*C391</f>
        <v>0</v>
      </c>
    </row>
    <row r="392" spans="1:6" ht="148">
      <c r="A392" s="32" t="s">
        <v>380</v>
      </c>
      <c r="B392" s="23" t="s">
        <v>411</v>
      </c>
      <c r="C392" s="24"/>
      <c r="D392" s="24" t="s">
        <v>352</v>
      </c>
      <c r="E392" s="24">
        <v>7500</v>
      </c>
      <c r="F392" s="79"/>
    </row>
    <row r="393" spans="1:6" ht="92.5">
      <c r="A393" s="5" t="s">
        <v>410</v>
      </c>
      <c r="B393" s="23" t="s">
        <v>436</v>
      </c>
      <c r="C393" s="24"/>
      <c r="D393" s="24" t="s">
        <v>352</v>
      </c>
      <c r="E393" s="88"/>
      <c r="F393" s="79"/>
    </row>
    <row r="394" spans="1:6">
      <c r="A394" s="67"/>
      <c r="B394" s="35" t="s">
        <v>384</v>
      </c>
      <c r="C394" s="3"/>
      <c r="D394" s="66"/>
      <c r="E394" s="66"/>
      <c r="F394" s="69">
        <f>SUM(F351:F393)</f>
        <v>0</v>
      </c>
    </row>
    <row r="395" spans="1:6">
      <c r="A395" s="67"/>
      <c r="B395" s="35" t="s">
        <v>560</v>
      </c>
      <c r="C395" s="3"/>
      <c r="D395" s="66"/>
      <c r="E395" s="66"/>
      <c r="F395" s="68"/>
    </row>
    <row r="396" spans="1:6">
      <c r="A396" s="49"/>
      <c r="B396" s="28" t="s">
        <v>561</v>
      </c>
      <c r="C396" s="49"/>
      <c r="D396" s="32"/>
      <c r="E396" s="32"/>
      <c r="F396" s="70"/>
    </row>
    <row r="397" spans="1:6" ht="92.5">
      <c r="A397" s="5" t="s">
        <v>427</v>
      </c>
      <c r="B397" s="23" t="s">
        <v>562</v>
      </c>
      <c r="C397" s="24"/>
      <c r="D397" s="25" t="s">
        <v>82</v>
      </c>
      <c r="E397" s="32">
        <v>9500</v>
      </c>
      <c r="F397" s="60">
        <f t="shared" ref="F397:F398" si="49">E397*C397</f>
        <v>0</v>
      </c>
    </row>
    <row r="398" spans="1:6" ht="55.5">
      <c r="A398" s="5" t="s">
        <v>428</v>
      </c>
      <c r="B398" s="23" t="s">
        <v>563</v>
      </c>
      <c r="C398" s="24"/>
      <c r="D398" s="25" t="s">
        <v>82</v>
      </c>
      <c r="E398" s="32">
        <v>1450</v>
      </c>
      <c r="F398" s="60">
        <f t="shared" si="49"/>
        <v>0</v>
      </c>
    </row>
    <row r="399" spans="1:6" ht="55.5">
      <c r="A399" s="5" t="s">
        <v>429</v>
      </c>
      <c r="B399" s="23" t="s">
        <v>564</v>
      </c>
      <c r="C399" s="24"/>
      <c r="D399" s="25"/>
      <c r="E399" s="32"/>
      <c r="F399" s="60"/>
    </row>
    <row r="400" spans="1:6">
      <c r="A400" s="5"/>
      <c r="B400" s="23" t="s">
        <v>565</v>
      </c>
      <c r="C400" s="24"/>
      <c r="D400" s="25" t="s">
        <v>82</v>
      </c>
      <c r="E400" s="32">
        <v>2550</v>
      </c>
      <c r="F400" s="60">
        <f t="shared" ref="F400" si="50">E400*C400</f>
        <v>0</v>
      </c>
    </row>
    <row r="401" spans="1:6" ht="37">
      <c r="A401" s="5" t="s">
        <v>430</v>
      </c>
      <c r="B401" s="23" t="s">
        <v>566</v>
      </c>
      <c r="C401" s="24"/>
      <c r="D401" s="25" t="s">
        <v>82</v>
      </c>
      <c r="E401" s="32">
        <v>2650</v>
      </c>
      <c r="F401" s="60"/>
    </row>
    <row r="402" spans="1:6" ht="55.5">
      <c r="A402" s="5" t="s">
        <v>431</v>
      </c>
      <c r="B402" s="23" t="s">
        <v>567</v>
      </c>
      <c r="C402" s="24"/>
      <c r="D402" s="25" t="s">
        <v>82</v>
      </c>
      <c r="E402" s="32">
        <v>6500</v>
      </c>
      <c r="F402" s="60"/>
    </row>
    <row r="403" spans="1:6" ht="74">
      <c r="A403" s="5" t="s">
        <v>432</v>
      </c>
      <c r="B403" s="23" t="s">
        <v>568</v>
      </c>
      <c r="C403" s="24"/>
      <c r="D403" s="25" t="s">
        <v>82</v>
      </c>
      <c r="E403" s="32">
        <v>1250</v>
      </c>
      <c r="F403" s="60"/>
    </row>
    <row r="404" spans="1:6" ht="111">
      <c r="A404" s="5" t="s">
        <v>434</v>
      </c>
      <c r="B404" s="23" t="s">
        <v>569</v>
      </c>
      <c r="C404" s="24"/>
      <c r="D404" s="25" t="s">
        <v>82</v>
      </c>
      <c r="E404" s="32">
        <v>6500</v>
      </c>
      <c r="F404" s="60">
        <f t="shared" ref="F404" si="51">E404*C404</f>
        <v>0</v>
      </c>
    </row>
    <row r="405" spans="1:6" ht="55.5">
      <c r="A405" s="5" t="s">
        <v>571</v>
      </c>
      <c r="B405" s="23" t="s">
        <v>570</v>
      </c>
      <c r="C405" s="24"/>
      <c r="D405" s="25"/>
      <c r="E405" s="32"/>
      <c r="F405" s="60"/>
    </row>
    <row r="406" spans="1:6">
      <c r="A406" s="5"/>
      <c r="B406" s="23" t="s">
        <v>565</v>
      </c>
      <c r="C406" s="24"/>
      <c r="D406" s="25" t="s">
        <v>82</v>
      </c>
      <c r="E406" s="32">
        <v>1150</v>
      </c>
      <c r="F406" s="60">
        <f t="shared" ref="F406:F410" si="52">E406*C406</f>
        <v>0</v>
      </c>
    </row>
    <row r="407" spans="1:6" ht="37">
      <c r="A407" s="5" t="s">
        <v>572</v>
      </c>
      <c r="B407" s="23" t="s">
        <v>573</v>
      </c>
      <c r="C407" s="24"/>
      <c r="D407" s="25" t="s">
        <v>82</v>
      </c>
      <c r="E407" s="32">
        <v>7500</v>
      </c>
      <c r="F407" s="60">
        <f t="shared" si="52"/>
        <v>0</v>
      </c>
    </row>
    <row r="408" spans="1:6" ht="37">
      <c r="A408" s="5" t="s">
        <v>575</v>
      </c>
      <c r="B408" s="23" t="s">
        <v>574</v>
      </c>
      <c r="C408" s="24"/>
      <c r="D408" s="25" t="s">
        <v>82</v>
      </c>
      <c r="E408" s="32">
        <v>9500</v>
      </c>
      <c r="F408" s="60">
        <f t="shared" si="52"/>
        <v>0</v>
      </c>
    </row>
    <row r="409" spans="1:6" ht="37">
      <c r="A409" s="5" t="s">
        <v>576</v>
      </c>
      <c r="B409" s="23" t="s">
        <v>577</v>
      </c>
      <c r="C409" s="24"/>
      <c r="D409" s="25" t="s">
        <v>82</v>
      </c>
      <c r="E409" s="32">
        <v>2500</v>
      </c>
      <c r="F409" s="60">
        <f t="shared" si="52"/>
        <v>0</v>
      </c>
    </row>
    <row r="410" spans="1:6" ht="92.5">
      <c r="A410" s="5" t="s">
        <v>578</v>
      </c>
      <c r="B410" s="23" t="s">
        <v>579</v>
      </c>
      <c r="C410" s="24"/>
      <c r="D410" s="25" t="s">
        <v>82</v>
      </c>
      <c r="E410" s="32">
        <v>1950</v>
      </c>
      <c r="F410" s="60">
        <f t="shared" si="52"/>
        <v>0</v>
      </c>
    </row>
    <row r="411" spans="1:6" ht="129.5">
      <c r="A411" s="5" t="s">
        <v>580</v>
      </c>
      <c r="B411" s="23" t="s">
        <v>581</v>
      </c>
      <c r="C411" s="24"/>
      <c r="D411" s="25"/>
      <c r="E411" s="32"/>
      <c r="F411" s="60"/>
    </row>
    <row r="412" spans="1:6">
      <c r="A412" s="5"/>
      <c r="B412" s="23" t="s">
        <v>582</v>
      </c>
      <c r="C412" s="24"/>
      <c r="D412" s="25" t="s">
        <v>514</v>
      </c>
      <c r="E412" s="32">
        <v>750</v>
      </c>
      <c r="F412" s="60"/>
    </row>
    <row r="413" spans="1:6">
      <c r="A413" s="5"/>
      <c r="B413" s="23" t="s">
        <v>583</v>
      </c>
      <c r="C413" s="24"/>
      <c r="D413" s="25" t="s">
        <v>514</v>
      </c>
      <c r="E413" s="32">
        <v>600</v>
      </c>
      <c r="F413" s="60">
        <f t="shared" ref="F413:F416" si="53">E413*C413</f>
        <v>0</v>
      </c>
    </row>
    <row r="414" spans="1:6">
      <c r="A414" s="5"/>
      <c r="B414" s="23" t="s">
        <v>584</v>
      </c>
      <c r="C414" s="24"/>
      <c r="D414" s="25" t="s">
        <v>514</v>
      </c>
      <c r="E414" s="32">
        <v>375</v>
      </c>
      <c r="F414" s="60">
        <f t="shared" si="53"/>
        <v>0</v>
      </c>
    </row>
    <row r="415" spans="1:6">
      <c r="A415" s="5"/>
      <c r="B415" s="23" t="s">
        <v>585</v>
      </c>
      <c r="C415" s="24"/>
      <c r="D415" s="25" t="s">
        <v>514</v>
      </c>
      <c r="E415" s="32">
        <v>185</v>
      </c>
      <c r="F415" s="60">
        <f t="shared" si="53"/>
        <v>0</v>
      </c>
    </row>
    <row r="416" spans="1:6">
      <c r="A416" s="5"/>
      <c r="B416" s="23" t="s">
        <v>586</v>
      </c>
      <c r="C416" s="24"/>
      <c r="D416" s="25" t="s">
        <v>514</v>
      </c>
      <c r="E416" s="32">
        <v>135</v>
      </c>
      <c r="F416" s="60">
        <f t="shared" si="53"/>
        <v>0</v>
      </c>
    </row>
    <row r="417" spans="1:6" ht="141" customHeight="1">
      <c r="A417" s="5" t="s">
        <v>587</v>
      </c>
      <c r="B417" s="23" t="s">
        <v>606</v>
      </c>
      <c r="C417" s="24"/>
      <c r="D417" s="25"/>
      <c r="E417" s="32"/>
      <c r="F417" s="60"/>
    </row>
    <row r="418" spans="1:6">
      <c r="A418" s="5"/>
      <c r="B418" s="23" t="s">
        <v>588</v>
      </c>
      <c r="C418" s="24"/>
      <c r="D418" s="25" t="s">
        <v>514</v>
      </c>
      <c r="E418" s="32">
        <v>1750</v>
      </c>
      <c r="F418" s="60"/>
    </row>
    <row r="419" spans="1:6">
      <c r="A419" s="5"/>
      <c r="B419" s="23" t="s">
        <v>589</v>
      </c>
      <c r="C419" s="24"/>
      <c r="D419" s="25" t="s">
        <v>514</v>
      </c>
      <c r="E419" s="32">
        <v>1176</v>
      </c>
      <c r="F419" s="60">
        <f t="shared" ref="F419:F421" si="54">E419*C419</f>
        <v>0</v>
      </c>
    </row>
    <row r="420" spans="1:6">
      <c r="A420" s="5"/>
      <c r="B420" s="23" t="s">
        <v>590</v>
      </c>
      <c r="C420" s="24"/>
      <c r="D420" s="25" t="s">
        <v>514</v>
      </c>
      <c r="E420" s="32">
        <v>900</v>
      </c>
      <c r="F420" s="60">
        <f t="shared" si="54"/>
        <v>0</v>
      </c>
    </row>
    <row r="421" spans="1:6">
      <c r="A421" s="5"/>
      <c r="B421" s="23" t="s">
        <v>591</v>
      </c>
      <c r="C421" s="24"/>
      <c r="D421" s="25" t="s">
        <v>514</v>
      </c>
      <c r="E421" s="32">
        <v>670</v>
      </c>
      <c r="F421" s="60">
        <f t="shared" si="54"/>
        <v>0</v>
      </c>
    </row>
    <row r="422" spans="1:6" ht="92.5">
      <c r="A422" s="5" t="s">
        <v>593</v>
      </c>
      <c r="B422" s="23" t="s">
        <v>592</v>
      </c>
      <c r="C422" s="24"/>
      <c r="D422" s="25"/>
      <c r="E422" s="32"/>
      <c r="F422" s="60"/>
    </row>
    <row r="423" spans="1:6">
      <c r="A423" s="5"/>
      <c r="B423" s="23" t="s">
        <v>594</v>
      </c>
      <c r="C423" s="24"/>
      <c r="D423" s="25" t="s">
        <v>82</v>
      </c>
      <c r="E423" s="32">
        <v>750</v>
      </c>
      <c r="F423" s="60">
        <f>E423*C423</f>
        <v>0</v>
      </c>
    </row>
    <row r="424" spans="1:6" ht="74">
      <c r="A424" s="5" t="s">
        <v>597</v>
      </c>
      <c r="B424" s="23" t="s">
        <v>595</v>
      </c>
      <c r="C424" s="24"/>
      <c r="D424" s="25" t="s">
        <v>514</v>
      </c>
      <c r="E424" s="32">
        <v>1950</v>
      </c>
      <c r="F424" s="60">
        <f>E424*C424</f>
        <v>0</v>
      </c>
    </row>
    <row r="425" spans="1:6" ht="92.5">
      <c r="A425" s="5" t="s">
        <v>598</v>
      </c>
      <c r="B425" s="23" t="s">
        <v>596</v>
      </c>
      <c r="C425" s="24"/>
      <c r="D425" s="25" t="s">
        <v>82</v>
      </c>
      <c r="E425" s="32">
        <v>25000</v>
      </c>
      <c r="F425" s="60">
        <f>E425*C425</f>
        <v>0</v>
      </c>
    </row>
    <row r="426" spans="1:6">
      <c r="A426" s="67"/>
      <c r="B426" s="35" t="s">
        <v>433</v>
      </c>
      <c r="C426" s="3"/>
      <c r="D426" s="66"/>
      <c r="E426" s="66"/>
      <c r="F426" s="68">
        <f>SUM(F397:F425)</f>
        <v>0</v>
      </c>
    </row>
    <row r="427" spans="1:6">
      <c r="A427" s="67"/>
      <c r="B427" s="35" t="s">
        <v>525</v>
      </c>
      <c r="C427" s="3"/>
      <c r="D427" s="66"/>
      <c r="E427" s="66"/>
      <c r="F427" s="68"/>
    </row>
    <row r="428" spans="1:6" ht="297.5">
      <c r="A428" s="5" t="s">
        <v>526</v>
      </c>
      <c r="B428" s="23" t="s">
        <v>527</v>
      </c>
      <c r="C428" s="24"/>
      <c r="D428" s="25"/>
      <c r="E428" s="32"/>
      <c r="F428" s="60"/>
    </row>
    <row r="429" spans="1:6">
      <c r="A429" s="5"/>
      <c r="B429" s="23" t="s">
        <v>528</v>
      </c>
      <c r="C429" s="5"/>
      <c r="D429" s="25" t="s">
        <v>83</v>
      </c>
      <c r="E429" s="32">
        <v>5125</v>
      </c>
      <c r="F429" s="74">
        <f t="shared" ref="F429:F432" si="55">E429*C429</f>
        <v>0</v>
      </c>
    </row>
    <row r="430" spans="1:6">
      <c r="A430" s="5"/>
      <c r="B430" s="23" t="s">
        <v>529</v>
      </c>
      <c r="C430" s="5"/>
      <c r="D430" s="25" t="s">
        <v>83</v>
      </c>
      <c r="E430" s="32">
        <v>5875</v>
      </c>
      <c r="F430" s="74">
        <f t="shared" si="55"/>
        <v>0</v>
      </c>
    </row>
    <row r="431" spans="1:6">
      <c r="A431" s="5"/>
      <c r="B431" s="23" t="s">
        <v>530</v>
      </c>
      <c r="C431" s="5"/>
      <c r="D431" s="25" t="s">
        <v>83</v>
      </c>
      <c r="E431" s="32">
        <v>6625</v>
      </c>
      <c r="F431" s="74">
        <f t="shared" si="55"/>
        <v>0</v>
      </c>
    </row>
    <row r="432" spans="1:6">
      <c r="A432" s="5"/>
      <c r="B432" s="23" t="s">
        <v>531</v>
      </c>
      <c r="C432" s="5"/>
      <c r="D432" s="25" t="s">
        <v>83</v>
      </c>
      <c r="E432" s="32">
        <v>12500</v>
      </c>
      <c r="F432" s="74">
        <f t="shared" si="55"/>
        <v>0</v>
      </c>
    </row>
    <row r="433" spans="1:6">
      <c r="A433" s="67"/>
      <c r="B433" s="35" t="s">
        <v>532</v>
      </c>
      <c r="C433" s="3"/>
      <c r="D433" s="66"/>
      <c r="E433" s="66"/>
      <c r="F433" s="69">
        <f>SUM(F429:F432)</f>
        <v>0</v>
      </c>
    </row>
  </sheetData>
  <customSheetViews>
    <customSheetView guid="{5399B9A3-C514-4B3F-AA20-DF1128B22F93}" scale="70" showPageBreaks="1" fitToPage="1" printArea="1" hiddenRows="1" view="pageBreakPreview" topLeftCell="A78">
      <selection activeCell="C82" sqref="C82"/>
      <rowBreaks count="5" manualBreakCount="5">
        <brk id="98" max="5" man="1"/>
        <brk id="121" max="5" man="1"/>
        <brk id="174" max="5" man="1"/>
        <brk id="276" max="5" man="1"/>
        <brk id="302" max="5" man="1"/>
      </rowBreaks>
      <pageMargins left="0.55118110236220474" right="0.39370078740157483" top="0.39370078740157483" bottom="0.39370078740157483" header="0.51181102362204722" footer="0.11811023622047245"/>
      <printOptions horizontalCentered="1"/>
      <pageSetup paperSize="9" scale="57" fitToHeight="0" orientation="portrait" r:id="rId1"/>
      <headerFooter alignWithMargins="0">
        <oddFooter>&amp;C&amp;P OF &amp;N</oddFooter>
      </headerFooter>
    </customSheetView>
  </customSheetViews>
  <mergeCells count="4">
    <mergeCell ref="B1:E1"/>
    <mergeCell ref="A2:F2"/>
    <mergeCell ref="A3:F3"/>
    <mergeCell ref="A4:F4"/>
  </mergeCells>
  <printOptions horizontalCentered="1"/>
  <pageMargins left="0.55118110236220474" right="0.39370078740157483" top="0.39370078740157483" bottom="0.39370078740157483" header="0.51181102362204722" footer="0.11811023622047245"/>
  <pageSetup paperSize="9" scale="57" fitToHeight="0" orientation="portrait" r:id="rId2"/>
  <headerFooter alignWithMargins="0">
    <oddFooter>&amp;C&amp;P OF &amp;N</oddFooter>
  </headerFooter>
  <rowBreaks count="5" manualBreakCount="5">
    <brk id="98" max="5" man="1"/>
    <brk id="121" max="5" man="1"/>
    <brk id="174" max="5" man="1"/>
    <brk id="276" max="5" man="1"/>
    <brk id="302" max="5"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433"/>
  <sheetViews>
    <sheetView view="pageBreakPreview" topLeftCell="A431" zoomScale="70" zoomScaleNormal="70" zoomScaleSheetLayoutView="70" workbookViewId="0">
      <selection activeCell="B336" sqref="B336"/>
    </sheetView>
  </sheetViews>
  <sheetFormatPr defaultColWidth="9.1796875" defaultRowHeight="18.5"/>
  <cols>
    <col min="1" max="1" width="22.453125" style="46" customWidth="1"/>
    <col min="2" max="2" width="66.1796875" style="47" customWidth="1"/>
    <col min="3" max="3" width="18.81640625" style="46" customWidth="1"/>
    <col min="4" max="4" width="17.81640625" style="2" customWidth="1"/>
    <col min="5" max="5" width="17.81640625" style="15" customWidth="1"/>
    <col min="6" max="6" width="21.453125" style="2" customWidth="1"/>
    <col min="7" max="16384" width="9.1796875" style="1"/>
  </cols>
  <sheetData>
    <row r="1" spans="1:6" ht="66" customHeight="1">
      <c r="A1" s="62"/>
      <c r="B1" s="210" t="s">
        <v>630</v>
      </c>
      <c r="C1" s="210"/>
      <c r="D1" s="210"/>
      <c r="E1" s="210"/>
      <c r="F1" s="61"/>
    </row>
    <row r="2" spans="1:6" ht="74.25" customHeight="1">
      <c r="A2" s="218" t="s">
        <v>629</v>
      </c>
      <c r="B2" s="219"/>
      <c r="C2" s="219"/>
      <c r="D2" s="219"/>
      <c r="E2" s="219"/>
      <c r="F2" s="220"/>
    </row>
    <row r="3" spans="1:6" ht="62.25" customHeight="1">
      <c r="A3" s="221"/>
      <c r="B3" s="219"/>
      <c r="C3" s="219"/>
      <c r="D3" s="219"/>
      <c r="E3" s="219"/>
      <c r="F3" s="219"/>
    </row>
    <row r="4" spans="1:6" ht="21">
      <c r="A4" s="222" t="s">
        <v>270</v>
      </c>
      <c r="B4" s="222"/>
      <c r="C4" s="222"/>
      <c r="D4" s="222"/>
      <c r="E4" s="222"/>
      <c r="F4" s="222"/>
    </row>
    <row r="5" spans="1:6">
      <c r="A5" s="52" t="s">
        <v>152</v>
      </c>
      <c r="B5" s="52" t="s">
        <v>153</v>
      </c>
      <c r="C5" s="71" t="s">
        <v>79</v>
      </c>
      <c r="D5" s="72" t="s">
        <v>57</v>
      </c>
      <c r="E5" s="71" t="s">
        <v>58</v>
      </c>
      <c r="F5" s="72" t="s">
        <v>59</v>
      </c>
    </row>
    <row r="6" spans="1:6" ht="17.5" customHeight="1">
      <c r="A6" s="3"/>
      <c r="B6" s="22" t="s">
        <v>167</v>
      </c>
      <c r="C6" s="3"/>
      <c r="D6" s="4"/>
      <c r="E6" s="73"/>
      <c r="F6" s="4"/>
    </row>
    <row r="7" spans="1:6" ht="97.5" customHeight="1">
      <c r="A7" s="5" t="s">
        <v>168</v>
      </c>
      <c r="B7" s="28" t="s">
        <v>480</v>
      </c>
      <c r="C7" s="49">
        <v>378</v>
      </c>
      <c r="D7" s="24" t="s">
        <v>78</v>
      </c>
      <c r="E7" s="24">
        <v>35</v>
      </c>
      <c r="F7" s="74">
        <f>E7*C7</f>
        <v>13230</v>
      </c>
    </row>
    <row r="8" spans="1:6" ht="97.5" customHeight="1">
      <c r="A8" s="5" t="s">
        <v>557</v>
      </c>
      <c r="B8" s="28" t="s">
        <v>599</v>
      </c>
      <c r="C8" s="49"/>
      <c r="D8" s="24" t="s">
        <v>78</v>
      </c>
      <c r="E8" s="24">
        <v>25</v>
      </c>
      <c r="F8" s="74">
        <f>E8*C8</f>
        <v>0</v>
      </c>
    </row>
    <row r="9" spans="1:6" ht="256.5" customHeight="1">
      <c r="A9" s="5" t="s">
        <v>24</v>
      </c>
      <c r="B9" s="23" t="s">
        <v>401</v>
      </c>
      <c r="C9" s="5"/>
      <c r="D9" s="26"/>
      <c r="E9" s="24"/>
      <c r="F9" s="75"/>
    </row>
    <row r="10" spans="1:6">
      <c r="A10" s="5"/>
      <c r="B10" s="23" t="s">
        <v>28</v>
      </c>
      <c r="C10" s="5">
        <v>322</v>
      </c>
      <c r="D10" s="26" t="s">
        <v>80</v>
      </c>
      <c r="E10" s="24">
        <v>250</v>
      </c>
      <c r="F10" s="74">
        <f>E10*C10</f>
        <v>80500</v>
      </c>
    </row>
    <row r="11" spans="1:6">
      <c r="A11" s="5"/>
      <c r="B11" s="23" t="s">
        <v>197</v>
      </c>
      <c r="C11" s="5"/>
      <c r="D11" s="26" t="s">
        <v>80</v>
      </c>
      <c r="E11" s="24">
        <v>285</v>
      </c>
      <c r="F11" s="74">
        <f t="shared" ref="F11" si="0">E11*C11</f>
        <v>0</v>
      </c>
    </row>
    <row r="12" spans="1:6">
      <c r="A12" s="5"/>
      <c r="B12" s="23" t="s">
        <v>26</v>
      </c>
      <c r="C12" s="24"/>
      <c r="D12" s="26" t="s">
        <v>80</v>
      </c>
      <c r="E12" s="24">
        <v>350</v>
      </c>
      <c r="F12" s="74"/>
    </row>
    <row r="13" spans="1:6">
      <c r="A13" s="5"/>
      <c r="B13" s="23" t="s">
        <v>27</v>
      </c>
      <c r="C13" s="24"/>
      <c r="D13" s="26" t="s">
        <v>80</v>
      </c>
      <c r="E13" s="24">
        <v>450</v>
      </c>
      <c r="F13" s="74"/>
    </row>
    <row r="14" spans="1:6">
      <c r="A14" s="5"/>
      <c r="B14" s="23" t="s">
        <v>213</v>
      </c>
      <c r="C14" s="24"/>
      <c r="D14" s="26" t="s">
        <v>80</v>
      </c>
      <c r="E14" s="24">
        <v>575</v>
      </c>
      <c r="F14" s="74"/>
    </row>
    <row r="15" spans="1:6" ht="128.15" customHeight="1">
      <c r="A15" s="5" t="s">
        <v>25</v>
      </c>
      <c r="B15" s="28" t="s">
        <v>600</v>
      </c>
      <c r="C15" s="49"/>
      <c r="D15" s="7"/>
      <c r="E15" s="24"/>
      <c r="F15" s="75"/>
    </row>
    <row r="16" spans="1:6">
      <c r="A16" s="5"/>
      <c r="B16" s="23" t="s">
        <v>402</v>
      </c>
      <c r="C16" s="63">
        <v>72</v>
      </c>
      <c r="D16" s="26" t="s">
        <v>80</v>
      </c>
      <c r="E16" s="24">
        <v>490</v>
      </c>
      <c r="F16" s="74">
        <f t="shared" ref="F16:F17" si="1">E16*C16</f>
        <v>35280</v>
      </c>
    </row>
    <row r="17" spans="1:6">
      <c r="A17" s="5"/>
      <c r="B17" s="23" t="s">
        <v>403</v>
      </c>
      <c r="C17" s="63">
        <v>67</v>
      </c>
      <c r="D17" s="26" t="s">
        <v>80</v>
      </c>
      <c r="E17" s="24">
        <v>1025</v>
      </c>
      <c r="F17" s="74">
        <f t="shared" si="1"/>
        <v>68675</v>
      </c>
    </row>
    <row r="18" spans="1:6">
      <c r="A18" s="5"/>
      <c r="B18" s="23" t="s">
        <v>404</v>
      </c>
      <c r="C18" s="63"/>
      <c r="D18" s="26" t="s">
        <v>80</v>
      </c>
      <c r="E18" s="24">
        <v>1150</v>
      </c>
      <c r="F18" s="74"/>
    </row>
    <row r="19" spans="1:6" ht="57.65" customHeight="1">
      <c r="A19" s="5" t="s">
        <v>29</v>
      </c>
      <c r="B19" s="23" t="s">
        <v>405</v>
      </c>
      <c r="C19" s="63">
        <v>192</v>
      </c>
      <c r="D19" s="26" t="s">
        <v>80</v>
      </c>
      <c r="E19" s="24">
        <v>150</v>
      </c>
      <c r="F19" s="74">
        <f>E19*C19</f>
        <v>28800</v>
      </c>
    </row>
    <row r="20" spans="1:6" ht="66.75" customHeight="1">
      <c r="A20" s="5" t="s">
        <v>554</v>
      </c>
      <c r="B20" s="23" t="s">
        <v>601</v>
      </c>
      <c r="C20" s="63"/>
      <c r="D20" s="26"/>
      <c r="E20" s="24"/>
      <c r="F20" s="74"/>
    </row>
    <row r="21" spans="1:6">
      <c r="A21" s="5"/>
      <c r="B21" s="23" t="s">
        <v>555</v>
      </c>
      <c r="C21" s="63"/>
      <c r="D21" s="26" t="s">
        <v>80</v>
      </c>
      <c r="E21" s="24">
        <v>100</v>
      </c>
      <c r="F21" s="74">
        <f>E21*C21</f>
        <v>0</v>
      </c>
    </row>
    <row r="22" spans="1:6">
      <c r="A22" s="5"/>
      <c r="B22" s="23" t="s">
        <v>556</v>
      </c>
      <c r="C22" s="63"/>
      <c r="D22" s="26" t="s">
        <v>82</v>
      </c>
      <c r="E22" s="24">
        <v>3500</v>
      </c>
      <c r="F22" s="74"/>
    </row>
    <row r="23" spans="1:6" ht="128.5" customHeight="1">
      <c r="A23" s="5" t="s">
        <v>30</v>
      </c>
      <c r="B23" s="23" t="s">
        <v>500</v>
      </c>
      <c r="C23" s="5"/>
      <c r="D23" s="7"/>
      <c r="E23" s="24"/>
      <c r="F23" s="75"/>
    </row>
    <row r="24" spans="1:6">
      <c r="A24" s="5"/>
      <c r="B24" s="23" t="s">
        <v>222</v>
      </c>
      <c r="C24" s="24"/>
      <c r="D24" s="26" t="s">
        <v>169</v>
      </c>
      <c r="E24" s="24">
        <v>517</v>
      </c>
      <c r="F24" s="75"/>
    </row>
    <row r="25" spans="1:6" ht="55.5">
      <c r="A25" s="5"/>
      <c r="B25" s="23" t="s">
        <v>274</v>
      </c>
      <c r="C25" s="63">
        <v>378</v>
      </c>
      <c r="D25" s="26" t="s">
        <v>169</v>
      </c>
      <c r="E25" s="24">
        <v>310</v>
      </c>
      <c r="F25" s="74">
        <f t="shared" ref="F25:F26" si="2">E25*C25</f>
        <v>117180</v>
      </c>
    </row>
    <row r="26" spans="1:6" ht="55.5">
      <c r="A26" s="5"/>
      <c r="B26" s="23" t="s">
        <v>275</v>
      </c>
      <c r="C26" s="63">
        <v>340</v>
      </c>
      <c r="D26" s="26" t="s">
        <v>169</v>
      </c>
      <c r="E26" s="24">
        <v>150</v>
      </c>
      <c r="F26" s="74">
        <f t="shared" si="2"/>
        <v>51000</v>
      </c>
    </row>
    <row r="27" spans="1:6" ht="166.5">
      <c r="A27" s="5" t="s">
        <v>43</v>
      </c>
      <c r="B27" s="28" t="s">
        <v>611</v>
      </c>
      <c r="C27" s="49"/>
      <c r="D27" s="7"/>
      <c r="E27" s="24"/>
      <c r="F27" s="75"/>
    </row>
    <row r="28" spans="1:6">
      <c r="A28" s="5"/>
      <c r="B28" s="30" t="s">
        <v>209</v>
      </c>
      <c r="C28" s="24"/>
      <c r="D28" s="26" t="s">
        <v>73</v>
      </c>
      <c r="E28" s="24">
        <v>300</v>
      </c>
      <c r="F28" s="74"/>
    </row>
    <row r="29" spans="1:6">
      <c r="A29" s="5"/>
      <c r="B29" s="30" t="s">
        <v>210</v>
      </c>
      <c r="C29" s="24"/>
      <c r="D29" s="26" t="s">
        <v>73</v>
      </c>
      <c r="E29" s="24">
        <v>350</v>
      </c>
      <c r="F29" s="74">
        <f t="shared" ref="F29:F31" si="3">E29*C29</f>
        <v>0</v>
      </c>
    </row>
    <row r="30" spans="1:6">
      <c r="A30" s="5"/>
      <c r="B30" s="30" t="s">
        <v>263</v>
      </c>
      <c r="C30" s="20"/>
      <c r="D30" s="26" t="s">
        <v>73</v>
      </c>
      <c r="E30" s="24">
        <v>425</v>
      </c>
      <c r="F30" s="74">
        <f t="shared" si="3"/>
        <v>0</v>
      </c>
    </row>
    <row r="31" spans="1:6">
      <c r="A31" s="5"/>
      <c r="B31" s="30" t="s">
        <v>631</v>
      </c>
      <c r="C31" s="24">
        <v>698</v>
      </c>
      <c r="D31" s="26" t="s">
        <v>73</v>
      </c>
      <c r="E31" s="24">
        <v>495</v>
      </c>
      <c r="F31" s="74">
        <f t="shared" si="3"/>
        <v>345510</v>
      </c>
    </row>
    <row r="32" spans="1:6" ht="57.65" customHeight="1">
      <c r="A32" s="5" t="s">
        <v>211</v>
      </c>
      <c r="B32" s="31" t="s">
        <v>212</v>
      </c>
      <c r="C32" s="50"/>
      <c r="D32" s="7"/>
      <c r="E32" s="32"/>
      <c r="F32" s="75"/>
    </row>
    <row r="33" spans="1:6">
      <c r="A33" s="5"/>
      <c r="B33" s="30" t="s">
        <v>209</v>
      </c>
      <c r="C33" s="24"/>
      <c r="D33" s="26" t="s">
        <v>71</v>
      </c>
      <c r="E33" s="24">
        <v>300</v>
      </c>
      <c r="F33" s="74"/>
    </row>
    <row r="34" spans="1:6">
      <c r="A34" s="5"/>
      <c r="B34" s="30" t="s">
        <v>210</v>
      </c>
      <c r="C34" s="24"/>
      <c r="D34" s="26" t="s">
        <v>71</v>
      </c>
      <c r="E34" s="24">
        <v>400</v>
      </c>
      <c r="F34" s="74"/>
    </row>
    <row r="35" spans="1:6">
      <c r="A35" s="5"/>
      <c r="B35" s="30" t="s">
        <v>263</v>
      </c>
      <c r="C35" s="24"/>
      <c r="D35" s="26" t="s">
        <v>71</v>
      </c>
      <c r="E35" s="24">
        <v>450</v>
      </c>
      <c r="F35" s="74"/>
    </row>
    <row r="36" spans="1:6">
      <c r="A36" s="5"/>
      <c r="B36" s="30" t="s">
        <v>264</v>
      </c>
      <c r="C36" s="24"/>
      <c r="D36" s="26" t="s">
        <v>71</v>
      </c>
      <c r="E36" s="24">
        <v>500</v>
      </c>
      <c r="F36" s="74"/>
    </row>
    <row r="37" spans="1:6">
      <c r="A37" s="67"/>
      <c r="B37" s="22" t="s">
        <v>31</v>
      </c>
      <c r="C37" s="3"/>
      <c r="D37" s="4"/>
      <c r="E37" s="4"/>
      <c r="F37" s="76">
        <f>SUM(F7:F36)</f>
        <v>740175</v>
      </c>
    </row>
    <row r="38" spans="1:6" ht="17.5" customHeight="1">
      <c r="A38" s="67"/>
      <c r="B38" s="22" t="s">
        <v>66</v>
      </c>
      <c r="C38" s="3"/>
      <c r="D38" s="4"/>
      <c r="E38" s="4"/>
      <c r="F38" s="73"/>
    </row>
    <row r="39" spans="1:6" ht="93.65" customHeight="1">
      <c r="A39" s="5" t="s">
        <v>32</v>
      </c>
      <c r="B39" s="23" t="s">
        <v>406</v>
      </c>
      <c r="C39" s="5"/>
      <c r="D39" s="7"/>
      <c r="E39" s="24"/>
      <c r="F39" s="25"/>
    </row>
    <row r="40" spans="1:6">
      <c r="A40" s="5"/>
      <c r="B40" s="23" t="s">
        <v>34</v>
      </c>
      <c r="C40" s="24">
        <v>43</v>
      </c>
      <c r="D40" s="26" t="s">
        <v>80</v>
      </c>
      <c r="E40" s="24">
        <v>4100</v>
      </c>
      <c r="F40" s="74">
        <f>E40*C40</f>
        <v>176300</v>
      </c>
    </row>
    <row r="41" spans="1:6">
      <c r="A41" s="5"/>
      <c r="B41" s="23" t="s">
        <v>35</v>
      </c>
      <c r="C41" s="20"/>
      <c r="D41" s="26" t="s">
        <v>80</v>
      </c>
      <c r="E41" s="24">
        <v>4175</v>
      </c>
      <c r="F41" s="74">
        <f t="shared" ref="F41" si="4">E41*C41</f>
        <v>0</v>
      </c>
    </row>
    <row r="42" spans="1:6" ht="288.75" customHeight="1">
      <c r="A42" s="5" t="s">
        <v>33</v>
      </c>
      <c r="B42" s="38" t="s">
        <v>413</v>
      </c>
      <c r="C42" s="51"/>
      <c r="D42" s="7"/>
      <c r="E42" s="32"/>
      <c r="F42" s="75"/>
    </row>
    <row r="43" spans="1:6">
      <c r="A43" s="5"/>
      <c r="B43" s="21" t="s">
        <v>538</v>
      </c>
      <c r="C43" s="52"/>
      <c r="D43" s="7"/>
      <c r="E43" s="32"/>
      <c r="F43" s="75"/>
    </row>
    <row r="44" spans="1:6">
      <c r="A44" s="5"/>
      <c r="B44" s="28" t="s">
        <v>250</v>
      </c>
      <c r="C44" s="24"/>
      <c r="D44" s="26" t="s">
        <v>80</v>
      </c>
      <c r="E44" s="24">
        <v>5450</v>
      </c>
      <c r="F44" s="74"/>
    </row>
    <row r="45" spans="1:6">
      <c r="A45" s="49"/>
      <c r="B45" s="28" t="s">
        <v>296</v>
      </c>
      <c r="C45" s="24"/>
      <c r="D45" s="26" t="s">
        <v>80</v>
      </c>
      <c r="E45" s="24">
        <v>5950</v>
      </c>
      <c r="F45" s="75"/>
    </row>
    <row r="46" spans="1:6">
      <c r="A46" s="5"/>
      <c r="B46" s="21" t="s">
        <v>537</v>
      </c>
      <c r="C46" s="52"/>
      <c r="D46" s="7"/>
      <c r="E46" s="32"/>
      <c r="F46" s="75"/>
    </row>
    <row r="47" spans="1:6">
      <c r="A47" s="5"/>
      <c r="B47" s="28" t="s">
        <v>250</v>
      </c>
      <c r="C47" s="24">
        <v>129</v>
      </c>
      <c r="D47" s="32" t="s">
        <v>80</v>
      </c>
      <c r="E47" s="24">
        <v>5850</v>
      </c>
      <c r="F47" s="74">
        <f>E47*C47</f>
        <v>754650</v>
      </c>
    </row>
    <row r="48" spans="1:6">
      <c r="A48" s="49"/>
      <c r="B48" s="28" t="s">
        <v>612</v>
      </c>
      <c r="C48" s="24">
        <v>82</v>
      </c>
      <c r="D48" s="32" t="s">
        <v>80</v>
      </c>
      <c r="E48" s="24">
        <v>6175</v>
      </c>
      <c r="F48" s="74">
        <f>E48*C48</f>
        <v>506350</v>
      </c>
    </row>
    <row r="49" spans="1:6">
      <c r="A49" s="49"/>
      <c r="B49" s="28" t="s">
        <v>613</v>
      </c>
      <c r="C49" s="24"/>
      <c r="D49" s="32" t="s">
        <v>80</v>
      </c>
      <c r="E49" s="24">
        <v>6350</v>
      </c>
      <c r="F49" s="74"/>
    </row>
    <row r="50" spans="1:6" ht="37">
      <c r="A50" s="5"/>
      <c r="B50" s="21" t="s">
        <v>443</v>
      </c>
      <c r="C50" s="24"/>
      <c r="D50" s="26" t="s">
        <v>80</v>
      </c>
      <c r="E50" s="24">
        <v>950</v>
      </c>
      <c r="F50" s="74"/>
    </row>
    <row r="51" spans="1:6" ht="55.5">
      <c r="A51" s="5" t="s">
        <v>536</v>
      </c>
      <c r="B51" s="61" t="s">
        <v>535</v>
      </c>
      <c r="C51" s="62"/>
      <c r="D51" s="8"/>
      <c r="E51" s="24"/>
      <c r="F51" s="74"/>
    </row>
    <row r="52" spans="1:6" ht="297" customHeight="1">
      <c r="A52" s="5"/>
      <c r="B52" s="38" t="s">
        <v>541</v>
      </c>
      <c r="C52" s="53"/>
      <c r="D52" s="8"/>
      <c r="E52" s="24"/>
      <c r="F52" s="74"/>
    </row>
    <row r="53" spans="1:6">
      <c r="A53" s="5" t="s">
        <v>461</v>
      </c>
      <c r="B53" s="43" t="s">
        <v>542</v>
      </c>
      <c r="C53" s="53"/>
      <c r="D53" s="8"/>
      <c r="E53" s="24"/>
      <c r="F53" s="74"/>
    </row>
    <row r="54" spans="1:6">
      <c r="A54" s="53"/>
      <c r="B54" s="43" t="s">
        <v>459</v>
      </c>
      <c r="C54" s="24"/>
      <c r="D54" s="25" t="s">
        <v>439</v>
      </c>
      <c r="E54" s="24">
        <v>5450</v>
      </c>
      <c r="F54" s="74"/>
    </row>
    <row r="55" spans="1:6">
      <c r="A55" s="53"/>
      <c r="B55" s="43" t="s">
        <v>460</v>
      </c>
      <c r="C55" s="6"/>
      <c r="D55" s="25" t="s">
        <v>439</v>
      </c>
      <c r="E55" s="24">
        <v>5850</v>
      </c>
      <c r="F55" s="74">
        <f>E55*C55</f>
        <v>0</v>
      </c>
    </row>
    <row r="56" spans="1:6" ht="37">
      <c r="A56" s="53"/>
      <c r="B56" s="21" t="s">
        <v>443</v>
      </c>
      <c r="C56" s="24"/>
      <c r="D56" s="25" t="s">
        <v>439</v>
      </c>
      <c r="E56" s="24">
        <v>950</v>
      </c>
      <c r="F56" s="74"/>
    </row>
    <row r="57" spans="1:6" ht="30.75" customHeight="1">
      <c r="A57" s="5" t="s">
        <v>462</v>
      </c>
      <c r="B57" s="43" t="s">
        <v>463</v>
      </c>
      <c r="C57" s="53"/>
      <c r="D57" s="8"/>
      <c r="E57" s="24"/>
      <c r="F57" s="74"/>
    </row>
    <row r="58" spans="1:6">
      <c r="A58" s="53"/>
      <c r="B58" s="45" t="s">
        <v>440</v>
      </c>
      <c r="C58" s="54"/>
      <c r="D58" s="8"/>
      <c r="E58" s="24"/>
      <c r="F58" s="74"/>
    </row>
    <row r="59" spans="1:6">
      <c r="A59" s="53"/>
      <c r="B59" s="43" t="s">
        <v>305</v>
      </c>
      <c r="C59" s="6"/>
      <c r="D59" s="25" t="s">
        <v>439</v>
      </c>
      <c r="E59" s="24">
        <v>5700</v>
      </c>
      <c r="F59" s="74">
        <f>E59*C59</f>
        <v>0</v>
      </c>
    </row>
    <row r="60" spans="1:6">
      <c r="A60" s="53"/>
      <c r="B60" s="43" t="s">
        <v>441</v>
      </c>
      <c r="C60" s="24"/>
      <c r="D60" s="25" t="s">
        <v>439</v>
      </c>
      <c r="E60" s="24"/>
      <c r="F60" s="74"/>
    </row>
    <row r="61" spans="1:6">
      <c r="A61" s="53"/>
      <c r="B61" s="45" t="s">
        <v>442</v>
      </c>
      <c r="C61" s="54"/>
      <c r="D61" s="26"/>
      <c r="E61" s="24"/>
      <c r="F61" s="74"/>
    </row>
    <row r="62" spans="1:6">
      <c r="A62" s="53"/>
      <c r="B62" s="28" t="s">
        <v>305</v>
      </c>
      <c r="C62" s="6"/>
      <c r="D62" s="25" t="s">
        <v>439</v>
      </c>
      <c r="E62" s="24">
        <v>5900</v>
      </c>
      <c r="F62" s="74">
        <f>E62*C62</f>
        <v>0</v>
      </c>
    </row>
    <row r="63" spans="1:6">
      <c r="A63" s="53"/>
      <c r="B63" s="28" t="s">
        <v>456</v>
      </c>
      <c r="C63" s="24"/>
      <c r="D63" s="25" t="s">
        <v>439</v>
      </c>
      <c r="E63" s="24">
        <v>6650</v>
      </c>
      <c r="F63" s="74"/>
    </row>
    <row r="64" spans="1:6" ht="37">
      <c r="A64" s="53"/>
      <c r="B64" s="21" t="s">
        <v>443</v>
      </c>
      <c r="C64" s="24"/>
      <c r="D64" s="25" t="s">
        <v>439</v>
      </c>
      <c r="E64" s="24">
        <v>950</v>
      </c>
      <c r="F64" s="74"/>
    </row>
    <row r="65" spans="1:6" ht="129.5">
      <c r="A65" s="49" t="s">
        <v>412</v>
      </c>
      <c r="B65" s="28" t="s">
        <v>415</v>
      </c>
      <c r="C65" s="49"/>
      <c r="D65" s="7"/>
      <c r="E65" s="24"/>
      <c r="F65" s="75"/>
    </row>
    <row r="66" spans="1:6">
      <c r="A66" s="49"/>
      <c r="B66" s="29" t="s">
        <v>209</v>
      </c>
      <c r="C66" s="20"/>
      <c r="D66" s="32" t="s">
        <v>80</v>
      </c>
      <c r="E66" s="24">
        <v>5600</v>
      </c>
      <c r="F66" s="77"/>
    </row>
    <row r="67" spans="1:6">
      <c r="A67" s="49"/>
      <c r="B67" s="29" t="s">
        <v>210</v>
      </c>
      <c r="C67" s="20"/>
      <c r="D67" s="32" t="s">
        <v>80</v>
      </c>
      <c r="E67" s="24">
        <v>5369</v>
      </c>
      <c r="F67" s="74">
        <f t="shared" ref="F67:F69" si="5">E67*C67</f>
        <v>0</v>
      </c>
    </row>
    <row r="68" spans="1:6">
      <c r="A68" s="49"/>
      <c r="B68" s="29" t="s">
        <v>262</v>
      </c>
      <c r="C68" s="20"/>
      <c r="D68" s="32" t="s">
        <v>80</v>
      </c>
      <c r="E68" s="24">
        <v>5650</v>
      </c>
      <c r="F68" s="74">
        <f t="shared" si="5"/>
        <v>0</v>
      </c>
    </row>
    <row r="69" spans="1:6">
      <c r="A69" s="49"/>
      <c r="B69" s="29" t="s">
        <v>632</v>
      </c>
      <c r="C69" s="20">
        <v>97</v>
      </c>
      <c r="D69" s="32" t="s">
        <v>80</v>
      </c>
      <c r="E69" s="24">
        <v>5650</v>
      </c>
      <c r="F69" s="74">
        <f t="shared" si="5"/>
        <v>548050</v>
      </c>
    </row>
    <row r="70" spans="1:6" ht="200.25" customHeight="1">
      <c r="A70" s="49" t="s">
        <v>414</v>
      </c>
      <c r="B70" s="17" t="s">
        <v>394</v>
      </c>
      <c r="C70" s="5"/>
      <c r="D70" s="32"/>
      <c r="E70" s="24"/>
      <c r="F70" s="77"/>
    </row>
    <row r="71" spans="1:6">
      <c r="A71" s="49"/>
      <c r="B71" s="29" t="s">
        <v>395</v>
      </c>
      <c r="C71" s="24"/>
      <c r="D71" s="32" t="s">
        <v>80</v>
      </c>
      <c r="E71" s="24">
        <v>9500</v>
      </c>
      <c r="F71" s="77"/>
    </row>
    <row r="72" spans="1:6">
      <c r="A72" s="49"/>
      <c r="B72" s="29" t="s">
        <v>396</v>
      </c>
      <c r="C72" s="24"/>
      <c r="D72" s="32" t="s">
        <v>80</v>
      </c>
      <c r="E72" s="24">
        <v>9500</v>
      </c>
      <c r="F72" s="77"/>
    </row>
    <row r="73" spans="1:6" ht="296">
      <c r="A73" s="49" t="s">
        <v>464</v>
      </c>
      <c r="B73" s="28" t="s">
        <v>481</v>
      </c>
      <c r="C73" s="5"/>
      <c r="D73" s="32"/>
      <c r="E73" s="24"/>
      <c r="F73" s="77"/>
    </row>
    <row r="74" spans="1:6">
      <c r="A74" s="49"/>
      <c r="B74" s="19" t="s">
        <v>425</v>
      </c>
      <c r="C74" s="52"/>
      <c r="D74" s="32"/>
      <c r="E74" s="24"/>
      <c r="F74" s="77"/>
    </row>
    <row r="75" spans="1:6">
      <c r="A75" s="49"/>
      <c r="B75" s="28" t="s">
        <v>250</v>
      </c>
      <c r="C75" s="5"/>
      <c r="D75" s="32" t="s">
        <v>80</v>
      </c>
      <c r="E75" s="24">
        <v>5750</v>
      </c>
      <c r="F75" s="74">
        <f>E75*C75</f>
        <v>0</v>
      </c>
    </row>
    <row r="76" spans="1:6">
      <c r="A76" s="49"/>
      <c r="B76" s="28" t="s">
        <v>296</v>
      </c>
      <c r="C76" s="24"/>
      <c r="D76" s="32" t="s">
        <v>80</v>
      </c>
      <c r="E76" s="24">
        <v>6650</v>
      </c>
      <c r="F76" s="77"/>
    </row>
    <row r="77" spans="1:6">
      <c r="A77" s="49"/>
      <c r="B77" s="28" t="s">
        <v>297</v>
      </c>
      <c r="C77" s="24"/>
      <c r="D77" s="32" t="s">
        <v>80</v>
      </c>
      <c r="E77" s="24">
        <v>6850</v>
      </c>
      <c r="F77" s="77"/>
    </row>
    <row r="78" spans="1:6">
      <c r="A78" s="49"/>
      <c r="B78" s="28" t="s">
        <v>298</v>
      </c>
      <c r="C78" s="24"/>
      <c r="D78" s="32" t="s">
        <v>80</v>
      </c>
      <c r="E78" s="24">
        <v>7250</v>
      </c>
      <c r="F78" s="77"/>
    </row>
    <row r="79" spans="1:6" ht="57.65" customHeight="1">
      <c r="A79" s="25" t="s">
        <v>36</v>
      </c>
      <c r="B79" s="23" t="s">
        <v>249</v>
      </c>
      <c r="C79" s="25"/>
      <c r="D79" s="9"/>
      <c r="E79" s="24"/>
      <c r="F79" s="75"/>
    </row>
    <row r="80" spans="1:6" s="10" customFormat="1">
      <c r="A80" s="25"/>
      <c r="B80" s="34" t="s">
        <v>266</v>
      </c>
      <c r="C80" s="88"/>
      <c r="D80" s="33" t="s">
        <v>85</v>
      </c>
      <c r="E80" s="24">
        <v>175</v>
      </c>
      <c r="F80" s="74">
        <f>E80*C80</f>
        <v>0</v>
      </c>
    </row>
    <row r="81" spans="1:6" s="10" customFormat="1" ht="225" customHeight="1">
      <c r="A81" s="25" t="s">
        <v>37</v>
      </c>
      <c r="B81" s="23" t="s">
        <v>602</v>
      </c>
      <c r="C81" s="5"/>
      <c r="D81" s="9"/>
      <c r="E81" s="24"/>
      <c r="F81" s="75"/>
    </row>
    <row r="82" spans="1:6" s="10" customFormat="1">
      <c r="A82" s="25"/>
      <c r="B82" s="34" t="s">
        <v>258</v>
      </c>
      <c r="C82" s="24">
        <v>24</v>
      </c>
      <c r="D82" s="27" t="s">
        <v>191</v>
      </c>
      <c r="E82" s="24">
        <v>69500</v>
      </c>
      <c r="F82" s="74">
        <f>E82*C82</f>
        <v>1668000</v>
      </c>
    </row>
    <row r="83" spans="1:6" s="10" customFormat="1" ht="203.5">
      <c r="A83" s="25" t="s">
        <v>38</v>
      </c>
      <c r="B83" s="23" t="s">
        <v>501</v>
      </c>
      <c r="C83" s="5"/>
      <c r="D83" s="9"/>
      <c r="E83" s="24"/>
      <c r="F83" s="75"/>
    </row>
    <row r="84" spans="1:6" ht="22.5" customHeight="1">
      <c r="A84" s="5"/>
      <c r="B84" s="28" t="s">
        <v>250</v>
      </c>
      <c r="C84" s="24">
        <v>252</v>
      </c>
      <c r="D84" s="32" t="s">
        <v>81</v>
      </c>
      <c r="E84" s="24">
        <v>550</v>
      </c>
      <c r="F84" s="74">
        <f>C84*E84</f>
        <v>138600</v>
      </c>
    </row>
    <row r="85" spans="1:6">
      <c r="A85" s="5"/>
      <c r="B85" s="28" t="s">
        <v>296</v>
      </c>
      <c r="C85" s="24"/>
      <c r="D85" s="32" t="s">
        <v>81</v>
      </c>
      <c r="E85" s="24">
        <v>625</v>
      </c>
      <c r="F85" s="74"/>
    </row>
    <row r="86" spans="1:6" s="10" customFormat="1" ht="240.5">
      <c r="A86" s="5" t="s">
        <v>39</v>
      </c>
      <c r="B86" s="28" t="s">
        <v>233</v>
      </c>
      <c r="C86" s="49"/>
      <c r="D86" s="8"/>
      <c r="E86" s="24"/>
      <c r="F86" s="78"/>
    </row>
    <row r="87" spans="1:6" ht="20.25" customHeight="1">
      <c r="A87" s="5"/>
      <c r="B87" s="28" t="s">
        <v>250</v>
      </c>
      <c r="C87" s="24"/>
      <c r="D87" s="32" t="s">
        <v>81</v>
      </c>
      <c r="E87" s="24">
        <v>575</v>
      </c>
      <c r="F87" s="74"/>
    </row>
    <row r="88" spans="1:6">
      <c r="A88" s="5"/>
      <c r="B88" s="28" t="s">
        <v>296</v>
      </c>
      <c r="C88" s="24">
        <v>756</v>
      </c>
      <c r="D88" s="32" t="s">
        <v>81</v>
      </c>
      <c r="E88" s="24">
        <v>650</v>
      </c>
      <c r="F88" s="74">
        <f t="shared" ref="F88" si="6">E88*C88</f>
        <v>491400</v>
      </c>
    </row>
    <row r="89" spans="1:6">
      <c r="A89" s="49"/>
      <c r="B89" s="28" t="s">
        <v>299</v>
      </c>
      <c r="C89" s="24"/>
      <c r="D89" s="32" t="s">
        <v>81</v>
      </c>
      <c r="E89" s="24">
        <v>725</v>
      </c>
      <c r="F89" s="74"/>
    </row>
    <row r="90" spans="1:6">
      <c r="A90" s="49"/>
      <c r="B90" s="28" t="s">
        <v>300</v>
      </c>
      <c r="C90" s="24"/>
      <c r="D90" s="32" t="s">
        <v>81</v>
      </c>
      <c r="E90" s="24">
        <v>850</v>
      </c>
      <c r="F90" s="74"/>
    </row>
    <row r="91" spans="1:6" ht="81.650000000000006" customHeight="1">
      <c r="A91" s="49" t="s">
        <v>54</v>
      </c>
      <c r="B91" s="28" t="s">
        <v>416</v>
      </c>
      <c r="C91" s="24"/>
      <c r="D91" s="26" t="s">
        <v>80</v>
      </c>
      <c r="E91" s="24">
        <v>52500</v>
      </c>
      <c r="F91" s="74">
        <f>E91*C91</f>
        <v>0</v>
      </c>
    </row>
    <row r="92" spans="1:6" ht="74">
      <c r="A92" s="49" t="s">
        <v>55</v>
      </c>
      <c r="B92" s="28" t="s">
        <v>244</v>
      </c>
      <c r="C92" s="87"/>
      <c r="D92" s="49" t="s">
        <v>83</v>
      </c>
      <c r="E92" s="49">
        <v>550</v>
      </c>
      <c r="F92" s="64"/>
    </row>
    <row r="93" spans="1:6" ht="129.5">
      <c r="A93" s="49" t="s">
        <v>518</v>
      </c>
      <c r="B93" s="28" t="s">
        <v>40</v>
      </c>
      <c r="C93" s="49"/>
      <c r="D93" s="28"/>
      <c r="E93" s="49"/>
      <c r="F93" s="64"/>
    </row>
    <row r="94" spans="1:6">
      <c r="A94" s="49"/>
      <c r="B94" s="28" t="s">
        <v>51</v>
      </c>
      <c r="C94" s="49"/>
      <c r="D94" s="49" t="s">
        <v>82</v>
      </c>
      <c r="E94" s="49">
        <v>800</v>
      </c>
      <c r="F94" s="74">
        <f t="shared" ref="F94:F102" si="7">E94*C94</f>
        <v>0</v>
      </c>
    </row>
    <row r="95" spans="1:6" ht="37">
      <c r="A95" s="49"/>
      <c r="B95" s="28" t="s">
        <v>52</v>
      </c>
      <c r="C95" s="49"/>
      <c r="D95" s="49" t="s">
        <v>82</v>
      </c>
      <c r="E95" s="49">
        <v>1050</v>
      </c>
      <c r="F95" s="74">
        <f t="shared" si="7"/>
        <v>0</v>
      </c>
    </row>
    <row r="96" spans="1:6" ht="37">
      <c r="A96" s="49"/>
      <c r="B96" s="28" t="s">
        <v>53</v>
      </c>
      <c r="C96" s="49"/>
      <c r="D96" s="49" t="s">
        <v>82</v>
      </c>
      <c r="E96" s="49">
        <v>1250</v>
      </c>
      <c r="F96" s="74">
        <f t="shared" si="7"/>
        <v>0</v>
      </c>
    </row>
    <row r="97" spans="1:6">
      <c r="A97" s="49"/>
      <c r="B97" s="28" t="s">
        <v>519</v>
      </c>
      <c r="C97" s="49"/>
      <c r="D97" s="49" t="s">
        <v>82</v>
      </c>
      <c r="E97" s="49">
        <v>1250</v>
      </c>
      <c r="F97" s="74">
        <f t="shared" si="7"/>
        <v>0</v>
      </c>
    </row>
    <row r="98" spans="1:6" ht="37">
      <c r="A98" s="49"/>
      <c r="B98" s="28" t="s">
        <v>520</v>
      </c>
      <c r="C98" s="49"/>
      <c r="D98" s="49" t="s">
        <v>82</v>
      </c>
      <c r="E98" s="49">
        <v>1350</v>
      </c>
      <c r="F98" s="74">
        <f t="shared" si="7"/>
        <v>0</v>
      </c>
    </row>
    <row r="99" spans="1:6" ht="37">
      <c r="A99" s="49"/>
      <c r="B99" s="28" t="s">
        <v>521</v>
      </c>
      <c r="C99" s="49"/>
      <c r="D99" s="49" t="s">
        <v>82</v>
      </c>
      <c r="E99" s="49">
        <v>2000</v>
      </c>
      <c r="F99" s="74">
        <f t="shared" si="7"/>
        <v>0</v>
      </c>
    </row>
    <row r="100" spans="1:6">
      <c r="A100" s="49"/>
      <c r="B100" s="28" t="s">
        <v>522</v>
      </c>
      <c r="C100" s="49"/>
      <c r="D100" s="49" t="s">
        <v>82</v>
      </c>
      <c r="E100" s="49">
        <v>1950</v>
      </c>
      <c r="F100" s="74">
        <f t="shared" si="7"/>
        <v>0</v>
      </c>
    </row>
    <row r="101" spans="1:6" ht="37">
      <c r="A101" s="49"/>
      <c r="B101" s="28" t="s">
        <v>523</v>
      </c>
      <c r="C101" s="49"/>
      <c r="D101" s="49" t="s">
        <v>82</v>
      </c>
      <c r="E101" s="49">
        <v>2250</v>
      </c>
      <c r="F101" s="74">
        <f t="shared" si="7"/>
        <v>0</v>
      </c>
    </row>
    <row r="102" spans="1:6" ht="37">
      <c r="A102" s="49"/>
      <c r="B102" s="28" t="s">
        <v>524</v>
      </c>
      <c r="C102" s="49"/>
      <c r="D102" s="49" t="s">
        <v>82</v>
      </c>
      <c r="E102" s="49">
        <v>2750</v>
      </c>
      <c r="F102" s="74">
        <f t="shared" si="7"/>
        <v>0</v>
      </c>
    </row>
    <row r="103" spans="1:6">
      <c r="A103" s="67"/>
      <c r="B103" s="35" t="s">
        <v>56</v>
      </c>
      <c r="C103" s="3"/>
      <c r="D103" s="4"/>
      <c r="E103" s="4"/>
      <c r="F103" s="76">
        <f>SUM(F39:F102)</f>
        <v>4283350</v>
      </c>
    </row>
    <row r="104" spans="1:6" ht="17.5" customHeight="1">
      <c r="A104" s="67"/>
      <c r="B104" s="36" t="s">
        <v>60</v>
      </c>
      <c r="C104" s="55"/>
      <c r="D104" s="4"/>
      <c r="E104" s="4"/>
      <c r="F104" s="73"/>
    </row>
    <row r="105" spans="1:6" ht="111">
      <c r="A105" s="5" t="s">
        <v>61</v>
      </c>
      <c r="B105" s="11" t="s">
        <v>314</v>
      </c>
      <c r="C105" s="56"/>
      <c r="D105" s="8"/>
      <c r="E105" s="8"/>
      <c r="F105" s="24"/>
    </row>
    <row r="106" spans="1:6" ht="17.5" customHeight="1">
      <c r="A106" s="5" t="s">
        <v>301</v>
      </c>
      <c r="B106" s="23" t="s">
        <v>302</v>
      </c>
      <c r="C106" s="24">
        <v>13</v>
      </c>
      <c r="D106" s="32" t="s">
        <v>80</v>
      </c>
      <c r="E106" s="49">
        <v>7250</v>
      </c>
      <c r="F106" s="74">
        <f t="shared" ref="F106" si="8">E106*C106</f>
        <v>94250</v>
      </c>
    </row>
    <row r="107" spans="1:6" ht="17.5" customHeight="1">
      <c r="A107" s="5" t="s">
        <v>303</v>
      </c>
      <c r="B107" s="23" t="s">
        <v>304</v>
      </c>
      <c r="C107" s="24"/>
      <c r="D107" s="32" t="s">
        <v>80</v>
      </c>
      <c r="E107" s="49">
        <v>7250</v>
      </c>
      <c r="F107" s="24"/>
    </row>
    <row r="108" spans="1:6" ht="129.5">
      <c r="A108" s="49" t="s">
        <v>62</v>
      </c>
      <c r="B108" s="11" t="s">
        <v>502</v>
      </c>
      <c r="C108" s="32"/>
      <c r="D108" s="8"/>
      <c r="E108" s="8"/>
      <c r="F108" s="24"/>
    </row>
    <row r="109" spans="1:6" ht="17.5" customHeight="1">
      <c r="A109" s="49"/>
      <c r="B109" s="28" t="s">
        <v>305</v>
      </c>
      <c r="C109" s="24">
        <v>31</v>
      </c>
      <c r="D109" s="32" t="s">
        <v>80</v>
      </c>
      <c r="E109" s="24">
        <v>6950</v>
      </c>
      <c r="F109" s="74">
        <f t="shared" ref="F109:F110" si="9">E109*C109</f>
        <v>215450</v>
      </c>
    </row>
    <row r="110" spans="1:6" ht="17.5" customHeight="1">
      <c r="A110" s="49"/>
      <c r="B110" s="28" t="s">
        <v>306</v>
      </c>
      <c r="C110" s="24">
        <v>21</v>
      </c>
      <c r="D110" s="32" t="s">
        <v>80</v>
      </c>
      <c r="E110" s="24">
        <v>7250</v>
      </c>
      <c r="F110" s="74">
        <f t="shared" si="9"/>
        <v>152250</v>
      </c>
    </row>
    <row r="111" spans="1:6" ht="17.5" customHeight="1">
      <c r="A111" s="49"/>
      <c r="B111" s="28" t="s">
        <v>307</v>
      </c>
      <c r="C111" s="24"/>
      <c r="D111" s="32" t="s">
        <v>80</v>
      </c>
      <c r="E111" s="24">
        <v>7650</v>
      </c>
      <c r="F111" s="24"/>
    </row>
    <row r="112" spans="1:6" ht="129.65" customHeight="1">
      <c r="A112" s="49" t="s">
        <v>63</v>
      </c>
      <c r="B112" s="28" t="s">
        <v>276</v>
      </c>
      <c r="C112" s="24">
        <v>12</v>
      </c>
      <c r="D112" s="32" t="s">
        <v>80</v>
      </c>
      <c r="E112" s="24">
        <v>6350</v>
      </c>
      <c r="F112" s="74">
        <f t="shared" ref="F112" si="10">E112*C112</f>
        <v>76200</v>
      </c>
    </row>
    <row r="113" spans="1:6" ht="37">
      <c r="A113" s="49" t="s">
        <v>64</v>
      </c>
      <c r="B113" s="44" t="s">
        <v>214</v>
      </c>
      <c r="C113" s="24"/>
      <c r="D113" s="32" t="s">
        <v>80</v>
      </c>
      <c r="E113" s="24">
        <v>6650</v>
      </c>
      <c r="F113" s="24"/>
    </row>
    <row r="114" spans="1:6" ht="129.5">
      <c r="A114" s="49" t="s">
        <v>76</v>
      </c>
      <c r="B114" s="28" t="s">
        <v>277</v>
      </c>
      <c r="C114" s="49"/>
      <c r="D114" s="8"/>
      <c r="E114" s="24"/>
      <c r="F114" s="25"/>
    </row>
    <row r="115" spans="1:6">
      <c r="A115" s="5"/>
      <c r="B115" s="28" t="s">
        <v>390</v>
      </c>
      <c r="C115" s="24">
        <v>56</v>
      </c>
      <c r="D115" s="32" t="s">
        <v>80</v>
      </c>
      <c r="E115" s="24">
        <v>6350</v>
      </c>
      <c r="F115" s="74">
        <f t="shared" ref="F115:F116" si="11">E115*C115</f>
        <v>355600</v>
      </c>
    </row>
    <row r="116" spans="1:6">
      <c r="A116" s="5"/>
      <c r="B116" s="28" t="s">
        <v>306</v>
      </c>
      <c r="C116" s="24">
        <v>19</v>
      </c>
      <c r="D116" s="32" t="s">
        <v>80</v>
      </c>
      <c r="E116" s="24">
        <v>6750</v>
      </c>
      <c r="F116" s="74">
        <f t="shared" si="11"/>
        <v>128250</v>
      </c>
    </row>
    <row r="117" spans="1:6" ht="117.75" customHeight="1">
      <c r="A117" s="5" t="s">
        <v>321</v>
      </c>
      <c r="B117" s="38" t="s">
        <v>482</v>
      </c>
      <c r="C117" s="53"/>
      <c r="D117" s="7"/>
      <c r="E117" s="24"/>
      <c r="F117" s="25"/>
    </row>
    <row r="118" spans="1:6">
      <c r="A118" s="5"/>
      <c r="B118" s="37" t="s">
        <v>254</v>
      </c>
      <c r="C118" s="24"/>
      <c r="D118" s="32" t="s">
        <v>81</v>
      </c>
      <c r="E118" s="24">
        <v>850</v>
      </c>
      <c r="F118" s="74">
        <f>E118*C118</f>
        <v>0</v>
      </c>
    </row>
    <row r="119" spans="1:6" ht="54" customHeight="1">
      <c r="A119" s="49"/>
      <c r="B119" s="28" t="s">
        <v>239</v>
      </c>
      <c r="C119" s="24"/>
      <c r="D119" s="32" t="s">
        <v>81</v>
      </c>
      <c r="E119" s="24">
        <v>875</v>
      </c>
      <c r="F119" s="79"/>
    </row>
    <row r="120" spans="1:6" ht="118.5" customHeight="1">
      <c r="A120" s="5" t="s">
        <v>424</v>
      </c>
      <c r="B120" s="38" t="s">
        <v>322</v>
      </c>
      <c r="C120" s="24"/>
      <c r="D120" s="32" t="s">
        <v>288</v>
      </c>
      <c r="E120" s="24">
        <v>875</v>
      </c>
      <c r="F120" s="79"/>
    </row>
    <row r="121" spans="1:6">
      <c r="A121" s="67"/>
      <c r="B121" s="22" t="s">
        <v>65</v>
      </c>
      <c r="C121" s="3"/>
      <c r="D121" s="4"/>
      <c r="E121" s="4"/>
      <c r="F121" s="76">
        <f>SUM(F105:F120)</f>
        <v>1022000</v>
      </c>
    </row>
    <row r="122" spans="1:6" ht="27.75" customHeight="1">
      <c r="A122" s="67"/>
      <c r="B122" s="36" t="s">
        <v>67</v>
      </c>
      <c r="C122" s="55"/>
      <c r="D122" s="4"/>
      <c r="E122" s="4"/>
      <c r="F122" s="73"/>
    </row>
    <row r="123" spans="1:6" ht="122.25" customHeight="1">
      <c r="A123" s="5" t="s">
        <v>68</v>
      </c>
      <c r="B123" s="23" t="s">
        <v>255</v>
      </c>
      <c r="C123" s="20"/>
      <c r="D123" s="26" t="s">
        <v>81</v>
      </c>
      <c r="E123" s="24">
        <v>625</v>
      </c>
      <c r="F123" s="74">
        <f t="shared" ref="F123" si="12">E123*C123</f>
        <v>0</v>
      </c>
    </row>
    <row r="124" spans="1:6" s="2" customFormat="1" ht="153.75" customHeight="1">
      <c r="A124" s="5" t="s">
        <v>69</v>
      </c>
      <c r="B124" s="23" t="s">
        <v>608</v>
      </c>
      <c r="C124" s="32"/>
      <c r="D124" s="26" t="s">
        <v>80</v>
      </c>
      <c r="E124" s="24">
        <v>5450</v>
      </c>
      <c r="F124" s="74">
        <f>E124*C124</f>
        <v>0</v>
      </c>
    </row>
    <row r="125" spans="1:6" s="2" customFormat="1" ht="55.5">
      <c r="A125" s="5" t="s">
        <v>468</v>
      </c>
      <c r="B125" s="48" t="s">
        <v>467</v>
      </c>
      <c r="C125" s="89">
        <v>53</v>
      </c>
      <c r="D125" s="26" t="s">
        <v>80</v>
      </c>
      <c r="E125" s="24">
        <v>5650</v>
      </c>
      <c r="F125" s="74">
        <f>E125*C125</f>
        <v>299450</v>
      </c>
    </row>
    <row r="126" spans="1:6" ht="222.75" customHeight="1">
      <c r="A126" s="5" t="s">
        <v>469</v>
      </c>
      <c r="B126" s="28" t="s">
        <v>609</v>
      </c>
      <c r="C126" s="63"/>
      <c r="D126" s="26" t="s">
        <v>288</v>
      </c>
      <c r="E126" s="24">
        <v>95</v>
      </c>
      <c r="F126" s="74">
        <f t="shared" ref="F126" si="13">E126*C126</f>
        <v>0</v>
      </c>
    </row>
    <row r="127" spans="1:6" ht="111">
      <c r="A127" s="49"/>
      <c r="B127" s="18" t="s">
        <v>483</v>
      </c>
      <c r="C127" s="57"/>
      <c r="D127" s="26"/>
      <c r="E127" s="24"/>
      <c r="F127" s="79"/>
    </row>
    <row r="128" spans="1:6" ht="231.75" customHeight="1">
      <c r="A128" s="5" t="s">
        <v>470</v>
      </c>
      <c r="B128" s="28" t="s">
        <v>507</v>
      </c>
      <c r="C128" s="24"/>
      <c r="D128" s="26" t="s">
        <v>288</v>
      </c>
      <c r="E128" s="24">
        <v>125</v>
      </c>
      <c r="F128" s="74">
        <f t="shared" ref="F128:F129" si="14">E128*C128</f>
        <v>0</v>
      </c>
    </row>
    <row r="129" spans="1:6" ht="55.5">
      <c r="A129" s="49"/>
      <c r="B129" s="28" t="s">
        <v>510</v>
      </c>
      <c r="C129" s="24"/>
      <c r="D129" s="26" t="s">
        <v>240</v>
      </c>
      <c r="E129" s="24">
        <v>22.5</v>
      </c>
      <c r="F129" s="74">
        <f t="shared" si="14"/>
        <v>0</v>
      </c>
    </row>
    <row r="130" spans="1:6" ht="159.75" customHeight="1">
      <c r="A130" s="5" t="s">
        <v>70</v>
      </c>
      <c r="B130" s="23" t="s">
        <v>259</v>
      </c>
      <c r="C130" s="24"/>
      <c r="D130" s="26" t="s">
        <v>71</v>
      </c>
      <c r="E130" s="24">
        <v>250</v>
      </c>
      <c r="F130" s="79"/>
    </row>
    <row r="131" spans="1:6" ht="200.25" customHeight="1">
      <c r="A131" s="5" t="s">
        <v>72</v>
      </c>
      <c r="B131" s="23" t="s">
        <v>183</v>
      </c>
      <c r="C131" s="5"/>
      <c r="D131" s="26"/>
      <c r="E131" s="24"/>
      <c r="F131" s="25"/>
    </row>
    <row r="132" spans="1:6">
      <c r="A132" s="49"/>
      <c r="B132" s="28" t="s">
        <v>241</v>
      </c>
      <c r="C132" s="24"/>
      <c r="D132" s="26" t="s">
        <v>83</v>
      </c>
      <c r="E132" s="24">
        <v>175</v>
      </c>
      <c r="F132" s="74">
        <f t="shared" ref="F132" si="15">E132*C132</f>
        <v>0</v>
      </c>
    </row>
    <row r="133" spans="1:6">
      <c r="A133" s="49"/>
      <c r="B133" s="28" t="s">
        <v>242</v>
      </c>
      <c r="C133" s="24"/>
      <c r="D133" s="26" t="s">
        <v>83</v>
      </c>
      <c r="E133" s="24">
        <v>165</v>
      </c>
      <c r="F133" s="79"/>
    </row>
    <row r="134" spans="1:6" ht="111">
      <c r="A134" s="5" t="s">
        <v>74</v>
      </c>
      <c r="B134" s="23" t="s">
        <v>484</v>
      </c>
      <c r="C134" s="5"/>
      <c r="D134" s="7"/>
      <c r="E134" s="24"/>
      <c r="F134" s="25"/>
    </row>
    <row r="135" spans="1:6">
      <c r="A135" s="5"/>
      <c r="B135" s="23" t="s">
        <v>417</v>
      </c>
      <c r="C135" s="5"/>
      <c r="D135" s="26"/>
      <c r="E135" s="24"/>
      <c r="F135" s="25"/>
    </row>
    <row r="136" spans="1:6" ht="37">
      <c r="A136" s="5"/>
      <c r="B136" s="23" t="s">
        <v>485</v>
      </c>
      <c r="C136" s="24"/>
      <c r="D136" s="26" t="s">
        <v>81</v>
      </c>
      <c r="E136" s="24">
        <v>750</v>
      </c>
      <c r="F136" s="74">
        <f>E136*C136</f>
        <v>0</v>
      </c>
    </row>
    <row r="137" spans="1:6" ht="37">
      <c r="A137" s="5"/>
      <c r="B137" s="23" t="s">
        <v>97</v>
      </c>
      <c r="C137" s="20"/>
      <c r="D137" s="26" t="s">
        <v>83</v>
      </c>
      <c r="E137" s="24">
        <v>550</v>
      </c>
      <c r="F137" s="74">
        <f>E137*C137</f>
        <v>0</v>
      </c>
    </row>
    <row r="138" spans="1:6" ht="37">
      <c r="A138" s="49"/>
      <c r="B138" s="28" t="s">
        <v>418</v>
      </c>
      <c r="C138" s="24"/>
      <c r="D138" s="26" t="s">
        <v>83</v>
      </c>
      <c r="E138" s="24">
        <v>550</v>
      </c>
      <c r="F138" s="79"/>
    </row>
    <row r="139" spans="1:6" ht="137.25" customHeight="1">
      <c r="A139" s="49" t="s">
        <v>75</v>
      </c>
      <c r="B139" s="28" t="s">
        <v>486</v>
      </c>
      <c r="C139" s="49"/>
      <c r="D139" s="26"/>
      <c r="E139" s="24"/>
      <c r="F139" s="25"/>
    </row>
    <row r="140" spans="1:6">
      <c r="A140" s="49"/>
      <c r="B140" s="28" t="s">
        <v>234</v>
      </c>
      <c r="C140" s="24"/>
      <c r="D140" s="26" t="s">
        <v>81</v>
      </c>
      <c r="E140" s="24">
        <v>1375</v>
      </c>
      <c r="F140" s="74">
        <f t="shared" ref="F140" si="16">E140*C140</f>
        <v>0</v>
      </c>
    </row>
    <row r="141" spans="1:6">
      <c r="A141" s="49"/>
      <c r="B141" s="28" t="s">
        <v>235</v>
      </c>
      <c r="C141" s="24"/>
      <c r="D141" s="26" t="s">
        <v>81</v>
      </c>
      <c r="E141" s="24">
        <v>1675</v>
      </c>
      <c r="F141" s="79"/>
    </row>
    <row r="142" spans="1:6" ht="156" customHeight="1">
      <c r="A142" s="5" t="s">
        <v>156</v>
      </c>
      <c r="B142" s="38" t="s">
        <v>260</v>
      </c>
      <c r="C142" s="24"/>
      <c r="D142" s="26" t="s">
        <v>81</v>
      </c>
      <c r="E142" s="24">
        <v>1575</v>
      </c>
      <c r="F142" s="74">
        <f>E142*C142</f>
        <v>0</v>
      </c>
    </row>
    <row r="143" spans="1:6" ht="137.25" customHeight="1">
      <c r="A143" s="5" t="s">
        <v>157</v>
      </c>
      <c r="B143" s="23" t="s">
        <v>4</v>
      </c>
      <c r="C143" s="5"/>
      <c r="D143" s="7"/>
      <c r="E143" s="24"/>
      <c r="F143" s="25"/>
    </row>
    <row r="144" spans="1:6">
      <c r="A144" s="5"/>
      <c r="B144" s="23" t="s">
        <v>88</v>
      </c>
      <c r="C144" s="20">
        <v>18</v>
      </c>
      <c r="D144" s="32" t="s">
        <v>81</v>
      </c>
      <c r="E144" s="24">
        <v>1150</v>
      </c>
      <c r="F144" s="74">
        <f t="shared" ref="F144:F145" si="17">E144*C144</f>
        <v>20700</v>
      </c>
    </row>
    <row r="145" spans="1:6" ht="37">
      <c r="A145" s="5"/>
      <c r="B145" s="23" t="s">
        <v>89</v>
      </c>
      <c r="C145" s="20">
        <v>55</v>
      </c>
      <c r="D145" s="32" t="s">
        <v>81</v>
      </c>
      <c r="E145" s="24">
        <v>1250</v>
      </c>
      <c r="F145" s="74">
        <f t="shared" si="17"/>
        <v>68750</v>
      </c>
    </row>
    <row r="146" spans="1:6" ht="92.5">
      <c r="A146" s="5" t="s">
        <v>158</v>
      </c>
      <c r="B146" s="23" t="s">
        <v>487</v>
      </c>
      <c r="C146" s="5"/>
      <c r="D146" s="7"/>
      <c r="E146" s="24"/>
      <c r="F146" s="25"/>
    </row>
    <row r="147" spans="1:6">
      <c r="A147" s="5"/>
      <c r="B147" s="28" t="s">
        <v>419</v>
      </c>
      <c r="C147" s="24">
        <v>330</v>
      </c>
      <c r="D147" s="32" t="s">
        <v>81</v>
      </c>
      <c r="E147" s="24">
        <v>1275</v>
      </c>
      <c r="F147" s="74">
        <f t="shared" ref="F147:F150" si="18">E147*C147</f>
        <v>420750</v>
      </c>
    </row>
    <row r="148" spans="1:6" ht="37">
      <c r="A148" s="5"/>
      <c r="B148" s="28" t="s">
        <v>444</v>
      </c>
      <c r="C148" s="24"/>
      <c r="D148" s="32" t="s">
        <v>83</v>
      </c>
      <c r="E148" s="24">
        <v>500</v>
      </c>
      <c r="F148" s="79"/>
    </row>
    <row r="149" spans="1:6" ht="129.5">
      <c r="A149" s="49" t="s">
        <v>87</v>
      </c>
      <c r="B149" s="28" t="s">
        <v>445</v>
      </c>
      <c r="C149" s="32">
        <v>30</v>
      </c>
      <c r="D149" s="32" t="s">
        <v>81</v>
      </c>
      <c r="E149" s="24">
        <v>3550</v>
      </c>
      <c r="F149" s="74">
        <f t="shared" si="18"/>
        <v>106500</v>
      </c>
    </row>
    <row r="150" spans="1:6" ht="111">
      <c r="A150" s="5" t="s">
        <v>90</v>
      </c>
      <c r="B150" s="23" t="s">
        <v>446</v>
      </c>
      <c r="C150" s="24"/>
      <c r="D150" s="32" t="s">
        <v>81</v>
      </c>
      <c r="E150" s="24">
        <v>3500</v>
      </c>
      <c r="F150" s="74">
        <f t="shared" si="18"/>
        <v>0</v>
      </c>
    </row>
    <row r="151" spans="1:6" ht="111">
      <c r="A151" s="5" t="s">
        <v>230</v>
      </c>
      <c r="B151" s="23" t="s">
        <v>155</v>
      </c>
      <c r="C151" s="24"/>
      <c r="D151" s="32" t="s">
        <v>81</v>
      </c>
      <c r="E151" s="24">
        <v>2750</v>
      </c>
      <c r="F151" s="79"/>
    </row>
    <row r="152" spans="1:6" ht="129.5">
      <c r="A152" s="5" t="s">
        <v>231</v>
      </c>
      <c r="B152" s="23" t="s">
        <v>110</v>
      </c>
      <c r="C152" s="24"/>
      <c r="D152" s="32" t="s">
        <v>81</v>
      </c>
      <c r="E152" s="24">
        <v>2750</v>
      </c>
      <c r="F152" s="79"/>
    </row>
    <row r="153" spans="1:6" ht="92.5">
      <c r="A153" s="5" t="s">
        <v>154</v>
      </c>
      <c r="B153" s="23" t="s">
        <v>223</v>
      </c>
      <c r="C153" s="24"/>
      <c r="D153" s="32" t="s">
        <v>81</v>
      </c>
      <c r="E153" s="24">
        <v>1250</v>
      </c>
      <c r="F153" s="79"/>
    </row>
    <row r="154" spans="1:6" ht="315" hidden="1" customHeight="1">
      <c r="A154" s="5" t="s">
        <v>252</v>
      </c>
      <c r="B154" s="38" t="s">
        <v>278</v>
      </c>
      <c r="C154" s="20"/>
      <c r="D154" s="32" t="s">
        <v>81</v>
      </c>
      <c r="E154" s="24"/>
      <c r="F154" s="79"/>
    </row>
    <row r="155" spans="1:6" ht="111">
      <c r="A155" s="5" t="s">
        <v>252</v>
      </c>
      <c r="B155" s="23" t="s">
        <v>257</v>
      </c>
      <c r="C155" s="24"/>
      <c r="D155" s="32" t="s">
        <v>81</v>
      </c>
      <c r="E155" s="24">
        <v>1250</v>
      </c>
      <c r="F155" s="79"/>
    </row>
    <row r="156" spans="1:6" ht="129.5">
      <c r="A156" s="5" t="s">
        <v>388</v>
      </c>
      <c r="B156" s="23" t="s">
        <v>387</v>
      </c>
      <c r="C156" s="24"/>
      <c r="D156" s="32" t="s">
        <v>81</v>
      </c>
      <c r="E156" s="24">
        <v>3750</v>
      </c>
      <c r="F156" s="79"/>
    </row>
    <row r="157" spans="1:6" ht="351" customHeight="1">
      <c r="A157" s="5" t="s">
        <v>511</v>
      </c>
      <c r="B157" s="23" t="s">
        <v>603</v>
      </c>
      <c r="C157" s="24"/>
      <c r="D157" s="32" t="s">
        <v>81</v>
      </c>
      <c r="E157" s="24">
        <v>810</v>
      </c>
      <c r="F157" s="74">
        <f t="shared" ref="F157" si="19">E157*C157</f>
        <v>0</v>
      </c>
    </row>
    <row r="158" spans="1:6">
      <c r="A158" s="67"/>
      <c r="B158" s="22" t="s">
        <v>91</v>
      </c>
      <c r="C158" s="3"/>
      <c r="D158" s="4"/>
      <c r="E158" s="4"/>
      <c r="F158" s="80">
        <f>SUM(F123:F157)</f>
        <v>916150</v>
      </c>
    </row>
    <row r="159" spans="1:6" ht="17.5" customHeight="1">
      <c r="A159" s="67"/>
      <c r="B159" s="36" t="s">
        <v>102</v>
      </c>
      <c r="C159" s="55"/>
      <c r="D159" s="4"/>
      <c r="E159" s="4"/>
      <c r="F159" s="73"/>
    </row>
    <row r="160" spans="1:6" ht="166.5">
      <c r="A160" s="49" t="s">
        <v>92</v>
      </c>
      <c r="B160" s="28" t="s">
        <v>488</v>
      </c>
      <c r="C160" s="49"/>
      <c r="D160" s="8"/>
      <c r="E160" s="24"/>
      <c r="F160" s="24"/>
    </row>
    <row r="161" spans="1:6" ht="38.25" customHeight="1">
      <c r="A161" s="49"/>
      <c r="B161" s="28" t="s">
        <v>93</v>
      </c>
      <c r="C161" s="24">
        <v>352</v>
      </c>
      <c r="D161" s="32" t="s">
        <v>81</v>
      </c>
      <c r="E161" s="24">
        <v>395</v>
      </c>
      <c r="F161" s="74">
        <f t="shared" ref="F161:F163" si="20">E161*C161</f>
        <v>139040</v>
      </c>
    </row>
    <row r="162" spans="1:6">
      <c r="A162" s="49"/>
      <c r="B162" s="28" t="s">
        <v>94</v>
      </c>
      <c r="C162" s="24">
        <v>401</v>
      </c>
      <c r="D162" s="32" t="s">
        <v>81</v>
      </c>
      <c r="E162" s="24">
        <v>425</v>
      </c>
      <c r="F162" s="74">
        <f t="shared" si="20"/>
        <v>170425</v>
      </c>
    </row>
    <row r="163" spans="1:6" ht="213.75" customHeight="1">
      <c r="A163" s="49" t="s">
        <v>95</v>
      </c>
      <c r="B163" s="28" t="s">
        <v>489</v>
      </c>
      <c r="C163" s="20"/>
      <c r="D163" s="32" t="s">
        <v>81</v>
      </c>
      <c r="E163" s="24">
        <v>485</v>
      </c>
      <c r="F163" s="74">
        <f t="shared" si="20"/>
        <v>0</v>
      </c>
    </row>
    <row r="164" spans="1:6" ht="132" customHeight="1">
      <c r="A164" s="5" t="s">
        <v>265</v>
      </c>
      <c r="B164" s="28" t="s">
        <v>447</v>
      </c>
      <c r="C164" s="24"/>
      <c r="D164" s="32" t="s">
        <v>81</v>
      </c>
      <c r="E164" s="24">
        <v>575</v>
      </c>
      <c r="F164" s="81"/>
    </row>
    <row r="165" spans="1:6" ht="261" customHeight="1">
      <c r="A165" s="5" t="s">
        <v>96</v>
      </c>
      <c r="B165" s="17" t="s">
        <v>448</v>
      </c>
      <c r="C165" s="24">
        <v>417</v>
      </c>
      <c r="D165" s="32" t="s">
        <v>81</v>
      </c>
      <c r="E165" s="24">
        <v>575</v>
      </c>
      <c r="F165" s="74">
        <f t="shared" ref="F165:F167" si="21">E165*C165</f>
        <v>239775</v>
      </c>
    </row>
    <row r="166" spans="1:6" ht="141.75" customHeight="1">
      <c r="A166" s="49" t="s">
        <v>159</v>
      </c>
      <c r="B166" s="28" t="s">
        <v>267</v>
      </c>
      <c r="C166" s="24">
        <v>14</v>
      </c>
      <c r="D166" s="32" t="s">
        <v>81</v>
      </c>
      <c r="E166" s="24">
        <v>525</v>
      </c>
      <c r="F166" s="74">
        <f t="shared" si="21"/>
        <v>7350</v>
      </c>
    </row>
    <row r="167" spans="1:6" ht="129.5">
      <c r="A167" s="49" t="s">
        <v>23</v>
      </c>
      <c r="B167" s="23" t="s">
        <v>420</v>
      </c>
      <c r="C167" s="24">
        <f>C165</f>
        <v>417</v>
      </c>
      <c r="D167" s="26" t="s">
        <v>81</v>
      </c>
      <c r="E167" s="24">
        <v>160</v>
      </c>
      <c r="F167" s="74">
        <f t="shared" si="21"/>
        <v>66720</v>
      </c>
    </row>
    <row r="168" spans="1:6" ht="170.25" customHeight="1">
      <c r="A168" s="5" t="s">
        <v>98</v>
      </c>
      <c r="B168" s="23" t="s">
        <v>248</v>
      </c>
      <c r="C168" s="24"/>
      <c r="D168" s="26" t="s">
        <v>81</v>
      </c>
      <c r="E168" s="24">
        <v>375</v>
      </c>
      <c r="F168" s="79"/>
    </row>
    <row r="169" spans="1:6" ht="159.75" customHeight="1">
      <c r="A169" s="5" t="s">
        <v>99</v>
      </c>
      <c r="B169" s="23" t="s">
        <v>247</v>
      </c>
      <c r="C169" s="24"/>
      <c r="D169" s="26" t="s">
        <v>81</v>
      </c>
      <c r="E169" s="24">
        <v>375</v>
      </c>
      <c r="F169" s="79"/>
    </row>
    <row r="170" spans="1:6" ht="113.25" customHeight="1">
      <c r="A170" s="5" t="s">
        <v>100</v>
      </c>
      <c r="B170" s="23" t="s">
        <v>421</v>
      </c>
      <c r="C170" s="24"/>
      <c r="D170" s="26" t="s">
        <v>81</v>
      </c>
      <c r="E170" s="24">
        <v>265</v>
      </c>
      <c r="F170" s="79"/>
    </row>
    <row r="171" spans="1:6" ht="115.5" customHeight="1">
      <c r="A171" s="5" t="s">
        <v>41</v>
      </c>
      <c r="B171" s="23" t="s">
        <v>246</v>
      </c>
      <c r="C171" s="20">
        <f>C161+C162</f>
        <v>753</v>
      </c>
      <c r="D171" s="26" t="s">
        <v>81</v>
      </c>
      <c r="E171" s="24">
        <v>240</v>
      </c>
      <c r="F171" s="74">
        <f t="shared" ref="F171" si="22">E171*C171</f>
        <v>180720</v>
      </c>
    </row>
    <row r="172" spans="1:6" ht="92.5">
      <c r="A172" s="5" t="s">
        <v>188</v>
      </c>
      <c r="B172" s="23" t="s">
        <v>245</v>
      </c>
      <c r="C172" s="24"/>
      <c r="D172" s="26" t="s">
        <v>81</v>
      </c>
      <c r="E172" s="20">
        <v>230</v>
      </c>
      <c r="F172" s="79"/>
    </row>
    <row r="173" spans="1:6" ht="92.5">
      <c r="A173" s="5" t="s">
        <v>386</v>
      </c>
      <c r="B173" s="23" t="s">
        <v>385</v>
      </c>
      <c r="C173" s="24">
        <v>50</v>
      </c>
      <c r="D173" s="26" t="s">
        <v>289</v>
      </c>
      <c r="E173" s="20">
        <v>125</v>
      </c>
      <c r="F173" s="79">
        <f>C173*E173</f>
        <v>6250</v>
      </c>
    </row>
    <row r="174" spans="1:6">
      <c r="A174" s="67"/>
      <c r="B174" s="22" t="s">
        <v>101</v>
      </c>
      <c r="C174" s="3"/>
      <c r="D174" s="4"/>
      <c r="E174" s="4"/>
      <c r="F174" s="80">
        <f>SUM(F160:F173)</f>
        <v>810280</v>
      </c>
    </row>
    <row r="175" spans="1:6">
      <c r="A175" s="67"/>
      <c r="B175" s="36" t="s">
        <v>103</v>
      </c>
      <c r="C175" s="55"/>
      <c r="D175" s="4"/>
      <c r="E175" s="4"/>
      <c r="F175" s="73"/>
    </row>
    <row r="176" spans="1:6" ht="138.75" customHeight="1">
      <c r="A176" s="5" t="s">
        <v>160</v>
      </c>
      <c r="B176" s="23" t="s">
        <v>238</v>
      </c>
      <c r="C176" s="5"/>
      <c r="D176" s="7"/>
      <c r="E176" s="32"/>
      <c r="F176" s="25"/>
    </row>
    <row r="177" spans="1:6">
      <c r="A177" s="5"/>
      <c r="B177" s="23" t="s">
        <v>105</v>
      </c>
      <c r="C177" s="24"/>
      <c r="D177" s="26" t="s">
        <v>81</v>
      </c>
      <c r="E177" s="24">
        <v>16500</v>
      </c>
      <c r="F177" s="74">
        <f t="shared" ref="F177" si="23">E177*C177</f>
        <v>0</v>
      </c>
    </row>
    <row r="178" spans="1:6">
      <c r="A178" s="5"/>
      <c r="B178" s="23" t="s">
        <v>106</v>
      </c>
      <c r="C178" s="24"/>
      <c r="D178" s="26" t="s">
        <v>81</v>
      </c>
      <c r="E178" s="24"/>
      <c r="F178" s="79"/>
    </row>
    <row r="179" spans="1:6" ht="148">
      <c r="A179" s="5" t="s">
        <v>104</v>
      </c>
      <c r="B179" s="23" t="s">
        <v>490</v>
      </c>
      <c r="C179" s="24"/>
      <c r="D179" s="26" t="s">
        <v>81</v>
      </c>
      <c r="E179" s="24"/>
      <c r="F179" s="79"/>
    </row>
    <row r="180" spans="1:6" ht="185">
      <c r="A180" s="5" t="s">
        <v>107</v>
      </c>
      <c r="B180" s="23" t="s">
        <v>491</v>
      </c>
      <c r="C180" s="5"/>
      <c r="D180" s="7"/>
      <c r="E180" s="24"/>
      <c r="F180" s="25"/>
    </row>
    <row r="181" spans="1:6">
      <c r="A181" s="5"/>
      <c r="B181" s="23" t="s">
        <v>112</v>
      </c>
      <c r="C181" s="5"/>
      <c r="D181" s="7"/>
      <c r="E181" s="24"/>
      <c r="F181" s="25"/>
    </row>
    <row r="182" spans="1:6">
      <c r="A182" s="5"/>
      <c r="B182" s="23" t="s">
        <v>113</v>
      </c>
      <c r="C182" s="5"/>
      <c r="D182" s="7"/>
      <c r="E182" s="24"/>
      <c r="F182" s="25"/>
    </row>
    <row r="183" spans="1:6">
      <c r="A183" s="5"/>
      <c r="B183" s="23" t="s">
        <v>114</v>
      </c>
      <c r="C183" s="5"/>
      <c r="D183" s="7"/>
      <c r="E183" s="24"/>
      <c r="F183" s="25"/>
    </row>
    <row r="184" spans="1:6">
      <c r="A184" s="5"/>
      <c r="B184" s="23" t="s">
        <v>115</v>
      </c>
      <c r="C184" s="5"/>
      <c r="D184" s="7"/>
      <c r="E184" s="24"/>
      <c r="F184" s="25"/>
    </row>
    <row r="185" spans="1:6">
      <c r="A185" s="5"/>
      <c r="B185" s="23" t="s">
        <v>116</v>
      </c>
      <c r="C185" s="5"/>
      <c r="D185" s="7"/>
      <c r="E185" s="24"/>
      <c r="F185" s="25"/>
    </row>
    <row r="186" spans="1:6">
      <c r="A186" s="5"/>
      <c r="B186" s="23" t="s">
        <v>117</v>
      </c>
      <c r="C186" s="5"/>
      <c r="D186" s="7"/>
      <c r="E186" s="24"/>
      <c r="F186" s="25"/>
    </row>
    <row r="187" spans="1:6">
      <c r="A187" s="5"/>
      <c r="B187" s="23" t="s">
        <v>118</v>
      </c>
      <c r="C187" s="5"/>
      <c r="D187" s="7"/>
      <c r="E187" s="24"/>
      <c r="F187" s="25"/>
    </row>
    <row r="188" spans="1:6">
      <c r="A188" s="5"/>
      <c r="B188" s="23" t="s">
        <v>119</v>
      </c>
      <c r="C188" s="5"/>
      <c r="D188" s="7"/>
      <c r="E188" s="24"/>
      <c r="F188" s="25"/>
    </row>
    <row r="189" spans="1:6">
      <c r="A189" s="5"/>
      <c r="B189" s="23" t="s">
        <v>120</v>
      </c>
      <c r="C189" s="5"/>
      <c r="D189" s="7"/>
      <c r="E189" s="24"/>
      <c r="F189" s="25"/>
    </row>
    <row r="190" spans="1:6">
      <c r="A190" s="5"/>
      <c r="B190" s="23" t="s">
        <v>121</v>
      </c>
      <c r="C190" s="5"/>
      <c r="D190" s="7"/>
      <c r="E190" s="24"/>
      <c r="F190" s="25"/>
    </row>
    <row r="191" spans="1:6">
      <c r="A191" s="5"/>
      <c r="B191" s="23" t="s">
        <v>122</v>
      </c>
      <c r="C191" s="5"/>
      <c r="D191" s="7"/>
      <c r="E191" s="24"/>
      <c r="F191" s="25"/>
    </row>
    <row r="192" spans="1:6">
      <c r="A192" s="5"/>
      <c r="B192" s="23" t="s">
        <v>123</v>
      </c>
      <c r="C192" s="5"/>
      <c r="D192" s="7"/>
      <c r="E192" s="24"/>
      <c r="F192" s="25"/>
    </row>
    <row r="193" spans="1:6">
      <c r="A193" s="5"/>
      <c r="B193" s="23" t="s">
        <v>124</v>
      </c>
      <c r="C193" s="5"/>
      <c r="D193" s="7"/>
      <c r="E193" s="24"/>
      <c r="F193" s="25"/>
    </row>
    <row r="194" spans="1:6">
      <c r="A194" s="5"/>
      <c r="B194" s="23" t="s">
        <v>125</v>
      </c>
      <c r="C194" s="5"/>
      <c r="D194" s="7"/>
      <c r="E194" s="24"/>
      <c r="F194" s="25"/>
    </row>
    <row r="195" spans="1:6">
      <c r="A195" s="5"/>
      <c r="B195" s="23" t="s">
        <v>126</v>
      </c>
      <c r="C195" s="24">
        <v>5</v>
      </c>
      <c r="D195" s="26" t="s">
        <v>81</v>
      </c>
      <c r="E195" s="24">
        <v>5250</v>
      </c>
      <c r="F195" s="74">
        <f>E195*C195</f>
        <v>26250</v>
      </c>
    </row>
    <row r="196" spans="1:6">
      <c r="A196" s="5"/>
      <c r="B196" s="23" t="s">
        <v>127</v>
      </c>
      <c r="C196" s="24"/>
      <c r="D196" s="26" t="s">
        <v>81</v>
      </c>
      <c r="E196" s="24"/>
      <c r="F196" s="79"/>
    </row>
    <row r="197" spans="1:6">
      <c r="A197" s="5"/>
      <c r="B197" s="23" t="s">
        <v>422</v>
      </c>
      <c r="C197" s="24"/>
      <c r="D197" s="26" t="s">
        <v>352</v>
      </c>
      <c r="E197" s="88"/>
      <c r="F197" s="74">
        <f>E197*C197</f>
        <v>0</v>
      </c>
    </row>
    <row r="198" spans="1:6">
      <c r="A198" s="5"/>
      <c r="B198" s="23" t="s">
        <v>423</v>
      </c>
      <c r="C198" s="24"/>
      <c r="D198" s="26" t="s">
        <v>352</v>
      </c>
      <c r="E198" s="88"/>
      <c r="F198" s="74">
        <f>E198*C198</f>
        <v>0</v>
      </c>
    </row>
    <row r="199" spans="1:6" ht="259">
      <c r="A199" s="5" t="s">
        <v>109</v>
      </c>
      <c r="B199" s="23" t="s">
        <v>161</v>
      </c>
      <c r="C199" s="5"/>
      <c r="D199" s="12"/>
      <c r="E199" s="24"/>
      <c r="F199" s="25" t="s">
        <v>509</v>
      </c>
    </row>
    <row r="200" spans="1:6">
      <c r="A200" s="5"/>
      <c r="B200" s="23" t="s">
        <v>129</v>
      </c>
      <c r="C200" s="20">
        <v>6</v>
      </c>
      <c r="D200" s="26" t="s">
        <v>81</v>
      </c>
      <c r="E200" s="24">
        <v>4450</v>
      </c>
      <c r="F200" s="74">
        <f t="shared" ref="F200" si="24">E200*C200</f>
        <v>26700</v>
      </c>
    </row>
    <row r="201" spans="1:6">
      <c r="A201" s="5"/>
      <c r="B201" s="23" t="s">
        <v>130</v>
      </c>
      <c r="C201" s="24"/>
      <c r="D201" s="26" t="s">
        <v>81</v>
      </c>
      <c r="E201" s="24">
        <v>4750</v>
      </c>
      <c r="F201" s="79"/>
    </row>
    <row r="202" spans="1:6" ht="185">
      <c r="A202" s="5" t="s">
        <v>128</v>
      </c>
      <c r="B202" s="23" t="s">
        <v>492</v>
      </c>
      <c r="C202" s="5"/>
      <c r="D202" s="7"/>
      <c r="E202" s="24"/>
      <c r="F202" s="25"/>
    </row>
    <row r="203" spans="1:6">
      <c r="A203" s="5"/>
      <c r="B203" s="23" t="s">
        <v>285</v>
      </c>
      <c r="C203" s="24"/>
      <c r="D203" s="26" t="s">
        <v>81</v>
      </c>
      <c r="E203" s="24">
        <v>3750</v>
      </c>
      <c r="F203" s="79"/>
    </row>
    <row r="204" spans="1:6">
      <c r="A204" s="5"/>
      <c r="B204" s="23" t="s">
        <v>132</v>
      </c>
      <c r="C204" s="24"/>
      <c r="D204" s="26" t="s">
        <v>81</v>
      </c>
      <c r="E204" s="24">
        <v>3750</v>
      </c>
      <c r="F204" s="79"/>
    </row>
    <row r="205" spans="1:6" ht="288.75" customHeight="1">
      <c r="A205" s="5" t="s">
        <v>131</v>
      </c>
      <c r="B205" s="23" t="s">
        <v>512</v>
      </c>
      <c r="C205" s="5"/>
      <c r="D205" s="7"/>
      <c r="E205" s="24"/>
      <c r="F205" s="25"/>
    </row>
    <row r="206" spans="1:6">
      <c r="A206" s="5"/>
      <c r="B206" s="23" t="s">
        <v>533</v>
      </c>
      <c r="C206" s="24">
        <v>37</v>
      </c>
      <c r="D206" s="26" t="s">
        <v>86</v>
      </c>
      <c r="E206" s="88">
        <v>3850</v>
      </c>
      <c r="F206" s="79">
        <f>C206*E206</f>
        <v>142450</v>
      </c>
    </row>
    <row r="207" spans="1:6">
      <c r="A207" s="5"/>
      <c r="B207" s="23" t="s">
        <v>134</v>
      </c>
      <c r="C207" s="5"/>
      <c r="D207" s="7"/>
      <c r="E207" s="24"/>
      <c r="F207" s="25"/>
    </row>
    <row r="208" spans="1:6">
      <c r="A208" s="5"/>
      <c r="B208" s="23" t="s">
        <v>142</v>
      </c>
      <c r="C208" s="5"/>
      <c r="D208" s="7"/>
      <c r="E208" s="24"/>
      <c r="F208" s="25"/>
    </row>
    <row r="209" spans="1:6">
      <c r="A209" s="5"/>
      <c r="B209" s="23" t="s">
        <v>143</v>
      </c>
      <c r="C209" s="5"/>
      <c r="D209" s="7"/>
      <c r="E209" s="24"/>
      <c r="F209" s="25"/>
    </row>
    <row r="210" spans="1:6">
      <c r="A210" s="5"/>
      <c r="B210" s="23" t="s">
        <v>113</v>
      </c>
      <c r="C210" s="5"/>
      <c r="D210" s="7"/>
      <c r="E210" s="24"/>
      <c r="F210" s="25"/>
    </row>
    <row r="211" spans="1:6">
      <c r="A211" s="5"/>
      <c r="B211" s="23" t="s">
        <v>135</v>
      </c>
      <c r="C211" s="5"/>
      <c r="D211" s="7"/>
      <c r="E211" s="24"/>
      <c r="F211" s="25"/>
    </row>
    <row r="212" spans="1:6">
      <c r="A212" s="5"/>
      <c r="B212" s="23" t="s">
        <v>144</v>
      </c>
      <c r="C212" s="5"/>
      <c r="D212" s="7"/>
      <c r="E212" s="24"/>
      <c r="F212" s="25"/>
    </row>
    <row r="213" spans="1:6">
      <c r="A213" s="5"/>
      <c r="B213" s="23" t="s">
        <v>145</v>
      </c>
      <c r="C213" s="5"/>
      <c r="D213" s="7"/>
      <c r="E213" s="24"/>
      <c r="F213" s="25"/>
    </row>
    <row r="214" spans="1:6">
      <c r="A214" s="5"/>
      <c r="B214" s="23" t="s">
        <v>136</v>
      </c>
      <c r="C214" s="5"/>
      <c r="D214" s="7"/>
      <c r="E214" s="24"/>
      <c r="F214" s="25"/>
    </row>
    <row r="215" spans="1:6">
      <c r="A215" s="5"/>
      <c r="B215" s="23" t="s">
        <v>146</v>
      </c>
      <c r="C215" s="5"/>
      <c r="D215" s="7"/>
      <c r="E215" s="24"/>
      <c r="F215" s="25"/>
    </row>
    <row r="216" spans="1:6">
      <c r="A216" s="5"/>
      <c r="B216" s="23" t="s">
        <v>147</v>
      </c>
      <c r="C216" s="5"/>
      <c r="D216" s="7"/>
      <c r="E216" s="24"/>
      <c r="F216" s="25"/>
    </row>
    <row r="217" spans="1:6">
      <c r="A217" s="5"/>
      <c r="B217" s="23" t="s">
        <v>115</v>
      </c>
      <c r="C217" s="5"/>
      <c r="D217" s="7"/>
      <c r="E217" s="24"/>
      <c r="F217" s="25"/>
    </row>
    <row r="218" spans="1:6">
      <c r="A218" s="5"/>
      <c r="B218" s="23" t="s">
        <v>137</v>
      </c>
      <c r="C218" s="5"/>
      <c r="D218" s="7"/>
      <c r="E218" s="24"/>
      <c r="F218" s="25"/>
    </row>
    <row r="219" spans="1:6">
      <c r="A219" s="5"/>
      <c r="B219" s="23" t="s">
        <v>138</v>
      </c>
      <c r="C219" s="5"/>
      <c r="D219" s="7"/>
      <c r="E219" s="24"/>
      <c r="F219" s="25"/>
    </row>
    <row r="220" spans="1:6">
      <c r="A220" s="5"/>
      <c r="B220" s="23" t="s">
        <v>139</v>
      </c>
      <c r="C220" s="5"/>
      <c r="D220" s="7"/>
      <c r="E220" s="24"/>
      <c r="F220" s="25"/>
    </row>
    <row r="221" spans="1:6">
      <c r="A221" s="5"/>
      <c r="B221" s="23" t="s">
        <v>140</v>
      </c>
      <c r="C221" s="5"/>
      <c r="D221" s="7"/>
      <c r="E221" s="24"/>
      <c r="F221" s="25"/>
    </row>
    <row r="222" spans="1:6">
      <c r="A222" s="5"/>
      <c r="B222" s="23" t="s">
        <v>141</v>
      </c>
      <c r="C222" s="5"/>
      <c r="D222" s="7"/>
      <c r="E222" s="24"/>
      <c r="F222" s="25"/>
    </row>
    <row r="223" spans="1:6" ht="142.5" customHeight="1">
      <c r="A223" s="5" t="s">
        <v>133</v>
      </c>
      <c r="B223" s="23" t="s">
        <v>493</v>
      </c>
      <c r="C223" s="24"/>
      <c r="D223" s="26" t="s">
        <v>81</v>
      </c>
      <c r="E223" s="24">
        <v>4250</v>
      </c>
      <c r="F223" s="74">
        <f>E223*C223</f>
        <v>0</v>
      </c>
    </row>
    <row r="224" spans="1:6" ht="37">
      <c r="A224" s="5"/>
      <c r="B224" s="23" t="s">
        <v>149</v>
      </c>
      <c r="C224" s="5"/>
      <c r="D224" s="7"/>
      <c r="E224" s="24"/>
      <c r="F224" s="25"/>
    </row>
    <row r="225" spans="1:6">
      <c r="A225" s="5"/>
      <c r="B225" s="23" t="s">
        <v>150</v>
      </c>
      <c r="C225" s="5"/>
      <c r="D225" s="7"/>
      <c r="E225" s="24"/>
      <c r="F225" s="25"/>
    </row>
    <row r="226" spans="1:6">
      <c r="A226" s="5"/>
      <c r="B226" s="23" t="s">
        <v>117</v>
      </c>
      <c r="C226" s="5"/>
      <c r="D226" s="7"/>
      <c r="E226" s="24"/>
      <c r="F226" s="25"/>
    </row>
    <row r="227" spans="1:6" ht="18.75" customHeight="1">
      <c r="A227" s="5"/>
      <c r="B227" s="23" t="s">
        <v>151</v>
      </c>
      <c r="C227" s="5"/>
      <c r="D227" s="7"/>
      <c r="E227" s="24"/>
      <c r="F227" s="25"/>
    </row>
    <row r="228" spans="1:6">
      <c r="A228" s="5"/>
      <c r="B228" s="23" t="s">
        <v>170</v>
      </c>
      <c r="C228" s="5"/>
      <c r="D228" s="7"/>
      <c r="E228" s="24"/>
      <c r="F228" s="25"/>
    </row>
    <row r="229" spans="1:6">
      <c r="A229" s="5"/>
      <c r="B229" s="23" t="s">
        <v>124</v>
      </c>
      <c r="C229" s="5"/>
      <c r="D229" s="7"/>
      <c r="E229" s="24"/>
      <c r="F229" s="25"/>
    </row>
    <row r="230" spans="1:6">
      <c r="A230" s="5"/>
      <c r="B230" s="23" t="s">
        <v>171</v>
      </c>
      <c r="C230" s="5"/>
      <c r="D230" s="7"/>
      <c r="E230" s="24"/>
      <c r="F230" s="25"/>
    </row>
    <row r="231" spans="1:6" ht="184.5" customHeight="1">
      <c r="A231" s="5" t="s">
        <v>148</v>
      </c>
      <c r="B231" s="23" t="s">
        <v>172</v>
      </c>
      <c r="C231" s="24">
        <v>6</v>
      </c>
      <c r="D231" s="26" t="s">
        <v>81</v>
      </c>
      <c r="E231" s="24">
        <v>4750</v>
      </c>
      <c r="F231" s="74">
        <f t="shared" ref="F231" si="25">E231*C231</f>
        <v>28500</v>
      </c>
    </row>
    <row r="232" spans="1:6">
      <c r="A232" s="5"/>
      <c r="B232" s="23" t="s">
        <v>173</v>
      </c>
      <c r="C232" s="5"/>
      <c r="D232" s="7"/>
      <c r="E232" s="24"/>
      <c r="F232" s="25"/>
    </row>
    <row r="233" spans="1:6">
      <c r="A233" s="5"/>
      <c r="B233" s="23" t="s">
        <v>174</v>
      </c>
      <c r="C233" s="5"/>
      <c r="D233" s="7"/>
      <c r="E233" s="24"/>
      <c r="F233" s="25"/>
    </row>
    <row r="234" spans="1:6">
      <c r="A234" s="5"/>
      <c r="B234" s="23" t="s">
        <v>117</v>
      </c>
      <c r="C234" s="5"/>
      <c r="D234" s="7"/>
      <c r="E234" s="24"/>
      <c r="F234" s="25"/>
    </row>
    <row r="235" spans="1:6">
      <c r="A235" s="5"/>
      <c r="B235" s="23" t="s">
        <v>175</v>
      </c>
      <c r="C235" s="5"/>
      <c r="D235" s="7"/>
      <c r="E235" s="24"/>
      <c r="F235" s="25"/>
    </row>
    <row r="236" spans="1:6">
      <c r="A236" s="5"/>
      <c r="B236" s="23" t="s">
        <v>176</v>
      </c>
      <c r="C236" s="5"/>
      <c r="D236" s="7"/>
      <c r="E236" s="24"/>
      <c r="F236" s="25"/>
    </row>
    <row r="237" spans="1:6">
      <c r="A237" s="5"/>
      <c r="B237" s="23" t="s">
        <v>125</v>
      </c>
      <c r="C237" s="5"/>
      <c r="D237" s="7"/>
      <c r="E237" s="24"/>
      <c r="F237" s="25"/>
    </row>
    <row r="238" spans="1:6" ht="112.5" customHeight="1">
      <c r="A238" s="5" t="s">
        <v>449</v>
      </c>
      <c r="B238" s="23" t="s">
        <v>178</v>
      </c>
      <c r="C238" s="24"/>
      <c r="D238" s="26" t="s">
        <v>81</v>
      </c>
      <c r="E238" s="24">
        <v>3500</v>
      </c>
      <c r="F238" s="79"/>
    </row>
    <row r="239" spans="1:6">
      <c r="A239" s="5"/>
      <c r="B239" s="23" t="s">
        <v>179</v>
      </c>
      <c r="C239" s="5"/>
      <c r="D239" s="7"/>
      <c r="E239" s="24"/>
      <c r="F239" s="25"/>
    </row>
    <row r="240" spans="1:6">
      <c r="A240" s="5"/>
      <c r="B240" s="23" t="s">
        <v>180</v>
      </c>
      <c r="C240" s="5"/>
      <c r="D240" s="7"/>
      <c r="E240" s="24"/>
      <c r="F240" s="25"/>
    </row>
    <row r="241" spans="1:6">
      <c r="A241" s="5"/>
      <c r="B241" s="23" t="s">
        <v>181</v>
      </c>
      <c r="C241" s="5"/>
      <c r="D241" s="7"/>
      <c r="E241" s="24"/>
      <c r="F241" s="25"/>
    </row>
    <row r="242" spans="1:6">
      <c r="A242" s="5"/>
      <c r="B242" s="23" t="s">
        <v>182</v>
      </c>
      <c r="C242" s="5"/>
      <c r="D242" s="7"/>
      <c r="E242" s="24"/>
      <c r="F242" s="25"/>
    </row>
    <row r="243" spans="1:6">
      <c r="A243" s="5"/>
      <c r="B243" s="23" t="s">
        <v>185</v>
      </c>
      <c r="C243" s="5"/>
      <c r="D243" s="7"/>
      <c r="E243" s="24"/>
      <c r="F243" s="25"/>
    </row>
    <row r="244" spans="1:6" ht="37">
      <c r="A244" s="5"/>
      <c r="B244" s="23" t="s">
        <v>186</v>
      </c>
      <c r="C244" s="5"/>
      <c r="D244" s="7"/>
      <c r="E244" s="24"/>
      <c r="F244" s="25"/>
    </row>
    <row r="245" spans="1:6" ht="129.5">
      <c r="A245" s="5" t="s">
        <v>177</v>
      </c>
      <c r="B245" s="23" t="s">
        <v>457</v>
      </c>
      <c r="C245" s="24"/>
      <c r="D245" s="26" t="s">
        <v>81</v>
      </c>
      <c r="E245" s="24">
        <v>3750</v>
      </c>
      <c r="F245" s="74">
        <f>E245*C245</f>
        <v>0</v>
      </c>
    </row>
    <row r="246" spans="1:6">
      <c r="A246" s="5" t="s">
        <v>187</v>
      </c>
      <c r="B246" s="23" t="s">
        <v>163</v>
      </c>
      <c r="C246" s="24"/>
      <c r="D246" s="26" t="s">
        <v>71</v>
      </c>
      <c r="E246" s="24">
        <v>14500</v>
      </c>
      <c r="F246" s="74">
        <f t="shared" ref="F246:F247" si="26">E246*C246</f>
        <v>0</v>
      </c>
    </row>
    <row r="247" spans="1:6">
      <c r="A247" s="5" t="s">
        <v>558</v>
      </c>
      <c r="B247" s="23" t="s">
        <v>559</v>
      </c>
      <c r="C247" s="24"/>
      <c r="D247" s="26" t="s">
        <v>71</v>
      </c>
      <c r="E247" s="24">
        <v>42500</v>
      </c>
      <c r="F247" s="74">
        <f t="shared" si="26"/>
        <v>0</v>
      </c>
    </row>
    <row r="248" spans="1:6" ht="314.25" customHeight="1">
      <c r="A248" s="5" t="s">
        <v>162</v>
      </c>
      <c r="B248" s="28" t="s">
        <v>426</v>
      </c>
      <c r="C248" s="20"/>
      <c r="D248" s="26" t="s">
        <v>81</v>
      </c>
      <c r="E248" s="24">
        <v>3750</v>
      </c>
      <c r="F248" s="74"/>
    </row>
    <row r="249" spans="1:6" ht="129.5">
      <c r="A249" s="5"/>
      <c r="B249" s="28" t="s">
        <v>328</v>
      </c>
      <c r="C249" s="49"/>
      <c r="D249" s="26"/>
      <c r="E249" s="24"/>
      <c r="F249" s="79"/>
    </row>
    <row r="250" spans="1:6" ht="37">
      <c r="A250" s="5" t="s">
        <v>256</v>
      </c>
      <c r="B250" s="28" t="s">
        <v>330</v>
      </c>
      <c r="C250" s="24"/>
      <c r="D250" s="26" t="s">
        <v>81</v>
      </c>
      <c r="E250" s="24">
        <v>4500</v>
      </c>
      <c r="F250" s="79"/>
    </row>
    <row r="251" spans="1:6" ht="240.5">
      <c r="A251" s="5" t="s">
        <v>327</v>
      </c>
      <c r="B251" s="23" t="s">
        <v>287</v>
      </c>
      <c r="C251" s="24"/>
      <c r="D251" s="26" t="s">
        <v>81</v>
      </c>
      <c r="E251" s="24">
        <v>815</v>
      </c>
      <c r="F251" s="74">
        <f>E251*C251</f>
        <v>0</v>
      </c>
    </row>
    <row r="252" spans="1:6" ht="335.25" customHeight="1">
      <c r="A252" s="5" t="s">
        <v>329</v>
      </c>
      <c r="B252" s="38" t="s">
        <v>508</v>
      </c>
      <c r="C252" s="20"/>
      <c r="D252" s="26" t="s">
        <v>81</v>
      </c>
      <c r="E252" s="24">
        <v>2195</v>
      </c>
      <c r="F252" s="74">
        <f>E252*C252</f>
        <v>0</v>
      </c>
    </row>
    <row r="253" spans="1:6" ht="185">
      <c r="A253" s="5"/>
      <c r="B253" s="38" t="s">
        <v>291</v>
      </c>
      <c r="C253" s="53"/>
      <c r="D253" s="26"/>
      <c r="E253" s="24"/>
      <c r="F253" s="79"/>
    </row>
    <row r="254" spans="1:6" ht="55.5">
      <c r="A254" s="5"/>
      <c r="B254" s="38" t="s">
        <v>290</v>
      </c>
      <c r="C254" s="53"/>
      <c r="D254" s="26"/>
      <c r="E254" s="24"/>
      <c r="F254" s="79"/>
    </row>
    <row r="255" spans="1:6" ht="185">
      <c r="A255" s="5" t="s">
        <v>331</v>
      </c>
      <c r="B255" s="38" t="s">
        <v>494</v>
      </c>
      <c r="C255" s="24"/>
      <c r="D255" s="26" t="s">
        <v>81</v>
      </c>
      <c r="E255" s="24">
        <v>4650</v>
      </c>
      <c r="F255" s="79"/>
    </row>
    <row r="256" spans="1:6">
      <c r="A256" s="67"/>
      <c r="B256" s="22" t="s">
        <v>189</v>
      </c>
      <c r="C256" s="3"/>
      <c r="D256" s="4"/>
      <c r="E256" s="4"/>
      <c r="F256" s="80">
        <f>SUM(F176:F255)</f>
        <v>223900</v>
      </c>
    </row>
    <row r="257" spans="1:6" ht="17.5" customHeight="1">
      <c r="A257" s="67"/>
      <c r="B257" s="36" t="s">
        <v>190</v>
      </c>
      <c r="C257" s="55"/>
      <c r="D257" s="4"/>
      <c r="E257" s="4"/>
      <c r="F257" s="73"/>
    </row>
    <row r="258" spans="1:6" ht="341.25" customHeight="1">
      <c r="A258" s="5" t="s">
        <v>311</v>
      </c>
      <c r="B258" s="23" t="s">
        <v>543</v>
      </c>
      <c r="C258" s="24"/>
      <c r="D258" s="26" t="s">
        <v>191</v>
      </c>
      <c r="E258" s="24">
        <v>115000</v>
      </c>
      <c r="F258" s="74">
        <f t="shared" ref="F258:F262" si="27">E258*C258</f>
        <v>0</v>
      </c>
    </row>
    <row r="259" spans="1:6" ht="165.75" customHeight="1">
      <c r="A259" s="5" t="s">
        <v>323</v>
      </c>
      <c r="B259" s="23" t="s">
        <v>397</v>
      </c>
      <c r="C259" s="24"/>
      <c r="D259" s="26" t="s">
        <v>191</v>
      </c>
      <c r="E259" s="24">
        <v>145000</v>
      </c>
      <c r="F259" s="74">
        <f t="shared" si="27"/>
        <v>0</v>
      </c>
    </row>
    <row r="260" spans="1:6" ht="92.5">
      <c r="A260" s="5" t="s">
        <v>312</v>
      </c>
      <c r="B260" s="23" t="s">
        <v>495</v>
      </c>
      <c r="C260" s="24"/>
      <c r="D260" s="26" t="s">
        <v>191</v>
      </c>
      <c r="E260" s="24">
        <v>15000</v>
      </c>
      <c r="F260" s="74">
        <f t="shared" si="27"/>
        <v>0</v>
      </c>
    </row>
    <row r="261" spans="1:6" ht="92.5">
      <c r="A261" s="5" t="s">
        <v>315</v>
      </c>
      <c r="B261" s="23" t="s">
        <v>324</v>
      </c>
      <c r="C261" s="24"/>
      <c r="D261" s="26" t="s">
        <v>191</v>
      </c>
      <c r="E261" s="24">
        <v>45000</v>
      </c>
      <c r="F261" s="74">
        <f t="shared" si="27"/>
        <v>0</v>
      </c>
    </row>
    <row r="262" spans="1:6" ht="216" customHeight="1">
      <c r="A262" s="5" t="s">
        <v>316</v>
      </c>
      <c r="B262" s="23" t="s">
        <v>193</v>
      </c>
      <c r="C262" s="24"/>
      <c r="D262" s="26" t="s">
        <v>83</v>
      </c>
      <c r="E262" s="24">
        <v>3750</v>
      </c>
      <c r="F262" s="74">
        <f t="shared" si="27"/>
        <v>0</v>
      </c>
    </row>
    <row r="263" spans="1:6" ht="129.5">
      <c r="A263" s="49" t="s">
        <v>325</v>
      </c>
      <c r="B263" s="28" t="s">
        <v>450</v>
      </c>
      <c r="C263" s="49"/>
      <c r="D263" s="8"/>
      <c r="E263" s="32"/>
      <c r="F263" s="24"/>
    </row>
    <row r="264" spans="1:6">
      <c r="A264" s="5"/>
      <c r="B264" s="28" t="s">
        <v>279</v>
      </c>
      <c r="C264" s="49"/>
      <c r="D264" s="32" t="s">
        <v>261</v>
      </c>
      <c r="E264" s="24">
        <v>55</v>
      </c>
      <c r="F264" s="74">
        <f t="shared" ref="F264" si="28">E264*C264</f>
        <v>0</v>
      </c>
    </row>
    <row r="265" spans="1:6">
      <c r="A265" s="5"/>
      <c r="B265" s="23" t="s">
        <v>111</v>
      </c>
      <c r="C265" s="5"/>
      <c r="D265" s="32" t="s">
        <v>261</v>
      </c>
      <c r="E265" s="24">
        <v>45</v>
      </c>
      <c r="F265" s="74">
        <f>E265*C265</f>
        <v>0</v>
      </c>
    </row>
    <row r="266" spans="1:6" ht="37">
      <c r="A266" s="5" t="s">
        <v>398</v>
      </c>
      <c r="B266" s="23" t="s">
        <v>496</v>
      </c>
      <c r="C266" s="5"/>
      <c r="D266" s="32"/>
      <c r="E266" s="24"/>
      <c r="F266" s="79"/>
    </row>
    <row r="267" spans="1:6">
      <c r="A267" s="5"/>
      <c r="B267" s="28" t="s">
        <v>279</v>
      </c>
      <c r="C267" s="20"/>
      <c r="D267" s="32" t="s">
        <v>261</v>
      </c>
      <c r="E267" s="24">
        <v>165</v>
      </c>
      <c r="F267" s="74">
        <f t="shared" ref="F267:F268" si="29">E267*C267</f>
        <v>0</v>
      </c>
    </row>
    <row r="268" spans="1:6">
      <c r="A268" s="5"/>
      <c r="B268" s="23" t="s">
        <v>111</v>
      </c>
      <c r="C268" s="92"/>
      <c r="D268" s="32" t="s">
        <v>261</v>
      </c>
      <c r="E268" s="24">
        <v>165</v>
      </c>
      <c r="F268" s="74">
        <f t="shared" si="29"/>
        <v>0</v>
      </c>
    </row>
    <row r="269" spans="1:6" ht="185">
      <c r="A269" s="5" t="s">
        <v>326</v>
      </c>
      <c r="B269" s="28" t="s">
        <v>539</v>
      </c>
      <c r="C269" s="49"/>
      <c r="D269" s="32"/>
      <c r="E269" s="24"/>
      <c r="F269" s="79"/>
    </row>
    <row r="270" spans="1:6">
      <c r="A270" s="82" t="s">
        <v>292</v>
      </c>
      <c r="B270" s="28" t="s">
        <v>293</v>
      </c>
      <c r="C270" s="24"/>
      <c r="D270" s="26" t="s">
        <v>191</v>
      </c>
      <c r="E270" s="24">
        <v>95000</v>
      </c>
      <c r="F270" s="74">
        <f t="shared" ref="F270:F271" si="30">E270*C270</f>
        <v>0</v>
      </c>
    </row>
    <row r="271" spans="1:6">
      <c r="A271" s="82" t="s">
        <v>294</v>
      </c>
      <c r="B271" s="28" t="s">
        <v>295</v>
      </c>
      <c r="C271" s="24"/>
      <c r="D271" s="26" t="s">
        <v>191</v>
      </c>
      <c r="E271" s="24">
        <v>45000</v>
      </c>
      <c r="F271" s="74">
        <f t="shared" si="30"/>
        <v>0</v>
      </c>
    </row>
    <row r="272" spans="1:6">
      <c r="A272" s="67"/>
      <c r="B272" s="35" t="s">
        <v>194</v>
      </c>
      <c r="C272" s="3"/>
      <c r="D272" s="4"/>
      <c r="E272" s="4"/>
      <c r="F272" s="80">
        <f>SUM(F258:F271)</f>
        <v>0</v>
      </c>
    </row>
    <row r="273" spans="1:6" ht="17.5" customHeight="1">
      <c r="A273" s="67"/>
      <c r="B273" s="36" t="s">
        <v>45</v>
      </c>
      <c r="C273" s="55"/>
      <c r="D273" s="4"/>
      <c r="E273" s="4"/>
      <c r="F273" s="73"/>
    </row>
    <row r="274" spans="1:6" ht="37">
      <c r="A274" s="49" t="s">
        <v>44</v>
      </c>
      <c r="B274" s="28" t="s">
        <v>286</v>
      </c>
      <c r="C274" s="49"/>
      <c r="D274" s="7"/>
      <c r="E274" s="32"/>
      <c r="F274" s="25"/>
    </row>
    <row r="275" spans="1:6">
      <c r="A275" s="49"/>
      <c r="B275" s="28" t="s">
        <v>497</v>
      </c>
      <c r="C275" s="32"/>
      <c r="D275" s="26" t="s">
        <v>83</v>
      </c>
      <c r="E275" s="24">
        <v>1150</v>
      </c>
      <c r="F275" s="74">
        <f t="shared" ref="F275:F276" si="31">E275*C275</f>
        <v>0</v>
      </c>
    </row>
    <row r="276" spans="1:6">
      <c r="A276" s="49"/>
      <c r="B276" s="28" t="s">
        <v>498</v>
      </c>
      <c r="C276" s="24"/>
      <c r="D276" s="26" t="s">
        <v>83</v>
      </c>
      <c r="E276" s="24">
        <v>1650</v>
      </c>
      <c r="F276" s="74">
        <f t="shared" si="31"/>
        <v>0</v>
      </c>
    </row>
    <row r="277" spans="1:6" ht="240.5">
      <c r="A277" s="49" t="s">
        <v>313</v>
      </c>
      <c r="B277" s="28" t="s">
        <v>544</v>
      </c>
      <c r="C277" s="49"/>
      <c r="D277" s="26"/>
      <c r="E277" s="24"/>
      <c r="F277" s="79"/>
    </row>
    <row r="278" spans="1:6">
      <c r="A278" s="49"/>
      <c r="B278" s="28" t="s">
        <v>458</v>
      </c>
      <c r="C278" s="24"/>
      <c r="D278" s="26" t="s">
        <v>81</v>
      </c>
      <c r="E278" s="24">
        <v>725</v>
      </c>
      <c r="F278" s="79"/>
    </row>
    <row r="279" spans="1:6">
      <c r="A279" s="49"/>
      <c r="B279" s="28" t="s">
        <v>505</v>
      </c>
      <c r="C279" s="24"/>
      <c r="D279" s="26" t="s">
        <v>289</v>
      </c>
      <c r="E279" s="24">
        <v>720</v>
      </c>
      <c r="F279" s="79"/>
    </row>
    <row r="280" spans="1:6">
      <c r="A280" s="49"/>
      <c r="B280" s="28" t="s">
        <v>504</v>
      </c>
      <c r="C280" s="24"/>
      <c r="D280" s="26" t="s">
        <v>289</v>
      </c>
      <c r="E280" s="24">
        <v>850</v>
      </c>
      <c r="F280" s="79"/>
    </row>
    <row r="281" spans="1:6">
      <c r="A281" s="49"/>
      <c r="B281" s="28" t="s">
        <v>506</v>
      </c>
      <c r="C281" s="24"/>
      <c r="D281" s="26" t="s">
        <v>289</v>
      </c>
      <c r="E281" s="24">
        <v>650</v>
      </c>
      <c r="F281" s="79"/>
    </row>
    <row r="282" spans="1:6">
      <c r="A282" s="67"/>
      <c r="B282" s="35" t="s">
        <v>50</v>
      </c>
      <c r="C282" s="3"/>
      <c r="D282" s="4"/>
      <c r="E282" s="4"/>
      <c r="F282" s="80">
        <f>SUM(F274:F281)</f>
        <v>0</v>
      </c>
    </row>
    <row r="283" spans="1:6" ht="17.5" customHeight="1">
      <c r="A283" s="67"/>
      <c r="B283" s="36" t="s">
        <v>195</v>
      </c>
      <c r="C283" s="55"/>
      <c r="D283" s="4"/>
      <c r="E283" s="4"/>
      <c r="F283" s="73"/>
    </row>
    <row r="284" spans="1:6" ht="258.75" customHeight="1">
      <c r="A284" s="5" t="s">
        <v>196</v>
      </c>
      <c r="B284" s="13" t="s">
        <v>309</v>
      </c>
      <c r="C284" s="58"/>
      <c r="D284" s="14"/>
      <c r="E284" s="24"/>
      <c r="F284" s="24"/>
    </row>
    <row r="285" spans="1:6">
      <c r="A285" s="5"/>
      <c r="B285" s="28" t="s">
        <v>198</v>
      </c>
      <c r="C285" s="24"/>
      <c r="D285" s="32" t="s">
        <v>86</v>
      </c>
      <c r="E285" s="24">
        <v>650</v>
      </c>
      <c r="F285" s="74">
        <f t="shared" ref="F285" si="32">E285*C285</f>
        <v>0</v>
      </c>
    </row>
    <row r="286" spans="1:6">
      <c r="A286" s="5"/>
      <c r="B286" s="28" t="s">
        <v>199</v>
      </c>
      <c r="C286" s="49"/>
      <c r="D286" s="8"/>
      <c r="E286" s="24"/>
      <c r="F286" s="24"/>
    </row>
    <row r="287" spans="1:6">
      <c r="A287" s="5"/>
      <c r="B287" s="30" t="s">
        <v>281</v>
      </c>
      <c r="C287" s="49"/>
      <c r="D287" s="32" t="s">
        <v>86</v>
      </c>
      <c r="E287" s="24">
        <v>650</v>
      </c>
      <c r="F287" s="24"/>
    </row>
    <row r="288" spans="1:6">
      <c r="A288" s="5"/>
      <c r="B288" s="40" t="s">
        <v>280</v>
      </c>
      <c r="C288" s="49"/>
      <c r="D288" s="32" t="s">
        <v>86</v>
      </c>
      <c r="E288" s="24">
        <v>650</v>
      </c>
      <c r="F288" s="24"/>
    </row>
    <row r="289" spans="1:6" ht="129.5">
      <c r="A289" s="5" t="s">
        <v>200</v>
      </c>
      <c r="B289" s="28" t="s">
        <v>184</v>
      </c>
      <c r="C289" s="49"/>
      <c r="D289" s="24"/>
      <c r="E289" s="24"/>
      <c r="F289" s="24"/>
    </row>
    <row r="290" spans="1:6">
      <c r="A290" s="5"/>
      <c r="B290" s="28" t="s">
        <v>243</v>
      </c>
      <c r="C290" s="24"/>
      <c r="D290" s="32" t="s">
        <v>83</v>
      </c>
      <c r="E290" s="24">
        <v>750</v>
      </c>
      <c r="F290" s="24"/>
    </row>
    <row r="291" spans="1:6">
      <c r="A291" s="5"/>
      <c r="B291" s="28" t="s">
        <v>232</v>
      </c>
      <c r="C291" s="24"/>
      <c r="D291" s="32" t="s">
        <v>83</v>
      </c>
      <c r="E291" s="24">
        <v>450</v>
      </c>
      <c r="F291" s="74">
        <f t="shared" ref="F291" si="33">E291*C291</f>
        <v>0</v>
      </c>
    </row>
    <row r="292" spans="1:6">
      <c r="A292" s="67"/>
      <c r="B292" s="35" t="s">
        <v>201</v>
      </c>
      <c r="C292" s="3"/>
      <c r="D292" s="4"/>
      <c r="E292" s="4"/>
      <c r="F292" s="80">
        <f>SUM(F285:F291)</f>
        <v>0</v>
      </c>
    </row>
    <row r="293" spans="1:6" ht="18" customHeight="1">
      <c r="A293" s="67"/>
      <c r="B293" s="36" t="s">
        <v>202</v>
      </c>
      <c r="C293" s="55"/>
      <c r="D293" s="4"/>
      <c r="E293" s="4"/>
      <c r="F293" s="73"/>
    </row>
    <row r="294" spans="1:6" ht="218.25" customHeight="1">
      <c r="A294" s="5" t="s">
        <v>203</v>
      </c>
      <c r="B294" s="42" t="s">
        <v>251</v>
      </c>
      <c r="C294" s="24">
        <v>300</v>
      </c>
      <c r="D294" s="26" t="s">
        <v>81</v>
      </c>
      <c r="E294" s="24">
        <v>55</v>
      </c>
      <c r="F294" s="74">
        <f t="shared" ref="F294" si="34">E294*C294</f>
        <v>16500</v>
      </c>
    </row>
    <row r="295" spans="1:6">
      <c r="A295" s="5"/>
      <c r="B295" s="42" t="s">
        <v>204</v>
      </c>
      <c r="C295" s="59"/>
      <c r="D295" s="7"/>
      <c r="E295" s="24"/>
      <c r="F295" s="25"/>
    </row>
    <row r="296" spans="1:6" ht="37">
      <c r="A296" s="5"/>
      <c r="B296" s="41" t="s">
        <v>205</v>
      </c>
      <c r="C296" s="26"/>
      <c r="D296" s="12"/>
      <c r="E296" s="24"/>
      <c r="F296" s="25"/>
    </row>
    <row r="297" spans="1:6" ht="37">
      <c r="A297" s="5"/>
      <c r="B297" s="41" t="s">
        <v>206</v>
      </c>
      <c r="C297" s="26"/>
      <c r="D297" s="26"/>
      <c r="E297" s="24"/>
      <c r="F297" s="25"/>
    </row>
    <row r="298" spans="1:6" ht="37">
      <c r="A298" s="5"/>
      <c r="B298" s="41" t="s">
        <v>207</v>
      </c>
      <c r="C298" s="26"/>
      <c r="D298" s="26"/>
      <c r="E298" s="24"/>
      <c r="F298" s="25"/>
    </row>
    <row r="299" spans="1:6" ht="165.75" customHeight="1">
      <c r="A299" s="5" t="s">
        <v>208</v>
      </c>
      <c r="B299" s="28" t="s">
        <v>282</v>
      </c>
      <c r="C299" s="24">
        <v>78</v>
      </c>
      <c r="D299" s="26" t="s">
        <v>81</v>
      </c>
      <c r="E299" s="24">
        <v>940</v>
      </c>
      <c r="F299" s="74">
        <f>E299*C299</f>
        <v>73320</v>
      </c>
    </row>
    <row r="300" spans="1:6" ht="64.5" customHeight="1">
      <c r="A300" s="5" t="s">
        <v>215</v>
      </c>
      <c r="B300" s="23" t="s">
        <v>77</v>
      </c>
      <c r="C300" s="5"/>
      <c r="D300" s="7"/>
      <c r="E300" s="24"/>
      <c r="F300" s="25"/>
    </row>
    <row r="301" spans="1:6">
      <c r="A301" s="5"/>
      <c r="B301" s="23" t="s">
        <v>236</v>
      </c>
      <c r="C301" s="24"/>
      <c r="D301" s="26" t="s">
        <v>81</v>
      </c>
      <c r="E301" s="24">
        <v>70</v>
      </c>
      <c r="F301" s="79"/>
    </row>
    <row r="302" spans="1:6">
      <c r="A302" s="5"/>
      <c r="B302" s="23" t="s">
        <v>237</v>
      </c>
      <c r="C302" s="90"/>
      <c r="D302" s="26" t="s">
        <v>81</v>
      </c>
      <c r="E302" s="24">
        <v>75</v>
      </c>
      <c r="F302" s="74">
        <f t="shared" ref="F302" si="35">E302*C302</f>
        <v>0</v>
      </c>
    </row>
    <row r="303" spans="1:6" ht="226.5" customHeight="1">
      <c r="A303" s="5" t="s">
        <v>216</v>
      </c>
      <c r="B303" s="28" t="s">
        <v>268</v>
      </c>
      <c r="C303" s="49"/>
      <c r="D303" s="7"/>
      <c r="E303" s="24"/>
      <c r="F303" s="25"/>
    </row>
    <row r="304" spans="1:6">
      <c r="A304" s="5" t="s">
        <v>301</v>
      </c>
      <c r="B304" s="23" t="s">
        <v>547</v>
      </c>
      <c r="C304" s="88"/>
      <c r="D304" s="25" t="s">
        <v>83</v>
      </c>
      <c r="E304" s="24">
        <v>575</v>
      </c>
      <c r="F304" s="25"/>
    </row>
    <row r="305" spans="1:6">
      <c r="A305" s="5"/>
      <c r="B305" s="23" t="s">
        <v>546</v>
      </c>
      <c r="C305" s="91"/>
      <c r="D305" s="25" t="s">
        <v>83</v>
      </c>
      <c r="E305" s="24">
        <v>650</v>
      </c>
      <c r="F305" s="74">
        <f t="shared" ref="F305:F306" si="36">E305*C305</f>
        <v>0</v>
      </c>
    </row>
    <row r="306" spans="1:6" ht="21.75" customHeight="1">
      <c r="A306" s="5"/>
      <c r="B306" s="23" t="s">
        <v>545</v>
      </c>
      <c r="C306" s="91"/>
      <c r="D306" s="25" t="s">
        <v>83</v>
      </c>
      <c r="E306" s="24">
        <v>950</v>
      </c>
      <c r="F306" s="74">
        <f t="shared" si="36"/>
        <v>0</v>
      </c>
    </row>
    <row r="307" spans="1:6">
      <c r="A307" s="5"/>
      <c r="B307" s="23" t="s">
        <v>548</v>
      </c>
      <c r="C307" s="88"/>
      <c r="D307" s="25" t="s">
        <v>83</v>
      </c>
      <c r="E307" s="24">
        <v>1550</v>
      </c>
      <c r="F307" s="79"/>
    </row>
    <row r="308" spans="1:6">
      <c r="A308" s="5"/>
      <c r="B308" s="23" t="s">
        <v>549</v>
      </c>
      <c r="C308" s="88"/>
      <c r="D308" s="25" t="s">
        <v>83</v>
      </c>
      <c r="E308" s="24">
        <v>2650</v>
      </c>
      <c r="F308" s="25"/>
    </row>
    <row r="309" spans="1:6">
      <c r="A309" s="5"/>
      <c r="B309" s="23" t="s">
        <v>550</v>
      </c>
      <c r="C309" s="88"/>
      <c r="D309" s="25" t="s">
        <v>83</v>
      </c>
      <c r="E309" s="24">
        <v>37850</v>
      </c>
      <c r="F309" s="25"/>
    </row>
    <row r="310" spans="1:6">
      <c r="A310" s="5"/>
      <c r="B310" s="21" t="s">
        <v>438</v>
      </c>
      <c r="C310" s="88"/>
      <c r="D310" s="25"/>
      <c r="E310" s="24"/>
      <c r="F310" s="25"/>
    </row>
    <row r="311" spans="1:6">
      <c r="A311" s="5" t="s">
        <v>303</v>
      </c>
      <c r="B311" s="23" t="s">
        <v>551</v>
      </c>
      <c r="C311" s="88"/>
      <c r="D311" s="25" t="s">
        <v>83</v>
      </c>
      <c r="E311" s="24">
        <v>1750</v>
      </c>
      <c r="F311" s="79"/>
    </row>
    <row r="312" spans="1:6">
      <c r="A312" s="5"/>
      <c r="B312" s="23" t="s">
        <v>552</v>
      </c>
      <c r="C312" s="88"/>
      <c r="D312" s="25" t="s">
        <v>83</v>
      </c>
      <c r="E312" s="24">
        <v>2950</v>
      </c>
      <c r="F312" s="25"/>
    </row>
    <row r="313" spans="1:6">
      <c r="A313" s="5"/>
      <c r="B313" s="23" t="s">
        <v>553</v>
      </c>
      <c r="C313" s="88"/>
      <c r="D313" s="25" t="s">
        <v>83</v>
      </c>
      <c r="E313" s="24">
        <v>4250</v>
      </c>
      <c r="F313" s="25"/>
    </row>
    <row r="314" spans="1:6" ht="129.5">
      <c r="A314" s="5" t="s">
        <v>42</v>
      </c>
      <c r="B314" s="23" t="s">
        <v>217</v>
      </c>
      <c r="C314" s="5"/>
      <c r="D314" s="7"/>
      <c r="E314" s="24"/>
      <c r="F314" s="25"/>
    </row>
    <row r="315" spans="1:6">
      <c r="A315" s="5"/>
      <c r="B315" s="23" t="s">
        <v>283</v>
      </c>
      <c r="C315" s="32"/>
      <c r="D315" s="25" t="s">
        <v>71</v>
      </c>
      <c r="E315" s="24">
        <v>1250</v>
      </c>
      <c r="F315" s="74">
        <f t="shared" ref="F315" si="37">E315*C315</f>
        <v>0</v>
      </c>
    </row>
    <row r="316" spans="1:6">
      <c r="A316" s="5"/>
      <c r="B316" s="23" t="s">
        <v>284</v>
      </c>
      <c r="C316" s="5"/>
      <c r="D316" s="25" t="s">
        <v>71</v>
      </c>
      <c r="E316" s="24">
        <v>1150</v>
      </c>
      <c r="F316" s="79"/>
    </row>
    <row r="317" spans="1:6" ht="95.25" customHeight="1">
      <c r="A317" s="5" t="s">
        <v>317</v>
      </c>
      <c r="B317" s="38" t="s">
        <v>272</v>
      </c>
      <c r="C317" s="53"/>
      <c r="D317" s="7"/>
      <c r="E317" s="24"/>
      <c r="F317" s="25"/>
    </row>
    <row r="318" spans="1:6" ht="37">
      <c r="A318" s="5"/>
      <c r="B318" s="23" t="s">
        <v>219</v>
      </c>
      <c r="C318" s="32"/>
      <c r="D318" s="25" t="s">
        <v>71</v>
      </c>
      <c r="E318" s="24">
        <v>650</v>
      </c>
      <c r="F318" s="74">
        <f t="shared" ref="F318:F320" si="38">E318*C318</f>
        <v>0</v>
      </c>
    </row>
    <row r="319" spans="1:6" ht="37">
      <c r="A319" s="5"/>
      <c r="B319" s="23" t="s">
        <v>220</v>
      </c>
      <c r="C319" s="32"/>
      <c r="D319" s="25" t="s">
        <v>71</v>
      </c>
      <c r="E319" s="24">
        <v>1250</v>
      </c>
      <c r="F319" s="74">
        <f t="shared" si="38"/>
        <v>0</v>
      </c>
    </row>
    <row r="320" spans="1:6" ht="37">
      <c r="A320" s="5"/>
      <c r="B320" s="23" t="s">
        <v>0</v>
      </c>
      <c r="C320" s="32"/>
      <c r="D320" s="25" t="s">
        <v>71</v>
      </c>
      <c r="E320" s="24">
        <v>1675</v>
      </c>
      <c r="F320" s="74">
        <f t="shared" si="38"/>
        <v>0</v>
      </c>
    </row>
    <row r="321" spans="1:6" ht="221.25" customHeight="1">
      <c r="A321" s="5" t="s">
        <v>318</v>
      </c>
      <c r="B321" s="23" t="s">
        <v>226</v>
      </c>
      <c r="C321" s="24"/>
      <c r="D321" s="25" t="s">
        <v>192</v>
      </c>
      <c r="E321" s="24">
        <v>165</v>
      </c>
      <c r="F321" s="79"/>
    </row>
    <row r="322" spans="1:6" ht="143.25" customHeight="1">
      <c r="A322" s="5" t="s">
        <v>319</v>
      </c>
      <c r="B322" s="23" t="s">
        <v>451</v>
      </c>
      <c r="C322" s="32"/>
      <c r="D322" s="25" t="s">
        <v>192</v>
      </c>
      <c r="E322" s="24">
        <v>135</v>
      </c>
      <c r="F322" s="74">
        <f t="shared" ref="F322:F326" si="39">E322*C322</f>
        <v>0</v>
      </c>
    </row>
    <row r="323" spans="1:6" ht="148">
      <c r="A323" s="5" t="s">
        <v>320</v>
      </c>
      <c r="B323" s="23" t="s">
        <v>604</v>
      </c>
      <c r="C323" s="24"/>
      <c r="D323" s="25" t="s">
        <v>169</v>
      </c>
      <c r="E323" s="24">
        <v>3750</v>
      </c>
      <c r="F323" s="74">
        <f t="shared" si="39"/>
        <v>0</v>
      </c>
    </row>
    <row r="324" spans="1:6" ht="55.5">
      <c r="A324" s="5" t="s">
        <v>218</v>
      </c>
      <c r="B324" s="23" t="s">
        <v>46</v>
      </c>
      <c r="C324" s="88"/>
      <c r="D324" s="25" t="s">
        <v>108</v>
      </c>
      <c r="E324" s="24">
        <v>2950</v>
      </c>
      <c r="F324" s="74">
        <f t="shared" si="39"/>
        <v>0</v>
      </c>
    </row>
    <row r="325" spans="1:6" ht="55.5">
      <c r="A325" s="5" t="s">
        <v>221</v>
      </c>
      <c r="B325" s="23" t="s">
        <v>47</v>
      </c>
      <c r="C325" s="88"/>
      <c r="D325" s="25" t="s">
        <v>108</v>
      </c>
      <c r="E325" s="24">
        <v>3500</v>
      </c>
      <c r="F325" s="74">
        <f t="shared" si="39"/>
        <v>0</v>
      </c>
    </row>
    <row r="326" spans="1:6" ht="58.4" customHeight="1">
      <c r="A326" s="5" t="s">
        <v>224</v>
      </c>
      <c r="B326" s="23" t="s">
        <v>273</v>
      </c>
      <c r="C326" s="88"/>
      <c r="D326" s="25" t="s">
        <v>108</v>
      </c>
      <c r="E326" s="24">
        <v>5500</v>
      </c>
      <c r="F326" s="74">
        <f t="shared" si="39"/>
        <v>0</v>
      </c>
    </row>
    <row r="327" spans="1:6" ht="55.5">
      <c r="A327" s="5" t="s">
        <v>225</v>
      </c>
      <c r="B327" s="28" t="s">
        <v>310</v>
      </c>
      <c r="C327" s="49"/>
      <c r="D327" s="24"/>
      <c r="E327" s="24"/>
      <c r="F327" s="25"/>
    </row>
    <row r="328" spans="1:6">
      <c r="A328" s="5"/>
      <c r="B328" s="28" t="s">
        <v>48</v>
      </c>
      <c r="C328" s="24"/>
      <c r="D328" s="24" t="s">
        <v>164</v>
      </c>
      <c r="E328" s="24">
        <v>250</v>
      </c>
      <c r="F328" s="79"/>
    </row>
    <row r="329" spans="1:6">
      <c r="A329" s="5"/>
      <c r="B329" s="28" t="s">
        <v>49</v>
      </c>
      <c r="C329" s="24"/>
      <c r="D329" s="24" t="s">
        <v>164</v>
      </c>
      <c r="E329" s="24">
        <v>350</v>
      </c>
      <c r="F329" s="79"/>
    </row>
    <row r="330" spans="1:6" ht="64.400000000000006" customHeight="1">
      <c r="A330" s="5" t="s">
        <v>227</v>
      </c>
      <c r="B330" s="28" t="s">
        <v>269</v>
      </c>
      <c r="C330" s="32"/>
      <c r="D330" s="24"/>
      <c r="E330" s="24"/>
      <c r="F330" s="25"/>
    </row>
    <row r="331" spans="1:6">
      <c r="A331" s="5"/>
      <c r="B331" s="28" t="s">
        <v>48</v>
      </c>
      <c r="C331" s="24"/>
      <c r="D331" s="24" t="s">
        <v>164</v>
      </c>
      <c r="E331" s="24">
        <v>650</v>
      </c>
      <c r="F331" s="79"/>
    </row>
    <row r="332" spans="1:6">
      <c r="A332" s="5"/>
      <c r="B332" s="28" t="s">
        <v>49</v>
      </c>
      <c r="C332" s="24"/>
      <c r="D332" s="24" t="s">
        <v>164</v>
      </c>
      <c r="E332" s="24">
        <v>750</v>
      </c>
      <c r="F332" s="79"/>
    </row>
    <row r="333" spans="1:6" ht="92.5">
      <c r="A333" s="5" t="s">
        <v>228</v>
      </c>
      <c r="B333" s="23" t="s">
        <v>271</v>
      </c>
      <c r="C333" s="5"/>
      <c r="D333" s="25"/>
      <c r="E333" s="24"/>
      <c r="F333" s="25"/>
    </row>
    <row r="334" spans="1:6">
      <c r="A334" s="5"/>
      <c r="B334" s="23" t="s">
        <v>84</v>
      </c>
      <c r="C334" s="32"/>
      <c r="D334" s="25" t="s">
        <v>164</v>
      </c>
      <c r="E334" s="24">
        <v>11500</v>
      </c>
      <c r="F334" s="74">
        <f t="shared" ref="F334:F336" si="40">E334*C334</f>
        <v>0</v>
      </c>
    </row>
    <row r="335" spans="1:6">
      <c r="A335" s="83"/>
      <c r="B335" s="23" t="s">
        <v>399</v>
      </c>
      <c r="C335" s="32"/>
      <c r="D335" s="25" t="s">
        <v>164</v>
      </c>
      <c r="E335" s="24">
        <v>16500</v>
      </c>
      <c r="F335" s="74">
        <f t="shared" si="40"/>
        <v>0</v>
      </c>
    </row>
    <row r="336" spans="1:6" ht="55.5">
      <c r="A336" s="5" t="s">
        <v>452</v>
      </c>
      <c r="B336" s="23" t="s">
        <v>471</v>
      </c>
      <c r="C336" s="32"/>
      <c r="D336" s="25" t="s">
        <v>352</v>
      </c>
      <c r="E336" s="24">
        <v>1450</v>
      </c>
      <c r="F336" s="74">
        <f t="shared" si="40"/>
        <v>0</v>
      </c>
    </row>
    <row r="337" spans="1:6" ht="74">
      <c r="A337" s="5" t="s">
        <v>472</v>
      </c>
      <c r="B337" s="23" t="s">
        <v>473</v>
      </c>
      <c r="C337" s="5"/>
      <c r="D337" s="25"/>
      <c r="E337" s="24"/>
      <c r="F337" s="79"/>
    </row>
    <row r="338" spans="1:6">
      <c r="A338" s="5"/>
      <c r="B338" s="23" t="s">
        <v>474</v>
      </c>
      <c r="C338" s="5"/>
      <c r="D338" s="25" t="s">
        <v>164</v>
      </c>
      <c r="E338" s="24">
        <v>250</v>
      </c>
      <c r="F338" s="74">
        <f>E338*C338</f>
        <v>0</v>
      </c>
    </row>
    <row r="339" spans="1:6">
      <c r="A339" s="5"/>
      <c r="B339" s="23" t="s">
        <v>475</v>
      </c>
      <c r="C339" s="5"/>
      <c r="D339" s="25" t="s">
        <v>164</v>
      </c>
      <c r="E339" s="24">
        <v>375</v>
      </c>
      <c r="F339" s="74">
        <f>E339*C339</f>
        <v>0</v>
      </c>
    </row>
    <row r="340" spans="1:6">
      <c r="A340" s="5"/>
      <c r="B340" s="23" t="s">
        <v>476</v>
      </c>
      <c r="C340" s="5"/>
      <c r="D340" s="25" t="s">
        <v>164</v>
      </c>
      <c r="E340" s="24">
        <v>550</v>
      </c>
      <c r="F340" s="74">
        <f>E340*C340</f>
        <v>0</v>
      </c>
    </row>
    <row r="341" spans="1:6">
      <c r="A341" s="5"/>
      <c r="B341" s="23" t="s">
        <v>477</v>
      </c>
      <c r="C341" s="5"/>
      <c r="D341" s="25" t="s">
        <v>164</v>
      </c>
      <c r="E341" s="24">
        <v>750</v>
      </c>
      <c r="F341" s="74">
        <f>E341*C341</f>
        <v>0</v>
      </c>
    </row>
    <row r="342" spans="1:6">
      <c r="A342" s="5"/>
      <c r="B342" s="23" t="s">
        <v>478</v>
      </c>
      <c r="C342" s="5"/>
      <c r="D342" s="25" t="s">
        <v>164</v>
      </c>
      <c r="E342" s="24">
        <v>1200</v>
      </c>
      <c r="F342" s="74">
        <f t="shared" ref="F342:F343" si="41">E342*C342</f>
        <v>0</v>
      </c>
    </row>
    <row r="343" spans="1:6">
      <c r="A343" s="5"/>
      <c r="B343" s="23" t="s">
        <v>479</v>
      </c>
      <c r="C343" s="63"/>
      <c r="D343" s="25" t="s">
        <v>164</v>
      </c>
      <c r="E343" s="24">
        <v>1875</v>
      </c>
      <c r="F343" s="74">
        <f t="shared" si="41"/>
        <v>0</v>
      </c>
    </row>
    <row r="344" spans="1:6" ht="74">
      <c r="A344" s="5" t="s">
        <v>534</v>
      </c>
      <c r="B344" s="23" t="s">
        <v>605</v>
      </c>
      <c r="C344" s="5"/>
      <c r="D344" s="23"/>
      <c r="E344" s="5"/>
      <c r="F344" s="23"/>
    </row>
    <row r="345" spans="1:6" ht="37">
      <c r="A345" s="5"/>
      <c r="B345" s="23" t="s">
        <v>513</v>
      </c>
      <c r="C345" s="5"/>
      <c r="D345" s="5" t="s">
        <v>514</v>
      </c>
      <c r="E345" s="5">
        <v>750</v>
      </c>
      <c r="F345" s="74">
        <f t="shared" ref="F345:F348" si="42">E345*C345</f>
        <v>0</v>
      </c>
    </row>
    <row r="346" spans="1:6" ht="37">
      <c r="A346" s="5"/>
      <c r="B346" s="23" t="s">
        <v>515</v>
      </c>
      <c r="C346" s="5"/>
      <c r="D346" s="5" t="s">
        <v>514</v>
      </c>
      <c r="E346" s="5">
        <v>950</v>
      </c>
      <c r="F346" s="74">
        <f t="shared" si="42"/>
        <v>0</v>
      </c>
    </row>
    <row r="347" spans="1:6" ht="37">
      <c r="A347" s="5"/>
      <c r="B347" s="23" t="s">
        <v>516</v>
      </c>
      <c r="C347" s="5"/>
      <c r="D347" s="5" t="s">
        <v>514</v>
      </c>
      <c r="E347" s="5">
        <v>1250</v>
      </c>
      <c r="F347" s="74">
        <f t="shared" si="42"/>
        <v>0</v>
      </c>
    </row>
    <row r="348" spans="1:6">
      <c r="A348" s="5"/>
      <c r="B348" s="23" t="s">
        <v>517</v>
      </c>
      <c r="C348" s="5"/>
      <c r="D348" s="5" t="s">
        <v>82</v>
      </c>
      <c r="E348" s="5">
        <v>1250</v>
      </c>
      <c r="F348" s="74">
        <f t="shared" si="42"/>
        <v>0</v>
      </c>
    </row>
    <row r="349" spans="1:6">
      <c r="A349" s="67"/>
      <c r="B349" s="35" t="s">
        <v>229</v>
      </c>
      <c r="C349" s="3"/>
      <c r="D349" s="4"/>
      <c r="E349" s="4"/>
      <c r="F349" s="80">
        <f>SUM(F294:F348)</f>
        <v>89820</v>
      </c>
    </row>
    <row r="350" spans="1:6">
      <c r="A350" s="84"/>
      <c r="B350" s="36" t="s">
        <v>453</v>
      </c>
      <c r="C350" s="55"/>
      <c r="D350" s="4"/>
      <c r="E350" s="66"/>
      <c r="F350" s="4"/>
    </row>
    <row r="351" spans="1:6" ht="148">
      <c r="A351" s="85" t="s">
        <v>332</v>
      </c>
      <c r="B351" s="23" t="s">
        <v>503</v>
      </c>
      <c r="C351" s="5"/>
      <c r="D351" s="32" t="s">
        <v>334</v>
      </c>
      <c r="E351" s="32">
        <v>150</v>
      </c>
      <c r="F351" s="74">
        <f t="shared" ref="F351:F353" si="43">E351*C351</f>
        <v>0</v>
      </c>
    </row>
    <row r="352" spans="1:6" ht="120" customHeight="1">
      <c r="A352" s="85" t="s">
        <v>333</v>
      </c>
      <c r="B352" s="23" t="s">
        <v>336</v>
      </c>
      <c r="C352" s="5"/>
      <c r="D352" s="32" t="s">
        <v>334</v>
      </c>
      <c r="E352" s="32">
        <v>500</v>
      </c>
      <c r="F352" s="74">
        <f t="shared" si="43"/>
        <v>0</v>
      </c>
    </row>
    <row r="353" spans="1:6" ht="111">
      <c r="A353" s="85" t="s">
        <v>335</v>
      </c>
      <c r="B353" s="23" t="s">
        <v>338</v>
      </c>
      <c r="C353" s="5"/>
      <c r="D353" s="32" t="s">
        <v>334</v>
      </c>
      <c r="E353" s="32">
        <v>1050</v>
      </c>
      <c r="F353" s="74">
        <f t="shared" si="43"/>
        <v>0</v>
      </c>
    </row>
    <row r="354" spans="1:6" ht="111">
      <c r="A354" s="85" t="s">
        <v>337</v>
      </c>
      <c r="B354" s="23" t="s">
        <v>308</v>
      </c>
      <c r="C354" s="5"/>
      <c r="D354" s="32"/>
      <c r="E354" s="32"/>
      <c r="F354" s="32"/>
    </row>
    <row r="355" spans="1:6">
      <c r="A355" s="32" t="s">
        <v>339</v>
      </c>
      <c r="B355" s="23" t="s">
        <v>222</v>
      </c>
      <c r="C355" s="5"/>
      <c r="D355" s="26" t="s">
        <v>169</v>
      </c>
      <c r="E355" s="32">
        <v>517</v>
      </c>
      <c r="F355" s="74">
        <f t="shared" ref="F355:F357" si="44">E355*C355</f>
        <v>0</v>
      </c>
    </row>
    <row r="356" spans="1:6" ht="55.5">
      <c r="A356" s="85" t="s">
        <v>294</v>
      </c>
      <c r="B356" s="23" t="s">
        <v>274</v>
      </c>
      <c r="C356" s="5"/>
      <c r="D356" s="26" t="s">
        <v>169</v>
      </c>
      <c r="E356" s="32">
        <v>340</v>
      </c>
      <c r="F356" s="74">
        <f t="shared" si="44"/>
        <v>0</v>
      </c>
    </row>
    <row r="357" spans="1:6" ht="55.5">
      <c r="A357" s="32" t="s">
        <v>340</v>
      </c>
      <c r="B357" s="23" t="s">
        <v>275</v>
      </c>
      <c r="C357" s="5"/>
      <c r="D357" s="26" t="s">
        <v>169</v>
      </c>
      <c r="E357" s="32">
        <v>170</v>
      </c>
      <c r="F357" s="74">
        <f t="shared" si="44"/>
        <v>0</v>
      </c>
    </row>
    <row r="358" spans="1:6" ht="92.5">
      <c r="A358" s="32" t="s">
        <v>341</v>
      </c>
      <c r="B358" s="17" t="s">
        <v>343</v>
      </c>
      <c r="C358" s="49"/>
      <c r="D358" s="32" t="s">
        <v>334</v>
      </c>
      <c r="E358" s="32">
        <v>4150</v>
      </c>
      <c r="F358" s="74">
        <f>E358*C358</f>
        <v>0</v>
      </c>
    </row>
    <row r="359" spans="1:6" ht="132.75" customHeight="1">
      <c r="A359" s="32" t="s">
        <v>342</v>
      </c>
      <c r="B359" s="17" t="s">
        <v>407</v>
      </c>
      <c r="C359" s="24"/>
      <c r="D359" s="32" t="s">
        <v>334</v>
      </c>
      <c r="E359" s="32">
        <v>4750</v>
      </c>
      <c r="F359" s="79"/>
    </row>
    <row r="360" spans="1:6" ht="273.75" customHeight="1">
      <c r="A360" s="32" t="s">
        <v>344</v>
      </c>
      <c r="B360" s="17" t="s">
        <v>607</v>
      </c>
      <c r="C360" s="32"/>
      <c r="D360" s="32" t="s">
        <v>334</v>
      </c>
      <c r="E360" s="32">
        <v>6250</v>
      </c>
      <c r="F360" s="74">
        <f t="shared" ref="F360" si="45">E360*C360</f>
        <v>0</v>
      </c>
    </row>
    <row r="361" spans="1:6" ht="37">
      <c r="A361" s="65"/>
      <c r="B361" s="18" t="s">
        <v>345</v>
      </c>
      <c r="C361" s="57"/>
      <c r="D361" s="32"/>
      <c r="E361" s="32"/>
      <c r="F361" s="32"/>
    </row>
    <row r="362" spans="1:6" ht="55.5">
      <c r="A362" s="65"/>
      <c r="B362" s="17" t="s">
        <v>346</v>
      </c>
      <c r="C362" s="51"/>
      <c r="D362" s="32"/>
      <c r="E362" s="32"/>
      <c r="F362" s="32"/>
    </row>
    <row r="363" spans="1:6" ht="55.5">
      <c r="A363" s="32" t="s">
        <v>466</v>
      </c>
      <c r="B363" s="48" t="s">
        <v>465</v>
      </c>
      <c r="C363" s="32"/>
      <c r="D363" s="32" t="s">
        <v>334</v>
      </c>
      <c r="E363" s="32">
        <v>5950</v>
      </c>
      <c r="F363" s="74">
        <f t="shared" ref="F363" si="46">E363*C363</f>
        <v>0</v>
      </c>
    </row>
    <row r="364" spans="1:6" ht="240.5">
      <c r="A364" s="32" t="s">
        <v>454</v>
      </c>
      <c r="B364" s="17" t="s">
        <v>455</v>
      </c>
      <c r="C364" s="51"/>
      <c r="D364" s="32"/>
      <c r="E364" s="32"/>
      <c r="F364" s="32"/>
    </row>
    <row r="365" spans="1:6" ht="74">
      <c r="A365" s="32" t="s">
        <v>339</v>
      </c>
      <c r="B365" s="17" t="s">
        <v>408</v>
      </c>
      <c r="C365" s="49"/>
      <c r="D365" s="32" t="s">
        <v>191</v>
      </c>
      <c r="E365" s="32">
        <v>65500</v>
      </c>
      <c r="F365" s="74">
        <f t="shared" ref="F365:F368" si="47">E365*C365</f>
        <v>0</v>
      </c>
    </row>
    <row r="366" spans="1:6" ht="92.5">
      <c r="A366" s="32" t="s">
        <v>347</v>
      </c>
      <c r="B366" s="17" t="s">
        <v>350</v>
      </c>
      <c r="C366" s="49"/>
      <c r="D366" s="32" t="s">
        <v>289</v>
      </c>
      <c r="E366" s="32">
        <v>225</v>
      </c>
      <c r="F366" s="74">
        <f t="shared" si="47"/>
        <v>0</v>
      </c>
    </row>
    <row r="367" spans="1:6" ht="92.5">
      <c r="A367" s="32" t="s">
        <v>348</v>
      </c>
      <c r="B367" s="17" t="s">
        <v>391</v>
      </c>
      <c r="C367" s="49"/>
      <c r="D367" s="32" t="s">
        <v>289</v>
      </c>
      <c r="E367" s="32">
        <v>165</v>
      </c>
      <c r="F367" s="74">
        <f t="shared" si="47"/>
        <v>0</v>
      </c>
    </row>
    <row r="368" spans="1:6" ht="92.5">
      <c r="A368" s="32" t="s">
        <v>349</v>
      </c>
      <c r="B368" s="23" t="s">
        <v>392</v>
      </c>
      <c r="C368" s="5"/>
      <c r="D368" s="32" t="s">
        <v>289</v>
      </c>
      <c r="E368" s="32">
        <v>165</v>
      </c>
      <c r="F368" s="74">
        <f t="shared" si="47"/>
        <v>0</v>
      </c>
    </row>
    <row r="369" spans="1:6" ht="185">
      <c r="A369" s="32" t="s">
        <v>351</v>
      </c>
      <c r="B369" s="23" t="s">
        <v>499</v>
      </c>
      <c r="C369" s="5"/>
      <c r="D369" s="32"/>
      <c r="E369" s="32"/>
      <c r="F369" s="32"/>
    </row>
    <row r="370" spans="1:6">
      <c r="A370" s="51" t="s">
        <v>339</v>
      </c>
      <c r="B370" s="17" t="s">
        <v>356</v>
      </c>
      <c r="C370" s="24"/>
      <c r="D370" s="32" t="s">
        <v>289</v>
      </c>
      <c r="E370" s="32">
        <v>575</v>
      </c>
      <c r="F370" s="32"/>
    </row>
    <row r="371" spans="1:6">
      <c r="A371" s="51" t="s">
        <v>294</v>
      </c>
      <c r="B371" s="17" t="s">
        <v>357</v>
      </c>
      <c r="C371" s="32"/>
      <c r="D371" s="32" t="s">
        <v>289</v>
      </c>
      <c r="E371" s="32">
        <v>720</v>
      </c>
      <c r="F371" s="74">
        <f t="shared" ref="F371:F372" si="48">E371*C371</f>
        <v>0</v>
      </c>
    </row>
    <row r="372" spans="1:6">
      <c r="A372" s="51" t="s">
        <v>340</v>
      </c>
      <c r="B372" s="17" t="s">
        <v>358</v>
      </c>
      <c r="C372" s="32"/>
      <c r="D372" s="32" t="s">
        <v>289</v>
      </c>
      <c r="E372" s="32">
        <v>920</v>
      </c>
      <c r="F372" s="74">
        <f t="shared" si="48"/>
        <v>0</v>
      </c>
    </row>
    <row r="373" spans="1:6">
      <c r="A373" s="51" t="s">
        <v>359</v>
      </c>
      <c r="B373" s="17" t="s">
        <v>360</v>
      </c>
      <c r="C373" s="24"/>
      <c r="D373" s="32" t="s">
        <v>289</v>
      </c>
      <c r="E373" s="32">
        <v>1750</v>
      </c>
      <c r="F373" s="79"/>
    </row>
    <row r="374" spans="1:6">
      <c r="A374" s="51" t="s">
        <v>361</v>
      </c>
      <c r="B374" s="17" t="s">
        <v>362</v>
      </c>
      <c r="C374" s="24"/>
      <c r="D374" s="32" t="s">
        <v>289</v>
      </c>
      <c r="E374" s="32">
        <v>2950</v>
      </c>
      <c r="F374" s="32"/>
    </row>
    <row r="375" spans="1:6">
      <c r="A375" s="51" t="s">
        <v>363</v>
      </c>
      <c r="B375" s="17" t="s">
        <v>364</v>
      </c>
      <c r="C375" s="24"/>
      <c r="D375" s="32" t="s">
        <v>289</v>
      </c>
      <c r="E375" s="32">
        <v>3950</v>
      </c>
      <c r="F375" s="32"/>
    </row>
    <row r="376" spans="1:6">
      <c r="A376" s="51" t="s">
        <v>365</v>
      </c>
      <c r="B376" s="17" t="s">
        <v>366</v>
      </c>
      <c r="C376" s="24"/>
      <c r="D376" s="32" t="s">
        <v>289</v>
      </c>
      <c r="E376" s="32">
        <v>4250</v>
      </c>
      <c r="F376" s="32"/>
    </row>
    <row r="377" spans="1:6" ht="203.5">
      <c r="A377" s="32" t="s">
        <v>353</v>
      </c>
      <c r="B377" s="23" t="s">
        <v>368</v>
      </c>
      <c r="C377" s="5"/>
      <c r="D377" s="32"/>
      <c r="E377" s="32"/>
      <c r="F377" s="32"/>
    </row>
    <row r="378" spans="1:6">
      <c r="A378" s="51" t="s">
        <v>339</v>
      </c>
      <c r="B378" s="16" t="s">
        <v>369</v>
      </c>
      <c r="C378" s="24"/>
      <c r="D378" s="32" t="s">
        <v>289</v>
      </c>
      <c r="E378" s="32">
        <v>525</v>
      </c>
      <c r="F378" s="32"/>
    </row>
    <row r="379" spans="1:6">
      <c r="A379" s="51" t="s">
        <v>294</v>
      </c>
      <c r="B379" s="16" t="s">
        <v>370</v>
      </c>
      <c r="C379" s="32"/>
      <c r="D379" s="32" t="s">
        <v>289</v>
      </c>
      <c r="E379" s="32">
        <v>650</v>
      </c>
      <c r="F379" s="74">
        <f t="shared" ref="F379:F380" si="49">E379*C379</f>
        <v>0</v>
      </c>
    </row>
    <row r="380" spans="1:6">
      <c r="A380" s="51" t="s">
        <v>340</v>
      </c>
      <c r="B380" s="16" t="s">
        <v>371</v>
      </c>
      <c r="C380" s="32"/>
      <c r="D380" s="32" t="s">
        <v>289</v>
      </c>
      <c r="E380" s="32">
        <v>830</v>
      </c>
      <c r="F380" s="74">
        <f t="shared" si="49"/>
        <v>0</v>
      </c>
    </row>
    <row r="381" spans="1:6">
      <c r="A381" s="51" t="s">
        <v>359</v>
      </c>
      <c r="B381" s="16" t="s">
        <v>372</v>
      </c>
      <c r="C381" s="24"/>
      <c r="D381" s="32" t="s">
        <v>289</v>
      </c>
      <c r="E381" s="32">
        <v>1590</v>
      </c>
      <c r="F381" s="79"/>
    </row>
    <row r="382" spans="1:6">
      <c r="A382" s="51" t="s">
        <v>361</v>
      </c>
      <c r="B382" s="16" t="s">
        <v>373</v>
      </c>
      <c r="C382" s="24"/>
      <c r="D382" s="32" t="s">
        <v>289</v>
      </c>
      <c r="E382" s="32">
        <v>2680</v>
      </c>
      <c r="F382" s="32"/>
    </row>
    <row r="383" spans="1:6">
      <c r="A383" s="51" t="s">
        <v>363</v>
      </c>
      <c r="B383" s="16" t="s">
        <v>374</v>
      </c>
      <c r="C383" s="24"/>
      <c r="D383" s="32" t="s">
        <v>289</v>
      </c>
      <c r="E383" s="32">
        <v>3590</v>
      </c>
      <c r="F383" s="32"/>
    </row>
    <row r="384" spans="1:6">
      <c r="A384" s="51" t="s">
        <v>365</v>
      </c>
      <c r="B384" s="16" t="s">
        <v>375</v>
      </c>
      <c r="C384" s="24"/>
      <c r="D384" s="32" t="s">
        <v>289</v>
      </c>
      <c r="E384" s="32">
        <v>3850</v>
      </c>
      <c r="F384" s="32"/>
    </row>
    <row r="385" spans="1:6" ht="92.5">
      <c r="A385" s="32" t="s">
        <v>354</v>
      </c>
      <c r="B385" s="23" t="s">
        <v>393</v>
      </c>
      <c r="C385" s="5"/>
      <c r="D385" s="39"/>
      <c r="E385" s="65"/>
      <c r="F385" s="32"/>
    </row>
    <row r="386" spans="1:6">
      <c r="A386" s="5"/>
      <c r="B386" s="23" t="s">
        <v>377</v>
      </c>
      <c r="C386" s="5"/>
      <c r="D386" s="32" t="s">
        <v>289</v>
      </c>
      <c r="E386" s="32">
        <v>850</v>
      </c>
      <c r="F386" s="74">
        <f t="shared" ref="F386:F387" si="50">E386*C386</f>
        <v>0</v>
      </c>
    </row>
    <row r="387" spans="1:6" ht="92.5">
      <c r="A387" s="32" t="s">
        <v>355</v>
      </c>
      <c r="B387" s="23" t="s">
        <v>379</v>
      </c>
      <c r="C387" s="5"/>
      <c r="D387" s="32" t="s">
        <v>288</v>
      </c>
      <c r="E387" s="32">
        <v>150</v>
      </c>
      <c r="F387" s="74">
        <f t="shared" si="50"/>
        <v>0</v>
      </c>
    </row>
    <row r="388" spans="1:6" ht="92.5">
      <c r="A388" s="32" t="s">
        <v>367</v>
      </c>
      <c r="B388" s="23" t="s">
        <v>381</v>
      </c>
      <c r="C388" s="5"/>
      <c r="D388" s="32" t="s">
        <v>289</v>
      </c>
      <c r="E388" s="32">
        <v>1750</v>
      </c>
      <c r="F388" s="32"/>
    </row>
    <row r="389" spans="1:6" ht="92.5">
      <c r="A389" s="32" t="s">
        <v>376</v>
      </c>
      <c r="B389" s="23" t="s">
        <v>382</v>
      </c>
      <c r="C389" s="5"/>
      <c r="D389" s="25" t="s">
        <v>81</v>
      </c>
      <c r="E389" s="24">
        <v>750</v>
      </c>
      <c r="F389" s="74">
        <f t="shared" ref="F389" si="51">E389*C389</f>
        <v>0</v>
      </c>
    </row>
    <row r="390" spans="1:6">
      <c r="A390" s="5" t="s">
        <v>301</v>
      </c>
      <c r="B390" s="23" t="s">
        <v>383</v>
      </c>
      <c r="C390" s="24"/>
      <c r="D390" s="25" t="s">
        <v>81</v>
      </c>
      <c r="E390" s="24">
        <v>725</v>
      </c>
      <c r="F390" s="86"/>
    </row>
    <row r="391" spans="1:6" ht="222">
      <c r="A391" s="32" t="s">
        <v>378</v>
      </c>
      <c r="B391" s="23" t="s">
        <v>409</v>
      </c>
      <c r="C391" s="5"/>
      <c r="D391" s="24" t="s">
        <v>289</v>
      </c>
      <c r="E391" s="24">
        <v>550</v>
      </c>
      <c r="F391" s="74">
        <f t="shared" ref="F391" si="52">E391*C391</f>
        <v>0</v>
      </c>
    </row>
    <row r="392" spans="1:6" ht="148">
      <c r="A392" s="32" t="s">
        <v>380</v>
      </c>
      <c r="B392" s="23" t="s">
        <v>411</v>
      </c>
      <c r="C392" s="24"/>
      <c r="D392" s="24" t="s">
        <v>352</v>
      </c>
      <c r="E392" s="24">
        <v>7500</v>
      </c>
      <c r="F392" s="79"/>
    </row>
    <row r="393" spans="1:6" ht="92.5">
      <c r="A393" s="5" t="s">
        <v>410</v>
      </c>
      <c r="B393" s="23" t="s">
        <v>436</v>
      </c>
      <c r="C393" s="24"/>
      <c r="D393" s="24" t="s">
        <v>352</v>
      </c>
      <c r="E393" s="88"/>
      <c r="F393" s="79"/>
    </row>
    <row r="394" spans="1:6">
      <c r="A394" s="67"/>
      <c r="B394" s="35" t="s">
        <v>384</v>
      </c>
      <c r="C394" s="3"/>
      <c r="D394" s="66"/>
      <c r="E394" s="66"/>
      <c r="F394" s="69">
        <f>SUM(F351:F393)</f>
        <v>0</v>
      </c>
    </row>
    <row r="395" spans="1:6">
      <c r="A395" s="67"/>
      <c r="B395" s="35" t="s">
        <v>560</v>
      </c>
      <c r="C395" s="3"/>
      <c r="D395" s="66"/>
      <c r="E395" s="66"/>
      <c r="F395" s="68"/>
    </row>
    <row r="396" spans="1:6">
      <c r="A396" s="49"/>
      <c r="B396" s="28" t="s">
        <v>561</v>
      </c>
      <c r="C396" s="49"/>
      <c r="D396" s="32"/>
      <c r="E396" s="32"/>
      <c r="F396" s="70"/>
    </row>
    <row r="397" spans="1:6" ht="92.5">
      <c r="A397" s="5" t="s">
        <v>427</v>
      </c>
      <c r="B397" s="23" t="s">
        <v>562</v>
      </c>
      <c r="C397" s="24"/>
      <c r="D397" s="25" t="s">
        <v>82</v>
      </c>
      <c r="E397" s="32">
        <v>9500</v>
      </c>
      <c r="F397" s="60">
        <f t="shared" ref="F397:F398" si="53">E397*C397</f>
        <v>0</v>
      </c>
    </row>
    <row r="398" spans="1:6" ht="55.5">
      <c r="A398" s="5" t="s">
        <v>428</v>
      </c>
      <c r="B398" s="23" t="s">
        <v>563</v>
      </c>
      <c r="C398" s="24"/>
      <c r="D398" s="25" t="s">
        <v>82</v>
      </c>
      <c r="E398" s="32">
        <v>1450</v>
      </c>
      <c r="F398" s="60">
        <f t="shared" si="53"/>
        <v>0</v>
      </c>
    </row>
    <row r="399" spans="1:6" ht="55.5">
      <c r="A399" s="5" t="s">
        <v>429</v>
      </c>
      <c r="B399" s="23" t="s">
        <v>564</v>
      </c>
      <c r="C399" s="24"/>
      <c r="D399" s="25"/>
      <c r="E399" s="32"/>
      <c r="F399" s="60"/>
    </row>
    <row r="400" spans="1:6">
      <c r="A400" s="5"/>
      <c r="B400" s="23" t="s">
        <v>565</v>
      </c>
      <c r="C400" s="24"/>
      <c r="D400" s="25" t="s">
        <v>82</v>
      </c>
      <c r="E400" s="32">
        <v>2550</v>
      </c>
      <c r="F400" s="60">
        <f t="shared" ref="F400" si="54">E400*C400</f>
        <v>0</v>
      </c>
    </row>
    <row r="401" spans="1:6" ht="37">
      <c r="A401" s="5" t="s">
        <v>430</v>
      </c>
      <c r="B401" s="23" t="s">
        <v>566</v>
      </c>
      <c r="C401" s="24"/>
      <c r="D401" s="25" t="s">
        <v>82</v>
      </c>
      <c r="E401" s="32">
        <v>2650</v>
      </c>
      <c r="F401" s="60"/>
    </row>
    <row r="402" spans="1:6" ht="55.5">
      <c r="A402" s="5" t="s">
        <v>431</v>
      </c>
      <c r="B402" s="23" t="s">
        <v>567</v>
      </c>
      <c r="C402" s="24"/>
      <c r="D402" s="25" t="s">
        <v>82</v>
      </c>
      <c r="E402" s="32">
        <v>6500</v>
      </c>
      <c r="F402" s="60"/>
    </row>
    <row r="403" spans="1:6" ht="74">
      <c r="A403" s="5" t="s">
        <v>432</v>
      </c>
      <c r="B403" s="23" t="s">
        <v>568</v>
      </c>
      <c r="C403" s="24"/>
      <c r="D403" s="25" t="s">
        <v>82</v>
      </c>
      <c r="E403" s="32">
        <v>1250</v>
      </c>
      <c r="F403" s="60"/>
    </row>
    <row r="404" spans="1:6" ht="111">
      <c r="A404" s="5" t="s">
        <v>434</v>
      </c>
      <c r="B404" s="23" t="s">
        <v>569</v>
      </c>
      <c r="C404" s="24"/>
      <c r="D404" s="25" t="s">
        <v>82</v>
      </c>
      <c r="E404" s="32">
        <v>6500</v>
      </c>
      <c r="F404" s="60">
        <f t="shared" ref="F404" si="55">E404*C404</f>
        <v>0</v>
      </c>
    </row>
    <row r="405" spans="1:6" ht="55.5">
      <c r="A405" s="5" t="s">
        <v>571</v>
      </c>
      <c r="B405" s="23" t="s">
        <v>570</v>
      </c>
      <c r="C405" s="24"/>
      <c r="D405" s="25"/>
      <c r="E405" s="32"/>
      <c r="F405" s="60"/>
    </row>
    <row r="406" spans="1:6">
      <c r="A406" s="5"/>
      <c r="B406" s="23" t="s">
        <v>565</v>
      </c>
      <c r="C406" s="24"/>
      <c r="D406" s="25" t="s">
        <v>82</v>
      </c>
      <c r="E406" s="32">
        <v>1150</v>
      </c>
      <c r="F406" s="60">
        <f t="shared" ref="F406:F410" si="56">E406*C406</f>
        <v>0</v>
      </c>
    </row>
    <row r="407" spans="1:6" ht="37">
      <c r="A407" s="5" t="s">
        <v>572</v>
      </c>
      <c r="B407" s="23" t="s">
        <v>573</v>
      </c>
      <c r="C407" s="24"/>
      <c r="D407" s="25" t="s">
        <v>82</v>
      </c>
      <c r="E407" s="32">
        <v>7500</v>
      </c>
      <c r="F407" s="60">
        <f t="shared" si="56"/>
        <v>0</v>
      </c>
    </row>
    <row r="408" spans="1:6" ht="37">
      <c r="A408" s="5" t="s">
        <v>575</v>
      </c>
      <c r="B408" s="23" t="s">
        <v>574</v>
      </c>
      <c r="C408" s="24"/>
      <c r="D408" s="25" t="s">
        <v>82</v>
      </c>
      <c r="E408" s="32">
        <v>9500</v>
      </c>
      <c r="F408" s="60">
        <f t="shared" si="56"/>
        <v>0</v>
      </c>
    </row>
    <row r="409" spans="1:6" ht="37">
      <c r="A409" s="5" t="s">
        <v>576</v>
      </c>
      <c r="B409" s="23" t="s">
        <v>577</v>
      </c>
      <c r="C409" s="24"/>
      <c r="D409" s="25" t="s">
        <v>82</v>
      </c>
      <c r="E409" s="32">
        <v>2500</v>
      </c>
      <c r="F409" s="60">
        <f t="shared" si="56"/>
        <v>0</v>
      </c>
    </row>
    <row r="410" spans="1:6" ht="92.5">
      <c r="A410" s="5" t="s">
        <v>578</v>
      </c>
      <c r="B410" s="23" t="s">
        <v>579</v>
      </c>
      <c r="C410" s="24"/>
      <c r="D410" s="25" t="s">
        <v>82</v>
      </c>
      <c r="E410" s="32">
        <v>1950</v>
      </c>
      <c r="F410" s="60">
        <f t="shared" si="56"/>
        <v>0</v>
      </c>
    </row>
    <row r="411" spans="1:6" ht="129.5">
      <c r="A411" s="5" t="s">
        <v>580</v>
      </c>
      <c r="B411" s="23" t="s">
        <v>581</v>
      </c>
      <c r="C411" s="24"/>
      <c r="D411" s="25"/>
      <c r="E411" s="32"/>
      <c r="F411" s="60"/>
    </row>
    <row r="412" spans="1:6">
      <c r="A412" s="5"/>
      <c r="B412" s="23" t="s">
        <v>582</v>
      </c>
      <c r="C412" s="24"/>
      <c r="D412" s="25" t="s">
        <v>514</v>
      </c>
      <c r="E412" s="32">
        <v>750</v>
      </c>
      <c r="F412" s="60"/>
    </row>
    <row r="413" spans="1:6">
      <c r="A413" s="5"/>
      <c r="B413" s="23" t="s">
        <v>583</v>
      </c>
      <c r="C413" s="24"/>
      <c r="D413" s="25" t="s">
        <v>514</v>
      </c>
      <c r="E413" s="32">
        <v>600</v>
      </c>
      <c r="F413" s="60">
        <f t="shared" ref="F413:F416" si="57">E413*C413</f>
        <v>0</v>
      </c>
    </row>
    <row r="414" spans="1:6">
      <c r="A414" s="5"/>
      <c r="B414" s="23" t="s">
        <v>584</v>
      </c>
      <c r="C414" s="24"/>
      <c r="D414" s="25" t="s">
        <v>514</v>
      </c>
      <c r="E414" s="32">
        <v>375</v>
      </c>
      <c r="F414" s="60">
        <f t="shared" si="57"/>
        <v>0</v>
      </c>
    </row>
    <row r="415" spans="1:6">
      <c r="A415" s="5"/>
      <c r="B415" s="23" t="s">
        <v>585</v>
      </c>
      <c r="C415" s="24"/>
      <c r="D415" s="25" t="s">
        <v>514</v>
      </c>
      <c r="E415" s="32">
        <v>185</v>
      </c>
      <c r="F415" s="60">
        <f t="shared" si="57"/>
        <v>0</v>
      </c>
    </row>
    <row r="416" spans="1:6">
      <c r="A416" s="5"/>
      <c r="B416" s="23" t="s">
        <v>586</v>
      </c>
      <c r="C416" s="24"/>
      <c r="D416" s="25" t="s">
        <v>514</v>
      </c>
      <c r="E416" s="32">
        <v>135</v>
      </c>
      <c r="F416" s="60">
        <f t="shared" si="57"/>
        <v>0</v>
      </c>
    </row>
    <row r="417" spans="1:6" ht="141" customHeight="1">
      <c r="A417" s="5" t="s">
        <v>587</v>
      </c>
      <c r="B417" s="23" t="s">
        <v>606</v>
      </c>
      <c r="C417" s="24"/>
      <c r="D417" s="25"/>
      <c r="E417" s="32"/>
      <c r="F417" s="60"/>
    </row>
    <row r="418" spans="1:6">
      <c r="A418" s="5"/>
      <c r="B418" s="23" t="s">
        <v>588</v>
      </c>
      <c r="C418" s="24"/>
      <c r="D418" s="25" t="s">
        <v>514</v>
      </c>
      <c r="E418" s="32">
        <v>1750</v>
      </c>
      <c r="F418" s="60"/>
    </row>
    <row r="419" spans="1:6">
      <c r="A419" s="5"/>
      <c r="B419" s="23" t="s">
        <v>589</v>
      </c>
      <c r="C419" s="24"/>
      <c r="D419" s="25" t="s">
        <v>514</v>
      </c>
      <c r="E419" s="32">
        <v>1176</v>
      </c>
      <c r="F419" s="60">
        <f t="shared" ref="F419:F421" si="58">E419*C419</f>
        <v>0</v>
      </c>
    </row>
    <row r="420" spans="1:6">
      <c r="A420" s="5"/>
      <c r="B420" s="23" t="s">
        <v>590</v>
      </c>
      <c r="C420" s="24"/>
      <c r="D420" s="25" t="s">
        <v>514</v>
      </c>
      <c r="E420" s="32">
        <v>900</v>
      </c>
      <c r="F420" s="60">
        <f t="shared" si="58"/>
        <v>0</v>
      </c>
    </row>
    <row r="421" spans="1:6">
      <c r="A421" s="5"/>
      <c r="B421" s="23" t="s">
        <v>591</v>
      </c>
      <c r="C421" s="24"/>
      <c r="D421" s="25" t="s">
        <v>514</v>
      </c>
      <c r="E421" s="32">
        <v>670</v>
      </c>
      <c r="F421" s="60">
        <f t="shared" si="58"/>
        <v>0</v>
      </c>
    </row>
    <row r="422" spans="1:6" ht="92.5">
      <c r="A422" s="5" t="s">
        <v>593</v>
      </c>
      <c r="B422" s="23" t="s">
        <v>592</v>
      </c>
      <c r="C422" s="24"/>
      <c r="D422" s="25"/>
      <c r="E422" s="32"/>
      <c r="F422" s="60"/>
    </row>
    <row r="423" spans="1:6">
      <c r="A423" s="5"/>
      <c r="B423" s="23" t="s">
        <v>594</v>
      </c>
      <c r="C423" s="24"/>
      <c r="D423" s="25" t="s">
        <v>82</v>
      </c>
      <c r="E423" s="32">
        <v>750</v>
      </c>
      <c r="F423" s="60">
        <f>E423*C423</f>
        <v>0</v>
      </c>
    </row>
    <row r="424" spans="1:6" ht="74">
      <c r="A424" s="5" t="s">
        <v>597</v>
      </c>
      <c r="B424" s="23" t="s">
        <v>595</v>
      </c>
      <c r="C424" s="24"/>
      <c r="D424" s="25" t="s">
        <v>514</v>
      </c>
      <c r="E424" s="32">
        <v>1950</v>
      </c>
      <c r="F424" s="60">
        <f>E424*C424</f>
        <v>0</v>
      </c>
    </row>
    <row r="425" spans="1:6" ht="92.5">
      <c r="A425" s="5" t="s">
        <v>598</v>
      </c>
      <c r="B425" s="23" t="s">
        <v>596</v>
      </c>
      <c r="C425" s="24"/>
      <c r="D425" s="25" t="s">
        <v>82</v>
      </c>
      <c r="E425" s="32">
        <v>25000</v>
      </c>
      <c r="F425" s="60">
        <f>E425*C425</f>
        <v>0</v>
      </c>
    </row>
    <row r="426" spans="1:6">
      <c r="A426" s="67"/>
      <c r="B426" s="35" t="s">
        <v>433</v>
      </c>
      <c r="C426" s="3"/>
      <c r="D426" s="66"/>
      <c r="E426" s="66"/>
      <c r="F426" s="68">
        <f>SUM(F397:F425)</f>
        <v>0</v>
      </c>
    </row>
    <row r="427" spans="1:6">
      <c r="A427" s="67"/>
      <c r="B427" s="35" t="s">
        <v>525</v>
      </c>
      <c r="C427" s="3"/>
      <c r="D427" s="66"/>
      <c r="E427" s="66"/>
      <c r="F427" s="68"/>
    </row>
    <row r="428" spans="1:6" ht="297.5">
      <c r="A428" s="5" t="s">
        <v>526</v>
      </c>
      <c r="B428" s="23" t="s">
        <v>527</v>
      </c>
      <c r="C428" s="24"/>
      <c r="D428" s="25"/>
      <c r="E428" s="32"/>
      <c r="F428" s="60"/>
    </row>
    <row r="429" spans="1:6">
      <c r="A429" s="5"/>
      <c r="B429" s="23" t="s">
        <v>528</v>
      </c>
      <c r="C429" s="5"/>
      <c r="D429" s="25" t="s">
        <v>83</v>
      </c>
      <c r="E429" s="32">
        <v>5125</v>
      </c>
      <c r="F429" s="74"/>
    </row>
    <row r="430" spans="1:6">
      <c r="A430" s="5"/>
      <c r="B430" s="23" t="s">
        <v>529</v>
      </c>
      <c r="C430" s="5"/>
      <c r="D430" s="25" t="s">
        <v>83</v>
      </c>
      <c r="E430" s="32">
        <v>5875</v>
      </c>
      <c r="F430" s="74"/>
    </row>
    <row r="431" spans="1:6">
      <c r="A431" s="5"/>
      <c r="B431" s="23" t="s">
        <v>530</v>
      </c>
      <c r="C431" s="5"/>
      <c r="D431" s="25" t="s">
        <v>83</v>
      </c>
      <c r="E431" s="32">
        <v>6625</v>
      </c>
      <c r="F431" s="74"/>
    </row>
    <row r="432" spans="1:6">
      <c r="A432" s="5"/>
      <c r="B432" s="23" t="s">
        <v>531</v>
      </c>
      <c r="C432" s="5"/>
      <c r="D432" s="25" t="s">
        <v>83</v>
      </c>
      <c r="E432" s="32">
        <v>12500</v>
      </c>
      <c r="F432" s="74"/>
    </row>
    <row r="433" spans="1:6">
      <c r="A433" s="67"/>
      <c r="B433" s="35" t="s">
        <v>532</v>
      </c>
      <c r="C433" s="3"/>
      <c r="D433" s="66"/>
      <c r="E433" s="66"/>
      <c r="F433" s="69">
        <f>SUM(F429:F432)</f>
        <v>0</v>
      </c>
    </row>
  </sheetData>
  <customSheetViews>
    <customSheetView guid="{5399B9A3-C514-4B3F-AA20-DF1128B22F93}" scale="70" showPageBreaks="1" fitToPage="1" printArea="1" hiddenRows="1" view="pageBreakPreview" topLeftCell="A419">
      <selection activeCell="F103" sqref="F103"/>
      <rowBreaks count="6" manualBreakCount="6">
        <brk id="98" max="5" man="1"/>
        <brk id="121" max="5" man="1"/>
        <brk id="163" max="5" man="1"/>
        <brk id="174" max="5" man="1"/>
        <brk id="276" max="5" man="1"/>
        <brk id="302" max="5" man="1"/>
      </rowBreaks>
      <pageMargins left="0.55118110236220474" right="0.39370078740157483" top="0.39370078740157483" bottom="0.39370078740157483" header="0.51181102362204722" footer="0.11811023622047245"/>
      <printOptions horizontalCentered="1"/>
      <pageSetup paperSize="9" scale="57" fitToHeight="0" orientation="portrait" r:id="rId1"/>
      <headerFooter alignWithMargins="0">
        <oddFooter>&amp;C&amp;P OF &amp;N</oddFooter>
      </headerFooter>
    </customSheetView>
  </customSheetViews>
  <mergeCells count="4">
    <mergeCell ref="B1:E1"/>
    <mergeCell ref="A2:F2"/>
    <mergeCell ref="A3:F3"/>
    <mergeCell ref="A4:F4"/>
  </mergeCells>
  <printOptions horizontalCentered="1"/>
  <pageMargins left="0.55118110236220474" right="0.39370078740157483" top="0.39370078740157483" bottom="0.39370078740157483" header="0.51181102362204722" footer="0.11811023622047245"/>
  <pageSetup paperSize="9" scale="57" fitToHeight="0" orientation="portrait" r:id="rId2"/>
  <headerFooter alignWithMargins="0">
    <oddFooter>&amp;C&amp;P OF &amp;N</oddFooter>
  </headerFooter>
  <rowBreaks count="6" manualBreakCount="6">
    <brk id="98" max="5" man="1"/>
    <brk id="121" max="5" man="1"/>
    <brk id="163" max="5" man="1"/>
    <brk id="174" max="5" man="1"/>
    <brk id="276" max="5" man="1"/>
    <brk id="302" max="5" man="1"/>
  </row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G433"/>
  <sheetViews>
    <sheetView view="pageBreakPreview" zoomScale="70" zoomScaleNormal="70" zoomScaleSheetLayoutView="70" workbookViewId="0">
      <selection activeCell="C432" sqref="C6:C432"/>
    </sheetView>
  </sheetViews>
  <sheetFormatPr defaultColWidth="9.1796875" defaultRowHeight="18.5"/>
  <cols>
    <col min="1" max="1" width="22.453125" style="46" customWidth="1"/>
    <col min="2" max="2" width="66.1796875" style="47" customWidth="1"/>
    <col min="3" max="3" width="18.81640625" style="46" customWidth="1"/>
    <col min="4" max="4" width="17.81640625" style="2" customWidth="1"/>
    <col min="5" max="5" width="17.81640625" style="15" customWidth="1"/>
    <col min="6" max="6" width="21.453125" style="2" customWidth="1"/>
    <col min="7" max="16384" width="9.1796875" style="1"/>
  </cols>
  <sheetData>
    <row r="1" spans="1:6" ht="66" customHeight="1">
      <c r="A1" s="62"/>
      <c r="B1" s="210" t="s">
        <v>618</v>
      </c>
      <c r="C1" s="210"/>
      <c r="D1" s="210"/>
      <c r="E1" s="210"/>
      <c r="F1" s="61"/>
    </row>
    <row r="2" spans="1:6" ht="74.25" customHeight="1">
      <c r="A2" s="218" t="s">
        <v>617</v>
      </c>
      <c r="B2" s="219"/>
      <c r="C2" s="219"/>
      <c r="D2" s="219"/>
      <c r="E2" s="219"/>
      <c r="F2" s="220"/>
    </row>
    <row r="3" spans="1:6" ht="21">
      <c r="A3" s="222" t="s">
        <v>270</v>
      </c>
      <c r="B3" s="222"/>
      <c r="C3" s="222"/>
      <c r="D3" s="222"/>
      <c r="E3" s="222"/>
      <c r="F3" s="222"/>
    </row>
    <row r="4" spans="1:6">
      <c r="A4" s="52" t="s">
        <v>152</v>
      </c>
      <c r="B4" s="52" t="s">
        <v>153</v>
      </c>
      <c r="C4" s="71" t="s">
        <v>79</v>
      </c>
      <c r="D4" s="72" t="s">
        <v>57</v>
      </c>
      <c r="E4" s="71" t="s">
        <v>58</v>
      </c>
      <c r="F4" s="72" t="s">
        <v>59</v>
      </c>
    </row>
    <row r="5" spans="1:6" ht="17.5" customHeight="1">
      <c r="A5" s="3"/>
      <c r="B5" s="22" t="s">
        <v>167</v>
      </c>
      <c r="C5" s="3"/>
      <c r="D5" s="4"/>
      <c r="E5" s="73"/>
      <c r="F5" s="4"/>
    </row>
    <row r="6" spans="1:6" ht="97.5" customHeight="1">
      <c r="A6" s="5" t="s">
        <v>168</v>
      </c>
      <c r="B6" s="28" t="s">
        <v>480</v>
      </c>
      <c r="C6" s="49">
        <v>31</v>
      </c>
      <c r="D6" s="24" t="s">
        <v>78</v>
      </c>
      <c r="E6" s="24">
        <v>35</v>
      </c>
      <c r="F6" s="74">
        <f>E6*C6</f>
        <v>1085</v>
      </c>
    </row>
    <row r="7" spans="1:6" ht="97.5" customHeight="1">
      <c r="A7" s="5" t="s">
        <v>557</v>
      </c>
      <c r="B7" s="28" t="s">
        <v>599</v>
      </c>
      <c r="C7" s="49"/>
      <c r="D7" s="24" t="s">
        <v>78</v>
      </c>
      <c r="E7" s="24">
        <v>25</v>
      </c>
      <c r="F7" s="74">
        <f>E7*C7</f>
        <v>0</v>
      </c>
    </row>
    <row r="8" spans="1:6" ht="256.5" customHeight="1">
      <c r="A8" s="5" t="s">
        <v>24</v>
      </c>
      <c r="B8" s="23" t="s">
        <v>401</v>
      </c>
      <c r="C8" s="5"/>
      <c r="D8" s="26"/>
      <c r="E8" s="24"/>
      <c r="F8" s="75"/>
    </row>
    <row r="9" spans="1:6">
      <c r="A9" s="5"/>
      <c r="B9" s="23" t="s">
        <v>28</v>
      </c>
      <c r="C9" s="5">
        <v>5</v>
      </c>
      <c r="D9" s="26" t="s">
        <v>80</v>
      </c>
      <c r="E9" s="24">
        <v>250</v>
      </c>
      <c r="F9" s="74">
        <f>E9*C9</f>
        <v>1250</v>
      </c>
    </row>
    <row r="10" spans="1:6">
      <c r="A10" s="5"/>
      <c r="B10" s="23" t="s">
        <v>197</v>
      </c>
      <c r="C10" s="5"/>
      <c r="D10" s="26" t="s">
        <v>80</v>
      </c>
      <c r="E10" s="24">
        <v>285</v>
      </c>
      <c r="F10" s="74">
        <f t="shared" ref="F10" si="0">E10*C10</f>
        <v>0</v>
      </c>
    </row>
    <row r="11" spans="1:6">
      <c r="A11" s="5"/>
      <c r="B11" s="23" t="s">
        <v>26</v>
      </c>
      <c r="C11" s="24"/>
      <c r="D11" s="26" t="s">
        <v>80</v>
      </c>
      <c r="E11" s="24">
        <v>350</v>
      </c>
      <c r="F11" s="74"/>
    </row>
    <row r="12" spans="1:6">
      <c r="A12" s="5"/>
      <c r="B12" s="23" t="s">
        <v>27</v>
      </c>
      <c r="C12" s="24"/>
      <c r="D12" s="26" t="s">
        <v>80</v>
      </c>
      <c r="E12" s="24">
        <v>450</v>
      </c>
      <c r="F12" s="74"/>
    </row>
    <row r="13" spans="1:6">
      <c r="A13" s="5"/>
      <c r="B13" s="23" t="s">
        <v>213</v>
      </c>
      <c r="C13" s="24"/>
      <c r="D13" s="26" t="s">
        <v>80</v>
      </c>
      <c r="E13" s="24">
        <v>575</v>
      </c>
      <c r="F13" s="74"/>
    </row>
    <row r="14" spans="1:6" ht="128.15" customHeight="1">
      <c r="A14" s="5" t="s">
        <v>25</v>
      </c>
      <c r="B14" s="28" t="s">
        <v>600</v>
      </c>
      <c r="C14" s="49"/>
      <c r="D14" s="7"/>
      <c r="E14" s="24"/>
      <c r="F14" s="75"/>
    </row>
    <row r="15" spans="1:6">
      <c r="A15" s="5"/>
      <c r="B15" s="23" t="s">
        <v>402</v>
      </c>
      <c r="C15" s="63">
        <v>5</v>
      </c>
      <c r="D15" s="26" t="s">
        <v>80</v>
      </c>
      <c r="E15" s="24">
        <v>490</v>
      </c>
      <c r="F15" s="74">
        <f t="shared" ref="F15:F16" si="1">E15*C15</f>
        <v>2450</v>
      </c>
    </row>
    <row r="16" spans="1:6">
      <c r="A16" s="5"/>
      <c r="B16" s="23" t="s">
        <v>403</v>
      </c>
      <c r="C16" s="63">
        <v>4</v>
      </c>
      <c r="D16" s="26" t="s">
        <v>80</v>
      </c>
      <c r="E16" s="24">
        <v>1025</v>
      </c>
      <c r="F16" s="74">
        <f t="shared" si="1"/>
        <v>4100</v>
      </c>
    </row>
    <row r="17" spans="1:6">
      <c r="A17" s="5"/>
      <c r="B17" s="23" t="s">
        <v>404</v>
      </c>
      <c r="C17" s="63"/>
      <c r="D17" s="26" t="s">
        <v>80</v>
      </c>
      <c r="E17" s="24">
        <v>1150</v>
      </c>
      <c r="F17" s="74"/>
    </row>
    <row r="18" spans="1:6" ht="57.65" customHeight="1">
      <c r="A18" s="5" t="s">
        <v>29</v>
      </c>
      <c r="B18" s="23" t="s">
        <v>405</v>
      </c>
      <c r="C18" s="63">
        <v>5</v>
      </c>
      <c r="D18" s="26" t="s">
        <v>80</v>
      </c>
      <c r="E18" s="24">
        <v>150</v>
      </c>
      <c r="F18" s="74">
        <f>E18*C18</f>
        <v>750</v>
      </c>
    </row>
    <row r="19" spans="1:6" ht="66.75" customHeight="1">
      <c r="A19" s="5" t="s">
        <v>554</v>
      </c>
      <c r="B19" s="23" t="s">
        <v>601</v>
      </c>
      <c r="C19" s="63"/>
      <c r="D19" s="26"/>
      <c r="E19" s="24"/>
      <c r="F19" s="74"/>
    </row>
    <row r="20" spans="1:6">
      <c r="A20" s="5"/>
      <c r="B20" s="23" t="s">
        <v>555</v>
      </c>
      <c r="C20" s="63"/>
      <c r="D20" s="26" t="s">
        <v>80</v>
      </c>
      <c r="E20" s="24">
        <v>100</v>
      </c>
      <c r="F20" s="74">
        <f>E20*C20</f>
        <v>0</v>
      </c>
    </row>
    <row r="21" spans="1:6">
      <c r="A21" s="5"/>
      <c r="B21" s="23" t="s">
        <v>556</v>
      </c>
      <c r="C21" s="63"/>
      <c r="D21" s="26" t="s">
        <v>82</v>
      </c>
      <c r="E21" s="24">
        <v>3500</v>
      </c>
      <c r="F21" s="74"/>
    </row>
    <row r="22" spans="1:6" ht="128.5" customHeight="1">
      <c r="A22" s="5" t="s">
        <v>30</v>
      </c>
      <c r="B22" s="23" t="s">
        <v>500</v>
      </c>
      <c r="C22" s="5"/>
      <c r="D22" s="7"/>
      <c r="E22" s="24"/>
      <c r="F22" s="75"/>
    </row>
    <row r="23" spans="1:6">
      <c r="A23" s="5"/>
      <c r="B23" s="23" t="s">
        <v>222</v>
      </c>
      <c r="C23" s="24"/>
      <c r="D23" s="26" t="s">
        <v>169</v>
      </c>
      <c r="E23" s="24">
        <v>517</v>
      </c>
      <c r="F23" s="75"/>
    </row>
    <row r="24" spans="1:6" ht="55.5">
      <c r="A24" s="5"/>
      <c r="B24" s="23" t="s">
        <v>274</v>
      </c>
      <c r="C24" s="63">
        <v>20</v>
      </c>
      <c r="D24" s="26" t="s">
        <v>169</v>
      </c>
      <c r="E24" s="24">
        <v>310</v>
      </c>
      <c r="F24" s="74">
        <f t="shared" ref="F24" si="2">E24*C24</f>
        <v>6200</v>
      </c>
    </row>
    <row r="25" spans="1:6" ht="55.5">
      <c r="A25" s="5"/>
      <c r="B25" s="23" t="s">
        <v>275</v>
      </c>
      <c r="C25" s="63">
        <v>19</v>
      </c>
      <c r="D25" s="26" t="s">
        <v>169</v>
      </c>
      <c r="E25" s="24">
        <v>150</v>
      </c>
      <c r="F25" s="74">
        <f>E25*C25</f>
        <v>2850</v>
      </c>
    </row>
    <row r="26" spans="1:6" ht="166.5">
      <c r="A26" s="5" t="s">
        <v>43</v>
      </c>
      <c r="B26" s="28" t="s">
        <v>611</v>
      </c>
      <c r="C26" s="49"/>
      <c r="D26" s="7"/>
      <c r="E26" s="24"/>
      <c r="F26" s="75"/>
    </row>
    <row r="27" spans="1:6">
      <c r="A27" s="5"/>
      <c r="B27" s="30" t="s">
        <v>209</v>
      </c>
      <c r="C27" s="24"/>
      <c r="D27" s="26" t="s">
        <v>73</v>
      </c>
      <c r="E27" s="24">
        <v>300</v>
      </c>
      <c r="F27" s="74"/>
    </row>
    <row r="28" spans="1:6">
      <c r="A28" s="5"/>
      <c r="B28" s="30" t="s">
        <v>210</v>
      </c>
      <c r="C28" s="24"/>
      <c r="D28" s="26" t="s">
        <v>73</v>
      </c>
      <c r="E28" s="24">
        <v>350</v>
      </c>
      <c r="F28" s="74">
        <f t="shared" ref="F28:F30" si="3">E28*C28</f>
        <v>0</v>
      </c>
    </row>
    <row r="29" spans="1:6">
      <c r="A29" s="5"/>
      <c r="B29" s="30" t="s">
        <v>263</v>
      </c>
      <c r="C29" s="20">
        <v>35</v>
      </c>
      <c r="D29" s="26" t="s">
        <v>73</v>
      </c>
      <c r="E29" s="24">
        <v>425</v>
      </c>
      <c r="F29" s="74">
        <f t="shared" si="3"/>
        <v>14875</v>
      </c>
    </row>
    <row r="30" spans="1:6">
      <c r="A30" s="5"/>
      <c r="B30" s="30" t="s">
        <v>264</v>
      </c>
      <c r="C30" s="24"/>
      <c r="D30" s="26" t="s">
        <v>73</v>
      </c>
      <c r="E30" s="24">
        <v>495</v>
      </c>
      <c r="F30" s="74">
        <f t="shared" si="3"/>
        <v>0</v>
      </c>
    </row>
    <row r="31" spans="1:6" ht="57.65" customHeight="1">
      <c r="A31" s="5" t="s">
        <v>211</v>
      </c>
      <c r="B31" s="31" t="s">
        <v>212</v>
      </c>
      <c r="C31" s="50"/>
      <c r="D31" s="7"/>
      <c r="E31" s="32"/>
      <c r="F31" s="75"/>
    </row>
    <row r="32" spans="1:6">
      <c r="A32" s="5"/>
      <c r="B32" s="30" t="s">
        <v>209</v>
      </c>
      <c r="C32" s="24"/>
      <c r="D32" s="26" t="s">
        <v>71</v>
      </c>
      <c r="E32" s="24">
        <v>300</v>
      </c>
      <c r="F32" s="74"/>
    </row>
    <row r="33" spans="1:6">
      <c r="A33" s="5"/>
      <c r="B33" s="30" t="s">
        <v>210</v>
      </c>
      <c r="C33" s="24"/>
      <c r="D33" s="26" t="s">
        <v>71</v>
      </c>
      <c r="E33" s="24">
        <v>400</v>
      </c>
      <c r="F33" s="74"/>
    </row>
    <row r="34" spans="1:6">
      <c r="A34" s="5"/>
      <c r="B34" s="30" t="s">
        <v>263</v>
      </c>
      <c r="C34" s="24"/>
      <c r="D34" s="26" t="s">
        <v>71</v>
      </c>
      <c r="E34" s="24">
        <v>450</v>
      </c>
      <c r="F34" s="74"/>
    </row>
    <row r="35" spans="1:6">
      <c r="A35" s="5"/>
      <c r="B35" s="30" t="s">
        <v>264</v>
      </c>
      <c r="C35" s="24"/>
      <c r="D35" s="26" t="s">
        <v>71</v>
      </c>
      <c r="E35" s="24">
        <v>500</v>
      </c>
      <c r="F35" s="74"/>
    </row>
    <row r="36" spans="1:6">
      <c r="A36" s="67"/>
      <c r="B36" s="22" t="s">
        <v>31</v>
      </c>
      <c r="C36" s="3"/>
      <c r="D36" s="4"/>
      <c r="E36" s="4"/>
      <c r="F36" s="76">
        <f>SUM(F6:F35)</f>
        <v>33560</v>
      </c>
    </row>
    <row r="37" spans="1:6" ht="17.5" customHeight="1">
      <c r="A37" s="67"/>
      <c r="B37" s="22" t="s">
        <v>66</v>
      </c>
      <c r="C37" s="3"/>
      <c r="D37" s="4"/>
      <c r="E37" s="4"/>
      <c r="F37" s="73"/>
    </row>
    <row r="38" spans="1:6" ht="93.65" customHeight="1">
      <c r="A38" s="5" t="s">
        <v>32</v>
      </c>
      <c r="B38" s="23" t="s">
        <v>406</v>
      </c>
      <c r="C38" s="5"/>
      <c r="D38" s="7"/>
      <c r="E38" s="24"/>
      <c r="F38" s="25"/>
    </row>
    <row r="39" spans="1:6">
      <c r="A39" s="5"/>
      <c r="B39" s="23" t="s">
        <v>34</v>
      </c>
      <c r="C39" s="24">
        <v>2</v>
      </c>
      <c r="D39" s="26" t="s">
        <v>80</v>
      </c>
      <c r="E39" s="24">
        <v>4100</v>
      </c>
      <c r="F39" s="74">
        <f>E39*C39</f>
        <v>8200</v>
      </c>
    </row>
    <row r="40" spans="1:6">
      <c r="A40" s="5"/>
      <c r="B40" s="23" t="s">
        <v>35</v>
      </c>
      <c r="C40" s="20"/>
      <c r="D40" s="26" t="s">
        <v>80</v>
      </c>
      <c r="E40" s="24">
        <v>4175</v>
      </c>
      <c r="F40" s="74">
        <f t="shared" ref="F40" si="4">E40*C40</f>
        <v>0</v>
      </c>
    </row>
    <row r="41" spans="1:6" ht="288.75" customHeight="1">
      <c r="A41" s="5" t="s">
        <v>33</v>
      </c>
      <c r="B41" s="38" t="s">
        <v>413</v>
      </c>
      <c r="C41" s="51"/>
      <c r="D41" s="7"/>
      <c r="E41" s="32"/>
      <c r="F41" s="75"/>
    </row>
    <row r="42" spans="1:6">
      <c r="A42" s="5"/>
      <c r="B42" s="21" t="s">
        <v>538</v>
      </c>
      <c r="C42" s="52"/>
      <c r="D42" s="7"/>
      <c r="E42" s="32"/>
      <c r="F42" s="75"/>
    </row>
    <row r="43" spans="1:6">
      <c r="A43" s="5"/>
      <c r="B43" s="28" t="s">
        <v>250</v>
      </c>
      <c r="C43" s="24"/>
      <c r="D43" s="26" t="s">
        <v>80</v>
      </c>
      <c r="E43" s="24">
        <v>5450</v>
      </c>
      <c r="F43" s="74"/>
    </row>
    <row r="44" spans="1:6">
      <c r="A44" s="49"/>
      <c r="B44" s="28" t="s">
        <v>296</v>
      </c>
      <c r="C44" s="24"/>
      <c r="D44" s="26" t="s">
        <v>80</v>
      </c>
      <c r="E44" s="24">
        <v>5950</v>
      </c>
      <c r="F44" s="75"/>
    </row>
    <row r="45" spans="1:6">
      <c r="A45" s="5"/>
      <c r="B45" s="21" t="s">
        <v>537</v>
      </c>
      <c r="C45" s="52"/>
      <c r="D45" s="7"/>
      <c r="E45" s="32"/>
      <c r="F45" s="75"/>
    </row>
    <row r="46" spans="1:6">
      <c r="A46" s="5"/>
      <c r="B46" s="28" t="s">
        <v>250</v>
      </c>
      <c r="C46" s="24">
        <v>4</v>
      </c>
      <c r="D46" s="32" t="s">
        <v>80</v>
      </c>
      <c r="E46" s="24">
        <v>5850</v>
      </c>
      <c r="F46" s="74">
        <f>E46*C46</f>
        <v>23400</v>
      </c>
    </row>
    <row r="47" spans="1:6">
      <c r="A47" s="49"/>
      <c r="B47" s="28" t="s">
        <v>612</v>
      </c>
      <c r="C47" s="24">
        <v>6</v>
      </c>
      <c r="D47" s="32" t="s">
        <v>80</v>
      </c>
      <c r="E47" s="24">
        <v>6175</v>
      </c>
      <c r="F47" s="74">
        <f>E47*C47</f>
        <v>37050</v>
      </c>
    </row>
    <row r="48" spans="1:6">
      <c r="A48" s="49"/>
      <c r="B48" s="28" t="s">
        <v>613</v>
      </c>
      <c r="C48" s="24"/>
      <c r="D48" s="32" t="s">
        <v>80</v>
      </c>
      <c r="E48" s="24">
        <v>6350</v>
      </c>
      <c r="F48" s="74"/>
    </row>
    <row r="49" spans="1:6" ht="37">
      <c r="A49" s="5"/>
      <c r="B49" s="21" t="s">
        <v>443</v>
      </c>
      <c r="C49" s="24"/>
      <c r="D49" s="26" t="s">
        <v>80</v>
      </c>
      <c r="E49" s="24">
        <v>950</v>
      </c>
      <c r="F49" s="74"/>
    </row>
    <row r="50" spans="1:6" ht="55.5">
      <c r="A50" s="5" t="s">
        <v>536</v>
      </c>
      <c r="B50" s="61" t="s">
        <v>535</v>
      </c>
      <c r="C50" s="62"/>
      <c r="D50" s="8"/>
      <c r="E50" s="24"/>
      <c r="F50" s="74"/>
    </row>
    <row r="51" spans="1:6" ht="297" customHeight="1">
      <c r="A51" s="5"/>
      <c r="B51" s="38" t="s">
        <v>541</v>
      </c>
      <c r="C51" s="53"/>
      <c r="D51" s="8"/>
      <c r="E51" s="24"/>
      <c r="F51" s="74"/>
    </row>
    <row r="52" spans="1:6">
      <c r="A52" s="5" t="s">
        <v>461</v>
      </c>
      <c r="B52" s="43" t="s">
        <v>542</v>
      </c>
      <c r="C52" s="53"/>
      <c r="D52" s="8"/>
      <c r="E52" s="24"/>
      <c r="F52" s="74"/>
    </row>
    <row r="53" spans="1:6">
      <c r="A53" s="53"/>
      <c r="B53" s="43" t="s">
        <v>459</v>
      </c>
      <c r="C53" s="24"/>
      <c r="D53" s="25" t="s">
        <v>439</v>
      </c>
      <c r="E53" s="24">
        <v>5450</v>
      </c>
      <c r="F53" s="74"/>
    </row>
    <row r="54" spans="1:6">
      <c r="A54" s="53"/>
      <c r="B54" s="43" t="s">
        <v>460</v>
      </c>
      <c r="C54" s="6"/>
      <c r="D54" s="25" t="s">
        <v>439</v>
      </c>
      <c r="E54" s="24">
        <v>5850</v>
      </c>
      <c r="F54" s="74">
        <f>E54*C54</f>
        <v>0</v>
      </c>
    </row>
    <row r="55" spans="1:6" ht="37">
      <c r="A55" s="53"/>
      <c r="B55" s="21" t="s">
        <v>443</v>
      </c>
      <c r="C55" s="24"/>
      <c r="D55" s="25" t="s">
        <v>439</v>
      </c>
      <c r="E55" s="24">
        <v>950</v>
      </c>
      <c r="F55" s="74"/>
    </row>
    <row r="56" spans="1:6" ht="30.75" customHeight="1">
      <c r="A56" s="5" t="s">
        <v>462</v>
      </c>
      <c r="B56" s="43" t="s">
        <v>463</v>
      </c>
      <c r="C56" s="53"/>
      <c r="D56" s="8"/>
      <c r="E56" s="24"/>
      <c r="F56" s="74"/>
    </row>
    <row r="57" spans="1:6">
      <c r="A57" s="53"/>
      <c r="B57" s="45" t="s">
        <v>440</v>
      </c>
      <c r="C57" s="54"/>
      <c r="D57" s="8"/>
      <c r="E57" s="24"/>
      <c r="F57" s="74"/>
    </row>
    <row r="58" spans="1:6">
      <c r="A58" s="53"/>
      <c r="B58" s="43" t="s">
        <v>305</v>
      </c>
      <c r="C58" s="6"/>
      <c r="D58" s="25" t="s">
        <v>439</v>
      </c>
      <c r="E58" s="24">
        <v>5700</v>
      </c>
      <c r="F58" s="74">
        <f>E58*C58</f>
        <v>0</v>
      </c>
    </row>
    <row r="59" spans="1:6">
      <c r="A59" s="53"/>
      <c r="B59" s="43" t="s">
        <v>441</v>
      </c>
      <c r="C59" s="24"/>
      <c r="D59" s="25" t="s">
        <v>439</v>
      </c>
      <c r="E59" s="24"/>
      <c r="F59" s="74"/>
    </row>
    <row r="60" spans="1:6">
      <c r="A60" s="53"/>
      <c r="B60" s="45" t="s">
        <v>442</v>
      </c>
      <c r="C60" s="54"/>
      <c r="D60" s="26"/>
      <c r="E60" s="24"/>
      <c r="F60" s="74"/>
    </row>
    <row r="61" spans="1:6">
      <c r="A61" s="53"/>
      <c r="B61" s="28" t="s">
        <v>305</v>
      </c>
      <c r="C61" s="6"/>
      <c r="D61" s="25" t="s">
        <v>439</v>
      </c>
      <c r="E61" s="24">
        <v>5900</v>
      </c>
      <c r="F61" s="74">
        <f>E61*C61</f>
        <v>0</v>
      </c>
    </row>
    <row r="62" spans="1:6">
      <c r="A62" s="53"/>
      <c r="B62" s="28" t="s">
        <v>456</v>
      </c>
      <c r="C62" s="24"/>
      <c r="D62" s="25" t="s">
        <v>439</v>
      </c>
      <c r="E62" s="24">
        <v>6650</v>
      </c>
      <c r="F62" s="74"/>
    </row>
    <row r="63" spans="1:6" ht="37">
      <c r="A63" s="53"/>
      <c r="B63" s="21" t="s">
        <v>443</v>
      </c>
      <c r="C63" s="24"/>
      <c r="D63" s="25" t="s">
        <v>439</v>
      </c>
      <c r="E63" s="24">
        <v>950</v>
      </c>
      <c r="F63" s="74"/>
    </row>
    <row r="64" spans="1:6" ht="129.5">
      <c r="A64" s="49" t="s">
        <v>412</v>
      </c>
      <c r="B64" s="28" t="s">
        <v>415</v>
      </c>
      <c r="C64" s="49"/>
      <c r="D64" s="7"/>
      <c r="E64" s="24"/>
      <c r="F64" s="75"/>
    </row>
    <row r="65" spans="1:6">
      <c r="A65" s="49"/>
      <c r="B65" s="29" t="s">
        <v>209</v>
      </c>
      <c r="C65" s="20"/>
      <c r="D65" s="32" t="s">
        <v>80</v>
      </c>
      <c r="E65" s="24">
        <v>5600</v>
      </c>
      <c r="F65" s="77"/>
    </row>
    <row r="66" spans="1:6">
      <c r="A66" s="49"/>
      <c r="B66" s="29" t="s">
        <v>210</v>
      </c>
      <c r="C66" s="20"/>
      <c r="D66" s="32" t="s">
        <v>80</v>
      </c>
      <c r="E66" s="24">
        <v>5369</v>
      </c>
      <c r="F66" s="74">
        <f t="shared" ref="F66:F68" si="5">E66*C66</f>
        <v>0</v>
      </c>
    </row>
    <row r="67" spans="1:6">
      <c r="A67" s="49"/>
      <c r="B67" s="29" t="s">
        <v>262</v>
      </c>
      <c r="C67" s="20">
        <v>4</v>
      </c>
      <c r="D67" s="32" t="s">
        <v>80</v>
      </c>
      <c r="E67" s="24">
        <v>5650</v>
      </c>
      <c r="F67" s="74">
        <f t="shared" si="5"/>
        <v>22600</v>
      </c>
    </row>
    <row r="68" spans="1:6">
      <c r="A68" s="49"/>
      <c r="B68" s="29" t="s">
        <v>253</v>
      </c>
      <c r="C68" s="20"/>
      <c r="D68" s="32" t="s">
        <v>80</v>
      </c>
      <c r="E68" s="24">
        <v>5650</v>
      </c>
      <c r="F68" s="74">
        <f t="shared" si="5"/>
        <v>0</v>
      </c>
    </row>
    <row r="69" spans="1:6" ht="200.25" customHeight="1">
      <c r="A69" s="49" t="s">
        <v>414</v>
      </c>
      <c r="B69" s="17" t="s">
        <v>394</v>
      </c>
      <c r="C69" s="5"/>
      <c r="D69" s="32"/>
      <c r="E69" s="24"/>
      <c r="F69" s="77"/>
    </row>
    <row r="70" spans="1:6">
      <c r="A70" s="49"/>
      <c r="B70" s="29" t="s">
        <v>395</v>
      </c>
      <c r="C70" s="24"/>
      <c r="D70" s="32" t="s">
        <v>80</v>
      </c>
      <c r="E70" s="24">
        <v>9500</v>
      </c>
      <c r="F70" s="77"/>
    </row>
    <row r="71" spans="1:6">
      <c r="A71" s="49"/>
      <c r="B71" s="29" t="s">
        <v>396</v>
      </c>
      <c r="C71" s="24"/>
      <c r="D71" s="32" t="s">
        <v>80</v>
      </c>
      <c r="E71" s="24">
        <v>9500</v>
      </c>
      <c r="F71" s="77"/>
    </row>
    <row r="72" spans="1:6" ht="296">
      <c r="A72" s="49" t="s">
        <v>464</v>
      </c>
      <c r="B72" s="28" t="s">
        <v>481</v>
      </c>
      <c r="C72" s="5"/>
      <c r="D72" s="32"/>
      <c r="E72" s="24"/>
      <c r="F72" s="77"/>
    </row>
    <row r="73" spans="1:6">
      <c r="A73" s="49"/>
      <c r="B73" s="19" t="s">
        <v>425</v>
      </c>
      <c r="C73" s="52"/>
      <c r="D73" s="32"/>
      <c r="E73" s="24"/>
      <c r="F73" s="77"/>
    </row>
    <row r="74" spans="1:6">
      <c r="A74" s="49"/>
      <c r="B74" s="28" t="s">
        <v>250</v>
      </c>
      <c r="C74" s="5"/>
      <c r="D74" s="32" t="s">
        <v>80</v>
      </c>
      <c r="E74" s="24">
        <v>5750</v>
      </c>
      <c r="F74" s="74">
        <f>E74*C74</f>
        <v>0</v>
      </c>
    </row>
    <row r="75" spans="1:6">
      <c r="A75" s="49"/>
      <c r="B75" s="28" t="s">
        <v>296</v>
      </c>
      <c r="C75" s="24"/>
      <c r="D75" s="32" t="s">
        <v>80</v>
      </c>
      <c r="E75" s="24">
        <v>6650</v>
      </c>
      <c r="F75" s="77"/>
    </row>
    <row r="76" spans="1:6">
      <c r="A76" s="49"/>
      <c r="B76" s="28" t="s">
        <v>297</v>
      </c>
      <c r="C76" s="24"/>
      <c r="D76" s="32" t="s">
        <v>80</v>
      </c>
      <c r="E76" s="24">
        <v>6850</v>
      </c>
      <c r="F76" s="77"/>
    </row>
    <row r="77" spans="1:6">
      <c r="A77" s="49"/>
      <c r="B77" s="28" t="s">
        <v>298</v>
      </c>
      <c r="C77" s="24"/>
      <c r="D77" s="32" t="s">
        <v>80</v>
      </c>
      <c r="E77" s="24">
        <v>7250</v>
      </c>
      <c r="F77" s="77"/>
    </row>
    <row r="78" spans="1:6" ht="57.65" customHeight="1">
      <c r="A78" s="25" t="s">
        <v>36</v>
      </c>
      <c r="B78" s="23" t="s">
        <v>249</v>
      </c>
      <c r="C78" s="25"/>
      <c r="D78" s="9"/>
      <c r="E78" s="24"/>
      <c r="F78" s="75"/>
    </row>
    <row r="79" spans="1:6" s="10" customFormat="1">
      <c r="A79" s="25"/>
      <c r="B79" s="34" t="s">
        <v>266</v>
      </c>
      <c r="C79" s="88"/>
      <c r="D79" s="33" t="s">
        <v>85</v>
      </c>
      <c r="E79" s="24">
        <v>175</v>
      </c>
      <c r="F79" s="74">
        <f>E79*C79</f>
        <v>0</v>
      </c>
    </row>
    <row r="80" spans="1:6" s="10" customFormat="1" ht="225" customHeight="1">
      <c r="A80" s="25" t="s">
        <v>37</v>
      </c>
      <c r="B80" s="23" t="s">
        <v>602</v>
      </c>
      <c r="C80" s="5"/>
      <c r="D80" s="9"/>
      <c r="E80" s="24"/>
      <c r="F80" s="75"/>
    </row>
    <row r="81" spans="1:6" s="10" customFormat="1">
      <c r="A81" s="25"/>
      <c r="B81" s="34" t="s">
        <v>258</v>
      </c>
      <c r="C81" s="24">
        <v>1.5</v>
      </c>
      <c r="D81" s="27" t="s">
        <v>191</v>
      </c>
      <c r="E81" s="24">
        <v>69500</v>
      </c>
      <c r="F81" s="74">
        <f>E81*C81</f>
        <v>104250</v>
      </c>
    </row>
    <row r="82" spans="1:6" s="10" customFormat="1" ht="203.5">
      <c r="A82" s="25" t="s">
        <v>38</v>
      </c>
      <c r="B82" s="23" t="s">
        <v>501</v>
      </c>
      <c r="C82" s="5"/>
      <c r="D82" s="9"/>
      <c r="E82" s="24"/>
      <c r="F82" s="75"/>
    </row>
    <row r="83" spans="1:6" ht="22.5" customHeight="1">
      <c r="A83" s="5"/>
      <c r="B83" s="28" t="s">
        <v>250</v>
      </c>
      <c r="C83" s="24">
        <v>25</v>
      </c>
      <c r="D83" s="32" t="s">
        <v>81</v>
      </c>
      <c r="E83" s="24">
        <v>550</v>
      </c>
      <c r="F83" s="74">
        <f>C83*E83</f>
        <v>13750</v>
      </c>
    </row>
    <row r="84" spans="1:6">
      <c r="A84" s="5"/>
      <c r="B84" s="28" t="s">
        <v>296</v>
      </c>
      <c r="C84" s="24"/>
      <c r="D84" s="32" t="s">
        <v>81</v>
      </c>
      <c r="E84" s="24">
        <v>625</v>
      </c>
      <c r="F84" s="74"/>
    </row>
    <row r="85" spans="1:6" s="10" customFormat="1" ht="240.5">
      <c r="A85" s="5" t="s">
        <v>39</v>
      </c>
      <c r="B85" s="28" t="s">
        <v>233</v>
      </c>
      <c r="C85" s="49"/>
      <c r="D85" s="8"/>
      <c r="E85" s="24"/>
      <c r="F85" s="78"/>
    </row>
    <row r="86" spans="1:6" ht="20.25" customHeight="1">
      <c r="A86" s="5"/>
      <c r="B86" s="28" t="s">
        <v>250</v>
      </c>
      <c r="C86" s="24"/>
      <c r="D86" s="32" t="s">
        <v>81</v>
      </c>
      <c r="E86" s="24">
        <v>575</v>
      </c>
      <c r="F86" s="74"/>
    </row>
    <row r="87" spans="1:6">
      <c r="A87" s="5"/>
      <c r="B87" s="28" t="s">
        <v>296</v>
      </c>
      <c r="C87" s="24">
        <v>58</v>
      </c>
      <c r="D87" s="32" t="s">
        <v>81</v>
      </c>
      <c r="E87" s="24">
        <v>650</v>
      </c>
      <c r="F87" s="74">
        <f t="shared" ref="F87" si="6">E87*C87</f>
        <v>37700</v>
      </c>
    </row>
    <row r="88" spans="1:6">
      <c r="A88" s="49"/>
      <c r="B88" s="28" t="s">
        <v>299</v>
      </c>
      <c r="C88" s="24"/>
      <c r="D88" s="32" t="s">
        <v>81</v>
      </c>
      <c r="E88" s="24">
        <v>725</v>
      </c>
      <c r="F88" s="74"/>
    </row>
    <row r="89" spans="1:6">
      <c r="A89" s="49"/>
      <c r="B89" s="28" t="s">
        <v>300</v>
      </c>
      <c r="C89" s="24"/>
      <c r="D89" s="32" t="s">
        <v>81</v>
      </c>
      <c r="E89" s="24">
        <v>850</v>
      </c>
      <c r="F89" s="74"/>
    </row>
    <row r="90" spans="1:6" ht="81.650000000000006" customHeight="1">
      <c r="A90" s="49" t="s">
        <v>54</v>
      </c>
      <c r="B90" s="28" t="s">
        <v>416</v>
      </c>
      <c r="C90" s="24"/>
      <c r="D90" s="26" t="s">
        <v>80</v>
      </c>
      <c r="E90" s="24">
        <v>52500</v>
      </c>
      <c r="F90" s="74">
        <f>E90*C90</f>
        <v>0</v>
      </c>
    </row>
    <row r="91" spans="1:6" ht="74">
      <c r="A91" s="49" t="s">
        <v>55</v>
      </c>
      <c r="B91" s="28" t="s">
        <v>244</v>
      </c>
      <c r="C91" s="87"/>
      <c r="D91" s="49" t="s">
        <v>83</v>
      </c>
      <c r="E91" s="49">
        <v>550</v>
      </c>
      <c r="F91" s="64"/>
    </row>
    <row r="92" spans="1:6" ht="129.5">
      <c r="A92" s="49" t="s">
        <v>518</v>
      </c>
      <c r="B92" s="28" t="s">
        <v>40</v>
      </c>
      <c r="C92" s="49"/>
      <c r="D92" s="28"/>
      <c r="E92" s="49"/>
      <c r="F92" s="64"/>
    </row>
    <row r="93" spans="1:6">
      <c r="A93" s="49"/>
      <c r="B93" s="28" t="s">
        <v>51</v>
      </c>
      <c r="C93" s="49"/>
      <c r="D93" s="49" t="s">
        <v>82</v>
      </c>
      <c r="E93" s="49">
        <v>800</v>
      </c>
      <c r="F93" s="74">
        <f t="shared" ref="F93:F101" si="7">E93*C93</f>
        <v>0</v>
      </c>
    </row>
    <row r="94" spans="1:6" ht="37">
      <c r="A94" s="49"/>
      <c r="B94" s="28" t="s">
        <v>52</v>
      </c>
      <c r="C94" s="49"/>
      <c r="D94" s="49" t="s">
        <v>82</v>
      </c>
      <c r="E94" s="49">
        <v>1050</v>
      </c>
      <c r="F94" s="74">
        <f t="shared" si="7"/>
        <v>0</v>
      </c>
    </row>
    <row r="95" spans="1:6" ht="37">
      <c r="A95" s="49"/>
      <c r="B95" s="28" t="s">
        <v>53</v>
      </c>
      <c r="C95" s="49"/>
      <c r="D95" s="49" t="s">
        <v>82</v>
      </c>
      <c r="E95" s="49">
        <v>1250</v>
      </c>
      <c r="F95" s="74">
        <f t="shared" si="7"/>
        <v>0</v>
      </c>
    </row>
    <row r="96" spans="1:6">
      <c r="A96" s="49"/>
      <c r="B96" s="28" t="s">
        <v>519</v>
      </c>
      <c r="C96" s="49"/>
      <c r="D96" s="49" t="s">
        <v>82</v>
      </c>
      <c r="E96" s="49">
        <v>1250</v>
      </c>
      <c r="F96" s="74">
        <f t="shared" si="7"/>
        <v>0</v>
      </c>
    </row>
    <row r="97" spans="1:6" ht="37">
      <c r="A97" s="49"/>
      <c r="B97" s="28" t="s">
        <v>520</v>
      </c>
      <c r="C97" s="49"/>
      <c r="D97" s="49" t="s">
        <v>82</v>
      </c>
      <c r="E97" s="49">
        <v>1350</v>
      </c>
      <c r="F97" s="74">
        <f t="shared" si="7"/>
        <v>0</v>
      </c>
    </row>
    <row r="98" spans="1:6" ht="37">
      <c r="A98" s="49"/>
      <c r="B98" s="28" t="s">
        <v>521</v>
      </c>
      <c r="C98" s="49"/>
      <c r="D98" s="49" t="s">
        <v>82</v>
      </c>
      <c r="E98" s="49">
        <v>2000</v>
      </c>
      <c r="F98" s="74">
        <f t="shared" si="7"/>
        <v>0</v>
      </c>
    </row>
    <row r="99" spans="1:6">
      <c r="A99" s="49"/>
      <c r="B99" s="28" t="s">
        <v>522</v>
      </c>
      <c r="C99" s="49"/>
      <c r="D99" s="49" t="s">
        <v>82</v>
      </c>
      <c r="E99" s="49">
        <v>1950</v>
      </c>
      <c r="F99" s="74">
        <f t="shared" si="7"/>
        <v>0</v>
      </c>
    </row>
    <row r="100" spans="1:6" ht="37">
      <c r="A100" s="49"/>
      <c r="B100" s="28" t="s">
        <v>523</v>
      </c>
      <c r="C100" s="49"/>
      <c r="D100" s="49" t="s">
        <v>82</v>
      </c>
      <c r="E100" s="49">
        <v>2250</v>
      </c>
      <c r="F100" s="74">
        <f t="shared" si="7"/>
        <v>0</v>
      </c>
    </row>
    <row r="101" spans="1:6" ht="37">
      <c r="A101" s="49"/>
      <c r="B101" s="28" t="s">
        <v>524</v>
      </c>
      <c r="C101" s="49"/>
      <c r="D101" s="49" t="s">
        <v>82</v>
      </c>
      <c r="E101" s="49">
        <v>2750</v>
      </c>
      <c r="F101" s="74">
        <f t="shared" si="7"/>
        <v>0</v>
      </c>
    </row>
    <row r="102" spans="1:6">
      <c r="A102" s="67"/>
      <c r="B102" s="35" t="s">
        <v>56</v>
      </c>
      <c r="C102" s="3"/>
      <c r="D102" s="4"/>
      <c r="E102" s="4"/>
      <c r="F102" s="76">
        <f>SUM(F38:F101)</f>
        <v>246950</v>
      </c>
    </row>
    <row r="103" spans="1:6" ht="17.5" customHeight="1">
      <c r="A103" s="67"/>
      <c r="B103" s="36" t="s">
        <v>60</v>
      </c>
      <c r="C103" s="55"/>
      <c r="D103" s="4"/>
      <c r="E103" s="4"/>
      <c r="F103" s="73"/>
    </row>
    <row r="104" spans="1:6" ht="111">
      <c r="A104" s="5" t="s">
        <v>61</v>
      </c>
      <c r="B104" s="11" t="s">
        <v>314</v>
      </c>
      <c r="C104" s="56"/>
      <c r="D104" s="8"/>
      <c r="E104" s="8"/>
      <c r="F104" s="24"/>
    </row>
    <row r="105" spans="1:6" ht="17.5" customHeight="1">
      <c r="A105" s="5" t="s">
        <v>301</v>
      </c>
      <c r="B105" s="23" t="s">
        <v>302</v>
      </c>
      <c r="C105" s="24"/>
      <c r="D105" s="32" t="s">
        <v>80</v>
      </c>
      <c r="E105" s="49">
        <v>7250</v>
      </c>
      <c r="F105" s="24"/>
    </row>
    <row r="106" spans="1:6" ht="17.5" customHeight="1">
      <c r="A106" s="5" t="s">
        <v>303</v>
      </c>
      <c r="B106" s="23" t="s">
        <v>304</v>
      </c>
      <c r="C106" s="24"/>
      <c r="D106" s="32" t="s">
        <v>80</v>
      </c>
      <c r="E106" s="49">
        <v>7250</v>
      </c>
      <c r="F106" s="24"/>
    </row>
    <row r="107" spans="1:6" ht="129.5">
      <c r="A107" s="49" t="s">
        <v>62</v>
      </c>
      <c r="B107" s="11" t="s">
        <v>502</v>
      </c>
      <c r="C107" s="32"/>
      <c r="D107" s="8"/>
      <c r="E107" s="8"/>
      <c r="F107" s="24"/>
    </row>
    <row r="108" spans="1:6" ht="17.5" customHeight="1">
      <c r="A108" s="49"/>
      <c r="B108" s="28" t="s">
        <v>305</v>
      </c>
      <c r="C108" s="24"/>
      <c r="D108" s="32" t="s">
        <v>80</v>
      </c>
      <c r="E108" s="24">
        <v>6950</v>
      </c>
      <c r="F108" s="24"/>
    </row>
    <row r="109" spans="1:6" ht="17.5" customHeight="1">
      <c r="A109" s="49"/>
      <c r="B109" s="28" t="s">
        <v>306</v>
      </c>
      <c r="C109" s="24"/>
      <c r="D109" s="32" t="s">
        <v>80</v>
      </c>
      <c r="E109" s="24">
        <v>7250</v>
      </c>
      <c r="F109" s="24"/>
    </row>
    <row r="110" spans="1:6" ht="17.5" customHeight="1">
      <c r="A110" s="49"/>
      <c r="B110" s="28" t="s">
        <v>307</v>
      </c>
      <c r="C110" s="24"/>
      <c r="D110" s="32" t="s">
        <v>80</v>
      </c>
      <c r="E110" s="24">
        <v>7650</v>
      </c>
      <c r="F110" s="24"/>
    </row>
    <row r="111" spans="1:6" ht="129.65" customHeight="1">
      <c r="A111" s="49" t="s">
        <v>63</v>
      </c>
      <c r="B111" s="28" t="s">
        <v>276</v>
      </c>
      <c r="C111" s="24">
        <v>5</v>
      </c>
      <c r="D111" s="32" t="s">
        <v>80</v>
      </c>
      <c r="E111" s="24">
        <v>6350</v>
      </c>
      <c r="F111" s="74">
        <f t="shared" ref="F111" si="8">E111*C111</f>
        <v>31750</v>
      </c>
    </row>
    <row r="112" spans="1:6" ht="37">
      <c r="A112" s="49" t="s">
        <v>64</v>
      </c>
      <c r="B112" s="44" t="s">
        <v>214</v>
      </c>
      <c r="C112" s="24"/>
      <c r="D112" s="32" t="s">
        <v>80</v>
      </c>
      <c r="E112" s="24">
        <v>6650</v>
      </c>
      <c r="F112" s="24"/>
    </row>
    <row r="113" spans="1:6" ht="129.5">
      <c r="A113" s="49" t="s">
        <v>76</v>
      </c>
      <c r="B113" s="28" t="s">
        <v>277</v>
      </c>
      <c r="C113" s="49"/>
      <c r="D113" s="8"/>
      <c r="E113" s="24"/>
      <c r="F113" s="25"/>
    </row>
    <row r="114" spans="1:6">
      <c r="A114" s="5"/>
      <c r="B114" s="28" t="s">
        <v>390</v>
      </c>
      <c r="C114" s="24">
        <v>7</v>
      </c>
      <c r="D114" s="32" t="s">
        <v>80</v>
      </c>
      <c r="E114" s="24">
        <v>6350</v>
      </c>
      <c r="F114" s="74">
        <f t="shared" ref="F114" si="9">E114*C114</f>
        <v>44450</v>
      </c>
    </row>
    <row r="115" spans="1:6">
      <c r="A115" s="5"/>
      <c r="B115" s="28" t="s">
        <v>306</v>
      </c>
      <c r="C115" s="24"/>
      <c r="D115" s="32" t="s">
        <v>80</v>
      </c>
      <c r="E115" s="24">
        <v>6750</v>
      </c>
      <c r="F115" s="79"/>
    </row>
    <row r="116" spans="1:6" ht="117.75" customHeight="1">
      <c r="A116" s="5" t="s">
        <v>321</v>
      </c>
      <c r="B116" s="38" t="s">
        <v>482</v>
      </c>
      <c r="C116" s="53"/>
      <c r="D116" s="7"/>
      <c r="E116" s="24"/>
      <c r="F116" s="25"/>
    </row>
    <row r="117" spans="1:6">
      <c r="A117" s="5"/>
      <c r="B117" s="37" t="s">
        <v>254</v>
      </c>
      <c r="C117" s="24"/>
      <c r="D117" s="32" t="s">
        <v>81</v>
      </c>
      <c r="E117" s="24">
        <v>850</v>
      </c>
      <c r="F117" s="74">
        <f>E117*C117</f>
        <v>0</v>
      </c>
    </row>
    <row r="118" spans="1:6" ht="54" customHeight="1">
      <c r="A118" s="49"/>
      <c r="B118" s="28" t="s">
        <v>239</v>
      </c>
      <c r="C118" s="24"/>
      <c r="D118" s="32" t="s">
        <v>81</v>
      </c>
      <c r="E118" s="24">
        <v>875</v>
      </c>
      <c r="F118" s="79"/>
    </row>
    <row r="119" spans="1:6" ht="118.5" customHeight="1">
      <c r="A119" s="5" t="s">
        <v>424</v>
      </c>
      <c r="B119" s="38" t="s">
        <v>322</v>
      </c>
      <c r="C119" s="24"/>
      <c r="D119" s="32" t="s">
        <v>288</v>
      </c>
      <c r="E119" s="24">
        <v>875</v>
      </c>
      <c r="F119" s="79"/>
    </row>
    <row r="120" spans="1:6">
      <c r="A120" s="67"/>
      <c r="B120" s="22" t="s">
        <v>65</v>
      </c>
      <c r="C120" s="3"/>
      <c r="D120" s="4"/>
      <c r="E120" s="4"/>
      <c r="F120" s="76">
        <f>SUM(F104:F119)</f>
        <v>76200</v>
      </c>
    </row>
    <row r="121" spans="1:6" ht="27.75" customHeight="1">
      <c r="A121" s="67"/>
      <c r="B121" s="36" t="s">
        <v>67</v>
      </c>
      <c r="C121" s="55"/>
      <c r="D121" s="4"/>
      <c r="E121" s="4"/>
      <c r="F121" s="73"/>
    </row>
    <row r="122" spans="1:6" ht="122.25" customHeight="1">
      <c r="A122" s="5" t="s">
        <v>68</v>
      </c>
      <c r="B122" s="23" t="s">
        <v>255</v>
      </c>
      <c r="C122" s="20"/>
      <c r="D122" s="26" t="s">
        <v>81</v>
      </c>
      <c r="E122" s="24">
        <v>625</v>
      </c>
      <c r="F122" s="74">
        <f t="shared" ref="F122" si="10">E122*C122</f>
        <v>0</v>
      </c>
    </row>
    <row r="123" spans="1:6" s="2" customFormat="1" ht="153.75" customHeight="1">
      <c r="A123" s="5" t="s">
        <v>69</v>
      </c>
      <c r="B123" s="23" t="s">
        <v>608</v>
      </c>
      <c r="C123" s="32"/>
      <c r="D123" s="26" t="s">
        <v>80</v>
      </c>
      <c r="E123" s="24">
        <v>5450</v>
      </c>
      <c r="F123" s="74">
        <f>E123*C123</f>
        <v>0</v>
      </c>
    </row>
    <row r="124" spans="1:6" s="2" customFormat="1" ht="55.5">
      <c r="A124" s="5" t="s">
        <v>468</v>
      </c>
      <c r="B124" s="48" t="s">
        <v>467</v>
      </c>
      <c r="C124" s="89">
        <v>2</v>
      </c>
      <c r="D124" s="26" t="s">
        <v>80</v>
      </c>
      <c r="E124" s="24">
        <v>5650</v>
      </c>
      <c r="F124" s="74">
        <f>E124*C124</f>
        <v>11300</v>
      </c>
    </row>
    <row r="125" spans="1:6" ht="222.75" customHeight="1">
      <c r="A125" s="5" t="s">
        <v>469</v>
      </c>
      <c r="B125" s="28" t="s">
        <v>609</v>
      </c>
      <c r="C125" s="63"/>
      <c r="D125" s="26" t="s">
        <v>288</v>
      </c>
      <c r="E125" s="24">
        <v>95</v>
      </c>
      <c r="F125" s="74">
        <f t="shared" ref="F125" si="11">E125*C125</f>
        <v>0</v>
      </c>
    </row>
    <row r="126" spans="1:6" ht="111">
      <c r="A126" s="49"/>
      <c r="B126" s="18" t="s">
        <v>483</v>
      </c>
      <c r="C126" s="57"/>
      <c r="D126" s="26"/>
      <c r="E126" s="24"/>
      <c r="F126" s="79"/>
    </row>
    <row r="127" spans="1:6" ht="231.75" customHeight="1">
      <c r="A127" s="5" t="s">
        <v>470</v>
      </c>
      <c r="B127" s="28" t="s">
        <v>507</v>
      </c>
      <c r="C127" s="24"/>
      <c r="D127" s="26" t="s">
        <v>288</v>
      </c>
      <c r="E127" s="24">
        <v>125</v>
      </c>
      <c r="F127" s="74">
        <f t="shared" ref="F127:F128" si="12">E127*C127</f>
        <v>0</v>
      </c>
    </row>
    <row r="128" spans="1:6" ht="55.5">
      <c r="A128" s="49"/>
      <c r="B128" s="28" t="s">
        <v>510</v>
      </c>
      <c r="C128" s="24"/>
      <c r="D128" s="26" t="s">
        <v>240</v>
      </c>
      <c r="E128" s="24">
        <v>22.5</v>
      </c>
      <c r="F128" s="74">
        <f t="shared" si="12"/>
        <v>0</v>
      </c>
    </row>
    <row r="129" spans="1:6" ht="159.75" customHeight="1">
      <c r="A129" s="5" t="s">
        <v>70</v>
      </c>
      <c r="B129" s="23" t="s">
        <v>259</v>
      </c>
      <c r="C129" s="24"/>
      <c r="D129" s="26" t="s">
        <v>71</v>
      </c>
      <c r="E129" s="24">
        <v>250</v>
      </c>
      <c r="F129" s="79"/>
    </row>
    <row r="130" spans="1:6" ht="200.25" customHeight="1">
      <c r="A130" s="5" t="s">
        <v>72</v>
      </c>
      <c r="B130" s="23" t="s">
        <v>183</v>
      </c>
      <c r="C130" s="5"/>
      <c r="D130" s="26"/>
      <c r="E130" s="24"/>
      <c r="F130" s="25"/>
    </row>
    <row r="131" spans="1:6">
      <c r="A131" s="49"/>
      <c r="B131" s="28" t="s">
        <v>241</v>
      </c>
      <c r="C131" s="24"/>
      <c r="D131" s="26" t="s">
        <v>83</v>
      </c>
      <c r="E131" s="24">
        <v>175</v>
      </c>
      <c r="F131" s="74">
        <f t="shared" ref="F131" si="13">E131*C131</f>
        <v>0</v>
      </c>
    </row>
    <row r="132" spans="1:6">
      <c r="A132" s="49"/>
      <c r="B132" s="28" t="s">
        <v>242</v>
      </c>
      <c r="C132" s="24"/>
      <c r="D132" s="26" t="s">
        <v>83</v>
      </c>
      <c r="E132" s="24">
        <v>165</v>
      </c>
      <c r="F132" s="79"/>
    </row>
    <row r="133" spans="1:6" ht="111">
      <c r="A133" s="5" t="s">
        <v>74</v>
      </c>
      <c r="B133" s="23" t="s">
        <v>484</v>
      </c>
      <c r="C133" s="5"/>
      <c r="D133" s="7"/>
      <c r="E133" s="24"/>
      <c r="F133" s="25"/>
    </row>
    <row r="134" spans="1:6">
      <c r="A134" s="5"/>
      <c r="B134" s="23" t="s">
        <v>417</v>
      </c>
      <c r="C134" s="5"/>
      <c r="D134" s="26"/>
      <c r="E134" s="24"/>
      <c r="F134" s="25"/>
    </row>
    <row r="135" spans="1:6" ht="37">
      <c r="A135" s="5"/>
      <c r="B135" s="23" t="s">
        <v>485</v>
      </c>
      <c r="C135" s="24"/>
      <c r="D135" s="26" t="s">
        <v>81</v>
      </c>
      <c r="E135" s="24">
        <v>750</v>
      </c>
      <c r="F135" s="74">
        <f>E135*C135</f>
        <v>0</v>
      </c>
    </row>
    <row r="136" spans="1:6" ht="37">
      <c r="A136" s="5"/>
      <c r="B136" s="23" t="s">
        <v>97</v>
      </c>
      <c r="C136" s="20"/>
      <c r="D136" s="26" t="s">
        <v>83</v>
      </c>
      <c r="E136" s="24">
        <v>550</v>
      </c>
      <c r="F136" s="74">
        <f>E136*C136</f>
        <v>0</v>
      </c>
    </row>
    <row r="137" spans="1:6" ht="37">
      <c r="A137" s="49"/>
      <c r="B137" s="28" t="s">
        <v>418</v>
      </c>
      <c r="C137" s="24"/>
      <c r="D137" s="26" t="s">
        <v>83</v>
      </c>
      <c r="E137" s="24">
        <v>550</v>
      </c>
      <c r="F137" s="79"/>
    </row>
    <row r="138" spans="1:6" ht="137.25" customHeight="1">
      <c r="A138" s="49" t="s">
        <v>75</v>
      </c>
      <c r="B138" s="28" t="s">
        <v>486</v>
      </c>
      <c r="C138" s="49"/>
      <c r="D138" s="26"/>
      <c r="E138" s="24"/>
      <c r="F138" s="25"/>
    </row>
    <row r="139" spans="1:6">
      <c r="A139" s="49"/>
      <c r="B139" s="28" t="s">
        <v>234</v>
      </c>
      <c r="C139" s="24">
        <f>13+8</f>
        <v>21</v>
      </c>
      <c r="D139" s="26" t="s">
        <v>81</v>
      </c>
      <c r="E139" s="24">
        <v>1375</v>
      </c>
      <c r="F139" s="74">
        <f t="shared" ref="F139" si="14">E139*C139</f>
        <v>28875</v>
      </c>
    </row>
    <row r="140" spans="1:6">
      <c r="A140" s="49"/>
      <c r="B140" s="28" t="s">
        <v>235</v>
      </c>
      <c r="C140" s="24"/>
      <c r="D140" s="26" t="s">
        <v>81</v>
      </c>
      <c r="E140" s="24">
        <v>1675</v>
      </c>
      <c r="F140" s="79"/>
    </row>
    <row r="141" spans="1:6" ht="156" customHeight="1">
      <c r="A141" s="5" t="s">
        <v>156</v>
      </c>
      <c r="B141" s="38" t="s">
        <v>260</v>
      </c>
      <c r="C141" s="24"/>
      <c r="D141" s="26" t="s">
        <v>81</v>
      </c>
      <c r="E141" s="24">
        <v>1575</v>
      </c>
      <c r="F141" s="74">
        <f>E141*C141</f>
        <v>0</v>
      </c>
    </row>
    <row r="142" spans="1:6" ht="137.25" customHeight="1">
      <c r="A142" s="5" t="s">
        <v>157</v>
      </c>
      <c r="B142" s="23" t="s">
        <v>4</v>
      </c>
      <c r="C142" s="5"/>
      <c r="D142" s="7"/>
      <c r="E142" s="24"/>
      <c r="F142" s="25"/>
    </row>
    <row r="143" spans="1:6">
      <c r="A143" s="5"/>
      <c r="B143" s="23" t="s">
        <v>88</v>
      </c>
      <c r="C143" s="20">
        <v>2</v>
      </c>
      <c r="D143" s="32" t="s">
        <v>81</v>
      </c>
      <c r="E143" s="24">
        <v>1150</v>
      </c>
      <c r="F143" s="74">
        <f t="shared" ref="F143:F144" si="15">E143*C143</f>
        <v>2300</v>
      </c>
    </row>
    <row r="144" spans="1:6" ht="37">
      <c r="A144" s="5"/>
      <c r="B144" s="23" t="s">
        <v>89</v>
      </c>
      <c r="C144" s="20">
        <v>10</v>
      </c>
      <c r="D144" s="32" t="s">
        <v>81</v>
      </c>
      <c r="E144" s="24">
        <v>1250</v>
      </c>
      <c r="F144" s="74">
        <f t="shared" si="15"/>
        <v>12500</v>
      </c>
    </row>
    <row r="145" spans="1:6" ht="92.5">
      <c r="A145" s="5" t="s">
        <v>158</v>
      </c>
      <c r="B145" s="23" t="s">
        <v>487</v>
      </c>
      <c r="C145" s="5"/>
      <c r="D145" s="7"/>
      <c r="E145" s="24"/>
      <c r="F145" s="25"/>
    </row>
    <row r="146" spans="1:6">
      <c r="A146" s="5"/>
      <c r="B146" s="28" t="s">
        <v>419</v>
      </c>
      <c r="C146" s="24"/>
      <c r="D146" s="32" t="s">
        <v>81</v>
      </c>
      <c r="E146" s="24">
        <v>1275</v>
      </c>
      <c r="F146" s="79"/>
    </row>
    <row r="147" spans="1:6" ht="37">
      <c r="A147" s="5"/>
      <c r="B147" s="28" t="s">
        <v>444</v>
      </c>
      <c r="C147" s="24"/>
      <c r="D147" s="32" t="s">
        <v>83</v>
      </c>
      <c r="E147" s="24">
        <v>500</v>
      </c>
      <c r="F147" s="79"/>
    </row>
    <row r="148" spans="1:6" ht="129.5">
      <c r="A148" s="49" t="s">
        <v>87</v>
      </c>
      <c r="B148" s="28" t="s">
        <v>445</v>
      </c>
      <c r="C148" s="32">
        <v>8</v>
      </c>
      <c r="D148" s="32" t="s">
        <v>81</v>
      </c>
      <c r="E148" s="24">
        <v>3550</v>
      </c>
      <c r="F148" s="74">
        <f t="shared" ref="F148" si="16">E148*C148</f>
        <v>28400</v>
      </c>
    </row>
    <row r="149" spans="1:6" ht="111">
      <c r="A149" s="5" t="s">
        <v>90</v>
      </c>
      <c r="B149" s="23" t="s">
        <v>446</v>
      </c>
      <c r="C149" s="24">
        <v>2</v>
      </c>
      <c r="D149" s="32" t="s">
        <v>81</v>
      </c>
      <c r="E149" s="24">
        <v>3500</v>
      </c>
      <c r="F149" s="74">
        <f>E149*C149</f>
        <v>7000</v>
      </c>
    </row>
    <row r="150" spans="1:6" ht="92.5">
      <c r="A150" s="5" t="s">
        <v>669</v>
      </c>
      <c r="B150" s="23" t="s">
        <v>668</v>
      </c>
      <c r="C150" s="24">
        <v>0.6</v>
      </c>
      <c r="D150" s="32" t="s">
        <v>81</v>
      </c>
      <c r="E150" s="24">
        <v>4500</v>
      </c>
      <c r="F150" s="74">
        <f>E150*C150</f>
        <v>2700</v>
      </c>
    </row>
    <row r="151" spans="1:6" ht="111">
      <c r="A151" s="5" t="s">
        <v>230</v>
      </c>
      <c r="B151" s="23" t="s">
        <v>155</v>
      </c>
      <c r="C151" s="24"/>
      <c r="D151" s="32" t="s">
        <v>81</v>
      </c>
      <c r="E151" s="24">
        <v>2750</v>
      </c>
      <c r="F151" s="79"/>
    </row>
    <row r="152" spans="1:6" ht="129.5">
      <c r="A152" s="5" t="s">
        <v>231</v>
      </c>
      <c r="B152" s="23" t="s">
        <v>110</v>
      </c>
      <c r="C152" s="24"/>
      <c r="D152" s="32" t="s">
        <v>81</v>
      </c>
      <c r="E152" s="24">
        <v>2750</v>
      </c>
      <c r="F152" s="79"/>
    </row>
    <row r="153" spans="1:6" ht="92.5">
      <c r="A153" s="5" t="s">
        <v>154</v>
      </c>
      <c r="B153" s="23" t="s">
        <v>223</v>
      </c>
      <c r="C153" s="24"/>
      <c r="D153" s="32" t="s">
        <v>81</v>
      </c>
      <c r="E153" s="24">
        <v>1250</v>
      </c>
      <c r="F153" s="79"/>
    </row>
    <row r="154" spans="1:6" ht="315" hidden="1" customHeight="1">
      <c r="A154" s="5" t="s">
        <v>252</v>
      </c>
      <c r="B154" s="38" t="s">
        <v>278</v>
      </c>
      <c r="C154" s="20"/>
      <c r="D154" s="32" t="s">
        <v>81</v>
      </c>
      <c r="E154" s="24"/>
      <c r="F154" s="79"/>
    </row>
    <row r="155" spans="1:6" ht="111">
      <c r="A155" s="5" t="s">
        <v>252</v>
      </c>
      <c r="B155" s="23" t="s">
        <v>257</v>
      </c>
      <c r="C155" s="24"/>
      <c r="D155" s="32" t="s">
        <v>81</v>
      </c>
      <c r="E155" s="24">
        <v>1250</v>
      </c>
      <c r="F155" s="79"/>
    </row>
    <row r="156" spans="1:6" ht="129.5">
      <c r="A156" s="5" t="s">
        <v>388</v>
      </c>
      <c r="B156" s="23" t="s">
        <v>387</v>
      </c>
      <c r="C156" s="24"/>
      <c r="D156" s="32" t="s">
        <v>81</v>
      </c>
      <c r="E156" s="24">
        <v>3750</v>
      </c>
      <c r="F156" s="79"/>
    </row>
    <row r="157" spans="1:6" ht="351" customHeight="1">
      <c r="A157" s="5" t="s">
        <v>511</v>
      </c>
      <c r="B157" s="23" t="s">
        <v>603</v>
      </c>
      <c r="C157" s="24"/>
      <c r="D157" s="32" t="s">
        <v>81</v>
      </c>
      <c r="E157" s="24">
        <v>810</v>
      </c>
      <c r="F157" s="74">
        <f t="shared" ref="F157" si="17">E157*C157</f>
        <v>0</v>
      </c>
    </row>
    <row r="158" spans="1:6">
      <c r="A158" s="67"/>
      <c r="B158" s="22" t="s">
        <v>91</v>
      </c>
      <c r="C158" s="3"/>
      <c r="D158" s="4"/>
      <c r="E158" s="4"/>
      <c r="F158" s="80">
        <f>SUM(F122:F157)</f>
        <v>93075</v>
      </c>
    </row>
    <row r="159" spans="1:6" ht="17.5" customHeight="1">
      <c r="A159" s="67"/>
      <c r="B159" s="36" t="s">
        <v>102</v>
      </c>
      <c r="C159" s="55"/>
      <c r="D159" s="4"/>
      <c r="E159" s="4"/>
      <c r="F159" s="73"/>
    </row>
    <row r="160" spans="1:6" ht="166.5">
      <c r="A160" s="49" t="s">
        <v>92</v>
      </c>
      <c r="B160" s="28" t="s">
        <v>488</v>
      </c>
      <c r="C160" s="49"/>
      <c r="D160" s="8"/>
      <c r="E160" s="24"/>
      <c r="F160" s="24"/>
    </row>
    <row r="161" spans="1:6" ht="38.25" customHeight="1">
      <c r="A161" s="49"/>
      <c r="B161" s="28" t="s">
        <v>93</v>
      </c>
      <c r="C161" s="24">
        <v>21</v>
      </c>
      <c r="D161" s="32" t="s">
        <v>81</v>
      </c>
      <c r="E161" s="24">
        <v>395</v>
      </c>
      <c r="F161" s="74">
        <f t="shared" ref="F161:F163" si="18">E161*C161</f>
        <v>8295</v>
      </c>
    </row>
    <row r="162" spans="1:6">
      <c r="A162" s="49"/>
      <c r="B162" s="28" t="s">
        <v>94</v>
      </c>
      <c r="C162" s="24">
        <v>44</v>
      </c>
      <c r="D162" s="32" t="s">
        <v>81</v>
      </c>
      <c r="E162" s="24">
        <v>425</v>
      </c>
      <c r="F162" s="74">
        <f t="shared" si="18"/>
        <v>18700</v>
      </c>
    </row>
    <row r="163" spans="1:6" ht="213.75" customHeight="1">
      <c r="A163" s="49" t="s">
        <v>95</v>
      </c>
      <c r="B163" s="28" t="s">
        <v>489</v>
      </c>
      <c r="C163" s="20"/>
      <c r="D163" s="32" t="s">
        <v>81</v>
      </c>
      <c r="E163" s="24">
        <v>485</v>
      </c>
      <c r="F163" s="74">
        <f t="shared" si="18"/>
        <v>0</v>
      </c>
    </row>
    <row r="164" spans="1:6" ht="132" customHeight="1">
      <c r="A164" s="5" t="s">
        <v>265</v>
      </c>
      <c r="B164" s="28" t="s">
        <v>447</v>
      </c>
      <c r="C164" s="24"/>
      <c r="D164" s="32" t="s">
        <v>81</v>
      </c>
      <c r="E164" s="24">
        <v>575</v>
      </c>
      <c r="F164" s="81"/>
    </row>
    <row r="165" spans="1:6" ht="261" customHeight="1">
      <c r="A165" s="5" t="s">
        <v>96</v>
      </c>
      <c r="B165" s="17" t="s">
        <v>448</v>
      </c>
      <c r="C165" s="24">
        <v>41</v>
      </c>
      <c r="D165" s="32" t="s">
        <v>81</v>
      </c>
      <c r="E165" s="24">
        <v>575</v>
      </c>
      <c r="F165" s="74">
        <f t="shared" ref="F165:F167" si="19">E165*C165</f>
        <v>23575</v>
      </c>
    </row>
    <row r="166" spans="1:6" ht="141.75" customHeight="1">
      <c r="A166" s="49" t="s">
        <v>159</v>
      </c>
      <c r="B166" s="28" t="s">
        <v>267</v>
      </c>
      <c r="C166" s="24"/>
      <c r="D166" s="32" t="s">
        <v>81</v>
      </c>
      <c r="E166" s="24">
        <v>525</v>
      </c>
      <c r="F166" s="74">
        <f t="shared" si="19"/>
        <v>0</v>
      </c>
    </row>
    <row r="167" spans="1:6" ht="129.5">
      <c r="A167" s="49" t="s">
        <v>23</v>
      </c>
      <c r="B167" s="23" t="s">
        <v>420</v>
      </c>
      <c r="C167" s="24">
        <f>C165</f>
        <v>41</v>
      </c>
      <c r="D167" s="26" t="s">
        <v>81</v>
      </c>
      <c r="E167" s="24">
        <v>160</v>
      </c>
      <c r="F167" s="74">
        <f t="shared" si="19"/>
        <v>6560</v>
      </c>
    </row>
    <row r="168" spans="1:6" ht="170.25" customHeight="1">
      <c r="A168" s="5" t="s">
        <v>98</v>
      </c>
      <c r="B168" s="23" t="s">
        <v>248</v>
      </c>
      <c r="C168" s="24"/>
      <c r="D168" s="26" t="s">
        <v>81</v>
      </c>
      <c r="E168" s="24">
        <v>375</v>
      </c>
      <c r="F168" s="79"/>
    </row>
    <row r="169" spans="1:6" ht="159.75" customHeight="1">
      <c r="A169" s="5" t="s">
        <v>99</v>
      </c>
      <c r="B169" s="23" t="s">
        <v>247</v>
      </c>
      <c r="C169" s="24"/>
      <c r="D169" s="26" t="s">
        <v>81</v>
      </c>
      <c r="E169" s="24">
        <v>375</v>
      </c>
      <c r="F169" s="79"/>
    </row>
    <row r="170" spans="1:6" ht="113.25" customHeight="1">
      <c r="A170" s="5" t="s">
        <v>100</v>
      </c>
      <c r="B170" s="23" t="s">
        <v>421</v>
      </c>
      <c r="C170" s="24"/>
      <c r="D170" s="26" t="s">
        <v>81</v>
      </c>
      <c r="E170" s="24">
        <v>265</v>
      </c>
      <c r="F170" s="79"/>
    </row>
    <row r="171" spans="1:6" ht="115.5" customHeight="1">
      <c r="A171" s="5" t="s">
        <v>41</v>
      </c>
      <c r="B171" s="23" t="s">
        <v>246</v>
      </c>
      <c r="C171" s="20">
        <f>C161+C162</f>
        <v>65</v>
      </c>
      <c r="D171" s="26" t="s">
        <v>81</v>
      </c>
      <c r="E171" s="24">
        <v>240</v>
      </c>
      <c r="F171" s="74">
        <f t="shared" ref="F171" si="20">E171*C171</f>
        <v>15600</v>
      </c>
    </row>
    <row r="172" spans="1:6" ht="92.5">
      <c r="A172" s="5" t="s">
        <v>188</v>
      </c>
      <c r="B172" s="23" t="s">
        <v>245</v>
      </c>
      <c r="C172" s="24"/>
      <c r="D172" s="26" t="s">
        <v>81</v>
      </c>
      <c r="E172" s="20">
        <v>230</v>
      </c>
      <c r="F172" s="79"/>
    </row>
    <row r="173" spans="1:6" ht="92.5">
      <c r="A173" s="5" t="s">
        <v>386</v>
      </c>
      <c r="B173" s="23" t="s">
        <v>385</v>
      </c>
      <c r="C173" s="24">
        <v>25</v>
      </c>
      <c r="D173" s="26" t="s">
        <v>289</v>
      </c>
      <c r="E173" s="20">
        <v>125</v>
      </c>
      <c r="F173" s="79">
        <f>C173*E173</f>
        <v>3125</v>
      </c>
    </row>
    <row r="174" spans="1:6">
      <c r="A174" s="67"/>
      <c r="B174" s="22" t="s">
        <v>101</v>
      </c>
      <c r="C174" s="3"/>
      <c r="D174" s="4"/>
      <c r="E174" s="4"/>
      <c r="F174" s="80">
        <f>SUM(F160:F173)</f>
        <v>75855</v>
      </c>
    </row>
    <row r="175" spans="1:6">
      <c r="A175" s="67"/>
      <c r="B175" s="36" t="s">
        <v>103</v>
      </c>
      <c r="C175" s="55"/>
      <c r="D175" s="4"/>
      <c r="E175" s="4"/>
      <c r="F175" s="73"/>
    </row>
    <row r="176" spans="1:6" ht="138.75" customHeight="1">
      <c r="A176" s="5" t="s">
        <v>160</v>
      </c>
      <c r="B176" s="23" t="s">
        <v>238</v>
      </c>
      <c r="C176" s="5"/>
      <c r="D176" s="7"/>
      <c r="E176" s="32"/>
      <c r="F176" s="25"/>
    </row>
    <row r="177" spans="1:6">
      <c r="A177" s="5"/>
      <c r="B177" s="23" t="s">
        <v>105</v>
      </c>
      <c r="C177" s="24"/>
      <c r="D177" s="26" t="s">
        <v>81</v>
      </c>
      <c r="E177" s="24">
        <v>16500</v>
      </c>
      <c r="F177" s="74">
        <f t="shared" ref="F177" si="21">E177*C177</f>
        <v>0</v>
      </c>
    </row>
    <row r="178" spans="1:6">
      <c r="A178" s="5"/>
      <c r="B178" s="23" t="s">
        <v>106</v>
      </c>
      <c r="C178" s="24"/>
      <c r="D178" s="26" t="s">
        <v>81</v>
      </c>
      <c r="E178" s="24"/>
      <c r="F178" s="79"/>
    </row>
    <row r="179" spans="1:6" ht="148">
      <c r="A179" s="5" t="s">
        <v>104</v>
      </c>
      <c r="B179" s="23" t="s">
        <v>490</v>
      </c>
      <c r="C179" s="24"/>
      <c r="D179" s="26" t="s">
        <v>81</v>
      </c>
      <c r="E179" s="24"/>
      <c r="F179" s="79"/>
    </row>
    <row r="180" spans="1:6" ht="185">
      <c r="A180" s="5" t="s">
        <v>107</v>
      </c>
      <c r="B180" s="23" t="s">
        <v>491</v>
      </c>
      <c r="C180" s="5"/>
      <c r="D180" s="7"/>
      <c r="E180" s="24"/>
      <c r="F180" s="25"/>
    </row>
    <row r="181" spans="1:6">
      <c r="A181" s="5"/>
      <c r="B181" s="23" t="s">
        <v>112</v>
      </c>
      <c r="C181" s="5"/>
      <c r="D181" s="7"/>
      <c r="E181" s="24"/>
      <c r="F181" s="25"/>
    </row>
    <row r="182" spans="1:6">
      <c r="A182" s="5"/>
      <c r="B182" s="23" t="s">
        <v>113</v>
      </c>
      <c r="C182" s="5"/>
      <c r="D182" s="7"/>
      <c r="E182" s="24"/>
      <c r="F182" s="25"/>
    </row>
    <row r="183" spans="1:6">
      <c r="A183" s="5"/>
      <c r="B183" s="23" t="s">
        <v>114</v>
      </c>
      <c r="C183" s="5"/>
      <c r="D183" s="7"/>
      <c r="E183" s="24"/>
      <c r="F183" s="25"/>
    </row>
    <row r="184" spans="1:6">
      <c r="A184" s="5"/>
      <c r="B184" s="23" t="s">
        <v>115</v>
      </c>
      <c r="C184" s="5"/>
      <c r="D184" s="7"/>
      <c r="E184" s="24"/>
      <c r="F184" s="25"/>
    </row>
    <row r="185" spans="1:6">
      <c r="A185" s="5"/>
      <c r="B185" s="23" t="s">
        <v>116</v>
      </c>
      <c r="C185" s="5"/>
      <c r="D185" s="7"/>
      <c r="E185" s="24"/>
      <c r="F185" s="25"/>
    </row>
    <row r="186" spans="1:6">
      <c r="A186" s="5"/>
      <c r="B186" s="23" t="s">
        <v>117</v>
      </c>
      <c r="C186" s="5"/>
      <c r="D186" s="7"/>
      <c r="E186" s="24"/>
      <c r="F186" s="25"/>
    </row>
    <row r="187" spans="1:6">
      <c r="A187" s="5"/>
      <c r="B187" s="23" t="s">
        <v>118</v>
      </c>
      <c r="C187" s="5"/>
      <c r="D187" s="7"/>
      <c r="E187" s="24"/>
      <c r="F187" s="25"/>
    </row>
    <row r="188" spans="1:6">
      <c r="A188" s="5"/>
      <c r="B188" s="23" t="s">
        <v>119</v>
      </c>
      <c r="C188" s="5"/>
      <c r="D188" s="7"/>
      <c r="E188" s="24"/>
      <c r="F188" s="25"/>
    </row>
    <row r="189" spans="1:6">
      <c r="A189" s="5"/>
      <c r="B189" s="23" t="s">
        <v>120</v>
      </c>
      <c r="C189" s="5"/>
      <c r="D189" s="7"/>
      <c r="E189" s="24"/>
      <c r="F189" s="25"/>
    </row>
    <row r="190" spans="1:6">
      <c r="A190" s="5"/>
      <c r="B190" s="23" t="s">
        <v>121</v>
      </c>
      <c r="C190" s="5"/>
      <c r="D190" s="7"/>
      <c r="E190" s="24"/>
      <c r="F190" s="25"/>
    </row>
    <row r="191" spans="1:6">
      <c r="A191" s="5"/>
      <c r="B191" s="23" t="s">
        <v>122</v>
      </c>
      <c r="C191" s="5"/>
      <c r="D191" s="7"/>
      <c r="E191" s="24"/>
      <c r="F191" s="25"/>
    </row>
    <row r="192" spans="1:6">
      <c r="A192" s="5"/>
      <c r="B192" s="23" t="s">
        <v>123</v>
      </c>
      <c r="C192" s="5"/>
      <c r="D192" s="7"/>
      <c r="E192" s="24"/>
      <c r="F192" s="25"/>
    </row>
    <row r="193" spans="1:6">
      <c r="A193" s="5"/>
      <c r="B193" s="23" t="s">
        <v>124</v>
      </c>
      <c r="C193" s="5"/>
      <c r="D193" s="7"/>
      <c r="E193" s="24"/>
      <c r="F193" s="25"/>
    </row>
    <row r="194" spans="1:6">
      <c r="A194" s="5"/>
      <c r="B194" s="23" t="s">
        <v>125</v>
      </c>
      <c r="C194" s="5"/>
      <c r="D194" s="7"/>
      <c r="E194" s="24"/>
      <c r="F194" s="25"/>
    </row>
    <row r="195" spans="1:6">
      <c r="A195" s="5"/>
      <c r="B195" s="23" t="s">
        <v>126</v>
      </c>
      <c r="C195" s="24">
        <v>5</v>
      </c>
      <c r="D195" s="26" t="s">
        <v>81</v>
      </c>
      <c r="E195" s="24">
        <v>5250</v>
      </c>
      <c r="F195" s="74">
        <f t="shared" ref="F195" si="22">E195*C195</f>
        <v>26250</v>
      </c>
    </row>
    <row r="196" spans="1:6">
      <c r="A196" s="5"/>
      <c r="B196" s="23" t="s">
        <v>127</v>
      </c>
      <c r="C196" s="24"/>
      <c r="D196" s="26" t="s">
        <v>81</v>
      </c>
      <c r="E196" s="24"/>
      <c r="F196" s="79"/>
    </row>
    <row r="197" spans="1:6">
      <c r="A197" s="5"/>
      <c r="B197" s="23" t="s">
        <v>422</v>
      </c>
      <c r="C197" s="24"/>
      <c r="D197" s="26" t="s">
        <v>352</v>
      </c>
      <c r="E197" s="88"/>
      <c r="F197" s="74">
        <f>E197*C197</f>
        <v>0</v>
      </c>
    </row>
    <row r="198" spans="1:6">
      <c r="A198" s="5"/>
      <c r="B198" s="23" t="s">
        <v>423</v>
      </c>
      <c r="C198" s="24"/>
      <c r="D198" s="26" t="s">
        <v>352</v>
      </c>
      <c r="E198" s="88"/>
      <c r="F198" s="74">
        <f>E198*C198</f>
        <v>0</v>
      </c>
    </row>
    <row r="199" spans="1:6" ht="259">
      <c r="A199" s="5" t="s">
        <v>109</v>
      </c>
      <c r="B199" s="23" t="s">
        <v>161</v>
      </c>
      <c r="C199" s="5"/>
      <c r="D199" s="12"/>
      <c r="E199" s="24"/>
      <c r="F199" s="25" t="s">
        <v>509</v>
      </c>
    </row>
    <row r="200" spans="1:6">
      <c r="A200" s="5"/>
      <c r="B200" s="23" t="s">
        <v>129</v>
      </c>
      <c r="C200" s="20"/>
      <c r="D200" s="26" t="s">
        <v>81</v>
      </c>
      <c r="E200" s="24">
        <v>4450</v>
      </c>
      <c r="F200" s="74">
        <f t="shared" ref="F200" si="23">E200*C200</f>
        <v>0</v>
      </c>
    </row>
    <row r="201" spans="1:6">
      <c r="A201" s="5"/>
      <c r="B201" s="23" t="s">
        <v>130</v>
      </c>
      <c r="C201" s="24"/>
      <c r="D201" s="26" t="s">
        <v>81</v>
      </c>
      <c r="E201" s="24">
        <v>4750</v>
      </c>
      <c r="F201" s="79"/>
    </row>
    <row r="202" spans="1:6" ht="185">
      <c r="A202" s="5" t="s">
        <v>128</v>
      </c>
      <c r="B202" s="23" t="s">
        <v>492</v>
      </c>
      <c r="C202" s="5"/>
      <c r="D202" s="7"/>
      <c r="E202" s="24"/>
      <c r="F202" s="25"/>
    </row>
    <row r="203" spans="1:6">
      <c r="A203" s="5"/>
      <c r="B203" s="23" t="s">
        <v>285</v>
      </c>
      <c r="C203" s="24"/>
      <c r="D203" s="26" t="s">
        <v>81</v>
      </c>
      <c r="E203" s="24">
        <v>3750</v>
      </c>
      <c r="F203" s="79"/>
    </row>
    <row r="204" spans="1:6">
      <c r="A204" s="5"/>
      <c r="B204" s="23" t="s">
        <v>132</v>
      </c>
      <c r="C204" s="24"/>
      <c r="D204" s="26" t="s">
        <v>81</v>
      </c>
      <c r="E204" s="24">
        <v>3750</v>
      </c>
      <c r="F204" s="79"/>
    </row>
    <row r="205" spans="1:6" ht="288.75" customHeight="1">
      <c r="A205" s="5" t="s">
        <v>131</v>
      </c>
      <c r="B205" s="23" t="s">
        <v>512</v>
      </c>
      <c r="C205" s="5"/>
      <c r="D205" s="7"/>
      <c r="E205" s="24"/>
      <c r="F205" s="25"/>
    </row>
    <row r="206" spans="1:6">
      <c r="A206" s="5"/>
      <c r="B206" s="23" t="s">
        <v>533</v>
      </c>
      <c r="C206" s="24">
        <v>4</v>
      </c>
      <c r="D206" s="26" t="s">
        <v>86</v>
      </c>
      <c r="E206" s="88">
        <v>3850</v>
      </c>
      <c r="F206" s="79">
        <f>C206*E206</f>
        <v>15400</v>
      </c>
    </row>
    <row r="207" spans="1:6">
      <c r="A207" s="5"/>
      <c r="B207" s="23" t="s">
        <v>134</v>
      </c>
      <c r="C207" s="5"/>
      <c r="D207" s="7"/>
      <c r="E207" s="24"/>
      <c r="F207" s="25"/>
    </row>
    <row r="208" spans="1:6">
      <c r="A208" s="5"/>
      <c r="B208" s="23" t="s">
        <v>142</v>
      </c>
      <c r="C208" s="5"/>
      <c r="D208" s="7"/>
      <c r="E208" s="24"/>
      <c r="F208" s="25"/>
    </row>
    <row r="209" spans="1:6">
      <c r="A209" s="5"/>
      <c r="B209" s="23" t="s">
        <v>143</v>
      </c>
      <c r="C209" s="5"/>
      <c r="D209" s="7"/>
      <c r="E209" s="24"/>
      <c r="F209" s="25"/>
    </row>
    <row r="210" spans="1:6">
      <c r="A210" s="5"/>
      <c r="B210" s="23" t="s">
        <v>113</v>
      </c>
      <c r="C210" s="5"/>
      <c r="D210" s="7"/>
      <c r="E210" s="24"/>
      <c r="F210" s="25"/>
    </row>
    <row r="211" spans="1:6">
      <c r="A211" s="5"/>
      <c r="B211" s="23" t="s">
        <v>135</v>
      </c>
      <c r="C211" s="5"/>
      <c r="D211" s="7"/>
      <c r="E211" s="24"/>
      <c r="F211" s="25"/>
    </row>
    <row r="212" spans="1:6">
      <c r="A212" s="5"/>
      <c r="B212" s="23" t="s">
        <v>144</v>
      </c>
      <c r="C212" s="5"/>
      <c r="D212" s="7"/>
      <c r="E212" s="24"/>
      <c r="F212" s="25"/>
    </row>
    <row r="213" spans="1:6">
      <c r="A213" s="5"/>
      <c r="B213" s="23" t="s">
        <v>145</v>
      </c>
      <c r="C213" s="5"/>
      <c r="D213" s="7"/>
      <c r="E213" s="24"/>
      <c r="F213" s="25"/>
    </row>
    <row r="214" spans="1:6">
      <c r="A214" s="5"/>
      <c r="B214" s="23" t="s">
        <v>136</v>
      </c>
      <c r="C214" s="5"/>
      <c r="D214" s="7"/>
      <c r="E214" s="24"/>
      <c r="F214" s="25"/>
    </row>
    <row r="215" spans="1:6">
      <c r="A215" s="5"/>
      <c r="B215" s="23" t="s">
        <v>146</v>
      </c>
      <c r="C215" s="5"/>
      <c r="D215" s="7"/>
      <c r="E215" s="24"/>
      <c r="F215" s="25"/>
    </row>
    <row r="216" spans="1:6">
      <c r="A216" s="5"/>
      <c r="B216" s="23" t="s">
        <v>147</v>
      </c>
      <c r="C216" s="5"/>
      <c r="D216" s="7"/>
      <c r="E216" s="24"/>
      <c r="F216" s="25"/>
    </row>
    <row r="217" spans="1:6">
      <c r="A217" s="5"/>
      <c r="B217" s="23" t="s">
        <v>115</v>
      </c>
      <c r="C217" s="5"/>
      <c r="D217" s="7"/>
      <c r="E217" s="24"/>
      <c r="F217" s="25"/>
    </row>
    <row r="218" spans="1:6">
      <c r="A218" s="5"/>
      <c r="B218" s="23" t="s">
        <v>137</v>
      </c>
      <c r="C218" s="5"/>
      <c r="D218" s="7"/>
      <c r="E218" s="24"/>
      <c r="F218" s="25"/>
    </row>
    <row r="219" spans="1:6">
      <c r="A219" s="5"/>
      <c r="B219" s="23" t="s">
        <v>138</v>
      </c>
      <c r="C219" s="5"/>
      <c r="D219" s="7"/>
      <c r="E219" s="24"/>
      <c r="F219" s="25"/>
    </row>
    <row r="220" spans="1:6">
      <c r="A220" s="5"/>
      <c r="B220" s="23" t="s">
        <v>139</v>
      </c>
      <c r="C220" s="5"/>
      <c r="D220" s="7"/>
      <c r="E220" s="24"/>
      <c r="F220" s="25"/>
    </row>
    <row r="221" spans="1:6">
      <c r="A221" s="5"/>
      <c r="B221" s="23" t="s">
        <v>140</v>
      </c>
      <c r="C221" s="5"/>
      <c r="D221" s="7"/>
      <c r="E221" s="24"/>
      <c r="F221" s="25"/>
    </row>
    <row r="222" spans="1:6">
      <c r="A222" s="5"/>
      <c r="B222" s="23" t="s">
        <v>141</v>
      </c>
      <c r="C222" s="5"/>
      <c r="D222" s="7"/>
      <c r="E222" s="24"/>
      <c r="F222" s="25"/>
    </row>
    <row r="223" spans="1:6" ht="142.5" customHeight="1">
      <c r="A223" s="5" t="s">
        <v>133</v>
      </c>
      <c r="B223" s="23" t="s">
        <v>493</v>
      </c>
      <c r="C223" s="24">
        <v>5</v>
      </c>
      <c r="D223" s="26" t="s">
        <v>81</v>
      </c>
      <c r="E223" s="24">
        <v>4250</v>
      </c>
      <c r="F223" s="74">
        <f>E223*C223</f>
        <v>21250</v>
      </c>
    </row>
    <row r="224" spans="1:6" ht="37">
      <c r="A224" s="5"/>
      <c r="B224" s="23" t="s">
        <v>149</v>
      </c>
      <c r="C224" s="5"/>
      <c r="D224" s="7"/>
      <c r="E224" s="24"/>
      <c r="F224" s="25"/>
    </row>
    <row r="225" spans="1:6">
      <c r="A225" s="5"/>
      <c r="B225" s="23" t="s">
        <v>150</v>
      </c>
      <c r="C225" s="5"/>
      <c r="D225" s="7"/>
      <c r="E225" s="24"/>
      <c r="F225" s="25"/>
    </row>
    <row r="226" spans="1:6">
      <c r="A226" s="5"/>
      <c r="B226" s="23" t="s">
        <v>117</v>
      </c>
      <c r="C226" s="5"/>
      <c r="D226" s="7"/>
      <c r="E226" s="24"/>
      <c r="F226" s="25"/>
    </row>
    <row r="227" spans="1:6" ht="18.75" customHeight="1">
      <c r="A227" s="5"/>
      <c r="B227" s="23" t="s">
        <v>151</v>
      </c>
      <c r="C227" s="5"/>
      <c r="D227" s="7"/>
      <c r="E227" s="24"/>
      <c r="F227" s="25"/>
    </row>
    <row r="228" spans="1:6">
      <c r="A228" s="5"/>
      <c r="B228" s="23" t="s">
        <v>170</v>
      </c>
      <c r="C228" s="5"/>
      <c r="D228" s="7"/>
      <c r="E228" s="24"/>
      <c r="F228" s="25"/>
    </row>
    <row r="229" spans="1:6">
      <c r="A229" s="5"/>
      <c r="B229" s="23" t="s">
        <v>124</v>
      </c>
      <c r="C229" s="5"/>
      <c r="D229" s="7"/>
      <c r="E229" s="24"/>
      <c r="F229" s="25"/>
    </row>
    <row r="230" spans="1:6">
      <c r="A230" s="5"/>
      <c r="B230" s="23" t="s">
        <v>171</v>
      </c>
      <c r="C230" s="5"/>
      <c r="D230" s="7"/>
      <c r="E230" s="24"/>
      <c r="F230" s="25"/>
    </row>
    <row r="231" spans="1:6" ht="184.5" customHeight="1">
      <c r="A231" s="5" t="s">
        <v>148</v>
      </c>
      <c r="B231" s="23" t="s">
        <v>172</v>
      </c>
      <c r="C231" s="24">
        <v>1</v>
      </c>
      <c r="D231" s="26" t="s">
        <v>81</v>
      </c>
      <c r="E231" s="24">
        <v>4750</v>
      </c>
      <c r="F231" s="74">
        <f t="shared" ref="F231" si="24">E231*C231</f>
        <v>4750</v>
      </c>
    </row>
    <row r="232" spans="1:6">
      <c r="A232" s="5"/>
      <c r="B232" s="23" t="s">
        <v>173</v>
      </c>
      <c r="C232" s="5"/>
      <c r="D232" s="7"/>
      <c r="E232" s="24"/>
      <c r="F232" s="25"/>
    </row>
    <row r="233" spans="1:6">
      <c r="A233" s="5"/>
      <c r="B233" s="23" t="s">
        <v>174</v>
      </c>
      <c r="C233" s="5"/>
      <c r="D233" s="7"/>
      <c r="E233" s="24"/>
      <c r="F233" s="25"/>
    </row>
    <row r="234" spans="1:6">
      <c r="A234" s="5"/>
      <c r="B234" s="23" t="s">
        <v>117</v>
      </c>
      <c r="C234" s="5"/>
      <c r="D234" s="7"/>
      <c r="E234" s="24"/>
      <c r="F234" s="25"/>
    </row>
    <row r="235" spans="1:6">
      <c r="A235" s="5"/>
      <c r="B235" s="23" t="s">
        <v>175</v>
      </c>
      <c r="C235" s="5"/>
      <c r="D235" s="7"/>
      <c r="E235" s="24"/>
      <c r="F235" s="25"/>
    </row>
    <row r="236" spans="1:6">
      <c r="A236" s="5"/>
      <c r="B236" s="23" t="s">
        <v>176</v>
      </c>
      <c r="C236" s="5"/>
      <c r="D236" s="7"/>
      <c r="E236" s="24"/>
      <c r="F236" s="25"/>
    </row>
    <row r="237" spans="1:6">
      <c r="A237" s="5"/>
      <c r="B237" s="23" t="s">
        <v>125</v>
      </c>
      <c r="C237" s="5"/>
      <c r="D237" s="7"/>
      <c r="E237" s="24"/>
      <c r="F237" s="25"/>
    </row>
    <row r="238" spans="1:6" ht="112.5" customHeight="1">
      <c r="A238" s="5" t="s">
        <v>449</v>
      </c>
      <c r="B238" s="23" t="s">
        <v>178</v>
      </c>
      <c r="C238" s="24"/>
      <c r="D238" s="26" t="s">
        <v>81</v>
      </c>
      <c r="E238" s="24">
        <v>3500</v>
      </c>
      <c r="F238" s="79"/>
    </row>
    <row r="239" spans="1:6">
      <c r="A239" s="5"/>
      <c r="B239" s="23" t="s">
        <v>179</v>
      </c>
      <c r="C239" s="5"/>
      <c r="D239" s="7"/>
      <c r="E239" s="24"/>
      <c r="F239" s="25"/>
    </row>
    <row r="240" spans="1:6">
      <c r="A240" s="5"/>
      <c r="B240" s="23" t="s">
        <v>180</v>
      </c>
      <c r="C240" s="5"/>
      <c r="D240" s="7"/>
      <c r="E240" s="24"/>
      <c r="F240" s="25"/>
    </row>
    <row r="241" spans="1:7">
      <c r="A241" s="5"/>
      <c r="B241" s="23" t="s">
        <v>181</v>
      </c>
      <c r="C241" s="5"/>
      <c r="D241" s="7"/>
      <c r="E241" s="24"/>
      <c r="F241" s="25"/>
    </row>
    <row r="242" spans="1:7">
      <c r="A242" s="5"/>
      <c r="B242" s="23" t="s">
        <v>182</v>
      </c>
      <c r="C242" s="5"/>
      <c r="D242" s="7"/>
      <c r="E242" s="24"/>
      <c r="F242" s="25"/>
    </row>
    <row r="243" spans="1:7">
      <c r="A243" s="5"/>
      <c r="B243" s="23" t="s">
        <v>185</v>
      </c>
      <c r="C243" s="5"/>
      <c r="D243" s="7"/>
      <c r="E243" s="24"/>
      <c r="F243" s="25"/>
    </row>
    <row r="244" spans="1:7" ht="37">
      <c r="A244" s="5"/>
      <c r="B244" s="23" t="s">
        <v>186</v>
      </c>
      <c r="C244" s="5"/>
      <c r="D244" s="7"/>
      <c r="E244" s="24"/>
      <c r="F244" s="25"/>
    </row>
    <row r="245" spans="1:7" ht="129.5">
      <c r="A245" s="5" t="s">
        <v>177</v>
      </c>
      <c r="B245" s="23" t="s">
        <v>457</v>
      </c>
      <c r="C245" s="24"/>
      <c r="D245" s="26" t="s">
        <v>81</v>
      </c>
      <c r="E245" s="24">
        <v>3750</v>
      </c>
      <c r="F245" s="74">
        <f>E245*C245</f>
        <v>0</v>
      </c>
    </row>
    <row r="246" spans="1:7">
      <c r="A246" s="5" t="s">
        <v>187</v>
      </c>
      <c r="B246" s="23" t="s">
        <v>163</v>
      </c>
      <c r="C246" s="24"/>
      <c r="D246" s="26" t="s">
        <v>71</v>
      </c>
      <c r="E246" s="24">
        <v>14500</v>
      </c>
      <c r="F246" s="74">
        <f t="shared" ref="F246:F247" si="25">E246*C246</f>
        <v>0</v>
      </c>
      <c r="G246" s="1" t="s">
        <v>615</v>
      </c>
    </row>
    <row r="247" spans="1:7">
      <c r="A247" s="5" t="s">
        <v>558</v>
      </c>
      <c r="B247" s="23" t="s">
        <v>559</v>
      </c>
      <c r="C247" s="24"/>
      <c r="D247" s="26" t="s">
        <v>71</v>
      </c>
      <c r="E247" s="24">
        <v>42500</v>
      </c>
      <c r="F247" s="74">
        <f t="shared" si="25"/>
        <v>0</v>
      </c>
    </row>
    <row r="248" spans="1:7" ht="314.25" customHeight="1">
      <c r="A248" s="5" t="s">
        <v>162</v>
      </c>
      <c r="B248" s="28" t="s">
        <v>426</v>
      </c>
      <c r="C248" s="20"/>
      <c r="D248" s="26" t="s">
        <v>81</v>
      </c>
      <c r="E248" s="24">
        <v>3750</v>
      </c>
      <c r="F248" s="74"/>
    </row>
    <row r="249" spans="1:7" ht="129.5">
      <c r="A249" s="5"/>
      <c r="B249" s="28" t="s">
        <v>328</v>
      </c>
      <c r="C249" s="49"/>
      <c r="D249" s="26"/>
      <c r="E249" s="24"/>
      <c r="F249" s="79"/>
    </row>
    <row r="250" spans="1:7" ht="37">
      <c r="A250" s="5" t="s">
        <v>256</v>
      </c>
      <c r="B250" s="28" t="s">
        <v>330</v>
      </c>
      <c r="C250" s="24"/>
      <c r="D250" s="26" t="s">
        <v>81</v>
      </c>
      <c r="E250" s="24">
        <v>4500</v>
      </c>
      <c r="F250" s="79"/>
    </row>
    <row r="251" spans="1:7" ht="240.5">
      <c r="A251" s="5" t="s">
        <v>327</v>
      </c>
      <c r="B251" s="23" t="s">
        <v>287</v>
      </c>
      <c r="C251" s="24"/>
      <c r="D251" s="26" t="s">
        <v>81</v>
      </c>
      <c r="E251" s="24">
        <v>815</v>
      </c>
      <c r="F251" s="74">
        <f>E251*C251</f>
        <v>0</v>
      </c>
    </row>
    <row r="252" spans="1:7" ht="335.25" customHeight="1">
      <c r="A252" s="5" t="s">
        <v>329</v>
      </c>
      <c r="B252" s="38" t="s">
        <v>508</v>
      </c>
      <c r="C252" s="20"/>
      <c r="D252" s="26" t="s">
        <v>81</v>
      </c>
      <c r="E252" s="24">
        <v>2195</v>
      </c>
      <c r="F252" s="74">
        <f>E252*C252</f>
        <v>0</v>
      </c>
    </row>
    <row r="253" spans="1:7" ht="185">
      <c r="A253" s="5"/>
      <c r="B253" s="38" t="s">
        <v>291</v>
      </c>
      <c r="C253" s="53"/>
      <c r="D253" s="26"/>
      <c r="E253" s="24"/>
      <c r="F253" s="79"/>
    </row>
    <row r="254" spans="1:7" ht="55.5">
      <c r="A254" s="5"/>
      <c r="B254" s="38" t="s">
        <v>290</v>
      </c>
      <c r="C254" s="53"/>
      <c r="D254" s="26"/>
      <c r="E254" s="24"/>
      <c r="F254" s="79"/>
    </row>
    <row r="255" spans="1:7" ht="185">
      <c r="A255" s="5" t="s">
        <v>331</v>
      </c>
      <c r="B255" s="38" t="s">
        <v>494</v>
      </c>
      <c r="C255" s="24"/>
      <c r="D255" s="26" t="s">
        <v>81</v>
      </c>
      <c r="E255" s="24">
        <v>4650</v>
      </c>
      <c r="F255" s="79"/>
    </row>
    <row r="256" spans="1:7">
      <c r="A256" s="67"/>
      <c r="B256" s="22" t="s">
        <v>189</v>
      </c>
      <c r="C256" s="3"/>
      <c r="D256" s="4"/>
      <c r="E256" s="4"/>
      <c r="F256" s="80">
        <f>SUM(F176:F255)</f>
        <v>67650</v>
      </c>
    </row>
    <row r="257" spans="1:6" ht="17.5" customHeight="1">
      <c r="A257" s="67"/>
      <c r="B257" s="36" t="s">
        <v>190</v>
      </c>
      <c r="C257" s="55"/>
      <c r="D257" s="4"/>
      <c r="E257" s="4"/>
      <c r="F257" s="73"/>
    </row>
    <row r="258" spans="1:6" ht="341.25" customHeight="1">
      <c r="A258" s="5" t="s">
        <v>311</v>
      </c>
      <c r="B258" s="23" t="s">
        <v>543</v>
      </c>
      <c r="C258" s="24"/>
      <c r="D258" s="26" t="s">
        <v>191</v>
      </c>
      <c r="E258" s="24">
        <v>115000</v>
      </c>
      <c r="F258" s="74">
        <f t="shared" ref="F258:F262" si="26">E258*C258</f>
        <v>0</v>
      </c>
    </row>
    <row r="259" spans="1:6" ht="165.75" customHeight="1">
      <c r="A259" s="5" t="s">
        <v>323</v>
      </c>
      <c r="B259" s="23" t="s">
        <v>397</v>
      </c>
      <c r="C259" s="24"/>
      <c r="D259" s="26" t="s">
        <v>191</v>
      </c>
      <c r="E259" s="24">
        <v>145000</v>
      </c>
      <c r="F259" s="74">
        <f t="shared" si="26"/>
        <v>0</v>
      </c>
    </row>
    <row r="260" spans="1:6" ht="92.5">
      <c r="A260" s="5" t="s">
        <v>312</v>
      </c>
      <c r="B260" s="23" t="s">
        <v>495</v>
      </c>
      <c r="C260" s="24"/>
      <c r="D260" s="26" t="s">
        <v>191</v>
      </c>
      <c r="E260" s="24">
        <v>15000</v>
      </c>
      <c r="F260" s="74">
        <f t="shared" si="26"/>
        <v>0</v>
      </c>
    </row>
    <row r="261" spans="1:6" ht="92.5">
      <c r="A261" s="5" t="s">
        <v>315</v>
      </c>
      <c r="B261" s="23" t="s">
        <v>324</v>
      </c>
      <c r="C261" s="24"/>
      <c r="D261" s="26" t="s">
        <v>191</v>
      </c>
      <c r="E261" s="24">
        <v>45000</v>
      </c>
      <c r="F261" s="74">
        <f t="shared" si="26"/>
        <v>0</v>
      </c>
    </row>
    <row r="262" spans="1:6" ht="216" customHeight="1">
      <c r="A262" s="5" t="s">
        <v>316</v>
      </c>
      <c r="B262" s="23" t="s">
        <v>193</v>
      </c>
      <c r="C262" s="24">
        <v>2</v>
      </c>
      <c r="D262" s="26" t="s">
        <v>83</v>
      </c>
      <c r="E262" s="24">
        <v>3750</v>
      </c>
      <c r="F262" s="74">
        <f t="shared" si="26"/>
        <v>7500</v>
      </c>
    </row>
    <row r="263" spans="1:6" ht="129.5">
      <c r="A263" s="49" t="s">
        <v>325</v>
      </c>
      <c r="B263" s="28" t="s">
        <v>450</v>
      </c>
      <c r="C263" s="49"/>
      <c r="D263" s="8"/>
      <c r="E263" s="32"/>
      <c r="F263" s="24"/>
    </row>
    <row r="264" spans="1:6">
      <c r="A264" s="5"/>
      <c r="B264" s="28" t="s">
        <v>279</v>
      </c>
      <c r="C264" s="49"/>
      <c r="D264" s="32" t="s">
        <v>261</v>
      </c>
      <c r="E264" s="24">
        <v>55</v>
      </c>
      <c r="F264" s="74">
        <f t="shared" ref="F264" si="27">E264*C264</f>
        <v>0</v>
      </c>
    </row>
    <row r="265" spans="1:6">
      <c r="A265" s="5"/>
      <c r="B265" s="23" t="s">
        <v>111</v>
      </c>
      <c r="C265" s="5"/>
      <c r="D265" s="32" t="s">
        <v>261</v>
      </c>
      <c r="E265" s="24">
        <v>45</v>
      </c>
      <c r="F265" s="74">
        <f>E265*C265</f>
        <v>0</v>
      </c>
    </row>
    <row r="266" spans="1:6" ht="37">
      <c r="A266" s="5" t="s">
        <v>398</v>
      </c>
      <c r="B266" s="23" t="s">
        <v>496</v>
      </c>
      <c r="C266" s="5"/>
      <c r="D266" s="32"/>
      <c r="E266" s="24"/>
      <c r="F266" s="79"/>
    </row>
    <row r="267" spans="1:6">
      <c r="A267" s="5"/>
      <c r="B267" s="28" t="s">
        <v>279</v>
      </c>
      <c r="C267" s="20"/>
      <c r="D267" s="32" t="s">
        <v>261</v>
      </c>
      <c r="E267" s="24">
        <v>165</v>
      </c>
      <c r="F267" s="74">
        <f t="shared" ref="F267:F268" si="28">E267*C267</f>
        <v>0</v>
      </c>
    </row>
    <row r="268" spans="1:6">
      <c r="A268" s="5"/>
      <c r="B268" s="23" t="s">
        <v>111</v>
      </c>
      <c r="C268" s="5"/>
      <c r="D268" s="32" t="s">
        <v>261</v>
      </c>
      <c r="E268" s="24">
        <v>165</v>
      </c>
      <c r="F268" s="74">
        <f t="shared" si="28"/>
        <v>0</v>
      </c>
    </row>
    <row r="269" spans="1:6" ht="185">
      <c r="A269" s="5" t="s">
        <v>326</v>
      </c>
      <c r="B269" s="28" t="s">
        <v>539</v>
      </c>
      <c r="C269" s="49"/>
      <c r="D269" s="32"/>
      <c r="E269" s="24"/>
      <c r="F269" s="79"/>
    </row>
    <row r="270" spans="1:6">
      <c r="A270" s="82" t="s">
        <v>292</v>
      </c>
      <c r="B270" s="28" t="s">
        <v>293</v>
      </c>
      <c r="C270" s="24"/>
      <c r="D270" s="26" t="s">
        <v>191</v>
      </c>
      <c r="E270" s="24">
        <v>95000</v>
      </c>
      <c r="F270" s="74">
        <f t="shared" ref="F270:F271" si="29">E270*C270</f>
        <v>0</v>
      </c>
    </row>
    <row r="271" spans="1:6">
      <c r="A271" s="82" t="s">
        <v>294</v>
      </c>
      <c r="B271" s="28" t="s">
        <v>295</v>
      </c>
      <c r="C271" s="24"/>
      <c r="D271" s="26" t="s">
        <v>191</v>
      </c>
      <c r="E271" s="24">
        <v>45000</v>
      </c>
      <c r="F271" s="74">
        <f t="shared" si="29"/>
        <v>0</v>
      </c>
    </row>
    <row r="272" spans="1:6">
      <c r="A272" s="67"/>
      <c r="B272" s="35" t="s">
        <v>194</v>
      </c>
      <c r="C272" s="3"/>
      <c r="D272" s="4"/>
      <c r="E272" s="4"/>
      <c r="F272" s="80">
        <f>SUM(F258:F271)</f>
        <v>7500</v>
      </c>
    </row>
    <row r="273" spans="1:6" ht="17.5" customHeight="1">
      <c r="A273" s="67"/>
      <c r="B273" s="36" t="s">
        <v>45</v>
      </c>
      <c r="C273" s="55"/>
      <c r="D273" s="4"/>
      <c r="E273" s="4"/>
      <c r="F273" s="73"/>
    </row>
    <row r="274" spans="1:6" ht="37">
      <c r="A274" s="49" t="s">
        <v>44</v>
      </c>
      <c r="B274" s="28" t="s">
        <v>286</v>
      </c>
      <c r="C274" s="49"/>
      <c r="D274" s="7"/>
      <c r="E274" s="32"/>
      <c r="F274" s="25"/>
    </row>
    <row r="275" spans="1:6">
      <c r="A275" s="49"/>
      <c r="B275" s="28" t="s">
        <v>497</v>
      </c>
      <c r="C275" s="32"/>
      <c r="D275" s="26" t="s">
        <v>83</v>
      </c>
      <c r="E275" s="24">
        <v>1150</v>
      </c>
      <c r="F275" s="74">
        <f t="shared" ref="F275:F276" si="30">E275*C275</f>
        <v>0</v>
      </c>
    </row>
    <row r="276" spans="1:6">
      <c r="A276" s="49"/>
      <c r="B276" s="28" t="s">
        <v>498</v>
      </c>
      <c r="C276" s="24"/>
      <c r="D276" s="26" t="s">
        <v>83</v>
      </c>
      <c r="E276" s="24">
        <v>1650</v>
      </c>
      <c r="F276" s="74">
        <f t="shared" si="30"/>
        <v>0</v>
      </c>
    </row>
    <row r="277" spans="1:6" ht="240.5">
      <c r="A277" s="49" t="s">
        <v>313</v>
      </c>
      <c r="B277" s="28" t="s">
        <v>544</v>
      </c>
      <c r="C277" s="49"/>
      <c r="D277" s="26"/>
      <c r="E277" s="24"/>
      <c r="F277" s="79"/>
    </row>
    <row r="278" spans="1:6">
      <c r="A278" s="49"/>
      <c r="B278" s="28" t="s">
        <v>458</v>
      </c>
      <c r="C278" s="24"/>
      <c r="D278" s="26" t="s">
        <v>81</v>
      </c>
      <c r="E278" s="24">
        <v>725</v>
      </c>
      <c r="F278" s="79"/>
    </row>
    <row r="279" spans="1:6">
      <c r="A279" s="49"/>
      <c r="B279" s="28" t="s">
        <v>505</v>
      </c>
      <c r="C279" s="24"/>
      <c r="D279" s="26" t="s">
        <v>289</v>
      </c>
      <c r="E279" s="24">
        <v>720</v>
      </c>
      <c r="F279" s="79"/>
    </row>
    <row r="280" spans="1:6">
      <c r="A280" s="49"/>
      <c r="B280" s="28" t="s">
        <v>504</v>
      </c>
      <c r="C280" s="24"/>
      <c r="D280" s="26" t="s">
        <v>289</v>
      </c>
      <c r="E280" s="24">
        <v>850</v>
      </c>
      <c r="F280" s="79"/>
    </row>
    <row r="281" spans="1:6">
      <c r="A281" s="49"/>
      <c r="B281" s="28" t="s">
        <v>506</v>
      </c>
      <c r="C281" s="24"/>
      <c r="D281" s="26" t="s">
        <v>289</v>
      </c>
      <c r="E281" s="24">
        <v>650</v>
      </c>
      <c r="F281" s="79"/>
    </row>
    <row r="282" spans="1:6">
      <c r="A282" s="67"/>
      <c r="B282" s="35" t="s">
        <v>50</v>
      </c>
      <c r="C282" s="3"/>
      <c r="D282" s="4"/>
      <c r="E282" s="4"/>
      <c r="F282" s="80">
        <f>SUM(F274:F281)</f>
        <v>0</v>
      </c>
    </row>
    <row r="283" spans="1:6" ht="17.5" customHeight="1">
      <c r="A283" s="67"/>
      <c r="B283" s="36" t="s">
        <v>195</v>
      </c>
      <c r="C283" s="55"/>
      <c r="D283" s="4"/>
      <c r="E283" s="4"/>
      <c r="F283" s="73"/>
    </row>
    <row r="284" spans="1:6" ht="258.75" customHeight="1">
      <c r="A284" s="5" t="s">
        <v>196</v>
      </c>
      <c r="B284" s="13" t="s">
        <v>309</v>
      </c>
      <c r="C284" s="58"/>
      <c r="D284" s="14"/>
      <c r="E284" s="24"/>
      <c r="F284" s="24"/>
    </row>
    <row r="285" spans="1:6">
      <c r="A285" s="5"/>
      <c r="B285" s="28" t="s">
        <v>198</v>
      </c>
      <c r="C285" s="24">
        <v>21</v>
      </c>
      <c r="D285" s="32" t="s">
        <v>86</v>
      </c>
      <c r="E285" s="24">
        <v>650</v>
      </c>
      <c r="F285" s="74">
        <f t="shared" ref="F285" si="31">E285*C285</f>
        <v>13650</v>
      </c>
    </row>
    <row r="286" spans="1:6">
      <c r="A286" s="5"/>
      <c r="B286" s="28" t="s">
        <v>199</v>
      </c>
      <c r="C286" s="49"/>
      <c r="D286" s="8"/>
      <c r="E286" s="24"/>
      <c r="F286" s="24"/>
    </row>
    <row r="287" spans="1:6">
      <c r="A287" s="5"/>
      <c r="B287" s="30" t="s">
        <v>281</v>
      </c>
      <c r="C287" s="49"/>
      <c r="D287" s="32" t="s">
        <v>86</v>
      </c>
      <c r="E287" s="24">
        <v>650</v>
      </c>
      <c r="F287" s="24"/>
    </row>
    <row r="288" spans="1:6">
      <c r="A288" s="5"/>
      <c r="B288" s="40" t="s">
        <v>280</v>
      </c>
      <c r="C288" s="49"/>
      <c r="D288" s="32" t="s">
        <v>86</v>
      </c>
      <c r="E288" s="24">
        <v>650</v>
      </c>
      <c r="F288" s="24"/>
    </row>
    <row r="289" spans="1:6" ht="129.5">
      <c r="A289" s="5" t="s">
        <v>200</v>
      </c>
      <c r="B289" s="28" t="s">
        <v>184</v>
      </c>
      <c r="C289" s="49"/>
      <c r="D289" s="24"/>
      <c r="E289" s="24"/>
      <c r="F289" s="24"/>
    </row>
    <row r="290" spans="1:6">
      <c r="A290" s="5"/>
      <c r="B290" s="28" t="s">
        <v>243</v>
      </c>
      <c r="C290" s="24"/>
      <c r="D290" s="32" t="s">
        <v>83</v>
      </c>
      <c r="E290" s="24">
        <v>750</v>
      </c>
      <c r="F290" s="24"/>
    </row>
    <row r="291" spans="1:6">
      <c r="A291" s="5"/>
      <c r="B291" s="28" t="s">
        <v>232</v>
      </c>
      <c r="C291" s="24"/>
      <c r="D291" s="32" t="s">
        <v>83</v>
      </c>
      <c r="E291" s="24">
        <v>450</v>
      </c>
      <c r="F291" s="74">
        <f t="shared" ref="F291" si="32">E291*C291</f>
        <v>0</v>
      </c>
    </row>
    <row r="292" spans="1:6">
      <c r="A292" s="67"/>
      <c r="B292" s="35" t="s">
        <v>201</v>
      </c>
      <c r="C292" s="3"/>
      <c r="D292" s="4"/>
      <c r="E292" s="4"/>
      <c r="F292" s="80">
        <f>SUM(F285:F291)</f>
        <v>13650</v>
      </c>
    </row>
    <row r="293" spans="1:6" ht="18" customHeight="1">
      <c r="A293" s="67"/>
      <c r="B293" s="36" t="s">
        <v>202</v>
      </c>
      <c r="C293" s="55"/>
      <c r="D293" s="4"/>
      <c r="E293" s="4"/>
      <c r="F293" s="73"/>
    </row>
    <row r="294" spans="1:6" ht="218.25" customHeight="1">
      <c r="A294" s="5" t="s">
        <v>203</v>
      </c>
      <c r="B294" s="42" t="s">
        <v>251</v>
      </c>
      <c r="C294" s="24">
        <v>17</v>
      </c>
      <c r="D294" s="26" t="s">
        <v>81</v>
      </c>
      <c r="E294" s="24">
        <v>55</v>
      </c>
      <c r="F294" s="74">
        <f t="shared" ref="F294" si="33">E294*C294</f>
        <v>935</v>
      </c>
    </row>
    <row r="295" spans="1:6">
      <c r="A295" s="5"/>
      <c r="B295" s="42" t="s">
        <v>204</v>
      </c>
      <c r="C295" s="59"/>
      <c r="D295" s="7"/>
      <c r="E295" s="24"/>
      <c r="F295" s="25"/>
    </row>
    <row r="296" spans="1:6" ht="37">
      <c r="A296" s="5"/>
      <c r="B296" s="41" t="s">
        <v>205</v>
      </c>
      <c r="C296" s="26"/>
      <c r="D296" s="12"/>
      <c r="E296" s="24"/>
      <c r="F296" s="25"/>
    </row>
    <row r="297" spans="1:6" ht="37">
      <c r="A297" s="5"/>
      <c r="B297" s="41" t="s">
        <v>206</v>
      </c>
      <c r="C297" s="26"/>
      <c r="D297" s="26"/>
      <c r="E297" s="24"/>
      <c r="F297" s="25"/>
    </row>
    <row r="298" spans="1:6" ht="37">
      <c r="A298" s="5"/>
      <c r="B298" s="41" t="s">
        <v>207</v>
      </c>
      <c r="C298" s="26"/>
      <c r="D298" s="26"/>
      <c r="E298" s="24"/>
      <c r="F298" s="25"/>
    </row>
    <row r="299" spans="1:6" ht="165.75" customHeight="1">
      <c r="A299" s="5" t="s">
        <v>208</v>
      </c>
      <c r="B299" s="28" t="s">
        <v>282</v>
      </c>
      <c r="C299" s="24">
        <v>24</v>
      </c>
      <c r="D299" s="26" t="s">
        <v>81</v>
      </c>
      <c r="E299" s="24">
        <v>940</v>
      </c>
      <c r="F299" s="74">
        <f>E299*C299</f>
        <v>22560</v>
      </c>
    </row>
    <row r="300" spans="1:6" ht="64.5" customHeight="1">
      <c r="A300" s="5" t="s">
        <v>215</v>
      </c>
      <c r="B300" s="23" t="s">
        <v>77</v>
      </c>
      <c r="C300" s="5"/>
      <c r="D300" s="7"/>
      <c r="E300" s="24"/>
      <c r="F300" s="25"/>
    </row>
    <row r="301" spans="1:6">
      <c r="A301" s="5"/>
      <c r="B301" s="23" t="s">
        <v>236</v>
      </c>
      <c r="C301" s="24"/>
      <c r="D301" s="26" t="s">
        <v>81</v>
      </c>
      <c r="E301" s="24">
        <v>70</v>
      </c>
      <c r="F301" s="79"/>
    </row>
    <row r="302" spans="1:6">
      <c r="A302" s="5"/>
      <c r="B302" s="23" t="s">
        <v>237</v>
      </c>
      <c r="C302" s="90"/>
      <c r="D302" s="26" t="s">
        <v>81</v>
      </c>
      <c r="E302" s="24">
        <v>75</v>
      </c>
      <c r="F302" s="74">
        <f t="shared" ref="F302" si="34">E302*C302</f>
        <v>0</v>
      </c>
    </row>
    <row r="303" spans="1:6" ht="226.5" customHeight="1">
      <c r="A303" s="5" t="s">
        <v>216</v>
      </c>
      <c r="B303" s="28" t="s">
        <v>268</v>
      </c>
      <c r="C303" s="49"/>
      <c r="D303" s="7"/>
      <c r="E303" s="24"/>
      <c r="F303" s="25"/>
    </row>
    <row r="304" spans="1:6">
      <c r="A304" s="5" t="s">
        <v>301</v>
      </c>
      <c r="B304" s="23" t="s">
        <v>547</v>
      </c>
      <c r="C304" s="88"/>
      <c r="D304" s="25" t="s">
        <v>83</v>
      </c>
      <c r="E304" s="24">
        <v>575</v>
      </c>
      <c r="F304" s="25"/>
    </row>
    <row r="305" spans="1:6">
      <c r="A305" s="5"/>
      <c r="B305" s="23" t="s">
        <v>546</v>
      </c>
      <c r="C305" s="91"/>
      <c r="D305" s="25" t="s">
        <v>83</v>
      </c>
      <c r="E305" s="24">
        <v>650</v>
      </c>
      <c r="F305" s="74">
        <f t="shared" ref="F305:F306" si="35">E305*C305</f>
        <v>0</v>
      </c>
    </row>
    <row r="306" spans="1:6" ht="21.75" customHeight="1">
      <c r="A306" s="5"/>
      <c r="B306" s="23" t="s">
        <v>545</v>
      </c>
      <c r="C306" s="91"/>
      <c r="D306" s="25" t="s">
        <v>83</v>
      </c>
      <c r="E306" s="24">
        <v>950</v>
      </c>
      <c r="F306" s="74">
        <f t="shared" si="35"/>
        <v>0</v>
      </c>
    </row>
    <row r="307" spans="1:6">
      <c r="A307" s="5"/>
      <c r="B307" s="23" t="s">
        <v>548</v>
      </c>
      <c r="C307" s="88"/>
      <c r="D307" s="25" t="s">
        <v>83</v>
      </c>
      <c r="E307" s="24">
        <v>1550</v>
      </c>
      <c r="F307" s="79"/>
    </row>
    <row r="308" spans="1:6">
      <c r="A308" s="5"/>
      <c r="B308" s="23" t="s">
        <v>549</v>
      </c>
      <c r="C308" s="88"/>
      <c r="D308" s="25" t="s">
        <v>83</v>
      </c>
      <c r="E308" s="24">
        <v>2650</v>
      </c>
      <c r="F308" s="25"/>
    </row>
    <row r="309" spans="1:6">
      <c r="A309" s="5"/>
      <c r="B309" s="23" t="s">
        <v>550</v>
      </c>
      <c r="C309" s="88"/>
      <c r="D309" s="25" t="s">
        <v>83</v>
      </c>
      <c r="E309" s="24">
        <v>37850</v>
      </c>
      <c r="F309" s="25"/>
    </row>
    <row r="310" spans="1:6">
      <c r="A310" s="5"/>
      <c r="B310" s="21" t="s">
        <v>438</v>
      </c>
      <c r="C310" s="88"/>
      <c r="D310" s="25"/>
      <c r="E310" s="24"/>
      <c r="F310" s="25"/>
    </row>
    <row r="311" spans="1:6">
      <c r="A311" s="5" t="s">
        <v>303</v>
      </c>
      <c r="B311" s="23" t="s">
        <v>551</v>
      </c>
      <c r="C311" s="88"/>
      <c r="D311" s="25" t="s">
        <v>83</v>
      </c>
      <c r="E311" s="24">
        <v>1750</v>
      </c>
      <c r="F311" s="79"/>
    </row>
    <row r="312" spans="1:6">
      <c r="A312" s="5"/>
      <c r="B312" s="23" t="s">
        <v>552</v>
      </c>
      <c r="C312" s="88"/>
      <c r="D312" s="25" t="s">
        <v>83</v>
      </c>
      <c r="E312" s="24">
        <v>2950</v>
      </c>
      <c r="F312" s="25"/>
    </row>
    <row r="313" spans="1:6">
      <c r="A313" s="5"/>
      <c r="B313" s="23" t="s">
        <v>553</v>
      </c>
      <c r="C313" s="88"/>
      <c r="D313" s="25" t="s">
        <v>83</v>
      </c>
      <c r="E313" s="24">
        <v>4250</v>
      </c>
      <c r="F313" s="25"/>
    </row>
    <row r="314" spans="1:6" ht="129.5">
      <c r="A314" s="5" t="s">
        <v>42</v>
      </c>
      <c r="B314" s="23" t="s">
        <v>217</v>
      </c>
      <c r="C314" s="5"/>
      <c r="D314" s="7"/>
      <c r="E314" s="24"/>
      <c r="F314" s="25"/>
    </row>
    <row r="315" spans="1:6">
      <c r="A315" s="5"/>
      <c r="B315" s="23" t="s">
        <v>283</v>
      </c>
      <c r="C315" s="32"/>
      <c r="D315" s="25" t="s">
        <v>71</v>
      </c>
      <c r="E315" s="24">
        <v>1250</v>
      </c>
      <c r="F315" s="74">
        <f t="shared" ref="F315" si="36">E315*C315</f>
        <v>0</v>
      </c>
    </row>
    <row r="316" spans="1:6">
      <c r="A316" s="5"/>
      <c r="B316" s="23" t="s">
        <v>284</v>
      </c>
      <c r="C316" s="5"/>
      <c r="D316" s="25" t="s">
        <v>71</v>
      </c>
      <c r="E316" s="24">
        <v>1150</v>
      </c>
      <c r="F316" s="79"/>
    </row>
    <row r="317" spans="1:6" ht="95.25" customHeight="1">
      <c r="A317" s="5" t="s">
        <v>317</v>
      </c>
      <c r="B317" s="38" t="s">
        <v>272</v>
      </c>
      <c r="C317" s="53"/>
      <c r="D317" s="7"/>
      <c r="E317" s="24"/>
      <c r="F317" s="25"/>
    </row>
    <row r="318" spans="1:6" ht="37">
      <c r="A318" s="5"/>
      <c r="B318" s="23" t="s">
        <v>219</v>
      </c>
      <c r="C318" s="32"/>
      <c r="D318" s="25" t="s">
        <v>71</v>
      </c>
      <c r="E318" s="24">
        <v>650</v>
      </c>
      <c r="F318" s="74">
        <f t="shared" ref="F318:F320" si="37">E318*C318</f>
        <v>0</v>
      </c>
    </row>
    <row r="319" spans="1:6" ht="37">
      <c r="A319" s="5"/>
      <c r="B319" s="23" t="s">
        <v>220</v>
      </c>
      <c r="C319" s="32"/>
      <c r="D319" s="25" t="s">
        <v>71</v>
      </c>
      <c r="E319" s="24">
        <v>1250</v>
      </c>
      <c r="F319" s="74">
        <f t="shared" si="37"/>
        <v>0</v>
      </c>
    </row>
    <row r="320" spans="1:6" ht="37">
      <c r="A320" s="5"/>
      <c r="B320" s="23" t="s">
        <v>0</v>
      </c>
      <c r="C320" s="32"/>
      <c r="D320" s="25" t="s">
        <v>71</v>
      </c>
      <c r="E320" s="24">
        <v>1675</v>
      </c>
      <c r="F320" s="74">
        <f t="shared" si="37"/>
        <v>0</v>
      </c>
    </row>
    <row r="321" spans="1:6" ht="221.25" customHeight="1">
      <c r="A321" s="5" t="s">
        <v>318</v>
      </c>
      <c r="B321" s="23" t="s">
        <v>226</v>
      </c>
      <c r="C321" s="24"/>
      <c r="D321" s="25" t="s">
        <v>192</v>
      </c>
      <c r="E321" s="24">
        <v>165</v>
      </c>
      <c r="F321" s="79"/>
    </row>
    <row r="322" spans="1:6" ht="143.25" customHeight="1">
      <c r="A322" s="5" t="s">
        <v>319</v>
      </c>
      <c r="B322" s="23" t="s">
        <v>451</v>
      </c>
      <c r="C322" s="32"/>
      <c r="D322" s="25" t="s">
        <v>192</v>
      </c>
      <c r="E322" s="24">
        <v>135</v>
      </c>
      <c r="F322" s="74">
        <f t="shared" ref="F322:F326" si="38">E322*C322</f>
        <v>0</v>
      </c>
    </row>
    <row r="323" spans="1:6" ht="148">
      <c r="A323" s="5" t="s">
        <v>320</v>
      </c>
      <c r="B323" s="23" t="s">
        <v>604</v>
      </c>
      <c r="C323" s="24"/>
      <c r="D323" s="25" t="s">
        <v>169</v>
      </c>
      <c r="E323" s="24">
        <v>3750</v>
      </c>
      <c r="F323" s="74">
        <f t="shared" si="38"/>
        <v>0</v>
      </c>
    </row>
    <row r="324" spans="1:6" ht="55.5">
      <c r="A324" s="5" t="s">
        <v>218</v>
      </c>
      <c r="B324" s="23" t="s">
        <v>46</v>
      </c>
      <c r="C324" s="88"/>
      <c r="D324" s="25" t="s">
        <v>108</v>
      </c>
      <c r="E324" s="24">
        <v>2950</v>
      </c>
      <c r="F324" s="74">
        <f t="shared" si="38"/>
        <v>0</v>
      </c>
    </row>
    <row r="325" spans="1:6" ht="55.5">
      <c r="A325" s="5" t="s">
        <v>221</v>
      </c>
      <c r="B325" s="23" t="s">
        <v>47</v>
      </c>
      <c r="C325" s="88"/>
      <c r="D325" s="25" t="s">
        <v>108</v>
      </c>
      <c r="E325" s="24">
        <v>3500</v>
      </c>
      <c r="F325" s="74">
        <f t="shared" si="38"/>
        <v>0</v>
      </c>
    </row>
    <row r="326" spans="1:6" ht="58.4" customHeight="1">
      <c r="A326" s="5" t="s">
        <v>224</v>
      </c>
      <c r="B326" s="23" t="s">
        <v>273</v>
      </c>
      <c r="C326" s="88"/>
      <c r="D326" s="25" t="s">
        <v>108</v>
      </c>
      <c r="E326" s="24">
        <v>5500</v>
      </c>
      <c r="F326" s="74">
        <f t="shared" si="38"/>
        <v>0</v>
      </c>
    </row>
    <row r="327" spans="1:6" ht="55.5">
      <c r="A327" s="5" t="s">
        <v>225</v>
      </c>
      <c r="B327" s="28" t="s">
        <v>310</v>
      </c>
      <c r="C327" s="49"/>
      <c r="D327" s="24"/>
      <c r="E327" s="24"/>
      <c r="F327" s="25"/>
    </row>
    <row r="328" spans="1:6">
      <c r="A328" s="5"/>
      <c r="B328" s="28" t="s">
        <v>48</v>
      </c>
      <c r="C328" s="24"/>
      <c r="D328" s="24" t="s">
        <v>164</v>
      </c>
      <c r="E328" s="24">
        <v>250</v>
      </c>
      <c r="F328" s="79"/>
    </row>
    <row r="329" spans="1:6">
      <c r="A329" s="5"/>
      <c r="B329" s="28" t="s">
        <v>49</v>
      </c>
      <c r="C329" s="24"/>
      <c r="D329" s="24" t="s">
        <v>164</v>
      </c>
      <c r="E329" s="24">
        <v>350</v>
      </c>
      <c r="F329" s="79"/>
    </row>
    <row r="330" spans="1:6" ht="64.400000000000006" customHeight="1">
      <c r="A330" s="5" t="s">
        <v>227</v>
      </c>
      <c r="B330" s="28" t="s">
        <v>269</v>
      </c>
      <c r="C330" s="32"/>
      <c r="D330" s="24"/>
      <c r="E330" s="24"/>
      <c r="F330" s="25"/>
    </row>
    <row r="331" spans="1:6">
      <c r="A331" s="5"/>
      <c r="B331" s="28" t="s">
        <v>48</v>
      </c>
      <c r="C331" s="24"/>
      <c r="D331" s="24" t="s">
        <v>164</v>
      </c>
      <c r="E331" s="24">
        <v>650</v>
      </c>
      <c r="F331" s="79"/>
    </row>
    <row r="332" spans="1:6">
      <c r="A332" s="5"/>
      <c r="B332" s="28" t="s">
        <v>49</v>
      </c>
      <c r="C332" s="24"/>
      <c r="D332" s="24" t="s">
        <v>164</v>
      </c>
      <c r="E332" s="24">
        <v>750</v>
      </c>
      <c r="F332" s="79"/>
    </row>
    <row r="333" spans="1:6" ht="92.5">
      <c r="A333" s="5" t="s">
        <v>228</v>
      </c>
      <c r="B333" s="23" t="s">
        <v>271</v>
      </c>
      <c r="C333" s="5"/>
      <c r="D333" s="25"/>
      <c r="E333" s="24"/>
      <c r="F333" s="25"/>
    </row>
    <row r="334" spans="1:6">
      <c r="A334" s="5"/>
      <c r="B334" s="23" t="s">
        <v>84</v>
      </c>
      <c r="C334" s="32"/>
      <c r="D334" s="25" t="s">
        <v>164</v>
      </c>
      <c r="E334" s="24">
        <v>11500</v>
      </c>
      <c r="F334" s="74">
        <f t="shared" ref="F334:F336" si="39">E334*C334</f>
        <v>0</v>
      </c>
    </row>
    <row r="335" spans="1:6">
      <c r="A335" s="83"/>
      <c r="B335" s="23" t="s">
        <v>399</v>
      </c>
      <c r="C335" s="32"/>
      <c r="D335" s="25" t="s">
        <v>164</v>
      </c>
      <c r="E335" s="24">
        <v>16500</v>
      </c>
      <c r="F335" s="74">
        <f t="shared" si="39"/>
        <v>0</v>
      </c>
    </row>
    <row r="336" spans="1:6" ht="55.5">
      <c r="A336" s="5" t="s">
        <v>452</v>
      </c>
      <c r="B336" s="23" t="s">
        <v>471</v>
      </c>
      <c r="C336" s="32"/>
      <c r="D336" s="25" t="s">
        <v>352</v>
      </c>
      <c r="E336" s="24">
        <v>1450</v>
      </c>
      <c r="F336" s="74">
        <f t="shared" si="39"/>
        <v>0</v>
      </c>
    </row>
    <row r="337" spans="1:6" ht="74">
      <c r="A337" s="5" t="s">
        <v>472</v>
      </c>
      <c r="B337" s="23" t="s">
        <v>473</v>
      </c>
      <c r="C337" s="5"/>
      <c r="D337" s="25"/>
      <c r="E337" s="24"/>
      <c r="F337" s="79"/>
    </row>
    <row r="338" spans="1:6">
      <c r="A338" s="5"/>
      <c r="B338" s="23" t="s">
        <v>474</v>
      </c>
      <c r="C338" s="5"/>
      <c r="D338" s="25" t="s">
        <v>164</v>
      </c>
      <c r="E338" s="24">
        <v>250</v>
      </c>
      <c r="F338" s="74">
        <f>E338*C338</f>
        <v>0</v>
      </c>
    </row>
    <row r="339" spans="1:6">
      <c r="A339" s="5"/>
      <c r="B339" s="23" t="s">
        <v>475</v>
      </c>
      <c r="C339" s="5"/>
      <c r="D339" s="25" t="s">
        <v>164</v>
      </c>
      <c r="E339" s="24">
        <v>375</v>
      </c>
      <c r="F339" s="74">
        <f>E339*C339</f>
        <v>0</v>
      </c>
    </row>
    <row r="340" spans="1:6">
      <c r="A340" s="5"/>
      <c r="B340" s="23" t="s">
        <v>476</v>
      </c>
      <c r="C340" s="5"/>
      <c r="D340" s="25" t="s">
        <v>164</v>
      </c>
      <c r="E340" s="24">
        <v>550</v>
      </c>
      <c r="F340" s="74">
        <f>E340*C340</f>
        <v>0</v>
      </c>
    </row>
    <row r="341" spans="1:6">
      <c r="A341" s="5"/>
      <c r="B341" s="23" t="s">
        <v>477</v>
      </c>
      <c r="C341" s="5"/>
      <c r="D341" s="25" t="s">
        <v>164</v>
      </c>
      <c r="E341" s="24">
        <v>750</v>
      </c>
      <c r="F341" s="74">
        <f>E341*C341</f>
        <v>0</v>
      </c>
    </row>
    <row r="342" spans="1:6">
      <c r="A342" s="5"/>
      <c r="B342" s="23" t="s">
        <v>478</v>
      </c>
      <c r="C342" s="5"/>
      <c r="D342" s="25" t="s">
        <v>164</v>
      </c>
      <c r="E342" s="24">
        <v>1200</v>
      </c>
      <c r="F342" s="74">
        <f t="shared" ref="F342:F343" si="40">E342*C342</f>
        <v>0</v>
      </c>
    </row>
    <row r="343" spans="1:6">
      <c r="A343" s="5"/>
      <c r="B343" s="23" t="s">
        <v>479</v>
      </c>
      <c r="C343" s="63"/>
      <c r="D343" s="25" t="s">
        <v>164</v>
      </c>
      <c r="E343" s="24">
        <v>1875</v>
      </c>
      <c r="F343" s="74">
        <f t="shared" si="40"/>
        <v>0</v>
      </c>
    </row>
    <row r="344" spans="1:6" ht="74">
      <c r="A344" s="5" t="s">
        <v>534</v>
      </c>
      <c r="B344" s="23" t="s">
        <v>605</v>
      </c>
      <c r="C344" s="5"/>
      <c r="D344" s="23"/>
      <c r="E344" s="5"/>
      <c r="F344" s="23"/>
    </row>
    <row r="345" spans="1:6" ht="37">
      <c r="A345" s="5"/>
      <c r="B345" s="23" t="s">
        <v>513</v>
      </c>
      <c r="C345" s="5"/>
      <c r="D345" s="5" t="s">
        <v>514</v>
      </c>
      <c r="E345" s="5">
        <v>750</v>
      </c>
      <c r="F345" s="74">
        <f t="shared" ref="F345:F348" si="41">E345*C345</f>
        <v>0</v>
      </c>
    </row>
    <row r="346" spans="1:6" ht="37">
      <c r="A346" s="5"/>
      <c r="B346" s="23" t="s">
        <v>515</v>
      </c>
      <c r="C346" s="5"/>
      <c r="D346" s="5" t="s">
        <v>514</v>
      </c>
      <c r="E346" s="5">
        <v>950</v>
      </c>
      <c r="F346" s="74">
        <f t="shared" si="41"/>
        <v>0</v>
      </c>
    </row>
    <row r="347" spans="1:6" ht="37">
      <c r="A347" s="5"/>
      <c r="B347" s="23" t="s">
        <v>516</v>
      </c>
      <c r="C347" s="5"/>
      <c r="D347" s="5" t="s">
        <v>514</v>
      </c>
      <c r="E347" s="5">
        <v>1250</v>
      </c>
      <c r="F347" s="74">
        <f t="shared" si="41"/>
        <v>0</v>
      </c>
    </row>
    <row r="348" spans="1:6">
      <c r="A348" s="5"/>
      <c r="B348" s="23" t="s">
        <v>517</v>
      </c>
      <c r="C348" s="5"/>
      <c r="D348" s="5" t="s">
        <v>82</v>
      </c>
      <c r="E348" s="5">
        <v>1250</v>
      </c>
      <c r="F348" s="74">
        <f t="shared" si="41"/>
        <v>0</v>
      </c>
    </row>
    <row r="349" spans="1:6">
      <c r="A349" s="67"/>
      <c r="B349" s="35" t="s">
        <v>229</v>
      </c>
      <c r="C349" s="3"/>
      <c r="D349" s="4"/>
      <c r="E349" s="4"/>
      <c r="F349" s="80">
        <f>SUM(F294:F348)</f>
        <v>23495</v>
      </c>
    </row>
    <row r="350" spans="1:6">
      <c r="A350" s="84"/>
      <c r="B350" s="36" t="s">
        <v>453</v>
      </c>
      <c r="C350" s="55"/>
      <c r="D350" s="4"/>
      <c r="E350" s="66"/>
      <c r="F350" s="4"/>
    </row>
    <row r="351" spans="1:6" ht="148">
      <c r="A351" s="85" t="s">
        <v>332</v>
      </c>
      <c r="B351" s="23" t="s">
        <v>503</v>
      </c>
      <c r="C351" s="5"/>
      <c r="D351" s="32" t="s">
        <v>334</v>
      </c>
      <c r="E351" s="32">
        <v>150</v>
      </c>
      <c r="F351" s="74">
        <f t="shared" ref="F351:F353" si="42">E351*C351</f>
        <v>0</v>
      </c>
    </row>
    <row r="352" spans="1:6" ht="111">
      <c r="A352" s="85" t="s">
        <v>333</v>
      </c>
      <c r="B352" s="23" t="s">
        <v>336</v>
      </c>
      <c r="C352" s="5"/>
      <c r="D352" s="32" t="s">
        <v>334</v>
      </c>
      <c r="E352" s="32">
        <v>500</v>
      </c>
      <c r="F352" s="74">
        <f t="shared" si="42"/>
        <v>0</v>
      </c>
    </row>
    <row r="353" spans="1:6" ht="111">
      <c r="A353" s="85" t="s">
        <v>335</v>
      </c>
      <c r="B353" s="23" t="s">
        <v>338</v>
      </c>
      <c r="C353" s="5"/>
      <c r="D353" s="32" t="s">
        <v>334</v>
      </c>
      <c r="E353" s="32">
        <v>1050</v>
      </c>
      <c r="F353" s="74">
        <f t="shared" si="42"/>
        <v>0</v>
      </c>
    </row>
    <row r="354" spans="1:6" ht="111">
      <c r="A354" s="85" t="s">
        <v>337</v>
      </c>
      <c r="B354" s="23" t="s">
        <v>308</v>
      </c>
      <c r="C354" s="5"/>
      <c r="D354" s="32"/>
      <c r="E354" s="32"/>
      <c r="F354" s="32"/>
    </row>
    <row r="355" spans="1:6">
      <c r="A355" s="32" t="s">
        <v>339</v>
      </c>
      <c r="B355" s="23" t="s">
        <v>222</v>
      </c>
      <c r="C355" s="5"/>
      <c r="D355" s="26" t="s">
        <v>169</v>
      </c>
      <c r="E355" s="32">
        <v>517</v>
      </c>
      <c r="F355" s="74">
        <f t="shared" ref="F355:F358" si="43">E355*C355</f>
        <v>0</v>
      </c>
    </row>
    <row r="356" spans="1:6" ht="55.5">
      <c r="A356" s="85" t="s">
        <v>294</v>
      </c>
      <c r="B356" s="23" t="s">
        <v>274</v>
      </c>
      <c r="C356" s="5"/>
      <c r="D356" s="26" t="s">
        <v>169</v>
      </c>
      <c r="E356" s="32">
        <v>340</v>
      </c>
      <c r="F356" s="74">
        <f t="shared" si="43"/>
        <v>0</v>
      </c>
    </row>
    <row r="357" spans="1:6" ht="55.5">
      <c r="A357" s="32" t="s">
        <v>340</v>
      </c>
      <c r="B357" s="23" t="s">
        <v>275</v>
      </c>
      <c r="C357" s="5"/>
      <c r="D357" s="26" t="s">
        <v>169</v>
      </c>
      <c r="E357" s="32">
        <v>170</v>
      </c>
      <c r="F357" s="74">
        <f t="shared" si="43"/>
        <v>0</v>
      </c>
    </row>
    <row r="358" spans="1:6" ht="92.5">
      <c r="A358" s="32" t="s">
        <v>341</v>
      </c>
      <c r="B358" s="17" t="s">
        <v>343</v>
      </c>
      <c r="C358" s="49"/>
      <c r="D358" s="32" t="s">
        <v>334</v>
      </c>
      <c r="E358" s="32">
        <v>4150</v>
      </c>
      <c r="F358" s="74">
        <f t="shared" si="43"/>
        <v>0</v>
      </c>
    </row>
    <row r="359" spans="1:6" ht="92.5">
      <c r="A359" s="32" t="s">
        <v>342</v>
      </c>
      <c r="B359" s="17" t="s">
        <v>407</v>
      </c>
      <c r="C359" s="24"/>
      <c r="D359" s="32" t="s">
        <v>334</v>
      </c>
      <c r="E359" s="32">
        <v>4750</v>
      </c>
      <c r="F359" s="79"/>
    </row>
    <row r="360" spans="1:6" ht="259">
      <c r="A360" s="32" t="s">
        <v>344</v>
      </c>
      <c r="B360" s="17" t="s">
        <v>607</v>
      </c>
      <c r="C360" s="32"/>
      <c r="D360" s="32" t="s">
        <v>334</v>
      </c>
      <c r="E360" s="32">
        <v>6250</v>
      </c>
      <c r="F360" s="74">
        <f t="shared" ref="F360" si="44">E360*C360</f>
        <v>0</v>
      </c>
    </row>
    <row r="361" spans="1:6" ht="37">
      <c r="A361" s="65"/>
      <c r="B361" s="18" t="s">
        <v>345</v>
      </c>
      <c r="C361" s="57"/>
      <c r="D361" s="32"/>
      <c r="E361" s="32"/>
      <c r="F361" s="32"/>
    </row>
    <row r="362" spans="1:6" ht="55.5">
      <c r="A362" s="65"/>
      <c r="B362" s="17" t="s">
        <v>346</v>
      </c>
      <c r="C362" s="51"/>
      <c r="D362" s="32"/>
      <c r="E362" s="32"/>
      <c r="F362" s="32"/>
    </row>
    <row r="363" spans="1:6" ht="55.5">
      <c r="A363" s="32" t="s">
        <v>466</v>
      </c>
      <c r="B363" s="48" t="s">
        <v>465</v>
      </c>
      <c r="C363" s="32"/>
      <c r="D363" s="32" t="s">
        <v>334</v>
      </c>
      <c r="E363" s="32">
        <v>5950</v>
      </c>
      <c r="F363" s="74">
        <f t="shared" ref="F363" si="45">E363*C363</f>
        <v>0</v>
      </c>
    </row>
    <row r="364" spans="1:6" ht="240.5">
      <c r="A364" s="32" t="s">
        <v>454</v>
      </c>
      <c r="B364" s="17" t="s">
        <v>455</v>
      </c>
      <c r="C364" s="51"/>
      <c r="D364" s="32"/>
      <c r="E364" s="32"/>
      <c r="F364" s="32"/>
    </row>
    <row r="365" spans="1:6" ht="74">
      <c r="A365" s="32" t="s">
        <v>339</v>
      </c>
      <c r="B365" s="17" t="s">
        <v>408</v>
      </c>
      <c r="C365" s="49"/>
      <c r="D365" s="32" t="s">
        <v>191</v>
      </c>
      <c r="E365" s="32">
        <v>65500</v>
      </c>
      <c r="F365" s="74">
        <f t="shared" ref="F365:F368" si="46">E365*C365</f>
        <v>0</v>
      </c>
    </row>
    <row r="366" spans="1:6" ht="92.5">
      <c r="A366" s="32" t="s">
        <v>347</v>
      </c>
      <c r="B366" s="17" t="s">
        <v>350</v>
      </c>
      <c r="C366" s="49"/>
      <c r="D366" s="32" t="s">
        <v>289</v>
      </c>
      <c r="E366" s="32">
        <v>225</v>
      </c>
      <c r="F366" s="74">
        <f t="shared" si="46"/>
        <v>0</v>
      </c>
    </row>
    <row r="367" spans="1:6" ht="92.5">
      <c r="A367" s="32" t="s">
        <v>348</v>
      </c>
      <c r="B367" s="17" t="s">
        <v>391</v>
      </c>
      <c r="C367" s="49"/>
      <c r="D367" s="32" t="s">
        <v>289</v>
      </c>
      <c r="E367" s="32">
        <v>165</v>
      </c>
      <c r="F367" s="74">
        <f t="shared" si="46"/>
        <v>0</v>
      </c>
    </row>
    <row r="368" spans="1:6" ht="92.5">
      <c r="A368" s="32" t="s">
        <v>349</v>
      </c>
      <c r="B368" s="23" t="s">
        <v>392</v>
      </c>
      <c r="C368" s="5"/>
      <c r="D368" s="32" t="s">
        <v>289</v>
      </c>
      <c r="E368" s="32">
        <v>165</v>
      </c>
      <c r="F368" s="74">
        <f t="shared" si="46"/>
        <v>0</v>
      </c>
    </row>
    <row r="369" spans="1:6" ht="185">
      <c r="A369" s="32" t="s">
        <v>351</v>
      </c>
      <c r="B369" s="23" t="s">
        <v>499</v>
      </c>
      <c r="C369" s="5"/>
      <c r="D369" s="32"/>
      <c r="E369" s="32"/>
      <c r="F369" s="32"/>
    </row>
    <row r="370" spans="1:6">
      <c r="A370" s="51" t="s">
        <v>339</v>
      </c>
      <c r="B370" s="17" t="s">
        <v>356</v>
      </c>
      <c r="C370" s="24"/>
      <c r="D370" s="32" t="s">
        <v>289</v>
      </c>
      <c r="E370" s="32">
        <v>575</v>
      </c>
      <c r="F370" s="32"/>
    </row>
    <row r="371" spans="1:6">
      <c r="A371" s="51" t="s">
        <v>294</v>
      </c>
      <c r="B371" s="17" t="s">
        <v>357</v>
      </c>
      <c r="C371" s="32"/>
      <c r="D371" s="32" t="s">
        <v>289</v>
      </c>
      <c r="E371" s="32">
        <v>720</v>
      </c>
      <c r="F371" s="74">
        <f t="shared" ref="F371:F372" si="47">E371*C371</f>
        <v>0</v>
      </c>
    </row>
    <row r="372" spans="1:6">
      <c r="A372" s="51" t="s">
        <v>340</v>
      </c>
      <c r="B372" s="17" t="s">
        <v>358</v>
      </c>
      <c r="C372" s="32"/>
      <c r="D372" s="32" t="s">
        <v>289</v>
      </c>
      <c r="E372" s="32">
        <v>920</v>
      </c>
      <c r="F372" s="74">
        <f t="shared" si="47"/>
        <v>0</v>
      </c>
    </row>
    <row r="373" spans="1:6">
      <c r="A373" s="51" t="s">
        <v>359</v>
      </c>
      <c r="B373" s="17" t="s">
        <v>360</v>
      </c>
      <c r="C373" s="24"/>
      <c r="D373" s="32" t="s">
        <v>289</v>
      </c>
      <c r="E373" s="32">
        <v>1750</v>
      </c>
      <c r="F373" s="79"/>
    </row>
    <row r="374" spans="1:6">
      <c r="A374" s="51" t="s">
        <v>361</v>
      </c>
      <c r="B374" s="17" t="s">
        <v>362</v>
      </c>
      <c r="C374" s="24"/>
      <c r="D374" s="32" t="s">
        <v>289</v>
      </c>
      <c r="E374" s="32">
        <v>2950</v>
      </c>
      <c r="F374" s="32"/>
    </row>
    <row r="375" spans="1:6">
      <c r="A375" s="51" t="s">
        <v>363</v>
      </c>
      <c r="B375" s="17" t="s">
        <v>364</v>
      </c>
      <c r="C375" s="24"/>
      <c r="D375" s="32" t="s">
        <v>289</v>
      </c>
      <c r="E375" s="32">
        <v>3950</v>
      </c>
      <c r="F375" s="32"/>
    </row>
    <row r="376" spans="1:6">
      <c r="A376" s="51" t="s">
        <v>365</v>
      </c>
      <c r="B376" s="17" t="s">
        <v>366</v>
      </c>
      <c r="C376" s="24"/>
      <c r="D376" s="32" t="s">
        <v>289</v>
      </c>
      <c r="E376" s="32">
        <v>4250</v>
      </c>
      <c r="F376" s="32"/>
    </row>
    <row r="377" spans="1:6" ht="203.5">
      <c r="A377" s="32" t="s">
        <v>353</v>
      </c>
      <c r="B377" s="23" t="s">
        <v>368</v>
      </c>
      <c r="C377" s="5"/>
      <c r="D377" s="32"/>
      <c r="E377" s="32"/>
      <c r="F377" s="32"/>
    </row>
    <row r="378" spans="1:6">
      <c r="A378" s="51" t="s">
        <v>339</v>
      </c>
      <c r="B378" s="16" t="s">
        <v>369</v>
      </c>
      <c r="C378" s="24"/>
      <c r="D378" s="32" t="s">
        <v>289</v>
      </c>
      <c r="E378" s="32">
        <v>525</v>
      </c>
      <c r="F378" s="32"/>
    </row>
    <row r="379" spans="1:6">
      <c r="A379" s="51" t="s">
        <v>294</v>
      </c>
      <c r="B379" s="16" t="s">
        <v>370</v>
      </c>
      <c r="C379" s="32"/>
      <c r="D379" s="32" t="s">
        <v>289</v>
      </c>
      <c r="E379" s="32">
        <v>650</v>
      </c>
      <c r="F379" s="74">
        <f t="shared" ref="F379:F380" si="48">E379*C379</f>
        <v>0</v>
      </c>
    </row>
    <row r="380" spans="1:6">
      <c r="A380" s="51" t="s">
        <v>340</v>
      </c>
      <c r="B380" s="16" t="s">
        <v>371</v>
      </c>
      <c r="C380" s="32"/>
      <c r="D380" s="32" t="s">
        <v>289</v>
      </c>
      <c r="E380" s="32">
        <v>830</v>
      </c>
      <c r="F380" s="74">
        <f t="shared" si="48"/>
        <v>0</v>
      </c>
    </row>
    <row r="381" spans="1:6">
      <c r="A381" s="51" t="s">
        <v>359</v>
      </c>
      <c r="B381" s="16" t="s">
        <v>372</v>
      </c>
      <c r="C381" s="24"/>
      <c r="D381" s="32" t="s">
        <v>289</v>
      </c>
      <c r="E381" s="32">
        <v>1590</v>
      </c>
      <c r="F381" s="79"/>
    </row>
    <row r="382" spans="1:6">
      <c r="A382" s="51" t="s">
        <v>361</v>
      </c>
      <c r="B382" s="16" t="s">
        <v>373</v>
      </c>
      <c r="C382" s="24"/>
      <c r="D382" s="32" t="s">
        <v>289</v>
      </c>
      <c r="E382" s="32">
        <v>2680</v>
      </c>
      <c r="F382" s="32"/>
    </row>
    <row r="383" spans="1:6">
      <c r="A383" s="51" t="s">
        <v>363</v>
      </c>
      <c r="B383" s="16" t="s">
        <v>374</v>
      </c>
      <c r="C383" s="24"/>
      <c r="D383" s="32" t="s">
        <v>289</v>
      </c>
      <c r="E383" s="32">
        <v>3590</v>
      </c>
      <c r="F383" s="32"/>
    </row>
    <row r="384" spans="1:6">
      <c r="A384" s="51" t="s">
        <v>365</v>
      </c>
      <c r="B384" s="16" t="s">
        <v>375</v>
      </c>
      <c r="C384" s="24"/>
      <c r="D384" s="32" t="s">
        <v>289</v>
      </c>
      <c r="E384" s="32">
        <v>3850</v>
      </c>
      <c r="F384" s="32"/>
    </row>
    <row r="385" spans="1:6" ht="92.5">
      <c r="A385" s="32" t="s">
        <v>354</v>
      </c>
      <c r="B385" s="23" t="s">
        <v>393</v>
      </c>
      <c r="C385" s="5"/>
      <c r="D385" s="39"/>
      <c r="E385" s="65"/>
      <c r="F385" s="32"/>
    </row>
    <row r="386" spans="1:6">
      <c r="A386" s="5"/>
      <c r="B386" s="23" t="s">
        <v>377</v>
      </c>
      <c r="C386" s="5"/>
      <c r="D386" s="32" t="s">
        <v>289</v>
      </c>
      <c r="E386" s="32">
        <v>850</v>
      </c>
      <c r="F386" s="74">
        <f t="shared" ref="F386:F387" si="49">E386*C386</f>
        <v>0</v>
      </c>
    </row>
    <row r="387" spans="1:6" ht="92.5">
      <c r="A387" s="32" t="s">
        <v>355</v>
      </c>
      <c r="B387" s="23" t="s">
        <v>379</v>
      </c>
      <c r="C387" s="5"/>
      <c r="D387" s="32" t="s">
        <v>288</v>
      </c>
      <c r="E387" s="32">
        <v>150</v>
      </c>
      <c r="F387" s="74">
        <f t="shared" si="49"/>
        <v>0</v>
      </c>
    </row>
    <row r="388" spans="1:6" ht="92.5">
      <c r="A388" s="32" t="s">
        <v>367</v>
      </c>
      <c r="B388" s="23" t="s">
        <v>381</v>
      </c>
      <c r="C388" s="5"/>
      <c r="D388" s="32" t="s">
        <v>289</v>
      </c>
      <c r="E388" s="32">
        <v>1750</v>
      </c>
      <c r="F388" s="32"/>
    </row>
    <row r="389" spans="1:6" ht="92.5">
      <c r="A389" s="32" t="s">
        <v>376</v>
      </c>
      <c r="B389" s="23" t="s">
        <v>382</v>
      </c>
      <c r="C389" s="5"/>
      <c r="D389" s="25" t="s">
        <v>81</v>
      </c>
      <c r="E389" s="24">
        <v>750</v>
      </c>
      <c r="F389" s="74">
        <f t="shared" ref="F389" si="50">E389*C389</f>
        <v>0</v>
      </c>
    </row>
    <row r="390" spans="1:6">
      <c r="A390" s="5" t="s">
        <v>301</v>
      </c>
      <c r="B390" s="23" t="s">
        <v>383</v>
      </c>
      <c r="C390" s="24"/>
      <c r="D390" s="25" t="s">
        <v>81</v>
      </c>
      <c r="E390" s="24">
        <v>725</v>
      </c>
      <c r="F390" s="86"/>
    </row>
    <row r="391" spans="1:6" ht="222">
      <c r="A391" s="32" t="s">
        <v>378</v>
      </c>
      <c r="B391" s="23" t="s">
        <v>409</v>
      </c>
      <c r="C391" s="5"/>
      <c r="D391" s="24" t="s">
        <v>289</v>
      </c>
      <c r="E391" s="24">
        <v>550</v>
      </c>
      <c r="F391" s="74">
        <f t="shared" ref="F391" si="51">E391*C391</f>
        <v>0</v>
      </c>
    </row>
    <row r="392" spans="1:6" ht="148">
      <c r="A392" s="32" t="s">
        <v>380</v>
      </c>
      <c r="B392" s="23" t="s">
        <v>411</v>
      </c>
      <c r="C392" s="24"/>
      <c r="D392" s="24" t="s">
        <v>352</v>
      </c>
      <c r="E392" s="24">
        <v>7500</v>
      </c>
      <c r="F392" s="79"/>
    </row>
    <row r="393" spans="1:6" ht="92.5">
      <c r="A393" s="5" t="s">
        <v>410</v>
      </c>
      <c r="B393" s="23" t="s">
        <v>436</v>
      </c>
      <c r="C393" s="24"/>
      <c r="D393" s="24" t="s">
        <v>352</v>
      </c>
      <c r="E393" s="88"/>
      <c r="F393" s="79"/>
    </row>
    <row r="394" spans="1:6">
      <c r="A394" s="67"/>
      <c r="B394" s="35" t="s">
        <v>384</v>
      </c>
      <c r="C394" s="3"/>
      <c r="D394" s="66"/>
      <c r="E394" s="66"/>
      <c r="F394" s="69">
        <f>SUM(F351:F393)</f>
        <v>0</v>
      </c>
    </row>
    <row r="395" spans="1:6">
      <c r="A395" s="67"/>
      <c r="B395" s="35" t="s">
        <v>560</v>
      </c>
      <c r="C395" s="3"/>
      <c r="D395" s="66"/>
      <c r="E395" s="66"/>
      <c r="F395" s="68"/>
    </row>
    <row r="396" spans="1:6">
      <c r="A396" s="49"/>
      <c r="B396" s="28" t="s">
        <v>561</v>
      </c>
      <c r="C396" s="49"/>
      <c r="D396" s="32"/>
      <c r="E396" s="32"/>
      <c r="F396" s="70"/>
    </row>
    <row r="397" spans="1:6" ht="92.5">
      <c r="A397" s="5" t="s">
        <v>427</v>
      </c>
      <c r="B397" s="23" t="s">
        <v>562</v>
      </c>
      <c r="C397" s="24">
        <v>1</v>
      </c>
      <c r="D397" s="25" t="s">
        <v>82</v>
      </c>
      <c r="E397" s="32">
        <v>9500</v>
      </c>
      <c r="F397" s="60">
        <f t="shared" ref="F397:F398" si="52">E397*C397</f>
        <v>9500</v>
      </c>
    </row>
    <row r="398" spans="1:6" ht="55.5">
      <c r="A398" s="5" t="s">
        <v>428</v>
      </c>
      <c r="B398" s="23" t="s">
        <v>563</v>
      </c>
      <c r="C398" s="24">
        <f>C397</f>
        <v>1</v>
      </c>
      <c r="D398" s="25" t="s">
        <v>82</v>
      </c>
      <c r="E398" s="32">
        <v>1450</v>
      </c>
      <c r="F398" s="60">
        <f t="shared" si="52"/>
        <v>1450</v>
      </c>
    </row>
    <row r="399" spans="1:6" ht="55.5">
      <c r="A399" s="5" t="s">
        <v>429</v>
      </c>
      <c r="B399" s="23" t="s">
        <v>564</v>
      </c>
      <c r="C399" s="24">
        <f>C398</f>
        <v>1</v>
      </c>
      <c r="D399" s="25"/>
      <c r="E399" s="32"/>
      <c r="F399" s="60"/>
    </row>
    <row r="400" spans="1:6">
      <c r="A400" s="5"/>
      <c r="B400" s="23" t="s">
        <v>565</v>
      </c>
      <c r="C400" s="24"/>
      <c r="D400" s="25" t="s">
        <v>82</v>
      </c>
      <c r="E400" s="32">
        <v>2550</v>
      </c>
      <c r="F400" s="60">
        <f t="shared" ref="F400" si="53">E400*C400</f>
        <v>0</v>
      </c>
    </row>
    <row r="401" spans="1:6" ht="37">
      <c r="A401" s="5" t="s">
        <v>430</v>
      </c>
      <c r="B401" s="23" t="s">
        <v>566</v>
      </c>
      <c r="C401" s="24"/>
      <c r="D401" s="25" t="s">
        <v>82</v>
      </c>
      <c r="E401" s="32">
        <v>2650</v>
      </c>
      <c r="F401" s="60"/>
    </row>
    <row r="402" spans="1:6" ht="55.5">
      <c r="A402" s="5" t="s">
        <v>431</v>
      </c>
      <c r="B402" s="23" t="s">
        <v>567</v>
      </c>
      <c r="C402" s="24"/>
      <c r="D402" s="25" t="s">
        <v>82</v>
      </c>
      <c r="E402" s="32">
        <v>6500</v>
      </c>
      <c r="F402" s="60"/>
    </row>
    <row r="403" spans="1:6" ht="74">
      <c r="A403" s="5" t="s">
        <v>432</v>
      </c>
      <c r="B403" s="23" t="s">
        <v>568</v>
      </c>
      <c r="C403" s="24"/>
      <c r="D403" s="25" t="s">
        <v>82</v>
      </c>
      <c r="E403" s="32">
        <v>1250</v>
      </c>
      <c r="F403" s="60"/>
    </row>
    <row r="404" spans="1:6" ht="111">
      <c r="A404" s="5" t="s">
        <v>434</v>
      </c>
      <c r="B404" s="23" t="s">
        <v>569</v>
      </c>
      <c r="C404" s="24">
        <v>1</v>
      </c>
      <c r="D404" s="25" t="s">
        <v>82</v>
      </c>
      <c r="E404" s="32">
        <v>6500</v>
      </c>
      <c r="F404" s="60">
        <f t="shared" ref="F404" si="54">E404*C404</f>
        <v>6500</v>
      </c>
    </row>
    <row r="405" spans="1:6" ht="55.5">
      <c r="A405" s="5" t="s">
        <v>571</v>
      </c>
      <c r="B405" s="23" t="s">
        <v>570</v>
      </c>
      <c r="C405" s="24"/>
      <c r="D405" s="25"/>
      <c r="E405" s="32"/>
      <c r="F405" s="60"/>
    </row>
    <row r="406" spans="1:6">
      <c r="A406" s="5"/>
      <c r="B406" s="23" t="s">
        <v>565</v>
      </c>
      <c r="C406" s="24"/>
      <c r="D406" s="25" t="s">
        <v>82</v>
      </c>
      <c r="E406" s="32">
        <v>1150</v>
      </c>
      <c r="F406" s="60">
        <f t="shared" ref="F406:F410" si="55">E406*C406</f>
        <v>0</v>
      </c>
    </row>
    <row r="407" spans="1:6" ht="37">
      <c r="A407" s="5" t="s">
        <v>572</v>
      </c>
      <c r="B407" s="23" t="s">
        <v>573</v>
      </c>
      <c r="C407" s="24">
        <v>1</v>
      </c>
      <c r="D407" s="25" t="s">
        <v>82</v>
      </c>
      <c r="E407" s="32">
        <v>7500</v>
      </c>
      <c r="F407" s="60">
        <f t="shared" si="55"/>
        <v>7500</v>
      </c>
    </row>
    <row r="408" spans="1:6" ht="37">
      <c r="A408" s="5" t="s">
        <v>575</v>
      </c>
      <c r="B408" s="23" t="s">
        <v>574</v>
      </c>
      <c r="C408" s="24">
        <f>C398</f>
        <v>1</v>
      </c>
      <c r="D408" s="25" t="s">
        <v>82</v>
      </c>
      <c r="E408" s="32">
        <v>9500</v>
      </c>
      <c r="F408" s="60">
        <f t="shared" si="55"/>
        <v>9500</v>
      </c>
    </row>
    <row r="409" spans="1:6" ht="37">
      <c r="A409" s="5" t="s">
        <v>576</v>
      </c>
      <c r="B409" s="23" t="s">
        <v>577</v>
      </c>
      <c r="C409" s="24"/>
      <c r="D409" s="25" t="s">
        <v>82</v>
      </c>
      <c r="E409" s="32">
        <v>2500</v>
      </c>
      <c r="F409" s="60">
        <f t="shared" si="55"/>
        <v>0</v>
      </c>
    </row>
    <row r="410" spans="1:6" ht="92.5">
      <c r="A410" s="5" t="s">
        <v>578</v>
      </c>
      <c r="B410" s="23" t="s">
        <v>579</v>
      </c>
      <c r="C410" s="24"/>
      <c r="D410" s="25" t="s">
        <v>82</v>
      </c>
      <c r="E410" s="32">
        <v>1950</v>
      </c>
      <c r="F410" s="60">
        <f t="shared" si="55"/>
        <v>0</v>
      </c>
    </row>
    <row r="411" spans="1:6" ht="129.5">
      <c r="A411" s="5" t="s">
        <v>580</v>
      </c>
      <c r="B411" s="23" t="s">
        <v>581</v>
      </c>
      <c r="C411" s="24"/>
      <c r="D411" s="25"/>
      <c r="E411" s="32"/>
      <c r="F411" s="60"/>
    </row>
    <row r="412" spans="1:6">
      <c r="A412" s="5"/>
      <c r="B412" s="23" t="s">
        <v>582</v>
      </c>
      <c r="C412" s="24"/>
      <c r="D412" s="25" t="s">
        <v>514</v>
      </c>
      <c r="E412" s="32">
        <v>750</v>
      </c>
      <c r="F412" s="60"/>
    </row>
    <row r="413" spans="1:6">
      <c r="A413" s="5"/>
      <c r="B413" s="23" t="s">
        <v>583</v>
      </c>
      <c r="C413" s="24"/>
      <c r="D413" s="25" t="s">
        <v>514</v>
      </c>
      <c r="E413" s="32">
        <v>600</v>
      </c>
      <c r="F413" s="60">
        <f t="shared" ref="F413:F416" si="56">E413*C413</f>
        <v>0</v>
      </c>
    </row>
    <row r="414" spans="1:6">
      <c r="A414" s="5"/>
      <c r="B414" s="23" t="s">
        <v>584</v>
      </c>
      <c r="C414" s="24"/>
      <c r="D414" s="25" t="s">
        <v>514</v>
      </c>
      <c r="E414" s="32">
        <v>375</v>
      </c>
      <c r="F414" s="60">
        <f t="shared" si="56"/>
        <v>0</v>
      </c>
    </row>
    <row r="415" spans="1:6">
      <c r="A415" s="5"/>
      <c r="B415" s="23" t="s">
        <v>585</v>
      </c>
      <c r="C415" s="24"/>
      <c r="D415" s="25" t="s">
        <v>514</v>
      </c>
      <c r="E415" s="32">
        <v>185</v>
      </c>
      <c r="F415" s="60">
        <f t="shared" si="56"/>
        <v>0</v>
      </c>
    </row>
    <row r="416" spans="1:6">
      <c r="A416" s="5"/>
      <c r="B416" s="23" t="s">
        <v>586</v>
      </c>
      <c r="C416" s="24"/>
      <c r="D416" s="25" t="s">
        <v>514</v>
      </c>
      <c r="E416" s="32">
        <v>135</v>
      </c>
      <c r="F416" s="60">
        <f t="shared" si="56"/>
        <v>0</v>
      </c>
    </row>
    <row r="417" spans="1:6" ht="141" customHeight="1">
      <c r="A417" s="5" t="s">
        <v>587</v>
      </c>
      <c r="B417" s="23" t="s">
        <v>606</v>
      </c>
      <c r="C417" s="24"/>
      <c r="D417" s="25"/>
      <c r="E417" s="32"/>
      <c r="F417" s="60"/>
    </row>
    <row r="418" spans="1:6">
      <c r="A418" s="5"/>
      <c r="B418" s="23" t="s">
        <v>588</v>
      </c>
      <c r="C418" s="24"/>
      <c r="D418" s="25" t="s">
        <v>514</v>
      </c>
      <c r="E418" s="32">
        <v>1750</v>
      </c>
      <c r="F418" s="60"/>
    </row>
    <row r="419" spans="1:6">
      <c r="A419" s="5"/>
      <c r="B419" s="23" t="s">
        <v>589</v>
      </c>
      <c r="C419" s="24"/>
      <c r="D419" s="25" t="s">
        <v>514</v>
      </c>
      <c r="E419" s="32">
        <v>1176</v>
      </c>
      <c r="F419" s="60">
        <f t="shared" ref="F419:F421" si="57">E419*C419</f>
        <v>0</v>
      </c>
    </row>
    <row r="420" spans="1:6">
      <c r="A420" s="5"/>
      <c r="B420" s="23" t="s">
        <v>590</v>
      </c>
      <c r="C420" s="24"/>
      <c r="D420" s="25" t="s">
        <v>514</v>
      </c>
      <c r="E420" s="32">
        <v>900</v>
      </c>
      <c r="F420" s="60">
        <f t="shared" si="57"/>
        <v>0</v>
      </c>
    </row>
    <row r="421" spans="1:6">
      <c r="A421" s="5"/>
      <c r="B421" s="23" t="s">
        <v>591</v>
      </c>
      <c r="C421" s="24"/>
      <c r="D421" s="25" t="s">
        <v>514</v>
      </c>
      <c r="E421" s="32">
        <v>670</v>
      </c>
      <c r="F421" s="60">
        <f t="shared" si="57"/>
        <v>0</v>
      </c>
    </row>
    <row r="422" spans="1:6" ht="92.5">
      <c r="A422" s="5" t="s">
        <v>593</v>
      </c>
      <c r="B422" s="23" t="s">
        <v>592</v>
      </c>
      <c r="C422" s="24"/>
      <c r="D422" s="25"/>
      <c r="E422" s="32"/>
      <c r="F422" s="60"/>
    </row>
    <row r="423" spans="1:6">
      <c r="A423" s="5"/>
      <c r="B423" s="23" t="s">
        <v>594</v>
      </c>
      <c r="C423" s="24"/>
      <c r="D423" s="25" t="s">
        <v>82</v>
      </c>
      <c r="E423" s="32">
        <v>750</v>
      </c>
      <c r="F423" s="60">
        <f>E423*C423</f>
        <v>0</v>
      </c>
    </row>
    <row r="424" spans="1:6" ht="74">
      <c r="A424" s="5" t="s">
        <v>597</v>
      </c>
      <c r="B424" s="23" t="s">
        <v>595</v>
      </c>
      <c r="C424" s="24"/>
      <c r="D424" s="25" t="s">
        <v>514</v>
      </c>
      <c r="E424" s="32">
        <v>1950</v>
      </c>
      <c r="F424" s="60">
        <f>E424*C424</f>
        <v>0</v>
      </c>
    </row>
    <row r="425" spans="1:6" ht="92.5">
      <c r="A425" s="5" t="s">
        <v>598</v>
      </c>
      <c r="B425" s="23" t="s">
        <v>619</v>
      </c>
      <c r="C425" s="24">
        <v>1</v>
      </c>
      <c r="D425" s="25" t="s">
        <v>82</v>
      </c>
      <c r="E425" s="32">
        <v>25000</v>
      </c>
      <c r="F425" s="60">
        <f>E425*C425</f>
        <v>25000</v>
      </c>
    </row>
    <row r="426" spans="1:6">
      <c r="A426" s="67"/>
      <c r="B426" s="35" t="s">
        <v>433</v>
      </c>
      <c r="C426" s="3"/>
      <c r="D426" s="66"/>
      <c r="E426" s="66"/>
      <c r="F426" s="68">
        <f>SUM(F397:F425)</f>
        <v>59450</v>
      </c>
    </row>
    <row r="427" spans="1:6">
      <c r="A427" s="67"/>
      <c r="B427" s="35" t="s">
        <v>525</v>
      </c>
      <c r="C427" s="3"/>
      <c r="D427" s="66"/>
      <c r="E427" s="66"/>
      <c r="F427" s="68"/>
    </row>
    <row r="428" spans="1:6" ht="297.5">
      <c r="A428" s="5" t="s">
        <v>526</v>
      </c>
      <c r="B428" s="23" t="s">
        <v>527</v>
      </c>
      <c r="C428" s="24"/>
      <c r="D428" s="25"/>
      <c r="E428" s="32"/>
      <c r="F428" s="60"/>
    </row>
    <row r="429" spans="1:6">
      <c r="A429" s="5"/>
      <c r="B429" s="23" t="s">
        <v>528</v>
      </c>
      <c r="C429" s="5"/>
      <c r="D429" s="25" t="s">
        <v>83</v>
      </c>
      <c r="E429" s="32">
        <v>5125</v>
      </c>
      <c r="F429" s="74">
        <f t="shared" ref="F429:F432" si="58">E429*C429</f>
        <v>0</v>
      </c>
    </row>
    <row r="430" spans="1:6">
      <c r="A430" s="5"/>
      <c r="B430" s="23" t="s">
        <v>529</v>
      </c>
      <c r="C430" s="5"/>
      <c r="D430" s="25" t="s">
        <v>83</v>
      </c>
      <c r="E430" s="32">
        <v>5875</v>
      </c>
      <c r="F430" s="74">
        <f t="shared" si="58"/>
        <v>0</v>
      </c>
    </row>
    <row r="431" spans="1:6">
      <c r="A431" s="5"/>
      <c r="B431" s="23" t="s">
        <v>530</v>
      </c>
      <c r="C431" s="5"/>
      <c r="D431" s="25" t="s">
        <v>83</v>
      </c>
      <c r="E431" s="32">
        <v>6625</v>
      </c>
      <c r="F431" s="74">
        <f t="shared" si="58"/>
        <v>0</v>
      </c>
    </row>
    <row r="432" spans="1:6">
      <c r="A432" s="5"/>
      <c r="B432" s="23" t="s">
        <v>531</v>
      </c>
      <c r="C432" s="5"/>
      <c r="D432" s="25" t="s">
        <v>83</v>
      </c>
      <c r="E432" s="32">
        <v>12500</v>
      </c>
      <c r="F432" s="74">
        <f t="shared" si="58"/>
        <v>0</v>
      </c>
    </row>
    <row r="433" spans="1:6">
      <c r="A433" s="67"/>
      <c r="B433" s="35" t="s">
        <v>532</v>
      </c>
      <c r="C433" s="3"/>
      <c r="D433" s="66"/>
      <c r="E433" s="66"/>
      <c r="F433" s="69">
        <f>SUM(F429:F432)</f>
        <v>0</v>
      </c>
    </row>
  </sheetData>
  <customSheetViews>
    <customSheetView guid="{5399B9A3-C514-4B3F-AA20-DF1128B22F93}" scale="90" showPageBreaks="1" fitToPage="1" printArea="1" hiddenRows="1" view="pageBreakPreview" topLeftCell="A77">
      <selection activeCell="C81" sqref="C81"/>
      <rowBreaks count="5" manualBreakCount="5">
        <brk id="97" max="5" man="1"/>
        <brk id="120" max="5" man="1"/>
        <brk id="173" max="5" man="1"/>
        <brk id="275" max="5" man="1"/>
        <brk id="301" max="5" man="1"/>
      </rowBreaks>
      <pageMargins left="0.55118110236220474" right="0.39370078740157483" top="0.39370078740157483" bottom="0.39370078740157483" header="0.51181102362204722" footer="0.11811023622047245"/>
      <printOptions horizontalCentered="1"/>
      <pageSetup paperSize="9" scale="57" fitToHeight="0" orientation="portrait" r:id="rId1"/>
      <headerFooter alignWithMargins="0">
        <oddFooter>&amp;C&amp;P OF &amp;N</oddFooter>
      </headerFooter>
    </customSheetView>
  </customSheetViews>
  <mergeCells count="3">
    <mergeCell ref="B1:E1"/>
    <mergeCell ref="A2:F2"/>
    <mergeCell ref="A3:F3"/>
  </mergeCells>
  <printOptions horizontalCentered="1"/>
  <pageMargins left="0.55118110236220474" right="0.39370078740157483" top="0.39370078740157483" bottom="0.39370078740157483" header="0.51181102362204722" footer="0.11811023622047245"/>
  <pageSetup paperSize="9" scale="57" fitToHeight="0" orientation="portrait" r:id="rId2"/>
  <headerFooter alignWithMargins="0">
    <oddFooter>&amp;C&amp;P OF &amp;N</oddFooter>
  </headerFooter>
  <rowBreaks count="5" manualBreakCount="5">
    <brk id="97" max="5" man="1"/>
    <brk id="120" max="5" man="1"/>
    <brk id="174" max="5" man="1"/>
    <brk id="276" max="5" man="1"/>
    <brk id="302" max="5" man="1"/>
  </rowBreak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1:G434"/>
  <sheetViews>
    <sheetView view="pageBreakPreview" topLeftCell="A428" zoomScale="70" zoomScaleNormal="70" zoomScaleSheetLayoutView="70" workbookViewId="0">
      <selection activeCell="E259" sqref="E259"/>
    </sheetView>
  </sheetViews>
  <sheetFormatPr defaultColWidth="9.1796875" defaultRowHeight="18.5"/>
  <cols>
    <col min="1" max="1" width="22.453125" style="46" customWidth="1"/>
    <col min="2" max="2" width="66.1796875" style="47" customWidth="1"/>
    <col min="3" max="3" width="18.81640625" style="46" customWidth="1"/>
    <col min="4" max="4" width="17.81640625" style="2" customWidth="1"/>
    <col min="5" max="5" width="17.81640625" style="15" customWidth="1"/>
    <col min="6" max="6" width="21.453125" style="2" customWidth="1"/>
    <col min="7" max="16384" width="9.1796875" style="1"/>
  </cols>
  <sheetData>
    <row r="1" spans="1:6" ht="66" customHeight="1">
      <c r="A1" s="62"/>
      <c r="B1" s="210" t="s">
        <v>620</v>
      </c>
      <c r="C1" s="210"/>
      <c r="D1" s="210"/>
      <c r="E1" s="210"/>
      <c r="F1" s="61"/>
    </row>
    <row r="2" spans="1:6" ht="74.25" customHeight="1">
      <c r="A2" s="218" t="s">
        <v>649</v>
      </c>
      <c r="B2" s="219"/>
      <c r="C2" s="219"/>
      <c r="D2" s="219"/>
      <c r="E2" s="219"/>
      <c r="F2" s="220"/>
    </row>
    <row r="3" spans="1:6" ht="21">
      <c r="A3" s="222" t="s">
        <v>270</v>
      </c>
      <c r="B3" s="222"/>
      <c r="C3" s="222"/>
      <c r="D3" s="222"/>
      <c r="E3" s="222"/>
      <c r="F3" s="222"/>
    </row>
    <row r="4" spans="1:6">
      <c r="A4" s="52" t="s">
        <v>152</v>
      </c>
      <c r="B4" s="52" t="s">
        <v>153</v>
      </c>
      <c r="C4" s="71" t="s">
        <v>79</v>
      </c>
      <c r="D4" s="72" t="s">
        <v>57</v>
      </c>
      <c r="E4" s="71" t="s">
        <v>58</v>
      </c>
      <c r="F4" s="72" t="s">
        <v>59</v>
      </c>
    </row>
    <row r="5" spans="1:6" ht="17.5" customHeight="1">
      <c r="A5" s="3"/>
      <c r="B5" s="22" t="s">
        <v>167</v>
      </c>
      <c r="C5" s="3"/>
      <c r="D5" s="4"/>
      <c r="E5" s="73"/>
      <c r="F5" s="4"/>
    </row>
    <row r="6" spans="1:6" ht="97.5" customHeight="1">
      <c r="A6" s="5" t="s">
        <v>168</v>
      </c>
      <c r="B6" s="28" t="s">
        <v>480</v>
      </c>
      <c r="C6" s="49">
        <v>109</v>
      </c>
      <c r="D6" s="24" t="s">
        <v>78</v>
      </c>
      <c r="E6" s="24">
        <v>35</v>
      </c>
      <c r="F6" s="74">
        <f>E6*C6</f>
        <v>3815</v>
      </c>
    </row>
    <row r="7" spans="1:6" ht="97.5" customHeight="1">
      <c r="A7" s="5" t="s">
        <v>557</v>
      </c>
      <c r="B7" s="28" t="s">
        <v>599</v>
      </c>
      <c r="C7" s="49"/>
      <c r="D7" s="24" t="s">
        <v>78</v>
      </c>
      <c r="E7" s="24">
        <v>25</v>
      </c>
      <c r="F7" s="74">
        <f>E7*C7</f>
        <v>0</v>
      </c>
    </row>
    <row r="8" spans="1:6" ht="256.5" customHeight="1">
      <c r="A8" s="5" t="s">
        <v>24</v>
      </c>
      <c r="B8" s="23" t="s">
        <v>401</v>
      </c>
      <c r="C8" s="5"/>
      <c r="D8" s="26"/>
      <c r="E8" s="24"/>
      <c r="F8" s="75"/>
    </row>
    <row r="9" spans="1:6">
      <c r="A9" s="5"/>
      <c r="B9" s="23" t="s">
        <v>28</v>
      </c>
      <c r="C9" s="5">
        <v>14</v>
      </c>
      <c r="D9" s="26" t="s">
        <v>80</v>
      </c>
      <c r="E9" s="24">
        <v>250</v>
      </c>
      <c r="F9" s="74">
        <f>E9*C9</f>
        <v>3500</v>
      </c>
    </row>
    <row r="10" spans="1:6">
      <c r="A10" s="5"/>
      <c r="B10" s="23" t="s">
        <v>197</v>
      </c>
      <c r="C10" s="5"/>
      <c r="D10" s="26" t="s">
        <v>80</v>
      </c>
      <c r="E10" s="24">
        <v>285</v>
      </c>
      <c r="F10" s="74">
        <f t="shared" ref="F10" si="0">E10*C10</f>
        <v>0</v>
      </c>
    </row>
    <row r="11" spans="1:6">
      <c r="A11" s="5"/>
      <c r="B11" s="23" t="s">
        <v>26</v>
      </c>
      <c r="C11" s="24"/>
      <c r="D11" s="26" t="s">
        <v>80</v>
      </c>
      <c r="E11" s="24">
        <v>350</v>
      </c>
      <c r="F11" s="74"/>
    </row>
    <row r="12" spans="1:6">
      <c r="A12" s="5"/>
      <c r="B12" s="23" t="s">
        <v>27</v>
      </c>
      <c r="C12" s="24"/>
      <c r="D12" s="26" t="s">
        <v>80</v>
      </c>
      <c r="E12" s="24">
        <v>450</v>
      </c>
      <c r="F12" s="74"/>
    </row>
    <row r="13" spans="1:6">
      <c r="A13" s="5"/>
      <c r="B13" s="23" t="s">
        <v>213</v>
      </c>
      <c r="C13" s="24"/>
      <c r="D13" s="26" t="s">
        <v>80</v>
      </c>
      <c r="E13" s="24">
        <v>575</v>
      </c>
      <c r="F13" s="74"/>
    </row>
    <row r="14" spans="1:6" ht="128.15" customHeight="1">
      <c r="A14" s="5" t="s">
        <v>25</v>
      </c>
      <c r="B14" s="28" t="s">
        <v>600</v>
      </c>
      <c r="C14" s="49"/>
      <c r="D14" s="7"/>
      <c r="E14" s="24"/>
      <c r="F14" s="75"/>
    </row>
    <row r="15" spans="1:6">
      <c r="A15" s="5"/>
      <c r="B15" s="23" t="s">
        <v>402</v>
      </c>
      <c r="C15" s="63">
        <v>16</v>
      </c>
      <c r="D15" s="26" t="s">
        <v>80</v>
      </c>
      <c r="E15" s="24">
        <v>490</v>
      </c>
      <c r="F15" s="74">
        <f t="shared" ref="F15:F16" si="1">E15*C15</f>
        <v>7840</v>
      </c>
    </row>
    <row r="16" spans="1:6">
      <c r="A16" s="5"/>
      <c r="B16" s="23" t="s">
        <v>403</v>
      </c>
      <c r="C16" s="63">
        <v>16</v>
      </c>
      <c r="D16" s="26" t="s">
        <v>80</v>
      </c>
      <c r="E16" s="24">
        <v>1025</v>
      </c>
      <c r="F16" s="74">
        <f t="shared" si="1"/>
        <v>16400</v>
      </c>
    </row>
    <row r="17" spans="1:6">
      <c r="A17" s="5"/>
      <c r="B17" s="23" t="s">
        <v>404</v>
      </c>
      <c r="C17" s="63"/>
      <c r="D17" s="26" t="s">
        <v>80</v>
      </c>
      <c r="E17" s="24">
        <v>1150</v>
      </c>
      <c r="F17" s="74"/>
    </row>
    <row r="18" spans="1:6" ht="57.65" customHeight="1">
      <c r="A18" s="5" t="s">
        <v>29</v>
      </c>
      <c r="B18" s="23" t="s">
        <v>405</v>
      </c>
      <c r="C18" s="63"/>
      <c r="D18" s="26" t="s">
        <v>80</v>
      </c>
      <c r="E18" s="24">
        <v>150</v>
      </c>
      <c r="F18" s="74">
        <f>E18*C18</f>
        <v>0</v>
      </c>
    </row>
    <row r="19" spans="1:6" ht="66.75" customHeight="1">
      <c r="A19" s="5" t="s">
        <v>554</v>
      </c>
      <c r="B19" s="23" t="s">
        <v>601</v>
      </c>
      <c r="C19" s="63"/>
      <c r="D19" s="26"/>
      <c r="E19" s="24"/>
      <c r="F19" s="74"/>
    </row>
    <row r="20" spans="1:6">
      <c r="A20" s="5"/>
      <c r="B20" s="23" t="s">
        <v>555</v>
      </c>
      <c r="C20" s="63"/>
      <c r="D20" s="26" t="s">
        <v>80</v>
      </c>
      <c r="E20" s="24">
        <v>100</v>
      </c>
      <c r="F20" s="74">
        <f>E20*C20</f>
        <v>0</v>
      </c>
    </row>
    <row r="21" spans="1:6">
      <c r="A21" s="5"/>
      <c r="B21" s="23" t="s">
        <v>556</v>
      </c>
      <c r="C21" s="63"/>
      <c r="D21" s="26" t="s">
        <v>82</v>
      </c>
      <c r="E21" s="24">
        <v>3500</v>
      </c>
      <c r="F21" s="74"/>
    </row>
    <row r="22" spans="1:6" ht="128.5" customHeight="1">
      <c r="A22" s="5" t="s">
        <v>30</v>
      </c>
      <c r="B22" s="23" t="s">
        <v>500</v>
      </c>
      <c r="C22" s="5"/>
      <c r="D22" s="7"/>
      <c r="E22" s="24"/>
      <c r="F22" s="75"/>
    </row>
    <row r="23" spans="1:6">
      <c r="A23" s="5"/>
      <c r="B23" s="23" t="s">
        <v>222</v>
      </c>
      <c r="C23" s="24"/>
      <c r="D23" s="26" t="s">
        <v>169</v>
      </c>
      <c r="E23" s="24">
        <v>517</v>
      </c>
      <c r="F23" s="75"/>
    </row>
    <row r="24" spans="1:6" ht="55.5">
      <c r="A24" s="5"/>
      <c r="B24" s="23" t="s">
        <v>274</v>
      </c>
      <c r="C24" s="63">
        <v>76</v>
      </c>
      <c r="D24" s="26" t="s">
        <v>169</v>
      </c>
      <c r="E24" s="24">
        <v>310</v>
      </c>
      <c r="F24" s="74">
        <f t="shared" ref="F24" si="2">E24*C24</f>
        <v>23560</v>
      </c>
    </row>
    <row r="25" spans="1:6" ht="55.5">
      <c r="A25" s="5"/>
      <c r="B25" s="23" t="s">
        <v>275</v>
      </c>
      <c r="C25" s="63">
        <v>76</v>
      </c>
      <c r="D25" s="26" t="s">
        <v>169</v>
      </c>
      <c r="E25" s="63">
        <v>150</v>
      </c>
      <c r="F25" s="74">
        <f>E25*C25</f>
        <v>11400</v>
      </c>
    </row>
    <row r="26" spans="1:6" ht="166.5">
      <c r="A26" s="5" t="s">
        <v>43</v>
      </c>
      <c r="B26" s="28" t="s">
        <v>611</v>
      </c>
      <c r="C26" s="49"/>
      <c r="D26" s="7"/>
      <c r="E26" s="24"/>
      <c r="F26" s="75"/>
    </row>
    <row r="27" spans="1:6">
      <c r="A27" s="5"/>
      <c r="B27" s="30" t="s">
        <v>209</v>
      </c>
      <c r="C27" s="24"/>
      <c r="D27" s="26" t="s">
        <v>73</v>
      </c>
      <c r="E27" s="63">
        <v>300</v>
      </c>
      <c r="F27" s="74"/>
    </row>
    <row r="28" spans="1:6">
      <c r="A28" s="5"/>
      <c r="B28" s="30" t="s">
        <v>210</v>
      </c>
      <c r="C28" s="24"/>
      <c r="D28" s="26" t="s">
        <v>73</v>
      </c>
      <c r="E28" s="63">
        <v>350</v>
      </c>
      <c r="F28" s="74">
        <f t="shared" ref="F28:F30" si="3">E28*C28</f>
        <v>0</v>
      </c>
    </row>
    <row r="29" spans="1:6">
      <c r="A29" s="5"/>
      <c r="B29" s="30" t="s">
        <v>263</v>
      </c>
      <c r="C29" s="20"/>
      <c r="D29" s="26" t="s">
        <v>73</v>
      </c>
      <c r="E29" s="63">
        <v>425</v>
      </c>
      <c r="F29" s="74">
        <f t="shared" si="3"/>
        <v>0</v>
      </c>
    </row>
    <row r="30" spans="1:6">
      <c r="A30" s="5"/>
      <c r="B30" s="30" t="s">
        <v>264</v>
      </c>
      <c r="C30" s="24"/>
      <c r="D30" s="26" t="s">
        <v>73</v>
      </c>
      <c r="E30" s="63">
        <v>495</v>
      </c>
      <c r="F30" s="74">
        <f t="shared" si="3"/>
        <v>0</v>
      </c>
    </row>
    <row r="31" spans="1:6">
      <c r="A31" s="5"/>
      <c r="B31" s="30" t="s">
        <v>647</v>
      </c>
      <c r="C31" s="24">
        <v>77</v>
      </c>
      <c r="D31" s="26" t="s">
        <v>73</v>
      </c>
      <c r="E31" s="92">
        <v>500</v>
      </c>
      <c r="F31" s="74">
        <f>E31*C31</f>
        <v>38500</v>
      </c>
    </row>
    <row r="32" spans="1:6" ht="57.65" customHeight="1">
      <c r="A32" s="5" t="s">
        <v>211</v>
      </c>
      <c r="B32" s="31" t="s">
        <v>212</v>
      </c>
      <c r="C32" s="50"/>
      <c r="D32" s="7"/>
      <c r="F32" s="75"/>
    </row>
    <row r="33" spans="1:6">
      <c r="A33" s="5"/>
      <c r="B33" s="30" t="s">
        <v>209</v>
      </c>
      <c r="C33" s="24"/>
      <c r="D33" s="26" t="s">
        <v>71</v>
      </c>
      <c r="E33" s="63">
        <v>300</v>
      </c>
      <c r="F33" s="74"/>
    </row>
    <row r="34" spans="1:6">
      <c r="A34" s="5"/>
      <c r="B34" s="30" t="s">
        <v>210</v>
      </c>
      <c r="C34" s="24"/>
      <c r="D34" s="26" t="s">
        <v>71</v>
      </c>
      <c r="E34" s="24">
        <v>400</v>
      </c>
      <c r="F34" s="74"/>
    </row>
    <row r="35" spans="1:6">
      <c r="A35" s="5"/>
      <c r="B35" s="30" t="s">
        <v>263</v>
      </c>
      <c r="C35" s="24"/>
      <c r="D35" s="26" t="s">
        <v>71</v>
      </c>
      <c r="E35" s="24">
        <v>450</v>
      </c>
      <c r="F35" s="74"/>
    </row>
    <row r="36" spans="1:6">
      <c r="A36" s="5"/>
      <c r="B36" s="30" t="s">
        <v>264</v>
      </c>
      <c r="C36" s="24"/>
      <c r="D36" s="26" t="s">
        <v>71</v>
      </c>
      <c r="E36" s="24">
        <v>500</v>
      </c>
      <c r="F36" s="74"/>
    </row>
    <row r="37" spans="1:6">
      <c r="A37" s="67"/>
      <c r="B37" s="22" t="s">
        <v>31</v>
      </c>
      <c r="C37" s="3"/>
      <c r="D37" s="4"/>
      <c r="E37" s="4"/>
      <c r="F37" s="76">
        <f>SUM(F6:F36)</f>
        <v>105015</v>
      </c>
    </row>
    <row r="38" spans="1:6" ht="17.5" customHeight="1">
      <c r="A38" s="67"/>
      <c r="B38" s="22" t="s">
        <v>66</v>
      </c>
      <c r="C38" s="3"/>
      <c r="D38" s="4"/>
      <c r="E38" s="4"/>
      <c r="F38" s="73"/>
    </row>
    <row r="39" spans="1:6" ht="93.65" customHeight="1">
      <c r="A39" s="5" t="s">
        <v>32</v>
      </c>
      <c r="B39" s="23" t="s">
        <v>406</v>
      </c>
      <c r="C39" s="5"/>
      <c r="D39" s="7"/>
      <c r="F39" s="25"/>
    </row>
    <row r="40" spans="1:6">
      <c r="A40" s="5"/>
      <c r="B40" s="23" t="s">
        <v>34</v>
      </c>
      <c r="C40" s="24">
        <v>2</v>
      </c>
      <c r="D40" s="26" t="s">
        <v>80</v>
      </c>
      <c r="E40" s="24">
        <v>4100</v>
      </c>
      <c r="F40" s="74">
        <f t="shared" ref="F40:F41" si="4">E40*C40</f>
        <v>8200</v>
      </c>
    </row>
    <row r="41" spans="1:6">
      <c r="A41" s="5"/>
      <c r="B41" s="23" t="s">
        <v>35</v>
      </c>
      <c r="C41" s="20"/>
      <c r="D41" s="26" t="s">
        <v>80</v>
      </c>
      <c r="E41" s="24">
        <v>4175</v>
      </c>
      <c r="F41" s="74">
        <f t="shared" si="4"/>
        <v>0</v>
      </c>
    </row>
    <row r="42" spans="1:6" ht="288.75" customHeight="1">
      <c r="A42" s="5" t="s">
        <v>33</v>
      </c>
      <c r="B42" s="38" t="s">
        <v>413</v>
      </c>
      <c r="C42" s="51"/>
      <c r="D42" s="7"/>
      <c r="E42" s="32"/>
      <c r="F42" s="75"/>
    </row>
    <row r="43" spans="1:6">
      <c r="A43" s="5"/>
      <c r="B43" s="21" t="s">
        <v>538</v>
      </c>
      <c r="C43" s="52"/>
      <c r="D43" s="7"/>
      <c r="F43" s="75"/>
    </row>
    <row r="44" spans="1:6">
      <c r="A44" s="5"/>
      <c r="B44" s="28" t="s">
        <v>250</v>
      </c>
      <c r="C44" s="24"/>
      <c r="D44" s="26" t="s">
        <v>80</v>
      </c>
      <c r="E44" s="24">
        <v>5450</v>
      </c>
      <c r="F44" s="74">
        <f t="shared" ref="F44:F45" si="5">E44*C44</f>
        <v>0</v>
      </c>
    </row>
    <row r="45" spans="1:6">
      <c r="A45" s="49"/>
      <c r="B45" s="28" t="s">
        <v>296</v>
      </c>
      <c r="C45" s="24"/>
      <c r="D45" s="26" t="s">
        <v>80</v>
      </c>
      <c r="E45" s="24">
        <v>5950</v>
      </c>
      <c r="F45" s="74">
        <f t="shared" si="5"/>
        <v>0</v>
      </c>
    </row>
    <row r="46" spans="1:6">
      <c r="A46" s="5"/>
      <c r="B46" s="21" t="s">
        <v>537</v>
      </c>
      <c r="C46" s="52"/>
      <c r="D46" s="7"/>
      <c r="E46" s="32"/>
      <c r="F46" s="75"/>
    </row>
    <row r="47" spans="1:6">
      <c r="A47" s="5"/>
      <c r="B47" s="28" t="s">
        <v>250</v>
      </c>
      <c r="C47" s="24">
        <v>21</v>
      </c>
      <c r="D47" s="32" t="s">
        <v>80</v>
      </c>
      <c r="E47" s="24">
        <v>5850</v>
      </c>
      <c r="F47" s="74">
        <f t="shared" ref="F47:F50" si="6">E47*C47</f>
        <v>122850</v>
      </c>
    </row>
    <row r="48" spans="1:6">
      <c r="A48" s="49"/>
      <c r="B48" s="28" t="s">
        <v>612</v>
      </c>
      <c r="C48" s="24">
        <v>57</v>
      </c>
      <c r="D48" s="32" t="s">
        <v>80</v>
      </c>
      <c r="E48" s="24">
        <v>6175</v>
      </c>
      <c r="F48" s="74">
        <f t="shared" si="6"/>
        <v>351975</v>
      </c>
    </row>
    <row r="49" spans="1:6">
      <c r="A49" s="49"/>
      <c r="B49" s="28" t="s">
        <v>613</v>
      </c>
      <c r="C49" s="24"/>
      <c r="D49" s="32" t="s">
        <v>80</v>
      </c>
      <c r="E49" s="24">
        <v>6350</v>
      </c>
      <c r="F49" s="74">
        <f t="shared" si="6"/>
        <v>0</v>
      </c>
    </row>
    <row r="50" spans="1:6" ht="37">
      <c r="A50" s="5"/>
      <c r="B50" s="21" t="s">
        <v>443</v>
      </c>
      <c r="C50" s="24"/>
      <c r="D50" s="26" t="s">
        <v>80</v>
      </c>
      <c r="E50" s="24">
        <v>950</v>
      </c>
      <c r="F50" s="74">
        <f t="shared" si="6"/>
        <v>0</v>
      </c>
    </row>
    <row r="51" spans="1:6" ht="55.5">
      <c r="A51" s="5" t="s">
        <v>536</v>
      </c>
      <c r="B51" s="61" t="s">
        <v>535</v>
      </c>
      <c r="C51" s="62"/>
      <c r="D51" s="8"/>
      <c r="E51" s="24"/>
      <c r="F51" s="74"/>
    </row>
    <row r="52" spans="1:6" ht="297" customHeight="1">
      <c r="A52" s="5"/>
      <c r="B52" s="38" t="s">
        <v>541</v>
      </c>
      <c r="C52" s="53"/>
      <c r="D52" s="8"/>
      <c r="E52" s="24"/>
      <c r="F52" s="74"/>
    </row>
    <row r="53" spans="1:6">
      <c r="A53" s="5" t="s">
        <v>461</v>
      </c>
      <c r="B53" s="43" t="s">
        <v>542</v>
      </c>
      <c r="C53" s="53"/>
      <c r="D53" s="8"/>
      <c r="E53" s="24"/>
      <c r="F53" s="74"/>
    </row>
    <row r="54" spans="1:6">
      <c r="A54" s="53"/>
      <c r="B54" s="43" t="s">
        <v>459</v>
      </c>
      <c r="C54" s="24"/>
      <c r="D54" s="25" t="s">
        <v>439</v>
      </c>
      <c r="E54" s="24">
        <v>5450</v>
      </c>
      <c r="F54" s="74">
        <f t="shared" ref="F54:F56" si="7">E54*C54</f>
        <v>0</v>
      </c>
    </row>
    <row r="55" spans="1:6">
      <c r="A55" s="53"/>
      <c r="B55" s="43" t="s">
        <v>460</v>
      </c>
      <c r="C55" s="6"/>
      <c r="D55" s="25" t="s">
        <v>439</v>
      </c>
      <c r="E55" s="24">
        <v>5850</v>
      </c>
      <c r="F55" s="74">
        <f t="shared" si="7"/>
        <v>0</v>
      </c>
    </row>
    <row r="56" spans="1:6" ht="37">
      <c r="A56" s="53"/>
      <c r="B56" s="21" t="s">
        <v>443</v>
      </c>
      <c r="C56" s="24"/>
      <c r="D56" s="25" t="s">
        <v>439</v>
      </c>
      <c r="E56" s="24">
        <v>950</v>
      </c>
      <c r="F56" s="74">
        <f t="shared" si="7"/>
        <v>0</v>
      </c>
    </row>
    <row r="57" spans="1:6" ht="30.75" customHeight="1">
      <c r="A57" s="5" t="s">
        <v>462</v>
      </c>
      <c r="B57" s="43" t="s">
        <v>463</v>
      </c>
      <c r="C57" s="53"/>
      <c r="D57" s="8"/>
      <c r="E57" s="24"/>
      <c r="F57" s="74"/>
    </row>
    <row r="58" spans="1:6">
      <c r="A58" s="53"/>
      <c r="B58" s="45" t="s">
        <v>440</v>
      </c>
      <c r="C58" s="54"/>
      <c r="D58" s="8"/>
      <c r="E58" s="24"/>
      <c r="F58" s="74"/>
    </row>
    <row r="59" spans="1:6">
      <c r="A59" s="53"/>
      <c r="B59" s="43" t="s">
        <v>305</v>
      </c>
      <c r="C59" s="6"/>
      <c r="D59" s="25" t="s">
        <v>439</v>
      </c>
      <c r="E59" s="24">
        <v>5700</v>
      </c>
      <c r="F59" s="74">
        <f>E60*C59</f>
        <v>0</v>
      </c>
    </row>
    <row r="60" spans="1:6">
      <c r="A60" s="53"/>
      <c r="B60" s="43" t="s">
        <v>441</v>
      </c>
      <c r="C60" s="24"/>
      <c r="D60" s="25" t="s">
        <v>439</v>
      </c>
      <c r="E60" s="24"/>
      <c r="F60" s="74"/>
    </row>
    <row r="61" spans="1:6">
      <c r="A61" s="53"/>
      <c r="B61" s="45" t="s">
        <v>442</v>
      </c>
      <c r="C61" s="54"/>
      <c r="D61" s="26"/>
      <c r="E61" s="24"/>
      <c r="F61" s="74"/>
    </row>
    <row r="62" spans="1:6">
      <c r="A62" s="53"/>
      <c r="B62" s="28" t="s">
        <v>305</v>
      </c>
      <c r="C62" s="6"/>
      <c r="D62" s="25" t="s">
        <v>439</v>
      </c>
      <c r="E62" s="24">
        <v>5900</v>
      </c>
      <c r="F62" s="74">
        <f t="shared" ref="F62:F73" si="8">E62*C62</f>
        <v>0</v>
      </c>
    </row>
    <row r="63" spans="1:6">
      <c r="A63" s="53"/>
      <c r="B63" s="28" t="s">
        <v>456</v>
      </c>
      <c r="C63" s="24"/>
      <c r="D63" s="25" t="s">
        <v>439</v>
      </c>
      <c r="E63" s="24">
        <v>6650</v>
      </c>
      <c r="F63" s="74">
        <f t="shared" si="8"/>
        <v>0</v>
      </c>
    </row>
    <row r="64" spans="1:6" ht="37">
      <c r="A64" s="53"/>
      <c r="B64" s="21" t="s">
        <v>443</v>
      </c>
      <c r="C64" s="24"/>
      <c r="D64" s="25" t="s">
        <v>439</v>
      </c>
      <c r="E64" s="24">
        <v>950</v>
      </c>
      <c r="F64" s="74">
        <f t="shared" si="8"/>
        <v>0</v>
      </c>
    </row>
    <row r="65" spans="1:6" ht="129.5">
      <c r="A65" s="49" t="s">
        <v>412</v>
      </c>
      <c r="B65" s="28" t="s">
        <v>415</v>
      </c>
      <c r="C65" s="49"/>
      <c r="D65" s="7"/>
      <c r="E65" s="24"/>
      <c r="F65" s="75"/>
    </row>
    <row r="66" spans="1:6">
      <c r="A66" s="49"/>
      <c r="B66" s="29" t="s">
        <v>209</v>
      </c>
      <c r="C66" s="20"/>
      <c r="D66" s="32" t="s">
        <v>80</v>
      </c>
      <c r="E66" s="24">
        <v>5600</v>
      </c>
      <c r="F66" s="74">
        <f t="shared" si="8"/>
        <v>0</v>
      </c>
    </row>
    <row r="67" spans="1:6">
      <c r="A67" s="49"/>
      <c r="B67" s="29" t="s">
        <v>210</v>
      </c>
      <c r="C67" s="20"/>
      <c r="D67" s="32" t="s">
        <v>80</v>
      </c>
      <c r="E67" s="24">
        <v>5369</v>
      </c>
      <c r="F67" s="74">
        <f t="shared" si="8"/>
        <v>0</v>
      </c>
    </row>
    <row r="68" spans="1:6">
      <c r="A68" s="49"/>
      <c r="B68" s="29" t="s">
        <v>262</v>
      </c>
      <c r="C68" s="20"/>
      <c r="D68" s="32" t="s">
        <v>80</v>
      </c>
      <c r="E68" s="24">
        <v>5650</v>
      </c>
      <c r="F68" s="74">
        <f t="shared" si="8"/>
        <v>0</v>
      </c>
    </row>
    <row r="69" spans="1:6">
      <c r="A69" s="49"/>
      <c r="B69" s="29" t="s">
        <v>253</v>
      </c>
      <c r="C69" s="20"/>
      <c r="D69" s="32" t="s">
        <v>80</v>
      </c>
      <c r="E69" s="24">
        <v>5650</v>
      </c>
      <c r="F69" s="74">
        <f t="shared" si="8"/>
        <v>0</v>
      </c>
    </row>
    <row r="70" spans="1:6">
      <c r="A70" s="49"/>
      <c r="B70" s="29" t="s">
        <v>648</v>
      </c>
      <c r="C70" s="20">
        <v>13</v>
      </c>
      <c r="D70" s="32" t="s">
        <v>80</v>
      </c>
      <c r="E70" s="24">
        <v>5650</v>
      </c>
      <c r="F70" s="74">
        <f t="shared" si="8"/>
        <v>73450</v>
      </c>
    </row>
    <row r="71" spans="1:6" ht="200.25" customHeight="1">
      <c r="A71" s="49" t="s">
        <v>414</v>
      </c>
      <c r="B71" s="17" t="s">
        <v>394</v>
      </c>
      <c r="C71" s="5"/>
      <c r="D71" s="32"/>
      <c r="E71" s="24">
        <v>9500</v>
      </c>
      <c r="F71" s="74"/>
    </row>
    <row r="72" spans="1:6">
      <c r="A72" s="49"/>
      <c r="B72" s="29" t="s">
        <v>395</v>
      </c>
      <c r="C72" s="24"/>
      <c r="D72" s="32" t="s">
        <v>80</v>
      </c>
      <c r="E72" s="24">
        <v>9500</v>
      </c>
      <c r="F72" s="74">
        <f t="shared" si="8"/>
        <v>0</v>
      </c>
    </row>
    <row r="73" spans="1:6">
      <c r="A73" s="49"/>
      <c r="B73" s="29" t="s">
        <v>396</v>
      </c>
      <c r="C73" s="24"/>
      <c r="D73" s="32" t="s">
        <v>80</v>
      </c>
      <c r="E73" s="24"/>
      <c r="F73" s="74">
        <f t="shared" si="8"/>
        <v>0</v>
      </c>
    </row>
    <row r="74" spans="1:6" ht="296">
      <c r="A74" s="49" t="s">
        <v>464</v>
      </c>
      <c r="B74" s="28" t="s">
        <v>481</v>
      </c>
      <c r="C74" s="5"/>
      <c r="D74" s="32"/>
      <c r="E74" s="24"/>
      <c r="F74" s="77"/>
    </row>
    <row r="75" spans="1:6">
      <c r="A75" s="49"/>
      <c r="B75" s="19" t="s">
        <v>425</v>
      </c>
      <c r="C75" s="52"/>
      <c r="D75" s="32"/>
      <c r="F75" s="77"/>
    </row>
    <row r="76" spans="1:6">
      <c r="A76" s="49"/>
      <c r="B76" s="28" t="s">
        <v>250</v>
      </c>
      <c r="C76" s="5"/>
      <c r="D76" s="32" t="s">
        <v>80</v>
      </c>
      <c r="E76" s="24">
        <v>5750</v>
      </c>
      <c r="F76" s="74">
        <f t="shared" ref="F76:F79" si="9">E76*C76</f>
        <v>0</v>
      </c>
    </row>
    <row r="77" spans="1:6">
      <c r="A77" s="49"/>
      <c r="B77" s="28" t="s">
        <v>296</v>
      </c>
      <c r="C77" s="24"/>
      <c r="D77" s="32" t="s">
        <v>80</v>
      </c>
      <c r="E77" s="24">
        <v>6650</v>
      </c>
      <c r="F77" s="74">
        <f t="shared" si="9"/>
        <v>0</v>
      </c>
    </row>
    <row r="78" spans="1:6">
      <c r="A78" s="49"/>
      <c r="B78" s="28" t="s">
        <v>297</v>
      </c>
      <c r="C78" s="24"/>
      <c r="D78" s="32" t="s">
        <v>80</v>
      </c>
      <c r="E78" s="24">
        <v>6850</v>
      </c>
      <c r="F78" s="74">
        <f t="shared" si="9"/>
        <v>0</v>
      </c>
    </row>
    <row r="79" spans="1:6">
      <c r="A79" s="49"/>
      <c r="B79" s="28" t="s">
        <v>298</v>
      </c>
      <c r="C79" s="24"/>
      <c r="D79" s="32" t="s">
        <v>80</v>
      </c>
      <c r="E79" s="24">
        <v>7250</v>
      </c>
      <c r="F79" s="74">
        <f t="shared" si="9"/>
        <v>0</v>
      </c>
    </row>
    <row r="80" spans="1:6" ht="57.65" customHeight="1">
      <c r="A80" s="25" t="s">
        <v>36</v>
      </c>
      <c r="B80" s="23" t="s">
        <v>249</v>
      </c>
      <c r="C80" s="25"/>
      <c r="D80" s="9"/>
      <c r="E80" s="24"/>
      <c r="F80" s="75"/>
    </row>
    <row r="81" spans="1:6" s="10" customFormat="1">
      <c r="A81" s="25"/>
      <c r="B81" s="34" t="s">
        <v>266</v>
      </c>
      <c r="C81" s="88"/>
      <c r="D81" s="33" t="s">
        <v>85</v>
      </c>
      <c r="E81" s="24">
        <v>175</v>
      </c>
      <c r="F81" s="74">
        <f t="shared" ref="F81" si="10">E81*C81</f>
        <v>0</v>
      </c>
    </row>
    <row r="82" spans="1:6" s="10" customFormat="1" ht="225" customHeight="1">
      <c r="A82" s="25" t="s">
        <v>37</v>
      </c>
      <c r="B82" s="23" t="s">
        <v>602</v>
      </c>
      <c r="C82" s="5"/>
      <c r="D82" s="9"/>
      <c r="E82" s="24"/>
      <c r="F82" s="75"/>
    </row>
    <row r="83" spans="1:6" s="10" customFormat="1">
      <c r="A83" s="25"/>
      <c r="B83" s="34" t="s">
        <v>258</v>
      </c>
      <c r="C83" s="24">
        <v>11</v>
      </c>
      <c r="D83" s="27" t="s">
        <v>191</v>
      </c>
      <c r="E83" s="24">
        <v>69500</v>
      </c>
      <c r="F83" s="74">
        <f t="shared" ref="F83:F91" si="11">E83*C83</f>
        <v>764500</v>
      </c>
    </row>
    <row r="84" spans="1:6" s="10" customFormat="1" ht="203.5">
      <c r="A84" s="25" t="s">
        <v>38</v>
      </c>
      <c r="B84" s="23" t="s">
        <v>501</v>
      </c>
      <c r="C84" s="5"/>
      <c r="D84" s="9"/>
      <c r="F84" s="75"/>
    </row>
    <row r="85" spans="1:6" ht="22.5" customHeight="1">
      <c r="A85" s="5"/>
      <c r="B85" s="28" t="s">
        <v>250</v>
      </c>
      <c r="C85" s="24">
        <v>100</v>
      </c>
      <c r="D85" s="32" t="s">
        <v>81</v>
      </c>
      <c r="E85" s="24">
        <v>550</v>
      </c>
      <c r="F85" s="74">
        <f t="shared" si="11"/>
        <v>55000</v>
      </c>
    </row>
    <row r="86" spans="1:6">
      <c r="A86" s="5"/>
      <c r="B86" s="28" t="s">
        <v>296</v>
      </c>
      <c r="C86" s="24">
        <v>395</v>
      </c>
      <c r="D86" s="32" t="s">
        <v>81</v>
      </c>
      <c r="E86" s="24">
        <v>625</v>
      </c>
      <c r="F86" s="74">
        <f t="shared" si="11"/>
        <v>246875</v>
      </c>
    </row>
    <row r="87" spans="1:6" s="10" customFormat="1" ht="240.5">
      <c r="A87" s="5" t="s">
        <v>39</v>
      </c>
      <c r="B87" s="28" t="s">
        <v>233</v>
      </c>
      <c r="C87" s="49"/>
      <c r="D87" s="8"/>
      <c r="F87" s="78"/>
    </row>
    <row r="88" spans="1:6" ht="20.25" customHeight="1">
      <c r="A88" s="5"/>
      <c r="B88" s="28" t="s">
        <v>250</v>
      </c>
      <c r="C88" s="24"/>
      <c r="D88" s="32" t="s">
        <v>81</v>
      </c>
      <c r="E88" s="24">
        <v>575</v>
      </c>
      <c r="F88" s="74">
        <f t="shared" si="11"/>
        <v>0</v>
      </c>
    </row>
    <row r="89" spans="1:6">
      <c r="A89" s="5"/>
      <c r="B89" s="28" t="s">
        <v>296</v>
      </c>
      <c r="C89" s="24"/>
      <c r="D89" s="32" t="s">
        <v>81</v>
      </c>
      <c r="E89" s="24">
        <v>650</v>
      </c>
      <c r="F89" s="74">
        <f t="shared" si="11"/>
        <v>0</v>
      </c>
    </row>
    <row r="90" spans="1:6">
      <c r="A90" s="49"/>
      <c r="B90" s="28" t="s">
        <v>299</v>
      </c>
      <c r="C90" s="24"/>
      <c r="D90" s="32" t="s">
        <v>81</v>
      </c>
      <c r="E90" s="24">
        <v>725</v>
      </c>
      <c r="F90" s="74">
        <f t="shared" si="11"/>
        <v>0</v>
      </c>
    </row>
    <row r="91" spans="1:6">
      <c r="A91" s="49"/>
      <c r="B91" s="28" t="s">
        <v>300</v>
      </c>
      <c r="C91" s="24"/>
      <c r="D91" s="32" t="s">
        <v>81</v>
      </c>
      <c r="E91" s="24">
        <v>850</v>
      </c>
      <c r="F91" s="74">
        <f t="shared" si="11"/>
        <v>0</v>
      </c>
    </row>
    <row r="92" spans="1:6" ht="81.650000000000006" customHeight="1">
      <c r="A92" s="49" t="s">
        <v>54</v>
      </c>
      <c r="B92" s="28" t="s">
        <v>416</v>
      </c>
      <c r="C92" s="24">
        <v>1</v>
      </c>
      <c r="D92" s="26" t="s">
        <v>80</v>
      </c>
      <c r="E92" s="24">
        <v>52500</v>
      </c>
      <c r="F92" s="74">
        <f>E92*C92</f>
        <v>52500</v>
      </c>
    </row>
    <row r="93" spans="1:6" ht="74">
      <c r="A93" s="49" t="s">
        <v>55</v>
      </c>
      <c r="B93" s="28" t="s">
        <v>244</v>
      </c>
      <c r="C93" s="87"/>
      <c r="D93" s="49" t="s">
        <v>83</v>
      </c>
      <c r="E93" s="49">
        <v>550</v>
      </c>
      <c r="F93" s="64"/>
    </row>
    <row r="94" spans="1:6" ht="129.5">
      <c r="A94" s="49" t="s">
        <v>518</v>
      </c>
      <c r="B94" s="28" t="s">
        <v>40</v>
      </c>
      <c r="C94" s="49"/>
      <c r="D94" s="28"/>
      <c r="E94" s="49"/>
      <c r="F94" s="64"/>
    </row>
    <row r="95" spans="1:6">
      <c r="A95" s="49"/>
      <c r="B95" s="28" t="s">
        <v>51</v>
      </c>
      <c r="C95" s="49"/>
      <c r="D95" s="49" t="s">
        <v>82</v>
      </c>
      <c r="E95" s="49">
        <v>800</v>
      </c>
      <c r="F95" s="74">
        <f t="shared" ref="F95:F103" si="12">E96*C95</f>
        <v>0</v>
      </c>
    </row>
    <row r="96" spans="1:6" ht="37">
      <c r="A96" s="49"/>
      <c r="B96" s="28" t="s">
        <v>52</v>
      </c>
      <c r="C96" s="49"/>
      <c r="D96" s="49" t="s">
        <v>82</v>
      </c>
      <c r="E96" s="49">
        <v>1050</v>
      </c>
      <c r="F96" s="74">
        <f t="shared" si="12"/>
        <v>0</v>
      </c>
    </row>
    <row r="97" spans="1:6" ht="37">
      <c r="A97" s="49"/>
      <c r="B97" s="28" t="s">
        <v>53</v>
      </c>
      <c r="C97" s="49"/>
      <c r="D97" s="49" t="s">
        <v>82</v>
      </c>
      <c r="E97" s="49">
        <v>1250</v>
      </c>
      <c r="F97" s="74">
        <f t="shared" si="12"/>
        <v>0</v>
      </c>
    </row>
    <row r="98" spans="1:6">
      <c r="A98" s="49"/>
      <c r="B98" s="28" t="s">
        <v>519</v>
      </c>
      <c r="C98" s="49"/>
      <c r="D98" s="49" t="s">
        <v>82</v>
      </c>
      <c r="E98" s="49">
        <v>1250</v>
      </c>
      <c r="F98" s="74">
        <f t="shared" si="12"/>
        <v>0</v>
      </c>
    </row>
    <row r="99" spans="1:6" ht="37">
      <c r="A99" s="49"/>
      <c r="B99" s="28" t="s">
        <v>520</v>
      </c>
      <c r="C99" s="49"/>
      <c r="D99" s="49" t="s">
        <v>82</v>
      </c>
      <c r="E99" s="49">
        <v>1350</v>
      </c>
      <c r="F99" s="74">
        <f t="shared" si="12"/>
        <v>0</v>
      </c>
    </row>
    <row r="100" spans="1:6" ht="37">
      <c r="A100" s="49"/>
      <c r="B100" s="28" t="s">
        <v>521</v>
      </c>
      <c r="C100" s="49"/>
      <c r="D100" s="49" t="s">
        <v>82</v>
      </c>
      <c r="E100" s="49">
        <v>2000</v>
      </c>
      <c r="F100" s="74">
        <f t="shared" si="12"/>
        <v>0</v>
      </c>
    </row>
    <row r="101" spans="1:6">
      <c r="A101" s="49"/>
      <c r="B101" s="28" t="s">
        <v>522</v>
      </c>
      <c r="C101" s="49"/>
      <c r="D101" s="49" t="s">
        <v>82</v>
      </c>
      <c r="E101" s="49">
        <v>1950</v>
      </c>
      <c r="F101" s="74">
        <f t="shared" si="12"/>
        <v>0</v>
      </c>
    </row>
    <row r="102" spans="1:6" ht="37">
      <c r="A102" s="49"/>
      <c r="B102" s="28" t="s">
        <v>523</v>
      </c>
      <c r="C102" s="49"/>
      <c r="D102" s="49" t="s">
        <v>82</v>
      </c>
      <c r="E102" s="49">
        <v>2250</v>
      </c>
      <c r="F102" s="74">
        <f t="shared" si="12"/>
        <v>0</v>
      </c>
    </row>
    <row r="103" spans="1:6" ht="37">
      <c r="A103" s="49"/>
      <c r="B103" s="28" t="s">
        <v>524</v>
      </c>
      <c r="C103" s="49"/>
      <c r="D103" s="49" t="s">
        <v>82</v>
      </c>
      <c r="E103" s="49">
        <v>2750</v>
      </c>
      <c r="F103" s="74">
        <f t="shared" si="12"/>
        <v>0</v>
      </c>
    </row>
    <row r="104" spans="1:6">
      <c r="A104" s="67"/>
      <c r="B104" s="35" t="s">
        <v>56</v>
      </c>
      <c r="C104" s="3"/>
      <c r="D104" s="4"/>
      <c r="E104" s="4"/>
      <c r="F104" s="76">
        <f>SUM(F39:F103)</f>
        <v>1675350</v>
      </c>
    </row>
    <row r="105" spans="1:6" ht="17.5" customHeight="1">
      <c r="A105" s="67"/>
      <c r="B105" s="36" t="s">
        <v>60</v>
      </c>
      <c r="C105" s="55"/>
      <c r="D105" s="4"/>
      <c r="E105" s="4"/>
      <c r="F105" s="73"/>
    </row>
    <row r="106" spans="1:6" ht="111">
      <c r="A106" s="5" t="s">
        <v>61</v>
      </c>
      <c r="B106" s="11" t="s">
        <v>314</v>
      </c>
      <c r="C106" s="56"/>
      <c r="D106" s="8"/>
      <c r="E106" s="49"/>
      <c r="F106" s="24"/>
    </row>
    <row r="107" spans="1:6" ht="17.5" customHeight="1">
      <c r="A107" s="5" t="s">
        <v>301</v>
      </c>
      <c r="B107" s="23" t="s">
        <v>302</v>
      </c>
      <c r="C107" s="24"/>
      <c r="D107" s="32" t="s">
        <v>80</v>
      </c>
      <c r="E107" s="49">
        <v>7250</v>
      </c>
      <c r="F107" s="24"/>
    </row>
    <row r="108" spans="1:6" ht="17.5" customHeight="1">
      <c r="A108" s="5" t="s">
        <v>303</v>
      </c>
      <c r="B108" s="23" t="s">
        <v>304</v>
      </c>
      <c r="C108" s="24"/>
      <c r="D108" s="32" t="s">
        <v>80</v>
      </c>
      <c r="E108" s="63">
        <v>7250</v>
      </c>
      <c r="F108" s="24"/>
    </row>
    <row r="109" spans="1:6" ht="129.5">
      <c r="A109" s="49" t="s">
        <v>62</v>
      </c>
      <c r="B109" s="11" t="s">
        <v>502</v>
      </c>
      <c r="C109" s="32"/>
      <c r="D109" s="8"/>
      <c r="E109" s="63"/>
      <c r="F109" s="24"/>
    </row>
    <row r="110" spans="1:6" ht="17.5" customHeight="1">
      <c r="A110" s="49"/>
      <c r="B110" s="28" t="s">
        <v>305</v>
      </c>
      <c r="C110" s="24"/>
      <c r="D110" s="32" t="s">
        <v>80</v>
      </c>
      <c r="E110" s="63">
        <v>6950</v>
      </c>
      <c r="F110" s="24"/>
    </row>
    <row r="111" spans="1:6" ht="17.5" customHeight="1">
      <c r="A111" s="49"/>
      <c r="B111" s="28" t="s">
        <v>306</v>
      </c>
      <c r="C111" s="24"/>
      <c r="D111" s="32" t="s">
        <v>80</v>
      </c>
      <c r="E111" s="63">
        <v>7250</v>
      </c>
      <c r="F111" s="24"/>
    </row>
    <row r="112" spans="1:6" ht="17.5" customHeight="1">
      <c r="A112" s="49"/>
      <c r="B112" s="28" t="s">
        <v>307</v>
      </c>
      <c r="C112" s="24"/>
      <c r="D112" s="32" t="s">
        <v>80</v>
      </c>
      <c r="E112" s="63">
        <v>7650</v>
      </c>
      <c r="F112" s="24"/>
    </row>
    <row r="113" spans="1:6" ht="129.65" customHeight="1">
      <c r="A113" s="49" t="s">
        <v>63</v>
      </c>
      <c r="B113" s="28" t="s">
        <v>276</v>
      </c>
      <c r="C113" s="24"/>
      <c r="D113" s="32" t="s">
        <v>80</v>
      </c>
      <c r="E113" s="63">
        <v>6350</v>
      </c>
      <c r="F113" s="74">
        <f t="shared" ref="F113" si="13">E113*C113</f>
        <v>0</v>
      </c>
    </row>
    <row r="114" spans="1:6" ht="37">
      <c r="A114" s="49" t="s">
        <v>64</v>
      </c>
      <c r="B114" s="44" t="s">
        <v>214</v>
      </c>
      <c r="C114" s="24"/>
      <c r="D114" s="32" t="s">
        <v>80</v>
      </c>
      <c r="E114" s="63">
        <v>6650</v>
      </c>
      <c r="F114" s="24"/>
    </row>
    <row r="115" spans="1:6" ht="129.5">
      <c r="A115" s="49" t="s">
        <v>76</v>
      </c>
      <c r="B115" s="28" t="s">
        <v>277</v>
      </c>
      <c r="C115" s="49"/>
      <c r="D115" s="8"/>
      <c r="E115" s="63"/>
      <c r="F115" s="25"/>
    </row>
    <row r="116" spans="1:6">
      <c r="A116" s="5"/>
      <c r="B116" s="28" t="s">
        <v>390</v>
      </c>
      <c r="C116" s="24"/>
      <c r="D116" s="32" t="s">
        <v>80</v>
      </c>
      <c r="E116" s="63">
        <v>6350</v>
      </c>
      <c r="F116" s="74">
        <f t="shared" ref="F116" si="14">E116*C116</f>
        <v>0</v>
      </c>
    </row>
    <row r="117" spans="1:6">
      <c r="A117" s="5"/>
      <c r="B117" s="28" t="s">
        <v>306</v>
      </c>
      <c r="C117" s="24"/>
      <c r="D117" s="32" t="s">
        <v>80</v>
      </c>
      <c r="E117" s="63">
        <v>6750</v>
      </c>
      <c r="F117" s="79"/>
    </row>
    <row r="118" spans="1:6" ht="117.75" customHeight="1">
      <c r="A118" s="5" t="s">
        <v>321</v>
      </c>
      <c r="B118" s="38" t="s">
        <v>482</v>
      </c>
      <c r="C118" s="53"/>
      <c r="D118" s="7"/>
      <c r="E118" s="63"/>
      <c r="F118" s="25"/>
    </row>
    <row r="119" spans="1:6">
      <c r="A119" s="5"/>
      <c r="B119" s="37" t="s">
        <v>254</v>
      </c>
      <c r="C119" s="24"/>
      <c r="D119" s="32" t="s">
        <v>81</v>
      </c>
      <c r="E119" s="63">
        <v>850</v>
      </c>
      <c r="F119" s="74">
        <f>E119*C119</f>
        <v>0</v>
      </c>
    </row>
    <row r="120" spans="1:6" ht="54" customHeight="1">
      <c r="A120" s="49"/>
      <c r="B120" s="28" t="s">
        <v>239</v>
      </c>
      <c r="C120" s="24"/>
      <c r="D120" s="32" t="s">
        <v>81</v>
      </c>
      <c r="E120" s="94">
        <v>875</v>
      </c>
      <c r="F120" s="79"/>
    </row>
    <row r="121" spans="1:6" ht="118.5" customHeight="1">
      <c r="A121" s="5" t="s">
        <v>424</v>
      </c>
      <c r="B121" s="38" t="s">
        <v>322</v>
      </c>
      <c r="C121" s="24"/>
      <c r="D121" s="32" t="s">
        <v>288</v>
      </c>
      <c r="E121" s="94">
        <v>875</v>
      </c>
      <c r="F121" s="79"/>
    </row>
    <row r="122" spans="1:6">
      <c r="A122" s="67"/>
      <c r="B122" s="22" t="s">
        <v>65</v>
      </c>
      <c r="C122" s="3"/>
      <c r="D122" s="4"/>
      <c r="E122" s="4"/>
      <c r="F122" s="76">
        <f>SUM(F106:F121)</f>
        <v>0</v>
      </c>
    </row>
    <row r="123" spans="1:6" ht="27.75" customHeight="1">
      <c r="A123" s="67"/>
      <c r="B123" s="36" t="s">
        <v>67</v>
      </c>
      <c r="C123" s="55"/>
      <c r="D123" s="4"/>
      <c r="E123" s="4"/>
      <c r="F123" s="73"/>
    </row>
    <row r="124" spans="1:6" ht="122.25" customHeight="1">
      <c r="A124" s="5" t="s">
        <v>68</v>
      </c>
      <c r="B124" s="23" t="s">
        <v>255</v>
      </c>
      <c r="C124" s="20"/>
      <c r="D124" s="26" t="s">
        <v>81</v>
      </c>
      <c r="E124" s="24">
        <v>625</v>
      </c>
      <c r="F124" s="74">
        <f t="shared" ref="F124" si="15">E124*C124</f>
        <v>0</v>
      </c>
    </row>
    <row r="125" spans="1:6" s="2" customFormat="1" ht="153.75" customHeight="1">
      <c r="A125" s="5" t="s">
        <v>69</v>
      </c>
      <c r="B125" s="23" t="s">
        <v>608</v>
      </c>
      <c r="C125" s="32"/>
      <c r="D125" s="26" t="s">
        <v>80</v>
      </c>
      <c r="E125" s="24">
        <v>5450</v>
      </c>
      <c r="F125" s="74">
        <f>E125*C125</f>
        <v>0</v>
      </c>
    </row>
    <row r="126" spans="1:6" s="2" customFormat="1" ht="55.5">
      <c r="A126" s="5" t="s">
        <v>468</v>
      </c>
      <c r="B126" s="48" t="s">
        <v>467</v>
      </c>
      <c r="C126" s="89"/>
      <c r="D126" s="26" t="s">
        <v>80</v>
      </c>
      <c r="E126" s="24">
        <v>5650</v>
      </c>
      <c r="F126" s="74">
        <f>E126*C126</f>
        <v>0</v>
      </c>
    </row>
    <row r="127" spans="1:6" ht="222.75" customHeight="1">
      <c r="A127" s="5" t="s">
        <v>469</v>
      </c>
      <c r="B127" s="28" t="s">
        <v>609</v>
      </c>
      <c r="C127" s="63"/>
      <c r="D127" s="26" t="s">
        <v>288</v>
      </c>
      <c r="E127" s="24">
        <v>95</v>
      </c>
      <c r="F127" s="74">
        <f t="shared" ref="F127" si="16">E127*C127</f>
        <v>0</v>
      </c>
    </row>
    <row r="128" spans="1:6" ht="111">
      <c r="A128" s="49"/>
      <c r="B128" s="18" t="s">
        <v>483</v>
      </c>
      <c r="C128" s="57"/>
      <c r="D128" s="26"/>
      <c r="E128" s="24"/>
      <c r="F128" s="79"/>
    </row>
    <row r="129" spans="1:6" ht="231.75" customHeight="1">
      <c r="A129" s="5" t="s">
        <v>470</v>
      </c>
      <c r="B129" s="28" t="s">
        <v>507</v>
      </c>
      <c r="C129" s="24"/>
      <c r="D129" s="26" t="s">
        <v>288</v>
      </c>
      <c r="E129" s="24">
        <v>125</v>
      </c>
      <c r="F129" s="74">
        <f t="shared" ref="F129:F130" si="17">E129*C129</f>
        <v>0</v>
      </c>
    </row>
    <row r="130" spans="1:6" ht="55.5">
      <c r="A130" s="49"/>
      <c r="B130" s="28" t="s">
        <v>510</v>
      </c>
      <c r="C130" s="24"/>
      <c r="D130" s="26" t="s">
        <v>240</v>
      </c>
      <c r="E130" s="24">
        <v>22.5</v>
      </c>
      <c r="F130" s="74">
        <f t="shared" si="17"/>
        <v>0</v>
      </c>
    </row>
    <row r="131" spans="1:6" ht="159.75" customHeight="1">
      <c r="A131" s="5" t="s">
        <v>70</v>
      </c>
      <c r="B131" s="23" t="s">
        <v>259</v>
      </c>
      <c r="C131" s="24"/>
      <c r="D131" s="26" t="s">
        <v>71</v>
      </c>
      <c r="E131" s="24">
        <v>250</v>
      </c>
      <c r="F131" s="79"/>
    </row>
    <row r="132" spans="1:6" ht="200.25" customHeight="1">
      <c r="A132" s="5" t="s">
        <v>72</v>
      </c>
      <c r="B132" s="23" t="s">
        <v>183</v>
      </c>
      <c r="C132" s="5"/>
      <c r="D132" s="26"/>
      <c r="E132" s="24"/>
      <c r="F132" s="25"/>
    </row>
    <row r="133" spans="1:6">
      <c r="A133" s="49"/>
      <c r="B133" s="28" t="s">
        <v>241</v>
      </c>
      <c r="C133" s="24"/>
      <c r="D133" s="26" t="s">
        <v>83</v>
      </c>
      <c r="E133" s="24">
        <v>175</v>
      </c>
      <c r="F133" s="74">
        <f t="shared" ref="F133" si="18">E133*C133</f>
        <v>0</v>
      </c>
    </row>
    <row r="134" spans="1:6">
      <c r="A134" s="49"/>
      <c r="B134" s="28" t="s">
        <v>242</v>
      </c>
      <c r="C134" s="24"/>
      <c r="D134" s="26" t="s">
        <v>83</v>
      </c>
      <c r="E134" s="24">
        <v>165</v>
      </c>
      <c r="F134" s="79"/>
    </row>
    <row r="135" spans="1:6" ht="111">
      <c r="A135" s="5" t="s">
        <v>74</v>
      </c>
      <c r="B135" s="23" t="s">
        <v>484</v>
      </c>
      <c r="C135" s="5"/>
      <c r="D135" s="7"/>
      <c r="E135" s="24"/>
      <c r="F135" s="25"/>
    </row>
    <row r="136" spans="1:6">
      <c r="A136" s="5"/>
      <c r="B136" s="23" t="s">
        <v>417</v>
      </c>
      <c r="C136" s="5"/>
      <c r="D136" s="26"/>
      <c r="E136" s="24"/>
      <c r="F136" s="25"/>
    </row>
    <row r="137" spans="1:6" ht="37">
      <c r="A137" s="5"/>
      <c r="B137" s="23" t="s">
        <v>485</v>
      </c>
      <c r="C137" s="24"/>
      <c r="D137" s="26" t="s">
        <v>81</v>
      </c>
      <c r="E137" s="24">
        <v>750</v>
      </c>
      <c r="F137" s="74">
        <f>E137*C137</f>
        <v>0</v>
      </c>
    </row>
    <row r="138" spans="1:6" ht="37">
      <c r="A138" s="5"/>
      <c r="B138" s="23" t="s">
        <v>97</v>
      </c>
      <c r="C138" s="20"/>
      <c r="D138" s="26" t="s">
        <v>83</v>
      </c>
      <c r="E138" s="24">
        <v>550</v>
      </c>
      <c r="F138" s="74">
        <f>E138*C138</f>
        <v>0</v>
      </c>
    </row>
    <row r="139" spans="1:6" ht="37">
      <c r="A139" s="49"/>
      <c r="B139" s="28" t="s">
        <v>418</v>
      </c>
      <c r="C139" s="24"/>
      <c r="D139" s="26" t="s">
        <v>83</v>
      </c>
      <c r="E139" s="24">
        <v>550</v>
      </c>
      <c r="F139" s="79"/>
    </row>
    <row r="140" spans="1:6" ht="137.25" customHeight="1">
      <c r="A140" s="49" t="s">
        <v>75</v>
      </c>
      <c r="B140" s="28" t="s">
        <v>486</v>
      </c>
      <c r="C140" s="49"/>
      <c r="D140" s="26"/>
      <c r="E140" s="24"/>
      <c r="F140" s="74">
        <f t="shared" ref="F140:F158" si="19">E140*C140</f>
        <v>0</v>
      </c>
    </row>
    <row r="141" spans="1:6">
      <c r="A141" s="49"/>
      <c r="B141" s="28" t="s">
        <v>234</v>
      </c>
      <c r="C141" s="24"/>
      <c r="D141" s="26" t="s">
        <v>81</v>
      </c>
      <c r="E141" s="24">
        <v>1375</v>
      </c>
      <c r="F141" s="74">
        <f t="shared" si="19"/>
        <v>0</v>
      </c>
    </row>
    <row r="142" spans="1:6">
      <c r="A142" s="49"/>
      <c r="B142" s="28" t="s">
        <v>235</v>
      </c>
      <c r="C142" s="24"/>
      <c r="D142" s="26" t="s">
        <v>81</v>
      </c>
      <c r="E142" s="24">
        <v>1675</v>
      </c>
      <c r="F142" s="74">
        <f t="shared" si="19"/>
        <v>0</v>
      </c>
    </row>
    <row r="143" spans="1:6" ht="156" customHeight="1">
      <c r="A143" s="5" t="s">
        <v>156</v>
      </c>
      <c r="B143" s="38" t="s">
        <v>260</v>
      </c>
      <c r="C143" s="24"/>
      <c r="D143" s="26" t="s">
        <v>81</v>
      </c>
      <c r="E143" s="24">
        <v>1575</v>
      </c>
      <c r="F143" s="74">
        <f t="shared" si="19"/>
        <v>0</v>
      </c>
    </row>
    <row r="144" spans="1:6" ht="137.25" customHeight="1">
      <c r="A144" s="5" t="s">
        <v>157</v>
      </c>
      <c r="B144" s="23" t="s">
        <v>4</v>
      </c>
      <c r="C144" s="5"/>
      <c r="D144" s="7"/>
      <c r="E144" s="24"/>
      <c r="F144" s="74">
        <f t="shared" si="19"/>
        <v>0</v>
      </c>
    </row>
    <row r="145" spans="1:6">
      <c r="A145" s="5"/>
      <c r="B145" s="23" t="s">
        <v>88</v>
      </c>
      <c r="C145" s="20"/>
      <c r="D145" s="32" t="s">
        <v>81</v>
      </c>
      <c r="E145" s="24">
        <v>1150</v>
      </c>
      <c r="F145" s="74">
        <f t="shared" si="19"/>
        <v>0</v>
      </c>
    </row>
    <row r="146" spans="1:6" ht="37">
      <c r="A146" s="5"/>
      <c r="B146" s="23" t="s">
        <v>89</v>
      </c>
      <c r="C146" s="20"/>
      <c r="D146" s="32" t="s">
        <v>81</v>
      </c>
      <c r="E146" s="24">
        <v>1250</v>
      </c>
      <c r="F146" s="74">
        <f t="shared" si="19"/>
        <v>0</v>
      </c>
    </row>
    <row r="147" spans="1:6" ht="92.5">
      <c r="A147" s="5" t="s">
        <v>158</v>
      </c>
      <c r="B147" s="23" t="s">
        <v>487</v>
      </c>
      <c r="C147" s="5"/>
      <c r="D147" s="7"/>
      <c r="E147" s="24"/>
      <c r="F147" s="74">
        <f t="shared" si="19"/>
        <v>0</v>
      </c>
    </row>
    <row r="148" spans="1:6">
      <c r="A148" s="5"/>
      <c r="B148" s="28" t="s">
        <v>419</v>
      </c>
      <c r="C148" s="24"/>
      <c r="D148" s="32" t="s">
        <v>81</v>
      </c>
      <c r="E148" s="24">
        <v>1275</v>
      </c>
      <c r="F148" s="74">
        <f t="shared" si="19"/>
        <v>0</v>
      </c>
    </row>
    <row r="149" spans="1:6" ht="37">
      <c r="A149" s="5"/>
      <c r="B149" s="28" t="s">
        <v>444</v>
      </c>
      <c r="C149" s="24"/>
      <c r="D149" s="32" t="s">
        <v>83</v>
      </c>
      <c r="E149" s="24">
        <v>500</v>
      </c>
      <c r="F149" s="74">
        <f t="shared" si="19"/>
        <v>0</v>
      </c>
    </row>
    <row r="150" spans="1:6" ht="129.5">
      <c r="A150" s="49" t="s">
        <v>87</v>
      </c>
      <c r="B150" s="28" t="s">
        <v>445</v>
      </c>
      <c r="C150" s="32"/>
      <c r="D150" s="32" t="s">
        <v>81</v>
      </c>
      <c r="E150" s="24">
        <v>3550</v>
      </c>
      <c r="F150" s="74">
        <f t="shared" si="19"/>
        <v>0</v>
      </c>
    </row>
    <row r="151" spans="1:6" ht="111">
      <c r="A151" s="5" t="s">
        <v>90</v>
      </c>
      <c r="B151" s="23" t="s">
        <v>446</v>
      </c>
      <c r="C151" s="24"/>
      <c r="D151" s="32" t="s">
        <v>81</v>
      </c>
      <c r="E151" s="24">
        <v>3500</v>
      </c>
      <c r="F151" s="74">
        <f t="shared" si="19"/>
        <v>0</v>
      </c>
    </row>
    <row r="152" spans="1:6" ht="111">
      <c r="A152" s="5" t="s">
        <v>230</v>
      </c>
      <c r="B152" s="23" t="s">
        <v>155</v>
      </c>
      <c r="C152" s="24"/>
      <c r="D152" s="32" t="s">
        <v>81</v>
      </c>
      <c r="E152" s="24">
        <v>2750</v>
      </c>
      <c r="F152" s="74">
        <f t="shared" si="19"/>
        <v>0</v>
      </c>
    </row>
    <row r="153" spans="1:6" ht="129.5">
      <c r="A153" s="5" t="s">
        <v>231</v>
      </c>
      <c r="B153" s="23" t="s">
        <v>110</v>
      </c>
      <c r="C153" s="24"/>
      <c r="D153" s="32" t="s">
        <v>81</v>
      </c>
      <c r="E153" s="24">
        <v>2750</v>
      </c>
      <c r="F153" s="74">
        <f t="shared" si="19"/>
        <v>0</v>
      </c>
    </row>
    <row r="154" spans="1:6" ht="92.5">
      <c r="A154" s="5" t="s">
        <v>154</v>
      </c>
      <c r="B154" s="23" t="s">
        <v>223</v>
      </c>
      <c r="C154" s="24"/>
      <c r="D154" s="32" t="s">
        <v>81</v>
      </c>
      <c r="E154" s="24">
        <v>1250</v>
      </c>
      <c r="F154" s="74">
        <f t="shared" si="19"/>
        <v>0</v>
      </c>
    </row>
    <row r="155" spans="1:6" ht="315" hidden="1" customHeight="1">
      <c r="A155" s="5" t="s">
        <v>252</v>
      </c>
      <c r="B155" s="38" t="s">
        <v>278</v>
      </c>
      <c r="C155" s="20"/>
      <c r="D155" s="32" t="s">
        <v>81</v>
      </c>
      <c r="E155" s="24"/>
      <c r="F155" s="74">
        <f t="shared" si="19"/>
        <v>0</v>
      </c>
    </row>
    <row r="156" spans="1:6" ht="111">
      <c r="A156" s="5" t="s">
        <v>252</v>
      </c>
      <c r="B156" s="23" t="s">
        <v>257</v>
      </c>
      <c r="C156" s="24"/>
      <c r="D156" s="32" t="s">
        <v>81</v>
      </c>
      <c r="E156" s="24">
        <v>1250</v>
      </c>
      <c r="F156" s="74">
        <f t="shared" si="19"/>
        <v>0</v>
      </c>
    </row>
    <row r="157" spans="1:6" ht="129.5">
      <c r="A157" s="5" t="s">
        <v>388</v>
      </c>
      <c r="B157" s="23" t="s">
        <v>387</v>
      </c>
      <c r="C157" s="24"/>
      <c r="D157" s="32" t="s">
        <v>81</v>
      </c>
      <c r="E157" s="24">
        <v>3750</v>
      </c>
      <c r="F157" s="74">
        <f t="shared" si="19"/>
        <v>0</v>
      </c>
    </row>
    <row r="158" spans="1:6" ht="351" customHeight="1">
      <c r="A158" s="5" t="s">
        <v>511</v>
      </c>
      <c r="B158" s="23" t="s">
        <v>603</v>
      </c>
      <c r="C158" s="24"/>
      <c r="D158" s="32" t="s">
        <v>81</v>
      </c>
      <c r="E158" s="24">
        <v>810</v>
      </c>
      <c r="F158" s="74">
        <f t="shared" si="19"/>
        <v>0</v>
      </c>
    </row>
    <row r="159" spans="1:6">
      <c r="A159" s="67"/>
      <c r="B159" s="22" t="s">
        <v>91</v>
      </c>
      <c r="C159" s="3"/>
      <c r="D159" s="4"/>
      <c r="E159" s="4"/>
      <c r="F159" s="80">
        <f>SUM(F124:F158)</f>
        <v>0</v>
      </c>
    </row>
    <row r="160" spans="1:6" ht="17.5" customHeight="1">
      <c r="A160" s="67"/>
      <c r="B160" s="36" t="s">
        <v>102</v>
      </c>
      <c r="C160" s="55"/>
      <c r="D160" s="4"/>
      <c r="E160" s="4"/>
      <c r="F160" s="73"/>
    </row>
    <row r="161" spans="1:6" ht="166.5">
      <c r="A161" s="49" t="s">
        <v>92</v>
      </c>
      <c r="B161" s="28" t="s">
        <v>488</v>
      </c>
      <c r="C161" s="49"/>
      <c r="D161" s="8"/>
      <c r="E161" s="24"/>
      <c r="F161" s="24"/>
    </row>
    <row r="162" spans="1:6" ht="38.25" customHeight="1">
      <c r="A162" s="49"/>
      <c r="B162" s="28" t="s">
        <v>93</v>
      </c>
      <c r="C162" s="24"/>
      <c r="D162" s="32" t="s">
        <v>81</v>
      </c>
      <c r="E162" s="24">
        <v>395</v>
      </c>
      <c r="F162" s="74">
        <f t="shared" ref="F162:F164" si="20">E162*C162</f>
        <v>0</v>
      </c>
    </row>
    <row r="163" spans="1:6">
      <c r="A163" s="49"/>
      <c r="B163" s="28" t="s">
        <v>94</v>
      </c>
      <c r="C163" s="24"/>
      <c r="D163" s="32" t="s">
        <v>81</v>
      </c>
      <c r="E163" s="24">
        <v>425</v>
      </c>
      <c r="F163" s="74">
        <f t="shared" si="20"/>
        <v>0</v>
      </c>
    </row>
    <row r="164" spans="1:6" ht="213.75" customHeight="1">
      <c r="A164" s="49" t="s">
        <v>95</v>
      </c>
      <c r="B164" s="28" t="s">
        <v>489</v>
      </c>
      <c r="C164" s="20"/>
      <c r="D164" s="32" t="s">
        <v>81</v>
      </c>
      <c r="E164" s="24">
        <v>485</v>
      </c>
      <c r="F164" s="74">
        <f t="shared" si="20"/>
        <v>0</v>
      </c>
    </row>
    <row r="165" spans="1:6" ht="132" customHeight="1">
      <c r="A165" s="5" t="s">
        <v>265</v>
      </c>
      <c r="B165" s="28" t="s">
        <v>447</v>
      </c>
      <c r="C165" s="24"/>
      <c r="D165" s="32" t="s">
        <v>81</v>
      </c>
      <c r="E165" s="24">
        <v>575</v>
      </c>
      <c r="F165" s="81"/>
    </row>
    <row r="166" spans="1:6" ht="261" customHeight="1">
      <c r="A166" s="5" t="s">
        <v>96</v>
      </c>
      <c r="B166" s="17" t="s">
        <v>448</v>
      </c>
      <c r="C166" s="24">
        <v>97</v>
      </c>
      <c r="D166" s="32" t="s">
        <v>81</v>
      </c>
      <c r="E166" s="24">
        <v>575</v>
      </c>
      <c r="F166" s="74">
        <f t="shared" ref="F166:F168" si="21">E166*C166</f>
        <v>55775</v>
      </c>
    </row>
    <row r="167" spans="1:6" ht="141.75" customHeight="1">
      <c r="A167" s="49" t="s">
        <v>159</v>
      </c>
      <c r="B167" s="28" t="s">
        <v>267</v>
      </c>
      <c r="C167" s="24">
        <v>454</v>
      </c>
      <c r="D167" s="32" t="s">
        <v>81</v>
      </c>
      <c r="E167" s="24">
        <v>525</v>
      </c>
      <c r="F167" s="74">
        <f t="shared" si="21"/>
        <v>238350</v>
      </c>
    </row>
    <row r="168" spans="1:6" ht="129.5">
      <c r="A168" s="49" t="s">
        <v>23</v>
      </c>
      <c r="B168" s="23" t="s">
        <v>420</v>
      </c>
      <c r="C168" s="24"/>
      <c r="D168" s="26" t="s">
        <v>81</v>
      </c>
      <c r="E168" s="24">
        <v>160</v>
      </c>
      <c r="F168" s="74">
        <f t="shared" si="21"/>
        <v>0</v>
      </c>
    </row>
    <row r="169" spans="1:6" ht="170.25" customHeight="1">
      <c r="A169" s="5" t="s">
        <v>98</v>
      </c>
      <c r="B169" s="23" t="s">
        <v>248</v>
      </c>
      <c r="C169" s="24"/>
      <c r="D169" s="26" t="s">
        <v>81</v>
      </c>
      <c r="E169" s="24">
        <v>375</v>
      </c>
      <c r="F169" s="79"/>
    </row>
    <row r="170" spans="1:6" ht="159.75" customHeight="1">
      <c r="A170" s="5" t="s">
        <v>99</v>
      </c>
      <c r="B170" s="23" t="s">
        <v>247</v>
      </c>
      <c r="C170" s="24"/>
      <c r="D170" s="26" t="s">
        <v>81</v>
      </c>
      <c r="E170" s="24">
        <v>375</v>
      </c>
      <c r="F170" s="79"/>
    </row>
    <row r="171" spans="1:6" ht="113.25" customHeight="1">
      <c r="A171" s="5" t="s">
        <v>100</v>
      </c>
      <c r="B171" s="23" t="s">
        <v>421</v>
      </c>
      <c r="C171" s="24"/>
      <c r="D171" s="26" t="s">
        <v>81</v>
      </c>
      <c r="E171" s="24">
        <v>265</v>
      </c>
      <c r="F171" s="79"/>
    </row>
    <row r="172" spans="1:6" ht="115.5" customHeight="1">
      <c r="A172" s="5" t="s">
        <v>41</v>
      </c>
      <c r="B172" s="23" t="s">
        <v>246</v>
      </c>
      <c r="C172" s="20"/>
      <c r="D172" s="26" t="s">
        <v>81</v>
      </c>
      <c r="E172" s="24">
        <v>240</v>
      </c>
      <c r="F172" s="74">
        <f t="shared" ref="F172" si="22">E172*C172</f>
        <v>0</v>
      </c>
    </row>
    <row r="173" spans="1:6" ht="92.5">
      <c r="A173" s="5" t="s">
        <v>188</v>
      </c>
      <c r="B173" s="23" t="s">
        <v>245</v>
      </c>
      <c r="C173" s="24"/>
      <c r="D173" s="26" t="s">
        <v>81</v>
      </c>
      <c r="E173" s="20">
        <v>230</v>
      </c>
      <c r="F173" s="79"/>
    </row>
    <row r="174" spans="1:6" ht="92.5">
      <c r="A174" s="5" t="s">
        <v>386</v>
      </c>
      <c r="B174" s="23" t="s">
        <v>385</v>
      </c>
      <c r="C174" s="24"/>
      <c r="D174" s="26" t="s">
        <v>289</v>
      </c>
      <c r="E174" s="20">
        <v>125</v>
      </c>
      <c r="F174" s="79">
        <f>C174*E174</f>
        <v>0</v>
      </c>
    </row>
    <row r="175" spans="1:6">
      <c r="A175" s="67"/>
      <c r="B175" s="22" t="s">
        <v>101</v>
      </c>
      <c r="C175" s="3"/>
      <c r="D175" s="4"/>
      <c r="E175" s="4"/>
      <c r="F175" s="80">
        <f>SUM(F161:F174)</f>
        <v>294125</v>
      </c>
    </row>
    <row r="176" spans="1:6">
      <c r="A176" s="67"/>
      <c r="B176" s="36" t="s">
        <v>103</v>
      </c>
      <c r="C176" s="55"/>
      <c r="D176" s="4"/>
      <c r="E176" s="4"/>
      <c r="F176" s="73"/>
    </row>
    <row r="177" spans="1:6" ht="138.75" customHeight="1">
      <c r="A177" s="5" t="s">
        <v>160</v>
      </c>
      <c r="B177" s="23" t="s">
        <v>238</v>
      </c>
      <c r="C177" s="5"/>
      <c r="D177" s="7"/>
      <c r="E177" s="24"/>
      <c r="F177" s="25"/>
    </row>
    <row r="178" spans="1:6">
      <c r="A178" s="5"/>
      <c r="B178" s="23" t="s">
        <v>105</v>
      </c>
      <c r="C178" s="24"/>
      <c r="D178" s="26" t="s">
        <v>81</v>
      </c>
      <c r="E178" s="24">
        <v>16500</v>
      </c>
      <c r="F178" s="74">
        <f t="shared" ref="F178" si="23">E178*C178</f>
        <v>0</v>
      </c>
    </row>
    <row r="179" spans="1:6">
      <c r="A179" s="5"/>
      <c r="B179" s="23" t="s">
        <v>106</v>
      </c>
      <c r="C179" s="24"/>
      <c r="D179" s="26" t="s">
        <v>81</v>
      </c>
      <c r="E179" s="24"/>
      <c r="F179" s="79"/>
    </row>
    <row r="180" spans="1:6" ht="148">
      <c r="A180" s="5" t="s">
        <v>104</v>
      </c>
      <c r="B180" s="23" t="s">
        <v>490</v>
      </c>
      <c r="C180" s="24"/>
      <c r="D180" s="26" t="s">
        <v>81</v>
      </c>
      <c r="E180" s="24"/>
      <c r="F180" s="79"/>
    </row>
    <row r="181" spans="1:6" ht="185">
      <c r="A181" s="5" t="s">
        <v>107</v>
      </c>
      <c r="B181" s="23" t="s">
        <v>491</v>
      </c>
      <c r="C181" s="5"/>
      <c r="D181" s="7"/>
      <c r="E181" s="24"/>
      <c r="F181" s="25"/>
    </row>
    <row r="182" spans="1:6">
      <c r="A182" s="5"/>
      <c r="B182" s="23" t="s">
        <v>112</v>
      </c>
      <c r="C182" s="5"/>
      <c r="D182" s="7"/>
      <c r="E182" s="24"/>
      <c r="F182" s="25"/>
    </row>
    <row r="183" spans="1:6">
      <c r="A183" s="5"/>
      <c r="B183" s="23" t="s">
        <v>113</v>
      </c>
      <c r="C183" s="5"/>
      <c r="D183" s="7"/>
      <c r="E183" s="24"/>
      <c r="F183" s="25"/>
    </row>
    <row r="184" spans="1:6">
      <c r="A184" s="5"/>
      <c r="B184" s="23" t="s">
        <v>114</v>
      </c>
      <c r="C184" s="5"/>
      <c r="D184" s="7"/>
      <c r="E184" s="24"/>
      <c r="F184" s="25"/>
    </row>
    <row r="185" spans="1:6">
      <c r="A185" s="5"/>
      <c r="B185" s="23" t="s">
        <v>115</v>
      </c>
      <c r="C185" s="5"/>
      <c r="D185" s="7"/>
      <c r="E185" s="24"/>
      <c r="F185" s="25"/>
    </row>
    <row r="186" spans="1:6">
      <c r="A186" s="5"/>
      <c r="B186" s="23" t="s">
        <v>116</v>
      </c>
      <c r="C186" s="5"/>
      <c r="D186" s="7"/>
      <c r="E186" s="24"/>
      <c r="F186" s="25"/>
    </row>
    <row r="187" spans="1:6">
      <c r="A187" s="5"/>
      <c r="B187" s="23" t="s">
        <v>117</v>
      </c>
      <c r="C187" s="5"/>
      <c r="D187" s="7"/>
      <c r="E187" s="24"/>
      <c r="F187" s="25"/>
    </row>
    <row r="188" spans="1:6">
      <c r="A188" s="5"/>
      <c r="B188" s="23" t="s">
        <v>118</v>
      </c>
      <c r="C188" s="5"/>
      <c r="D188" s="7"/>
      <c r="E188" s="24"/>
      <c r="F188" s="25"/>
    </row>
    <row r="189" spans="1:6">
      <c r="A189" s="5"/>
      <c r="B189" s="23" t="s">
        <v>119</v>
      </c>
      <c r="C189" s="5"/>
      <c r="D189" s="7"/>
      <c r="E189" s="24"/>
      <c r="F189" s="25"/>
    </row>
    <row r="190" spans="1:6">
      <c r="A190" s="5"/>
      <c r="B190" s="23" t="s">
        <v>120</v>
      </c>
      <c r="C190" s="5"/>
      <c r="D190" s="7"/>
      <c r="E190" s="24"/>
      <c r="F190" s="25"/>
    </row>
    <row r="191" spans="1:6">
      <c r="A191" s="5"/>
      <c r="B191" s="23" t="s">
        <v>121</v>
      </c>
      <c r="C191" s="5"/>
      <c r="D191" s="7"/>
      <c r="E191" s="24"/>
      <c r="F191" s="25"/>
    </row>
    <row r="192" spans="1:6">
      <c r="A192" s="5"/>
      <c r="B192" s="23" t="s">
        <v>122</v>
      </c>
      <c r="C192" s="5"/>
      <c r="D192" s="7"/>
      <c r="E192" s="24"/>
      <c r="F192" s="25"/>
    </row>
    <row r="193" spans="1:6">
      <c r="A193" s="5"/>
      <c r="B193" s="23" t="s">
        <v>123</v>
      </c>
      <c r="C193" s="5"/>
      <c r="D193" s="7"/>
      <c r="E193" s="24"/>
      <c r="F193" s="25"/>
    </row>
    <row r="194" spans="1:6">
      <c r="A194" s="5"/>
      <c r="B194" s="23" t="s">
        <v>124</v>
      </c>
      <c r="C194" s="5"/>
      <c r="D194" s="7"/>
      <c r="E194" s="24"/>
      <c r="F194" s="25"/>
    </row>
    <row r="195" spans="1:6">
      <c r="A195" s="5"/>
      <c r="B195" s="23" t="s">
        <v>125</v>
      </c>
      <c r="C195" s="5"/>
      <c r="D195" s="7"/>
      <c r="E195" s="24"/>
      <c r="F195" s="25"/>
    </row>
    <row r="196" spans="1:6">
      <c r="A196" s="5"/>
      <c r="B196" s="23" t="s">
        <v>126</v>
      </c>
      <c r="C196" s="24"/>
      <c r="D196" s="26" t="s">
        <v>81</v>
      </c>
      <c r="E196" s="88">
        <v>5250</v>
      </c>
      <c r="F196" s="74">
        <f t="shared" ref="F196" si="24">E196*C196</f>
        <v>0</v>
      </c>
    </row>
    <row r="197" spans="1:6">
      <c r="A197" s="5"/>
      <c r="B197" s="23" t="s">
        <v>127</v>
      </c>
      <c r="C197" s="24"/>
      <c r="D197" s="26" t="s">
        <v>81</v>
      </c>
      <c r="E197" s="88"/>
      <c r="F197" s="79"/>
    </row>
    <row r="198" spans="1:6">
      <c r="A198" s="5"/>
      <c r="B198" s="23" t="s">
        <v>422</v>
      </c>
      <c r="C198" s="24"/>
      <c r="D198" s="26" t="s">
        <v>352</v>
      </c>
      <c r="E198" s="24"/>
      <c r="F198" s="74">
        <f>E198*C198</f>
        <v>0</v>
      </c>
    </row>
    <row r="199" spans="1:6">
      <c r="A199" s="5"/>
      <c r="B199" s="23" t="s">
        <v>423</v>
      </c>
      <c r="C199" s="24"/>
      <c r="D199" s="26" t="s">
        <v>352</v>
      </c>
      <c r="E199" s="24"/>
      <c r="F199" s="74">
        <f>E199*C199</f>
        <v>0</v>
      </c>
    </row>
    <row r="200" spans="1:6" ht="259">
      <c r="A200" s="5" t="s">
        <v>109</v>
      </c>
      <c r="B200" s="23" t="s">
        <v>161</v>
      </c>
      <c r="C200" s="5"/>
      <c r="D200" s="12"/>
      <c r="E200" s="24"/>
      <c r="F200" s="25" t="s">
        <v>509</v>
      </c>
    </row>
    <row r="201" spans="1:6">
      <c r="A201" s="5"/>
      <c r="B201" s="23" t="s">
        <v>129</v>
      </c>
      <c r="C201" s="20"/>
      <c r="D201" s="26" t="s">
        <v>81</v>
      </c>
      <c r="E201" s="24">
        <v>4450</v>
      </c>
      <c r="F201" s="74">
        <f t="shared" ref="F201" si="25">E201*C201</f>
        <v>0</v>
      </c>
    </row>
    <row r="202" spans="1:6">
      <c r="A202" s="5"/>
      <c r="B202" s="23" t="s">
        <v>130</v>
      </c>
      <c r="C202" s="24"/>
      <c r="D202" s="26" t="s">
        <v>81</v>
      </c>
      <c r="E202" s="24">
        <v>4750</v>
      </c>
      <c r="F202" s="79"/>
    </row>
    <row r="203" spans="1:6" ht="185">
      <c r="A203" s="5" t="s">
        <v>128</v>
      </c>
      <c r="B203" s="23" t="s">
        <v>492</v>
      </c>
      <c r="C203" s="5"/>
      <c r="D203" s="7"/>
      <c r="E203" s="24"/>
      <c r="F203" s="25"/>
    </row>
    <row r="204" spans="1:6">
      <c r="A204" s="5"/>
      <c r="B204" s="23" t="s">
        <v>285</v>
      </c>
      <c r="C204" s="24"/>
      <c r="D204" s="26" t="s">
        <v>81</v>
      </c>
      <c r="E204" s="24">
        <v>3750</v>
      </c>
      <c r="F204" s="79"/>
    </row>
    <row r="205" spans="1:6">
      <c r="A205" s="5"/>
      <c r="B205" s="23" t="s">
        <v>132</v>
      </c>
      <c r="C205" s="24"/>
      <c r="D205" s="26" t="s">
        <v>81</v>
      </c>
      <c r="E205" s="88">
        <v>3750</v>
      </c>
      <c r="F205" s="79"/>
    </row>
    <row r="206" spans="1:6" ht="288.75" customHeight="1">
      <c r="A206" s="5" t="s">
        <v>131</v>
      </c>
      <c r="B206" s="23" t="s">
        <v>512</v>
      </c>
      <c r="C206" s="5"/>
      <c r="D206" s="7"/>
      <c r="E206" s="24"/>
      <c r="F206" s="25"/>
    </row>
    <row r="207" spans="1:6">
      <c r="A207" s="5"/>
      <c r="B207" s="23" t="s">
        <v>533</v>
      </c>
      <c r="C207" s="24"/>
      <c r="D207" s="26" t="s">
        <v>86</v>
      </c>
      <c r="E207" s="24">
        <v>3850</v>
      </c>
      <c r="F207" s="79">
        <f>C207*E207</f>
        <v>0</v>
      </c>
    </row>
    <row r="208" spans="1:6">
      <c r="A208" s="5"/>
      <c r="B208" s="23" t="s">
        <v>134</v>
      </c>
      <c r="C208" s="5"/>
      <c r="D208" s="7"/>
      <c r="E208" s="24"/>
      <c r="F208" s="25"/>
    </row>
    <row r="209" spans="1:6">
      <c r="A209" s="5"/>
      <c r="B209" s="23" t="s">
        <v>142</v>
      </c>
      <c r="C209" s="5"/>
      <c r="D209" s="7"/>
      <c r="E209" s="24"/>
      <c r="F209" s="25"/>
    </row>
    <row r="210" spans="1:6">
      <c r="A210" s="5"/>
      <c r="B210" s="23" t="s">
        <v>143</v>
      </c>
      <c r="C210" s="5"/>
      <c r="D210" s="7"/>
      <c r="E210" s="24"/>
      <c r="F210" s="25"/>
    </row>
    <row r="211" spans="1:6">
      <c r="A211" s="5"/>
      <c r="B211" s="23" t="s">
        <v>113</v>
      </c>
      <c r="C211" s="5"/>
      <c r="D211" s="7"/>
      <c r="E211" s="24"/>
      <c r="F211" s="25"/>
    </row>
    <row r="212" spans="1:6">
      <c r="A212" s="5"/>
      <c r="B212" s="23" t="s">
        <v>135</v>
      </c>
      <c r="C212" s="5"/>
      <c r="D212" s="7"/>
      <c r="E212" s="24"/>
      <c r="F212" s="25"/>
    </row>
    <row r="213" spans="1:6">
      <c r="A213" s="5"/>
      <c r="B213" s="23" t="s">
        <v>144</v>
      </c>
      <c r="C213" s="5"/>
      <c r="D213" s="7"/>
      <c r="E213" s="24"/>
      <c r="F213" s="25"/>
    </row>
    <row r="214" spans="1:6">
      <c r="A214" s="5"/>
      <c r="B214" s="23" t="s">
        <v>145</v>
      </c>
      <c r="C214" s="5"/>
      <c r="D214" s="7"/>
      <c r="E214" s="24"/>
      <c r="F214" s="25"/>
    </row>
    <row r="215" spans="1:6">
      <c r="A215" s="5"/>
      <c r="B215" s="23" t="s">
        <v>136</v>
      </c>
      <c r="C215" s="5"/>
      <c r="D215" s="7"/>
      <c r="E215" s="24"/>
      <c r="F215" s="25"/>
    </row>
    <row r="216" spans="1:6">
      <c r="A216" s="5"/>
      <c r="B216" s="23" t="s">
        <v>146</v>
      </c>
      <c r="C216" s="5"/>
      <c r="D216" s="7"/>
      <c r="E216" s="24"/>
      <c r="F216" s="25"/>
    </row>
    <row r="217" spans="1:6">
      <c r="A217" s="5"/>
      <c r="B217" s="23" t="s">
        <v>147</v>
      </c>
      <c r="C217" s="5"/>
      <c r="D217" s="7"/>
      <c r="E217" s="24"/>
      <c r="F217" s="25"/>
    </row>
    <row r="218" spans="1:6">
      <c r="A218" s="5"/>
      <c r="B218" s="23" t="s">
        <v>115</v>
      </c>
      <c r="C218" s="5"/>
      <c r="D218" s="7"/>
      <c r="E218" s="24"/>
      <c r="F218" s="25"/>
    </row>
    <row r="219" spans="1:6">
      <c r="A219" s="5"/>
      <c r="B219" s="23" t="s">
        <v>137</v>
      </c>
      <c r="C219" s="5"/>
      <c r="D219" s="7"/>
      <c r="E219" s="24"/>
      <c r="F219" s="25"/>
    </row>
    <row r="220" spans="1:6">
      <c r="A220" s="5"/>
      <c r="B220" s="23" t="s">
        <v>138</v>
      </c>
      <c r="C220" s="5"/>
      <c r="D220" s="7"/>
      <c r="E220" s="24"/>
      <c r="F220" s="25"/>
    </row>
    <row r="221" spans="1:6">
      <c r="A221" s="5"/>
      <c r="B221" s="23" t="s">
        <v>139</v>
      </c>
      <c r="C221" s="5"/>
      <c r="D221" s="7"/>
      <c r="E221" s="24"/>
      <c r="F221" s="25"/>
    </row>
    <row r="222" spans="1:6">
      <c r="A222" s="5"/>
      <c r="B222" s="23" t="s">
        <v>140</v>
      </c>
      <c r="C222" s="5"/>
      <c r="D222" s="7"/>
      <c r="E222" s="24"/>
      <c r="F222" s="25"/>
    </row>
    <row r="223" spans="1:6">
      <c r="A223" s="5"/>
      <c r="B223" s="23" t="s">
        <v>141</v>
      </c>
      <c r="C223" s="5"/>
      <c r="D223" s="7"/>
      <c r="E223" s="24"/>
      <c r="F223" s="25"/>
    </row>
    <row r="224" spans="1:6" ht="142.5" customHeight="1">
      <c r="A224" s="5" t="s">
        <v>133</v>
      </c>
      <c r="B224" s="23" t="s">
        <v>493</v>
      </c>
      <c r="C224" s="24"/>
      <c r="D224" s="26" t="s">
        <v>81</v>
      </c>
      <c r="E224" s="24">
        <v>4250</v>
      </c>
      <c r="F224" s="74">
        <f>E224*C224</f>
        <v>0</v>
      </c>
    </row>
    <row r="225" spans="1:6" ht="37">
      <c r="A225" s="5"/>
      <c r="B225" s="23" t="s">
        <v>149</v>
      </c>
      <c r="C225" s="5"/>
      <c r="D225" s="7"/>
      <c r="E225" s="24"/>
      <c r="F225" s="25"/>
    </row>
    <row r="226" spans="1:6">
      <c r="A226" s="5"/>
      <c r="B226" s="23" t="s">
        <v>150</v>
      </c>
      <c r="C226" s="5"/>
      <c r="D226" s="7"/>
      <c r="E226" s="24"/>
      <c r="F226" s="25"/>
    </row>
    <row r="227" spans="1:6">
      <c r="A227" s="5"/>
      <c r="B227" s="23" t="s">
        <v>117</v>
      </c>
      <c r="C227" s="5"/>
      <c r="D227" s="7"/>
      <c r="E227" s="24"/>
      <c r="F227" s="25"/>
    </row>
    <row r="228" spans="1:6" ht="18.75" customHeight="1">
      <c r="A228" s="5"/>
      <c r="B228" s="23" t="s">
        <v>151</v>
      </c>
      <c r="C228" s="5"/>
      <c r="D228" s="7"/>
      <c r="E228" s="24"/>
      <c r="F228" s="25"/>
    </row>
    <row r="229" spans="1:6">
      <c r="A229" s="5"/>
      <c r="B229" s="23" t="s">
        <v>170</v>
      </c>
      <c r="C229" s="5"/>
      <c r="D229" s="7"/>
      <c r="E229" s="24"/>
      <c r="F229" s="25"/>
    </row>
    <row r="230" spans="1:6">
      <c r="A230" s="5"/>
      <c r="B230" s="23" t="s">
        <v>124</v>
      </c>
      <c r="C230" s="5"/>
      <c r="D230" s="7"/>
      <c r="E230" s="24"/>
      <c r="F230" s="25"/>
    </row>
    <row r="231" spans="1:6">
      <c r="A231" s="5"/>
      <c r="B231" s="23" t="s">
        <v>171</v>
      </c>
      <c r="C231" s="5"/>
      <c r="D231" s="7"/>
      <c r="E231" s="24"/>
      <c r="F231" s="25"/>
    </row>
    <row r="232" spans="1:6" ht="184.5" customHeight="1">
      <c r="A232" s="5" t="s">
        <v>148</v>
      </c>
      <c r="B232" s="23" t="s">
        <v>172</v>
      </c>
      <c r="C232" s="24"/>
      <c r="D232" s="26" t="s">
        <v>81</v>
      </c>
      <c r="E232" s="24">
        <v>4750</v>
      </c>
      <c r="F232" s="74">
        <f t="shared" ref="F232" si="26">E232*C232</f>
        <v>0</v>
      </c>
    </row>
    <row r="233" spans="1:6">
      <c r="A233" s="5"/>
      <c r="B233" s="23" t="s">
        <v>173</v>
      </c>
      <c r="C233" s="5"/>
      <c r="D233" s="7"/>
      <c r="E233" s="24"/>
      <c r="F233" s="25"/>
    </row>
    <row r="234" spans="1:6">
      <c r="A234" s="5"/>
      <c r="B234" s="23" t="s">
        <v>174</v>
      </c>
      <c r="C234" s="5"/>
      <c r="D234" s="7"/>
      <c r="E234" s="24"/>
      <c r="F234" s="25"/>
    </row>
    <row r="235" spans="1:6">
      <c r="A235" s="5"/>
      <c r="B235" s="23" t="s">
        <v>117</v>
      </c>
      <c r="C235" s="5"/>
      <c r="D235" s="7"/>
      <c r="E235" s="24"/>
      <c r="F235" s="25"/>
    </row>
    <row r="236" spans="1:6">
      <c r="A236" s="5"/>
      <c r="B236" s="23" t="s">
        <v>175</v>
      </c>
      <c r="C236" s="5"/>
      <c r="D236" s="7"/>
      <c r="E236" s="24"/>
      <c r="F236" s="25"/>
    </row>
    <row r="237" spans="1:6">
      <c r="A237" s="5"/>
      <c r="B237" s="23" t="s">
        <v>176</v>
      </c>
      <c r="C237" s="5"/>
      <c r="D237" s="7"/>
      <c r="E237" s="24"/>
      <c r="F237" s="25"/>
    </row>
    <row r="238" spans="1:6">
      <c r="A238" s="5"/>
      <c r="B238" s="23" t="s">
        <v>125</v>
      </c>
      <c r="C238" s="5"/>
      <c r="D238" s="7"/>
      <c r="E238" s="24"/>
      <c r="F238" s="25"/>
    </row>
    <row r="239" spans="1:6" ht="112.5" customHeight="1">
      <c r="A239" s="5" t="s">
        <v>449</v>
      </c>
      <c r="B239" s="23" t="s">
        <v>178</v>
      </c>
      <c r="C239" s="24"/>
      <c r="D239" s="26" t="s">
        <v>81</v>
      </c>
      <c r="E239" s="24">
        <v>3500</v>
      </c>
      <c r="F239" s="79"/>
    </row>
    <row r="240" spans="1:6">
      <c r="A240" s="5"/>
      <c r="B240" s="23" t="s">
        <v>179</v>
      </c>
      <c r="C240" s="5"/>
      <c r="D240" s="7"/>
      <c r="E240" s="24"/>
      <c r="F240" s="25"/>
    </row>
    <row r="241" spans="1:7">
      <c r="A241" s="5"/>
      <c r="B241" s="23" t="s">
        <v>180</v>
      </c>
      <c r="C241" s="5"/>
      <c r="D241" s="7"/>
      <c r="E241" s="24"/>
      <c r="F241" s="25"/>
    </row>
    <row r="242" spans="1:7">
      <c r="A242" s="5"/>
      <c r="B242" s="23" t="s">
        <v>181</v>
      </c>
      <c r="C242" s="5"/>
      <c r="D242" s="7"/>
      <c r="E242" s="24"/>
      <c r="F242" s="25"/>
    </row>
    <row r="243" spans="1:7">
      <c r="A243" s="5"/>
      <c r="B243" s="23" t="s">
        <v>182</v>
      </c>
      <c r="C243" s="5"/>
      <c r="D243" s="7"/>
      <c r="E243" s="24"/>
      <c r="F243" s="25"/>
    </row>
    <row r="244" spans="1:7">
      <c r="A244" s="5"/>
      <c r="B244" s="23" t="s">
        <v>185</v>
      </c>
      <c r="C244" s="5"/>
      <c r="D244" s="7"/>
      <c r="E244" s="24"/>
      <c r="F244" s="25"/>
    </row>
    <row r="245" spans="1:7" ht="37">
      <c r="A245" s="5"/>
      <c r="B245" s="23" t="s">
        <v>186</v>
      </c>
      <c r="C245" s="5"/>
      <c r="D245" s="7"/>
      <c r="E245" s="24"/>
      <c r="F245" s="25"/>
    </row>
    <row r="246" spans="1:7" ht="129.5">
      <c r="A246" s="5" t="s">
        <v>177</v>
      </c>
      <c r="B246" s="23" t="s">
        <v>457</v>
      </c>
      <c r="C246" s="24"/>
      <c r="D246" s="26" t="s">
        <v>81</v>
      </c>
      <c r="E246" s="24">
        <v>3750</v>
      </c>
      <c r="F246" s="74">
        <f>E246*C246</f>
        <v>0</v>
      </c>
    </row>
    <row r="247" spans="1:7">
      <c r="A247" s="5" t="s">
        <v>187</v>
      </c>
      <c r="B247" s="23" t="s">
        <v>163</v>
      </c>
      <c r="C247" s="24"/>
      <c r="D247" s="26" t="s">
        <v>71</v>
      </c>
      <c r="E247" s="24">
        <v>14500</v>
      </c>
      <c r="F247" s="74">
        <f t="shared" ref="F247:F248" si="27">E247*C247</f>
        <v>0</v>
      </c>
      <c r="G247" s="1" t="s">
        <v>615</v>
      </c>
    </row>
    <row r="248" spans="1:7">
      <c r="A248" s="5" t="s">
        <v>558</v>
      </c>
      <c r="B248" s="23" t="s">
        <v>559</v>
      </c>
      <c r="C248" s="24"/>
      <c r="D248" s="26" t="s">
        <v>71</v>
      </c>
      <c r="E248" s="24">
        <v>42500</v>
      </c>
      <c r="F248" s="74">
        <f t="shared" si="27"/>
        <v>0</v>
      </c>
    </row>
    <row r="249" spans="1:7" ht="314.25" customHeight="1">
      <c r="A249" s="5" t="s">
        <v>162</v>
      </c>
      <c r="B249" s="28" t="s">
        <v>426</v>
      </c>
      <c r="C249" s="20"/>
      <c r="D249" s="26" t="s">
        <v>81</v>
      </c>
      <c r="E249" s="24">
        <v>3750</v>
      </c>
      <c r="F249" s="74"/>
    </row>
    <row r="250" spans="1:7" ht="129.5">
      <c r="A250" s="5"/>
      <c r="B250" s="28" t="s">
        <v>328</v>
      </c>
      <c r="C250" s="49"/>
      <c r="D250" s="26"/>
      <c r="E250" s="24"/>
      <c r="F250" s="79"/>
    </row>
    <row r="251" spans="1:7" ht="37">
      <c r="A251" s="5" t="s">
        <v>256</v>
      </c>
      <c r="B251" s="28" t="s">
        <v>330</v>
      </c>
      <c r="C251" s="24"/>
      <c r="D251" s="26" t="s">
        <v>81</v>
      </c>
      <c r="E251" s="24">
        <v>4500</v>
      </c>
      <c r="F251" s="79"/>
    </row>
    <row r="252" spans="1:7" ht="240.5">
      <c r="A252" s="5" t="s">
        <v>327</v>
      </c>
      <c r="B252" s="23" t="s">
        <v>287</v>
      </c>
      <c r="C252" s="24"/>
      <c r="D252" s="26" t="s">
        <v>81</v>
      </c>
      <c r="E252" s="24">
        <v>815</v>
      </c>
      <c r="F252" s="74">
        <f>E252*C252</f>
        <v>0</v>
      </c>
    </row>
    <row r="253" spans="1:7" ht="335.25" customHeight="1">
      <c r="A253" s="5" t="s">
        <v>329</v>
      </c>
      <c r="B253" s="38" t="s">
        <v>508</v>
      </c>
      <c r="C253" s="20"/>
      <c r="D253" s="26" t="s">
        <v>81</v>
      </c>
      <c r="E253" s="24">
        <v>2195</v>
      </c>
      <c r="F253" s="74">
        <f>E253*C253</f>
        <v>0</v>
      </c>
    </row>
    <row r="254" spans="1:7" ht="185">
      <c r="A254" s="5"/>
      <c r="B254" s="38" t="s">
        <v>291</v>
      </c>
      <c r="C254" s="53"/>
      <c r="D254" s="26"/>
      <c r="E254" s="24"/>
      <c r="F254" s="79"/>
    </row>
    <row r="255" spans="1:7" ht="55.5">
      <c r="A255" s="5"/>
      <c r="B255" s="38" t="s">
        <v>290</v>
      </c>
      <c r="C255" s="53"/>
      <c r="D255" s="26"/>
      <c r="E255" s="24"/>
      <c r="F255" s="79"/>
    </row>
    <row r="256" spans="1:7" ht="185">
      <c r="A256" s="5" t="s">
        <v>331</v>
      </c>
      <c r="B256" s="38" t="s">
        <v>494</v>
      </c>
      <c r="C256" s="24"/>
      <c r="D256" s="26" t="s">
        <v>81</v>
      </c>
      <c r="E256" s="24">
        <v>4650</v>
      </c>
      <c r="F256" s="79"/>
    </row>
    <row r="257" spans="1:6">
      <c r="A257" s="67"/>
      <c r="B257" s="22" t="s">
        <v>189</v>
      </c>
      <c r="C257" s="3"/>
      <c r="D257" s="4"/>
      <c r="E257" s="4"/>
      <c r="F257" s="80">
        <f>SUM(F177:F256)</f>
        <v>0</v>
      </c>
    </row>
    <row r="258" spans="1:6" ht="17.5" customHeight="1">
      <c r="A258" s="67"/>
      <c r="B258" s="36" t="s">
        <v>190</v>
      </c>
      <c r="C258" s="55"/>
      <c r="D258" s="4"/>
      <c r="E258" s="4"/>
      <c r="F258" s="73"/>
    </row>
    <row r="259" spans="1:6" ht="341.25" customHeight="1">
      <c r="A259" s="5" t="s">
        <v>311</v>
      </c>
      <c r="B259" s="23" t="s">
        <v>543</v>
      </c>
      <c r="C259" s="24"/>
      <c r="D259" s="26" t="s">
        <v>191</v>
      </c>
      <c r="E259" s="24">
        <v>115000</v>
      </c>
      <c r="F259" s="74">
        <f t="shared" ref="F259:F263" si="28">E259*C259</f>
        <v>0</v>
      </c>
    </row>
    <row r="260" spans="1:6" ht="165.75" customHeight="1">
      <c r="A260" s="5" t="s">
        <v>323</v>
      </c>
      <c r="B260" s="23" t="s">
        <v>397</v>
      </c>
      <c r="C260" s="24"/>
      <c r="D260" s="26" t="s">
        <v>191</v>
      </c>
      <c r="E260" s="24">
        <v>145000</v>
      </c>
      <c r="F260" s="74">
        <f t="shared" si="28"/>
        <v>0</v>
      </c>
    </row>
    <row r="261" spans="1:6" ht="92.5">
      <c r="A261" s="5" t="s">
        <v>312</v>
      </c>
      <c r="B261" s="23" t="s">
        <v>495</v>
      </c>
      <c r="C261" s="24"/>
      <c r="D261" s="26" t="s">
        <v>191</v>
      </c>
      <c r="E261" s="24">
        <v>15000</v>
      </c>
      <c r="F261" s="74">
        <f t="shared" si="28"/>
        <v>0</v>
      </c>
    </row>
    <row r="262" spans="1:6" ht="92.5">
      <c r="A262" s="5" t="s">
        <v>315</v>
      </c>
      <c r="B262" s="23" t="s">
        <v>324</v>
      </c>
      <c r="C262" s="24"/>
      <c r="D262" s="26" t="s">
        <v>191</v>
      </c>
      <c r="E262" s="32">
        <v>45000</v>
      </c>
      <c r="F262" s="74">
        <f t="shared" si="28"/>
        <v>0</v>
      </c>
    </row>
    <row r="263" spans="1:6" ht="216" customHeight="1">
      <c r="A263" s="5" t="s">
        <v>316</v>
      </c>
      <c r="B263" s="23" t="s">
        <v>193</v>
      </c>
      <c r="C263" s="24"/>
      <c r="D263" s="26" t="s">
        <v>83</v>
      </c>
      <c r="E263" s="24">
        <v>3750</v>
      </c>
      <c r="F263" s="74">
        <f t="shared" si="28"/>
        <v>0</v>
      </c>
    </row>
    <row r="264" spans="1:6" ht="129.5">
      <c r="A264" s="49" t="s">
        <v>325</v>
      </c>
      <c r="B264" s="28" t="s">
        <v>450</v>
      </c>
      <c r="C264" s="49"/>
      <c r="D264" s="8"/>
      <c r="E264" s="24"/>
      <c r="F264" s="24"/>
    </row>
    <row r="265" spans="1:6">
      <c r="A265" s="5"/>
      <c r="B265" s="28" t="s">
        <v>279</v>
      </c>
      <c r="C265" s="49"/>
      <c r="D265" s="32" t="s">
        <v>261</v>
      </c>
      <c r="E265" s="24">
        <v>55</v>
      </c>
      <c r="F265" s="74">
        <f t="shared" ref="F265" si="29">E265*C265</f>
        <v>0</v>
      </c>
    </row>
    <row r="266" spans="1:6">
      <c r="A266" s="5"/>
      <c r="B266" s="23" t="s">
        <v>111</v>
      </c>
      <c r="C266" s="5"/>
      <c r="D266" s="32" t="s">
        <v>261</v>
      </c>
      <c r="E266" s="24">
        <v>45</v>
      </c>
      <c r="F266" s="74">
        <f>E266*C266</f>
        <v>0</v>
      </c>
    </row>
    <row r="267" spans="1:6" ht="37">
      <c r="A267" s="5" t="s">
        <v>398</v>
      </c>
      <c r="B267" s="23" t="s">
        <v>496</v>
      </c>
      <c r="C267" s="5"/>
      <c r="D267" s="32"/>
      <c r="E267" s="24"/>
      <c r="F267" s="79"/>
    </row>
    <row r="268" spans="1:6">
      <c r="A268" s="5"/>
      <c r="B268" s="28" t="s">
        <v>279</v>
      </c>
      <c r="C268" s="20"/>
      <c r="D268" s="32" t="s">
        <v>261</v>
      </c>
      <c r="E268" s="24">
        <v>165</v>
      </c>
      <c r="F268" s="74">
        <f t="shared" ref="F268:F269" si="30">E268*C268</f>
        <v>0</v>
      </c>
    </row>
    <row r="269" spans="1:6">
      <c r="A269" s="5"/>
      <c r="B269" s="23" t="s">
        <v>111</v>
      </c>
      <c r="C269" s="5"/>
      <c r="D269" s="32" t="s">
        <v>261</v>
      </c>
      <c r="E269" s="24">
        <v>165</v>
      </c>
      <c r="F269" s="74">
        <f t="shared" si="30"/>
        <v>0</v>
      </c>
    </row>
    <row r="270" spans="1:6" ht="185">
      <c r="A270" s="5" t="s">
        <v>326</v>
      </c>
      <c r="B270" s="28" t="s">
        <v>539</v>
      </c>
      <c r="C270" s="49"/>
      <c r="D270" s="32"/>
      <c r="E270" s="24"/>
      <c r="F270" s="79"/>
    </row>
    <row r="271" spans="1:6">
      <c r="A271" s="82" t="s">
        <v>292</v>
      </c>
      <c r="B271" s="28" t="s">
        <v>293</v>
      </c>
      <c r="C271" s="24"/>
      <c r="D271" s="26" t="s">
        <v>191</v>
      </c>
      <c r="E271" s="24">
        <v>95000</v>
      </c>
      <c r="F271" s="74">
        <f t="shared" ref="F271:F272" si="31">E271*C271</f>
        <v>0</v>
      </c>
    </row>
    <row r="272" spans="1:6">
      <c r="A272" s="82" t="s">
        <v>294</v>
      </c>
      <c r="B272" s="28" t="s">
        <v>295</v>
      </c>
      <c r="C272" s="24"/>
      <c r="D272" s="26" t="s">
        <v>191</v>
      </c>
      <c r="E272" s="24">
        <v>45000</v>
      </c>
      <c r="F272" s="74">
        <f t="shared" si="31"/>
        <v>0</v>
      </c>
    </row>
    <row r="273" spans="1:6">
      <c r="A273" s="67"/>
      <c r="B273" s="35" t="s">
        <v>194</v>
      </c>
      <c r="C273" s="3"/>
      <c r="D273" s="4"/>
      <c r="E273" s="4"/>
      <c r="F273" s="80">
        <f>SUM(F259:F272)</f>
        <v>0</v>
      </c>
    </row>
    <row r="274" spans="1:6" ht="17.5" customHeight="1">
      <c r="A274" s="67"/>
      <c r="B274" s="36" t="s">
        <v>45</v>
      </c>
      <c r="C274" s="55"/>
      <c r="D274" s="4"/>
      <c r="E274" s="4"/>
      <c r="F274" s="73"/>
    </row>
    <row r="275" spans="1:6" ht="37">
      <c r="A275" s="49" t="s">
        <v>44</v>
      </c>
      <c r="B275" s="28" t="s">
        <v>286</v>
      </c>
      <c r="C275" s="49"/>
      <c r="D275" s="7"/>
      <c r="E275" s="24"/>
      <c r="F275" s="25"/>
    </row>
    <row r="276" spans="1:6">
      <c r="A276" s="49"/>
      <c r="B276" s="28" t="s">
        <v>497</v>
      </c>
      <c r="C276" s="32"/>
      <c r="D276" s="26" t="s">
        <v>83</v>
      </c>
      <c r="E276" s="24">
        <v>1150</v>
      </c>
      <c r="F276" s="74">
        <f t="shared" ref="F276:F277" si="32">E276*C276</f>
        <v>0</v>
      </c>
    </row>
    <row r="277" spans="1:6">
      <c r="A277" s="49"/>
      <c r="B277" s="28" t="s">
        <v>498</v>
      </c>
      <c r="C277" s="24"/>
      <c r="D277" s="26" t="s">
        <v>83</v>
      </c>
      <c r="E277" s="24">
        <v>1650</v>
      </c>
      <c r="F277" s="74">
        <f t="shared" si="32"/>
        <v>0</v>
      </c>
    </row>
    <row r="278" spans="1:6" ht="240.5">
      <c r="A278" s="49" t="s">
        <v>313</v>
      </c>
      <c r="B278" s="28" t="s">
        <v>544</v>
      </c>
      <c r="C278" s="49"/>
      <c r="D278" s="26"/>
      <c r="E278" s="24"/>
      <c r="F278" s="79"/>
    </row>
    <row r="279" spans="1:6">
      <c r="A279" s="49"/>
      <c r="B279" s="28" t="s">
        <v>458</v>
      </c>
      <c r="C279" s="24"/>
      <c r="D279" s="26" t="s">
        <v>81</v>
      </c>
      <c r="E279" s="24">
        <v>725</v>
      </c>
      <c r="F279" s="79"/>
    </row>
    <row r="280" spans="1:6">
      <c r="A280" s="49"/>
      <c r="B280" s="28" t="s">
        <v>505</v>
      </c>
      <c r="C280" s="24"/>
      <c r="D280" s="26" t="s">
        <v>289</v>
      </c>
      <c r="E280" s="24">
        <v>720</v>
      </c>
      <c r="F280" s="79"/>
    </row>
    <row r="281" spans="1:6">
      <c r="A281" s="49"/>
      <c r="B281" s="28" t="s">
        <v>504</v>
      </c>
      <c r="C281" s="24"/>
      <c r="D281" s="26" t="s">
        <v>289</v>
      </c>
      <c r="E281" s="24">
        <v>850</v>
      </c>
      <c r="F281" s="79"/>
    </row>
    <row r="282" spans="1:6">
      <c r="A282" s="49"/>
      <c r="B282" s="28" t="s">
        <v>506</v>
      </c>
      <c r="C282" s="24"/>
      <c r="D282" s="26" t="s">
        <v>289</v>
      </c>
      <c r="E282" s="24">
        <v>650</v>
      </c>
      <c r="F282" s="79"/>
    </row>
    <row r="283" spans="1:6">
      <c r="A283" s="67"/>
      <c r="B283" s="35" t="s">
        <v>50</v>
      </c>
      <c r="C283" s="3"/>
      <c r="D283" s="4"/>
      <c r="E283" s="4"/>
      <c r="F283" s="80">
        <f>SUM(F275:F282)</f>
        <v>0</v>
      </c>
    </row>
    <row r="284" spans="1:6" ht="17.5" customHeight="1">
      <c r="A284" s="67"/>
      <c r="B284" s="36" t="s">
        <v>195</v>
      </c>
      <c r="C284" s="55"/>
      <c r="D284" s="4"/>
      <c r="E284" s="4"/>
      <c r="F284" s="73"/>
    </row>
    <row r="285" spans="1:6" ht="258.75" customHeight="1">
      <c r="A285" s="5" t="s">
        <v>196</v>
      </c>
      <c r="B285" s="13" t="s">
        <v>309</v>
      </c>
      <c r="C285" s="58"/>
      <c r="D285" s="14"/>
      <c r="E285" s="24"/>
      <c r="F285" s="24"/>
    </row>
    <row r="286" spans="1:6">
      <c r="A286" s="5"/>
      <c r="B286" s="28" t="s">
        <v>198</v>
      </c>
      <c r="C286" s="24"/>
      <c r="D286" s="32" t="s">
        <v>86</v>
      </c>
      <c r="E286" s="24">
        <v>650</v>
      </c>
      <c r="F286" s="74">
        <f t="shared" ref="F286" si="33">E286*C286</f>
        <v>0</v>
      </c>
    </row>
    <row r="287" spans="1:6">
      <c r="A287" s="5"/>
      <c r="B287" s="28" t="s">
        <v>199</v>
      </c>
      <c r="C287" s="49"/>
      <c r="D287" s="8"/>
      <c r="E287" s="24"/>
      <c r="F287" s="24"/>
    </row>
    <row r="288" spans="1:6">
      <c r="A288" s="5"/>
      <c r="B288" s="30" t="s">
        <v>281</v>
      </c>
      <c r="C288" s="49"/>
      <c r="D288" s="32" t="s">
        <v>86</v>
      </c>
      <c r="E288" s="24">
        <v>650</v>
      </c>
      <c r="F288" s="24"/>
    </row>
    <row r="289" spans="1:6">
      <c r="A289" s="5"/>
      <c r="B289" s="40" t="s">
        <v>280</v>
      </c>
      <c r="C289" s="49"/>
      <c r="D289" s="32" t="s">
        <v>86</v>
      </c>
      <c r="E289" s="24">
        <v>650</v>
      </c>
      <c r="F289" s="24"/>
    </row>
    <row r="290" spans="1:6" ht="129.5">
      <c r="A290" s="5" t="s">
        <v>200</v>
      </c>
      <c r="B290" s="28" t="s">
        <v>184</v>
      </c>
      <c r="C290" s="49"/>
      <c r="D290" s="24"/>
      <c r="E290" s="24"/>
      <c r="F290" s="24"/>
    </row>
    <row r="291" spans="1:6">
      <c r="A291" s="5"/>
      <c r="B291" s="28" t="s">
        <v>243</v>
      </c>
      <c r="C291" s="24"/>
      <c r="D291" s="32" t="s">
        <v>83</v>
      </c>
      <c r="E291" s="24">
        <v>750</v>
      </c>
      <c r="F291" s="24"/>
    </row>
    <row r="292" spans="1:6">
      <c r="A292" s="5"/>
      <c r="B292" s="28" t="s">
        <v>232</v>
      </c>
      <c r="C292" s="24"/>
      <c r="D292" s="32" t="s">
        <v>83</v>
      </c>
      <c r="E292" s="24">
        <v>450</v>
      </c>
      <c r="F292" s="74">
        <f t="shared" ref="F292" si="34">E292*C292</f>
        <v>0</v>
      </c>
    </row>
    <row r="293" spans="1:6">
      <c r="A293" s="67"/>
      <c r="B293" s="35" t="s">
        <v>201</v>
      </c>
      <c r="C293" s="3"/>
      <c r="D293" s="4"/>
      <c r="E293" s="4"/>
      <c r="F293" s="80">
        <f>SUM(F286:F292)</f>
        <v>0</v>
      </c>
    </row>
    <row r="294" spans="1:6" ht="18" customHeight="1">
      <c r="A294" s="67"/>
      <c r="B294" s="36" t="s">
        <v>202</v>
      </c>
      <c r="C294" s="55"/>
      <c r="D294" s="4"/>
      <c r="E294" s="4"/>
      <c r="F294" s="73"/>
    </row>
    <row r="295" spans="1:6" ht="218.25" customHeight="1">
      <c r="A295" s="5" t="s">
        <v>203</v>
      </c>
      <c r="B295" s="42" t="s">
        <v>251</v>
      </c>
      <c r="C295" s="24"/>
      <c r="D295" s="26" t="s">
        <v>81</v>
      </c>
      <c r="E295" s="24">
        <v>55</v>
      </c>
      <c r="F295" s="74">
        <f t="shared" ref="F295" si="35">E295*C295</f>
        <v>0</v>
      </c>
    </row>
    <row r="296" spans="1:6">
      <c r="A296" s="5"/>
      <c r="B296" s="42" t="s">
        <v>204</v>
      </c>
      <c r="C296" s="59"/>
      <c r="D296" s="7"/>
      <c r="E296" s="24"/>
      <c r="F296" s="25"/>
    </row>
    <row r="297" spans="1:6" ht="37">
      <c r="A297" s="5"/>
      <c r="B297" s="41" t="s">
        <v>205</v>
      </c>
      <c r="C297" s="26"/>
      <c r="D297" s="12"/>
      <c r="E297" s="24"/>
      <c r="F297" s="25"/>
    </row>
    <row r="298" spans="1:6" ht="37">
      <c r="A298" s="5"/>
      <c r="B298" s="41" t="s">
        <v>206</v>
      </c>
      <c r="C298" s="26"/>
      <c r="D298" s="26"/>
      <c r="E298" s="24"/>
      <c r="F298" s="25"/>
    </row>
    <row r="299" spans="1:6" ht="37">
      <c r="A299" s="5"/>
      <c r="B299" s="41" t="s">
        <v>207</v>
      </c>
      <c r="C299" s="26"/>
      <c r="D299" s="26"/>
      <c r="E299" s="24"/>
      <c r="F299" s="25"/>
    </row>
    <row r="300" spans="1:6" ht="165.75" customHeight="1">
      <c r="A300" s="5" t="s">
        <v>208</v>
      </c>
      <c r="B300" s="28" t="s">
        <v>282</v>
      </c>
      <c r="C300" s="24"/>
      <c r="D300" s="26" t="s">
        <v>81</v>
      </c>
      <c r="E300" s="24">
        <v>940</v>
      </c>
      <c r="F300" s="74">
        <f>E300*C300</f>
        <v>0</v>
      </c>
    </row>
    <row r="301" spans="1:6" ht="64.5" customHeight="1">
      <c r="A301" s="5" t="s">
        <v>215</v>
      </c>
      <c r="B301" s="23" t="s">
        <v>77</v>
      </c>
      <c r="C301" s="5"/>
      <c r="D301" s="7"/>
      <c r="E301" s="24"/>
      <c r="F301" s="25"/>
    </row>
    <row r="302" spans="1:6">
      <c r="A302" s="5"/>
      <c r="B302" s="23" t="s">
        <v>236</v>
      </c>
      <c r="C302" s="24"/>
      <c r="D302" s="26" t="s">
        <v>81</v>
      </c>
      <c r="E302" s="24">
        <v>70</v>
      </c>
      <c r="F302" s="79"/>
    </row>
    <row r="303" spans="1:6">
      <c r="A303" s="5"/>
      <c r="B303" s="23" t="s">
        <v>237</v>
      </c>
      <c r="C303" s="90"/>
      <c r="D303" s="26" t="s">
        <v>81</v>
      </c>
      <c r="E303" s="24">
        <v>75</v>
      </c>
      <c r="F303" s="74">
        <f t="shared" ref="F303" si="36">E303*C303</f>
        <v>0</v>
      </c>
    </row>
    <row r="304" spans="1:6" ht="226.5" customHeight="1">
      <c r="A304" s="5" t="s">
        <v>216</v>
      </c>
      <c r="B304" s="28" t="s">
        <v>268</v>
      </c>
      <c r="C304" s="49"/>
      <c r="D304" s="7"/>
      <c r="E304" s="24"/>
      <c r="F304" s="25"/>
    </row>
    <row r="305" spans="1:6">
      <c r="A305" s="5" t="s">
        <v>301</v>
      </c>
      <c r="B305" s="23" t="s">
        <v>547</v>
      </c>
      <c r="C305" s="88"/>
      <c r="D305" s="25" t="s">
        <v>83</v>
      </c>
      <c r="E305" s="24">
        <v>575</v>
      </c>
      <c r="F305" s="25"/>
    </row>
    <row r="306" spans="1:6">
      <c r="A306" s="5"/>
      <c r="B306" s="23" t="s">
        <v>546</v>
      </c>
      <c r="C306" s="91"/>
      <c r="D306" s="25" t="s">
        <v>83</v>
      </c>
      <c r="E306" s="24">
        <v>650</v>
      </c>
      <c r="F306" s="74">
        <f t="shared" ref="F306:F307" si="37">E306*C306</f>
        <v>0</v>
      </c>
    </row>
    <row r="307" spans="1:6" ht="21.75" customHeight="1">
      <c r="A307" s="5"/>
      <c r="B307" s="23" t="s">
        <v>545</v>
      </c>
      <c r="C307" s="91"/>
      <c r="D307" s="25" t="s">
        <v>83</v>
      </c>
      <c r="E307" s="24">
        <v>950</v>
      </c>
      <c r="F307" s="74">
        <f t="shared" si="37"/>
        <v>0</v>
      </c>
    </row>
    <row r="308" spans="1:6">
      <c r="A308" s="5"/>
      <c r="B308" s="23" t="s">
        <v>548</v>
      </c>
      <c r="C308" s="88"/>
      <c r="D308" s="25" t="s">
        <v>83</v>
      </c>
      <c r="E308" s="24">
        <v>1550</v>
      </c>
      <c r="F308" s="79"/>
    </row>
    <row r="309" spans="1:6">
      <c r="A309" s="5"/>
      <c r="B309" s="23" t="s">
        <v>549</v>
      </c>
      <c r="C309" s="88"/>
      <c r="D309" s="25" t="s">
        <v>83</v>
      </c>
      <c r="E309" s="24">
        <v>2650</v>
      </c>
      <c r="F309" s="25"/>
    </row>
    <row r="310" spans="1:6">
      <c r="A310" s="5"/>
      <c r="B310" s="23" t="s">
        <v>550</v>
      </c>
      <c r="C310" s="88"/>
      <c r="D310" s="25" t="s">
        <v>83</v>
      </c>
      <c r="E310" s="24">
        <v>37850</v>
      </c>
      <c r="F310" s="25"/>
    </row>
    <row r="311" spans="1:6">
      <c r="A311" s="5"/>
      <c r="B311" s="21" t="s">
        <v>438</v>
      </c>
      <c r="C311" s="88"/>
      <c r="D311" s="25"/>
      <c r="E311" s="24"/>
      <c r="F311" s="25"/>
    </row>
    <row r="312" spans="1:6">
      <c r="A312" s="5" t="s">
        <v>303</v>
      </c>
      <c r="B312" s="23" t="s">
        <v>551</v>
      </c>
      <c r="C312" s="88"/>
      <c r="D312" s="25" t="s">
        <v>83</v>
      </c>
      <c r="E312" s="24">
        <v>1750</v>
      </c>
      <c r="F312" s="79"/>
    </row>
    <row r="313" spans="1:6">
      <c r="A313" s="5"/>
      <c r="B313" s="23" t="s">
        <v>552</v>
      </c>
      <c r="C313" s="88"/>
      <c r="D313" s="25" t="s">
        <v>83</v>
      </c>
      <c r="E313" s="24">
        <v>2950</v>
      </c>
      <c r="F313" s="25"/>
    </row>
    <row r="314" spans="1:6">
      <c r="A314" s="5"/>
      <c r="B314" s="23" t="s">
        <v>553</v>
      </c>
      <c r="C314" s="88"/>
      <c r="D314" s="25" t="s">
        <v>83</v>
      </c>
      <c r="E314" s="24">
        <v>4250</v>
      </c>
      <c r="F314" s="25"/>
    </row>
    <row r="315" spans="1:6" ht="129.5">
      <c r="A315" s="5" t="s">
        <v>42</v>
      </c>
      <c r="B315" s="23" t="s">
        <v>217</v>
      </c>
      <c r="C315" s="5"/>
      <c r="D315" s="7"/>
      <c r="E315" s="24"/>
      <c r="F315" s="25"/>
    </row>
    <row r="316" spans="1:6">
      <c r="A316" s="5"/>
      <c r="B316" s="23" t="s">
        <v>283</v>
      </c>
      <c r="C316" s="32"/>
      <c r="D316" s="25" t="s">
        <v>71</v>
      </c>
      <c r="E316" s="24">
        <v>1250</v>
      </c>
      <c r="F316" s="74">
        <f t="shared" ref="F316" si="38">E316*C316</f>
        <v>0</v>
      </c>
    </row>
    <row r="317" spans="1:6">
      <c r="A317" s="5"/>
      <c r="B317" s="23" t="s">
        <v>284</v>
      </c>
      <c r="C317" s="5"/>
      <c r="D317" s="25" t="s">
        <v>71</v>
      </c>
      <c r="E317" s="24">
        <v>1150</v>
      </c>
      <c r="F317" s="79"/>
    </row>
    <row r="318" spans="1:6" ht="95.25" customHeight="1">
      <c r="A318" s="5" t="s">
        <v>317</v>
      </c>
      <c r="B318" s="38" t="s">
        <v>272</v>
      </c>
      <c r="C318" s="53"/>
      <c r="D318" s="7"/>
      <c r="E318" s="24"/>
      <c r="F318" s="25"/>
    </row>
    <row r="319" spans="1:6" ht="37">
      <c r="A319" s="5"/>
      <c r="B319" s="23" t="s">
        <v>219</v>
      </c>
      <c r="C319" s="32"/>
      <c r="D319" s="25" t="s">
        <v>71</v>
      </c>
      <c r="E319" s="24">
        <v>650</v>
      </c>
      <c r="F319" s="74">
        <f t="shared" ref="F319:F321" si="39">E319*C319</f>
        <v>0</v>
      </c>
    </row>
    <row r="320" spans="1:6" ht="37">
      <c r="A320" s="5"/>
      <c r="B320" s="23" t="s">
        <v>220</v>
      </c>
      <c r="C320" s="32"/>
      <c r="D320" s="25" t="s">
        <v>71</v>
      </c>
      <c r="E320" s="24">
        <v>1250</v>
      </c>
      <c r="F320" s="74">
        <f t="shared" si="39"/>
        <v>0</v>
      </c>
    </row>
    <row r="321" spans="1:6" ht="37">
      <c r="A321" s="5"/>
      <c r="B321" s="23" t="s">
        <v>0</v>
      </c>
      <c r="C321" s="32"/>
      <c r="D321" s="25" t="s">
        <v>71</v>
      </c>
      <c r="E321" s="24">
        <v>1675</v>
      </c>
      <c r="F321" s="74">
        <f t="shared" si="39"/>
        <v>0</v>
      </c>
    </row>
    <row r="322" spans="1:6" ht="221.25" customHeight="1">
      <c r="A322" s="5" t="s">
        <v>318</v>
      </c>
      <c r="B322" s="23" t="s">
        <v>226</v>
      </c>
      <c r="C322" s="24"/>
      <c r="D322" s="25" t="s">
        <v>192</v>
      </c>
      <c r="E322" s="24">
        <v>165</v>
      </c>
      <c r="F322" s="79"/>
    </row>
    <row r="323" spans="1:6" ht="143.25" customHeight="1">
      <c r="A323" s="5" t="s">
        <v>319</v>
      </c>
      <c r="B323" s="23" t="s">
        <v>451</v>
      </c>
      <c r="C323" s="32"/>
      <c r="D323" s="25" t="s">
        <v>192</v>
      </c>
      <c r="E323" s="24">
        <v>135</v>
      </c>
      <c r="F323" s="74">
        <f t="shared" ref="F323:F327" si="40">E323*C323</f>
        <v>0</v>
      </c>
    </row>
    <row r="324" spans="1:6" ht="148">
      <c r="A324" s="5" t="s">
        <v>320</v>
      </c>
      <c r="B324" s="23" t="s">
        <v>604</v>
      </c>
      <c r="C324" s="24"/>
      <c r="D324" s="25" t="s">
        <v>169</v>
      </c>
      <c r="E324" s="24">
        <v>3750</v>
      </c>
      <c r="F324" s="74">
        <f t="shared" si="40"/>
        <v>0</v>
      </c>
    </row>
    <row r="325" spans="1:6" ht="55.5">
      <c r="A325" s="5" t="s">
        <v>218</v>
      </c>
      <c r="B325" s="23" t="s">
        <v>46</v>
      </c>
      <c r="C325" s="88"/>
      <c r="D325" s="25" t="s">
        <v>108</v>
      </c>
      <c r="E325" s="24">
        <v>2950</v>
      </c>
      <c r="F325" s="74">
        <f t="shared" si="40"/>
        <v>0</v>
      </c>
    </row>
    <row r="326" spans="1:6" ht="55.5">
      <c r="A326" s="5" t="s">
        <v>221</v>
      </c>
      <c r="B326" s="23" t="s">
        <v>47</v>
      </c>
      <c r="C326" s="88"/>
      <c r="D326" s="25" t="s">
        <v>108</v>
      </c>
      <c r="E326" s="24">
        <v>3500</v>
      </c>
      <c r="F326" s="74">
        <f t="shared" si="40"/>
        <v>0</v>
      </c>
    </row>
    <row r="327" spans="1:6" ht="58.4" customHeight="1">
      <c r="A327" s="5" t="s">
        <v>224</v>
      </c>
      <c r="B327" s="23" t="s">
        <v>273</v>
      </c>
      <c r="C327" s="88"/>
      <c r="D327" s="25" t="s">
        <v>108</v>
      </c>
      <c r="E327" s="24">
        <v>5500</v>
      </c>
      <c r="F327" s="74">
        <f t="shared" si="40"/>
        <v>0</v>
      </c>
    </row>
    <row r="328" spans="1:6" ht="55.5">
      <c r="A328" s="5" t="s">
        <v>225</v>
      </c>
      <c r="B328" s="28" t="s">
        <v>310</v>
      </c>
      <c r="C328" s="49"/>
      <c r="D328" s="24"/>
      <c r="E328" s="24"/>
      <c r="F328" s="25"/>
    </row>
    <row r="329" spans="1:6">
      <c r="A329" s="5"/>
      <c r="B329" s="28" t="s">
        <v>48</v>
      </c>
      <c r="C329" s="24"/>
      <c r="D329" s="24" t="s">
        <v>164</v>
      </c>
      <c r="E329" s="24">
        <v>250</v>
      </c>
      <c r="F329" s="79"/>
    </row>
    <row r="330" spans="1:6">
      <c r="A330" s="5"/>
      <c r="B330" s="28" t="s">
        <v>49</v>
      </c>
      <c r="C330" s="24"/>
      <c r="D330" s="24" t="s">
        <v>164</v>
      </c>
      <c r="E330" s="24">
        <v>350</v>
      </c>
      <c r="F330" s="79"/>
    </row>
    <row r="331" spans="1:6" ht="64.400000000000006" customHeight="1">
      <c r="A331" s="5" t="s">
        <v>227</v>
      </c>
      <c r="B331" s="28" t="s">
        <v>269</v>
      </c>
      <c r="C331" s="32"/>
      <c r="D331" s="24"/>
      <c r="E331" s="24"/>
      <c r="F331" s="25"/>
    </row>
    <row r="332" spans="1:6">
      <c r="A332" s="5"/>
      <c r="B332" s="28" t="s">
        <v>48</v>
      </c>
      <c r="C332" s="24"/>
      <c r="D332" s="24" t="s">
        <v>164</v>
      </c>
      <c r="E332" s="24">
        <v>650</v>
      </c>
      <c r="F332" s="79"/>
    </row>
    <row r="333" spans="1:6">
      <c r="A333" s="5"/>
      <c r="B333" s="28" t="s">
        <v>49</v>
      </c>
      <c r="C333" s="24"/>
      <c r="D333" s="24" t="s">
        <v>164</v>
      </c>
      <c r="E333" s="24">
        <v>750</v>
      </c>
      <c r="F333" s="79"/>
    </row>
    <row r="334" spans="1:6" ht="92.5">
      <c r="A334" s="5" t="s">
        <v>228</v>
      </c>
      <c r="B334" s="23" t="s">
        <v>271</v>
      </c>
      <c r="C334" s="5"/>
      <c r="D334" s="25"/>
      <c r="E334" s="24"/>
      <c r="F334" s="25"/>
    </row>
    <row r="335" spans="1:6">
      <c r="A335" s="5"/>
      <c r="B335" s="23" t="s">
        <v>84</v>
      </c>
      <c r="C335" s="32"/>
      <c r="D335" s="25" t="s">
        <v>164</v>
      </c>
      <c r="E335" s="24">
        <v>11500</v>
      </c>
      <c r="F335" s="74">
        <f t="shared" ref="F335:F337" si="41">E335*C335</f>
        <v>0</v>
      </c>
    </row>
    <row r="336" spans="1:6">
      <c r="A336" s="83"/>
      <c r="B336" s="23" t="s">
        <v>399</v>
      </c>
      <c r="C336" s="32"/>
      <c r="D336" s="25" t="s">
        <v>164</v>
      </c>
      <c r="E336" s="24">
        <v>16500</v>
      </c>
      <c r="F336" s="74">
        <f t="shared" si="41"/>
        <v>0</v>
      </c>
    </row>
    <row r="337" spans="1:6" ht="55.5">
      <c r="A337" s="5" t="s">
        <v>452</v>
      </c>
      <c r="B337" s="23" t="s">
        <v>471</v>
      </c>
      <c r="C337" s="32"/>
      <c r="D337" s="25" t="s">
        <v>352</v>
      </c>
      <c r="E337" s="24">
        <v>1450</v>
      </c>
      <c r="F337" s="74">
        <f t="shared" si="41"/>
        <v>0</v>
      </c>
    </row>
    <row r="338" spans="1:6" ht="74">
      <c r="A338" s="5" t="s">
        <v>472</v>
      </c>
      <c r="B338" s="23" t="s">
        <v>473</v>
      </c>
      <c r="C338" s="5"/>
      <c r="D338" s="25"/>
      <c r="E338" s="24"/>
      <c r="F338" s="79"/>
    </row>
    <row r="339" spans="1:6">
      <c r="A339" s="5"/>
      <c r="B339" s="23" t="s">
        <v>474</v>
      </c>
      <c r="C339" s="5"/>
      <c r="D339" s="25" t="s">
        <v>164</v>
      </c>
      <c r="E339" s="24">
        <v>250</v>
      </c>
      <c r="F339" s="74">
        <f>E339*C339</f>
        <v>0</v>
      </c>
    </row>
    <row r="340" spans="1:6">
      <c r="A340" s="5"/>
      <c r="B340" s="23" t="s">
        <v>475</v>
      </c>
      <c r="C340" s="5"/>
      <c r="D340" s="25" t="s">
        <v>164</v>
      </c>
      <c r="E340" s="24">
        <v>375</v>
      </c>
      <c r="F340" s="74">
        <f>E340*C340</f>
        <v>0</v>
      </c>
    </row>
    <row r="341" spans="1:6">
      <c r="A341" s="5"/>
      <c r="B341" s="23" t="s">
        <v>476</v>
      </c>
      <c r="C341" s="5"/>
      <c r="D341" s="25" t="s">
        <v>164</v>
      </c>
      <c r="E341" s="24">
        <v>550</v>
      </c>
      <c r="F341" s="74">
        <f>E341*C341</f>
        <v>0</v>
      </c>
    </row>
    <row r="342" spans="1:6">
      <c r="A342" s="5"/>
      <c r="B342" s="23" t="s">
        <v>477</v>
      </c>
      <c r="C342" s="5"/>
      <c r="D342" s="25" t="s">
        <v>164</v>
      </c>
      <c r="E342" s="24">
        <v>750</v>
      </c>
      <c r="F342" s="74">
        <f>E342*C342</f>
        <v>0</v>
      </c>
    </row>
    <row r="343" spans="1:6">
      <c r="A343" s="5"/>
      <c r="B343" s="23" t="s">
        <v>478</v>
      </c>
      <c r="C343" s="5"/>
      <c r="D343" s="25" t="s">
        <v>164</v>
      </c>
      <c r="E343" s="5">
        <v>1200</v>
      </c>
      <c r="F343" s="74">
        <f t="shared" ref="F343:F344" si="42">E343*C343</f>
        <v>0</v>
      </c>
    </row>
    <row r="344" spans="1:6">
      <c r="A344" s="5"/>
      <c r="B344" s="23" t="s">
        <v>479</v>
      </c>
      <c r="C344" s="63"/>
      <c r="D344" s="25" t="s">
        <v>164</v>
      </c>
      <c r="E344" s="5">
        <v>1875</v>
      </c>
      <c r="F344" s="74">
        <f t="shared" si="42"/>
        <v>0</v>
      </c>
    </row>
    <row r="345" spans="1:6" ht="74">
      <c r="A345" s="5" t="s">
        <v>534</v>
      </c>
      <c r="B345" s="23" t="s">
        <v>605</v>
      </c>
      <c r="C345" s="5"/>
      <c r="D345" s="23"/>
      <c r="E345" s="5"/>
      <c r="F345" s="23"/>
    </row>
    <row r="346" spans="1:6" ht="37">
      <c r="A346" s="5"/>
      <c r="B346" s="23" t="s">
        <v>513</v>
      </c>
      <c r="C346" s="5"/>
      <c r="D346" s="5" t="s">
        <v>514</v>
      </c>
      <c r="E346" s="5">
        <v>750</v>
      </c>
      <c r="F346" s="74">
        <f t="shared" ref="F346:F349" si="43">E346*C346</f>
        <v>0</v>
      </c>
    </row>
    <row r="347" spans="1:6" ht="37">
      <c r="A347" s="5"/>
      <c r="B347" s="23" t="s">
        <v>515</v>
      </c>
      <c r="C347" s="5"/>
      <c r="D347" s="5" t="s">
        <v>514</v>
      </c>
      <c r="E347" s="5">
        <v>950</v>
      </c>
      <c r="F347" s="74">
        <f t="shared" si="43"/>
        <v>0</v>
      </c>
    </row>
    <row r="348" spans="1:6" ht="37">
      <c r="A348" s="5"/>
      <c r="B348" s="23" t="s">
        <v>516</v>
      </c>
      <c r="C348" s="5"/>
      <c r="D348" s="5" t="s">
        <v>514</v>
      </c>
      <c r="E348" s="5">
        <v>1250</v>
      </c>
      <c r="F348" s="74">
        <f t="shared" si="43"/>
        <v>0</v>
      </c>
    </row>
    <row r="349" spans="1:6">
      <c r="A349" s="5"/>
      <c r="B349" s="23" t="s">
        <v>517</v>
      </c>
      <c r="C349" s="5"/>
      <c r="D349" s="5" t="s">
        <v>82</v>
      </c>
      <c r="E349" s="5">
        <v>1250</v>
      </c>
      <c r="F349" s="74">
        <f t="shared" si="43"/>
        <v>0</v>
      </c>
    </row>
    <row r="350" spans="1:6">
      <c r="A350" s="67"/>
      <c r="B350" s="35" t="s">
        <v>229</v>
      </c>
      <c r="C350" s="3"/>
      <c r="D350" s="4"/>
      <c r="E350" s="4"/>
      <c r="F350" s="80">
        <f>SUM(F295:F349)</f>
        <v>0</v>
      </c>
    </row>
    <row r="351" spans="1:6">
      <c r="A351" s="84"/>
      <c r="B351" s="36" t="s">
        <v>453</v>
      </c>
      <c r="C351" s="55"/>
      <c r="D351" s="4"/>
      <c r="E351" s="4"/>
      <c r="F351" s="4"/>
    </row>
    <row r="352" spans="1:6" ht="148">
      <c r="A352" s="85" t="s">
        <v>332</v>
      </c>
      <c r="B352" s="23" t="s">
        <v>503</v>
      </c>
      <c r="C352" s="5"/>
      <c r="D352" s="32" t="s">
        <v>334</v>
      </c>
      <c r="E352" s="32">
        <v>150</v>
      </c>
      <c r="F352" s="74">
        <f t="shared" ref="F352:F354" si="44">E352*C352</f>
        <v>0</v>
      </c>
    </row>
    <row r="353" spans="1:6" ht="111">
      <c r="A353" s="85" t="s">
        <v>333</v>
      </c>
      <c r="B353" s="23" t="s">
        <v>336</v>
      </c>
      <c r="C353" s="5"/>
      <c r="D353" s="32" t="s">
        <v>334</v>
      </c>
      <c r="E353" s="32">
        <v>500</v>
      </c>
      <c r="F353" s="74">
        <f t="shared" si="44"/>
        <v>0</v>
      </c>
    </row>
    <row r="354" spans="1:6" ht="111">
      <c r="A354" s="85" t="s">
        <v>335</v>
      </c>
      <c r="B354" s="23" t="s">
        <v>338</v>
      </c>
      <c r="C354" s="5"/>
      <c r="D354" s="32" t="s">
        <v>334</v>
      </c>
      <c r="E354" s="32">
        <v>1050</v>
      </c>
      <c r="F354" s="74">
        <f t="shared" si="44"/>
        <v>0</v>
      </c>
    </row>
    <row r="355" spans="1:6" ht="111">
      <c r="A355" s="85" t="s">
        <v>337</v>
      </c>
      <c r="B355" s="23" t="s">
        <v>308</v>
      </c>
      <c r="C355" s="5"/>
      <c r="D355" s="32"/>
      <c r="E355" s="32"/>
      <c r="F355" s="32"/>
    </row>
    <row r="356" spans="1:6">
      <c r="A356" s="32" t="s">
        <v>339</v>
      </c>
      <c r="B356" s="23" t="s">
        <v>222</v>
      </c>
      <c r="C356" s="5"/>
      <c r="D356" s="26" t="s">
        <v>169</v>
      </c>
      <c r="E356" s="32">
        <v>517</v>
      </c>
      <c r="F356" s="74">
        <f t="shared" ref="F356:F359" si="45">E356*C356</f>
        <v>0</v>
      </c>
    </row>
    <row r="357" spans="1:6" ht="55.5">
      <c r="A357" s="85" t="s">
        <v>294</v>
      </c>
      <c r="B357" s="23" t="s">
        <v>274</v>
      </c>
      <c r="C357" s="5"/>
      <c r="D357" s="26" t="s">
        <v>169</v>
      </c>
      <c r="E357" s="32">
        <v>340</v>
      </c>
      <c r="F357" s="74">
        <f t="shared" si="45"/>
        <v>0</v>
      </c>
    </row>
    <row r="358" spans="1:6" ht="55.5">
      <c r="A358" s="32" t="s">
        <v>340</v>
      </c>
      <c r="B358" s="23" t="s">
        <v>275</v>
      </c>
      <c r="C358" s="5"/>
      <c r="D358" s="26" t="s">
        <v>169</v>
      </c>
      <c r="E358" s="32">
        <v>170</v>
      </c>
      <c r="F358" s="74">
        <f t="shared" si="45"/>
        <v>0</v>
      </c>
    </row>
    <row r="359" spans="1:6" ht="92.5">
      <c r="A359" s="32" t="s">
        <v>341</v>
      </c>
      <c r="B359" s="17" t="s">
        <v>343</v>
      </c>
      <c r="C359" s="49"/>
      <c r="D359" s="32" t="s">
        <v>334</v>
      </c>
      <c r="E359" s="32">
        <v>4150</v>
      </c>
      <c r="F359" s="74">
        <f t="shared" si="45"/>
        <v>0</v>
      </c>
    </row>
    <row r="360" spans="1:6" ht="92.5">
      <c r="A360" s="32" t="s">
        <v>342</v>
      </c>
      <c r="B360" s="17" t="s">
        <v>407</v>
      </c>
      <c r="C360" s="24"/>
      <c r="D360" s="32" t="s">
        <v>334</v>
      </c>
      <c r="E360" s="32">
        <v>4750</v>
      </c>
      <c r="F360" s="79"/>
    </row>
    <row r="361" spans="1:6" ht="259">
      <c r="A361" s="32" t="s">
        <v>344</v>
      </c>
      <c r="B361" s="17" t="s">
        <v>607</v>
      </c>
      <c r="C361" s="32"/>
      <c r="D361" s="32" t="s">
        <v>334</v>
      </c>
      <c r="E361" s="32">
        <v>6250</v>
      </c>
      <c r="F361" s="74">
        <f t="shared" ref="F361" si="46">E361*C361</f>
        <v>0</v>
      </c>
    </row>
    <row r="362" spans="1:6" ht="37">
      <c r="A362" s="65"/>
      <c r="B362" s="18" t="s">
        <v>345</v>
      </c>
      <c r="C362" s="57"/>
      <c r="D362" s="32"/>
      <c r="E362" s="32"/>
      <c r="F362" s="32"/>
    </row>
    <row r="363" spans="1:6" ht="55.5">
      <c r="A363" s="65"/>
      <c r="B363" s="17" t="s">
        <v>346</v>
      </c>
      <c r="C363" s="51"/>
      <c r="D363" s="32"/>
      <c r="E363" s="32"/>
      <c r="F363" s="32"/>
    </row>
    <row r="364" spans="1:6" ht="55.5">
      <c r="A364" s="32" t="s">
        <v>466</v>
      </c>
      <c r="B364" s="48" t="s">
        <v>465</v>
      </c>
      <c r="C364" s="32"/>
      <c r="D364" s="32" t="s">
        <v>334</v>
      </c>
      <c r="E364" s="32">
        <v>5950</v>
      </c>
      <c r="F364" s="74">
        <f t="shared" ref="F364" si="47">E364*C364</f>
        <v>0</v>
      </c>
    </row>
    <row r="365" spans="1:6" ht="240.5">
      <c r="A365" s="32" t="s">
        <v>454</v>
      </c>
      <c r="B365" s="17" t="s">
        <v>455</v>
      </c>
      <c r="C365" s="51"/>
      <c r="D365" s="32"/>
      <c r="E365" s="32"/>
      <c r="F365" s="32"/>
    </row>
    <row r="366" spans="1:6" ht="74">
      <c r="A366" s="32" t="s">
        <v>339</v>
      </c>
      <c r="B366" s="17" t="s">
        <v>408</v>
      </c>
      <c r="C366" s="49"/>
      <c r="D366" s="32" t="s">
        <v>191</v>
      </c>
      <c r="E366" s="32">
        <v>65500</v>
      </c>
      <c r="F366" s="74">
        <f t="shared" ref="F366:F369" si="48">E366*C366</f>
        <v>0</v>
      </c>
    </row>
    <row r="367" spans="1:6" ht="92.5">
      <c r="A367" s="32" t="s">
        <v>347</v>
      </c>
      <c r="B367" s="17" t="s">
        <v>350</v>
      </c>
      <c r="C367" s="49"/>
      <c r="D367" s="32" t="s">
        <v>289</v>
      </c>
      <c r="E367" s="32">
        <v>225</v>
      </c>
      <c r="F367" s="74">
        <f t="shared" si="48"/>
        <v>0</v>
      </c>
    </row>
    <row r="368" spans="1:6" ht="92.5">
      <c r="A368" s="32" t="s">
        <v>348</v>
      </c>
      <c r="B368" s="17" t="s">
        <v>391</v>
      </c>
      <c r="C368" s="49"/>
      <c r="D368" s="32" t="s">
        <v>289</v>
      </c>
      <c r="E368" s="32">
        <v>165</v>
      </c>
      <c r="F368" s="74">
        <f t="shared" si="48"/>
        <v>0</v>
      </c>
    </row>
    <row r="369" spans="1:6" ht="92.5">
      <c r="A369" s="32" t="s">
        <v>349</v>
      </c>
      <c r="B369" s="23" t="s">
        <v>392</v>
      </c>
      <c r="C369" s="5"/>
      <c r="D369" s="32" t="s">
        <v>289</v>
      </c>
      <c r="E369" s="32">
        <v>165</v>
      </c>
      <c r="F369" s="74">
        <f t="shared" si="48"/>
        <v>0</v>
      </c>
    </row>
    <row r="370" spans="1:6" ht="185">
      <c r="A370" s="32" t="s">
        <v>351</v>
      </c>
      <c r="B370" s="23" t="s">
        <v>499</v>
      </c>
      <c r="C370" s="5"/>
      <c r="D370" s="32"/>
      <c r="E370" s="32"/>
      <c r="F370" s="32"/>
    </row>
    <row r="371" spans="1:6">
      <c r="A371" s="51" t="s">
        <v>339</v>
      </c>
      <c r="B371" s="17" t="s">
        <v>356</v>
      </c>
      <c r="C371" s="24"/>
      <c r="D371" s="32" t="s">
        <v>289</v>
      </c>
      <c r="E371" s="32">
        <v>575</v>
      </c>
      <c r="F371" s="32"/>
    </row>
    <row r="372" spans="1:6">
      <c r="A372" s="51" t="s">
        <v>294</v>
      </c>
      <c r="B372" s="17" t="s">
        <v>357</v>
      </c>
      <c r="C372" s="32"/>
      <c r="D372" s="32" t="s">
        <v>289</v>
      </c>
      <c r="E372" s="32">
        <v>720</v>
      </c>
      <c r="F372" s="74">
        <f t="shared" ref="F372:F373" si="49">E372*C372</f>
        <v>0</v>
      </c>
    </row>
    <row r="373" spans="1:6">
      <c r="A373" s="51" t="s">
        <v>340</v>
      </c>
      <c r="B373" s="17" t="s">
        <v>358</v>
      </c>
      <c r="C373" s="32"/>
      <c r="D373" s="32" t="s">
        <v>289</v>
      </c>
      <c r="E373" s="32">
        <v>920</v>
      </c>
      <c r="F373" s="74">
        <f t="shared" si="49"/>
        <v>0</v>
      </c>
    </row>
    <row r="374" spans="1:6">
      <c r="A374" s="51" t="s">
        <v>359</v>
      </c>
      <c r="B374" s="17" t="s">
        <v>360</v>
      </c>
      <c r="C374" s="24"/>
      <c r="D374" s="32" t="s">
        <v>289</v>
      </c>
      <c r="E374" s="32">
        <v>1750</v>
      </c>
      <c r="F374" s="79"/>
    </row>
    <row r="375" spans="1:6">
      <c r="A375" s="51" t="s">
        <v>361</v>
      </c>
      <c r="B375" s="17" t="s">
        <v>362</v>
      </c>
      <c r="C375" s="24"/>
      <c r="D375" s="32" t="s">
        <v>289</v>
      </c>
      <c r="E375" s="32">
        <v>2950</v>
      </c>
      <c r="F375" s="32"/>
    </row>
    <row r="376" spans="1:6">
      <c r="A376" s="51" t="s">
        <v>363</v>
      </c>
      <c r="B376" s="17" t="s">
        <v>364</v>
      </c>
      <c r="C376" s="24"/>
      <c r="D376" s="32" t="s">
        <v>289</v>
      </c>
      <c r="E376" s="32">
        <v>3950</v>
      </c>
      <c r="F376" s="32"/>
    </row>
    <row r="377" spans="1:6">
      <c r="A377" s="51" t="s">
        <v>365</v>
      </c>
      <c r="B377" s="17" t="s">
        <v>366</v>
      </c>
      <c r="C377" s="24"/>
      <c r="D377" s="32" t="s">
        <v>289</v>
      </c>
      <c r="E377" s="32">
        <v>4250</v>
      </c>
      <c r="F377" s="32"/>
    </row>
    <row r="378" spans="1:6" ht="203.5">
      <c r="A378" s="32" t="s">
        <v>353</v>
      </c>
      <c r="B378" s="23" t="s">
        <v>368</v>
      </c>
      <c r="C378" s="5"/>
      <c r="D378" s="32"/>
      <c r="E378" s="32"/>
      <c r="F378" s="32"/>
    </row>
    <row r="379" spans="1:6">
      <c r="A379" s="51" t="s">
        <v>339</v>
      </c>
      <c r="B379" s="16" t="s">
        <v>369</v>
      </c>
      <c r="C379" s="24"/>
      <c r="D379" s="32" t="s">
        <v>289</v>
      </c>
      <c r="E379" s="32">
        <v>525</v>
      </c>
      <c r="F379" s="32"/>
    </row>
    <row r="380" spans="1:6">
      <c r="A380" s="51" t="s">
        <v>294</v>
      </c>
      <c r="B380" s="16" t="s">
        <v>370</v>
      </c>
      <c r="C380" s="32"/>
      <c r="D380" s="32" t="s">
        <v>289</v>
      </c>
      <c r="E380" s="32">
        <v>650</v>
      </c>
      <c r="F380" s="74">
        <f t="shared" ref="F380:F381" si="50">E380*C380</f>
        <v>0</v>
      </c>
    </row>
    <row r="381" spans="1:6">
      <c r="A381" s="51" t="s">
        <v>340</v>
      </c>
      <c r="B381" s="16" t="s">
        <v>371</v>
      </c>
      <c r="C381" s="32"/>
      <c r="D381" s="32" t="s">
        <v>289</v>
      </c>
      <c r="E381" s="32">
        <v>830</v>
      </c>
      <c r="F381" s="74">
        <f t="shared" si="50"/>
        <v>0</v>
      </c>
    </row>
    <row r="382" spans="1:6">
      <c r="A382" s="51" t="s">
        <v>359</v>
      </c>
      <c r="B382" s="16" t="s">
        <v>372</v>
      </c>
      <c r="C382" s="24"/>
      <c r="D382" s="32" t="s">
        <v>289</v>
      </c>
      <c r="E382" s="32">
        <v>1590</v>
      </c>
      <c r="F382" s="79"/>
    </row>
    <row r="383" spans="1:6">
      <c r="A383" s="51" t="s">
        <v>361</v>
      </c>
      <c r="B383" s="16" t="s">
        <v>373</v>
      </c>
      <c r="C383" s="24"/>
      <c r="D383" s="32" t="s">
        <v>289</v>
      </c>
      <c r="E383" s="32">
        <v>2680</v>
      </c>
      <c r="F383" s="32"/>
    </row>
    <row r="384" spans="1:6">
      <c r="A384" s="51" t="s">
        <v>363</v>
      </c>
      <c r="B384" s="16" t="s">
        <v>374</v>
      </c>
      <c r="C384" s="24"/>
      <c r="D384" s="32" t="s">
        <v>289</v>
      </c>
      <c r="E384" s="65">
        <v>3590</v>
      </c>
      <c r="F384" s="32"/>
    </row>
    <row r="385" spans="1:6">
      <c r="A385" s="51" t="s">
        <v>365</v>
      </c>
      <c r="B385" s="16" t="s">
        <v>375</v>
      </c>
      <c r="C385" s="24"/>
      <c r="D385" s="32" t="s">
        <v>289</v>
      </c>
      <c r="E385" s="32">
        <v>3850</v>
      </c>
      <c r="F385" s="32"/>
    </row>
    <row r="386" spans="1:6" ht="92.5">
      <c r="A386" s="32" t="s">
        <v>354</v>
      </c>
      <c r="B386" s="23" t="s">
        <v>393</v>
      </c>
      <c r="C386" s="5"/>
      <c r="D386" s="39"/>
      <c r="E386" s="32"/>
      <c r="F386" s="32"/>
    </row>
    <row r="387" spans="1:6">
      <c r="A387" s="5"/>
      <c r="B387" s="23" t="s">
        <v>377</v>
      </c>
      <c r="C387" s="5"/>
      <c r="D387" s="32" t="s">
        <v>289</v>
      </c>
      <c r="E387" s="32">
        <v>850</v>
      </c>
      <c r="F387" s="74">
        <f t="shared" ref="F387:F388" si="51">E387*C387</f>
        <v>0</v>
      </c>
    </row>
    <row r="388" spans="1:6" ht="92.5">
      <c r="A388" s="32" t="s">
        <v>355</v>
      </c>
      <c r="B388" s="23" t="s">
        <v>379</v>
      </c>
      <c r="C388" s="5"/>
      <c r="D388" s="32" t="s">
        <v>288</v>
      </c>
      <c r="E388" s="24">
        <v>150</v>
      </c>
      <c r="F388" s="74">
        <f t="shared" si="51"/>
        <v>0</v>
      </c>
    </row>
    <row r="389" spans="1:6" ht="92.5">
      <c r="A389" s="32" t="s">
        <v>367</v>
      </c>
      <c r="B389" s="23" t="s">
        <v>381</v>
      </c>
      <c r="C389" s="5"/>
      <c r="D389" s="32" t="s">
        <v>289</v>
      </c>
      <c r="E389" s="24">
        <v>1750</v>
      </c>
      <c r="F389" s="32"/>
    </row>
    <row r="390" spans="1:6" ht="92.5">
      <c r="A390" s="32" t="s">
        <v>376</v>
      </c>
      <c r="B390" s="23" t="s">
        <v>382</v>
      </c>
      <c r="C390" s="5"/>
      <c r="D390" s="25" t="s">
        <v>81</v>
      </c>
      <c r="E390" s="24">
        <v>750</v>
      </c>
      <c r="F390" s="74">
        <f t="shared" ref="F390" si="52">E390*C390</f>
        <v>0</v>
      </c>
    </row>
    <row r="391" spans="1:6">
      <c r="A391" s="5" t="s">
        <v>301</v>
      </c>
      <c r="B391" s="23" t="s">
        <v>383</v>
      </c>
      <c r="C391" s="24"/>
      <c r="D391" s="25" t="s">
        <v>81</v>
      </c>
      <c r="E391" s="24">
        <v>725</v>
      </c>
      <c r="F391" s="86"/>
    </row>
    <row r="392" spans="1:6" ht="222">
      <c r="A392" s="32" t="s">
        <v>378</v>
      </c>
      <c r="B392" s="23" t="s">
        <v>409</v>
      </c>
      <c r="C392" s="5"/>
      <c r="D392" s="24" t="s">
        <v>289</v>
      </c>
      <c r="E392" s="88">
        <v>550</v>
      </c>
      <c r="F392" s="74">
        <f t="shared" ref="F392" si="53">E392*C392</f>
        <v>0</v>
      </c>
    </row>
    <row r="393" spans="1:6" ht="148">
      <c r="A393" s="32" t="s">
        <v>380</v>
      </c>
      <c r="B393" s="23" t="s">
        <v>411</v>
      </c>
      <c r="C393" s="24"/>
      <c r="D393" s="24" t="s">
        <v>352</v>
      </c>
      <c r="E393" s="66">
        <v>7500</v>
      </c>
      <c r="F393" s="79"/>
    </row>
    <row r="394" spans="1:6" ht="92.5">
      <c r="A394" s="5" t="s">
        <v>410</v>
      </c>
      <c r="B394" s="23" t="s">
        <v>436</v>
      </c>
      <c r="C394" s="24"/>
      <c r="D394" s="24" t="s">
        <v>352</v>
      </c>
      <c r="E394" s="66"/>
      <c r="F394" s="79"/>
    </row>
    <row r="395" spans="1:6">
      <c r="A395" s="67"/>
      <c r="B395" s="35" t="s">
        <v>384</v>
      </c>
      <c r="C395" s="3"/>
      <c r="D395" s="66"/>
      <c r="E395" s="32"/>
      <c r="F395" s="69">
        <f>SUM(F352:F394)</f>
        <v>0</v>
      </c>
    </row>
    <row r="396" spans="1:6">
      <c r="A396" s="67"/>
      <c r="B396" s="35" t="s">
        <v>560</v>
      </c>
      <c r="C396" s="3"/>
      <c r="D396" s="66"/>
      <c r="E396" s="32"/>
      <c r="F396" s="68"/>
    </row>
    <row r="397" spans="1:6">
      <c r="A397" s="49"/>
      <c r="B397" s="28" t="s">
        <v>561</v>
      </c>
      <c r="C397" s="49"/>
      <c r="D397" s="32"/>
      <c r="E397" s="32"/>
      <c r="F397" s="70"/>
    </row>
    <row r="398" spans="1:6" ht="92.5">
      <c r="A398" s="5" t="s">
        <v>427</v>
      </c>
      <c r="B398" s="23" t="s">
        <v>562</v>
      </c>
      <c r="C398" s="24"/>
      <c r="D398" s="25" t="s">
        <v>82</v>
      </c>
      <c r="E398" s="32">
        <v>9500</v>
      </c>
      <c r="F398" s="60">
        <f t="shared" ref="F398:F399" si="54">E398*C398</f>
        <v>0</v>
      </c>
    </row>
    <row r="399" spans="1:6" ht="55.5">
      <c r="A399" s="5" t="s">
        <v>428</v>
      </c>
      <c r="B399" s="23" t="s">
        <v>563</v>
      </c>
      <c r="C399" s="24"/>
      <c r="D399" s="25" t="s">
        <v>82</v>
      </c>
      <c r="E399" s="32">
        <v>1450</v>
      </c>
      <c r="F399" s="60">
        <f t="shared" si="54"/>
        <v>0</v>
      </c>
    </row>
    <row r="400" spans="1:6" ht="55.5">
      <c r="A400" s="5" t="s">
        <v>429</v>
      </c>
      <c r="B400" s="23" t="s">
        <v>564</v>
      </c>
      <c r="C400" s="24"/>
      <c r="D400" s="25"/>
      <c r="E400" s="32"/>
      <c r="F400" s="60"/>
    </row>
    <row r="401" spans="1:6">
      <c r="A401" s="5"/>
      <c r="B401" s="23" t="s">
        <v>565</v>
      </c>
      <c r="C401" s="24"/>
      <c r="D401" s="25" t="s">
        <v>82</v>
      </c>
      <c r="E401" s="32">
        <v>2550</v>
      </c>
      <c r="F401" s="60">
        <f t="shared" ref="F401" si="55">E401*C401</f>
        <v>0</v>
      </c>
    </row>
    <row r="402" spans="1:6" ht="37">
      <c r="A402" s="5" t="s">
        <v>430</v>
      </c>
      <c r="B402" s="23" t="s">
        <v>566</v>
      </c>
      <c r="C402" s="24"/>
      <c r="D402" s="25" t="s">
        <v>82</v>
      </c>
      <c r="E402" s="32">
        <v>2650</v>
      </c>
      <c r="F402" s="60"/>
    </row>
    <row r="403" spans="1:6" ht="55.5">
      <c r="A403" s="5" t="s">
        <v>431</v>
      </c>
      <c r="B403" s="23" t="s">
        <v>567</v>
      </c>
      <c r="C403" s="24"/>
      <c r="D403" s="25" t="s">
        <v>82</v>
      </c>
      <c r="E403" s="32">
        <v>6500</v>
      </c>
      <c r="F403" s="60"/>
    </row>
    <row r="404" spans="1:6" ht="74">
      <c r="A404" s="5" t="s">
        <v>432</v>
      </c>
      <c r="B404" s="23" t="s">
        <v>568</v>
      </c>
      <c r="C404" s="24"/>
      <c r="D404" s="25" t="s">
        <v>82</v>
      </c>
      <c r="E404" s="32">
        <v>1250</v>
      </c>
      <c r="F404" s="60"/>
    </row>
    <row r="405" spans="1:6" ht="111">
      <c r="A405" s="5" t="s">
        <v>434</v>
      </c>
      <c r="B405" s="23" t="s">
        <v>569</v>
      </c>
      <c r="C405" s="24"/>
      <c r="D405" s="25" t="s">
        <v>82</v>
      </c>
      <c r="E405" s="32">
        <v>6500</v>
      </c>
      <c r="F405" s="60">
        <f t="shared" ref="F405" si="56">E405*C405</f>
        <v>0</v>
      </c>
    </row>
    <row r="406" spans="1:6" ht="55.5">
      <c r="A406" s="5" t="s">
        <v>571</v>
      </c>
      <c r="B406" s="23" t="s">
        <v>570</v>
      </c>
      <c r="C406" s="24"/>
      <c r="D406" s="25"/>
      <c r="E406" s="32"/>
      <c r="F406" s="60"/>
    </row>
    <row r="407" spans="1:6">
      <c r="A407" s="5"/>
      <c r="B407" s="23" t="s">
        <v>565</v>
      </c>
      <c r="C407" s="24"/>
      <c r="D407" s="25" t="s">
        <v>82</v>
      </c>
      <c r="E407" s="32">
        <v>1150</v>
      </c>
      <c r="F407" s="60">
        <f t="shared" ref="F407:F411" si="57">E407*C407</f>
        <v>0</v>
      </c>
    </row>
    <row r="408" spans="1:6" ht="37">
      <c r="A408" s="5" t="s">
        <v>572</v>
      </c>
      <c r="B408" s="23" t="s">
        <v>573</v>
      </c>
      <c r="C408" s="24"/>
      <c r="D408" s="25" t="s">
        <v>82</v>
      </c>
      <c r="E408" s="32">
        <v>7500</v>
      </c>
      <c r="F408" s="60">
        <f t="shared" si="57"/>
        <v>0</v>
      </c>
    </row>
    <row r="409" spans="1:6" ht="37">
      <c r="A409" s="5" t="s">
        <v>575</v>
      </c>
      <c r="B409" s="23" t="s">
        <v>574</v>
      </c>
      <c r="C409" s="24"/>
      <c r="D409" s="25" t="s">
        <v>82</v>
      </c>
      <c r="E409" s="32">
        <v>9500</v>
      </c>
      <c r="F409" s="60">
        <f t="shared" si="57"/>
        <v>0</v>
      </c>
    </row>
    <row r="410" spans="1:6" ht="37">
      <c r="A410" s="5" t="s">
        <v>576</v>
      </c>
      <c r="B410" s="23" t="s">
        <v>577</v>
      </c>
      <c r="C410" s="24"/>
      <c r="D410" s="25" t="s">
        <v>82</v>
      </c>
      <c r="E410" s="32">
        <v>2500</v>
      </c>
      <c r="F410" s="60">
        <f t="shared" si="57"/>
        <v>0</v>
      </c>
    </row>
    <row r="411" spans="1:6" ht="92.5">
      <c r="A411" s="5" t="s">
        <v>578</v>
      </c>
      <c r="B411" s="23" t="s">
        <v>579</v>
      </c>
      <c r="C411" s="24"/>
      <c r="D411" s="25" t="s">
        <v>82</v>
      </c>
      <c r="E411" s="32">
        <v>1950</v>
      </c>
      <c r="F411" s="60">
        <f t="shared" si="57"/>
        <v>0</v>
      </c>
    </row>
    <row r="412" spans="1:6" ht="129.5">
      <c r="A412" s="5" t="s">
        <v>580</v>
      </c>
      <c r="B412" s="23" t="s">
        <v>581</v>
      </c>
      <c r="C412" s="24"/>
      <c r="D412" s="25"/>
      <c r="E412" s="32"/>
      <c r="F412" s="60"/>
    </row>
    <row r="413" spans="1:6">
      <c r="A413" s="5"/>
      <c r="B413" s="23" t="s">
        <v>582</v>
      </c>
      <c r="C413" s="24"/>
      <c r="D413" s="25" t="s">
        <v>514</v>
      </c>
      <c r="E413" s="32">
        <v>750</v>
      </c>
      <c r="F413" s="60"/>
    </row>
    <row r="414" spans="1:6">
      <c r="A414" s="5"/>
      <c r="B414" s="23" t="s">
        <v>583</v>
      </c>
      <c r="C414" s="24"/>
      <c r="D414" s="25" t="s">
        <v>514</v>
      </c>
      <c r="E414" s="32">
        <v>600</v>
      </c>
      <c r="F414" s="60">
        <f t="shared" ref="F414:F417" si="58">E414*C414</f>
        <v>0</v>
      </c>
    </row>
    <row r="415" spans="1:6">
      <c r="A415" s="5"/>
      <c r="B415" s="23" t="s">
        <v>584</v>
      </c>
      <c r="C415" s="24"/>
      <c r="D415" s="25" t="s">
        <v>514</v>
      </c>
      <c r="E415" s="32">
        <v>375</v>
      </c>
      <c r="F415" s="60">
        <f t="shared" si="58"/>
        <v>0</v>
      </c>
    </row>
    <row r="416" spans="1:6">
      <c r="A416" s="5"/>
      <c r="B416" s="23" t="s">
        <v>585</v>
      </c>
      <c r="C416" s="24"/>
      <c r="D416" s="25" t="s">
        <v>514</v>
      </c>
      <c r="E416" s="32">
        <v>185</v>
      </c>
      <c r="F416" s="60">
        <f t="shared" si="58"/>
        <v>0</v>
      </c>
    </row>
    <row r="417" spans="1:6">
      <c r="A417" s="5"/>
      <c r="B417" s="23" t="s">
        <v>586</v>
      </c>
      <c r="C417" s="24"/>
      <c r="D417" s="25" t="s">
        <v>514</v>
      </c>
      <c r="E417" s="32">
        <v>135</v>
      </c>
      <c r="F417" s="60">
        <f t="shared" si="58"/>
        <v>0</v>
      </c>
    </row>
    <row r="418" spans="1:6" ht="141" customHeight="1">
      <c r="A418" s="5" t="s">
        <v>587</v>
      </c>
      <c r="B418" s="23" t="s">
        <v>606</v>
      </c>
      <c r="C418" s="24"/>
      <c r="D418" s="25"/>
      <c r="E418" s="32"/>
      <c r="F418" s="60"/>
    </row>
    <row r="419" spans="1:6">
      <c r="A419" s="5"/>
      <c r="B419" s="23" t="s">
        <v>588</v>
      </c>
      <c r="C419" s="24"/>
      <c r="D419" s="25" t="s">
        <v>514</v>
      </c>
      <c r="E419" s="32">
        <v>1750</v>
      </c>
      <c r="F419" s="60"/>
    </row>
    <row r="420" spans="1:6">
      <c r="A420" s="5"/>
      <c r="B420" s="23" t="s">
        <v>589</v>
      </c>
      <c r="C420" s="24"/>
      <c r="D420" s="25" t="s">
        <v>514</v>
      </c>
      <c r="E420" s="32">
        <v>1176</v>
      </c>
      <c r="F420" s="60">
        <f t="shared" ref="F420:F422" si="59">E420*C420</f>
        <v>0</v>
      </c>
    </row>
    <row r="421" spans="1:6">
      <c r="A421" s="5"/>
      <c r="B421" s="23" t="s">
        <v>590</v>
      </c>
      <c r="C421" s="24"/>
      <c r="D421" s="25" t="s">
        <v>514</v>
      </c>
      <c r="E421" s="32">
        <v>900</v>
      </c>
      <c r="F421" s="60">
        <f t="shared" si="59"/>
        <v>0</v>
      </c>
    </row>
    <row r="422" spans="1:6">
      <c r="A422" s="5"/>
      <c r="B422" s="23" t="s">
        <v>591</v>
      </c>
      <c r="C422" s="24"/>
      <c r="D422" s="25" t="s">
        <v>514</v>
      </c>
      <c r="E422" s="32">
        <v>670</v>
      </c>
      <c r="F422" s="60">
        <f t="shared" si="59"/>
        <v>0</v>
      </c>
    </row>
    <row r="423" spans="1:6" ht="92.5">
      <c r="A423" s="5" t="s">
        <v>593</v>
      </c>
      <c r="B423" s="23" t="s">
        <v>592</v>
      </c>
      <c r="C423" s="24"/>
      <c r="D423" s="25"/>
      <c r="E423" s="32"/>
      <c r="F423" s="60"/>
    </row>
    <row r="424" spans="1:6">
      <c r="A424" s="5"/>
      <c r="B424" s="23" t="s">
        <v>594</v>
      </c>
      <c r="C424" s="24"/>
      <c r="D424" s="25" t="s">
        <v>82</v>
      </c>
      <c r="E424" s="32">
        <v>750</v>
      </c>
      <c r="F424" s="60">
        <f>E424*C424</f>
        <v>0</v>
      </c>
    </row>
    <row r="425" spans="1:6" ht="74">
      <c r="A425" s="5" t="s">
        <v>597</v>
      </c>
      <c r="B425" s="23" t="s">
        <v>595</v>
      </c>
      <c r="C425" s="24"/>
      <c r="D425" s="25" t="s">
        <v>514</v>
      </c>
      <c r="E425" s="32">
        <v>1950</v>
      </c>
      <c r="F425" s="60">
        <f>E425*C425</f>
        <v>0</v>
      </c>
    </row>
    <row r="426" spans="1:6" ht="92.5">
      <c r="A426" s="5" t="s">
        <v>598</v>
      </c>
      <c r="B426" s="23" t="s">
        <v>619</v>
      </c>
      <c r="C426" s="24"/>
      <c r="D426" s="25" t="s">
        <v>82</v>
      </c>
      <c r="E426" s="32">
        <v>25000</v>
      </c>
      <c r="F426" s="60">
        <f>E426*C426</f>
        <v>0</v>
      </c>
    </row>
    <row r="427" spans="1:6">
      <c r="A427" s="67"/>
      <c r="B427" s="35" t="s">
        <v>433</v>
      </c>
      <c r="C427" s="3"/>
      <c r="D427" s="66"/>
      <c r="E427" s="66"/>
      <c r="F427" s="68">
        <f>SUM(F398:F426)</f>
        <v>0</v>
      </c>
    </row>
    <row r="428" spans="1:6">
      <c r="A428" s="67"/>
      <c r="B428" s="35" t="s">
        <v>525</v>
      </c>
      <c r="C428" s="3"/>
      <c r="D428" s="66"/>
      <c r="E428" s="66"/>
      <c r="F428" s="68"/>
    </row>
    <row r="429" spans="1:6" ht="297.5">
      <c r="A429" s="5" t="s">
        <v>526</v>
      </c>
      <c r="B429" s="23" t="s">
        <v>527</v>
      </c>
      <c r="C429" s="24"/>
      <c r="D429" s="25"/>
      <c r="E429" s="32"/>
      <c r="F429" s="60"/>
    </row>
    <row r="430" spans="1:6">
      <c r="A430" s="5"/>
      <c r="B430" s="23" t="s">
        <v>528</v>
      </c>
      <c r="C430" s="5"/>
      <c r="D430" s="25" t="s">
        <v>83</v>
      </c>
      <c r="E430" s="32">
        <v>5125</v>
      </c>
      <c r="F430" s="74">
        <f t="shared" ref="F430:F433" si="60">E430*C430</f>
        <v>0</v>
      </c>
    </row>
    <row r="431" spans="1:6">
      <c r="A431" s="5"/>
      <c r="B431" s="23" t="s">
        <v>529</v>
      </c>
      <c r="C431" s="5"/>
      <c r="D431" s="25" t="s">
        <v>83</v>
      </c>
      <c r="E431" s="32">
        <v>5875</v>
      </c>
      <c r="F431" s="74">
        <f t="shared" si="60"/>
        <v>0</v>
      </c>
    </row>
    <row r="432" spans="1:6">
      <c r="A432" s="5"/>
      <c r="B432" s="23" t="s">
        <v>530</v>
      </c>
      <c r="C432" s="5"/>
      <c r="D432" s="25" t="s">
        <v>83</v>
      </c>
      <c r="E432" s="32">
        <v>6625</v>
      </c>
      <c r="F432" s="74">
        <f t="shared" si="60"/>
        <v>0</v>
      </c>
    </row>
    <row r="433" spans="1:6">
      <c r="A433" s="5"/>
      <c r="B433" s="23" t="s">
        <v>531</v>
      </c>
      <c r="C433" s="5"/>
      <c r="D433" s="25" t="s">
        <v>83</v>
      </c>
      <c r="E433" s="32">
        <v>12500</v>
      </c>
      <c r="F433" s="74">
        <f t="shared" si="60"/>
        <v>0</v>
      </c>
    </row>
    <row r="434" spans="1:6">
      <c r="A434" s="67"/>
      <c r="B434" s="35" t="s">
        <v>532</v>
      </c>
      <c r="C434" s="3"/>
      <c r="D434" s="66"/>
      <c r="E434" s="66"/>
      <c r="F434" s="69">
        <f>SUM(F430:F433)</f>
        <v>0</v>
      </c>
    </row>
  </sheetData>
  <customSheetViews>
    <customSheetView guid="{5399B9A3-C514-4B3F-AA20-DF1128B22F93}" scale="70" showPageBreaks="1" fitToPage="1" printArea="1" hiddenRows="1" view="pageBreakPreview" topLeftCell="A424">
      <selection activeCell="E6" sqref="E6:E432"/>
      <rowBreaks count="7" manualBreakCount="7">
        <brk id="35" max="16383" man="1"/>
        <brk id="37" max="16383" man="1"/>
        <brk id="99" max="16383" man="1"/>
        <brk id="122" max="16383" man="1"/>
        <brk id="175" max="16383" man="1"/>
        <brk id="277" max="16383" man="1"/>
        <brk id="303" max="16383" man="1"/>
      </rowBreaks>
      <pageMargins left="0.55118110236220474" right="0.39370078740157483" top="0.39370078740157483" bottom="0.39370078740157483" header="0.51181102362204722" footer="0.11811023622047245"/>
      <printOptions horizontalCentered="1"/>
      <pageSetup paperSize="9" scale="57" fitToHeight="0" orientation="portrait" r:id="rId1"/>
      <headerFooter alignWithMargins="0">
        <oddFooter>&amp;C&amp;P OF &amp;N</oddFooter>
      </headerFooter>
    </customSheetView>
  </customSheetViews>
  <mergeCells count="3">
    <mergeCell ref="B1:E1"/>
    <mergeCell ref="A2:F2"/>
    <mergeCell ref="A3:F3"/>
  </mergeCells>
  <printOptions horizontalCentered="1"/>
  <pageMargins left="0.55118110236220474" right="0.39370078740157483" top="0.39370078740157483" bottom="0.39370078740157483" header="0.51181102362204722" footer="0.11811023622047245"/>
  <pageSetup paperSize="9" scale="57" fitToHeight="0" orientation="portrait" r:id="rId2"/>
  <headerFooter alignWithMargins="0">
    <oddFooter>&amp;C&amp;P OF &amp;N</oddFooter>
  </headerFooter>
  <rowBreaks count="7" manualBreakCount="7">
    <brk id="35" max="16383" man="1"/>
    <brk id="37" max="16383" man="1"/>
    <brk id="99" max="16383" man="1"/>
    <brk id="122" max="16383" man="1"/>
    <brk id="175" max="16383" man="1"/>
    <brk id="277" max="16383" man="1"/>
    <brk id="303" max="16383" man="1"/>
  </rowBreak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G432"/>
  <sheetViews>
    <sheetView view="pageBreakPreview" topLeftCell="A425" zoomScale="70" zoomScaleNormal="70" zoomScaleSheetLayoutView="70" workbookViewId="0">
      <selection activeCell="H428" sqref="H428"/>
    </sheetView>
  </sheetViews>
  <sheetFormatPr defaultColWidth="9.1796875" defaultRowHeight="18.5"/>
  <cols>
    <col min="1" max="1" width="22.453125" style="46" customWidth="1"/>
    <col min="2" max="2" width="66.1796875" style="47" customWidth="1"/>
    <col min="3" max="3" width="18.81640625" style="46" customWidth="1"/>
    <col min="4" max="4" width="17.81640625" style="2" customWidth="1"/>
    <col min="5" max="5" width="17.81640625" style="15" customWidth="1"/>
    <col min="6" max="6" width="21.453125" style="2" customWidth="1"/>
    <col min="7" max="16384" width="9.1796875" style="1"/>
  </cols>
  <sheetData>
    <row r="1" spans="1:6" ht="66" customHeight="1">
      <c r="A1" s="62"/>
      <c r="B1" s="210" t="s">
        <v>621</v>
      </c>
      <c r="C1" s="210"/>
      <c r="D1" s="210"/>
      <c r="E1" s="210"/>
      <c r="F1" s="61"/>
    </row>
    <row r="2" spans="1:6" ht="74.25" customHeight="1">
      <c r="A2" s="218" t="s">
        <v>622</v>
      </c>
      <c r="B2" s="219"/>
      <c r="C2" s="219"/>
      <c r="D2" s="219"/>
      <c r="E2" s="219"/>
      <c r="F2" s="220"/>
    </row>
    <row r="3" spans="1:6" ht="21">
      <c r="A3" s="222" t="s">
        <v>270</v>
      </c>
      <c r="B3" s="222"/>
      <c r="C3" s="222"/>
      <c r="D3" s="222"/>
      <c r="E3" s="222"/>
      <c r="F3" s="222"/>
    </row>
    <row r="4" spans="1:6">
      <c r="A4" s="52" t="s">
        <v>152</v>
      </c>
      <c r="B4" s="52" t="s">
        <v>153</v>
      </c>
      <c r="C4" s="71" t="s">
        <v>79</v>
      </c>
      <c r="D4" s="72" t="s">
        <v>57</v>
      </c>
      <c r="E4" s="71" t="s">
        <v>58</v>
      </c>
      <c r="F4" s="72" t="s">
        <v>59</v>
      </c>
    </row>
    <row r="5" spans="1:6" ht="17.5" customHeight="1">
      <c r="A5" s="3"/>
      <c r="B5" s="22" t="s">
        <v>167</v>
      </c>
      <c r="C5" s="3"/>
      <c r="D5" s="4"/>
      <c r="E5" s="73"/>
      <c r="F5" s="4"/>
    </row>
    <row r="6" spans="1:6" ht="97.5" customHeight="1">
      <c r="A6" s="5" t="s">
        <v>168</v>
      </c>
      <c r="B6" s="28" t="s">
        <v>480</v>
      </c>
      <c r="C6" s="49">
        <v>87</v>
      </c>
      <c r="D6" s="24" t="s">
        <v>78</v>
      </c>
      <c r="E6" s="24">
        <v>35</v>
      </c>
      <c r="F6" s="74">
        <f>E6*C6</f>
        <v>3045</v>
      </c>
    </row>
    <row r="7" spans="1:6" ht="97.5" customHeight="1">
      <c r="A7" s="5" t="s">
        <v>557</v>
      </c>
      <c r="B7" s="28" t="s">
        <v>599</v>
      </c>
      <c r="C7" s="49"/>
      <c r="D7" s="24" t="s">
        <v>78</v>
      </c>
      <c r="E7" s="24">
        <v>25</v>
      </c>
      <c r="F7" s="74">
        <f>E7*C7</f>
        <v>0</v>
      </c>
    </row>
    <row r="8" spans="1:6" ht="256.5" customHeight="1">
      <c r="A8" s="5" t="s">
        <v>24</v>
      </c>
      <c r="B8" s="23" t="s">
        <v>401</v>
      </c>
      <c r="C8" s="5"/>
      <c r="D8" s="26"/>
      <c r="E8" s="24"/>
      <c r="F8" s="75"/>
    </row>
    <row r="9" spans="1:6">
      <c r="A9" s="5"/>
      <c r="B9" s="23" t="s">
        <v>28</v>
      </c>
      <c r="C9" s="5">
        <v>168</v>
      </c>
      <c r="D9" s="26" t="s">
        <v>80</v>
      </c>
      <c r="E9" s="24">
        <v>250</v>
      </c>
      <c r="F9" s="74">
        <f>E9*C9</f>
        <v>42000</v>
      </c>
    </row>
    <row r="10" spans="1:6">
      <c r="A10" s="5"/>
      <c r="B10" s="23" t="s">
        <v>197</v>
      </c>
      <c r="C10" s="5">
        <v>42</v>
      </c>
      <c r="D10" s="26" t="s">
        <v>80</v>
      </c>
      <c r="E10" s="24">
        <v>285</v>
      </c>
      <c r="F10" s="74">
        <f t="shared" ref="F10" si="0">E10*C10</f>
        <v>11970</v>
      </c>
    </row>
    <row r="11" spans="1:6">
      <c r="A11" s="5"/>
      <c r="B11" s="23" t="s">
        <v>26</v>
      </c>
      <c r="C11" s="24"/>
      <c r="D11" s="26" t="s">
        <v>80</v>
      </c>
      <c r="E11" s="24">
        <v>350</v>
      </c>
      <c r="F11" s="74"/>
    </row>
    <row r="12" spans="1:6">
      <c r="A12" s="5"/>
      <c r="B12" s="23" t="s">
        <v>27</v>
      </c>
      <c r="C12" s="24"/>
      <c r="D12" s="26" t="s">
        <v>80</v>
      </c>
      <c r="E12" s="24">
        <v>450</v>
      </c>
      <c r="F12" s="74"/>
    </row>
    <row r="13" spans="1:6">
      <c r="A13" s="5"/>
      <c r="B13" s="23" t="s">
        <v>213</v>
      </c>
      <c r="C13" s="24"/>
      <c r="D13" s="26" t="s">
        <v>80</v>
      </c>
      <c r="E13" s="24">
        <v>575</v>
      </c>
      <c r="F13" s="74"/>
    </row>
    <row r="14" spans="1:6" ht="128.15" customHeight="1">
      <c r="A14" s="5" t="s">
        <v>25</v>
      </c>
      <c r="B14" s="28" t="s">
        <v>600</v>
      </c>
      <c r="C14" s="49"/>
      <c r="D14" s="7"/>
      <c r="E14" s="24"/>
      <c r="F14" s="75"/>
    </row>
    <row r="15" spans="1:6">
      <c r="A15" s="5"/>
      <c r="B15" s="23" t="s">
        <v>402</v>
      </c>
      <c r="C15" s="63">
        <v>5</v>
      </c>
      <c r="D15" s="26" t="s">
        <v>80</v>
      </c>
      <c r="E15" s="24">
        <v>490</v>
      </c>
      <c r="F15" s="74">
        <f t="shared" ref="F15:F16" si="1">E15*C15</f>
        <v>2450</v>
      </c>
    </row>
    <row r="16" spans="1:6">
      <c r="A16" s="5"/>
      <c r="B16" s="23" t="s">
        <v>403</v>
      </c>
      <c r="C16" s="63">
        <v>21</v>
      </c>
      <c r="D16" s="26" t="s">
        <v>80</v>
      </c>
      <c r="E16" s="24">
        <v>1025</v>
      </c>
      <c r="F16" s="74">
        <f t="shared" si="1"/>
        <v>21525</v>
      </c>
    </row>
    <row r="17" spans="1:6">
      <c r="A17" s="5"/>
      <c r="B17" s="23" t="s">
        <v>404</v>
      </c>
      <c r="C17" s="63"/>
      <c r="D17" s="26" t="s">
        <v>80</v>
      </c>
      <c r="E17" s="24">
        <v>1150</v>
      </c>
      <c r="F17" s="74"/>
    </row>
    <row r="18" spans="1:6" ht="57.65" customHeight="1">
      <c r="A18" s="5" t="s">
        <v>29</v>
      </c>
      <c r="B18" s="23" t="s">
        <v>405</v>
      </c>
      <c r="C18" s="63">
        <v>187</v>
      </c>
      <c r="D18" s="26" t="s">
        <v>80</v>
      </c>
      <c r="E18" s="24">
        <v>150</v>
      </c>
      <c r="F18" s="74">
        <f>E18*C18</f>
        <v>28050</v>
      </c>
    </row>
    <row r="19" spans="1:6" ht="66.75" customHeight="1">
      <c r="A19" s="5" t="s">
        <v>554</v>
      </c>
      <c r="B19" s="23" t="s">
        <v>601</v>
      </c>
      <c r="C19" s="63"/>
      <c r="D19" s="26"/>
      <c r="E19" s="24"/>
      <c r="F19" s="74"/>
    </row>
    <row r="20" spans="1:6">
      <c r="A20" s="5"/>
      <c r="B20" s="23" t="s">
        <v>555</v>
      </c>
      <c r="C20" s="63"/>
      <c r="D20" s="26" t="s">
        <v>80</v>
      </c>
      <c r="E20" s="24">
        <v>100</v>
      </c>
      <c r="F20" s="74">
        <f>E20*C20</f>
        <v>0</v>
      </c>
    </row>
    <row r="21" spans="1:6">
      <c r="A21" s="5"/>
      <c r="B21" s="23" t="s">
        <v>556</v>
      </c>
      <c r="C21" s="63"/>
      <c r="D21" s="26" t="s">
        <v>82</v>
      </c>
      <c r="E21" s="24">
        <v>3500</v>
      </c>
      <c r="F21" s="74"/>
    </row>
    <row r="22" spans="1:6" ht="128.5" customHeight="1">
      <c r="A22" s="5" t="s">
        <v>30</v>
      </c>
      <c r="B22" s="23" t="s">
        <v>500</v>
      </c>
      <c r="C22" s="5"/>
      <c r="D22" s="7"/>
      <c r="E22" s="24"/>
      <c r="F22" s="75"/>
    </row>
    <row r="23" spans="1:6">
      <c r="A23" s="5"/>
      <c r="B23" s="23" t="s">
        <v>222</v>
      </c>
      <c r="C23" s="24"/>
      <c r="D23" s="26" t="s">
        <v>169</v>
      </c>
      <c r="E23" s="24">
        <v>517</v>
      </c>
      <c r="F23" s="75"/>
    </row>
    <row r="24" spans="1:6" ht="55.5">
      <c r="A24" s="5"/>
      <c r="B24" s="23" t="s">
        <v>274</v>
      </c>
      <c r="C24" s="63">
        <v>116</v>
      </c>
      <c r="D24" s="26" t="s">
        <v>169</v>
      </c>
      <c r="E24" s="24">
        <v>310</v>
      </c>
      <c r="F24" s="74">
        <f t="shared" ref="F24" si="2">E24*C24</f>
        <v>35960</v>
      </c>
    </row>
    <row r="25" spans="1:6" ht="55.5">
      <c r="A25" s="5"/>
      <c r="B25" s="23" t="s">
        <v>275</v>
      </c>
      <c r="C25" s="63"/>
      <c r="D25" s="26" t="s">
        <v>169</v>
      </c>
      <c r="E25" s="24">
        <v>150</v>
      </c>
      <c r="F25" s="74">
        <f>E25*C25</f>
        <v>0</v>
      </c>
    </row>
    <row r="26" spans="1:6" ht="166.5">
      <c r="A26" s="5" t="s">
        <v>43</v>
      </c>
      <c r="B26" s="28" t="s">
        <v>611</v>
      </c>
      <c r="C26" s="49"/>
      <c r="D26" s="7"/>
      <c r="E26" s="24"/>
      <c r="F26" s="75"/>
    </row>
    <row r="27" spans="1:6">
      <c r="A27" s="5"/>
      <c r="B27" s="30" t="s">
        <v>209</v>
      </c>
      <c r="C27" s="24"/>
      <c r="D27" s="26" t="s">
        <v>73</v>
      </c>
      <c r="E27" s="24">
        <v>300</v>
      </c>
      <c r="F27" s="74"/>
    </row>
    <row r="28" spans="1:6">
      <c r="A28" s="5"/>
      <c r="B28" s="30" t="s">
        <v>210</v>
      </c>
      <c r="C28" s="24"/>
      <c r="D28" s="26" t="s">
        <v>73</v>
      </c>
      <c r="E28" s="24">
        <v>350</v>
      </c>
      <c r="F28" s="74">
        <f t="shared" ref="F28:F30" si="3">E28*C28</f>
        <v>0</v>
      </c>
    </row>
    <row r="29" spans="1:6">
      <c r="A29" s="5"/>
      <c r="B29" s="30" t="s">
        <v>263</v>
      </c>
      <c r="C29" s="20"/>
      <c r="D29" s="26" t="s">
        <v>73</v>
      </c>
      <c r="E29" s="24">
        <v>425</v>
      </c>
      <c r="F29" s="74">
        <f t="shared" si="3"/>
        <v>0</v>
      </c>
    </row>
    <row r="30" spans="1:6">
      <c r="A30" s="5"/>
      <c r="B30" s="30" t="s">
        <v>264</v>
      </c>
      <c r="C30" s="24"/>
      <c r="D30" s="26" t="s">
        <v>73</v>
      </c>
      <c r="E30" s="24">
        <v>495</v>
      </c>
      <c r="F30" s="74">
        <f t="shared" si="3"/>
        <v>0</v>
      </c>
    </row>
    <row r="31" spans="1:6" ht="57.65" customHeight="1">
      <c r="A31" s="5" t="s">
        <v>211</v>
      </c>
      <c r="B31" s="31" t="s">
        <v>212</v>
      </c>
      <c r="C31" s="50"/>
      <c r="D31" s="7"/>
      <c r="E31" s="32"/>
      <c r="F31" s="75"/>
    </row>
    <row r="32" spans="1:6">
      <c r="A32" s="5"/>
      <c r="B32" s="30" t="s">
        <v>209</v>
      </c>
      <c r="C32" s="24"/>
      <c r="D32" s="26" t="s">
        <v>71</v>
      </c>
      <c r="E32" s="24">
        <v>300</v>
      </c>
      <c r="F32" s="74"/>
    </row>
    <row r="33" spans="1:6">
      <c r="A33" s="5"/>
      <c r="B33" s="30" t="s">
        <v>210</v>
      </c>
      <c r="C33" s="24"/>
      <c r="D33" s="26" t="s">
        <v>71</v>
      </c>
      <c r="E33" s="24">
        <v>400</v>
      </c>
      <c r="F33" s="74"/>
    </row>
    <row r="34" spans="1:6">
      <c r="A34" s="5"/>
      <c r="B34" s="30" t="s">
        <v>263</v>
      </c>
      <c r="C34" s="24"/>
      <c r="D34" s="26" t="s">
        <v>71</v>
      </c>
      <c r="E34" s="24">
        <v>450</v>
      </c>
      <c r="F34" s="74"/>
    </row>
    <row r="35" spans="1:6">
      <c r="A35" s="5"/>
      <c r="B35" s="30" t="s">
        <v>264</v>
      </c>
      <c r="C35" s="24"/>
      <c r="D35" s="26" t="s">
        <v>71</v>
      </c>
      <c r="E35" s="24">
        <v>500</v>
      </c>
      <c r="F35" s="74"/>
    </row>
    <row r="36" spans="1:6">
      <c r="A36" s="67"/>
      <c r="B36" s="22" t="s">
        <v>31</v>
      </c>
      <c r="C36" s="3"/>
      <c r="D36" s="4"/>
      <c r="E36" s="4"/>
      <c r="F36" s="76">
        <f>SUM(F6:F35)</f>
        <v>145000</v>
      </c>
    </row>
    <row r="37" spans="1:6" ht="17.5" customHeight="1">
      <c r="A37" s="67"/>
      <c r="B37" s="22" t="s">
        <v>66</v>
      </c>
      <c r="C37" s="3"/>
      <c r="D37" s="4"/>
      <c r="E37" s="4"/>
      <c r="F37" s="73"/>
    </row>
    <row r="38" spans="1:6" ht="93.65" customHeight="1">
      <c r="A38" s="5" t="s">
        <v>32</v>
      </c>
      <c r="B38" s="23" t="s">
        <v>406</v>
      </c>
      <c r="C38" s="5"/>
      <c r="D38" s="7"/>
      <c r="E38" s="24"/>
      <c r="F38" s="25"/>
    </row>
    <row r="39" spans="1:6">
      <c r="A39" s="5"/>
      <c r="B39" s="23" t="s">
        <v>34</v>
      </c>
      <c r="C39" s="24">
        <v>10</v>
      </c>
      <c r="D39" s="26" t="s">
        <v>80</v>
      </c>
      <c r="E39" s="24">
        <v>4100</v>
      </c>
      <c r="F39" s="74">
        <f>E39*C39</f>
        <v>41000</v>
      </c>
    </row>
    <row r="40" spans="1:6">
      <c r="A40" s="5"/>
      <c r="B40" s="23" t="s">
        <v>35</v>
      </c>
      <c r="C40" s="20"/>
      <c r="D40" s="26" t="s">
        <v>80</v>
      </c>
      <c r="E40" s="24">
        <v>4175</v>
      </c>
      <c r="F40" s="74">
        <f t="shared" ref="F40" si="4">E40*C40</f>
        <v>0</v>
      </c>
    </row>
    <row r="41" spans="1:6" ht="288.75" customHeight="1">
      <c r="A41" s="5" t="s">
        <v>33</v>
      </c>
      <c r="B41" s="38" t="s">
        <v>413</v>
      </c>
      <c r="C41" s="51"/>
      <c r="D41" s="7"/>
      <c r="E41" s="32"/>
      <c r="F41" s="75"/>
    </row>
    <row r="42" spans="1:6">
      <c r="A42" s="5"/>
      <c r="B42" s="21" t="s">
        <v>538</v>
      </c>
      <c r="C42" s="52"/>
      <c r="D42" s="7"/>
      <c r="E42" s="32"/>
      <c r="F42" s="75"/>
    </row>
    <row r="43" spans="1:6">
      <c r="A43" s="5"/>
      <c r="B43" s="28" t="s">
        <v>250</v>
      </c>
      <c r="C43" s="24"/>
      <c r="D43" s="26" t="s">
        <v>80</v>
      </c>
      <c r="E43" s="24">
        <v>5450</v>
      </c>
      <c r="F43" s="74"/>
    </row>
    <row r="44" spans="1:6">
      <c r="A44" s="49"/>
      <c r="B44" s="28" t="s">
        <v>296</v>
      </c>
      <c r="C44" s="24"/>
      <c r="D44" s="26" t="s">
        <v>80</v>
      </c>
      <c r="E44" s="24">
        <v>5950</v>
      </c>
      <c r="F44" s="75"/>
    </row>
    <row r="45" spans="1:6">
      <c r="A45" s="5"/>
      <c r="B45" s="21" t="s">
        <v>537</v>
      </c>
      <c r="C45" s="52"/>
      <c r="D45" s="7"/>
      <c r="E45" s="32"/>
      <c r="F45" s="75"/>
    </row>
    <row r="46" spans="1:6">
      <c r="A46" s="5"/>
      <c r="B46" s="28" t="s">
        <v>250</v>
      </c>
      <c r="C46" s="24">
        <v>29</v>
      </c>
      <c r="D46" s="32" t="s">
        <v>80</v>
      </c>
      <c r="E46" s="24">
        <v>5850</v>
      </c>
      <c r="F46" s="74">
        <f>E46*C46</f>
        <v>169650</v>
      </c>
    </row>
    <row r="47" spans="1:6">
      <c r="A47" s="49"/>
      <c r="B47" s="28" t="s">
        <v>612</v>
      </c>
      <c r="C47" s="24"/>
      <c r="D47" s="32" t="s">
        <v>80</v>
      </c>
      <c r="E47" s="24">
        <v>6175</v>
      </c>
      <c r="F47" s="74">
        <f>E47*C47</f>
        <v>0</v>
      </c>
    </row>
    <row r="48" spans="1:6">
      <c r="A48" s="49"/>
      <c r="B48" s="28" t="s">
        <v>613</v>
      </c>
      <c r="C48" s="24"/>
      <c r="D48" s="32" t="s">
        <v>80</v>
      </c>
      <c r="E48" s="24">
        <v>6350</v>
      </c>
      <c r="F48" s="74"/>
    </row>
    <row r="49" spans="1:6" ht="37">
      <c r="A49" s="5"/>
      <c r="B49" s="21" t="s">
        <v>443</v>
      </c>
      <c r="C49" s="24"/>
      <c r="D49" s="26" t="s">
        <v>80</v>
      </c>
      <c r="E49" s="24">
        <v>950</v>
      </c>
      <c r="F49" s="74"/>
    </row>
    <row r="50" spans="1:6" ht="55.5">
      <c r="A50" s="5" t="s">
        <v>536</v>
      </c>
      <c r="B50" s="61" t="s">
        <v>535</v>
      </c>
      <c r="C50" s="62"/>
      <c r="D50" s="8"/>
      <c r="E50" s="24"/>
      <c r="F50" s="74"/>
    </row>
    <row r="51" spans="1:6" ht="297" customHeight="1">
      <c r="A51" s="5"/>
      <c r="B51" s="38" t="s">
        <v>541</v>
      </c>
      <c r="C51" s="53"/>
      <c r="D51" s="8"/>
      <c r="E51" s="24"/>
      <c r="F51" s="74"/>
    </row>
    <row r="52" spans="1:6">
      <c r="A52" s="5" t="s">
        <v>461</v>
      </c>
      <c r="B52" s="43" t="s">
        <v>542</v>
      </c>
      <c r="C52" s="53"/>
      <c r="D52" s="8"/>
      <c r="E52" s="24"/>
      <c r="F52" s="74"/>
    </row>
    <row r="53" spans="1:6">
      <c r="A53" s="53"/>
      <c r="B53" s="43" t="s">
        <v>459</v>
      </c>
      <c r="C53" s="24"/>
      <c r="D53" s="25" t="s">
        <v>439</v>
      </c>
      <c r="E53" s="24">
        <v>5450</v>
      </c>
      <c r="F53" s="74"/>
    </row>
    <row r="54" spans="1:6">
      <c r="A54" s="53"/>
      <c r="B54" s="43" t="s">
        <v>460</v>
      </c>
      <c r="C54" s="6"/>
      <c r="D54" s="25" t="s">
        <v>439</v>
      </c>
      <c r="E54" s="24">
        <v>5850</v>
      </c>
      <c r="F54" s="74">
        <f>E54*C54</f>
        <v>0</v>
      </c>
    </row>
    <row r="55" spans="1:6" ht="37">
      <c r="A55" s="53"/>
      <c r="B55" s="21" t="s">
        <v>443</v>
      </c>
      <c r="C55" s="24"/>
      <c r="D55" s="25" t="s">
        <v>439</v>
      </c>
      <c r="E55" s="24">
        <v>950</v>
      </c>
      <c r="F55" s="74"/>
    </row>
    <row r="56" spans="1:6" ht="30.75" customHeight="1">
      <c r="A56" s="5" t="s">
        <v>462</v>
      </c>
      <c r="B56" s="43" t="s">
        <v>463</v>
      </c>
      <c r="C56" s="53"/>
      <c r="D56" s="8"/>
      <c r="E56" s="24"/>
      <c r="F56" s="74"/>
    </row>
    <row r="57" spans="1:6">
      <c r="A57" s="53"/>
      <c r="B57" s="45" t="s">
        <v>440</v>
      </c>
      <c r="C57" s="54"/>
      <c r="D57" s="8"/>
      <c r="E57" s="24"/>
      <c r="F57" s="74"/>
    </row>
    <row r="58" spans="1:6">
      <c r="A58" s="53"/>
      <c r="B58" s="43" t="s">
        <v>305</v>
      </c>
      <c r="C58" s="6"/>
      <c r="D58" s="25" t="s">
        <v>439</v>
      </c>
      <c r="E58" s="24">
        <v>5700</v>
      </c>
      <c r="F58" s="74">
        <f>E58*C58</f>
        <v>0</v>
      </c>
    </row>
    <row r="59" spans="1:6">
      <c r="A59" s="53"/>
      <c r="B59" s="43" t="s">
        <v>441</v>
      </c>
      <c r="C59" s="24"/>
      <c r="D59" s="25" t="s">
        <v>439</v>
      </c>
      <c r="E59" s="24"/>
      <c r="F59" s="74"/>
    </row>
    <row r="60" spans="1:6">
      <c r="A60" s="53"/>
      <c r="B60" s="45" t="s">
        <v>442</v>
      </c>
      <c r="C60" s="54"/>
      <c r="D60" s="26"/>
      <c r="E60" s="24"/>
      <c r="F60" s="74"/>
    </row>
    <row r="61" spans="1:6">
      <c r="A61" s="53"/>
      <c r="B61" s="28" t="s">
        <v>305</v>
      </c>
      <c r="C61" s="6"/>
      <c r="D61" s="25" t="s">
        <v>439</v>
      </c>
      <c r="E61" s="24">
        <v>5900</v>
      </c>
      <c r="F61" s="74">
        <f>E61*C61</f>
        <v>0</v>
      </c>
    </row>
    <row r="62" spans="1:6">
      <c r="A62" s="53"/>
      <c r="B62" s="28" t="s">
        <v>456</v>
      </c>
      <c r="C62" s="24"/>
      <c r="D62" s="25" t="s">
        <v>439</v>
      </c>
      <c r="E62" s="24">
        <v>6650</v>
      </c>
      <c r="F62" s="74"/>
    </row>
    <row r="63" spans="1:6" ht="37">
      <c r="A63" s="53"/>
      <c r="B63" s="21" t="s">
        <v>443</v>
      </c>
      <c r="C63" s="24"/>
      <c r="D63" s="25" t="s">
        <v>439</v>
      </c>
      <c r="E63" s="24">
        <v>950</v>
      </c>
      <c r="F63" s="74"/>
    </row>
    <row r="64" spans="1:6" ht="129.5">
      <c r="A64" s="49" t="s">
        <v>412</v>
      </c>
      <c r="B64" s="28" t="s">
        <v>415</v>
      </c>
      <c r="C64" s="49"/>
      <c r="D64" s="7"/>
      <c r="E64" s="24"/>
      <c r="F64" s="75"/>
    </row>
    <row r="65" spans="1:6">
      <c r="A65" s="49"/>
      <c r="B65" s="29" t="s">
        <v>209</v>
      </c>
      <c r="C65" s="20"/>
      <c r="D65" s="32" t="s">
        <v>80</v>
      </c>
      <c r="E65" s="24">
        <v>5600</v>
      </c>
      <c r="F65" s="77"/>
    </row>
    <row r="66" spans="1:6">
      <c r="A66" s="49"/>
      <c r="B66" s="29" t="s">
        <v>210</v>
      </c>
      <c r="C66" s="20"/>
      <c r="D66" s="32" t="s">
        <v>80</v>
      </c>
      <c r="E66" s="24">
        <v>5369</v>
      </c>
      <c r="F66" s="74">
        <f t="shared" ref="F66:F68" si="5">E66*C66</f>
        <v>0</v>
      </c>
    </row>
    <row r="67" spans="1:6">
      <c r="A67" s="49"/>
      <c r="B67" s="29" t="s">
        <v>262</v>
      </c>
      <c r="C67" s="20"/>
      <c r="D67" s="32" t="s">
        <v>80</v>
      </c>
      <c r="E67" s="24">
        <v>5650</v>
      </c>
      <c r="F67" s="74">
        <f t="shared" si="5"/>
        <v>0</v>
      </c>
    </row>
    <row r="68" spans="1:6">
      <c r="A68" s="49"/>
      <c r="B68" s="29" t="s">
        <v>253</v>
      </c>
      <c r="C68" s="20"/>
      <c r="D68" s="32" t="s">
        <v>80</v>
      </c>
      <c r="E68" s="24">
        <v>5650</v>
      </c>
      <c r="F68" s="74">
        <f t="shared" si="5"/>
        <v>0</v>
      </c>
    </row>
    <row r="69" spans="1:6" ht="200.25" customHeight="1">
      <c r="A69" s="49" t="s">
        <v>414</v>
      </c>
      <c r="B69" s="17" t="s">
        <v>394</v>
      </c>
      <c r="C69" s="5"/>
      <c r="D69" s="32"/>
      <c r="E69" s="24"/>
      <c r="F69" s="77"/>
    </row>
    <row r="70" spans="1:6">
      <c r="A70" s="49"/>
      <c r="B70" s="29" t="s">
        <v>395</v>
      </c>
      <c r="C70" s="24"/>
      <c r="D70" s="32" t="s">
        <v>80</v>
      </c>
      <c r="E70" s="24">
        <v>9500</v>
      </c>
      <c r="F70" s="77"/>
    </row>
    <row r="71" spans="1:6">
      <c r="A71" s="49"/>
      <c r="B71" s="29" t="s">
        <v>396</v>
      </c>
      <c r="C71" s="24"/>
      <c r="D71" s="32" t="s">
        <v>80</v>
      </c>
      <c r="E71" s="24">
        <v>9500</v>
      </c>
      <c r="F71" s="77"/>
    </row>
    <row r="72" spans="1:6" ht="296">
      <c r="A72" s="49" t="s">
        <v>464</v>
      </c>
      <c r="B72" s="28" t="s">
        <v>481</v>
      </c>
      <c r="C72" s="5"/>
      <c r="D72" s="32"/>
      <c r="E72" s="24"/>
      <c r="F72" s="77"/>
    </row>
    <row r="73" spans="1:6">
      <c r="A73" s="49"/>
      <c r="B73" s="19" t="s">
        <v>425</v>
      </c>
      <c r="C73" s="52"/>
      <c r="D73" s="32"/>
      <c r="E73" s="24"/>
      <c r="F73" s="77"/>
    </row>
    <row r="74" spans="1:6">
      <c r="A74" s="49"/>
      <c r="B74" s="28" t="s">
        <v>250</v>
      </c>
      <c r="C74" s="5"/>
      <c r="D74" s="32" t="s">
        <v>80</v>
      </c>
      <c r="E74" s="24">
        <v>5750</v>
      </c>
      <c r="F74" s="74">
        <f>E74*C74</f>
        <v>0</v>
      </c>
    </row>
    <row r="75" spans="1:6">
      <c r="A75" s="49"/>
      <c r="B75" s="28" t="s">
        <v>296</v>
      </c>
      <c r="C75" s="24"/>
      <c r="D75" s="32" t="s">
        <v>80</v>
      </c>
      <c r="E75" s="24">
        <v>6650</v>
      </c>
      <c r="F75" s="77"/>
    </row>
    <row r="76" spans="1:6">
      <c r="A76" s="49"/>
      <c r="B76" s="28" t="s">
        <v>297</v>
      </c>
      <c r="C76" s="24"/>
      <c r="D76" s="32" t="s">
        <v>80</v>
      </c>
      <c r="E76" s="24">
        <v>6850</v>
      </c>
      <c r="F76" s="77"/>
    </row>
    <row r="77" spans="1:6">
      <c r="A77" s="49"/>
      <c r="B77" s="28" t="s">
        <v>298</v>
      </c>
      <c r="C77" s="24"/>
      <c r="D77" s="32" t="s">
        <v>80</v>
      </c>
      <c r="E77" s="24">
        <v>7250</v>
      </c>
      <c r="F77" s="77"/>
    </row>
    <row r="78" spans="1:6" ht="57.65" customHeight="1">
      <c r="A78" s="25" t="s">
        <v>36</v>
      </c>
      <c r="B78" s="23" t="s">
        <v>249</v>
      </c>
      <c r="C78" s="25"/>
      <c r="D78" s="9"/>
      <c r="E78" s="24"/>
      <c r="F78" s="75"/>
    </row>
    <row r="79" spans="1:6" s="10" customFormat="1">
      <c r="A79" s="25"/>
      <c r="B79" s="34" t="s">
        <v>266</v>
      </c>
      <c r="C79" s="88"/>
      <c r="D79" s="33" t="s">
        <v>85</v>
      </c>
      <c r="E79" s="24">
        <v>175</v>
      </c>
      <c r="F79" s="74">
        <f>E79*C79</f>
        <v>0</v>
      </c>
    </row>
    <row r="80" spans="1:6" s="10" customFormat="1" ht="225" customHeight="1">
      <c r="A80" s="25" t="s">
        <v>37</v>
      </c>
      <c r="B80" s="23" t="s">
        <v>602</v>
      </c>
      <c r="C80" s="5"/>
      <c r="D80" s="9"/>
      <c r="E80" s="24"/>
      <c r="F80" s="75"/>
    </row>
    <row r="81" spans="1:6" s="10" customFormat="1">
      <c r="A81" s="25"/>
      <c r="B81" s="34" t="s">
        <v>258</v>
      </c>
      <c r="C81" s="24">
        <v>4</v>
      </c>
      <c r="D81" s="27" t="s">
        <v>191</v>
      </c>
      <c r="E81" s="24">
        <v>69500</v>
      </c>
      <c r="F81" s="74">
        <f>E81*C81</f>
        <v>278000</v>
      </c>
    </row>
    <row r="82" spans="1:6" s="10" customFormat="1" ht="203.5">
      <c r="A82" s="25" t="s">
        <v>38</v>
      </c>
      <c r="B82" s="23" t="s">
        <v>501</v>
      </c>
      <c r="C82" s="5"/>
      <c r="D82" s="9"/>
      <c r="E82" s="24"/>
      <c r="F82" s="75"/>
    </row>
    <row r="83" spans="1:6" ht="22.5" customHeight="1">
      <c r="A83" s="5"/>
      <c r="B83" s="28" t="s">
        <v>250</v>
      </c>
      <c r="C83" s="24">
        <v>105</v>
      </c>
      <c r="D83" s="32" t="s">
        <v>81</v>
      </c>
      <c r="E83" s="24">
        <v>550</v>
      </c>
      <c r="F83" s="74">
        <f>C83*E83</f>
        <v>57750</v>
      </c>
    </row>
    <row r="84" spans="1:6">
      <c r="A84" s="5"/>
      <c r="B84" s="28" t="s">
        <v>296</v>
      </c>
      <c r="C84" s="24"/>
      <c r="D84" s="32" t="s">
        <v>81</v>
      </c>
      <c r="E84" s="24">
        <v>625</v>
      </c>
      <c r="F84" s="74">
        <f>C84*E84</f>
        <v>0</v>
      </c>
    </row>
    <row r="85" spans="1:6" s="10" customFormat="1" ht="240.5">
      <c r="A85" s="5" t="s">
        <v>39</v>
      </c>
      <c r="B85" s="28" t="s">
        <v>233</v>
      </c>
      <c r="C85" s="49"/>
      <c r="D85" s="8"/>
      <c r="E85" s="24"/>
      <c r="F85" s="78"/>
    </row>
    <row r="86" spans="1:6" ht="20.25" customHeight="1">
      <c r="A86" s="5"/>
      <c r="B86" s="28" t="s">
        <v>250</v>
      </c>
      <c r="C86" s="24"/>
      <c r="D86" s="32" t="s">
        <v>81</v>
      </c>
      <c r="E86" s="24">
        <v>575</v>
      </c>
      <c r="F86" s="74"/>
    </row>
    <row r="87" spans="1:6">
      <c r="A87" s="5"/>
      <c r="B87" s="28" t="s">
        <v>296</v>
      </c>
      <c r="C87" s="24"/>
      <c r="D87" s="32" t="s">
        <v>81</v>
      </c>
      <c r="E87" s="24">
        <v>650</v>
      </c>
      <c r="F87" s="74">
        <f t="shared" ref="F87" si="6">E87*C87</f>
        <v>0</v>
      </c>
    </row>
    <row r="88" spans="1:6">
      <c r="A88" s="49"/>
      <c r="B88" s="28" t="s">
        <v>299</v>
      </c>
      <c r="C88" s="24"/>
      <c r="D88" s="32" t="s">
        <v>81</v>
      </c>
      <c r="E88" s="24">
        <v>725</v>
      </c>
      <c r="F88" s="74"/>
    </row>
    <row r="89" spans="1:6">
      <c r="A89" s="49"/>
      <c r="B89" s="28" t="s">
        <v>300</v>
      </c>
      <c r="C89" s="24"/>
      <c r="D89" s="32" t="s">
        <v>81</v>
      </c>
      <c r="E89" s="24">
        <v>850</v>
      </c>
      <c r="F89" s="74"/>
    </row>
    <row r="90" spans="1:6" ht="81.650000000000006" customHeight="1">
      <c r="A90" s="49" t="s">
        <v>54</v>
      </c>
      <c r="B90" s="28" t="s">
        <v>416</v>
      </c>
      <c r="C90" s="24"/>
      <c r="D90" s="26" t="s">
        <v>80</v>
      </c>
      <c r="E90" s="24">
        <v>52500</v>
      </c>
      <c r="F90" s="74">
        <f>E90*C90</f>
        <v>0</v>
      </c>
    </row>
    <row r="91" spans="1:6" ht="74">
      <c r="A91" s="49" t="s">
        <v>55</v>
      </c>
      <c r="B91" s="28" t="s">
        <v>244</v>
      </c>
      <c r="C91" s="87"/>
      <c r="D91" s="49" t="s">
        <v>83</v>
      </c>
      <c r="E91" s="49">
        <v>550</v>
      </c>
      <c r="F91" s="64"/>
    </row>
    <row r="92" spans="1:6" ht="129.5">
      <c r="A92" s="49" t="s">
        <v>518</v>
      </c>
      <c r="B92" s="28" t="s">
        <v>40</v>
      </c>
      <c r="C92" s="49"/>
      <c r="D92" s="28"/>
      <c r="E92" s="49"/>
      <c r="F92" s="64"/>
    </row>
    <row r="93" spans="1:6">
      <c r="A93" s="49"/>
      <c r="B93" s="28" t="s">
        <v>51</v>
      </c>
      <c r="C93" s="49"/>
      <c r="D93" s="49" t="s">
        <v>82</v>
      </c>
      <c r="E93" s="49">
        <v>800</v>
      </c>
      <c r="F93" s="74">
        <f t="shared" ref="F93:F101" si="7">E93*C93</f>
        <v>0</v>
      </c>
    </row>
    <row r="94" spans="1:6" ht="37">
      <c r="A94" s="49"/>
      <c r="B94" s="28" t="s">
        <v>52</v>
      </c>
      <c r="C94" s="49"/>
      <c r="D94" s="49" t="s">
        <v>82</v>
      </c>
      <c r="E94" s="49">
        <v>1050</v>
      </c>
      <c r="F94" s="74">
        <f t="shared" si="7"/>
        <v>0</v>
      </c>
    </row>
    <row r="95" spans="1:6" ht="37">
      <c r="A95" s="49"/>
      <c r="B95" s="28" t="s">
        <v>53</v>
      </c>
      <c r="C95" s="49"/>
      <c r="D95" s="49" t="s">
        <v>82</v>
      </c>
      <c r="E95" s="49">
        <v>1250</v>
      </c>
      <c r="F95" s="74">
        <f t="shared" si="7"/>
        <v>0</v>
      </c>
    </row>
    <row r="96" spans="1:6">
      <c r="A96" s="49"/>
      <c r="B96" s="28" t="s">
        <v>519</v>
      </c>
      <c r="C96" s="49"/>
      <c r="D96" s="49" t="s">
        <v>82</v>
      </c>
      <c r="E96" s="49">
        <v>1250</v>
      </c>
      <c r="F96" s="74">
        <f t="shared" si="7"/>
        <v>0</v>
      </c>
    </row>
    <row r="97" spans="1:6" ht="37">
      <c r="A97" s="49"/>
      <c r="B97" s="28" t="s">
        <v>520</v>
      </c>
      <c r="C97" s="49"/>
      <c r="D97" s="49" t="s">
        <v>82</v>
      </c>
      <c r="E97" s="49">
        <v>1350</v>
      </c>
      <c r="F97" s="74">
        <f t="shared" si="7"/>
        <v>0</v>
      </c>
    </row>
    <row r="98" spans="1:6" ht="37">
      <c r="A98" s="49"/>
      <c r="B98" s="28" t="s">
        <v>521</v>
      </c>
      <c r="C98" s="49"/>
      <c r="D98" s="49" t="s">
        <v>82</v>
      </c>
      <c r="E98" s="49">
        <v>2000</v>
      </c>
      <c r="F98" s="74">
        <f t="shared" si="7"/>
        <v>0</v>
      </c>
    </row>
    <row r="99" spans="1:6">
      <c r="A99" s="49"/>
      <c r="B99" s="28" t="s">
        <v>522</v>
      </c>
      <c r="C99" s="49"/>
      <c r="D99" s="49" t="s">
        <v>82</v>
      </c>
      <c r="E99" s="49">
        <v>1950</v>
      </c>
      <c r="F99" s="74">
        <f t="shared" si="7"/>
        <v>0</v>
      </c>
    </row>
    <row r="100" spans="1:6" ht="37">
      <c r="A100" s="49"/>
      <c r="B100" s="28" t="s">
        <v>523</v>
      </c>
      <c r="C100" s="49"/>
      <c r="D100" s="49" t="s">
        <v>82</v>
      </c>
      <c r="E100" s="49">
        <v>2250</v>
      </c>
      <c r="F100" s="74">
        <f t="shared" si="7"/>
        <v>0</v>
      </c>
    </row>
    <row r="101" spans="1:6" ht="37">
      <c r="A101" s="49"/>
      <c r="B101" s="28" t="s">
        <v>524</v>
      </c>
      <c r="C101" s="49"/>
      <c r="D101" s="49" t="s">
        <v>82</v>
      </c>
      <c r="E101" s="49">
        <v>2750</v>
      </c>
      <c r="F101" s="74">
        <f t="shared" si="7"/>
        <v>0</v>
      </c>
    </row>
    <row r="102" spans="1:6">
      <c r="A102" s="67"/>
      <c r="B102" s="35" t="s">
        <v>56</v>
      </c>
      <c r="C102" s="3"/>
      <c r="D102" s="4"/>
      <c r="E102" s="4"/>
      <c r="F102" s="76">
        <f>SUM(F38:F101)</f>
        <v>546400</v>
      </c>
    </row>
    <row r="103" spans="1:6" ht="17.5" customHeight="1">
      <c r="A103" s="67"/>
      <c r="B103" s="36" t="s">
        <v>60</v>
      </c>
      <c r="C103" s="55"/>
      <c r="D103" s="4"/>
      <c r="E103" s="4"/>
      <c r="F103" s="73"/>
    </row>
    <row r="104" spans="1:6" ht="111">
      <c r="A104" s="5" t="s">
        <v>61</v>
      </c>
      <c r="B104" s="11" t="s">
        <v>314</v>
      </c>
      <c r="C104" s="56"/>
      <c r="D104" s="8"/>
      <c r="E104" s="8"/>
      <c r="F104" s="24"/>
    </row>
    <row r="105" spans="1:6" ht="17.5" customHeight="1">
      <c r="A105" s="5" t="s">
        <v>301</v>
      </c>
      <c r="B105" s="23" t="s">
        <v>302</v>
      </c>
      <c r="C105" s="24"/>
      <c r="D105" s="32" t="s">
        <v>80</v>
      </c>
      <c r="E105" s="49">
        <v>7250</v>
      </c>
      <c r="F105" s="24"/>
    </row>
    <row r="106" spans="1:6" ht="17.5" customHeight="1">
      <c r="A106" s="5" t="s">
        <v>303</v>
      </c>
      <c r="B106" s="23" t="s">
        <v>304</v>
      </c>
      <c r="C106" s="24"/>
      <c r="D106" s="32" t="s">
        <v>80</v>
      </c>
      <c r="E106" s="49">
        <v>7250</v>
      </c>
      <c r="F106" s="24"/>
    </row>
    <row r="107" spans="1:6" ht="129.5">
      <c r="A107" s="49" t="s">
        <v>62</v>
      </c>
      <c r="B107" s="11" t="s">
        <v>502</v>
      </c>
      <c r="C107" s="32"/>
      <c r="D107" s="8"/>
      <c r="E107" s="8"/>
      <c r="F107" s="24"/>
    </row>
    <row r="108" spans="1:6" ht="17.5" customHeight="1">
      <c r="A108" s="49"/>
      <c r="B108" s="28" t="s">
        <v>305</v>
      </c>
      <c r="C108" s="24"/>
      <c r="D108" s="32" t="s">
        <v>80</v>
      </c>
      <c r="E108" s="24">
        <v>6950</v>
      </c>
      <c r="F108" s="24"/>
    </row>
    <row r="109" spans="1:6" ht="17.5" customHeight="1">
      <c r="A109" s="49"/>
      <c r="B109" s="28" t="s">
        <v>306</v>
      </c>
      <c r="C109" s="24"/>
      <c r="D109" s="32" t="s">
        <v>80</v>
      </c>
      <c r="E109" s="24">
        <v>7250</v>
      </c>
      <c r="F109" s="24"/>
    </row>
    <row r="110" spans="1:6" ht="17.5" customHeight="1">
      <c r="A110" s="49"/>
      <c r="B110" s="28" t="s">
        <v>307</v>
      </c>
      <c r="C110" s="24"/>
      <c r="D110" s="32" t="s">
        <v>80</v>
      </c>
      <c r="E110" s="24">
        <v>7650</v>
      </c>
      <c r="F110" s="24"/>
    </row>
    <row r="111" spans="1:6" ht="129.65" customHeight="1">
      <c r="A111" s="49" t="s">
        <v>63</v>
      </c>
      <c r="B111" s="28" t="s">
        <v>276</v>
      </c>
      <c r="C111" s="24">
        <v>26</v>
      </c>
      <c r="D111" s="32" t="s">
        <v>80</v>
      </c>
      <c r="E111" s="24">
        <v>6350</v>
      </c>
      <c r="F111" s="74">
        <f t="shared" ref="F111" si="8">E111*C111</f>
        <v>165100</v>
      </c>
    </row>
    <row r="112" spans="1:6" ht="37">
      <c r="A112" s="49" t="s">
        <v>64</v>
      </c>
      <c r="B112" s="44" t="s">
        <v>214</v>
      </c>
      <c r="C112" s="24"/>
      <c r="D112" s="32" t="s">
        <v>80</v>
      </c>
      <c r="E112" s="24">
        <v>6650</v>
      </c>
      <c r="F112" s="24"/>
    </row>
    <row r="113" spans="1:6" ht="129.5">
      <c r="A113" s="49" t="s">
        <v>76</v>
      </c>
      <c r="B113" s="28" t="s">
        <v>277</v>
      </c>
      <c r="C113" s="49"/>
      <c r="D113" s="8"/>
      <c r="E113" s="24"/>
      <c r="F113" s="25"/>
    </row>
    <row r="114" spans="1:6">
      <c r="A114" s="5"/>
      <c r="B114" s="28" t="s">
        <v>390</v>
      </c>
      <c r="C114" s="24"/>
      <c r="D114" s="32" t="s">
        <v>80</v>
      </c>
      <c r="E114" s="24">
        <v>6350</v>
      </c>
      <c r="F114" s="74">
        <f t="shared" ref="F114" si="9">E114*C114</f>
        <v>0</v>
      </c>
    </row>
    <row r="115" spans="1:6">
      <c r="A115" s="5"/>
      <c r="B115" s="28" t="s">
        <v>306</v>
      </c>
      <c r="C115" s="24"/>
      <c r="D115" s="32" t="s">
        <v>80</v>
      </c>
      <c r="E115" s="24">
        <v>6750</v>
      </c>
      <c r="F115" s="79"/>
    </row>
    <row r="116" spans="1:6" ht="117.75" customHeight="1">
      <c r="A116" s="5" t="s">
        <v>321</v>
      </c>
      <c r="B116" s="38" t="s">
        <v>482</v>
      </c>
      <c r="C116" s="53"/>
      <c r="D116" s="7"/>
      <c r="E116" s="24"/>
      <c r="F116" s="25"/>
    </row>
    <row r="117" spans="1:6">
      <c r="A117" s="5"/>
      <c r="B117" s="37" t="s">
        <v>254</v>
      </c>
      <c r="C117" s="24"/>
      <c r="D117" s="32" t="s">
        <v>81</v>
      </c>
      <c r="E117" s="24">
        <v>850</v>
      </c>
      <c r="F117" s="74">
        <f>E117*C117</f>
        <v>0</v>
      </c>
    </row>
    <row r="118" spans="1:6" ht="54" customHeight="1">
      <c r="A118" s="49"/>
      <c r="B118" s="28" t="s">
        <v>239</v>
      </c>
      <c r="C118" s="24"/>
      <c r="D118" s="32" t="s">
        <v>81</v>
      </c>
      <c r="E118" s="24">
        <v>875</v>
      </c>
      <c r="F118" s="79"/>
    </row>
    <row r="119" spans="1:6" ht="118.5" customHeight="1">
      <c r="A119" s="5" t="s">
        <v>424</v>
      </c>
      <c r="B119" s="38" t="s">
        <v>322</v>
      </c>
      <c r="C119" s="24"/>
      <c r="D119" s="32" t="s">
        <v>288</v>
      </c>
      <c r="E119" s="24">
        <v>875</v>
      </c>
      <c r="F119" s="79"/>
    </row>
    <row r="120" spans="1:6">
      <c r="A120" s="67"/>
      <c r="B120" s="22" t="s">
        <v>65</v>
      </c>
      <c r="C120" s="3"/>
      <c r="D120" s="4"/>
      <c r="E120" s="4"/>
      <c r="F120" s="76">
        <f>SUM(F104:F119)</f>
        <v>165100</v>
      </c>
    </row>
    <row r="121" spans="1:6" ht="27.75" customHeight="1">
      <c r="A121" s="67"/>
      <c r="B121" s="36" t="s">
        <v>67</v>
      </c>
      <c r="C121" s="55"/>
      <c r="D121" s="4"/>
      <c r="E121" s="4"/>
      <c r="F121" s="73"/>
    </row>
    <row r="122" spans="1:6" ht="122.25" customHeight="1">
      <c r="A122" s="5" t="s">
        <v>68</v>
      </c>
      <c r="B122" s="23" t="s">
        <v>255</v>
      </c>
      <c r="C122" s="20"/>
      <c r="D122" s="26" t="s">
        <v>81</v>
      </c>
      <c r="E122" s="24">
        <v>625</v>
      </c>
      <c r="F122" s="74">
        <f t="shared" ref="F122" si="10">E122*C122</f>
        <v>0</v>
      </c>
    </row>
    <row r="123" spans="1:6" s="2" customFormat="1" ht="153.75" customHeight="1">
      <c r="A123" s="5" t="s">
        <v>69</v>
      </c>
      <c r="B123" s="23" t="s">
        <v>608</v>
      </c>
      <c r="C123" s="32"/>
      <c r="D123" s="26" t="s">
        <v>80</v>
      </c>
      <c r="E123" s="24">
        <v>5450</v>
      </c>
      <c r="F123" s="74">
        <f>E123*C123</f>
        <v>0</v>
      </c>
    </row>
    <row r="124" spans="1:6" s="2" customFormat="1" ht="55.5">
      <c r="A124" s="5" t="s">
        <v>468</v>
      </c>
      <c r="B124" s="48" t="s">
        <v>467</v>
      </c>
      <c r="C124" s="89">
        <v>6</v>
      </c>
      <c r="D124" s="26" t="s">
        <v>80</v>
      </c>
      <c r="E124" s="24">
        <v>5650</v>
      </c>
      <c r="F124" s="74">
        <f>E124*C124</f>
        <v>33900</v>
      </c>
    </row>
    <row r="125" spans="1:6" ht="222.75" customHeight="1">
      <c r="A125" s="5" t="s">
        <v>469</v>
      </c>
      <c r="B125" s="28" t="s">
        <v>609</v>
      </c>
      <c r="C125" s="63">
        <v>39</v>
      </c>
      <c r="D125" s="26" t="s">
        <v>288</v>
      </c>
      <c r="E125" s="24">
        <v>95</v>
      </c>
      <c r="F125" s="74">
        <f t="shared" ref="F125" si="11">E125*C125</f>
        <v>3705</v>
      </c>
    </row>
    <row r="126" spans="1:6" ht="111">
      <c r="A126" s="49"/>
      <c r="B126" s="18" t="s">
        <v>483</v>
      </c>
      <c r="C126" s="57"/>
      <c r="D126" s="26"/>
      <c r="E126" s="24"/>
      <c r="F126" s="79"/>
    </row>
    <row r="127" spans="1:6" ht="231.75" customHeight="1">
      <c r="A127" s="5" t="s">
        <v>470</v>
      </c>
      <c r="B127" s="28" t="s">
        <v>507</v>
      </c>
      <c r="C127" s="24"/>
      <c r="D127" s="26" t="s">
        <v>288</v>
      </c>
      <c r="E127" s="24">
        <v>125</v>
      </c>
      <c r="F127" s="74">
        <f t="shared" ref="F127:F128" si="12">E127*C127</f>
        <v>0</v>
      </c>
    </row>
    <row r="128" spans="1:6" ht="55.5">
      <c r="A128" s="49"/>
      <c r="B128" s="28" t="s">
        <v>510</v>
      </c>
      <c r="C128" s="24"/>
      <c r="D128" s="26" t="s">
        <v>240</v>
      </c>
      <c r="E128" s="24">
        <v>22.5</v>
      </c>
      <c r="F128" s="74">
        <f t="shared" si="12"/>
        <v>0</v>
      </c>
    </row>
    <row r="129" spans="1:6" ht="159.75" customHeight="1">
      <c r="A129" s="5" t="s">
        <v>70</v>
      </c>
      <c r="B129" s="23" t="s">
        <v>259</v>
      </c>
      <c r="C129" s="24"/>
      <c r="D129" s="26" t="s">
        <v>71</v>
      </c>
      <c r="E129" s="24">
        <v>250</v>
      </c>
      <c r="F129" s="79"/>
    </row>
    <row r="130" spans="1:6" ht="200.25" customHeight="1">
      <c r="A130" s="5" t="s">
        <v>72</v>
      </c>
      <c r="B130" s="23" t="s">
        <v>183</v>
      </c>
      <c r="C130" s="5"/>
      <c r="D130" s="26"/>
      <c r="E130" s="24"/>
      <c r="F130" s="25"/>
    </row>
    <row r="131" spans="1:6">
      <c r="A131" s="49"/>
      <c r="B131" s="28" t="s">
        <v>241</v>
      </c>
      <c r="C131" s="24"/>
      <c r="D131" s="26" t="s">
        <v>83</v>
      </c>
      <c r="E131" s="24">
        <v>175</v>
      </c>
      <c r="F131" s="74">
        <f t="shared" ref="F131" si="13">E131*C131</f>
        <v>0</v>
      </c>
    </row>
    <row r="132" spans="1:6">
      <c r="A132" s="49"/>
      <c r="B132" s="28" t="s">
        <v>242</v>
      </c>
      <c r="C132" s="24"/>
      <c r="D132" s="26" t="s">
        <v>83</v>
      </c>
      <c r="E132" s="24">
        <v>165</v>
      </c>
      <c r="F132" s="79"/>
    </row>
    <row r="133" spans="1:6" ht="111">
      <c r="A133" s="5" t="s">
        <v>74</v>
      </c>
      <c r="B133" s="23" t="s">
        <v>484</v>
      </c>
      <c r="C133" s="5"/>
      <c r="D133" s="7"/>
      <c r="E133" s="24"/>
      <c r="F133" s="25"/>
    </row>
    <row r="134" spans="1:6">
      <c r="A134" s="5"/>
      <c r="B134" s="23" t="s">
        <v>417</v>
      </c>
      <c r="C134" s="5"/>
      <c r="D134" s="26"/>
      <c r="E134" s="24"/>
      <c r="F134" s="25"/>
    </row>
    <row r="135" spans="1:6" ht="37">
      <c r="A135" s="5"/>
      <c r="B135" s="23" t="s">
        <v>485</v>
      </c>
      <c r="C135" s="24"/>
      <c r="D135" s="26" t="s">
        <v>81</v>
      </c>
      <c r="E135" s="24">
        <v>750</v>
      </c>
      <c r="F135" s="74">
        <f>E135*C135</f>
        <v>0</v>
      </c>
    </row>
    <row r="136" spans="1:6" ht="37">
      <c r="A136" s="5"/>
      <c r="B136" s="23" t="s">
        <v>97</v>
      </c>
      <c r="C136" s="20"/>
      <c r="D136" s="26" t="s">
        <v>83</v>
      </c>
      <c r="E136" s="24">
        <v>550</v>
      </c>
      <c r="F136" s="74">
        <f>E136*C136</f>
        <v>0</v>
      </c>
    </row>
    <row r="137" spans="1:6" ht="37">
      <c r="A137" s="49"/>
      <c r="B137" s="28" t="s">
        <v>418</v>
      </c>
      <c r="C137" s="24"/>
      <c r="D137" s="26" t="s">
        <v>83</v>
      </c>
      <c r="E137" s="24">
        <v>550</v>
      </c>
      <c r="F137" s="79"/>
    </row>
    <row r="138" spans="1:6" ht="137.25" customHeight="1">
      <c r="A138" s="49" t="s">
        <v>75</v>
      </c>
      <c r="B138" s="28" t="s">
        <v>486</v>
      </c>
      <c r="C138" s="49"/>
      <c r="D138" s="26"/>
      <c r="E138" s="24"/>
      <c r="F138" s="25"/>
    </row>
    <row r="139" spans="1:6">
      <c r="A139" s="49"/>
      <c r="B139" s="28" t="s">
        <v>234</v>
      </c>
      <c r="C139" s="24"/>
      <c r="D139" s="26" t="s">
        <v>81</v>
      </c>
      <c r="E139" s="24">
        <v>1375</v>
      </c>
      <c r="F139" s="74">
        <f t="shared" ref="F139" si="14">E139*C139</f>
        <v>0</v>
      </c>
    </row>
    <row r="140" spans="1:6">
      <c r="A140" s="49"/>
      <c r="B140" s="28" t="s">
        <v>235</v>
      </c>
      <c r="C140" s="24"/>
      <c r="D140" s="26" t="s">
        <v>81</v>
      </c>
      <c r="E140" s="24">
        <v>1675</v>
      </c>
      <c r="F140" s="79"/>
    </row>
    <row r="141" spans="1:6" ht="156" customHeight="1">
      <c r="A141" s="5" t="s">
        <v>156</v>
      </c>
      <c r="B141" s="38" t="s">
        <v>260</v>
      </c>
      <c r="C141" s="24"/>
      <c r="D141" s="26" t="s">
        <v>81</v>
      </c>
      <c r="E141" s="24">
        <v>1575</v>
      </c>
      <c r="F141" s="74">
        <f>E141*C141</f>
        <v>0</v>
      </c>
    </row>
    <row r="142" spans="1:6" ht="137.25" customHeight="1">
      <c r="A142" s="5" t="s">
        <v>157</v>
      </c>
      <c r="B142" s="23" t="s">
        <v>4</v>
      </c>
      <c r="C142" s="5"/>
      <c r="D142" s="7"/>
      <c r="E142" s="24"/>
      <c r="F142" s="25"/>
    </row>
    <row r="143" spans="1:6">
      <c r="A143" s="5"/>
      <c r="B143" s="23" t="s">
        <v>88</v>
      </c>
      <c r="C143" s="20"/>
      <c r="D143" s="32" t="s">
        <v>81</v>
      </c>
      <c r="E143" s="24">
        <v>1150</v>
      </c>
      <c r="F143" s="74">
        <f t="shared" ref="F143:F144" si="15">E143*C143</f>
        <v>0</v>
      </c>
    </row>
    <row r="144" spans="1:6" ht="37">
      <c r="A144" s="5"/>
      <c r="B144" s="23" t="s">
        <v>89</v>
      </c>
      <c r="C144" s="20"/>
      <c r="D144" s="32" t="s">
        <v>81</v>
      </c>
      <c r="E144" s="24">
        <v>1250</v>
      </c>
      <c r="F144" s="74">
        <f t="shared" si="15"/>
        <v>0</v>
      </c>
    </row>
    <row r="145" spans="1:6" ht="92.5">
      <c r="A145" s="5" t="s">
        <v>158</v>
      </c>
      <c r="B145" s="23" t="s">
        <v>487</v>
      </c>
      <c r="C145" s="5"/>
      <c r="D145" s="7"/>
      <c r="E145" s="24"/>
      <c r="F145" s="25"/>
    </row>
    <row r="146" spans="1:6">
      <c r="A146" s="5"/>
      <c r="B146" s="28" t="s">
        <v>419</v>
      </c>
      <c r="C146" s="24"/>
      <c r="D146" s="32" t="s">
        <v>81</v>
      </c>
      <c r="E146" s="24">
        <v>1275</v>
      </c>
      <c r="F146" s="79"/>
    </row>
    <row r="147" spans="1:6" ht="37">
      <c r="A147" s="5"/>
      <c r="B147" s="28" t="s">
        <v>444</v>
      </c>
      <c r="C147" s="24"/>
      <c r="D147" s="32" t="s">
        <v>83</v>
      </c>
      <c r="E147" s="24">
        <v>500</v>
      </c>
      <c r="F147" s="79"/>
    </row>
    <row r="148" spans="1:6" ht="129.5">
      <c r="A148" s="49" t="s">
        <v>87</v>
      </c>
      <c r="B148" s="28" t="s">
        <v>445</v>
      </c>
      <c r="C148" s="32"/>
      <c r="D148" s="32" t="s">
        <v>81</v>
      </c>
      <c r="E148" s="24">
        <v>3550</v>
      </c>
      <c r="F148" s="74">
        <f t="shared" ref="F148" si="16">E148*C148</f>
        <v>0</v>
      </c>
    </row>
    <row r="149" spans="1:6" ht="111">
      <c r="A149" s="5" t="s">
        <v>90</v>
      </c>
      <c r="B149" s="23" t="s">
        <v>446</v>
      </c>
      <c r="C149" s="24"/>
      <c r="D149" s="32" t="s">
        <v>81</v>
      </c>
      <c r="E149" s="24">
        <v>3500</v>
      </c>
      <c r="F149" s="74">
        <f>E149*C149</f>
        <v>0</v>
      </c>
    </row>
    <row r="150" spans="1:6" ht="111">
      <c r="A150" s="5" t="s">
        <v>230</v>
      </c>
      <c r="B150" s="23" t="s">
        <v>155</v>
      </c>
      <c r="C150" s="24"/>
      <c r="D150" s="32" t="s">
        <v>81</v>
      </c>
      <c r="E150" s="24">
        <v>2750</v>
      </c>
      <c r="F150" s="79"/>
    </row>
    <row r="151" spans="1:6" ht="129.5">
      <c r="A151" s="5" t="s">
        <v>231</v>
      </c>
      <c r="B151" s="23" t="s">
        <v>110</v>
      </c>
      <c r="C151" s="24"/>
      <c r="D151" s="32" t="s">
        <v>81</v>
      </c>
      <c r="E151" s="24">
        <v>2750</v>
      </c>
      <c r="F151" s="79"/>
    </row>
    <row r="152" spans="1:6" ht="92.5">
      <c r="A152" s="5" t="s">
        <v>154</v>
      </c>
      <c r="B152" s="23" t="s">
        <v>223</v>
      </c>
      <c r="C152" s="24"/>
      <c r="D152" s="32" t="s">
        <v>81</v>
      </c>
      <c r="E152" s="24">
        <v>1250</v>
      </c>
      <c r="F152" s="79"/>
    </row>
    <row r="153" spans="1:6" ht="315" hidden="1" customHeight="1">
      <c r="A153" s="5" t="s">
        <v>252</v>
      </c>
      <c r="B153" s="38" t="s">
        <v>278</v>
      </c>
      <c r="C153" s="20"/>
      <c r="D153" s="32" t="s">
        <v>81</v>
      </c>
      <c r="E153" s="24"/>
      <c r="F153" s="79"/>
    </row>
    <row r="154" spans="1:6" ht="111">
      <c r="A154" s="5" t="s">
        <v>252</v>
      </c>
      <c r="B154" s="23" t="s">
        <v>257</v>
      </c>
      <c r="C154" s="24"/>
      <c r="D154" s="32" t="s">
        <v>81</v>
      </c>
      <c r="E154" s="24">
        <v>1250</v>
      </c>
      <c r="F154" s="79"/>
    </row>
    <row r="155" spans="1:6" ht="129.5">
      <c r="A155" s="5" t="s">
        <v>388</v>
      </c>
      <c r="B155" s="23" t="s">
        <v>387</v>
      </c>
      <c r="C155" s="24"/>
      <c r="D155" s="32" t="s">
        <v>81</v>
      </c>
      <c r="E155" s="24">
        <v>3750</v>
      </c>
      <c r="F155" s="79"/>
    </row>
    <row r="156" spans="1:6" ht="351" customHeight="1">
      <c r="A156" s="5" t="s">
        <v>511</v>
      </c>
      <c r="B156" s="23" t="s">
        <v>603</v>
      </c>
      <c r="C156" s="24"/>
      <c r="D156" s="32" t="s">
        <v>81</v>
      </c>
      <c r="E156" s="24">
        <v>810</v>
      </c>
      <c r="F156" s="74">
        <f t="shared" ref="F156" si="17">E156*C156</f>
        <v>0</v>
      </c>
    </row>
    <row r="157" spans="1:6">
      <c r="A157" s="67"/>
      <c r="B157" s="22" t="s">
        <v>91</v>
      </c>
      <c r="C157" s="3"/>
      <c r="D157" s="4"/>
      <c r="E157" s="4"/>
      <c r="F157" s="80">
        <f>SUM(F122:F156)</f>
        <v>37605</v>
      </c>
    </row>
    <row r="158" spans="1:6" ht="17.5" customHeight="1">
      <c r="A158" s="67"/>
      <c r="B158" s="36" t="s">
        <v>102</v>
      </c>
      <c r="C158" s="55"/>
      <c r="D158" s="4"/>
      <c r="E158" s="4"/>
      <c r="F158" s="73"/>
    </row>
    <row r="159" spans="1:6" ht="166.5">
      <c r="A159" s="49" t="s">
        <v>92</v>
      </c>
      <c r="B159" s="28" t="s">
        <v>488</v>
      </c>
      <c r="C159" s="49"/>
      <c r="D159" s="8"/>
      <c r="E159" s="24"/>
      <c r="F159" s="24"/>
    </row>
    <row r="160" spans="1:6" ht="38.25" customHeight="1">
      <c r="A160" s="49"/>
      <c r="B160" s="28" t="s">
        <v>93</v>
      </c>
      <c r="C160" s="24"/>
      <c r="D160" s="32" t="s">
        <v>81</v>
      </c>
      <c r="E160" s="24">
        <v>395</v>
      </c>
      <c r="F160" s="74">
        <f t="shared" ref="F160:F162" si="18">E160*C160</f>
        <v>0</v>
      </c>
    </row>
    <row r="161" spans="1:6">
      <c r="A161" s="49"/>
      <c r="B161" s="28" t="s">
        <v>94</v>
      </c>
      <c r="C161" s="24"/>
      <c r="D161" s="32" t="s">
        <v>81</v>
      </c>
      <c r="E161" s="24">
        <v>425</v>
      </c>
      <c r="F161" s="74">
        <f t="shared" si="18"/>
        <v>0</v>
      </c>
    </row>
    <row r="162" spans="1:6" ht="213.75" customHeight="1">
      <c r="A162" s="49" t="s">
        <v>95</v>
      </c>
      <c r="B162" s="28" t="s">
        <v>489</v>
      </c>
      <c r="C162" s="20"/>
      <c r="D162" s="32" t="s">
        <v>81</v>
      </c>
      <c r="E162" s="24">
        <v>485</v>
      </c>
      <c r="F162" s="74">
        <f t="shared" si="18"/>
        <v>0</v>
      </c>
    </row>
    <row r="163" spans="1:6" ht="132" customHeight="1">
      <c r="A163" s="5" t="s">
        <v>265</v>
      </c>
      <c r="B163" s="28" t="s">
        <v>447</v>
      </c>
      <c r="C163" s="24"/>
      <c r="D163" s="32" t="s">
        <v>81</v>
      </c>
      <c r="E163" s="24">
        <v>575</v>
      </c>
      <c r="F163" s="81"/>
    </row>
    <row r="164" spans="1:6" ht="261" customHeight="1">
      <c r="A164" s="5" t="s">
        <v>96</v>
      </c>
      <c r="B164" s="17" t="s">
        <v>448</v>
      </c>
      <c r="C164" s="24">
        <v>20</v>
      </c>
      <c r="D164" s="32" t="s">
        <v>81</v>
      </c>
      <c r="E164" s="24">
        <v>575</v>
      </c>
      <c r="F164" s="74">
        <f t="shared" ref="F164:F166" si="19">E164*C164</f>
        <v>11500</v>
      </c>
    </row>
    <row r="165" spans="1:6" ht="141.75" customHeight="1">
      <c r="A165" s="49" t="s">
        <v>159</v>
      </c>
      <c r="B165" s="28" t="s">
        <v>267</v>
      </c>
      <c r="C165" s="24"/>
      <c r="D165" s="32" t="s">
        <v>81</v>
      </c>
      <c r="E165" s="24">
        <v>525</v>
      </c>
      <c r="F165" s="74">
        <f t="shared" si="19"/>
        <v>0</v>
      </c>
    </row>
    <row r="166" spans="1:6" ht="129.5">
      <c r="A166" s="49" t="s">
        <v>23</v>
      </c>
      <c r="B166" s="23" t="s">
        <v>420</v>
      </c>
      <c r="C166" s="24"/>
      <c r="D166" s="26" t="s">
        <v>81</v>
      </c>
      <c r="E166" s="24">
        <v>160</v>
      </c>
      <c r="F166" s="74">
        <f t="shared" si="19"/>
        <v>0</v>
      </c>
    </row>
    <row r="167" spans="1:6" ht="170.25" customHeight="1">
      <c r="A167" s="5" t="s">
        <v>98</v>
      </c>
      <c r="B167" s="23" t="s">
        <v>248</v>
      </c>
      <c r="C167" s="24"/>
      <c r="D167" s="26" t="s">
        <v>81</v>
      </c>
      <c r="E167" s="24">
        <v>375</v>
      </c>
      <c r="F167" s="79"/>
    </row>
    <row r="168" spans="1:6" ht="159.75" customHeight="1">
      <c r="A168" s="5" t="s">
        <v>99</v>
      </c>
      <c r="B168" s="23" t="s">
        <v>247</v>
      </c>
      <c r="C168" s="24"/>
      <c r="D168" s="26" t="s">
        <v>81</v>
      </c>
      <c r="E168" s="24">
        <v>375</v>
      </c>
      <c r="F168" s="79"/>
    </row>
    <row r="169" spans="1:6" ht="113.25" customHeight="1">
      <c r="A169" s="5" t="s">
        <v>100</v>
      </c>
      <c r="B169" s="23" t="s">
        <v>421</v>
      </c>
      <c r="C169" s="24"/>
      <c r="D169" s="26" t="s">
        <v>81</v>
      </c>
      <c r="E169" s="24">
        <v>265</v>
      </c>
      <c r="F169" s="79"/>
    </row>
    <row r="170" spans="1:6" ht="115.5" customHeight="1">
      <c r="A170" s="5" t="s">
        <v>41</v>
      </c>
      <c r="B170" s="23" t="s">
        <v>246</v>
      </c>
      <c r="C170" s="20"/>
      <c r="D170" s="26" t="s">
        <v>81</v>
      </c>
      <c r="E170" s="24">
        <v>240</v>
      </c>
      <c r="F170" s="74">
        <f t="shared" ref="F170" si="20">E170*C170</f>
        <v>0</v>
      </c>
    </row>
    <row r="171" spans="1:6" ht="92.5">
      <c r="A171" s="5" t="s">
        <v>188</v>
      </c>
      <c r="B171" s="23" t="s">
        <v>245</v>
      </c>
      <c r="C171" s="24"/>
      <c r="D171" s="26" t="s">
        <v>81</v>
      </c>
      <c r="E171" s="20">
        <v>230</v>
      </c>
      <c r="F171" s="79"/>
    </row>
    <row r="172" spans="1:6" ht="92.5">
      <c r="A172" s="5" t="s">
        <v>386</v>
      </c>
      <c r="B172" s="23" t="s">
        <v>385</v>
      </c>
      <c r="C172" s="24"/>
      <c r="D172" s="26" t="s">
        <v>289</v>
      </c>
      <c r="E172" s="20">
        <v>125</v>
      </c>
      <c r="F172" s="79">
        <f>C172*E172</f>
        <v>0</v>
      </c>
    </row>
    <row r="173" spans="1:6">
      <c r="A173" s="67"/>
      <c r="B173" s="22" t="s">
        <v>101</v>
      </c>
      <c r="C173" s="3"/>
      <c r="D173" s="4"/>
      <c r="E173" s="4"/>
      <c r="F173" s="80">
        <f>SUM(F159:F172)</f>
        <v>11500</v>
      </c>
    </row>
    <row r="174" spans="1:6">
      <c r="A174" s="67"/>
      <c r="B174" s="36" t="s">
        <v>103</v>
      </c>
      <c r="C174" s="55"/>
      <c r="D174" s="4"/>
      <c r="E174" s="4"/>
      <c r="F174" s="73"/>
    </row>
    <row r="175" spans="1:6" ht="138.75" customHeight="1">
      <c r="A175" s="5" t="s">
        <v>160</v>
      </c>
      <c r="B175" s="23" t="s">
        <v>238</v>
      </c>
      <c r="C175" s="5"/>
      <c r="D175" s="7"/>
      <c r="E175" s="32"/>
      <c r="F175" s="25"/>
    </row>
    <row r="176" spans="1:6">
      <c r="A176" s="5"/>
      <c r="B176" s="23" t="s">
        <v>105</v>
      </c>
      <c r="C176" s="24"/>
      <c r="D176" s="26" t="s">
        <v>81</v>
      </c>
      <c r="E176" s="24">
        <v>16500</v>
      </c>
      <c r="F176" s="74">
        <f t="shared" ref="F176" si="21">E176*C176</f>
        <v>0</v>
      </c>
    </row>
    <row r="177" spans="1:6">
      <c r="A177" s="5"/>
      <c r="B177" s="23" t="s">
        <v>106</v>
      </c>
      <c r="C177" s="24"/>
      <c r="D177" s="26" t="s">
        <v>81</v>
      </c>
      <c r="E177" s="24"/>
      <c r="F177" s="79"/>
    </row>
    <row r="178" spans="1:6" ht="148">
      <c r="A178" s="5" t="s">
        <v>104</v>
      </c>
      <c r="B178" s="23" t="s">
        <v>490</v>
      </c>
      <c r="C178" s="24"/>
      <c r="D178" s="26" t="s">
        <v>81</v>
      </c>
      <c r="E178" s="24"/>
      <c r="F178" s="79"/>
    </row>
    <row r="179" spans="1:6" ht="185">
      <c r="A179" s="5" t="s">
        <v>107</v>
      </c>
      <c r="B179" s="23" t="s">
        <v>491</v>
      </c>
      <c r="C179" s="5"/>
      <c r="D179" s="7"/>
      <c r="E179" s="24"/>
      <c r="F179" s="25"/>
    </row>
    <row r="180" spans="1:6">
      <c r="A180" s="5"/>
      <c r="B180" s="23" t="s">
        <v>112</v>
      </c>
      <c r="C180" s="5"/>
      <c r="D180" s="7"/>
      <c r="E180" s="24"/>
      <c r="F180" s="25"/>
    </row>
    <row r="181" spans="1:6">
      <c r="A181" s="5"/>
      <c r="B181" s="23" t="s">
        <v>113</v>
      </c>
      <c r="C181" s="5"/>
      <c r="D181" s="7"/>
      <c r="E181" s="24"/>
      <c r="F181" s="25"/>
    </row>
    <row r="182" spans="1:6">
      <c r="A182" s="5"/>
      <c r="B182" s="23" t="s">
        <v>114</v>
      </c>
      <c r="C182" s="5"/>
      <c r="D182" s="7"/>
      <c r="E182" s="24"/>
      <c r="F182" s="25"/>
    </row>
    <row r="183" spans="1:6">
      <c r="A183" s="5"/>
      <c r="B183" s="23" t="s">
        <v>115</v>
      </c>
      <c r="C183" s="5"/>
      <c r="D183" s="7"/>
      <c r="E183" s="24"/>
      <c r="F183" s="25"/>
    </row>
    <row r="184" spans="1:6">
      <c r="A184" s="5"/>
      <c r="B184" s="23" t="s">
        <v>116</v>
      </c>
      <c r="C184" s="5"/>
      <c r="D184" s="7"/>
      <c r="E184" s="24"/>
      <c r="F184" s="25"/>
    </row>
    <row r="185" spans="1:6">
      <c r="A185" s="5"/>
      <c r="B185" s="23" t="s">
        <v>117</v>
      </c>
      <c r="C185" s="5"/>
      <c r="D185" s="7"/>
      <c r="E185" s="24"/>
      <c r="F185" s="25"/>
    </row>
    <row r="186" spans="1:6">
      <c r="A186" s="5"/>
      <c r="B186" s="23" t="s">
        <v>118</v>
      </c>
      <c r="C186" s="5"/>
      <c r="D186" s="7"/>
      <c r="E186" s="24"/>
      <c r="F186" s="25"/>
    </row>
    <row r="187" spans="1:6">
      <c r="A187" s="5"/>
      <c r="B187" s="23" t="s">
        <v>119</v>
      </c>
      <c r="C187" s="5"/>
      <c r="D187" s="7"/>
      <c r="E187" s="24"/>
      <c r="F187" s="25"/>
    </row>
    <row r="188" spans="1:6">
      <c r="A188" s="5"/>
      <c r="B188" s="23" t="s">
        <v>120</v>
      </c>
      <c r="C188" s="5"/>
      <c r="D188" s="7"/>
      <c r="E188" s="24"/>
      <c r="F188" s="25"/>
    </row>
    <row r="189" spans="1:6">
      <c r="A189" s="5"/>
      <c r="B189" s="23" t="s">
        <v>121</v>
      </c>
      <c r="C189" s="5"/>
      <c r="D189" s="7"/>
      <c r="E189" s="24"/>
      <c r="F189" s="25"/>
    </row>
    <row r="190" spans="1:6">
      <c r="A190" s="5"/>
      <c r="B190" s="23" t="s">
        <v>122</v>
      </c>
      <c r="C190" s="5"/>
      <c r="D190" s="7"/>
      <c r="E190" s="24"/>
      <c r="F190" s="25"/>
    </row>
    <row r="191" spans="1:6">
      <c r="A191" s="5"/>
      <c r="B191" s="23" t="s">
        <v>123</v>
      </c>
      <c r="C191" s="5"/>
      <c r="D191" s="7"/>
      <c r="E191" s="24"/>
      <c r="F191" s="25"/>
    </row>
    <row r="192" spans="1:6">
      <c r="A192" s="5"/>
      <c r="B192" s="23" t="s">
        <v>124</v>
      </c>
      <c r="C192" s="5"/>
      <c r="D192" s="7"/>
      <c r="E192" s="24"/>
      <c r="F192" s="25"/>
    </row>
    <row r="193" spans="1:6">
      <c r="A193" s="5"/>
      <c r="B193" s="23" t="s">
        <v>125</v>
      </c>
      <c r="C193" s="5"/>
      <c r="D193" s="7"/>
      <c r="E193" s="24"/>
      <c r="F193" s="25"/>
    </row>
    <row r="194" spans="1:6">
      <c r="A194" s="5"/>
      <c r="B194" s="23" t="s">
        <v>126</v>
      </c>
      <c r="C194" s="24"/>
      <c r="D194" s="26" t="s">
        <v>81</v>
      </c>
      <c r="E194" s="24">
        <v>5250</v>
      </c>
      <c r="F194" s="74">
        <f t="shared" ref="F194" si="22">E194*C194</f>
        <v>0</v>
      </c>
    </row>
    <row r="195" spans="1:6">
      <c r="A195" s="5"/>
      <c r="B195" s="23" t="s">
        <v>127</v>
      </c>
      <c r="C195" s="24"/>
      <c r="D195" s="26" t="s">
        <v>81</v>
      </c>
      <c r="E195" s="24"/>
      <c r="F195" s="79"/>
    </row>
    <row r="196" spans="1:6">
      <c r="A196" s="5"/>
      <c r="B196" s="23" t="s">
        <v>422</v>
      </c>
      <c r="C196" s="24"/>
      <c r="D196" s="26" t="s">
        <v>352</v>
      </c>
      <c r="E196" s="88"/>
      <c r="F196" s="74">
        <f>E196*C196</f>
        <v>0</v>
      </c>
    </row>
    <row r="197" spans="1:6">
      <c r="A197" s="5"/>
      <c r="B197" s="23" t="s">
        <v>423</v>
      </c>
      <c r="C197" s="24"/>
      <c r="D197" s="26" t="s">
        <v>352</v>
      </c>
      <c r="E197" s="88"/>
      <c r="F197" s="74">
        <f>E197*C197</f>
        <v>0</v>
      </c>
    </row>
    <row r="198" spans="1:6" ht="259">
      <c r="A198" s="5" t="s">
        <v>109</v>
      </c>
      <c r="B198" s="23" t="s">
        <v>161</v>
      </c>
      <c r="C198" s="5"/>
      <c r="D198" s="12"/>
      <c r="E198" s="24"/>
      <c r="F198" s="25" t="s">
        <v>509</v>
      </c>
    </row>
    <row r="199" spans="1:6">
      <c r="A199" s="5"/>
      <c r="B199" s="23" t="s">
        <v>129</v>
      </c>
      <c r="C199" s="20"/>
      <c r="D199" s="26" t="s">
        <v>81</v>
      </c>
      <c r="E199" s="24">
        <v>4450</v>
      </c>
      <c r="F199" s="74">
        <f t="shared" ref="F199" si="23">E199*C199</f>
        <v>0</v>
      </c>
    </row>
    <row r="200" spans="1:6">
      <c r="A200" s="5"/>
      <c r="B200" s="23" t="s">
        <v>130</v>
      </c>
      <c r="C200" s="24"/>
      <c r="D200" s="26" t="s">
        <v>81</v>
      </c>
      <c r="E200" s="24">
        <v>4750</v>
      </c>
      <c r="F200" s="79"/>
    </row>
    <row r="201" spans="1:6" ht="185">
      <c r="A201" s="5" t="s">
        <v>128</v>
      </c>
      <c r="B201" s="23" t="s">
        <v>492</v>
      </c>
      <c r="C201" s="5"/>
      <c r="D201" s="7"/>
      <c r="E201" s="24"/>
      <c r="F201" s="25"/>
    </row>
    <row r="202" spans="1:6">
      <c r="A202" s="5"/>
      <c r="B202" s="23" t="s">
        <v>285</v>
      </c>
      <c r="C202" s="24"/>
      <c r="D202" s="26" t="s">
        <v>81</v>
      </c>
      <c r="E202" s="24">
        <v>3750</v>
      </c>
      <c r="F202" s="79"/>
    </row>
    <row r="203" spans="1:6">
      <c r="A203" s="5"/>
      <c r="B203" s="23" t="s">
        <v>132</v>
      </c>
      <c r="C203" s="24"/>
      <c r="D203" s="26" t="s">
        <v>81</v>
      </c>
      <c r="E203" s="24">
        <v>3750</v>
      </c>
      <c r="F203" s="79"/>
    </row>
    <row r="204" spans="1:6" ht="288.75" customHeight="1">
      <c r="A204" s="5" t="s">
        <v>131</v>
      </c>
      <c r="B204" s="23" t="s">
        <v>512</v>
      </c>
      <c r="C204" s="5"/>
      <c r="D204" s="7"/>
      <c r="E204" s="24"/>
      <c r="F204" s="25"/>
    </row>
    <row r="205" spans="1:6">
      <c r="A205" s="5"/>
      <c r="B205" s="23" t="s">
        <v>533</v>
      </c>
      <c r="C205" s="24"/>
      <c r="D205" s="26" t="s">
        <v>86</v>
      </c>
      <c r="E205" s="88">
        <v>3850</v>
      </c>
      <c r="F205" s="79">
        <f>C205*E205</f>
        <v>0</v>
      </c>
    </row>
    <row r="206" spans="1:6">
      <c r="A206" s="5"/>
      <c r="B206" s="23" t="s">
        <v>134</v>
      </c>
      <c r="C206" s="5"/>
      <c r="D206" s="7"/>
      <c r="E206" s="24"/>
      <c r="F206" s="25"/>
    </row>
    <row r="207" spans="1:6">
      <c r="A207" s="5"/>
      <c r="B207" s="23" t="s">
        <v>142</v>
      </c>
      <c r="C207" s="5"/>
      <c r="D207" s="7"/>
      <c r="E207" s="24"/>
      <c r="F207" s="25"/>
    </row>
    <row r="208" spans="1:6">
      <c r="A208" s="5"/>
      <c r="B208" s="23" t="s">
        <v>143</v>
      </c>
      <c r="C208" s="5"/>
      <c r="D208" s="7"/>
      <c r="E208" s="24"/>
      <c r="F208" s="25"/>
    </row>
    <row r="209" spans="1:6">
      <c r="A209" s="5"/>
      <c r="B209" s="23" t="s">
        <v>113</v>
      </c>
      <c r="C209" s="5"/>
      <c r="D209" s="7"/>
      <c r="E209" s="24"/>
      <c r="F209" s="25"/>
    </row>
    <row r="210" spans="1:6">
      <c r="A210" s="5"/>
      <c r="B210" s="23" t="s">
        <v>135</v>
      </c>
      <c r="C210" s="5"/>
      <c r="D210" s="7"/>
      <c r="E210" s="24"/>
      <c r="F210" s="25"/>
    </row>
    <row r="211" spans="1:6">
      <c r="A211" s="5"/>
      <c r="B211" s="23" t="s">
        <v>144</v>
      </c>
      <c r="C211" s="5"/>
      <c r="D211" s="7"/>
      <c r="E211" s="24"/>
      <c r="F211" s="25"/>
    </row>
    <row r="212" spans="1:6">
      <c r="A212" s="5"/>
      <c r="B212" s="23" t="s">
        <v>145</v>
      </c>
      <c r="C212" s="5"/>
      <c r="D212" s="7"/>
      <c r="E212" s="24"/>
      <c r="F212" s="25"/>
    </row>
    <row r="213" spans="1:6">
      <c r="A213" s="5"/>
      <c r="B213" s="23" t="s">
        <v>136</v>
      </c>
      <c r="C213" s="5"/>
      <c r="D213" s="7"/>
      <c r="E213" s="24"/>
      <c r="F213" s="25"/>
    </row>
    <row r="214" spans="1:6">
      <c r="A214" s="5"/>
      <c r="B214" s="23" t="s">
        <v>146</v>
      </c>
      <c r="C214" s="5"/>
      <c r="D214" s="7"/>
      <c r="E214" s="24"/>
      <c r="F214" s="25"/>
    </row>
    <row r="215" spans="1:6">
      <c r="A215" s="5"/>
      <c r="B215" s="23" t="s">
        <v>147</v>
      </c>
      <c r="C215" s="5"/>
      <c r="D215" s="7"/>
      <c r="E215" s="24"/>
      <c r="F215" s="25"/>
    </row>
    <row r="216" spans="1:6">
      <c r="A216" s="5"/>
      <c r="B216" s="23" t="s">
        <v>115</v>
      </c>
      <c r="C216" s="5"/>
      <c r="D216" s="7"/>
      <c r="E216" s="24"/>
      <c r="F216" s="25"/>
    </row>
    <row r="217" spans="1:6">
      <c r="A217" s="5"/>
      <c r="B217" s="23" t="s">
        <v>137</v>
      </c>
      <c r="C217" s="5"/>
      <c r="D217" s="7"/>
      <c r="E217" s="24"/>
      <c r="F217" s="25"/>
    </row>
    <row r="218" spans="1:6">
      <c r="A218" s="5"/>
      <c r="B218" s="23" t="s">
        <v>138</v>
      </c>
      <c r="C218" s="5"/>
      <c r="D218" s="7"/>
      <c r="E218" s="24"/>
      <c r="F218" s="25"/>
    </row>
    <row r="219" spans="1:6">
      <c r="A219" s="5"/>
      <c r="B219" s="23" t="s">
        <v>139</v>
      </c>
      <c r="C219" s="5"/>
      <c r="D219" s="7"/>
      <c r="E219" s="24"/>
      <c r="F219" s="25"/>
    </row>
    <row r="220" spans="1:6">
      <c r="A220" s="5"/>
      <c r="B220" s="23" t="s">
        <v>140</v>
      </c>
      <c r="C220" s="5"/>
      <c r="D220" s="7"/>
      <c r="E220" s="24"/>
      <c r="F220" s="25"/>
    </row>
    <row r="221" spans="1:6">
      <c r="A221" s="5"/>
      <c r="B221" s="23" t="s">
        <v>141</v>
      </c>
      <c r="C221" s="5"/>
      <c r="D221" s="7"/>
      <c r="E221" s="24"/>
      <c r="F221" s="25"/>
    </row>
    <row r="222" spans="1:6" ht="142.5" customHeight="1">
      <c r="A222" s="5" t="s">
        <v>133</v>
      </c>
      <c r="B222" s="23" t="s">
        <v>493</v>
      </c>
      <c r="C222" s="24"/>
      <c r="D222" s="26" t="s">
        <v>81</v>
      </c>
      <c r="E222" s="24">
        <v>4250</v>
      </c>
      <c r="F222" s="74">
        <f>E222*C222</f>
        <v>0</v>
      </c>
    </row>
    <row r="223" spans="1:6" ht="37">
      <c r="A223" s="5"/>
      <c r="B223" s="23" t="s">
        <v>149</v>
      </c>
      <c r="C223" s="5"/>
      <c r="D223" s="7"/>
      <c r="E223" s="24"/>
      <c r="F223" s="25"/>
    </row>
    <row r="224" spans="1:6">
      <c r="A224" s="5"/>
      <c r="B224" s="23" t="s">
        <v>150</v>
      </c>
      <c r="C224" s="5"/>
      <c r="D224" s="7"/>
      <c r="E224" s="24"/>
      <c r="F224" s="25"/>
    </row>
    <row r="225" spans="1:6">
      <c r="A225" s="5"/>
      <c r="B225" s="23" t="s">
        <v>117</v>
      </c>
      <c r="C225" s="5"/>
      <c r="D225" s="7"/>
      <c r="E225" s="24"/>
      <c r="F225" s="25"/>
    </row>
    <row r="226" spans="1:6" ht="18.75" customHeight="1">
      <c r="A226" s="5"/>
      <c r="B226" s="23" t="s">
        <v>151</v>
      </c>
      <c r="C226" s="5"/>
      <c r="D226" s="7"/>
      <c r="E226" s="24"/>
      <c r="F226" s="25"/>
    </row>
    <row r="227" spans="1:6">
      <c r="A227" s="5"/>
      <c r="B227" s="23" t="s">
        <v>170</v>
      </c>
      <c r="C227" s="5"/>
      <c r="D227" s="7"/>
      <c r="E227" s="24"/>
      <c r="F227" s="25"/>
    </row>
    <row r="228" spans="1:6">
      <c r="A228" s="5"/>
      <c r="B228" s="23" t="s">
        <v>124</v>
      </c>
      <c r="C228" s="5"/>
      <c r="D228" s="7"/>
      <c r="E228" s="24"/>
      <c r="F228" s="25"/>
    </row>
    <row r="229" spans="1:6">
      <c r="A229" s="5"/>
      <c r="B229" s="23" t="s">
        <v>171</v>
      </c>
      <c r="C229" s="5"/>
      <c r="D229" s="7"/>
      <c r="E229" s="24"/>
      <c r="F229" s="25"/>
    </row>
    <row r="230" spans="1:6" ht="184.5" customHeight="1">
      <c r="A230" s="5" t="s">
        <v>148</v>
      </c>
      <c r="B230" s="23" t="s">
        <v>172</v>
      </c>
      <c r="C230" s="24"/>
      <c r="D230" s="26" t="s">
        <v>81</v>
      </c>
      <c r="E230" s="24">
        <v>4750</v>
      </c>
      <c r="F230" s="74">
        <f t="shared" ref="F230" si="24">E230*C230</f>
        <v>0</v>
      </c>
    </row>
    <row r="231" spans="1:6">
      <c r="A231" s="5"/>
      <c r="B231" s="23" t="s">
        <v>173</v>
      </c>
      <c r="C231" s="5"/>
      <c r="D231" s="7"/>
      <c r="E231" s="24"/>
      <c r="F231" s="25"/>
    </row>
    <row r="232" spans="1:6">
      <c r="A232" s="5"/>
      <c r="B232" s="23" t="s">
        <v>174</v>
      </c>
      <c r="C232" s="5"/>
      <c r="D232" s="7"/>
      <c r="E232" s="24"/>
      <c r="F232" s="25"/>
    </row>
    <row r="233" spans="1:6">
      <c r="A233" s="5"/>
      <c r="B233" s="23" t="s">
        <v>117</v>
      </c>
      <c r="C233" s="5"/>
      <c r="D233" s="7"/>
      <c r="E233" s="24"/>
      <c r="F233" s="25"/>
    </row>
    <row r="234" spans="1:6">
      <c r="A234" s="5"/>
      <c r="B234" s="23" t="s">
        <v>175</v>
      </c>
      <c r="C234" s="5"/>
      <c r="D234" s="7"/>
      <c r="E234" s="24"/>
      <c r="F234" s="25"/>
    </row>
    <row r="235" spans="1:6">
      <c r="A235" s="5"/>
      <c r="B235" s="23" t="s">
        <v>176</v>
      </c>
      <c r="C235" s="5"/>
      <c r="D235" s="7"/>
      <c r="E235" s="24"/>
      <c r="F235" s="25"/>
    </row>
    <row r="236" spans="1:6">
      <c r="A236" s="5"/>
      <c r="B236" s="23" t="s">
        <v>125</v>
      </c>
      <c r="C236" s="5"/>
      <c r="D236" s="7"/>
      <c r="E236" s="24"/>
      <c r="F236" s="25"/>
    </row>
    <row r="237" spans="1:6" ht="112.5" customHeight="1">
      <c r="A237" s="5" t="s">
        <v>449</v>
      </c>
      <c r="B237" s="23" t="s">
        <v>178</v>
      </c>
      <c r="C237" s="24"/>
      <c r="D237" s="26" t="s">
        <v>81</v>
      </c>
      <c r="E237" s="24">
        <v>3500</v>
      </c>
      <c r="F237" s="79"/>
    </row>
    <row r="238" spans="1:6">
      <c r="A238" s="5"/>
      <c r="B238" s="23" t="s">
        <v>179</v>
      </c>
      <c r="C238" s="5"/>
      <c r="D238" s="7"/>
      <c r="E238" s="24"/>
      <c r="F238" s="25"/>
    </row>
    <row r="239" spans="1:6">
      <c r="A239" s="5"/>
      <c r="B239" s="23" t="s">
        <v>180</v>
      </c>
      <c r="C239" s="5"/>
      <c r="D239" s="7"/>
      <c r="E239" s="24"/>
      <c r="F239" s="25"/>
    </row>
    <row r="240" spans="1:6">
      <c r="A240" s="5"/>
      <c r="B240" s="23" t="s">
        <v>181</v>
      </c>
      <c r="C240" s="5"/>
      <c r="D240" s="7"/>
      <c r="E240" s="24"/>
      <c r="F240" s="25"/>
    </row>
    <row r="241" spans="1:7">
      <c r="A241" s="5"/>
      <c r="B241" s="23" t="s">
        <v>182</v>
      </c>
      <c r="C241" s="5"/>
      <c r="D241" s="7"/>
      <c r="E241" s="24"/>
      <c r="F241" s="25"/>
    </row>
    <row r="242" spans="1:7">
      <c r="A242" s="5"/>
      <c r="B242" s="23" t="s">
        <v>185</v>
      </c>
      <c r="C242" s="5"/>
      <c r="D242" s="7"/>
      <c r="E242" s="24"/>
      <c r="F242" s="25"/>
    </row>
    <row r="243" spans="1:7" ht="37">
      <c r="A243" s="5"/>
      <c r="B243" s="23" t="s">
        <v>186</v>
      </c>
      <c r="C243" s="5"/>
      <c r="D243" s="7"/>
      <c r="E243" s="24"/>
      <c r="F243" s="25"/>
    </row>
    <row r="244" spans="1:7" ht="129.5">
      <c r="A244" s="5" t="s">
        <v>177</v>
      </c>
      <c r="B244" s="23" t="s">
        <v>457</v>
      </c>
      <c r="C244" s="24"/>
      <c r="D244" s="26" t="s">
        <v>81</v>
      </c>
      <c r="E244" s="24">
        <v>3750</v>
      </c>
      <c r="F244" s="74">
        <f>E244*C244</f>
        <v>0</v>
      </c>
    </row>
    <row r="245" spans="1:7">
      <c r="A245" s="5" t="s">
        <v>187</v>
      </c>
      <c r="B245" s="23" t="s">
        <v>163</v>
      </c>
      <c r="C245" s="24"/>
      <c r="D245" s="26" t="s">
        <v>71</v>
      </c>
      <c r="E245" s="24">
        <v>14500</v>
      </c>
      <c r="F245" s="74">
        <f t="shared" ref="F245:F246" si="25">E245*C245</f>
        <v>0</v>
      </c>
      <c r="G245" s="1" t="s">
        <v>615</v>
      </c>
    </row>
    <row r="246" spans="1:7">
      <c r="A246" s="5" t="s">
        <v>558</v>
      </c>
      <c r="B246" s="23" t="s">
        <v>559</v>
      </c>
      <c r="C246" s="24"/>
      <c r="D246" s="26" t="s">
        <v>71</v>
      </c>
      <c r="E246" s="24">
        <v>42500</v>
      </c>
      <c r="F246" s="74">
        <f t="shared" si="25"/>
        <v>0</v>
      </c>
    </row>
    <row r="247" spans="1:7" ht="314.25" customHeight="1">
      <c r="A247" s="5" t="s">
        <v>162</v>
      </c>
      <c r="B247" s="28" t="s">
        <v>426</v>
      </c>
      <c r="C247" s="20"/>
      <c r="D247" s="26" t="s">
        <v>81</v>
      </c>
      <c r="E247" s="24">
        <v>3750</v>
      </c>
      <c r="F247" s="74"/>
    </row>
    <row r="248" spans="1:7" ht="129.5">
      <c r="A248" s="5"/>
      <c r="B248" s="28" t="s">
        <v>328</v>
      </c>
      <c r="C248" s="49"/>
      <c r="D248" s="26"/>
      <c r="E248" s="24"/>
      <c r="F248" s="79"/>
    </row>
    <row r="249" spans="1:7" ht="37">
      <c r="A249" s="5" t="s">
        <v>256</v>
      </c>
      <c r="B249" s="28" t="s">
        <v>330</v>
      </c>
      <c r="C249" s="24"/>
      <c r="D249" s="26" t="s">
        <v>81</v>
      </c>
      <c r="E249" s="24">
        <v>4500</v>
      </c>
      <c r="F249" s="79"/>
    </row>
    <row r="250" spans="1:7" ht="240.5">
      <c r="A250" s="5" t="s">
        <v>327</v>
      </c>
      <c r="B250" s="23" t="s">
        <v>287</v>
      </c>
      <c r="C250" s="24"/>
      <c r="D250" s="26" t="s">
        <v>81</v>
      </c>
      <c r="E250" s="24">
        <v>815</v>
      </c>
      <c r="F250" s="74">
        <f>E250*C250</f>
        <v>0</v>
      </c>
    </row>
    <row r="251" spans="1:7" ht="335.25" customHeight="1">
      <c r="A251" s="5" t="s">
        <v>329</v>
      </c>
      <c r="B251" s="38" t="s">
        <v>508</v>
      </c>
      <c r="C251" s="20"/>
      <c r="D251" s="26" t="s">
        <v>81</v>
      </c>
      <c r="E251" s="24">
        <v>2195</v>
      </c>
      <c r="F251" s="74">
        <f>E251*C251</f>
        <v>0</v>
      </c>
    </row>
    <row r="252" spans="1:7" ht="185">
      <c r="A252" s="5"/>
      <c r="B252" s="38" t="s">
        <v>291</v>
      </c>
      <c r="C252" s="53"/>
      <c r="D252" s="26"/>
      <c r="E252" s="24"/>
      <c r="F252" s="79"/>
    </row>
    <row r="253" spans="1:7" ht="55.5">
      <c r="A253" s="5"/>
      <c r="B253" s="38" t="s">
        <v>290</v>
      </c>
      <c r="C253" s="53"/>
      <c r="D253" s="26"/>
      <c r="E253" s="24"/>
      <c r="F253" s="79"/>
    </row>
    <row r="254" spans="1:7" ht="185">
      <c r="A254" s="5" t="s">
        <v>331</v>
      </c>
      <c r="B254" s="38" t="s">
        <v>494</v>
      </c>
      <c r="C254" s="24"/>
      <c r="D254" s="26" t="s">
        <v>81</v>
      </c>
      <c r="E254" s="24">
        <v>4650</v>
      </c>
      <c r="F254" s="79"/>
    </row>
    <row r="255" spans="1:7">
      <c r="A255" s="67"/>
      <c r="B255" s="22" t="s">
        <v>189</v>
      </c>
      <c r="C255" s="3"/>
      <c r="D255" s="4"/>
      <c r="E255" s="4"/>
      <c r="F255" s="80">
        <f>SUM(F175:F254)</f>
        <v>0</v>
      </c>
    </row>
    <row r="256" spans="1:7" ht="17.5" customHeight="1">
      <c r="A256" s="67"/>
      <c r="B256" s="36" t="s">
        <v>190</v>
      </c>
      <c r="C256" s="55"/>
      <c r="D256" s="4"/>
      <c r="E256" s="4"/>
      <c r="F256" s="73"/>
    </row>
    <row r="257" spans="1:6" ht="341.25" customHeight="1">
      <c r="A257" s="5" t="s">
        <v>311</v>
      </c>
      <c r="B257" s="23" t="s">
        <v>543</v>
      </c>
      <c r="C257" s="24"/>
      <c r="D257" s="26" t="s">
        <v>191</v>
      </c>
      <c r="E257" s="24">
        <v>115000</v>
      </c>
      <c r="F257" s="74">
        <f t="shared" ref="F257:F261" si="26">E257*C257</f>
        <v>0</v>
      </c>
    </row>
    <row r="258" spans="1:6" ht="165.75" customHeight="1">
      <c r="A258" s="5" t="s">
        <v>323</v>
      </c>
      <c r="B258" s="23" t="s">
        <v>397</v>
      </c>
      <c r="C258" s="24">
        <v>0.5</v>
      </c>
      <c r="D258" s="26" t="s">
        <v>191</v>
      </c>
      <c r="E258" s="24">
        <v>145000</v>
      </c>
      <c r="F258" s="74">
        <f t="shared" si="26"/>
        <v>72500</v>
      </c>
    </row>
    <row r="259" spans="1:6" ht="92.5">
      <c r="A259" s="5" t="s">
        <v>312</v>
      </c>
      <c r="B259" s="23" t="s">
        <v>495</v>
      </c>
      <c r="C259" s="24">
        <f>C258</f>
        <v>0.5</v>
      </c>
      <c r="D259" s="26" t="s">
        <v>191</v>
      </c>
      <c r="E259" s="24">
        <v>15000</v>
      </c>
      <c r="F259" s="74">
        <f t="shared" si="26"/>
        <v>7500</v>
      </c>
    </row>
    <row r="260" spans="1:6" ht="92.5">
      <c r="A260" s="5" t="s">
        <v>315</v>
      </c>
      <c r="B260" s="23" t="s">
        <v>324</v>
      </c>
      <c r="C260" s="24"/>
      <c r="D260" s="26" t="s">
        <v>191</v>
      </c>
      <c r="E260" s="24">
        <v>45000</v>
      </c>
      <c r="F260" s="74">
        <f t="shared" si="26"/>
        <v>0</v>
      </c>
    </row>
    <row r="261" spans="1:6" ht="216" customHeight="1">
      <c r="A261" s="5" t="s">
        <v>316</v>
      </c>
      <c r="B261" s="23" t="s">
        <v>193</v>
      </c>
      <c r="C261" s="24"/>
      <c r="D261" s="26" t="s">
        <v>83</v>
      </c>
      <c r="E261" s="24">
        <v>3750</v>
      </c>
      <c r="F261" s="74">
        <f t="shared" si="26"/>
        <v>0</v>
      </c>
    </row>
    <row r="262" spans="1:6" ht="129.5">
      <c r="A262" s="49" t="s">
        <v>325</v>
      </c>
      <c r="B262" s="28" t="s">
        <v>450</v>
      </c>
      <c r="C262" s="49"/>
      <c r="D262" s="8"/>
      <c r="E262" s="32"/>
      <c r="F262" s="24"/>
    </row>
    <row r="263" spans="1:6">
      <c r="A263" s="5"/>
      <c r="B263" s="28" t="s">
        <v>279</v>
      </c>
      <c r="C263" s="49"/>
      <c r="D263" s="32" t="s">
        <v>261</v>
      </c>
      <c r="E263" s="24">
        <v>55</v>
      </c>
      <c r="F263" s="74">
        <f t="shared" ref="F263" si="27">E263*C263</f>
        <v>0</v>
      </c>
    </row>
    <row r="264" spans="1:6">
      <c r="A264" s="5"/>
      <c r="B264" s="23" t="s">
        <v>111</v>
      </c>
      <c r="C264" s="5"/>
      <c r="D264" s="32" t="s">
        <v>261</v>
      </c>
      <c r="E264" s="24">
        <v>45</v>
      </c>
      <c r="F264" s="74">
        <f>E264*C264</f>
        <v>0</v>
      </c>
    </row>
    <row r="265" spans="1:6" ht="37">
      <c r="A265" s="5" t="s">
        <v>398</v>
      </c>
      <c r="B265" s="23" t="s">
        <v>496</v>
      </c>
      <c r="C265" s="5"/>
      <c r="D265" s="32"/>
      <c r="E265" s="24"/>
      <c r="F265" s="79"/>
    </row>
    <row r="266" spans="1:6">
      <c r="A266" s="5"/>
      <c r="B266" s="28" t="s">
        <v>279</v>
      </c>
      <c r="C266" s="20"/>
      <c r="D266" s="32" t="s">
        <v>261</v>
      </c>
      <c r="E266" s="24">
        <v>165</v>
      </c>
      <c r="F266" s="74">
        <f t="shared" ref="F266:F267" si="28">E266*C266</f>
        <v>0</v>
      </c>
    </row>
    <row r="267" spans="1:6">
      <c r="A267" s="5"/>
      <c r="B267" s="23" t="s">
        <v>111</v>
      </c>
      <c r="C267" s="5"/>
      <c r="D267" s="32" t="s">
        <v>261</v>
      </c>
      <c r="E267" s="24">
        <v>165</v>
      </c>
      <c r="F267" s="74">
        <f t="shared" si="28"/>
        <v>0</v>
      </c>
    </row>
    <row r="268" spans="1:6" ht="185">
      <c r="A268" s="5" t="s">
        <v>326</v>
      </c>
      <c r="B268" s="28" t="s">
        <v>539</v>
      </c>
      <c r="C268" s="49"/>
      <c r="D268" s="32"/>
      <c r="E268" s="24"/>
      <c r="F268" s="79"/>
    </row>
    <row r="269" spans="1:6">
      <c r="A269" s="82" t="s">
        <v>292</v>
      </c>
      <c r="B269" s="28" t="s">
        <v>293</v>
      </c>
      <c r="C269" s="24"/>
      <c r="D269" s="26" t="s">
        <v>191</v>
      </c>
      <c r="E269" s="24">
        <v>95000</v>
      </c>
      <c r="F269" s="74">
        <f t="shared" ref="F269:F270" si="29">E269*C269</f>
        <v>0</v>
      </c>
    </row>
    <row r="270" spans="1:6">
      <c r="A270" s="82" t="s">
        <v>294</v>
      </c>
      <c r="B270" s="28" t="s">
        <v>295</v>
      </c>
      <c r="C270" s="24"/>
      <c r="D270" s="26" t="s">
        <v>191</v>
      </c>
      <c r="E270" s="24">
        <v>45000</v>
      </c>
      <c r="F270" s="74">
        <f t="shared" si="29"/>
        <v>0</v>
      </c>
    </row>
    <row r="271" spans="1:6">
      <c r="A271" s="67"/>
      <c r="B271" s="35" t="s">
        <v>194</v>
      </c>
      <c r="C271" s="3"/>
      <c r="D271" s="4"/>
      <c r="E271" s="4"/>
      <c r="F271" s="80">
        <f>SUM(F257:F270)</f>
        <v>80000</v>
      </c>
    </row>
    <row r="272" spans="1:6" ht="17.5" customHeight="1">
      <c r="A272" s="67"/>
      <c r="B272" s="36" t="s">
        <v>45</v>
      </c>
      <c r="C272" s="55"/>
      <c r="D272" s="4"/>
      <c r="E272" s="4"/>
      <c r="F272" s="73"/>
    </row>
    <row r="273" spans="1:6" ht="37">
      <c r="A273" s="49" t="s">
        <v>44</v>
      </c>
      <c r="B273" s="28" t="s">
        <v>286</v>
      </c>
      <c r="C273" s="49"/>
      <c r="D273" s="7"/>
      <c r="E273" s="32"/>
      <c r="F273" s="25"/>
    </row>
    <row r="274" spans="1:6">
      <c r="A274" s="49"/>
      <c r="B274" s="28" t="s">
        <v>497</v>
      </c>
      <c r="C274" s="32"/>
      <c r="D274" s="26" t="s">
        <v>83</v>
      </c>
      <c r="E274" s="24">
        <v>1150</v>
      </c>
      <c r="F274" s="74">
        <f t="shared" ref="F274:F275" si="30">E274*C274</f>
        <v>0</v>
      </c>
    </row>
    <row r="275" spans="1:6">
      <c r="A275" s="49"/>
      <c r="B275" s="28" t="s">
        <v>498</v>
      </c>
      <c r="C275" s="24"/>
      <c r="D275" s="26" t="s">
        <v>83</v>
      </c>
      <c r="E275" s="24">
        <v>1650</v>
      </c>
      <c r="F275" s="74">
        <f t="shared" si="30"/>
        <v>0</v>
      </c>
    </row>
    <row r="276" spans="1:6" ht="240.5">
      <c r="A276" s="49" t="s">
        <v>313</v>
      </c>
      <c r="B276" s="28" t="s">
        <v>544</v>
      </c>
      <c r="C276" s="49"/>
      <c r="D276" s="26"/>
      <c r="E276" s="24"/>
      <c r="F276" s="79"/>
    </row>
    <row r="277" spans="1:6">
      <c r="A277" s="49"/>
      <c r="B277" s="28" t="s">
        <v>458</v>
      </c>
      <c r="C277" s="24"/>
      <c r="D277" s="26" t="s">
        <v>81</v>
      </c>
      <c r="E277" s="24">
        <v>725</v>
      </c>
      <c r="F277" s="79"/>
    </row>
    <row r="278" spans="1:6">
      <c r="A278" s="49"/>
      <c r="B278" s="28" t="s">
        <v>505</v>
      </c>
      <c r="C278" s="24"/>
      <c r="D278" s="26" t="s">
        <v>289</v>
      </c>
      <c r="E278" s="24">
        <v>720</v>
      </c>
      <c r="F278" s="79"/>
    </row>
    <row r="279" spans="1:6">
      <c r="A279" s="49"/>
      <c r="B279" s="28" t="s">
        <v>504</v>
      </c>
      <c r="C279" s="24"/>
      <c r="D279" s="26" t="s">
        <v>289</v>
      </c>
      <c r="E279" s="24">
        <v>850</v>
      </c>
      <c r="F279" s="79"/>
    </row>
    <row r="280" spans="1:6">
      <c r="A280" s="49"/>
      <c r="B280" s="28" t="s">
        <v>506</v>
      </c>
      <c r="C280" s="24"/>
      <c r="D280" s="26" t="s">
        <v>289</v>
      </c>
      <c r="E280" s="24">
        <v>650</v>
      </c>
      <c r="F280" s="79"/>
    </row>
    <row r="281" spans="1:6">
      <c r="A281" s="67"/>
      <c r="B281" s="35" t="s">
        <v>50</v>
      </c>
      <c r="C281" s="3"/>
      <c r="D281" s="4"/>
      <c r="E281" s="4"/>
      <c r="F281" s="80">
        <f>SUM(F273:F280)</f>
        <v>0</v>
      </c>
    </row>
    <row r="282" spans="1:6" ht="17.5" customHeight="1">
      <c r="A282" s="67"/>
      <c r="B282" s="36" t="s">
        <v>195</v>
      </c>
      <c r="C282" s="55"/>
      <c r="D282" s="4"/>
      <c r="E282" s="4"/>
      <c r="F282" s="73"/>
    </row>
    <row r="283" spans="1:6" ht="258.75" customHeight="1">
      <c r="A283" s="5" t="s">
        <v>196</v>
      </c>
      <c r="B283" s="13" t="s">
        <v>309</v>
      </c>
      <c r="C283" s="58"/>
      <c r="D283" s="14"/>
      <c r="E283" s="24"/>
      <c r="F283" s="24"/>
    </row>
    <row r="284" spans="1:6">
      <c r="A284" s="5"/>
      <c r="B284" s="28" t="s">
        <v>198</v>
      </c>
      <c r="C284" s="24"/>
      <c r="D284" s="32" t="s">
        <v>86</v>
      </c>
      <c r="E284" s="24">
        <v>650</v>
      </c>
      <c r="F284" s="74">
        <f t="shared" ref="F284" si="31">E284*C284</f>
        <v>0</v>
      </c>
    </row>
    <row r="285" spans="1:6">
      <c r="A285" s="5"/>
      <c r="B285" s="28" t="s">
        <v>199</v>
      </c>
      <c r="C285" s="49"/>
      <c r="D285" s="8"/>
      <c r="E285" s="24"/>
      <c r="F285" s="24"/>
    </row>
    <row r="286" spans="1:6">
      <c r="A286" s="5"/>
      <c r="B286" s="30" t="s">
        <v>281</v>
      </c>
      <c r="C286" s="49"/>
      <c r="D286" s="32" t="s">
        <v>86</v>
      </c>
      <c r="E286" s="24">
        <v>650</v>
      </c>
      <c r="F286" s="24"/>
    </row>
    <row r="287" spans="1:6">
      <c r="A287" s="5"/>
      <c r="B287" s="40" t="s">
        <v>280</v>
      </c>
      <c r="C287" s="49"/>
      <c r="D287" s="32" t="s">
        <v>86</v>
      </c>
      <c r="E287" s="24">
        <v>650</v>
      </c>
      <c r="F287" s="24"/>
    </row>
    <row r="288" spans="1:6" ht="129.5">
      <c r="A288" s="5" t="s">
        <v>200</v>
      </c>
      <c r="B288" s="28" t="s">
        <v>184</v>
      </c>
      <c r="C288" s="49"/>
      <c r="D288" s="24"/>
      <c r="E288" s="24"/>
      <c r="F288" s="24"/>
    </row>
    <row r="289" spans="1:6">
      <c r="A289" s="5"/>
      <c r="B289" s="28" t="s">
        <v>243</v>
      </c>
      <c r="C289" s="24"/>
      <c r="D289" s="32" t="s">
        <v>83</v>
      </c>
      <c r="E289" s="24">
        <v>750</v>
      </c>
      <c r="F289" s="24"/>
    </row>
    <row r="290" spans="1:6">
      <c r="A290" s="5"/>
      <c r="B290" s="28" t="s">
        <v>232</v>
      </c>
      <c r="C290" s="24"/>
      <c r="D290" s="32" t="s">
        <v>83</v>
      </c>
      <c r="E290" s="24">
        <v>450</v>
      </c>
      <c r="F290" s="74">
        <f t="shared" ref="F290" si="32">E290*C290</f>
        <v>0</v>
      </c>
    </row>
    <row r="291" spans="1:6">
      <c r="A291" s="67"/>
      <c r="B291" s="35" t="s">
        <v>201</v>
      </c>
      <c r="C291" s="3"/>
      <c r="D291" s="4"/>
      <c r="E291" s="4"/>
      <c r="F291" s="80">
        <f>SUM(F284:F290)</f>
        <v>0</v>
      </c>
    </row>
    <row r="292" spans="1:6" ht="18" customHeight="1">
      <c r="A292" s="67"/>
      <c r="B292" s="36" t="s">
        <v>202</v>
      </c>
      <c r="C292" s="55"/>
      <c r="D292" s="4"/>
      <c r="E292" s="4"/>
      <c r="F292" s="73"/>
    </row>
    <row r="293" spans="1:6" ht="218.25" customHeight="1">
      <c r="A293" s="5" t="s">
        <v>203</v>
      </c>
      <c r="B293" s="42" t="s">
        <v>251</v>
      </c>
      <c r="C293" s="24"/>
      <c r="D293" s="26" t="s">
        <v>81</v>
      </c>
      <c r="E293" s="24">
        <v>55</v>
      </c>
      <c r="F293" s="74">
        <f t="shared" ref="F293" si="33">E293*C293</f>
        <v>0</v>
      </c>
    </row>
    <row r="294" spans="1:6">
      <c r="A294" s="5"/>
      <c r="B294" s="42" t="s">
        <v>204</v>
      </c>
      <c r="C294" s="59"/>
      <c r="D294" s="7"/>
      <c r="E294" s="24"/>
      <c r="F294" s="25"/>
    </row>
    <row r="295" spans="1:6" ht="37">
      <c r="A295" s="5"/>
      <c r="B295" s="41" t="s">
        <v>205</v>
      </c>
      <c r="C295" s="26"/>
      <c r="D295" s="12"/>
      <c r="E295" s="24"/>
      <c r="F295" s="25"/>
    </row>
    <row r="296" spans="1:6" ht="37">
      <c r="A296" s="5"/>
      <c r="B296" s="41" t="s">
        <v>206</v>
      </c>
      <c r="C296" s="26"/>
      <c r="D296" s="26"/>
      <c r="E296" s="24"/>
      <c r="F296" s="25"/>
    </row>
    <row r="297" spans="1:6" ht="37">
      <c r="A297" s="5"/>
      <c r="B297" s="41" t="s">
        <v>207</v>
      </c>
      <c r="C297" s="26"/>
      <c r="D297" s="26"/>
      <c r="E297" s="24"/>
      <c r="F297" s="25"/>
    </row>
    <row r="298" spans="1:6" ht="165.75" customHeight="1">
      <c r="A298" s="5" t="s">
        <v>208</v>
      </c>
      <c r="B298" s="28" t="s">
        <v>282</v>
      </c>
      <c r="C298" s="24"/>
      <c r="D298" s="26" t="s">
        <v>81</v>
      </c>
      <c r="E298" s="24">
        <v>940</v>
      </c>
      <c r="F298" s="74">
        <f>E298*C298</f>
        <v>0</v>
      </c>
    </row>
    <row r="299" spans="1:6" ht="64.5" customHeight="1">
      <c r="A299" s="5" t="s">
        <v>215</v>
      </c>
      <c r="B299" s="23" t="s">
        <v>77</v>
      </c>
      <c r="C299" s="5"/>
      <c r="D299" s="7"/>
      <c r="E299" s="24"/>
      <c r="F299" s="25"/>
    </row>
    <row r="300" spans="1:6">
      <c r="A300" s="5"/>
      <c r="B300" s="23" t="s">
        <v>236</v>
      </c>
      <c r="C300" s="24"/>
      <c r="D300" s="26" t="s">
        <v>81</v>
      </c>
      <c r="E300" s="24">
        <v>70</v>
      </c>
      <c r="F300" s="79"/>
    </row>
    <row r="301" spans="1:6">
      <c r="A301" s="5"/>
      <c r="B301" s="23" t="s">
        <v>237</v>
      </c>
      <c r="C301" s="90"/>
      <c r="D301" s="26" t="s">
        <v>81</v>
      </c>
      <c r="E301" s="24">
        <v>75</v>
      </c>
      <c r="F301" s="74">
        <f t="shared" ref="F301" si="34">E301*C301</f>
        <v>0</v>
      </c>
    </row>
    <row r="302" spans="1:6" ht="226.5" customHeight="1">
      <c r="A302" s="5" t="s">
        <v>216</v>
      </c>
      <c r="B302" s="28" t="s">
        <v>268</v>
      </c>
      <c r="C302" s="49"/>
      <c r="D302" s="7"/>
      <c r="E302" s="24"/>
      <c r="F302" s="25"/>
    </row>
    <row r="303" spans="1:6">
      <c r="A303" s="5" t="s">
        <v>301</v>
      </c>
      <c r="B303" s="23" t="s">
        <v>547</v>
      </c>
      <c r="C303" s="88"/>
      <c r="D303" s="25" t="s">
        <v>83</v>
      </c>
      <c r="E303" s="24">
        <v>575</v>
      </c>
      <c r="F303" s="25"/>
    </row>
    <row r="304" spans="1:6">
      <c r="A304" s="5"/>
      <c r="B304" s="23" t="s">
        <v>546</v>
      </c>
      <c r="C304" s="91"/>
      <c r="D304" s="25" t="s">
        <v>83</v>
      </c>
      <c r="E304" s="24">
        <v>650</v>
      </c>
      <c r="F304" s="74">
        <f t="shared" ref="F304:F305" si="35">E304*C304</f>
        <v>0</v>
      </c>
    </row>
    <row r="305" spans="1:6" ht="21.75" customHeight="1">
      <c r="A305" s="5"/>
      <c r="B305" s="23" t="s">
        <v>545</v>
      </c>
      <c r="C305" s="91"/>
      <c r="D305" s="25" t="s">
        <v>83</v>
      </c>
      <c r="E305" s="24">
        <v>950</v>
      </c>
      <c r="F305" s="74">
        <f t="shared" si="35"/>
        <v>0</v>
      </c>
    </row>
    <row r="306" spans="1:6">
      <c r="A306" s="5"/>
      <c r="B306" s="23" t="s">
        <v>548</v>
      </c>
      <c r="C306" s="88"/>
      <c r="D306" s="25" t="s">
        <v>83</v>
      </c>
      <c r="E306" s="24">
        <v>1550</v>
      </c>
      <c r="F306" s="79"/>
    </row>
    <row r="307" spans="1:6">
      <c r="A307" s="5"/>
      <c r="B307" s="23" t="s">
        <v>549</v>
      </c>
      <c r="C307" s="88"/>
      <c r="D307" s="25" t="s">
        <v>83</v>
      </c>
      <c r="E307" s="24">
        <v>2650</v>
      </c>
      <c r="F307" s="25"/>
    </row>
    <row r="308" spans="1:6">
      <c r="A308" s="5"/>
      <c r="B308" s="23" t="s">
        <v>550</v>
      </c>
      <c r="C308" s="88"/>
      <c r="D308" s="25" t="s">
        <v>83</v>
      </c>
      <c r="E308" s="24">
        <v>37850</v>
      </c>
      <c r="F308" s="25"/>
    </row>
    <row r="309" spans="1:6">
      <c r="A309" s="5"/>
      <c r="B309" s="21" t="s">
        <v>438</v>
      </c>
      <c r="C309" s="88"/>
      <c r="D309" s="25"/>
      <c r="E309" s="24"/>
      <c r="F309" s="25"/>
    </row>
    <row r="310" spans="1:6">
      <c r="A310" s="5" t="s">
        <v>303</v>
      </c>
      <c r="B310" s="23" t="s">
        <v>551</v>
      </c>
      <c r="C310" s="88"/>
      <c r="D310" s="25" t="s">
        <v>83</v>
      </c>
      <c r="E310" s="24">
        <v>1750</v>
      </c>
      <c r="F310" s="79"/>
    </row>
    <row r="311" spans="1:6">
      <c r="A311" s="5"/>
      <c r="B311" s="23" t="s">
        <v>552</v>
      </c>
      <c r="C311" s="88"/>
      <c r="D311" s="25" t="s">
        <v>83</v>
      </c>
      <c r="E311" s="24">
        <v>2950</v>
      </c>
      <c r="F311" s="25"/>
    </row>
    <row r="312" spans="1:6">
      <c r="A312" s="5"/>
      <c r="B312" s="23" t="s">
        <v>553</v>
      </c>
      <c r="C312" s="88"/>
      <c r="D312" s="25" t="s">
        <v>83</v>
      </c>
      <c r="E312" s="24">
        <v>4250</v>
      </c>
      <c r="F312" s="25"/>
    </row>
    <row r="313" spans="1:6" ht="129.5">
      <c r="A313" s="5" t="s">
        <v>42</v>
      </c>
      <c r="B313" s="23" t="s">
        <v>217</v>
      </c>
      <c r="C313" s="5"/>
      <c r="D313" s="7"/>
      <c r="E313" s="24"/>
      <c r="F313" s="25"/>
    </row>
    <row r="314" spans="1:6">
      <c r="A314" s="5"/>
      <c r="B314" s="23" t="s">
        <v>283</v>
      </c>
      <c r="C314" s="32"/>
      <c r="D314" s="25" t="s">
        <v>71</v>
      </c>
      <c r="E314" s="24">
        <v>1250</v>
      </c>
      <c r="F314" s="74">
        <f t="shared" ref="F314" si="36">E314*C314</f>
        <v>0</v>
      </c>
    </row>
    <row r="315" spans="1:6">
      <c r="A315" s="5"/>
      <c r="B315" s="23" t="s">
        <v>284</v>
      </c>
      <c r="C315" s="5"/>
      <c r="D315" s="25" t="s">
        <v>71</v>
      </c>
      <c r="E315" s="24">
        <v>1150</v>
      </c>
      <c r="F315" s="79"/>
    </row>
    <row r="316" spans="1:6" ht="95.25" customHeight="1">
      <c r="A316" s="5" t="s">
        <v>317</v>
      </c>
      <c r="B316" s="38" t="s">
        <v>272</v>
      </c>
      <c r="C316" s="53"/>
      <c r="D316" s="7"/>
      <c r="E316" s="24"/>
      <c r="F316" s="25"/>
    </row>
    <row r="317" spans="1:6" ht="37">
      <c r="A317" s="5"/>
      <c r="B317" s="23" t="s">
        <v>219</v>
      </c>
      <c r="C317" s="32"/>
      <c r="D317" s="25" t="s">
        <v>71</v>
      </c>
      <c r="E317" s="24">
        <v>650</v>
      </c>
      <c r="F317" s="74">
        <f t="shared" ref="F317:F319" si="37">E317*C317</f>
        <v>0</v>
      </c>
    </row>
    <row r="318" spans="1:6" ht="37">
      <c r="A318" s="5"/>
      <c r="B318" s="23" t="s">
        <v>220</v>
      </c>
      <c r="C318" s="32"/>
      <c r="D318" s="25" t="s">
        <v>71</v>
      </c>
      <c r="E318" s="24">
        <v>1250</v>
      </c>
      <c r="F318" s="74">
        <f t="shared" si="37"/>
        <v>0</v>
      </c>
    </row>
    <row r="319" spans="1:6" ht="37">
      <c r="A319" s="5"/>
      <c r="B319" s="23" t="s">
        <v>0</v>
      </c>
      <c r="C319" s="32"/>
      <c r="D319" s="25" t="s">
        <v>71</v>
      </c>
      <c r="E319" s="24">
        <v>1675</v>
      </c>
      <c r="F319" s="74">
        <f t="shared" si="37"/>
        <v>0</v>
      </c>
    </row>
    <row r="320" spans="1:6" ht="221.25" customHeight="1">
      <c r="A320" s="5" t="s">
        <v>318</v>
      </c>
      <c r="B320" s="23" t="s">
        <v>226</v>
      </c>
      <c r="C320" s="24"/>
      <c r="D320" s="25" t="s">
        <v>192</v>
      </c>
      <c r="E320" s="24">
        <v>165</v>
      </c>
      <c r="F320" s="79"/>
    </row>
    <row r="321" spans="1:6" ht="143.25" customHeight="1">
      <c r="A321" s="5" t="s">
        <v>319</v>
      </c>
      <c r="B321" s="23" t="s">
        <v>451</v>
      </c>
      <c r="C321" s="32"/>
      <c r="D321" s="25" t="s">
        <v>192</v>
      </c>
      <c r="E321" s="24">
        <v>135</v>
      </c>
      <c r="F321" s="74">
        <f t="shared" ref="F321:F325" si="38">E321*C321</f>
        <v>0</v>
      </c>
    </row>
    <row r="322" spans="1:6" ht="148">
      <c r="A322" s="5" t="s">
        <v>320</v>
      </c>
      <c r="B322" s="23" t="s">
        <v>604</v>
      </c>
      <c r="C322" s="24"/>
      <c r="D322" s="25" t="s">
        <v>169</v>
      </c>
      <c r="E322" s="24">
        <v>3750</v>
      </c>
      <c r="F322" s="74">
        <f t="shared" si="38"/>
        <v>0</v>
      </c>
    </row>
    <row r="323" spans="1:6" ht="55.5">
      <c r="A323" s="5" t="s">
        <v>218</v>
      </c>
      <c r="B323" s="23" t="s">
        <v>46</v>
      </c>
      <c r="C323" s="88"/>
      <c r="D323" s="25" t="s">
        <v>108</v>
      </c>
      <c r="E323" s="24">
        <v>2950</v>
      </c>
      <c r="F323" s="74">
        <f t="shared" si="38"/>
        <v>0</v>
      </c>
    </row>
    <row r="324" spans="1:6" ht="55.5">
      <c r="A324" s="5" t="s">
        <v>221</v>
      </c>
      <c r="B324" s="23" t="s">
        <v>47</v>
      </c>
      <c r="C324" s="88"/>
      <c r="D324" s="25" t="s">
        <v>108</v>
      </c>
      <c r="E324" s="24">
        <v>3500</v>
      </c>
      <c r="F324" s="74">
        <f t="shared" si="38"/>
        <v>0</v>
      </c>
    </row>
    <row r="325" spans="1:6" ht="58.4" customHeight="1">
      <c r="A325" s="5" t="s">
        <v>224</v>
      </c>
      <c r="B325" s="23" t="s">
        <v>273</v>
      </c>
      <c r="C325" s="88"/>
      <c r="D325" s="25" t="s">
        <v>108</v>
      </c>
      <c r="E325" s="24">
        <v>5500</v>
      </c>
      <c r="F325" s="74">
        <f t="shared" si="38"/>
        <v>0</v>
      </c>
    </row>
    <row r="326" spans="1:6" ht="55.5">
      <c r="A326" s="5" t="s">
        <v>225</v>
      </c>
      <c r="B326" s="28" t="s">
        <v>310</v>
      </c>
      <c r="C326" s="49"/>
      <c r="D326" s="24"/>
      <c r="E326" s="24"/>
      <c r="F326" s="25"/>
    </row>
    <row r="327" spans="1:6">
      <c r="A327" s="5"/>
      <c r="B327" s="28" t="s">
        <v>48</v>
      </c>
      <c r="C327" s="24"/>
      <c r="D327" s="24" t="s">
        <v>164</v>
      </c>
      <c r="E327" s="24">
        <v>250</v>
      </c>
      <c r="F327" s="79"/>
    </row>
    <row r="328" spans="1:6">
      <c r="A328" s="5"/>
      <c r="B328" s="28" t="s">
        <v>49</v>
      </c>
      <c r="C328" s="24"/>
      <c r="D328" s="24" t="s">
        <v>164</v>
      </c>
      <c r="E328" s="24">
        <v>350</v>
      </c>
      <c r="F328" s="79"/>
    </row>
    <row r="329" spans="1:6" ht="64.400000000000006" customHeight="1">
      <c r="A329" s="5" t="s">
        <v>227</v>
      </c>
      <c r="B329" s="28" t="s">
        <v>269</v>
      </c>
      <c r="C329" s="32"/>
      <c r="D329" s="24"/>
      <c r="E329" s="24"/>
      <c r="F329" s="25"/>
    </row>
    <row r="330" spans="1:6">
      <c r="A330" s="5"/>
      <c r="B330" s="28" t="s">
        <v>48</v>
      </c>
      <c r="C330" s="24"/>
      <c r="D330" s="24" t="s">
        <v>164</v>
      </c>
      <c r="E330" s="24">
        <v>650</v>
      </c>
      <c r="F330" s="79"/>
    </row>
    <row r="331" spans="1:6">
      <c r="A331" s="5"/>
      <c r="B331" s="28" t="s">
        <v>49</v>
      </c>
      <c r="C331" s="24"/>
      <c r="D331" s="24" t="s">
        <v>164</v>
      </c>
      <c r="E331" s="24">
        <v>750</v>
      </c>
      <c r="F331" s="79"/>
    </row>
    <row r="332" spans="1:6" ht="92.5">
      <c r="A332" s="5" t="s">
        <v>228</v>
      </c>
      <c r="B332" s="23" t="s">
        <v>271</v>
      </c>
      <c r="C332" s="5"/>
      <c r="D332" s="25"/>
      <c r="E332" s="24"/>
      <c r="F332" s="25"/>
    </row>
    <row r="333" spans="1:6">
      <c r="A333" s="5"/>
      <c r="B333" s="23" t="s">
        <v>84</v>
      </c>
      <c r="C333" s="32"/>
      <c r="D333" s="25" t="s">
        <v>164</v>
      </c>
      <c r="E333" s="24">
        <v>11500</v>
      </c>
      <c r="F333" s="74">
        <f t="shared" ref="F333:F335" si="39">E333*C333</f>
        <v>0</v>
      </c>
    </row>
    <row r="334" spans="1:6">
      <c r="A334" s="83"/>
      <c r="B334" s="23" t="s">
        <v>399</v>
      </c>
      <c r="C334" s="32"/>
      <c r="D334" s="25" t="s">
        <v>164</v>
      </c>
      <c r="E334" s="24">
        <v>16500</v>
      </c>
      <c r="F334" s="74">
        <f t="shared" si="39"/>
        <v>0</v>
      </c>
    </row>
    <row r="335" spans="1:6" ht="55.5">
      <c r="A335" s="5" t="s">
        <v>452</v>
      </c>
      <c r="B335" s="23" t="s">
        <v>471</v>
      </c>
      <c r="C335" s="32"/>
      <c r="D335" s="25" t="s">
        <v>352</v>
      </c>
      <c r="E335" s="24">
        <v>1450</v>
      </c>
      <c r="F335" s="74">
        <f t="shared" si="39"/>
        <v>0</v>
      </c>
    </row>
    <row r="336" spans="1:6" ht="74">
      <c r="A336" s="5" t="s">
        <v>472</v>
      </c>
      <c r="B336" s="23" t="s">
        <v>473</v>
      </c>
      <c r="C336" s="5"/>
      <c r="D336" s="25"/>
      <c r="E336" s="24"/>
      <c r="F336" s="79"/>
    </row>
    <row r="337" spans="1:6">
      <c r="A337" s="5"/>
      <c r="B337" s="23" t="s">
        <v>474</v>
      </c>
      <c r="C337" s="5"/>
      <c r="D337" s="25" t="s">
        <v>164</v>
      </c>
      <c r="E337" s="24">
        <v>250</v>
      </c>
      <c r="F337" s="74">
        <f>E337*C337</f>
        <v>0</v>
      </c>
    </row>
    <row r="338" spans="1:6">
      <c r="A338" s="5"/>
      <c r="B338" s="23" t="s">
        <v>475</v>
      </c>
      <c r="C338" s="5"/>
      <c r="D338" s="25" t="s">
        <v>164</v>
      </c>
      <c r="E338" s="24">
        <v>375</v>
      </c>
      <c r="F338" s="74">
        <f>E338*C338</f>
        <v>0</v>
      </c>
    </row>
    <row r="339" spans="1:6">
      <c r="A339" s="5"/>
      <c r="B339" s="23" t="s">
        <v>476</v>
      </c>
      <c r="C339" s="5"/>
      <c r="D339" s="25" t="s">
        <v>164</v>
      </c>
      <c r="E339" s="24">
        <v>550</v>
      </c>
      <c r="F339" s="74">
        <f>E339*C339</f>
        <v>0</v>
      </c>
    </row>
    <row r="340" spans="1:6">
      <c r="A340" s="5"/>
      <c r="B340" s="23" t="s">
        <v>477</v>
      </c>
      <c r="C340" s="5"/>
      <c r="D340" s="25" t="s">
        <v>164</v>
      </c>
      <c r="E340" s="24">
        <v>750</v>
      </c>
      <c r="F340" s="74">
        <f>E340*C340</f>
        <v>0</v>
      </c>
    </row>
    <row r="341" spans="1:6">
      <c r="A341" s="5"/>
      <c r="B341" s="23" t="s">
        <v>478</v>
      </c>
      <c r="C341" s="5"/>
      <c r="D341" s="25" t="s">
        <v>164</v>
      </c>
      <c r="E341" s="24">
        <v>1200</v>
      </c>
      <c r="F341" s="74">
        <f t="shared" ref="F341:F342" si="40">E341*C341</f>
        <v>0</v>
      </c>
    </row>
    <row r="342" spans="1:6">
      <c r="A342" s="5"/>
      <c r="B342" s="23" t="s">
        <v>479</v>
      </c>
      <c r="C342" s="63"/>
      <c r="D342" s="25" t="s">
        <v>164</v>
      </c>
      <c r="E342" s="24">
        <v>1875</v>
      </c>
      <c r="F342" s="74">
        <f t="shared" si="40"/>
        <v>0</v>
      </c>
    </row>
    <row r="343" spans="1:6" ht="74">
      <c r="A343" s="5" t="s">
        <v>534</v>
      </c>
      <c r="B343" s="23" t="s">
        <v>605</v>
      </c>
      <c r="C343" s="5"/>
      <c r="D343" s="23"/>
      <c r="E343" s="5"/>
      <c r="F343" s="23"/>
    </row>
    <row r="344" spans="1:6" ht="37">
      <c r="A344" s="5"/>
      <c r="B344" s="23" t="s">
        <v>513</v>
      </c>
      <c r="C344" s="5"/>
      <c r="D344" s="5" t="s">
        <v>514</v>
      </c>
      <c r="E344" s="5">
        <v>750</v>
      </c>
      <c r="F344" s="74">
        <f t="shared" ref="F344:F347" si="41">E344*C344</f>
        <v>0</v>
      </c>
    </row>
    <row r="345" spans="1:6" ht="37">
      <c r="A345" s="5"/>
      <c r="B345" s="23" t="s">
        <v>515</v>
      </c>
      <c r="C345" s="5"/>
      <c r="D345" s="5" t="s">
        <v>514</v>
      </c>
      <c r="E345" s="5">
        <v>950</v>
      </c>
      <c r="F345" s="74">
        <f t="shared" si="41"/>
        <v>0</v>
      </c>
    </row>
    <row r="346" spans="1:6" ht="37">
      <c r="A346" s="5"/>
      <c r="B346" s="23" t="s">
        <v>516</v>
      </c>
      <c r="C346" s="5"/>
      <c r="D346" s="5" t="s">
        <v>514</v>
      </c>
      <c r="E346" s="5">
        <v>1250</v>
      </c>
      <c r="F346" s="74">
        <f t="shared" si="41"/>
        <v>0</v>
      </c>
    </row>
    <row r="347" spans="1:6">
      <c r="A347" s="5"/>
      <c r="B347" s="23" t="s">
        <v>517</v>
      </c>
      <c r="C347" s="5"/>
      <c r="D347" s="5" t="s">
        <v>82</v>
      </c>
      <c r="E347" s="5">
        <v>1250</v>
      </c>
      <c r="F347" s="74">
        <f t="shared" si="41"/>
        <v>0</v>
      </c>
    </row>
    <row r="348" spans="1:6">
      <c r="A348" s="67"/>
      <c r="B348" s="35" t="s">
        <v>229</v>
      </c>
      <c r="C348" s="3"/>
      <c r="D348" s="4"/>
      <c r="E348" s="4"/>
      <c r="F348" s="80">
        <f>SUM(F293:F347)</f>
        <v>0</v>
      </c>
    </row>
    <row r="349" spans="1:6">
      <c r="A349" s="84"/>
      <c r="B349" s="36" t="s">
        <v>453</v>
      </c>
      <c r="C349" s="55"/>
      <c r="D349" s="4"/>
      <c r="E349" s="66"/>
      <c r="F349" s="4"/>
    </row>
    <row r="350" spans="1:6" ht="148">
      <c r="A350" s="85" t="s">
        <v>332</v>
      </c>
      <c r="B350" s="23" t="s">
        <v>503</v>
      </c>
      <c r="C350" s="5"/>
      <c r="D350" s="32" t="s">
        <v>334</v>
      </c>
      <c r="E350" s="32">
        <v>150</v>
      </c>
      <c r="F350" s="74">
        <f t="shared" ref="F350:F352" si="42">E350*C350</f>
        <v>0</v>
      </c>
    </row>
    <row r="351" spans="1:6" ht="111">
      <c r="A351" s="85" t="s">
        <v>333</v>
      </c>
      <c r="B351" s="23" t="s">
        <v>336</v>
      </c>
      <c r="C351" s="5"/>
      <c r="D351" s="32" t="s">
        <v>334</v>
      </c>
      <c r="E351" s="32">
        <v>500</v>
      </c>
      <c r="F351" s="74">
        <f t="shared" si="42"/>
        <v>0</v>
      </c>
    </row>
    <row r="352" spans="1:6" ht="111">
      <c r="A352" s="85" t="s">
        <v>335</v>
      </c>
      <c r="B352" s="23" t="s">
        <v>338</v>
      </c>
      <c r="C352" s="5"/>
      <c r="D352" s="32" t="s">
        <v>334</v>
      </c>
      <c r="E352" s="32">
        <v>1050</v>
      </c>
      <c r="F352" s="74">
        <f t="shared" si="42"/>
        <v>0</v>
      </c>
    </row>
    <row r="353" spans="1:6" ht="111">
      <c r="A353" s="85" t="s">
        <v>337</v>
      </c>
      <c r="B353" s="23" t="s">
        <v>308</v>
      </c>
      <c r="C353" s="5"/>
      <c r="D353" s="32"/>
      <c r="E353" s="32"/>
      <c r="F353" s="32"/>
    </row>
    <row r="354" spans="1:6">
      <c r="A354" s="32" t="s">
        <v>339</v>
      </c>
      <c r="B354" s="23" t="s">
        <v>222</v>
      </c>
      <c r="C354" s="5"/>
      <c r="D354" s="26" t="s">
        <v>169</v>
      </c>
      <c r="E354" s="32">
        <v>517</v>
      </c>
      <c r="F354" s="74">
        <f t="shared" ref="F354:F357" si="43">E354*C354</f>
        <v>0</v>
      </c>
    </row>
    <row r="355" spans="1:6" ht="55.5">
      <c r="A355" s="85" t="s">
        <v>294</v>
      </c>
      <c r="B355" s="23" t="s">
        <v>274</v>
      </c>
      <c r="C355" s="5"/>
      <c r="D355" s="26" t="s">
        <v>169</v>
      </c>
      <c r="E355" s="32">
        <v>340</v>
      </c>
      <c r="F355" s="74">
        <f t="shared" si="43"/>
        <v>0</v>
      </c>
    </row>
    <row r="356" spans="1:6" ht="55.5">
      <c r="A356" s="32" t="s">
        <v>340</v>
      </c>
      <c r="B356" s="23" t="s">
        <v>275</v>
      </c>
      <c r="C356" s="5"/>
      <c r="D356" s="26" t="s">
        <v>169</v>
      </c>
      <c r="E356" s="32">
        <v>170</v>
      </c>
      <c r="F356" s="74">
        <f t="shared" si="43"/>
        <v>0</v>
      </c>
    </row>
    <row r="357" spans="1:6" ht="92.5">
      <c r="A357" s="32" t="s">
        <v>341</v>
      </c>
      <c r="B357" s="17" t="s">
        <v>343</v>
      </c>
      <c r="C357" s="49"/>
      <c r="D357" s="32" t="s">
        <v>334</v>
      </c>
      <c r="E357" s="32">
        <v>4150</v>
      </c>
      <c r="F357" s="74">
        <f t="shared" si="43"/>
        <v>0</v>
      </c>
    </row>
    <row r="358" spans="1:6" ht="92.5">
      <c r="A358" s="32" t="s">
        <v>342</v>
      </c>
      <c r="B358" s="17" t="s">
        <v>407</v>
      </c>
      <c r="C358" s="24"/>
      <c r="D358" s="32" t="s">
        <v>334</v>
      </c>
      <c r="E358" s="32">
        <v>4750</v>
      </c>
      <c r="F358" s="79"/>
    </row>
    <row r="359" spans="1:6" ht="259">
      <c r="A359" s="32" t="s">
        <v>344</v>
      </c>
      <c r="B359" s="17" t="s">
        <v>607</v>
      </c>
      <c r="C359" s="32"/>
      <c r="D359" s="32" t="s">
        <v>334</v>
      </c>
      <c r="E359" s="32">
        <v>6250</v>
      </c>
      <c r="F359" s="74">
        <f t="shared" ref="F359" si="44">E359*C359</f>
        <v>0</v>
      </c>
    </row>
    <row r="360" spans="1:6" ht="37">
      <c r="A360" s="65"/>
      <c r="B360" s="18" t="s">
        <v>345</v>
      </c>
      <c r="C360" s="57"/>
      <c r="D360" s="32"/>
      <c r="E360" s="32"/>
      <c r="F360" s="32"/>
    </row>
    <row r="361" spans="1:6" ht="55.5">
      <c r="A361" s="65"/>
      <c r="B361" s="17" t="s">
        <v>346</v>
      </c>
      <c r="C361" s="51"/>
      <c r="D361" s="32"/>
      <c r="E361" s="32"/>
      <c r="F361" s="32"/>
    </row>
    <row r="362" spans="1:6" ht="55.5">
      <c r="A362" s="32" t="s">
        <v>466</v>
      </c>
      <c r="B362" s="48" t="s">
        <v>465</v>
      </c>
      <c r="C362" s="32"/>
      <c r="D362" s="32" t="s">
        <v>334</v>
      </c>
      <c r="E362" s="32">
        <v>5950</v>
      </c>
      <c r="F362" s="74">
        <f t="shared" ref="F362" si="45">E362*C362</f>
        <v>0</v>
      </c>
    </row>
    <row r="363" spans="1:6" ht="240.5">
      <c r="A363" s="32" t="s">
        <v>454</v>
      </c>
      <c r="B363" s="17" t="s">
        <v>455</v>
      </c>
      <c r="C363" s="51"/>
      <c r="D363" s="32"/>
      <c r="E363" s="32"/>
      <c r="F363" s="32"/>
    </row>
    <row r="364" spans="1:6" ht="74">
      <c r="A364" s="32" t="s">
        <v>339</v>
      </c>
      <c r="B364" s="17" t="s">
        <v>408</v>
      </c>
      <c r="C364" s="49"/>
      <c r="D364" s="32" t="s">
        <v>191</v>
      </c>
      <c r="E364" s="32">
        <v>65500</v>
      </c>
      <c r="F364" s="74">
        <f t="shared" ref="F364:F367" si="46">E364*C364</f>
        <v>0</v>
      </c>
    </row>
    <row r="365" spans="1:6" ht="92.5">
      <c r="A365" s="32" t="s">
        <v>347</v>
      </c>
      <c r="B365" s="17" t="s">
        <v>350</v>
      </c>
      <c r="C365" s="49"/>
      <c r="D365" s="32" t="s">
        <v>289</v>
      </c>
      <c r="E365" s="32">
        <v>225</v>
      </c>
      <c r="F365" s="74">
        <f t="shared" si="46"/>
        <v>0</v>
      </c>
    </row>
    <row r="366" spans="1:6" ht="92.5">
      <c r="A366" s="32" t="s">
        <v>348</v>
      </c>
      <c r="B366" s="17" t="s">
        <v>391</v>
      </c>
      <c r="C366" s="49"/>
      <c r="D366" s="32" t="s">
        <v>289</v>
      </c>
      <c r="E366" s="32">
        <v>165</v>
      </c>
      <c r="F366" s="74">
        <f t="shared" si="46"/>
        <v>0</v>
      </c>
    </row>
    <row r="367" spans="1:6" ht="92.5">
      <c r="A367" s="32" t="s">
        <v>349</v>
      </c>
      <c r="B367" s="23" t="s">
        <v>392</v>
      </c>
      <c r="C367" s="5"/>
      <c r="D367" s="32" t="s">
        <v>289</v>
      </c>
      <c r="E367" s="32">
        <v>165</v>
      </c>
      <c r="F367" s="74">
        <f t="shared" si="46"/>
        <v>0</v>
      </c>
    </row>
    <row r="368" spans="1:6" ht="185">
      <c r="A368" s="32" t="s">
        <v>351</v>
      </c>
      <c r="B368" s="23" t="s">
        <v>499</v>
      </c>
      <c r="C368" s="5"/>
      <c r="D368" s="32"/>
      <c r="E368" s="32"/>
      <c r="F368" s="32"/>
    </row>
    <row r="369" spans="1:6">
      <c r="A369" s="51" t="s">
        <v>339</v>
      </c>
      <c r="B369" s="17" t="s">
        <v>356</v>
      </c>
      <c r="C369" s="24"/>
      <c r="D369" s="32" t="s">
        <v>289</v>
      </c>
      <c r="E369" s="32">
        <v>575</v>
      </c>
      <c r="F369" s="32"/>
    </row>
    <row r="370" spans="1:6">
      <c r="A370" s="51" t="s">
        <v>294</v>
      </c>
      <c r="B370" s="17" t="s">
        <v>357</v>
      </c>
      <c r="C370" s="32"/>
      <c r="D370" s="32" t="s">
        <v>289</v>
      </c>
      <c r="E370" s="32">
        <v>720</v>
      </c>
      <c r="F370" s="74">
        <f t="shared" ref="F370:F371" si="47">E370*C370</f>
        <v>0</v>
      </c>
    </row>
    <row r="371" spans="1:6">
      <c r="A371" s="51" t="s">
        <v>340</v>
      </c>
      <c r="B371" s="17" t="s">
        <v>358</v>
      </c>
      <c r="C371" s="32"/>
      <c r="D371" s="32" t="s">
        <v>289</v>
      </c>
      <c r="E371" s="32">
        <v>920</v>
      </c>
      <c r="F371" s="74">
        <f t="shared" si="47"/>
        <v>0</v>
      </c>
    </row>
    <row r="372" spans="1:6">
      <c r="A372" s="51" t="s">
        <v>359</v>
      </c>
      <c r="B372" s="17" t="s">
        <v>360</v>
      </c>
      <c r="C372" s="24"/>
      <c r="D372" s="32" t="s">
        <v>289</v>
      </c>
      <c r="E372" s="32">
        <v>1750</v>
      </c>
      <c r="F372" s="79"/>
    </row>
    <row r="373" spans="1:6">
      <c r="A373" s="51" t="s">
        <v>361</v>
      </c>
      <c r="B373" s="17" t="s">
        <v>362</v>
      </c>
      <c r="C373" s="24"/>
      <c r="D373" s="32" t="s">
        <v>289</v>
      </c>
      <c r="E373" s="32">
        <v>2950</v>
      </c>
      <c r="F373" s="32"/>
    </row>
    <row r="374" spans="1:6">
      <c r="A374" s="51" t="s">
        <v>363</v>
      </c>
      <c r="B374" s="17" t="s">
        <v>364</v>
      </c>
      <c r="C374" s="24"/>
      <c r="D374" s="32" t="s">
        <v>289</v>
      </c>
      <c r="E374" s="32">
        <v>3950</v>
      </c>
      <c r="F374" s="32"/>
    </row>
    <row r="375" spans="1:6">
      <c r="A375" s="51" t="s">
        <v>365</v>
      </c>
      <c r="B375" s="17" t="s">
        <v>366</v>
      </c>
      <c r="C375" s="24"/>
      <c r="D375" s="32" t="s">
        <v>289</v>
      </c>
      <c r="E375" s="32">
        <v>4250</v>
      </c>
      <c r="F375" s="32"/>
    </row>
    <row r="376" spans="1:6" ht="203.5">
      <c r="A376" s="32" t="s">
        <v>353</v>
      </c>
      <c r="B376" s="23" t="s">
        <v>368</v>
      </c>
      <c r="C376" s="5"/>
      <c r="D376" s="32"/>
      <c r="E376" s="32"/>
      <c r="F376" s="32"/>
    </row>
    <row r="377" spans="1:6">
      <c r="A377" s="51" t="s">
        <v>339</v>
      </c>
      <c r="B377" s="16" t="s">
        <v>369</v>
      </c>
      <c r="C377" s="24"/>
      <c r="D377" s="32" t="s">
        <v>289</v>
      </c>
      <c r="E377" s="32">
        <v>525</v>
      </c>
      <c r="F377" s="32"/>
    </row>
    <row r="378" spans="1:6">
      <c r="A378" s="51" t="s">
        <v>294</v>
      </c>
      <c r="B378" s="16" t="s">
        <v>370</v>
      </c>
      <c r="C378" s="32"/>
      <c r="D378" s="32" t="s">
        <v>289</v>
      </c>
      <c r="E378" s="32">
        <v>650</v>
      </c>
      <c r="F378" s="74">
        <f t="shared" ref="F378:F379" si="48">E378*C378</f>
        <v>0</v>
      </c>
    </row>
    <row r="379" spans="1:6">
      <c r="A379" s="51" t="s">
        <v>340</v>
      </c>
      <c r="B379" s="16" t="s">
        <v>371</v>
      </c>
      <c r="C379" s="32"/>
      <c r="D379" s="32" t="s">
        <v>289</v>
      </c>
      <c r="E379" s="32">
        <v>830</v>
      </c>
      <c r="F379" s="74">
        <f t="shared" si="48"/>
        <v>0</v>
      </c>
    </row>
    <row r="380" spans="1:6">
      <c r="A380" s="51" t="s">
        <v>359</v>
      </c>
      <c r="B380" s="16" t="s">
        <v>372</v>
      </c>
      <c r="C380" s="24"/>
      <c r="D380" s="32" t="s">
        <v>289</v>
      </c>
      <c r="E380" s="32">
        <v>1590</v>
      </c>
      <c r="F380" s="79"/>
    </row>
    <row r="381" spans="1:6">
      <c r="A381" s="51" t="s">
        <v>361</v>
      </c>
      <c r="B381" s="16" t="s">
        <v>373</v>
      </c>
      <c r="C381" s="24"/>
      <c r="D381" s="32" t="s">
        <v>289</v>
      </c>
      <c r="E381" s="32">
        <v>2680</v>
      </c>
      <c r="F381" s="32"/>
    </row>
    <row r="382" spans="1:6">
      <c r="A382" s="51" t="s">
        <v>363</v>
      </c>
      <c r="B382" s="16" t="s">
        <v>374</v>
      </c>
      <c r="C382" s="24"/>
      <c r="D382" s="32" t="s">
        <v>289</v>
      </c>
      <c r="E382" s="32">
        <v>3590</v>
      </c>
      <c r="F382" s="32"/>
    </row>
    <row r="383" spans="1:6">
      <c r="A383" s="51" t="s">
        <v>365</v>
      </c>
      <c r="B383" s="16" t="s">
        <v>375</v>
      </c>
      <c r="C383" s="24"/>
      <c r="D383" s="32" t="s">
        <v>289</v>
      </c>
      <c r="E383" s="32">
        <v>3850</v>
      </c>
      <c r="F383" s="32"/>
    </row>
    <row r="384" spans="1:6" ht="92.5">
      <c r="A384" s="32" t="s">
        <v>354</v>
      </c>
      <c r="B384" s="23" t="s">
        <v>393</v>
      </c>
      <c r="C384" s="5"/>
      <c r="D384" s="39"/>
      <c r="E384" s="65"/>
      <c r="F384" s="32"/>
    </row>
    <row r="385" spans="1:6">
      <c r="A385" s="5"/>
      <c r="B385" s="23" t="s">
        <v>377</v>
      </c>
      <c r="C385" s="5"/>
      <c r="D385" s="32" t="s">
        <v>289</v>
      </c>
      <c r="E385" s="32">
        <v>850</v>
      </c>
      <c r="F385" s="74">
        <f t="shared" ref="F385:F386" si="49">E385*C385</f>
        <v>0</v>
      </c>
    </row>
    <row r="386" spans="1:6" ht="92.5">
      <c r="A386" s="32" t="s">
        <v>355</v>
      </c>
      <c r="B386" s="23" t="s">
        <v>379</v>
      </c>
      <c r="C386" s="5"/>
      <c r="D386" s="32" t="s">
        <v>288</v>
      </c>
      <c r="E386" s="32">
        <v>150</v>
      </c>
      <c r="F386" s="74">
        <f t="shared" si="49"/>
        <v>0</v>
      </c>
    </row>
    <row r="387" spans="1:6" ht="92.5">
      <c r="A387" s="32" t="s">
        <v>367</v>
      </c>
      <c r="B387" s="23" t="s">
        <v>381</v>
      </c>
      <c r="C387" s="5"/>
      <c r="D387" s="32" t="s">
        <v>289</v>
      </c>
      <c r="E387" s="32">
        <v>1750</v>
      </c>
      <c r="F387" s="32"/>
    </row>
    <row r="388" spans="1:6" ht="92.5">
      <c r="A388" s="32" t="s">
        <v>376</v>
      </c>
      <c r="B388" s="23" t="s">
        <v>382</v>
      </c>
      <c r="C388" s="5"/>
      <c r="D388" s="25" t="s">
        <v>81</v>
      </c>
      <c r="E388" s="24">
        <v>750</v>
      </c>
      <c r="F388" s="74">
        <f t="shared" ref="F388" si="50">E388*C388</f>
        <v>0</v>
      </c>
    </row>
    <row r="389" spans="1:6">
      <c r="A389" s="5" t="s">
        <v>301</v>
      </c>
      <c r="B389" s="23" t="s">
        <v>383</v>
      </c>
      <c r="C389" s="24"/>
      <c r="D389" s="25" t="s">
        <v>81</v>
      </c>
      <c r="E389" s="24">
        <v>725</v>
      </c>
      <c r="F389" s="86"/>
    </row>
    <row r="390" spans="1:6" ht="222">
      <c r="A390" s="32" t="s">
        <v>378</v>
      </c>
      <c r="B390" s="23" t="s">
        <v>409</v>
      </c>
      <c r="C390" s="5"/>
      <c r="D390" s="24" t="s">
        <v>289</v>
      </c>
      <c r="E390" s="24">
        <v>550</v>
      </c>
      <c r="F390" s="74">
        <f t="shared" ref="F390" si="51">E390*C390</f>
        <v>0</v>
      </c>
    </row>
    <row r="391" spans="1:6" ht="148">
      <c r="A391" s="32" t="s">
        <v>380</v>
      </c>
      <c r="B391" s="23" t="s">
        <v>411</v>
      </c>
      <c r="C391" s="24"/>
      <c r="D391" s="24" t="s">
        <v>352</v>
      </c>
      <c r="E391" s="24">
        <v>7500</v>
      </c>
      <c r="F391" s="79"/>
    </row>
    <row r="392" spans="1:6" ht="92.5">
      <c r="A392" s="5" t="s">
        <v>410</v>
      </c>
      <c r="B392" s="23" t="s">
        <v>436</v>
      </c>
      <c r="C392" s="24"/>
      <c r="D392" s="24" t="s">
        <v>352</v>
      </c>
      <c r="E392" s="88"/>
      <c r="F392" s="79"/>
    </row>
    <row r="393" spans="1:6">
      <c r="A393" s="67"/>
      <c r="B393" s="35" t="s">
        <v>384</v>
      </c>
      <c r="C393" s="3"/>
      <c r="D393" s="66"/>
      <c r="E393" s="66"/>
      <c r="F393" s="69">
        <f>SUM(F350:F392)</f>
        <v>0</v>
      </c>
    </row>
    <row r="394" spans="1:6">
      <c r="A394" s="67"/>
      <c r="B394" s="35" t="s">
        <v>560</v>
      </c>
      <c r="C394" s="3"/>
      <c r="D394" s="66"/>
      <c r="E394" s="66"/>
      <c r="F394" s="68"/>
    </row>
    <row r="395" spans="1:6">
      <c r="A395" s="49"/>
      <c r="B395" s="28" t="s">
        <v>561</v>
      </c>
      <c r="C395" s="49"/>
      <c r="D395" s="32"/>
      <c r="E395" s="32"/>
      <c r="F395" s="70"/>
    </row>
    <row r="396" spans="1:6" ht="92.5">
      <c r="A396" s="5" t="s">
        <v>427</v>
      </c>
      <c r="B396" s="23" t="s">
        <v>562</v>
      </c>
      <c r="C396" s="24"/>
      <c r="D396" s="25" t="s">
        <v>82</v>
      </c>
      <c r="E396" s="32">
        <v>9500</v>
      </c>
      <c r="F396" s="60">
        <f t="shared" ref="F396:F397" si="52">E396*C396</f>
        <v>0</v>
      </c>
    </row>
    <row r="397" spans="1:6" ht="55.5">
      <c r="A397" s="5" t="s">
        <v>428</v>
      </c>
      <c r="B397" s="23" t="s">
        <v>563</v>
      </c>
      <c r="C397" s="24"/>
      <c r="D397" s="25" t="s">
        <v>82</v>
      </c>
      <c r="E397" s="32">
        <v>1450</v>
      </c>
      <c r="F397" s="60">
        <f t="shared" si="52"/>
        <v>0</v>
      </c>
    </row>
    <row r="398" spans="1:6" ht="55.5">
      <c r="A398" s="5" t="s">
        <v>429</v>
      </c>
      <c r="B398" s="23" t="s">
        <v>564</v>
      </c>
      <c r="C398" s="24"/>
      <c r="D398" s="25"/>
      <c r="E398" s="32"/>
      <c r="F398" s="60"/>
    </row>
    <row r="399" spans="1:6">
      <c r="A399" s="5"/>
      <c r="B399" s="23" t="s">
        <v>565</v>
      </c>
      <c r="C399" s="24"/>
      <c r="D399" s="25" t="s">
        <v>82</v>
      </c>
      <c r="E399" s="32">
        <v>2550</v>
      </c>
      <c r="F399" s="60">
        <f t="shared" ref="F399" si="53">E399*C399</f>
        <v>0</v>
      </c>
    </row>
    <row r="400" spans="1:6" ht="37">
      <c r="A400" s="5" t="s">
        <v>430</v>
      </c>
      <c r="B400" s="23" t="s">
        <v>566</v>
      </c>
      <c r="C400" s="24"/>
      <c r="D400" s="25" t="s">
        <v>82</v>
      </c>
      <c r="E400" s="32">
        <v>2650</v>
      </c>
      <c r="F400" s="60"/>
    </row>
    <row r="401" spans="1:6" ht="55.5">
      <c r="A401" s="5" t="s">
        <v>431</v>
      </c>
      <c r="B401" s="23" t="s">
        <v>567</v>
      </c>
      <c r="C401" s="24"/>
      <c r="D401" s="25" t="s">
        <v>82</v>
      </c>
      <c r="E401" s="32">
        <v>6500</v>
      </c>
      <c r="F401" s="60"/>
    </row>
    <row r="402" spans="1:6" ht="74">
      <c r="A402" s="5" t="s">
        <v>432</v>
      </c>
      <c r="B402" s="23" t="s">
        <v>568</v>
      </c>
      <c r="C402" s="24"/>
      <c r="D402" s="25" t="s">
        <v>82</v>
      </c>
      <c r="E402" s="32">
        <v>1250</v>
      </c>
      <c r="F402" s="60"/>
    </row>
    <row r="403" spans="1:6" ht="111">
      <c r="A403" s="5" t="s">
        <v>434</v>
      </c>
      <c r="B403" s="23" t="s">
        <v>569</v>
      </c>
      <c r="C403" s="24"/>
      <c r="D403" s="25" t="s">
        <v>82</v>
      </c>
      <c r="E403" s="32">
        <v>6500</v>
      </c>
      <c r="F403" s="60">
        <f t="shared" ref="F403" si="54">E403*C403</f>
        <v>0</v>
      </c>
    </row>
    <row r="404" spans="1:6" ht="55.5">
      <c r="A404" s="5" t="s">
        <v>571</v>
      </c>
      <c r="B404" s="23" t="s">
        <v>570</v>
      </c>
      <c r="C404" s="24"/>
      <c r="D404" s="25"/>
      <c r="E404" s="32"/>
      <c r="F404" s="60"/>
    </row>
    <row r="405" spans="1:6">
      <c r="A405" s="5"/>
      <c r="B405" s="23" t="s">
        <v>565</v>
      </c>
      <c r="C405" s="24"/>
      <c r="D405" s="25" t="s">
        <v>82</v>
      </c>
      <c r="E405" s="32">
        <v>1150</v>
      </c>
      <c r="F405" s="60">
        <f t="shared" ref="F405:F409" si="55">E405*C405</f>
        <v>0</v>
      </c>
    </row>
    <row r="406" spans="1:6" ht="37">
      <c r="A406" s="5" t="s">
        <v>572</v>
      </c>
      <c r="B406" s="23" t="s">
        <v>573</v>
      </c>
      <c r="C406" s="24"/>
      <c r="D406" s="25" t="s">
        <v>82</v>
      </c>
      <c r="E406" s="32">
        <v>7500</v>
      </c>
      <c r="F406" s="60">
        <f t="shared" si="55"/>
        <v>0</v>
      </c>
    </row>
    <row r="407" spans="1:6" ht="37">
      <c r="A407" s="5" t="s">
        <v>575</v>
      </c>
      <c r="B407" s="23" t="s">
        <v>574</v>
      </c>
      <c r="C407" s="24"/>
      <c r="D407" s="25" t="s">
        <v>82</v>
      </c>
      <c r="E407" s="32">
        <v>9500</v>
      </c>
      <c r="F407" s="60">
        <f t="shared" si="55"/>
        <v>0</v>
      </c>
    </row>
    <row r="408" spans="1:6" ht="37">
      <c r="A408" s="5" t="s">
        <v>576</v>
      </c>
      <c r="B408" s="23" t="s">
        <v>577</v>
      </c>
      <c r="C408" s="24"/>
      <c r="D408" s="25" t="s">
        <v>82</v>
      </c>
      <c r="E408" s="32">
        <v>2500</v>
      </c>
      <c r="F408" s="60">
        <f t="shared" si="55"/>
        <v>0</v>
      </c>
    </row>
    <row r="409" spans="1:6" ht="92.5">
      <c r="A409" s="5" t="s">
        <v>578</v>
      </c>
      <c r="B409" s="23" t="s">
        <v>579</v>
      </c>
      <c r="C409" s="24"/>
      <c r="D409" s="25" t="s">
        <v>82</v>
      </c>
      <c r="E409" s="32">
        <v>1950</v>
      </c>
      <c r="F409" s="60">
        <f t="shared" si="55"/>
        <v>0</v>
      </c>
    </row>
    <row r="410" spans="1:6" ht="129.5">
      <c r="A410" s="5" t="s">
        <v>580</v>
      </c>
      <c r="B410" s="23" t="s">
        <v>581</v>
      </c>
      <c r="C410" s="24"/>
      <c r="D410" s="25"/>
      <c r="E410" s="32"/>
      <c r="F410" s="60"/>
    </row>
    <row r="411" spans="1:6">
      <c r="A411" s="5"/>
      <c r="B411" s="23" t="s">
        <v>582</v>
      </c>
      <c r="C411" s="24"/>
      <c r="D411" s="25" t="s">
        <v>514</v>
      </c>
      <c r="E411" s="32">
        <v>750</v>
      </c>
      <c r="F411" s="60"/>
    </row>
    <row r="412" spans="1:6">
      <c r="A412" s="5"/>
      <c r="B412" s="23" t="s">
        <v>583</v>
      </c>
      <c r="C412" s="24"/>
      <c r="D412" s="25" t="s">
        <v>514</v>
      </c>
      <c r="E412" s="32">
        <v>600</v>
      </c>
      <c r="F412" s="60">
        <f t="shared" ref="F412:F415" si="56">E412*C412</f>
        <v>0</v>
      </c>
    </row>
    <row r="413" spans="1:6">
      <c r="A413" s="5"/>
      <c r="B413" s="23" t="s">
        <v>584</v>
      </c>
      <c r="C413" s="24"/>
      <c r="D413" s="25" t="s">
        <v>514</v>
      </c>
      <c r="E413" s="32">
        <v>375</v>
      </c>
      <c r="F413" s="60">
        <f t="shared" si="56"/>
        <v>0</v>
      </c>
    </row>
    <row r="414" spans="1:6">
      <c r="A414" s="5"/>
      <c r="B414" s="23" t="s">
        <v>585</v>
      </c>
      <c r="C414" s="24"/>
      <c r="D414" s="25" t="s">
        <v>514</v>
      </c>
      <c r="E414" s="32">
        <v>185</v>
      </c>
      <c r="F414" s="60">
        <f t="shared" si="56"/>
        <v>0</v>
      </c>
    </row>
    <row r="415" spans="1:6">
      <c r="A415" s="5"/>
      <c r="B415" s="23" t="s">
        <v>586</v>
      </c>
      <c r="C415" s="24"/>
      <c r="D415" s="25" t="s">
        <v>514</v>
      </c>
      <c r="E415" s="32">
        <v>135</v>
      </c>
      <c r="F415" s="60">
        <f t="shared" si="56"/>
        <v>0</v>
      </c>
    </row>
    <row r="416" spans="1:6" ht="141" customHeight="1">
      <c r="A416" s="5" t="s">
        <v>587</v>
      </c>
      <c r="B416" s="23" t="s">
        <v>606</v>
      </c>
      <c r="C416" s="24"/>
      <c r="D416" s="25"/>
      <c r="E416" s="32"/>
      <c r="F416" s="60"/>
    </row>
    <row r="417" spans="1:6">
      <c r="A417" s="5"/>
      <c r="B417" s="23" t="s">
        <v>588</v>
      </c>
      <c r="C417" s="24"/>
      <c r="D417" s="25" t="s">
        <v>514</v>
      </c>
      <c r="E417" s="32">
        <v>1750</v>
      </c>
      <c r="F417" s="60"/>
    </row>
    <row r="418" spans="1:6">
      <c r="A418" s="5"/>
      <c r="B418" s="23" t="s">
        <v>589</v>
      </c>
      <c r="C418" s="24"/>
      <c r="D418" s="25" t="s">
        <v>514</v>
      </c>
      <c r="E418" s="32">
        <v>1176</v>
      </c>
      <c r="F418" s="60">
        <f t="shared" ref="F418:F420" si="57">E418*C418</f>
        <v>0</v>
      </c>
    </row>
    <row r="419" spans="1:6">
      <c r="A419" s="5"/>
      <c r="B419" s="23" t="s">
        <v>590</v>
      </c>
      <c r="C419" s="24"/>
      <c r="D419" s="25" t="s">
        <v>514</v>
      </c>
      <c r="E419" s="32">
        <v>900</v>
      </c>
      <c r="F419" s="60">
        <f t="shared" si="57"/>
        <v>0</v>
      </c>
    </row>
    <row r="420" spans="1:6">
      <c r="A420" s="5"/>
      <c r="B420" s="23" t="s">
        <v>591</v>
      </c>
      <c r="C420" s="24"/>
      <c r="D420" s="25" t="s">
        <v>514</v>
      </c>
      <c r="E420" s="32">
        <v>670</v>
      </c>
      <c r="F420" s="60">
        <f t="shared" si="57"/>
        <v>0</v>
      </c>
    </row>
    <row r="421" spans="1:6" ht="92.5">
      <c r="A421" s="5" t="s">
        <v>593</v>
      </c>
      <c r="B421" s="23" t="s">
        <v>592</v>
      </c>
      <c r="C421" s="24"/>
      <c r="D421" s="25"/>
      <c r="E421" s="32"/>
      <c r="F421" s="60"/>
    </row>
    <row r="422" spans="1:6">
      <c r="A422" s="5"/>
      <c r="B422" s="23" t="s">
        <v>594</v>
      </c>
      <c r="C422" s="24"/>
      <c r="D422" s="25" t="s">
        <v>82</v>
      </c>
      <c r="E422" s="32">
        <v>750</v>
      </c>
      <c r="F422" s="60">
        <f>E422*C422</f>
        <v>0</v>
      </c>
    </row>
    <row r="423" spans="1:6" ht="74">
      <c r="A423" s="5" t="s">
        <v>597</v>
      </c>
      <c r="B423" s="23" t="s">
        <v>595</v>
      </c>
      <c r="C423" s="24"/>
      <c r="D423" s="25" t="s">
        <v>514</v>
      </c>
      <c r="E423" s="32">
        <v>1950</v>
      </c>
      <c r="F423" s="60">
        <f>E423*C423</f>
        <v>0</v>
      </c>
    </row>
    <row r="424" spans="1:6" ht="92.5">
      <c r="A424" s="5" t="s">
        <v>598</v>
      </c>
      <c r="B424" s="23" t="s">
        <v>619</v>
      </c>
      <c r="C424" s="24"/>
      <c r="D424" s="25" t="s">
        <v>82</v>
      </c>
      <c r="E424" s="32">
        <v>25000</v>
      </c>
      <c r="F424" s="60">
        <f>E424*C424</f>
        <v>0</v>
      </c>
    </row>
    <row r="425" spans="1:6">
      <c r="A425" s="67"/>
      <c r="B425" s="35" t="s">
        <v>433</v>
      </c>
      <c r="C425" s="3"/>
      <c r="D425" s="66"/>
      <c r="E425" s="66"/>
      <c r="F425" s="68">
        <f>SUM(F396:F424)</f>
        <v>0</v>
      </c>
    </row>
    <row r="426" spans="1:6">
      <c r="A426" s="67"/>
      <c r="B426" s="35" t="s">
        <v>525</v>
      </c>
      <c r="C426" s="3"/>
      <c r="D426" s="66"/>
      <c r="E426" s="66"/>
      <c r="F426" s="68"/>
    </row>
    <row r="427" spans="1:6" ht="297.5">
      <c r="A427" s="5" t="s">
        <v>526</v>
      </c>
      <c r="B427" s="23" t="s">
        <v>527</v>
      </c>
      <c r="C427" s="24"/>
      <c r="D427" s="25"/>
      <c r="E427" s="32"/>
      <c r="F427" s="60"/>
    </row>
    <row r="428" spans="1:6">
      <c r="A428" s="5"/>
      <c r="B428" s="23" t="s">
        <v>528</v>
      </c>
      <c r="C428" s="5"/>
      <c r="D428" s="25" t="s">
        <v>83</v>
      </c>
      <c r="E428" s="32">
        <v>5125</v>
      </c>
      <c r="F428" s="74">
        <f t="shared" ref="F428:F431" si="58">E428*C428</f>
        <v>0</v>
      </c>
    </row>
    <row r="429" spans="1:6">
      <c r="A429" s="5"/>
      <c r="B429" s="23" t="s">
        <v>529</v>
      </c>
      <c r="C429" s="5"/>
      <c r="D429" s="25" t="s">
        <v>83</v>
      </c>
      <c r="E429" s="32">
        <v>5875</v>
      </c>
      <c r="F429" s="74">
        <f t="shared" si="58"/>
        <v>0</v>
      </c>
    </row>
    <row r="430" spans="1:6">
      <c r="A430" s="5"/>
      <c r="B430" s="23" t="s">
        <v>530</v>
      </c>
      <c r="C430" s="5"/>
      <c r="D430" s="25" t="s">
        <v>83</v>
      </c>
      <c r="E430" s="32">
        <v>6625</v>
      </c>
      <c r="F430" s="74">
        <f t="shared" si="58"/>
        <v>0</v>
      </c>
    </row>
    <row r="431" spans="1:6">
      <c r="A431" s="5"/>
      <c r="B431" s="23" t="s">
        <v>531</v>
      </c>
      <c r="C431" s="5"/>
      <c r="D431" s="25" t="s">
        <v>83</v>
      </c>
      <c r="E431" s="32">
        <v>12500</v>
      </c>
      <c r="F431" s="74">
        <f t="shared" si="58"/>
        <v>0</v>
      </c>
    </row>
    <row r="432" spans="1:6">
      <c r="A432" s="67"/>
      <c r="B432" s="35" t="s">
        <v>532</v>
      </c>
      <c r="C432" s="3"/>
      <c r="D432" s="66"/>
      <c r="E432" s="66"/>
      <c r="F432" s="69">
        <f>SUM(F428:F431)</f>
        <v>0</v>
      </c>
    </row>
  </sheetData>
  <customSheetViews>
    <customSheetView guid="{5399B9A3-C514-4B3F-AA20-DF1128B22F93}" scale="70" showPageBreaks="1" fitToPage="1" printArea="1" hiddenRows="1" view="pageBreakPreview" topLeftCell="A358">
      <selection activeCell="E6" sqref="E6:E432"/>
      <rowBreaks count="5" manualBreakCount="5">
        <brk id="97" max="5" man="1"/>
        <brk id="120" max="5" man="1"/>
        <brk id="173" max="5" man="1"/>
        <brk id="275" max="5" man="1"/>
        <brk id="301" max="5" man="1"/>
      </rowBreaks>
      <pageMargins left="0.55118110236220474" right="0.39370078740157483" top="0.39370078740157483" bottom="0.39370078740157483" header="0.51181102362204722" footer="0.11811023622047245"/>
      <printOptions horizontalCentered="1"/>
      <pageSetup paperSize="9" scale="57" fitToHeight="0" orientation="portrait" r:id="rId1"/>
      <headerFooter alignWithMargins="0">
        <oddFooter>&amp;C&amp;P OF &amp;N</oddFooter>
      </headerFooter>
    </customSheetView>
  </customSheetViews>
  <mergeCells count="3">
    <mergeCell ref="B1:E1"/>
    <mergeCell ref="A2:F2"/>
    <mergeCell ref="A3:F3"/>
  </mergeCells>
  <printOptions horizontalCentered="1"/>
  <pageMargins left="0.55118110236220474" right="0.39370078740157483" top="0.39370078740157483" bottom="0.39370078740157483" header="0.51181102362204722" footer="0.11811023622047245"/>
  <pageSetup paperSize="9" scale="57" fitToHeight="0" orientation="portrait" r:id="rId2"/>
  <headerFooter alignWithMargins="0">
    <oddFooter>&amp;C&amp;P OF &amp;N</oddFooter>
  </headerFooter>
  <rowBreaks count="5" manualBreakCount="5">
    <brk id="97" max="5" man="1"/>
    <brk id="120" max="5" man="1"/>
    <brk id="173" max="5" man="1"/>
    <brk id="275" max="5" man="1"/>
    <brk id="301" max="5" man="1"/>
  </row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G434"/>
  <sheetViews>
    <sheetView view="pageBreakPreview" zoomScale="70" zoomScaleNormal="70" zoomScaleSheetLayoutView="70" workbookViewId="0">
      <selection activeCell="C434" sqref="C6:C434"/>
    </sheetView>
  </sheetViews>
  <sheetFormatPr defaultColWidth="9.1796875" defaultRowHeight="18.5"/>
  <cols>
    <col min="1" max="1" width="22.453125" style="46" customWidth="1"/>
    <col min="2" max="2" width="66.1796875" style="47" customWidth="1"/>
    <col min="3" max="3" width="18.81640625" style="46" customWidth="1"/>
    <col min="4" max="4" width="17.81640625" style="2" customWidth="1"/>
    <col min="5" max="5" width="17.81640625" style="15" customWidth="1"/>
    <col min="6" max="6" width="21.453125" style="2" customWidth="1"/>
    <col min="7" max="16384" width="9.1796875" style="1"/>
  </cols>
  <sheetData>
    <row r="1" spans="1:6" ht="66" customHeight="1">
      <c r="A1" s="62"/>
      <c r="B1" s="210" t="s">
        <v>651</v>
      </c>
      <c r="C1" s="210"/>
      <c r="D1" s="210"/>
      <c r="E1" s="210"/>
      <c r="F1" s="61"/>
    </row>
    <row r="2" spans="1:6" ht="74.25" customHeight="1">
      <c r="A2" s="218" t="s">
        <v>623</v>
      </c>
      <c r="B2" s="219"/>
      <c r="C2" s="219"/>
      <c r="D2" s="219"/>
      <c r="E2" s="219"/>
      <c r="F2" s="220"/>
    </row>
    <row r="3" spans="1:6" ht="21">
      <c r="A3" s="222" t="s">
        <v>270</v>
      </c>
      <c r="B3" s="222"/>
      <c r="C3" s="222"/>
      <c r="D3" s="222"/>
      <c r="E3" s="222"/>
      <c r="F3" s="222"/>
    </row>
    <row r="4" spans="1:6">
      <c r="A4" s="52" t="s">
        <v>152</v>
      </c>
      <c r="B4" s="52" t="s">
        <v>153</v>
      </c>
      <c r="C4" s="71" t="s">
        <v>79</v>
      </c>
      <c r="D4" s="72" t="s">
        <v>57</v>
      </c>
      <c r="E4" s="71" t="s">
        <v>58</v>
      </c>
      <c r="F4" s="72" t="s">
        <v>59</v>
      </c>
    </row>
    <row r="5" spans="1:6" ht="17.5" customHeight="1">
      <c r="A5" s="3"/>
      <c r="B5" s="22" t="s">
        <v>167</v>
      </c>
      <c r="C5" s="3"/>
      <c r="D5" s="4"/>
      <c r="E5" s="73"/>
      <c r="F5" s="4"/>
    </row>
    <row r="6" spans="1:6" ht="97.5" customHeight="1">
      <c r="A6" s="5" t="s">
        <v>168</v>
      </c>
      <c r="B6" s="28" t="s">
        <v>480</v>
      </c>
      <c r="C6" s="49">
        <v>76</v>
      </c>
      <c r="D6" s="24" t="s">
        <v>78</v>
      </c>
      <c r="E6" s="24">
        <v>35</v>
      </c>
      <c r="F6" s="74">
        <f>E6*C6</f>
        <v>2660</v>
      </c>
    </row>
    <row r="7" spans="1:6" ht="97.5" customHeight="1">
      <c r="A7" s="5" t="s">
        <v>557</v>
      </c>
      <c r="B7" s="28" t="s">
        <v>599</v>
      </c>
      <c r="C7" s="49"/>
      <c r="D7" s="24" t="s">
        <v>78</v>
      </c>
      <c r="E7" s="24">
        <v>25</v>
      </c>
      <c r="F7" s="74">
        <f>E7*C7</f>
        <v>0</v>
      </c>
    </row>
    <row r="8" spans="1:6" ht="256.5" customHeight="1">
      <c r="A8" s="5" t="s">
        <v>24</v>
      </c>
      <c r="B8" s="23" t="s">
        <v>401</v>
      </c>
      <c r="C8" s="5"/>
      <c r="D8" s="26"/>
      <c r="E8" s="24"/>
      <c r="F8" s="75"/>
    </row>
    <row r="9" spans="1:6">
      <c r="A9" s="5"/>
      <c r="B9" s="23" t="s">
        <v>28</v>
      </c>
      <c r="C9" s="5">
        <v>131</v>
      </c>
      <c r="D9" s="26" t="s">
        <v>80</v>
      </c>
      <c r="E9" s="24">
        <v>250</v>
      </c>
      <c r="F9" s="74">
        <f>E9*C9</f>
        <v>32750</v>
      </c>
    </row>
    <row r="10" spans="1:6">
      <c r="A10" s="5"/>
      <c r="B10" s="23" t="s">
        <v>197</v>
      </c>
      <c r="C10" s="5">
        <v>131</v>
      </c>
      <c r="D10" s="26" t="s">
        <v>80</v>
      </c>
      <c r="E10" s="24">
        <v>285</v>
      </c>
      <c r="F10" s="74">
        <f t="shared" ref="F10" si="0">E10*C10</f>
        <v>37335</v>
      </c>
    </row>
    <row r="11" spans="1:6">
      <c r="A11" s="5"/>
      <c r="B11" s="23" t="s">
        <v>26</v>
      </c>
      <c r="C11" s="63">
        <v>53</v>
      </c>
      <c r="D11" s="26" t="s">
        <v>80</v>
      </c>
      <c r="E11" s="24">
        <v>350</v>
      </c>
      <c r="F11" s="74">
        <f>E11*C11</f>
        <v>18550</v>
      </c>
    </row>
    <row r="12" spans="1:6">
      <c r="A12" s="5"/>
      <c r="B12" s="23" t="s">
        <v>27</v>
      </c>
      <c r="C12" s="24" t="s">
        <v>614</v>
      </c>
      <c r="D12" s="26" t="s">
        <v>80</v>
      </c>
      <c r="E12" s="24">
        <v>450</v>
      </c>
      <c r="F12" s="74"/>
    </row>
    <row r="13" spans="1:6">
      <c r="A13" s="5"/>
      <c r="B13" s="23" t="s">
        <v>213</v>
      </c>
      <c r="C13" s="24" t="s">
        <v>614</v>
      </c>
      <c r="D13" s="26" t="s">
        <v>80</v>
      </c>
      <c r="E13" s="24">
        <v>575</v>
      </c>
      <c r="F13" s="74"/>
    </row>
    <row r="14" spans="1:6" ht="128.15" customHeight="1">
      <c r="A14" s="5" t="s">
        <v>25</v>
      </c>
      <c r="B14" s="28" t="s">
        <v>600</v>
      </c>
      <c r="C14" s="49"/>
      <c r="D14" s="7"/>
      <c r="E14" s="24"/>
      <c r="F14" s="75"/>
    </row>
    <row r="15" spans="1:6">
      <c r="A15" s="5"/>
      <c r="B15" s="23" t="s">
        <v>402</v>
      </c>
      <c r="C15" s="63">
        <v>16</v>
      </c>
      <c r="D15" s="26" t="s">
        <v>80</v>
      </c>
      <c r="E15" s="24">
        <v>490</v>
      </c>
      <c r="F15" s="74">
        <f t="shared" ref="F15:F16" si="1">E15*C15</f>
        <v>7840</v>
      </c>
    </row>
    <row r="16" spans="1:6">
      <c r="A16" s="5"/>
      <c r="B16" s="23" t="s">
        <v>403</v>
      </c>
      <c r="C16" s="63"/>
      <c r="D16" s="26" t="s">
        <v>80</v>
      </c>
      <c r="E16" s="24">
        <v>1025</v>
      </c>
      <c r="F16" s="74">
        <f t="shared" si="1"/>
        <v>0</v>
      </c>
    </row>
    <row r="17" spans="1:6">
      <c r="A17" s="5"/>
      <c r="B17" s="23" t="s">
        <v>404</v>
      </c>
      <c r="C17" s="63"/>
      <c r="D17" s="26" t="s">
        <v>80</v>
      </c>
      <c r="E17" s="24">
        <v>1150</v>
      </c>
      <c r="F17" s="74"/>
    </row>
    <row r="18" spans="1:6" ht="57.65" customHeight="1">
      <c r="A18" s="5" t="s">
        <v>29</v>
      </c>
      <c r="B18" s="23" t="s">
        <v>405</v>
      </c>
      <c r="C18" s="63"/>
      <c r="D18" s="26" t="s">
        <v>80</v>
      </c>
      <c r="E18" s="24">
        <v>150</v>
      </c>
      <c r="F18" s="74">
        <f>E18*C18</f>
        <v>0</v>
      </c>
    </row>
    <row r="19" spans="1:6" ht="66.75" customHeight="1">
      <c r="A19" s="5" t="s">
        <v>554</v>
      </c>
      <c r="B19" s="23" t="s">
        <v>601</v>
      </c>
      <c r="C19" s="63"/>
      <c r="D19" s="26"/>
      <c r="E19" s="24"/>
      <c r="F19" s="74"/>
    </row>
    <row r="20" spans="1:6">
      <c r="A20" s="5"/>
      <c r="B20" s="23" t="s">
        <v>555</v>
      </c>
      <c r="C20" s="63"/>
      <c r="D20" s="26" t="s">
        <v>80</v>
      </c>
      <c r="E20" s="24">
        <v>100</v>
      </c>
      <c r="F20" s="74">
        <f>E20*C20</f>
        <v>0</v>
      </c>
    </row>
    <row r="21" spans="1:6">
      <c r="A21" s="5"/>
      <c r="B21" s="23" t="s">
        <v>556</v>
      </c>
      <c r="C21" s="63"/>
      <c r="D21" s="26" t="s">
        <v>82</v>
      </c>
      <c r="E21" s="24">
        <v>3500</v>
      </c>
      <c r="F21" s="74"/>
    </row>
    <row r="22" spans="1:6" ht="128.5" customHeight="1">
      <c r="A22" s="5" t="s">
        <v>30</v>
      </c>
      <c r="B22" s="23" t="s">
        <v>500</v>
      </c>
      <c r="C22" s="5"/>
      <c r="D22" s="7"/>
      <c r="E22" s="24"/>
      <c r="F22" s="75"/>
    </row>
    <row r="23" spans="1:6">
      <c r="A23" s="5"/>
      <c r="B23" s="23" t="s">
        <v>222</v>
      </c>
      <c r="C23" s="24"/>
      <c r="D23" s="26" t="s">
        <v>169</v>
      </c>
      <c r="E23" s="24">
        <v>517</v>
      </c>
      <c r="F23" s="75"/>
    </row>
    <row r="24" spans="1:6" ht="55.5">
      <c r="A24" s="5"/>
      <c r="B24" s="23" t="s">
        <v>274</v>
      </c>
      <c r="C24" s="63">
        <v>79</v>
      </c>
      <c r="D24" s="26" t="s">
        <v>169</v>
      </c>
      <c r="E24" s="24">
        <v>310</v>
      </c>
      <c r="F24" s="74">
        <f t="shared" ref="F24" si="2">E24*C24</f>
        <v>24490</v>
      </c>
    </row>
    <row r="25" spans="1:6" ht="55.5">
      <c r="A25" s="5"/>
      <c r="B25" s="23" t="s">
        <v>275</v>
      </c>
      <c r="C25" s="63">
        <v>79</v>
      </c>
      <c r="D25" s="26" t="s">
        <v>169</v>
      </c>
      <c r="E25" s="24">
        <v>150</v>
      </c>
      <c r="F25" s="74">
        <f>E25*C25</f>
        <v>11850</v>
      </c>
    </row>
    <row r="26" spans="1:6" ht="166.5">
      <c r="A26" s="5" t="s">
        <v>43</v>
      </c>
      <c r="B26" s="28" t="s">
        <v>611</v>
      </c>
      <c r="C26" s="49"/>
      <c r="D26" s="7"/>
      <c r="E26" s="24"/>
      <c r="F26" s="75"/>
    </row>
    <row r="27" spans="1:6">
      <c r="A27" s="5"/>
      <c r="B27" s="30" t="s">
        <v>209</v>
      </c>
      <c r="C27" s="24"/>
      <c r="D27" s="26" t="s">
        <v>73</v>
      </c>
      <c r="E27" s="24">
        <v>300</v>
      </c>
      <c r="F27" s="74"/>
    </row>
    <row r="28" spans="1:6">
      <c r="A28" s="5"/>
      <c r="B28" s="30" t="s">
        <v>210</v>
      </c>
      <c r="C28" s="24"/>
      <c r="D28" s="26" t="s">
        <v>73</v>
      </c>
      <c r="E28" s="24">
        <v>350</v>
      </c>
      <c r="F28" s="74">
        <f t="shared" ref="F28:F30" si="3">E28*C28</f>
        <v>0</v>
      </c>
    </row>
    <row r="29" spans="1:6">
      <c r="A29" s="5"/>
      <c r="B29" s="30" t="s">
        <v>263</v>
      </c>
      <c r="C29" s="20"/>
      <c r="D29" s="26" t="s">
        <v>73</v>
      </c>
      <c r="E29" s="24">
        <v>425</v>
      </c>
      <c r="F29" s="74">
        <f t="shared" si="3"/>
        <v>0</v>
      </c>
    </row>
    <row r="30" spans="1:6">
      <c r="A30" s="5"/>
      <c r="B30" s="30" t="s">
        <v>264</v>
      </c>
      <c r="C30" s="24"/>
      <c r="D30" s="26" t="s">
        <v>73</v>
      </c>
      <c r="E30" s="24">
        <v>495</v>
      </c>
      <c r="F30" s="74">
        <f t="shared" si="3"/>
        <v>0</v>
      </c>
    </row>
    <row r="31" spans="1:6" ht="57.65" customHeight="1">
      <c r="A31" s="5" t="s">
        <v>211</v>
      </c>
      <c r="B31" s="31" t="s">
        <v>212</v>
      </c>
      <c r="C31" s="50"/>
      <c r="D31" s="7"/>
      <c r="E31" s="32"/>
      <c r="F31" s="75"/>
    </row>
    <row r="32" spans="1:6">
      <c r="A32" s="5"/>
      <c r="B32" s="30" t="s">
        <v>209</v>
      </c>
      <c r="C32" s="24"/>
      <c r="D32" s="26" t="s">
        <v>71</v>
      </c>
      <c r="E32" s="24">
        <v>300</v>
      </c>
      <c r="F32" s="74"/>
    </row>
    <row r="33" spans="1:6">
      <c r="A33" s="5"/>
      <c r="B33" s="30" t="s">
        <v>210</v>
      </c>
      <c r="C33" s="24"/>
      <c r="D33" s="26" t="s">
        <v>71</v>
      </c>
      <c r="E33" s="24">
        <v>400</v>
      </c>
      <c r="F33" s="74"/>
    </row>
    <row r="34" spans="1:6">
      <c r="A34" s="5"/>
      <c r="B34" s="30" t="s">
        <v>263</v>
      </c>
      <c r="C34" s="24"/>
      <c r="D34" s="26" t="s">
        <v>71</v>
      </c>
      <c r="E34" s="24">
        <v>450</v>
      </c>
      <c r="F34" s="74"/>
    </row>
    <row r="35" spans="1:6">
      <c r="A35" s="5"/>
      <c r="B35" s="30" t="s">
        <v>264</v>
      </c>
      <c r="C35" s="24"/>
      <c r="D35" s="26" t="s">
        <v>71</v>
      </c>
      <c r="E35" s="24">
        <v>500</v>
      </c>
      <c r="F35" s="74"/>
    </row>
    <row r="36" spans="1:6">
      <c r="A36" s="67"/>
      <c r="B36" s="22" t="s">
        <v>31</v>
      </c>
      <c r="C36" s="3"/>
      <c r="D36" s="4"/>
      <c r="E36" s="4"/>
      <c r="F36" s="76">
        <f>SUM(F6:F35)</f>
        <v>135475</v>
      </c>
    </row>
    <row r="37" spans="1:6" ht="17.5" customHeight="1">
      <c r="A37" s="67"/>
      <c r="B37" s="22" t="s">
        <v>66</v>
      </c>
      <c r="C37" s="3"/>
      <c r="D37" s="4"/>
      <c r="E37" s="4"/>
      <c r="F37" s="73"/>
    </row>
    <row r="38" spans="1:6" ht="93.65" customHeight="1">
      <c r="A38" s="5" t="s">
        <v>32</v>
      </c>
      <c r="B38" s="23" t="s">
        <v>406</v>
      </c>
      <c r="C38" s="5"/>
      <c r="D38" s="7"/>
      <c r="E38" s="24"/>
      <c r="F38" s="25"/>
    </row>
    <row r="39" spans="1:6">
      <c r="A39" s="5"/>
      <c r="B39" s="23" t="s">
        <v>34</v>
      </c>
      <c r="C39" s="24">
        <v>8</v>
      </c>
      <c r="D39" s="26" t="s">
        <v>80</v>
      </c>
      <c r="E39" s="24">
        <v>4100</v>
      </c>
      <c r="F39" s="74">
        <f>E39*C39</f>
        <v>32800</v>
      </c>
    </row>
    <row r="40" spans="1:6">
      <c r="A40" s="5"/>
      <c r="B40" s="23" t="s">
        <v>35</v>
      </c>
      <c r="C40" s="20"/>
      <c r="D40" s="26" t="s">
        <v>80</v>
      </c>
      <c r="E40" s="24">
        <v>4175</v>
      </c>
      <c r="F40" s="74">
        <f t="shared" ref="F40" si="4">E40*C40</f>
        <v>0</v>
      </c>
    </row>
    <row r="41" spans="1:6" ht="288.75" customHeight="1">
      <c r="A41" s="5" t="s">
        <v>33</v>
      </c>
      <c r="B41" s="38" t="s">
        <v>413</v>
      </c>
      <c r="C41" s="51"/>
      <c r="D41" s="7"/>
      <c r="E41" s="32"/>
      <c r="F41" s="75"/>
    </row>
    <row r="42" spans="1:6">
      <c r="A42" s="5"/>
      <c r="B42" s="21" t="s">
        <v>538</v>
      </c>
      <c r="C42" s="52"/>
      <c r="D42" s="7"/>
      <c r="E42" s="32"/>
      <c r="F42" s="75"/>
    </row>
    <row r="43" spans="1:6">
      <c r="A43" s="5"/>
      <c r="B43" s="28" t="s">
        <v>250</v>
      </c>
      <c r="C43" s="24"/>
      <c r="D43" s="26" t="s">
        <v>80</v>
      </c>
      <c r="E43" s="24">
        <v>5450</v>
      </c>
      <c r="F43" s="74"/>
    </row>
    <row r="44" spans="1:6">
      <c r="A44" s="49"/>
      <c r="B44" s="28" t="s">
        <v>296</v>
      </c>
      <c r="C44" s="24"/>
      <c r="D44" s="26" t="s">
        <v>80</v>
      </c>
      <c r="E44" s="24">
        <v>5950</v>
      </c>
      <c r="F44" s="75"/>
    </row>
    <row r="45" spans="1:6">
      <c r="A45" s="5"/>
      <c r="B45" s="21" t="s">
        <v>537</v>
      </c>
      <c r="C45" s="52"/>
      <c r="D45" s="7"/>
      <c r="E45" s="32"/>
      <c r="F45" s="75"/>
    </row>
    <row r="46" spans="1:6">
      <c r="A46" s="5"/>
      <c r="B46" s="28" t="s">
        <v>250</v>
      </c>
      <c r="C46" s="24">
        <v>79</v>
      </c>
      <c r="D46" s="32" t="s">
        <v>80</v>
      </c>
      <c r="E46" s="24">
        <v>5850</v>
      </c>
      <c r="F46" s="74">
        <f>E46*C46</f>
        <v>462150</v>
      </c>
    </row>
    <row r="47" spans="1:6">
      <c r="A47" s="49"/>
      <c r="B47" s="28" t="s">
        <v>612</v>
      </c>
      <c r="C47" s="24">
        <v>5</v>
      </c>
      <c r="D47" s="32" t="s">
        <v>80</v>
      </c>
      <c r="E47" s="24">
        <v>6175</v>
      </c>
      <c r="F47" s="74">
        <f>E47*C47</f>
        <v>30875</v>
      </c>
    </row>
    <row r="48" spans="1:6">
      <c r="A48" s="49"/>
      <c r="B48" s="28" t="s">
        <v>613</v>
      </c>
      <c r="C48" s="24"/>
      <c r="D48" s="32" t="s">
        <v>80</v>
      </c>
      <c r="E48" s="24">
        <v>6350</v>
      </c>
      <c r="F48" s="74"/>
    </row>
    <row r="49" spans="1:6" ht="37">
      <c r="A49" s="5"/>
      <c r="B49" s="21" t="s">
        <v>443</v>
      </c>
      <c r="C49" s="24"/>
      <c r="D49" s="26" t="s">
        <v>80</v>
      </c>
      <c r="E49" s="24">
        <v>950</v>
      </c>
      <c r="F49" s="74"/>
    </row>
    <row r="50" spans="1:6" ht="55.5">
      <c r="A50" s="5" t="s">
        <v>536</v>
      </c>
      <c r="B50" s="61" t="s">
        <v>535</v>
      </c>
      <c r="C50" s="62"/>
      <c r="D50" s="8"/>
      <c r="E50" s="24"/>
      <c r="F50" s="74"/>
    </row>
    <row r="51" spans="1:6" ht="297" customHeight="1">
      <c r="A51" s="5"/>
      <c r="B51" s="38" t="s">
        <v>541</v>
      </c>
      <c r="C51" s="53"/>
      <c r="D51" s="8"/>
      <c r="E51" s="24"/>
      <c r="F51" s="74"/>
    </row>
    <row r="52" spans="1:6">
      <c r="A52" s="5" t="s">
        <v>461</v>
      </c>
      <c r="B52" s="43" t="s">
        <v>542</v>
      </c>
      <c r="C52" s="53"/>
      <c r="D52" s="8"/>
      <c r="E52" s="24"/>
      <c r="F52" s="74"/>
    </row>
    <row r="53" spans="1:6">
      <c r="A53" s="53"/>
      <c r="B53" s="43" t="s">
        <v>459</v>
      </c>
      <c r="C53" s="24"/>
      <c r="D53" s="25" t="s">
        <v>439</v>
      </c>
      <c r="E53" s="24">
        <v>5450</v>
      </c>
      <c r="F53" s="74"/>
    </row>
    <row r="54" spans="1:6">
      <c r="A54" s="53"/>
      <c r="B54" s="43" t="s">
        <v>460</v>
      </c>
      <c r="C54" s="6"/>
      <c r="D54" s="25" t="s">
        <v>439</v>
      </c>
      <c r="E54" s="24">
        <v>5850</v>
      </c>
      <c r="F54" s="74">
        <f>E54*C54</f>
        <v>0</v>
      </c>
    </row>
    <row r="55" spans="1:6" ht="37">
      <c r="A55" s="53"/>
      <c r="B55" s="21" t="s">
        <v>443</v>
      </c>
      <c r="C55" s="24"/>
      <c r="D55" s="25" t="s">
        <v>439</v>
      </c>
      <c r="E55" s="24">
        <v>950</v>
      </c>
      <c r="F55" s="74"/>
    </row>
    <row r="56" spans="1:6" ht="30.75" customHeight="1">
      <c r="A56" s="5" t="s">
        <v>462</v>
      </c>
      <c r="B56" s="43" t="s">
        <v>463</v>
      </c>
      <c r="C56" s="53"/>
      <c r="D56" s="8"/>
      <c r="E56" s="24"/>
      <c r="F56" s="74"/>
    </row>
    <row r="57" spans="1:6">
      <c r="A57" s="53"/>
      <c r="B57" s="45" t="s">
        <v>440</v>
      </c>
      <c r="C57" s="54"/>
      <c r="D57" s="8"/>
      <c r="E57" s="24"/>
      <c r="F57" s="74"/>
    </row>
    <row r="58" spans="1:6">
      <c r="A58" s="53"/>
      <c r="B58" s="43" t="s">
        <v>305</v>
      </c>
      <c r="C58" s="6"/>
      <c r="D58" s="25" t="s">
        <v>439</v>
      </c>
      <c r="E58" s="24">
        <v>5700</v>
      </c>
      <c r="F58" s="74">
        <f>E58*C58</f>
        <v>0</v>
      </c>
    </row>
    <row r="59" spans="1:6">
      <c r="A59" s="53"/>
      <c r="B59" s="43" t="s">
        <v>441</v>
      </c>
      <c r="C59" s="24"/>
      <c r="D59" s="25" t="s">
        <v>439</v>
      </c>
      <c r="E59" s="24"/>
      <c r="F59" s="74"/>
    </row>
    <row r="60" spans="1:6">
      <c r="A60" s="53"/>
      <c r="B60" s="45" t="s">
        <v>442</v>
      </c>
      <c r="C60" s="54"/>
      <c r="D60" s="26"/>
      <c r="E60" s="24"/>
      <c r="F60" s="74"/>
    </row>
    <row r="61" spans="1:6">
      <c r="A61" s="53"/>
      <c r="B61" s="28" t="s">
        <v>305</v>
      </c>
      <c r="C61" s="6"/>
      <c r="D61" s="25" t="s">
        <v>439</v>
      </c>
      <c r="E61" s="24">
        <v>5900</v>
      </c>
      <c r="F61" s="74">
        <f>E61*C61</f>
        <v>0</v>
      </c>
    </row>
    <row r="62" spans="1:6">
      <c r="A62" s="53"/>
      <c r="B62" s="28" t="s">
        <v>456</v>
      </c>
      <c r="C62" s="24"/>
      <c r="D62" s="25" t="s">
        <v>439</v>
      </c>
      <c r="E62" s="24">
        <v>6650</v>
      </c>
      <c r="F62" s="74"/>
    </row>
    <row r="63" spans="1:6" ht="37">
      <c r="A63" s="53"/>
      <c r="B63" s="21" t="s">
        <v>443</v>
      </c>
      <c r="C63" s="24"/>
      <c r="D63" s="25" t="s">
        <v>439</v>
      </c>
      <c r="E63" s="24">
        <v>950</v>
      </c>
      <c r="F63" s="74"/>
    </row>
    <row r="64" spans="1:6" ht="129.5">
      <c r="A64" s="49" t="s">
        <v>412</v>
      </c>
      <c r="B64" s="28" t="s">
        <v>415</v>
      </c>
      <c r="C64" s="49"/>
      <c r="D64" s="7"/>
      <c r="E64" s="24"/>
      <c r="F64" s="75"/>
    </row>
    <row r="65" spans="1:6">
      <c r="A65" s="49"/>
      <c r="B65" s="29" t="s">
        <v>209</v>
      </c>
      <c r="C65" s="20"/>
      <c r="D65" s="32" t="s">
        <v>80</v>
      </c>
      <c r="E65" s="24">
        <v>5600</v>
      </c>
      <c r="F65" s="77"/>
    </row>
    <row r="66" spans="1:6">
      <c r="A66" s="49"/>
      <c r="B66" s="29" t="s">
        <v>210</v>
      </c>
      <c r="C66" s="20"/>
      <c r="D66" s="32" t="s">
        <v>80</v>
      </c>
      <c r="E66" s="24">
        <v>5369</v>
      </c>
      <c r="F66" s="74">
        <f t="shared" ref="F66:F68" si="5">E66*C66</f>
        <v>0</v>
      </c>
    </row>
    <row r="67" spans="1:6">
      <c r="A67" s="49"/>
      <c r="B67" s="29" t="s">
        <v>262</v>
      </c>
      <c r="C67" s="20"/>
      <c r="D67" s="32" t="s">
        <v>80</v>
      </c>
      <c r="E67" s="24">
        <v>5650</v>
      </c>
      <c r="F67" s="74">
        <f t="shared" si="5"/>
        <v>0</v>
      </c>
    </row>
    <row r="68" spans="1:6">
      <c r="A68" s="49"/>
      <c r="B68" s="29" t="s">
        <v>253</v>
      </c>
      <c r="C68" s="20"/>
      <c r="D68" s="32" t="s">
        <v>80</v>
      </c>
      <c r="E68" s="24">
        <v>5650</v>
      </c>
      <c r="F68" s="74">
        <f t="shared" si="5"/>
        <v>0</v>
      </c>
    </row>
    <row r="69" spans="1:6" ht="200.25" customHeight="1">
      <c r="A69" s="49" t="s">
        <v>414</v>
      </c>
      <c r="B69" s="17" t="s">
        <v>394</v>
      </c>
      <c r="C69" s="5"/>
      <c r="D69" s="32"/>
      <c r="E69" s="24"/>
      <c r="F69" s="77"/>
    </row>
    <row r="70" spans="1:6">
      <c r="A70" s="49"/>
      <c r="B70" s="29" t="s">
        <v>395</v>
      </c>
      <c r="C70" s="24"/>
      <c r="D70" s="32" t="s">
        <v>80</v>
      </c>
      <c r="E70" s="24">
        <v>9500</v>
      </c>
      <c r="F70" s="77"/>
    </row>
    <row r="71" spans="1:6">
      <c r="A71" s="49"/>
      <c r="B71" s="29" t="s">
        <v>396</v>
      </c>
      <c r="C71" s="24"/>
      <c r="D71" s="32" t="s">
        <v>80</v>
      </c>
      <c r="E71" s="24">
        <v>9500</v>
      </c>
      <c r="F71" s="77"/>
    </row>
    <row r="72" spans="1:6" ht="296">
      <c r="A72" s="49" t="s">
        <v>464</v>
      </c>
      <c r="B72" s="28" t="s">
        <v>481</v>
      </c>
      <c r="C72" s="5"/>
      <c r="D72" s="32"/>
      <c r="E72" s="24"/>
      <c r="F72" s="77"/>
    </row>
    <row r="73" spans="1:6">
      <c r="A73" s="49"/>
      <c r="B73" s="19" t="s">
        <v>425</v>
      </c>
      <c r="C73" s="52"/>
      <c r="D73" s="32"/>
      <c r="E73" s="24"/>
      <c r="F73" s="77"/>
    </row>
    <row r="74" spans="1:6">
      <c r="A74" s="49"/>
      <c r="B74" s="28" t="s">
        <v>250</v>
      </c>
      <c r="C74" s="5"/>
      <c r="D74" s="32" t="s">
        <v>80</v>
      </c>
      <c r="E74" s="24">
        <v>5750</v>
      </c>
      <c r="F74" s="74">
        <f>E74*C74</f>
        <v>0</v>
      </c>
    </row>
    <row r="75" spans="1:6">
      <c r="A75" s="49"/>
      <c r="B75" s="28" t="s">
        <v>296</v>
      </c>
      <c r="C75" s="24"/>
      <c r="D75" s="32" t="s">
        <v>80</v>
      </c>
      <c r="E75" s="24">
        <v>6650</v>
      </c>
      <c r="F75" s="77"/>
    </row>
    <row r="76" spans="1:6">
      <c r="A76" s="49"/>
      <c r="B76" s="28" t="s">
        <v>297</v>
      </c>
      <c r="C76" s="24"/>
      <c r="D76" s="32" t="s">
        <v>80</v>
      </c>
      <c r="E76" s="24">
        <v>6850</v>
      </c>
      <c r="F76" s="77"/>
    </row>
    <row r="77" spans="1:6">
      <c r="A77" s="49"/>
      <c r="B77" s="28" t="s">
        <v>298</v>
      </c>
      <c r="C77" s="24"/>
      <c r="D77" s="32" t="s">
        <v>80</v>
      </c>
      <c r="E77" s="24">
        <v>7250</v>
      </c>
      <c r="F77" s="77"/>
    </row>
    <row r="78" spans="1:6" ht="57.65" customHeight="1">
      <c r="A78" s="25" t="s">
        <v>36</v>
      </c>
      <c r="B78" s="23" t="s">
        <v>249</v>
      </c>
      <c r="C78" s="25"/>
      <c r="D78" s="9"/>
      <c r="E78" s="24"/>
      <c r="F78" s="75"/>
    </row>
    <row r="79" spans="1:6" s="10" customFormat="1">
      <c r="A79" s="25"/>
      <c r="B79" s="34" t="s">
        <v>266</v>
      </c>
      <c r="C79" s="88"/>
      <c r="D79" s="33" t="s">
        <v>85</v>
      </c>
      <c r="E79" s="24">
        <v>175</v>
      </c>
      <c r="F79" s="74">
        <f>E79*C79</f>
        <v>0</v>
      </c>
    </row>
    <row r="80" spans="1:6" s="10" customFormat="1" ht="225" customHeight="1">
      <c r="A80" s="25" t="s">
        <v>37</v>
      </c>
      <c r="B80" s="23" t="s">
        <v>602</v>
      </c>
      <c r="C80" s="5"/>
      <c r="D80" s="9"/>
      <c r="E80" s="24"/>
      <c r="F80" s="75"/>
    </row>
    <row r="81" spans="1:6" s="10" customFormat="1">
      <c r="A81" s="25"/>
      <c r="B81" s="34" t="s">
        <v>258</v>
      </c>
      <c r="C81" s="24">
        <v>13</v>
      </c>
      <c r="D81" s="27" t="s">
        <v>191</v>
      </c>
      <c r="E81" s="24">
        <v>69500</v>
      </c>
      <c r="F81" s="74">
        <f>E81*C81</f>
        <v>903500</v>
      </c>
    </row>
    <row r="82" spans="1:6" s="10" customFormat="1" ht="203.5">
      <c r="A82" s="25" t="s">
        <v>38</v>
      </c>
      <c r="B82" s="23" t="s">
        <v>501</v>
      </c>
      <c r="C82" s="5"/>
      <c r="D82" s="9"/>
      <c r="E82" s="24"/>
      <c r="F82" s="75"/>
    </row>
    <row r="83" spans="1:6" ht="22.5" customHeight="1">
      <c r="A83" s="5"/>
      <c r="B83" s="28" t="s">
        <v>250</v>
      </c>
      <c r="C83" s="24">
        <v>405</v>
      </c>
      <c r="D83" s="32" t="s">
        <v>81</v>
      </c>
      <c r="E83" s="24">
        <v>550</v>
      </c>
      <c r="F83" s="74">
        <f>C83*E83</f>
        <v>222750</v>
      </c>
    </row>
    <row r="84" spans="1:6">
      <c r="A84" s="5"/>
      <c r="B84" s="28" t="s">
        <v>296</v>
      </c>
      <c r="C84" s="24"/>
      <c r="D84" s="32" t="s">
        <v>81</v>
      </c>
      <c r="E84" s="24">
        <v>625</v>
      </c>
      <c r="F84" s="74">
        <f>C84*E84</f>
        <v>0</v>
      </c>
    </row>
    <row r="85" spans="1:6" s="10" customFormat="1" ht="240.5">
      <c r="A85" s="5" t="s">
        <v>39</v>
      </c>
      <c r="B85" s="28" t="s">
        <v>233</v>
      </c>
      <c r="C85" s="49"/>
      <c r="D85" s="8"/>
      <c r="E85" s="24"/>
      <c r="F85" s="78"/>
    </row>
    <row r="86" spans="1:6" ht="20.25" customHeight="1">
      <c r="A86" s="5"/>
      <c r="B86" s="28" t="s">
        <v>250</v>
      </c>
      <c r="C86" s="24"/>
      <c r="D86" s="32" t="s">
        <v>81</v>
      </c>
      <c r="E86" s="24">
        <v>575</v>
      </c>
      <c r="F86" s="74"/>
    </row>
    <row r="87" spans="1:6">
      <c r="A87" s="5"/>
      <c r="B87" s="28" t="s">
        <v>296</v>
      </c>
      <c r="C87" s="24">
        <v>42</v>
      </c>
      <c r="D87" s="32" t="s">
        <v>81</v>
      </c>
      <c r="E87" s="24">
        <v>650</v>
      </c>
      <c r="F87" s="74">
        <f t="shared" ref="F87" si="6">E87*C87</f>
        <v>27300</v>
      </c>
    </row>
    <row r="88" spans="1:6">
      <c r="A88" s="49"/>
      <c r="B88" s="28" t="s">
        <v>299</v>
      </c>
      <c r="C88" s="24"/>
      <c r="D88" s="32" t="s">
        <v>81</v>
      </c>
      <c r="E88" s="24">
        <v>725</v>
      </c>
      <c r="F88" s="74"/>
    </row>
    <row r="89" spans="1:6">
      <c r="A89" s="49"/>
      <c r="B89" s="28" t="s">
        <v>300</v>
      </c>
      <c r="C89" s="24"/>
      <c r="D89" s="32" t="s">
        <v>81</v>
      </c>
      <c r="E89" s="24">
        <v>850</v>
      </c>
      <c r="F89" s="74"/>
    </row>
    <row r="90" spans="1:6" ht="81.650000000000006" customHeight="1">
      <c r="A90" s="49" t="s">
        <v>54</v>
      </c>
      <c r="B90" s="28" t="s">
        <v>416</v>
      </c>
      <c r="C90" s="24">
        <v>0.3</v>
      </c>
      <c r="D90" s="26" t="s">
        <v>80</v>
      </c>
      <c r="E90" s="24">
        <v>52500</v>
      </c>
      <c r="F90" s="74">
        <f>E90*C90</f>
        <v>15750</v>
      </c>
    </row>
    <row r="91" spans="1:6" ht="74">
      <c r="A91" s="49" t="s">
        <v>55</v>
      </c>
      <c r="B91" s="28" t="s">
        <v>244</v>
      </c>
      <c r="C91" s="87"/>
      <c r="D91" s="49" t="s">
        <v>83</v>
      </c>
      <c r="E91" s="49">
        <v>550</v>
      </c>
      <c r="F91" s="64"/>
    </row>
    <row r="92" spans="1:6" ht="129.5">
      <c r="A92" s="49" t="s">
        <v>518</v>
      </c>
      <c r="B92" s="28" t="s">
        <v>40</v>
      </c>
      <c r="C92" s="49"/>
      <c r="D92" s="28"/>
      <c r="E92" s="49"/>
      <c r="F92" s="64"/>
    </row>
    <row r="93" spans="1:6">
      <c r="A93" s="49"/>
      <c r="B93" s="28" t="s">
        <v>51</v>
      </c>
      <c r="C93" s="49"/>
      <c r="D93" s="49" t="s">
        <v>82</v>
      </c>
      <c r="E93" s="49">
        <v>800</v>
      </c>
      <c r="F93" s="74">
        <f t="shared" ref="F93:F101" si="7">E93*C93</f>
        <v>0</v>
      </c>
    </row>
    <row r="94" spans="1:6" ht="37">
      <c r="A94" s="49"/>
      <c r="B94" s="28" t="s">
        <v>52</v>
      </c>
      <c r="C94" s="49"/>
      <c r="D94" s="49" t="s">
        <v>82</v>
      </c>
      <c r="E94" s="49">
        <v>1050</v>
      </c>
      <c r="F94" s="74">
        <f t="shared" si="7"/>
        <v>0</v>
      </c>
    </row>
    <row r="95" spans="1:6" ht="37">
      <c r="A95" s="49"/>
      <c r="B95" s="28" t="s">
        <v>53</v>
      </c>
      <c r="C95" s="49"/>
      <c r="D95" s="49" t="s">
        <v>82</v>
      </c>
      <c r="E95" s="49">
        <v>1250</v>
      </c>
      <c r="F95" s="74">
        <f t="shared" si="7"/>
        <v>0</v>
      </c>
    </row>
    <row r="96" spans="1:6">
      <c r="A96" s="49"/>
      <c r="B96" s="28" t="s">
        <v>519</v>
      </c>
      <c r="C96" s="49"/>
      <c r="D96" s="49" t="s">
        <v>82</v>
      </c>
      <c r="E96" s="49">
        <v>1250</v>
      </c>
      <c r="F96" s="74">
        <f t="shared" si="7"/>
        <v>0</v>
      </c>
    </row>
    <row r="97" spans="1:6" ht="37">
      <c r="A97" s="49"/>
      <c r="B97" s="28" t="s">
        <v>520</v>
      </c>
      <c r="C97" s="49"/>
      <c r="D97" s="49" t="s">
        <v>82</v>
      </c>
      <c r="E97" s="49">
        <v>1350</v>
      </c>
      <c r="F97" s="74">
        <f t="shared" si="7"/>
        <v>0</v>
      </c>
    </row>
    <row r="98" spans="1:6" ht="37">
      <c r="A98" s="49"/>
      <c r="B98" s="28" t="s">
        <v>521</v>
      </c>
      <c r="C98" s="49"/>
      <c r="D98" s="49" t="s">
        <v>82</v>
      </c>
      <c r="E98" s="49">
        <v>2000</v>
      </c>
      <c r="F98" s="74">
        <f t="shared" si="7"/>
        <v>0</v>
      </c>
    </row>
    <row r="99" spans="1:6">
      <c r="A99" s="49"/>
      <c r="B99" s="28" t="s">
        <v>522</v>
      </c>
      <c r="C99" s="49"/>
      <c r="D99" s="49" t="s">
        <v>82</v>
      </c>
      <c r="E99" s="49">
        <v>1950</v>
      </c>
      <c r="F99" s="74">
        <f t="shared" si="7"/>
        <v>0</v>
      </c>
    </row>
    <row r="100" spans="1:6" ht="37">
      <c r="A100" s="49"/>
      <c r="B100" s="28" t="s">
        <v>523</v>
      </c>
      <c r="C100" s="49"/>
      <c r="D100" s="49" t="s">
        <v>82</v>
      </c>
      <c r="E100" s="49">
        <v>2250</v>
      </c>
      <c r="F100" s="74">
        <f t="shared" si="7"/>
        <v>0</v>
      </c>
    </row>
    <row r="101" spans="1:6" ht="37">
      <c r="A101" s="49"/>
      <c r="B101" s="28" t="s">
        <v>524</v>
      </c>
      <c r="C101" s="49"/>
      <c r="D101" s="49" t="s">
        <v>82</v>
      </c>
      <c r="E101" s="49">
        <v>2750</v>
      </c>
      <c r="F101" s="74">
        <f t="shared" si="7"/>
        <v>0</v>
      </c>
    </row>
    <row r="102" spans="1:6">
      <c r="A102" s="67"/>
      <c r="B102" s="35" t="s">
        <v>56</v>
      </c>
      <c r="C102" s="3"/>
      <c r="D102" s="4"/>
      <c r="E102" s="4"/>
      <c r="F102" s="76">
        <f>SUM(F38:F101)</f>
        <v>1695125</v>
      </c>
    </row>
    <row r="103" spans="1:6" ht="17.5" customHeight="1">
      <c r="A103" s="67"/>
      <c r="B103" s="36" t="s">
        <v>60</v>
      </c>
      <c r="C103" s="55"/>
      <c r="D103" s="4"/>
      <c r="E103" s="4"/>
      <c r="F103" s="73"/>
    </row>
    <row r="104" spans="1:6" ht="111">
      <c r="A104" s="5" t="s">
        <v>61</v>
      </c>
      <c r="B104" s="11" t="s">
        <v>314</v>
      </c>
      <c r="C104" s="56"/>
      <c r="D104" s="8"/>
      <c r="E104" s="8"/>
      <c r="F104" s="24"/>
    </row>
    <row r="105" spans="1:6" ht="17.5" customHeight="1">
      <c r="A105" s="5" t="s">
        <v>301</v>
      </c>
      <c r="B105" s="23" t="s">
        <v>302</v>
      </c>
      <c r="C105" s="24"/>
      <c r="D105" s="32" t="s">
        <v>80</v>
      </c>
      <c r="E105" s="49">
        <v>7250</v>
      </c>
      <c r="F105" s="24"/>
    </row>
    <row r="106" spans="1:6" ht="17.5" customHeight="1">
      <c r="A106" s="5" t="s">
        <v>303</v>
      </c>
      <c r="B106" s="23" t="s">
        <v>304</v>
      </c>
      <c r="C106" s="24"/>
      <c r="D106" s="32" t="s">
        <v>80</v>
      </c>
      <c r="E106" s="49">
        <v>7250</v>
      </c>
      <c r="F106" s="24"/>
    </row>
    <row r="107" spans="1:6" ht="129.5">
      <c r="A107" s="49" t="s">
        <v>62</v>
      </c>
      <c r="B107" s="11" t="s">
        <v>502</v>
      </c>
      <c r="C107" s="32"/>
      <c r="D107" s="8"/>
      <c r="E107" s="8"/>
      <c r="F107" s="24"/>
    </row>
    <row r="108" spans="1:6" ht="17.5" customHeight="1">
      <c r="A108" s="49"/>
      <c r="B108" s="28" t="s">
        <v>305</v>
      </c>
      <c r="C108" s="24"/>
      <c r="D108" s="32" t="s">
        <v>80</v>
      </c>
      <c r="E108" s="24">
        <v>6950</v>
      </c>
      <c r="F108" s="24"/>
    </row>
    <row r="109" spans="1:6" ht="17.5" customHeight="1">
      <c r="A109" s="49"/>
      <c r="B109" s="28" t="s">
        <v>306</v>
      </c>
      <c r="C109" s="24"/>
      <c r="D109" s="32" t="s">
        <v>80</v>
      </c>
      <c r="E109" s="24">
        <v>7250</v>
      </c>
      <c r="F109" s="24"/>
    </row>
    <row r="110" spans="1:6" ht="17.5" customHeight="1">
      <c r="A110" s="49"/>
      <c r="B110" s="28" t="s">
        <v>307</v>
      </c>
      <c r="C110" s="24"/>
      <c r="D110" s="32" t="s">
        <v>80</v>
      </c>
      <c r="E110" s="24">
        <v>7650</v>
      </c>
      <c r="F110" s="24"/>
    </row>
    <row r="111" spans="1:6" ht="129.65" customHeight="1">
      <c r="A111" s="49" t="s">
        <v>63</v>
      </c>
      <c r="B111" s="28" t="s">
        <v>276</v>
      </c>
      <c r="C111" s="24"/>
      <c r="D111" s="32" t="s">
        <v>80</v>
      </c>
      <c r="E111" s="24">
        <v>6350</v>
      </c>
      <c r="F111" s="74">
        <f t="shared" ref="F111" si="8">E111*C111</f>
        <v>0</v>
      </c>
    </row>
    <row r="112" spans="1:6" ht="37">
      <c r="A112" s="49" t="s">
        <v>64</v>
      </c>
      <c r="B112" s="44" t="s">
        <v>214</v>
      </c>
      <c r="C112" s="24"/>
      <c r="D112" s="32" t="s">
        <v>80</v>
      </c>
      <c r="E112" s="24">
        <v>6650</v>
      </c>
      <c r="F112" s="24"/>
    </row>
    <row r="113" spans="1:6" ht="129.5">
      <c r="A113" s="49" t="s">
        <v>76</v>
      </c>
      <c r="B113" s="28" t="s">
        <v>277</v>
      </c>
      <c r="C113" s="49"/>
      <c r="D113" s="8"/>
      <c r="E113" s="24"/>
      <c r="F113" s="25"/>
    </row>
    <row r="114" spans="1:6">
      <c r="A114" s="5"/>
      <c r="B114" s="28" t="s">
        <v>390</v>
      </c>
      <c r="C114" s="24">
        <v>9</v>
      </c>
      <c r="D114" s="32" t="s">
        <v>80</v>
      </c>
      <c r="E114" s="24">
        <v>6350</v>
      </c>
      <c r="F114" s="74">
        <f t="shared" ref="F114" si="9">E114*C114</f>
        <v>57150</v>
      </c>
    </row>
    <row r="115" spans="1:6">
      <c r="A115" s="5"/>
      <c r="B115" s="28" t="s">
        <v>306</v>
      </c>
      <c r="C115" s="24"/>
      <c r="D115" s="32" t="s">
        <v>80</v>
      </c>
      <c r="E115" s="24">
        <v>6750</v>
      </c>
      <c r="F115" s="79"/>
    </row>
    <row r="116" spans="1:6" ht="117.75" customHeight="1">
      <c r="A116" s="5" t="s">
        <v>321</v>
      </c>
      <c r="B116" s="38" t="s">
        <v>482</v>
      </c>
      <c r="C116" s="53"/>
      <c r="D116" s="7"/>
      <c r="E116" s="24"/>
      <c r="F116" s="25"/>
    </row>
    <row r="117" spans="1:6">
      <c r="A117" s="5"/>
      <c r="B117" s="37" t="s">
        <v>254</v>
      </c>
      <c r="C117" s="24"/>
      <c r="D117" s="32" t="s">
        <v>81</v>
      </c>
      <c r="E117" s="24">
        <v>850</v>
      </c>
      <c r="F117" s="74">
        <f>E117*C117</f>
        <v>0</v>
      </c>
    </row>
    <row r="118" spans="1:6" ht="54" customHeight="1">
      <c r="A118" s="49"/>
      <c r="B118" s="28" t="s">
        <v>239</v>
      </c>
      <c r="C118" s="24"/>
      <c r="D118" s="32" t="s">
        <v>81</v>
      </c>
      <c r="E118" s="24">
        <v>875</v>
      </c>
      <c r="F118" s="79"/>
    </row>
    <row r="119" spans="1:6" ht="118.5" customHeight="1">
      <c r="A119" s="5" t="s">
        <v>424</v>
      </c>
      <c r="B119" s="38" t="s">
        <v>322</v>
      </c>
      <c r="C119" s="24"/>
      <c r="D119" s="32" t="s">
        <v>288</v>
      </c>
      <c r="E119" s="24">
        <v>875</v>
      </c>
      <c r="F119" s="79"/>
    </row>
    <row r="120" spans="1:6">
      <c r="A120" s="67"/>
      <c r="B120" s="22" t="s">
        <v>65</v>
      </c>
      <c r="C120" s="3"/>
      <c r="D120" s="4"/>
      <c r="E120" s="4"/>
      <c r="F120" s="76">
        <f>SUM(F104:F119)</f>
        <v>57150</v>
      </c>
    </row>
    <row r="121" spans="1:6" ht="27.75" customHeight="1">
      <c r="A121" s="67"/>
      <c r="B121" s="36" t="s">
        <v>67</v>
      </c>
      <c r="C121" s="55"/>
      <c r="D121" s="4"/>
      <c r="E121" s="4"/>
      <c r="F121" s="73"/>
    </row>
    <row r="122" spans="1:6" ht="122.25" customHeight="1">
      <c r="A122" s="5" t="s">
        <v>68</v>
      </c>
      <c r="B122" s="23" t="s">
        <v>255</v>
      </c>
      <c r="C122" s="20">
        <v>76</v>
      </c>
      <c r="D122" s="26" t="s">
        <v>81</v>
      </c>
      <c r="E122" s="24">
        <v>625</v>
      </c>
      <c r="F122" s="74">
        <f t="shared" ref="F122" si="10">E122*C122</f>
        <v>47500</v>
      </c>
    </row>
    <row r="123" spans="1:6" s="2" customFormat="1" ht="153.75" customHeight="1">
      <c r="A123" s="5" t="s">
        <v>69</v>
      </c>
      <c r="B123" s="23" t="s">
        <v>608</v>
      </c>
      <c r="C123" s="32"/>
      <c r="D123" s="26" t="s">
        <v>80</v>
      </c>
      <c r="E123" s="24">
        <v>5450</v>
      </c>
      <c r="F123" s="74">
        <f>E123*C123</f>
        <v>0</v>
      </c>
    </row>
    <row r="124" spans="1:6" s="2" customFormat="1" ht="55.5">
      <c r="A124" s="5" t="s">
        <v>468</v>
      </c>
      <c r="B124" s="48" t="s">
        <v>467</v>
      </c>
      <c r="C124" s="89"/>
      <c r="D124" s="26" t="s">
        <v>80</v>
      </c>
      <c r="E124" s="24">
        <v>5650</v>
      </c>
      <c r="F124" s="74">
        <f>E124*C124</f>
        <v>0</v>
      </c>
    </row>
    <row r="125" spans="1:6" ht="222.75" customHeight="1">
      <c r="A125" s="5" t="s">
        <v>469</v>
      </c>
      <c r="B125" s="28" t="s">
        <v>609</v>
      </c>
      <c r="C125" s="63"/>
      <c r="D125" s="26" t="s">
        <v>288</v>
      </c>
      <c r="E125" s="24">
        <v>95</v>
      </c>
      <c r="F125" s="74">
        <f t="shared" ref="F125" si="11">E125*C125</f>
        <v>0</v>
      </c>
    </row>
    <row r="126" spans="1:6" ht="111">
      <c r="A126" s="49"/>
      <c r="B126" s="18" t="s">
        <v>483</v>
      </c>
      <c r="C126" s="57"/>
      <c r="D126" s="26"/>
      <c r="E126" s="24"/>
      <c r="F126" s="79"/>
    </row>
    <row r="127" spans="1:6" ht="231.75" customHeight="1">
      <c r="A127" s="5" t="s">
        <v>470</v>
      </c>
      <c r="B127" s="28" t="s">
        <v>507</v>
      </c>
      <c r="C127" s="24"/>
      <c r="D127" s="26" t="s">
        <v>288</v>
      </c>
      <c r="E127" s="24">
        <v>125</v>
      </c>
      <c r="F127" s="74">
        <f t="shared" ref="F127:F128" si="12">E127*C127</f>
        <v>0</v>
      </c>
    </row>
    <row r="128" spans="1:6" ht="55.5">
      <c r="A128" s="49"/>
      <c r="B128" s="28" t="s">
        <v>510</v>
      </c>
      <c r="C128" s="24"/>
      <c r="D128" s="26" t="s">
        <v>240</v>
      </c>
      <c r="E128" s="24">
        <v>22.5</v>
      </c>
      <c r="F128" s="74">
        <f t="shared" si="12"/>
        <v>0</v>
      </c>
    </row>
    <row r="129" spans="1:6" ht="159.75" customHeight="1">
      <c r="A129" s="5" t="s">
        <v>70</v>
      </c>
      <c r="B129" s="23" t="s">
        <v>259</v>
      </c>
      <c r="C129" s="24"/>
      <c r="D129" s="26" t="s">
        <v>71</v>
      </c>
      <c r="E129" s="24">
        <v>250</v>
      </c>
      <c r="F129" s="79"/>
    </row>
    <row r="130" spans="1:6" ht="200.25" customHeight="1">
      <c r="A130" s="5" t="s">
        <v>72</v>
      </c>
      <c r="B130" s="23" t="s">
        <v>183</v>
      </c>
      <c r="C130" s="5"/>
      <c r="D130" s="26"/>
      <c r="E130" s="24"/>
      <c r="F130" s="25"/>
    </row>
    <row r="131" spans="1:6">
      <c r="A131" s="49"/>
      <c r="B131" s="28" t="s">
        <v>241</v>
      </c>
      <c r="C131" s="24"/>
      <c r="D131" s="26" t="s">
        <v>83</v>
      </c>
      <c r="E131" s="24">
        <v>175</v>
      </c>
      <c r="F131" s="74">
        <f t="shared" ref="F131" si="13">E131*C131</f>
        <v>0</v>
      </c>
    </row>
    <row r="132" spans="1:6">
      <c r="A132" s="49"/>
      <c r="B132" s="28" t="s">
        <v>242</v>
      </c>
      <c r="C132" s="24"/>
      <c r="D132" s="26" t="s">
        <v>83</v>
      </c>
      <c r="E132" s="24">
        <v>165</v>
      </c>
      <c r="F132" s="79"/>
    </row>
    <row r="133" spans="1:6" ht="111">
      <c r="A133" s="5" t="s">
        <v>74</v>
      </c>
      <c r="B133" s="23" t="s">
        <v>484</v>
      </c>
      <c r="C133" s="5"/>
      <c r="D133" s="7"/>
      <c r="E133" s="24"/>
      <c r="F133" s="25"/>
    </row>
    <row r="134" spans="1:6">
      <c r="A134" s="5"/>
      <c r="B134" s="23" t="s">
        <v>417</v>
      </c>
      <c r="C134" s="5"/>
      <c r="D134" s="26"/>
      <c r="E134" s="24"/>
      <c r="F134" s="25"/>
    </row>
    <row r="135" spans="1:6" ht="37">
      <c r="A135" s="5"/>
      <c r="B135" s="23" t="s">
        <v>485</v>
      </c>
      <c r="C135" s="24"/>
      <c r="D135" s="26" t="s">
        <v>81</v>
      </c>
      <c r="E135" s="24">
        <v>750</v>
      </c>
      <c r="F135" s="74">
        <f>E135*C135</f>
        <v>0</v>
      </c>
    </row>
    <row r="136" spans="1:6" ht="37">
      <c r="A136" s="5"/>
      <c r="B136" s="23" t="s">
        <v>97</v>
      </c>
      <c r="C136" s="20"/>
      <c r="D136" s="26" t="s">
        <v>83</v>
      </c>
      <c r="E136" s="24">
        <v>550</v>
      </c>
      <c r="F136" s="74">
        <f>E136*C136</f>
        <v>0</v>
      </c>
    </row>
    <row r="137" spans="1:6" ht="37">
      <c r="A137" s="49"/>
      <c r="B137" s="28" t="s">
        <v>418</v>
      </c>
      <c r="C137" s="24"/>
      <c r="D137" s="26" t="s">
        <v>83</v>
      </c>
      <c r="E137" s="24">
        <v>550</v>
      </c>
      <c r="F137" s="79"/>
    </row>
    <row r="138" spans="1:6" ht="137.25" customHeight="1">
      <c r="A138" s="49" t="s">
        <v>75</v>
      </c>
      <c r="B138" s="28" t="s">
        <v>486</v>
      </c>
      <c r="C138" s="49"/>
      <c r="D138" s="26"/>
      <c r="E138" s="24"/>
      <c r="F138" s="25"/>
    </row>
    <row r="139" spans="1:6">
      <c r="A139" s="49"/>
      <c r="B139" s="28" t="s">
        <v>234</v>
      </c>
      <c r="C139" s="24"/>
      <c r="D139" s="26" t="s">
        <v>81</v>
      </c>
      <c r="E139" s="24">
        <v>1375</v>
      </c>
      <c r="F139" s="74">
        <f t="shared" ref="F139" si="14">E139*C139</f>
        <v>0</v>
      </c>
    </row>
    <row r="140" spans="1:6">
      <c r="A140" s="49"/>
      <c r="B140" s="28" t="s">
        <v>235</v>
      </c>
      <c r="C140" s="24"/>
      <c r="D140" s="26" t="s">
        <v>81</v>
      </c>
      <c r="E140" s="24">
        <v>1675</v>
      </c>
      <c r="F140" s="79"/>
    </row>
    <row r="141" spans="1:6" ht="156" customHeight="1">
      <c r="A141" s="5" t="s">
        <v>156</v>
      </c>
      <c r="B141" s="38" t="s">
        <v>260</v>
      </c>
      <c r="C141" s="24"/>
      <c r="D141" s="26" t="s">
        <v>81</v>
      </c>
      <c r="E141" s="24">
        <v>1575</v>
      </c>
      <c r="F141" s="74">
        <f>E141*C141</f>
        <v>0</v>
      </c>
    </row>
    <row r="142" spans="1:6" ht="137.25" customHeight="1">
      <c r="A142" s="5" t="s">
        <v>157</v>
      </c>
      <c r="B142" s="23" t="s">
        <v>4</v>
      </c>
      <c r="C142" s="5"/>
      <c r="D142" s="7"/>
      <c r="E142" s="24"/>
      <c r="F142" s="25"/>
    </row>
    <row r="143" spans="1:6">
      <c r="A143" s="5"/>
      <c r="B143" s="23" t="s">
        <v>88</v>
      </c>
      <c r="C143" s="20"/>
      <c r="D143" s="32" t="s">
        <v>81</v>
      </c>
      <c r="E143" s="24">
        <v>1150</v>
      </c>
      <c r="F143" s="74">
        <f t="shared" ref="F143:F144" si="15">E143*C143</f>
        <v>0</v>
      </c>
    </row>
    <row r="144" spans="1:6" ht="37">
      <c r="A144" s="5"/>
      <c r="B144" s="23" t="s">
        <v>89</v>
      </c>
      <c r="C144" s="20"/>
      <c r="D144" s="32" t="s">
        <v>81</v>
      </c>
      <c r="E144" s="24">
        <v>1250</v>
      </c>
      <c r="F144" s="74">
        <f t="shared" si="15"/>
        <v>0</v>
      </c>
    </row>
    <row r="145" spans="1:6" ht="92.5">
      <c r="A145" s="5" t="s">
        <v>158</v>
      </c>
      <c r="B145" s="23" t="s">
        <v>487</v>
      </c>
      <c r="C145" s="5"/>
      <c r="D145" s="7"/>
      <c r="E145" s="24"/>
      <c r="F145" s="25"/>
    </row>
    <row r="146" spans="1:6">
      <c r="A146" s="5"/>
      <c r="B146" s="28" t="s">
        <v>419</v>
      </c>
      <c r="C146" s="24"/>
      <c r="D146" s="32" t="s">
        <v>81</v>
      </c>
      <c r="E146" s="24">
        <v>1275</v>
      </c>
      <c r="F146" s="79"/>
    </row>
    <row r="147" spans="1:6" ht="37">
      <c r="A147" s="5"/>
      <c r="B147" s="28" t="s">
        <v>444</v>
      </c>
      <c r="C147" s="24"/>
      <c r="D147" s="32" t="s">
        <v>83</v>
      </c>
      <c r="E147" s="24">
        <v>500</v>
      </c>
      <c r="F147" s="79"/>
    </row>
    <row r="148" spans="1:6" ht="129.5">
      <c r="A148" s="49" t="s">
        <v>87</v>
      </c>
      <c r="B148" s="28" t="s">
        <v>445</v>
      </c>
      <c r="C148" s="32"/>
      <c r="D148" s="32" t="s">
        <v>81</v>
      </c>
      <c r="E148" s="24">
        <v>3550</v>
      </c>
      <c r="F148" s="74">
        <f t="shared" ref="F148" si="16">E148*C148</f>
        <v>0</v>
      </c>
    </row>
    <row r="149" spans="1:6" ht="111">
      <c r="A149" s="5" t="s">
        <v>90</v>
      </c>
      <c r="B149" s="23" t="s">
        <v>446</v>
      </c>
      <c r="C149" s="24"/>
      <c r="D149" s="32" t="s">
        <v>81</v>
      </c>
      <c r="E149" s="24">
        <v>3500</v>
      </c>
      <c r="F149" s="74">
        <f>E149*C149</f>
        <v>0</v>
      </c>
    </row>
    <row r="150" spans="1:6" ht="111">
      <c r="A150" s="5" t="s">
        <v>230</v>
      </c>
      <c r="B150" s="23" t="s">
        <v>155</v>
      </c>
      <c r="C150" s="24"/>
      <c r="D150" s="32" t="s">
        <v>81</v>
      </c>
      <c r="E150" s="24">
        <v>2750</v>
      </c>
      <c r="F150" s="79"/>
    </row>
    <row r="151" spans="1:6" ht="129.5">
      <c r="A151" s="5" t="s">
        <v>231</v>
      </c>
      <c r="B151" s="23" t="s">
        <v>110</v>
      </c>
      <c r="C151" s="24"/>
      <c r="D151" s="32" t="s">
        <v>81</v>
      </c>
      <c r="E151" s="24">
        <v>2750</v>
      </c>
      <c r="F151" s="79"/>
    </row>
    <row r="152" spans="1:6" ht="92.5">
      <c r="A152" s="5" t="s">
        <v>154</v>
      </c>
      <c r="B152" s="23" t="s">
        <v>223</v>
      </c>
      <c r="C152" s="24"/>
      <c r="D152" s="32" t="s">
        <v>81</v>
      </c>
      <c r="E152" s="24">
        <v>1250</v>
      </c>
      <c r="F152" s="79"/>
    </row>
    <row r="153" spans="1:6" ht="315" hidden="1" customHeight="1">
      <c r="A153" s="5" t="s">
        <v>252</v>
      </c>
      <c r="B153" s="38" t="s">
        <v>278</v>
      </c>
      <c r="C153" s="20"/>
      <c r="D153" s="32" t="s">
        <v>81</v>
      </c>
      <c r="E153" s="24"/>
      <c r="F153" s="79"/>
    </row>
    <row r="154" spans="1:6" ht="111">
      <c r="A154" s="5" t="s">
        <v>252</v>
      </c>
      <c r="B154" s="23" t="s">
        <v>257</v>
      </c>
      <c r="C154" s="24"/>
      <c r="D154" s="32" t="s">
        <v>81</v>
      </c>
      <c r="E154" s="24">
        <v>1250</v>
      </c>
      <c r="F154" s="79"/>
    </row>
    <row r="155" spans="1:6" ht="129.5">
      <c r="A155" s="5" t="s">
        <v>388</v>
      </c>
      <c r="B155" s="23" t="s">
        <v>387</v>
      </c>
      <c r="C155" s="24"/>
      <c r="D155" s="32" t="s">
        <v>81</v>
      </c>
      <c r="E155" s="24">
        <v>3750</v>
      </c>
      <c r="F155" s="79"/>
    </row>
    <row r="156" spans="1:6" ht="351" customHeight="1">
      <c r="A156" s="5" t="s">
        <v>511</v>
      </c>
      <c r="B156" s="23" t="s">
        <v>603</v>
      </c>
      <c r="C156" s="24"/>
      <c r="D156" s="32" t="s">
        <v>81</v>
      </c>
      <c r="E156" s="24">
        <v>810</v>
      </c>
      <c r="F156" s="74">
        <f t="shared" ref="F156" si="17">E156*C156</f>
        <v>0</v>
      </c>
    </row>
    <row r="157" spans="1:6">
      <c r="A157" s="67"/>
      <c r="B157" s="22" t="s">
        <v>91</v>
      </c>
      <c r="C157" s="3"/>
      <c r="D157" s="4"/>
      <c r="E157" s="4"/>
      <c r="F157" s="80">
        <f>SUM(F122:F156)</f>
        <v>47500</v>
      </c>
    </row>
    <row r="158" spans="1:6" ht="17.5" customHeight="1">
      <c r="A158" s="67"/>
      <c r="B158" s="36" t="s">
        <v>102</v>
      </c>
      <c r="C158" s="55"/>
      <c r="D158" s="4"/>
      <c r="E158" s="4"/>
      <c r="F158" s="73"/>
    </row>
    <row r="159" spans="1:6" ht="166.5">
      <c r="A159" s="49" t="s">
        <v>92</v>
      </c>
      <c r="B159" s="28" t="s">
        <v>488</v>
      </c>
      <c r="C159" s="49"/>
      <c r="D159" s="8"/>
      <c r="E159" s="24"/>
      <c r="F159" s="24"/>
    </row>
    <row r="160" spans="1:6" ht="38.25" customHeight="1">
      <c r="A160" s="49"/>
      <c r="B160" s="28" t="s">
        <v>93</v>
      </c>
      <c r="C160" s="24"/>
      <c r="D160" s="32" t="s">
        <v>81</v>
      </c>
      <c r="E160" s="24">
        <v>395</v>
      </c>
      <c r="F160" s="74">
        <f t="shared" ref="F160:F162" si="18">E160*C160</f>
        <v>0</v>
      </c>
    </row>
    <row r="161" spans="1:6">
      <c r="A161" s="49"/>
      <c r="B161" s="28" t="s">
        <v>94</v>
      </c>
      <c r="C161" s="24">
        <v>55</v>
      </c>
      <c r="D161" s="32" t="s">
        <v>81</v>
      </c>
      <c r="E161" s="24">
        <v>425</v>
      </c>
      <c r="F161" s="74">
        <f t="shared" si="18"/>
        <v>23375</v>
      </c>
    </row>
    <row r="162" spans="1:6" ht="213.75" customHeight="1">
      <c r="A162" s="49" t="s">
        <v>95</v>
      </c>
      <c r="B162" s="28" t="s">
        <v>489</v>
      </c>
      <c r="C162" s="20"/>
      <c r="D162" s="32" t="s">
        <v>81</v>
      </c>
      <c r="E162" s="24">
        <v>485</v>
      </c>
      <c r="F162" s="74">
        <f t="shared" si="18"/>
        <v>0</v>
      </c>
    </row>
    <row r="163" spans="1:6" ht="132" customHeight="1">
      <c r="A163" s="5" t="s">
        <v>265</v>
      </c>
      <c r="B163" s="28" t="s">
        <v>447</v>
      </c>
      <c r="C163" s="24"/>
      <c r="D163" s="32" t="s">
        <v>81</v>
      </c>
      <c r="E163" s="24">
        <v>575</v>
      </c>
      <c r="F163" s="81"/>
    </row>
    <row r="164" spans="1:6" ht="261" customHeight="1">
      <c r="A164" s="5" t="s">
        <v>96</v>
      </c>
      <c r="B164" s="17" t="s">
        <v>448</v>
      </c>
      <c r="C164" s="24">
        <v>59</v>
      </c>
      <c r="D164" s="32" t="s">
        <v>81</v>
      </c>
      <c r="E164" s="24">
        <v>575</v>
      </c>
      <c r="F164" s="74">
        <f t="shared" ref="F164:F166" si="19">E164*C164</f>
        <v>33925</v>
      </c>
    </row>
    <row r="165" spans="1:6" ht="141.75" customHeight="1">
      <c r="A165" s="49" t="s">
        <v>159</v>
      </c>
      <c r="B165" s="28" t="s">
        <v>267</v>
      </c>
      <c r="C165" s="24">
        <v>245</v>
      </c>
      <c r="D165" s="32" t="s">
        <v>81</v>
      </c>
      <c r="E165" s="24">
        <v>525</v>
      </c>
      <c r="F165" s="74">
        <f t="shared" si="19"/>
        <v>128625</v>
      </c>
    </row>
    <row r="166" spans="1:6" ht="129.5">
      <c r="A166" s="49" t="s">
        <v>23</v>
      </c>
      <c r="B166" s="23" t="s">
        <v>420</v>
      </c>
      <c r="C166" s="24">
        <f>C164</f>
        <v>59</v>
      </c>
      <c r="D166" s="26" t="s">
        <v>81</v>
      </c>
      <c r="E166" s="24">
        <v>160</v>
      </c>
      <c r="F166" s="74">
        <f t="shared" si="19"/>
        <v>9440</v>
      </c>
    </row>
    <row r="167" spans="1:6" ht="170.25" customHeight="1">
      <c r="A167" s="5" t="s">
        <v>98</v>
      </c>
      <c r="B167" s="23" t="s">
        <v>248</v>
      </c>
      <c r="C167" s="24"/>
      <c r="D167" s="26" t="s">
        <v>81</v>
      </c>
      <c r="E167" s="24">
        <v>375</v>
      </c>
      <c r="F167" s="79"/>
    </row>
    <row r="168" spans="1:6" ht="159.75" customHeight="1">
      <c r="A168" s="5" t="s">
        <v>99</v>
      </c>
      <c r="B168" s="23" t="s">
        <v>247</v>
      </c>
      <c r="C168" s="24"/>
      <c r="D168" s="26" t="s">
        <v>81</v>
      </c>
      <c r="E168" s="24">
        <v>375</v>
      </c>
      <c r="F168" s="79"/>
    </row>
    <row r="169" spans="1:6" ht="113.25" customHeight="1">
      <c r="A169" s="5" t="s">
        <v>100</v>
      </c>
      <c r="B169" s="23" t="s">
        <v>421</v>
      </c>
      <c r="C169" s="24"/>
      <c r="D169" s="26" t="s">
        <v>81</v>
      </c>
      <c r="E169" s="24">
        <v>265</v>
      </c>
      <c r="F169" s="79"/>
    </row>
    <row r="170" spans="1:6" ht="115.5" customHeight="1">
      <c r="A170" s="5" t="s">
        <v>41</v>
      </c>
      <c r="B170" s="23" t="s">
        <v>246</v>
      </c>
      <c r="C170" s="20">
        <f>C161</f>
        <v>55</v>
      </c>
      <c r="D170" s="26" t="s">
        <v>81</v>
      </c>
      <c r="E170" s="24">
        <v>240</v>
      </c>
      <c r="F170" s="74">
        <f t="shared" ref="F170" si="20">E170*C170</f>
        <v>13200</v>
      </c>
    </row>
    <row r="171" spans="1:6" ht="92.5">
      <c r="A171" s="5" t="s">
        <v>188</v>
      </c>
      <c r="B171" s="23" t="s">
        <v>245</v>
      </c>
      <c r="C171" s="24"/>
      <c r="D171" s="26" t="s">
        <v>81</v>
      </c>
      <c r="E171" s="20">
        <v>230</v>
      </c>
      <c r="F171" s="79"/>
    </row>
    <row r="172" spans="1:6" ht="92.5">
      <c r="A172" s="5" t="s">
        <v>386</v>
      </c>
      <c r="B172" s="23" t="s">
        <v>385</v>
      </c>
      <c r="C172" s="24"/>
      <c r="D172" s="26" t="s">
        <v>289</v>
      </c>
      <c r="E172" s="20">
        <v>125</v>
      </c>
      <c r="F172" s="79">
        <f>C172*E172</f>
        <v>0</v>
      </c>
    </row>
    <row r="173" spans="1:6">
      <c r="A173" s="67"/>
      <c r="B173" s="22" t="s">
        <v>101</v>
      </c>
      <c r="C173" s="3"/>
      <c r="D173" s="4"/>
      <c r="E173" s="4"/>
      <c r="F173" s="80">
        <f>SUM(F159:F172)</f>
        <v>208565</v>
      </c>
    </row>
    <row r="174" spans="1:6">
      <c r="A174" s="67"/>
      <c r="B174" s="36" t="s">
        <v>103</v>
      </c>
      <c r="C174" s="55"/>
      <c r="D174" s="4"/>
      <c r="E174" s="4"/>
      <c r="F174" s="73"/>
    </row>
    <row r="175" spans="1:6" ht="138.75" customHeight="1">
      <c r="A175" s="5" t="s">
        <v>160</v>
      </c>
      <c r="B175" s="23" t="s">
        <v>238</v>
      </c>
      <c r="C175" s="5"/>
      <c r="D175" s="7"/>
      <c r="E175" s="32"/>
      <c r="F175" s="25"/>
    </row>
    <row r="176" spans="1:6">
      <c r="A176" s="5"/>
      <c r="B176" s="23" t="s">
        <v>105</v>
      </c>
      <c r="C176" s="24"/>
      <c r="D176" s="26" t="s">
        <v>81</v>
      </c>
      <c r="E176" s="24">
        <v>16500</v>
      </c>
      <c r="F176" s="74">
        <f t="shared" ref="F176" si="21">E176*C176</f>
        <v>0</v>
      </c>
    </row>
    <row r="177" spans="1:6">
      <c r="A177" s="5"/>
      <c r="B177" s="23" t="s">
        <v>106</v>
      </c>
      <c r="C177" s="24"/>
      <c r="D177" s="26" t="s">
        <v>81</v>
      </c>
      <c r="E177" s="24"/>
      <c r="F177" s="79"/>
    </row>
    <row r="178" spans="1:6" ht="160.5" customHeight="1">
      <c r="A178" s="5" t="s">
        <v>104</v>
      </c>
      <c r="B178" s="23" t="s">
        <v>490</v>
      </c>
      <c r="C178" s="24"/>
      <c r="D178" s="26" t="s">
        <v>81</v>
      </c>
      <c r="E178" s="24"/>
      <c r="F178" s="79"/>
    </row>
    <row r="179" spans="1:6" ht="185">
      <c r="A179" s="5" t="s">
        <v>107</v>
      </c>
      <c r="B179" s="23" t="s">
        <v>491</v>
      </c>
      <c r="C179" s="5"/>
      <c r="D179" s="7"/>
      <c r="E179" s="24"/>
      <c r="F179" s="25"/>
    </row>
    <row r="180" spans="1:6">
      <c r="A180" s="5"/>
      <c r="B180" s="23" t="s">
        <v>112</v>
      </c>
      <c r="C180" s="5"/>
      <c r="D180" s="7"/>
      <c r="E180" s="24"/>
      <c r="F180" s="25"/>
    </row>
    <row r="181" spans="1:6">
      <c r="A181" s="5"/>
      <c r="B181" s="23" t="s">
        <v>113</v>
      </c>
      <c r="C181" s="5"/>
      <c r="D181" s="7"/>
      <c r="E181" s="24"/>
      <c r="F181" s="25"/>
    </row>
    <row r="182" spans="1:6">
      <c r="A182" s="5"/>
      <c r="B182" s="23" t="s">
        <v>114</v>
      </c>
      <c r="C182" s="5"/>
      <c r="D182" s="7"/>
      <c r="E182" s="24"/>
      <c r="F182" s="25"/>
    </row>
    <row r="183" spans="1:6">
      <c r="A183" s="5"/>
      <c r="B183" s="23" t="s">
        <v>115</v>
      </c>
      <c r="C183" s="5"/>
      <c r="D183" s="7"/>
      <c r="E183" s="24"/>
      <c r="F183" s="25"/>
    </row>
    <row r="184" spans="1:6">
      <c r="A184" s="5"/>
      <c r="B184" s="23" t="s">
        <v>116</v>
      </c>
      <c r="C184" s="5"/>
      <c r="D184" s="7"/>
      <c r="E184" s="24"/>
      <c r="F184" s="25"/>
    </row>
    <row r="185" spans="1:6">
      <c r="A185" s="5"/>
      <c r="B185" s="23" t="s">
        <v>117</v>
      </c>
      <c r="C185" s="5"/>
      <c r="D185" s="7"/>
      <c r="E185" s="24"/>
      <c r="F185" s="25"/>
    </row>
    <row r="186" spans="1:6">
      <c r="A186" s="5"/>
      <c r="B186" s="23" t="s">
        <v>118</v>
      </c>
      <c r="C186" s="5"/>
      <c r="D186" s="7"/>
      <c r="E186" s="24"/>
      <c r="F186" s="25"/>
    </row>
    <row r="187" spans="1:6">
      <c r="A187" s="5"/>
      <c r="B187" s="23" t="s">
        <v>119</v>
      </c>
      <c r="C187" s="5"/>
      <c r="D187" s="7"/>
      <c r="E187" s="24"/>
      <c r="F187" s="25"/>
    </row>
    <row r="188" spans="1:6">
      <c r="A188" s="5"/>
      <c r="B188" s="23" t="s">
        <v>120</v>
      </c>
      <c r="C188" s="5"/>
      <c r="D188" s="7"/>
      <c r="E188" s="24"/>
      <c r="F188" s="25"/>
    </row>
    <row r="189" spans="1:6">
      <c r="A189" s="5"/>
      <c r="B189" s="23" t="s">
        <v>121</v>
      </c>
      <c r="C189" s="5"/>
      <c r="D189" s="7"/>
      <c r="E189" s="24"/>
      <c r="F189" s="25"/>
    </row>
    <row r="190" spans="1:6">
      <c r="A190" s="5"/>
      <c r="B190" s="23" t="s">
        <v>122</v>
      </c>
      <c r="C190" s="5"/>
      <c r="D190" s="7"/>
      <c r="E190" s="24"/>
      <c r="F190" s="25"/>
    </row>
    <row r="191" spans="1:6">
      <c r="A191" s="5"/>
      <c r="B191" s="23" t="s">
        <v>123</v>
      </c>
      <c r="C191" s="5"/>
      <c r="D191" s="7"/>
      <c r="E191" s="24"/>
      <c r="F191" s="25"/>
    </row>
    <row r="192" spans="1:6">
      <c r="A192" s="5"/>
      <c r="B192" s="23" t="s">
        <v>124</v>
      </c>
      <c r="C192" s="5"/>
      <c r="D192" s="7"/>
      <c r="E192" s="24"/>
      <c r="F192" s="25"/>
    </row>
    <row r="193" spans="1:6">
      <c r="A193" s="5"/>
      <c r="B193" s="23" t="s">
        <v>125</v>
      </c>
      <c r="C193" s="5"/>
      <c r="D193" s="7"/>
      <c r="E193" s="24"/>
      <c r="F193" s="25"/>
    </row>
    <row r="194" spans="1:6">
      <c r="A194" s="5"/>
      <c r="B194" s="23" t="s">
        <v>126</v>
      </c>
      <c r="C194" s="24">
        <v>4</v>
      </c>
      <c r="D194" s="26" t="s">
        <v>81</v>
      </c>
      <c r="E194" s="24">
        <v>5250</v>
      </c>
      <c r="F194" s="74">
        <f t="shared" ref="F194" si="22">E194*C194</f>
        <v>21000</v>
      </c>
    </row>
    <row r="195" spans="1:6">
      <c r="A195" s="5"/>
      <c r="B195" s="23" t="s">
        <v>127</v>
      </c>
      <c r="C195" s="24"/>
      <c r="D195" s="26" t="s">
        <v>81</v>
      </c>
      <c r="E195" s="24"/>
      <c r="F195" s="79"/>
    </row>
    <row r="196" spans="1:6">
      <c r="A196" s="5"/>
      <c r="B196" s="23" t="s">
        <v>422</v>
      </c>
      <c r="C196" s="24"/>
      <c r="D196" s="26" t="s">
        <v>352</v>
      </c>
      <c r="E196" s="88"/>
      <c r="F196" s="74">
        <f>E196*C196</f>
        <v>0</v>
      </c>
    </row>
    <row r="197" spans="1:6">
      <c r="A197" s="5"/>
      <c r="B197" s="23" t="s">
        <v>423</v>
      </c>
      <c r="C197" s="24"/>
      <c r="D197" s="26" t="s">
        <v>352</v>
      </c>
      <c r="E197" s="88"/>
      <c r="F197" s="74">
        <f>E197*C197</f>
        <v>0</v>
      </c>
    </row>
    <row r="198" spans="1:6" ht="259">
      <c r="A198" s="5" t="s">
        <v>109</v>
      </c>
      <c r="B198" s="23" t="s">
        <v>161</v>
      </c>
      <c r="C198" s="5"/>
      <c r="D198" s="12"/>
      <c r="E198" s="24"/>
      <c r="F198" s="25" t="s">
        <v>509</v>
      </c>
    </row>
    <row r="199" spans="1:6">
      <c r="A199" s="5"/>
      <c r="B199" s="23" t="s">
        <v>129</v>
      </c>
      <c r="C199" s="20"/>
      <c r="D199" s="26" t="s">
        <v>81</v>
      </c>
      <c r="E199" s="24">
        <v>4450</v>
      </c>
      <c r="F199" s="74">
        <f t="shared" ref="F199" si="23">E199*C199</f>
        <v>0</v>
      </c>
    </row>
    <row r="200" spans="1:6">
      <c r="A200" s="5"/>
      <c r="B200" s="23" t="s">
        <v>130</v>
      </c>
      <c r="C200" s="24"/>
      <c r="D200" s="26" t="s">
        <v>81</v>
      </c>
      <c r="E200" s="24">
        <v>4750</v>
      </c>
      <c r="F200" s="79"/>
    </row>
    <row r="201" spans="1:6" ht="185">
      <c r="A201" s="5" t="s">
        <v>128</v>
      </c>
      <c r="B201" s="23" t="s">
        <v>492</v>
      </c>
      <c r="C201" s="5"/>
      <c r="D201" s="7"/>
      <c r="E201" s="24"/>
      <c r="F201" s="25"/>
    </row>
    <row r="202" spans="1:6">
      <c r="A202" s="5"/>
      <c r="B202" s="23" t="s">
        <v>285</v>
      </c>
      <c r="C202" s="24"/>
      <c r="D202" s="26" t="s">
        <v>81</v>
      </c>
      <c r="E202" s="24">
        <v>3750</v>
      </c>
      <c r="F202" s="79"/>
    </row>
    <row r="203" spans="1:6">
      <c r="A203" s="5"/>
      <c r="B203" s="23" t="s">
        <v>132</v>
      </c>
      <c r="C203" s="24"/>
      <c r="D203" s="26" t="s">
        <v>81</v>
      </c>
      <c r="E203" s="24">
        <v>3750</v>
      </c>
      <c r="F203" s="79"/>
    </row>
    <row r="204" spans="1:6" ht="288.75" customHeight="1">
      <c r="A204" s="5" t="s">
        <v>131</v>
      </c>
      <c r="B204" s="23" t="s">
        <v>512</v>
      </c>
      <c r="C204" s="5"/>
      <c r="D204" s="7"/>
      <c r="E204" s="24"/>
      <c r="F204" s="25"/>
    </row>
    <row r="205" spans="1:6">
      <c r="A205" s="5"/>
      <c r="B205" s="23" t="s">
        <v>533</v>
      </c>
      <c r="C205" s="24">
        <v>12</v>
      </c>
      <c r="D205" s="26" t="s">
        <v>86</v>
      </c>
      <c r="E205" s="88">
        <v>3850</v>
      </c>
      <c r="F205" s="79">
        <f>C205*E205</f>
        <v>46200</v>
      </c>
    </row>
    <row r="206" spans="1:6">
      <c r="A206" s="5"/>
      <c r="B206" s="23" t="s">
        <v>134</v>
      </c>
      <c r="C206" s="5"/>
      <c r="D206" s="7"/>
      <c r="E206" s="24"/>
      <c r="F206" s="25"/>
    </row>
    <row r="207" spans="1:6">
      <c r="A207" s="5"/>
      <c r="B207" s="23" t="s">
        <v>142</v>
      </c>
      <c r="C207" s="5"/>
      <c r="D207" s="7"/>
      <c r="E207" s="24"/>
      <c r="F207" s="25"/>
    </row>
    <row r="208" spans="1:6">
      <c r="A208" s="5"/>
      <c r="B208" s="23" t="s">
        <v>143</v>
      </c>
      <c r="C208" s="5"/>
      <c r="D208" s="7"/>
      <c r="E208" s="24"/>
      <c r="F208" s="25"/>
    </row>
    <row r="209" spans="1:6">
      <c r="A209" s="5"/>
      <c r="B209" s="23" t="s">
        <v>113</v>
      </c>
      <c r="C209" s="5"/>
      <c r="D209" s="7"/>
      <c r="E209" s="24"/>
      <c r="F209" s="25"/>
    </row>
    <row r="210" spans="1:6">
      <c r="A210" s="5"/>
      <c r="B210" s="23" t="s">
        <v>135</v>
      </c>
      <c r="C210" s="5"/>
      <c r="D210" s="7"/>
      <c r="E210" s="24"/>
      <c r="F210" s="25"/>
    </row>
    <row r="211" spans="1:6">
      <c r="A211" s="5"/>
      <c r="B211" s="23" t="s">
        <v>144</v>
      </c>
      <c r="C211" s="5"/>
      <c r="D211" s="7"/>
      <c r="E211" s="24"/>
      <c r="F211" s="25"/>
    </row>
    <row r="212" spans="1:6">
      <c r="A212" s="5"/>
      <c r="B212" s="23" t="s">
        <v>145</v>
      </c>
      <c r="C212" s="5"/>
      <c r="D212" s="7"/>
      <c r="E212" s="24"/>
      <c r="F212" s="25"/>
    </row>
    <row r="213" spans="1:6">
      <c r="A213" s="5"/>
      <c r="B213" s="23" t="s">
        <v>136</v>
      </c>
      <c r="C213" s="5"/>
      <c r="D213" s="7"/>
      <c r="E213" s="24"/>
      <c r="F213" s="25"/>
    </row>
    <row r="214" spans="1:6">
      <c r="A214" s="5"/>
      <c r="B214" s="23" t="s">
        <v>146</v>
      </c>
      <c r="C214" s="5"/>
      <c r="D214" s="7"/>
      <c r="E214" s="24"/>
      <c r="F214" s="25"/>
    </row>
    <row r="215" spans="1:6">
      <c r="A215" s="5"/>
      <c r="B215" s="23" t="s">
        <v>147</v>
      </c>
      <c r="C215" s="5"/>
      <c r="D215" s="7"/>
      <c r="E215" s="24"/>
      <c r="F215" s="25"/>
    </row>
    <row r="216" spans="1:6">
      <c r="A216" s="5"/>
      <c r="B216" s="23" t="s">
        <v>115</v>
      </c>
      <c r="C216" s="5"/>
      <c r="D216" s="7"/>
      <c r="E216" s="24"/>
      <c r="F216" s="25"/>
    </row>
    <row r="217" spans="1:6">
      <c r="A217" s="5"/>
      <c r="B217" s="23" t="s">
        <v>137</v>
      </c>
      <c r="C217" s="5"/>
      <c r="D217" s="7"/>
      <c r="E217" s="24"/>
      <c r="F217" s="25"/>
    </row>
    <row r="218" spans="1:6">
      <c r="A218" s="5"/>
      <c r="B218" s="23" t="s">
        <v>138</v>
      </c>
      <c r="C218" s="5"/>
      <c r="D218" s="7"/>
      <c r="E218" s="24"/>
      <c r="F218" s="25"/>
    </row>
    <row r="219" spans="1:6">
      <c r="A219" s="5"/>
      <c r="B219" s="23" t="s">
        <v>139</v>
      </c>
      <c r="C219" s="5"/>
      <c r="D219" s="7"/>
      <c r="E219" s="24"/>
      <c r="F219" s="25"/>
    </row>
    <row r="220" spans="1:6">
      <c r="A220" s="5"/>
      <c r="B220" s="23" t="s">
        <v>140</v>
      </c>
      <c r="C220" s="5"/>
      <c r="D220" s="7"/>
      <c r="E220" s="24"/>
      <c r="F220" s="25"/>
    </row>
    <row r="221" spans="1:6">
      <c r="A221" s="5"/>
      <c r="B221" s="23" t="s">
        <v>141</v>
      </c>
      <c r="C221" s="5"/>
      <c r="D221" s="7"/>
      <c r="E221" s="24"/>
      <c r="F221" s="25"/>
    </row>
    <row r="222" spans="1:6" ht="142.5" customHeight="1">
      <c r="A222" s="5" t="s">
        <v>133</v>
      </c>
      <c r="B222" s="23" t="s">
        <v>493</v>
      </c>
      <c r="C222" s="24"/>
      <c r="D222" s="26" t="s">
        <v>81</v>
      </c>
      <c r="E222" s="24">
        <v>4250</v>
      </c>
      <c r="F222" s="74">
        <f>E222*C222</f>
        <v>0</v>
      </c>
    </row>
    <row r="223" spans="1:6" ht="37">
      <c r="A223" s="5"/>
      <c r="B223" s="23" t="s">
        <v>149</v>
      </c>
      <c r="C223" s="5"/>
      <c r="D223" s="7"/>
      <c r="E223" s="24"/>
      <c r="F223" s="25"/>
    </row>
    <row r="224" spans="1:6">
      <c r="A224" s="5"/>
      <c r="B224" s="23" t="s">
        <v>150</v>
      </c>
      <c r="C224" s="5"/>
      <c r="D224" s="7"/>
      <c r="E224" s="24"/>
      <c r="F224" s="25"/>
    </row>
    <row r="225" spans="1:6">
      <c r="A225" s="5"/>
      <c r="B225" s="23" t="s">
        <v>117</v>
      </c>
      <c r="C225" s="5"/>
      <c r="D225" s="7"/>
      <c r="E225" s="24"/>
      <c r="F225" s="25"/>
    </row>
    <row r="226" spans="1:6" ht="18.75" customHeight="1">
      <c r="A226" s="5"/>
      <c r="B226" s="23" t="s">
        <v>151</v>
      </c>
      <c r="C226" s="5"/>
      <c r="D226" s="7"/>
      <c r="E226" s="24"/>
      <c r="F226" s="25"/>
    </row>
    <row r="227" spans="1:6">
      <c r="A227" s="5"/>
      <c r="B227" s="23" t="s">
        <v>170</v>
      </c>
      <c r="C227" s="5"/>
      <c r="D227" s="7"/>
      <c r="E227" s="24"/>
      <c r="F227" s="25"/>
    </row>
    <row r="228" spans="1:6">
      <c r="A228" s="5"/>
      <c r="B228" s="23" t="s">
        <v>124</v>
      </c>
      <c r="C228" s="5"/>
      <c r="D228" s="7"/>
      <c r="E228" s="24"/>
      <c r="F228" s="25"/>
    </row>
    <row r="229" spans="1:6">
      <c r="A229" s="5"/>
      <c r="B229" s="23" t="s">
        <v>171</v>
      </c>
      <c r="C229" s="5"/>
      <c r="D229" s="7"/>
      <c r="E229" s="24"/>
      <c r="F229" s="25"/>
    </row>
    <row r="230" spans="1:6" ht="184.5" customHeight="1">
      <c r="A230" s="5" t="s">
        <v>148</v>
      </c>
      <c r="B230" s="23" t="s">
        <v>172</v>
      </c>
      <c r="C230" s="24"/>
      <c r="D230" s="26" t="s">
        <v>81</v>
      </c>
      <c r="E230" s="24">
        <v>4750</v>
      </c>
      <c r="F230" s="74">
        <f t="shared" ref="F230" si="24">E230*C230</f>
        <v>0</v>
      </c>
    </row>
    <row r="231" spans="1:6">
      <c r="A231" s="5"/>
      <c r="B231" s="23" t="s">
        <v>173</v>
      </c>
      <c r="C231" s="5"/>
      <c r="D231" s="7"/>
      <c r="E231" s="24"/>
      <c r="F231" s="25"/>
    </row>
    <row r="232" spans="1:6">
      <c r="A232" s="5"/>
      <c r="B232" s="23" t="s">
        <v>174</v>
      </c>
      <c r="C232" s="5"/>
      <c r="D232" s="7"/>
      <c r="E232" s="24"/>
      <c r="F232" s="25"/>
    </row>
    <row r="233" spans="1:6">
      <c r="A233" s="5"/>
      <c r="B233" s="23" t="s">
        <v>117</v>
      </c>
      <c r="C233" s="5"/>
      <c r="D233" s="7"/>
      <c r="E233" s="24"/>
      <c r="F233" s="25"/>
    </row>
    <row r="234" spans="1:6">
      <c r="A234" s="5"/>
      <c r="B234" s="23" t="s">
        <v>175</v>
      </c>
      <c r="C234" s="5"/>
      <c r="D234" s="7"/>
      <c r="E234" s="24"/>
      <c r="F234" s="25"/>
    </row>
    <row r="235" spans="1:6">
      <c r="A235" s="5"/>
      <c r="B235" s="23" t="s">
        <v>176</v>
      </c>
      <c r="C235" s="5"/>
      <c r="D235" s="7"/>
      <c r="E235" s="24"/>
      <c r="F235" s="25"/>
    </row>
    <row r="236" spans="1:6">
      <c r="A236" s="5"/>
      <c r="B236" s="23" t="s">
        <v>125</v>
      </c>
      <c r="C236" s="5"/>
      <c r="D236" s="7"/>
      <c r="E236" s="24"/>
      <c r="F236" s="25"/>
    </row>
    <row r="237" spans="1:6" ht="112.5" customHeight="1">
      <c r="A237" s="5" t="s">
        <v>449</v>
      </c>
      <c r="B237" s="23" t="s">
        <v>178</v>
      </c>
      <c r="C237" s="24"/>
      <c r="D237" s="26" t="s">
        <v>81</v>
      </c>
      <c r="E237" s="24">
        <v>3500</v>
      </c>
      <c r="F237" s="79"/>
    </row>
    <row r="238" spans="1:6">
      <c r="A238" s="5"/>
      <c r="B238" s="23" t="s">
        <v>179</v>
      </c>
      <c r="C238" s="5"/>
      <c r="D238" s="7"/>
      <c r="E238" s="24"/>
      <c r="F238" s="25"/>
    </row>
    <row r="239" spans="1:6">
      <c r="A239" s="5"/>
      <c r="B239" s="23" t="s">
        <v>180</v>
      </c>
      <c r="C239" s="5"/>
      <c r="D239" s="7"/>
      <c r="E239" s="24"/>
      <c r="F239" s="25"/>
    </row>
    <row r="240" spans="1:6">
      <c r="A240" s="5"/>
      <c r="B240" s="23" t="s">
        <v>181</v>
      </c>
      <c r="C240" s="5"/>
      <c r="D240" s="7"/>
      <c r="E240" s="24"/>
      <c r="F240" s="25"/>
    </row>
    <row r="241" spans="1:7">
      <c r="A241" s="5"/>
      <c r="B241" s="23" t="s">
        <v>182</v>
      </c>
      <c r="C241" s="5"/>
      <c r="D241" s="7"/>
      <c r="E241" s="24"/>
      <c r="F241" s="25"/>
    </row>
    <row r="242" spans="1:7">
      <c r="A242" s="5"/>
      <c r="B242" s="23" t="s">
        <v>185</v>
      </c>
      <c r="C242" s="5"/>
      <c r="D242" s="7"/>
      <c r="E242" s="24"/>
      <c r="F242" s="25"/>
    </row>
    <row r="243" spans="1:7" ht="37">
      <c r="A243" s="5"/>
      <c r="B243" s="23" t="s">
        <v>186</v>
      </c>
      <c r="C243" s="5"/>
      <c r="D243" s="7"/>
      <c r="E243" s="24"/>
      <c r="F243" s="25"/>
    </row>
    <row r="244" spans="1:7" ht="129.5">
      <c r="A244" s="5" t="s">
        <v>177</v>
      </c>
      <c r="B244" s="23" t="s">
        <v>457</v>
      </c>
      <c r="C244" s="24">
        <v>18</v>
      </c>
      <c r="D244" s="26" t="s">
        <v>81</v>
      </c>
      <c r="E244" s="24">
        <v>3750</v>
      </c>
      <c r="F244" s="74">
        <f>E244*C244</f>
        <v>67500</v>
      </c>
    </row>
    <row r="245" spans="1:7">
      <c r="A245" s="5" t="s">
        <v>187</v>
      </c>
      <c r="B245" s="23" t="s">
        <v>163</v>
      </c>
      <c r="C245" s="24"/>
      <c r="D245" s="26" t="s">
        <v>71</v>
      </c>
      <c r="E245" s="24">
        <v>14500</v>
      </c>
      <c r="F245" s="74">
        <f t="shared" ref="F245:F246" si="25">E245*C245</f>
        <v>0</v>
      </c>
      <c r="G245" s="1" t="s">
        <v>615</v>
      </c>
    </row>
    <row r="246" spans="1:7">
      <c r="A246" s="5" t="s">
        <v>558</v>
      </c>
      <c r="B246" s="23" t="s">
        <v>559</v>
      </c>
      <c r="C246" s="24"/>
      <c r="D246" s="26" t="s">
        <v>71</v>
      </c>
      <c r="E246" s="24">
        <v>42500</v>
      </c>
      <c r="F246" s="74">
        <f t="shared" si="25"/>
        <v>0</v>
      </c>
    </row>
    <row r="247" spans="1:7" ht="314.25" customHeight="1">
      <c r="A247" s="5" t="s">
        <v>162</v>
      </c>
      <c r="B247" s="28" t="s">
        <v>426</v>
      </c>
      <c r="C247" s="20"/>
      <c r="D247" s="26" t="s">
        <v>81</v>
      </c>
      <c r="E247" s="24">
        <v>3750</v>
      </c>
      <c r="F247" s="74"/>
    </row>
    <row r="248" spans="1:7" ht="129.5">
      <c r="A248" s="5"/>
      <c r="B248" s="28" t="s">
        <v>328</v>
      </c>
      <c r="C248" s="49"/>
      <c r="D248" s="26"/>
      <c r="E248" s="24"/>
      <c r="F248" s="79"/>
    </row>
    <row r="249" spans="1:7" ht="37">
      <c r="A249" s="5" t="s">
        <v>256</v>
      </c>
      <c r="B249" s="28" t="s">
        <v>330</v>
      </c>
      <c r="C249" s="24"/>
      <c r="D249" s="26" t="s">
        <v>81</v>
      </c>
      <c r="E249" s="24">
        <v>4500</v>
      </c>
      <c r="F249" s="79"/>
    </row>
    <row r="250" spans="1:7" ht="240.5">
      <c r="A250" s="5" t="s">
        <v>327</v>
      </c>
      <c r="B250" s="23" t="s">
        <v>287</v>
      </c>
      <c r="C250" s="24"/>
      <c r="D250" s="26" t="s">
        <v>81</v>
      </c>
      <c r="E250" s="24">
        <v>815</v>
      </c>
      <c r="F250" s="74">
        <f>E250*C250</f>
        <v>0</v>
      </c>
    </row>
    <row r="251" spans="1:7" ht="335.25" customHeight="1">
      <c r="A251" s="5" t="s">
        <v>329</v>
      </c>
      <c r="B251" s="38" t="s">
        <v>508</v>
      </c>
      <c r="C251" s="20"/>
      <c r="D251" s="26" t="s">
        <v>81</v>
      </c>
      <c r="E251" s="24">
        <v>2195</v>
      </c>
      <c r="F251" s="74">
        <f>E251*C251</f>
        <v>0</v>
      </c>
    </row>
    <row r="252" spans="1:7" ht="185">
      <c r="A252" s="5"/>
      <c r="B252" s="38" t="s">
        <v>291</v>
      </c>
      <c r="C252" s="53"/>
      <c r="D252" s="26"/>
      <c r="E252" s="24"/>
      <c r="F252" s="79"/>
    </row>
    <row r="253" spans="1:7" ht="55.5">
      <c r="A253" s="5"/>
      <c r="B253" s="38" t="s">
        <v>290</v>
      </c>
      <c r="C253" s="53"/>
      <c r="D253" s="26"/>
      <c r="E253" s="24"/>
      <c r="F253" s="79"/>
    </row>
    <row r="254" spans="1:7" ht="185">
      <c r="A254" s="5" t="s">
        <v>331</v>
      </c>
      <c r="B254" s="38" t="s">
        <v>494</v>
      </c>
      <c r="C254" s="24"/>
      <c r="D254" s="26" t="s">
        <v>81</v>
      </c>
      <c r="E254" s="24">
        <v>4650</v>
      </c>
      <c r="F254" s="79"/>
    </row>
    <row r="255" spans="1:7">
      <c r="A255" s="67"/>
      <c r="B255" s="22" t="s">
        <v>189</v>
      </c>
      <c r="C255" s="3"/>
      <c r="D255" s="4"/>
      <c r="E255" s="4"/>
      <c r="F255" s="80">
        <f>SUM(F175:F254)</f>
        <v>134700</v>
      </c>
    </row>
    <row r="256" spans="1:7" ht="17.5" customHeight="1">
      <c r="A256" s="67"/>
      <c r="B256" s="36" t="s">
        <v>190</v>
      </c>
      <c r="C256" s="55"/>
      <c r="D256" s="4"/>
      <c r="E256" s="4"/>
      <c r="F256" s="73"/>
    </row>
    <row r="257" spans="1:6" ht="341.25" customHeight="1">
      <c r="A257" s="5" t="s">
        <v>311</v>
      </c>
      <c r="B257" s="23" t="s">
        <v>543</v>
      </c>
      <c r="C257" s="24"/>
      <c r="D257" s="26" t="s">
        <v>191</v>
      </c>
      <c r="E257" s="24">
        <v>115000</v>
      </c>
      <c r="F257" s="74">
        <f t="shared" ref="F257:F261" si="26">E257*C257</f>
        <v>0</v>
      </c>
    </row>
    <row r="258" spans="1:6" ht="165.75" customHeight="1">
      <c r="A258" s="5" t="s">
        <v>323</v>
      </c>
      <c r="B258" s="23" t="s">
        <v>397</v>
      </c>
      <c r="C258" s="24"/>
      <c r="D258" s="26" t="s">
        <v>191</v>
      </c>
      <c r="E258" s="24">
        <v>145000</v>
      </c>
      <c r="F258" s="74">
        <f t="shared" si="26"/>
        <v>0</v>
      </c>
    </row>
    <row r="259" spans="1:6" ht="92.5">
      <c r="A259" s="5" t="s">
        <v>312</v>
      </c>
      <c r="B259" s="23" t="s">
        <v>495</v>
      </c>
      <c r="C259" s="24"/>
      <c r="D259" s="26" t="s">
        <v>191</v>
      </c>
      <c r="E259" s="24">
        <v>15000</v>
      </c>
      <c r="F259" s="74">
        <f t="shared" si="26"/>
        <v>0</v>
      </c>
    </row>
    <row r="260" spans="1:6" ht="92.5">
      <c r="A260" s="5" t="s">
        <v>315</v>
      </c>
      <c r="B260" s="23" t="s">
        <v>324</v>
      </c>
      <c r="C260" s="24"/>
      <c r="D260" s="26" t="s">
        <v>191</v>
      </c>
      <c r="E260" s="24">
        <v>45000</v>
      </c>
      <c r="F260" s="74">
        <f t="shared" si="26"/>
        <v>0</v>
      </c>
    </row>
    <row r="261" spans="1:6" ht="216" customHeight="1">
      <c r="A261" s="5" t="s">
        <v>316</v>
      </c>
      <c r="B261" s="23" t="s">
        <v>193</v>
      </c>
      <c r="C261" s="24"/>
      <c r="D261" s="26" t="s">
        <v>83</v>
      </c>
      <c r="E261" s="24">
        <v>3750</v>
      </c>
      <c r="F261" s="74">
        <f t="shared" si="26"/>
        <v>0</v>
      </c>
    </row>
    <row r="262" spans="1:6" ht="129.5">
      <c r="A262" s="49" t="s">
        <v>325</v>
      </c>
      <c r="B262" s="28" t="s">
        <v>450</v>
      </c>
      <c r="C262" s="49"/>
      <c r="D262" s="8"/>
      <c r="E262" s="32"/>
      <c r="F262" s="24"/>
    </row>
    <row r="263" spans="1:6">
      <c r="A263" s="5"/>
      <c r="B263" s="28" t="s">
        <v>279</v>
      </c>
      <c r="C263" s="49"/>
      <c r="D263" s="32" t="s">
        <v>261</v>
      </c>
      <c r="E263" s="24">
        <v>55</v>
      </c>
      <c r="F263" s="74">
        <f t="shared" ref="F263" si="27">E263*C263</f>
        <v>0</v>
      </c>
    </row>
    <row r="264" spans="1:6">
      <c r="A264" s="5"/>
      <c r="B264" s="23" t="s">
        <v>111</v>
      </c>
      <c r="C264" s="5"/>
      <c r="D264" s="32" t="s">
        <v>261</v>
      </c>
      <c r="E264" s="24">
        <v>45</v>
      </c>
      <c r="F264" s="74">
        <f>E264*C264</f>
        <v>0</v>
      </c>
    </row>
    <row r="265" spans="1:6" ht="37">
      <c r="A265" s="5" t="s">
        <v>398</v>
      </c>
      <c r="B265" s="23" t="s">
        <v>496</v>
      </c>
      <c r="C265" s="5"/>
      <c r="D265" s="32"/>
      <c r="E265" s="24"/>
      <c r="F265" s="79"/>
    </row>
    <row r="266" spans="1:6">
      <c r="A266" s="5"/>
      <c r="B266" s="28" t="s">
        <v>279</v>
      </c>
      <c r="C266" s="20"/>
      <c r="D266" s="32" t="s">
        <v>261</v>
      </c>
      <c r="E266" s="24">
        <v>165</v>
      </c>
      <c r="F266" s="74">
        <f t="shared" ref="F266:F267" si="28">E266*C266</f>
        <v>0</v>
      </c>
    </row>
    <row r="267" spans="1:6">
      <c r="A267" s="5"/>
      <c r="B267" s="23" t="s">
        <v>111</v>
      </c>
      <c r="C267" s="5"/>
      <c r="D267" s="32" t="s">
        <v>261</v>
      </c>
      <c r="E267" s="24">
        <v>165</v>
      </c>
      <c r="F267" s="74">
        <f t="shared" si="28"/>
        <v>0</v>
      </c>
    </row>
    <row r="268" spans="1:6" ht="185">
      <c r="A268" s="5" t="s">
        <v>326</v>
      </c>
      <c r="B268" s="28" t="s">
        <v>539</v>
      </c>
      <c r="C268" s="49"/>
      <c r="D268" s="32"/>
      <c r="E268" s="24"/>
      <c r="F268" s="79"/>
    </row>
    <row r="269" spans="1:6">
      <c r="A269" s="82" t="s">
        <v>292</v>
      </c>
      <c r="B269" s="28" t="s">
        <v>293</v>
      </c>
      <c r="C269" s="24"/>
      <c r="D269" s="26" t="s">
        <v>191</v>
      </c>
      <c r="E269" s="24">
        <v>95000</v>
      </c>
      <c r="F269" s="74">
        <f t="shared" ref="F269:F270" si="29">E269*C269</f>
        <v>0</v>
      </c>
    </row>
    <row r="270" spans="1:6">
      <c r="A270" s="82" t="s">
        <v>294</v>
      </c>
      <c r="B270" s="28" t="s">
        <v>295</v>
      </c>
      <c r="C270" s="24"/>
      <c r="D270" s="26" t="s">
        <v>191</v>
      </c>
      <c r="E270" s="24">
        <v>45000</v>
      </c>
      <c r="F270" s="74">
        <f t="shared" si="29"/>
        <v>0</v>
      </c>
    </row>
    <row r="271" spans="1:6">
      <c r="A271" s="67"/>
      <c r="B271" s="35" t="s">
        <v>194</v>
      </c>
      <c r="C271" s="3"/>
      <c r="D271" s="4"/>
      <c r="E271" s="4"/>
      <c r="F271" s="80">
        <f>SUM(F257:F270)</f>
        <v>0</v>
      </c>
    </row>
    <row r="272" spans="1:6" ht="17.5" customHeight="1">
      <c r="A272" s="67"/>
      <c r="B272" s="36" t="s">
        <v>45</v>
      </c>
      <c r="C272" s="55"/>
      <c r="D272" s="4"/>
      <c r="E272" s="4"/>
      <c r="F272" s="73"/>
    </row>
    <row r="273" spans="1:6" ht="37">
      <c r="A273" s="49" t="s">
        <v>44</v>
      </c>
      <c r="B273" s="28" t="s">
        <v>286</v>
      </c>
      <c r="C273" s="49"/>
      <c r="D273" s="7"/>
      <c r="E273" s="32"/>
      <c r="F273" s="25"/>
    </row>
    <row r="274" spans="1:6">
      <c r="A274" s="49"/>
      <c r="B274" s="28" t="s">
        <v>497</v>
      </c>
      <c r="C274" s="32"/>
      <c r="D274" s="26" t="s">
        <v>83</v>
      </c>
      <c r="E274" s="24">
        <v>1150</v>
      </c>
      <c r="F274" s="74">
        <f t="shared" ref="F274:F275" si="30">E274*C274</f>
        <v>0</v>
      </c>
    </row>
    <row r="275" spans="1:6">
      <c r="A275" s="49"/>
      <c r="B275" s="28" t="s">
        <v>498</v>
      </c>
      <c r="C275" s="24"/>
      <c r="D275" s="26" t="s">
        <v>83</v>
      </c>
      <c r="E275" s="24">
        <v>1650</v>
      </c>
      <c r="F275" s="74">
        <f t="shared" si="30"/>
        <v>0</v>
      </c>
    </row>
    <row r="276" spans="1:6" ht="240.5">
      <c r="A276" s="49" t="s">
        <v>313</v>
      </c>
      <c r="B276" s="28" t="s">
        <v>544</v>
      </c>
      <c r="C276" s="49"/>
      <c r="D276" s="26"/>
      <c r="E276" s="24"/>
      <c r="F276" s="79"/>
    </row>
    <row r="277" spans="1:6">
      <c r="A277" s="49"/>
      <c r="B277" s="28" t="s">
        <v>458</v>
      </c>
      <c r="C277" s="24"/>
      <c r="D277" s="26" t="s">
        <v>81</v>
      </c>
      <c r="E277" s="24">
        <v>725</v>
      </c>
      <c r="F277" s="79"/>
    </row>
    <row r="278" spans="1:6">
      <c r="A278" s="49"/>
      <c r="B278" s="28" t="s">
        <v>505</v>
      </c>
      <c r="C278" s="24"/>
      <c r="D278" s="26" t="s">
        <v>289</v>
      </c>
      <c r="E278" s="24">
        <v>720</v>
      </c>
      <c r="F278" s="79"/>
    </row>
    <row r="279" spans="1:6">
      <c r="A279" s="49"/>
      <c r="B279" s="28" t="s">
        <v>504</v>
      </c>
      <c r="C279" s="24"/>
      <c r="D279" s="26" t="s">
        <v>289</v>
      </c>
      <c r="E279" s="24">
        <v>850</v>
      </c>
      <c r="F279" s="79"/>
    </row>
    <row r="280" spans="1:6">
      <c r="A280" s="49"/>
      <c r="B280" s="28" t="s">
        <v>506</v>
      </c>
      <c r="C280" s="24"/>
      <c r="D280" s="26" t="s">
        <v>289</v>
      </c>
      <c r="E280" s="24">
        <v>650</v>
      </c>
      <c r="F280" s="79"/>
    </row>
    <row r="281" spans="1:6">
      <c r="A281" s="67"/>
      <c r="B281" s="35" t="s">
        <v>50</v>
      </c>
      <c r="C281" s="3"/>
      <c r="D281" s="4"/>
      <c r="E281" s="4"/>
      <c r="F281" s="80">
        <f>SUM(F273:F280)</f>
        <v>0</v>
      </c>
    </row>
    <row r="282" spans="1:6" ht="17.5" customHeight="1">
      <c r="A282" s="67"/>
      <c r="B282" s="36" t="s">
        <v>195</v>
      </c>
      <c r="C282" s="55"/>
      <c r="D282" s="4"/>
      <c r="E282" s="4"/>
      <c r="F282" s="73"/>
    </row>
    <row r="283" spans="1:6" ht="258.75" customHeight="1">
      <c r="A283" s="5" t="s">
        <v>196</v>
      </c>
      <c r="B283" s="13" t="s">
        <v>309</v>
      </c>
      <c r="C283" s="58"/>
      <c r="D283" s="14"/>
      <c r="E283" s="24"/>
      <c r="F283" s="24"/>
    </row>
    <row r="284" spans="1:6">
      <c r="A284" s="5"/>
      <c r="B284" s="28" t="s">
        <v>198</v>
      </c>
      <c r="C284" s="24"/>
      <c r="D284" s="32" t="s">
        <v>86</v>
      </c>
      <c r="E284" s="24">
        <v>650</v>
      </c>
      <c r="F284" s="74">
        <f t="shared" ref="F284" si="31">E284*C284</f>
        <v>0</v>
      </c>
    </row>
    <row r="285" spans="1:6">
      <c r="A285" s="5"/>
      <c r="B285" s="28" t="s">
        <v>199</v>
      </c>
      <c r="C285" s="49"/>
      <c r="D285" s="8"/>
      <c r="E285" s="24"/>
      <c r="F285" s="24"/>
    </row>
    <row r="286" spans="1:6">
      <c r="A286" s="5"/>
      <c r="B286" s="30" t="s">
        <v>281</v>
      </c>
      <c r="C286" s="49"/>
      <c r="D286" s="32" t="s">
        <v>86</v>
      </c>
      <c r="E286" s="24">
        <v>650</v>
      </c>
      <c r="F286" s="24"/>
    </row>
    <row r="287" spans="1:6">
      <c r="A287" s="5"/>
      <c r="B287" s="40" t="s">
        <v>280</v>
      </c>
      <c r="C287" s="49"/>
      <c r="D287" s="32" t="s">
        <v>86</v>
      </c>
      <c r="E287" s="24">
        <v>650</v>
      </c>
      <c r="F287" s="24"/>
    </row>
    <row r="288" spans="1:6" ht="129.5">
      <c r="A288" s="5" t="s">
        <v>200</v>
      </c>
      <c r="B288" s="28" t="s">
        <v>184</v>
      </c>
      <c r="C288" s="49"/>
      <c r="D288" s="24"/>
      <c r="E288" s="24"/>
      <c r="F288" s="24"/>
    </row>
    <row r="289" spans="1:6">
      <c r="A289" s="5"/>
      <c r="B289" s="28" t="s">
        <v>243</v>
      </c>
      <c r="C289" s="24"/>
      <c r="D289" s="32" t="s">
        <v>83</v>
      </c>
      <c r="E289" s="24">
        <v>750</v>
      </c>
      <c r="F289" s="24"/>
    </row>
    <row r="290" spans="1:6">
      <c r="A290" s="5"/>
      <c r="B290" s="28" t="s">
        <v>232</v>
      </c>
      <c r="C290" s="24">
        <v>202</v>
      </c>
      <c r="D290" s="32" t="s">
        <v>83</v>
      </c>
      <c r="E290" s="24">
        <v>450</v>
      </c>
      <c r="F290" s="74">
        <f t="shared" ref="F290" si="32">E290*C290</f>
        <v>90900</v>
      </c>
    </row>
    <row r="291" spans="1:6">
      <c r="A291" s="67"/>
      <c r="B291" s="35" t="s">
        <v>201</v>
      </c>
      <c r="C291" s="3"/>
      <c r="D291" s="4"/>
      <c r="E291" s="4"/>
      <c r="F291" s="80">
        <f>SUM(F284:F290)</f>
        <v>90900</v>
      </c>
    </row>
    <row r="292" spans="1:6" ht="18" customHeight="1">
      <c r="A292" s="67"/>
      <c r="B292" s="36" t="s">
        <v>202</v>
      </c>
      <c r="C292" s="55"/>
      <c r="D292" s="4"/>
      <c r="E292" s="4"/>
      <c r="F292" s="73"/>
    </row>
    <row r="293" spans="1:6" ht="218.25" customHeight="1">
      <c r="A293" s="5" t="s">
        <v>203</v>
      </c>
      <c r="B293" s="42" t="s">
        <v>251</v>
      </c>
      <c r="C293" s="24"/>
      <c r="D293" s="26" t="s">
        <v>81</v>
      </c>
      <c r="E293" s="24">
        <v>55</v>
      </c>
      <c r="F293" s="74">
        <f t="shared" ref="F293" si="33">E293*C293</f>
        <v>0</v>
      </c>
    </row>
    <row r="294" spans="1:6">
      <c r="A294" s="5"/>
      <c r="B294" s="42" t="s">
        <v>204</v>
      </c>
      <c r="C294" s="59"/>
      <c r="D294" s="7"/>
      <c r="E294" s="24"/>
      <c r="F294" s="25"/>
    </row>
    <row r="295" spans="1:6" ht="37">
      <c r="A295" s="5"/>
      <c r="B295" s="41" t="s">
        <v>205</v>
      </c>
      <c r="C295" s="26"/>
      <c r="D295" s="12"/>
      <c r="E295" s="24"/>
      <c r="F295" s="25"/>
    </row>
    <row r="296" spans="1:6" ht="37">
      <c r="A296" s="5"/>
      <c r="B296" s="41" t="s">
        <v>206</v>
      </c>
      <c r="C296" s="26"/>
      <c r="D296" s="26"/>
      <c r="E296" s="24"/>
      <c r="F296" s="25"/>
    </row>
    <row r="297" spans="1:6" ht="37">
      <c r="A297" s="5"/>
      <c r="B297" s="41" t="s">
        <v>207</v>
      </c>
      <c r="C297" s="26"/>
      <c r="D297" s="26"/>
      <c r="E297" s="24"/>
      <c r="F297" s="25"/>
    </row>
    <row r="298" spans="1:6" ht="165.75" customHeight="1">
      <c r="A298" s="5" t="s">
        <v>208</v>
      </c>
      <c r="B298" s="28" t="s">
        <v>282</v>
      </c>
      <c r="C298" s="24"/>
      <c r="D298" s="26" t="s">
        <v>81</v>
      </c>
      <c r="E298" s="24">
        <v>940</v>
      </c>
      <c r="F298" s="74">
        <f>E298*C298</f>
        <v>0</v>
      </c>
    </row>
    <row r="299" spans="1:6" ht="64.5" customHeight="1">
      <c r="A299" s="5" t="s">
        <v>215</v>
      </c>
      <c r="B299" s="23" t="s">
        <v>77</v>
      </c>
      <c r="C299" s="5"/>
      <c r="D299" s="7"/>
      <c r="E299" s="24"/>
      <c r="F299" s="25"/>
    </row>
    <row r="300" spans="1:6">
      <c r="A300" s="5"/>
      <c r="B300" s="23" t="s">
        <v>236</v>
      </c>
      <c r="C300" s="24"/>
      <c r="D300" s="26" t="s">
        <v>81</v>
      </c>
      <c r="E300" s="24">
        <v>70</v>
      </c>
      <c r="F300" s="79"/>
    </row>
    <row r="301" spans="1:6">
      <c r="A301" s="5"/>
      <c r="B301" s="23" t="s">
        <v>237</v>
      </c>
      <c r="C301" s="90"/>
      <c r="D301" s="26" t="s">
        <v>81</v>
      </c>
      <c r="E301" s="24">
        <v>75</v>
      </c>
      <c r="F301" s="74">
        <f t="shared" ref="F301" si="34">E301*C301</f>
        <v>0</v>
      </c>
    </row>
    <row r="302" spans="1:6" ht="246" customHeight="1">
      <c r="A302" s="5" t="s">
        <v>216</v>
      </c>
      <c r="B302" s="28" t="s">
        <v>268</v>
      </c>
      <c r="C302" s="49"/>
      <c r="D302" s="7"/>
      <c r="E302" s="24"/>
      <c r="F302" s="25"/>
    </row>
    <row r="303" spans="1:6">
      <c r="A303" s="5" t="s">
        <v>301</v>
      </c>
      <c r="B303" s="23" t="s">
        <v>547</v>
      </c>
      <c r="C303" s="88"/>
      <c r="D303" s="25" t="s">
        <v>83</v>
      </c>
      <c r="E303" s="24">
        <v>575</v>
      </c>
      <c r="F303" s="25"/>
    </row>
    <row r="304" spans="1:6">
      <c r="A304" s="5"/>
      <c r="B304" s="23" t="s">
        <v>546</v>
      </c>
      <c r="C304" s="91"/>
      <c r="D304" s="25" t="s">
        <v>83</v>
      </c>
      <c r="E304" s="24">
        <v>650</v>
      </c>
      <c r="F304" s="74">
        <f t="shared" ref="F304:F305" si="35">E304*C304</f>
        <v>0</v>
      </c>
    </row>
    <row r="305" spans="1:6" ht="21.75" customHeight="1">
      <c r="A305" s="5"/>
      <c r="B305" s="23" t="s">
        <v>545</v>
      </c>
      <c r="C305" s="91"/>
      <c r="D305" s="25" t="s">
        <v>83</v>
      </c>
      <c r="E305" s="24">
        <v>950</v>
      </c>
      <c r="F305" s="74">
        <f t="shared" si="35"/>
        <v>0</v>
      </c>
    </row>
    <row r="306" spans="1:6">
      <c r="A306" s="5"/>
      <c r="B306" s="23" t="s">
        <v>548</v>
      </c>
      <c r="C306" s="88"/>
      <c r="D306" s="25" t="s">
        <v>83</v>
      </c>
      <c r="E306" s="24">
        <v>1550</v>
      </c>
      <c r="F306" s="79"/>
    </row>
    <row r="307" spans="1:6">
      <c r="A307" s="5"/>
      <c r="B307" s="23" t="s">
        <v>549</v>
      </c>
      <c r="C307" s="88"/>
      <c r="D307" s="25" t="s">
        <v>83</v>
      </c>
      <c r="E307" s="24">
        <v>2650</v>
      </c>
      <c r="F307" s="25"/>
    </row>
    <row r="308" spans="1:6">
      <c r="A308" s="5"/>
      <c r="B308" s="23" t="s">
        <v>550</v>
      </c>
      <c r="C308" s="88"/>
      <c r="D308" s="25" t="s">
        <v>83</v>
      </c>
      <c r="E308" s="24">
        <v>37850</v>
      </c>
      <c r="F308" s="25"/>
    </row>
    <row r="309" spans="1:6">
      <c r="A309" s="5"/>
      <c r="B309" s="21" t="s">
        <v>438</v>
      </c>
      <c r="C309" s="88"/>
      <c r="D309" s="25"/>
      <c r="E309" s="24"/>
      <c r="F309" s="25"/>
    </row>
    <row r="310" spans="1:6">
      <c r="A310" s="5" t="s">
        <v>303</v>
      </c>
      <c r="B310" s="23" t="s">
        <v>551</v>
      </c>
      <c r="C310" s="88"/>
      <c r="D310" s="25" t="s">
        <v>83</v>
      </c>
      <c r="E310" s="24">
        <v>1750</v>
      </c>
      <c r="F310" s="79"/>
    </row>
    <row r="311" spans="1:6">
      <c r="A311" s="5"/>
      <c r="B311" s="23" t="s">
        <v>552</v>
      </c>
      <c r="C311" s="88"/>
      <c r="D311" s="25" t="s">
        <v>83</v>
      </c>
      <c r="E311" s="24">
        <v>2950</v>
      </c>
      <c r="F311" s="25"/>
    </row>
    <row r="312" spans="1:6">
      <c r="A312" s="5"/>
      <c r="B312" s="23" t="s">
        <v>553</v>
      </c>
      <c r="C312" s="88"/>
      <c r="D312" s="25" t="s">
        <v>83</v>
      </c>
      <c r="E312" s="24">
        <v>4250</v>
      </c>
      <c r="F312" s="25"/>
    </row>
    <row r="313" spans="1:6" ht="129.5">
      <c r="A313" s="5" t="s">
        <v>42</v>
      </c>
      <c r="B313" s="23" t="s">
        <v>217</v>
      </c>
      <c r="C313" s="5"/>
      <c r="D313" s="7"/>
      <c r="E313" s="24"/>
      <c r="F313" s="25"/>
    </row>
    <row r="314" spans="1:6">
      <c r="A314" s="5"/>
      <c r="B314" s="23" t="s">
        <v>283</v>
      </c>
      <c r="C314" s="32">
        <v>28</v>
      </c>
      <c r="D314" s="25" t="s">
        <v>71</v>
      </c>
      <c r="E314" s="24">
        <v>1250</v>
      </c>
      <c r="F314" s="74">
        <f t="shared" ref="F314" si="36">E314*C314</f>
        <v>35000</v>
      </c>
    </row>
    <row r="315" spans="1:6">
      <c r="A315" s="5"/>
      <c r="B315" s="23" t="s">
        <v>284</v>
      </c>
      <c r="C315" s="5"/>
      <c r="D315" s="25" t="s">
        <v>71</v>
      </c>
      <c r="E315" s="24">
        <v>1150</v>
      </c>
      <c r="F315" s="79"/>
    </row>
    <row r="316" spans="1:6" ht="95.25" customHeight="1">
      <c r="A316" s="5" t="s">
        <v>317</v>
      </c>
      <c r="B316" s="38" t="s">
        <v>272</v>
      </c>
      <c r="C316" s="53"/>
      <c r="D316" s="7"/>
      <c r="E316" s="24"/>
      <c r="F316" s="25"/>
    </row>
    <row r="317" spans="1:6" ht="37">
      <c r="A317" s="5"/>
      <c r="B317" s="23" t="s">
        <v>219</v>
      </c>
      <c r="C317" s="32"/>
      <c r="D317" s="25" t="s">
        <v>71</v>
      </c>
      <c r="E317" s="24">
        <v>650</v>
      </c>
      <c r="F317" s="74">
        <f t="shared" ref="F317:F319" si="37">E317*C317</f>
        <v>0</v>
      </c>
    </row>
    <row r="318" spans="1:6" ht="37">
      <c r="A318" s="5"/>
      <c r="B318" s="23" t="s">
        <v>220</v>
      </c>
      <c r="C318" s="32"/>
      <c r="D318" s="25" t="s">
        <v>71</v>
      </c>
      <c r="E318" s="24">
        <v>1250</v>
      </c>
      <c r="F318" s="74">
        <f t="shared" si="37"/>
        <v>0</v>
      </c>
    </row>
    <row r="319" spans="1:6" ht="37">
      <c r="A319" s="5"/>
      <c r="B319" s="23" t="s">
        <v>0</v>
      </c>
      <c r="C319" s="32"/>
      <c r="D319" s="25" t="s">
        <v>71</v>
      </c>
      <c r="E319" s="24">
        <v>1675</v>
      </c>
      <c r="F319" s="74">
        <f t="shared" si="37"/>
        <v>0</v>
      </c>
    </row>
    <row r="320" spans="1:6" ht="221.25" customHeight="1">
      <c r="A320" s="5" t="s">
        <v>318</v>
      </c>
      <c r="B320" s="23" t="s">
        <v>226</v>
      </c>
      <c r="C320" s="24"/>
      <c r="D320" s="25" t="s">
        <v>192</v>
      </c>
      <c r="E320" s="24">
        <v>165</v>
      </c>
      <c r="F320" s="79"/>
    </row>
    <row r="321" spans="1:6" ht="143.25" customHeight="1">
      <c r="A321" s="5" t="s">
        <v>319</v>
      </c>
      <c r="B321" s="23" t="s">
        <v>451</v>
      </c>
      <c r="C321" s="32"/>
      <c r="D321" s="25" t="s">
        <v>192</v>
      </c>
      <c r="E321" s="24">
        <v>135</v>
      </c>
      <c r="F321" s="74">
        <f t="shared" ref="F321:F325" si="38">E321*C321</f>
        <v>0</v>
      </c>
    </row>
    <row r="322" spans="1:6" ht="148">
      <c r="A322" s="5" t="s">
        <v>320</v>
      </c>
      <c r="B322" s="23" t="s">
        <v>604</v>
      </c>
      <c r="C322" s="24"/>
      <c r="D322" s="25" t="s">
        <v>169</v>
      </c>
      <c r="E322" s="24">
        <v>3750</v>
      </c>
      <c r="F322" s="74">
        <f t="shared" si="38"/>
        <v>0</v>
      </c>
    </row>
    <row r="323" spans="1:6" ht="55.5">
      <c r="A323" s="5" t="s">
        <v>218</v>
      </c>
      <c r="B323" s="23" t="s">
        <v>46</v>
      </c>
      <c r="C323" s="88"/>
      <c r="D323" s="25" t="s">
        <v>108</v>
      </c>
      <c r="E323" s="24">
        <v>2950</v>
      </c>
      <c r="F323" s="74">
        <f t="shared" si="38"/>
        <v>0</v>
      </c>
    </row>
    <row r="324" spans="1:6" ht="55.5">
      <c r="A324" s="5" t="s">
        <v>221</v>
      </c>
      <c r="B324" s="23" t="s">
        <v>47</v>
      </c>
      <c r="C324" s="88"/>
      <c r="D324" s="25" t="s">
        <v>108</v>
      </c>
      <c r="E324" s="24">
        <v>3500</v>
      </c>
      <c r="F324" s="74">
        <f t="shared" si="38"/>
        <v>0</v>
      </c>
    </row>
    <row r="325" spans="1:6" ht="58.4" customHeight="1">
      <c r="A325" s="5" t="s">
        <v>224</v>
      </c>
      <c r="B325" s="23" t="s">
        <v>273</v>
      </c>
      <c r="C325" s="88"/>
      <c r="D325" s="25" t="s">
        <v>108</v>
      </c>
      <c r="E325" s="24">
        <v>5500</v>
      </c>
      <c r="F325" s="74">
        <f t="shared" si="38"/>
        <v>0</v>
      </c>
    </row>
    <row r="326" spans="1:6">
      <c r="A326" s="5" t="s">
        <v>225</v>
      </c>
      <c r="B326" s="28" t="s">
        <v>624</v>
      </c>
      <c r="C326" s="49"/>
      <c r="D326" s="24"/>
      <c r="E326" s="24"/>
      <c r="F326" s="25"/>
    </row>
    <row r="327" spans="1:6">
      <c r="A327" s="5"/>
      <c r="B327" s="28" t="s">
        <v>48</v>
      </c>
      <c r="C327" s="24"/>
      <c r="D327" s="24" t="s">
        <v>164</v>
      </c>
      <c r="E327" s="24">
        <v>250</v>
      </c>
      <c r="F327" s="79"/>
    </row>
    <row r="328" spans="1:6">
      <c r="A328" s="5"/>
      <c r="B328" s="28" t="s">
        <v>49</v>
      </c>
      <c r="C328" s="24"/>
      <c r="D328" s="24" t="s">
        <v>164</v>
      </c>
      <c r="E328" s="24">
        <v>350</v>
      </c>
      <c r="F328" s="79"/>
    </row>
    <row r="329" spans="1:6" ht="64.400000000000006" customHeight="1">
      <c r="A329" s="5" t="s">
        <v>227</v>
      </c>
      <c r="B329" s="28" t="s">
        <v>269</v>
      </c>
      <c r="C329" s="32"/>
      <c r="D329" s="24"/>
      <c r="E329" s="24"/>
      <c r="F329" s="25"/>
    </row>
    <row r="330" spans="1:6">
      <c r="A330" s="5"/>
      <c r="B330" s="28" t="s">
        <v>48</v>
      </c>
      <c r="C330" s="24"/>
      <c r="D330" s="24" t="s">
        <v>164</v>
      </c>
      <c r="E330" s="24">
        <v>650</v>
      </c>
      <c r="F330" s="79"/>
    </row>
    <row r="331" spans="1:6">
      <c r="A331" s="5"/>
      <c r="B331" s="28" t="s">
        <v>49</v>
      </c>
      <c r="C331" s="24"/>
      <c r="D331" s="24" t="s">
        <v>164</v>
      </c>
      <c r="E331" s="24">
        <v>750</v>
      </c>
      <c r="F331" s="79"/>
    </row>
    <row r="332" spans="1:6" ht="92.5">
      <c r="A332" s="5" t="s">
        <v>228</v>
      </c>
      <c r="B332" s="23" t="s">
        <v>271</v>
      </c>
      <c r="C332" s="5"/>
      <c r="D332" s="25"/>
      <c r="E332" s="24"/>
      <c r="F332" s="25"/>
    </row>
    <row r="333" spans="1:6">
      <c r="A333" s="5"/>
      <c r="B333" s="23" t="s">
        <v>84</v>
      </c>
      <c r="C333" s="32"/>
      <c r="D333" s="25" t="s">
        <v>164</v>
      </c>
      <c r="E333" s="24">
        <v>11500</v>
      </c>
      <c r="F333" s="74">
        <f t="shared" ref="F333:F343" si="39">E333*C333</f>
        <v>0</v>
      </c>
    </row>
    <row r="334" spans="1:6">
      <c r="A334" s="83"/>
      <c r="B334" s="23" t="s">
        <v>399</v>
      </c>
      <c r="C334" s="32">
        <v>2</v>
      </c>
      <c r="D334" s="25" t="s">
        <v>164</v>
      </c>
      <c r="E334" s="24">
        <v>16500</v>
      </c>
      <c r="F334" s="74">
        <f t="shared" si="39"/>
        <v>33000</v>
      </c>
    </row>
    <row r="335" spans="1:6" ht="55.5">
      <c r="A335" s="5" t="s">
        <v>452</v>
      </c>
      <c r="B335" s="23" t="s">
        <v>471</v>
      </c>
      <c r="C335" s="32">
        <v>1</v>
      </c>
      <c r="D335" s="25" t="s">
        <v>352</v>
      </c>
      <c r="E335" s="24">
        <v>1450</v>
      </c>
      <c r="F335" s="74">
        <f t="shared" si="39"/>
        <v>1450</v>
      </c>
    </row>
    <row r="336" spans="1:6" ht="55.5">
      <c r="A336" s="5" t="s">
        <v>472</v>
      </c>
      <c r="B336" s="23" t="s">
        <v>626</v>
      </c>
      <c r="C336" s="32">
        <v>3</v>
      </c>
      <c r="D336" s="25" t="s">
        <v>352</v>
      </c>
      <c r="E336" s="93"/>
      <c r="F336" s="74">
        <f t="shared" si="39"/>
        <v>0</v>
      </c>
    </row>
    <row r="337" spans="1:6" ht="74">
      <c r="A337" s="5" t="s">
        <v>534</v>
      </c>
      <c r="B337" s="23" t="s">
        <v>473</v>
      </c>
      <c r="C337" s="5"/>
      <c r="D337" s="25"/>
      <c r="E337" s="24"/>
      <c r="F337" s="79"/>
    </row>
    <row r="338" spans="1:6">
      <c r="A338" s="1"/>
      <c r="B338" s="23" t="s">
        <v>474</v>
      </c>
      <c r="C338" s="5"/>
      <c r="D338" s="25" t="s">
        <v>164</v>
      </c>
      <c r="E338" s="24">
        <v>250</v>
      </c>
      <c r="F338" s="74">
        <f t="shared" si="39"/>
        <v>0</v>
      </c>
    </row>
    <row r="339" spans="1:6">
      <c r="A339" s="5"/>
      <c r="B339" s="23" t="s">
        <v>475</v>
      </c>
      <c r="C339" s="5"/>
      <c r="D339" s="25" t="s">
        <v>164</v>
      </c>
      <c r="E339" s="24">
        <v>375</v>
      </c>
      <c r="F339" s="74">
        <f t="shared" si="39"/>
        <v>0</v>
      </c>
    </row>
    <row r="340" spans="1:6">
      <c r="A340" s="5"/>
      <c r="B340" s="23" t="s">
        <v>476</v>
      </c>
      <c r="C340" s="5"/>
      <c r="D340" s="25" t="s">
        <v>164</v>
      </c>
      <c r="E340" s="24">
        <v>550</v>
      </c>
      <c r="F340" s="74">
        <f t="shared" si="39"/>
        <v>0</v>
      </c>
    </row>
    <row r="341" spans="1:6">
      <c r="A341" s="5"/>
      <c r="B341" s="23" t="s">
        <v>477</v>
      </c>
      <c r="C341" s="5"/>
      <c r="D341" s="25" t="s">
        <v>164</v>
      </c>
      <c r="E341" s="24">
        <v>750</v>
      </c>
      <c r="F341" s="74">
        <f t="shared" si="39"/>
        <v>0</v>
      </c>
    </row>
    <row r="342" spans="1:6">
      <c r="A342" s="5"/>
      <c r="B342" s="23" t="s">
        <v>478</v>
      </c>
      <c r="C342" s="5"/>
      <c r="D342" s="25" t="s">
        <v>164</v>
      </c>
      <c r="E342" s="24">
        <v>1200</v>
      </c>
      <c r="F342" s="74">
        <f t="shared" si="39"/>
        <v>0</v>
      </c>
    </row>
    <row r="343" spans="1:6">
      <c r="A343" s="5"/>
      <c r="B343" s="23" t="s">
        <v>479</v>
      </c>
      <c r="C343" s="63"/>
      <c r="D343" s="25" t="s">
        <v>164</v>
      </c>
      <c r="E343" s="24">
        <v>1875</v>
      </c>
      <c r="F343" s="74">
        <f t="shared" si="39"/>
        <v>0</v>
      </c>
    </row>
    <row r="344" spans="1:6" ht="74">
      <c r="A344" s="5" t="s">
        <v>625</v>
      </c>
      <c r="B344" s="23" t="s">
        <v>605</v>
      </c>
      <c r="C344" s="5"/>
      <c r="D344" s="23"/>
      <c r="E344" s="5"/>
      <c r="F344" s="23"/>
    </row>
    <row r="345" spans="1:6" ht="37">
      <c r="A345" s="5"/>
      <c r="B345" s="23" t="s">
        <v>513</v>
      </c>
      <c r="C345" s="5"/>
      <c r="D345" s="5" t="s">
        <v>514</v>
      </c>
      <c r="E345" s="5">
        <v>750</v>
      </c>
      <c r="F345" s="74">
        <f t="shared" ref="F345:F348" si="40">E345*C345</f>
        <v>0</v>
      </c>
    </row>
    <row r="346" spans="1:6" ht="37">
      <c r="A346" s="5"/>
      <c r="B346" s="23" t="s">
        <v>515</v>
      </c>
      <c r="C346" s="5"/>
      <c r="D346" s="5" t="s">
        <v>514</v>
      </c>
      <c r="E346" s="5">
        <v>950</v>
      </c>
      <c r="F346" s="74">
        <f t="shared" si="40"/>
        <v>0</v>
      </c>
    </row>
    <row r="347" spans="1:6" ht="37">
      <c r="A347" s="5"/>
      <c r="B347" s="23" t="s">
        <v>516</v>
      </c>
      <c r="C347" s="5"/>
      <c r="D347" s="5" t="s">
        <v>514</v>
      </c>
      <c r="E347" s="5">
        <v>1250</v>
      </c>
      <c r="F347" s="74">
        <f t="shared" si="40"/>
        <v>0</v>
      </c>
    </row>
    <row r="348" spans="1:6">
      <c r="A348" s="5"/>
      <c r="B348" s="23" t="s">
        <v>517</v>
      </c>
      <c r="C348" s="5"/>
      <c r="D348" s="5" t="s">
        <v>82</v>
      </c>
      <c r="E348" s="5">
        <v>1250</v>
      </c>
      <c r="F348" s="74">
        <f t="shared" si="40"/>
        <v>0</v>
      </c>
    </row>
    <row r="349" spans="1:6" ht="74">
      <c r="A349" s="5" t="s">
        <v>627</v>
      </c>
      <c r="B349" s="23" t="s">
        <v>628</v>
      </c>
      <c r="C349" s="5">
        <v>7</v>
      </c>
      <c r="D349" s="5" t="s">
        <v>288</v>
      </c>
      <c r="E349" s="95">
        <v>300</v>
      </c>
      <c r="F349" s="74">
        <f>E349*C349</f>
        <v>2100</v>
      </c>
    </row>
    <row r="350" spans="1:6">
      <c r="A350" s="67"/>
      <c r="B350" s="35" t="s">
        <v>229</v>
      </c>
      <c r="C350" s="3"/>
      <c r="D350" s="4"/>
      <c r="E350" s="4"/>
      <c r="F350" s="80">
        <f>SUM(F293:F349)</f>
        <v>71550</v>
      </c>
    </row>
    <row r="351" spans="1:6">
      <c r="A351" s="84"/>
      <c r="B351" s="36" t="s">
        <v>453</v>
      </c>
      <c r="C351" s="55"/>
      <c r="D351" s="4"/>
      <c r="E351" s="4"/>
      <c r="F351" s="4"/>
    </row>
    <row r="352" spans="1:6" ht="148">
      <c r="A352" s="85" t="s">
        <v>332</v>
      </c>
      <c r="B352" s="23" t="s">
        <v>503</v>
      </c>
      <c r="C352" s="5"/>
      <c r="D352" s="32" t="s">
        <v>334</v>
      </c>
      <c r="E352" s="32">
        <v>150</v>
      </c>
      <c r="F352" s="74">
        <f t="shared" ref="F352:F354" si="41">E352*C352</f>
        <v>0</v>
      </c>
    </row>
    <row r="353" spans="1:6" ht="111">
      <c r="A353" s="85" t="s">
        <v>333</v>
      </c>
      <c r="B353" s="23" t="s">
        <v>336</v>
      </c>
      <c r="C353" s="5"/>
      <c r="D353" s="32" t="s">
        <v>334</v>
      </c>
      <c r="E353" s="32">
        <v>500</v>
      </c>
      <c r="F353" s="74">
        <f t="shared" si="41"/>
        <v>0</v>
      </c>
    </row>
    <row r="354" spans="1:6" ht="111">
      <c r="A354" s="85" t="s">
        <v>335</v>
      </c>
      <c r="B354" s="23" t="s">
        <v>338</v>
      </c>
      <c r="C354" s="5"/>
      <c r="D354" s="32" t="s">
        <v>334</v>
      </c>
      <c r="E354" s="32">
        <v>1050</v>
      </c>
      <c r="F354" s="74">
        <f t="shared" si="41"/>
        <v>0</v>
      </c>
    </row>
    <row r="355" spans="1:6" ht="111">
      <c r="A355" s="85" t="s">
        <v>337</v>
      </c>
      <c r="B355" s="23" t="s">
        <v>308</v>
      </c>
      <c r="C355" s="5"/>
      <c r="D355" s="32"/>
      <c r="E355" s="32"/>
      <c r="F355" s="32"/>
    </row>
    <row r="356" spans="1:6">
      <c r="A356" s="32" t="s">
        <v>339</v>
      </c>
      <c r="B356" s="23" t="s">
        <v>222</v>
      </c>
      <c r="C356" s="5"/>
      <c r="D356" s="26" t="s">
        <v>169</v>
      </c>
      <c r="E356" s="32">
        <v>517</v>
      </c>
      <c r="F356" s="74">
        <f t="shared" ref="F356:F359" si="42">E356*C356</f>
        <v>0</v>
      </c>
    </row>
    <row r="357" spans="1:6" ht="55.5">
      <c r="A357" s="85" t="s">
        <v>294</v>
      </c>
      <c r="B357" s="23" t="s">
        <v>274</v>
      </c>
      <c r="C357" s="5"/>
      <c r="D357" s="26" t="s">
        <v>169</v>
      </c>
      <c r="E357" s="32">
        <v>340</v>
      </c>
      <c r="F357" s="74">
        <f t="shared" si="42"/>
        <v>0</v>
      </c>
    </row>
    <row r="358" spans="1:6" ht="55.5">
      <c r="A358" s="32" t="s">
        <v>340</v>
      </c>
      <c r="B358" s="23" t="s">
        <v>275</v>
      </c>
      <c r="C358" s="5"/>
      <c r="D358" s="26" t="s">
        <v>169</v>
      </c>
      <c r="E358" s="32">
        <v>170</v>
      </c>
      <c r="F358" s="74">
        <f t="shared" si="42"/>
        <v>0</v>
      </c>
    </row>
    <row r="359" spans="1:6" ht="120.75" customHeight="1">
      <c r="A359" s="32" t="s">
        <v>341</v>
      </c>
      <c r="B359" s="17" t="s">
        <v>343</v>
      </c>
      <c r="C359" s="49"/>
      <c r="D359" s="32" t="s">
        <v>334</v>
      </c>
      <c r="E359" s="32">
        <v>4150</v>
      </c>
      <c r="F359" s="74">
        <f t="shared" si="42"/>
        <v>0</v>
      </c>
    </row>
    <row r="360" spans="1:6" ht="118.5" customHeight="1">
      <c r="A360" s="32" t="s">
        <v>342</v>
      </c>
      <c r="B360" s="17" t="s">
        <v>407</v>
      </c>
      <c r="C360" s="24"/>
      <c r="D360" s="32" t="s">
        <v>334</v>
      </c>
      <c r="E360" s="32">
        <v>4750</v>
      </c>
      <c r="F360" s="79"/>
    </row>
    <row r="361" spans="1:6" ht="259">
      <c r="A361" s="32" t="s">
        <v>344</v>
      </c>
      <c r="B361" s="17" t="s">
        <v>607</v>
      </c>
      <c r="C361" s="32"/>
      <c r="D361" s="32" t="s">
        <v>334</v>
      </c>
      <c r="E361" s="32">
        <v>6250</v>
      </c>
      <c r="F361" s="74">
        <f t="shared" ref="F361" si="43">E361*C361</f>
        <v>0</v>
      </c>
    </row>
    <row r="362" spans="1:6" ht="37">
      <c r="A362" s="65"/>
      <c r="B362" s="18" t="s">
        <v>345</v>
      </c>
      <c r="C362" s="57"/>
      <c r="D362" s="32"/>
      <c r="E362" s="32"/>
      <c r="F362" s="32"/>
    </row>
    <row r="363" spans="1:6" ht="55.5">
      <c r="A363" s="65"/>
      <c r="B363" s="17" t="s">
        <v>346</v>
      </c>
      <c r="C363" s="51"/>
      <c r="D363" s="32"/>
      <c r="E363" s="32"/>
      <c r="F363" s="32"/>
    </row>
    <row r="364" spans="1:6" ht="55.5">
      <c r="A364" s="32" t="s">
        <v>466</v>
      </c>
      <c r="B364" s="48" t="s">
        <v>465</v>
      </c>
      <c r="C364" s="32"/>
      <c r="D364" s="32" t="s">
        <v>334</v>
      </c>
      <c r="E364" s="32">
        <v>5950</v>
      </c>
      <c r="F364" s="74">
        <f t="shared" ref="F364" si="44">E364*C364</f>
        <v>0</v>
      </c>
    </row>
    <row r="365" spans="1:6" ht="240.5">
      <c r="A365" s="32" t="s">
        <v>454</v>
      </c>
      <c r="B365" s="17" t="s">
        <v>455</v>
      </c>
      <c r="C365" s="51"/>
      <c r="D365" s="32"/>
      <c r="E365" s="32"/>
      <c r="F365" s="32"/>
    </row>
    <row r="366" spans="1:6" ht="74">
      <c r="A366" s="32" t="s">
        <v>339</v>
      </c>
      <c r="B366" s="17" t="s">
        <v>408</v>
      </c>
      <c r="C366" s="49"/>
      <c r="D366" s="32" t="s">
        <v>191</v>
      </c>
      <c r="E366" s="32">
        <v>65500</v>
      </c>
      <c r="F366" s="74">
        <f t="shared" ref="F366:F369" si="45">E366*C366</f>
        <v>0</v>
      </c>
    </row>
    <row r="367" spans="1:6" ht="92.5">
      <c r="A367" s="32" t="s">
        <v>347</v>
      </c>
      <c r="B367" s="17" t="s">
        <v>350</v>
      </c>
      <c r="C367" s="49"/>
      <c r="D367" s="32" t="s">
        <v>289</v>
      </c>
      <c r="E367" s="32">
        <v>225</v>
      </c>
      <c r="F367" s="74">
        <f t="shared" si="45"/>
        <v>0</v>
      </c>
    </row>
    <row r="368" spans="1:6" ht="92.5">
      <c r="A368" s="32" t="s">
        <v>348</v>
      </c>
      <c r="B368" s="17" t="s">
        <v>391</v>
      </c>
      <c r="C368" s="49"/>
      <c r="D368" s="32" t="s">
        <v>289</v>
      </c>
      <c r="E368" s="32">
        <v>165</v>
      </c>
      <c r="F368" s="74">
        <f t="shared" si="45"/>
        <v>0</v>
      </c>
    </row>
    <row r="369" spans="1:6" ht="92.5">
      <c r="A369" s="32" t="s">
        <v>349</v>
      </c>
      <c r="B369" s="23" t="s">
        <v>392</v>
      </c>
      <c r="C369" s="5"/>
      <c r="D369" s="32" t="s">
        <v>289</v>
      </c>
      <c r="E369" s="32">
        <v>165</v>
      </c>
      <c r="F369" s="74">
        <f t="shared" si="45"/>
        <v>0</v>
      </c>
    </row>
    <row r="370" spans="1:6" ht="185">
      <c r="A370" s="32" t="s">
        <v>351</v>
      </c>
      <c r="B370" s="23" t="s">
        <v>499</v>
      </c>
      <c r="C370" s="5"/>
      <c r="D370" s="32"/>
      <c r="E370" s="32"/>
      <c r="F370" s="32"/>
    </row>
    <row r="371" spans="1:6">
      <c r="A371" s="51" t="s">
        <v>339</v>
      </c>
      <c r="B371" s="17" t="s">
        <v>356</v>
      </c>
      <c r="C371" s="24"/>
      <c r="D371" s="32" t="s">
        <v>289</v>
      </c>
      <c r="E371" s="32">
        <v>575</v>
      </c>
      <c r="F371" s="32"/>
    </row>
    <row r="372" spans="1:6">
      <c r="A372" s="51" t="s">
        <v>294</v>
      </c>
      <c r="B372" s="17" t="s">
        <v>357</v>
      </c>
      <c r="C372" s="32"/>
      <c r="D372" s="32" t="s">
        <v>289</v>
      </c>
      <c r="E372" s="32">
        <v>720</v>
      </c>
      <c r="F372" s="74">
        <f t="shared" ref="F372:F373" si="46">E372*C372</f>
        <v>0</v>
      </c>
    </row>
    <row r="373" spans="1:6">
      <c r="A373" s="51" t="s">
        <v>340</v>
      </c>
      <c r="B373" s="17" t="s">
        <v>358</v>
      </c>
      <c r="C373" s="32"/>
      <c r="D373" s="32" t="s">
        <v>289</v>
      </c>
      <c r="E373" s="32">
        <v>920</v>
      </c>
      <c r="F373" s="74">
        <f t="shared" si="46"/>
        <v>0</v>
      </c>
    </row>
    <row r="374" spans="1:6">
      <c r="A374" s="51" t="s">
        <v>359</v>
      </c>
      <c r="B374" s="17" t="s">
        <v>360</v>
      </c>
      <c r="C374" s="24"/>
      <c r="D374" s="32" t="s">
        <v>289</v>
      </c>
      <c r="E374" s="32">
        <v>1750</v>
      </c>
      <c r="F374" s="79"/>
    </row>
    <row r="375" spans="1:6">
      <c r="A375" s="51" t="s">
        <v>361</v>
      </c>
      <c r="B375" s="17" t="s">
        <v>362</v>
      </c>
      <c r="C375" s="24"/>
      <c r="D375" s="32" t="s">
        <v>289</v>
      </c>
      <c r="E375" s="32">
        <v>2950</v>
      </c>
      <c r="F375" s="32"/>
    </row>
    <row r="376" spans="1:6">
      <c r="A376" s="51" t="s">
        <v>363</v>
      </c>
      <c r="B376" s="17" t="s">
        <v>364</v>
      </c>
      <c r="C376" s="24"/>
      <c r="D376" s="32" t="s">
        <v>289</v>
      </c>
      <c r="E376" s="32">
        <v>3950</v>
      </c>
      <c r="F376" s="32"/>
    </row>
    <row r="377" spans="1:6">
      <c r="A377" s="51" t="s">
        <v>365</v>
      </c>
      <c r="B377" s="17" t="s">
        <v>366</v>
      </c>
      <c r="C377" s="24"/>
      <c r="D377" s="32" t="s">
        <v>289</v>
      </c>
      <c r="E377" s="32">
        <v>4250</v>
      </c>
      <c r="F377" s="32"/>
    </row>
    <row r="378" spans="1:6" ht="203.5">
      <c r="A378" s="32" t="s">
        <v>353</v>
      </c>
      <c r="B378" s="23" t="s">
        <v>368</v>
      </c>
      <c r="C378" s="5"/>
      <c r="D378" s="32"/>
      <c r="E378" s="32"/>
      <c r="F378" s="32"/>
    </row>
    <row r="379" spans="1:6">
      <c r="A379" s="51" t="s">
        <v>339</v>
      </c>
      <c r="B379" s="16" t="s">
        <v>369</v>
      </c>
      <c r="C379" s="24"/>
      <c r="D379" s="32" t="s">
        <v>289</v>
      </c>
      <c r="E379" s="32">
        <v>525</v>
      </c>
      <c r="F379" s="32"/>
    </row>
    <row r="380" spans="1:6">
      <c r="A380" s="51" t="s">
        <v>294</v>
      </c>
      <c r="B380" s="16" t="s">
        <v>370</v>
      </c>
      <c r="C380" s="32"/>
      <c r="D380" s="32" t="s">
        <v>289</v>
      </c>
      <c r="E380" s="32">
        <v>650</v>
      </c>
      <c r="F380" s="74">
        <f t="shared" ref="F380:F381" si="47">E380*C380</f>
        <v>0</v>
      </c>
    </row>
    <row r="381" spans="1:6">
      <c r="A381" s="51" t="s">
        <v>340</v>
      </c>
      <c r="B381" s="16" t="s">
        <v>371</v>
      </c>
      <c r="C381" s="32"/>
      <c r="D381" s="32" t="s">
        <v>289</v>
      </c>
      <c r="E381" s="32">
        <v>830</v>
      </c>
      <c r="F381" s="74">
        <f t="shared" si="47"/>
        <v>0</v>
      </c>
    </row>
    <row r="382" spans="1:6">
      <c r="A382" s="51" t="s">
        <v>359</v>
      </c>
      <c r="B382" s="16" t="s">
        <v>372</v>
      </c>
      <c r="C382" s="24"/>
      <c r="D382" s="32" t="s">
        <v>289</v>
      </c>
      <c r="E382" s="32">
        <v>1590</v>
      </c>
      <c r="F382" s="79"/>
    </row>
    <row r="383" spans="1:6">
      <c r="A383" s="51" t="s">
        <v>361</v>
      </c>
      <c r="B383" s="16" t="s">
        <v>373</v>
      </c>
      <c r="C383" s="24"/>
      <c r="D383" s="32" t="s">
        <v>289</v>
      </c>
      <c r="E383" s="32">
        <v>2680</v>
      </c>
      <c r="F383" s="32"/>
    </row>
    <row r="384" spans="1:6">
      <c r="A384" s="51" t="s">
        <v>363</v>
      </c>
      <c r="B384" s="16" t="s">
        <v>374</v>
      </c>
      <c r="C384" s="24"/>
      <c r="D384" s="32" t="s">
        <v>289</v>
      </c>
      <c r="E384" s="32">
        <v>3590</v>
      </c>
      <c r="F384" s="32"/>
    </row>
    <row r="385" spans="1:6">
      <c r="A385" s="51" t="s">
        <v>365</v>
      </c>
      <c r="B385" s="16" t="s">
        <v>375</v>
      </c>
      <c r="C385" s="24"/>
      <c r="D385" s="32" t="s">
        <v>289</v>
      </c>
      <c r="E385" s="32">
        <v>3850</v>
      </c>
      <c r="F385" s="32"/>
    </row>
    <row r="386" spans="1:6" ht="92.5">
      <c r="A386" s="32" t="s">
        <v>354</v>
      </c>
      <c r="B386" s="23" t="s">
        <v>393</v>
      </c>
      <c r="C386" s="5"/>
      <c r="D386" s="39"/>
      <c r="E386" s="65"/>
      <c r="F386" s="32"/>
    </row>
    <row r="387" spans="1:6">
      <c r="A387" s="5"/>
      <c r="B387" s="23" t="s">
        <v>377</v>
      </c>
      <c r="C387" s="5"/>
      <c r="D387" s="32" t="s">
        <v>289</v>
      </c>
      <c r="E387" s="32">
        <v>850</v>
      </c>
      <c r="F387" s="74">
        <f t="shared" ref="F387:F388" si="48">E387*C387</f>
        <v>0</v>
      </c>
    </row>
    <row r="388" spans="1:6" ht="92.5">
      <c r="A388" s="32" t="s">
        <v>355</v>
      </c>
      <c r="B388" s="23" t="s">
        <v>379</v>
      </c>
      <c r="C388" s="5"/>
      <c r="D388" s="32" t="s">
        <v>288</v>
      </c>
      <c r="E388" s="32">
        <v>150</v>
      </c>
      <c r="F388" s="74">
        <f t="shared" si="48"/>
        <v>0</v>
      </c>
    </row>
    <row r="389" spans="1:6" ht="92.5">
      <c r="A389" s="32" t="s">
        <v>367</v>
      </c>
      <c r="B389" s="23" t="s">
        <v>381</v>
      </c>
      <c r="C389" s="5"/>
      <c r="D389" s="32" t="s">
        <v>289</v>
      </c>
      <c r="E389" s="32">
        <v>1750</v>
      </c>
      <c r="F389" s="32"/>
    </row>
    <row r="390" spans="1:6" ht="92.5">
      <c r="A390" s="32" t="s">
        <v>376</v>
      </c>
      <c r="B390" s="23" t="s">
        <v>382</v>
      </c>
      <c r="C390" s="5"/>
      <c r="D390" s="25" t="s">
        <v>81</v>
      </c>
      <c r="E390" s="24">
        <v>750</v>
      </c>
      <c r="F390" s="74">
        <f t="shared" ref="F390" si="49">E390*C390</f>
        <v>0</v>
      </c>
    </row>
    <row r="391" spans="1:6">
      <c r="A391" s="5" t="s">
        <v>301</v>
      </c>
      <c r="B391" s="23" t="s">
        <v>383</v>
      </c>
      <c r="C391" s="24"/>
      <c r="D391" s="25" t="s">
        <v>81</v>
      </c>
      <c r="E391" s="24">
        <v>725</v>
      </c>
      <c r="F391" s="86"/>
    </row>
    <row r="392" spans="1:6" ht="222">
      <c r="A392" s="32" t="s">
        <v>378</v>
      </c>
      <c r="B392" s="23" t="s">
        <v>409</v>
      </c>
      <c r="C392" s="5"/>
      <c r="D392" s="24" t="s">
        <v>289</v>
      </c>
      <c r="E392" s="24">
        <v>550</v>
      </c>
      <c r="F392" s="74">
        <f t="shared" ref="F392" si="50">E392*C392</f>
        <v>0</v>
      </c>
    </row>
    <row r="393" spans="1:6" ht="148">
      <c r="A393" s="32" t="s">
        <v>380</v>
      </c>
      <c r="B393" s="23" t="s">
        <v>411</v>
      </c>
      <c r="C393" s="24"/>
      <c r="D393" s="24" t="s">
        <v>352</v>
      </c>
      <c r="E393" s="24">
        <v>7500</v>
      </c>
      <c r="F393" s="79"/>
    </row>
    <row r="394" spans="1:6" ht="92.5">
      <c r="A394" s="5" t="s">
        <v>410</v>
      </c>
      <c r="B394" s="23" t="s">
        <v>436</v>
      </c>
      <c r="C394" s="24"/>
      <c r="D394" s="24" t="s">
        <v>352</v>
      </c>
      <c r="E394" s="88"/>
      <c r="F394" s="79"/>
    </row>
    <row r="395" spans="1:6">
      <c r="A395" s="67"/>
      <c r="B395" s="35" t="s">
        <v>384</v>
      </c>
      <c r="C395" s="3"/>
      <c r="D395" s="66"/>
      <c r="E395" s="66"/>
      <c r="F395" s="69">
        <f>SUM(F352:F394)</f>
        <v>0</v>
      </c>
    </row>
    <row r="396" spans="1:6">
      <c r="A396" s="67"/>
      <c r="B396" s="35" t="s">
        <v>560</v>
      </c>
      <c r="C396" s="3"/>
      <c r="D396" s="66"/>
      <c r="E396" s="66"/>
      <c r="F396" s="68"/>
    </row>
    <row r="397" spans="1:6">
      <c r="A397" s="49"/>
      <c r="B397" s="28" t="s">
        <v>561</v>
      </c>
      <c r="C397" s="49"/>
      <c r="D397" s="32"/>
      <c r="E397" s="32"/>
      <c r="F397" s="70"/>
    </row>
    <row r="398" spans="1:6" ht="92.5">
      <c r="A398" s="5" t="s">
        <v>427</v>
      </c>
      <c r="B398" s="23" t="s">
        <v>562</v>
      </c>
      <c r="C398" s="24"/>
      <c r="D398" s="25" t="s">
        <v>82</v>
      </c>
      <c r="E398" s="32">
        <v>9500</v>
      </c>
      <c r="F398" s="60">
        <f t="shared" ref="F398:F399" si="51">E398*C398</f>
        <v>0</v>
      </c>
    </row>
    <row r="399" spans="1:6" ht="55.5">
      <c r="A399" s="5" t="s">
        <v>428</v>
      </c>
      <c r="B399" s="23" t="s">
        <v>563</v>
      </c>
      <c r="C399" s="24"/>
      <c r="D399" s="25" t="s">
        <v>82</v>
      </c>
      <c r="E399" s="32">
        <v>1450</v>
      </c>
      <c r="F399" s="60">
        <f t="shared" si="51"/>
        <v>0</v>
      </c>
    </row>
    <row r="400" spans="1:6" ht="55.5">
      <c r="A400" s="5" t="s">
        <v>429</v>
      </c>
      <c r="B400" s="23" t="s">
        <v>564</v>
      </c>
      <c r="C400" s="24"/>
      <c r="D400" s="25"/>
      <c r="E400" s="32"/>
      <c r="F400" s="60"/>
    </row>
    <row r="401" spans="1:6">
      <c r="A401" s="5"/>
      <c r="B401" s="23" t="s">
        <v>565</v>
      </c>
      <c r="C401" s="24"/>
      <c r="D401" s="25" t="s">
        <v>82</v>
      </c>
      <c r="E401" s="32">
        <v>2550</v>
      </c>
      <c r="F401" s="60">
        <f t="shared" ref="F401" si="52">E401*C401</f>
        <v>0</v>
      </c>
    </row>
    <row r="402" spans="1:6" ht="37">
      <c r="A402" s="5" t="s">
        <v>430</v>
      </c>
      <c r="B402" s="23" t="s">
        <v>566</v>
      </c>
      <c r="C402" s="24"/>
      <c r="D402" s="25" t="s">
        <v>82</v>
      </c>
      <c r="E402" s="32">
        <v>2650</v>
      </c>
      <c r="F402" s="60"/>
    </row>
    <row r="403" spans="1:6" ht="55.5">
      <c r="A403" s="5" t="s">
        <v>431</v>
      </c>
      <c r="B403" s="23" t="s">
        <v>567</v>
      </c>
      <c r="C403" s="24"/>
      <c r="D403" s="25" t="s">
        <v>82</v>
      </c>
      <c r="E403" s="32">
        <v>6500</v>
      </c>
      <c r="F403" s="60"/>
    </row>
    <row r="404" spans="1:6" ht="74">
      <c r="A404" s="5" t="s">
        <v>432</v>
      </c>
      <c r="B404" s="23" t="s">
        <v>568</v>
      </c>
      <c r="C404" s="24"/>
      <c r="D404" s="25" t="s">
        <v>82</v>
      </c>
      <c r="E404" s="32">
        <v>1250</v>
      </c>
      <c r="F404" s="60"/>
    </row>
    <row r="405" spans="1:6" ht="111">
      <c r="A405" s="5" t="s">
        <v>434</v>
      </c>
      <c r="B405" s="23" t="s">
        <v>569</v>
      </c>
      <c r="C405" s="24"/>
      <c r="D405" s="25" t="s">
        <v>82</v>
      </c>
      <c r="E405" s="32">
        <v>6500</v>
      </c>
      <c r="F405" s="60">
        <f t="shared" ref="F405" si="53">E405*C405</f>
        <v>0</v>
      </c>
    </row>
    <row r="406" spans="1:6" ht="55.5">
      <c r="A406" s="5" t="s">
        <v>571</v>
      </c>
      <c r="B406" s="23" t="s">
        <v>570</v>
      </c>
      <c r="C406" s="24"/>
      <c r="D406" s="25"/>
      <c r="E406" s="32"/>
      <c r="F406" s="60"/>
    </row>
    <row r="407" spans="1:6">
      <c r="A407" s="5"/>
      <c r="B407" s="23" t="s">
        <v>565</v>
      </c>
      <c r="C407" s="24"/>
      <c r="D407" s="25" t="s">
        <v>82</v>
      </c>
      <c r="E407" s="32">
        <v>1150</v>
      </c>
      <c r="F407" s="60">
        <f t="shared" ref="F407:F411" si="54">E407*C407</f>
        <v>0</v>
      </c>
    </row>
    <row r="408" spans="1:6" ht="37">
      <c r="A408" s="5" t="s">
        <v>572</v>
      </c>
      <c r="B408" s="23" t="s">
        <v>573</v>
      </c>
      <c r="C408" s="24"/>
      <c r="D408" s="25" t="s">
        <v>82</v>
      </c>
      <c r="E408" s="32">
        <v>7500</v>
      </c>
      <c r="F408" s="60">
        <f t="shared" si="54"/>
        <v>0</v>
      </c>
    </row>
    <row r="409" spans="1:6" ht="37">
      <c r="A409" s="5" t="s">
        <v>575</v>
      </c>
      <c r="B409" s="23" t="s">
        <v>574</v>
      </c>
      <c r="C409" s="24"/>
      <c r="D409" s="25" t="s">
        <v>82</v>
      </c>
      <c r="E409" s="32">
        <v>9500</v>
      </c>
      <c r="F409" s="60">
        <f t="shared" si="54"/>
        <v>0</v>
      </c>
    </row>
    <row r="410" spans="1:6" ht="37">
      <c r="A410" s="5" t="s">
        <v>576</v>
      </c>
      <c r="B410" s="23" t="s">
        <v>577</v>
      </c>
      <c r="C410" s="24"/>
      <c r="D410" s="25" t="s">
        <v>82</v>
      </c>
      <c r="E410" s="32">
        <v>2500</v>
      </c>
      <c r="F410" s="60">
        <f t="shared" si="54"/>
        <v>0</v>
      </c>
    </row>
    <row r="411" spans="1:6" ht="92.5">
      <c r="A411" s="5" t="s">
        <v>578</v>
      </c>
      <c r="B411" s="23" t="s">
        <v>579</v>
      </c>
      <c r="C411" s="24"/>
      <c r="D411" s="25" t="s">
        <v>82</v>
      </c>
      <c r="E411" s="32">
        <v>1950</v>
      </c>
      <c r="F411" s="60">
        <f t="shared" si="54"/>
        <v>0</v>
      </c>
    </row>
    <row r="412" spans="1:6" ht="129.5">
      <c r="A412" s="5" t="s">
        <v>580</v>
      </c>
      <c r="B412" s="23" t="s">
        <v>581</v>
      </c>
      <c r="C412" s="24"/>
      <c r="D412" s="25"/>
      <c r="E412" s="32"/>
      <c r="F412" s="60"/>
    </row>
    <row r="413" spans="1:6">
      <c r="A413" s="5"/>
      <c r="B413" s="23" t="s">
        <v>582</v>
      </c>
      <c r="C413" s="24"/>
      <c r="D413" s="25" t="s">
        <v>514</v>
      </c>
      <c r="E413" s="32">
        <v>750</v>
      </c>
      <c r="F413" s="60"/>
    </row>
    <row r="414" spans="1:6">
      <c r="A414" s="5"/>
      <c r="B414" s="23" t="s">
        <v>583</v>
      </c>
      <c r="C414" s="24"/>
      <c r="D414" s="25" t="s">
        <v>514</v>
      </c>
      <c r="E414" s="32">
        <v>600</v>
      </c>
      <c r="F414" s="60">
        <f t="shared" ref="F414:F417" si="55">E414*C414</f>
        <v>0</v>
      </c>
    </row>
    <row r="415" spans="1:6">
      <c r="A415" s="5"/>
      <c r="B415" s="23" t="s">
        <v>584</v>
      </c>
      <c r="C415" s="24"/>
      <c r="D415" s="25" t="s">
        <v>514</v>
      </c>
      <c r="E415" s="32">
        <v>375</v>
      </c>
      <c r="F415" s="60">
        <f t="shared" si="55"/>
        <v>0</v>
      </c>
    </row>
    <row r="416" spans="1:6">
      <c r="A416" s="5"/>
      <c r="B416" s="23" t="s">
        <v>585</v>
      </c>
      <c r="C416" s="24"/>
      <c r="D416" s="25" t="s">
        <v>514</v>
      </c>
      <c r="E416" s="32">
        <v>185</v>
      </c>
      <c r="F416" s="60">
        <f t="shared" si="55"/>
        <v>0</v>
      </c>
    </row>
    <row r="417" spans="1:6">
      <c r="A417" s="5"/>
      <c r="B417" s="23" t="s">
        <v>586</v>
      </c>
      <c r="C417" s="24"/>
      <c r="D417" s="25" t="s">
        <v>514</v>
      </c>
      <c r="E417" s="32">
        <v>135</v>
      </c>
      <c r="F417" s="60">
        <f t="shared" si="55"/>
        <v>0</v>
      </c>
    </row>
    <row r="418" spans="1:6" ht="141" customHeight="1">
      <c r="A418" s="5" t="s">
        <v>587</v>
      </c>
      <c r="B418" s="23" t="s">
        <v>606</v>
      </c>
      <c r="C418" s="24"/>
      <c r="D418" s="25"/>
      <c r="E418" s="32"/>
      <c r="F418" s="60"/>
    </row>
    <row r="419" spans="1:6">
      <c r="A419" s="5"/>
      <c r="B419" s="23" t="s">
        <v>588</v>
      </c>
      <c r="C419" s="24"/>
      <c r="D419" s="25" t="s">
        <v>514</v>
      </c>
      <c r="E419" s="32">
        <v>1750</v>
      </c>
      <c r="F419" s="60"/>
    </row>
    <row r="420" spans="1:6">
      <c r="A420" s="5"/>
      <c r="B420" s="23" t="s">
        <v>589</v>
      </c>
      <c r="C420" s="24"/>
      <c r="D420" s="25" t="s">
        <v>514</v>
      </c>
      <c r="E420" s="32">
        <v>1176</v>
      </c>
      <c r="F420" s="60">
        <f t="shared" ref="F420:F422" si="56">E420*C420</f>
        <v>0</v>
      </c>
    </row>
    <row r="421" spans="1:6">
      <c r="A421" s="5"/>
      <c r="B421" s="23" t="s">
        <v>590</v>
      </c>
      <c r="C421" s="24"/>
      <c r="D421" s="25" t="s">
        <v>514</v>
      </c>
      <c r="E421" s="32">
        <v>900</v>
      </c>
      <c r="F421" s="60">
        <f t="shared" si="56"/>
        <v>0</v>
      </c>
    </row>
    <row r="422" spans="1:6">
      <c r="A422" s="5"/>
      <c r="B422" s="23" t="s">
        <v>591</v>
      </c>
      <c r="C422" s="24"/>
      <c r="D422" s="25" t="s">
        <v>514</v>
      </c>
      <c r="E422" s="32">
        <v>670</v>
      </c>
      <c r="F422" s="60">
        <f t="shared" si="56"/>
        <v>0</v>
      </c>
    </row>
    <row r="423" spans="1:6" ht="92.5">
      <c r="A423" s="5" t="s">
        <v>593</v>
      </c>
      <c r="B423" s="23" t="s">
        <v>592</v>
      </c>
      <c r="C423" s="24"/>
      <c r="D423" s="25"/>
      <c r="E423" s="32"/>
      <c r="F423" s="60"/>
    </row>
    <row r="424" spans="1:6">
      <c r="A424" s="5"/>
      <c r="B424" s="23" t="s">
        <v>594</v>
      </c>
      <c r="C424" s="24"/>
      <c r="D424" s="25" t="s">
        <v>82</v>
      </c>
      <c r="E424" s="32">
        <v>750</v>
      </c>
      <c r="F424" s="60">
        <f>E424*C424</f>
        <v>0</v>
      </c>
    </row>
    <row r="425" spans="1:6" ht="74">
      <c r="A425" s="5" t="s">
        <v>597</v>
      </c>
      <c r="B425" s="23" t="s">
        <v>595</v>
      </c>
      <c r="C425" s="24"/>
      <c r="D425" s="25" t="s">
        <v>514</v>
      </c>
      <c r="E425" s="32">
        <v>1950</v>
      </c>
      <c r="F425" s="60">
        <f>E425*C425</f>
        <v>0</v>
      </c>
    </row>
    <row r="426" spans="1:6" ht="92.5">
      <c r="A426" s="5" t="s">
        <v>598</v>
      </c>
      <c r="B426" s="23" t="s">
        <v>619</v>
      </c>
      <c r="C426" s="24"/>
      <c r="D426" s="25" t="s">
        <v>82</v>
      </c>
      <c r="E426" s="32">
        <v>25000</v>
      </c>
      <c r="F426" s="60">
        <f>E426*C426</f>
        <v>0</v>
      </c>
    </row>
    <row r="427" spans="1:6">
      <c r="A427" s="67"/>
      <c r="B427" s="35" t="s">
        <v>433</v>
      </c>
      <c r="C427" s="3"/>
      <c r="D427" s="66"/>
      <c r="E427" s="32"/>
      <c r="F427" s="68">
        <f>SUM(F398:F426)</f>
        <v>0</v>
      </c>
    </row>
    <row r="428" spans="1:6">
      <c r="A428" s="67"/>
      <c r="B428" s="35" t="s">
        <v>525</v>
      </c>
      <c r="C428" s="3"/>
      <c r="D428" s="66"/>
      <c r="E428" s="32">
        <v>5125</v>
      </c>
      <c r="F428" s="68"/>
    </row>
    <row r="429" spans="1:6" ht="297.5">
      <c r="A429" s="5" t="s">
        <v>526</v>
      </c>
      <c r="B429" s="23" t="s">
        <v>527</v>
      </c>
      <c r="C429" s="24"/>
      <c r="D429" s="25"/>
      <c r="E429" s="32"/>
      <c r="F429" s="60"/>
    </row>
    <row r="430" spans="1:6">
      <c r="A430" s="5"/>
      <c r="B430" s="23" t="s">
        <v>528</v>
      </c>
      <c r="C430" s="5"/>
      <c r="D430" s="25" t="s">
        <v>83</v>
      </c>
      <c r="E430" s="32">
        <v>5125</v>
      </c>
      <c r="F430" s="74">
        <f t="shared" ref="F430:F433" si="57">E430*C430</f>
        <v>0</v>
      </c>
    </row>
    <row r="431" spans="1:6">
      <c r="A431" s="5"/>
      <c r="B431" s="23" t="s">
        <v>529</v>
      </c>
      <c r="C431" s="5"/>
      <c r="D431" s="25" t="s">
        <v>83</v>
      </c>
      <c r="E431" s="32">
        <v>5875</v>
      </c>
      <c r="F431" s="74">
        <f t="shared" si="57"/>
        <v>0</v>
      </c>
    </row>
    <row r="432" spans="1:6">
      <c r="A432" s="5"/>
      <c r="B432" s="23" t="s">
        <v>530</v>
      </c>
      <c r="C432" s="5"/>
      <c r="D432" s="25" t="s">
        <v>83</v>
      </c>
      <c r="E432" s="32">
        <v>6625</v>
      </c>
      <c r="F432" s="74">
        <f t="shared" si="57"/>
        <v>0</v>
      </c>
    </row>
    <row r="433" spans="1:6">
      <c r="A433" s="5"/>
      <c r="B433" s="23" t="s">
        <v>531</v>
      </c>
      <c r="C433" s="5"/>
      <c r="D433" s="25" t="s">
        <v>83</v>
      </c>
      <c r="E433" s="32">
        <v>12500</v>
      </c>
      <c r="F433" s="74">
        <f t="shared" si="57"/>
        <v>0</v>
      </c>
    </row>
    <row r="434" spans="1:6">
      <c r="A434" s="67"/>
      <c r="B434" s="35" t="s">
        <v>532</v>
      </c>
      <c r="C434" s="3"/>
      <c r="D434" s="66"/>
      <c r="E434" s="66"/>
      <c r="F434" s="69">
        <f>SUM(F430:F433)</f>
        <v>0</v>
      </c>
    </row>
  </sheetData>
  <customSheetViews>
    <customSheetView guid="{5399B9A3-C514-4B3F-AA20-DF1128B22F93}" scale="70" showPageBreaks="1" fitToPage="1" printArea="1" hiddenRows="1" view="pageBreakPreview" topLeftCell="A424">
      <selection activeCell="E6" sqref="E6:E432"/>
      <rowBreaks count="6" manualBreakCount="6">
        <brk id="36" max="5" man="1"/>
        <brk id="97" max="5" man="1"/>
        <brk id="120" max="5" man="1"/>
        <brk id="173" max="5" man="1"/>
        <brk id="275" max="5" man="1"/>
        <brk id="301" max="5" man="1"/>
      </rowBreaks>
      <pageMargins left="0.55118110236220474" right="0.39370078740157483" top="0.39370078740157483" bottom="0.39370078740157483" header="0.51181102362204722" footer="0.11811023622047245"/>
      <printOptions horizontalCentered="1"/>
      <pageSetup paperSize="9" scale="57" fitToHeight="0" orientation="portrait" r:id="rId1"/>
      <headerFooter alignWithMargins="0">
        <oddFooter>&amp;C&amp;P OF &amp;N</oddFooter>
      </headerFooter>
    </customSheetView>
  </customSheetViews>
  <mergeCells count="3">
    <mergeCell ref="B1:E1"/>
    <mergeCell ref="A2:F2"/>
    <mergeCell ref="A3:F3"/>
  </mergeCells>
  <printOptions horizontalCentered="1"/>
  <pageMargins left="0.55118110236220474" right="0.39370078740157483" top="0.39370078740157483" bottom="0.39370078740157483" header="0.51181102362204722" footer="0.11811023622047245"/>
  <pageSetup paperSize="9" scale="57" fitToHeight="0" orientation="portrait" r:id="rId2"/>
  <headerFooter alignWithMargins="0">
    <oddFooter>&amp;C&amp;P OF &amp;N</oddFooter>
  </headerFooter>
  <rowBreaks count="6" manualBreakCount="6">
    <brk id="36" max="5" man="1"/>
    <brk id="97" max="5" man="1"/>
    <brk id="120" max="5" man="1"/>
    <brk id="173" max="5" man="1"/>
    <brk id="275" max="5" man="1"/>
    <brk id="301" max="5" man="1"/>
  </rowBreak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436"/>
  <sheetViews>
    <sheetView view="pageBreakPreview" zoomScale="70" zoomScaleNormal="70" zoomScaleSheetLayoutView="70" workbookViewId="0">
      <selection activeCell="A3" sqref="A3:F3"/>
    </sheetView>
  </sheetViews>
  <sheetFormatPr defaultColWidth="9.1796875" defaultRowHeight="18.5"/>
  <cols>
    <col min="1" max="1" width="22.453125" style="46" customWidth="1"/>
    <col min="2" max="2" width="66.1796875" style="47" customWidth="1"/>
    <col min="3" max="3" width="18.81640625" style="46" customWidth="1"/>
    <col min="4" max="4" width="17.81640625" style="2" customWidth="1"/>
    <col min="5" max="5" width="17.81640625" style="15" customWidth="1"/>
    <col min="6" max="6" width="21.453125" style="2" customWidth="1"/>
    <col min="7" max="16384" width="9.1796875" style="1"/>
  </cols>
  <sheetData>
    <row r="1" spans="1:9" ht="66" customHeight="1">
      <c r="A1" s="62"/>
      <c r="B1" s="210" t="s">
        <v>621</v>
      </c>
      <c r="C1" s="210"/>
      <c r="D1" s="210"/>
      <c r="E1" s="210"/>
      <c r="F1" s="61"/>
    </row>
    <row r="2" spans="1:9" ht="74.25" customHeight="1">
      <c r="A2" s="218" t="s">
        <v>650</v>
      </c>
      <c r="B2" s="219"/>
      <c r="C2" s="219"/>
      <c r="D2" s="219"/>
      <c r="E2" s="219"/>
      <c r="F2" s="220"/>
      <c r="I2" s="1" t="s">
        <v>653</v>
      </c>
    </row>
    <row r="3" spans="1:9" ht="21">
      <c r="A3" s="222" t="s">
        <v>270</v>
      </c>
      <c r="B3" s="222"/>
      <c r="C3" s="222"/>
      <c r="D3" s="222"/>
      <c r="E3" s="222"/>
      <c r="F3" s="222"/>
    </row>
    <row r="4" spans="1:9">
      <c r="A4" s="52" t="s">
        <v>152</v>
      </c>
      <c r="B4" s="52" t="s">
        <v>153</v>
      </c>
      <c r="C4" s="71" t="s">
        <v>79</v>
      </c>
      <c r="D4" s="72" t="s">
        <v>57</v>
      </c>
      <c r="E4" s="71" t="s">
        <v>58</v>
      </c>
      <c r="F4" s="72" t="s">
        <v>59</v>
      </c>
    </row>
    <row r="5" spans="1:9" ht="17.5" customHeight="1">
      <c r="A5" s="3"/>
      <c r="B5" s="22" t="s">
        <v>167</v>
      </c>
      <c r="C5" s="3"/>
      <c r="D5" s="4"/>
      <c r="E5" s="73"/>
      <c r="F5" s="4"/>
    </row>
    <row r="6" spans="1:9" ht="97.5" customHeight="1">
      <c r="A6" s="5" t="s">
        <v>168</v>
      </c>
      <c r="B6" s="28" t="s">
        <v>480</v>
      </c>
      <c r="C6" s="49">
        <v>140</v>
      </c>
      <c r="D6" s="24" t="s">
        <v>78</v>
      </c>
      <c r="E6" s="24">
        <v>35</v>
      </c>
      <c r="F6" s="74">
        <f>E6*C6</f>
        <v>4900</v>
      </c>
    </row>
    <row r="7" spans="1:9" ht="97.5" customHeight="1">
      <c r="A7" s="5" t="s">
        <v>557</v>
      </c>
      <c r="B7" s="28" t="s">
        <v>599</v>
      </c>
      <c r="C7" s="49"/>
      <c r="D7" s="24" t="s">
        <v>78</v>
      </c>
      <c r="E7" s="24">
        <v>25</v>
      </c>
      <c r="F7" s="74">
        <f>E7*C7</f>
        <v>0</v>
      </c>
    </row>
    <row r="8" spans="1:9" ht="256.5" customHeight="1">
      <c r="A8" s="5" t="s">
        <v>24</v>
      </c>
      <c r="B8" s="23" t="s">
        <v>401</v>
      </c>
      <c r="C8" s="5"/>
      <c r="D8" s="26"/>
      <c r="E8" s="24"/>
      <c r="F8" s="75"/>
    </row>
    <row r="9" spans="1:9">
      <c r="A9" s="5"/>
      <c r="B9" s="23" t="s">
        <v>28</v>
      </c>
      <c r="C9" s="5">
        <v>27</v>
      </c>
      <c r="D9" s="26" t="s">
        <v>80</v>
      </c>
      <c r="E9" s="24">
        <v>250</v>
      </c>
      <c r="F9" s="74">
        <f>E9*C9</f>
        <v>6750</v>
      </c>
    </row>
    <row r="10" spans="1:9">
      <c r="A10" s="5"/>
      <c r="B10" s="23" t="s">
        <v>197</v>
      </c>
      <c r="C10" s="5"/>
      <c r="D10" s="26" t="s">
        <v>80</v>
      </c>
      <c r="E10" s="24">
        <v>285</v>
      </c>
      <c r="F10" s="74">
        <f t="shared" ref="F10" si="0">E10*C10</f>
        <v>0</v>
      </c>
    </row>
    <row r="11" spans="1:9">
      <c r="A11" s="5"/>
      <c r="B11" s="23" t="s">
        <v>26</v>
      </c>
      <c r="C11" s="63"/>
      <c r="D11" s="26" t="s">
        <v>80</v>
      </c>
      <c r="E11" s="24">
        <v>350</v>
      </c>
      <c r="F11" s="74">
        <f>E11*C11</f>
        <v>0</v>
      </c>
    </row>
    <row r="12" spans="1:9">
      <c r="A12" s="5"/>
      <c r="B12" s="23" t="s">
        <v>27</v>
      </c>
      <c r="C12" s="24"/>
      <c r="D12" s="26" t="s">
        <v>80</v>
      </c>
      <c r="E12" s="24">
        <v>450</v>
      </c>
      <c r="F12" s="74"/>
    </row>
    <row r="13" spans="1:9">
      <c r="A13" s="5"/>
      <c r="B13" s="23" t="s">
        <v>213</v>
      </c>
      <c r="C13" s="24"/>
      <c r="D13" s="26" t="s">
        <v>80</v>
      </c>
      <c r="E13" s="24">
        <v>575</v>
      </c>
      <c r="F13" s="74"/>
    </row>
    <row r="14" spans="1:9" ht="128.15" customHeight="1">
      <c r="A14" s="5" t="s">
        <v>25</v>
      </c>
      <c r="B14" s="28" t="s">
        <v>600</v>
      </c>
      <c r="C14" s="49"/>
      <c r="D14" s="7"/>
      <c r="E14" s="24"/>
      <c r="F14" s="75"/>
    </row>
    <row r="15" spans="1:9">
      <c r="A15" s="5"/>
      <c r="B15" s="23" t="s">
        <v>402</v>
      </c>
      <c r="C15" s="63">
        <v>3</v>
      </c>
      <c r="D15" s="26" t="s">
        <v>80</v>
      </c>
      <c r="E15" s="24">
        <v>490</v>
      </c>
      <c r="F15" s="74">
        <f t="shared" ref="F15:F16" si="1">E15*C15</f>
        <v>1470</v>
      </c>
    </row>
    <row r="16" spans="1:9">
      <c r="A16" s="5"/>
      <c r="B16" s="23" t="s">
        <v>403</v>
      </c>
      <c r="C16" s="63">
        <v>2</v>
      </c>
      <c r="D16" s="26" t="s">
        <v>80</v>
      </c>
      <c r="E16" s="24">
        <v>1025</v>
      </c>
      <c r="F16" s="74">
        <f t="shared" si="1"/>
        <v>2050</v>
      </c>
    </row>
    <row r="17" spans="1:6">
      <c r="A17" s="5"/>
      <c r="B17" s="23" t="s">
        <v>404</v>
      </c>
      <c r="C17" s="63"/>
      <c r="D17" s="26" t="s">
        <v>80</v>
      </c>
      <c r="E17" s="24">
        <v>1150</v>
      </c>
      <c r="F17" s="74"/>
    </row>
    <row r="18" spans="1:6" ht="57.65" customHeight="1">
      <c r="A18" s="5" t="s">
        <v>29</v>
      </c>
      <c r="B18" s="23" t="s">
        <v>405</v>
      </c>
      <c r="C18" s="63">
        <v>17</v>
      </c>
      <c r="D18" s="26" t="s">
        <v>80</v>
      </c>
      <c r="E18" s="24">
        <v>150</v>
      </c>
      <c r="F18" s="74">
        <f>E18*C18</f>
        <v>2550</v>
      </c>
    </row>
    <row r="19" spans="1:6" ht="66.75" customHeight="1">
      <c r="A19" s="5" t="s">
        <v>554</v>
      </c>
      <c r="B19" s="23" t="s">
        <v>601</v>
      </c>
      <c r="C19" s="63"/>
      <c r="D19" s="26"/>
      <c r="E19" s="24"/>
      <c r="F19" s="74"/>
    </row>
    <row r="20" spans="1:6">
      <c r="A20" s="5"/>
      <c r="B20" s="23" t="s">
        <v>555</v>
      </c>
      <c r="C20" s="63"/>
      <c r="D20" s="26" t="s">
        <v>80</v>
      </c>
      <c r="E20" s="24">
        <v>100</v>
      </c>
      <c r="F20" s="74">
        <f>E20*C20</f>
        <v>0</v>
      </c>
    </row>
    <row r="21" spans="1:6">
      <c r="A21" s="5"/>
      <c r="B21" s="23" t="s">
        <v>556</v>
      </c>
      <c r="C21" s="63"/>
      <c r="D21" s="26" t="s">
        <v>82</v>
      </c>
      <c r="E21" s="24">
        <v>3500</v>
      </c>
      <c r="F21" s="74"/>
    </row>
    <row r="22" spans="1:6" ht="128.5" customHeight="1">
      <c r="A22" s="5" t="s">
        <v>30</v>
      </c>
      <c r="B22" s="23" t="s">
        <v>500</v>
      </c>
      <c r="C22" s="5"/>
      <c r="D22" s="7"/>
      <c r="E22" s="24"/>
      <c r="F22" s="75"/>
    </row>
    <row r="23" spans="1:6">
      <c r="A23" s="5"/>
      <c r="B23" s="23" t="s">
        <v>222</v>
      </c>
      <c r="C23" s="24"/>
      <c r="D23" s="26" t="s">
        <v>169</v>
      </c>
      <c r="E23" s="24">
        <v>517</v>
      </c>
      <c r="F23" s="75"/>
    </row>
    <row r="24" spans="1:6" ht="55.5">
      <c r="A24" s="5"/>
      <c r="B24" s="23" t="s">
        <v>274</v>
      </c>
      <c r="C24" s="63">
        <v>13</v>
      </c>
      <c r="D24" s="26" t="s">
        <v>169</v>
      </c>
      <c r="E24" s="24">
        <v>310</v>
      </c>
      <c r="F24" s="74">
        <f t="shared" ref="F24" si="2">E24*C24</f>
        <v>4030</v>
      </c>
    </row>
    <row r="25" spans="1:6" ht="55.5">
      <c r="A25" s="5"/>
      <c r="B25" s="23" t="s">
        <v>275</v>
      </c>
      <c r="C25" s="63"/>
      <c r="D25" s="26" t="s">
        <v>169</v>
      </c>
      <c r="E25" s="24">
        <v>150</v>
      </c>
      <c r="F25" s="74">
        <f>E25*C25</f>
        <v>0</v>
      </c>
    </row>
    <row r="26" spans="1:6" ht="166.5">
      <c r="A26" s="5" t="s">
        <v>43</v>
      </c>
      <c r="B26" s="28" t="s">
        <v>611</v>
      </c>
      <c r="C26" s="49"/>
      <c r="D26" s="7"/>
      <c r="E26" s="24"/>
      <c r="F26" s="75"/>
    </row>
    <row r="27" spans="1:6">
      <c r="A27" s="5"/>
      <c r="B27" s="30" t="s">
        <v>209</v>
      </c>
      <c r="C27" s="24"/>
      <c r="D27" s="26" t="s">
        <v>73</v>
      </c>
      <c r="E27" s="24">
        <v>300</v>
      </c>
      <c r="F27" s="74"/>
    </row>
    <row r="28" spans="1:6">
      <c r="A28" s="5"/>
      <c r="B28" s="30" t="s">
        <v>210</v>
      </c>
      <c r="C28" s="24"/>
      <c r="D28" s="26" t="s">
        <v>73</v>
      </c>
      <c r="E28" s="24">
        <v>350</v>
      </c>
      <c r="F28" s="74">
        <f t="shared" ref="F28:F30" si="3">E28*C28</f>
        <v>0</v>
      </c>
    </row>
    <row r="29" spans="1:6">
      <c r="A29" s="5"/>
      <c r="B29" s="30" t="s">
        <v>263</v>
      </c>
      <c r="C29" s="20">
        <v>84</v>
      </c>
      <c r="D29" s="26" t="s">
        <v>73</v>
      </c>
      <c r="E29" s="24">
        <v>425</v>
      </c>
      <c r="F29" s="74">
        <f t="shared" si="3"/>
        <v>35700</v>
      </c>
    </row>
    <row r="30" spans="1:6">
      <c r="A30" s="5"/>
      <c r="B30" s="30" t="s">
        <v>264</v>
      </c>
      <c r="C30" s="24"/>
      <c r="D30" s="26" t="s">
        <v>73</v>
      </c>
      <c r="E30" s="24">
        <v>495</v>
      </c>
      <c r="F30" s="74">
        <f t="shared" si="3"/>
        <v>0</v>
      </c>
    </row>
    <row r="31" spans="1:6" ht="57.65" customHeight="1">
      <c r="A31" s="5" t="s">
        <v>211</v>
      </c>
      <c r="B31" s="31" t="s">
        <v>212</v>
      </c>
      <c r="C31" s="50"/>
      <c r="D31" s="7"/>
      <c r="E31" s="32"/>
      <c r="F31" s="75"/>
    </row>
    <row r="32" spans="1:6">
      <c r="A32" s="5"/>
      <c r="B32" s="30" t="s">
        <v>209</v>
      </c>
      <c r="C32" s="24"/>
      <c r="D32" s="26" t="s">
        <v>71</v>
      </c>
      <c r="E32" s="24">
        <v>300</v>
      </c>
      <c r="F32" s="74"/>
    </row>
    <row r="33" spans="1:6">
      <c r="A33" s="5"/>
      <c r="B33" s="30" t="s">
        <v>210</v>
      </c>
      <c r="C33" s="24"/>
      <c r="D33" s="26" t="s">
        <v>71</v>
      </c>
      <c r="E33" s="24">
        <v>400</v>
      </c>
      <c r="F33" s="74"/>
    </row>
    <row r="34" spans="1:6">
      <c r="A34" s="5"/>
      <c r="B34" s="30" t="s">
        <v>263</v>
      </c>
      <c r="C34" s="24"/>
      <c r="D34" s="26" t="s">
        <v>71</v>
      </c>
      <c r="E34" s="24">
        <v>450</v>
      </c>
      <c r="F34" s="74"/>
    </row>
    <row r="35" spans="1:6">
      <c r="A35" s="5"/>
      <c r="B35" s="30" t="s">
        <v>264</v>
      </c>
      <c r="C35" s="24"/>
      <c r="D35" s="26" t="s">
        <v>71</v>
      </c>
      <c r="E35" s="24">
        <v>500</v>
      </c>
      <c r="F35" s="74"/>
    </row>
    <row r="36" spans="1:6">
      <c r="A36" s="67"/>
      <c r="B36" s="22" t="s">
        <v>31</v>
      </c>
      <c r="C36" s="3"/>
      <c r="D36" s="4"/>
      <c r="E36" s="4"/>
      <c r="F36" s="76">
        <f>SUM(F6:F35)</f>
        <v>57450</v>
      </c>
    </row>
    <row r="37" spans="1:6" ht="17.5" customHeight="1">
      <c r="A37" s="67"/>
      <c r="B37" s="22" t="s">
        <v>66</v>
      </c>
      <c r="C37" s="3"/>
      <c r="D37" s="4"/>
      <c r="E37" s="4"/>
      <c r="F37" s="73"/>
    </row>
    <row r="38" spans="1:6" ht="93.65" customHeight="1">
      <c r="A38" s="5" t="s">
        <v>32</v>
      </c>
      <c r="B38" s="23" t="s">
        <v>406</v>
      </c>
      <c r="C38" s="5"/>
      <c r="D38" s="7"/>
      <c r="E38" s="24"/>
      <c r="F38" s="25"/>
    </row>
    <row r="39" spans="1:6">
      <c r="A39" s="5"/>
      <c r="B39" s="23" t="s">
        <v>34</v>
      </c>
      <c r="C39" s="24">
        <v>2</v>
      </c>
      <c r="D39" s="26" t="s">
        <v>80</v>
      </c>
      <c r="E39" s="24">
        <v>4100</v>
      </c>
      <c r="F39" s="74">
        <f>E39*C39</f>
        <v>8200</v>
      </c>
    </row>
    <row r="40" spans="1:6">
      <c r="A40" s="5"/>
      <c r="B40" s="23" t="s">
        <v>35</v>
      </c>
      <c r="C40" s="20"/>
      <c r="D40" s="26" t="s">
        <v>80</v>
      </c>
      <c r="E40" s="24">
        <v>4175</v>
      </c>
      <c r="F40" s="74">
        <f t="shared" ref="F40" si="4">E40*C40</f>
        <v>0</v>
      </c>
    </row>
    <row r="41" spans="1:6" ht="288.75" customHeight="1">
      <c r="A41" s="5" t="s">
        <v>33</v>
      </c>
      <c r="B41" s="38" t="s">
        <v>413</v>
      </c>
      <c r="C41" s="51"/>
      <c r="D41" s="7"/>
      <c r="E41" s="32"/>
      <c r="F41" s="75"/>
    </row>
    <row r="42" spans="1:6">
      <c r="A42" s="5"/>
      <c r="B42" s="21" t="s">
        <v>538</v>
      </c>
      <c r="C42" s="52"/>
      <c r="D42" s="7"/>
      <c r="E42" s="32"/>
      <c r="F42" s="75"/>
    </row>
    <row r="43" spans="1:6">
      <c r="A43" s="5"/>
      <c r="B43" s="28" t="s">
        <v>250</v>
      </c>
      <c r="C43" s="24"/>
      <c r="D43" s="26" t="s">
        <v>80</v>
      </c>
      <c r="E43" s="24">
        <v>5450</v>
      </c>
      <c r="F43" s="74"/>
    </row>
    <row r="44" spans="1:6">
      <c r="A44" s="49"/>
      <c r="B44" s="28" t="s">
        <v>296</v>
      </c>
      <c r="C44" s="24"/>
      <c r="D44" s="26" t="s">
        <v>80</v>
      </c>
      <c r="E44" s="24">
        <v>5950</v>
      </c>
      <c r="F44" s="75"/>
    </row>
    <row r="45" spans="1:6">
      <c r="A45" s="5"/>
      <c r="B45" s="21" t="s">
        <v>537</v>
      </c>
      <c r="C45" s="52"/>
      <c r="D45" s="7"/>
      <c r="E45" s="32"/>
      <c r="F45" s="75"/>
    </row>
    <row r="46" spans="1:6">
      <c r="A46" s="5"/>
      <c r="B46" s="28" t="s">
        <v>250</v>
      </c>
      <c r="C46" s="24">
        <v>13</v>
      </c>
      <c r="D46" s="32" t="s">
        <v>80</v>
      </c>
      <c r="E46" s="24">
        <v>5850</v>
      </c>
      <c r="F46" s="74">
        <f>E46*C46</f>
        <v>76050</v>
      </c>
    </row>
    <row r="47" spans="1:6">
      <c r="A47" s="49"/>
      <c r="B47" s="28" t="s">
        <v>612</v>
      </c>
      <c r="C47" s="24">
        <v>28</v>
      </c>
      <c r="D47" s="32" t="s">
        <v>80</v>
      </c>
      <c r="E47" s="24">
        <v>6175</v>
      </c>
      <c r="F47" s="74">
        <f>E47*C47</f>
        <v>172900</v>
      </c>
    </row>
    <row r="48" spans="1:6">
      <c r="A48" s="49"/>
      <c r="B48" s="28" t="s">
        <v>613</v>
      </c>
      <c r="C48" s="24"/>
      <c r="D48" s="32" t="s">
        <v>80</v>
      </c>
      <c r="E48" s="24">
        <v>6350</v>
      </c>
      <c r="F48" s="74"/>
    </row>
    <row r="49" spans="1:6" ht="37">
      <c r="A49" s="5"/>
      <c r="B49" s="21" t="s">
        <v>443</v>
      </c>
      <c r="C49" s="24"/>
      <c r="D49" s="26" t="s">
        <v>80</v>
      </c>
      <c r="E49" s="24">
        <v>950</v>
      </c>
      <c r="F49" s="74"/>
    </row>
    <row r="50" spans="1:6" ht="55.5">
      <c r="A50" s="5" t="s">
        <v>536</v>
      </c>
      <c r="B50" s="61" t="s">
        <v>535</v>
      </c>
      <c r="C50" s="62"/>
      <c r="D50" s="8"/>
      <c r="E50" s="24"/>
      <c r="F50" s="74"/>
    </row>
    <row r="51" spans="1:6" ht="297" customHeight="1">
      <c r="A51" s="5"/>
      <c r="B51" s="38" t="s">
        <v>541</v>
      </c>
      <c r="C51" s="53"/>
      <c r="D51" s="8"/>
      <c r="E51" s="24"/>
      <c r="F51" s="74"/>
    </row>
    <row r="52" spans="1:6">
      <c r="A52" s="5" t="s">
        <v>461</v>
      </c>
      <c r="B52" s="43" t="s">
        <v>542</v>
      </c>
      <c r="C52" s="53"/>
      <c r="D52" s="8"/>
      <c r="E52" s="24"/>
      <c r="F52" s="74"/>
    </row>
    <row r="53" spans="1:6">
      <c r="A53" s="53"/>
      <c r="B53" s="43" t="s">
        <v>459</v>
      </c>
      <c r="C53" s="24"/>
      <c r="D53" s="25" t="s">
        <v>439</v>
      </c>
      <c r="E53" s="24">
        <v>5450</v>
      </c>
      <c r="F53" s="74"/>
    </row>
    <row r="54" spans="1:6">
      <c r="A54" s="53"/>
      <c r="B54" s="43" t="s">
        <v>460</v>
      </c>
      <c r="C54" s="6"/>
      <c r="D54" s="25" t="s">
        <v>439</v>
      </c>
      <c r="E54" s="24">
        <v>5850</v>
      </c>
      <c r="F54" s="74">
        <f>E54*C54</f>
        <v>0</v>
      </c>
    </row>
    <row r="55" spans="1:6" ht="37">
      <c r="A55" s="53"/>
      <c r="B55" s="21" t="s">
        <v>443</v>
      </c>
      <c r="C55" s="24"/>
      <c r="D55" s="25" t="s">
        <v>439</v>
      </c>
      <c r="E55" s="24">
        <v>950</v>
      </c>
      <c r="F55" s="74"/>
    </row>
    <row r="56" spans="1:6" ht="30.75" customHeight="1">
      <c r="A56" s="5" t="s">
        <v>462</v>
      </c>
      <c r="B56" s="43" t="s">
        <v>463</v>
      </c>
      <c r="C56" s="53"/>
      <c r="D56" s="8"/>
      <c r="E56" s="24"/>
      <c r="F56" s="74"/>
    </row>
    <row r="57" spans="1:6">
      <c r="A57" s="53"/>
      <c r="B57" s="45" t="s">
        <v>440</v>
      </c>
      <c r="C57" s="54"/>
      <c r="D57" s="8"/>
      <c r="E57" s="24"/>
      <c r="F57" s="74"/>
    </row>
    <row r="58" spans="1:6">
      <c r="A58" s="53"/>
      <c r="B58" s="43" t="s">
        <v>305</v>
      </c>
      <c r="C58" s="6"/>
      <c r="D58" s="25" t="s">
        <v>439</v>
      </c>
      <c r="E58" s="24">
        <v>5700</v>
      </c>
      <c r="F58" s="74">
        <f>E58*C58</f>
        <v>0</v>
      </c>
    </row>
    <row r="59" spans="1:6">
      <c r="A59" s="53"/>
      <c r="B59" s="43" t="s">
        <v>441</v>
      </c>
      <c r="C59" s="24"/>
      <c r="D59" s="25" t="s">
        <v>439</v>
      </c>
      <c r="E59" s="24"/>
      <c r="F59" s="74"/>
    </row>
    <row r="60" spans="1:6">
      <c r="A60" s="53"/>
      <c r="B60" s="45" t="s">
        <v>442</v>
      </c>
      <c r="C60" s="54"/>
      <c r="D60" s="26"/>
      <c r="E60" s="24"/>
      <c r="F60" s="74"/>
    </row>
    <row r="61" spans="1:6">
      <c r="A61" s="53"/>
      <c r="B61" s="28" t="s">
        <v>305</v>
      </c>
      <c r="C61" s="6"/>
      <c r="D61" s="25" t="s">
        <v>439</v>
      </c>
      <c r="E61" s="24">
        <v>5900</v>
      </c>
      <c r="F61" s="74">
        <f>E61*C61</f>
        <v>0</v>
      </c>
    </row>
    <row r="62" spans="1:6">
      <c r="A62" s="53"/>
      <c r="B62" s="28" t="s">
        <v>456</v>
      </c>
      <c r="C62" s="24"/>
      <c r="D62" s="25" t="s">
        <v>439</v>
      </c>
      <c r="E62" s="24">
        <v>6650</v>
      </c>
      <c r="F62" s="74"/>
    </row>
    <row r="63" spans="1:6" ht="37">
      <c r="A63" s="53"/>
      <c r="B63" s="21" t="s">
        <v>443</v>
      </c>
      <c r="C63" s="24"/>
      <c r="D63" s="25" t="s">
        <v>439</v>
      </c>
      <c r="E63" s="24">
        <v>950</v>
      </c>
      <c r="F63" s="74"/>
    </row>
    <row r="64" spans="1:6" ht="129.5">
      <c r="A64" s="49" t="s">
        <v>412</v>
      </c>
      <c r="B64" s="28" t="s">
        <v>415</v>
      </c>
      <c r="C64" s="49"/>
      <c r="D64" s="7"/>
      <c r="E64" s="24"/>
      <c r="F64" s="75"/>
    </row>
    <row r="65" spans="1:6">
      <c r="A65" s="49"/>
      <c r="B65" s="29" t="s">
        <v>209</v>
      </c>
      <c r="C65" s="20"/>
      <c r="D65" s="32" t="s">
        <v>80</v>
      </c>
      <c r="E65" s="24">
        <v>5600</v>
      </c>
      <c r="F65" s="77"/>
    </row>
    <row r="66" spans="1:6">
      <c r="A66" s="49"/>
      <c r="B66" s="29" t="s">
        <v>210</v>
      </c>
      <c r="C66" s="20"/>
      <c r="D66" s="32" t="s">
        <v>80</v>
      </c>
      <c r="E66" s="24">
        <v>5369</v>
      </c>
      <c r="F66" s="74">
        <f t="shared" ref="F66:F68" si="5">E66*C66</f>
        <v>0</v>
      </c>
    </row>
    <row r="67" spans="1:6">
      <c r="A67" s="49"/>
      <c r="B67" s="29" t="s">
        <v>262</v>
      </c>
      <c r="C67" s="20"/>
      <c r="D67" s="32" t="s">
        <v>80</v>
      </c>
      <c r="E67" s="24">
        <v>5650</v>
      </c>
      <c r="F67" s="74">
        <f t="shared" si="5"/>
        <v>0</v>
      </c>
    </row>
    <row r="68" spans="1:6">
      <c r="A68" s="49"/>
      <c r="B68" s="29" t="s">
        <v>253</v>
      </c>
      <c r="C68" s="20"/>
      <c r="D68" s="32" t="s">
        <v>80</v>
      </c>
      <c r="E68" s="24">
        <v>5650</v>
      </c>
      <c r="F68" s="74">
        <f t="shared" si="5"/>
        <v>0</v>
      </c>
    </row>
    <row r="69" spans="1:6" ht="200.25" customHeight="1">
      <c r="A69" s="49" t="s">
        <v>414</v>
      </c>
      <c r="B69" s="17" t="s">
        <v>394</v>
      </c>
      <c r="C69" s="5"/>
      <c r="D69" s="32"/>
      <c r="E69" s="24"/>
      <c r="F69" s="77"/>
    </row>
    <row r="70" spans="1:6">
      <c r="A70" s="49"/>
      <c r="B70" s="29" t="s">
        <v>395</v>
      </c>
      <c r="C70" s="24"/>
      <c r="D70" s="32" t="s">
        <v>80</v>
      </c>
      <c r="E70" s="24">
        <v>9500</v>
      </c>
      <c r="F70" s="77"/>
    </row>
    <row r="71" spans="1:6">
      <c r="A71" s="49"/>
      <c r="B71" s="29" t="s">
        <v>396</v>
      </c>
      <c r="C71" s="24"/>
      <c r="D71" s="32" t="s">
        <v>80</v>
      </c>
      <c r="E71" s="24">
        <v>9500</v>
      </c>
      <c r="F71" s="77"/>
    </row>
    <row r="72" spans="1:6" ht="296">
      <c r="A72" s="49" t="s">
        <v>464</v>
      </c>
      <c r="B72" s="28" t="s">
        <v>481</v>
      </c>
      <c r="C72" s="5"/>
      <c r="D72" s="32"/>
      <c r="E72" s="24"/>
      <c r="F72" s="77"/>
    </row>
    <row r="73" spans="1:6">
      <c r="A73" s="49"/>
      <c r="B73" s="19" t="s">
        <v>425</v>
      </c>
      <c r="C73" s="52"/>
      <c r="D73" s="32"/>
      <c r="E73" s="24"/>
      <c r="F73" s="77"/>
    </row>
    <row r="74" spans="1:6">
      <c r="A74" s="49"/>
      <c r="B74" s="28" t="s">
        <v>250</v>
      </c>
      <c r="C74" s="5"/>
      <c r="D74" s="32" t="s">
        <v>80</v>
      </c>
      <c r="E74" s="24">
        <v>5750</v>
      </c>
      <c r="F74" s="74">
        <f>E74*C74</f>
        <v>0</v>
      </c>
    </row>
    <row r="75" spans="1:6">
      <c r="A75" s="49"/>
      <c r="B75" s="28" t="s">
        <v>296</v>
      </c>
      <c r="C75" s="24"/>
      <c r="D75" s="32" t="s">
        <v>80</v>
      </c>
      <c r="E75" s="24">
        <v>6650</v>
      </c>
      <c r="F75" s="77"/>
    </row>
    <row r="76" spans="1:6">
      <c r="A76" s="49"/>
      <c r="B76" s="28" t="s">
        <v>297</v>
      </c>
      <c r="C76" s="24"/>
      <c r="D76" s="32" t="s">
        <v>80</v>
      </c>
      <c r="E76" s="24">
        <v>6850</v>
      </c>
      <c r="F76" s="77"/>
    </row>
    <row r="77" spans="1:6">
      <c r="A77" s="49"/>
      <c r="B77" s="28" t="s">
        <v>298</v>
      </c>
      <c r="C77" s="24"/>
      <c r="D77" s="32" t="s">
        <v>80</v>
      </c>
      <c r="E77" s="24">
        <v>7250</v>
      </c>
      <c r="F77" s="77"/>
    </row>
    <row r="78" spans="1:6" ht="57.65" customHeight="1">
      <c r="A78" s="25" t="s">
        <v>36</v>
      </c>
      <c r="B78" s="23" t="s">
        <v>249</v>
      </c>
      <c r="C78" s="25"/>
      <c r="D78" s="9"/>
      <c r="E78" s="24"/>
      <c r="F78" s="75"/>
    </row>
    <row r="79" spans="1:6" s="10" customFormat="1">
      <c r="A79" s="25"/>
      <c r="B79" s="34" t="s">
        <v>266</v>
      </c>
      <c r="C79" s="88"/>
      <c r="D79" s="33" t="s">
        <v>85</v>
      </c>
      <c r="E79" s="24">
        <v>175</v>
      </c>
      <c r="F79" s="74">
        <f>E79*C79</f>
        <v>0</v>
      </c>
    </row>
    <row r="80" spans="1:6" s="10" customFormat="1" ht="225" customHeight="1">
      <c r="A80" s="25" t="s">
        <v>37</v>
      </c>
      <c r="B80" s="23" t="s">
        <v>602</v>
      </c>
      <c r="C80" s="5"/>
      <c r="D80" s="9"/>
      <c r="E80" s="24"/>
      <c r="F80" s="75"/>
    </row>
    <row r="81" spans="1:6" s="10" customFormat="1">
      <c r="A81" s="25"/>
      <c r="B81" s="34" t="s">
        <v>258</v>
      </c>
      <c r="C81" s="24">
        <v>6</v>
      </c>
      <c r="D81" s="27" t="s">
        <v>191</v>
      </c>
      <c r="E81" s="24">
        <v>69500</v>
      </c>
      <c r="F81" s="74">
        <f>E81*C81</f>
        <v>417000</v>
      </c>
    </row>
    <row r="82" spans="1:6" s="10" customFormat="1" ht="203.5">
      <c r="A82" s="25" t="s">
        <v>38</v>
      </c>
      <c r="B82" s="23" t="s">
        <v>501</v>
      </c>
      <c r="C82" s="5"/>
      <c r="D82" s="9"/>
      <c r="E82" s="24"/>
      <c r="F82" s="75"/>
    </row>
    <row r="83" spans="1:6" ht="22.5" customHeight="1">
      <c r="A83" s="5"/>
      <c r="B83" s="28" t="s">
        <v>250</v>
      </c>
      <c r="C83" s="24"/>
      <c r="D83" s="32" t="s">
        <v>81</v>
      </c>
      <c r="E83" s="24">
        <v>550</v>
      </c>
      <c r="F83" s="74">
        <f>C83*E83</f>
        <v>0</v>
      </c>
    </row>
    <row r="84" spans="1:6">
      <c r="A84" s="5"/>
      <c r="B84" s="28" t="s">
        <v>296</v>
      </c>
      <c r="C84" s="24"/>
      <c r="D84" s="32" t="s">
        <v>81</v>
      </c>
      <c r="E84" s="24">
        <v>625</v>
      </c>
      <c r="F84" s="74">
        <f>C84*E84</f>
        <v>0</v>
      </c>
    </row>
    <row r="85" spans="1:6" s="10" customFormat="1" ht="240.5">
      <c r="A85" s="5" t="s">
        <v>39</v>
      </c>
      <c r="B85" s="28" t="s">
        <v>233</v>
      </c>
      <c r="C85" s="49"/>
      <c r="D85" s="8"/>
      <c r="E85" s="24"/>
      <c r="F85" s="78"/>
    </row>
    <row r="86" spans="1:6" ht="20.25" customHeight="1">
      <c r="A86" s="5"/>
      <c r="B86" s="28" t="s">
        <v>250</v>
      </c>
      <c r="C86" s="24">
        <v>70</v>
      </c>
      <c r="D86" s="32" t="s">
        <v>81</v>
      </c>
      <c r="E86" s="24">
        <v>575</v>
      </c>
      <c r="F86" s="74">
        <f>C86*E86</f>
        <v>40250</v>
      </c>
    </row>
    <row r="87" spans="1:6">
      <c r="A87" s="5"/>
      <c r="B87" s="28" t="s">
        <v>296</v>
      </c>
      <c r="C87" s="24">
        <v>236</v>
      </c>
      <c r="D87" s="32" t="s">
        <v>81</v>
      </c>
      <c r="E87" s="24">
        <v>650</v>
      </c>
      <c r="F87" s="74">
        <f t="shared" ref="F87" si="6">E87*C87</f>
        <v>153400</v>
      </c>
    </row>
    <row r="88" spans="1:6">
      <c r="A88" s="49"/>
      <c r="B88" s="28" t="s">
        <v>299</v>
      </c>
      <c r="C88" s="24"/>
      <c r="D88" s="32" t="s">
        <v>81</v>
      </c>
      <c r="E88" s="24">
        <v>725</v>
      </c>
      <c r="F88" s="74"/>
    </row>
    <row r="89" spans="1:6">
      <c r="A89" s="49"/>
      <c r="B89" s="28" t="s">
        <v>300</v>
      </c>
      <c r="C89" s="24"/>
      <c r="D89" s="32" t="s">
        <v>81</v>
      </c>
      <c r="E89" s="24">
        <v>850</v>
      </c>
      <c r="F89" s="74"/>
    </row>
    <row r="90" spans="1:6" ht="81.650000000000006" customHeight="1">
      <c r="A90" s="49" t="s">
        <v>54</v>
      </c>
      <c r="B90" s="28" t="s">
        <v>416</v>
      </c>
      <c r="C90" s="24">
        <v>0.1</v>
      </c>
      <c r="D90" s="26" t="s">
        <v>80</v>
      </c>
      <c r="E90" s="24">
        <v>52500</v>
      </c>
      <c r="F90" s="74">
        <f>E90*C90</f>
        <v>5250</v>
      </c>
    </row>
    <row r="91" spans="1:6" ht="74">
      <c r="A91" s="49" t="s">
        <v>55</v>
      </c>
      <c r="B91" s="28" t="s">
        <v>244</v>
      </c>
      <c r="C91" s="87"/>
      <c r="D91" s="49" t="s">
        <v>83</v>
      </c>
      <c r="E91" s="49">
        <v>550</v>
      </c>
      <c r="F91" s="64"/>
    </row>
    <row r="92" spans="1:6" ht="129.5">
      <c r="A92" s="49" t="s">
        <v>518</v>
      </c>
      <c r="B92" s="28" t="s">
        <v>40</v>
      </c>
      <c r="C92" s="49"/>
      <c r="D92" s="28"/>
      <c r="E92" s="49"/>
      <c r="F92" s="64"/>
    </row>
    <row r="93" spans="1:6">
      <c r="A93" s="49"/>
      <c r="B93" s="28" t="s">
        <v>51</v>
      </c>
      <c r="C93" s="49"/>
      <c r="D93" s="49" t="s">
        <v>82</v>
      </c>
      <c r="E93" s="49">
        <v>800</v>
      </c>
      <c r="F93" s="74">
        <f t="shared" ref="F93:F101" si="7">E93*C93</f>
        <v>0</v>
      </c>
    </row>
    <row r="94" spans="1:6" ht="37">
      <c r="A94" s="49"/>
      <c r="B94" s="28" t="s">
        <v>52</v>
      </c>
      <c r="C94" s="49"/>
      <c r="D94" s="49" t="s">
        <v>82</v>
      </c>
      <c r="E94" s="49">
        <v>1050</v>
      </c>
      <c r="F94" s="74">
        <f t="shared" si="7"/>
        <v>0</v>
      </c>
    </row>
    <row r="95" spans="1:6" ht="37">
      <c r="A95" s="49"/>
      <c r="B95" s="28" t="s">
        <v>53</v>
      </c>
      <c r="C95" s="49"/>
      <c r="D95" s="49" t="s">
        <v>82</v>
      </c>
      <c r="E95" s="49">
        <v>1250</v>
      </c>
      <c r="F95" s="74">
        <f t="shared" si="7"/>
        <v>0</v>
      </c>
    </row>
    <row r="96" spans="1:6">
      <c r="A96" s="49"/>
      <c r="B96" s="28" t="s">
        <v>519</v>
      </c>
      <c r="C96" s="49"/>
      <c r="D96" s="49" t="s">
        <v>82</v>
      </c>
      <c r="E96" s="49">
        <v>1250</v>
      </c>
      <c r="F96" s="74">
        <f t="shared" si="7"/>
        <v>0</v>
      </c>
    </row>
    <row r="97" spans="1:6" ht="37">
      <c r="A97" s="49"/>
      <c r="B97" s="28" t="s">
        <v>520</v>
      </c>
      <c r="C97" s="49"/>
      <c r="D97" s="49" t="s">
        <v>82</v>
      </c>
      <c r="E97" s="49">
        <v>1350</v>
      </c>
      <c r="F97" s="74">
        <f t="shared" si="7"/>
        <v>0</v>
      </c>
    </row>
    <row r="98" spans="1:6" ht="37">
      <c r="A98" s="49"/>
      <c r="B98" s="28" t="s">
        <v>521</v>
      </c>
      <c r="C98" s="49"/>
      <c r="D98" s="49" t="s">
        <v>82</v>
      </c>
      <c r="E98" s="49">
        <v>2000</v>
      </c>
      <c r="F98" s="74">
        <f t="shared" si="7"/>
        <v>0</v>
      </c>
    </row>
    <row r="99" spans="1:6">
      <c r="A99" s="49"/>
      <c r="B99" s="28" t="s">
        <v>522</v>
      </c>
      <c r="C99" s="49"/>
      <c r="D99" s="49" t="s">
        <v>82</v>
      </c>
      <c r="E99" s="49">
        <v>1950</v>
      </c>
      <c r="F99" s="74">
        <f t="shared" si="7"/>
        <v>0</v>
      </c>
    </row>
    <row r="100" spans="1:6" ht="37">
      <c r="A100" s="49"/>
      <c r="B100" s="28" t="s">
        <v>523</v>
      </c>
      <c r="C100" s="49"/>
      <c r="D100" s="49" t="s">
        <v>82</v>
      </c>
      <c r="E100" s="49">
        <v>2250</v>
      </c>
      <c r="F100" s="74">
        <f t="shared" si="7"/>
        <v>0</v>
      </c>
    </row>
    <row r="101" spans="1:6" ht="37">
      <c r="A101" s="49"/>
      <c r="B101" s="28" t="s">
        <v>524</v>
      </c>
      <c r="C101" s="49"/>
      <c r="D101" s="49" t="s">
        <v>82</v>
      </c>
      <c r="E101" s="49">
        <v>2750</v>
      </c>
      <c r="F101" s="74">
        <f t="shared" si="7"/>
        <v>0</v>
      </c>
    </row>
    <row r="102" spans="1:6">
      <c r="A102" s="67"/>
      <c r="B102" s="35" t="s">
        <v>56</v>
      </c>
      <c r="C102" s="3"/>
      <c r="D102" s="4"/>
      <c r="E102" s="4"/>
      <c r="F102" s="76">
        <f>SUM(F38:F101)</f>
        <v>873050</v>
      </c>
    </row>
    <row r="103" spans="1:6" ht="17.5" customHeight="1">
      <c r="A103" s="67"/>
      <c r="B103" s="36" t="s">
        <v>60</v>
      </c>
      <c r="C103" s="55"/>
      <c r="D103" s="4"/>
      <c r="E103" s="4"/>
      <c r="F103" s="73"/>
    </row>
    <row r="104" spans="1:6" ht="111">
      <c r="A104" s="5" t="s">
        <v>61</v>
      </c>
      <c r="B104" s="11" t="s">
        <v>314</v>
      </c>
      <c r="C104" s="56"/>
      <c r="D104" s="8"/>
      <c r="E104" s="8"/>
      <c r="F104" s="24"/>
    </row>
    <row r="105" spans="1:6" ht="17.5" customHeight="1">
      <c r="A105" s="5" t="s">
        <v>301</v>
      </c>
      <c r="B105" s="23" t="s">
        <v>302</v>
      </c>
      <c r="C105" s="24"/>
      <c r="D105" s="32" t="s">
        <v>80</v>
      </c>
      <c r="E105" s="49">
        <v>7250</v>
      </c>
      <c r="F105" s="24"/>
    </row>
    <row r="106" spans="1:6" ht="17.5" customHeight="1">
      <c r="A106" s="5" t="s">
        <v>303</v>
      </c>
      <c r="B106" s="23" t="s">
        <v>304</v>
      </c>
      <c r="C106" s="24"/>
      <c r="D106" s="32" t="s">
        <v>80</v>
      </c>
      <c r="E106" s="49">
        <v>7250</v>
      </c>
      <c r="F106" s="24"/>
    </row>
    <row r="107" spans="1:6" ht="129.5">
      <c r="A107" s="49" t="s">
        <v>62</v>
      </c>
      <c r="B107" s="11" t="s">
        <v>502</v>
      </c>
      <c r="C107" s="32"/>
      <c r="D107" s="8"/>
      <c r="E107" s="8"/>
      <c r="F107" s="24"/>
    </row>
    <row r="108" spans="1:6" ht="17.5" customHeight="1">
      <c r="A108" s="49"/>
      <c r="B108" s="28" t="s">
        <v>305</v>
      </c>
      <c r="C108" s="24"/>
      <c r="D108" s="32" t="s">
        <v>80</v>
      </c>
      <c r="E108" s="24">
        <v>6950</v>
      </c>
      <c r="F108" s="24"/>
    </row>
    <row r="109" spans="1:6" ht="17.5" customHeight="1">
      <c r="A109" s="49"/>
      <c r="B109" s="28" t="s">
        <v>306</v>
      </c>
      <c r="C109" s="24"/>
      <c r="D109" s="32" t="s">
        <v>80</v>
      </c>
      <c r="E109" s="24">
        <v>7250</v>
      </c>
      <c r="F109" s="24"/>
    </row>
    <row r="110" spans="1:6" ht="17.5" customHeight="1">
      <c r="A110" s="49"/>
      <c r="B110" s="28" t="s">
        <v>307</v>
      </c>
      <c r="C110" s="24"/>
      <c r="D110" s="32" t="s">
        <v>80</v>
      </c>
      <c r="E110" s="24">
        <v>7650</v>
      </c>
      <c r="F110" s="24"/>
    </row>
    <row r="111" spans="1:6" ht="129.65" customHeight="1">
      <c r="A111" s="49" t="s">
        <v>63</v>
      </c>
      <c r="B111" s="28" t="s">
        <v>276</v>
      </c>
      <c r="C111" s="24"/>
      <c r="D111" s="32" t="s">
        <v>80</v>
      </c>
      <c r="E111" s="24">
        <v>6350</v>
      </c>
      <c r="F111" s="74">
        <f t="shared" ref="F111" si="8">E111*C111</f>
        <v>0</v>
      </c>
    </row>
    <row r="112" spans="1:6" ht="37">
      <c r="A112" s="49" t="s">
        <v>64</v>
      </c>
      <c r="B112" s="44" t="s">
        <v>214</v>
      </c>
      <c r="C112" s="24"/>
      <c r="D112" s="32" t="s">
        <v>80</v>
      </c>
      <c r="E112" s="24">
        <v>6650</v>
      </c>
      <c r="F112" s="24"/>
    </row>
    <row r="113" spans="1:6" ht="129.5">
      <c r="A113" s="49" t="s">
        <v>76</v>
      </c>
      <c r="B113" s="28" t="s">
        <v>277</v>
      </c>
      <c r="C113" s="49"/>
      <c r="D113" s="8"/>
      <c r="E113" s="24"/>
      <c r="F113" s="25"/>
    </row>
    <row r="114" spans="1:6">
      <c r="A114" s="5"/>
      <c r="B114" s="28" t="s">
        <v>390</v>
      </c>
      <c r="C114" s="24">
        <v>24</v>
      </c>
      <c r="D114" s="32" t="s">
        <v>80</v>
      </c>
      <c r="E114" s="24">
        <v>6350</v>
      </c>
      <c r="F114" s="74">
        <f t="shared" ref="F114" si="9">E114*C114</f>
        <v>152400</v>
      </c>
    </row>
    <row r="115" spans="1:6">
      <c r="A115" s="5"/>
      <c r="B115" s="28" t="s">
        <v>306</v>
      </c>
      <c r="C115" s="24"/>
      <c r="D115" s="32" t="s">
        <v>80</v>
      </c>
      <c r="E115" s="24">
        <v>6750</v>
      </c>
      <c r="F115" s="79"/>
    </row>
    <row r="116" spans="1:6" ht="117.75" customHeight="1">
      <c r="A116" s="5" t="s">
        <v>321</v>
      </c>
      <c r="B116" s="38" t="s">
        <v>482</v>
      </c>
      <c r="C116" s="53"/>
      <c r="D116" s="7"/>
      <c r="E116" s="24"/>
      <c r="F116" s="25"/>
    </row>
    <row r="117" spans="1:6">
      <c r="A117" s="5"/>
      <c r="B117" s="37" t="s">
        <v>254</v>
      </c>
      <c r="C117" s="24"/>
      <c r="D117" s="32" t="s">
        <v>81</v>
      </c>
      <c r="E117" s="24">
        <v>850</v>
      </c>
      <c r="F117" s="74">
        <f>E117*C117</f>
        <v>0</v>
      </c>
    </row>
    <row r="118" spans="1:6" ht="54" customHeight="1">
      <c r="A118" s="49"/>
      <c r="B118" s="28" t="s">
        <v>239</v>
      </c>
      <c r="C118" s="24"/>
      <c r="D118" s="32" t="s">
        <v>81</v>
      </c>
      <c r="E118" s="24">
        <v>875</v>
      </c>
      <c r="F118" s="79"/>
    </row>
    <row r="119" spans="1:6" ht="118.5" customHeight="1">
      <c r="A119" s="5" t="s">
        <v>424</v>
      </c>
      <c r="B119" s="38" t="s">
        <v>322</v>
      </c>
      <c r="C119" s="24"/>
      <c r="D119" s="32" t="s">
        <v>288</v>
      </c>
      <c r="E119" s="24">
        <v>875</v>
      </c>
      <c r="F119" s="79"/>
    </row>
    <row r="120" spans="1:6">
      <c r="A120" s="67"/>
      <c r="B120" s="22" t="s">
        <v>65</v>
      </c>
      <c r="C120" s="3"/>
      <c r="D120" s="4"/>
      <c r="E120" s="4"/>
      <c r="F120" s="76">
        <f>SUM(F104:F119)</f>
        <v>152400</v>
      </c>
    </row>
    <row r="121" spans="1:6" ht="27.75" customHeight="1">
      <c r="A121" s="67"/>
      <c r="B121" s="36" t="s">
        <v>67</v>
      </c>
      <c r="C121" s="55"/>
      <c r="D121" s="4"/>
      <c r="E121" s="4"/>
      <c r="F121" s="73"/>
    </row>
    <row r="122" spans="1:6" ht="122.25" customHeight="1">
      <c r="A122" s="5" t="s">
        <v>68</v>
      </c>
      <c r="B122" s="23" t="s">
        <v>255</v>
      </c>
      <c r="C122" s="20"/>
      <c r="D122" s="26" t="s">
        <v>81</v>
      </c>
      <c r="E122" s="24">
        <v>625</v>
      </c>
      <c r="F122" s="74">
        <f t="shared" ref="F122" si="10">E122*C122</f>
        <v>0</v>
      </c>
    </row>
    <row r="123" spans="1:6" s="2" customFormat="1" ht="153.75" customHeight="1">
      <c r="A123" s="5" t="s">
        <v>69</v>
      </c>
      <c r="B123" s="23" t="s">
        <v>608</v>
      </c>
      <c r="C123" s="32"/>
      <c r="D123" s="26" t="s">
        <v>80</v>
      </c>
      <c r="E123" s="24">
        <v>5450</v>
      </c>
      <c r="F123" s="74">
        <f>E123*C123</f>
        <v>0</v>
      </c>
    </row>
    <row r="124" spans="1:6" s="2" customFormat="1" ht="55.5">
      <c r="A124" s="5" t="s">
        <v>468</v>
      </c>
      <c r="B124" s="48" t="s">
        <v>467</v>
      </c>
      <c r="C124" s="89"/>
      <c r="D124" s="26" t="s">
        <v>80</v>
      </c>
      <c r="E124" s="24">
        <v>5650</v>
      </c>
      <c r="F124" s="74">
        <f>E124*C124</f>
        <v>0</v>
      </c>
    </row>
    <row r="125" spans="1:6" ht="222.75" customHeight="1">
      <c r="A125" s="5" t="s">
        <v>469</v>
      </c>
      <c r="B125" s="28" t="s">
        <v>609</v>
      </c>
      <c r="C125" s="63"/>
      <c r="D125" s="26" t="s">
        <v>288</v>
      </c>
      <c r="E125" s="24">
        <v>95</v>
      </c>
      <c r="F125" s="74">
        <f t="shared" ref="F125" si="11">E125*C125</f>
        <v>0</v>
      </c>
    </row>
    <row r="126" spans="1:6" ht="111">
      <c r="A126" s="49"/>
      <c r="B126" s="18" t="s">
        <v>483</v>
      </c>
      <c r="C126" s="57"/>
      <c r="D126" s="26"/>
      <c r="E126" s="24"/>
      <c r="F126" s="79"/>
    </row>
    <row r="127" spans="1:6" ht="231.75" customHeight="1">
      <c r="A127" s="5" t="s">
        <v>470</v>
      </c>
      <c r="B127" s="28" t="s">
        <v>507</v>
      </c>
      <c r="C127" s="24"/>
      <c r="D127" s="26" t="s">
        <v>288</v>
      </c>
      <c r="E127" s="24">
        <v>125</v>
      </c>
      <c r="F127" s="74">
        <f t="shared" ref="F127:F128" si="12">E127*C127</f>
        <v>0</v>
      </c>
    </row>
    <row r="128" spans="1:6" ht="55.5">
      <c r="A128" s="49"/>
      <c r="B128" s="28" t="s">
        <v>510</v>
      </c>
      <c r="C128" s="24"/>
      <c r="D128" s="26" t="s">
        <v>240</v>
      </c>
      <c r="E128" s="24">
        <v>22.5</v>
      </c>
      <c r="F128" s="74">
        <f t="shared" si="12"/>
        <v>0</v>
      </c>
    </row>
    <row r="129" spans="1:6" ht="159.75" customHeight="1">
      <c r="A129" s="5" t="s">
        <v>70</v>
      </c>
      <c r="B129" s="23" t="s">
        <v>259</v>
      </c>
      <c r="C129" s="24"/>
      <c r="D129" s="26" t="s">
        <v>71</v>
      </c>
      <c r="E129" s="24">
        <v>250</v>
      </c>
      <c r="F129" s="79"/>
    </row>
    <row r="130" spans="1:6" ht="200.25" customHeight="1">
      <c r="A130" s="5" t="s">
        <v>72</v>
      </c>
      <c r="B130" s="23" t="s">
        <v>183</v>
      </c>
      <c r="C130" s="5"/>
      <c r="D130" s="26"/>
      <c r="E130" s="24"/>
      <c r="F130" s="25"/>
    </row>
    <row r="131" spans="1:6">
      <c r="A131" s="49"/>
      <c r="B131" s="28" t="s">
        <v>241</v>
      </c>
      <c r="C131" s="24"/>
      <c r="D131" s="26" t="s">
        <v>83</v>
      </c>
      <c r="E131" s="24">
        <v>175</v>
      </c>
      <c r="F131" s="74">
        <f t="shared" ref="F131" si="13">E131*C131</f>
        <v>0</v>
      </c>
    </row>
    <row r="132" spans="1:6">
      <c r="A132" s="49"/>
      <c r="B132" s="28" t="s">
        <v>242</v>
      </c>
      <c r="C132" s="24"/>
      <c r="D132" s="26" t="s">
        <v>83</v>
      </c>
      <c r="E132" s="24">
        <v>165</v>
      </c>
      <c r="F132" s="79"/>
    </row>
    <row r="133" spans="1:6" ht="111">
      <c r="A133" s="5" t="s">
        <v>74</v>
      </c>
      <c r="B133" s="23" t="s">
        <v>484</v>
      </c>
      <c r="C133" s="5"/>
      <c r="D133" s="7"/>
      <c r="E133" s="24"/>
      <c r="F133" s="25"/>
    </row>
    <row r="134" spans="1:6">
      <c r="A134" s="5"/>
      <c r="B134" s="23" t="s">
        <v>417</v>
      </c>
      <c r="C134" s="5"/>
      <c r="D134" s="26"/>
      <c r="E134" s="24"/>
      <c r="F134" s="25"/>
    </row>
    <row r="135" spans="1:6" ht="37">
      <c r="A135" s="5"/>
      <c r="B135" s="23" t="s">
        <v>485</v>
      </c>
      <c r="C135" s="24"/>
      <c r="D135" s="26" t="s">
        <v>81</v>
      </c>
      <c r="E135" s="24">
        <v>750</v>
      </c>
      <c r="F135" s="74">
        <f>E135*C135</f>
        <v>0</v>
      </c>
    </row>
    <row r="136" spans="1:6" ht="37">
      <c r="A136" s="5"/>
      <c r="B136" s="23" t="s">
        <v>97</v>
      </c>
      <c r="C136" s="20"/>
      <c r="D136" s="26" t="s">
        <v>83</v>
      </c>
      <c r="E136" s="24">
        <v>550</v>
      </c>
      <c r="F136" s="74">
        <f>E136*C136</f>
        <v>0</v>
      </c>
    </row>
    <row r="137" spans="1:6" ht="37">
      <c r="A137" s="49"/>
      <c r="B137" s="28" t="s">
        <v>418</v>
      </c>
      <c r="C137" s="24"/>
      <c r="D137" s="26" t="s">
        <v>83</v>
      </c>
      <c r="E137" s="24">
        <v>550</v>
      </c>
      <c r="F137" s="79"/>
    </row>
    <row r="138" spans="1:6" ht="137.25" customHeight="1">
      <c r="A138" s="49" t="s">
        <v>75</v>
      </c>
      <c r="B138" s="28" t="s">
        <v>486</v>
      </c>
      <c r="C138" s="49"/>
      <c r="D138" s="26"/>
      <c r="E138" s="24"/>
      <c r="F138" s="25"/>
    </row>
    <row r="139" spans="1:6">
      <c r="A139" s="49"/>
      <c r="B139" s="28" t="s">
        <v>234</v>
      </c>
      <c r="C139" s="24"/>
      <c r="D139" s="26" t="s">
        <v>81</v>
      </c>
      <c r="E139" s="24">
        <v>1375</v>
      </c>
      <c r="F139" s="74">
        <f t="shared" ref="F139" si="14">E139*C139</f>
        <v>0</v>
      </c>
    </row>
    <row r="140" spans="1:6">
      <c r="A140" s="49"/>
      <c r="B140" s="28" t="s">
        <v>235</v>
      </c>
      <c r="C140" s="24"/>
      <c r="D140" s="26" t="s">
        <v>81</v>
      </c>
      <c r="E140" s="24">
        <v>1675</v>
      </c>
      <c r="F140" s="79"/>
    </row>
    <row r="141" spans="1:6" ht="156" customHeight="1">
      <c r="A141" s="5" t="s">
        <v>156</v>
      </c>
      <c r="B141" s="38" t="s">
        <v>260</v>
      </c>
      <c r="C141" s="24"/>
      <c r="D141" s="26" t="s">
        <v>81</v>
      </c>
      <c r="E141" s="24">
        <v>1575</v>
      </c>
      <c r="F141" s="74">
        <f>E141*C141</f>
        <v>0</v>
      </c>
    </row>
    <row r="142" spans="1:6" ht="137.25" customHeight="1">
      <c r="A142" s="5" t="s">
        <v>157</v>
      </c>
      <c r="B142" s="23" t="s">
        <v>4</v>
      </c>
      <c r="C142" s="5"/>
      <c r="D142" s="7"/>
      <c r="E142" s="24"/>
      <c r="F142" s="25"/>
    </row>
    <row r="143" spans="1:6">
      <c r="A143" s="5"/>
      <c r="B143" s="23" t="s">
        <v>88</v>
      </c>
      <c r="C143" s="20"/>
      <c r="D143" s="32" t="s">
        <v>81</v>
      </c>
      <c r="E143" s="24">
        <v>1150</v>
      </c>
      <c r="F143" s="74">
        <f t="shared" ref="F143:F144" si="15">E143*C143</f>
        <v>0</v>
      </c>
    </row>
    <row r="144" spans="1:6" ht="37">
      <c r="A144" s="5"/>
      <c r="B144" s="23" t="s">
        <v>89</v>
      </c>
      <c r="C144" s="20"/>
      <c r="D144" s="32" t="s">
        <v>81</v>
      </c>
      <c r="E144" s="24">
        <v>1250</v>
      </c>
      <c r="F144" s="74">
        <f t="shared" si="15"/>
        <v>0</v>
      </c>
    </row>
    <row r="145" spans="1:6" ht="92.5">
      <c r="A145" s="5" t="s">
        <v>158</v>
      </c>
      <c r="B145" s="23" t="s">
        <v>487</v>
      </c>
      <c r="C145" s="5"/>
      <c r="D145" s="7"/>
      <c r="E145" s="24"/>
      <c r="F145" s="25"/>
    </row>
    <row r="146" spans="1:6">
      <c r="A146" s="5"/>
      <c r="B146" s="28" t="s">
        <v>419</v>
      </c>
      <c r="C146" s="24"/>
      <c r="D146" s="32" t="s">
        <v>81</v>
      </c>
      <c r="E146" s="24">
        <v>1275</v>
      </c>
      <c r="F146" s="79"/>
    </row>
    <row r="147" spans="1:6" ht="37">
      <c r="A147" s="5"/>
      <c r="B147" s="28" t="s">
        <v>444</v>
      </c>
      <c r="C147" s="24"/>
      <c r="D147" s="32" t="s">
        <v>83</v>
      </c>
      <c r="E147" s="24">
        <v>500</v>
      </c>
      <c r="F147" s="79"/>
    </row>
    <row r="148" spans="1:6" ht="129.5">
      <c r="A148" s="49" t="s">
        <v>87</v>
      </c>
      <c r="B148" s="28" t="s">
        <v>445</v>
      </c>
      <c r="C148" s="32"/>
      <c r="D148" s="32" t="s">
        <v>81</v>
      </c>
      <c r="E148" s="24">
        <v>3550</v>
      </c>
      <c r="F148" s="74">
        <f t="shared" ref="F148" si="16">E148*C148</f>
        <v>0</v>
      </c>
    </row>
    <row r="149" spans="1:6" ht="111">
      <c r="A149" s="5" t="s">
        <v>90</v>
      </c>
      <c r="B149" s="23" t="s">
        <v>446</v>
      </c>
      <c r="C149" s="24"/>
      <c r="D149" s="32" t="s">
        <v>81</v>
      </c>
      <c r="E149" s="24">
        <v>3500</v>
      </c>
      <c r="F149" s="74">
        <f>E149*C149</f>
        <v>0</v>
      </c>
    </row>
    <row r="150" spans="1:6" ht="111">
      <c r="A150" s="5" t="s">
        <v>230</v>
      </c>
      <c r="B150" s="23" t="s">
        <v>155</v>
      </c>
      <c r="C150" s="24"/>
      <c r="D150" s="32" t="s">
        <v>81</v>
      </c>
      <c r="E150" s="24">
        <v>2750</v>
      </c>
      <c r="F150" s="79"/>
    </row>
    <row r="151" spans="1:6" ht="129.5">
      <c r="A151" s="5" t="s">
        <v>231</v>
      </c>
      <c r="B151" s="23" t="s">
        <v>110</v>
      </c>
      <c r="C151" s="24"/>
      <c r="D151" s="32" t="s">
        <v>81</v>
      </c>
      <c r="E151" s="24">
        <v>2750</v>
      </c>
      <c r="F151" s="79"/>
    </row>
    <row r="152" spans="1:6" ht="92.5">
      <c r="A152" s="5" t="s">
        <v>154</v>
      </c>
      <c r="B152" s="23" t="s">
        <v>223</v>
      </c>
      <c r="C152" s="24"/>
      <c r="D152" s="32" t="s">
        <v>81</v>
      </c>
      <c r="E152" s="24">
        <v>1250</v>
      </c>
      <c r="F152" s="79"/>
    </row>
    <row r="153" spans="1:6" ht="315" hidden="1" customHeight="1">
      <c r="A153" s="5" t="s">
        <v>252</v>
      </c>
      <c r="B153" s="38" t="s">
        <v>278</v>
      </c>
      <c r="C153" s="20"/>
      <c r="D153" s="32" t="s">
        <v>81</v>
      </c>
      <c r="E153" s="24"/>
      <c r="F153" s="79"/>
    </row>
    <row r="154" spans="1:6" ht="111">
      <c r="A154" s="5" t="s">
        <v>252</v>
      </c>
      <c r="B154" s="23" t="s">
        <v>257</v>
      </c>
      <c r="C154" s="24"/>
      <c r="D154" s="32" t="s">
        <v>81</v>
      </c>
      <c r="E154" s="24">
        <v>1250</v>
      </c>
      <c r="F154" s="79"/>
    </row>
    <row r="155" spans="1:6" ht="129.5">
      <c r="A155" s="5" t="s">
        <v>388</v>
      </c>
      <c r="B155" s="23" t="s">
        <v>387</v>
      </c>
      <c r="C155" s="24"/>
      <c r="D155" s="32" t="s">
        <v>81</v>
      </c>
      <c r="E155" s="24">
        <v>3750</v>
      </c>
      <c r="F155" s="79"/>
    </row>
    <row r="156" spans="1:6" ht="351" customHeight="1">
      <c r="A156" s="5" t="s">
        <v>511</v>
      </c>
      <c r="B156" s="23" t="s">
        <v>603</v>
      </c>
      <c r="C156" s="24"/>
      <c r="D156" s="32" t="s">
        <v>81</v>
      </c>
      <c r="E156" s="24">
        <v>810</v>
      </c>
      <c r="F156" s="74">
        <f t="shared" ref="F156" si="17">E156*C156</f>
        <v>0</v>
      </c>
    </row>
    <row r="157" spans="1:6">
      <c r="A157" s="67"/>
      <c r="B157" s="22" t="s">
        <v>91</v>
      </c>
      <c r="C157" s="3"/>
      <c r="D157" s="4"/>
      <c r="E157" s="4"/>
      <c r="F157" s="80">
        <f>SUM(F122:F156)</f>
        <v>0</v>
      </c>
    </row>
    <row r="158" spans="1:6" ht="17.5" customHeight="1">
      <c r="A158" s="67"/>
      <c r="B158" s="36" t="s">
        <v>102</v>
      </c>
      <c r="C158" s="55"/>
      <c r="D158" s="4"/>
      <c r="E158" s="4"/>
      <c r="F158" s="73"/>
    </row>
    <row r="159" spans="1:6" ht="166.5">
      <c r="A159" s="49" t="s">
        <v>92</v>
      </c>
      <c r="B159" s="28" t="s">
        <v>488</v>
      </c>
      <c r="C159" s="49"/>
      <c r="D159" s="8"/>
      <c r="E159" s="24"/>
      <c r="F159" s="24"/>
    </row>
    <row r="160" spans="1:6" ht="38.25" customHeight="1">
      <c r="A160" s="49"/>
      <c r="B160" s="28" t="s">
        <v>93</v>
      </c>
      <c r="C160" s="24"/>
      <c r="D160" s="32" t="s">
        <v>81</v>
      </c>
      <c r="E160" s="24">
        <v>395</v>
      </c>
      <c r="F160" s="74">
        <f t="shared" ref="F160:F162" si="18">E160*C160</f>
        <v>0</v>
      </c>
    </row>
    <row r="161" spans="1:6">
      <c r="A161" s="49"/>
      <c r="B161" s="28" t="s">
        <v>94</v>
      </c>
      <c r="C161" s="24">
        <v>208</v>
      </c>
      <c r="D161" s="32" t="s">
        <v>81</v>
      </c>
      <c r="E161" s="24">
        <v>425</v>
      </c>
      <c r="F161" s="74">
        <f t="shared" si="18"/>
        <v>88400</v>
      </c>
    </row>
    <row r="162" spans="1:6" ht="213.75" customHeight="1">
      <c r="A162" s="49" t="s">
        <v>95</v>
      </c>
      <c r="B162" s="28" t="s">
        <v>489</v>
      </c>
      <c r="C162" s="20"/>
      <c r="D162" s="32" t="s">
        <v>81</v>
      </c>
      <c r="E162" s="24">
        <v>485</v>
      </c>
      <c r="F162" s="74">
        <f t="shared" si="18"/>
        <v>0</v>
      </c>
    </row>
    <row r="163" spans="1:6" ht="132" customHeight="1">
      <c r="A163" s="5" t="s">
        <v>265</v>
      </c>
      <c r="B163" s="28" t="s">
        <v>447</v>
      </c>
      <c r="C163" s="24"/>
      <c r="D163" s="32" t="s">
        <v>81</v>
      </c>
      <c r="E163" s="24">
        <v>575</v>
      </c>
      <c r="F163" s="81"/>
    </row>
    <row r="164" spans="1:6" ht="261" customHeight="1">
      <c r="A164" s="5" t="s">
        <v>96</v>
      </c>
      <c r="B164" s="17" t="s">
        <v>448</v>
      </c>
      <c r="C164" s="24"/>
      <c r="D164" s="32" t="s">
        <v>81</v>
      </c>
      <c r="E164" s="24">
        <v>575</v>
      </c>
      <c r="F164" s="74">
        <f t="shared" ref="F164:F166" si="19">E164*C164</f>
        <v>0</v>
      </c>
    </row>
    <row r="165" spans="1:6" ht="141.75" customHeight="1">
      <c r="A165" s="49" t="s">
        <v>159</v>
      </c>
      <c r="B165" s="28" t="s">
        <v>267</v>
      </c>
      <c r="C165" s="24"/>
      <c r="D165" s="32" t="s">
        <v>81</v>
      </c>
      <c r="E165" s="24">
        <v>525</v>
      </c>
      <c r="F165" s="74">
        <f t="shared" si="19"/>
        <v>0</v>
      </c>
    </row>
    <row r="166" spans="1:6" ht="129.5">
      <c r="A166" s="49" t="s">
        <v>23</v>
      </c>
      <c r="B166" s="23" t="s">
        <v>420</v>
      </c>
      <c r="C166" s="24">
        <f>C161</f>
        <v>208</v>
      </c>
      <c r="D166" s="26" t="s">
        <v>81</v>
      </c>
      <c r="E166" s="24">
        <v>160</v>
      </c>
      <c r="F166" s="74">
        <f t="shared" si="19"/>
        <v>33280</v>
      </c>
    </row>
    <row r="167" spans="1:6" ht="170.25" customHeight="1">
      <c r="A167" s="5" t="s">
        <v>98</v>
      </c>
      <c r="B167" s="23" t="s">
        <v>248</v>
      </c>
      <c r="C167" s="24"/>
      <c r="D167" s="26" t="s">
        <v>81</v>
      </c>
      <c r="E167" s="24">
        <v>375</v>
      </c>
      <c r="F167" s="79"/>
    </row>
    <row r="168" spans="1:6" ht="159.75" customHeight="1">
      <c r="A168" s="5" t="s">
        <v>99</v>
      </c>
      <c r="B168" s="23" t="s">
        <v>247</v>
      </c>
      <c r="C168" s="24"/>
      <c r="D168" s="26" t="s">
        <v>81</v>
      </c>
      <c r="E168" s="24">
        <v>375</v>
      </c>
      <c r="F168" s="79"/>
    </row>
    <row r="169" spans="1:6" ht="113.25" customHeight="1">
      <c r="A169" s="5" t="s">
        <v>100</v>
      </c>
      <c r="B169" s="23" t="s">
        <v>421</v>
      </c>
      <c r="C169" s="24"/>
      <c r="D169" s="26" t="s">
        <v>81</v>
      </c>
      <c r="E169" s="24">
        <v>265</v>
      </c>
      <c r="F169" s="79"/>
    </row>
    <row r="170" spans="1:6" ht="115.5" customHeight="1">
      <c r="A170" s="5" t="s">
        <v>41</v>
      </c>
      <c r="B170" s="23" t="s">
        <v>246</v>
      </c>
      <c r="C170" s="20"/>
      <c r="D170" s="26" t="s">
        <v>81</v>
      </c>
      <c r="E170" s="24">
        <v>240</v>
      </c>
      <c r="F170" s="74">
        <f t="shared" ref="F170" si="20">E170*C170</f>
        <v>0</v>
      </c>
    </row>
    <row r="171" spans="1:6" ht="92.5">
      <c r="A171" s="5" t="s">
        <v>188</v>
      </c>
      <c r="B171" s="23" t="s">
        <v>245</v>
      </c>
      <c r="C171" s="24"/>
      <c r="D171" s="26" t="s">
        <v>81</v>
      </c>
      <c r="E171" s="20">
        <v>230</v>
      </c>
      <c r="F171" s="79"/>
    </row>
    <row r="172" spans="1:6" ht="92.5">
      <c r="A172" s="5" t="s">
        <v>386</v>
      </c>
      <c r="B172" s="23" t="s">
        <v>385</v>
      </c>
      <c r="C172" s="24"/>
      <c r="D172" s="26" t="s">
        <v>289</v>
      </c>
      <c r="E172" s="20">
        <v>125</v>
      </c>
      <c r="F172" s="79">
        <f>C172*E172</f>
        <v>0</v>
      </c>
    </row>
    <row r="173" spans="1:6">
      <c r="A173" s="67"/>
      <c r="B173" s="22" t="s">
        <v>101</v>
      </c>
      <c r="C173" s="3"/>
      <c r="D173" s="4"/>
      <c r="E173" s="4"/>
      <c r="F173" s="80">
        <f>SUM(F159:F172)</f>
        <v>121680</v>
      </c>
    </row>
    <row r="174" spans="1:6">
      <c r="A174" s="67"/>
      <c r="B174" s="36" t="s">
        <v>103</v>
      </c>
      <c r="C174" s="55"/>
      <c r="D174" s="4"/>
      <c r="E174" s="4"/>
      <c r="F174" s="73"/>
    </row>
    <row r="175" spans="1:6" ht="138.75" customHeight="1">
      <c r="A175" s="5" t="s">
        <v>160</v>
      </c>
      <c r="B175" s="23" t="s">
        <v>238</v>
      </c>
      <c r="C175" s="5"/>
      <c r="D175" s="7"/>
      <c r="E175" s="32"/>
      <c r="F175" s="25"/>
    </row>
    <row r="176" spans="1:6">
      <c r="A176" s="5"/>
      <c r="B176" s="23" t="s">
        <v>105</v>
      </c>
      <c r="C176" s="24"/>
      <c r="D176" s="26" t="s">
        <v>81</v>
      </c>
      <c r="E176" s="24">
        <v>16500</v>
      </c>
      <c r="F176" s="74">
        <f t="shared" ref="F176" si="21">E176*C176</f>
        <v>0</v>
      </c>
    </row>
    <row r="177" spans="1:6">
      <c r="A177" s="5"/>
      <c r="B177" s="23" t="s">
        <v>106</v>
      </c>
      <c r="C177" s="24"/>
      <c r="D177" s="26" t="s">
        <v>81</v>
      </c>
      <c r="E177" s="24"/>
      <c r="F177" s="79"/>
    </row>
    <row r="178" spans="1:6" ht="160.5" customHeight="1">
      <c r="A178" s="5" t="s">
        <v>104</v>
      </c>
      <c r="B178" s="23" t="s">
        <v>490</v>
      </c>
      <c r="C178" s="24"/>
      <c r="D178" s="26" t="s">
        <v>81</v>
      </c>
      <c r="E178" s="24"/>
      <c r="F178" s="79"/>
    </row>
    <row r="179" spans="1:6" ht="185">
      <c r="A179" s="5" t="s">
        <v>107</v>
      </c>
      <c r="B179" s="23" t="s">
        <v>491</v>
      </c>
      <c r="C179" s="5"/>
      <c r="D179" s="7"/>
      <c r="E179" s="24"/>
      <c r="F179" s="25"/>
    </row>
    <row r="180" spans="1:6">
      <c r="A180" s="5"/>
      <c r="B180" s="23" t="s">
        <v>112</v>
      </c>
      <c r="C180" s="5"/>
      <c r="D180" s="7"/>
      <c r="E180" s="24"/>
      <c r="F180" s="25"/>
    </row>
    <row r="181" spans="1:6">
      <c r="A181" s="5"/>
      <c r="B181" s="23" t="s">
        <v>113</v>
      </c>
      <c r="C181" s="5"/>
      <c r="D181" s="7"/>
      <c r="E181" s="24"/>
      <c r="F181" s="25"/>
    </row>
    <row r="182" spans="1:6">
      <c r="A182" s="5"/>
      <c r="B182" s="23" t="s">
        <v>114</v>
      </c>
      <c r="C182" s="5"/>
      <c r="D182" s="7"/>
      <c r="E182" s="24"/>
      <c r="F182" s="25"/>
    </row>
    <row r="183" spans="1:6">
      <c r="A183" s="5"/>
      <c r="B183" s="23" t="s">
        <v>115</v>
      </c>
      <c r="C183" s="5"/>
      <c r="D183" s="7"/>
      <c r="E183" s="24"/>
      <c r="F183" s="25"/>
    </row>
    <row r="184" spans="1:6">
      <c r="A184" s="5"/>
      <c r="B184" s="23" t="s">
        <v>116</v>
      </c>
      <c r="C184" s="5"/>
      <c r="D184" s="7"/>
      <c r="E184" s="24"/>
      <c r="F184" s="25"/>
    </row>
    <row r="185" spans="1:6">
      <c r="A185" s="5"/>
      <c r="B185" s="23" t="s">
        <v>117</v>
      </c>
      <c r="C185" s="5"/>
      <c r="D185" s="7"/>
      <c r="E185" s="24"/>
      <c r="F185" s="25"/>
    </row>
    <row r="186" spans="1:6">
      <c r="A186" s="5"/>
      <c r="B186" s="23" t="s">
        <v>118</v>
      </c>
      <c r="C186" s="5"/>
      <c r="D186" s="7"/>
      <c r="E186" s="24"/>
      <c r="F186" s="25"/>
    </row>
    <row r="187" spans="1:6">
      <c r="A187" s="5"/>
      <c r="B187" s="23" t="s">
        <v>119</v>
      </c>
      <c r="C187" s="5"/>
      <c r="D187" s="7"/>
      <c r="E187" s="24"/>
      <c r="F187" s="25"/>
    </row>
    <row r="188" spans="1:6">
      <c r="A188" s="5"/>
      <c r="B188" s="23" t="s">
        <v>120</v>
      </c>
      <c r="C188" s="5"/>
      <c r="D188" s="7"/>
      <c r="E188" s="24"/>
      <c r="F188" s="25"/>
    </row>
    <row r="189" spans="1:6">
      <c r="A189" s="5"/>
      <c r="B189" s="23" t="s">
        <v>121</v>
      </c>
      <c r="C189" s="5"/>
      <c r="D189" s="7"/>
      <c r="E189" s="24"/>
      <c r="F189" s="25"/>
    </row>
    <row r="190" spans="1:6">
      <c r="A190" s="5"/>
      <c r="B190" s="23" t="s">
        <v>122</v>
      </c>
      <c r="C190" s="5"/>
      <c r="D190" s="7"/>
      <c r="E190" s="24"/>
      <c r="F190" s="25"/>
    </row>
    <row r="191" spans="1:6">
      <c r="A191" s="5"/>
      <c r="B191" s="23" t="s">
        <v>123</v>
      </c>
      <c r="C191" s="5"/>
      <c r="D191" s="7"/>
      <c r="E191" s="24"/>
      <c r="F191" s="25"/>
    </row>
    <row r="192" spans="1:6">
      <c r="A192" s="5"/>
      <c r="B192" s="23" t="s">
        <v>124</v>
      </c>
      <c r="C192" s="5"/>
      <c r="D192" s="7"/>
      <c r="E192" s="24"/>
      <c r="F192" s="25"/>
    </row>
    <row r="193" spans="1:6">
      <c r="A193" s="5"/>
      <c r="B193" s="23" t="s">
        <v>125</v>
      </c>
      <c r="C193" s="5"/>
      <c r="D193" s="7"/>
      <c r="E193" s="24"/>
      <c r="F193" s="25"/>
    </row>
    <row r="194" spans="1:6">
      <c r="A194" s="5"/>
      <c r="B194" s="23" t="s">
        <v>126</v>
      </c>
      <c r="C194" s="24"/>
      <c r="D194" s="26" t="s">
        <v>81</v>
      </c>
      <c r="E194" s="24">
        <v>5250</v>
      </c>
      <c r="F194" s="74">
        <f t="shared" ref="F194" si="22">E194*C194</f>
        <v>0</v>
      </c>
    </row>
    <row r="195" spans="1:6">
      <c r="A195" s="5"/>
      <c r="B195" s="23" t="s">
        <v>127</v>
      </c>
      <c r="C195" s="24"/>
      <c r="D195" s="26" t="s">
        <v>81</v>
      </c>
      <c r="E195" s="24"/>
      <c r="F195" s="79"/>
    </row>
    <row r="196" spans="1:6">
      <c r="A196" s="5"/>
      <c r="B196" s="23" t="s">
        <v>422</v>
      </c>
      <c r="C196" s="24"/>
      <c r="D196" s="26" t="s">
        <v>352</v>
      </c>
      <c r="E196" s="88"/>
      <c r="F196" s="74">
        <f>E196*C196</f>
        <v>0</v>
      </c>
    </row>
    <row r="197" spans="1:6">
      <c r="A197" s="5"/>
      <c r="B197" s="23" t="s">
        <v>423</v>
      </c>
      <c r="C197" s="24"/>
      <c r="D197" s="26" t="s">
        <v>352</v>
      </c>
      <c r="E197" s="88"/>
      <c r="F197" s="74">
        <f>E197*C197</f>
        <v>0</v>
      </c>
    </row>
    <row r="198" spans="1:6" ht="259">
      <c r="A198" s="5" t="s">
        <v>109</v>
      </c>
      <c r="B198" s="23" t="s">
        <v>161</v>
      </c>
      <c r="C198" s="5"/>
      <c r="D198" s="12"/>
      <c r="E198" s="24"/>
      <c r="F198" s="25" t="s">
        <v>509</v>
      </c>
    </row>
    <row r="199" spans="1:6">
      <c r="A199" s="5"/>
      <c r="B199" s="23" t="s">
        <v>129</v>
      </c>
      <c r="C199" s="20"/>
      <c r="D199" s="26" t="s">
        <v>81</v>
      </c>
      <c r="E199" s="24">
        <v>4450</v>
      </c>
      <c r="F199" s="74">
        <f t="shared" ref="F199" si="23">E199*C199</f>
        <v>0</v>
      </c>
    </row>
    <row r="200" spans="1:6">
      <c r="A200" s="5"/>
      <c r="B200" s="23" t="s">
        <v>130</v>
      </c>
      <c r="C200" s="24"/>
      <c r="D200" s="26" t="s">
        <v>81</v>
      </c>
      <c r="E200" s="24">
        <v>4750</v>
      </c>
      <c r="F200" s="79"/>
    </row>
    <row r="201" spans="1:6" ht="185">
      <c r="A201" s="5" t="s">
        <v>128</v>
      </c>
      <c r="B201" s="23" t="s">
        <v>492</v>
      </c>
      <c r="C201" s="5"/>
      <c r="D201" s="7"/>
      <c r="E201" s="24"/>
      <c r="F201" s="25"/>
    </row>
    <row r="202" spans="1:6">
      <c r="A202" s="5"/>
      <c r="B202" s="23" t="s">
        <v>285</v>
      </c>
      <c r="C202" s="24"/>
      <c r="D202" s="26" t="s">
        <v>81</v>
      </c>
      <c r="E202" s="24">
        <v>3750</v>
      </c>
      <c r="F202" s="79"/>
    </row>
    <row r="203" spans="1:6">
      <c r="A203" s="5"/>
      <c r="B203" s="23" t="s">
        <v>132</v>
      </c>
      <c r="C203" s="24"/>
      <c r="D203" s="26" t="s">
        <v>81</v>
      </c>
      <c r="E203" s="24">
        <v>3750</v>
      </c>
      <c r="F203" s="79"/>
    </row>
    <row r="204" spans="1:6" ht="288.75" customHeight="1">
      <c r="A204" s="5" t="s">
        <v>131</v>
      </c>
      <c r="B204" s="23" t="s">
        <v>512</v>
      </c>
      <c r="C204" s="5"/>
      <c r="D204" s="7"/>
      <c r="E204" s="24"/>
      <c r="F204" s="25"/>
    </row>
    <row r="205" spans="1:6">
      <c r="A205" s="5"/>
      <c r="B205" s="23" t="s">
        <v>533</v>
      </c>
      <c r="C205" s="24"/>
      <c r="D205" s="26" t="s">
        <v>86</v>
      </c>
      <c r="E205" s="88">
        <v>3850</v>
      </c>
      <c r="F205" s="79">
        <f>C205*E205</f>
        <v>0</v>
      </c>
    </row>
    <row r="206" spans="1:6">
      <c r="A206" s="5"/>
      <c r="B206" s="23" t="s">
        <v>134</v>
      </c>
      <c r="C206" s="5"/>
      <c r="D206" s="7"/>
      <c r="E206" s="24"/>
      <c r="F206" s="25"/>
    </row>
    <row r="207" spans="1:6">
      <c r="A207" s="5"/>
      <c r="B207" s="23" t="s">
        <v>142</v>
      </c>
      <c r="C207" s="5"/>
      <c r="D207" s="7"/>
      <c r="E207" s="24"/>
      <c r="F207" s="25"/>
    </row>
    <row r="208" spans="1:6">
      <c r="A208" s="5"/>
      <c r="B208" s="23" t="s">
        <v>143</v>
      </c>
      <c r="C208" s="5"/>
      <c r="D208" s="7"/>
      <c r="E208" s="24"/>
      <c r="F208" s="25"/>
    </row>
    <row r="209" spans="1:6">
      <c r="A209" s="5"/>
      <c r="B209" s="23" t="s">
        <v>113</v>
      </c>
      <c r="C209" s="5"/>
      <c r="D209" s="7"/>
      <c r="E209" s="24"/>
      <c r="F209" s="25"/>
    </row>
    <row r="210" spans="1:6">
      <c r="A210" s="5"/>
      <c r="B210" s="23" t="s">
        <v>135</v>
      </c>
      <c r="C210" s="5"/>
      <c r="D210" s="7"/>
      <c r="E210" s="24"/>
      <c r="F210" s="25"/>
    </row>
    <row r="211" spans="1:6">
      <c r="A211" s="5"/>
      <c r="B211" s="23" t="s">
        <v>144</v>
      </c>
      <c r="C211" s="5"/>
      <c r="D211" s="7"/>
      <c r="E211" s="24"/>
      <c r="F211" s="25"/>
    </row>
    <row r="212" spans="1:6">
      <c r="A212" s="5"/>
      <c r="B212" s="23" t="s">
        <v>145</v>
      </c>
      <c r="C212" s="5"/>
      <c r="D212" s="7"/>
      <c r="E212" s="24"/>
      <c r="F212" s="25"/>
    </row>
    <row r="213" spans="1:6">
      <c r="A213" s="5"/>
      <c r="B213" s="23" t="s">
        <v>136</v>
      </c>
      <c r="C213" s="5"/>
      <c r="D213" s="7"/>
      <c r="E213" s="24"/>
      <c r="F213" s="25"/>
    </row>
    <row r="214" spans="1:6">
      <c r="A214" s="5"/>
      <c r="B214" s="23" t="s">
        <v>146</v>
      </c>
      <c r="C214" s="5"/>
      <c r="D214" s="7"/>
      <c r="E214" s="24"/>
      <c r="F214" s="25"/>
    </row>
    <row r="215" spans="1:6">
      <c r="A215" s="5"/>
      <c r="B215" s="23" t="s">
        <v>147</v>
      </c>
      <c r="C215" s="5"/>
      <c r="D215" s="7"/>
      <c r="E215" s="24"/>
      <c r="F215" s="25"/>
    </row>
    <row r="216" spans="1:6">
      <c r="A216" s="5"/>
      <c r="B216" s="23" t="s">
        <v>115</v>
      </c>
      <c r="C216" s="5"/>
      <c r="D216" s="7"/>
      <c r="E216" s="24"/>
      <c r="F216" s="25"/>
    </row>
    <row r="217" spans="1:6">
      <c r="A217" s="5"/>
      <c r="B217" s="23" t="s">
        <v>137</v>
      </c>
      <c r="C217" s="5"/>
      <c r="D217" s="7"/>
      <c r="E217" s="24"/>
      <c r="F217" s="25"/>
    </row>
    <row r="218" spans="1:6">
      <c r="A218" s="5"/>
      <c r="B218" s="23" t="s">
        <v>138</v>
      </c>
      <c r="C218" s="5"/>
      <c r="D218" s="7"/>
      <c r="E218" s="24"/>
      <c r="F218" s="25"/>
    </row>
    <row r="219" spans="1:6">
      <c r="A219" s="5"/>
      <c r="B219" s="23" t="s">
        <v>139</v>
      </c>
      <c r="C219" s="5"/>
      <c r="D219" s="7"/>
      <c r="E219" s="24"/>
      <c r="F219" s="25"/>
    </row>
    <row r="220" spans="1:6">
      <c r="A220" s="5"/>
      <c r="B220" s="23" t="s">
        <v>140</v>
      </c>
      <c r="C220" s="5"/>
      <c r="D220" s="7"/>
      <c r="E220" s="24"/>
      <c r="F220" s="25"/>
    </row>
    <row r="221" spans="1:6">
      <c r="A221" s="5"/>
      <c r="B221" s="23" t="s">
        <v>141</v>
      </c>
      <c r="C221" s="5"/>
      <c r="D221" s="7"/>
      <c r="E221" s="24"/>
      <c r="F221" s="25"/>
    </row>
    <row r="222" spans="1:6" ht="142.5" customHeight="1">
      <c r="A222" s="5" t="s">
        <v>133</v>
      </c>
      <c r="B222" s="23" t="s">
        <v>493</v>
      </c>
      <c r="C222" s="24"/>
      <c r="D222" s="26" t="s">
        <v>81</v>
      </c>
      <c r="E222" s="24">
        <v>4250</v>
      </c>
      <c r="F222" s="74">
        <f>E222*C222</f>
        <v>0</v>
      </c>
    </row>
    <row r="223" spans="1:6" ht="37">
      <c r="A223" s="5"/>
      <c r="B223" s="23" t="s">
        <v>149</v>
      </c>
      <c r="C223" s="5"/>
      <c r="D223" s="7"/>
      <c r="E223" s="24"/>
      <c r="F223" s="25"/>
    </row>
    <row r="224" spans="1:6">
      <c r="A224" s="5"/>
      <c r="B224" s="23" t="s">
        <v>150</v>
      </c>
      <c r="C224" s="5"/>
      <c r="D224" s="7"/>
      <c r="E224" s="24"/>
      <c r="F224" s="25"/>
    </row>
    <row r="225" spans="1:6">
      <c r="A225" s="5"/>
      <c r="B225" s="23" t="s">
        <v>117</v>
      </c>
      <c r="C225" s="5"/>
      <c r="D225" s="7"/>
      <c r="E225" s="24"/>
      <c r="F225" s="25"/>
    </row>
    <row r="226" spans="1:6" ht="18.75" customHeight="1">
      <c r="A226" s="5"/>
      <c r="B226" s="23" t="s">
        <v>151</v>
      </c>
      <c r="C226" s="5"/>
      <c r="D226" s="7"/>
      <c r="E226" s="24"/>
      <c r="F226" s="25"/>
    </row>
    <row r="227" spans="1:6">
      <c r="A227" s="5"/>
      <c r="B227" s="23" t="s">
        <v>170</v>
      </c>
      <c r="C227" s="5"/>
      <c r="D227" s="7"/>
      <c r="E227" s="24"/>
      <c r="F227" s="25"/>
    </row>
    <row r="228" spans="1:6">
      <c r="A228" s="5"/>
      <c r="B228" s="23" t="s">
        <v>124</v>
      </c>
      <c r="C228" s="5"/>
      <c r="D228" s="7"/>
      <c r="E228" s="24"/>
      <c r="F228" s="25"/>
    </row>
    <row r="229" spans="1:6">
      <c r="A229" s="5"/>
      <c r="B229" s="23" t="s">
        <v>171</v>
      </c>
      <c r="C229" s="5"/>
      <c r="D229" s="7"/>
      <c r="E229" s="24"/>
      <c r="F229" s="25"/>
    </row>
    <row r="230" spans="1:6" ht="184.5" customHeight="1">
      <c r="A230" s="5" t="s">
        <v>148</v>
      </c>
      <c r="B230" s="23" t="s">
        <v>172</v>
      </c>
      <c r="C230" s="24"/>
      <c r="D230" s="26" t="s">
        <v>81</v>
      </c>
      <c r="E230" s="24">
        <v>4750</v>
      </c>
      <c r="F230" s="74">
        <f t="shared" ref="F230" si="24">E230*C230</f>
        <v>0</v>
      </c>
    </row>
    <row r="231" spans="1:6">
      <c r="A231" s="5"/>
      <c r="B231" s="23" t="s">
        <v>173</v>
      </c>
      <c r="C231" s="5"/>
      <c r="D231" s="7"/>
      <c r="E231" s="24"/>
      <c r="F231" s="25"/>
    </row>
    <row r="232" spans="1:6">
      <c r="A232" s="5"/>
      <c r="B232" s="23" t="s">
        <v>174</v>
      </c>
      <c r="C232" s="5"/>
      <c r="D232" s="7"/>
      <c r="E232" s="24"/>
      <c r="F232" s="25"/>
    </row>
    <row r="233" spans="1:6">
      <c r="A233" s="5"/>
      <c r="B233" s="23" t="s">
        <v>117</v>
      </c>
      <c r="C233" s="5"/>
      <c r="D233" s="7"/>
      <c r="E233" s="24"/>
      <c r="F233" s="25"/>
    </row>
    <row r="234" spans="1:6">
      <c r="A234" s="5"/>
      <c r="B234" s="23" t="s">
        <v>175</v>
      </c>
      <c r="C234" s="5"/>
      <c r="D234" s="7"/>
      <c r="E234" s="24"/>
      <c r="F234" s="25"/>
    </row>
    <row r="235" spans="1:6">
      <c r="A235" s="5"/>
      <c r="B235" s="23" t="s">
        <v>176</v>
      </c>
      <c r="C235" s="5"/>
      <c r="D235" s="7"/>
      <c r="E235" s="24"/>
      <c r="F235" s="25"/>
    </row>
    <row r="236" spans="1:6">
      <c r="A236" s="5"/>
      <c r="B236" s="23" t="s">
        <v>125</v>
      </c>
      <c r="C236" s="5"/>
      <c r="D236" s="7"/>
      <c r="E236" s="24"/>
      <c r="F236" s="25"/>
    </row>
    <row r="237" spans="1:6" ht="112.5" customHeight="1">
      <c r="A237" s="5" t="s">
        <v>449</v>
      </c>
      <c r="B237" s="23" t="s">
        <v>178</v>
      </c>
      <c r="C237" s="24"/>
      <c r="D237" s="26" t="s">
        <v>81</v>
      </c>
      <c r="E237" s="24">
        <v>3500</v>
      </c>
      <c r="F237" s="79"/>
    </row>
    <row r="238" spans="1:6">
      <c r="A238" s="5"/>
      <c r="B238" s="23" t="s">
        <v>179</v>
      </c>
      <c r="C238" s="5"/>
      <c r="D238" s="7"/>
      <c r="E238" s="24"/>
      <c r="F238" s="25"/>
    </row>
    <row r="239" spans="1:6">
      <c r="A239" s="5"/>
      <c r="B239" s="23" t="s">
        <v>180</v>
      </c>
      <c r="C239" s="5"/>
      <c r="D239" s="7"/>
      <c r="E239" s="24"/>
      <c r="F239" s="25"/>
    </row>
    <row r="240" spans="1:6">
      <c r="A240" s="5"/>
      <c r="B240" s="23" t="s">
        <v>181</v>
      </c>
      <c r="C240" s="5"/>
      <c r="D240" s="7"/>
      <c r="E240" s="24"/>
      <c r="F240" s="25"/>
    </row>
    <row r="241" spans="1:7">
      <c r="A241" s="5"/>
      <c r="B241" s="23" t="s">
        <v>182</v>
      </c>
      <c r="C241" s="5"/>
      <c r="D241" s="7"/>
      <c r="E241" s="24"/>
      <c r="F241" s="25"/>
    </row>
    <row r="242" spans="1:7">
      <c r="A242" s="5"/>
      <c r="B242" s="23" t="s">
        <v>185</v>
      </c>
      <c r="C242" s="5"/>
      <c r="D242" s="7"/>
      <c r="E242" s="24"/>
      <c r="F242" s="25"/>
    </row>
    <row r="243" spans="1:7" ht="37">
      <c r="A243" s="5"/>
      <c r="B243" s="23" t="s">
        <v>186</v>
      </c>
      <c r="C243" s="5"/>
      <c r="D243" s="7"/>
      <c r="E243" s="24"/>
      <c r="F243" s="25"/>
    </row>
    <row r="244" spans="1:7" ht="129.5">
      <c r="A244" s="5" t="s">
        <v>177</v>
      </c>
      <c r="B244" s="23" t="s">
        <v>457</v>
      </c>
      <c r="C244" s="24"/>
      <c r="D244" s="26" t="s">
        <v>81</v>
      </c>
      <c r="E244" s="24">
        <v>3750</v>
      </c>
      <c r="F244" s="74">
        <f>E244*C244</f>
        <v>0</v>
      </c>
    </row>
    <row r="245" spans="1:7">
      <c r="A245" s="5" t="s">
        <v>187</v>
      </c>
      <c r="B245" s="23" t="s">
        <v>163</v>
      </c>
      <c r="C245" s="24"/>
      <c r="D245" s="26" t="s">
        <v>71</v>
      </c>
      <c r="E245" s="24">
        <v>14500</v>
      </c>
      <c r="F245" s="74">
        <f t="shared" ref="F245:F246" si="25">E245*C245</f>
        <v>0</v>
      </c>
      <c r="G245" s="1" t="s">
        <v>615</v>
      </c>
    </row>
    <row r="246" spans="1:7">
      <c r="A246" s="5" t="s">
        <v>558</v>
      </c>
      <c r="B246" s="23" t="s">
        <v>559</v>
      </c>
      <c r="C246" s="24"/>
      <c r="D246" s="26" t="s">
        <v>71</v>
      </c>
      <c r="E246" s="24">
        <v>42500</v>
      </c>
      <c r="F246" s="74">
        <f t="shared" si="25"/>
        <v>0</v>
      </c>
    </row>
    <row r="247" spans="1:7" ht="314.25" customHeight="1">
      <c r="A247" s="5" t="s">
        <v>162</v>
      </c>
      <c r="B247" s="28" t="s">
        <v>426</v>
      </c>
      <c r="C247" s="20"/>
      <c r="D247" s="26" t="s">
        <v>81</v>
      </c>
      <c r="E247" s="24">
        <v>3750</v>
      </c>
      <c r="F247" s="74"/>
    </row>
    <row r="248" spans="1:7" ht="129.5">
      <c r="A248" s="5"/>
      <c r="B248" s="28" t="s">
        <v>328</v>
      </c>
      <c r="C248" s="49"/>
      <c r="D248" s="26"/>
      <c r="E248" s="24"/>
      <c r="F248" s="79"/>
    </row>
    <row r="249" spans="1:7" ht="37">
      <c r="A249" s="5" t="s">
        <v>256</v>
      </c>
      <c r="B249" s="28" t="s">
        <v>330</v>
      </c>
      <c r="C249" s="24"/>
      <c r="D249" s="26" t="s">
        <v>81</v>
      </c>
      <c r="E249" s="24">
        <v>4500</v>
      </c>
      <c r="F249" s="79"/>
    </row>
    <row r="250" spans="1:7" ht="240.5">
      <c r="A250" s="5" t="s">
        <v>327</v>
      </c>
      <c r="B250" s="23" t="s">
        <v>287</v>
      </c>
      <c r="C250" s="24"/>
      <c r="D250" s="26" t="s">
        <v>81</v>
      </c>
      <c r="E250" s="24">
        <v>815</v>
      </c>
      <c r="F250" s="74">
        <f>E250*C250</f>
        <v>0</v>
      </c>
    </row>
    <row r="251" spans="1:7" ht="335.25" customHeight="1">
      <c r="A251" s="5" t="s">
        <v>329</v>
      </c>
      <c r="B251" s="38" t="s">
        <v>508</v>
      </c>
      <c r="C251" s="20"/>
      <c r="D251" s="26" t="s">
        <v>81</v>
      </c>
      <c r="E251" s="24">
        <v>2195</v>
      </c>
      <c r="F251" s="74">
        <f>E251*C251</f>
        <v>0</v>
      </c>
    </row>
    <row r="252" spans="1:7" ht="185">
      <c r="A252" s="5"/>
      <c r="B252" s="38" t="s">
        <v>291</v>
      </c>
      <c r="C252" s="53"/>
      <c r="D252" s="26"/>
      <c r="E252" s="24"/>
      <c r="F252" s="79"/>
    </row>
    <row r="253" spans="1:7" ht="55.5">
      <c r="A253" s="5"/>
      <c r="B253" s="38" t="s">
        <v>290</v>
      </c>
      <c r="C253" s="53"/>
      <c r="D253" s="26"/>
      <c r="E253" s="24"/>
      <c r="F253" s="79"/>
    </row>
    <row r="254" spans="1:7" ht="185">
      <c r="A254" s="5" t="s">
        <v>331</v>
      </c>
      <c r="B254" s="38" t="s">
        <v>494</v>
      </c>
      <c r="C254" s="24"/>
      <c r="D254" s="26" t="s">
        <v>81</v>
      </c>
      <c r="E254" s="24">
        <v>4650</v>
      </c>
      <c r="F254" s="79"/>
    </row>
    <row r="255" spans="1:7">
      <c r="A255" s="67"/>
      <c r="B255" s="22" t="s">
        <v>189</v>
      </c>
      <c r="C255" s="3"/>
      <c r="D255" s="4"/>
      <c r="E255" s="4"/>
      <c r="F255" s="80">
        <f>SUM(F175:F254)</f>
        <v>0</v>
      </c>
    </row>
    <row r="256" spans="1:7" ht="17.5" customHeight="1">
      <c r="A256" s="67"/>
      <c r="B256" s="36" t="s">
        <v>190</v>
      </c>
      <c r="C256" s="55"/>
      <c r="D256" s="4"/>
      <c r="E256" s="4"/>
      <c r="F256" s="73"/>
    </row>
    <row r="257" spans="1:6" ht="341.25" customHeight="1">
      <c r="A257" s="5" t="s">
        <v>311</v>
      </c>
      <c r="B257" s="23" t="s">
        <v>543</v>
      </c>
      <c r="C257" s="24"/>
      <c r="D257" s="26" t="s">
        <v>191</v>
      </c>
      <c r="E257" s="24">
        <v>115000</v>
      </c>
      <c r="F257" s="74">
        <f t="shared" ref="F257:F261" si="26">E257*C257</f>
        <v>0</v>
      </c>
    </row>
    <row r="258" spans="1:6" ht="165.75" customHeight="1">
      <c r="A258" s="5" t="s">
        <v>323</v>
      </c>
      <c r="B258" s="23" t="s">
        <v>397</v>
      </c>
      <c r="C258" s="24"/>
      <c r="D258" s="26" t="s">
        <v>191</v>
      </c>
      <c r="E258" s="24">
        <v>145000</v>
      </c>
      <c r="F258" s="74">
        <f t="shared" si="26"/>
        <v>0</v>
      </c>
    </row>
    <row r="259" spans="1:6" ht="92.5">
      <c r="A259" s="5" t="s">
        <v>312</v>
      </c>
      <c r="B259" s="23" t="s">
        <v>495</v>
      </c>
      <c r="C259" s="24"/>
      <c r="D259" s="26" t="s">
        <v>191</v>
      </c>
      <c r="E259" s="24">
        <v>15000</v>
      </c>
      <c r="F259" s="74">
        <f t="shared" si="26"/>
        <v>0</v>
      </c>
    </row>
    <row r="260" spans="1:6" ht="92.5">
      <c r="A260" s="5" t="s">
        <v>315</v>
      </c>
      <c r="B260" s="23" t="s">
        <v>324</v>
      </c>
      <c r="C260" s="24"/>
      <c r="D260" s="26" t="s">
        <v>191</v>
      </c>
      <c r="E260" s="24">
        <v>45000</v>
      </c>
      <c r="F260" s="74">
        <f t="shared" si="26"/>
        <v>0</v>
      </c>
    </row>
    <row r="261" spans="1:6" ht="216" customHeight="1">
      <c r="A261" s="5" t="s">
        <v>316</v>
      </c>
      <c r="B261" s="23" t="s">
        <v>193</v>
      </c>
      <c r="C261" s="24"/>
      <c r="D261" s="26" t="s">
        <v>83</v>
      </c>
      <c r="E261" s="24">
        <v>3750</v>
      </c>
      <c r="F261" s="74">
        <f t="shared" si="26"/>
        <v>0</v>
      </c>
    </row>
    <row r="262" spans="1:6" ht="129.5">
      <c r="A262" s="49" t="s">
        <v>325</v>
      </c>
      <c r="B262" s="28" t="s">
        <v>450</v>
      </c>
      <c r="C262" s="49"/>
      <c r="D262" s="8"/>
      <c r="E262" s="32"/>
      <c r="F262" s="24"/>
    </row>
    <row r="263" spans="1:6">
      <c r="A263" s="5"/>
      <c r="B263" s="28" t="s">
        <v>279</v>
      </c>
      <c r="C263" s="49"/>
      <c r="D263" s="32" t="s">
        <v>261</v>
      </c>
      <c r="E263" s="24">
        <v>55</v>
      </c>
      <c r="F263" s="74">
        <f t="shared" ref="F263" si="27">E263*C263</f>
        <v>0</v>
      </c>
    </row>
    <row r="264" spans="1:6">
      <c r="A264" s="5"/>
      <c r="B264" s="23" t="s">
        <v>111</v>
      </c>
      <c r="C264" s="5"/>
      <c r="D264" s="32" t="s">
        <v>261</v>
      </c>
      <c r="E264" s="24">
        <v>45</v>
      </c>
      <c r="F264" s="74">
        <f>E264*C264</f>
        <v>0</v>
      </c>
    </row>
    <row r="265" spans="1:6" ht="37">
      <c r="A265" s="5" t="s">
        <v>398</v>
      </c>
      <c r="B265" s="23" t="s">
        <v>496</v>
      </c>
      <c r="C265" s="5"/>
      <c r="D265" s="32"/>
      <c r="E265" s="24"/>
      <c r="F265" s="79"/>
    </row>
    <row r="266" spans="1:6">
      <c r="A266" s="5"/>
      <c r="B266" s="28" t="s">
        <v>279</v>
      </c>
      <c r="C266" s="20"/>
      <c r="D266" s="32" t="s">
        <v>261</v>
      </c>
      <c r="E266" s="24">
        <v>165</v>
      </c>
      <c r="F266" s="74">
        <f t="shared" ref="F266:F267" si="28">E266*C266</f>
        <v>0</v>
      </c>
    </row>
    <row r="267" spans="1:6">
      <c r="A267" s="5"/>
      <c r="B267" s="23" t="s">
        <v>111</v>
      </c>
      <c r="C267" s="5"/>
      <c r="D267" s="32" t="s">
        <v>261</v>
      </c>
      <c r="E267" s="24">
        <v>165</v>
      </c>
      <c r="F267" s="74">
        <f t="shared" si="28"/>
        <v>0</v>
      </c>
    </row>
    <row r="268" spans="1:6" ht="185">
      <c r="A268" s="5" t="s">
        <v>326</v>
      </c>
      <c r="B268" s="28" t="s">
        <v>539</v>
      </c>
      <c r="C268" s="49"/>
      <c r="D268" s="32"/>
      <c r="E268" s="24"/>
      <c r="F268" s="79"/>
    </row>
    <row r="269" spans="1:6">
      <c r="A269" s="82" t="s">
        <v>292</v>
      </c>
      <c r="B269" s="28" t="s">
        <v>293</v>
      </c>
      <c r="C269" s="24"/>
      <c r="D269" s="26" t="s">
        <v>191</v>
      </c>
      <c r="E269" s="24">
        <v>95000</v>
      </c>
      <c r="F269" s="74">
        <f t="shared" ref="F269:F270" si="29">E269*C269</f>
        <v>0</v>
      </c>
    </row>
    <row r="270" spans="1:6">
      <c r="A270" s="82" t="s">
        <v>294</v>
      </c>
      <c r="B270" s="28" t="s">
        <v>295</v>
      </c>
      <c r="C270" s="24"/>
      <c r="D270" s="26" t="s">
        <v>191</v>
      </c>
      <c r="E270" s="24">
        <v>45000</v>
      </c>
      <c r="F270" s="74">
        <f t="shared" si="29"/>
        <v>0</v>
      </c>
    </row>
    <row r="271" spans="1:6">
      <c r="A271" s="67"/>
      <c r="B271" s="35" t="s">
        <v>194</v>
      </c>
      <c r="C271" s="3"/>
      <c r="D271" s="4"/>
      <c r="E271" s="4"/>
      <c r="F271" s="80">
        <f>SUM(F257:F270)</f>
        <v>0</v>
      </c>
    </row>
    <row r="272" spans="1:6" ht="17.5" customHeight="1">
      <c r="A272" s="67"/>
      <c r="B272" s="36" t="s">
        <v>45</v>
      </c>
      <c r="C272" s="55"/>
      <c r="D272" s="4"/>
      <c r="E272" s="4"/>
      <c r="F272" s="73"/>
    </row>
    <row r="273" spans="1:6" ht="37">
      <c r="A273" s="49" t="s">
        <v>44</v>
      </c>
      <c r="B273" s="28" t="s">
        <v>286</v>
      </c>
      <c r="C273" s="49"/>
      <c r="D273" s="7"/>
      <c r="E273" s="32"/>
      <c r="F273" s="25"/>
    </row>
    <row r="274" spans="1:6">
      <c r="A274" s="49"/>
      <c r="B274" s="28" t="s">
        <v>497</v>
      </c>
      <c r="C274" s="32"/>
      <c r="D274" s="26" t="s">
        <v>83</v>
      </c>
      <c r="E274" s="24">
        <v>1150</v>
      </c>
      <c r="F274" s="74">
        <f t="shared" ref="F274:F275" si="30">E274*C274</f>
        <v>0</v>
      </c>
    </row>
    <row r="275" spans="1:6">
      <c r="A275" s="49"/>
      <c r="B275" s="28" t="s">
        <v>498</v>
      </c>
      <c r="C275" s="24"/>
      <c r="D275" s="26" t="s">
        <v>83</v>
      </c>
      <c r="E275" s="24">
        <v>1650</v>
      </c>
      <c r="F275" s="74">
        <f t="shared" si="30"/>
        <v>0</v>
      </c>
    </row>
    <row r="276" spans="1:6" ht="240.5">
      <c r="A276" s="49" t="s">
        <v>313</v>
      </c>
      <c r="B276" s="28" t="s">
        <v>544</v>
      </c>
      <c r="C276" s="49"/>
      <c r="D276" s="26"/>
      <c r="E276" s="24"/>
      <c r="F276" s="79"/>
    </row>
    <row r="277" spans="1:6">
      <c r="A277" s="49"/>
      <c r="B277" s="28" t="s">
        <v>458</v>
      </c>
      <c r="C277" s="24"/>
      <c r="D277" s="26" t="s">
        <v>81</v>
      </c>
      <c r="E277" s="24">
        <v>725</v>
      </c>
      <c r="F277" s="79"/>
    </row>
    <row r="278" spans="1:6">
      <c r="A278" s="49"/>
      <c r="B278" s="28" t="s">
        <v>505</v>
      </c>
      <c r="C278" s="24"/>
      <c r="D278" s="26" t="s">
        <v>289</v>
      </c>
      <c r="E278" s="24">
        <v>720</v>
      </c>
      <c r="F278" s="79"/>
    </row>
    <row r="279" spans="1:6">
      <c r="A279" s="49"/>
      <c r="B279" s="28" t="s">
        <v>504</v>
      </c>
      <c r="C279" s="24"/>
      <c r="D279" s="26" t="s">
        <v>289</v>
      </c>
      <c r="E279" s="24">
        <v>850</v>
      </c>
      <c r="F279" s="79"/>
    </row>
    <row r="280" spans="1:6">
      <c r="A280" s="49"/>
      <c r="B280" s="28" t="s">
        <v>506</v>
      </c>
      <c r="C280" s="24"/>
      <c r="D280" s="26" t="s">
        <v>289</v>
      </c>
      <c r="E280" s="24">
        <v>650</v>
      </c>
      <c r="F280" s="79"/>
    </row>
    <row r="281" spans="1:6">
      <c r="A281" s="67"/>
      <c r="B281" s="35" t="s">
        <v>50</v>
      </c>
      <c r="C281" s="3"/>
      <c r="D281" s="4"/>
      <c r="E281" s="4"/>
      <c r="F281" s="80">
        <f>SUM(F273:F280)</f>
        <v>0</v>
      </c>
    </row>
    <row r="282" spans="1:6" ht="17.5" customHeight="1">
      <c r="A282" s="67"/>
      <c r="B282" s="36" t="s">
        <v>195</v>
      </c>
      <c r="C282" s="55"/>
      <c r="D282" s="4"/>
      <c r="E282" s="4"/>
      <c r="F282" s="73"/>
    </row>
    <row r="283" spans="1:6" ht="258.75" customHeight="1">
      <c r="A283" s="5" t="s">
        <v>196</v>
      </c>
      <c r="B283" s="13" t="s">
        <v>309</v>
      </c>
      <c r="C283" s="58"/>
      <c r="D283" s="14"/>
      <c r="E283" s="24"/>
      <c r="F283" s="24"/>
    </row>
    <row r="284" spans="1:6">
      <c r="A284" s="5"/>
      <c r="B284" s="28" t="s">
        <v>198</v>
      </c>
      <c r="C284" s="24">
        <v>90</v>
      </c>
      <c r="D284" s="32" t="s">
        <v>86</v>
      </c>
      <c r="E284" s="24">
        <v>650</v>
      </c>
      <c r="F284" s="74">
        <f t="shared" ref="F284" si="31">E284*C284</f>
        <v>58500</v>
      </c>
    </row>
    <row r="285" spans="1:6">
      <c r="A285" s="5"/>
      <c r="B285" s="28" t="s">
        <v>199</v>
      </c>
      <c r="C285" s="49"/>
      <c r="D285" s="8"/>
      <c r="E285" s="24"/>
      <c r="F285" s="24"/>
    </row>
    <row r="286" spans="1:6">
      <c r="A286" s="5"/>
      <c r="B286" s="30" t="s">
        <v>281</v>
      </c>
      <c r="C286" s="49"/>
      <c r="D286" s="32" t="s">
        <v>86</v>
      </c>
      <c r="E286" s="24">
        <v>650</v>
      </c>
      <c r="F286" s="24"/>
    </row>
    <row r="287" spans="1:6">
      <c r="A287" s="5"/>
      <c r="B287" s="40" t="s">
        <v>280</v>
      </c>
      <c r="C287" s="49"/>
      <c r="D287" s="32" t="s">
        <v>86</v>
      </c>
      <c r="E287" s="24">
        <v>650</v>
      </c>
      <c r="F287" s="24"/>
    </row>
    <row r="288" spans="1:6" ht="129.5">
      <c r="A288" s="5" t="s">
        <v>200</v>
      </c>
      <c r="B288" s="28" t="s">
        <v>184</v>
      </c>
      <c r="C288" s="49"/>
      <c r="D288" s="24"/>
      <c r="E288" s="24"/>
      <c r="F288" s="24"/>
    </row>
    <row r="289" spans="1:6">
      <c r="A289" s="5"/>
      <c r="B289" s="28" t="s">
        <v>243</v>
      </c>
      <c r="C289" s="24"/>
      <c r="D289" s="32" t="s">
        <v>83</v>
      </c>
      <c r="E289" s="24">
        <v>750</v>
      </c>
      <c r="F289" s="24"/>
    </row>
    <row r="290" spans="1:6">
      <c r="A290" s="5"/>
      <c r="B290" s="28" t="s">
        <v>232</v>
      </c>
      <c r="C290" s="24"/>
      <c r="D290" s="32" t="s">
        <v>83</v>
      </c>
      <c r="E290" s="24">
        <v>450</v>
      </c>
      <c r="F290" s="74">
        <f t="shared" ref="F290" si="32">E290*C290</f>
        <v>0</v>
      </c>
    </row>
    <row r="291" spans="1:6">
      <c r="A291" s="67"/>
      <c r="B291" s="35" t="s">
        <v>201</v>
      </c>
      <c r="C291" s="3"/>
      <c r="D291" s="4"/>
      <c r="E291" s="4"/>
      <c r="F291" s="80">
        <f>SUM(F284:F290)</f>
        <v>58500</v>
      </c>
    </row>
    <row r="292" spans="1:6" ht="18" customHeight="1">
      <c r="A292" s="67"/>
      <c r="B292" s="36" t="s">
        <v>202</v>
      </c>
      <c r="C292" s="55"/>
      <c r="D292" s="4"/>
      <c r="E292" s="4"/>
      <c r="F292" s="73"/>
    </row>
    <row r="293" spans="1:6" ht="218.25" customHeight="1">
      <c r="A293" s="5" t="s">
        <v>203</v>
      </c>
      <c r="B293" s="42" t="s">
        <v>251</v>
      </c>
      <c r="C293" s="24"/>
      <c r="D293" s="26" t="s">
        <v>81</v>
      </c>
      <c r="E293" s="24">
        <v>55</v>
      </c>
      <c r="F293" s="74">
        <f t="shared" ref="F293" si="33">E293*C293</f>
        <v>0</v>
      </c>
    </row>
    <row r="294" spans="1:6">
      <c r="A294" s="5"/>
      <c r="B294" s="42" t="s">
        <v>204</v>
      </c>
      <c r="C294" s="59"/>
      <c r="D294" s="7"/>
      <c r="E294" s="24"/>
      <c r="F294" s="25"/>
    </row>
    <row r="295" spans="1:6" ht="37">
      <c r="A295" s="5"/>
      <c r="B295" s="41" t="s">
        <v>205</v>
      </c>
      <c r="C295" s="26"/>
      <c r="D295" s="12"/>
      <c r="E295" s="24"/>
      <c r="F295" s="25"/>
    </row>
    <row r="296" spans="1:6" ht="37">
      <c r="A296" s="5"/>
      <c r="B296" s="41" t="s">
        <v>206</v>
      </c>
      <c r="C296" s="26"/>
      <c r="D296" s="26"/>
      <c r="E296" s="24"/>
      <c r="F296" s="25"/>
    </row>
    <row r="297" spans="1:6" ht="37">
      <c r="A297" s="5"/>
      <c r="B297" s="41" t="s">
        <v>207</v>
      </c>
      <c r="C297" s="26"/>
      <c r="D297" s="26"/>
      <c r="E297" s="24"/>
      <c r="F297" s="25"/>
    </row>
    <row r="298" spans="1:6" ht="165.75" customHeight="1">
      <c r="A298" s="5" t="s">
        <v>208</v>
      </c>
      <c r="B298" s="28" t="s">
        <v>282</v>
      </c>
      <c r="C298" s="24"/>
      <c r="D298" s="26" t="s">
        <v>81</v>
      </c>
      <c r="E298" s="24">
        <v>940</v>
      </c>
      <c r="F298" s="74">
        <f>E298*C298</f>
        <v>0</v>
      </c>
    </row>
    <row r="299" spans="1:6" ht="64.5" customHeight="1">
      <c r="A299" s="5" t="s">
        <v>215</v>
      </c>
      <c r="B299" s="23" t="s">
        <v>77</v>
      </c>
      <c r="C299" s="5"/>
      <c r="D299" s="7"/>
      <c r="E299" s="24"/>
      <c r="F299" s="25"/>
    </row>
    <row r="300" spans="1:6">
      <c r="A300" s="5"/>
      <c r="B300" s="23" t="s">
        <v>236</v>
      </c>
      <c r="C300" s="24"/>
      <c r="D300" s="26" t="s">
        <v>81</v>
      </c>
      <c r="E300" s="24">
        <v>70</v>
      </c>
      <c r="F300" s="79"/>
    </row>
    <row r="301" spans="1:6">
      <c r="A301" s="5"/>
      <c r="B301" s="23" t="s">
        <v>237</v>
      </c>
      <c r="C301" s="90"/>
      <c r="D301" s="26" t="s">
        <v>81</v>
      </c>
      <c r="E301" s="24">
        <v>75</v>
      </c>
      <c r="F301" s="74">
        <f t="shared" ref="F301" si="34">E301*C301</f>
        <v>0</v>
      </c>
    </row>
    <row r="302" spans="1:6" ht="246" customHeight="1">
      <c r="A302" s="5" t="s">
        <v>216</v>
      </c>
      <c r="B302" s="28" t="s">
        <v>268</v>
      </c>
      <c r="C302" s="49"/>
      <c r="D302" s="7"/>
      <c r="E302" s="24"/>
      <c r="F302" s="25"/>
    </row>
    <row r="303" spans="1:6">
      <c r="A303" s="5" t="s">
        <v>301</v>
      </c>
      <c r="B303" s="23" t="s">
        <v>547</v>
      </c>
      <c r="C303" s="88"/>
      <c r="D303" s="25" t="s">
        <v>83</v>
      </c>
      <c r="E303" s="24">
        <v>575</v>
      </c>
      <c r="F303" s="25"/>
    </row>
    <row r="304" spans="1:6">
      <c r="A304" s="5"/>
      <c r="B304" s="23" t="s">
        <v>546</v>
      </c>
      <c r="C304" s="91"/>
      <c r="D304" s="25" t="s">
        <v>83</v>
      </c>
      <c r="E304" s="24">
        <v>650</v>
      </c>
      <c r="F304" s="74">
        <f t="shared" ref="F304:F305" si="35">E304*C304</f>
        <v>0</v>
      </c>
    </row>
    <row r="305" spans="1:6" ht="21.75" customHeight="1">
      <c r="A305" s="5"/>
      <c r="B305" s="23" t="s">
        <v>545</v>
      </c>
      <c r="C305" s="91"/>
      <c r="D305" s="25" t="s">
        <v>83</v>
      </c>
      <c r="E305" s="24">
        <v>950</v>
      </c>
      <c r="F305" s="74">
        <f t="shared" si="35"/>
        <v>0</v>
      </c>
    </row>
    <row r="306" spans="1:6">
      <c r="A306" s="5"/>
      <c r="B306" s="23" t="s">
        <v>548</v>
      </c>
      <c r="C306" s="88"/>
      <c r="D306" s="25" t="s">
        <v>83</v>
      </c>
      <c r="E306" s="24">
        <v>1550</v>
      </c>
      <c r="F306" s="79"/>
    </row>
    <row r="307" spans="1:6">
      <c r="A307" s="5"/>
      <c r="B307" s="23" t="s">
        <v>549</v>
      </c>
      <c r="C307" s="88"/>
      <c r="D307" s="25" t="s">
        <v>83</v>
      </c>
      <c r="E307" s="24">
        <v>2650</v>
      </c>
      <c r="F307" s="25"/>
    </row>
    <row r="308" spans="1:6">
      <c r="A308" s="5"/>
      <c r="B308" s="23" t="s">
        <v>550</v>
      </c>
      <c r="C308" s="88"/>
      <c r="D308" s="25" t="s">
        <v>83</v>
      </c>
      <c r="E308" s="24">
        <v>37850</v>
      </c>
      <c r="F308" s="25"/>
    </row>
    <row r="309" spans="1:6">
      <c r="A309" s="5"/>
      <c r="B309" s="21" t="s">
        <v>438</v>
      </c>
      <c r="C309" s="88"/>
      <c r="D309" s="25"/>
      <c r="E309" s="24"/>
      <c r="F309" s="25"/>
    </row>
    <row r="310" spans="1:6">
      <c r="A310" s="5" t="s">
        <v>303</v>
      </c>
      <c r="B310" s="23" t="s">
        <v>551</v>
      </c>
      <c r="C310" s="88"/>
      <c r="D310" s="25" t="s">
        <v>83</v>
      </c>
      <c r="E310" s="24">
        <v>1750</v>
      </c>
      <c r="F310" s="79"/>
    </row>
    <row r="311" spans="1:6">
      <c r="A311" s="5"/>
      <c r="B311" s="23" t="s">
        <v>552</v>
      </c>
      <c r="C311" s="88"/>
      <c r="D311" s="25" t="s">
        <v>83</v>
      </c>
      <c r="E311" s="24">
        <v>2950</v>
      </c>
      <c r="F311" s="25"/>
    </row>
    <row r="312" spans="1:6">
      <c r="A312" s="5"/>
      <c r="B312" s="23" t="s">
        <v>553</v>
      </c>
      <c r="C312" s="88"/>
      <c r="D312" s="25" t="s">
        <v>83</v>
      </c>
      <c r="E312" s="24">
        <v>4250</v>
      </c>
      <c r="F312" s="25"/>
    </row>
    <row r="313" spans="1:6" ht="129.5">
      <c r="A313" s="5" t="s">
        <v>42</v>
      </c>
      <c r="B313" s="23" t="s">
        <v>217</v>
      </c>
      <c r="C313" s="5"/>
      <c r="D313" s="7"/>
      <c r="E313" s="24"/>
      <c r="F313" s="25"/>
    </row>
    <row r="314" spans="1:6">
      <c r="A314" s="5"/>
      <c r="B314" s="23" t="s">
        <v>283</v>
      </c>
      <c r="C314" s="32"/>
      <c r="D314" s="25" t="s">
        <v>71</v>
      </c>
      <c r="E314" s="24">
        <v>1250</v>
      </c>
      <c r="F314" s="74">
        <f t="shared" ref="F314" si="36">E314*C314</f>
        <v>0</v>
      </c>
    </row>
    <row r="315" spans="1:6">
      <c r="A315" s="5"/>
      <c r="B315" s="23" t="s">
        <v>284</v>
      </c>
      <c r="C315" s="5"/>
      <c r="D315" s="25" t="s">
        <v>71</v>
      </c>
      <c r="E315" s="24">
        <v>1150</v>
      </c>
      <c r="F315" s="79"/>
    </row>
    <row r="316" spans="1:6" ht="95.25" customHeight="1">
      <c r="A316" s="5" t="s">
        <v>317</v>
      </c>
      <c r="B316" s="38" t="s">
        <v>272</v>
      </c>
      <c r="C316" s="53"/>
      <c r="D316" s="7"/>
      <c r="E316" s="24"/>
      <c r="F316" s="25"/>
    </row>
    <row r="317" spans="1:6" ht="37">
      <c r="A317" s="5"/>
      <c r="B317" s="23" t="s">
        <v>219</v>
      </c>
      <c r="C317" s="32"/>
      <c r="D317" s="25" t="s">
        <v>71</v>
      </c>
      <c r="E317" s="24">
        <v>650</v>
      </c>
      <c r="F317" s="74">
        <f t="shared" ref="F317:F319" si="37">E317*C317</f>
        <v>0</v>
      </c>
    </row>
    <row r="318" spans="1:6" ht="37">
      <c r="A318" s="5"/>
      <c r="B318" s="23" t="s">
        <v>220</v>
      </c>
      <c r="C318" s="32"/>
      <c r="D318" s="25" t="s">
        <v>71</v>
      </c>
      <c r="E318" s="24">
        <v>1250</v>
      </c>
      <c r="F318" s="74">
        <f t="shared" si="37"/>
        <v>0</v>
      </c>
    </row>
    <row r="319" spans="1:6" ht="37">
      <c r="A319" s="5"/>
      <c r="B319" s="23" t="s">
        <v>0</v>
      </c>
      <c r="C319" s="32"/>
      <c r="D319" s="25" t="s">
        <v>71</v>
      </c>
      <c r="E319" s="24">
        <v>1675</v>
      </c>
      <c r="F319" s="74">
        <f t="shared" si="37"/>
        <v>0</v>
      </c>
    </row>
    <row r="320" spans="1:6" ht="221.25" customHeight="1">
      <c r="A320" s="5" t="s">
        <v>318</v>
      </c>
      <c r="B320" s="23" t="s">
        <v>226</v>
      </c>
      <c r="C320" s="24"/>
      <c r="D320" s="25" t="s">
        <v>192</v>
      </c>
      <c r="E320" s="24">
        <v>165</v>
      </c>
      <c r="F320" s="79"/>
    </row>
    <row r="321" spans="1:6" ht="143.25" customHeight="1">
      <c r="A321" s="5" t="s">
        <v>319</v>
      </c>
      <c r="B321" s="23" t="s">
        <v>451</v>
      </c>
      <c r="C321" s="32"/>
      <c r="D321" s="25" t="s">
        <v>192</v>
      </c>
      <c r="E321" s="24">
        <v>135</v>
      </c>
      <c r="F321" s="74">
        <f t="shared" ref="F321:F325" si="38">E321*C321</f>
        <v>0</v>
      </c>
    </row>
    <row r="322" spans="1:6" ht="148">
      <c r="A322" s="5" t="s">
        <v>320</v>
      </c>
      <c r="B322" s="23" t="s">
        <v>604</v>
      </c>
      <c r="C322" s="24"/>
      <c r="D322" s="25" t="s">
        <v>169</v>
      </c>
      <c r="E322" s="24">
        <v>3750</v>
      </c>
      <c r="F322" s="74">
        <f t="shared" si="38"/>
        <v>0</v>
      </c>
    </row>
    <row r="323" spans="1:6" ht="55.5">
      <c r="A323" s="5" t="s">
        <v>218</v>
      </c>
      <c r="B323" s="23" t="s">
        <v>46</v>
      </c>
      <c r="C323" s="88"/>
      <c r="D323" s="25" t="s">
        <v>108</v>
      </c>
      <c r="E323" s="24">
        <v>2950</v>
      </c>
      <c r="F323" s="74">
        <f t="shared" si="38"/>
        <v>0</v>
      </c>
    </row>
    <row r="324" spans="1:6" ht="55.5">
      <c r="A324" s="5" t="s">
        <v>221</v>
      </c>
      <c r="B324" s="23" t="s">
        <v>47</v>
      </c>
      <c r="C324" s="88"/>
      <c r="D324" s="25" t="s">
        <v>108</v>
      </c>
      <c r="E324" s="24">
        <v>3500</v>
      </c>
      <c r="F324" s="74">
        <f t="shared" si="38"/>
        <v>0</v>
      </c>
    </row>
    <row r="325" spans="1:6" ht="58.4" customHeight="1">
      <c r="A325" s="5" t="s">
        <v>224</v>
      </c>
      <c r="B325" s="23" t="s">
        <v>273</v>
      </c>
      <c r="C325" s="88"/>
      <c r="D325" s="25" t="s">
        <v>108</v>
      </c>
      <c r="E325" s="24">
        <v>5500</v>
      </c>
      <c r="F325" s="74">
        <f t="shared" si="38"/>
        <v>0</v>
      </c>
    </row>
    <row r="326" spans="1:6">
      <c r="A326" s="5" t="s">
        <v>225</v>
      </c>
      <c r="B326" s="28" t="s">
        <v>624</v>
      </c>
      <c r="C326" s="49"/>
      <c r="D326" s="24"/>
      <c r="E326" s="24"/>
      <c r="F326" s="25"/>
    </row>
    <row r="327" spans="1:6">
      <c r="A327" s="5"/>
      <c r="B327" s="28" t="s">
        <v>48</v>
      </c>
      <c r="C327" s="24"/>
      <c r="D327" s="24" t="s">
        <v>164</v>
      </c>
      <c r="E327" s="24">
        <v>250</v>
      </c>
      <c r="F327" s="79"/>
    </row>
    <row r="328" spans="1:6">
      <c r="A328" s="5"/>
      <c r="B328" s="28" t="s">
        <v>49</v>
      </c>
      <c r="C328" s="24"/>
      <c r="D328" s="24" t="s">
        <v>164</v>
      </c>
      <c r="E328" s="24">
        <v>350</v>
      </c>
      <c r="F328" s="79"/>
    </row>
    <row r="329" spans="1:6" ht="64.400000000000006" customHeight="1">
      <c r="A329" s="5" t="s">
        <v>227</v>
      </c>
      <c r="B329" s="28" t="s">
        <v>269</v>
      </c>
      <c r="C329" s="32"/>
      <c r="D329" s="24"/>
      <c r="E329" s="24"/>
      <c r="F329" s="25"/>
    </row>
    <row r="330" spans="1:6">
      <c r="A330" s="5"/>
      <c r="B330" s="28" t="s">
        <v>48</v>
      </c>
      <c r="C330" s="24"/>
      <c r="D330" s="24" t="s">
        <v>164</v>
      </c>
      <c r="E330" s="24">
        <v>650</v>
      </c>
      <c r="F330" s="79"/>
    </row>
    <row r="331" spans="1:6">
      <c r="A331" s="5"/>
      <c r="B331" s="28" t="s">
        <v>49</v>
      </c>
      <c r="C331" s="24"/>
      <c r="D331" s="24" t="s">
        <v>164</v>
      </c>
      <c r="E331" s="24">
        <v>750</v>
      </c>
      <c r="F331" s="79"/>
    </row>
    <row r="332" spans="1:6" ht="92.5">
      <c r="A332" s="5" t="s">
        <v>228</v>
      </c>
      <c r="B332" s="23" t="s">
        <v>271</v>
      </c>
      <c r="C332" s="5"/>
      <c r="D332" s="25"/>
      <c r="E332" s="24"/>
      <c r="F332" s="25"/>
    </row>
    <row r="333" spans="1:6">
      <c r="A333" s="5"/>
      <c r="B333" s="23" t="s">
        <v>84</v>
      </c>
      <c r="C333" s="32"/>
      <c r="D333" s="25" t="s">
        <v>164</v>
      </c>
      <c r="E333" s="24">
        <v>11500</v>
      </c>
      <c r="F333" s="74">
        <f t="shared" ref="F333:F336" si="39">E333*C333</f>
        <v>0</v>
      </c>
    </row>
    <row r="334" spans="1:6">
      <c r="A334" s="83"/>
      <c r="B334" s="23" t="s">
        <v>399</v>
      </c>
      <c r="C334" s="32"/>
      <c r="D334" s="25" t="s">
        <v>164</v>
      </c>
      <c r="E334" s="24">
        <v>16500</v>
      </c>
      <c r="F334" s="74">
        <f t="shared" si="39"/>
        <v>0</v>
      </c>
    </row>
    <row r="335" spans="1:6" ht="55.5">
      <c r="A335" s="5" t="s">
        <v>452</v>
      </c>
      <c r="B335" s="23" t="s">
        <v>471</v>
      </c>
      <c r="C335" s="32"/>
      <c r="D335" s="25" t="s">
        <v>352</v>
      </c>
      <c r="E335" s="24">
        <v>1450</v>
      </c>
      <c r="F335" s="74">
        <f t="shared" si="39"/>
        <v>0</v>
      </c>
    </row>
    <row r="336" spans="1:6" ht="55.5">
      <c r="A336" s="5" t="s">
        <v>472</v>
      </c>
      <c r="B336" s="23" t="s">
        <v>626</v>
      </c>
      <c r="C336" s="32"/>
      <c r="D336" s="25" t="s">
        <v>352</v>
      </c>
      <c r="E336" s="24"/>
      <c r="F336" s="74">
        <f t="shared" si="39"/>
        <v>0</v>
      </c>
    </row>
    <row r="337" spans="1:6" ht="74">
      <c r="A337" s="5" t="s">
        <v>534</v>
      </c>
      <c r="B337" s="23" t="s">
        <v>473</v>
      </c>
      <c r="C337" s="5"/>
      <c r="D337" s="25"/>
      <c r="E337" s="24">
        <v>250</v>
      </c>
      <c r="F337" s="79"/>
    </row>
    <row r="338" spans="1:6">
      <c r="A338" s="1"/>
      <c r="B338" s="23" t="s">
        <v>474</v>
      </c>
      <c r="C338" s="5"/>
      <c r="D338" s="25" t="s">
        <v>164</v>
      </c>
      <c r="E338" s="24">
        <v>375</v>
      </c>
      <c r="F338" s="74">
        <f>E338*C338</f>
        <v>0</v>
      </c>
    </row>
    <row r="339" spans="1:6">
      <c r="A339" s="5"/>
      <c r="B339" s="23" t="s">
        <v>475</v>
      </c>
      <c r="C339" s="5"/>
      <c r="D339" s="25" t="s">
        <v>164</v>
      </c>
      <c r="E339" s="24">
        <v>550</v>
      </c>
      <c r="F339" s="74">
        <f>E339*C339</f>
        <v>0</v>
      </c>
    </row>
    <row r="340" spans="1:6">
      <c r="A340" s="5"/>
      <c r="B340" s="23" t="s">
        <v>476</v>
      </c>
      <c r="C340" s="5"/>
      <c r="D340" s="25" t="s">
        <v>164</v>
      </c>
      <c r="E340" s="24">
        <v>750</v>
      </c>
      <c r="F340" s="74">
        <f>E340*C340</f>
        <v>0</v>
      </c>
    </row>
    <row r="341" spans="1:6">
      <c r="A341" s="5"/>
      <c r="B341" s="23" t="s">
        <v>477</v>
      </c>
      <c r="C341" s="5"/>
      <c r="D341" s="25" t="s">
        <v>164</v>
      </c>
      <c r="E341" s="24">
        <v>1200</v>
      </c>
      <c r="F341" s="74">
        <f>E341*C341</f>
        <v>0</v>
      </c>
    </row>
    <row r="342" spans="1:6">
      <c r="A342" s="5"/>
      <c r="B342" s="23" t="s">
        <v>478</v>
      </c>
      <c r="C342" s="5"/>
      <c r="D342" s="25" t="s">
        <v>164</v>
      </c>
      <c r="E342" s="24">
        <v>1875</v>
      </c>
      <c r="F342" s="74">
        <f t="shared" ref="F342:F349" si="40">E342*C342</f>
        <v>0</v>
      </c>
    </row>
    <row r="343" spans="1:6">
      <c r="A343" s="5"/>
      <c r="B343" s="23" t="s">
        <v>479</v>
      </c>
      <c r="C343" s="63"/>
      <c r="D343" s="25" t="s">
        <v>164</v>
      </c>
      <c r="E343" s="5"/>
      <c r="F343" s="74">
        <f t="shared" si="40"/>
        <v>0</v>
      </c>
    </row>
    <row r="344" spans="1:6" ht="74">
      <c r="A344" s="5" t="s">
        <v>625</v>
      </c>
      <c r="B344" s="23" t="s">
        <v>605</v>
      </c>
      <c r="C344" s="5"/>
      <c r="D344" s="23"/>
      <c r="F344" s="23"/>
    </row>
    <row r="345" spans="1:6" ht="37">
      <c r="A345" s="5"/>
      <c r="B345" s="23" t="s">
        <v>513</v>
      </c>
      <c r="C345" s="5"/>
      <c r="D345" s="5" t="s">
        <v>514</v>
      </c>
      <c r="E345" s="5">
        <v>750</v>
      </c>
      <c r="F345" s="74">
        <f t="shared" si="40"/>
        <v>0</v>
      </c>
    </row>
    <row r="346" spans="1:6" ht="37">
      <c r="A346" s="5"/>
      <c r="B346" s="23" t="s">
        <v>515</v>
      </c>
      <c r="C346" s="5"/>
      <c r="D346" s="5" t="s">
        <v>514</v>
      </c>
      <c r="E346" s="5">
        <v>950</v>
      </c>
      <c r="F346" s="74">
        <f t="shared" si="40"/>
        <v>0</v>
      </c>
    </row>
    <row r="347" spans="1:6" ht="37">
      <c r="A347" s="5"/>
      <c r="B347" s="23" t="s">
        <v>516</v>
      </c>
      <c r="C347" s="5"/>
      <c r="D347" s="5" t="s">
        <v>514</v>
      </c>
      <c r="E347" s="5">
        <v>1250</v>
      </c>
      <c r="F347" s="74">
        <f t="shared" si="40"/>
        <v>0</v>
      </c>
    </row>
    <row r="348" spans="1:6">
      <c r="A348" s="5"/>
      <c r="B348" s="23" t="s">
        <v>517</v>
      </c>
      <c r="C348" s="5"/>
      <c r="D348" s="5" t="s">
        <v>82</v>
      </c>
      <c r="E348" s="5">
        <v>1250</v>
      </c>
      <c r="F348" s="74">
        <f t="shared" si="40"/>
        <v>0</v>
      </c>
    </row>
    <row r="349" spans="1:6" ht="74">
      <c r="A349" s="5" t="s">
        <v>627</v>
      </c>
      <c r="B349" s="23" t="s">
        <v>628</v>
      </c>
      <c r="C349" s="5"/>
      <c r="D349" s="5" t="s">
        <v>288</v>
      </c>
      <c r="E349" s="32"/>
      <c r="F349" s="74">
        <f t="shared" si="40"/>
        <v>0</v>
      </c>
    </row>
    <row r="350" spans="1:6">
      <c r="A350" s="67"/>
      <c r="B350" s="35" t="s">
        <v>229</v>
      </c>
      <c r="C350" s="3"/>
      <c r="D350" s="4"/>
      <c r="E350" s="4"/>
      <c r="F350" s="80">
        <f>SUM(F293:F349)</f>
        <v>0</v>
      </c>
    </row>
    <row r="351" spans="1:6">
      <c r="A351" s="84"/>
      <c r="B351" s="36" t="s">
        <v>453</v>
      </c>
      <c r="C351" s="55"/>
      <c r="D351" s="4"/>
      <c r="E351" s="4"/>
      <c r="F351" s="4"/>
    </row>
    <row r="352" spans="1:6" ht="148">
      <c r="A352" s="85" t="s">
        <v>332</v>
      </c>
      <c r="B352" s="23" t="s">
        <v>503</v>
      </c>
      <c r="C352" s="5"/>
      <c r="D352" s="32" t="s">
        <v>334</v>
      </c>
      <c r="E352" s="32">
        <v>150</v>
      </c>
      <c r="F352" s="74">
        <f>E354*C352</f>
        <v>0</v>
      </c>
    </row>
    <row r="353" spans="1:6" ht="111">
      <c r="A353" s="85" t="s">
        <v>333</v>
      </c>
      <c r="B353" s="23" t="s">
        <v>336</v>
      </c>
      <c r="C353" s="5"/>
      <c r="D353" s="32" t="s">
        <v>334</v>
      </c>
      <c r="E353" s="32">
        <v>500</v>
      </c>
      <c r="F353" s="74">
        <f>E355*C353</f>
        <v>0</v>
      </c>
    </row>
    <row r="354" spans="1:6" ht="111">
      <c r="A354" s="85" t="s">
        <v>335</v>
      </c>
      <c r="B354" s="23" t="s">
        <v>338</v>
      </c>
      <c r="C354" s="5"/>
      <c r="D354" s="32" t="s">
        <v>334</v>
      </c>
      <c r="E354" s="32">
        <v>1050</v>
      </c>
      <c r="F354" s="74">
        <f>E356*C354</f>
        <v>0</v>
      </c>
    </row>
    <row r="355" spans="1:6" ht="111">
      <c r="A355" s="85" t="s">
        <v>337</v>
      </c>
      <c r="B355" s="23" t="s">
        <v>308</v>
      </c>
      <c r="C355" s="5"/>
      <c r="D355" s="32"/>
      <c r="E355" s="32"/>
      <c r="F355" s="32"/>
    </row>
    <row r="356" spans="1:6">
      <c r="A356" s="32" t="s">
        <v>339</v>
      </c>
      <c r="B356" s="23" t="s">
        <v>222</v>
      </c>
      <c r="C356" s="5"/>
      <c r="D356" s="26" t="s">
        <v>169</v>
      </c>
      <c r="E356" s="32">
        <v>517</v>
      </c>
      <c r="F356" s="74">
        <f>E358*C356</f>
        <v>0</v>
      </c>
    </row>
    <row r="357" spans="1:6" ht="55.5">
      <c r="A357" s="85" t="s">
        <v>294</v>
      </c>
      <c r="B357" s="23" t="s">
        <v>274</v>
      </c>
      <c r="C357" s="5"/>
      <c r="D357" s="26" t="s">
        <v>169</v>
      </c>
      <c r="E357" s="32">
        <v>340</v>
      </c>
      <c r="F357" s="74">
        <f>E359*C357</f>
        <v>0</v>
      </c>
    </row>
    <row r="358" spans="1:6" ht="55.5">
      <c r="A358" s="32" t="s">
        <v>340</v>
      </c>
      <c r="B358" s="23" t="s">
        <v>275</v>
      </c>
      <c r="C358" s="5"/>
      <c r="D358" s="26" t="s">
        <v>169</v>
      </c>
      <c r="E358" s="32">
        <v>170</v>
      </c>
      <c r="F358" s="74">
        <f>E360*C358</f>
        <v>0</v>
      </c>
    </row>
    <row r="359" spans="1:6" ht="120.75" customHeight="1">
      <c r="A359" s="32" t="s">
        <v>341</v>
      </c>
      <c r="B359" s="17" t="s">
        <v>343</v>
      </c>
      <c r="C359" s="49"/>
      <c r="D359" s="32" t="s">
        <v>334</v>
      </c>
      <c r="E359" s="32">
        <v>4150</v>
      </c>
      <c r="F359" s="74">
        <f>E361*C359</f>
        <v>0</v>
      </c>
    </row>
    <row r="360" spans="1:6" ht="118.5" customHeight="1">
      <c r="A360" s="32" t="s">
        <v>342</v>
      </c>
      <c r="B360" s="17" t="s">
        <v>407</v>
      </c>
      <c r="C360" s="24"/>
      <c r="D360" s="32" t="s">
        <v>334</v>
      </c>
      <c r="E360" s="32">
        <v>4750</v>
      </c>
      <c r="F360" s="79"/>
    </row>
    <row r="361" spans="1:6" ht="259">
      <c r="A361" s="32" t="s">
        <v>344</v>
      </c>
      <c r="B361" s="17" t="s">
        <v>607</v>
      </c>
      <c r="C361" s="32"/>
      <c r="D361" s="32" t="s">
        <v>334</v>
      </c>
      <c r="E361" s="32">
        <v>6250</v>
      </c>
      <c r="F361" s="74">
        <f>E363*C361</f>
        <v>0</v>
      </c>
    </row>
    <row r="362" spans="1:6" ht="37">
      <c r="A362" s="65"/>
      <c r="B362" s="18" t="s">
        <v>345</v>
      </c>
      <c r="C362" s="57"/>
      <c r="D362" s="32"/>
      <c r="E362" s="32"/>
      <c r="F362" s="32"/>
    </row>
    <row r="363" spans="1:6" ht="55.5">
      <c r="A363" s="65"/>
      <c r="B363" s="17" t="s">
        <v>346</v>
      </c>
      <c r="C363" s="51"/>
      <c r="D363" s="32"/>
      <c r="E363" s="32"/>
      <c r="F363" s="32"/>
    </row>
    <row r="364" spans="1:6" ht="55.5">
      <c r="A364" s="32" t="s">
        <v>466</v>
      </c>
      <c r="B364" s="48" t="s">
        <v>465</v>
      </c>
      <c r="C364" s="32"/>
      <c r="D364" s="32" t="s">
        <v>334</v>
      </c>
      <c r="E364" s="32">
        <v>5950</v>
      </c>
      <c r="F364" s="74">
        <f>E366*C364</f>
        <v>0</v>
      </c>
    </row>
    <row r="365" spans="1:6" ht="240.5">
      <c r="A365" s="32" t="s">
        <v>454</v>
      </c>
      <c r="B365" s="17" t="s">
        <v>455</v>
      </c>
      <c r="C365" s="51"/>
      <c r="D365" s="32"/>
      <c r="E365" s="32"/>
      <c r="F365" s="32"/>
    </row>
    <row r="366" spans="1:6" ht="74">
      <c r="A366" s="32" t="s">
        <v>339</v>
      </c>
      <c r="B366" s="17" t="s">
        <v>408</v>
      </c>
      <c r="C366" s="49"/>
      <c r="D366" s="32" t="s">
        <v>191</v>
      </c>
      <c r="E366" s="32">
        <v>65500</v>
      </c>
      <c r="F366" s="74">
        <f>E368*C366</f>
        <v>0</v>
      </c>
    </row>
    <row r="367" spans="1:6" ht="92.5">
      <c r="A367" s="32" t="s">
        <v>347</v>
      </c>
      <c r="B367" s="17" t="s">
        <v>350</v>
      </c>
      <c r="C367" s="49"/>
      <c r="D367" s="32" t="s">
        <v>289</v>
      </c>
      <c r="E367" s="32">
        <v>225</v>
      </c>
      <c r="F367" s="74">
        <f>E369*C367</f>
        <v>0</v>
      </c>
    </row>
    <row r="368" spans="1:6" ht="92.5">
      <c r="A368" s="32" t="s">
        <v>348</v>
      </c>
      <c r="B368" s="17" t="s">
        <v>391</v>
      </c>
      <c r="C368" s="49"/>
      <c r="D368" s="32" t="s">
        <v>289</v>
      </c>
      <c r="E368" s="32">
        <v>165</v>
      </c>
      <c r="F368" s="74">
        <f>E370*C368</f>
        <v>0</v>
      </c>
    </row>
    <row r="369" spans="1:6" ht="92.5">
      <c r="A369" s="32" t="s">
        <v>349</v>
      </c>
      <c r="B369" s="23" t="s">
        <v>392</v>
      </c>
      <c r="C369" s="5"/>
      <c r="D369" s="32" t="s">
        <v>289</v>
      </c>
      <c r="E369" s="32">
        <v>165</v>
      </c>
      <c r="F369" s="74">
        <f>E371*C369</f>
        <v>0</v>
      </c>
    </row>
    <row r="370" spans="1:6" ht="185">
      <c r="A370" s="32" t="s">
        <v>351</v>
      </c>
      <c r="B370" s="23" t="s">
        <v>499</v>
      </c>
      <c r="C370" s="5"/>
      <c r="D370" s="32"/>
      <c r="E370" s="32"/>
      <c r="F370" s="32"/>
    </row>
    <row r="371" spans="1:6">
      <c r="A371" s="51" t="s">
        <v>339</v>
      </c>
      <c r="B371" s="17" t="s">
        <v>356</v>
      </c>
      <c r="C371" s="24"/>
      <c r="D371" s="32" t="s">
        <v>289</v>
      </c>
      <c r="E371" s="32">
        <v>575</v>
      </c>
      <c r="F371" s="32"/>
    </row>
    <row r="372" spans="1:6">
      <c r="A372" s="51" t="s">
        <v>294</v>
      </c>
      <c r="B372" s="17" t="s">
        <v>357</v>
      </c>
      <c r="C372" s="32"/>
      <c r="D372" s="32" t="s">
        <v>289</v>
      </c>
      <c r="E372" s="32">
        <v>720</v>
      </c>
      <c r="F372" s="74">
        <f>E374*C372</f>
        <v>0</v>
      </c>
    </row>
    <row r="373" spans="1:6">
      <c r="A373" s="51" t="s">
        <v>340</v>
      </c>
      <c r="B373" s="17" t="s">
        <v>358</v>
      </c>
      <c r="C373" s="32"/>
      <c r="D373" s="32" t="s">
        <v>289</v>
      </c>
      <c r="E373" s="32">
        <v>920</v>
      </c>
      <c r="F373" s="74">
        <f>E375*C373</f>
        <v>0</v>
      </c>
    </row>
    <row r="374" spans="1:6">
      <c r="A374" s="51" t="s">
        <v>359</v>
      </c>
      <c r="B374" s="17" t="s">
        <v>360</v>
      </c>
      <c r="C374" s="24"/>
      <c r="D374" s="32" t="s">
        <v>289</v>
      </c>
      <c r="E374" s="32">
        <v>1750</v>
      </c>
      <c r="F374" s="79"/>
    </row>
    <row r="375" spans="1:6">
      <c r="A375" s="51" t="s">
        <v>361</v>
      </c>
      <c r="B375" s="17" t="s">
        <v>362</v>
      </c>
      <c r="C375" s="24"/>
      <c r="D375" s="32" t="s">
        <v>289</v>
      </c>
      <c r="E375" s="32">
        <v>2950</v>
      </c>
      <c r="F375" s="32"/>
    </row>
    <row r="376" spans="1:6">
      <c r="A376" s="51" t="s">
        <v>363</v>
      </c>
      <c r="B376" s="17" t="s">
        <v>364</v>
      </c>
      <c r="C376" s="24"/>
      <c r="D376" s="32" t="s">
        <v>289</v>
      </c>
      <c r="E376" s="32">
        <v>3950</v>
      </c>
      <c r="F376" s="32"/>
    </row>
    <row r="377" spans="1:6">
      <c r="A377" s="51" t="s">
        <v>365</v>
      </c>
      <c r="B377" s="17" t="s">
        <v>366</v>
      </c>
      <c r="C377" s="24"/>
      <c r="D377" s="32" t="s">
        <v>289</v>
      </c>
      <c r="E377" s="32">
        <v>4250</v>
      </c>
      <c r="F377" s="32"/>
    </row>
    <row r="378" spans="1:6" ht="203.5">
      <c r="A378" s="32" t="s">
        <v>353</v>
      </c>
      <c r="B378" s="23" t="s">
        <v>368</v>
      </c>
      <c r="C378" s="5"/>
      <c r="D378" s="32"/>
      <c r="E378" s="32"/>
      <c r="F378" s="32"/>
    </row>
    <row r="379" spans="1:6">
      <c r="A379" s="51" t="s">
        <v>339</v>
      </c>
      <c r="B379" s="16" t="s">
        <v>369</v>
      </c>
      <c r="C379" s="24"/>
      <c r="D379" s="32" t="s">
        <v>289</v>
      </c>
      <c r="E379" s="32">
        <v>525</v>
      </c>
      <c r="F379" s="32"/>
    </row>
    <row r="380" spans="1:6">
      <c r="A380" s="51" t="s">
        <v>294</v>
      </c>
      <c r="B380" s="16" t="s">
        <v>370</v>
      </c>
      <c r="C380" s="32"/>
      <c r="D380" s="32" t="s">
        <v>289</v>
      </c>
      <c r="E380" s="32">
        <v>650</v>
      </c>
      <c r="F380" s="74">
        <f>E382*C380</f>
        <v>0</v>
      </c>
    </row>
    <row r="381" spans="1:6">
      <c r="A381" s="51" t="s">
        <v>340</v>
      </c>
      <c r="B381" s="16" t="s">
        <v>371</v>
      </c>
      <c r="C381" s="32"/>
      <c r="D381" s="32" t="s">
        <v>289</v>
      </c>
      <c r="E381" s="32">
        <v>830</v>
      </c>
      <c r="F381" s="74">
        <f>E383*C381</f>
        <v>0</v>
      </c>
    </row>
    <row r="382" spans="1:6">
      <c r="A382" s="51" t="s">
        <v>359</v>
      </c>
      <c r="B382" s="16" t="s">
        <v>372</v>
      </c>
      <c r="C382" s="24"/>
      <c r="D382" s="32" t="s">
        <v>289</v>
      </c>
      <c r="E382" s="32">
        <v>1590</v>
      </c>
      <c r="F382" s="79"/>
    </row>
    <row r="383" spans="1:6">
      <c r="A383" s="51" t="s">
        <v>361</v>
      </c>
      <c r="B383" s="16" t="s">
        <v>373</v>
      </c>
      <c r="C383" s="24"/>
      <c r="D383" s="32" t="s">
        <v>289</v>
      </c>
      <c r="E383" s="32">
        <v>2680</v>
      </c>
      <c r="F383" s="32"/>
    </row>
    <row r="384" spans="1:6">
      <c r="A384" s="51" t="s">
        <v>363</v>
      </c>
      <c r="B384" s="16" t="s">
        <v>374</v>
      </c>
      <c r="C384" s="24"/>
      <c r="D384" s="32" t="s">
        <v>289</v>
      </c>
      <c r="E384" s="32">
        <v>3590</v>
      </c>
      <c r="F384" s="32"/>
    </row>
    <row r="385" spans="1:6">
      <c r="A385" s="51" t="s">
        <v>365</v>
      </c>
      <c r="B385" s="16" t="s">
        <v>375</v>
      </c>
      <c r="C385" s="24"/>
      <c r="D385" s="32" t="s">
        <v>289</v>
      </c>
      <c r="E385" s="32">
        <v>3850</v>
      </c>
      <c r="F385" s="32"/>
    </row>
    <row r="386" spans="1:6" ht="92.5">
      <c r="A386" s="32" t="s">
        <v>354</v>
      </c>
      <c r="B386" s="23" t="s">
        <v>393</v>
      </c>
      <c r="C386" s="5"/>
      <c r="D386" s="39"/>
      <c r="E386" s="65"/>
      <c r="F386" s="32"/>
    </row>
    <row r="387" spans="1:6">
      <c r="A387" s="5"/>
      <c r="B387" s="23" t="s">
        <v>377</v>
      </c>
      <c r="C387" s="5"/>
      <c r="D387" s="32" t="s">
        <v>289</v>
      </c>
      <c r="E387" s="32">
        <v>850</v>
      </c>
      <c r="F387" s="74">
        <f>E389*C387</f>
        <v>0</v>
      </c>
    </row>
    <row r="388" spans="1:6" ht="92.5">
      <c r="A388" s="32" t="s">
        <v>355</v>
      </c>
      <c r="B388" s="23" t="s">
        <v>379</v>
      </c>
      <c r="C388" s="5"/>
      <c r="D388" s="32" t="s">
        <v>288</v>
      </c>
      <c r="E388" s="32">
        <v>150</v>
      </c>
      <c r="F388" s="74">
        <f>E390*C388</f>
        <v>0</v>
      </c>
    </row>
    <row r="389" spans="1:6" ht="92.5">
      <c r="A389" s="32" t="s">
        <v>367</v>
      </c>
      <c r="B389" s="23" t="s">
        <v>381</v>
      </c>
      <c r="C389" s="5"/>
      <c r="D389" s="32" t="s">
        <v>289</v>
      </c>
      <c r="E389" s="32">
        <v>1750</v>
      </c>
      <c r="F389" s="32"/>
    </row>
    <row r="390" spans="1:6" ht="92.5">
      <c r="A390" s="32" t="s">
        <v>376</v>
      </c>
      <c r="B390" s="23" t="s">
        <v>382</v>
      </c>
      <c r="C390" s="5"/>
      <c r="D390" s="25" t="s">
        <v>81</v>
      </c>
      <c r="E390" s="24">
        <v>750</v>
      </c>
      <c r="F390" s="74">
        <f>E392*C390</f>
        <v>0</v>
      </c>
    </row>
    <row r="391" spans="1:6">
      <c r="A391" s="5" t="s">
        <v>301</v>
      </c>
      <c r="B391" s="23" t="s">
        <v>383</v>
      </c>
      <c r="C391" s="24"/>
      <c r="D391" s="25" t="s">
        <v>81</v>
      </c>
      <c r="E391" s="24">
        <v>725</v>
      </c>
      <c r="F391" s="86"/>
    </row>
    <row r="392" spans="1:6" ht="222">
      <c r="A392" s="32" t="s">
        <v>378</v>
      </c>
      <c r="B392" s="23" t="s">
        <v>409</v>
      </c>
      <c r="C392" s="5"/>
      <c r="D392" s="24" t="s">
        <v>289</v>
      </c>
      <c r="E392" s="24">
        <v>550</v>
      </c>
      <c r="F392" s="74">
        <f>E394*C392</f>
        <v>0</v>
      </c>
    </row>
    <row r="393" spans="1:6" ht="148">
      <c r="A393" s="32" t="s">
        <v>380</v>
      </c>
      <c r="B393" s="23" t="s">
        <v>411</v>
      </c>
      <c r="C393" s="24"/>
      <c r="D393" s="24" t="s">
        <v>352</v>
      </c>
      <c r="E393" s="24">
        <v>7500</v>
      </c>
      <c r="F393" s="79"/>
    </row>
    <row r="394" spans="1:6" ht="92.5">
      <c r="A394" s="5" t="s">
        <v>410</v>
      </c>
      <c r="B394" s="23" t="s">
        <v>436</v>
      </c>
      <c r="C394" s="24"/>
      <c r="D394" s="24" t="s">
        <v>352</v>
      </c>
      <c r="E394" s="88"/>
      <c r="F394" s="79"/>
    </row>
    <row r="395" spans="1:6">
      <c r="A395" s="67"/>
      <c r="B395" s="35" t="s">
        <v>384</v>
      </c>
      <c r="C395" s="3"/>
      <c r="D395" s="66"/>
      <c r="E395" s="66"/>
      <c r="F395" s="69">
        <f>SUM(F352:F394)</f>
        <v>0</v>
      </c>
    </row>
    <row r="396" spans="1:6">
      <c r="A396" s="67"/>
      <c r="B396" s="35" t="s">
        <v>560</v>
      </c>
      <c r="C396" s="3"/>
      <c r="D396" s="66"/>
      <c r="E396" s="66"/>
      <c r="F396" s="68"/>
    </row>
    <row r="397" spans="1:6">
      <c r="A397" s="49"/>
      <c r="B397" s="28" t="s">
        <v>561</v>
      </c>
      <c r="C397" s="49"/>
      <c r="D397" s="32"/>
      <c r="E397" s="32"/>
      <c r="F397" s="70"/>
    </row>
    <row r="398" spans="1:6" ht="92.5">
      <c r="A398" s="5" t="s">
        <v>427</v>
      </c>
      <c r="B398" s="23" t="s">
        <v>562</v>
      </c>
      <c r="C398" s="24"/>
      <c r="D398" s="25" t="s">
        <v>82</v>
      </c>
      <c r="E398" s="32">
        <v>9500</v>
      </c>
      <c r="F398" s="60">
        <f>E400*C398</f>
        <v>0</v>
      </c>
    </row>
    <row r="399" spans="1:6" ht="55.5">
      <c r="A399" s="5" t="s">
        <v>428</v>
      </c>
      <c r="B399" s="23" t="s">
        <v>563</v>
      </c>
      <c r="C399" s="24"/>
      <c r="D399" s="25" t="s">
        <v>82</v>
      </c>
      <c r="E399" s="32">
        <v>1450</v>
      </c>
      <c r="F399" s="60">
        <f>E401*C399</f>
        <v>0</v>
      </c>
    </row>
    <row r="400" spans="1:6" ht="55.5">
      <c r="A400" s="5" t="s">
        <v>429</v>
      </c>
      <c r="B400" s="23" t="s">
        <v>564</v>
      </c>
      <c r="C400" s="24"/>
      <c r="D400" s="25"/>
      <c r="E400" s="32"/>
      <c r="F400" s="60"/>
    </row>
    <row r="401" spans="1:6">
      <c r="A401" s="5"/>
      <c r="B401" s="23" t="s">
        <v>565</v>
      </c>
      <c r="C401" s="24"/>
      <c r="D401" s="25" t="s">
        <v>82</v>
      </c>
      <c r="E401" s="32">
        <v>2550</v>
      </c>
      <c r="F401" s="60">
        <f>E403*C401</f>
        <v>0</v>
      </c>
    </row>
    <row r="402" spans="1:6" ht="37">
      <c r="A402" s="5" t="s">
        <v>430</v>
      </c>
      <c r="B402" s="23" t="s">
        <v>566</v>
      </c>
      <c r="C402" s="24"/>
      <c r="D402" s="25" t="s">
        <v>82</v>
      </c>
      <c r="E402" s="32">
        <v>2650</v>
      </c>
      <c r="F402" s="60"/>
    </row>
    <row r="403" spans="1:6" ht="55.5">
      <c r="A403" s="5" t="s">
        <v>431</v>
      </c>
      <c r="B403" s="23" t="s">
        <v>567</v>
      </c>
      <c r="C403" s="24"/>
      <c r="D403" s="25" t="s">
        <v>82</v>
      </c>
      <c r="E403" s="32">
        <v>6500</v>
      </c>
      <c r="F403" s="60"/>
    </row>
    <row r="404" spans="1:6" ht="74">
      <c r="A404" s="5" t="s">
        <v>432</v>
      </c>
      <c r="B404" s="23" t="s">
        <v>568</v>
      </c>
      <c r="C404" s="24"/>
      <c r="D404" s="25" t="s">
        <v>82</v>
      </c>
      <c r="E404" s="32">
        <v>1250</v>
      </c>
      <c r="F404" s="60"/>
    </row>
    <row r="405" spans="1:6" ht="111">
      <c r="A405" s="5" t="s">
        <v>434</v>
      </c>
      <c r="B405" s="23" t="s">
        <v>569</v>
      </c>
      <c r="C405" s="24"/>
      <c r="D405" s="25" t="s">
        <v>82</v>
      </c>
      <c r="E405" s="32">
        <v>6500</v>
      </c>
      <c r="F405" s="60">
        <f>E407*C405</f>
        <v>0</v>
      </c>
    </row>
    <row r="406" spans="1:6" ht="55.5">
      <c r="A406" s="5" t="s">
        <v>571</v>
      </c>
      <c r="B406" s="23" t="s">
        <v>570</v>
      </c>
      <c r="C406" s="24"/>
      <c r="D406" s="25"/>
      <c r="E406" s="32"/>
      <c r="F406" s="60"/>
    </row>
    <row r="407" spans="1:6">
      <c r="A407" s="5"/>
      <c r="B407" s="23" t="s">
        <v>565</v>
      </c>
      <c r="C407" s="24"/>
      <c r="D407" s="25" t="s">
        <v>82</v>
      </c>
      <c r="E407" s="32">
        <v>1150</v>
      </c>
      <c r="F407" s="60">
        <f>E409*C407</f>
        <v>0</v>
      </c>
    </row>
    <row r="408" spans="1:6" ht="37">
      <c r="A408" s="5" t="s">
        <v>572</v>
      </c>
      <c r="B408" s="23" t="s">
        <v>573</v>
      </c>
      <c r="C408" s="24"/>
      <c r="D408" s="25" t="s">
        <v>82</v>
      </c>
      <c r="E408" s="32">
        <v>7500</v>
      </c>
      <c r="F408" s="60">
        <f>E410*C408</f>
        <v>0</v>
      </c>
    </row>
    <row r="409" spans="1:6" ht="37">
      <c r="A409" s="5" t="s">
        <v>575</v>
      </c>
      <c r="B409" s="23" t="s">
        <v>574</v>
      </c>
      <c r="C409" s="24"/>
      <c r="D409" s="25" t="s">
        <v>82</v>
      </c>
      <c r="E409" s="32">
        <v>9500</v>
      </c>
      <c r="F409" s="60">
        <f>E411*C409</f>
        <v>0</v>
      </c>
    </row>
    <row r="410" spans="1:6" ht="37">
      <c r="A410" s="5" t="s">
        <v>576</v>
      </c>
      <c r="B410" s="23" t="s">
        <v>577</v>
      </c>
      <c r="C410" s="24"/>
      <c r="D410" s="25" t="s">
        <v>82</v>
      </c>
      <c r="E410" s="32">
        <v>2500</v>
      </c>
      <c r="F410" s="60">
        <f>E412*C410</f>
        <v>0</v>
      </c>
    </row>
    <row r="411" spans="1:6" ht="92.5">
      <c r="A411" s="5" t="s">
        <v>578</v>
      </c>
      <c r="B411" s="23" t="s">
        <v>579</v>
      </c>
      <c r="C411" s="24"/>
      <c r="D411" s="25" t="s">
        <v>82</v>
      </c>
      <c r="E411" s="32">
        <v>1950</v>
      </c>
      <c r="F411" s="60">
        <f>E413*C411</f>
        <v>0</v>
      </c>
    </row>
    <row r="412" spans="1:6" ht="129.5">
      <c r="A412" s="5" t="s">
        <v>580</v>
      </c>
      <c r="B412" s="23" t="s">
        <v>581</v>
      </c>
      <c r="C412" s="24"/>
      <c r="D412" s="25"/>
      <c r="E412" s="32"/>
      <c r="F412" s="60"/>
    </row>
    <row r="413" spans="1:6">
      <c r="A413" s="5"/>
      <c r="B413" s="23" t="s">
        <v>582</v>
      </c>
      <c r="C413" s="24"/>
      <c r="D413" s="25" t="s">
        <v>514</v>
      </c>
      <c r="E413" s="32">
        <v>750</v>
      </c>
      <c r="F413" s="60"/>
    </row>
    <row r="414" spans="1:6">
      <c r="A414" s="5"/>
      <c r="B414" s="23" t="s">
        <v>583</v>
      </c>
      <c r="C414" s="24"/>
      <c r="D414" s="25" t="s">
        <v>514</v>
      </c>
      <c r="E414" s="32">
        <v>600</v>
      </c>
      <c r="F414" s="60">
        <f>E416*C414</f>
        <v>0</v>
      </c>
    </row>
    <row r="415" spans="1:6">
      <c r="A415" s="5"/>
      <c r="B415" s="23" t="s">
        <v>584</v>
      </c>
      <c r="C415" s="24"/>
      <c r="D415" s="25" t="s">
        <v>514</v>
      </c>
      <c r="E415" s="32">
        <v>375</v>
      </c>
      <c r="F415" s="60">
        <f>E417*C415</f>
        <v>0</v>
      </c>
    </row>
    <row r="416" spans="1:6">
      <c r="A416" s="5"/>
      <c r="B416" s="23" t="s">
        <v>585</v>
      </c>
      <c r="C416" s="24"/>
      <c r="D416" s="25" t="s">
        <v>514</v>
      </c>
      <c r="E416" s="32">
        <v>185</v>
      </c>
      <c r="F416" s="60">
        <f>E418*C416</f>
        <v>0</v>
      </c>
    </row>
    <row r="417" spans="1:6">
      <c r="A417" s="5"/>
      <c r="B417" s="23" t="s">
        <v>586</v>
      </c>
      <c r="C417" s="24"/>
      <c r="D417" s="25" t="s">
        <v>514</v>
      </c>
      <c r="E417" s="32">
        <v>135</v>
      </c>
      <c r="F417" s="60">
        <f>E419*C417</f>
        <v>0</v>
      </c>
    </row>
    <row r="418" spans="1:6" ht="141" customHeight="1">
      <c r="A418" s="5" t="s">
        <v>587</v>
      </c>
      <c r="B418" s="23" t="s">
        <v>606</v>
      </c>
      <c r="C418" s="24"/>
      <c r="D418" s="25"/>
      <c r="E418" s="32"/>
      <c r="F418" s="60"/>
    </row>
    <row r="419" spans="1:6">
      <c r="A419" s="5"/>
      <c r="B419" s="23" t="s">
        <v>588</v>
      </c>
      <c r="C419" s="24"/>
      <c r="D419" s="25" t="s">
        <v>514</v>
      </c>
      <c r="E419" s="32">
        <v>1750</v>
      </c>
      <c r="F419" s="60"/>
    </row>
    <row r="420" spans="1:6">
      <c r="A420" s="5"/>
      <c r="B420" s="23" t="s">
        <v>589</v>
      </c>
      <c r="C420" s="24"/>
      <c r="D420" s="25" t="s">
        <v>514</v>
      </c>
      <c r="E420" s="32">
        <v>1176</v>
      </c>
      <c r="F420" s="60">
        <f>E422*C420</f>
        <v>0</v>
      </c>
    </row>
    <row r="421" spans="1:6">
      <c r="A421" s="5"/>
      <c r="B421" s="23" t="s">
        <v>590</v>
      </c>
      <c r="C421" s="24"/>
      <c r="D421" s="25" t="s">
        <v>514</v>
      </c>
      <c r="E421" s="32">
        <v>900</v>
      </c>
      <c r="F421" s="60">
        <f>E423*C421</f>
        <v>0</v>
      </c>
    </row>
    <row r="422" spans="1:6">
      <c r="A422" s="5"/>
      <c r="B422" s="23" t="s">
        <v>591</v>
      </c>
      <c r="C422" s="24"/>
      <c r="D422" s="25" t="s">
        <v>514</v>
      </c>
      <c r="E422" s="32">
        <v>670</v>
      </c>
      <c r="F422" s="60">
        <f>E424*C422</f>
        <v>0</v>
      </c>
    </row>
    <row r="423" spans="1:6" ht="92.5">
      <c r="A423" s="5" t="s">
        <v>593</v>
      </c>
      <c r="B423" s="23" t="s">
        <v>592</v>
      </c>
      <c r="C423" s="24"/>
      <c r="D423" s="25"/>
      <c r="E423" s="32"/>
      <c r="F423" s="60"/>
    </row>
    <row r="424" spans="1:6">
      <c r="A424" s="5"/>
      <c r="B424" s="23" t="s">
        <v>594</v>
      </c>
      <c r="C424" s="24"/>
      <c r="D424" s="25" t="s">
        <v>82</v>
      </c>
      <c r="E424" s="32">
        <v>750</v>
      </c>
      <c r="F424" s="60">
        <f>E426*C424</f>
        <v>0</v>
      </c>
    </row>
    <row r="425" spans="1:6" ht="74">
      <c r="A425" s="5" t="s">
        <v>597</v>
      </c>
      <c r="B425" s="23" t="s">
        <v>595</v>
      </c>
      <c r="C425" s="24"/>
      <c r="D425" s="25" t="s">
        <v>514</v>
      </c>
      <c r="E425" s="32">
        <v>1950</v>
      </c>
      <c r="F425" s="60">
        <f>E427*C425</f>
        <v>0</v>
      </c>
    </row>
    <row r="426" spans="1:6" ht="92.5">
      <c r="A426" s="5" t="s">
        <v>598</v>
      </c>
      <c r="B426" s="23" t="s">
        <v>619</v>
      </c>
      <c r="C426" s="24"/>
      <c r="D426" s="25" t="s">
        <v>82</v>
      </c>
      <c r="E426" s="32">
        <v>25000</v>
      </c>
      <c r="F426" s="60">
        <f>E428*C426</f>
        <v>0</v>
      </c>
    </row>
    <row r="427" spans="1:6">
      <c r="A427" s="67"/>
      <c r="B427" s="35" t="s">
        <v>433</v>
      </c>
      <c r="C427" s="3"/>
      <c r="D427" s="66"/>
      <c r="E427" s="66"/>
      <c r="F427" s="68">
        <f>SUM(F398:F426)</f>
        <v>0</v>
      </c>
    </row>
    <row r="428" spans="1:6">
      <c r="A428" s="67"/>
      <c r="B428" s="35" t="s">
        <v>525</v>
      </c>
      <c r="C428" s="3"/>
      <c r="D428" s="66"/>
      <c r="E428" s="66"/>
      <c r="F428" s="68"/>
    </row>
    <row r="429" spans="1:6" ht="297.5">
      <c r="A429" s="5" t="s">
        <v>526</v>
      </c>
      <c r="B429" s="23" t="s">
        <v>527</v>
      </c>
      <c r="C429" s="24"/>
      <c r="D429" s="25"/>
      <c r="E429" s="32"/>
      <c r="F429" s="60"/>
    </row>
    <row r="430" spans="1:6">
      <c r="A430" s="5"/>
      <c r="B430" s="23" t="s">
        <v>528</v>
      </c>
      <c r="C430" s="5"/>
      <c r="D430" s="25" t="s">
        <v>83</v>
      </c>
      <c r="E430" s="32">
        <v>5125</v>
      </c>
      <c r="F430" s="74">
        <f>E432*C430</f>
        <v>0</v>
      </c>
    </row>
    <row r="431" spans="1:6">
      <c r="A431" s="5"/>
      <c r="B431" s="23" t="s">
        <v>529</v>
      </c>
      <c r="C431" s="5"/>
      <c r="D431" s="25" t="s">
        <v>83</v>
      </c>
      <c r="E431" s="32">
        <v>5875</v>
      </c>
      <c r="F431" s="74">
        <f>E433*C431</f>
        <v>0</v>
      </c>
    </row>
    <row r="432" spans="1:6">
      <c r="A432" s="5"/>
      <c r="B432" s="23" t="s">
        <v>530</v>
      </c>
      <c r="C432" s="5"/>
      <c r="D432" s="25" t="s">
        <v>83</v>
      </c>
      <c r="E432" s="32">
        <v>6625</v>
      </c>
      <c r="F432" s="74">
        <f>E434*C432</f>
        <v>0</v>
      </c>
    </row>
    <row r="433" spans="1:6">
      <c r="A433" s="5"/>
      <c r="B433" s="23" t="s">
        <v>531</v>
      </c>
      <c r="C433" s="5"/>
      <c r="D433" s="25" t="s">
        <v>83</v>
      </c>
      <c r="E433" s="32">
        <v>12500</v>
      </c>
      <c r="F433" s="74">
        <f>E435*C433</f>
        <v>0</v>
      </c>
    </row>
    <row r="434" spans="1:6">
      <c r="A434" s="67"/>
      <c r="B434" s="35" t="s">
        <v>532</v>
      </c>
      <c r="C434" s="3"/>
      <c r="D434" s="66"/>
      <c r="E434" s="96"/>
      <c r="F434" s="69">
        <f>SUM(F430:F433)</f>
        <v>0</v>
      </c>
    </row>
    <row r="436" spans="1:6">
      <c r="E436" s="97"/>
    </row>
  </sheetData>
  <customSheetViews>
    <customSheetView guid="{5399B9A3-C514-4B3F-AA20-DF1128B22F93}" scale="70" showPageBreaks="1" fitToPage="1" printArea="1" hiddenRows="1" view="pageBreakPreview" topLeftCell="A427">
      <selection activeCell="K7" sqref="K7"/>
      <rowBreaks count="6" manualBreakCount="6">
        <brk id="36" max="5" man="1"/>
        <brk id="97" max="5" man="1"/>
        <brk id="120" max="5" man="1"/>
        <brk id="173" max="5" man="1"/>
        <brk id="275" max="5" man="1"/>
        <brk id="301" max="5" man="1"/>
      </rowBreaks>
      <pageMargins left="0.55118110236220474" right="0.39370078740157483" top="0.39370078740157483" bottom="0.39370078740157483" header="0.51181102362204722" footer="0.11811023622047245"/>
      <printOptions horizontalCentered="1"/>
      <pageSetup paperSize="9" scale="57" fitToHeight="0" orientation="portrait" r:id="rId1"/>
      <headerFooter alignWithMargins="0">
        <oddFooter>&amp;C&amp;P OF &amp;N</oddFooter>
      </headerFooter>
    </customSheetView>
  </customSheetViews>
  <mergeCells count="3">
    <mergeCell ref="B1:E1"/>
    <mergeCell ref="A2:F2"/>
    <mergeCell ref="A3:F3"/>
  </mergeCells>
  <printOptions horizontalCentered="1"/>
  <pageMargins left="0.55118110236220474" right="0.39370078740157483" top="0.39370078740157483" bottom="0.39370078740157483" header="0.51181102362204722" footer="0.11811023622047245"/>
  <pageSetup paperSize="9" scale="57" fitToHeight="0" orientation="portrait" r:id="rId2"/>
  <headerFooter alignWithMargins="0">
    <oddFooter>&amp;C&amp;P OF &amp;N</oddFooter>
  </headerFooter>
  <rowBreaks count="6" manualBreakCount="6">
    <brk id="36" max="5" man="1"/>
    <brk id="97" max="5" man="1"/>
    <brk id="120" max="5" man="1"/>
    <brk id="173" max="5" man="1"/>
    <brk id="275" max="5" man="1"/>
    <brk id="301" max="5"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19</vt:i4>
      </vt:variant>
    </vt:vector>
  </HeadingPairs>
  <TitlesOfParts>
    <vt:vector size="29" baseType="lpstr">
      <vt:lpstr>summary</vt:lpstr>
      <vt:lpstr>BOQ</vt:lpstr>
      <vt:lpstr>BOQ-CCV </vt:lpstr>
      <vt:lpstr>BOQ ELE. LAB </vt:lpstr>
      <vt:lpstr>BOQ-ADMIN</vt:lpstr>
      <vt:lpstr>BOQ -SECURITY</vt:lpstr>
      <vt:lpstr>BOQ -COOLING TOWER </vt:lpstr>
      <vt:lpstr>BOQ -WEIGH BRIDGE </vt:lpstr>
      <vt:lpstr>BOQ -U.G TANK WITH PUMP ROOM </vt:lpstr>
      <vt:lpstr>BOQ -ENTRANCE GATE </vt:lpstr>
      <vt:lpstr>BOQ!Print_Area</vt:lpstr>
      <vt:lpstr>'BOQ -COOLING TOWER '!Print_Area</vt:lpstr>
      <vt:lpstr>'BOQ ELE. LAB '!Print_Area</vt:lpstr>
      <vt:lpstr>'BOQ -ENTRANCE GATE '!Print_Area</vt:lpstr>
      <vt:lpstr>'BOQ -SECURITY'!Print_Area</vt:lpstr>
      <vt:lpstr>'BOQ -U.G TANK WITH PUMP ROOM '!Print_Area</vt:lpstr>
      <vt:lpstr>'BOQ -WEIGH BRIDGE '!Print_Area</vt:lpstr>
      <vt:lpstr>'BOQ-ADMIN'!Print_Area</vt:lpstr>
      <vt:lpstr>'BOQ-CCV '!Print_Area</vt:lpstr>
      <vt:lpstr>summary!Print_Area</vt:lpstr>
      <vt:lpstr>BOQ!Print_Titles</vt:lpstr>
      <vt:lpstr>'BOQ -COOLING TOWER '!Print_Titles</vt:lpstr>
      <vt:lpstr>'BOQ ELE. LAB '!Print_Titles</vt:lpstr>
      <vt:lpstr>'BOQ -ENTRANCE GATE '!Print_Titles</vt:lpstr>
      <vt:lpstr>'BOQ -SECURITY'!Print_Titles</vt:lpstr>
      <vt:lpstr>'BOQ -U.G TANK WITH PUMP ROOM '!Print_Titles</vt:lpstr>
      <vt:lpstr>'BOQ -WEIGH BRIDGE '!Print_Titles</vt:lpstr>
      <vt:lpstr>'BOQ-ADMIN'!Print_Titles</vt:lpstr>
      <vt:lpstr>'BOQ-CCV '!Print_Titles</vt:lpstr>
    </vt:vector>
  </TitlesOfParts>
  <Company>asd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dc:creator>
  <cp:lastModifiedBy>Sharnam Project  Development Consultant</cp:lastModifiedBy>
  <cp:lastPrinted>2025-04-15T06:44:31Z</cp:lastPrinted>
  <dcterms:created xsi:type="dcterms:W3CDTF">2006-12-06T09:46:44Z</dcterms:created>
  <dcterms:modified xsi:type="dcterms:W3CDTF">2025-04-25T06:24:06Z</dcterms:modified>
</cp:coreProperties>
</file>