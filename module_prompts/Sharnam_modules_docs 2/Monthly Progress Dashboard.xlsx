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202300"/>
  <mc:AlternateContent xmlns:mc="http://schemas.openxmlformats.org/markup-compatibility/2006">
    <mc:Choice Requires="x15">
      <x15ac:absPath xmlns:x15ac="http://schemas.microsoft.com/office/spreadsheetml/2010/11/ac" url="D:\Sharnam II\Submission\Phase 02\"/>
    </mc:Choice>
  </mc:AlternateContent>
  <xr:revisionPtr revIDLastSave="0" documentId="13_ncr:1_{0877241E-4169-47A8-BF55-8F7A2D72A0E1}" xr6:coauthVersionLast="47" xr6:coauthVersionMax="47" xr10:uidLastSave="{00000000-0000-0000-0000-000000000000}"/>
  <bookViews>
    <workbookView xWindow="-108" yWindow="-108" windowWidth="23256" windowHeight="12456" xr2:uid="{52E3A7CC-53A7-4899-B3E4-6EA4B65098F0}"/>
  </bookViews>
  <sheets>
    <sheet name="Dashboard" sheetId="1" r:id="rId1"/>
    <sheet name="SOR Log" sheetId="2" r:id="rId2"/>
    <sheet name="Cube Test" sheetId="6" r:id="rId3"/>
    <sheet name="Organization Chart" sheetId="5" r:id="rId4"/>
    <sheet name="CAR register" sheetId="4" r:id="rId5"/>
    <sheet name="Quality Assurance Plan - Detail" sheetId="3" r:id="rId6"/>
  </sheets>
  <externalReferences>
    <externalReference r:id="rId7"/>
  </externalReferences>
  <definedNames>
    <definedName name="_xlnm._FilterDatabase" localSheetId="5" hidden="1">'Quality Assurance Plan - Detail'!$A$8:$L$281</definedName>
    <definedName name="_xlnm.Print_Area" localSheetId="0">Dashboard!$A$1:$AF$58</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2" l="1"/>
  <c r="C12" i="2"/>
  <c r="C9" i="2"/>
  <c r="E4" i="2" l="1"/>
  <c r="E3" i="2"/>
  <c r="D12" i="2" s="1"/>
  <c r="E2" i="2"/>
  <c r="F2" i="2" l="1"/>
  <c r="D9" i="2"/>
  <c r="F4" i="2"/>
  <c r="D15" i="2"/>
  <c r="F3" i="2"/>
  <c r="F5" i="2" l="1"/>
</calcChain>
</file>

<file path=xl/sharedStrings.xml><?xml version="1.0" encoding="utf-8"?>
<sst xmlns="http://schemas.openxmlformats.org/spreadsheetml/2006/main" count="2382" uniqueCount="466">
  <si>
    <t>Sr.no.</t>
  </si>
  <si>
    <t>Observation</t>
  </si>
  <si>
    <t xml:space="preserve">Total </t>
  </si>
  <si>
    <t>Open</t>
  </si>
  <si>
    <t>Close</t>
  </si>
  <si>
    <t xml:space="preserve">Site Observation </t>
  </si>
  <si>
    <t>Site Instruction</t>
  </si>
  <si>
    <t>NCR</t>
  </si>
  <si>
    <t>Client LOGO</t>
  </si>
  <si>
    <t xml:space="preserve">Quality Assurance Plan </t>
  </si>
  <si>
    <t>Project</t>
  </si>
  <si>
    <t>Safari Industrial Plant Halol</t>
  </si>
  <si>
    <t>LEGENDS</t>
  </si>
  <si>
    <t>Client</t>
  </si>
  <si>
    <t>Safari India Pvt. Ltd.</t>
  </si>
  <si>
    <t>BBS - Bar Bending Schedule</t>
  </si>
  <si>
    <t>MTC - Material Test Certificate</t>
  </si>
  <si>
    <t>RCC - Reinforced Cement Concrete</t>
  </si>
  <si>
    <t>Design Consultant</t>
  </si>
  <si>
    <t>HCP Design Consultant</t>
  </si>
  <si>
    <t>CUM - Cubic Meter</t>
  </si>
  <si>
    <t>PCC - Plain Cement Concrete</t>
  </si>
  <si>
    <t>SQM - Square Meter</t>
  </si>
  <si>
    <t>PM Consultant</t>
  </si>
  <si>
    <t>Sharnam Project Managemnet Consultants</t>
  </si>
  <si>
    <t xml:space="preserve">HSE - Health Safety &amp; Environment </t>
  </si>
  <si>
    <t>QA - Quality Assurance</t>
  </si>
  <si>
    <t>TBM - Temporary Bench Mark</t>
  </si>
  <si>
    <t xml:space="preserve">Contractor </t>
  </si>
  <si>
    <t>Shapoorji Pallonji Construction Pvt. Ltd.</t>
  </si>
  <si>
    <t>IS - Indian Standard</t>
  </si>
  <si>
    <t>QC - Quality Control</t>
  </si>
  <si>
    <t>TPC -  Third Party Confirmation</t>
  </si>
  <si>
    <t>Sr.No.</t>
  </si>
  <si>
    <t xml:space="preserve">Activity </t>
  </si>
  <si>
    <t xml:space="preserve">Description of Activity / Material </t>
  </si>
  <si>
    <t>Frequency of check</t>
  </si>
  <si>
    <t>Code of Conformance</t>
  </si>
  <si>
    <t>Test agency</t>
  </si>
  <si>
    <t>Contractor</t>
  </si>
  <si>
    <t>PMC</t>
  </si>
  <si>
    <t>CLIENT</t>
  </si>
  <si>
    <t>Records and documents to be Maintained</t>
  </si>
  <si>
    <t>Remarks if any</t>
  </si>
  <si>
    <t>Performer</t>
  </si>
  <si>
    <t>Checker</t>
  </si>
  <si>
    <t>Site Survey</t>
  </si>
  <si>
    <t>Confirmation of Calibrated Equipment</t>
  </si>
  <si>
    <t>Service agency due date</t>
  </si>
  <si>
    <t>Approved external agency</t>
  </si>
  <si>
    <t>QC Engr</t>
  </si>
  <si>
    <t xml:space="preserve">Review </t>
  </si>
  <si>
    <t>Random</t>
  </si>
  <si>
    <t>Calibration Certificate</t>
  </si>
  <si>
    <t>Pending</t>
  </si>
  <si>
    <t>Building lay out and setback</t>
  </si>
  <si>
    <t>Every layout</t>
  </si>
  <si>
    <t>Approved Drawing</t>
  </si>
  <si>
    <t>Surveyor</t>
  </si>
  <si>
    <t>Site Engr</t>
  </si>
  <si>
    <t>Witness</t>
  </si>
  <si>
    <t>Setting out plan</t>
  </si>
  <si>
    <t>Completed</t>
  </si>
  <si>
    <t>Bench Mark shifting &amp; TBM Preparation</t>
  </si>
  <si>
    <t>Once established</t>
  </si>
  <si>
    <t>Client reference</t>
  </si>
  <si>
    <t>Site engr</t>
  </si>
  <si>
    <t>Level book</t>
  </si>
  <si>
    <t>Excavation</t>
  </si>
  <si>
    <t>Required Safety norms coordinate to HSEM Process.</t>
  </si>
  <si>
    <t>Every foundation and trench</t>
  </si>
  <si>
    <t>Work Check List</t>
  </si>
  <si>
    <t>Disposal of black cotton soil and yellow soil in suggested area</t>
  </si>
  <si>
    <t>Confirmation for completion of survey activities.</t>
  </si>
  <si>
    <t>Confirmation of Layout, alignment and size of excavation</t>
  </si>
  <si>
    <t xml:space="preserve">Confirmation of underground utilities </t>
  </si>
  <si>
    <t>Confirmation of drawing and drawing revision</t>
  </si>
  <si>
    <t>Updated Drawing Register</t>
  </si>
  <si>
    <t>Confirmation for joint inspection reports</t>
  </si>
  <si>
    <t>Plain Cement Concrete</t>
  </si>
  <si>
    <t>Confirmation of location, excavated pit bed, levels, free from slush and well compacted.</t>
  </si>
  <si>
    <t>Confirmation of formwork</t>
  </si>
  <si>
    <t>Confirmation of Concrete grade/Nominal Mix</t>
  </si>
  <si>
    <t xml:space="preserve">Confirmation of required tools and tackles </t>
  </si>
  <si>
    <t>Confirmation of concrete top surface</t>
  </si>
  <si>
    <t>Reinforcement</t>
  </si>
  <si>
    <t>Each structure &amp;
Element</t>
  </si>
  <si>
    <t>Confirmation of rolling margin testing</t>
  </si>
  <si>
    <t>Every consignment</t>
  </si>
  <si>
    <t>IS-1786</t>
  </si>
  <si>
    <t>Site Laboratory</t>
  </si>
  <si>
    <t>QC/QA Engr</t>
  </si>
  <si>
    <t>Chemical Analysis of reinforcement steel</t>
  </si>
  <si>
    <t xml:space="preserve">Every lot </t>
  </si>
  <si>
    <t>IS-432</t>
  </si>
  <si>
    <t>Manufacturer Test Certificate</t>
  </si>
  <si>
    <t>MTC</t>
  </si>
  <si>
    <t>Physical test of reinforcement steel</t>
  </si>
  <si>
    <t>Approved external lab</t>
  </si>
  <si>
    <t>TPC</t>
  </si>
  <si>
    <t>Confirmation of BBS preparation and approval</t>
  </si>
  <si>
    <t>Approved Drawing &amp; IS 2502</t>
  </si>
  <si>
    <t>Approve</t>
  </si>
  <si>
    <t>Bar Bending Schedule</t>
  </si>
  <si>
    <t>Confirmation of reinforcement Numbers, Shape, Dia, cutting and bending.</t>
  </si>
  <si>
    <t>Approved Drawing &amp; BBS</t>
  </si>
  <si>
    <t>Confirmation for reinforcement placing</t>
  </si>
  <si>
    <t>Confirmation of clear concrete cover to reinforcement</t>
  </si>
  <si>
    <t xml:space="preserve">Approved Drawing </t>
  </si>
  <si>
    <t>Confirmation of provision for Chairs and spacers( Numbers, Shape, Length and position)</t>
  </si>
  <si>
    <t>Confirmation of reinforcement lapping</t>
  </si>
  <si>
    <t>Approved Drawing &amp; IS 456</t>
  </si>
  <si>
    <t>Confirmation of reinforcement welding</t>
  </si>
  <si>
    <t>As per requirement</t>
  </si>
  <si>
    <t>Approved Drawing/
Client reference</t>
  </si>
  <si>
    <t>Confirmation of Binding wire</t>
  </si>
  <si>
    <t>Once in Every Source</t>
  </si>
  <si>
    <t>IS 456</t>
  </si>
  <si>
    <t>Test Report</t>
  </si>
  <si>
    <t>Formwork</t>
  </si>
  <si>
    <t>Confirmation of level reference.</t>
  </si>
  <si>
    <t>Check for all the plates / plywood, cleaned and polished properly</t>
  </si>
  <si>
    <t>Confirmation of shuttering oil/polish material</t>
  </si>
  <si>
    <t xml:space="preserve">IS 456 </t>
  </si>
  <si>
    <t>Check for suitability, stability, safety, rigidity of assembled forms</t>
  </si>
  <si>
    <t>Check for alignment, verticality, right angle, and diagonals of shuttering faces</t>
  </si>
  <si>
    <t>Confirmation of shuttering supports and bracings.</t>
  </si>
  <si>
    <t>Confirmation of adequate of concrete cover blocks.</t>
  </si>
  <si>
    <t>Confirmation of cutouts, sleeves and other embedded items to fix with formwork</t>
  </si>
  <si>
    <t>Confirmation of shuttering gapes, joints, holes and tie rods</t>
  </si>
  <si>
    <t>IS 456 &amp; DESIGNER SPECIFICATION</t>
  </si>
  <si>
    <t>Confirmation of deshuttering/form dismantling time duration</t>
  </si>
  <si>
    <t>Concreting</t>
  </si>
  <si>
    <t>A) Material Confirmation</t>
  </si>
  <si>
    <t>a. Cement</t>
  </si>
  <si>
    <t>● Type of Material</t>
  </si>
  <si>
    <t>Client Reference/
Approved Drawing</t>
  </si>
  <si>
    <t>● Grade of Material</t>
  </si>
  <si>
    <t>● Fineness</t>
  </si>
  <si>
    <t>Once in every lot</t>
  </si>
  <si>
    <t>IS-4031 part-1, IS 269</t>
  </si>
  <si>
    <t>Manufacturer</t>
  </si>
  <si>
    <t>QA/QC Engr</t>
  </si>
  <si>
    <t>Review</t>
  </si>
  <si>
    <t>● Setting time</t>
  </si>
  <si>
    <t>IS-4031 part-4 &amp;5, IS 269</t>
  </si>
  <si>
    <t>● Soundness</t>
  </si>
  <si>
    <t>IS-4031-part3, IS 269</t>
  </si>
  <si>
    <t>● Compressive strength</t>
  </si>
  <si>
    <t>IS-4031-part6, IS 269</t>
  </si>
  <si>
    <t xml:space="preserve">● Chemical Composition </t>
  </si>
  <si>
    <t>IS code for relevant grade</t>
  </si>
  <si>
    <t>b. Coarse Aggregate</t>
  </si>
  <si>
    <t>● Source of Material</t>
  </si>
  <si>
    <t>Once Initial Start</t>
  </si>
  <si>
    <t>Client Reference</t>
  </si>
  <si>
    <t>● Incoming material test before unloading ( over size/ finer )</t>
  </si>
  <si>
    <t>Every Consignment</t>
  </si>
  <si>
    <t>Register/Note</t>
  </si>
  <si>
    <t>● Sieve analysis</t>
  </si>
  <si>
    <t>Every 200 cum</t>
  </si>
  <si>
    <t>IS-2386 Part-1, IS 383</t>
  </si>
  <si>
    <t>Site Lab/Approved external lab</t>
  </si>
  <si>
    <t>● Impact value</t>
  </si>
  <si>
    <t>Once in every source</t>
  </si>
  <si>
    <t>IS-2386 Part-IV, IS 383</t>
  </si>
  <si>
    <t>● Crushing value</t>
  </si>
  <si>
    <t>IS-2386 , IS 383</t>
  </si>
  <si>
    <t>● Flakiness &amp; Elongation</t>
  </si>
  <si>
    <t>● Specific gravity</t>
  </si>
  <si>
    <t>● Abrasion Value</t>
  </si>
  <si>
    <t>● Water Absorption</t>
  </si>
  <si>
    <t>c. Fine Aggregate</t>
  </si>
  <si>
    <t>● Incoming material test before unloading ( Silt content &amp; deleterious material)</t>
  </si>
  <si>
    <t>IS-383</t>
  </si>
  <si>
    <t>Site Lab</t>
  </si>
  <si>
    <t xml:space="preserve">IS-2386 </t>
  </si>
  <si>
    <t>● Deleterious materials</t>
  </si>
  <si>
    <t>● Loose Bulk Density</t>
  </si>
  <si>
    <t>d. Water</t>
  </si>
  <si>
    <t>● pH Value</t>
  </si>
  <si>
    <t>IS 3025, IS 456</t>
  </si>
  <si>
    <t>● Limits of Acidity</t>
  </si>
  <si>
    <t>● Limits of Alkalinity</t>
  </si>
  <si>
    <t>● Percentage of solid Organic &amp; inorganic material</t>
  </si>
  <si>
    <t>● Sulphate</t>
  </si>
  <si>
    <t>● Chloride</t>
  </si>
  <si>
    <t>● Suspended Solid</t>
  </si>
  <si>
    <t>● Color Hazen Units</t>
  </si>
  <si>
    <t>● Odour</t>
  </si>
  <si>
    <t>● Hardness</t>
  </si>
  <si>
    <t xml:space="preserve">● Fluoride </t>
  </si>
  <si>
    <t>● Turbidity</t>
  </si>
  <si>
    <t>e. Admixture</t>
  </si>
  <si>
    <t xml:space="preserve">● Material </t>
  </si>
  <si>
    <t>IS 9103</t>
  </si>
  <si>
    <t>B) Mix Design/Trial Mix</t>
  </si>
  <si>
    <t>Once in initial</t>
  </si>
  <si>
    <t>C) Concrete confirmation</t>
  </si>
  <si>
    <t>● Slump Test</t>
  </si>
  <si>
    <t>Every pour start</t>
  </si>
  <si>
    <t>IS-516</t>
  </si>
  <si>
    <t xml:space="preserve">Concrete log </t>
  </si>
  <si>
    <t>● Concrete Compressive Strength check by cube Test</t>
  </si>
  <si>
    <t>IS-456</t>
  </si>
  <si>
    <t>● Actual Standard Deviation</t>
  </si>
  <si>
    <t>Once in month</t>
  </si>
  <si>
    <t>D) Pre-Inspection</t>
  </si>
  <si>
    <t>● Confirmation of PCC level</t>
  </si>
  <si>
    <t>● Confirmation of Reinforcement check points</t>
  </si>
  <si>
    <t>● Confirmation of Formwork check points</t>
  </si>
  <si>
    <t>● Confirmation of embedded bolts/plates/pipe sleeves, etc.</t>
  </si>
  <si>
    <t>● Confirmation of material used for concrete</t>
  </si>
  <si>
    <t>Concrete Batch Report</t>
  </si>
  <si>
    <t>● All required equipment arrangement</t>
  </si>
  <si>
    <t>● Conformation of concreting time</t>
  </si>
  <si>
    <t>D) Post-Inspection</t>
  </si>
  <si>
    <t>● Confirmation of cube casting &amp; testing</t>
  </si>
  <si>
    <t>● Confirmation of concrete surface, levels and surface finishing</t>
  </si>
  <si>
    <t>Back Filling</t>
  </si>
  <si>
    <t>Confirmation of existing ground level</t>
  </si>
  <si>
    <t>Each layer</t>
  </si>
  <si>
    <t>Confirmation of finished ground level for all areas</t>
  </si>
  <si>
    <t>Check for satisfactory stripping of top soil</t>
  </si>
  <si>
    <t>Check for cutting of earth to required level</t>
  </si>
  <si>
    <t>Confirmation of layer by layer filling</t>
  </si>
  <si>
    <t>Confirmation of material quality</t>
  </si>
  <si>
    <t>Confirmation of soil MDD and OMC</t>
  </si>
  <si>
    <t xml:space="preserve">Once in every source </t>
  </si>
  <si>
    <t>Morth Specification</t>
  </si>
  <si>
    <t xml:space="preserve">Check for sprinkling of water and adequate rolling ; kindly avoid ware sprinkling for lime-sand filling </t>
  </si>
  <si>
    <t>Check for dressing of formed surface upto desired FGL</t>
  </si>
  <si>
    <t>Confirmation of compaction by core cutter testing for soil filling</t>
  </si>
  <si>
    <t>1 test / 500 sqm</t>
  </si>
  <si>
    <t>Confirmation of compaction by sand replacement testing for lime-sand filling</t>
  </si>
  <si>
    <t>Granular Sub Base for raft, flooring, and road works</t>
  </si>
  <si>
    <t>Confirmation of material source</t>
  </si>
  <si>
    <t xml:space="preserve">Confirmation of location, level and area for GSB </t>
  </si>
  <si>
    <t xml:space="preserve">Check for cleaning of location </t>
  </si>
  <si>
    <t>Confirmation of layer thickness of GSB</t>
  </si>
  <si>
    <t>Confirmation of required rolling</t>
  </si>
  <si>
    <t>Visual Confirmation of GSB compacted surface</t>
  </si>
  <si>
    <t>GSB Field Density confirmation by Sand replacement test</t>
  </si>
  <si>
    <t>Gradation &amp; Moisture Content confirmation for Grade 01 material</t>
  </si>
  <si>
    <t>1 test / 200 cum</t>
  </si>
  <si>
    <t>Confirmation of Plasticity Index, Standard Proctor Test, CBR, 10% fine value of GSB</t>
  </si>
  <si>
    <t>Wet Mix Macadam for raft, flooring, and road works</t>
  </si>
  <si>
    <t>Confirmation of location, level and area for WMM</t>
  </si>
  <si>
    <t>Confirmation of layer thickness of WMM</t>
  </si>
  <si>
    <t>Visual Confirmation of WMM compacted surface</t>
  </si>
  <si>
    <t>WMM Field Density confirmation by Sand replacement test</t>
  </si>
  <si>
    <t>Gradation confirmation</t>
  </si>
  <si>
    <t>1 test / 100 cum</t>
  </si>
  <si>
    <t>Flakiness and Elongation value confirmation</t>
  </si>
  <si>
    <t>Confirmation of Abrasion value, Aggregate Impact Value</t>
  </si>
  <si>
    <t>Anti Termite Treatment</t>
  </si>
  <si>
    <t>Material physical and chemical properties</t>
  </si>
  <si>
    <t>Each lot</t>
  </si>
  <si>
    <t>Manufacturer confirmation</t>
  </si>
  <si>
    <t>Check for required tools and tackles</t>
  </si>
  <si>
    <t xml:space="preserve">Each structure </t>
  </si>
  <si>
    <t>Check for chemical and water proposal</t>
  </si>
  <si>
    <t>IS 6313</t>
  </si>
  <si>
    <t>Check for hole marking and rate of spray under floor</t>
  </si>
  <si>
    <t>Confirmation of area/location for treatment</t>
  </si>
  <si>
    <t xml:space="preserve">Confirmation of sufficient chemical and water proposal applied </t>
  </si>
  <si>
    <t>Masonry Work - Brick/ 
Concrete Block</t>
  </si>
  <si>
    <t>A) Prior to masonry</t>
  </si>
  <si>
    <t xml:space="preserve">● Check for area cleaning </t>
  </si>
  <si>
    <t>● Check for material stacking on site location for use</t>
  </si>
  <si>
    <t xml:space="preserve">● Check for material wet surface </t>
  </si>
  <si>
    <t>● Check for door, window and other opening frame erection or installation completion</t>
  </si>
  <si>
    <t>● Confirmation of line and level marking for masonry</t>
  </si>
  <si>
    <t>● Confirmation of mortar proposal</t>
  </si>
  <si>
    <t>● Confirmation of masonry bond</t>
  </si>
  <si>
    <t>● Check for bee holes and Weep holes</t>
  </si>
  <si>
    <t>B) During masonry</t>
  </si>
  <si>
    <t>● Confirmation of dimensions</t>
  </si>
  <si>
    <t>● Confirmation of door, window and other opening size</t>
  </si>
  <si>
    <t>● Check for margins left for plastering jambs</t>
  </si>
  <si>
    <t>● Check for plumb, line and levels</t>
  </si>
  <si>
    <t>● Check for racking of joints to receive plastering or pointing</t>
  </si>
  <si>
    <t>C) After masonry</t>
  </si>
  <si>
    <t>● Check for curing arrangement</t>
  </si>
  <si>
    <t>● Check for all mortar joints are raked and cleaned</t>
  </si>
  <si>
    <t>● Check for thee filling of all bee holes</t>
  </si>
  <si>
    <t>● Check for weep holes are clean and serviceable</t>
  </si>
  <si>
    <t>● Check that all flatwork has been cleaned and is scraped free of mortar splatters</t>
  </si>
  <si>
    <t>● Check all waste material has been piled in designated trash area</t>
  </si>
  <si>
    <t>D) Material Confirmation</t>
  </si>
  <si>
    <t>Cement</t>
  </si>
  <si>
    <t>As per concreting item</t>
  </si>
  <si>
    <t>Fine Aggregate</t>
  </si>
  <si>
    <t>Water</t>
  </si>
  <si>
    <t>Confirmation of Density in oven dry condition, &amp; Compressive Strength in Mpa for concrete block</t>
  </si>
  <si>
    <t>1 test / 5000 no's</t>
  </si>
  <si>
    <t>IS 2185</t>
  </si>
  <si>
    <t>Confirmation of measurement, water absorption, compressive strength in Mpa, effloresces, shrinkage</t>
  </si>
  <si>
    <t>1 test / 50000 no's</t>
  </si>
  <si>
    <t>Plastering</t>
  </si>
  <si>
    <t>Preparatory arrangement of surface preparation like raking of joints, removal of loose mortar and fixing chicken mesh at RCC and Masonry joints ant wetting surface</t>
  </si>
  <si>
    <t>Proportion of cement mortar, mixing and placing in location</t>
  </si>
  <si>
    <t>Checking of alignment, thickness, verticality in line of construction drawing</t>
  </si>
  <si>
    <t>Flooring</t>
  </si>
  <si>
    <t>A) Vacuum Dewatering Floor</t>
  </si>
  <si>
    <t>● Check area for cleanliness before concreting</t>
  </si>
  <si>
    <t>● Check for stability of formwork</t>
  </si>
  <si>
    <t>● Check alignment, level, joint sealing</t>
  </si>
  <si>
    <t>● Check for reinforcement size, spacing, location, numbers, overlapping, welding, joint, hooks, bends, and cover</t>
  </si>
  <si>
    <t>Approved Drawing &amp; Approved Bar Bending Schedule</t>
  </si>
  <si>
    <t>● Check process of concrete pouring and grade of concrete</t>
  </si>
  <si>
    <t>● Check quantity of concrete to be poured</t>
  </si>
  <si>
    <t>● Check for workability of concrete at site before pouring</t>
  </si>
  <si>
    <t>Approved Trial Mix</t>
  </si>
  <si>
    <t>● Confirmation of equipment and machinery for work</t>
  </si>
  <si>
    <t>● Check for concrete top level</t>
  </si>
  <si>
    <t>● Check for vacuum dewatering as per the specification</t>
  </si>
  <si>
    <t>● Confirmation of finished floor surface</t>
  </si>
  <si>
    <t>● Confirmation of curing arrangement</t>
  </si>
  <si>
    <t>A) Tile Flooring- Vitrified/Ceramic</t>
  </si>
  <si>
    <t>● Check for the tile material approval</t>
  </si>
  <si>
    <t xml:space="preserve">Material Data Sheet </t>
  </si>
  <si>
    <t>● Check for the surface cleaning-free from loose mortar, laitance etc.</t>
  </si>
  <si>
    <t>● Tiles are sound, non-sbsorbingflat and true to shape with straight edge</t>
  </si>
  <si>
    <t>● Check for fixing of level pads</t>
  </si>
  <si>
    <t>● All tiles which are used in work have soaked</t>
  </si>
  <si>
    <t>● Check for bedding of cement mortar properly levelled, temped, and corrected to desire level or thickness</t>
  </si>
  <si>
    <t>● Bed mortar roughened before laying tile</t>
  </si>
  <si>
    <t>● Confirmation of tile laying pattern</t>
  </si>
  <si>
    <t>● Confirmation of tile joints</t>
  </si>
  <si>
    <t>● Confirmation of floor final level</t>
  </si>
  <si>
    <t>● Confirmation of epoxy grouting for tile joint filling</t>
  </si>
  <si>
    <t>Wall tile work-Dado fixing</t>
  </si>
  <si>
    <t>Check for the tile material approval</t>
  </si>
  <si>
    <t>Check for the surface cleaning-free from loose mortar, laitance etc.</t>
  </si>
  <si>
    <t>Tiles are sound, non-sbsorbingflat and true to shape with straight edge</t>
  </si>
  <si>
    <t>Check for fixing of level pads</t>
  </si>
  <si>
    <t>All tiles which are used in work have soaked</t>
  </si>
  <si>
    <t>Confirmation of mortar proposal</t>
  </si>
  <si>
    <t>Check for bedding of cement mortar properly levelled, temped, and corrected to desire level or thickness</t>
  </si>
  <si>
    <t>Bed mortar roughened before laying tile</t>
  </si>
  <si>
    <t>Confirmation of tile laying pattern</t>
  </si>
  <si>
    <t>Confirmation of tile joints</t>
  </si>
  <si>
    <t>Confirmation of top final level</t>
  </si>
  <si>
    <t>Confirmation of epoxy grouting for tile joint filling</t>
  </si>
  <si>
    <t>Confirmation of curing arrangement</t>
  </si>
  <si>
    <t>Confirmation of Dimension, surface quality, physical properties, chemical properties</t>
  </si>
  <si>
    <t>IS 15622</t>
  </si>
  <si>
    <t>RCC hume pipe laying</t>
  </si>
  <si>
    <t>Each trench</t>
  </si>
  <si>
    <t xml:space="preserve">Confirmation of trench section </t>
  </si>
  <si>
    <t>Confirmation of trench gridline</t>
  </si>
  <si>
    <t>Confirmation of Sand/PCC top level</t>
  </si>
  <si>
    <t>Confirmation of Sand/PCC thickness</t>
  </si>
  <si>
    <t>Conformation of pipe diameter</t>
  </si>
  <si>
    <t>Confirmation of pipe gradient</t>
  </si>
  <si>
    <t>Confirmation of pipe condition</t>
  </si>
  <si>
    <t>Confirmation of pipe collar thickness and dia</t>
  </si>
  <si>
    <t>Each Joint</t>
  </si>
  <si>
    <t>Confirmation of pipe and collar fixing mortar proposal</t>
  </si>
  <si>
    <t>Confirmation of backfilling with proper compaction</t>
  </si>
  <si>
    <t>As per backfilling item</t>
  </si>
  <si>
    <t>Confirmation of three edge bearing load to produce 0.25mm crack KN/Linear meter</t>
  </si>
  <si>
    <t>IS 458</t>
  </si>
  <si>
    <t>Manufacturer / 
Approved external lab</t>
  </si>
  <si>
    <t>MTC/TPC</t>
  </si>
  <si>
    <t>Confirmation of unlimited load KN/Linear meter</t>
  </si>
  <si>
    <t>Grouting of Insert Plate and Anchor Bolts</t>
  </si>
  <si>
    <t xml:space="preserve">Check for pedestal top surface cleaning </t>
  </si>
  <si>
    <t xml:space="preserve">Confirmation of formwork </t>
  </si>
  <si>
    <t>Confirmation of grouting material</t>
  </si>
  <si>
    <t>Confirmation of grouting material mixing ratio</t>
  </si>
  <si>
    <t>Manufacturer Technical Data Sheet</t>
  </si>
  <si>
    <t>Confirmation of finished grouted surface</t>
  </si>
  <si>
    <t xml:space="preserve">Confirmation of compressive strength by cube testing </t>
  </si>
  <si>
    <t>1 set (6 cubes) / Day for each deferent structure
for 7 days and 28 days testing</t>
  </si>
  <si>
    <t>Painting</t>
  </si>
  <si>
    <t>A) Application of white putty</t>
  </si>
  <si>
    <t>Check for the surface cleaning from all masking tape, loos mortar, etc.</t>
  </si>
  <si>
    <t xml:space="preserve">Confirmation of material </t>
  </si>
  <si>
    <t>Confirmation of material mixing according to manufacturer specification</t>
  </si>
  <si>
    <t>Confirmation of 1st coat application</t>
  </si>
  <si>
    <t>Confirmation of application and covered all joints like slab and beam, column and beam</t>
  </si>
  <si>
    <t>confirmation of glass paper application before start second coat</t>
  </si>
  <si>
    <t>confirmation of final finishing</t>
  </si>
  <si>
    <t xml:space="preserve">Confirmation of tensile adhesion test @ 28 days </t>
  </si>
  <si>
    <t xml:space="preserve">EN 1348  </t>
  </si>
  <si>
    <t xml:space="preserve">Confirmation of compression adhesion test @ 28 days </t>
  </si>
  <si>
    <t>EN 196</t>
  </si>
  <si>
    <t xml:space="preserve">Confirmation of initial and final setting setting time </t>
  </si>
  <si>
    <t>confirmation of water capillary absorption, 30min 28 days</t>
  </si>
  <si>
    <t>Karsten Tube</t>
  </si>
  <si>
    <t>Confirmation of water retentively</t>
  </si>
  <si>
    <t>DIN 18555-7</t>
  </si>
  <si>
    <t>B) Application of paint</t>
  </si>
  <si>
    <t>Confirmation of material with requires shad/RAL no.</t>
  </si>
  <si>
    <t>Confirmation of marking for 1st coat, 2nd coat, &amp; finish coat</t>
  </si>
  <si>
    <t>Check for time between paint deferent coats</t>
  </si>
  <si>
    <t>Confirmation of final coat finishing and shad</t>
  </si>
  <si>
    <t>Check for flaking /cracking /Sagging /Blistering</t>
  </si>
  <si>
    <t>Check for stick for foreign matter</t>
  </si>
  <si>
    <t>Confirmation of physical and chemical properties</t>
  </si>
  <si>
    <t>Manufacturer Specification</t>
  </si>
  <si>
    <t>Paver Block Laying</t>
  </si>
  <si>
    <t xml:space="preserve">Check for sand bed thickness </t>
  </si>
  <si>
    <t>Check for paver block laying pattern</t>
  </si>
  <si>
    <t>Check for paver block top finished level</t>
  </si>
  <si>
    <t>Confirmation of compressive strength</t>
  </si>
  <si>
    <t>IS 15658</t>
  </si>
  <si>
    <t>Confirmation of dimension</t>
  </si>
  <si>
    <t>Confirmation of water observation</t>
  </si>
  <si>
    <t xml:space="preserve">Water Proofing </t>
  </si>
  <si>
    <t>Confirmation of material</t>
  </si>
  <si>
    <t>MTC/Technical Data Sheet</t>
  </si>
  <si>
    <t>Confirmation of application method</t>
  </si>
  <si>
    <t>Confirmation of surface preparation according to manufacturer specification</t>
  </si>
  <si>
    <t xml:space="preserve">Check weather all the opening/cutouts are sealed off as per requirement </t>
  </si>
  <si>
    <t xml:space="preserve">Confirmation of completion of waterproofing with required coats/application of material up to required level/depth before expedite further activity </t>
  </si>
  <si>
    <t>Confirmation of material physical and chemical properties</t>
  </si>
  <si>
    <t>NON CONFORMANCE  AND CORRECTIVE ACTION REQUEST (CAR ) REGISTER</t>
  </si>
  <si>
    <t>No.</t>
  </si>
  <si>
    <t>NCR / CAR Issue Date</t>
  </si>
  <si>
    <t xml:space="preserve">Type </t>
  </si>
  <si>
    <t>Brief Description of Non Conformance</t>
  </si>
  <si>
    <t>Location</t>
  </si>
  <si>
    <t>Planned Closure Date</t>
  </si>
  <si>
    <t>Actual Closure Date</t>
  </si>
  <si>
    <t>Status</t>
  </si>
  <si>
    <t xml:space="preserve">Quality </t>
  </si>
  <si>
    <t>RIAD</t>
  </si>
  <si>
    <t xml:space="preserve">According to the drawing of the UG Tank (Job: 35/2023, Drawing No: 1, Date: 05-02-2024), note point 8 specifies the requirement for a water stopper to be installed at the construction joint of the water tank. The water stopper should be 150 mm wide and 5 mm thick, made of PVC material. However, despite this specification, the contractor, project manager, and client have disagreed on the provision of this water stopper.
If the water stopper is not installed at the joint as per the drawing, there is a risk of water leakage occurring at the joint. Therefore, it's essential to adhere to the specified requirements to prevent potential water leakages and ensure the integrity of the construction. </t>
  </si>
  <si>
    <t>India</t>
  </si>
  <si>
    <t xml:space="preserve">Health and  Safety </t>
  </si>
  <si>
    <t xml:space="preserve">Environmental </t>
  </si>
  <si>
    <t xml:space="preserve">Australia </t>
  </si>
  <si>
    <t>China</t>
  </si>
  <si>
    <t>Hong Kong</t>
  </si>
  <si>
    <t>Indonesia</t>
  </si>
  <si>
    <t>Japan</t>
  </si>
  <si>
    <t>Korea</t>
  </si>
  <si>
    <t>Philippines</t>
  </si>
  <si>
    <t>Singapore</t>
  </si>
  <si>
    <t>Taiwan</t>
  </si>
  <si>
    <t>Thailand</t>
  </si>
  <si>
    <t>Vietnam</t>
  </si>
  <si>
    <t xml:space="preserve">Sr. No. </t>
  </si>
  <si>
    <t>Name of Equipment</t>
  </si>
  <si>
    <t>Unit</t>
  </si>
  <si>
    <t>Total Number</t>
  </si>
  <si>
    <t>Compression Testing Machine</t>
  </si>
  <si>
    <t>No</t>
  </si>
  <si>
    <t>Slump Cone Test Apparatus</t>
  </si>
  <si>
    <t>Set</t>
  </si>
  <si>
    <t>Steel Moulds</t>
  </si>
  <si>
    <t>Digital Moisture Meter</t>
  </si>
  <si>
    <t>Weighing Balance</t>
  </si>
  <si>
    <t>Thermometer</t>
  </si>
  <si>
    <t>Closure Rate</t>
  </si>
  <si>
    <t>Site Observation Success Rate</t>
  </si>
  <si>
    <t>Site Instruction Success Rate</t>
  </si>
  <si>
    <t>Non Conformity Success Rate</t>
  </si>
  <si>
    <t>Compressive strength at 7 days</t>
  </si>
  <si>
    <t>IS code lower limit</t>
  </si>
  <si>
    <t>Sample #</t>
  </si>
  <si>
    <t>Average</t>
  </si>
  <si>
    <t>Monthly Progress Report - February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</si>
</sst>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ptos Narrow"/>
      <family val="2"/>
      <scheme val="minor"/>
    </font>
    <font>
      <b/>
      <sz val="11"/>
      <color theme="1"/>
      <name val="Aptos Narrow"/>
      <family val="2"/>
      <scheme val="minor"/>
    </font>
    <font>
      <b/>
      <sz val="11"/>
      <color theme="1"/>
      <name val="Artifakt Element"/>
      <family val="2"/>
    </font>
    <font>
      <sz val="11"/>
      <color theme="1"/>
      <name val="Artifakt Element"/>
      <family val="2"/>
    </font>
    <font>
      <b/>
      <sz val="18"/>
      <color theme="0"/>
      <name val="Aptos Narrow"/>
      <family val="2"/>
      <scheme val="minor"/>
    </font>
    <font>
      <b/>
      <sz val="14"/>
      <color theme="1"/>
      <name val="Aptos Narrow"/>
      <family val="2"/>
      <scheme val="minor"/>
    </font>
    <font>
      <b/>
      <sz val="12"/>
      <color theme="1"/>
      <name val="Aptos Narrow"/>
      <family val="2"/>
      <scheme val="minor"/>
    </font>
    <font>
      <b/>
      <sz val="10"/>
      <color theme="0"/>
      <name val="Arial"/>
      <family val="2"/>
    </font>
    <font>
      <b/>
      <sz val="10"/>
      <name val="Arial"/>
      <family val="2"/>
    </font>
    <font>
      <sz val="10"/>
      <name val="Arial"/>
      <family val="2"/>
    </font>
    <font>
      <sz val="10"/>
      <color theme="1"/>
      <name val="Arial"/>
      <family val="2"/>
    </font>
    <font>
      <sz val="11"/>
      <color theme="1"/>
      <name val="Arial"/>
      <family val="2"/>
    </font>
    <font>
      <b/>
      <sz val="11"/>
      <color theme="1"/>
      <name val="Arial"/>
      <family val="2"/>
    </font>
    <font>
      <sz val="9"/>
      <name val="Arial"/>
      <family val="2"/>
    </font>
    <font>
      <sz val="11"/>
      <name val="Arial"/>
      <family val="2"/>
    </font>
    <font>
      <sz val="9"/>
      <color theme="1"/>
      <name val="Arial"/>
      <family val="2"/>
    </font>
    <font>
      <b/>
      <sz val="10"/>
      <color theme="1"/>
      <name val="Arial"/>
      <family val="2"/>
    </font>
    <font>
      <b/>
      <sz val="14"/>
      <color theme="1"/>
      <name val="Calibri"/>
      <family val="2"/>
    </font>
    <font>
      <sz val="10"/>
      <name val="Arial"/>
    </font>
    <font>
      <sz val="10"/>
      <name val="Aptos Narrow"/>
      <family val="2"/>
      <scheme val="minor"/>
    </font>
    <font>
      <b/>
      <sz val="10"/>
      <name val="Aptos Narrow"/>
      <family val="2"/>
      <scheme val="minor"/>
    </font>
    <font>
      <b/>
      <sz val="14"/>
      <color indexed="9"/>
      <name val="Aptos Narrow"/>
      <family val="2"/>
      <scheme val="minor"/>
    </font>
    <font>
      <b/>
      <sz val="10"/>
      <color indexed="9"/>
      <name val="Aptos Narrow"/>
      <family val="2"/>
      <scheme val="minor"/>
    </font>
    <font>
      <sz val="12"/>
      <color theme="1"/>
      <name val="Times New Roman"/>
      <family val="1"/>
    </font>
    <font>
      <b/>
      <sz val="12"/>
      <color rgb="FF000000"/>
      <name val="Times New Roman"/>
      <family val="1"/>
    </font>
    <font>
      <b/>
      <sz val="16"/>
      <color theme="1"/>
      <name val="Aptos Narrow"/>
      <family val="2"/>
      <scheme val="minor"/>
    </font>
    <font>
      <b/>
      <sz val="11"/>
      <color theme="0"/>
      <name val="Artifakt Element"/>
    </font>
    <font>
      <b/>
      <sz val="36"/>
      <color theme="0"/>
      <name val="Aptos Narrow"/>
      <family val="2"/>
      <scheme val="minor"/>
    </font>
    <font>
      <b/>
      <sz val="16"/>
      <color theme="1"/>
      <name val="Calibri"/>
      <family val="2"/>
    </font>
    <font>
      <sz val="16"/>
      <color theme="1"/>
      <name val="Aptos Narrow"/>
      <family val="2"/>
      <scheme val="minor"/>
    </font>
    <font>
      <b/>
      <sz val="20"/>
      <color theme="1"/>
      <name val="Aptos Narrow"/>
      <family val="2"/>
      <scheme val="minor"/>
    </font>
    <font>
      <sz val="20"/>
      <color theme="1"/>
      <name val="Aptos Narrow"/>
      <family val="2"/>
      <scheme val="minor"/>
    </font>
  </fonts>
  <fills count="11">
    <fill>
      <patternFill patternType="none"/>
    </fill>
    <fill>
      <patternFill patternType="gray125"/>
    </fill>
    <fill>
      <patternFill patternType="solid">
        <fgColor rgb="FFFF615F"/>
        <bgColor indexed="64"/>
      </patternFill>
    </fill>
    <fill>
      <patternFill patternType="solid">
        <fgColor rgb="FF00206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8" tint="-0.249977111117893"/>
        <bgColor indexed="64"/>
      </patternFill>
    </fill>
    <fill>
      <patternFill patternType="solid">
        <fgColor rgb="FFFFFFFF"/>
        <bgColor indexed="64"/>
      </patternFill>
    </fill>
    <fill>
      <patternFill patternType="solid">
        <fgColor theme="4" tint="-0.249977111117893"/>
        <bgColor indexed="64"/>
      </patternFill>
    </fill>
    <fill>
      <patternFill patternType="solid">
        <fgColor theme="0"/>
        <bgColor indexed="64"/>
      </patternFill>
    </fill>
    <fill>
      <patternFill patternType="solid">
        <fgColor rgb="FFB4C6E7"/>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style="medium">
        <color indexed="64"/>
      </right>
      <top style="medium">
        <color indexed="64"/>
      </top>
      <bottom style="medium">
        <color indexed="64"/>
      </bottom>
      <diagonal/>
    </border>
    <border>
      <left style="medium">
        <color theme="1"/>
      </left>
      <right style="medium">
        <color theme="1"/>
      </right>
      <top style="medium">
        <color indexed="64"/>
      </top>
      <bottom/>
      <diagonal/>
    </border>
    <border>
      <left style="medium">
        <color theme="1"/>
      </left>
      <right style="medium">
        <color theme="1"/>
      </right>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1"/>
      </left>
      <right/>
      <top/>
      <bottom style="medium">
        <color theme="1"/>
      </bottom>
      <diagonal/>
    </border>
    <border>
      <left/>
      <right style="medium">
        <color theme="1"/>
      </right>
      <top/>
      <bottom style="medium">
        <color theme="1"/>
      </bottom>
      <diagonal/>
    </border>
    <border>
      <left style="medium">
        <color indexed="64"/>
      </left>
      <right style="medium">
        <color theme="1"/>
      </right>
      <top style="medium">
        <color indexed="64"/>
      </top>
      <bottom style="medium">
        <color indexed="64"/>
      </bottom>
      <diagonal/>
    </border>
    <border>
      <left style="medium">
        <color theme="1"/>
      </left>
      <right style="medium">
        <color theme="1"/>
      </right>
      <top style="medium">
        <color indexed="64"/>
      </top>
      <bottom style="medium">
        <color indexed="64"/>
      </bottom>
      <diagonal/>
    </border>
    <border>
      <left style="medium">
        <color theme="1"/>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0" fontId="18" fillId="0" borderId="0"/>
  </cellStyleXfs>
  <cellXfs count="127">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xf numFmtId="0" fontId="0" fillId="0" borderId="2" xfId="0" applyBorder="1" applyAlignment="1">
      <alignment vertical="center"/>
    </xf>
    <xf numFmtId="0" fontId="0" fillId="0" borderId="0" xfId="0" applyAlignment="1">
      <alignment vertical="center"/>
    </xf>
    <xf numFmtId="0" fontId="7" fillId="6" borderId="2" xfId="0" applyFont="1" applyFill="1" applyBorder="1" applyAlignment="1">
      <alignment horizontal="center" vertical="center" wrapText="1"/>
    </xf>
    <xf numFmtId="0" fontId="9" fillId="7" borderId="2" xfId="0" applyFont="1" applyFill="1" applyBorder="1" applyAlignment="1">
      <alignment vertical="center" wrapText="1"/>
    </xf>
    <xf numFmtId="0" fontId="9" fillId="7" borderId="2" xfId="0" applyFont="1" applyFill="1" applyBorder="1" applyAlignment="1">
      <alignment horizontal="center" vertical="center" wrapText="1"/>
    </xf>
    <xf numFmtId="0" fontId="10" fillId="0" borderId="2" xfId="0" applyFont="1" applyBorder="1" applyAlignment="1">
      <alignment horizontal="center" vertical="center"/>
    </xf>
    <xf numFmtId="0" fontId="9"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2" xfId="0" applyFont="1" applyBorder="1" applyAlignment="1">
      <alignment vertical="center"/>
    </xf>
    <xf numFmtId="0" fontId="11" fillId="0" borderId="2" xfId="0" applyFont="1" applyBorder="1" applyAlignment="1">
      <alignment vertical="center"/>
    </xf>
    <xf numFmtId="0" fontId="9" fillId="7" borderId="2"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3" fillId="0" borderId="2" xfId="0" applyFont="1" applyBorder="1" applyAlignment="1">
      <alignment vertical="center" wrapText="1"/>
    </xf>
    <xf numFmtId="0" fontId="9" fillId="7" borderId="2" xfId="0" applyFont="1" applyFill="1" applyBorder="1" applyAlignment="1">
      <alignment horizontal="left" vertical="center" wrapText="1"/>
    </xf>
    <xf numFmtId="0" fontId="14" fillId="7" borderId="2" xfId="0" applyFont="1" applyFill="1" applyBorder="1" applyAlignment="1">
      <alignment horizontal="center" vertical="center" wrapText="1"/>
    </xf>
    <xf numFmtId="0" fontId="8" fillId="7" borderId="2" xfId="0" applyFont="1" applyFill="1" applyBorder="1" applyAlignment="1">
      <alignment vertical="center" wrapText="1"/>
    </xf>
    <xf numFmtId="0" fontId="11" fillId="0" borderId="2" xfId="0" applyFont="1" applyBorder="1" applyAlignment="1">
      <alignment horizontal="center" vertical="center"/>
    </xf>
    <xf numFmtId="0" fontId="15" fillId="0" borderId="2" xfId="0" applyFont="1" applyBorder="1" applyAlignment="1">
      <alignment horizontal="left" vertical="center"/>
    </xf>
    <xf numFmtId="0" fontId="11" fillId="0" borderId="2" xfId="0" applyFont="1" applyBorder="1" applyAlignment="1">
      <alignment horizontal="center" vertical="center" wrapText="1"/>
    </xf>
    <xf numFmtId="0" fontId="15" fillId="0" borderId="2" xfId="0" applyFont="1" applyBorder="1" applyAlignment="1">
      <alignment horizontal="left" vertical="center" wrapText="1"/>
    </xf>
    <xf numFmtId="0" fontId="16" fillId="0" borderId="2" xfId="0" applyFont="1" applyBorder="1" applyAlignment="1">
      <alignment vertical="center"/>
    </xf>
    <xf numFmtId="0" fontId="15" fillId="0" borderId="2" xfId="0" applyFont="1" applyBorder="1" applyAlignment="1">
      <alignment vertical="center"/>
    </xf>
    <xf numFmtId="0" fontId="15" fillId="0" borderId="2" xfId="0" applyFont="1" applyBorder="1" applyAlignment="1">
      <alignment vertical="center" wrapText="1"/>
    </xf>
    <xf numFmtId="0" fontId="16" fillId="0" borderId="2" xfId="0" applyFont="1" applyBorder="1" applyAlignment="1">
      <alignment horizontal="left" vertical="center"/>
    </xf>
    <xf numFmtId="0" fontId="10" fillId="0" borderId="2" xfId="0" applyFont="1" applyBorder="1" applyAlignment="1">
      <alignment horizontal="left" vertical="center" wrapText="1"/>
    </xf>
    <xf numFmtId="0" fontId="9" fillId="7" borderId="3" xfId="0" applyFont="1" applyFill="1" applyBorder="1" applyAlignment="1">
      <alignment vertical="center" wrapText="1"/>
    </xf>
    <xf numFmtId="0" fontId="9" fillId="7" borderId="3"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7" borderId="4" xfId="0" applyFont="1" applyFill="1" applyBorder="1" applyAlignment="1">
      <alignment vertical="center" wrapText="1"/>
    </xf>
    <xf numFmtId="0" fontId="10" fillId="0" borderId="4" xfId="0" applyFont="1" applyBorder="1" applyAlignment="1">
      <alignment horizontal="center" vertical="center" wrapText="1"/>
    </xf>
    <xf numFmtId="0" fontId="11" fillId="0" borderId="4" xfId="0" applyFont="1" applyBorder="1" applyAlignment="1">
      <alignment vertical="center"/>
    </xf>
    <xf numFmtId="0" fontId="9" fillId="7" borderId="4" xfId="0" applyFont="1" applyFill="1" applyBorder="1" applyAlignment="1">
      <alignment horizontal="center" vertical="center" wrapText="1"/>
    </xf>
    <xf numFmtId="0" fontId="0" fillId="9" borderId="11" xfId="0" applyFill="1" applyBorder="1"/>
    <xf numFmtId="0" fontId="0" fillId="9" borderId="0" xfId="0" applyFill="1"/>
    <xf numFmtId="0" fontId="18" fillId="0" borderId="0" xfId="1"/>
    <xf numFmtId="0" fontId="19" fillId="0" borderId="0" xfId="1" applyFont="1"/>
    <xf numFmtId="0" fontId="22" fillId="0" borderId="18" xfId="1" applyFont="1" applyBorder="1" applyAlignment="1">
      <alignment vertical="center" wrapText="1"/>
    </xf>
    <xf numFmtId="0" fontId="20" fillId="0" borderId="1" xfId="1" applyFont="1" applyBorder="1" applyAlignment="1">
      <alignment horizontal="center" vertical="center" wrapText="1"/>
    </xf>
    <xf numFmtId="0" fontId="19" fillId="0" borderId="12" xfId="1" applyFont="1" applyBorder="1" applyAlignment="1">
      <alignment horizontal="center" vertical="center" wrapText="1"/>
    </xf>
    <xf numFmtId="14" fontId="19" fillId="0" borderId="1" xfId="1" applyNumberFormat="1" applyFont="1" applyBorder="1" applyAlignment="1">
      <alignment horizontal="center" vertical="center" wrapText="1"/>
    </xf>
    <xf numFmtId="0" fontId="19" fillId="0" borderId="1" xfId="1" applyFont="1" applyBorder="1" applyAlignment="1">
      <alignment horizontal="center" vertical="center" wrapText="1"/>
    </xf>
    <xf numFmtId="0" fontId="19" fillId="0" borderId="1" xfId="1" applyFont="1" applyBorder="1" applyAlignment="1">
      <alignment vertical="center" wrapText="1"/>
    </xf>
    <xf numFmtId="0" fontId="19" fillId="0" borderId="13"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14" xfId="1" applyFont="1" applyBorder="1" applyAlignment="1">
      <alignment horizontal="center" vertical="center" wrapText="1"/>
    </xf>
    <xf numFmtId="0" fontId="19" fillId="0" borderId="14" xfId="1" applyFont="1" applyBorder="1" applyAlignment="1">
      <alignment vertical="center" wrapText="1"/>
    </xf>
    <xf numFmtId="0" fontId="19" fillId="0" borderId="15" xfId="1" applyFont="1" applyBorder="1" applyAlignment="1">
      <alignment horizontal="center" vertical="center" wrapText="1"/>
    </xf>
    <xf numFmtId="0" fontId="19" fillId="0" borderId="0" xfId="1" applyFont="1" applyAlignment="1">
      <alignment horizontal="center" vertical="center" wrapText="1"/>
    </xf>
    <xf numFmtId="0" fontId="20" fillId="5" borderId="12" xfId="1" applyFont="1" applyFill="1" applyBorder="1" applyAlignment="1">
      <alignment horizontal="center" vertical="center" wrapText="1"/>
    </xf>
    <xf numFmtId="0" fontId="20" fillId="5" borderId="1" xfId="1" applyFont="1" applyFill="1" applyBorder="1" applyAlignment="1">
      <alignment horizontal="center" vertical="center" wrapText="1"/>
    </xf>
    <xf numFmtId="0" fontId="20" fillId="5" borderId="13" xfId="1" applyFont="1" applyFill="1" applyBorder="1" applyAlignment="1">
      <alignment horizontal="center" vertical="center" wrapText="1"/>
    </xf>
    <xf numFmtId="0" fontId="9" fillId="7" borderId="23" xfId="0" applyFont="1" applyFill="1" applyBorder="1" applyAlignment="1">
      <alignment horizontal="center" vertical="center" wrapText="1"/>
    </xf>
    <xf numFmtId="0" fontId="10" fillId="0" borderId="4" xfId="0" applyFont="1" applyBorder="1" applyAlignment="1">
      <alignment horizontal="center" vertical="center"/>
    </xf>
    <xf numFmtId="0" fontId="9" fillId="7" borderId="24" xfId="0" applyFont="1" applyFill="1" applyBorder="1" applyAlignment="1">
      <alignment vertical="center" wrapText="1"/>
    </xf>
    <xf numFmtId="0" fontId="10" fillId="0" borderId="25" xfId="0" applyFont="1" applyBorder="1" applyAlignment="1">
      <alignment horizontal="center" vertical="center" wrapText="1"/>
    </xf>
    <xf numFmtId="0" fontId="10" fillId="0" borderId="25" xfId="0" applyFont="1" applyBorder="1" applyAlignment="1">
      <alignment vertical="center"/>
    </xf>
    <xf numFmtId="0" fontId="11" fillId="0" borderId="25" xfId="0" applyFont="1" applyBorder="1" applyAlignment="1">
      <alignment vertical="center"/>
    </xf>
    <xf numFmtId="0" fontId="9" fillId="7" borderId="25" xfId="0" applyFont="1" applyFill="1" applyBorder="1" applyAlignment="1">
      <alignment horizontal="center" vertical="center" wrapText="1"/>
    </xf>
    <xf numFmtId="0" fontId="9" fillId="7" borderId="26" xfId="0" applyFont="1" applyFill="1" applyBorder="1" applyAlignment="1">
      <alignment horizontal="center" vertical="center" wrapText="1"/>
    </xf>
    <xf numFmtId="0" fontId="1" fillId="0" borderId="0" xfId="0" applyFont="1"/>
    <xf numFmtId="0" fontId="24" fillId="10" borderId="21" xfId="0" applyFont="1" applyFill="1" applyBorder="1" applyAlignment="1">
      <alignment horizontal="left" vertical="center" wrapText="1"/>
    </xf>
    <xf numFmtId="0" fontId="24" fillId="10" borderId="8" xfId="0" applyFont="1" applyFill="1" applyBorder="1" applyAlignment="1">
      <alignment horizontal="left" vertical="center" wrapText="1"/>
    </xf>
    <xf numFmtId="0" fontId="24" fillId="10" borderId="8" xfId="0" applyFont="1" applyFill="1" applyBorder="1" applyAlignment="1">
      <alignment horizontal="center" vertical="center" wrapText="1"/>
    </xf>
    <xf numFmtId="0" fontId="23" fillId="0" borderId="27" xfId="0" applyFont="1" applyBorder="1" applyAlignment="1">
      <alignment horizontal="center" vertical="center" wrapText="1"/>
    </xf>
    <xf numFmtId="0" fontId="23" fillId="0" borderId="20" xfId="0" applyFont="1" applyBorder="1" applyAlignment="1">
      <alignment horizontal="justify" vertical="center" wrapText="1"/>
    </xf>
    <xf numFmtId="0" fontId="23" fillId="0" borderId="20" xfId="0" applyFont="1" applyBorder="1" applyAlignment="1">
      <alignment horizontal="center" vertical="center" wrapText="1"/>
    </xf>
    <xf numFmtId="0" fontId="2" fillId="2" borderId="28" xfId="0" applyFont="1" applyFill="1" applyBorder="1" applyAlignment="1">
      <alignment horizontal="center" vertical="center"/>
    </xf>
    <xf numFmtId="0" fontId="0" fillId="0" borderId="1" xfId="0" applyBorder="1"/>
    <xf numFmtId="0" fontId="3" fillId="0" borderId="1" xfId="0" applyFont="1" applyBorder="1" applyAlignment="1">
      <alignment horizontal="center" vertical="center" wrapText="1"/>
    </xf>
    <xf numFmtId="0" fontId="3" fillId="0" borderId="1" xfId="0" applyFont="1" applyBorder="1" applyAlignment="1">
      <alignment horizontal="center"/>
    </xf>
    <xf numFmtId="0" fontId="26" fillId="3" borderId="1" xfId="0" applyFont="1" applyFill="1" applyBorder="1" applyAlignment="1">
      <alignment horizontal="center"/>
    </xf>
    <xf numFmtId="0" fontId="2" fillId="2" borderId="29" xfId="0" applyFont="1" applyFill="1" applyBorder="1" applyAlignment="1">
      <alignment horizontal="center" vertical="center"/>
    </xf>
    <xf numFmtId="0" fontId="3" fillId="0" borderId="30" xfId="0" applyFont="1" applyBorder="1" applyAlignment="1">
      <alignment horizontal="center" vertical="center"/>
    </xf>
    <xf numFmtId="0" fontId="3" fillId="0" borderId="31" xfId="0" applyFont="1" applyBorder="1"/>
    <xf numFmtId="0" fontId="3" fillId="0" borderId="31" xfId="0" applyFont="1" applyBorder="1" applyAlignment="1">
      <alignment horizontal="center" vertical="center"/>
    </xf>
    <xf numFmtId="10" fontId="0" fillId="0" borderId="32" xfId="0" applyNumberFormat="1" applyBorder="1"/>
    <xf numFmtId="0" fontId="3" fillId="0" borderId="12" xfId="0" applyFont="1" applyBorder="1" applyAlignment="1">
      <alignment horizontal="center" vertical="center"/>
    </xf>
    <xf numFmtId="10" fontId="0" fillId="0" borderId="13" xfId="0" applyNumberFormat="1" applyBorder="1"/>
    <xf numFmtId="0" fontId="3" fillId="0" borderId="16" xfId="0" applyFont="1" applyBorder="1" applyAlignment="1">
      <alignment horizontal="center" vertical="center"/>
    </xf>
    <xf numFmtId="0" fontId="3" fillId="0" borderId="14" xfId="0" applyFont="1" applyBorder="1"/>
    <xf numFmtId="0" fontId="3" fillId="0" borderId="14" xfId="0" applyFont="1" applyBorder="1" applyAlignment="1">
      <alignment horizontal="center" vertical="center"/>
    </xf>
    <xf numFmtId="10" fontId="0" fillId="0" borderId="15" xfId="0" applyNumberFormat="1" applyBorder="1"/>
    <xf numFmtId="10" fontId="1" fillId="0" borderId="0" xfId="0" applyNumberFormat="1" applyFont="1"/>
    <xf numFmtId="0" fontId="0" fillId="9" borderId="11" xfId="0" applyFill="1" applyBorder="1" applyAlignment="1">
      <alignment vertical="center"/>
    </xf>
    <xf numFmtId="0" fontId="0" fillId="9" borderId="0" xfId="0" applyFill="1" applyAlignment="1">
      <alignment vertical="center"/>
    </xf>
    <xf numFmtId="0" fontId="17" fillId="9" borderId="0" xfId="0" applyFont="1" applyFill="1" applyAlignment="1">
      <alignment vertical="center"/>
    </xf>
    <xf numFmtId="0" fontId="28" fillId="9" borderId="0" xfId="0" applyFont="1" applyFill="1" applyAlignment="1">
      <alignment vertical="center"/>
    </xf>
    <xf numFmtId="0" fontId="29" fillId="9" borderId="0" xfId="0" applyFont="1" applyFill="1" applyAlignment="1">
      <alignment horizontal="left" wrapText="1"/>
    </xf>
    <xf numFmtId="0" fontId="31" fillId="9" borderId="0" xfId="0" applyFont="1" applyFill="1" applyAlignment="1">
      <alignment horizontal="right" vertical="center"/>
    </xf>
    <xf numFmtId="0" fontId="27" fillId="8" borderId="11" xfId="0" applyFont="1" applyFill="1" applyBorder="1" applyAlignment="1">
      <alignment horizontal="center" vertical="center"/>
    </xf>
    <xf numFmtId="0" fontId="27" fillId="8" borderId="0" xfId="0" applyFont="1" applyFill="1" applyAlignment="1">
      <alignment horizontal="center" vertical="center"/>
    </xf>
    <xf numFmtId="0" fontId="25" fillId="9" borderId="0" xfId="0" applyFont="1" applyFill="1" applyAlignment="1">
      <alignment horizontal="left" vertical="center" wrapText="1"/>
    </xf>
    <xf numFmtId="10" fontId="30" fillId="9" borderId="0" xfId="0" applyNumberFormat="1" applyFont="1" applyFill="1" applyAlignment="1">
      <alignment horizontal="right" vertical="center"/>
    </xf>
    <xf numFmtId="0" fontId="21" fillId="3" borderId="17" xfId="1" applyFont="1" applyFill="1" applyBorder="1" applyAlignment="1">
      <alignment horizontal="center" vertical="center" wrapText="1"/>
    </xf>
    <xf numFmtId="0" fontId="21" fillId="3" borderId="19" xfId="1" applyFont="1" applyFill="1" applyBorder="1" applyAlignment="1">
      <alignment horizontal="center" vertical="center" wrapText="1"/>
    </xf>
    <xf numFmtId="0" fontId="5" fillId="0" borderId="2" xfId="0" applyFont="1" applyBorder="1" applyAlignment="1">
      <alignment horizontal="left" vertical="center" wrapText="1"/>
    </xf>
    <xf numFmtId="0" fontId="5" fillId="0" borderId="2" xfId="0" applyFont="1" applyBorder="1" applyAlignment="1">
      <alignment vertical="center" wrapText="1"/>
    </xf>
    <xf numFmtId="0" fontId="6" fillId="0" borderId="2" xfId="0" applyFont="1" applyBorder="1" applyAlignment="1">
      <alignment vertical="center" wrapText="1"/>
    </xf>
    <xf numFmtId="0" fontId="6" fillId="0" borderId="2" xfId="0" applyFont="1" applyBorder="1" applyAlignment="1">
      <alignment horizontal="left" vertical="center" wrapText="1"/>
    </xf>
    <xf numFmtId="0" fontId="0" fillId="0" borderId="2" xfId="0" applyBorder="1" applyAlignment="1">
      <alignment horizontal="center" vertical="center" wrapText="1"/>
    </xf>
    <xf numFmtId="0" fontId="4" fillId="3"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4" xfId="0" applyFont="1" applyBorder="1" applyAlignment="1">
      <alignment horizontal="center" vertical="center"/>
    </xf>
    <xf numFmtId="0" fontId="12" fillId="0" borderId="2" xfId="0" applyFont="1" applyBorder="1" applyAlignment="1">
      <alignment horizontal="center" vertical="center"/>
    </xf>
    <xf numFmtId="0" fontId="12" fillId="0" borderId="22" xfId="0" applyFont="1" applyBorder="1" applyAlignment="1">
      <alignment horizontal="center" vertical="center"/>
    </xf>
    <xf numFmtId="0" fontId="12" fillId="0" borderId="2" xfId="0" applyFont="1" applyBorder="1" applyAlignment="1">
      <alignment horizontal="center" vertical="center" wrapText="1"/>
    </xf>
    <xf numFmtId="0" fontId="11"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2"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cellXfs>
  <cellStyles count="2">
    <cellStyle name="Normal" xfId="0" builtinId="0"/>
    <cellStyle name="Normal 2" xfId="1" xr:uid="{58A6B2CB-1782-43E1-BB3B-9F0014A74D21}"/>
  </cellStyles>
  <dxfs count="2">
    <dxf>
      <font>
        <b/>
        <i val="0"/>
      </font>
      <fill>
        <patternFill>
          <bgColor theme="7" tint="0.39994506668294322"/>
        </patternFill>
      </fill>
    </dxf>
    <dxf>
      <font>
        <b/>
        <i val="0"/>
      </font>
      <fill>
        <patternFill>
          <bgColor theme="9" tint="0.39994506668294322"/>
        </patternFill>
      </fill>
    </dxf>
  </dxfs>
  <tableStyles count="0" defaultTableStyle="TableStyleMedium2" defaultPivotStyle="PivotStyleLight16"/>
  <colors>
    <mruColors>
      <color rgb="FFFE6262"/>
      <color rgb="FFF57359"/>
      <color rgb="FFF7917D"/>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baseline="0"/>
              <a:t>No of Delayed Activites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s>
    <c:plotArea>
      <c:layout/>
      <c:barChart>
        <c:barDir val="col"/>
        <c:grouping val="clustered"/>
        <c:varyColors val="0"/>
        <c:ser>
          <c:idx val="0"/>
          <c:order val="0"/>
          <c:tx>
            <c:v>Total</c:v>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2AC0-41FC-8191-9D1239E6ABCA}"/>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2AC0-41FC-8191-9D1239E6ABCA}"/>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2AC0-41FC-8191-9D1239E6ABCA}"/>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2AC0-41FC-8191-9D1239E6ABCA}"/>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2AC0-41FC-8191-9D1239E6ABCA}"/>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2AC0-41FC-8191-9D1239E6ABCA}"/>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2AC0-41FC-8191-9D1239E6ABCA}"/>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2AC0-41FC-8191-9D1239E6ABCA}"/>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2AC0-41FC-8191-9D1239E6ABCA}"/>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2AC0-41FC-8191-9D1239E6ABCA}"/>
              </c:ext>
            </c:extLst>
          </c:dPt>
          <c:dLbls>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Block Work</c:v>
              </c:pt>
              <c:pt idx="1">
                <c:v>Column RCC</c:v>
              </c:pt>
              <c:pt idx="2">
                <c:v>Excavation Work</c:v>
              </c:pt>
              <c:pt idx="3">
                <c:v>Final Inspection</c:v>
              </c:pt>
              <c:pt idx="4">
                <c:v>Flooring</c:v>
              </c:pt>
              <c:pt idx="5">
                <c:v>Footing RCC</c:v>
              </c:pt>
              <c:pt idx="6">
                <c:v>PCC Work</c:v>
              </c:pt>
              <c:pt idx="7">
                <c:v>Plastering</c:v>
              </c:pt>
              <c:pt idx="8">
                <c:v>Site Mobilization</c:v>
              </c:pt>
              <c:pt idx="9">
                <c:v>Slab Casting</c:v>
              </c:pt>
            </c:strLit>
          </c:cat>
          <c:val>
            <c:numLit>
              <c:formatCode>General</c:formatCode>
              <c:ptCount val="10"/>
              <c:pt idx="0">
                <c:v>0</c:v>
              </c:pt>
              <c:pt idx="1">
                <c:v>30</c:v>
              </c:pt>
              <c:pt idx="2">
                <c:v>1</c:v>
              </c:pt>
              <c:pt idx="3">
                <c:v>0</c:v>
              </c:pt>
              <c:pt idx="4">
                <c:v>0</c:v>
              </c:pt>
              <c:pt idx="5">
                <c:v>3</c:v>
              </c:pt>
              <c:pt idx="6">
                <c:v>0</c:v>
              </c:pt>
              <c:pt idx="7">
                <c:v>0</c:v>
              </c:pt>
              <c:pt idx="8">
                <c:v>0</c:v>
              </c:pt>
              <c:pt idx="9">
                <c:v>21</c:v>
              </c:pt>
            </c:numLit>
          </c:val>
          <c:extLst>
            <c:ext xmlns:c16="http://schemas.microsoft.com/office/drawing/2014/chart" uri="{C3380CC4-5D6E-409C-BE32-E72D297353CC}">
              <c16:uniqueId val="{00000014-2AC0-41FC-8191-9D1239E6ABCA}"/>
            </c:ext>
          </c:extLst>
        </c:ser>
        <c:dLbls>
          <c:showLegendKey val="0"/>
          <c:showVal val="0"/>
          <c:showCatName val="0"/>
          <c:showSerName val="0"/>
          <c:showPercent val="0"/>
          <c:showBubbleSize val="0"/>
        </c:dLbls>
        <c:gapWidth val="100"/>
        <c:axId val="1439916079"/>
        <c:axId val="1392358095"/>
      </c:barChart>
      <c:catAx>
        <c:axId val="1439916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Activites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358095"/>
        <c:crosses val="autoZero"/>
        <c:auto val="1"/>
        <c:lblAlgn val="ctr"/>
        <c:lblOffset val="100"/>
        <c:noMultiLvlLbl val="0"/>
      </c:catAx>
      <c:valAx>
        <c:axId val="1392358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Delays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91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1" i="0" u="none" strike="noStrike" kern="1200" cap="all" spc="120" normalizeH="0" baseline="0">
                <a:solidFill>
                  <a:schemeClr val="tx1">
                    <a:lumMod val="65000"/>
                    <a:lumOff val="35000"/>
                  </a:schemeClr>
                </a:solidFill>
                <a:latin typeface="+mn-lt"/>
                <a:ea typeface="+mn-ea"/>
                <a:cs typeface="+mn-cs"/>
              </a:defRPr>
            </a:pPr>
            <a:r>
              <a:rPr lang="en-US"/>
              <a:t>INR - CURRENCY</a:t>
            </a:r>
          </a:p>
        </c:rich>
      </c:tx>
      <c:layout>
        <c:manualLayout>
          <c:xMode val="edge"/>
          <c:yMode val="edge"/>
          <c:x val="0.42725978164674089"/>
          <c:y val="2.6510679056113245E-2"/>
        </c:manualLayout>
      </c:layout>
      <c:overlay val="0"/>
      <c:spPr>
        <a:noFill/>
        <a:ln>
          <a:noFill/>
        </a:ln>
        <a:effectLst/>
      </c:spPr>
      <c:txPr>
        <a:bodyPr rot="0" spcFirstLastPara="1" vertOverflow="ellipsis" vert="horz" wrap="square" anchor="ctr" anchorCtr="1"/>
        <a:lstStyle/>
        <a:p>
          <a:pPr>
            <a:defRPr sz="96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2418986031215E-2"/>
          <c:y val="0.26795820220567329"/>
          <c:w val="0.87090034508196945"/>
          <c:h val="0.56706865451432553"/>
        </c:manualLayout>
      </c:layout>
      <c:barChart>
        <c:barDir val="col"/>
        <c:grouping val="clustered"/>
        <c:varyColors val="0"/>
        <c:ser>
          <c:idx val="0"/>
          <c:order val="0"/>
          <c:tx>
            <c:strRef>
              <c:f>'[1]Cash Flow Chart - INR'!$A$3</c:f>
              <c:strCache>
                <c:ptCount val="1"/>
                <c:pt idx="0">
                  <c:v>Planned Budget (EXCLUDING GST) </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'[1]Cash Flow Chart - INR'!$B$2:$R$2</c:f>
              <c:numCache>
                <c:formatCode>mmm\-yy</c:formatCode>
                <c:ptCount val="17"/>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numCache>
            </c:numRef>
          </c:cat>
          <c:val>
            <c:numRef>
              <c:f>'[1]Cash Flow Chart - INR'!$B$3:$R$3</c:f>
              <c:numCache>
                <c:formatCode>_ [$₹-4009]\ * #,##0.00_ ;_ [$₹-4009]\ * \-#,##0.00_ ;_ [$₹-4009]\ * "-"??_ ;_ @_ </c:formatCode>
                <c:ptCount val="17"/>
                <c:pt idx="0">
                  <c:v>6485619.2326947041</c:v>
                </c:pt>
                <c:pt idx="1">
                  <c:v>8564401.2326947041</c:v>
                </c:pt>
                <c:pt idx="2">
                  <c:v>5975619.232694705</c:v>
                </c:pt>
                <c:pt idx="3">
                  <c:v>5975619.232694705</c:v>
                </c:pt>
                <c:pt idx="4">
                  <c:v>5975619.232694705</c:v>
                </c:pt>
                <c:pt idx="5">
                  <c:v>5975619.232694705</c:v>
                </c:pt>
                <c:pt idx="6">
                  <c:v>5975619.232694705</c:v>
                </c:pt>
                <c:pt idx="7">
                  <c:v>5975619.232694705</c:v>
                </c:pt>
                <c:pt idx="8">
                  <c:v>5975619.232694705</c:v>
                </c:pt>
                <c:pt idx="9">
                  <c:v>5975619.232694705</c:v>
                </c:pt>
                <c:pt idx="10">
                  <c:v>5975619.232694705</c:v>
                </c:pt>
                <c:pt idx="11">
                  <c:v>5975619.232694705</c:v>
                </c:pt>
                <c:pt idx="12">
                  <c:v>5975619.232694705</c:v>
                </c:pt>
                <c:pt idx="13">
                  <c:v>5975619.232694705</c:v>
                </c:pt>
                <c:pt idx="14">
                  <c:v>5975619.232694705</c:v>
                </c:pt>
                <c:pt idx="15">
                  <c:v>5975619.232694705</c:v>
                </c:pt>
                <c:pt idx="16">
                  <c:v>5975619.232694705</c:v>
                </c:pt>
              </c:numCache>
            </c:numRef>
          </c:val>
          <c:extLst>
            <c:ext xmlns:c16="http://schemas.microsoft.com/office/drawing/2014/chart" uri="{C3380CC4-5D6E-409C-BE32-E72D297353CC}">
              <c16:uniqueId val="{00000000-7F51-4C3E-A99C-6E090EC534DF}"/>
            </c:ext>
          </c:extLst>
        </c:ser>
        <c:ser>
          <c:idx val="2"/>
          <c:order val="2"/>
          <c:tx>
            <c:strRef>
              <c:f>'[1]Cash Flow Chart - INR'!$A$5</c:f>
              <c:strCache>
                <c:ptCount val="1"/>
                <c:pt idx="0">
                  <c:v>Actual Work Done (EXCLUDING GST)</c:v>
                </c:pt>
              </c:strCache>
            </c:strRef>
          </c:tx>
          <c:spPr>
            <a:solidFill>
              <a:srgbClr val="F9838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'[1]Cash Flow Chart - INR'!$B$2:$R$2</c:f>
              <c:numCache>
                <c:formatCode>mmm\-yy</c:formatCode>
                <c:ptCount val="17"/>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numCache>
            </c:numRef>
          </c:cat>
          <c:val>
            <c:numRef>
              <c:f>'[1]Cash Flow Chart - INR'!$B$5:$R$5</c:f>
              <c:numCache>
                <c:formatCode>_ [$₹-4009]\ * #,##0_ ;_ [$₹-4009]\ * \-#,##0_ ;_ [$₹-4009]\ * "-"??_ ;_ @_ </c:formatCode>
                <c:ptCount val="17"/>
                <c:pt idx="0">
                  <c:v>5650000</c:v>
                </c:pt>
                <c:pt idx="1">
                  <c:v>6735532</c:v>
                </c:pt>
                <c:pt idx="2">
                  <c:v>4993250</c:v>
                </c:pt>
                <c:pt idx="3">
                  <c:v>4930000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1-7F51-4C3E-A99C-6E090EC534DF}"/>
            </c:ext>
          </c:extLst>
        </c:ser>
        <c:dLbls>
          <c:showLegendKey val="0"/>
          <c:showVal val="0"/>
          <c:showCatName val="0"/>
          <c:showSerName val="0"/>
          <c:showPercent val="0"/>
          <c:showBubbleSize val="0"/>
        </c:dLbls>
        <c:gapWidth val="230"/>
        <c:axId val="779458816"/>
        <c:axId val="779466360"/>
      </c:barChart>
      <c:lineChart>
        <c:grouping val="standard"/>
        <c:varyColors val="0"/>
        <c:ser>
          <c:idx val="1"/>
          <c:order val="1"/>
          <c:tx>
            <c:strRef>
              <c:f>'[1]Cash Flow Chart - INR'!$A$4</c:f>
              <c:strCache>
                <c:ptCount val="1"/>
                <c:pt idx="0">
                  <c:v>Planned Budget (EXCLUDING GST) Cumulative</c:v>
                </c:pt>
              </c:strCache>
            </c:strRef>
          </c:tx>
          <c:spPr>
            <a:ln w="31750" cap="rnd">
              <a:solidFill>
                <a:srgbClr val="0070C0"/>
              </a:solidFill>
              <a:round/>
            </a:ln>
            <a:effectLst/>
          </c:spPr>
          <c:marker>
            <c:symbol val="square"/>
            <c:size val="6"/>
            <c:spPr>
              <a:solidFill>
                <a:schemeClr val="accent2"/>
              </a:solidFill>
              <a:ln w="9525">
                <a:solidFill>
                  <a:schemeClr val="accent2"/>
                </a:solidFill>
                <a:round/>
              </a:ln>
              <a:effectLst/>
            </c:spPr>
          </c:marker>
          <c:dPt>
            <c:idx val="11"/>
            <c:marker>
              <c:symbol val="square"/>
              <c:size val="6"/>
              <c:spPr>
                <a:solidFill>
                  <a:srgbClr val="0070C0"/>
                </a:solidFill>
                <a:ln w="9525">
                  <a:solidFill>
                    <a:schemeClr val="accent2"/>
                  </a:solidFill>
                  <a:round/>
                </a:ln>
                <a:effectLst/>
              </c:spPr>
            </c:marker>
            <c:bubble3D val="0"/>
            <c:extLst>
              <c:ext xmlns:c16="http://schemas.microsoft.com/office/drawing/2014/chart" uri="{C3380CC4-5D6E-409C-BE32-E72D297353CC}">
                <c16:uniqueId val="{00000002-7F51-4C3E-A99C-6E090EC534DF}"/>
              </c:ext>
            </c:extLst>
          </c:dPt>
          <c:cat>
            <c:numRef>
              <c:f>'[1]Cash Flow Chart - INR'!$B$2:$R$2</c:f>
              <c:numCache>
                <c:formatCode>mmm\-yy</c:formatCode>
                <c:ptCount val="17"/>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numCache>
            </c:numRef>
          </c:cat>
          <c:val>
            <c:numRef>
              <c:f>'[1]Cash Flow Chart - INR'!$B$4:$R$4</c:f>
              <c:numCache>
                <c:formatCode>_ [$₹-4009]\ * #,##0_ ;_ [$₹-4009]\ * \-#,##0_ ;_ [$₹-4009]\ * "-"??_ ;_ @_ </c:formatCode>
                <c:ptCount val="17"/>
                <c:pt idx="1">
                  <c:v>15050020.465389408</c:v>
                </c:pt>
                <c:pt idx="2">
                  <c:v>21025639.698084112</c:v>
                </c:pt>
                <c:pt idx="3">
                  <c:v>27001258.930778816</c:v>
                </c:pt>
                <c:pt idx="4">
                  <c:v>32976878.16347352</c:v>
                </c:pt>
                <c:pt idx="5">
                  <c:v>38952497.396168225</c:v>
                </c:pt>
                <c:pt idx="6">
                  <c:v>44928116.628862932</c:v>
                </c:pt>
                <c:pt idx="7">
                  <c:v>50903735.86155764</c:v>
                </c:pt>
                <c:pt idx="8">
                  <c:v>56879355.094252348</c:v>
                </c:pt>
                <c:pt idx="9">
                  <c:v>62854974.326947056</c:v>
                </c:pt>
                <c:pt idx="10">
                  <c:v>68830593.559641764</c:v>
                </c:pt>
                <c:pt idx="11">
                  <c:v>74806212.792336464</c:v>
                </c:pt>
                <c:pt idx="12">
                  <c:v>80781832.025031164</c:v>
                </c:pt>
                <c:pt idx="13">
                  <c:v>86757451.257725865</c:v>
                </c:pt>
                <c:pt idx="14">
                  <c:v>92733070.490420565</c:v>
                </c:pt>
                <c:pt idx="15">
                  <c:v>98708689.723115265</c:v>
                </c:pt>
                <c:pt idx="16">
                  <c:v>104684308.95580997</c:v>
                </c:pt>
              </c:numCache>
            </c:numRef>
          </c:val>
          <c:smooth val="0"/>
          <c:extLst>
            <c:ext xmlns:c16="http://schemas.microsoft.com/office/drawing/2014/chart" uri="{C3380CC4-5D6E-409C-BE32-E72D297353CC}">
              <c16:uniqueId val="{00000003-7F51-4C3E-A99C-6E090EC534DF}"/>
            </c:ext>
          </c:extLst>
        </c:ser>
        <c:ser>
          <c:idx val="3"/>
          <c:order val="3"/>
          <c:tx>
            <c:strRef>
              <c:f>'[1]Cash Flow Chart - INR'!$A$6</c:f>
              <c:strCache>
                <c:ptCount val="1"/>
                <c:pt idx="0">
                  <c:v>Actual Work Done (EXCLUDING GST) Cumulative</c:v>
                </c:pt>
              </c:strCache>
            </c:strRef>
          </c:tx>
          <c:spPr>
            <a:ln w="31750" cap="rnd">
              <a:solidFill>
                <a:schemeClr val="accent4"/>
              </a:solidFill>
              <a:round/>
            </a:ln>
            <a:effectLst/>
          </c:spPr>
          <c:marker>
            <c:symbol val="x"/>
            <c:size val="6"/>
            <c:spPr>
              <a:noFill/>
              <a:ln w="9525">
                <a:solidFill>
                  <a:schemeClr val="accent4"/>
                </a:solidFill>
                <a:round/>
              </a:ln>
              <a:effectLst/>
            </c:spPr>
          </c:marker>
          <c:cat>
            <c:numRef>
              <c:f>'[1]Cash Flow Chart - INR'!$B$2:$R$2</c:f>
              <c:numCache>
                <c:formatCode>mmm\-yy</c:formatCode>
                <c:ptCount val="17"/>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numCache>
            </c:numRef>
          </c:cat>
          <c:val>
            <c:numRef>
              <c:f>'[1]Cash Flow Chart - INR'!$B$6:$R$6</c:f>
              <c:numCache>
                <c:formatCode>_ [$₹-4009]\ * #,##0_ ;_ [$₹-4009]\ * \-#,##0_ ;_ [$₹-4009]\ * "-"??_ ;_ @_ </c:formatCode>
                <c:ptCount val="17"/>
                <c:pt idx="1">
                  <c:v>12385532</c:v>
                </c:pt>
                <c:pt idx="2">
                  <c:v>17378782</c:v>
                </c:pt>
                <c:pt idx="3">
                  <c:v>22308782</c:v>
                </c:pt>
              </c:numCache>
            </c:numRef>
          </c:val>
          <c:smooth val="0"/>
          <c:extLst>
            <c:ext xmlns:c16="http://schemas.microsoft.com/office/drawing/2014/chart" uri="{C3380CC4-5D6E-409C-BE32-E72D297353CC}">
              <c16:uniqueId val="{00000004-7F51-4C3E-A99C-6E090EC534DF}"/>
            </c:ext>
          </c:extLst>
        </c:ser>
        <c:dLbls>
          <c:showLegendKey val="0"/>
          <c:showVal val="0"/>
          <c:showCatName val="0"/>
          <c:showSerName val="0"/>
          <c:showPercent val="0"/>
          <c:showBubbleSize val="0"/>
        </c:dLbls>
        <c:marker val="1"/>
        <c:smooth val="0"/>
        <c:axId val="696763440"/>
        <c:axId val="696766064"/>
      </c:lineChart>
      <c:dateAx>
        <c:axId val="69676344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96766064"/>
        <c:crosses val="autoZero"/>
        <c:auto val="1"/>
        <c:lblOffset val="100"/>
        <c:baseTimeUnit val="months"/>
      </c:dateAx>
      <c:valAx>
        <c:axId val="69676606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96763440"/>
        <c:crosses val="autoZero"/>
        <c:crossBetween val="between"/>
      </c:valAx>
      <c:valAx>
        <c:axId val="779466360"/>
        <c:scaling>
          <c:orientation val="minMax"/>
        </c:scaling>
        <c:delete val="0"/>
        <c:axPos val="r"/>
        <c:numFmt formatCode="_ [$₹-4009]\ * #,##0.00_ ;_ [$₹-4009]\ * \-#,##0.00_ ;_ [$₹-4009]\ * &quot;-&quot;??_ ;_ @_ "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79458816"/>
        <c:crosses val="max"/>
        <c:crossBetween val="between"/>
      </c:valAx>
      <c:dateAx>
        <c:axId val="779458816"/>
        <c:scaling>
          <c:orientation val="minMax"/>
        </c:scaling>
        <c:delete val="1"/>
        <c:axPos val="b"/>
        <c:numFmt formatCode="mmm\-yy" sourceLinked="1"/>
        <c:majorTickMark val="out"/>
        <c:minorTickMark val="none"/>
        <c:tickLblPos val="nextTo"/>
        <c:crossAx val="779466360"/>
        <c:crosses val="autoZero"/>
        <c:auto val="1"/>
        <c:lblOffset val="100"/>
        <c:baseTimeUnit val="months"/>
      </c:dateAx>
      <c:spPr>
        <a:noFill/>
        <a:ln>
          <a:noFill/>
        </a:ln>
        <a:effectLst/>
      </c:spPr>
    </c:plotArea>
    <c:legend>
      <c:legendPos val="t"/>
      <c:layout>
        <c:manualLayout>
          <c:xMode val="edge"/>
          <c:yMode val="edge"/>
          <c:x val="8.4540807493163117E-2"/>
          <c:y val="9.3177678236837397E-2"/>
          <c:w val="0.89999997224405304"/>
          <c:h val="3.2391063676282174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kern="1200" spc="0" baseline="0">
                <a:solidFill>
                  <a:sysClr val="windowText" lastClr="000000">
                    <a:lumMod val="65000"/>
                    <a:lumOff val="35000"/>
                  </a:sysClr>
                </a:solidFill>
              </a:rPr>
              <a:t>COMPRESSIVE STRENGTH RESULTS OF M25 GRADE OF ONCRETE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'Cube Test'!$B$3</c:f>
              <c:strCache>
                <c:ptCount val="1"/>
                <c:pt idx="0">
                  <c:v>Compressive strength at 7 days</c:v>
                </c:pt>
              </c:strCache>
            </c:strRef>
          </c:tx>
          <c:spPr>
            <a:ln w="28575" cap="sq">
              <a:solidFill>
                <a:schemeClr val="accent1"/>
              </a:solidFill>
              <a:round/>
            </a:ln>
            <a:effectLst/>
          </c:spPr>
          <c:marker>
            <c:symbol val="diamond"/>
            <c:size val="5"/>
            <c:spPr>
              <a:solidFill>
                <a:schemeClr val="accent1"/>
              </a:solidFill>
              <a:ln w="9525">
                <a:solidFill>
                  <a:schemeClr val="accent1"/>
                </a:solidFill>
              </a:ln>
              <a:effectLst/>
            </c:spPr>
          </c:marker>
          <c:cat>
            <c:numRef>
              <c:f>'Cube Test'!$A$4:$A$9</c:f>
              <c:numCache>
                <c:formatCode>General</c:formatCode>
                <c:ptCount val="6"/>
                <c:pt idx="0">
                  <c:v>1</c:v>
                </c:pt>
                <c:pt idx="1">
                  <c:v>2</c:v>
                </c:pt>
                <c:pt idx="2">
                  <c:v>3</c:v>
                </c:pt>
                <c:pt idx="3">
                  <c:v>4</c:v>
                </c:pt>
                <c:pt idx="4">
                  <c:v>5</c:v>
                </c:pt>
                <c:pt idx="5">
                  <c:v>6</c:v>
                </c:pt>
              </c:numCache>
            </c:numRef>
          </c:cat>
          <c:val>
            <c:numRef>
              <c:f>'Cube Test'!$B$4:$B$9</c:f>
              <c:numCache>
                <c:formatCode>General</c:formatCode>
                <c:ptCount val="6"/>
                <c:pt idx="0">
                  <c:v>19.07</c:v>
                </c:pt>
                <c:pt idx="1">
                  <c:v>23</c:v>
                </c:pt>
                <c:pt idx="2">
                  <c:v>22.24</c:v>
                </c:pt>
                <c:pt idx="3">
                  <c:v>18.03</c:v>
                </c:pt>
                <c:pt idx="4">
                  <c:v>18.239999999999998</c:v>
                </c:pt>
                <c:pt idx="5">
                  <c:v>19.16</c:v>
                </c:pt>
              </c:numCache>
            </c:numRef>
          </c:val>
          <c:smooth val="1"/>
          <c:extLst>
            <c:ext xmlns:c16="http://schemas.microsoft.com/office/drawing/2014/chart" uri="{C3380CC4-5D6E-409C-BE32-E72D297353CC}">
              <c16:uniqueId val="{00000000-07AB-4C9F-AA36-D609249692EB}"/>
            </c:ext>
          </c:extLst>
        </c:ser>
        <c:ser>
          <c:idx val="1"/>
          <c:order val="1"/>
          <c:tx>
            <c:strRef>
              <c:f>'Cube Test'!$C$3</c:f>
              <c:strCache>
                <c:ptCount val="1"/>
                <c:pt idx="0">
                  <c:v>IS code lower limit</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cat>
            <c:numRef>
              <c:f>'Cube Test'!$A$4:$A$9</c:f>
              <c:numCache>
                <c:formatCode>General</c:formatCode>
                <c:ptCount val="6"/>
                <c:pt idx="0">
                  <c:v>1</c:v>
                </c:pt>
                <c:pt idx="1">
                  <c:v>2</c:v>
                </c:pt>
                <c:pt idx="2">
                  <c:v>3</c:v>
                </c:pt>
                <c:pt idx="3">
                  <c:v>4</c:v>
                </c:pt>
                <c:pt idx="4">
                  <c:v>5</c:v>
                </c:pt>
                <c:pt idx="5">
                  <c:v>6</c:v>
                </c:pt>
              </c:numCache>
            </c:numRef>
          </c:cat>
          <c:val>
            <c:numRef>
              <c:f>'Cube Test'!$C$4:$C$9</c:f>
              <c:numCache>
                <c:formatCode>General</c:formatCode>
                <c:ptCount val="6"/>
                <c:pt idx="0">
                  <c:v>17</c:v>
                </c:pt>
                <c:pt idx="1">
                  <c:v>17</c:v>
                </c:pt>
                <c:pt idx="2">
                  <c:v>17</c:v>
                </c:pt>
                <c:pt idx="3">
                  <c:v>17</c:v>
                </c:pt>
                <c:pt idx="4">
                  <c:v>17</c:v>
                </c:pt>
                <c:pt idx="5">
                  <c:v>17</c:v>
                </c:pt>
              </c:numCache>
            </c:numRef>
          </c:val>
          <c:smooth val="1"/>
          <c:extLst>
            <c:ext xmlns:c16="http://schemas.microsoft.com/office/drawing/2014/chart" uri="{C3380CC4-5D6E-409C-BE32-E72D297353CC}">
              <c16:uniqueId val="{00000001-07AB-4C9F-AA36-D609249692EB}"/>
            </c:ext>
          </c:extLst>
        </c:ser>
        <c:dLbls>
          <c:showLegendKey val="0"/>
          <c:showVal val="0"/>
          <c:showCatName val="0"/>
          <c:showSerName val="0"/>
          <c:showPercent val="0"/>
          <c:showBubbleSize val="0"/>
        </c:dLbls>
        <c:marker val="1"/>
        <c:smooth val="0"/>
        <c:axId val="749709112"/>
        <c:axId val="749708752"/>
      </c:lineChart>
      <c:catAx>
        <c:axId val="749709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08752"/>
        <c:crosses val="autoZero"/>
        <c:auto val="1"/>
        <c:lblAlgn val="ctr"/>
        <c:lblOffset val="100"/>
        <c:noMultiLvlLbl val="0"/>
      </c:catAx>
      <c:valAx>
        <c:axId val="74970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09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7.JP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30</xdr:col>
      <xdr:colOff>2850792</xdr:colOff>
      <xdr:row>0</xdr:row>
      <xdr:rowOff>119300</xdr:rowOff>
    </xdr:from>
    <xdr:to>
      <xdr:col>30</xdr:col>
      <xdr:colOff>4458443</xdr:colOff>
      <xdr:row>3</xdr:row>
      <xdr:rowOff>83334</xdr:rowOff>
    </xdr:to>
    <xdr:pic>
      <xdr:nvPicPr>
        <xdr:cNvPr id="7" name="Picture 6">
          <a:extLst>
            <a:ext uri="{FF2B5EF4-FFF2-40B4-BE49-F238E27FC236}">
              <a16:creationId xmlns:a16="http://schemas.microsoft.com/office/drawing/2014/main" id="{95EB7CF4-AC08-49B2-A527-92FBFFC49188}"/>
            </a:ext>
          </a:extLst>
        </xdr:cNvPr>
        <xdr:cNvPicPr>
          <a:picLocks noChangeAspect="1"/>
        </xdr:cNvPicPr>
      </xdr:nvPicPr>
      <xdr:blipFill>
        <a:blip xmlns:r="http://schemas.openxmlformats.org/officeDocument/2006/relationships" r:embed="rId1"/>
        <a:stretch>
          <a:fillRect/>
        </a:stretch>
      </xdr:blipFill>
      <xdr:spPr>
        <a:xfrm>
          <a:off x="22239459" y="119300"/>
          <a:ext cx="1607651" cy="535534"/>
        </a:xfrm>
        <a:prstGeom prst="rect">
          <a:avLst/>
        </a:prstGeom>
      </xdr:spPr>
    </xdr:pic>
    <xdr:clientData/>
  </xdr:twoCellAnchor>
  <xdr:twoCellAnchor editAs="oneCell">
    <xdr:from>
      <xdr:col>30</xdr:col>
      <xdr:colOff>2445885</xdr:colOff>
      <xdr:row>43</xdr:row>
      <xdr:rowOff>73135</xdr:rowOff>
    </xdr:from>
    <xdr:to>
      <xdr:col>30</xdr:col>
      <xdr:colOff>4716163</xdr:colOff>
      <xdr:row>56</xdr:row>
      <xdr:rowOff>11353</xdr:rowOff>
    </xdr:to>
    <xdr:pic>
      <xdr:nvPicPr>
        <xdr:cNvPr id="4" name="Picture 3">
          <a:extLst>
            <a:ext uri="{FF2B5EF4-FFF2-40B4-BE49-F238E27FC236}">
              <a16:creationId xmlns:a16="http://schemas.microsoft.com/office/drawing/2014/main" id="{951C7E1C-4AE4-008C-504B-918E7FFB4ED3}"/>
            </a:ext>
          </a:extLst>
        </xdr:cNvPr>
        <xdr:cNvPicPr>
          <a:picLocks noChangeAspect="1"/>
        </xdr:cNvPicPr>
      </xdr:nvPicPr>
      <xdr:blipFill>
        <a:blip xmlns:r="http://schemas.openxmlformats.org/officeDocument/2006/relationships" r:embed="rId2"/>
        <a:stretch>
          <a:fillRect/>
        </a:stretch>
      </xdr:blipFill>
      <xdr:spPr>
        <a:xfrm>
          <a:off x="21928371" y="8578703"/>
          <a:ext cx="2270278" cy="2306596"/>
        </a:xfrm>
        <a:prstGeom prst="rect">
          <a:avLst/>
        </a:prstGeom>
      </xdr:spPr>
    </xdr:pic>
    <xdr:clientData/>
  </xdr:twoCellAnchor>
  <xdr:twoCellAnchor>
    <xdr:from>
      <xdr:col>30</xdr:col>
      <xdr:colOff>2443108</xdr:colOff>
      <xdr:row>40</xdr:row>
      <xdr:rowOff>75084</xdr:rowOff>
    </xdr:from>
    <xdr:to>
      <xdr:col>30</xdr:col>
      <xdr:colOff>4595902</xdr:colOff>
      <xdr:row>42</xdr:row>
      <xdr:rowOff>71199</xdr:rowOff>
    </xdr:to>
    <xdr:sp macro="" textlink="">
      <xdr:nvSpPr>
        <xdr:cNvPr id="5" name="Rectangle: Rounded Corners 4">
          <a:extLst>
            <a:ext uri="{FF2B5EF4-FFF2-40B4-BE49-F238E27FC236}">
              <a16:creationId xmlns:a16="http://schemas.microsoft.com/office/drawing/2014/main" id="{BE9F809D-F33A-937A-4E04-D15B876E0F61}"/>
            </a:ext>
          </a:extLst>
        </xdr:cNvPr>
        <xdr:cNvSpPr/>
      </xdr:nvSpPr>
      <xdr:spPr>
        <a:xfrm>
          <a:off x="21925594" y="8024598"/>
          <a:ext cx="2152794" cy="366817"/>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1"/>
              </a:solidFill>
            </a:rPr>
            <a:t>Monthly</a:t>
          </a:r>
          <a:r>
            <a:rPr lang="en-IN" sz="1200" b="1" baseline="0">
              <a:solidFill>
                <a:schemeClr val="bg1"/>
              </a:solidFill>
            </a:rPr>
            <a:t> Progress</a:t>
          </a:r>
          <a:endParaRPr lang="en-IN" sz="1200" b="1">
            <a:solidFill>
              <a:schemeClr val="bg1"/>
            </a:solidFill>
          </a:endParaRPr>
        </a:p>
      </xdr:txBody>
    </xdr:sp>
    <xdr:clientData/>
  </xdr:twoCellAnchor>
  <xdr:twoCellAnchor>
    <xdr:from>
      <xdr:col>12</xdr:col>
      <xdr:colOff>262547</xdr:colOff>
      <xdr:row>3</xdr:row>
      <xdr:rowOff>63500</xdr:rowOff>
    </xdr:from>
    <xdr:to>
      <xdr:col>25</xdr:col>
      <xdr:colOff>209632</xdr:colOff>
      <xdr:row>3</xdr:row>
      <xdr:rowOff>74083</xdr:rowOff>
    </xdr:to>
    <xdr:cxnSp macro="">
      <xdr:nvCxnSpPr>
        <xdr:cNvPr id="9" name="Straight Connector 8">
          <a:extLst>
            <a:ext uri="{FF2B5EF4-FFF2-40B4-BE49-F238E27FC236}">
              <a16:creationId xmlns:a16="http://schemas.microsoft.com/office/drawing/2014/main" id="{61A14018-385F-D830-D791-7E893561186E}"/>
            </a:ext>
          </a:extLst>
        </xdr:cNvPr>
        <xdr:cNvCxnSpPr/>
      </xdr:nvCxnSpPr>
      <xdr:spPr>
        <a:xfrm flipV="1">
          <a:off x="8143804" y="618671"/>
          <a:ext cx="7871885" cy="10583"/>
        </a:xfrm>
        <a:prstGeom prst="line">
          <a:avLst/>
        </a:prstGeom>
        <a:ln w="38100">
          <a:solidFill>
            <a:schemeClr val="bg1"/>
          </a:solidFill>
          <a:prstDash val="sysDot"/>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12700</xdr:colOff>
      <xdr:row>4</xdr:row>
      <xdr:rowOff>60896</xdr:rowOff>
    </xdr:from>
    <xdr:to>
      <xdr:col>4</xdr:col>
      <xdr:colOff>381000</xdr:colOff>
      <xdr:row>6</xdr:row>
      <xdr:rowOff>80434</xdr:rowOff>
    </xdr:to>
    <xdr:sp macro="" textlink="">
      <xdr:nvSpPr>
        <xdr:cNvPr id="12" name="Rectangle: Top Corners Rounded 11">
          <a:extLst>
            <a:ext uri="{FF2B5EF4-FFF2-40B4-BE49-F238E27FC236}">
              <a16:creationId xmlns:a16="http://schemas.microsoft.com/office/drawing/2014/main" id="{AA7792E9-6B85-EE9B-F5B4-D9FF66628460}"/>
            </a:ext>
          </a:extLst>
        </xdr:cNvPr>
        <xdr:cNvSpPr/>
      </xdr:nvSpPr>
      <xdr:spPr>
        <a:xfrm>
          <a:off x="12700" y="814429"/>
          <a:ext cx="2806700" cy="434405"/>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Project Start</a:t>
          </a:r>
          <a:r>
            <a:rPr lang="en-IN" sz="1800" b="1" baseline="0">
              <a:solidFill>
                <a:schemeClr val="tx1"/>
              </a:solidFill>
            </a:rPr>
            <a:t> Date</a:t>
          </a:r>
          <a:endParaRPr lang="en-IN" sz="1800" b="1">
            <a:solidFill>
              <a:schemeClr val="tx1"/>
            </a:solidFill>
          </a:endParaRPr>
        </a:p>
      </xdr:txBody>
    </xdr:sp>
    <xdr:clientData/>
  </xdr:twoCellAnchor>
  <xdr:twoCellAnchor editAs="oneCell">
    <xdr:from>
      <xdr:col>0</xdr:col>
      <xdr:colOff>94890</xdr:colOff>
      <xdr:row>0</xdr:row>
      <xdr:rowOff>90034</xdr:rowOff>
    </xdr:from>
    <xdr:to>
      <xdr:col>2</xdr:col>
      <xdr:colOff>489659</xdr:colOff>
      <xdr:row>3</xdr:row>
      <xdr:rowOff>54068</xdr:rowOff>
    </xdr:to>
    <xdr:pic>
      <xdr:nvPicPr>
        <xdr:cNvPr id="16" name="Picture 15">
          <a:extLst>
            <a:ext uri="{FF2B5EF4-FFF2-40B4-BE49-F238E27FC236}">
              <a16:creationId xmlns:a16="http://schemas.microsoft.com/office/drawing/2014/main" id="{476589EA-D5D7-4891-ABEC-0AC88D06740D}"/>
            </a:ext>
          </a:extLst>
        </xdr:cNvPr>
        <xdr:cNvPicPr>
          <a:picLocks noChangeAspect="1"/>
        </xdr:cNvPicPr>
      </xdr:nvPicPr>
      <xdr:blipFill>
        <a:blip xmlns:r="http://schemas.openxmlformats.org/officeDocument/2006/relationships" r:embed="rId1"/>
        <a:stretch>
          <a:fillRect/>
        </a:stretch>
      </xdr:blipFill>
      <xdr:spPr>
        <a:xfrm>
          <a:off x="94890" y="90034"/>
          <a:ext cx="1602467" cy="524751"/>
        </a:xfrm>
        <a:prstGeom prst="rect">
          <a:avLst/>
        </a:prstGeom>
      </xdr:spPr>
    </xdr:pic>
    <xdr:clientData/>
  </xdr:twoCellAnchor>
  <xdr:twoCellAnchor>
    <xdr:from>
      <xdr:col>0</xdr:col>
      <xdr:colOff>16042</xdr:colOff>
      <xdr:row>6</xdr:row>
      <xdr:rowOff>64569</xdr:rowOff>
    </xdr:from>
    <xdr:to>
      <xdr:col>4</xdr:col>
      <xdr:colOff>380754</xdr:colOff>
      <xdr:row>9</xdr:row>
      <xdr:rowOff>93306</xdr:rowOff>
    </xdr:to>
    <xdr:sp macro="" textlink="">
      <xdr:nvSpPr>
        <xdr:cNvPr id="40" name="Rectangle: Diagonal Corners Rounded 39">
          <a:extLst>
            <a:ext uri="{FF2B5EF4-FFF2-40B4-BE49-F238E27FC236}">
              <a16:creationId xmlns:a16="http://schemas.microsoft.com/office/drawing/2014/main" id="{C17C8A29-7027-CE59-7B56-3A41903ECBC0}"/>
            </a:ext>
          </a:extLst>
        </xdr:cNvPr>
        <xdr:cNvSpPr/>
      </xdr:nvSpPr>
      <xdr:spPr>
        <a:xfrm>
          <a:off x="16042" y="1230896"/>
          <a:ext cx="2790671" cy="588573"/>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01-January-2026</a:t>
          </a:r>
        </a:p>
      </xdr:txBody>
    </xdr:sp>
    <xdr:clientData/>
  </xdr:twoCellAnchor>
  <xdr:twoCellAnchor>
    <xdr:from>
      <xdr:col>4</xdr:col>
      <xdr:colOff>609730</xdr:colOff>
      <xdr:row>4</xdr:row>
      <xdr:rowOff>58978</xdr:rowOff>
    </xdr:from>
    <xdr:to>
      <xdr:col>8</xdr:col>
      <xdr:colOff>386822</xdr:colOff>
      <xdr:row>6</xdr:row>
      <xdr:rowOff>78516</xdr:rowOff>
    </xdr:to>
    <xdr:sp macro="" textlink="">
      <xdr:nvSpPr>
        <xdr:cNvPr id="41" name="Rectangle: Top Corners Rounded 40">
          <a:extLst>
            <a:ext uri="{FF2B5EF4-FFF2-40B4-BE49-F238E27FC236}">
              <a16:creationId xmlns:a16="http://schemas.microsoft.com/office/drawing/2014/main" id="{66F2AE75-5B10-4EF3-9285-874218B57995}"/>
            </a:ext>
          </a:extLst>
        </xdr:cNvPr>
        <xdr:cNvSpPr/>
      </xdr:nvSpPr>
      <xdr:spPr>
        <a:xfrm>
          <a:off x="3048130" y="812511"/>
          <a:ext cx="2791225" cy="434405"/>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Timeline Status</a:t>
          </a:r>
        </a:p>
      </xdr:txBody>
    </xdr:sp>
    <xdr:clientData/>
  </xdr:twoCellAnchor>
  <xdr:twoCellAnchor>
    <xdr:from>
      <xdr:col>4</xdr:col>
      <xdr:colOff>613072</xdr:colOff>
      <xdr:row>6</xdr:row>
      <xdr:rowOff>62651</xdr:rowOff>
    </xdr:from>
    <xdr:to>
      <xdr:col>8</xdr:col>
      <xdr:colOff>386576</xdr:colOff>
      <xdr:row>9</xdr:row>
      <xdr:rowOff>91388</xdr:rowOff>
    </xdr:to>
    <xdr:sp macro="" textlink="">
      <xdr:nvSpPr>
        <xdr:cNvPr id="42" name="Rectangle: Diagonal Corners Rounded 41">
          <a:extLst>
            <a:ext uri="{FF2B5EF4-FFF2-40B4-BE49-F238E27FC236}">
              <a16:creationId xmlns:a16="http://schemas.microsoft.com/office/drawing/2014/main" id="{31C62CB1-0125-4849-94CE-40C887F14F0A}"/>
            </a:ext>
          </a:extLst>
        </xdr:cNvPr>
        <xdr:cNvSpPr/>
      </xdr:nvSpPr>
      <xdr:spPr>
        <a:xfrm>
          <a:off x="3039031" y="1228978"/>
          <a:ext cx="2774851" cy="588573"/>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On Time</a:t>
          </a:r>
        </a:p>
      </xdr:txBody>
    </xdr:sp>
    <xdr:clientData/>
  </xdr:twoCellAnchor>
  <xdr:twoCellAnchor>
    <xdr:from>
      <xdr:col>9</xdr:col>
      <xdr:colOff>27579</xdr:colOff>
      <xdr:row>4</xdr:row>
      <xdr:rowOff>62953</xdr:rowOff>
    </xdr:from>
    <xdr:to>
      <xdr:col>13</xdr:col>
      <xdr:colOff>352545</xdr:colOff>
      <xdr:row>6</xdr:row>
      <xdr:rowOff>82491</xdr:rowOff>
    </xdr:to>
    <xdr:sp macro="" textlink="">
      <xdr:nvSpPr>
        <xdr:cNvPr id="43" name="Rectangle: Top Corners Rounded 42">
          <a:extLst>
            <a:ext uri="{FF2B5EF4-FFF2-40B4-BE49-F238E27FC236}">
              <a16:creationId xmlns:a16="http://schemas.microsoft.com/office/drawing/2014/main" id="{1E75B15F-89D0-40F6-9538-A73B407833B2}"/>
            </a:ext>
          </a:extLst>
        </xdr:cNvPr>
        <xdr:cNvSpPr/>
      </xdr:nvSpPr>
      <xdr:spPr>
        <a:xfrm>
          <a:off x="6061375" y="809402"/>
          <a:ext cx="2750925" cy="439416"/>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Cost Status</a:t>
          </a:r>
        </a:p>
      </xdr:txBody>
    </xdr:sp>
    <xdr:clientData/>
  </xdr:twoCellAnchor>
  <xdr:twoCellAnchor>
    <xdr:from>
      <xdr:col>9</xdr:col>
      <xdr:colOff>30921</xdr:colOff>
      <xdr:row>6</xdr:row>
      <xdr:rowOff>66626</xdr:rowOff>
    </xdr:from>
    <xdr:to>
      <xdr:col>13</xdr:col>
      <xdr:colOff>352299</xdr:colOff>
      <xdr:row>9</xdr:row>
      <xdr:rowOff>95363</xdr:rowOff>
    </xdr:to>
    <xdr:sp macro="" textlink="">
      <xdr:nvSpPr>
        <xdr:cNvPr id="44" name="Rectangle: Diagonal Corners Rounded 43">
          <a:extLst>
            <a:ext uri="{FF2B5EF4-FFF2-40B4-BE49-F238E27FC236}">
              <a16:creationId xmlns:a16="http://schemas.microsoft.com/office/drawing/2014/main" id="{600F019C-A816-45E3-ADC6-498F0CF4B0F2}"/>
            </a:ext>
          </a:extLst>
        </xdr:cNvPr>
        <xdr:cNvSpPr/>
      </xdr:nvSpPr>
      <xdr:spPr>
        <a:xfrm>
          <a:off x="6064717" y="1232953"/>
          <a:ext cx="2747337" cy="588573"/>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Under Budget</a:t>
          </a:r>
        </a:p>
      </xdr:txBody>
    </xdr:sp>
    <xdr:clientData/>
  </xdr:twoCellAnchor>
  <xdr:twoCellAnchor>
    <xdr:from>
      <xdr:col>13</xdr:col>
      <xdr:colOff>563684</xdr:colOff>
      <xdr:row>4</xdr:row>
      <xdr:rowOff>49320</xdr:rowOff>
    </xdr:from>
    <xdr:to>
      <xdr:col>18</xdr:col>
      <xdr:colOff>322384</xdr:colOff>
      <xdr:row>6</xdr:row>
      <xdr:rowOff>68858</xdr:rowOff>
    </xdr:to>
    <xdr:sp macro="" textlink="">
      <xdr:nvSpPr>
        <xdr:cNvPr id="47" name="Rectangle: Top Corners Rounded 46">
          <a:extLst>
            <a:ext uri="{FF2B5EF4-FFF2-40B4-BE49-F238E27FC236}">
              <a16:creationId xmlns:a16="http://schemas.microsoft.com/office/drawing/2014/main" id="{67BC6BF4-CD31-437B-AC08-8078E45AC885}"/>
            </a:ext>
          </a:extLst>
        </xdr:cNvPr>
        <xdr:cNvSpPr/>
      </xdr:nvSpPr>
      <xdr:spPr>
        <a:xfrm>
          <a:off x="9051192" y="799597"/>
          <a:ext cx="2806700" cy="441569"/>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Poured Concrete</a:t>
          </a:r>
        </a:p>
      </xdr:txBody>
    </xdr:sp>
    <xdr:clientData/>
  </xdr:twoCellAnchor>
  <xdr:twoCellAnchor>
    <xdr:from>
      <xdr:col>13</xdr:col>
      <xdr:colOff>567026</xdr:colOff>
      <xdr:row>6</xdr:row>
      <xdr:rowOff>52993</xdr:rowOff>
    </xdr:from>
    <xdr:to>
      <xdr:col>18</xdr:col>
      <xdr:colOff>322138</xdr:colOff>
      <xdr:row>9</xdr:row>
      <xdr:rowOff>81730</xdr:rowOff>
    </xdr:to>
    <xdr:sp macro="" textlink="">
      <xdr:nvSpPr>
        <xdr:cNvPr id="48" name="Rectangle: Diagonal Corners Rounded 47">
          <a:extLst>
            <a:ext uri="{FF2B5EF4-FFF2-40B4-BE49-F238E27FC236}">
              <a16:creationId xmlns:a16="http://schemas.microsoft.com/office/drawing/2014/main" id="{2379E299-1BB0-4F56-BF41-4D2A72F69F9C}"/>
            </a:ext>
          </a:extLst>
        </xdr:cNvPr>
        <xdr:cNvSpPr/>
      </xdr:nvSpPr>
      <xdr:spPr>
        <a:xfrm>
          <a:off x="9026781" y="1219320"/>
          <a:ext cx="2787561" cy="588573"/>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3300 m3</a:t>
          </a:r>
        </a:p>
      </xdr:txBody>
    </xdr:sp>
    <xdr:clientData/>
  </xdr:twoCellAnchor>
  <xdr:twoCellAnchor>
    <xdr:from>
      <xdr:col>18</xdr:col>
      <xdr:colOff>551114</xdr:colOff>
      <xdr:row>4</xdr:row>
      <xdr:rowOff>47402</xdr:rowOff>
    </xdr:from>
    <xdr:to>
      <xdr:col>23</xdr:col>
      <xdr:colOff>281314</xdr:colOff>
      <xdr:row>6</xdr:row>
      <xdr:rowOff>66940</xdr:rowOff>
    </xdr:to>
    <xdr:sp macro="" textlink="">
      <xdr:nvSpPr>
        <xdr:cNvPr id="49" name="Rectangle: Top Corners Rounded 48">
          <a:extLst>
            <a:ext uri="{FF2B5EF4-FFF2-40B4-BE49-F238E27FC236}">
              <a16:creationId xmlns:a16="http://schemas.microsoft.com/office/drawing/2014/main" id="{44D21228-5508-4735-BE3D-2C80D0CF8BB8}"/>
            </a:ext>
          </a:extLst>
        </xdr:cNvPr>
        <xdr:cNvSpPr/>
      </xdr:nvSpPr>
      <xdr:spPr>
        <a:xfrm>
          <a:off x="12086622" y="797679"/>
          <a:ext cx="2778200" cy="441569"/>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Steel Purchase</a:t>
          </a:r>
        </a:p>
      </xdr:txBody>
    </xdr:sp>
    <xdr:clientData/>
  </xdr:twoCellAnchor>
  <xdr:twoCellAnchor>
    <xdr:from>
      <xdr:col>18</xdr:col>
      <xdr:colOff>554456</xdr:colOff>
      <xdr:row>6</xdr:row>
      <xdr:rowOff>51075</xdr:rowOff>
    </xdr:from>
    <xdr:to>
      <xdr:col>23</xdr:col>
      <xdr:colOff>281068</xdr:colOff>
      <xdr:row>9</xdr:row>
      <xdr:rowOff>79812</xdr:rowOff>
    </xdr:to>
    <xdr:sp macro="" textlink="">
      <xdr:nvSpPr>
        <xdr:cNvPr id="50" name="Rectangle: Diagonal Corners Rounded 49">
          <a:extLst>
            <a:ext uri="{FF2B5EF4-FFF2-40B4-BE49-F238E27FC236}">
              <a16:creationId xmlns:a16="http://schemas.microsoft.com/office/drawing/2014/main" id="{061A88F6-251E-448E-9DC9-5ADC4593E5A1}"/>
            </a:ext>
          </a:extLst>
        </xdr:cNvPr>
        <xdr:cNvSpPr/>
      </xdr:nvSpPr>
      <xdr:spPr>
        <a:xfrm>
          <a:off x="12046660" y="1217402"/>
          <a:ext cx="2759061" cy="588573"/>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220 MT</a:t>
          </a:r>
        </a:p>
      </xdr:txBody>
    </xdr:sp>
    <xdr:clientData/>
  </xdr:twoCellAnchor>
  <xdr:twoCellAnchor>
    <xdr:from>
      <xdr:col>23</xdr:col>
      <xdr:colOff>531671</xdr:colOff>
      <xdr:row>4</xdr:row>
      <xdr:rowOff>51377</xdr:rowOff>
    </xdr:from>
    <xdr:to>
      <xdr:col>28</xdr:col>
      <xdr:colOff>247037</xdr:colOff>
      <xdr:row>6</xdr:row>
      <xdr:rowOff>70915</xdr:rowOff>
    </xdr:to>
    <xdr:sp macro="" textlink="">
      <xdr:nvSpPr>
        <xdr:cNvPr id="51" name="Rectangle: Top Corners Rounded 50">
          <a:extLst>
            <a:ext uri="{FF2B5EF4-FFF2-40B4-BE49-F238E27FC236}">
              <a16:creationId xmlns:a16="http://schemas.microsoft.com/office/drawing/2014/main" id="{9058F4F4-2A74-4D5D-8180-E95BE948D859}"/>
            </a:ext>
          </a:extLst>
        </xdr:cNvPr>
        <xdr:cNvSpPr/>
      </xdr:nvSpPr>
      <xdr:spPr>
        <a:xfrm>
          <a:off x="15115179" y="801654"/>
          <a:ext cx="2763366" cy="441569"/>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Safe</a:t>
          </a:r>
          <a:r>
            <a:rPr lang="en-IN" sz="1800" b="1" baseline="0">
              <a:solidFill>
                <a:schemeClr val="tx1"/>
              </a:solidFill>
            </a:rPr>
            <a:t> Hours</a:t>
          </a:r>
          <a:endParaRPr lang="en-IN" sz="1800" b="1">
            <a:solidFill>
              <a:schemeClr val="tx1"/>
            </a:solidFill>
          </a:endParaRPr>
        </a:p>
      </xdr:txBody>
    </xdr:sp>
    <xdr:clientData/>
  </xdr:twoCellAnchor>
  <xdr:twoCellAnchor>
    <xdr:from>
      <xdr:col>23</xdr:col>
      <xdr:colOff>535013</xdr:colOff>
      <xdr:row>6</xdr:row>
      <xdr:rowOff>55050</xdr:rowOff>
    </xdr:from>
    <xdr:to>
      <xdr:col>28</xdr:col>
      <xdr:colOff>246791</xdr:colOff>
      <xdr:row>9</xdr:row>
      <xdr:rowOff>83787</xdr:rowOff>
    </xdr:to>
    <xdr:sp macro="" textlink="">
      <xdr:nvSpPr>
        <xdr:cNvPr id="52" name="Rectangle: Diagonal Corners Rounded 51">
          <a:extLst>
            <a:ext uri="{FF2B5EF4-FFF2-40B4-BE49-F238E27FC236}">
              <a16:creationId xmlns:a16="http://schemas.microsoft.com/office/drawing/2014/main" id="{9EED0C55-3B18-409E-8B4C-EE041165E9A2}"/>
            </a:ext>
          </a:extLst>
        </xdr:cNvPr>
        <xdr:cNvSpPr/>
      </xdr:nvSpPr>
      <xdr:spPr>
        <a:xfrm>
          <a:off x="15059666" y="1221377"/>
          <a:ext cx="2744227" cy="588573"/>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700 Hours</a:t>
          </a:r>
        </a:p>
      </xdr:txBody>
    </xdr:sp>
    <xdr:clientData/>
  </xdr:twoCellAnchor>
  <xdr:twoCellAnchor>
    <xdr:from>
      <xdr:col>28</xdr:col>
      <xdr:colOff>601738</xdr:colOff>
      <xdr:row>4</xdr:row>
      <xdr:rowOff>39654</xdr:rowOff>
    </xdr:from>
    <xdr:to>
      <xdr:col>30</xdr:col>
      <xdr:colOff>1717057</xdr:colOff>
      <xdr:row>6</xdr:row>
      <xdr:rowOff>59192</xdr:rowOff>
    </xdr:to>
    <xdr:sp macro="" textlink="">
      <xdr:nvSpPr>
        <xdr:cNvPr id="53" name="Rectangle: Top Corners Rounded 52">
          <a:extLst>
            <a:ext uri="{FF2B5EF4-FFF2-40B4-BE49-F238E27FC236}">
              <a16:creationId xmlns:a16="http://schemas.microsoft.com/office/drawing/2014/main" id="{D590E6DC-EADE-4AC1-8953-2B4C1525206E}"/>
            </a:ext>
          </a:extLst>
        </xdr:cNvPr>
        <xdr:cNvSpPr/>
      </xdr:nvSpPr>
      <xdr:spPr>
        <a:xfrm>
          <a:off x="18056854" y="766212"/>
          <a:ext cx="2727924" cy="427120"/>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Quality Test Failed</a:t>
          </a:r>
        </a:p>
      </xdr:txBody>
    </xdr:sp>
    <xdr:clientData/>
  </xdr:twoCellAnchor>
  <xdr:twoCellAnchor>
    <xdr:from>
      <xdr:col>29</xdr:col>
      <xdr:colOff>2568</xdr:colOff>
      <xdr:row>6</xdr:row>
      <xdr:rowOff>43327</xdr:rowOff>
    </xdr:from>
    <xdr:to>
      <xdr:col>30</xdr:col>
      <xdr:colOff>1716811</xdr:colOff>
      <xdr:row>9</xdr:row>
      <xdr:rowOff>72064</xdr:rowOff>
    </xdr:to>
    <xdr:sp macro="" textlink="">
      <xdr:nvSpPr>
        <xdr:cNvPr id="54" name="Rectangle: Diagonal Corners Rounded 53">
          <a:extLst>
            <a:ext uri="{FF2B5EF4-FFF2-40B4-BE49-F238E27FC236}">
              <a16:creationId xmlns:a16="http://schemas.microsoft.com/office/drawing/2014/main" id="{B4A5A968-6F5B-492E-8492-D1DEBE91F17C}"/>
            </a:ext>
          </a:extLst>
        </xdr:cNvPr>
        <xdr:cNvSpPr/>
      </xdr:nvSpPr>
      <xdr:spPr>
        <a:xfrm>
          <a:off x="18166160" y="1209654"/>
          <a:ext cx="2725059" cy="588573"/>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0</a:t>
          </a:r>
        </a:p>
      </xdr:txBody>
    </xdr:sp>
    <xdr:clientData/>
  </xdr:twoCellAnchor>
  <xdr:twoCellAnchor>
    <xdr:from>
      <xdr:col>0</xdr:col>
      <xdr:colOff>35112</xdr:colOff>
      <xdr:row>10</xdr:row>
      <xdr:rowOff>162128</xdr:rowOff>
    </xdr:from>
    <xdr:to>
      <xdr:col>15</xdr:col>
      <xdr:colOff>263769</xdr:colOff>
      <xdr:row>13</xdr:row>
      <xdr:rowOff>175846</xdr:rowOff>
    </xdr:to>
    <xdr:sp macro="" textlink="">
      <xdr:nvSpPr>
        <xdr:cNvPr id="57" name="Rectangle: Top Corners Rounded 56">
          <a:extLst>
            <a:ext uri="{FF2B5EF4-FFF2-40B4-BE49-F238E27FC236}">
              <a16:creationId xmlns:a16="http://schemas.microsoft.com/office/drawing/2014/main" id="{5F4BFB34-53EB-4E3C-B544-CF1773F19217}"/>
            </a:ext>
          </a:extLst>
        </xdr:cNvPr>
        <xdr:cNvSpPr/>
      </xdr:nvSpPr>
      <xdr:spPr>
        <a:xfrm>
          <a:off x="35112" y="2010383"/>
          <a:ext cx="10021168" cy="597378"/>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Projet Milestone Update</a:t>
          </a:r>
        </a:p>
      </xdr:txBody>
    </xdr:sp>
    <xdr:clientData/>
  </xdr:twoCellAnchor>
  <xdr:twoCellAnchor>
    <xdr:from>
      <xdr:col>0</xdr:col>
      <xdr:colOff>33618</xdr:colOff>
      <xdr:row>13</xdr:row>
      <xdr:rowOff>177419</xdr:rowOff>
    </xdr:from>
    <xdr:to>
      <xdr:col>15</xdr:col>
      <xdr:colOff>234462</xdr:colOff>
      <xdr:row>16</xdr:row>
      <xdr:rowOff>183743</xdr:rowOff>
    </xdr:to>
    <xdr:sp macro="" textlink="">
      <xdr:nvSpPr>
        <xdr:cNvPr id="58" name="Rectangle: Diagonal Corners Rounded 57">
          <a:extLst>
            <a:ext uri="{FF2B5EF4-FFF2-40B4-BE49-F238E27FC236}">
              <a16:creationId xmlns:a16="http://schemas.microsoft.com/office/drawing/2014/main" id="{DC614380-3ACB-4CDA-8C16-BCB698326A58}"/>
            </a:ext>
          </a:extLst>
        </xdr:cNvPr>
        <xdr:cNvSpPr/>
      </xdr:nvSpPr>
      <xdr:spPr>
        <a:xfrm>
          <a:off x="33618" y="2605186"/>
          <a:ext cx="9823309" cy="573394"/>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1"/>
              </a:solidFill>
            </a:rPr>
            <a:t>    </a:t>
          </a:r>
          <a:r>
            <a:rPr lang="en-IN" sz="3200" b="1">
              <a:solidFill>
                <a:schemeClr val="accent1"/>
              </a:solidFill>
            </a:rPr>
            <a:t>72%</a:t>
          </a:r>
          <a:r>
            <a:rPr lang="en-IN" sz="3200" b="1">
              <a:solidFill>
                <a:schemeClr val="tx1"/>
              </a:solidFill>
            </a:rPr>
            <a:t> </a:t>
          </a:r>
          <a:r>
            <a:rPr lang="en-IN" sz="1400" b="1">
              <a:solidFill>
                <a:schemeClr val="tx1"/>
              </a:solidFill>
            </a:rPr>
            <a:t>Completed</a:t>
          </a:r>
          <a:endParaRPr lang="en-IN" sz="2400" b="1">
            <a:solidFill>
              <a:schemeClr val="tx1"/>
            </a:solidFill>
          </a:endParaRPr>
        </a:p>
      </xdr:txBody>
    </xdr:sp>
    <xdr:clientData/>
  </xdr:twoCellAnchor>
  <xdr:twoCellAnchor editAs="oneCell">
    <xdr:from>
      <xdr:col>0</xdr:col>
      <xdr:colOff>8467</xdr:colOff>
      <xdr:row>17</xdr:row>
      <xdr:rowOff>54709</xdr:rowOff>
    </xdr:from>
    <xdr:to>
      <xdr:col>6</xdr:col>
      <xdr:colOff>583579</xdr:colOff>
      <xdr:row>30</xdr:row>
      <xdr:rowOff>24425</xdr:rowOff>
    </xdr:to>
    <xdr:pic>
      <xdr:nvPicPr>
        <xdr:cNvPr id="64" name="Picture 63">
          <a:extLst>
            <a:ext uri="{FF2B5EF4-FFF2-40B4-BE49-F238E27FC236}">
              <a16:creationId xmlns:a16="http://schemas.microsoft.com/office/drawing/2014/main" id="{6C4E582F-342A-831A-1316-4C209F4B8E7D}"/>
            </a:ext>
          </a:extLst>
        </xdr:cNvPr>
        <xdr:cNvPicPr>
          <a:picLocks noChangeAspect="1"/>
        </xdr:cNvPicPr>
      </xdr:nvPicPr>
      <xdr:blipFill>
        <a:blip xmlns:r="http://schemas.openxmlformats.org/officeDocument/2006/relationships" r:embed="rId3"/>
        <a:stretch>
          <a:fillRect/>
        </a:stretch>
      </xdr:blipFill>
      <xdr:spPr>
        <a:xfrm>
          <a:off x="8467" y="3395786"/>
          <a:ext cx="4824727" cy="2885831"/>
        </a:xfrm>
        <a:prstGeom prst="rect">
          <a:avLst/>
        </a:prstGeom>
      </xdr:spPr>
    </xdr:pic>
    <xdr:clientData/>
  </xdr:twoCellAnchor>
  <xdr:twoCellAnchor>
    <xdr:from>
      <xdr:col>24</xdr:col>
      <xdr:colOff>265815</xdr:colOff>
      <xdr:row>11</xdr:row>
      <xdr:rowOff>66909</xdr:rowOff>
    </xdr:from>
    <xdr:to>
      <xdr:col>30</xdr:col>
      <xdr:colOff>1919468</xdr:colOff>
      <xdr:row>14</xdr:row>
      <xdr:rowOff>102576</xdr:rowOff>
    </xdr:to>
    <xdr:sp macro="" textlink="">
      <xdr:nvSpPr>
        <xdr:cNvPr id="70" name="Rectangle: Top Corners Rounded 69">
          <a:extLst>
            <a:ext uri="{FF2B5EF4-FFF2-40B4-BE49-F238E27FC236}">
              <a16:creationId xmlns:a16="http://schemas.microsoft.com/office/drawing/2014/main" id="{80879275-5F38-4443-9BCA-999C98EFBF10}"/>
            </a:ext>
          </a:extLst>
        </xdr:cNvPr>
        <xdr:cNvSpPr/>
      </xdr:nvSpPr>
      <xdr:spPr>
        <a:xfrm>
          <a:off x="15419005" y="2140706"/>
          <a:ext cx="5695147" cy="643338"/>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Project CPI Ratio</a:t>
          </a:r>
        </a:p>
      </xdr:txBody>
    </xdr:sp>
    <xdr:clientData/>
  </xdr:twoCellAnchor>
  <xdr:twoCellAnchor>
    <xdr:from>
      <xdr:col>16</xdr:col>
      <xdr:colOff>26320</xdr:colOff>
      <xdr:row>11</xdr:row>
      <xdr:rowOff>32426</xdr:rowOff>
    </xdr:from>
    <xdr:to>
      <xdr:col>23</xdr:col>
      <xdr:colOff>548055</xdr:colOff>
      <xdr:row>13</xdr:row>
      <xdr:rowOff>159719</xdr:rowOff>
    </xdr:to>
    <xdr:sp macro="" textlink="">
      <xdr:nvSpPr>
        <xdr:cNvPr id="74" name="Rectangle: Top Corners Rounded 73">
          <a:extLst>
            <a:ext uri="{FF2B5EF4-FFF2-40B4-BE49-F238E27FC236}">
              <a16:creationId xmlns:a16="http://schemas.microsoft.com/office/drawing/2014/main" id="{869D0DE8-4B87-4F40-A6BE-89874B476285}"/>
            </a:ext>
          </a:extLst>
        </xdr:cNvPr>
        <xdr:cNvSpPr/>
      </xdr:nvSpPr>
      <xdr:spPr>
        <a:xfrm>
          <a:off x="10434916" y="2059022"/>
          <a:ext cx="4834330" cy="532612"/>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Monthly</a:t>
          </a:r>
          <a:r>
            <a:rPr lang="en-IN" sz="1800" b="1" baseline="0">
              <a:solidFill>
                <a:schemeClr val="tx1"/>
              </a:solidFill>
            </a:rPr>
            <a:t> Quality Update</a:t>
          </a:r>
          <a:endParaRPr lang="en-IN" sz="1800" b="1">
            <a:solidFill>
              <a:schemeClr val="tx1"/>
            </a:solidFill>
          </a:endParaRPr>
        </a:p>
      </xdr:txBody>
    </xdr:sp>
    <xdr:clientData/>
  </xdr:twoCellAnchor>
  <xdr:twoCellAnchor>
    <xdr:from>
      <xdr:col>16</xdr:col>
      <xdr:colOff>24825</xdr:colOff>
      <xdr:row>13</xdr:row>
      <xdr:rowOff>150791</xdr:rowOff>
    </xdr:from>
    <xdr:to>
      <xdr:col>23</xdr:col>
      <xdr:colOff>515297</xdr:colOff>
      <xdr:row>16</xdr:row>
      <xdr:rowOff>157116</xdr:rowOff>
    </xdr:to>
    <xdr:sp macro="" textlink="">
      <xdr:nvSpPr>
        <xdr:cNvPr id="75" name="Rectangle: Diagonal Corners Rounded 74">
          <a:extLst>
            <a:ext uri="{FF2B5EF4-FFF2-40B4-BE49-F238E27FC236}">
              <a16:creationId xmlns:a16="http://schemas.microsoft.com/office/drawing/2014/main" id="{268017C4-DBA2-49D7-A9F4-04D129EA6367}"/>
            </a:ext>
          </a:extLst>
        </xdr:cNvPr>
        <xdr:cNvSpPr/>
      </xdr:nvSpPr>
      <xdr:spPr>
        <a:xfrm>
          <a:off x="10429056" y="2744522"/>
          <a:ext cx="4798703" cy="563171"/>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1"/>
              </a:solidFill>
            </a:rPr>
            <a:t>          </a:t>
          </a:r>
          <a:r>
            <a:rPr lang="en-IN" sz="3200" b="1">
              <a:solidFill>
                <a:schemeClr val="accent1"/>
              </a:solidFill>
            </a:rPr>
            <a:t>93.33%</a:t>
          </a:r>
          <a:r>
            <a:rPr lang="en-IN" sz="2400" b="1" baseline="0">
              <a:solidFill>
                <a:schemeClr val="tx1"/>
              </a:solidFill>
            </a:rPr>
            <a:t> </a:t>
          </a:r>
          <a:r>
            <a:rPr lang="en-IN" sz="1600" b="1" baseline="0">
              <a:solidFill>
                <a:schemeClr val="tx1"/>
              </a:solidFill>
            </a:rPr>
            <a:t>Quality Rate</a:t>
          </a:r>
          <a:endParaRPr lang="en-IN" sz="1600" b="1">
            <a:solidFill>
              <a:schemeClr val="tx1"/>
            </a:solidFill>
          </a:endParaRPr>
        </a:p>
      </xdr:txBody>
    </xdr:sp>
    <xdr:clientData/>
  </xdr:twoCellAnchor>
  <xdr:twoCellAnchor>
    <xdr:from>
      <xdr:col>7</xdr:col>
      <xdr:colOff>102577</xdr:colOff>
      <xdr:row>17</xdr:row>
      <xdr:rowOff>117231</xdr:rowOff>
    </xdr:from>
    <xdr:to>
      <xdr:col>15</xdr:col>
      <xdr:colOff>253152</xdr:colOff>
      <xdr:row>30</xdr:row>
      <xdr:rowOff>146540</xdr:rowOff>
    </xdr:to>
    <xdr:graphicFrame macro="">
      <xdr:nvGraphicFramePr>
        <xdr:cNvPr id="76" name="Chart 75">
          <a:extLst>
            <a:ext uri="{FF2B5EF4-FFF2-40B4-BE49-F238E27FC236}">
              <a16:creationId xmlns:a16="http://schemas.microsoft.com/office/drawing/2014/main" id="{056503AD-1A4F-41AF-B9C1-E107058F3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35</xdr:row>
      <xdr:rowOff>76200</xdr:rowOff>
    </xdr:from>
    <xdr:to>
      <xdr:col>15</xdr:col>
      <xdr:colOff>230372</xdr:colOff>
      <xdr:row>57</xdr:row>
      <xdr:rowOff>33618</xdr:rowOff>
    </xdr:to>
    <xdr:graphicFrame macro="">
      <xdr:nvGraphicFramePr>
        <xdr:cNvPr id="3" name="Chart 2">
          <a:extLst>
            <a:ext uri="{FF2B5EF4-FFF2-40B4-BE49-F238E27FC236}">
              <a16:creationId xmlns:a16="http://schemas.microsoft.com/office/drawing/2014/main" id="{88851D72-3E55-40B5-800C-35DD2B75A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31</xdr:row>
      <xdr:rowOff>82970</xdr:rowOff>
    </xdr:from>
    <xdr:to>
      <xdr:col>15</xdr:col>
      <xdr:colOff>228657</xdr:colOff>
      <xdr:row>34</xdr:row>
      <xdr:rowOff>141511</xdr:rowOff>
    </xdr:to>
    <xdr:sp macro="" textlink="">
      <xdr:nvSpPr>
        <xdr:cNvPr id="8" name="Rectangle: Top Corners Rounded 7">
          <a:extLst>
            <a:ext uri="{FF2B5EF4-FFF2-40B4-BE49-F238E27FC236}">
              <a16:creationId xmlns:a16="http://schemas.microsoft.com/office/drawing/2014/main" id="{00E5F0A2-B19C-4EBB-86B0-E8918C331A4D}"/>
            </a:ext>
          </a:extLst>
        </xdr:cNvPr>
        <xdr:cNvSpPr/>
      </xdr:nvSpPr>
      <xdr:spPr>
        <a:xfrm>
          <a:off x="0" y="6313441"/>
          <a:ext cx="9888128" cy="596423"/>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Monthwise</a:t>
          </a:r>
          <a:r>
            <a:rPr lang="en-IN" sz="1800" b="1" baseline="0">
              <a:solidFill>
                <a:schemeClr val="tx1"/>
              </a:solidFill>
            </a:rPr>
            <a:t> Cashflow Update</a:t>
          </a:r>
          <a:endParaRPr lang="en-IN" sz="1800" b="1">
            <a:solidFill>
              <a:schemeClr val="tx1"/>
            </a:solidFill>
          </a:endParaRPr>
        </a:p>
      </xdr:txBody>
    </xdr:sp>
    <xdr:clientData/>
  </xdr:twoCellAnchor>
  <xdr:twoCellAnchor editAs="oneCell">
    <xdr:from>
      <xdr:col>30</xdr:col>
      <xdr:colOff>1959429</xdr:colOff>
      <xdr:row>9</xdr:row>
      <xdr:rowOff>171146</xdr:rowOff>
    </xdr:from>
    <xdr:to>
      <xdr:col>31</xdr:col>
      <xdr:colOff>346694</xdr:colOff>
      <xdr:row>38</xdr:row>
      <xdr:rowOff>133134</xdr:rowOff>
    </xdr:to>
    <xdr:pic>
      <xdr:nvPicPr>
        <xdr:cNvPr id="24" name="Picture 23">
          <a:extLst>
            <a:ext uri="{FF2B5EF4-FFF2-40B4-BE49-F238E27FC236}">
              <a16:creationId xmlns:a16="http://schemas.microsoft.com/office/drawing/2014/main" id="{D5B38AE3-FF2A-A3B5-E59E-B10FB6DF6D43}"/>
            </a:ext>
          </a:extLst>
        </xdr:cNvPr>
        <xdr:cNvPicPr>
          <a:picLocks noChangeAspect="1"/>
        </xdr:cNvPicPr>
      </xdr:nvPicPr>
      <xdr:blipFill>
        <a:blip xmlns:r="http://schemas.openxmlformats.org/officeDocument/2006/relationships" r:embed="rId6"/>
        <a:stretch>
          <a:fillRect/>
        </a:stretch>
      </xdr:blipFill>
      <xdr:spPr>
        <a:xfrm>
          <a:off x="21390429" y="1876575"/>
          <a:ext cx="3158836" cy="5930988"/>
        </a:xfrm>
        <a:prstGeom prst="rect">
          <a:avLst/>
        </a:prstGeom>
      </xdr:spPr>
    </xdr:pic>
    <xdr:clientData/>
  </xdr:twoCellAnchor>
  <xdr:twoCellAnchor editAs="oneCell">
    <xdr:from>
      <xdr:col>15</xdr:col>
      <xdr:colOff>306284</xdr:colOff>
      <xdr:row>35</xdr:row>
      <xdr:rowOff>42903</xdr:rowOff>
    </xdr:from>
    <xdr:to>
      <xdr:col>30</xdr:col>
      <xdr:colOff>1923143</xdr:colOff>
      <xdr:row>57</xdr:row>
      <xdr:rowOff>107157</xdr:rowOff>
    </xdr:to>
    <xdr:pic>
      <xdr:nvPicPr>
        <xdr:cNvPr id="26" name="Picture 25">
          <a:extLst>
            <a:ext uri="{FF2B5EF4-FFF2-40B4-BE49-F238E27FC236}">
              <a16:creationId xmlns:a16="http://schemas.microsoft.com/office/drawing/2014/main" id="{F140F46D-0B5C-845C-03ED-E4270D757C91}"/>
            </a:ext>
          </a:extLst>
        </xdr:cNvPr>
        <xdr:cNvPicPr>
          <a:picLocks noChangeAspect="1"/>
        </xdr:cNvPicPr>
      </xdr:nvPicPr>
      <xdr:blipFill>
        <a:blip xmlns:r="http://schemas.openxmlformats.org/officeDocument/2006/relationships" r:embed="rId7"/>
        <a:stretch>
          <a:fillRect/>
        </a:stretch>
      </xdr:blipFill>
      <xdr:spPr>
        <a:xfrm>
          <a:off x="9986065" y="7008059"/>
          <a:ext cx="11118047" cy="3969504"/>
        </a:xfrm>
        <a:prstGeom prst="rect">
          <a:avLst/>
        </a:prstGeom>
      </xdr:spPr>
    </xdr:pic>
    <xdr:clientData/>
  </xdr:twoCellAnchor>
  <xdr:twoCellAnchor>
    <xdr:from>
      <xdr:col>15</xdr:col>
      <xdr:colOff>450978</xdr:colOff>
      <xdr:row>29</xdr:row>
      <xdr:rowOff>130097</xdr:rowOff>
    </xdr:from>
    <xdr:to>
      <xdr:col>30</xdr:col>
      <xdr:colOff>1928326</xdr:colOff>
      <xdr:row>34</xdr:row>
      <xdr:rowOff>89370</xdr:rowOff>
    </xdr:to>
    <xdr:sp macro="" textlink="">
      <xdr:nvSpPr>
        <xdr:cNvPr id="27" name="Rectangle: Top Corners Rounded 26">
          <a:extLst>
            <a:ext uri="{FF2B5EF4-FFF2-40B4-BE49-F238E27FC236}">
              <a16:creationId xmlns:a16="http://schemas.microsoft.com/office/drawing/2014/main" id="{ECF4CCEE-15DA-4C6C-A4B7-8AC5A58D5A97}"/>
            </a:ext>
          </a:extLst>
        </xdr:cNvPr>
        <xdr:cNvSpPr/>
      </xdr:nvSpPr>
      <xdr:spPr>
        <a:xfrm>
          <a:off x="10208295" y="6058829"/>
          <a:ext cx="11067397" cy="888541"/>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Monthly Planned</a:t>
          </a:r>
          <a:r>
            <a:rPr lang="en-IN" sz="2800" b="1" baseline="0">
              <a:solidFill>
                <a:schemeClr val="tx1"/>
              </a:solidFill>
            </a:rPr>
            <a:t> Vs. Actual</a:t>
          </a:r>
          <a:endParaRPr lang="en-IN" sz="2800" b="1">
            <a:solidFill>
              <a:schemeClr val="tx1"/>
            </a:solidFill>
          </a:endParaRPr>
        </a:p>
      </xdr:txBody>
    </xdr:sp>
    <xdr:clientData/>
  </xdr:twoCellAnchor>
  <xdr:twoCellAnchor>
    <xdr:from>
      <xdr:col>30</xdr:col>
      <xdr:colOff>2054855</xdr:colOff>
      <xdr:row>4</xdr:row>
      <xdr:rowOff>64320</xdr:rowOff>
    </xdr:from>
    <xdr:to>
      <xdr:col>31</xdr:col>
      <xdr:colOff>13316</xdr:colOff>
      <xdr:row>6</xdr:row>
      <xdr:rowOff>83858</xdr:rowOff>
    </xdr:to>
    <xdr:sp macro="" textlink="">
      <xdr:nvSpPr>
        <xdr:cNvPr id="28" name="Rectangle: Top Corners Rounded 27">
          <a:extLst>
            <a:ext uri="{FF2B5EF4-FFF2-40B4-BE49-F238E27FC236}">
              <a16:creationId xmlns:a16="http://schemas.microsoft.com/office/drawing/2014/main" id="{55BA34BF-07B5-4C28-AFF5-BA00EB68355E}"/>
            </a:ext>
          </a:extLst>
        </xdr:cNvPr>
        <xdr:cNvSpPr/>
      </xdr:nvSpPr>
      <xdr:spPr>
        <a:xfrm>
          <a:off x="21403029" y="809755"/>
          <a:ext cx="2729244" cy="433668"/>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Support</a:t>
          </a:r>
          <a:r>
            <a:rPr lang="en-IN" sz="1800" b="1" baseline="0">
              <a:solidFill>
                <a:schemeClr val="tx1"/>
              </a:solidFill>
            </a:rPr>
            <a:t> Required</a:t>
          </a:r>
          <a:endParaRPr lang="en-IN" sz="1800" b="1">
            <a:solidFill>
              <a:schemeClr val="tx1"/>
            </a:solidFill>
          </a:endParaRPr>
        </a:p>
      </xdr:txBody>
    </xdr:sp>
    <xdr:clientData/>
  </xdr:twoCellAnchor>
  <xdr:twoCellAnchor>
    <xdr:from>
      <xdr:col>30</xdr:col>
      <xdr:colOff>2065285</xdr:colOff>
      <xdr:row>6</xdr:row>
      <xdr:rowOff>67993</xdr:rowOff>
    </xdr:from>
    <xdr:to>
      <xdr:col>31</xdr:col>
      <xdr:colOff>13070</xdr:colOff>
      <xdr:row>9</xdr:row>
      <xdr:rowOff>96730</xdr:rowOff>
    </xdr:to>
    <xdr:sp macro="" textlink="">
      <xdr:nvSpPr>
        <xdr:cNvPr id="29" name="Rectangle: Diagonal Corners Rounded 28">
          <a:extLst>
            <a:ext uri="{FF2B5EF4-FFF2-40B4-BE49-F238E27FC236}">
              <a16:creationId xmlns:a16="http://schemas.microsoft.com/office/drawing/2014/main" id="{4B03AAF5-146F-4114-9AFB-D25AF9428E47}"/>
            </a:ext>
          </a:extLst>
        </xdr:cNvPr>
        <xdr:cNvSpPr/>
      </xdr:nvSpPr>
      <xdr:spPr>
        <a:xfrm>
          <a:off x="21413459" y="1227558"/>
          <a:ext cx="2718568" cy="575389"/>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As on dat</a:t>
          </a:r>
          <a:r>
            <a:rPr lang="en-IN" sz="1400" b="1" baseline="0">
              <a:solidFill>
                <a:schemeClr val="tx1"/>
              </a:solidFill>
            </a:rPr>
            <a:t>e no escalation required from client side.</a:t>
          </a:r>
          <a:endParaRPr lang="en-IN" sz="1400" b="1">
            <a:solidFill>
              <a:schemeClr val="tx1"/>
            </a:solidFill>
          </a:endParaRPr>
        </a:p>
      </xdr:txBody>
    </xdr:sp>
    <xdr:clientData/>
  </xdr:twoCellAnchor>
  <xdr:twoCellAnchor editAs="oneCell">
    <xdr:from>
      <xdr:col>24</xdr:col>
      <xdr:colOff>300780</xdr:colOff>
      <xdr:row>14</xdr:row>
      <xdr:rowOff>124045</xdr:rowOff>
    </xdr:from>
    <xdr:to>
      <xdr:col>30</xdr:col>
      <xdr:colOff>1909821</xdr:colOff>
      <xdr:row>28</xdr:row>
      <xdr:rowOff>19291</xdr:rowOff>
    </xdr:to>
    <xdr:pic>
      <xdr:nvPicPr>
        <xdr:cNvPr id="31" name="Picture 30">
          <a:extLst>
            <a:ext uri="{FF2B5EF4-FFF2-40B4-BE49-F238E27FC236}">
              <a16:creationId xmlns:a16="http://schemas.microsoft.com/office/drawing/2014/main" id="{E7D489FB-3067-4C04-8DE4-55104B296D79}"/>
            </a:ext>
          </a:extLst>
        </xdr:cNvPr>
        <xdr:cNvPicPr>
          <a:picLocks noChangeAspect="1"/>
        </xdr:cNvPicPr>
      </xdr:nvPicPr>
      <xdr:blipFill>
        <a:blip xmlns:r="http://schemas.openxmlformats.org/officeDocument/2006/relationships" r:embed="rId8"/>
        <a:stretch>
          <a:fillRect/>
        </a:stretch>
      </xdr:blipFill>
      <xdr:spPr>
        <a:xfrm>
          <a:off x="15453970" y="2805513"/>
          <a:ext cx="5650535" cy="30011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571500</xdr:colOff>
      <xdr:row>10</xdr:row>
      <xdr:rowOff>147637</xdr:rowOff>
    </xdr:from>
    <xdr:to>
      <xdr:col>13</xdr:col>
      <xdr:colOff>266700</xdr:colOff>
      <xdr:row>25</xdr:row>
      <xdr:rowOff>33337</xdr:rowOff>
    </xdr:to>
    <xdr:graphicFrame macro="">
      <xdr:nvGraphicFramePr>
        <xdr:cNvPr id="2" name="Chart 1">
          <a:extLst>
            <a:ext uri="{FF2B5EF4-FFF2-40B4-BE49-F238E27FC236}">
              <a16:creationId xmlns:a16="http://schemas.microsoft.com/office/drawing/2014/main" id="{44C0F9BE-90C4-3262-8C07-16A189473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167707</xdr:colOff>
      <xdr:row>16</xdr:row>
      <xdr:rowOff>132715</xdr:rowOff>
    </xdr:to>
    <xdr:pic>
      <xdr:nvPicPr>
        <xdr:cNvPr id="2" name="Picture 1">
          <a:extLst>
            <a:ext uri="{FF2B5EF4-FFF2-40B4-BE49-F238E27FC236}">
              <a16:creationId xmlns:a16="http://schemas.microsoft.com/office/drawing/2014/main" id="{E646EB5D-B977-FA74-44ED-D60D76F17E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654107" cy="31807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356492</xdr:colOff>
      <xdr:row>0</xdr:row>
      <xdr:rowOff>22279</xdr:rowOff>
    </xdr:from>
    <xdr:to>
      <xdr:col>11</xdr:col>
      <xdr:colOff>1503948</xdr:colOff>
      <xdr:row>0</xdr:row>
      <xdr:rowOff>506157</xdr:rowOff>
    </xdr:to>
    <xdr:pic>
      <xdr:nvPicPr>
        <xdr:cNvPr id="2" name="Picture 1">
          <a:extLst>
            <a:ext uri="{FF2B5EF4-FFF2-40B4-BE49-F238E27FC236}">
              <a16:creationId xmlns:a16="http://schemas.microsoft.com/office/drawing/2014/main" id="{47881211-D216-4FA1-BA47-7B0B493B38B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406" t="20302" r="11056" b="18279"/>
        <a:stretch/>
      </xdr:blipFill>
      <xdr:spPr>
        <a:xfrm>
          <a:off x="17874872" y="22279"/>
          <a:ext cx="1147456" cy="483878"/>
        </a:xfrm>
        <a:prstGeom prst="rect">
          <a:avLst/>
        </a:prstGeom>
      </xdr:spPr>
    </xdr:pic>
    <xdr:clientData/>
  </xdr:twoCellAnchor>
  <xdr:twoCellAnchor editAs="oneCell">
    <xdr:from>
      <xdr:col>0</xdr:col>
      <xdr:colOff>300789</xdr:colOff>
      <xdr:row>0</xdr:row>
      <xdr:rowOff>66842</xdr:rowOff>
    </xdr:from>
    <xdr:to>
      <xdr:col>1</xdr:col>
      <xdr:colOff>1214298</xdr:colOff>
      <xdr:row>0</xdr:row>
      <xdr:rowOff>533653</xdr:rowOff>
    </xdr:to>
    <xdr:pic>
      <xdr:nvPicPr>
        <xdr:cNvPr id="3" name="Picture 2">
          <a:extLst>
            <a:ext uri="{FF2B5EF4-FFF2-40B4-BE49-F238E27FC236}">
              <a16:creationId xmlns:a16="http://schemas.microsoft.com/office/drawing/2014/main" id="{8CC78EC4-0D8B-487E-850A-B277081367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0789" y="66842"/>
          <a:ext cx="1264029" cy="4668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Sharnam%20II\Submission\Phase%2001\Cashflow%20-%20Dashboard.xlsx" TargetMode="External"/><Relationship Id="rId1" Type="http://schemas.openxmlformats.org/officeDocument/2006/relationships/externalLinkPath" Target="/Sharnam%20II/Submission/Phase%2001/Cashflow%20-%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Tracking"/>
      <sheetName val="Cash Flow Chart - INR"/>
      <sheetName val="Cash Flow - Forecast"/>
      <sheetName val="Budget"/>
      <sheetName val="Monitoring"/>
      <sheetName val="STEEL RATE DIFFRENCE"/>
      <sheetName val="CEMENT RATE DIFFRENCE"/>
    </sheetNames>
    <sheetDataSet>
      <sheetData sheetId="0"/>
      <sheetData sheetId="1">
        <row r="2">
          <cell r="B2">
            <v>45931</v>
          </cell>
          <cell r="C2">
            <v>45962</v>
          </cell>
          <cell r="D2">
            <v>45992</v>
          </cell>
          <cell r="E2">
            <v>46023</v>
          </cell>
        </row>
        <row r="26">
          <cell r="A26" t="str">
            <v>CPI</v>
          </cell>
          <cell r="B26">
            <v>1.0331074883938467</v>
          </cell>
          <cell r="C26">
            <v>1.1443730219714245</v>
          </cell>
          <cell r="D26">
            <v>1.1967394447894066</v>
          </cell>
          <cell r="E26">
            <v>1.090883835583212</v>
          </cell>
        </row>
      </sheetData>
      <sheetData sheetId="2">
        <row r="2">
          <cell r="B2">
            <v>45931</v>
          </cell>
          <cell r="C2">
            <v>45962</v>
          </cell>
          <cell r="D2">
            <v>45992</v>
          </cell>
          <cell r="E2">
            <v>46023</v>
          </cell>
          <cell r="F2">
            <v>46054</v>
          </cell>
          <cell r="G2">
            <v>46082</v>
          </cell>
          <cell r="H2">
            <v>46113</v>
          </cell>
          <cell r="I2">
            <v>46143</v>
          </cell>
          <cell r="J2">
            <v>46174</v>
          </cell>
          <cell r="K2">
            <v>46204</v>
          </cell>
          <cell r="L2">
            <v>46235</v>
          </cell>
          <cell r="M2">
            <v>46266</v>
          </cell>
          <cell r="N2">
            <v>46296</v>
          </cell>
          <cell r="O2">
            <v>46327</v>
          </cell>
          <cell r="P2">
            <v>46357</v>
          </cell>
          <cell r="Q2">
            <v>46388</v>
          </cell>
          <cell r="R2">
            <v>46419</v>
          </cell>
        </row>
        <row r="3">
          <cell r="A3" t="str">
            <v xml:space="preserve">Planned Budget (EXCLUDING GST) </v>
          </cell>
          <cell r="B3">
            <v>6485619.2326947041</v>
          </cell>
          <cell r="C3">
            <v>8564401.2326947041</v>
          </cell>
          <cell r="D3">
            <v>5975619.232694705</v>
          </cell>
          <cell r="E3">
            <v>5975619.232694705</v>
          </cell>
          <cell r="F3">
            <v>5975619.232694705</v>
          </cell>
          <cell r="G3">
            <v>5975619.232694705</v>
          </cell>
          <cell r="H3">
            <v>5975619.232694705</v>
          </cell>
          <cell r="I3">
            <v>5975619.232694705</v>
          </cell>
          <cell r="J3">
            <v>5975619.232694705</v>
          </cell>
          <cell r="K3">
            <v>5975619.232694705</v>
          </cell>
          <cell r="L3">
            <v>5975619.232694705</v>
          </cell>
          <cell r="M3">
            <v>5975619.232694705</v>
          </cell>
          <cell r="N3">
            <v>5975619.232694705</v>
          </cell>
          <cell r="O3">
            <v>5975619.232694705</v>
          </cell>
          <cell r="P3">
            <v>5975619.232694705</v>
          </cell>
          <cell r="Q3">
            <v>5975619.232694705</v>
          </cell>
          <cell r="R3">
            <v>5975619.232694705</v>
          </cell>
        </row>
        <row r="4">
          <cell r="A4" t="str">
            <v>Planned Budget (EXCLUDING GST) Cumulative</v>
          </cell>
          <cell r="C4">
            <v>15050020.465389408</v>
          </cell>
          <cell r="D4">
            <v>21025639.698084112</v>
          </cell>
          <cell r="E4">
            <v>27001258.930778816</v>
          </cell>
          <cell r="F4">
            <v>32976878.16347352</v>
          </cell>
          <cell r="G4">
            <v>38952497.396168225</v>
          </cell>
          <cell r="H4">
            <v>44928116.628862932</v>
          </cell>
          <cell r="I4">
            <v>50903735.86155764</v>
          </cell>
          <cell r="J4">
            <v>56879355.094252348</v>
          </cell>
          <cell r="K4">
            <v>62854974.326947056</v>
          </cell>
          <cell r="L4">
            <v>68830593.559641764</v>
          </cell>
          <cell r="M4">
            <v>74806212.792336464</v>
          </cell>
          <cell r="N4">
            <v>80781832.025031164</v>
          </cell>
          <cell r="O4">
            <v>86757451.257725865</v>
          </cell>
          <cell r="P4">
            <v>92733070.490420565</v>
          </cell>
          <cell r="Q4">
            <v>98708689.723115265</v>
          </cell>
          <cell r="R4">
            <v>104684308.95580997</v>
          </cell>
        </row>
        <row r="5">
          <cell r="A5" t="str">
            <v>Actual Work Done (EXCLUDING GST)</v>
          </cell>
          <cell r="B5">
            <v>5650000</v>
          </cell>
          <cell r="C5">
            <v>6735532</v>
          </cell>
          <cell r="D5">
            <v>4993250</v>
          </cell>
          <cell r="E5">
            <v>4930000</v>
          </cell>
          <cell r="F5">
            <v>0</v>
          </cell>
          <cell r="G5">
            <v>0</v>
          </cell>
          <cell r="H5">
            <v>0</v>
          </cell>
          <cell r="I5">
            <v>0</v>
          </cell>
          <cell r="J5">
            <v>0</v>
          </cell>
          <cell r="K5">
            <v>0</v>
          </cell>
          <cell r="L5">
            <v>0</v>
          </cell>
          <cell r="M5">
            <v>0</v>
          </cell>
          <cell r="N5">
            <v>0</v>
          </cell>
          <cell r="O5">
            <v>0</v>
          </cell>
          <cell r="P5">
            <v>0</v>
          </cell>
          <cell r="Q5">
            <v>0</v>
          </cell>
          <cell r="R5">
            <v>0</v>
          </cell>
        </row>
        <row r="6">
          <cell r="A6" t="str">
            <v>Actual Work Done (EXCLUDING GST) Cumulative</v>
          </cell>
          <cell r="C6">
            <v>12385532</v>
          </cell>
          <cell r="D6">
            <v>17378782</v>
          </cell>
          <cell r="E6">
            <v>22308782</v>
          </cell>
        </row>
      </sheetData>
      <sheetData sheetId="3"/>
      <sheetData sheetId="4"/>
      <sheetData sheetId="5"/>
      <sheetData sheetId="6"/>
      <sheetData sheetId="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6B817-986F-4865-878A-D92594A37859}">
  <sheetPr>
    <pageSetUpPr fitToPage="1"/>
  </sheetPr>
  <dimension ref="A1:AE57"/>
  <sheetViews>
    <sheetView tabSelected="1" view="pageBreakPreview" zoomScale="36" zoomScaleNormal="37" workbookViewId="0">
      <selection activeCell="AF58" sqref="A1:AF58"/>
    </sheetView>
  </sheetViews>
  <sheetFormatPr defaultRowHeight="14.4"/>
  <cols>
    <col min="5" max="5" width="12.5546875" customWidth="1"/>
    <col min="6" max="6" width="13.5546875" customWidth="1"/>
    <col min="12" max="12" width="8.88671875" customWidth="1"/>
    <col min="30" max="30" width="14.6640625" customWidth="1"/>
    <col min="31" max="31" width="69.5546875" customWidth="1"/>
  </cols>
  <sheetData>
    <row r="1" spans="1:31" ht="14.4" customHeight="1">
      <c r="A1" s="92" t="s">
        <v>465</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row>
    <row r="2" spans="1:31" ht="14.4" customHeight="1">
      <c r="A2" s="92"/>
      <c r="B2" s="93"/>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row>
    <row r="3" spans="1:31" ht="14.4" customHeight="1">
      <c r="A3" s="92"/>
      <c r="B3" s="93"/>
      <c r="C3" s="93"/>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row>
    <row r="4" spans="1:31" ht="15" customHeight="1">
      <c r="A4" s="92"/>
      <c r="B4" s="93"/>
      <c r="C4" s="93"/>
      <c r="D4" s="93"/>
      <c r="E4" s="93"/>
      <c r="F4" s="93"/>
      <c r="G4" s="93"/>
      <c r="H4" s="93"/>
      <c r="I4" s="93"/>
      <c r="J4" s="93"/>
      <c r="K4" s="93"/>
      <c r="L4" s="93"/>
      <c r="M4" s="93"/>
      <c r="N4" s="93"/>
      <c r="O4" s="93"/>
      <c r="P4" s="93"/>
      <c r="Q4" s="93"/>
      <c r="R4" s="93"/>
      <c r="S4" s="93"/>
      <c r="T4" s="93"/>
      <c r="U4" s="93"/>
      <c r="V4" s="93"/>
      <c r="W4" s="93"/>
      <c r="X4" s="93"/>
      <c r="Y4" s="93"/>
      <c r="Z4" s="93"/>
      <c r="AA4" s="93"/>
      <c r="AB4" s="93"/>
      <c r="AC4" s="93"/>
      <c r="AD4" s="93"/>
      <c r="AE4" s="93"/>
    </row>
    <row r="5" spans="1:31">
      <c r="A5" s="35"/>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row>
    <row r="6" spans="1:31" ht="18" customHeight="1">
      <c r="A6" s="88"/>
      <c r="B6" s="88"/>
      <c r="C6" s="88"/>
      <c r="D6" s="88"/>
      <c r="E6" s="88"/>
      <c r="F6" s="88"/>
      <c r="G6" s="88"/>
      <c r="H6" s="88"/>
      <c r="I6" s="88"/>
      <c r="J6" s="88"/>
      <c r="K6" s="88"/>
      <c r="L6" s="88"/>
      <c r="M6" s="88"/>
      <c r="N6" s="88"/>
      <c r="O6" s="88"/>
      <c r="P6" s="88"/>
      <c r="Q6" s="88"/>
      <c r="R6" s="88"/>
      <c r="S6" s="88"/>
      <c r="T6" s="88"/>
      <c r="U6" s="88"/>
      <c r="V6" s="88"/>
      <c r="W6" s="88"/>
      <c r="X6" s="88"/>
      <c r="Y6" s="88"/>
      <c r="Z6" s="88"/>
      <c r="AA6" s="88"/>
      <c r="AB6" s="88"/>
      <c r="AC6" s="88"/>
      <c r="AD6" s="88"/>
      <c r="AE6" s="88"/>
    </row>
    <row r="7" spans="1:31" ht="14.4" customHeight="1">
      <c r="A7" s="88"/>
      <c r="B7" s="88"/>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row>
    <row r="8" spans="1:31" ht="14.4" customHeight="1">
      <c r="A8" s="88"/>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row>
    <row r="9" spans="1:31" ht="14.4" customHeight="1">
      <c r="A9" s="88"/>
      <c r="B9" s="88"/>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row>
    <row r="10" spans="1:31" ht="14.4" customHeight="1">
      <c r="A10" s="88"/>
      <c r="B10" s="88"/>
      <c r="C10" s="88"/>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88"/>
    </row>
    <row r="11" spans="1:31" ht="14.4" customHeight="1">
      <c r="A11" s="88"/>
      <c r="B11" s="88"/>
      <c r="C11" s="88"/>
      <c r="D11" s="88"/>
      <c r="E11" s="88"/>
      <c r="F11" s="88"/>
      <c r="G11" s="88"/>
      <c r="H11" s="88"/>
      <c r="I11" s="88"/>
      <c r="J11" s="88"/>
      <c r="K11" s="88"/>
      <c r="L11" s="88"/>
      <c r="M11" s="88"/>
      <c r="N11" s="88"/>
      <c r="O11" s="88"/>
      <c r="P11" s="88"/>
      <c r="Q11" s="88"/>
      <c r="R11" s="88"/>
      <c r="S11" s="88"/>
      <c r="T11" s="88"/>
      <c r="U11" s="88"/>
      <c r="V11" s="88"/>
      <c r="W11" s="88"/>
      <c r="X11" s="88"/>
      <c r="Y11" s="88"/>
      <c r="Z11" s="88"/>
      <c r="AA11" s="88"/>
      <c r="AB11" s="88"/>
      <c r="AC11" s="88"/>
      <c r="AD11" s="88"/>
      <c r="AE11" s="88"/>
    </row>
    <row r="12" spans="1:31" ht="18" customHeight="1">
      <c r="A12" s="88"/>
      <c r="B12" s="88"/>
      <c r="C12" s="88"/>
      <c r="D12" s="88"/>
      <c r="E12" s="88"/>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row>
    <row r="13" spans="1:31" ht="14.4" customHeight="1">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row>
    <row r="14" spans="1:31" ht="15" customHeight="1">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row>
    <row r="15" spans="1:31" ht="15" customHeight="1">
      <c r="A15" s="88"/>
      <c r="B15" s="88"/>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row>
    <row r="16" spans="1:31" ht="14.4" customHeight="1">
      <c r="A16" s="88"/>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row>
    <row r="17" spans="1:31" ht="15" customHeight="1">
      <c r="A17" s="88"/>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row>
    <row r="18" spans="1:31" ht="15" customHeight="1">
      <c r="A18" s="88"/>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row>
    <row r="19" spans="1:31" ht="14.4" customHeight="1">
      <c r="A19" s="88"/>
      <c r="B19" s="88"/>
      <c r="C19" s="88"/>
      <c r="D19" s="88"/>
      <c r="E19" s="88"/>
      <c r="F19" s="88"/>
      <c r="G19" s="88"/>
      <c r="H19" s="88"/>
      <c r="I19" s="89"/>
      <c r="J19" s="89"/>
      <c r="K19" s="89"/>
      <c r="L19" s="89"/>
      <c r="M19" s="89"/>
      <c r="N19" s="89"/>
      <c r="O19" s="89"/>
      <c r="P19" s="88"/>
      <c r="Q19" s="88"/>
      <c r="R19" s="88"/>
      <c r="S19" s="88"/>
      <c r="T19" s="88"/>
      <c r="U19" s="88"/>
      <c r="V19" s="88"/>
      <c r="W19" s="88"/>
      <c r="X19" s="88"/>
      <c r="Y19" s="88"/>
      <c r="Z19" s="88"/>
      <c r="AA19" s="88"/>
      <c r="AB19" s="88"/>
      <c r="AC19" s="88"/>
      <c r="AD19" s="88"/>
      <c r="AE19" s="88"/>
    </row>
    <row r="20" spans="1:31" ht="15" customHeight="1">
      <c r="A20" s="88"/>
      <c r="B20" s="88"/>
      <c r="C20" s="88"/>
      <c r="D20" s="88"/>
      <c r="E20" s="88"/>
      <c r="F20" s="88"/>
      <c r="G20" s="88"/>
      <c r="H20" s="88"/>
      <c r="I20" s="36"/>
      <c r="J20" s="36"/>
      <c r="K20" s="36"/>
      <c r="L20" s="36"/>
      <c r="M20" s="36"/>
      <c r="N20" s="36"/>
      <c r="O20" s="36"/>
      <c r="P20" s="88"/>
      <c r="Q20" s="94" t="s">
        <v>458</v>
      </c>
      <c r="R20" s="94"/>
      <c r="S20" s="94"/>
      <c r="T20" s="94"/>
      <c r="U20" s="95">
        <v>0.8666666666666667</v>
      </c>
      <c r="V20" s="95"/>
      <c r="W20" s="95"/>
      <c r="X20" s="95"/>
      <c r="Y20" s="88"/>
      <c r="Z20" s="88"/>
      <c r="AA20" s="88"/>
      <c r="AB20" s="88"/>
      <c r="AC20" s="88"/>
      <c r="AD20" s="88"/>
      <c r="AE20" s="88"/>
    </row>
    <row r="21" spans="1:31" ht="24" customHeight="1">
      <c r="A21" s="88"/>
      <c r="B21" s="88"/>
      <c r="C21" s="88"/>
      <c r="D21" s="88"/>
      <c r="E21" s="88"/>
      <c r="F21" s="88"/>
      <c r="G21" s="88"/>
      <c r="H21" s="88"/>
      <c r="I21" s="36"/>
      <c r="J21" s="36"/>
      <c r="K21" s="36"/>
      <c r="L21" s="36"/>
      <c r="M21" s="36"/>
      <c r="N21" s="36"/>
      <c r="O21" s="36"/>
      <c r="P21" s="88"/>
      <c r="Q21" s="94"/>
      <c r="R21" s="94"/>
      <c r="S21" s="94"/>
      <c r="T21" s="94"/>
      <c r="U21" s="95"/>
      <c r="V21" s="95"/>
      <c r="W21" s="95"/>
      <c r="X21" s="95"/>
      <c r="Y21" s="88"/>
      <c r="Z21" s="88"/>
      <c r="AA21" s="88"/>
      <c r="AB21" s="88"/>
      <c r="AC21" s="88"/>
      <c r="AD21" s="88"/>
      <c r="AE21" s="88"/>
    </row>
    <row r="22" spans="1:31" ht="15" customHeight="1">
      <c r="A22" s="88"/>
      <c r="B22" s="88"/>
      <c r="C22" s="88"/>
      <c r="D22" s="88"/>
      <c r="E22" s="88"/>
      <c r="F22" s="88"/>
      <c r="G22" s="88"/>
      <c r="H22" s="88"/>
      <c r="I22" s="36"/>
      <c r="J22" s="36"/>
      <c r="K22" s="36"/>
      <c r="L22" s="36"/>
      <c r="M22" s="36"/>
      <c r="N22" s="36"/>
      <c r="O22" s="36"/>
      <c r="P22" s="88"/>
      <c r="Q22" s="90"/>
      <c r="R22" s="90"/>
      <c r="S22" s="90"/>
      <c r="T22" s="90"/>
      <c r="U22" s="91"/>
      <c r="V22" s="91"/>
      <c r="W22" s="91"/>
      <c r="X22" s="88"/>
      <c r="Y22" s="88"/>
      <c r="Z22" s="88"/>
      <c r="AA22" s="88"/>
      <c r="AB22" s="88"/>
      <c r="AC22" s="88"/>
      <c r="AD22" s="88"/>
      <c r="AE22" s="88"/>
    </row>
    <row r="23" spans="1:31" ht="18" customHeight="1">
      <c r="A23" s="88"/>
      <c r="B23" s="88"/>
      <c r="C23" s="88"/>
      <c r="D23" s="88"/>
      <c r="E23" s="88"/>
      <c r="F23" s="88"/>
      <c r="G23" s="88"/>
      <c r="H23" s="88"/>
      <c r="I23" s="36"/>
      <c r="J23" s="36"/>
      <c r="K23" s="36"/>
      <c r="L23" s="36"/>
      <c r="M23" s="36"/>
      <c r="N23" s="36"/>
      <c r="O23" s="36"/>
      <c r="P23" s="88"/>
      <c r="Q23" s="94" t="s">
        <v>459</v>
      </c>
      <c r="R23" s="94"/>
      <c r="S23" s="94"/>
      <c r="T23" s="94"/>
      <c r="U23" s="95">
        <v>0.93333333333333335</v>
      </c>
      <c r="V23" s="95"/>
      <c r="W23" s="95"/>
      <c r="X23" s="95"/>
      <c r="Y23" s="88"/>
      <c r="Z23" s="88"/>
      <c r="AA23" s="88"/>
      <c r="AB23" s="88"/>
      <c r="AC23" s="88"/>
      <c r="AD23" s="88"/>
      <c r="AE23" s="88"/>
    </row>
    <row r="24" spans="1:31" ht="21.75" customHeight="1">
      <c r="A24" s="88"/>
      <c r="B24" s="88"/>
      <c r="C24" s="88"/>
      <c r="D24" s="88"/>
      <c r="E24" s="88"/>
      <c r="F24" s="88"/>
      <c r="G24" s="88"/>
      <c r="H24" s="88"/>
      <c r="I24" s="36"/>
      <c r="J24" s="36"/>
      <c r="K24" s="36"/>
      <c r="L24" s="36"/>
      <c r="M24" s="36"/>
      <c r="N24" s="36"/>
      <c r="O24" s="36"/>
      <c r="P24" s="88"/>
      <c r="Q24" s="94"/>
      <c r="R24" s="94"/>
      <c r="S24" s="94"/>
      <c r="T24" s="94"/>
      <c r="U24" s="95"/>
      <c r="V24" s="95"/>
      <c r="W24" s="95"/>
      <c r="X24" s="95"/>
      <c r="Y24" s="88"/>
      <c r="Z24" s="88"/>
      <c r="AA24" s="88"/>
      <c r="AB24" s="88"/>
      <c r="AC24" s="88"/>
      <c r="AD24" s="88"/>
      <c r="AE24" s="88"/>
    </row>
    <row r="25" spans="1:31" ht="21.75" customHeight="1">
      <c r="A25" s="88"/>
      <c r="B25" s="88"/>
      <c r="C25" s="88"/>
      <c r="D25" s="88"/>
      <c r="E25" s="88"/>
      <c r="F25" s="88"/>
      <c r="G25" s="88"/>
      <c r="H25" s="88"/>
      <c r="I25" s="36"/>
      <c r="J25" s="36"/>
      <c r="K25" s="36"/>
      <c r="L25" s="36"/>
      <c r="M25" s="36"/>
      <c r="N25" s="36"/>
      <c r="O25" s="36"/>
      <c r="P25" s="88"/>
      <c r="Q25" s="90"/>
      <c r="R25" s="90"/>
      <c r="S25" s="90"/>
      <c r="T25" s="90"/>
      <c r="U25" s="91"/>
      <c r="V25" s="91"/>
      <c r="W25" s="91"/>
      <c r="X25" s="88"/>
      <c r="Y25" s="88"/>
      <c r="Z25" s="88"/>
      <c r="AA25" s="88"/>
      <c r="AB25" s="88"/>
      <c r="AC25" s="88"/>
      <c r="AD25" s="88"/>
      <c r="AE25" s="88"/>
    </row>
    <row r="26" spans="1:31" ht="21.75" customHeight="1">
      <c r="A26" s="88"/>
      <c r="B26" s="88"/>
      <c r="C26" s="88"/>
      <c r="D26" s="88"/>
      <c r="E26" s="88"/>
      <c r="F26" s="88"/>
      <c r="G26" s="88"/>
      <c r="H26" s="88"/>
      <c r="I26" s="36"/>
      <c r="J26" s="36"/>
      <c r="K26" s="36"/>
      <c r="L26" s="36"/>
      <c r="M26" s="36"/>
      <c r="N26" s="36"/>
      <c r="O26" s="36"/>
      <c r="P26" s="88"/>
      <c r="Q26" s="94" t="s">
        <v>460</v>
      </c>
      <c r="R26" s="94"/>
      <c r="S26" s="94"/>
      <c r="T26" s="94"/>
      <c r="U26" s="95">
        <v>1</v>
      </c>
      <c r="V26" s="95"/>
      <c r="W26" s="95"/>
      <c r="X26" s="95"/>
      <c r="Y26" s="88"/>
      <c r="Z26" s="88"/>
      <c r="AA26" s="88"/>
      <c r="AB26" s="88"/>
      <c r="AC26" s="88"/>
      <c r="AD26" s="88"/>
      <c r="AE26" s="88"/>
    </row>
    <row r="27" spans="1:31" ht="15" customHeight="1">
      <c r="A27" s="36"/>
      <c r="B27" s="36"/>
      <c r="C27" s="36"/>
      <c r="D27" s="36"/>
      <c r="E27" s="36"/>
      <c r="F27" s="36"/>
      <c r="G27" s="36"/>
      <c r="H27" s="36"/>
      <c r="I27" s="36"/>
      <c r="J27" s="36"/>
      <c r="K27" s="36"/>
      <c r="L27" s="36"/>
      <c r="M27" s="36"/>
      <c r="N27" s="36"/>
      <c r="O27" s="36"/>
      <c r="P27" s="36"/>
      <c r="Q27" s="94"/>
      <c r="R27" s="94"/>
      <c r="S27" s="94"/>
      <c r="T27" s="94"/>
      <c r="U27" s="95"/>
      <c r="V27" s="95"/>
      <c r="W27" s="95"/>
      <c r="X27" s="95"/>
      <c r="Y27" s="36"/>
      <c r="Z27" s="36"/>
      <c r="AA27" s="36"/>
      <c r="AB27" s="36"/>
      <c r="AC27" s="36"/>
      <c r="AD27" s="36"/>
      <c r="AE27" s="36"/>
    </row>
    <row r="28" spans="1:31" ht="18"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row>
    <row r="29" spans="1:31" ht="1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row>
    <row r="30" spans="1:3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row>
    <row r="31" spans="1:3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row>
    <row r="32" spans="1:3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row>
    <row r="33" spans="1:3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row>
    <row r="34" spans="1:3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row>
    <row r="35" spans="1:3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row>
    <row r="36" spans="1:3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row>
    <row r="37" spans="1:3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row>
    <row r="38" spans="1:31">
      <c r="A38" s="35"/>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spans="1:31">
      <c r="A39" s="35"/>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row>
    <row r="40" spans="1:31">
      <c r="A40" s="35"/>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row>
    <row r="41" spans="1:31">
      <c r="A41" s="35"/>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row>
    <row r="42" spans="1:31">
      <c r="A42" s="35"/>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row>
    <row r="43" spans="1:31">
      <c r="A43" s="35"/>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row>
    <row r="44" spans="1:31">
      <c r="A44" s="8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row>
    <row r="45" spans="1:31">
      <c r="A45" s="8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row>
    <row r="46" spans="1:31" ht="12" customHeight="1">
      <c r="A46" s="8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row>
    <row r="47" spans="1:31">
      <c r="A47" s="87"/>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row>
    <row r="48" spans="1:3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row>
    <row r="49" spans="1:3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row>
    <row r="50" spans="1:3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row>
    <row r="51" spans="1:3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row>
    <row r="52" spans="1:3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row>
    <row r="53" spans="1:3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row>
    <row r="54" spans="1:3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row>
    <row r="55" spans="1:3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row>
    <row r="56" spans="1:3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row>
    <row r="57" spans="1:3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row>
  </sheetData>
  <mergeCells count="7">
    <mergeCell ref="A1:AE4"/>
    <mergeCell ref="Q26:T27"/>
    <mergeCell ref="Q23:T24"/>
    <mergeCell ref="Q20:T21"/>
    <mergeCell ref="U20:X21"/>
    <mergeCell ref="U23:X24"/>
    <mergeCell ref="U26:X27"/>
  </mergeCells>
  <conditionalFormatting sqref="U20 U23 U26">
    <cfRule type="iconSet" priority="1">
      <iconSet iconSet="3Symbols">
        <cfvo type="percent" val="0"/>
        <cfvo type="percent" val="33"/>
        <cfvo type="percent" val="67"/>
      </iconSet>
    </cfRule>
  </conditionalFormatting>
  <pageMargins left="0.7" right="0.7" top="0.75" bottom="0.75" header="0.3" footer="0.3"/>
  <pageSetup scale="34"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9690-0B9F-4E0B-ACF2-7E9B0487FD41}">
  <dimension ref="A1:M15"/>
  <sheetViews>
    <sheetView workbookViewId="0">
      <selection activeCell="F1" activeCellId="1" sqref="B1:B4 F1:F4"/>
    </sheetView>
  </sheetViews>
  <sheetFormatPr defaultRowHeight="14.4"/>
  <cols>
    <col min="1" max="1" width="6.6640625" bestFit="1" customWidth="1"/>
    <col min="2" max="2" width="16.44140625" bestFit="1" customWidth="1"/>
    <col min="6" max="6" width="14.44140625" bestFit="1" customWidth="1"/>
    <col min="11" max="11" width="24.44140625" customWidth="1"/>
    <col min="13" max="13" width="15.6640625" customWidth="1"/>
  </cols>
  <sheetData>
    <row r="1" spans="1:13" ht="16.2" thickBot="1">
      <c r="A1" s="74" t="s">
        <v>0</v>
      </c>
      <c r="B1" s="74" t="s">
        <v>1</v>
      </c>
      <c r="C1" s="74" t="s">
        <v>2</v>
      </c>
      <c r="D1" s="74" t="s">
        <v>3</v>
      </c>
      <c r="E1" s="74" t="s">
        <v>4</v>
      </c>
      <c r="F1" s="69" t="s">
        <v>457</v>
      </c>
      <c r="J1" s="63" t="s">
        <v>445</v>
      </c>
      <c r="K1" s="64" t="s">
        <v>446</v>
      </c>
      <c r="L1" s="65" t="s">
        <v>447</v>
      </c>
      <c r="M1" s="65" t="s">
        <v>448</v>
      </c>
    </row>
    <row r="2" spans="1:13" ht="31.8" thickBot="1">
      <c r="A2" s="75">
        <v>1</v>
      </c>
      <c r="B2" s="76" t="s">
        <v>5</v>
      </c>
      <c r="C2" s="77">
        <v>75</v>
      </c>
      <c r="D2" s="77">
        <v>10</v>
      </c>
      <c r="E2" s="77">
        <f>C2-D2</f>
        <v>65</v>
      </c>
      <c r="F2" s="78">
        <f>E2/C2</f>
        <v>0.8666666666666667</v>
      </c>
      <c r="J2" s="66">
        <v>1</v>
      </c>
      <c r="K2" s="67" t="s">
        <v>449</v>
      </c>
      <c r="L2" s="68" t="s">
        <v>450</v>
      </c>
      <c r="M2" s="68">
        <v>1</v>
      </c>
    </row>
    <row r="3" spans="1:13" ht="31.8" thickBot="1">
      <c r="A3" s="79">
        <v>2</v>
      </c>
      <c r="B3" s="3" t="s">
        <v>6</v>
      </c>
      <c r="C3" s="2">
        <v>75</v>
      </c>
      <c r="D3" s="2">
        <v>5</v>
      </c>
      <c r="E3" s="2">
        <f>C3-D3</f>
        <v>70</v>
      </c>
      <c r="F3" s="80">
        <f>E3/C3</f>
        <v>0.93333333333333335</v>
      </c>
      <c r="J3" s="66">
        <v>2</v>
      </c>
      <c r="K3" s="67" t="s">
        <v>451</v>
      </c>
      <c r="L3" s="68" t="s">
        <v>452</v>
      </c>
      <c r="M3" s="68">
        <v>1</v>
      </c>
    </row>
    <row r="4" spans="1:13" ht="16.2" thickBot="1">
      <c r="A4" s="81">
        <v>3</v>
      </c>
      <c r="B4" s="82" t="s">
        <v>7</v>
      </c>
      <c r="C4" s="83">
        <v>1</v>
      </c>
      <c r="D4" s="83">
        <v>0</v>
      </c>
      <c r="E4" s="83">
        <f>C4-D4</f>
        <v>1</v>
      </c>
      <c r="F4" s="84">
        <f>E4/C4</f>
        <v>1</v>
      </c>
      <c r="J4" s="66">
        <v>3</v>
      </c>
      <c r="K4" s="67" t="s">
        <v>453</v>
      </c>
      <c r="L4" s="68" t="s">
        <v>450</v>
      </c>
      <c r="M4" s="68">
        <v>25</v>
      </c>
    </row>
    <row r="5" spans="1:13" ht="16.2" thickBot="1">
      <c r="E5" s="62" t="s">
        <v>464</v>
      </c>
      <c r="F5" s="85">
        <f>AVERAGE(F2:F4)</f>
        <v>0.93333333333333324</v>
      </c>
      <c r="J5" s="66">
        <v>4</v>
      </c>
      <c r="K5" s="67" t="s">
        <v>454</v>
      </c>
      <c r="L5" s="68" t="s">
        <v>450</v>
      </c>
      <c r="M5" s="68">
        <v>1</v>
      </c>
    </row>
    <row r="6" spans="1:13" ht="16.2" thickBot="1">
      <c r="J6" s="66">
        <v>5</v>
      </c>
      <c r="K6" s="67" t="s">
        <v>455</v>
      </c>
      <c r="L6" s="68" t="s">
        <v>450</v>
      </c>
      <c r="M6" s="68">
        <v>1</v>
      </c>
    </row>
    <row r="7" spans="1:13" ht="16.2" thickBot="1">
      <c r="J7" s="66">
        <v>6</v>
      </c>
      <c r="K7" s="67" t="s">
        <v>456</v>
      </c>
      <c r="L7" s="68" t="s">
        <v>450</v>
      </c>
      <c r="M7" s="68">
        <v>1</v>
      </c>
    </row>
    <row r="8" spans="1:13">
      <c r="A8" s="1" t="s">
        <v>0</v>
      </c>
      <c r="B8" s="1" t="s">
        <v>1</v>
      </c>
      <c r="C8" s="1" t="s">
        <v>3</v>
      </c>
      <c r="D8" s="1" t="s">
        <v>4</v>
      </c>
    </row>
    <row r="9" spans="1:13">
      <c r="A9" s="2">
        <v>1</v>
      </c>
      <c r="B9" s="3" t="s">
        <v>5</v>
      </c>
      <c r="C9" s="70">
        <f>D2</f>
        <v>10</v>
      </c>
      <c r="D9" s="70">
        <f>E2</f>
        <v>65</v>
      </c>
    </row>
    <row r="11" spans="1:13">
      <c r="A11" s="1" t="s">
        <v>0</v>
      </c>
      <c r="B11" s="1" t="s">
        <v>1</v>
      </c>
      <c r="C11" s="1" t="s">
        <v>3</v>
      </c>
      <c r="D11" s="1" t="s">
        <v>4</v>
      </c>
    </row>
    <row r="12" spans="1:13">
      <c r="A12" s="2">
        <v>2</v>
      </c>
      <c r="B12" s="3" t="s">
        <v>6</v>
      </c>
      <c r="C12" s="70">
        <f>D3</f>
        <v>5</v>
      </c>
      <c r="D12" s="70">
        <f>E3</f>
        <v>70</v>
      </c>
    </row>
    <row r="14" spans="1:13">
      <c r="A14" s="1" t="s">
        <v>0</v>
      </c>
      <c r="B14" s="1" t="s">
        <v>1</v>
      </c>
      <c r="C14" s="1" t="s">
        <v>3</v>
      </c>
      <c r="D14" s="1" t="s">
        <v>4</v>
      </c>
    </row>
    <row r="15" spans="1:13">
      <c r="A15" s="2">
        <v>3</v>
      </c>
      <c r="B15" s="3" t="s">
        <v>7</v>
      </c>
      <c r="C15" s="70">
        <f>D4</f>
        <v>0</v>
      </c>
      <c r="D15" s="70">
        <f>E4</f>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68C46-2AF7-46BD-A685-439D590BA029}">
  <dimension ref="A3:C9"/>
  <sheetViews>
    <sheetView workbookViewId="0">
      <selection activeCell="I6" sqref="I6"/>
    </sheetView>
  </sheetViews>
  <sheetFormatPr defaultRowHeight="14.4"/>
  <cols>
    <col min="1" max="1" width="14" bestFit="1" customWidth="1"/>
    <col min="2" max="2" width="37.5546875" customWidth="1"/>
    <col min="3" max="3" width="21" customWidth="1"/>
  </cols>
  <sheetData>
    <row r="3" spans="1:3">
      <c r="A3" s="73" t="s">
        <v>463</v>
      </c>
      <c r="B3" s="73" t="s">
        <v>461</v>
      </c>
      <c r="C3" s="73" t="s">
        <v>462</v>
      </c>
    </row>
    <row r="4" spans="1:3">
      <c r="A4" s="72">
        <v>1</v>
      </c>
      <c r="B4" s="71">
        <v>19.07</v>
      </c>
      <c r="C4" s="72">
        <v>17</v>
      </c>
    </row>
    <row r="5" spans="1:3">
      <c r="A5" s="72">
        <v>2</v>
      </c>
      <c r="B5" s="71">
        <v>23</v>
      </c>
      <c r="C5" s="72">
        <v>17</v>
      </c>
    </row>
    <row r="6" spans="1:3">
      <c r="A6" s="72">
        <v>3</v>
      </c>
      <c r="B6" s="71">
        <v>22.24</v>
      </c>
      <c r="C6" s="72">
        <v>17</v>
      </c>
    </row>
    <row r="7" spans="1:3">
      <c r="A7" s="72">
        <v>4</v>
      </c>
      <c r="B7" s="71">
        <v>18.03</v>
      </c>
      <c r="C7" s="72">
        <v>17</v>
      </c>
    </row>
    <row r="8" spans="1:3">
      <c r="A8" s="72">
        <v>5</v>
      </c>
      <c r="B8" s="71">
        <v>18.239999999999998</v>
      </c>
      <c r="C8" s="72">
        <v>17</v>
      </c>
    </row>
    <row r="9" spans="1:3">
      <c r="A9" s="72">
        <v>6</v>
      </c>
      <c r="B9" s="71">
        <v>19.16</v>
      </c>
      <c r="C9" s="72">
        <v>17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3E82-F0A8-444A-BC85-EFE4D0C5FB2A}">
  <dimension ref="A4"/>
  <sheetViews>
    <sheetView workbookViewId="0">
      <selection activeCell="I6" sqref="I6"/>
    </sheetView>
  </sheetViews>
  <sheetFormatPr defaultRowHeight="14.4"/>
  <sheetData>
    <row r="4" spans="1:1">
      <c r="A4" s="6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967A2-D3EB-4497-AB05-B6BB870F4714}">
  <dimension ref="A1:O111"/>
  <sheetViews>
    <sheetView zoomScale="84" workbookViewId="0">
      <selection activeCell="I6" sqref="I6"/>
    </sheetView>
  </sheetViews>
  <sheetFormatPr defaultRowHeight="14.4"/>
  <cols>
    <col min="1" max="4" width="17.6640625" customWidth="1"/>
    <col min="5" max="5" width="67.44140625" customWidth="1"/>
    <col min="6" max="9" width="17.6640625" customWidth="1"/>
  </cols>
  <sheetData>
    <row r="1" spans="1:15" ht="18">
      <c r="A1" s="96" t="s">
        <v>419</v>
      </c>
      <c r="B1" s="97"/>
      <c r="C1" s="97"/>
      <c r="D1" s="97"/>
      <c r="E1" s="97"/>
      <c r="F1" s="97"/>
      <c r="G1" s="97"/>
      <c r="H1" s="97"/>
      <c r="I1" s="39"/>
      <c r="J1" s="37"/>
      <c r="K1" s="37"/>
      <c r="L1" s="37"/>
      <c r="M1" s="37"/>
      <c r="N1" s="37"/>
      <c r="O1" s="37"/>
    </row>
    <row r="2" spans="1:15" ht="27.6">
      <c r="A2" s="51" t="s">
        <v>420</v>
      </c>
      <c r="B2" s="52" t="s">
        <v>421</v>
      </c>
      <c r="C2" s="52" t="s">
        <v>422</v>
      </c>
      <c r="D2" s="52" t="s">
        <v>39</v>
      </c>
      <c r="E2" s="52" t="s">
        <v>423</v>
      </c>
      <c r="F2" s="52" t="s">
        <v>424</v>
      </c>
      <c r="G2" s="52" t="s">
        <v>425</v>
      </c>
      <c r="H2" s="52" t="s">
        <v>426</v>
      </c>
      <c r="I2" s="53" t="s">
        <v>427</v>
      </c>
      <c r="J2" s="37"/>
      <c r="K2" s="37"/>
      <c r="L2" s="37"/>
      <c r="M2" s="37"/>
      <c r="N2" s="37"/>
      <c r="O2" s="37"/>
    </row>
    <row r="3" spans="1:15" ht="138">
      <c r="A3" s="41">
        <v>1</v>
      </c>
      <c r="B3" s="42">
        <v>45422</v>
      </c>
      <c r="C3" s="43" t="s">
        <v>428</v>
      </c>
      <c r="D3" s="43" t="s">
        <v>429</v>
      </c>
      <c r="E3" s="44" t="s">
        <v>430</v>
      </c>
      <c r="F3" s="43" t="s">
        <v>431</v>
      </c>
      <c r="G3" s="42">
        <v>45424</v>
      </c>
      <c r="H3" s="43"/>
      <c r="I3" s="45" t="s">
        <v>3</v>
      </c>
      <c r="J3" s="37"/>
      <c r="K3" s="37"/>
      <c r="L3" s="37"/>
      <c r="M3" s="37"/>
      <c r="N3" s="37"/>
    </row>
    <row r="4" spans="1:15">
      <c r="A4" s="41"/>
      <c r="B4" s="43"/>
      <c r="C4" s="43"/>
      <c r="D4" s="43"/>
      <c r="E4" s="44"/>
      <c r="F4" s="43"/>
      <c r="G4" s="43"/>
      <c r="H4" s="43"/>
      <c r="I4" s="45"/>
      <c r="J4" s="37"/>
      <c r="K4" s="37"/>
      <c r="L4" s="37"/>
      <c r="M4" s="37"/>
      <c r="N4" s="37"/>
      <c r="O4" s="38"/>
    </row>
    <row r="5" spans="1:15">
      <c r="A5" s="41"/>
      <c r="B5" s="43"/>
      <c r="C5" s="43"/>
      <c r="D5" s="40"/>
      <c r="E5" s="44"/>
      <c r="F5" s="43"/>
      <c r="G5" s="43"/>
      <c r="H5" s="43"/>
      <c r="I5" s="45"/>
      <c r="J5" s="37"/>
      <c r="K5" s="37"/>
      <c r="L5" s="37"/>
      <c r="M5" s="37"/>
      <c r="N5" s="37"/>
      <c r="O5" s="37"/>
    </row>
    <row r="6" spans="1:15">
      <c r="A6" s="41"/>
      <c r="B6" s="43"/>
      <c r="C6" s="43"/>
      <c r="D6" s="43"/>
      <c r="E6" s="44"/>
      <c r="F6" s="43"/>
      <c r="G6" s="43"/>
      <c r="H6" s="43"/>
      <c r="I6" s="45"/>
      <c r="J6" s="37"/>
      <c r="K6" s="37"/>
      <c r="L6" s="37"/>
      <c r="M6" s="37"/>
      <c r="N6" s="37"/>
      <c r="O6" s="37"/>
    </row>
    <row r="7" spans="1:15">
      <c r="A7" s="41"/>
      <c r="B7" s="43"/>
      <c r="C7" s="43"/>
      <c r="D7" s="43"/>
      <c r="E7" s="44"/>
      <c r="F7" s="43"/>
      <c r="G7" s="43"/>
      <c r="H7" s="43"/>
      <c r="I7" s="45"/>
      <c r="J7" s="37"/>
      <c r="K7" s="37"/>
      <c r="L7" s="37"/>
      <c r="M7" s="37"/>
      <c r="N7" s="37"/>
      <c r="O7" s="38"/>
    </row>
    <row r="8" spans="1:15">
      <c r="A8" s="41"/>
      <c r="B8" s="43"/>
      <c r="C8" s="43"/>
      <c r="D8" s="43"/>
      <c r="E8" s="44"/>
      <c r="F8" s="43"/>
      <c r="G8" s="43"/>
      <c r="H8" s="43"/>
      <c r="I8" s="45"/>
      <c r="J8" s="37"/>
      <c r="K8" s="37"/>
      <c r="L8" s="37"/>
      <c r="M8" s="37"/>
      <c r="N8" s="37"/>
      <c r="O8" s="37"/>
    </row>
    <row r="9" spans="1:15">
      <c r="A9" s="41"/>
      <c r="B9" s="43"/>
      <c r="C9" s="43"/>
      <c r="D9" s="43"/>
      <c r="E9" s="44"/>
      <c r="F9" s="43"/>
      <c r="G9" s="43"/>
      <c r="H9" s="43"/>
      <c r="I9" s="45"/>
      <c r="J9" s="37"/>
      <c r="K9" s="37"/>
      <c r="L9" s="37"/>
      <c r="M9" s="37"/>
      <c r="N9" s="37"/>
      <c r="O9" s="37"/>
    </row>
    <row r="10" spans="1:15">
      <c r="A10" s="41"/>
      <c r="B10" s="43"/>
      <c r="C10" s="43"/>
      <c r="D10" s="43"/>
      <c r="E10" s="44"/>
      <c r="F10" s="43"/>
      <c r="G10" s="43"/>
      <c r="H10" s="43"/>
      <c r="I10" s="45"/>
      <c r="J10" s="37"/>
      <c r="K10" s="37"/>
      <c r="L10" s="37"/>
      <c r="M10" s="37"/>
      <c r="N10" s="37"/>
      <c r="O10" s="37"/>
    </row>
    <row r="11" spans="1:15">
      <c r="A11" s="41"/>
      <c r="B11" s="43"/>
      <c r="C11" s="43"/>
      <c r="D11" s="43"/>
      <c r="E11" s="44"/>
      <c r="F11" s="43"/>
      <c r="G11" s="43"/>
      <c r="H11" s="43"/>
      <c r="I11" s="45"/>
      <c r="J11" s="37"/>
      <c r="K11" s="37"/>
      <c r="L11" s="37"/>
      <c r="M11" s="37"/>
      <c r="N11" s="37"/>
      <c r="O11" s="37"/>
    </row>
    <row r="12" spans="1:15">
      <c r="A12" s="41"/>
      <c r="B12" s="43"/>
      <c r="C12" s="43"/>
      <c r="D12" s="43"/>
      <c r="E12" s="44"/>
      <c r="F12" s="43"/>
      <c r="G12" s="43"/>
      <c r="H12" s="43"/>
      <c r="I12" s="45"/>
      <c r="J12" s="37"/>
      <c r="K12" s="37"/>
      <c r="L12" s="37"/>
      <c r="M12" s="37"/>
      <c r="N12" s="37"/>
      <c r="O12" s="37"/>
    </row>
    <row r="13" spans="1:15">
      <c r="A13" s="41"/>
      <c r="B13" s="43"/>
      <c r="C13" s="43"/>
      <c r="D13" s="43"/>
      <c r="E13" s="44"/>
      <c r="F13" s="43"/>
      <c r="G13" s="43"/>
      <c r="H13" s="43"/>
      <c r="I13" s="45"/>
      <c r="J13" s="37"/>
      <c r="K13" s="37"/>
      <c r="L13" s="37"/>
      <c r="M13" s="37"/>
      <c r="N13" s="37"/>
      <c r="O13" s="37"/>
    </row>
    <row r="14" spans="1:15">
      <c r="A14" s="41"/>
      <c r="B14" s="43"/>
      <c r="C14" s="43"/>
      <c r="D14" s="43"/>
      <c r="E14" s="44"/>
      <c r="F14" s="43"/>
      <c r="G14" s="43"/>
      <c r="H14" s="43"/>
      <c r="I14" s="45"/>
      <c r="J14" s="37"/>
      <c r="K14" s="37"/>
      <c r="L14" s="37"/>
      <c r="M14" s="37"/>
      <c r="N14" s="37"/>
      <c r="O14" s="37"/>
    </row>
    <row r="15" spans="1:15">
      <c r="A15" s="41"/>
      <c r="B15" s="43"/>
      <c r="C15" s="43"/>
      <c r="D15" s="43"/>
      <c r="E15" s="44"/>
      <c r="F15" s="43"/>
      <c r="G15" s="43"/>
      <c r="H15" s="43"/>
      <c r="I15" s="45"/>
      <c r="J15" s="37"/>
      <c r="K15" s="37"/>
      <c r="L15" s="37"/>
      <c r="M15" s="37"/>
      <c r="N15" s="37"/>
      <c r="O15" s="37"/>
    </row>
    <row r="16" spans="1:15">
      <c r="A16" s="41"/>
      <c r="B16" s="43"/>
      <c r="C16" s="43"/>
      <c r="D16" s="43"/>
      <c r="E16" s="44"/>
      <c r="F16" s="43"/>
      <c r="G16" s="43"/>
      <c r="H16" s="43"/>
      <c r="I16" s="45"/>
      <c r="J16" s="37"/>
      <c r="K16" s="37"/>
      <c r="L16" s="37"/>
      <c r="M16" s="37"/>
      <c r="N16" s="37"/>
      <c r="O16" s="37"/>
    </row>
    <row r="17" spans="1:9">
      <c r="A17" s="41"/>
      <c r="B17" s="43"/>
      <c r="C17" s="43"/>
      <c r="D17" s="43"/>
      <c r="E17" s="44"/>
      <c r="F17" s="43"/>
      <c r="G17" s="43"/>
      <c r="H17" s="43"/>
      <c r="I17" s="45"/>
    </row>
    <row r="18" spans="1:9">
      <c r="A18" s="41"/>
      <c r="B18" s="43"/>
      <c r="C18" s="43"/>
      <c r="D18" s="43"/>
      <c r="E18" s="44"/>
      <c r="F18" s="43"/>
      <c r="G18" s="43"/>
      <c r="H18" s="43"/>
      <c r="I18" s="45"/>
    </row>
    <row r="19" spans="1:9">
      <c r="A19" s="41"/>
      <c r="B19" s="43"/>
      <c r="C19" s="43"/>
      <c r="D19" s="43"/>
      <c r="E19" s="44"/>
      <c r="F19" s="43"/>
      <c r="G19" s="43"/>
      <c r="H19" s="43"/>
      <c r="I19" s="45"/>
    </row>
    <row r="20" spans="1:9">
      <c r="A20" s="41"/>
      <c r="B20" s="43"/>
      <c r="C20" s="43"/>
      <c r="D20" s="43"/>
      <c r="E20" s="44"/>
      <c r="F20" s="43"/>
      <c r="G20" s="43"/>
      <c r="H20" s="43"/>
      <c r="I20" s="45"/>
    </row>
    <row r="21" spans="1:9">
      <c r="A21" s="41"/>
      <c r="B21" s="43"/>
      <c r="C21" s="43"/>
      <c r="D21" s="43"/>
      <c r="E21" s="44"/>
      <c r="F21" s="43"/>
      <c r="G21" s="43"/>
      <c r="H21" s="43"/>
      <c r="I21" s="45"/>
    </row>
    <row r="22" spans="1:9">
      <c r="A22" s="41"/>
      <c r="B22" s="43"/>
      <c r="C22" s="43"/>
      <c r="D22" s="43"/>
      <c r="E22" s="44"/>
      <c r="F22" s="43"/>
      <c r="G22" s="43"/>
      <c r="H22" s="43"/>
      <c r="I22" s="45"/>
    </row>
    <row r="23" spans="1:9">
      <c r="A23" s="41"/>
      <c r="B23" s="43"/>
      <c r="C23" s="43"/>
      <c r="D23" s="43"/>
      <c r="E23" s="44"/>
      <c r="F23" s="43"/>
      <c r="G23" s="43"/>
      <c r="H23" s="43"/>
      <c r="I23" s="45"/>
    </row>
    <row r="24" spans="1:9">
      <c r="A24" s="41"/>
      <c r="B24" s="43"/>
      <c r="C24" s="43"/>
      <c r="D24" s="43"/>
      <c r="E24" s="44"/>
      <c r="F24" s="43"/>
      <c r="G24" s="43"/>
      <c r="H24" s="43"/>
      <c r="I24" s="45"/>
    </row>
    <row r="25" spans="1:9">
      <c r="A25" s="41"/>
      <c r="B25" s="43"/>
      <c r="C25" s="43"/>
      <c r="D25" s="43"/>
      <c r="E25" s="44"/>
      <c r="F25" s="43"/>
      <c r="G25" s="43"/>
      <c r="H25" s="43"/>
      <c r="I25" s="45"/>
    </row>
    <row r="26" spans="1:9">
      <c r="A26" s="41"/>
      <c r="B26" s="43"/>
      <c r="C26" s="43"/>
      <c r="D26" s="43"/>
      <c r="E26" s="44"/>
      <c r="F26" s="43"/>
      <c r="G26" s="43"/>
      <c r="H26" s="43"/>
      <c r="I26" s="45"/>
    </row>
    <row r="27" spans="1:9">
      <c r="A27" s="41"/>
      <c r="B27" s="43"/>
      <c r="C27" s="43"/>
      <c r="D27" s="43"/>
      <c r="E27" s="44"/>
      <c r="F27" s="43"/>
      <c r="G27" s="43"/>
      <c r="H27" s="43"/>
      <c r="I27" s="45"/>
    </row>
    <row r="28" spans="1:9">
      <c r="A28" s="41"/>
      <c r="B28" s="43"/>
      <c r="C28" s="43"/>
      <c r="D28" s="43"/>
      <c r="E28" s="44"/>
      <c r="F28" s="43"/>
      <c r="G28" s="43"/>
      <c r="H28" s="43"/>
      <c r="I28" s="45"/>
    </row>
    <row r="29" spans="1:9">
      <c r="A29" s="41"/>
      <c r="B29" s="43"/>
      <c r="C29" s="43"/>
      <c r="D29" s="43"/>
      <c r="E29" s="44"/>
      <c r="F29" s="43"/>
      <c r="G29" s="43"/>
      <c r="H29" s="43"/>
      <c r="I29" s="45"/>
    </row>
    <row r="30" spans="1:9">
      <c r="A30" s="41"/>
      <c r="B30" s="43"/>
      <c r="C30" s="43"/>
      <c r="D30" s="43"/>
      <c r="E30" s="44"/>
      <c r="F30" s="43"/>
      <c r="G30" s="43"/>
      <c r="H30" s="43"/>
      <c r="I30" s="45"/>
    </row>
    <row r="31" spans="1:9">
      <c r="A31" s="41"/>
      <c r="B31" s="43"/>
      <c r="C31" s="43"/>
      <c r="D31" s="43"/>
      <c r="E31" s="44"/>
      <c r="F31" s="43"/>
      <c r="G31" s="43"/>
      <c r="H31" s="43"/>
      <c r="I31" s="45"/>
    </row>
    <row r="32" spans="1:9">
      <c r="A32" s="41"/>
      <c r="B32" s="43"/>
      <c r="C32" s="43"/>
      <c r="D32" s="43"/>
      <c r="E32" s="44"/>
      <c r="F32" s="43"/>
      <c r="G32" s="43"/>
      <c r="H32" s="43"/>
      <c r="I32" s="45"/>
    </row>
    <row r="33" spans="1:9" ht="15" thickBot="1">
      <c r="A33" s="46"/>
      <c r="B33" s="47"/>
      <c r="C33" s="43"/>
      <c r="D33" s="47"/>
      <c r="E33" s="48"/>
      <c r="F33" s="43"/>
      <c r="G33" s="47"/>
      <c r="H33" s="47"/>
      <c r="I33" s="49"/>
    </row>
    <row r="98" spans="2:6">
      <c r="B98" s="50" t="s">
        <v>432</v>
      </c>
      <c r="C98" s="37"/>
      <c r="D98" s="37"/>
      <c r="E98" s="37"/>
      <c r="F98" s="37"/>
    </row>
    <row r="99" spans="2:6">
      <c r="B99" s="50" t="s">
        <v>433</v>
      </c>
      <c r="C99" s="37"/>
      <c r="D99" s="37"/>
      <c r="E99" s="37"/>
      <c r="F99" s="37"/>
    </row>
    <row r="100" spans="2:6">
      <c r="B100" s="50" t="s">
        <v>428</v>
      </c>
      <c r="C100" s="37"/>
      <c r="D100" s="37"/>
      <c r="E100" s="37"/>
      <c r="F100" s="50" t="s">
        <v>434</v>
      </c>
    </row>
    <row r="101" spans="2:6">
      <c r="B101" s="37"/>
      <c r="C101" s="37"/>
      <c r="D101" s="37"/>
      <c r="E101" s="37"/>
      <c r="F101" s="50" t="s">
        <v>435</v>
      </c>
    </row>
    <row r="102" spans="2:6">
      <c r="B102" s="37"/>
      <c r="C102" s="37"/>
      <c r="D102" s="37"/>
      <c r="E102" s="37"/>
      <c r="F102" s="50" t="s">
        <v>436</v>
      </c>
    </row>
    <row r="103" spans="2:6">
      <c r="B103" s="37"/>
      <c r="C103" s="37"/>
      <c r="D103" s="37"/>
      <c r="E103" s="37"/>
      <c r="F103" s="50" t="s">
        <v>431</v>
      </c>
    </row>
    <row r="104" spans="2:6">
      <c r="B104" s="37"/>
      <c r="C104" s="37"/>
      <c r="D104" s="37"/>
      <c r="E104" s="37"/>
      <c r="F104" s="50" t="s">
        <v>437</v>
      </c>
    </row>
    <row r="105" spans="2:6">
      <c r="B105" s="37"/>
      <c r="C105" s="37"/>
      <c r="D105" s="37"/>
      <c r="E105" s="37"/>
      <c r="F105" s="50" t="s">
        <v>438</v>
      </c>
    </row>
    <row r="106" spans="2:6">
      <c r="B106" s="37"/>
      <c r="C106" s="37"/>
      <c r="D106" s="37"/>
      <c r="E106" s="37"/>
      <c r="F106" s="50" t="s">
        <v>439</v>
      </c>
    </row>
    <row r="107" spans="2:6">
      <c r="B107" s="37"/>
      <c r="C107" s="37"/>
      <c r="D107" s="37"/>
      <c r="E107" s="37"/>
      <c r="F107" s="50" t="s">
        <v>440</v>
      </c>
    </row>
    <row r="108" spans="2:6">
      <c r="B108" s="37"/>
      <c r="C108" s="37"/>
      <c r="D108" s="37"/>
      <c r="E108" s="37"/>
      <c r="F108" s="50" t="s">
        <v>441</v>
      </c>
    </row>
    <row r="109" spans="2:6">
      <c r="B109" s="37"/>
      <c r="C109" s="37"/>
      <c r="D109" s="37"/>
      <c r="E109" s="37"/>
      <c r="F109" s="50" t="s">
        <v>442</v>
      </c>
    </row>
    <row r="110" spans="2:6">
      <c r="B110" s="37"/>
      <c r="C110" s="37"/>
      <c r="D110" s="37"/>
      <c r="E110" s="37"/>
      <c r="F110" s="50" t="s">
        <v>443</v>
      </c>
    </row>
    <row r="111" spans="2:6">
      <c r="B111" s="37"/>
      <c r="C111" s="37"/>
      <c r="D111" s="37"/>
      <c r="E111" s="37"/>
      <c r="F111" s="50" t="s">
        <v>444</v>
      </c>
    </row>
  </sheetData>
  <mergeCells count="1">
    <mergeCell ref="A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2653C-9B35-45A6-A166-5B6A5B8B28CB}">
  <dimension ref="A1:L281"/>
  <sheetViews>
    <sheetView zoomScale="67" zoomScaleNormal="57" workbookViewId="0">
      <pane xSplit="2" ySplit="9" topLeftCell="C10" activePane="bottomRight" state="frozen"/>
      <selection activeCell="I6" sqref="I6"/>
      <selection pane="topRight" activeCell="I6" sqref="I6"/>
      <selection pane="bottomLeft" activeCell="I6" sqref="I6"/>
      <selection pane="bottomRight" activeCell="H6" sqref="H6:I6"/>
    </sheetView>
  </sheetViews>
  <sheetFormatPr defaultColWidth="8.6640625" defaultRowHeight="14.4"/>
  <cols>
    <col min="1" max="1" width="5.109375" style="5" bestFit="1" customWidth="1"/>
    <col min="2" max="2" width="23.6640625" style="5" customWidth="1"/>
    <col min="3" max="3" width="29.88671875" style="5" customWidth="1"/>
    <col min="4" max="4" width="26.33203125" style="5" customWidth="1"/>
    <col min="5" max="5" width="28.33203125" style="5" customWidth="1"/>
    <col min="6" max="6" width="23.6640625" style="5" customWidth="1"/>
    <col min="7" max="10" width="20.6640625" style="5" customWidth="1"/>
    <col min="11" max="11" width="35.6640625" style="5" customWidth="1"/>
    <col min="12" max="12" width="25.44140625" style="5" customWidth="1"/>
    <col min="13" max="16384" width="8.6640625" style="5"/>
  </cols>
  <sheetData>
    <row r="1" spans="1:12" ht="45.45" customHeight="1" thickBot="1">
      <c r="A1" s="102" t="s">
        <v>8</v>
      </c>
      <c r="B1" s="102"/>
      <c r="C1" s="103" t="s">
        <v>9</v>
      </c>
      <c r="D1" s="103"/>
      <c r="E1" s="103"/>
      <c r="F1" s="103"/>
      <c r="G1" s="103"/>
      <c r="H1" s="103"/>
      <c r="I1" s="103"/>
      <c r="J1" s="103"/>
      <c r="K1" s="103"/>
      <c r="L1" s="4"/>
    </row>
    <row r="2" spans="1:12" ht="18.600000000000001" thickBot="1">
      <c r="A2" s="98" t="s">
        <v>10</v>
      </c>
      <c r="B2" s="98"/>
      <c r="C2" s="99" t="s">
        <v>11</v>
      </c>
      <c r="D2" s="99"/>
      <c r="E2" s="99"/>
      <c r="F2" s="104" t="s">
        <v>12</v>
      </c>
      <c r="G2" s="104"/>
      <c r="H2" s="104"/>
      <c r="I2" s="104"/>
      <c r="J2" s="104"/>
      <c r="K2" s="104"/>
      <c r="L2" s="104"/>
    </row>
    <row r="3" spans="1:12" ht="15.45" customHeight="1" thickBot="1">
      <c r="A3" s="98" t="s">
        <v>13</v>
      </c>
      <c r="B3" s="98"/>
      <c r="C3" s="99" t="s">
        <v>14</v>
      </c>
      <c r="D3" s="99"/>
      <c r="E3" s="99"/>
      <c r="F3" s="100" t="s">
        <v>15</v>
      </c>
      <c r="G3" s="100"/>
      <c r="H3" s="100" t="s">
        <v>16</v>
      </c>
      <c r="I3" s="100"/>
      <c r="J3" s="101" t="s">
        <v>17</v>
      </c>
      <c r="K3" s="101"/>
      <c r="L3" s="101"/>
    </row>
    <row r="4" spans="1:12" ht="18.600000000000001" thickBot="1">
      <c r="A4" s="98" t="s">
        <v>18</v>
      </c>
      <c r="B4" s="98"/>
      <c r="C4" s="99" t="s">
        <v>19</v>
      </c>
      <c r="D4" s="99"/>
      <c r="E4" s="99"/>
      <c r="F4" s="100" t="s">
        <v>20</v>
      </c>
      <c r="G4" s="100"/>
      <c r="H4" s="100" t="s">
        <v>21</v>
      </c>
      <c r="I4" s="100"/>
      <c r="J4" s="101" t="s">
        <v>22</v>
      </c>
      <c r="K4" s="101"/>
      <c r="L4" s="101"/>
    </row>
    <row r="5" spans="1:12" ht="15.45" customHeight="1" thickBot="1">
      <c r="A5" s="98" t="s">
        <v>23</v>
      </c>
      <c r="B5" s="98"/>
      <c r="C5" s="99" t="s">
        <v>24</v>
      </c>
      <c r="D5" s="99"/>
      <c r="E5" s="99"/>
      <c r="F5" s="100" t="s">
        <v>25</v>
      </c>
      <c r="G5" s="100"/>
      <c r="H5" s="100" t="s">
        <v>26</v>
      </c>
      <c r="I5" s="100"/>
      <c r="J5" s="101" t="s">
        <v>27</v>
      </c>
      <c r="K5" s="101"/>
      <c r="L5" s="101"/>
    </row>
    <row r="6" spans="1:12" ht="15.45" customHeight="1" thickBot="1">
      <c r="A6" s="98" t="s">
        <v>28</v>
      </c>
      <c r="B6" s="98"/>
      <c r="C6" s="99" t="s">
        <v>29</v>
      </c>
      <c r="D6" s="99"/>
      <c r="E6" s="99"/>
      <c r="F6" s="100" t="s">
        <v>30</v>
      </c>
      <c r="G6" s="100"/>
      <c r="H6" s="100" t="s">
        <v>31</v>
      </c>
      <c r="I6" s="100"/>
      <c r="J6" s="101" t="s">
        <v>32</v>
      </c>
      <c r="K6" s="101"/>
      <c r="L6" s="101"/>
    </row>
    <row r="7" spans="1:12" ht="18" customHeight="1" thickBot="1">
      <c r="A7" s="105"/>
      <c r="B7" s="105"/>
      <c r="C7" s="105"/>
      <c r="D7" s="105"/>
      <c r="E7" s="105"/>
      <c r="F7" s="105"/>
      <c r="G7" s="105"/>
      <c r="H7" s="105"/>
      <c r="I7" s="105"/>
      <c r="J7" s="105"/>
      <c r="K7" s="105"/>
      <c r="L7" s="105"/>
    </row>
    <row r="8" spans="1:12" ht="30.45" customHeight="1" thickBot="1">
      <c r="A8" s="109" t="s">
        <v>33</v>
      </c>
      <c r="B8" s="109" t="s">
        <v>34</v>
      </c>
      <c r="C8" s="109" t="s">
        <v>35</v>
      </c>
      <c r="D8" s="106" t="s">
        <v>36</v>
      </c>
      <c r="E8" s="106" t="s">
        <v>37</v>
      </c>
      <c r="F8" s="106" t="s">
        <v>38</v>
      </c>
      <c r="G8" s="106" t="s">
        <v>39</v>
      </c>
      <c r="H8" s="106"/>
      <c r="I8" s="6" t="s">
        <v>40</v>
      </c>
      <c r="J8" s="6" t="s">
        <v>41</v>
      </c>
      <c r="K8" s="106" t="s">
        <v>42</v>
      </c>
      <c r="L8" s="106" t="s">
        <v>43</v>
      </c>
    </row>
    <row r="9" spans="1:12" ht="27" customHeight="1" thickBot="1">
      <c r="A9" s="110"/>
      <c r="B9" s="110"/>
      <c r="C9" s="110"/>
      <c r="D9" s="106"/>
      <c r="E9" s="106"/>
      <c r="F9" s="106"/>
      <c r="G9" s="6" t="s">
        <v>44</v>
      </c>
      <c r="H9" s="6" t="s">
        <v>45</v>
      </c>
      <c r="I9" s="6" t="s">
        <v>45</v>
      </c>
      <c r="J9" s="6" t="s">
        <v>45</v>
      </c>
      <c r="K9" s="106"/>
      <c r="L9" s="106"/>
    </row>
    <row r="10" spans="1:12" ht="27" thickBot="1">
      <c r="A10" s="107">
        <v>1</v>
      </c>
      <c r="B10" s="107" t="s">
        <v>46</v>
      </c>
      <c r="C10" s="7" t="s">
        <v>47</v>
      </c>
      <c r="D10" s="8" t="s">
        <v>48</v>
      </c>
      <c r="E10" s="9"/>
      <c r="F10" s="8" t="s">
        <v>49</v>
      </c>
      <c r="G10" s="9"/>
      <c r="H10" s="8" t="s">
        <v>50</v>
      </c>
      <c r="I10" s="8" t="s">
        <v>51</v>
      </c>
      <c r="J10" s="8" t="s">
        <v>52</v>
      </c>
      <c r="K10" s="8" t="s">
        <v>53</v>
      </c>
      <c r="L10" s="8" t="s">
        <v>54</v>
      </c>
    </row>
    <row r="11" spans="1:12" ht="15" thickBot="1">
      <c r="A11" s="107"/>
      <c r="B11" s="107"/>
      <c r="C11" s="7" t="s">
        <v>55</v>
      </c>
      <c r="D11" s="8" t="s">
        <v>56</v>
      </c>
      <c r="E11" s="8" t="s">
        <v>57</v>
      </c>
      <c r="F11" s="8"/>
      <c r="G11" s="8" t="s">
        <v>58</v>
      </c>
      <c r="H11" s="8" t="s">
        <v>59</v>
      </c>
      <c r="I11" s="8" t="s">
        <v>60</v>
      </c>
      <c r="J11" s="8" t="s">
        <v>60</v>
      </c>
      <c r="K11" s="10" t="s">
        <v>61</v>
      </c>
      <c r="L11" s="8" t="s">
        <v>62</v>
      </c>
    </row>
    <row r="12" spans="1:12" ht="27" thickBot="1">
      <c r="A12" s="108"/>
      <c r="B12" s="108"/>
      <c r="C12" s="28" t="s">
        <v>63</v>
      </c>
      <c r="D12" s="29" t="s">
        <v>64</v>
      </c>
      <c r="E12" s="29" t="s">
        <v>65</v>
      </c>
      <c r="F12" s="29"/>
      <c r="G12" s="29" t="s">
        <v>58</v>
      </c>
      <c r="H12" s="29" t="s">
        <v>66</v>
      </c>
      <c r="I12" s="29" t="s">
        <v>60</v>
      </c>
      <c r="J12" s="29" t="s">
        <v>60</v>
      </c>
      <c r="K12" s="30" t="s">
        <v>67</v>
      </c>
      <c r="L12" s="29" t="s">
        <v>62</v>
      </c>
    </row>
    <row r="13" spans="1:12" ht="27" thickBot="1">
      <c r="A13" s="113">
        <v>2</v>
      </c>
      <c r="B13" s="115" t="s">
        <v>68</v>
      </c>
      <c r="C13" s="56" t="s">
        <v>69</v>
      </c>
      <c r="D13" s="57" t="s">
        <v>70</v>
      </c>
      <c r="E13" s="58"/>
      <c r="F13" s="59"/>
      <c r="G13" s="60" t="s">
        <v>59</v>
      </c>
      <c r="H13" s="60" t="s">
        <v>50</v>
      </c>
      <c r="I13" s="60" t="s">
        <v>60</v>
      </c>
      <c r="J13" s="60" t="s">
        <v>52</v>
      </c>
      <c r="K13" s="61" t="s">
        <v>71</v>
      </c>
      <c r="L13" s="54" t="s">
        <v>54</v>
      </c>
    </row>
    <row r="14" spans="1:12" ht="27" thickBot="1">
      <c r="A14" s="114"/>
      <c r="B14" s="114"/>
      <c r="C14" s="31" t="s">
        <v>72</v>
      </c>
      <c r="D14" s="32" t="s">
        <v>70</v>
      </c>
      <c r="E14" s="55" t="s">
        <v>65</v>
      </c>
      <c r="F14" s="33"/>
      <c r="G14" s="34" t="s">
        <v>59</v>
      </c>
      <c r="H14" s="34" t="s">
        <v>50</v>
      </c>
      <c r="I14" s="34" t="s">
        <v>60</v>
      </c>
      <c r="J14" s="34" t="s">
        <v>52</v>
      </c>
      <c r="K14" s="34" t="s">
        <v>71</v>
      </c>
      <c r="L14" s="14" t="s">
        <v>62</v>
      </c>
    </row>
    <row r="15" spans="1:12" ht="27" thickBot="1">
      <c r="A15" s="114"/>
      <c r="B15" s="114"/>
      <c r="C15" s="7" t="s">
        <v>73</v>
      </c>
      <c r="D15" s="11" t="s">
        <v>70</v>
      </c>
      <c r="E15" s="9" t="s">
        <v>57</v>
      </c>
      <c r="F15" s="13"/>
      <c r="G15" s="8" t="s">
        <v>59</v>
      </c>
      <c r="H15" s="8" t="s">
        <v>50</v>
      </c>
      <c r="I15" s="8" t="s">
        <v>60</v>
      </c>
      <c r="J15" s="8" t="s">
        <v>52</v>
      </c>
      <c r="K15" s="8" t="s">
        <v>71</v>
      </c>
      <c r="L15" s="8" t="s">
        <v>62</v>
      </c>
    </row>
    <row r="16" spans="1:12" ht="27" thickBot="1">
      <c r="A16" s="114"/>
      <c r="B16" s="114"/>
      <c r="C16" s="7" t="s">
        <v>74</v>
      </c>
      <c r="D16" s="11" t="s">
        <v>70</v>
      </c>
      <c r="E16" s="9" t="s">
        <v>57</v>
      </c>
      <c r="F16" s="13"/>
      <c r="G16" s="8" t="s">
        <v>59</v>
      </c>
      <c r="H16" s="8" t="s">
        <v>50</v>
      </c>
      <c r="I16" s="8" t="s">
        <v>60</v>
      </c>
      <c r="J16" s="8" t="s">
        <v>52</v>
      </c>
      <c r="K16" s="8" t="s">
        <v>71</v>
      </c>
      <c r="L16" s="8" t="s">
        <v>54</v>
      </c>
    </row>
    <row r="17" spans="1:12" ht="27" thickBot="1">
      <c r="A17" s="114"/>
      <c r="B17" s="114"/>
      <c r="C17" s="7" t="s">
        <v>75</v>
      </c>
      <c r="D17" s="11" t="s">
        <v>70</v>
      </c>
      <c r="E17" s="9" t="s">
        <v>65</v>
      </c>
      <c r="F17" s="13"/>
      <c r="G17" s="8" t="s">
        <v>59</v>
      </c>
      <c r="H17" s="8" t="s">
        <v>50</v>
      </c>
      <c r="I17" s="8" t="s">
        <v>60</v>
      </c>
      <c r="J17" s="8" t="s">
        <v>52</v>
      </c>
      <c r="K17" s="8" t="s">
        <v>71</v>
      </c>
      <c r="L17" s="8" t="s">
        <v>62</v>
      </c>
    </row>
    <row r="18" spans="1:12" ht="27" thickBot="1">
      <c r="A18" s="114"/>
      <c r="B18" s="114"/>
      <c r="C18" s="7" t="s">
        <v>76</v>
      </c>
      <c r="D18" s="11" t="s">
        <v>70</v>
      </c>
      <c r="E18" s="11" t="s">
        <v>77</v>
      </c>
      <c r="F18" s="13"/>
      <c r="G18" s="8" t="s">
        <v>59</v>
      </c>
      <c r="H18" s="8" t="s">
        <v>50</v>
      </c>
      <c r="I18" s="8" t="s">
        <v>60</v>
      </c>
      <c r="J18" s="8" t="s">
        <v>52</v>
      </c>
      <c r="K18" s="8" t="s">
        <v>71</v>
      </c>
      <c r="L18" s="8" t="s">
        <v>62</v>
      </c>
    </row>
    <row r="19" spans="1:12" ht="27" thickBot="1">
      <c r="A19" s="114"/>
      <c r="B19" s="114"/>
      <c r="C19" s="7" t="s">
        <v>78</v>
      </c>
      <c r="D19" s="11" t="s">
        <v>70</v>
      </c>
      <c r="E19" s="9" t="s">
        <v>57</v>
      </c>
      <c r="F19" s="13"/>
      <c r="G19" s="8" t="s">
        <v>59</v>
      </c>
      <c r="H19" s="8" t="s">
        <v>50</v>
      </c>
      <c r="I19" s="8" t="s">
        <v>60</v>
      </c>
      <c r="J19" s="8" t="s">
        <v>52</v>
      </c>
      <c r="K19" s="8" t="s">
        <v>71</v>
      </c>
      <c r="L19" s="8" t="s">
        <v>54</v>
      </c>
    </row>
    <row r="20" spans="1:12" ht="34.799999999999997" thickBot="1">
      <c r="A20" s="114">
        <v>3</v>
      </c>
      <c r="B20" s="116" t="s">
        <v>79</v>
      </c>
      <c r="C20" s="15" t="s">
        <v>80</v>
      </c>
      <c r="D20" s="11" t="s">
        <v>70</v>
      </c>
      <c r="E20" s="9" t="s">
        <v>57</v>
      </c>
      <c r="F20" s="13"/>
      <c r="G20" s="8" t="s">
        <v>59</v>
      </c>
      <c r="H20" s="8" t="s">
        <v>50</v>
      </c>
      <c r="I20" s="8" t="s">
        <v>60</v>
      </c>
      <c r="J20" s="8" t="s">
        <v>52</v>
      </c>
      <c r="K20" s="8" t="s">
        <v>71</v>
      </c>
      <c r="L20" s="8" t="s">
        <v>62</v>
      </c>
    </row>
    <row r="21" spans="1:12" ht="27" thickBot="1">
      <c r="A21" s="114"/>
      <c r="B21" s="116"/>
      <c r="C21" s="7" t="s">
        <v>74</v>
      </c>
      <c r="D21" s="11" t="s">
        <v>70</v>
      </c>
      <c r="E21" s="9" t="s">
        <v>57</v>
      </c>
      <c r="F21" s="13"/>
      <c r="G21" s="8" t="s">
        <v>59</v>
      </c>
      <c r="H21" s="8" t="s">
        <v>50</v>
      </c>
      <c r="I21" s="8" t="s">
        <v>60</v>
      </c>
      <c r="J21" s="8" t="s">
        <v>52</v>
      </c>
      <c r="K21" s="8" t="s">
        <v>71</v>
      </c>
      <c r="L21" s="8" t="s">
        <v>62</v>
      </c>
    </row>
    <row r="22" spans="1:12" ht="15" thickBot="1">
      <c r="A22" s="114"/>
      <c r="B22" s="116"/>
      <c r="C22" s="7" t="s">
        <v>81</v>
      </c>
      <c r="D22" s="11" t="s">
        <v>70</v>
      </c>
      <c r="E22" s="9" t="s">
        <v>57</v>
      </c>
      <c r="F22" s="13"/>
      <c r="G22" s="8" t="s">
        <v>59</v>
      </c>
      <c r="H22" s="8" t="s">
        <v>50</v>
      </c>
      <c r="I22" s="8" t="s">
        <v>60</v>
      </c>
      <c r="J22" s="8" t="s">
        <v>52</v>
      </c>
      <c r="K22" s="8" t="s">
        <v>71</v>
      </c>
      <c r="L22" s="8" t="s">
        <v>62</v>
      </c>
    </row>
    <row r="23" spans="1:12" ht="27" thickBot="1">
      <c r="A23" s="114"/>
      <c r="B23" s="116"/>
      <c r="C23" s="7" t="s">
        <v>76</v>
      </c>
      <c r="D23" s="11" t="s">
        <v>70</v>
      </c>
      <c r="E23" s="9" t="s">
        <v>57</v>
      </c>
      <c r="F23" s="13"/>
      <c r="G23" s="8" t="s">
        <v>59</v>
      </c>
      <c r="H23" s="8" t="s">
        <v>50</v>
      </c>
      <c r="I23" s="8" t="s">
        <v>60</v>
      </c>
      <c r="J23" s="8" t="s">
        <v>52</v>
      </c>
      <c r="K23" s="8" t="s">
        <v>71</v>
      </c>
      <c r="L23" s="8" t="s">
        <v>62</v>
      </c>
    </row>
    <row r="24" spans="1:12" ht="27" thickBot="1">
      <c r="A24" s="114"/>
      <c r="B24" s="116"/>
      <c r="C24" s="7" t="s">
        <v>78</v>
      </c>
      <c r="D24" s="11" t="s">
        <v>70</v>
      </c>
      <c r="E24" s="9" t="s">
        <v>57</v>
      </c>
      <c r="F24" s="13"/>
      <c r="G24" s="8" t="s">
        <v>59</v>
      </c>
      <c r="H24" s="8" t="s">
        <v>50</v>
      </c>
      <c r="I24" s="8" t="s">
        <v>60</v>
      </c>
      <c r="J24" s="8" t="s">
        <v>52</v>
      </c>
      <c r="K24" s="8" t="s">
        <v>71</v>
      </c>
      <c r="L24" s="8" t="s">
        <v>62</v>
      </c>
    </row>
    <row r="25" spans="1:12" ht="27" thickBot="1">
      <c r="A25" s="114"/>
      <c r="B25" s="116"/>
      <c r="C25" s="7" t="s">
        <v>82</v>
      </c>
      <c r="D25" s="11" t="s">
        <v>70</v>
      </c>
      <c r="E25" s="9" t="s">
        <v>57</v>
      </c>
      <c r="F25" s="13"/>
      <c r="G25" s="8" t="s">
        <v>59</v>
      </c>
      <c r="H25" s="8" t="s">
        <v>50</v>
      </c>
      <c r="I25" s="8" t="s">
        <v>60</v>
      </c>
      <c r="J25" s="8" t="s">
        <v>52</v>
      </c>
      <c r="K25" s="8" t="s">
        <v>71</v>
      </c>
      <c r="L25" s="8" t="s">
        <v>62</v>
      </c>
    </row>
    <row r="26" spans="1:12" ht="27" thickBot="1">
      <c r="A26" s="114"/>
      <c r="B26" s="116"/>
      <c r="C26" s="7" t="s">
        <v>83</v>
      </c>
      <c r="D26" s="11" t="s">
        <v>70</v>
      </c>
      <c r="E26" s="9" t="s">
        <v>57</v>
      </c>
      <c r="F26" s="13"/>
      <c r="G26" s="8" t="s">
        <v>59</v>
      </c>
      <c r="H26" s="8" t="s">
        <v>50</v>
      </c>
      <c r="I26" s="8" t="s">
        <v>60</v>
      </c>
      <c r="J26" s="8" t="s">
        <v>52</v>
      </c>
      <c r="K26" s="8" t="s">
        <v>71</v>
      </c>
      <c r="L26" s="8" t="s">
        <v>62</v>
      </c>
    </row>
    <row r="27" spans="1:12" ht="27" thickBot="1">
      <c r="A27" s="114"/>
      <c r="B27" s="116"/>
      <c r="C27" s="7" t="s">
        <v>84</v>
      </c>
      <c r="D27" s="11" t="s">
        <v>70</v>
      </c>
      <c r="E27" s="9" t="s">
        <v>57</v>
      </c>
      <c r="F27" s="13"/>
      <c r="G27" s="8" t="s">
        <v>59</v>
      </c>
      <c r="H27" s="8" t="s">
        <v>50</v>
      </c>
      <c r="I27" s="8" t="s">
        <v>60</v>
      </c>
      <c r="J27" s="8" t="s">
        <v>52</v>
      </c>
      <c r="K27" s="8" t="s">
        <v>71</v>
      </c>
      <c r="L27" s="8" t="s">
        <v>62</v>
      </c>
    </row>
    <row r="28" spans="1:12" ht="27" thickBot="1">
      <c r="A28" s="111">
        <v>4</v>
      </c>
      <c r="B28" s="111" t="s">
        <v>85</v>
      </c>
      <c r="C28" s="7" t="s">
        <v>69</v>
      </c>
      <c r="D28" s="11" t="s">
        <v>86</v>
      </c>
      <c r="E28" s="12"/>
      <c r="F28" s="13"/>
      <c r="G28" s="8" t="s">
        <v>59</v>
      </c>
      <c r="H28" s="8" t="s">
        <v>50</v>
      </c>
      <c r="I28" s="8" t="s">
        <v>60</v>
      </c>
      <c r="J28" s="8" t="s">
        <v>52</v>
      </c>
      <c r="K28" s="8" t="s">
        <v>71</v>
      </c>
      <c r="L28" s="8" t="s">
        <v>54</v>
      </c>
    </row>
    <row r="29" spans="1:12" ht="27" thickBot="1">
      <c r="A29" s="112"/>
      <c r="B29" s="112"/>
      <c r="C29" s="16" t="s">
        <v>87</v>
      </c>
      <c r="D29" s="8" t="s">
        <v>88</v>
      </c>
      <c r="E29" s="8" t="s">
        <v>89</v>
      </c>
      <c r="F29" s="8" t="s">
        <v>90</v>
      </c>
      <c r="G29" s="8" t="s">
        <v>91</v>
      </c>
      <c r="H29" s="8" t="s">
        <v>91</v>
      </c>
      <c r="I29" s="8" t="s">
        <v>60</v>
      </c>
      <c r="J29" s="8" t="s">
        <v>52</v>
      </c>
      <c r="K29" s="8" t="s">
        <v>71</v>
      </c>
      <c r="L29" s="8" t="s">
        <v>54</v>
      </c>
    </row>
    <row r="30" spans="1:12" ht="27" thickBot="1">
      <c r="A30" s="112"/>
      <c r="B30" s="112"/>
      <c r="C30" s="16" t="s">
        <v>92</v>
      </c>
      <c r="D30" s="8" t="s">
        <v>93</v>
      </c>
      <c r="E30" s="8" t="s">
        <v>94</v>
      </c>
      <c r="F30" s="8" t="s">
        <v>95</v>
      </c>
      <c r="G30" s="8" t="s">
        <v>91</v>
      </c>
      <c r="H30" s="8" t="s">
        <v>91</v>
      </c>
      <c r="I30" s="8" t="s">
        <v>51</v>
      </c>
      <c r="J30" s="8" t="s">
        <v>52</v>
      </c>
      <c r="K30" s="8" t="s">
        <v>96</v>
      </c>
      <c r="L30" s="8" t="s">
        <v>54</v>
      </c>
    </row>
    <row r="31" spans="1:12" ht="15" customHeight="1" thickBot="1">
      <c r="A31" s="112"/>
      <c r="B31" s="112"/>
      <c r="C31" s="16" t="s">
        <v>97</v>
      </c>
      <c r="D31" s="8" t="s">
        <v>93</v>
      </c>
      <c r="E31" s="8" t="s">
        <v>89</v>
      </c>
      <c r="F31" s="8" t="s">
        <v>98</v>
      </c>
      <c r="G31" s="8" t="s">
        <v>91</v>
      </c>
      <c r="H31" s="8" t="s">
        <v>91</v>
      </c>
      <c r="I31" s="8" t="s">
        <v>51</v>
      </c>
      <c r="J31" s="8" t="s">
        <v>52</v>
      </c>
      <c r="K31" s="8" t="s">
        <v>99</v>
      </c>
      <c r="L31" s="8" t="s">
        <v>54</v>
      </c>
    </row>
    <row r="32" spans="1:12" ht="27" thickBot="1">
      <c r="A32" s="112"/>
      <c r="B32" s="112"/>
      <c r="C32" s="7" t="s">
        <v>100</v>
      </c>
      <c r="D32" s="11" t="s">
        <v>86</v>
      </c>
      <c r="E32" s="11" t="s">
        <v>101</v>
      </c>
      <c r="F32" s="12"/>
      <c r="G32" s="8" t="s">
        <v>59</v>
      </c>
      <c r="H32" s="8" t="s">
        <v>50</v>
      </c>
      <c r="I32" s="8" t="s">
        <v>51</v>
      </c>
      <c r="J32" s="8" t="s">
        <v>102</v>
      </c>
      <c r="K32" s="17" t="s">
        <v>103</v>
      </c>
      <c r="L32" s="8" t="s">
        <v>54</v>
      </c>
    </row>
    <row r="33" spans="1:12" ht="40.200000000000003" thickBot="1">
      <c r="A33" s="112"/>
      <c r="B33" s="112"/>
      <c r="C33" s="7" t="s">
        <v>104</v>
      </c>
      <c r="D33" s="11" t="s">
        <v>86</v>
      </c>
      <c r="E33" s="11" t="s">
        <v>105</v>
      </c>
      <c r="F33" s="12"/>
      <c r="G33" s="8" t="s">
        <v>59</v>
      </c>
      <c r="H33" s="8" t="s">
        <v>50</v>
      </c>
      <c r="I33" s="8" t="s">
        <v>60</v>
      </c>
      <c r="J33" s="8" t="s">
        <v>52</v>
      </c>
      <c r="K33" s="8" t="s">
        <v>71</v>
      </c>
      <c r="L33" s="8" t="s">
        <v>54</v>
      </c>
    </row>
    <row r="34" spans="1:12" ht="27" thickBot="1">
      <c r="A34" s="112"/>
      <c r="B34" s="112"/>
      <c r="C34" s="7" t="s">
        <v>106</v>
      </c>
      <c r="D34" s="11" t="s">
        <v>86</v>
      </c>
      <c r="E34" s="9" t="s">
        <v>57</v>
      </c>
      <c r="F34" s="12"/>
      <c r="G34" s="8" t="s">
        <v>59</v>
      </c>
      <c r="H34" s="8" t="s">
        <v>50</v>
      </c>
      <c r="I34" s="8" t="s">
        <v>60</v>
      </c>
      <c r="J34" s="8" t="s">
        <v>52</v>
      </c>
      <c r="K34" s="8" t="s">
        <v>71</v>
      </c>
      <c r="L34" s="8" t="s">
        <v>54</v>
      </c>
    </row>
    <row r="35" spans="1:12" ht="27" thickBot="1">
      <c r="A35" s="112"/>
      <c r="B35" s="112"/>
      <c r="C35" s="7" t="s">
        <v>107</v>
      </c>
      <c r="D35" s="11" t="s">
        <v>86</v>
      </c>
      <c r="E35" s="11" t="s">
        <v>108</v>
      </c>
      <c r="F35" s="12"/>
      <c r="G35" s="8" t="s">
        <v>59</v>
      </c>
      <c r="H35" s="8" t="s">
        <v>50</v>
      </c>
      <c r="I35" s="8" t="s">
        <v>60</v>
      </c>
      <c r="J35" s="8" t="s">
        <v>52</v>
      </c>
      <c r="K35" s="8" t="s">
        <v>71</v>
      </c>
      <c r="L35" s="8" t="s">
        <v>54</v>
      </c>
    </row>
    <row r="36" spans="1:12" ht="40.200000000000003" thickBot="1">
      <c r="A36" s="112"/>
      <c r="B36" s="112"/>
      <c r="C36" s="7" t="s">
        <v>109</v>
      </c>
      <c r="D36" s="11" t="s">
        <v>86</v>
      </c>
      <c r="E36" s="11" t="s">
        <v>105</v>
      </c>
      <c r="F36" s="12"/>
      <c r="G36" s="8" t="s">
        <v>59</v>
      </c>
      <c r="H36" s="8" t="s">
        <v>50</v>
      </c>
      <c r="I36" s="8" t="s">
        <v>60</v>
      </c>
      <c r="J36" s="8" t="s">
        <v>52</v>
      </c>
      <c r="K36" s="8" t="s">
        <v>71</v>
      </c>
      <c r="L36" s="8" t="s">
        <v>54</v>
      </c>
    </row>
    <row r="37" spans="1:12" ht="27" thickBot="1">
      <c r="A37" s="112"/>
      <c r="B37" s="112"/>
      <c r="C37" s="7" t="s">
        <v>110</v>
      </c>
      <c r="D37" s="11" t="s">
        <v>86</v>
      </c>
      <c r="E37" s="11" t="s">
        <v>111</v>
      </c>
      <c r="F37" s="12"/>
      <c r="G37" s="8" t="s">
        <v>59</v>
      </c>
      <c r="H37" s="8" t="s">
        <v>50</v>
      </c>
      <c r="I37" s="8" t="s">
        <v>60</v>
      </c>
      <c r="J37" s="8" t="s">
        <v>52</v>
      </c>
      <c r="K37" s="8" t="s">
        <v>71</v>
      </c>
      <c r="L37" s="8" t="s">
        <v>54</v>
      </c>
    </row>
    <row r="38" spans="1:12" ht="27" thickBot="1">
      <c r="A38" s="112"/>
      <c r="B38" s="112"/>
      <c r="C38" s="7" t="s">
        <v>112</v>
      </c>
      <c r="D38" s="11" t="s">
        <v>113</v>
      </c>
      <c r="E38" s="11" t="s">
        <v>114</v>
      </c>
      <c r="F38" s="12"/>
      <c r="G38" s="8" t="s">
        <v>59</v>
      </c>
      <c r="H38" s="8" t="s">
        <v>50</v>
      </c>
      <c r="I38" s="8" t="s">
        <v>60</v>
      </c>
      <c r="J38" s="8" t="s">
        <v>52</v>
      </c>
      <c r="K38" s="8" t="s">
        <v>71</v>
      </c>
      <c r="L38" s="8" t="s">
        <v>54</v>
      </c>
    </row>
    <row r="39" spans="1:12" ht="15" thickBot="1">
      <c r="A39" s="113"/>
      <c r="B39" s="113"/>
      <c r="C39" s="7" t="s">
        <v>115</v>
      </c>
      <c r="D39" s="11" t="s">
        <v>116</v>
      </c>
      <c r="E39" s="9" t="s">
        <v>117</v>
      </c>
      <c r="F39" s="8" t="s">
        <v>90</v>
      </c>
      <c r="G39" s="8" t="s">
        <v>91</v>
      </c>
      <c r="H39" s="8" t="s">
        <v>91</v>
      </c>
      <c r="I39" s="8" t="s">
        <v>60</v>
      </c>
      <c r="J39" s="8" t="s">
        <v>52</v>
      </c>
      <c r="K39" s="8" t="s">
        <v>118</v>
      </c>
      <c r="L39" s="8" t="s">
        <v>54</v>
      </c>
    </row>
    <row r="40" spans="1:12" ht="27" thickBot="1">
      <c r="A40" s="114">
        <v>5</v>
      </c>
      <c r="B40" s="114" t="s">
        <v>119</v>
      </c>
      <c r="C40" s="7" t="s">
        <v>69</v>
      </c>
      <c r="D40" s="11" t="s">
        <v>86</v>
      </c>
      <c r="E40" s="12"/>
      <c r="F40" s="12"/>
      <c r="G40" s="8" t="s">
        <v>59</v>
      </c>
      <c r="H40" s="8" t="s">
        <v>50</v>
      </c>
      <c r="I40" s="8" t="s">
        <v>60</v>
      </c>
      <c r="J40" s="8" t="s">
        <v>52</v>
      </c>
      <c r="K40" s="8" t="s">
        <v>71</v>
      </c>
      <c r="L40" s="8" t="s">
        <v>62</v>
      </c>
    </row>
    <row r="41" spans="1:12" ht="27" thickBot="1">
      <c r="A41" s="114"/>
      <c r="B41" s="114"/>
      <c r="C41" s="7" t="s">
        <v>120</v>
      </c>
      <c r="D41" s="11" t="s">
        <v>86</v>
      </c>
      <c r="E41" s="9" t="s">
        <v>57</v>
      </c>
      <c r="F41" s="12"/>
      <c r="G41" s="8" t="s">
        <v>59</v>
      </c>
      <c r="H41" s="8" t="s">
        <v>50</v>
      </c>
      <c r="I41" s="8" t="s">
        <v>60</v>
      </c>
      <c r="J41" s="8" t="s">
        <v>52</v>
      </c>
      <c r="K41" s="8" t="s">
        <v>71</v>
      </c>
      <c r="L41" s="8" t="s">
        <v>62</v>
      </c>
    </row>
    <row r="42" spans="1:12" ht="27" thickBot="1">
      <c r="A42" s="114"/>
      <c r="B42" s="114"/>
      <c r="C42" s="7" t="s">
        <v>121</v>
      </c>
      <c r="D42" s="11" t="s">
        <v>86</v>
      </c>
      <c r="E42" s="12"/>
      <c r="F42" s="12"/>
      <c r="G42" s="8" t="s">
        <v>59</v>
      </c>
      <c r="H42" s="8" t="s">
        <v>50</v>
      </c>
      <c r="I42" s="8" t="s">
        <v>60</v>
      </c>
      <c r="J42" s="8" t="s">
        <v>52</v>
      </c>
      <c r="K42" s="8" t="s">
        <v>71</v>
      </c>
      <c r="L42" s="8" t="s">
        <v>62</v>
      </c>
    </row>
    <row r="43" spans="1:12" ht="27" thickBot="1">
      <c r="A43" s="114"/>
      <c r="B43" s="114"/>
      <c r="C43" s="7" t="s">
        <v>122</v>
      </c>
      <c r="D43" s="12"/>
      <c r="E43" s="11" t="s">
        <v>123</v>
      </c>
      <c r="F43" s="12"/>
      <c r="G43" s="8" t="s">
        <v>59</v>
      </c>
      <c r="H43" s="8" t="s">
        <v>50</v>
      </c>
      <c r="I43" s="8" t="s">
        <v>60</v>
      </c>
      <c r="J43" s="8" t="s">
        <v>52</v>
      </c>
      <c r="K43" s="8" t="s">
        <v>71</v>
      </c>
      <c r="L43" s="8" t="s">
        <v>62</v>
      </c>
    </row>
    <row r="44" spans="1:12" ht="27" thickBot="1">
      <c r="A44" s="114"/>
      <c r="B44" s="114"/>
      <c r="C44" s="7" t="s">
        <v>124</v>
      </c>
      <c r="D44" s="11" t="s">
        <v>86</v>
      </c>
      <c r="E44" s="12"/>
      <c r="F44" s="12"/>
      <c r="G44" s="8" t="s">
        <v>59</v>
      </c>
      <c r="H44" s="8" t="s">
        <v>50</v>
      </c>
      <c r="I44" s="8" t="s">
        <v>60</v>
      </c>
      <c r="J44" s="8" t="s">
        <v>52</v>
      </c>
      <c r="K44" s="8" t="s">
        <v>71</v>
      </c>
      <c r="L44" s="8" t="s">
        <v>62</v>
      </c>
    </row>
    <row r="45" spans="1:12" ht="40.200000000000003" thickBot="1">
      <c r="A45" s="114"/>
      <c r="B45" s="114"/>
      <c r="C45" s="7" t="s">
        <v>125</v>
      </c>
      <c r="D45" s="11" t="s">
        <v>86</v>
      </c>
      <c r="E45" s="9" t="s">
        <v>57</v>
      </c>
      <c r="F45" s="12"/>
      <c r="G45" s="8" t="s">
        <v>59</v>
      </c>
      <c r="H45" s="8" t="s">
        <v>50</v>
      </c>
      <c r="I45" s="8" t="s">
        <v>60</v>
      </c>
      <c r="J45" s="8" t="s">
        <v>52</v>
      </c>
      <c r="K45" s="8" t="s">
        <v>71</v>
      </c>
      <c r="L45" s="8" t="s">
        <v>62</v>
      </c>
    </row>
    <row r="46" spans="1:12" ht="27" thickBot="1">
      <c r="A46" s="114"/>
      <c r="B46" s="114"/>
      <c r="C46" s="7" t="s">
        <v>126</v>
      </c>
      <c r="D46" s="11" t="s">
        <v>86</v>
      </c>
      <c r="E46" s="9"/>
      <c r="F46" s="12"/>
      <c r="G46" s="8" t="s">
        <v>59</v>
      </c>
      <c r="H46" s="8" t="s">
        <v>50</v>
      </c>
      <c r="I46" s="8" t="s">
        <v>60</v>
      </c>
      <c r="J46" s="8" t="s">
        <v>52</v>
      </c>
      <c r="K46" s="8" t="s">
        <v>71</v>
      </c>
      <c r="L46" s="8" t="s">
        <v>62</v>
      </c>
    </row>
    <row r="47" spans="1:12" ht="27" thickBot="1">
      <c r="A47" s="114"/>
      <c r="B47" s="114"/>
      <c r="C47" s="7" t="s">
        <v>127</v>
      </c>
      <c r="D47" s="11" t="s">
        <v>86</v>
      </c>
      <c r="E47" s="12"/>
      <c r="F47" s="12"/>
      <c r="G47" s="8" t="s">
        <v>59</v>
      </c>
      <c r="H47" s="8" t="s">
        <v>50</v>
      </c>
      <c r="I47" s="8" t="s">
        <v>60</v>
      </c>
      <c r="J47" s="8" t="s">
        <v>52</v>
      </c>
      <c r="K47" s="8" t="s">
        <v>71</v>
      </c>
      <c r="L47" s="8" t="s">
        <v>62</v>
      </c>
    </row>
    <row r="48" spans="1:12" ht="40.200000000000003" thickBot="1">
      <c r="A48" s="114"/>
      <c r="B48" s="114"/>
      <c r="C48" s="7" t="s">
        <v>128</v>
      </c>
      <c r="D48" s="11" t="s">
        <v>86</v>
      </c>
      <c r="E48" s="9" t="s">
        <v>57</v>
      </c>
      <c r="F48" s="12"/>
      <c r="G48" s="8" t="s">
        <v>59</v>
      </c>
      <c r="H48" s="8" t="s">
        <v>50</v>
      </c>
      <c r="I48" s="8" t="s">
        <v>60</v>
      </c>
      <c r="J48" s="8" t="s">
        <v>52</v>
      </c>
      <c r="K48" s="8" t="s">
        <v>71</v>
      </c>
      <c r="L48" s="8" t="s">
        <v>62</v>
      </c>
    </row>
    <row r="49" spans="1:12" ht="27" thickBot="1">
      <c r="A49" s="114"/>
      <c r="B49" s="114"/>
      <c r="C49" s="7" t="s">
        <v>129</v>
      </c>
      <c r="D49" s="11" t="s">
        <v>86</v>
      </c>
      <c r="E49" s="11" t="s">
        <v>130</v>
      </c>
      <c r="F49" s="12"/>
      <c r="G49" s="8" t="s">
        <v>59</v>
      </c>
      <c r="H49" s="8" t="s">
        <v>50</v>
      </c>
      <c r="I49" s="8" t="s">
        <v>60</v>
      </c>
      <c r="J49" s="8" t="s">
        <v>52</v>
      </c>
      <c r="K49" s="8" t="s">
        <v>71</v>
      </c>
      <c r="L49" s="8" t="s">
        <v>62</v>
      </c>
    </row>
    <row r="50" spans="1:12" ht="27" thickBot="1">
      <c r="A50" s="114"/>
      <c r="B50" s="114"/>
      <c r="C50" s="7" t="s">
        <v>131</v>
      </c>
      <c r="D50" s="11" t="s">
        <v>86</v>
      </c>
      <c r="E50" s="4"/>
      <c r="F50" s="12"/>
      <c r="G50" s="8" t="s">
        <v>59</v>
      </c>
      <c r="H50" s="8" t="s">
        <v>50</v>
      </c>
      <c r="I50" s="8" t="s">
        <v>60</v>
      </c>
      <c r="J50" s="8" t="s">
        <v>52</v>
      </c>
      <c r="K50" s="8" t="s">
        <v>71</v>
      </c>
      <c r="L50" s="8" t="s">
        <v>62</v>
      </c>
    </row>
    <row r="51" spans="1:12" ht="15" thickBot="1">
      <c r="A51" s="114">
        <v>6</v>
      </c>
      <c r="B51" s="114" t="s">
        <v>132</v>
      </c>
      <c r="C51" s="18" t="s">
        <v>133</v>
      </c>
      <c r="D51" s="117"/>
      <c r="E51" s="117"/>
      <c r="F51" s="117"/>
      <c r="G51" s="117"/>
      <c r="H51" s="117"/>
      <c r="I51" s="117"/>
      <c r="J51" s="117"/>
      <c r="K51" s="117"/>
      <c r="L51" s="118"/>
    </row>
    <row r="52" spans="1:12" ht="15" thickBot="1">
      <c r="A52" s="114"/>
      <c r="B52" s="114"/>
      <c r="C52" s="18" t="s">
        <v>134</v>
      </c>
      <c r="D52" s="117"/>
      <c r="E52" s="117"/>
      <c r="F52" s="117"/>
      <c r="G52" s="117"/>
      <c r="H52" s="117"/>
      <c r="I52" s="117"/>
      <c r="J52" s="117"/>
      <c r="K52" s="117"/>
      <c r="L52" s="119"/>
    </row>
    <row r="53" spans="1:12" ht="27" thickBot="1">
      <c r="A53" s="114"/>
      <c r="B53" s="114"/>
      <c r="C53" s="20" t="s">
        <v>135</v>
      </c>
      <c r="D53" s="21"/>
      <c r="E53" s="11" t="s">
        <v>136</v>
      </c>
      <c r="F53" s="12"/>
      <c r="G53" s="8" t="s">
        <v>59</v>
      </c>
      <c r="H53" s="8" t="s">
        <v>50</v>
      </c>
      <c r="I53" s="8" t="s">
        <v>60</v>
      </c>
      <c r="J53" s="8" t="s">
        <v>52</v>
      </c>
      <c r="K53" s="8" t="s">
        <v>71</v>
      </c>
      <c r="L53" s="8" t="s">
        <v>62</v>
      </c>
    </row>
    <row r="54" spans="1:12" ht="27" thickBot="1">
      <c r="A54" s="114"/>
      <c r="B54" s="114"/>
      <c r="C54" s="20" t="s">
        <v>137</v>
      </c>
      <c r="D54" s="13"/>
      <c r="E54" s="11" t="s">
        <v>136</v>
      </c>
      <c r="F54" s="12"/>
      <c r="G54" s="8" t="s">
        <v>59</v>
      </c>
      <c r="H54" s="8" t="s">
        <v>50</v>
      </c>
      <c r="I54" s="8" t="s">
        <v>60</v>
      </c>
      <c r="J54" s="8" t="s">
        <v>52</v>
      </c>
      <c r="K54" s="8" t="s">
        <v>71</v>
      </c>
      <c r="L54" s="8" t="s">
        <v>62</v>
      </c>
    </row>
    <row r="55" spans="1:12" ht="15" thickBot="1">
      <c r="A55" s="114"/>
      <c r="B55" s="114"/>
      <c r="C55" s="20" t="s">
        <v>138</v>
      </c>
      <c r="D55" s="9" t="s">
        <v>139</v>
      </c>
      <c r="E55" s="8" t="s">
        <v>140</v>
      </c>
      <c r="F55" s="8" t="s">
        <v>141</v>
      </c>
      <c r="G55" s="8" t="s">
        <v>142</v>
      </c>
      <c r="H55" s="8" t="s">
        <v>142</v>
      </c>
      <c r="I55" s="8" t="s">
        <v>143</v>
      </c>
      <c r="J55" s="8" t="s">
        <v>52</v>
      </c>
      <c r="K55" s="8" t="s">
        <v>96</v>
      </c>
      <c r="L55" s="8" t="s">
        <v>62</v>
      </c>
    </row>
    <row r="56" spans="1:12" ht="15" thickBot="1">
      <c r="A56" s="114"/>
      <c r="B56" s="114"/>
      <c r="C56" s="20" t="s">
        <v>144</v>
      </c>
      <c r="D56" s="9" t="s">
        <v>139</v>
      </c>
      <c r="E56" s="8" t="s">
        <v>145</v>
      </c>
      <c r="F56" s="8" t="s">
        <v>141</v>
      </c>
      <c r="G56" s="8" t="s">
        <v>142</v>
      </c>
      <c r="H56" s="8" t="s">
        <v>142</v>
      </c>
      <c r="I56" s="8" t="s">
        <v>143</v>
      </c>
      <c r="J56" s="8" t="s">
        <v>52</v>
      </c>
      <c r="K56" s="8" t="s">
        <v>96</v>
      </c>
      <c r="L56" s="8" t="s">
        <v>62</v>
      </c>
    </row>
    <row r="57" spans="1:12" ht="15" thickBot="1">
      <c r="A57" s="114"/>
      <c r="B57" s="114"/>
      <c r="C57" s="20" t="s">
        <v>146</v>
      </c>
      <c r="D57" s="9" t="s">
        <v>139</v>
      </c>
      <c r="E57" s="8" t="s">
        <v>147</v>
      </c>
      <c r="F57" s="8" t="s">
        <v>141</v>
      </c>
      <c r="G57" s="8" t="s">
        <v>142</v>
      </c>
      <c r="H57" s="8" t="s">
        <v>142</v>
      </c>
      <c r="I57" s="8" t="s">
        <v>143</v>
      </c>
      <c r="J57" s="8" t="s">
        <v>52</v>
      </c>
      <c r="K57" s="8" t="s">
        <v>96</v>
      </c>
      <c r="L57" s="8" t="s">
        <v>62</v>
      </c>
    </row>
    <row r="58" spans="1:12" ht="15" thickBot="1">
      <c r="A58" s="114"/>
      <c r="B58" s="114"/>
      <c r="C58" s="20" t="s">
        <v>148</v>
      </c>
      <c r="D58" s="9" t="s">
        <v>139</v>
      </c>
      <c r="E58" s="8" t="s">
        <v>149</v>
      </c>
      <c r="F58" s="8" t="s">
        <v>141</v>
      </c>
      <c r="G58" s="8" t="s">
        <v>142</v>
      </c>
      <c r="H58" s="8" t="s">
        <v>142</v>
      </c>
      <c r="I58" s="8" t="s">
        <v>143</v>
      </c>
      <c r="J58" s="8" t="s">
        <v>52</v>
      </c>
      <c r="K58" s="8" t="s">
        <v>96</v>
      </c>
      <c r="L58" s="8" t="s">
        <v>62</v>
      </c>
    </row>
    <row r="59" spans="1:12" ht="15" thickBot="1">
      <c r="A59" s="114"/>
      <c r="B59" s="114"/>
      <c r="C59" s="22" t="s">
        <v>150</v>
      </c>
      <c r="D59" s="9" t="s">
        <v>139</v>
      </c>
      <c r="E59" s="8" t="s">
        <v>151</v>
      </c>
      <c r="F59" s="8" t="s">
        <v>141</v>
      </c>
      <c r="G59" s="8" t="s">
        <v>142</v>
      </c>
      <c r="H59" s="8" t="s">
        <v>142</v>
      </c>
      <c r="I59" s="8" t="s">
        <v>143</v>
      </c>
      <c r="J59" s="8" t="s">
        <v>52</v>
      </c>
      <c r="K59" s="8" t="s">
        <v>96</v>
      </c>
      <c r="L59" s="8" t="s">
        <v>62</v>
      </c>
    </row>
    <row r="60" spans="1:12" ht="15" thickBot="1">
      <c r="A60" s="114"/>
      <c r="B60" s="114"/>
      <c r="C60" s="23" t="s">
        <v>152</v>
      </c>
      <c r="D60" s="120"/>
      <c r="E60" s="121"/>
      <c r="F60" s="121"/>
      <c r="G60" s="121"/>
      <c r="H60" s="121"/>
      <c r="I60" s="121"/>
      <c r="J60" s="121"/>
      <c r="K60" s="121"/>
      <c r="L60" s="122"/>
    </row>
    <row r="61" spans="1:12" ht="15" thickBot="1">
      <c r="A61" s="114"/>
      <c r="B61" s="114"/>
      <c r="C61" s="24" t="s">
        <v>153</v>
      </c>
      <c r="D61" s="9" t="s">
        <v>154</v>
      </c>
      <c r="E61" s="9" t="s">
        <v>155</v>
      </c>
      <c r="F61" s="12"/>
      <c r="G61" s="8" t="s">
        <v>59</v>
      </c>
      <c r="H61" s="8" t="s">
        <v>50</v>
      </c>
      <c r="I61" s="8" t="s">
        <v>143</v>
      </c>
      <c r="J61" s="8" t="s">
        <v>102</v>
      </c>
      <c r="K61" s="8"/>
      <c r="L61" s="4"/>
    </row>
    <row r="62" spans="1:12" ht="23.4" thickBot="1">
      <c r="A62" s="114"/>
      <c r="B62" s="114"/>
      <c r="C62" s="22" t="s">
        <v>156</v>
      </c>
      <c r="D62" s="19" t="s">
        <v>157</v>
      </c>
      <c r="E62" s="12"/>
      <c r="F62" s="12"/>
      <c r="G62" s="8" t="s">
        <v>59</v>
      </c>
      <c r="H62" s="8" t="s">
        <v>50</v>
      </c>
      <c r="I62" s="8" t="s">
        <v>60</v>
      </c>
      <c r="J62" s="8" t="s">
        <v>52</v>
      </c>
      <c r="K62" s="8" t="s">
        <v>158</v>
      </c>
      <c r="L62" s="8" t="s">
        <v>54</v>
      </c>
    </row>
    <row r="63" spans="1:12" ht="27" thickBot="1">
      <c r="A63" s="114"/>
      <c r="B63" s="114"/>
      <c r="C63" s="24" t="s">
        <v>159</v>
      </c>
      <c r="D63" s="8" t="s">
        <v>160</v>
      </c>
      <c r="E63" s="8" t="s">
        <v>161</v>
      </c>
      <c r="F63" s="8" t="s">
        <v>162</v>
      </c>
      <c r="G63" s="8" t="s">
        <v>59</v>
      </c>
      <c r="H63" s="8" t="s">
        <v>50</v>
      </c>
      <c r="I63" s="8" t="s">
        <v>60</v>
      </c>
      <c r="J63" s="8" t="s">
        <v>52</v>
      </c>
      <c r="K63" s="8" t="s">
        <v>118</v>
      </c>
      <c r="L63" s="8" t="s">
        <v>54</v>
      </c>
    </row>
    <row r="64" spans="1:12" ht="15" thickBot="1">
      <c r="A64" s="114"/>
      <c r="B64" s="114"/>
      <c r="C64" s="24" t="s">
        <v>163</v>
      </c>
      <c r="D64" s="8" t="s">
        <v>164</v>
      </c>
      <c r="E64" s="8" t="s">
        <v>165</v>
      </c>
      <c r="F64" s="8" t="s">
        <v>98</v>
      </c>
      <c r="G64" s="8" t="s">
        <v>59</v>
      </c>
      <c r="H64" s="8" t="s">
        <v>50</v>
      </c>
      <c r="I64" s="8" t="s">
        <v>60</v>
      </c>
      <c r="J64" s="8" t="s">
        <v>52</v>
      </c>
      <c r="K64" s="8" t="s">
        <v>99</v>
      </c>
      <c r="L64" s="8" t="s">
        <v>54</v>
      </c>
    </row>
    <row r="65" spans="1:12" ht="15" thickBot="1">
      <c r="A65" s="114"/>
      <c r="B65" s="114"/>
      <c r="C65" s="24" t="s">
        <v>166</v>
      </c>
      <c r="D65" s="8" t="s">
        <v>164</v>
      </c>
      <c r="E65" s="8" t="s">
        <v>167</v>
      </c>
      <c r="F65" s="8" t="s">
        <v>98</v>
      </c>
      <c r="G65" s="8" t="s">
        <v>59</v>
      </c>
      <c r="H65" s="8" t="s">
        <v>50</v>
      </c>
      <c r="I65" s="8" t="s">
        <v>60</v>
      </c>
      <c r="J65" s="8" t="s">
        <v>52</v>
      </c>
      <c r="K65" s="8" t="s">
        <v>99</v>
      </c>
      <c r="L65" s="8" t="s">
        <v>54</v>
      </c>
    </row>
    <row r="66" spans="1:12" ht="27" thickBot="1">
      <c r="A66" s="114"/>
      <c r="B66" s="114"/>
      <c r="C66" s="24" t="s">
        <v>168</v>
      </c>
      <c r="D66" s="8" t="s">
        <v>160</v>
      </c>
      <c r="E66" s="8" t="s">
        <v>167</v>
      </c>
      <c r="F66" s="8" t="s">
        <v>162</v>
      </c>
      <c r="G66" s="8" t="s">
        <v>59</v>
      </c>
      <c r="H66" s="8" t="s">
        <v>50</v>
      </c>
      <c r="I66" s="8" t="s">
        <v>60</v>
      </c>
      <c r="J66" s="8" t="s">
        <v>52</v>
      </c>
      <c r="K66" s="8" t="s">
        <v>118</v>
      </c>
      <c r="L66" s="8" t="s">
        <v>54</v>
      </c>
    </row>
    <row r="67" spans="1:12" ht="15" thickBot="1">
      <c r="A67" s="114"/>
      <c r="B67" s="114"/>
      <c r="C67" s="24" t="s">
        <v>169</v>
      </c>
      <c r="D67" s="8" t="s">
        <v>164</v>
      </c>
      <c r="E67" s="8" t="s">
        <v>167</v>
      </c>
      <c r="F67" s="8" t="s">
        <v>98</v>
      </c>
      <c r="G67" s="8" t="s">
        <v>59</v>
      </c>
      <c r="H67" s="8" t="s">
        <v>50</v>
      </c>
      <c r="I67" s="8" t="s">
        <v>143</v>
      </c>
      <c r="J67" s="8" t="s">
        <v>52</v>
      </c>
      <c r="K67" s="8" t="s">
        <v>99</v>
      </c>
      <c r="L67" s="8" t="s">
        <v>54</v>
      </c>
    </row>
    <row r="68" spans="1:12" ht="15" thickBot="1">
      <c r="A68" s="114"/>
      <c r="B68" s="114"/>
      <c r="C68" s="24" t="s">
        <v>170</v>
      </c>
      <c r="D68" s="8" t="s">
        <v>164</v>
      </c>
      <c r="E68" s="8" t="s">
        <v>167</v>
      </c>
      <c r="F68" s="8" t="s">
        <v>98</v>
      </c>
      <c r="G68" s="8" t="s">
        <v>59</v>
      </c>
      <c r="H68" s="8" t="s">
        <v>50</v>
      </c>
      <c r="I68" s="8" t="s">
        <v>143</v>
      </c>
      <c r="J68" s="8" t="s">
        <v>52</v>
      </c>
      <c r="K68" s="8" t="s">
        <v>99</v>
      </c>
      <c r="L68" s="8" t="s">
        <v>54</v>
      </c>
    </row>
    <row r="69" spans="1:12" ht="15" thickBot="1">
      <c r="A69" s="114"/>
      <c r="B69" s="114"/>
      <c r="C69" s="24" t="s">
        <v>171</v>
      </c>
      <c r="D69" s="8" t="s">
        <v>164</v>
      </c>
      <c r="E69" s="8" t="s">
        <v>167</v>
      </c>
      <c r="F69" s="8" t="s">
        <v>98</v>
      </c>
      <c r="G69" s="8" t="s">
        <v>59</v>
      </c>
      <c r="H69" s="8" t="s">
        <v>50</v>
      </c>
      <c r="I69" s="8" t="s">
        <v>143</v>
      </c>
      <c r="J69" s="8" t="s">
        <v>52</v>
      </c>
      <c r="K69" s="8" t="s">
        <v>99</v>
      </c>
      <c r="L69" s="8" t="s">
        <v>54</v>
      </c>
    </row>
    <row r="70" spans="1:12" ht="15" thickBot="1">
      <c r="A70" s="114"/>
      <c r="B70" s="114"/>
      <c r="C70" s="23" t="s">
        <v>172</v>
      </c>
      <c r="D70" s="117"/>
      <c r="E70" s="117"/>
      <c r="F70" s="117"/>
      <c r="G70" s="117"/>
      <c r="H70" s="117"/>
      <c r="I70" s="117"/>
      <c r="J70" s="117"/>
      <c r="K70" s="117"/>
      <c r="L70" s="4"/>
    </row>
    <row r="71" spans="1:12" ht="15" thickBot="1">
      <c r="A71" s="114"/>
      <c r="B71" s="114"/>
      <c r="C71" s="24" t="s">
        <v>153</v>
      </c>
      <c r="D71" s="9" t="s">
        <v>154</v>
      </c>
      <c r="E71" s="9" t="s">
        <v>155</v>
      </c>
      <c r="F71" s="12"/>
      <c r="G71" s="8" t="s">
        <v>59</v>
      </c>
      <c r="H71" s="8" t="s">
        <v>50</v>
      </c>
      <c r="I71" s="8" t="s">
        <v>143</v>
      </c>
      <c r="J71" s="8" t="s">
        <v>102</v>
      </c>
      <c r="K71" s="8" t="s">
        <v>118</v>
      </c>
      <c r="L71" s="8" t="s">
        <v>62</v>
      </c>
    </row>
    <row r="72" spans="1:12" ht="34.799999999999997" thickBot="1">
      <c r="A72" s="114"/>
      <c r="B72" s="114"/>
      <c r="C72" s="25" t="s">
        <v>173</v>
      </c>
      <c r="D72" s="9" t="s">
        <v>157</v>
      </c>
      <c r="E72" s="8" t="s">
        <v>174</v>
      </c>
      <c r="F72" s="8" t="s">
        <v>175</v>
      </c>
      <c r="G72" s="8" t="s">
        <v>142</v>
      </c>
      <c r="H72" s="8" t="s">
        <v>142</v>
      </c>
      <c r="I72" s="8" t="s">
        <v>60</v>
      </c>
      <c r="J72" s="8" t="s">
        <v>52</v>
      </c>
      <c r="K72" s="8" t="s">
        <v>118</v>
      </c>
      <c r="L72" s="8" t="s">
        <v>62</v>
      </c>
    </row>
    <row r="73" spans="1:12" ht="15" thickBot="1">
      <c r="A73" s="114"/>
      <c r="B73" s="114"/>
      <c r="C73" s="24" t="s">
        <v>159</v>
      </c>
      <c r="D73" s="8" t="s">
        <v>160</v>
      </c>
      <c r="E73" s="8" t="s">
        <v>174</v>
      </c>
      <c r="F73" s="8" t="s">
        <v>175</v>
      </c>
      <c r="G73" s="8" t="s">
        <v>59</v>
      </c>
      <c r="H73" s="8" t="s">
        <v>50</v>
      </c>
      <c r="I73" s="8" t="s">
        <v>60</v>
      </c>
      <c r="J73" s="8" t="s">
        <v>52</v>
      </c>
      <c r="K73" s="8" t="s">
        <v>118</v>
      </c>
      <c r="L73" s="8" t="s">
        <v>62</v>
      </c>
    </row>
    <row r="74" spans="1:12" ht="15" thickBot="1">
      <c r="A74" s="114"/>
      <c r="B74" s="114"/>
      <c r="C74" s="24" t="s">
        <v>138</v>
      </c>
      <c r="D74" s="8" t="s">
        <v>160</v>
      </c>
      <c r="E74" s="8" t="s">
        <v>174</v>
      </c>
      <c r="F74" s="8" t="s">
        <v>175</v>
      </c>
      <c r="G74" s="8" t="s">
        <v>59</v>
      </c>
      <c r="H74" s="8" t="s">
        <v>50</v>
      </c>
      <c r="I74" s="8" t="s">
        <v>60</v>
      </c>
      <c r="J74" s="8" t="s">
        <v>52</v>
      </c>
      <c r="K74" s="8" t="s">
        <v>118</v>
      </c>
      <c r="L74" s="8" t="s">
        <v>62</v>
      </c>
    </row>
    <row r="75" spans="1:12" ht="15" thickBot="1">
      <c r="A75" s="114"/>
      <c r="B75" s="114"/>
      <c r="C75" s="24" t="s">
        <v>169</v>
      </c>
      <c r="D75" s="8" t="s">
        <v>164</v>
      </c>
      <c r="E75" s="8" t="s">
        <v>176</v>
      </c>
      <c r="F75" s="8" t="s">
        <v>98</v>
      </c>
      <c r="G75" s="8" t="s">
        <v>59</v>
      </c>
      <c r="H75" s="8" t="s">
        <v>50</v>
      </c>
      <c r="I75" s="8" t="s">
        <v>143</v>
      </c>
      <c r="J75" s="8" t="s">
        <v>52</v>
      </c>
      <c r="K75" s="8" t="s">
        <v>99</v>
      </c>
      <c r="L75" s="8" t="s">
        <v>62</v>
      </c>
    </row>
    <row r="76" spans="1:12" ht="15" thickBot="1">
      <c r="A76" s="114"/>
      <c r="B76" s="114"/>
      <c r="C76" s="24" t="s">
        <v>177</v>
      </c>
      <c r="D76" s="8" t="s">
        <v>164</v>
      </c>
      <c r="E76" s="8" t="s">
        <v>174</v>
      </c>
      <c r="F76" s="8" t="s">
        <v>98</v>
      </c>
      <c r="G76" s="8" t="s">
        <v>59</v>
      </c>
      <c r="H76" s="8" t="s">
        <v>50</v>
      </c>
      <c r="I76" s="8" t="s">
        <v>143</v>
      </c>
      <c r="J76" s="8" t="s">
        <v>52</v>
      </c>
      <c r="K76" s="8" t="s">
        <v>99</v>
      </c>
      <c r="L76" s="8" t="s">
        <v>62</v>
      </c>
    </row>
    <row r="77" spans="1:12" ht="15" thickBot="1">
      <c r="A77" s="114"/>
      <c r="B77" s="114"/>
      <c r="C77" s="24" t="s">
        <v>171</v>
      </c>
      <c r="D77" s="8" t="s">
        <v>164</v>
      </c>
      <c r="E77" s="8" t="s">
        <v>174</v>
      </c>
      <c r="F77" s="8" t="s">
        <v>98</v>
      </c>
      <c r="G77" s="8" t="s">
        <v>59</v>
      </c>
      <c r="H77" s="8" t="s">
        <v>50</v>
      </c>
      <c r="I77" s="8" t="s">
        <v>143</v>
      </c>
      <c r="J77" s="8" t="s">
        <v>52</v>
      </c>
      <c r="K77" s="8" t="s">
        <v>99</v>
      </c>
      <c r="L77" s="8" t="s">
        <v>62</v>
      </c>
    </row>
    <row r="78" spans="1:12" ht="15" thickBot="1">
      <c r="A78" s="114"/>
      <c r="B78" s="114"/>
      <c r="C78" s="24" t="s">
        <v>178</v>
      </c>
      <c r="D78" s="8" t="s">
        <v>164</v>
      </c>
      <c r="E78" s="8" t="s">
        <v>174</v>
      </c>
      <c r="F78" s="8" t="s">
        <v>98</v>
      </c>
      <c r="G78" s="8" t="s">
        <v>59</v>
      </c>
      <c r="H78" s="8" t="s">
        <v>50</v>
      </c>
      <c r="I78" s="8" t="s">
        <v>143</v>
      </c>
      <c r="J78" s="8" t="s">
        <v>52</v>
      </c>
      <c r="K78" s="8" t="s">
        <v>99</v>
      </c>
      <c r="L78" s="8" t="s">
        <v>62</v>
      </c>
    </row>
    <row r="79" spans="1:12" ht="15" thickBot="1">
      <c r="A79" s="114"/>
      <c r="B79" s="114"/>
      <c r="C79" s="23" t="s">
        <v>179</v>
      </c>
      <c r="D79" s="117"/>
      <c r="E79" s="117"/>
      <c r="F79" s="117"/>
      <c r="G79" s="117"/>
      <c r="H79" s="117"/>
      <c r="I79" s="117"/>
      <c r="J79" s="117"/>
      <c r="K79" s="117"/>
      <c r="L79" s="4"/>
    </row>
    <row r="80" spans="1:12" ht="15" thickBot="1">
      <c r="A80" s="114"/>
      <c r="B80" s="114"/>
      <c r="C80" s="24" t="s">
        <v>180</v>
      </c>
      <c r="D80" s="8" t="s">
        <v>164</v>
      </c>
      <c r="E80" s="9" t="s">
        <v>181</v>
      </c>
      <c r="F80" s="8" t="s">
        <v>98</v>
      </c>
      <c r="G80" s="8" t="s">
        <v>59</v>
      </c>
      <c r="H80" s="8" t="s">
        <v>50</v>
      </c>
      <c r="I80" s="8" t="s">
        <v>143</v>
      </c>
      <c r="J80" s="8" t="s">
        <v>52</v>
      </c>
      <c r="K80" s="8" t="s">
        <v>99</v>
      </c>
      <c r="L80" s="8" t="s">
        <v>62</v>
      </c>
    </row>
    <row r="81" spans="1:12" ht="15" thickBot="1">
      <c r="A81" s="114"/>
      <c r="B81" s="114"/>
      <c r="C81" s="24" t="s">
        <v>182</v>
      </c>
      <c r="D81" s="8" t="s">
        <v>164</v>
      </c>
      <c r="E81" s="9" t="s">
        <v>181</v>
      </c>
      <c r="F81" s="8" t="s">
        <v>98</v>
      </c>
      <c r="G81" s="8" t="s">
        <v>59</v>
      </c>
      <c r="H81" s="8" t="s">
        <v>50</v>
      </c>
      <c r="I81" s="8" t="s">
        <v>143</v>
      </c>
      <c r="J81" s="8" t="s">
        <v>52</v>
      </c>
      <c r="K81" s="8" t="s">
        <v>99</v>
      </c>
      <c r="L81" s="8" t="s">
        <v>62</v>
      </c>
    </row>
    <row r="82" spans="1:12" ht="15" thickBot="1">
      <c r="A82" s="114"/>
      <c r="B82" s="114"/>
      <c r="C82" s="24" t="s">
        <v>183</v>
      </c>
      <c r="D82" s="8" t="s">
        <v>164</v>
      </c>
      <c r="E82" s="9" t="s">
        <v>181</v>
      </c>
      <c r="F82" s="8" t="s">
        <v>98</v>
      </c>
      <c r="G82" s="8" t="s">
        <v>59</v>
      </c>
      <c r="H82" s="8" t="s">
        <v>50</v>
      </c>
      <c r="I82" s="8" t="s">
        <v>143</v>
      </c>
      <c r="J82" s="8" t="s">
        <v>52</v>
      </c>
      <c r="K82" s="8" t="s">
        <v>99</v>
      </c>
      <c r="L82" s="8" t="s">
        <v>62</v>
      </c>
    </row>
    <row r="83" spans="1:12" ht="23.4" thickBot="1">
      <c r="A83" s="114"/>
      <c r="B83" s="114"/>
      <c r="C83" s="25" t="s">
        <v>184</v>
      </c>
      <c r="D83" s="8" t="s">
        <v>164</v>
      </c>
      <c r="E83" s="9" t="s">
        <v>181</v>
      </c>
      <c r="F83" s="8" t="s">
        <v>98</v>
      </c>
      <c r="G83" s="8" t="s">
        <v>59</v>
      </c>
      <c r="H83" s="8" t="s">
        <v>50</v>
      </c>
      <c r="I83" s="8" t="s">
        <v>143</v>
      </c>
      <c r="J83" s="8" t="s">
        <v>52</v>
      </c>
      <c r="K83" s="8" t="s">
        <v>99</v>
      </c>
      <c r="L83" s="8" t="s">
        <v>62</v>
      </c>
    </row>
    <row r="84" spans="1:12" ht="15" thickBot="1">
      <c r="A84" s="114"/>
      <c r="B84" s="114"/>
      <c r="C84" s="24" t="s">
        <v>185</v>
      </c>
      <c r="D84" s="8" t="s">
        <v>164</v>
      </c>
      <c r="E84" s="9" t="s">
        <v>181</v>
      </c>
      <c r="F84" s="8" t="s">
        <v>98</v>
      </c>
      <c r="G84" s="8" t="s">
        <v>59</v>
      </c>
      <c r="H84" s="8" t="s">
        <v>50</v>
      </c>
      <c r="I84" s="8" t="s">
        <v>143</v>
      </c>
      <c r="J84" s="8" t="s">
        <v>52</v>
      </c>
      <c r="K84" s="8" t="s">
        <v>99</v>
      </c>
      <c r="L84" s="8" t="s">
        <v>62</v>
      </c>
    </row>
    <row r="85" spans="1:12" ht="15" thickBot="1">
      <c r="A85" s="114"/>
      <c r="B85" s="114"/>
      <c r="C85" s="24" t="s">
        <v>186</v>
      </c>
      <c r="D85" s="8" t="s">
        <v>164</v>
      </c>
      <c r="E85" s="9" t="s">
        <v>181</v>
      </c>
      <c r="F85" s="8" t="s">
        <v>98</v>
      </c>
      <c r="G85" s="8" t="s">
        <v>59</v>
      </c>
      <c r="H85" s="8" t="s">
        <v>50</v>
      </c>
      <c r="I85" s="8" t="s">
        <v>143</v>
      </c>
      <c r="J85" s="8" t="s">
        <v>52</v>
      </c>
      <c r="K85" s="8" t="s">
        <v>99</v>
      </c>
      <c r="L85" s="8" t="s">
        <v>62</v>
      </c>
    </row>
    <row r="86" spans="1:12" ht="15" thickBot="1">
      <c r="A86" s="114"/>
      <c r="B86" s="114"/>
      <c r="C86" s="24" t="s">
        <v>187</v>
      </c>
      <c r="D86" s="8" t="s">
        <v>164</v>
      </c>
      <c r="E86" s="9" t="s">
        <v>181</v>
      </c>
      <c r="F86" s="8" t="s">
        <v>98</v>
      </c>
      <c r="G86" s="8" t="s">
        <v>59</v>
      </c>
      <c r="H86" s="8" t="s">
        <v>50</v>
      </c>
      <c r="I86" s="8" t="s">
        <v>143</v>
      </c>
      <c r="J86" s="8" t="s">
        <v>52</v>
      </c>
      <c r="K86" s="8" t="s">
        <v>99</v>
      </c>
      <c r="L86" s="8" t="s">
        <v>62</v>
      </c>
    </row>
    <row r="87" spans="1:12" ht="15" thickBot="1">
      <c r="A87" s="114"/>
      <c r="B87" s="114"/>
      <c r="C87" s="24" t="s">
        <v>188</v>
      </c>
      <c r="D87" s="8" t="s">
        <v>164</v>
      </c>
      <c r="E87" s="9" t="s">
        <v>181</v>
      </c>
      <c r="F87" s="8" t="s">
        <v>98</v>
      </c>
      <c r="G87" s="8" t="s">
        <v>59</v>
      </c>
      <c r="H87" s="8" t="s">
        <v>50</v>
      </c>
      <c r="I87" s="8" t="s">
        <v>143</v>
      </c>
      <c r="J87" s="8" t="s">
        <v>52</v>
      </c>
      <c r="K87" s="8" t="s">
        <v>99</v>
      </c>
      <c r="L87" s="8" t="s">
        <v>62</v>
      </c>
    </row>
    <row r="88" spans="1:12" ht="15" thickBot="1">
      <c r="A88" s="114"/>
      <c r="B88" s="114"/>
      <c r="C88" s="24" t="s">
        <v>189</v>
      </c>
      <c r="D88" s="8" t="s">
        <v>164</v>
      </c>
      <c r="E88" s="9" t="s">
        <v>181</v>
      </c>
      <c r="F88" s="8" t="s">
        <v>98</v>
      </c>
      <c r="G88" s="8" t="s">
        <v>59</v>
      </c>
      <c r="H88" s="8" t="s">
        <v>50</v>
      </c>
      <c r="I88" s="8" t="s">
        <v>143</v>
      </c>
      <c r="J88" s="8" t="s">
        <v>52</v>
      </c>
      <c r="K88" s="8" t="s">
        <v>99</v>
      </c>
      <c r="L88" s="8" t="s">
        <v>62</v>
      </c>
    </row>
    <row r="89" spans="1:12" ht="15" thickBot="1">
      <c r="A89" s="114"/>
      <c r="B89" s="114"/>
      <c r="C89" s="24" t="s">
        <v>190</v>
      </c>
      <c r="D89" s="8" t="s">
        <v>164</v>
      </c>
      <c r="E89" s="9" t="s">
        <v>181</v>
      </c>
      <c r="F89" s="8" t="s">
        <v>98</v>
      </c>
      <c r="G89" s="8" t="s">
        <v>59</v>
      </c>
      <c r="H89" s="8" t="s">
        <v>50</v>
      </c>
      <c r="I89" s="8" t="s">
        <v>143</v>
      </c>
      <c r="J89" s="8" t="s">
        <v>52</v>
      </c>
      <c r="K89" s="8" t="s">
        <v>99</v>
      </c>
      <c r="L89" s="8" t="s">
        <v>62</v>
      </c>
    </row>
    <row r="90" spans="1:12" ht="15" thickBot="1">
      <c r="A90" s="114"/>
      <c r="B90" s="114"/>
      <c r="C90" s="24" t="s">
        <v>191</v>
      </c>
      <c r="D90" s="8" t="s">
        <v>164</v>
      </c>
      <c r="E90" s="9" t="s">
        <v>181</v>
      </c>
      <c r="F90" s="8" t="s">
        <v>98</v>
      </c>
      <c r="G90" s="8" t="s">
        <v>59</v>
      </c>
      <c r="H90" s="8" t="s">
        <v>50</v>
      </c>
      <c r="I90" s="8" t="s">
        <v>143</v>
      </c>
      <c r="J90" s="8" t="s">
        <v>52</v>
      </c>
      <c r="K90" s="8" t="s">
        <v>99</v>
      </c>
      <c r="L90" s="8" t="s">
        <v>62</v>
      </c>
    </row>
    <row r="91" spans="1:12" ht="15" thickBot="1">
      <c r="A91" s="114"/>
      <c r="B91" s="114"/>
      <c r="C91" s="24" t="s">
        <v>192</v>
      </c>
      <c r="D91" s="8" t="s">
        <v>164</v>
      </c>
      <c r="E91" s="9" t="s">
        <v>181</v>
      </c>
      <c r="F91" s="8" t="s">
        <v>98</v>
      </c>
      <c r="G91" s="8" t="s">
        <v>59</v>
      </c>
      <c r="H91" s="8" t="s">
        <v>50</v>
      </c>
      <c r="I91" s="8" t="s">
        <v>143</v>
      </c>
      <c r="J91" s="8" t="s">
        <v>52</v>
      </c>
      <c r="K91" s="8" t="s">
        <v>99</v>
      </c>
      <c r="L91" s="8" t="s">
        <v>62</v>
      </c>
    </row>
    <row r="92" spans="1:12" ht="15" thickBot="1">
      <c r="A92" s="114"/>
      <c r="B92" s="114"/>
      <c r="C92" s="23" t="s">
        <v>193</v>
      </c>
      <c r="D92" s="123"/>
      <c r="E92" s="123"/>
      <c r="F92" s="123"/>
      <c r="G92" s="123"/>
      <c r="H92" s="123"/>
      <c r="I92" s="123"/>
      <c r="J92" s="123"/>
      <c r="K92" s="123"/>
      <c r="L92" s="4"/>
    </row>
    <row r="93" spans="1:12" ht="15" thickBot="1">
      <c r="A93" s="114"/>
      <c r="B93" s="114"/>
      <c r="C93" s="24" t="s">
        <v>194</v>
      </c>
      <c r="D93" s="9" t="s">
        <v>157</v>
      </c>
      <c r="E93" s="9" t="s">
        <v>195</v>
      </c>
      <c r="F93" s="8" t="s">
        <v>141</v>
      </c>
      <c r="G93" s="8" t="s">
        <v>59</v>
      </c>
      <c r="H93" s="8" t="s">
        <v>50</v>
      </c>
      <c r="I93" s="8" t="s">
        <v>143</v>
      </c>
      <c r="J93" s="8" t="s">
        <v>52</v>
      </c>
      <c r="K93" s="8" t="s">
        <v>96</v>
      </c>
      <c r="L93" s="8" t="s">
        <v>54</v>
      </c>
    </row>
    <row r="94" spans="1:12" ht="15" thickBot="1">
      <c r="A94" s="114"/>
      <c r="B94" s="114"/>
      <c r="C94" s="26" t="s">
        <v>196</v>
      </c>
      <c r="D94" s="8" t="s">
        <v>197</v>
      </c>
      <c r="E94" s="8" t="s">
        <v>155</v>
      </c>
      <c r="F94" s="8" t="s">
        <v>175</v>
      </c>
      <c r="G94" s="13"/>
      <c r="H94" s="13"/>
      <c r="I94" s="13"/>
      <c r="J94" s="13"/>
      <c r="K94" s="8" t="s">
        <v>96</v>
      </c>
      <c r="L94" s="8" t="s">
        <v>62</v>
      </c>
    </row>
    <row r="95" spans="1:12" ht="15" thickBot="1">
      <c r="A95" s="114"/>
      <c r="B95" s="114"/>
      <c r="C95" s="23" t="s">
        <v>198</v>
      </c>
      <c r="D95" s="13"/>
      <c r="E95" s="13"/>
      <c r="F95" s="13"/>
      <c r="G95" s="13"/>
      <c r="H95" s="13"/>
      <c r="I95" s="13"/>
      <c r="J95" s="13"/>
      <c r="K95" s="13"/>
      <c r="L95" s="4"/>
    </row>
    <row r="96" spans="1:12" ht="15" thickBot="1">
      <c r="A96" s="114"/>
      <c r="B96" s="114"/>
      <c r="C96" s="24" t="s">
        <v>199</v>
      </c>
      <c r="D96" s="8" t="s">
        <v>200</v>
      </c>
      <c r="E96" s="8" t="s">
        <v>201</v>
      </c>
      <c r="F96" s="8" t="s">
        <v>175</v>
      </c>
      <c r="G96" s="8" t="s">
        <v>59</v>
      </c>
      <c r="H96" s="8" t="s">
        <v>50</v>
      </c>
      <c r="I96" s="8" t="s">
        <v>60</v>
      </c>
      <c r="J96" s="8" t="s">
        <v>52</v>
      </c>
      <c r="K96" s="8" t="s">
        <v>202</v>
      </c>
      <c r="L96" s="8" t="s">
        <v>62</v>
      </c>
    </row>
    <row r="97" spans="1:12" ht="23.4" thickBot="1">
      <c r="A97" s="114"/>
      <c r="B97" s="114"/>
      <c r="C97" s="25" t="s">
        <v>203</v>
      </c>
      <c r="D97" s="8"/>
      <c r="E97" s="8" t="s">
        <v>204</v>
      </c>
      <c r="F97" s="8" t="s">
        <v>175</v>
      </c>
      <c r="G97" s="8" t="s">
        <v>59</v>
      </c>
      <c r="H97" s="8" t="s">
        <v>50</v>
      </c>
      <c r="I97" s="8" t="s">
        <v>60</v>
      </c>
      <c r="J97" s="8" t="s">
        <v>52</v>
      </c>
      <c r="K97" s="8" t="s">
        <v>158</v>
      </c>
      <c r="L97" s="8" t="s">
        <v>62</v>
      </c>
    </row>
    <row r="98" spans="1:12" ht="15" thickBot="1">
      <c r="A98" s="114"/>
      <c r="B98" s="114"/>
      <c r="C98" s="24" t="s">
        <v>205</v>
      </c>
      <c r="D98" s="9" t="s">
        <v>206</v>
      </c>
      <c r="E98" s="13"/>
      <c r="F98" s="8" t="s">
        <v>175</v>
      </c>
      <c r="G98" s="8" t="s">
        <v>59</v>
      </c>
      <c r="H98" s="8" t="s">
        <v>50</v>
      </c>
      <c r="I98" s="8" t="s">
        <v>60</v>
      </c>
      <c r="J98" s="8" t="s">
        <v>52</v>
      </c>
      <c r="K98" s="8" t="s">
        <v>118</v>
      </c>
      <c r="L98" s="8" t="s">
        <v>62</v>
      </c>
    </row>
    <row r="99" spans="1:12" ht="15" thickBot="1">
      <c r="A99" s="114"/>
      <c r="B99" s="114"/>
      <c r="C99" s="23" t="s">
        <v>207</v>
      </c>
      <c r="D99" s="13"/>
      <c r="E99" s="13"/>
      <c r="F99" s="13"/>
      <c r="G99" s="13"/>
      <c r="H99" s="13"/>
      <c r="I99" s="13"/>
      <c r="J99" s="13"/>
      <c r="K99" s="13"/>
      <c r="L99" s="4"/>
    </row>
    <row r="100" spans="1:12" ht="27" thickBot="1">
      <c r="A100" s="114"/>
      <c r="B100" s="114"/>
      <c r="C100" s="24" t="s">
        <v>208</v>
      </c>
      <c r="D100" s="11" t="s">
        <v>86</v>
      </c>
      <c r="E100" s="9" t="s">
        <v>57</v>
      </c>
      <c r="F100" s="13"/>
      <c r="G100" s="8" t="s">
        <v>59</v>
      </c>
      <c r="H100" s="8" t="s">
        <v>50</v>
      </c>
      <c r="I100" s="8" t="s">
        <v>60</v>
      </c>
      <c r="J100" s="8" t="s">
        <v>52</v>
      </c>
      <c r="K100" s="8" t="s">
        <v>71</v>
      </c>
      <c r="L100" s="8" t="s">
        <v>62</v>
      </c>
    </row>
    <row r="101" spans="1:12" ht="27" thickBot="1">
      <c r="A101" s="114"/>
      <c r="B101" s="114"/>
      <c r="C101" s="22" t="s">
        <v>209</v>
      </c>
      <c r="D101" s="11" t="s">
        <v>86</v>
      </c>
      <c r="E101" s="9" t="s">
        <v>57</v>
      </c>
      <c r="F101" s="13"/>
      <c r="G101" s="8" t="s">
        <v>59</v>
      </c>
      <c r="H101" s="8" t="s">
        <v>50</v>
      </c>
      <c r="I101" s="8" t="s">
        <v>60</v>
      </c>
      <c r="J101" s="8" t="s">
        <v>52</v>
      </c>
      <c r="K101" s="8" t="s">
        <v>71</v>
      </c>
      <c r="L101" s="8" t="s">
        <v>62</v>
      </c>
    </row>
    <row r="102" spans="1:12" ht="27" thickBot="1">
      <c r="A102" s="114"/>
      <c r="B102" s="114"/>
      <c r="C102" s="22" t="s">
        <v>210</v>
      </c>
      <c r="D102" s="11" t="s">
        <v>86</v>
      </c>
      <c r="E102" s="9" t="s">
        <v>57</v>
      </c>
      <c r="F102" s="13"/>
      <c r="G102" s="8" t="s">
        <v>59</v>
      </c>
      <c r="H102" s="8" t="s">
        <v>50</v>
      </c>
      <c r="I102" s="8" t="s">
        <v>60</v>
      </c>
      <c r="J102" s="8" t="s">
        <v>52</v>
      </c>
      <c r="K102" s="8" t="s">
        <v>71</v>
      </c>
      <c r="L102" s="8" t="s">
        <v>62</v>
      </c>
    </row>
    <row r="103" spans="1:12" ht="27" thickBot="1">
      <c r="A103" s="114"/>
      <c r="B103" s="114"/>
      <c r="C103" s="25" t="s">
        <v>211</v>
      </c>
      <c r="D103" s="11" t="s">
        <v>86</v>
      </c>
      <c r="E103" s="9" t="s">
        <v>57</v>
      </c>
      <c r="F103" s="13"/>
      <c r="G103" s="8" t="s">
        <v>59</v>
      </c>
      <c r="H103" s="8" t="s">
        <v>50</v>
      </c>
      <c r="I103" s="8" t="s">
        <v>60</v>
      </c>
      <c r="J103" s="8" t="s">
        <v>52</v>
      </c>
      <c r="K103" s="8" t="s">
        <v>71</v>
      </c>
      <c r="L103" s="8" t="s">
        <v>62</v>
      </c>
    </row>
    <row r="104" spans="1:12" ht="27" thickBot="1">
      <c r="A104" s="114"/>
      <c r="B104" s="114"/>
      <c r="C104" s="25" t="s">
        <v>212</v>
      </c>
      <c r="D104" s="11" t="s">
        <v>86</v>
      </c>
      <c r="E104" s="9" t="s">
        <v>213</v>
      </c>
      <c r="F104" s="13"/>
      <c r="G104" s="8" t="s">
        <v>59</v>
      </c>
      <c r="H104" s="8" t="s">
        <v>50</v>
      </c>
      <c r="I104" s="8" t="s">
        <v>60</v>
      </c>
      <c r="J104" s="8" t="s">
        <v>52</v>
      </c>
      <c r="K104" s="8" t="s">
        <v>71</v>
      </c>
      <c r="L104" s="8" t="s">
        <v>62</v>
      </c>
    </row>
    <row r="105" spans="1:12" ht="15" thickBot="1">
      <c r="A105" s="114"/>
      <c r="B105" s="114"/>
      <c r="C105" s="24" t="s">
        <v>214</v>
      </c>
      <c r="D105" s="11"/>
      <c r="E105" s="9"/>
      <c r="F105" s="13"/>
      <c r="G105" s="8" t="s">
        <v>59</v>
      </c>
      <c r="H105" s="8" t="s">
        <v>50</v>
      </c>
      <c r="I105" s="8" t="s">
        <v>60</v>
      </c>
      <c r="J105" s="8" t="s">
        <v>52</v>
      </c>
      <c r="K105" s="8" t="s">
        <v>71</v>
      </c>
      <c r="L105" s="8" t="s">
        <v>62</v>
      </c>
    </row>
    <row r="106" spans="1:12" ht="15" thickBot="1">
      <c r="A106" s="114"/>
      <c r="B106" s="114"/>
      <c r="C106" s="24" t="s">
        <v>215</v>
      </c>
      <c r="D106" s="11"/>
      <c r="E106" s="9"/>
      <c r="F106" s="13"/>
      <c r="G106" s="8" t="s">
        <v>59</v>
      </c>
      <c r="H106" s="8" t="s">
        <v>50</v>
      </c>
      <c r="I106" s="8" t="s">
        <v>60</v>
      </c>
      <c r="J106" s="8" t="s">
        <v>52</v>
      </c>
      <c r="K106" s="8" t="s">
        <v>71</v>
      </c>
      <c r="L106" s="8" t="s">
        <v>62</v>
      </c>
    </row>
    <row r="107" spans="1:12" ht="15" thickBot="1">
      <c r="A107" s="114"/>
      <c r="B107" s="114"/>
      <c r="C107" s="23" t="s">
        <v>216</v>
      </c>
      <c r="D107" s="124"/>
      <c r="E107" s="125"/>
      <c r="F107" s="125"/>
      <c r="G107" s="125"/>
      <c r="H107" s="125"/>
      <c r="I107" s="125"/>
      <c r="J107" s="125"/>
      <c r="K107" s="125"/>
      <c r="L107" s="126"/>
    </row>
    <row r="108" spans="1:12" ht="27" thickBot="1">
      <c r="A108" s="114"/>
      <c r="B108" s="114"/>
      <c r="C108" s="25" t="s">
        <v>217</v>
      </c>
      <c r="D108" s="11" t="s">
        <v>86</v>
      </c>
      <c r="E108" s="8" t="s">
        <v>204</v>
      </c>
      <c r="F108" s="13"/>
      <c r="G108" s="8" t="s">
        <v>59</v>
      </c>
      <c r="H108" s="8" t="s">
        <v>50</v>
      </c>
      <c r="I108" s="8" t="s">
        <v>60</v>
      </c>
      <c r="J108" s="8" t="s">
        <v>52</v>
      </c>
      <c r="K108" s="8" t="s">
        <v>71</v>
      </c>
      <c r="L108" s="8" t="s">
        <v>62</v>
      </c>
    </row>
    <row r="109" spans="1:12" ht="27" thickBot="1">
      <c r="A109" s="114"/>
      <c r="B109" s="114"/>
      <c r="C109" s="25" t="s">
        <v>218</v>
      </c>
      <c r="D109" s="11" t="s">
        <v>86</v>
      </c>
      <c r="E109" s="13"/>
      <c r="F109" s="13"/>
      <c r="G109" s="8" t="s">
        <v>59</v>
      </c>
      <c r="H109" s="8" t="s">
        <v>50</v>
      </c>
      <c r="I109" s="8" t="s">
        <v>60</v>
      </c>
      <c r="J109" s="8" t="s">
        <v>52</v>
      </c>
      <c r="K109" s="8" t="s">
        <v>71</v>
      </c>
      <c r="L109" s="8" t="s">
        <v>62</v>
      </c>
    </row>
    <row r="110" spans="1:12" ht="27" thickBot="1">
      <c r="A110" s="114">
        <v>7</v>
      </c>
      <c r="B110" s="114" t="s">
        <v>219</v>
      </c>
      <c r="C110" s="7" t="s">
        <v>69</v>
      </c>
      <c r="D110" s="124"/>
      <c r="E110" s="125"/>
      <c r="F110" s="125"/>
      <c r="G110" s="125"/>
      <c r="H110" s="125"/>
      <c r="I110" s="125"/>
      <c r="J110" s="125"/>
      <c r="K110" s="125"/>
      <c r="L110" s="126"/>
    </row>
    <row r="111" spans="1:12" ht="27" thickBot="1">
      <c r="A111" s="114"/>
      <c r="B111" s="114"/>
      <c r="C111" s="27" t="s">
        <v>220</v>
      </c>
      <c r="D111" s="9" t="s">
        <v>221</v>
      </c>
      <c r="E111" s="9" t="s">
        <v>57</v>
      </c>
      <c r="F111" s="13"/>
      <c r="G111" s="8" t="s">
        <v>59</v>
      </c>
      <c r="H111" s="8" t="s">
        <v>50</v>
      </c>
      <c r="I111" s="8" t="s">
        <v>60</v>
      </c>
      <c r="J111" s="8" t="s">
        <v>52</v>
      </c>
      <c r="K111" s="8" t="s">
        <v>71</v>
      </c>
      <c r="L111" s="8" t="s">
        <v>62</v>
      </c>
    </row>
    <row r="112" spans="1:12" ht="27" thickBot="1">
      <c r="A112" s="114"/>
      <c r="B112" s="114"/>
      <c r="C112" s="27" t="s">
        <v>222</v>
      </c>
      <c r="D112" s="9" t="s">
        <v>221</v>
      </c>
      <c r="E112" s="9" t="s">
        <v>57</v>
      </c>
      <c r="F112" s="13"/>
      <c r="G112" s="8" t="s">
        <v>59</v>
      </c>
      <c r="H112" s="8" t="s">
        <v>50</v>
      </c>
      <c r="I112" s="8" t="s">
        <v>60</v>
      </c>
      <c r="J112" s="8" t="s">
        <v>52</v>
      </c>
      <c r="K112" s="8" t="s">
        <v>71</v>
      </c>
      <c r="L112" s="8" t="s">
        <v>62</v>
      </c>
    </row>
    <row r="113" spans="1:12" ht="27" thickBot="1">
      <c r="A113" s="114"/>
      <c r="B113" s="114"/>
      <c r="C113" s="27" t="s">
        <v>223</v>
      </c>
      <c r="D113" s="9" t="s">
        <v>221</v>
      </c>
      <c r="E113" s="9" t="s">
        <v>57</v>
      </c>
      <c r="F113" s="13"/>
      <c r="G113" s="8" t="s">
        <v>59</v>
      </c>
      <c r="H113" s="8" t="s">
        <v>50</v>
      </c>
      <c r="I113" s="8" t="s">
        <v>60</v>
      </c>
      <c r="J113" s="8" t="s">
        <v>52</v>
      </c>
      <c r="K113" s="8" t="s">
        <v>71</v>
      </c>
      <c r="L113" s="8" t="s">
        <v>62</v>
      </c>
    </row>
    <row r="114" spans="1:12" ht="27" thickBot="1">
      <c r="A114" s="114"/>
      <c r="B114" s="114"/>
      <c r="C114" s="27" t="s">
        <v>224</v>
      </c>
      <c r="D114" s="9" t="s">
        <v>221</v>
      </c>
      <c r="E114" s="9" t="s">
        <v>57</v>
      </c>
      <c r="F114" s="13"/>
      <c r="G114" s="8" t="s">
        <v>59</v>
      </c>
      <c r="H114" s="8" t="s">
        <v>50</v>
      </c>
      <c r="I114" s="8" t="s">
        <v>60</v>
      </c>
      <c r="J114" s="8" t="s">
        <v>52</v>
      </c>
      <c r="K114" s="8" t="s">
        <v>71</v>
      </c>
      <c r="L114" s="8" t="s">
        <v>62</v>
      </c>
    </row>
    <row r="115" spans="1:12" ht="27" thickBot="1">
      <c r="A115" s="114"/>
      <c r="B115" s="114"/>
      <c r="C115" s="27" t="s">
        <v>225</v>
      </c>
      <c r="D115" s="9" t="s">
        <v>221</v>
      </c>
      <c r="E115" s="9" t="s">
        <v>57</v>
      </c>
      <c r="F115" s="13"/>
      <c r="G115" s="8" t="s">
        <v>59</v>
      </c>
      <c r="H115" s="8" t="s">
        <v>50</v>
      </c>
      <c r="I115" s="8" t="s">
        <v>60</v>
      </c>
      <c r="J115" s="8" t="s">
        <v>52</v>
      </c>
      <c r="K115" s="8" t="s">
        <v>71</v>
      </c>
      <c r="L115" s="8" t="s">
        <v>62</v>
      </c>
    </row>
    <row r="116" spans="1:12" ht="15" thickBot="1">
      <c r="A116" s="114"/>
      <c r="B116" s="114"/>
      <c r="C116" s="27" t="s">
        <v>226</v>
      </c>
      <c r="D116" s="9" t="s">
        <v>221</v>
      </c>
      <c r="E116" s="9"/>
      <c r="F116" s="13"/>
      <c r="G116" s="8" t="s">
        <v>59</v>
      </c>
      <c r="H116" s="8" t="s">
        <v>50</v>
      </c>
      <c r="I116" s="8" t="s">
        <v>60</v>
      </c>
      <c r="J116" s="8" t="s">
        <v>52</v>
      </c>
      <c r="K116" s="8" t="s">
        <v>71</v>
      </c>
      <c r="L116" s="8" t="s">
        <v>62</v>
      </c>
    </row>
    <row r="117" spans="1:12" ht="27" thickBot="1">
      <c r="A117" s="114"/>
      <c r="B117" s="114"/>
      <c r="C117" s="27" t="s">
        <v>227</v>
      </c>
      <c r="D117" s="9" t="s">
        <v>228</v>
      </c>
      <c r="E117" s="9" t="s">
        <v>229</v>
      </c>
      <c r="F117" s="8" t="s">
        <v>98</v>
      </c>
      <c r="G117" s="8" t="s">
        <v>142</v>
      </c>
      <c r="H117" s="8" t="s">
        <v>142</v>
      </c>
      <c r="I117" s="8" t="s">
        <v>143</v>
      </c>
      <c r="J117" s="8" t="s">
        <v>52</v>
      </c>
      <c r="K117" s="8" t="s">
        <v>99</v>
      </c>
      <c r="L117" s="8" t="s">
        <v>62</v>
      </c>
    </row>
    <row r="118" spans="1:12" ht="40.200000000000003" thickBot="1">
      <c r="A118" s="114"/>
      <c r="B118" s="114"/>
      <c r="C118" s="27" t="s">
        <v>230</v>
      </c>
      <c r="D118" s="9" t="s">
        <v>221</v>
      </c>
      <c r="E118" s="9"/>
      <c r="F118" s="13"/>
      <c r="G118" s="8" t="s">
        <v>59</v>
      </c>
      <c r="H118" s="8" t="s">
        <v>50</v>
      </c>
      <c r="I118" s="8" t="s">
        <v>60</v>
      </c>
      <c r="J118" s="8" t="s">
        <v>52</v>
      </c>
      <c r="K118" s="8" t="s">
        <v>71</v>
      </c>
      <c r="L118" s="8" t="s">
        <v>62</v>
      </c>
    </row>
    <row r="119" spans="1:12" ht="27" thickBot="1">
      <c r="A119" s="114"/>
      <c r="B119" s="114"/>
      <c r="C119" s="27" t="s">
        <v>231</v>
      </c>
      <c r="D119" s="9" t="s">
        <v>221</v>
      </c>
      <c r="E119" s="9" t="s">
        <v>57</v>
      </c>
      <c r="F119" s="13"/>
      <c r="G119" s="8" t="s">
        <v>59</v>
      </c>
      <c r="H119" s="8" t="s">
        <v>50</v>
      </c>
      <c r="I119" s="8" t="s">
        <v>60</v>
      </c>
      <c r="J119" s="8" t="s">
        <v>52</v>
      </c>
      <c r="K119" s="8" t="s">
        <v>71</v>
      </c>
      <c r="L119" s="8" t="s">
        <v>62</v>
      </c>
    </row>
    <row r="120" spans="1:12" ht="27" thickBot="1">
      <c r="A120" s="114"/>
      <c r="B120" s="114"/>
      <c r="C120" s="27" t="s">
        <v>232</v>
      </c>
      <c r="D120" s="9" t="s">
        <v>233</v>
      </c>
      <c r="E120" s="9" t="s">
        <v>229</v>
      </c>
      <c r="F120" s="8" t="s">
        <v>175</v>
      </c>
      <c r="G120" s="8" t="s">
        <v>142</v>
      </c>
      <c r="H120" s="8" t="s">
        <v>142</v>
      </c>
      <c r="I120" s="8" t="s">
        <v>143</v>
      </c>
      <c r="J120" s="8" t="s">
        <v>52</v>
      </c>
      <c r="K120" s="8" t="s">
        <v>118</v>
      </c>
      <c r="L120" s="8" t="s">
        <v>62</v>
      </c>
    </row>
    <row r="121" spans="1:12" ht="40.200000000000003" thickBot="1">
      <c r="A121" s="114"/>
      <c r="B121" s="114"/>
      <c r="C121" s="27" t="s">
        <v>234</v>
      </c>
      <c r="D121" s="9" t="s">
        <v>233</v>
      </c>
      <c r="E121" s="9" t="s">
        <v>229</v>
      </c>
      <c r="F121" s="8" t="s">
        <v>175</v>
      </c>
      <c r="G121" s="8" t="s">
        <v>142</v>
      </c>
      <c r="H121" s="8" t="s">
        <v>142</v>
      </c>
      <c r="I121" s="8" t="s">
        <v>143</v>
      </c>
      <c r="J121" s="8" t="s">
        <v>52</v>
      </c>
      <c r="K121" s="8" t="s">
        <v>118</v>
      </c>
      <c r="L121" s="8" t="s">
        <v>62</v>
      </c>
    </row>
    <row r="122" spans="1:12" ht="27" thickBot="1">
      <c r="A122" s="114">
        <v>8</v>
      </c>
      <c r="B122" s="116" t="s">
        <v>235</v>
      </c>
      <c r="C122" s="16" t="s">
        <v>69</v>
      </c>
      <c r="D122" s="19"/>
      <c r="E122" s="19"/>
      <c r="F122" s="13"/>
      <c r="G122" s="8" t="s">
        <v>59</v>
      </c>
      <c r="H122" s="8" t="s">
        <v>50</v>
      </c>
      <c r="I122" s="8" t="s">
        <v>60</v>
      </c>
      <c r="J122" s="8" t="s">
        <v>52</v>
      </c>
      <c r="K122" s="8" t="s">
        <v>71</v>
      </c>
      <c r="L122" s="8" t="s">
        <v>62</v>
      </c>
    </row>
    <row r="123" spans="1:12" ht="15" thickBot="1">
      <c r="A123" s="114"/>
      <c r="B123" s="116"/>
      <c r="C123" s="27" t="s">
        <v>236</v>
      </c>
      <c r="D123" s="9" t="s">
        <v>154</v>
      </c>
      <c r="E123" s="8" t="s">
        <v>155</v>
      </c>
      <c r="F123" s="13"/>
      <c r="G123" s="8" t="s">
        <v>59</v>
      </c>
      <c r="H123" s="8" t="s">
        <v>50</v>
      </c>
      <c r="I123" s="8" t="s">
        <v>60</v>
      </c>
      <c r="J123" s="8" t="s">
        <v>52</v>
      </c>
      <c r="K123" s="8" t="s">
        <v>71</v>
      </c>
      <c r="L123" s="8" t="s">
        <v>62</v>
      </c>
    </row>
    <row r="124" spans="1:12" ht="27" thickBot="1">
      <c r="A124" s="114"/>
      <c r="B124" s="116"/>
      <c r="C124" s="27" t="s">
        <v>237</v>
      </c>
      <c r="D124" s="9" t="s">
        <v>221</v>
      </c>
      <c r="E124" s="9" t="s">
        <v>57</v>
      </c>
      <c r="F124" s="13"/>
      <c r="G124" s="8" t="s">
        <v>59</v>
      </c>
      <c r="H124" s="8" t="s">
        <v>50</v>
      </c>
      <c r="I124" s="8" t="s">
        <v>60</v>
      </c>
      <c r="J124" s="8" t="s">
        <v>52</v>
      </c>
      <c r="K124" s="8" t="s">
        <v>71</v>
      </c>
      <c r="L124" s="8" t="s">
        <v>62</v>
      </c>
    </row>
    <row r="125" spans="1:12" ht="15" thickBot="1">
      <c r="A125" s="114"/>
      <c r="B125" s="116"/>
      <c r="C125" s="27" t="s">
        <v>238</v>
      </c>
      <c r="D125" s="9" t="s">
        <v>221</v>
      </c>
      <c r="E125" s="9" t="s">
        <v>57</v>
      </c>
      <c r="F125" s="13"/>
      <c r="G125" s="8" t="s">
        <v>59</v>
      </c>
      <c r="H125" s="8" t="s">
        <v>50</v>
      </c>
      <c r="I125" s="8" t="s">
        <v>60</v>
      </c>
      <c r="J125" s="8" t="s">
        <v>52</v>
      </c>
      <c r="K125" s="8" t="s">
        <v>71</v>
      </c>
      <c r="L125" s="8" t="s">
        <v>62</v>
      </c>
    </row>
    <row r="126" spans="1:12" ht="27" thickBot="1">
      <c r="A126" s="114"/>
      <c r="B126" s="116"/>
      <c r="C126" s="27" t="s">
        <v>239</v>
      </c>
      <c r="D126" s="9" t="s">
        <v>221</v>
      </c>
      <c r="E126" s="9" t="s">
        <v>57</v>
      </c>
      <c r="F126" s="13"/>
      <c r="G126" s="8" t="s">
        <v>59</v>
      </c>
      <c r="H126" s="8" t="s">
        <v>50</v>
      </c>
      <c r="I126" s="8" t="s">
        <v>60</v>
      </c>
      <c r="J126" s="8" t="s">
        <v>52</v>
      </c>
      <c r="K126" s="8" t="s">
        <v>71</v>
      </c>
      <c r="L126" s="8" t="s">
        <v>62</v>
      </c>
    </row>
    <row r="127" spans="1:12" ht="15" thickBot="1">
      <c r="A127" s="114"/>
      <c r="B127" s="116"/>
      <c r="C127" s="27" t="s">
        <v>240</v>
      </c>
      <c r="D127" s="9" t="s">
        <v>221</v>
      </c>
      <c r="E127" s="19"/>
      <c r="F127" s="13"/>
      <c r="G127" s="8" t="s">
        <v>59</v>
      </c>
      <c r="H127" s="8" t="s">
        <v>50</v>
      </c>
      <c r="I127" s="8" t="s">
        <v>60</v>
      </c>
      <c r="J127" s="8" t="s">
        <v>52</v>
      </c>
      <c r="K127" s="8" t="s">
        <v>71</v>
      </c>
      <c r="L127" s="8" t="s">
        <v>62</v>
      </c>
    </row>
    <row r="128" spans="1:12" ht="27" thickBot="1">
      <c r="A128" s="114"/>
      <c r="B128" s="116"/>
      <c r="C128" s="27" t="s">
        <v>241</v>
      </c>
      <c r="D128" s="9" t="s">
        <v>221</v>
      </c>
      <c r="E128" s="19"/>
      <c r="F128" s="13"/>
      <c r="G128" s="8" t="s">
        <v>59</v>
      </c>
      <c r="H128" s="8" t="s">
        <v>50</v>
      </c>
      <c r="I128" s="8" t="s">
        <v>60</v>
      </c>
      <c r="J128" s="8" t="s">
        <v>52</v>
      </c>
      <c r="K128" s="8" t="s">
        <v>71</v>
      </c>
      <c r="L128" s="8" t="s">
        <v>62</v>
      </c>
    </row>
    <row r="129" spans="1:12" ht="27" thickBot="1">
      <c r="A129" s="114"/>
      <c r="B129" s="116"/>
      <c r="C129" s="27" t="s">
        <v>242</v>
      </c>
      <c r="D129" s="9" t="s">
        <v>233</v>
      </c>
      <c r="E129" s="9" t="s">
        <v>229</v>
      </c>
      <c r="F129" s="8" t="s">
        <v>175</v>
      </c>
      <c r="G129" s="8" t="s">
        <v>142</v>
      </c>
      <c r="H129" s="8" t="s">
        <v>142</v>
      </c>
      <c r="I129" s="8" t="s">
        <v>60</v>
      </c>
      <c r="J129" s="8" t="s">
        <v>52</v>
      </c>
      <c r="K129" s="8" t="s">
        <v>118</v>
      </c>
      <c r="L129" s="8" t="s">
        <v>62</v>
      </c>
    </row>
    <row r="130" spans="1:12" ht="27" thickBot="1">
      <c r="A130" s="114"/>
      <c r="B130" s="116"/>
      <c r="C130" s="27" t="s">
        <v>243</v>
      </c>
      <c r="D130" s="9" t="s">
        <v>244</v>
      </c>
      <c r="E130" s="9" t="s">
        <v>229</v>
      </c>
      <c r="F130" s="8" t="s">
        <v>175</v>
      </c>
      <c r="G130" s="8" t="s">
        <v>142</v>
      </c>
      <c r="H130" s="8" t="s">
        <v>142</v>
      </c>
      <c r="I130" s="8" t="s">
        <v>60</v>
      </c>
      <c r="J130" s="8" t="s">
        <v>52</v>
      </c>
      <c r="K130" s="8" t="s">
        <v>118</v>
      </c>
      <c r="L130" s="8" t="s">
        <v>62</v>
      </c>
    </row>
    <row r="131" spans="1:12" ht="40.200000000000003" thickBot="1">
      <c r="A131" s="114"/>
      <c r="B131" s="116"/>
      <c r="C131" s="27" t="s">
        <v>245</v>
      </c>
      <c r="D131" s="9" t="s">
        <v>164</v>
      </c>
      <c r="E131" s="9" t="s">
        <v>229</v>
      </c>
      <c r="F131" s="8" t="s">
        <v>98</v>
      </c>
      <c r="G131" s="8" t="s">
        <v>142</v>
      </c>
      <c r="H131" s="8" t="s">
        <v>142</v>
      </c>
      <c r="I131" s="19" t="s">
        <v>143</v>
      </c>
      <c r="J131" s="8" t="s">
        <v>52</v>
      </c>
      <c r="K131" s="8" t="s">
        <v>99</v>
      </c>
      <c r="L131" s="8" t="s">
        <v>62</v>
      </c>
    </row>
    <row r="132" spans="1:12" ht="27" thickBot="1">
      <c r="A132" s="114">
        <v>9</v>
      </c>
      <c r="B132" s="116" t="s">
        <v>246</v>
      </c>
      <c r="C132" s="16" t="s">
        <v>69</v>
      </c>
      <c r="D132" s="19"/>
      <c r="E132" s="19"/>
      <c r="F132" s="13"/>
      <c r="G132" s="8" t="s">
        <v>59</v>
      </c>
      <c r="H132" s="8" t="s">
        <v>50</v>
      </c>
      <c r="I132" s="8" t="s">
        <v>60</v>
      </c>
      <c r="J132" s="8" t="s">
        <v>52</v>
      </c>
      <c r="K132" s="8" t="s">
        <v>71</v>
      </c>
      <c r="L132" s="8" t="s">
        <v>62</v>
      </c>
    </row>
    <row r="133" spans="1:12" ht="15" thickBot="1">
      <c r="A133" s="114"/>
      <c r="B133" s="116"/>
      <c r="C133" s="27" t="s">
        <v>236</v>
      </c>
      <c r="D133" s="9" t="s">
        <v>154</v>
      </c>
      <c r="E133" s="8" t="s">
        <v>155</v>
      </c>
      <c r="F133" s="13"/>
      <c r="G133" s="8" t="s">
        <v>59</v>
      </c>
      <c r="H133" s="8" t="s">
        <v>50</v>
      </c>
      <c r="I133" s="8" t="s">
        <v>60</v>
      </c>
      <c r="J133" s="8" t="s">
        <v>52</v>
      </c>
      <c r="K133" s="8" t="s">
        <v>71</v>
      </c>
      <c r="L133" s="8" t="s">
        <v>62</v>
      </c>
    </row>
    <row r="134" spans="1:12" ht="27" thickBot="1">
      <c r="A134" s="114"/>
      <c r="B134" s="116"/>
      <c r="C134" s="27" t="s">
        <v>247</v>
      </c>
      <c r="D134" s="9" t="s">
        <v>221</v>
      </c>
      <c r="E134" s="9" t="s">
        <v>57</v>
      </c>
      <c r="F134" s="13"/>
      <c r="G134" s="8" t="s">
        <v>59</v>
      </c>
      <c r="H134" s="8" t="s">
        <v>50</v>
      </c>
      <c r="I134" s="8" t="s">
        <v>60</v>
      </c>
      <c r="J134" s="8" t="s">
        <v>52</v>
      </c>
      <c r="K134" s="8" t="s">
        <v>71</v>
      </c>
      <c r="L134" s="8" t="s">
        <v>62</v>
      </c>
    </row>
    <row r="135" spans="1:12" ht="15" thickBot="1">
      <c r="A135" s="114"/>
      <c r="B135" s="116"/>
      <c r="C135" s="27" t="s">
        <v>238</v>
      </c>
      <c r="D135" s="9" t="s">
        <v>221</v>
      </c>
      <c r="E135" s="9" t="s">
        <v>57</v>
      </c>
      <c r="F135" s="13"/>
      <c r="G135" s="8" t="s">
        <v>59</v>
      </c>
      <c r="H135" s="8" t="s">
        <v>50</v>
      </c>
      <c r="I135" s="8" t="s">
        <v>60</v>
      </c>
      <c r="J135" s="8" t="s">
        <v>52</v>
      </c>
      <c r="K135" s="8" t="s">
        <v>71</v>
      </c>
      <c r="L135" s="8" t="s">
        <v>62</v>
      </c>
    </row>
    <row r="136" spans="1:12" ht="27" thickBot="1">
      <c r="A136" s="114"/>
      <c r="B136" s="116"/>
      <c r="C136" s="27" t="s">
        <v>248</v>
      </c>
      <c r="D136" s="9" t="s">
        <v>221</v>
      </c>
      <c r="E136" s="9" t="s">
        <v>57</v>
      </c>
      <c r="F136" s="13"/>
      <c r="G136" s="8" t="s">
        <v>59</v>
      </c>
      <c r="H136" s="8" t="s">
        <v>50</v>
      </c>
      <c r="I136" s="8" t="s">
        <v>60</v>
      </c>
      <c r="J136" s="8" t="s">
        <v>52</v>
      </c>
      <c r="K136" s="8" t="s">
        <v>71</v>
      </c>
      <c r="L136" s="8" t="s">
        <v>62</v>
      </c>
    </row>
    <row r="137" spans="1:12" ht="15" thickBot="1">
      <c r="A137" s="114"/>
      <c r="B137" s="116"/>
      <c r="C137" s="27" t="s">
        <v>240</v>
      </c>
      <c r="D137" s="9" t="s">
        <v>221</v>
      </c>
      <c r="E137" s="19"/>
      <c r="F137" s="13"/>
      <c r="G137" s="8" t="s">
        <v>59</v>
      </c>
      <c r="H137" s="8" t="s">
        <v>50</v>
      </c>
      <c r="I137" s="8" t="s">
        <v>60</v>
      </c>
      <c r="J137" s="8" t="s">
        <v>52</v>
      </c>
      <c r="K137" s="8" t="s">
        <v>71</v>
      </c>
      <c r="L137" s="8" t="s">
        <v>62</v>
      </c>
    </row>
    <row r="138" spans="1:12" ht="27" thickBot="1">
      <c r="A138" s="114"/>
      <c r="B138" s="116"/>
      <c r="C138" s="27" t="s">
        <v>249</v>
      </c>
      <c r="D138" s="9" t="s">
        <v>221</v>
      </c>
      <c r="E138" s="19"/>
      <c r="F138" s="13"/>
      <c r="G138" s="8" t="s">
        <v>59</v>
      </c>
      <c r="H138" s="8" t="s">
        <v>50</v>
      </c>
      <c r="I138" s="8" t="s">
        <v>60</v>
      </c>
      <c r="J138" s="8" t="s">
        <v>52</v>
      </c>
      <c r="K138" s="8" t="s">
        <v>71</v>
      </c>
      <c r="L138" s="8" t="s">
        <v>62</v>
      </c>
    </row>
    <row r="139" spans="1:12" ht="27" thickBot="1">
      <c r="A139" s="114"/>
      <c r="B139" s="116"/>
      <c r="C139" s="27" t="s">
        <v>250</v>
      </c>
      <c r="D139" s="9" t="s">
        <v>233</v>
      </c>
      <c r="E139" s="9" t="s">
        <v>229</v>
      </c>
      <c r="F139" s="8" t="s">
        <v>175</v>
      </c>
      <c r="G139" s="8" t="s">
        <v>142</v>
      </c>
      <c r="H139" s="8" t="s">
        <v>142</v>
      </c>
      <c r="I139" s="8" t="s">
        <v>60</v>
      </c>
      <c r="J139" s="8" t="s">
        <v>52</v>
      </c>
      <c r="K139" s="8" t="s">
        <v>118</v>
      </c>
      <c r="L139" s="8" t="s">
        <v>62</v>
      </c>
    </row>
    <row r="140" spans="1:12" ht="15" thickBot="1">
      <c r="A140" s="114"/>
      <c r="B140" s="116"/>
      <c r="C140" s="27" t="s">
        <v>251</v>
      </c>
      <c r="D140" s="9" t="s">
        <v>252</v>
      </c>
      <c r="E140" s="9" t="s">
        <v>229</v>
      </c>
      <c r="F140" s="8" t="s">
        <v>175</v>
      </c>
      <c r="G140" s="8" t="s">
        <v>142</v>
      </c>
      <c r="H140" s="8" t="s">
        <v>142</v>
      </c>
      <c r="I140" s="8" t="s">
        <v>60</v>
      </c>
      <c r="J140" s="8" t="s">
        <v>52</v>
      </c>
      <c r="K140" s="8" t="s">
        <v>118</v>
      </c>
      <c r="L140" s="8" t="s">
        <v>62</v>
      </c>
    </row>
    <row r="141" spans="1:12" ht="27" thickBot="1">
      <c r="A141" s="114"/>
      <c r="B141" s="116"/>
      <c r="C141" s="27" t="s">
        <v>253</v>
      </c>
      <c r="D141" s="9" t="s">
        <v>164</v>
      </c>
      <c r="E141" s="9" t="s">
        <v>229</v>
      </c>
      <c r="F141" s="8" t="s">
        <v>98</v>
      </c>
      <c r="G141" s="8" t="s">
        <v>142</v>
      </c>
      <c r="H141" s="8" t="s">
        <v>142</v>
      </c>
      <c r="I141" s="19" t="s">
        <v>143</v>
      </c>
      <c r="J141" s="8" t="s">
        <v>52</v>
      </c>
      <c r="K141" s="8" t="s">
        <v>99</v>
      </c>
      <c r="L141" s="8" t="s">
        <v>62</v>
      </c>
    </row>
    <row r="142" spans="1:12" ht="27" thickBot="1">
      <c r="A142" s="114"/>
      <c r="B142" s="116"/>
      <c r="C142" s="27" t="s">
        <v>254</v>
      </c>
      <c r="D142" s="9" t="s">
        <v>164</v>
      </c>
      <c r="E142" s="9" t="s">
        <v>229</v>
      </c>
      <c r="F142" s="8" t="s">
        <v>98</v>
      </c>
      <c r="G142" s="8" t="s">
        <v>142</v>
      </c>
      <c r="H142" s="8" t="s">
        <v>142</v>
      </c>
      <c r="I142" s="19" t="s">
        <v>143</v>
      </c>
      <c r="J142" s="8" t="s">
        <v>52</v>
      </c>
      <c r="K142" s="8" t="s">
        <v>99</v>
      </c>
      <c r="L142" s="8" t="s">
        <v>62</v>
      </c>
    </row>
    <row r="143" spans="1:12" ht="27" thickBot="1">
      <c r="A143" s="114">
        <v>10</v>
      </c>
      <c r="B143" s="116" t="s">
        <v>255</v>
      </c>
      <c r="C143" s="16" t="s">
        <v>69</v>
      </c>
      <c r="D143" s="11"/>
      <c r="E143" s="13"/>
      <c r="F143" s="13"/>
      <c r="G143" s="8" t="s">
        <v>59</v>
      </c>
      <c r="H143" s="8" t="s">
        <v>50</v>
      </c>
      <c r="I143" s="8" t="s">
        <v>60</v>
      </c>
      <c r="J143" s="8" t="s">
        <v>52</v>
      </c>
      <c r="K143" s="8" t="s">
        <v>71</v>
      </c>
      <c r="L143" s="8" t="s">
        <v>62</v>
      </c>
    </row>
    <row r="144" spans="1:12" ht="27" thickBot="1">
      <c r="A144" s="114"/>
      <c r="B144" s="116"/>
      <c r="C144" s="27" t="s">
        <v>256</v>
      </c>
      <c r="D144" s="9" t="s">
        <v>257</v>
      </c>
      <c r="E144" s="11" t="s">
        <v>258</v>
      </c>
      <c r="F144" s="8" t="s">
        <v>141</v>
      </c>
      <c r="G144" s="8" t="s">
        <v>142</v>
      </c>
      <c r="H144" s="8" t="s">
        <v>142</v>
      </c>
      <c r="I144" s="19" t="s">
        <v>143</v>
      </c>
      <c r="J144" s="8" t="s">
        <v>52</v>
      </c>
      <c r="K144" s="8" t="s">
        <v>96</v>
      </c>
      <c r="L144" s="8" t="s">
        <v>62</v>
      </c>
    </row>
    <row r="145" spans="1:12" ht="27" thickBot="1">
      <c r="A145" s="114"/>
      <c r="B145" s="116"/>
      <c r="C145" s="27" t="s">
        <v>259</v>
      </c>
      <c r="D145" s="11" t="s">
        <v>260</v>
      </c>
      <c r="E145" s="13"/>
      <c r="F145" s="13"/>
      <c r="G145" s="8" t="s">
        <v>59</v>
      </c>
      <c r="H145" s="8" t="s">
        <v>50</v>
      </c>
      <c r="I145" s="8" t="s">
        <v>60</v>
      </c>
      <c r="J145" s="8" t="s">
        <v>52</v>
      </c>
      <c r="K145" s="8" t="s">
        <v>71</v>
      </c>
      <c r="L145" s="8" t="s">
        <v>62</v>
      </c>
    </row>
    <row r="146" spans="1:12" ht="27" thickBot="1">
      <c r="A146" s="114"/>
      <c r="B146" s="116"/>
      <c r="C146" s="27" t="s">
        <v>261</v>
      </c>
      <c r="D146" s="11" t="s">
        <v>260</v>
      </c>
      <c r="E146" s="19" t="s">
        <v>262</v>
      </c>
      <c r="F146" s="13"/>
      <c r="G146" s="8" t="s">
        <v>59</v>
      </c>
      <c r="H146" s="8" t="s">
        <v>50</v>
      </c>
      <c r="I146" s="8" t="s">
        <v>60</v>
      </c>
      <c r="J146" s="8" t="s">
        <v>52</v>
      </c>
      <c r="K146" s="8" t="s">
        <v>71</v>
      </c>
      <c r="L146" s="8" t="s">
        <v>62</v>
      </c>
    </row>
    <row r="147" spans="1:12" ht="27" thickBot="1">
      <c r="A147" s="114"/>
      <c r="B147" s="116"/>
      <c r="C147" s="27" t="s">
        <v>263</v>
      </c>
      <c r="D147" s="11" t="s">
        <v>260</v>
      </c>
      <c r="E147" s="19" t="s">
        <v>262</v>
      </c>
      <c r="F147" s="13"/>
      <c r="G147" s="8" t="s">
        <v>59</v>
      </c>
      <c r="H147" s="8" t="s">
        <v>50</v>
      </c>
      <c r="I147" s="8" t="s">
        <v>60</v>
      </c>
      <c r="J147" s="8" t="s">
        <v>52</v>
      </c>
      <c r="K147" s="8" t="s">
        <v>71</v>
      </c>
      <c r="L147" s="8" t="s">
        <v>62</v>
      </c>
    </row>
    <row r="148" spans="1:12" ht="27" thickBot="1">
      <c r="A148" s="114"/>
      <c r="B148" s="116"/>
      <c r="C148" s="27" t="s">
        <v>264</v>
      </c>
      <c r="D148" s="11" t="s">
        <v>260</v>
      </c>
      <c r="E148" s="19" t="s">
        <v>262</v>
      </c>
      <c r="F148" s="13"/>
      <c r="G148" s="8" t="s">
        <v>59</v>
      </c>
      <c r="H148" s="8" t="s">
        <v>50</v>
      </c>
      <c r="I148" s="8" t="s">
        <v>60</v>
      </c>
      <c r="J148" s="8" t="s">
        <v>52</v>
      </c>
      <c r="K148" s="8" t="s">
        <v>71</v>
      </c>
      <c r="L148" s="8" t="s">
        <v>62</v>
      </c>
    </row>
    <row r="149" spans="1:12" ht="27" thickBot="1">
      <c r="A149" s="114"/>
      <c r="B149" s="116"/>
      <c r="C149" s="27" t="s">
        <v>265</v>
      </c>
      <c r="D149" s="11" t="s">
        <v>260</v>
      </c>
      <c r="E149" s="19" t="s">
        <v>262</v>
      </c>
      <c r="F149" s="13"/>
      <c r="G149" s="8" t="s">
        <v>59</v>
      </c>
      <c r="H149" s="8" t="s">
        <v>50</v>
      </c>
      <c r="I149" s="8" t="s">
        <v>60</v>
      </c>
      <c r="J149" s="8" t="s">
        <v>52</v>
      </c>
      <c r="K149" s="8" t="s">
        <v>71</v>
      </c>
      <c r="L149" s="8" t="s">
        <v>62</v>
      </c>
    </row>
    <row r="150" spans="1:12" ht="27" thickBot="1">
      <c r="A150" s="114">
        <v>11</v>
      </c>
      <c r="B150" s="116" t="s">
        <v>266</v>
      </c>
      <c r="C150" s="16" t="s">
        <v>69</v>
      </c>
      <c r="D150" s="13"/>
      <c r="E150" s="13"/>
      <c r="F150" s="13"/>
      <c r="G150" s="8" t="s">
        <v>59</v>
      </c>
      <c r="H150" s="8" t="s">
        <v>50</v>
      </c>
      <c r="I150" s="8" t="s">
        <v>60</v>
      </c>
      <c r="J150" s="8" t="s">
        <v>52</v>
      </c>
      <c r="K150" s="8" t="s">
        <v>71</v>
      </c>
      <c r="L150" s="8" t="s">
        <v>62</v>
      </c>
    </row>
    <row r="151" spans="1:12" ht="15" thickBot="1">
      <c r="A151" s="114"/>
      <c r="B151" s="116"/>
      <c r="C151" s="18" t="s">
        <v>267</v>
      </c>
      <c r="D151" s="13"/>
      <c r="E151" s="13"/>
      <c r="F151" s="13"/>
      <c r="G151" s="13"/>
      <c r="H151" s="13"/>
      <c r="I151" s="13"/>
      <c r="J151" s="13"/>
      <c r="K151" s="13"/>
      <c r="L151" s="8" t="s">
        <v>62</v>
      </c>
    </row>
    <row r="152" spans="1:12" ht="15" thickBot="1">
      <c r="A152" s="114"/>
      <c r="B152" s="116"/>
      <c r="C152" s="25" t="s">
        <v>268</v>
      </c>
      <c r="D152" s="11" t="s">
        <v>260</v>
      </c>
      <c r="E152" s="13"/>
      <c r="F152" s="13"/>
      <c r="G152" s="8" t="s">
        <v>59</v>
      </c>
      <c r="H152" s="8" t="s">
        <v>50</v>
      </c>
      <c r="I152" s="8" t="s">
        <v>60</v>
      </c>
      <c r="J152" s="8" t="s">
        <v>52</v>
      </c>
      <c r="K152" s="8" t="s">
        <v>71</v>
      </c>
      <c r="L152" s="8" t="s">
        <v>62</v>
      </c>
    </row>
    <row r="153" spans="1:12" ht="23.4" thickBot="1">
      <c r="A153" s="114"/>
      <c r="B153" s="116"/>
      <c r="C153" s="25" t="s">
        <v>269</v>
      </c>
      <c r="D153" s="11" t="s">
        <v>260</v>
      </c>
      <c r="E153" s="13"/>
      <c r="F153" s="13"/>
      <c r="G153" s="8" t="s">
        <v>59</v>
      </c>
      <c r="H153" s="8" t="s">
        <v>50</v>
      </c>
      <c r="I153" s="8" t="s">
        <v>60</v>
      </c>
      <c r="J153" s="8" t="s">
        <v>52</v>
      </c>
      <c r="K153" s="8" t="s">
        <v>71</v>
      </c>
      <c r="L153" s="8" t="s">
        <v>62</v>
      </c>
    </row>
    <row r="154" spans="1:12" ht="15" thickBot="1">
      <c r="A154" s="114"/>
      <c r="B154" s="116"/>
      <c r="C154" s="25" t="s">
        <v>270</v>
      </c>
      <c r="D154" s="11" t="s">
        <v>260</v>
      </c>
      <c r="E154" s="13"/>
      <c r="F154" s="13"/>
      <c r="G154" s="8" t="s">
        <v>59</v>
      </c>
      <c r="H154" s="8" t="s">
        <v>50</v>
      </c>
      <c r="I154" s="8" t="s">
        <v>60</v>
      </c>
      <c r="J154" s="8" t="s">
        <v>52</v>
      </c>
      <c r="K154" s="8" t="s">
        <v>71</v>
      </c>
      <c r="L154" s="8" t="s">
        <v>62</v>
      </c>
    </row>
    <row r="155" spans="1:12" ht="34.799999999999997" thickBot="1">
      <c r="A155" s="114"/>
      <c r="B155" s="116"/>
      <c r="C155" s="25" t="s">
        <v>271</v>
      </c>
      <c r="D155" s="11" t="s">
        <v>260</v>
      </c>
      <c r="E155" s="9" t="s">
        <v>57</v>
      </c>
      <c r="F155" s="13"/>
      <c r="G155" s="8" t="s">
        <v>59</v>
      </c>
      <c r="H155" s="8" t="s">
        <v>50</v>
      </c>
      <c r="I155" s="8" t="s">
        <v>60</v>
      </c>
      <c r="J155" s="8" t="s">
        <v>52</v>
      </c>
      <c r="K155" s="8" t="s">
        <v>71</v>
      </c>
      <c r="L155" s="8" t="s">
        <v>62</v>
      </c>
    </row>
    <row r="156" spans="1:12" ht="23.4" thickBot="1">
      <c r="A156" s="114"/>
      <c r="B156" s="116"/>
      <c r="C156" s="25" t="s">
        <v>272</v>
      </c>
      <c r="D156" s="11" t="s">
        <v>260</v>
      </c>
      <c r="E156" s="9" t="s">
        <v>57</v>
      </c>
      <c r="F156" s="13"/>
      <c r="G156" s="8" t="s">
        <v>59</v>
      </c>
      <c r="H156" s="8" t="s">
        <v>50</v>
      </c>
      <c r="I156" s="8" t="s">
        <v>60</v>
      </c>
      <c r="J156" s="8" t="s">
        <v>52</v>
      </c>
      <c r="K156" s="8" t="s">
        <v>71</v>
      </c>
      <c r="L156" s="8" t="s">
        <v>62</v>
      </c>
    </row>
    <row r="157" spans="1:12" ht="15" thickBot="1">
      <c r="A157" s="114"/>
      <c r="B157" s="116"/>
      <c r="C157" s="25" t="s">
        <v>273</v>
      </c>
      <c r="D157" s="11" t="s">
        <v>260</v>
      </c>
      <c r="E157" s="9" t="s">
        <v>57</v>
      </c>
      <c r="F157" s="13"/>
      <c r="G157" s="8" t="s">
        <v>59</v>
      </c>
      <c r="H157" s="8" t="s">
        <v>50</v>
      </c>
      <c r="I157" s="8" t="s">
        <v>60</v>
      </c>
      <c r="J157" s="8" t="s">
        <v>52</v>
      </c>
      <c r="K157" s="8" t="s">
        <v>71</v>
      </c>
      <c r="L157" s="8" t="s">
        <v>62</v>
      </c>
    </row>
    <row r="158" spans="1:12" ht="15" thickBot="1">
      <c r="A158" s="114"/>
      <c r="B158" s="116"/>
      <c r="C158" s="25" t="s">
        <v>274</v>
      </c>
      <c r="D158" s="11" t="s">
        <v>260</v>
      </c>
      <c r="E158" s="9" t="s">
        <v>57</v>
      </c>
      <c r="F158" s="13"/>
      <c r="G158" s="8" t="s">
        <v>59</v>
      </c>
      <c r="H158" s="8" t="s">
        <v>50</v>
      </c>
      <c r="I158" s="8" t="s">
        <v>60</v>
      </c>
      <c r="J158" s="8" t="s">
        <v>52</v>
      </c>
      <c r="K158" s="8" t="s">
        <v>71</v>
      </c>
      <c r="L158" s="8" t="s">
        <v>62</v>
      </c>
    </row>
    <row r="159" spans="1:12" ht="15" thickBot="1">
      <c r="A159" s="114"/>
      <c r="B159" s="116"/>
      <c r="C159" s="25" t="s">
        <v>275</v>
      </c>
      <c r="D159" s="11" t="s">
        <v>260</v>
      </c>
      <c r="E159" s="9" t="s">
        <v>57</v>
      </c>
      <c r="F159" s="13"/>
      <c r="G159" s="8" t="s">
        <v>59</v>
      </c>
      <c r="H159" s="8" t="s">
        <v>50</v>
      </c>
      <c r="I159" s="8" t="s">
        <v>60</v>
      </c>
      <c r="J159" s="8" t="s">
        <v>52</v>
      </c>
      <c r="K159" s="8" t="s">
        <v>71</v>
      </c>
      <c r="L159" s="8" t="s">
        <v>62</v>
      </c>
    </row>
    <row r="160" spans="1:12" ht="15" thickBot="1">
      <c r="A160" s="114"/>
      <c r="B160" s="116"/>
      <c r="C160" s="18" t="s">
        <v>276</v>
      </c>
      <c r="D160" s="13"/>
      <c r="E160" s="13"/>
      <c r="F160" s="13"/>
      <c r="G160" s="13"/>
      <c r="H160" s="13"/>
      <c r="I160" s="13"/>
      <c r="J160" s="13"/>
      <c r="K160" s="13"/>
      <c r="L160" s="8" t="s">
        <v>62</v>
      </c>
    </row>
    <row r="161" spans="1:12" ht="15" thickBot="1">
      <c r="A161" s="114"/>
      <c r="B161" s="116"/>
      <c r="C161" s="25" t="s">
        <v>277</v>
      </c>
      <c r="D161" s="11" t="s">
        <v>260</v>
      </c>
      <c r="E161" s="9" t="s">
        <v>57</v>
      </c>
      <c r="F161" s="13"/>
      <c r="G161" s="8" t="s">
        <v>59</v>
      </c>
      <c r="H161" s="8" t="s">
        <v>50</v>
      </c>
      <c r="I161" s="8" t="s">
        <v>60</v>
      </c>
      <c r="J161" s="8" t="s">
        <v>52</v>
      </c>
      <c r="K161" s="8" t="s">
        <v>71</v>
      </c>
      <c r="L161" s="8" t="s">
        <v>62</v>
      </c>
    </row>
    <row r="162" spans="1:12" ht="23.4" thickBot="1">
      <c r="A162" s="114"/>
      <c r="B162" s="116"/>
      <c r="C162" s="25" t="s">
        <v>278</v>
      </c>
      <c r="D162" s="11" t="s">
        <v>260</v>
      </c>
      <c r="E162" s="9" t="s">
        <v>57</v>
      </c>
      <c r="F162" s="13"/>
      <c r="G162" s="8" t="s">
        <v>59</v>
      </c>
      <c r="H162" s="8" t="s">
        <v>50</v>
      </c>
      <c r="I162" s="8" t="s">
        <v>60</v>
      </c>
      <c r="J162" s="8" t="s">
        <v>52</v>
      </c>
      <c r="K162" s="8" t="s">
        <v>71</v>
      </c>
      <c r="L162" s="8" t="s">
        <v>62</v>
      </c>
    </row>
    <row r="163" spans="1:12" ht="23.4" thickBot="1">
      <c r="A163" s="114"/>
      <c r="B163" s="116"/>
      <c r="C163" s="25" t="s">
        <v>279</v>
      </c>
      <c r="D163" s="11" t="s">
        <v>260</v>
      </c>
      <c r="E163" s="9" t="s">
        <v>57</v>
      </c>
      <c r="F163" s="13"/>
      <c r="G163" s="8" t="s">
        <v>59</v>
      </c>
      <c r="H163" s="8" t="s">
        <v>50</v>
      </c>
      <c r="I163" s="8" t="s">
        <v>60</v>
      </c>
      <c r="J163" s="8" t="s">
        <v>52</v>
      </c>
      <c r="K163" s="8" t="s">
        <v>71</v>
      </c>
      <c r="L163" s="8" t="s">
        <v>62</v>
      </c>
    </row>
    <row r="164" spans="1:12" ht="15" thickBot="1">
      <c r="A164" s="114"/>
      <c r="B164" s="116"/>
      <c r="C164" s="25" t="s">
        <v>280</v>
      </c>
      <c r="D164" s="11" t="s">
        <v>260</v>
      </c>
      <c r="E164" s="9" t="s">
        <v>57</v>
      </c>
      <c r="F164" s="13"/>
      <c r="G164" s="8" t="s">
        <v>59</v>
      </c>
      <c r="H164" s="8" t="s">
        <v>50</v>
      </c>
      <c r="I164" s="8" t="s">
        <v>60</v>
      </c>
      <c r="J164" s="8" t="s">
        <v>52</v>
      </c>
      <c r="K164" s="8" t="s">
        <v>71</v>
      </c>
      <c r="L164" s="8" t="s">
        <v>62</v>
      </c>
    </row>
    <row r="165" spans="1:12" ht="23.4" thickBot="1">
      <c r="A165" s="114"/>
      <c r="B165" s="116"/>
      <c r="C165" s="25" t="s">
        <v>281</v>
      </c>
      <c r="D165" s="11" t="s">
        <v>260</v>
      </c>
      <c r="E165" s="9" t="s">
        <v>57</v>
      </c>
      <c r="F165" s="13"/>
      <c r="G165" s="8" t="s">
        <v>59</v>
      </c>
      <c r="H165" s="8" t="s">
        <v>50</v>
      </c>
      <c r="I165" s="8" t="s">
        <v>60</v>
      </c>
      <c r="J165" s="8" t="s">
        <v>52</v>
      </c>
      <c r="K165" s="8" t="s">
        <v>71</v>
      </c>
      <c r="L165" s="8" t="s">
        <v>62</v>
      </c>
    </row>
    <row r="166" spans="1:12" ht="15" thickBot="1">
      <c r="A166" s="114"/>
      <c r="B166" s="116"/>
      <c r="C166" s="18" t="s">
        <v>282</v>
      </c>
      <c r="D166" s="13"/>
      <c r="E166" s="13"/>
      <c r="F166" s="13"/>
      <c r="G166" s="13"/>
      <c r="H166" s="13"/>
      <c r="I166" s="13"/>
      <c r="J166" s="13"/>
      <c r="K166" s="13"/>
      <c r="L166" s="8" t="s">
        <v>62</v>
      </c>
    </row>
    <row r="167" spans="1:12" ht="15" thickBot="1">
      <c r="A167" s="114"/>
      <c r="B167" s="116"/>
      <c r="C167" s="25" t="s">
        <v>283</v>
      </c>
      <c r="D167" s="11" t="s">
        <v>260</v>
      </c>
      <c r="E167" s="13"/>
      <c r="F167" s="13"/>
      <c r="G167" s="8" t="s">
        <v>59</v>
      </c>
      <c r="H167" s="8" t="s">
        <v>50</v>
      </c>
      <c r="I167" s="8" t="s">
        <v>60</v>
      </c>
      <c r="J167" s="8" t="s">
        <v>52</v>
      </c>
      <c r="K167" s="8" t="s">
        <v>71</v>
      </c>
      <c r="L167" s="8" t="s">
        <v>62</v>
      </c>
    </row>
    <row r="168" spans="1:12" ht="23.4" thickBot="1">
      <c r="A168" s="114"/>
      <c r="B168" s="116"/>
      <c r="C168" s="25" t="s">
        <v>284</v>
      </c>
      <c r="D168" s="11" t="s">
        <v>260</v>
      </c>
      <c r="E168" s="13"/>
      <c r="F168" s="13"/>
      <c r="G168" s="8" t="s">
        <v>59</v>
      </c>
      <c r="H168" s="8" t="s">
        <v>50</v>
      </c>
      <c r="I168" s="8" t="s">
        <v>60</v>
      </c>
      <c r="J168" s="8" t="s">
        <v>52</v>
      </c>
      <c r="K168" s="8" t="s">
        <v>71</v>
      </c>
      <c r="L168" s="8" t="s">
        <v>62</v>
      </c>
    </row>
    <row r="169" spans="1:12" ht="15" thickBot="1">
      <c r="A169" s="114"/>
      <c r="B169" s="116"/>
      <c r="C169" s="25" t="s">
        <v>285</v>
      </c>
      <c r="D169" s="11" t="s">
        <v>260</v>
      </c>
      <c r="E169" s="13"/>
      <c r="F169" s="13"/>
      <c r="G169" s="8" t="s">
        <v>59</v>
      </c>
      <c r="H169" s="8" t="s">
        <v>50</v>
      </c>
      <c r="I169" s="8" t="s">
        <v>60</v>
      </c>
      <c r="J169" s="8" t="s">
        <v>52</v>
      </c>
      <c r="K169" s="8" t="s">
        <v>71</v>
      </c>
      <c r="L169" s="8" t="s">
        <v>62</v>
      </c>
    </row>
    <row r="170" spans="1:12" ht="23.4" thickBot="1">
      <c r="A170" s="114"/>
      <c r="B170" s="116"/>
      <c r="C170" s="25" t="s">
        <v>286</v>
      </c>
      <c r="D170" s="11" t="s">
        <v>260</v>
      </c>
      <c r="E170" s="13"/>
      <c r="F170" s="13"/>
      <c r="G170" s="8" t="s">
        <v>59</v>
      </c>
      <c r="H170" s="8" t="s">
        <v>50</v>
      </c>
      <c r="I170" s="8" t="s">
        <v>60</v>
      </c>
      <c r="J170" s="8" t="s">
        <v>52</v>
      </c>
      <c r="K170" s="8" t="s">
        <v>71</v>
      </c>
      <c r="L170" s="8" t="s">
        <v>62</v>
      </c>
    </row>
    <row r="171" spans="1:12" ht="34.799999999999997" thickBot="1">
      <c r="A171" s="114"/>
      <c r="B171" s="116"/>
      <c r="C171" s="25" t="s">
        <v>287</v>
      </c>
      <c r="D171" s="11" t="s">
        <v>260</v>
      </c>
      <c r="E171" s="13"/>
      <c r="F171" s="13"/>
      <c r="G171" s="8" t="s">
        <v>59</v>
      </c>
      <c r="H171" s="8" t="s">
        <v>50</v>
      </c>
      <c r="I171" s="8" t="s">
        <v>60</v>
      </c>
      <c r="J171" s="8" t="s">
        <v>52</v>
      </c>
      <c r="K171" s="8" t="s">
        <v>71</v>
      </c>
      <c r="L171" s="8" t="s">
        <v>62</v>
      </c>
    </row>
    <row r="172" spans="1:12" ht="23.4" thickBot="1">
      <c r="A172" s="114"/>
      <c r="B172" s="116"/>
      <c r="C172" s="25" t="s">
        <v>288</v>
      </c>
      <c r="D172" s="11" t="s">
        <v>260</v>
      </c>
      <c r="E172" s="13"/>
      <c r="F172" s="13"/>
      <c r="G172" s="8" t="s">
        <v>59</v>
      </c>
      <c r="H172" s="8" t="s">
        <v>50</v>
      </c>
      <c r="I172" s="8" t="s">
        <v>60</v>
      </c>
      <c r="J172" s="8" t="s">
        <v>52</v>
      </c>
      <c r="K172" s="8" t="s">
        <v>71</v>
      </c>
      <c r="L172" s="4"/>
    </row>
    <row r="173" spans="1:12" ht="15" thickBot="1">
      <c r="A173" s="114"/>
      <c r="B173" s="116"/>
      <c r="C173" s="18" t="s">
        <v>289</v>
      </c>
      <c r="D173" s="13"/>
      <c r="E173" s="13"/>
      <c r="F173" s="13"/>
      <c r="G173" s="13"/>
      <c r="H173" s="13"/>
      <c r="I173" s="13"/>
      <c r="J173" s="13"/>
      <c r="K173" s="13"/>
      <c r="L173" s="4"/>
    </row>
    <row r="174" spans="1:12" ht="15" thickBot="1">
      <c r="A174" s="114"/>
      <c r="B174" s="116"/>
      <c r="C174" s="7" t="s">
        <v>290</v>
      </c>
      <c r="D174" s="117" t="s">
        <v>291</v>
      </c>
      <c r="E174" s="117"/>
      <c r="F174" s="117"/>
      <c r="G174" s="117"/>
      <c r="H174" s="117"/>
      <c r="I174" s="117"/>
      <c r="J174" s="117"/>
      <c r="K174" s="117"/>
      <c r="L174" s="4"/>
    </row>
    <row r="175" spans="1:12" ht="15" thickBot="1">
      <c r="A175" s="114"/>
      <c r="B175" s="116"/>
      <c r="C175" s="12" t="s">
        <v>292</v>
      </c>
      <c r="D175" s="117" t="s">
        <v>291</v>
      </c>
      <c r="E175" s="117"/>
      <c r="F175" s="117"/>
      <c r="G175" s="117"/>
      <c r="H175" s="117"/>
      <c r="I175" s="117"/>
      <c r="J175" s="117"/>
      <c r="K175" s="117"/>
      <c r="L175" s="4"/>
    </row>
    <row r="176" spans="1:12" ht="15" thickBot="1">
      <c r="A176" s="114"/>
      <c r="B176" s="116"/>
      <c r="C176" s="12" t="s">
        <v>293</v>
      </c>
      <c r="D176" s="117" t="s">
        <v>291</v>
      </c>
      <c r="E176" s="117"/>
      <c r="F176" s="117"/>
      <c r="G176" s="117"/>
      <c r="H176" s="117"/>
      <c r="I176" s="117"/>
      <c r="J176" s="117"/>
      <c r="K176" s="117"/>
      <c r="L176" s="4"/>
    </row>
    <row r="177" spans="1:12" ht="40.200000000000003" thickBot="1">
      <c r="A177" s="114"/>
      <c r="B177" s="116"/>
      <c r="C177" s="27" t="s">
        <v>294</v>
      </c>
      <c r="D177" s="19" t="s">
        <v>295</v>
      </c>
      <c r="E177" s="19" t="s">
        <v>296</v>
      </c>
      <c r="F177" s="8" t="s">
        <v>98</v>
      </c>
      <c r="G177" s="8" t="s">
        <v>142</v>
      </c>
      <c r="H177" s="8" t="s">
        <v>142</v>
      </c>
      <c r="I177" s="19" t="s">
        <v>143</v>
      </c>
      <c r="J177" s="8" t="s">
        <v>52</v>
      </c>
      <c r="K177" s="8" t="s">
        <v>99</v>
      </c>
      <c r="L177" s="8" t="s">
        <v>62</v>
      </c>
    </row>
    <row r="178" spans="1:12" ht="53.4" thickBot="1">
      <c r="A178" s="114"/>
      <c r="B178" s="116"/>
      <c r="C178" s="27" t="s">
        <v>297</v>
      </c>
      <c r="D178" s="19" t="s">
        <v>298</v>
      </c>
      <c r="E178" s="13"/>
      <c r="F178" s="8" t="s">
        <v>98</v>
      </c>
      <c r="G178" s="8" t="s">
        <v>142</v>
      </c>
      <c r="H178" s="8" t="s">
        <v>142</v>
      </c>
      <c r="I178" s="19" t="s">
        <v>143</v>
      </c>
      <c r="J178" s="8" t="s">
        <v>52</v>
      </c>
      <c r="K178" s="8" t="s">
        <v>99</v>
      </c>
      <c r="L178" s="8" t="s">
        <v>62</v>
      </c>
    </row>
    <row r="179" spans="1:12" ht="66.599999999999994" thickBot="1">
      <c r="A179" s="114">
        <v>12</v>
      </c>
      <c r="B179" s="114" t="s">
        <v>299</v>
      </c>
      <c r="C179" s="27" t="s">
        <v>300</v>
      </c>
      <c r="D179" s="11" t="s">
        <v>260</v>
      </c>
      <c r="E179" s="13"/>
      <c r="F179" s="13"/>
      <c r="G179" s="8" t="s">
        <v>59</v>
      </c>
      <c r="H179" s="8" t="s">
        <v>50</v>
      </c>
      <c r="I179" s="8" t="s">
        <v>60</v>
      </c>
      <c r="J179" s="8" t="s">
        <v>52</v>
      </c>
      <c r="K179" s="8" t="s">
        <v>71</v>
      </c>
      <c r="L179" s="8" t="s">
        <v>62</v>
      </c>
    </row>
    <row r="180" spans="1:12" ht="27" thickBot="1">
      <c r="A180" s="114"/>
      <c r="B180" s="114"/>
      <c r="C180" s="27" t="s">
        <v>301</v>
      </c>
      <c r="D180" s="11" t="s">
        <v>260</v>
      </c>
      <c r="E180" s="13"/>
      <c r="F180" s="13"/>
      <c r="G180" s="8" t="s">
        <v>59</v>
      </c>
      <c r="H180" s="8" t="s">
        <v>50</v>
      </c>
      <c r="I180" s="8" t="s">
        <v>60</v>
      </c>
      <c r="J180" s="8" t="s">
        <v>52</v>
      </c>
      <c r="K180" s="8" t="s">
        <v>71</v>
      </c>
      <c r="L180" s="8" t="s">
        <v>62</v>
      </c>
    </row>
    <row r="181" spans="1:12" ht="40.200000000000003" thickBot="1">
      <c r="A181" s="114"/>
      <c r="B181" s="114"/>
      <c r="C181" s="27" t="s">
        <v>302</v>
      </c>
      <c r="D181" s="11" t="s">
        <v>260</v>
      </c>
      <c r="E181" s="13"/>
      <c r="F181" s="13"/>
      <c r="G181" s="8" t="s">
        <v>59</v>
      </c>
      <c r="H181" s="8" t="s">
        <v>50</v>
      </c>
      <c r="I181" s="8" t="s">
        <v>60</v>
      </c>
      <c r="J181" s="8" t="s">
        <v>52</v>
      </c>
      <c r="K181" s="8" t="s">
        <v>71</v>
      </c>
      <c r="L181" s="8" t="s">
        <v>62</v>
      </c>
    </row>
    <row r="182" spans="1:12" ht="41.4" customHeight="1" thickBot="1">
      <c r="A182" s="114">
        <v>13</v>
      </c>
      <c r="B182" s="114" t="s">
        <v>303</v>
      </c>
      <c r="C182" s="16" t="s">
        <v>69</v>
      </c>
      <c r="D182" s="13"/>
      <c r="E182" s="13"/>
      <c r="F182" s="13"/>
      <c r="G182" s="13"/>
      <c r="H182" s="13"/>
      <c r="I182" s="13"/>
      <c r="J182" s="13"/>
      <c r="K182" s="13"/>
      <c r="L182" s="4"/>
    </row>
    <row r="183" spans="1:12" ht="28.2" customHeight="1" thickBot="1">
      <c r="A183" s="114"/>
      <c r="B183" s="114"/>
      <c r="C183" s="18" t="s">
        <v>304</v>
      </c>
      <c r="D183" s="13"/>
      <c r="E183" s="13"/>
      <c r="F183" s="13"/>
      <c r="G183" s="13"/>
      <c r="H183" s="13"/>
      <c r="I183" s="13"/>
      <c r="J183" s="13"/>
      <c r="K183" s="13"/>
      <c r="L183" s="4"/>
    </row>
    <row r="184" spans="1:12" ht="30" customHeight="1" thickBot="1">
      <c r="A184" s="114"/>
      <c r="B184" s="114"/>
      <c r="C184" s="25" t="s">
        <v>305</v>
      </c>
      <c r="D184" s="11" t="s">
        <v>260</v>
      </c>
      <c r="E184" s="9" t="s">
        <v>57</v>
      </c>
      <c r="F184" s="13"/>
      <c r="G184" s="8" t="s">
        <v>59</v>
      </c>
      <c r="H184" s="8" t="s">
        <v>50</v>
      </c>
      <c r="I184" s="8" t="s">
        <v>60</v>
      </c>
      <c r="J184" s="8" t="s">
        <v>52</v>
      </c>
      <c r="K184" s="8" t="s">
        <v>71</v>
      </c>
      <c r="L184" s="8" t="s">
        <v>62</v>
      </c>
    </row>
    <row r="185" spans="1:12" ht="15" thickBot="1">
      <c r="A185" s="114"/>
      <c r="B185" s="114"/>
      <c r="C185" s="25" t="s">
        <v>306</v>
      </c>
      <c r="D185" s="11" t="s">
        <v>260</v>
      </c>
      <c r="E185" s="13"/>
      <c r="F185" s="13"/>
      <c r="G185" s="8" t="s">
        <v>59</v>
      </c>
      <c r="H185" s="8" t="s">
        <v>50</v>
      </c>
      <c r="I185" s="8" t="s">
        <v>60</v>
      </c>
      <c r="J185" s="8" t="s">
        <v>52</v>
      </c>
      <c r="K185" s="8" t="s">
        <v>71</v>
      </c>
      <c r="L185" s="8" t="s">
        <v>62</v>
      </c>
    </row>
    <row r="186" spans="1:12" ht="15" thickBot="1">
      <c r="A186" s="114"/>
      <c r="B186" s="114"/>
      <c r="C186" s="25" t="s">
        <v>307</v>
      </c>
      <c r="D186" s="11" t="s">
        <v>260</v>
      </c>
      <c r="E186" s="9" t="s">
        <v>57</v>
      </c>
      <c r="F186" s="13"/>
      <c r="G186" s="8" t="s">
        <v>59</v>
      </c>
      <c r="H186" s="8" t="s">
        <v>50</v>
      </c>
      <c r="I186" s="8" t="s">
        <v>60</v>
      </c>
      <c r="J186" s="8" t="s">
        <v>52</v>
      </c>
      <c r="K186" s="8" t="s">
        <v>71</v>
      </c>
      <c r="L186" s="8" t="s">
        <v>62</v>
      </c>
    </row>
    <row r="187" spans="1:12" ht="46.2" thickBot="1">
      <c r="A187" s="114"/>
      <c r="B187" s="114"/>
      <c r="C187" s="25" t="s">
        <v>308</v>
      </c>
      <c r="D187" s="11" t="s">
        <v>260</v>
      </c>
      <c r="E187" s="11" t="s">
        <v>309</v>
      </c>
      <c r="F187" s="13"/>
      <c r="G187" s="8" t="s">
        <v>59</v>
      </c>
      <c r="H187" s="8" t="s">
        <v>50</v>
      </c>
      <c r="I187" s="8" t="s">
        <v>60</v>
      </c>
      <c r="J187" s="8" t="s">
        <v>52</v>
      </c>
      <c r="K187" s="8" t="s">
        <v>71</v>
      </c>
      <c r="L187" s="8" t="s">
        <v>62</v>
      </c>
    </row>
    <row r="188" spans="1:12" ht="23.4" thickBot="1">
      <c r="A188" s="114"/>
      <c r="B188" s="114"/>
      <c r="C188" s="25" t="s">
        <v>310</v>
      </c>
      <c r="D188" s="11" t="s">
        <v>260</v>
      </c>
      <c r="E188" s="9" t="s">
        <v>57</v>
      </c>
      <c r="F188" s="13"/>
      <c r="G188" s="8" t="s">
        <v>59</v>
      </c>
      <c r="H188" s="8" t="s">
        <v>50</v>
      </c>
      <c r="I188" s="8" t="s">
        <v>60</v>
      </c>
      <c r="J188" s="8" t="s">
        <v>52</v>
      </c>
      <c r="K188" s="8" t="s">
        <v>71</v>
      </c>
      <c r="L188" s="8" t="s">
        <v>62</v>
      </c>
    </row>
    <row r="189" spans="1:12" ht="23.4" thickBot="1">
      <c r="A189" s="114"/>
      <c r="B189" s="114"/>
      <c r="C189" s="25" t="s">
        <v>311</v>
      </c>
      <c r="D189" s="11" t="s">
        <v>260</v>
      </c>
      <c r="E189" s="9" t="s">
        <v>57</v>
      </c>
      <c r="F189" s="13"/>
      <c r="G189" s="8" t="s">
        <v>59</v>
      </c>
      <c r="H189" s="8" t="s">
        <v>50</v>
      </c>
      <c r="I189" s="8" t="s">
        <v>60</v>
      </c>
      <c r="J189" s="8" t="s">
        <v>52</v>
      </c>
      <c r="K189" s="8" t="s">
        <v>71</v>
      </c>
      <c r="L189" s="8" t="s">
        <v>62</v>
      </c>
    </row>
    <row r="190" spans="1:12" ht="23.4" thickBot="1">
      <c r="A190" s="114"/>
      <c r="B190" s="114"/>
      <c r="C190" s="25" t="s">
        <v>312</v>
      </c>
      <c r="D190" s="11" t="s">
        <v>260</v>
      </c>
      <c r="E190" s="9" t="s">
        <v>313</v>
      </c>
      <c r="F190" s="13"/>
      <c r="G190" s="8" t="s">
        <v>59</v>
      </c>
      <c r="H190" s="8" t="s">
        <v>50</v>
      </c>
      <c r="I190" s="8" t="s">
        <v>60</v>
      </c>
      <c r="J190" s="8" t="s">
        <v>52</v>
      </c>
      <c r="K190" s="8" t="s">
        <v>71</v>
      </c>
      <c r="L190" s="8" t="s">
        <v>62</v>
      </c>
    </row>
    <row r="191" spans="1:12" ht="23.4" thickBot="1">
      <c r="A191" s="114"/>
      <c r="B191" s="114"/>
      <c r="C191" s="25" t="s">
        <v>314</v>
      </c>
      <c r="D191" s="11" t="s">
        <v>260</v>
      </c>
      <c r="E191" s="13"/>
      <c r="F191" s="13"/>
      <c r="G191" s="8" t="s">
        <v>59</v>
      </c>
      <c r="H191" s="8" t="s">
        <v>50</v>
      </c>
      <c r="I191" s="8" t="s">
        <v>60</v>
      </c>
      <c r="J191" s="8" t="s">
        <v>52</v>
      </c>
      <c r="K191" s="8" t="s">
        <v>71</v>
      </c>
      <c r="L191" s="8" t="s">
        <v>62</v>
      </c>
    </row>
    <row r="192" spans="1:12" ht="15" thickBot="1">
      <c r="A192" s="114"/>
      <c r="B192" s="114"/>
      <c r="C192" s="25" t="s">
        <v>315</v>
      </c>
      <c r="D192" s="11" t="s">
        <v>260</v>
      </c>
      <c r="E192" s="9" t="s">
        <v>57</v>
      </c>
      <c r="F192" s="13"/>
      <c r="G192" s="8" t="s">
        <v>59</v>
      </c>
      <c r="H192" s="8" t="s">
        <v>50</v>
      </c>
      <c r="I192" s="8" t="s">
        <v>60</v>
      </c>
      <c r="J192" s="8" t="s">
        <v>52</v>
      </c>
      <c r="K192" s="8" t="s">
        <v>71</v>
      </c>
      <c r="L192" s="8" t="s">
        <v>62</v>
      </c>
    </row>
    <row r="193" spans="1:12" ht="23.4" thickBot="1">
      <c r="A193" s="114"/>
      <c r="B193" s="114"/>
      <c r="C193" s="25" t="s">
        <v>316</v>
      </c>
      <c r="D193" s="11" t="s">
        <v>260</v>
      </c>
      <c r="E193" s="21"/>
      <c r="F193" s="13"/>
      <c r="G193" s="8" t="s">
        <v>59</v>
      </c>
      <c r="H193" s="8" t="s">
        <v>50</v>
      </c>
      <c r="I193" s="8" t="s">
        <v>60</v>
      </c>
      <c r="J193" s="8" t="s">
        <v>52</v>
      </c>
      <c r="K193" s="8" t="s">
        <v>71</v>
      </c>
      <c r="L193" s="8" t="s">
        <v>62</v>
      </c>
    </row>
    <row r="194" spans="1:12" ht="15" thickBot="1">
      <c r="A194" s="114"/>
      <c r="B194" s="114"/>
      <c r="C194" s="25" t="s">
        <v>317</v>
      </c>
      <c r="D194" s="11" t="s">
        <v>260</v>
      </c>
      <c r="E194" s="13"/>
      <c r="F194" s="13"/>
      <c r="G194" s="8" t="s">
        <v>59</v>
      </c>
      <c r="H194" s="8" t="s">
        <v>50</v>
      </c>
      <c r="I194" s="8" t="s">
        <v>60</v>
      </c>
      <c r="J194" s="8" t="s">
        <v>52</v>
      </c>
      <c r="K194" s="8" t="s">
        <v>71</v>
      </c>
      <c r="L194" s="8" t="s">
        <v>62</v>
      </c>
    </row>
    <row r="195" spans="1:12" ht="15" thickBot="1">
      <c r="A195" s="114"/>
      <c r="B195" s="114"/>
      <c r="C195" s="25" t="s">
        <v>318</v>
      </c>
      <c r="D195" s="11" t="s">
        <v>260</v>
      </c>
      <c r="E195" s="13"/>
      <c r="F195" s="13"/>
      <c r="G195" s="8" t="s">
        <v>59</v>
      </c>
      <c r="H195" s="8" t="s">
        <v>50</v>
      </c>
      <c r="I195" s="8" t="s">
        <v>60</v>
      </c>
      <c r="J195" s="8" t="s">
        <v>52</v>
      </c>
      <c r="K195" s="8" t="s">
        <v>71</v>
      </c>
      <c r="L195" s="8" t="s">
        <v>62</v>
      </c>
    </row>
    <row r="196" spans="1:12" ht="27" thickBot="1">
      <c r="A196" s="114"/>
      <c r="B196" s="114"/>
      <c r="C196" s="18" t="s">
        <v>319</v>
      </c>
      <c r="D196" s="13"/>
      <c r="E196" s="13"/>
      <c r="F196" s="13"/>
      <c r="G196" s="13"/>
      <c r="H196" s="13"/>
      <c r="I196" s="13"/>
      <c r="J196" s="13"/>
      <c r="K196" s="13"/>
      <c r="L196" s="4"/>
    </row>
    <row r="197" spans="1:12" ht="15" thickBot="1">
      <c r="A197" s="114"/>
      <c r="B197" s="114"/>
      <c r="C197" s="25" t="s">
        <v>320</v>
      </c>
      <c r="D197" s="11" t="s">
        <v>260</v>
      </c>
      <c r="E197" s="8" t="s">
        <v>155</v>
      </c>
      <c r="F197" s="8" t="s">
        <v>141</v>
      </c>
      <c r="G197" s="8" t="s">
        <v>142</v>
      </c>
      <c r="H197" s="8" t="s">
        <v>142</v>
      </c>
      <c r="I197" s="19" t="s">
        <v>143</v>
      </c>
      <c r="J197" s="8" t="s">
        <v>52</v>
      </c>
      <c r="K197" s="8" t="s">
        <v>321</v>
      </c>
      <c r="L197" s="8" t="s">
        <v>62</v>
      </c>
    </row>
    <row r="198" spans="1:12" ht="23.4" thickBot="1">
      <c r="A198" s="114"/>
      <c r="B198" s="114"/>
      <c r="C198" s="25" t="s">
        <v>322</v>
      </c>
      <c r="D198" s="11" t="s">
        <v>260</v>
      </c>
      <c r="E198" s="13"/>
      <c r="F198" s="13"/>
      <c r="G198" s="8" t="s">
        <v>59</v>
      </c>
      <c r="H198" s="8" t="s">
        <v>50</v>
      </c>
      <c r="I198" s="8" t="s">
        <v>60</v>
      </c>
      <c r="J198" s="8" t="s">
        <v>52</v>
      </c>
      <c r="K198" s="8" t="s">
        <v>71</v>
      </c>
      <c r="L198" s="8" t="s">
        <v>62</v>
      </c>
    </row>
    <row r="199" spans="1:12" ht="23.4" thickBot="1">
      <c r="A199" s="114"/>
      <c r="B199" s="114"/>
      <c r="C199" s="25" t="s">
        <v>323</v>
      </c>
      <c r="D199" s="11" t="s">
        <v>260</v>
      </c>
      <c r="E199" s="13"/>
      <c r="F199" s="13"/>
      <c r="G199" s="8" t="s">
        <v>59</v>
      </c>
      <c r="H199" s="8" t="s">
        <v>50</v>
      </c>
      <c r="I199" s="8" t="s">
        <v>60</v>
      </c>
      <c r="J199" s="8" t="s">
        <v>52</v>
      </c>
      <c r="K199" s="8" t="s">
        <v>71</v>
      </c>
      <c r="L199" s="8" t="s">
        <v>62</v>
      </c>
    </row>
    <row r="200" spans="1:12" ht="15" thickBot="1">
      <c r="A200" s="114"/>
      <c r="B200" s="114"/>
      <c r="C200" s="25" t="s">
        <v>324</v>
      </c>
      <c r="D200" s="11" t="s">
        <v>260</v>
      </c>
      <c r="E200" s="13"/>
      <c r="F200" s="13"/>
      <c r="G200" s="8" t="s">
        <v>59</v>
      </c>
      <c r="H200" s="8" t="s">
        <v>50</v>
      </c>
      <c r="I200" s="8" t="s">
        <v>60</v>
      </c>
      <c r="J200" s="8" t="s">
        <v>52</v>
      </c>
      <c r="K200" s="8" t="s">
        <v>71</v>
      </c>
      <c r="L200" s="8" t="s">
        <v>62</v>
      </c>
    </row>
    <row r="201" spans="1:12" ht="23.4" thickBot="1">
      <c r="A201" s="114"/>
      <c r="B201" s="114"/>
      <c r="C201" s="25" t="s">
        <v>325</v>
      </c>
      <c r="D201" s="11" t="s">
        <v>260</v>
      </c>
      <c r="E201" s="13"/>
      <c r="F201" s="13"/>
      <c r="G201" s="8" t="s">
        <v>59</v>
      </c>
      <c r="H201" s="8" t="s">
        <v>50</v>
      </c>
      <c r="I201" s="8" t="s">
        <v>60</v>
      </c>
      <c r="J201" s="8" t="s">
        <v>52</v>
      </c>
      <c r="K201" s="8" t="s">
        <v>71</v>
      </c>
      <c r="L201" s="8" t="s">
        <v>62</v>
      </c>
    </row>
    <row r="202" spans="1:12" ht="15" thickBot="1">
      <c r="A202" s="114"/>
      <c r="B202" s="114"/>
      <c r="C202" s="25" t="s">
        <v>273</v>
      </c>
      <c r="D202" s="11" t="s">
        <v>260</v>
      </c>
      <c r="E202" s="9" t="s">
        <v>57</v>
      </c>
      <c r="F202" s="13"/>
      <c r="G202" s="8" t="s">
        <v>59</v>
      </c>
      <c r="H202" s="8" t="s">
        <v>50</v>
      </c>
      <c r="I202" s="8" t="s">
        <v>60</v>
      </c>
      <c r="J202" s="8" t="s">
        <v>52</v>
      </c>
      <c r="K202" s="8" t="s">
        <v>71</v>
      </c>
      <c r="L202" s="8" t="s">
        <v>62</v>
      </c>
    </row>
    <row r="203" spans="1:12" ht="34.799999999999997" thickBot="1">
      <c r="A203" s="114"/>
      <c r="B203" s="114"/>
      <c r="C203" s="25" t="s">
        <v>326</v>
      </c>
      <c r="D203" s="11" t="s">
        <v>260</v>
      </c>
      <c r="E203" s="13"/>
      <c r="F203" s="13"/>
      <c r="G203" s="8" t="s">
        <v>59</v>
      </c>
      <c r="H203" s="8" t="s">
        <v>50</v>
      </c>
      <c r="I203" s="8" t="s">
        <v>60</v>
      </c>
      <c r="J203" s="8" t="s">
        <v>52</v>
      </c>
      <c r="K203" s="8" t="s">
        <v>71</v>
      </c>
      <c r="L203" s="8" t="s">
        <v>62</v>
      </c>
    </row>
    <row r="204" spans="1:12" ht="23.4" thickBot="1">
      <c r="A204" s="114"/>
      <c r="B204" s="114"/>
      <c r="C204" s="25" t="s">
        <v>327</v>
      </c>
      <c r="D204" s="11" t="s">
        <v>260</v>
      </c>
      <c r="E204" s="13"/>
      <c r="F204" s="13"/>
      <c r="G204" s="8" t="s">
        <v>59</v>
      </c>
      <c r="H204" s="8" t="s">
        <v>50</v>
      </c>
      <c r="I204" s="8" t="s">
        <v>60</v>
      </c>
      <c r="J204" s="8" t="s">
        <v>52</v>
      </c>
      <c r="K204" s="8" t="s">
        <v>71</v>
      </c>
      <c r="L204" s="8" t="s">
        <v>62</v>
      </c>
    </row>
    <row r="205" spans="1:12" ht="15" thickBot="1">
      <c r="A205" s="114"/>
      <c r="B205" s="114"/>
      <c r="C205" s="25" t="s">
        <v>328</v>
      </c>
      <c r="D205" s="11" t="s">
        <v>260</v>
      </c>
      <c r="E205" s="9" t="s">
        <v>57</v>
      </c>
      <c r="F205" s="13"/>
      <c r="G205" s="8" t="s">
        <v>59</v>
      </c>
      <c r="H205" s="8" t="s">
        <v>50</v>
      </c>
      <c r="I205" s="8" t="s">
        <v>60</v>
      </c>
      <c r="J205" s="8" t="s">
        <v>52</v>
      </c>
      <c r="K205" s="8" t="s">
        <v>71</v>
      </c>
      <c r="L205" s="8" t="s">
        <v>62</v>
      </c>
    </row>
    <row r="206" spans="1:12" ht="15" thickBot="1">
      <c r="A206" s="114"/>
      <c r="B206" s="114"/>
      <c r="C206" s="25" t="s">
        <v>329</v>
      </c>
      <c r="D206" s="11" t="s">
        <v>260</v>
      </c>
      <c r="E206" s="9" t="s">
        <v>57</v>
      </c>
      <c r="F206" s="13"/>
      <c r="G206" s="8" t="s">
        <v>59</v>
      </c>
      <c r="H206" s="8" t="s">
        <v>50</v>
      </c>
      <c r="I206" s="8" t="s">
        <v>60</v>
      </c>
      <c r="J206" s="8" t="s">
        <v>52</v>
      </c>
      <c r="K206" s="8" t="s">
        <v>71</v>
      </c>
      <c r="L206" s="8" t="s">
        <v>62</v>
      </c>
    </row>
    <row r="207" spans="1:12" ht="15" thickBot="1">
      <c r="A207" s="114"/>
      <c r="B207" s="114"/>
      <c r="C207" s="25" t="s">
        <v>330</v>
      </c>
      <c r="D207" s="11" t="s">
        <v>260</v>
      </c>
      <c r="E207" s="9" t="s">
        <v>57</v>
      </c>
      <c r="F207" s="13"/>
      <c r="G207" s="8" t="s">
        <v>59</v>
      </c>
      <c r="H207" s="8" t="s">
        <v>50</v>
      </c>
      <c r="I207" s="8" t="s">
        <v>60</v>
      </c>
      <c r="J207" s="8" t="s">
        <v>52</v>
      </c>
      <c r="K207" s="8" t="s">
        <v>71</v>
      </c>
      <c r="L207" s="8" t="s">
        <v>62</v>
      </c>
    </row>
    <row r="208" spans="1:12" ht="23.4" thickBot="1">
      <c r="A208" s="114"/>
      <c r="B208" s="114"/>
      <c r="C208" s="25" t="s">
        <v>331</v>
      </c>
      <c r="D208" s="11" t="s">
        <v>260</v>
      </c>
      <c r="E208" s="8" t="s">
        <v>155</v>
      </c>
      <c r="F208" s="8" t="s">
        <v>141</v>
      </c>
      <c r="G208" s="8" t="s">
        <v>142</v>
      </c>
      <c r="H208" s="8" t="s">
        <v>142</v>
      </c>
      <c r="I208" s="19" t="s">
        <v>143</v>
      </c>
      <c r="J208" s="8" t="s">
        <v>52</v>
      </c>
      <c r="K208" s="8" t="s">
        <v>321</v>
      </c>
      <c r="L208" s="8" t="s">
        <v>62</v>
      </c>
    </row>
    <row r="209" spans="1:12" ht="15" thickBot="1">
      <c r="A209" s="114"/>
      <c r="B209" s="114"/>
      <c r="C209" s="25" t="s">
        <v>318</v>
      </c>
      <c r="D209" s="11" t="s">
        <v>260</v>
      </c>
      <c r="E209" s="13"/>
      <c r="F209" s="13"/>
      <c r="G209" s="8" t="s">
        <v>59</v>
      </c>
      <c r="H209" s="8" t="s">
        <v>50</v>
      </c>
      <c r="I209" s="8" t="s">
        <v>60</v>
      </c>
      <c r="J209" s="8" t="s">
        <v>52</v>
      </c>
      <c r="K209" s="8" t="s">
        <v>71</v>
      </c>
      <c r="L209" s="8" t="s">
        <v>62</v>
      </c>
    </row>
    <row r="210" spans="1:12" ht="27" thickBot="1">
      <c r="A210" s="114">
        <v>14</v>
      </c>
      <c r="B210" s="116" t="s">
        <v>332</v>
      </c>
      <c r="C210" s="16" t="s">
        <v>69</v>
      </c>
      <c r="D210" s="11"/>
      <c r="E210" s="8"/>
      <c r="F210" s="8"/>
      <c r="G210" s="8" t="s">
        <v>59</v>
      </c>
      <c r="H210" s="8" t="s">
        <v>142</v>
      </c>
      <c r="I210" s="8" t="s">
        <v>60</v>
      </c>
      <c r="J210" s="8" t="s">
        <v>52</v>
      </c>
      <c r="K210" s="8" t="s">
        <v>71</v>
      </c>
      <c r="L210" s="8" t="s">
        <v>62</v>
      </c>
    </row>
    <row r="211" spans="1:12" ht="15" thickBot="1">
      <c r="A211" s="114"/>
      <c r="B211" s="116"/>
      <c r="C211" s="25" t="s">
        <v>333</v>
      </c>
      <c r="D211" s="11" t="s">
        <v>260</v>
      </c>
      <c r="E211" s="8" t="s">
        <v>155</v>
      </c>
      <c r="F211" s="8" t="s">
        <v>141</v>
      </c>
      <c r="G211" s="8" t="s">
        <v>142</v>
      </c>
      <c r="H211" s="8" t="s">
        <v>142</v>
      </c>
      <c r="I211" s="9" t="s">
        <v>143</v>
      </c>
      <c r="J211" s="8" t="s">
        <v>52</v>
      </c>
      <c r="K211" s="8" t="s">
        <v>321</v>
      </c>
      <c r="L211" s="8" t="s">
        <v>62</v>
      </c>
    </row>
    <row r="212" spans="1:12" ht="23.4" thickBot="1">
      <c r="A212" s="114"/>
      <c r="B212" s="116"/>
      <c r="C212" s="25" t="s">
        <v>334</v>
      </c>
      <c r="D212" s="11" t="s">
        <v>260</v>
      </c>
      <c r="E212" s="13"/>
      <c r="F212" s="13"/>
      <c r="G212" s="8" t="s">
        <v>59</v>
      </c>
      <c r="H212" s="8" t="s">
        <v>50</v>
      </c>
      <c r="I212" s="8" t="s">
        <v>60</v>
      </c>
      <c r="J212" s="8" t="s">
        <v>52</v>
      </c>
      <c r="K212" s="8" t="s">
        <v>71</v>
      </c>
      <c r="L212" s="8" t="s">
        <v>62</v>
      </c>
    </row>
    <row r="213" spans="1:12" ht="23.4" thickBot="1">
      <c r="A213" s="114"/>
      <c r="B213" s="116"/>
      <c r="C213" s="25" t="s">
        <v>335</v>
      </c>
      <c r="D213" s="11" t="s">
        <v>260</v>
      </c>
      <c r="E213" s="13"/>
      <c r="F213" s="13"/>
      <c r="G213" s="8" t="s">
        <v>59</v>
      </c>
      <c r="H213" s="8" t="s">
        <v>50</v>
      </c>
      <c r="I213" s="8" t="s">
        <v>60</v>
      </c>
      <c r="J213" s="8" t="s">
        <v>52</v>
      </c>
      <c r="K213" s="8" t="s">
        <v>71</v>
      </c>
      <c r="L213" s="8" t="s">
        <v>62</v>
      </c>
    </row>
    <row r="214" spans="1:12" ht="15" thickBot="1">
      <c r="A214" s="114"/>
      <c r="B214" s="116"/>
      <c r="C214" s="25" t="s">
        <v>336</v>
      </c>
      <c r="D214" s="11" t="s">
        <v>260</v>
      </c>
      <c r="E214" s="13"/>
      <c r="F214" s="13"/>
      <c r="G214" s="8" t="s">
        <v>59</v>
      </c>
      <c r="H214" s="8" t="s">
        <v>50</v>
      </c>
      <c r="I214" s="8" t="s">
        <v>60</v>
      </c>
      <c r="J214" s="8" t="s">
        <v>52</v>
      </c>
      <c r="K214" s="8" t="s">
        <v>71</v>
      </c>
      <c r="L214" s="8" t="s">
        <v>62</v>
      </c>
    </row>
    <row r="215" spans="1:12" ht="23.4" thickBot="1">
      <c r="A215" s="114"/>
      <c r="B215" s="116"/>
      <c r="C215" s="25" t="s">
        <v>337</v>
      </c>
      <c r="D215" s="11" t="s">
        <v>260</v>
      </c>
      <c r="E215" s="13"/>
      <c r="F215" s="13"/>
      <c r="G215" s="8" t="s">
        <v>59</v>
      </c>
      <c r="H215" s="8" t="s">
        <v>50</v>
      </c>
      <c r="I215" s="8" t="s">
        <v>60</v>
      </c>
      <c r="J215" s="8" t="s">
        <v>52</v>
      </c>
      <c r="K215" s="8" t="s">
        <v>71</v>
      </c>
      <c r="L215" s="8" t="s">
        <v>62</v>
      </c>
    </row>
    <row r="216" spans="1:12" ht="15" thickBot="1">
      <c r="A216" s="114"/>
      <c r="B216" s="116"/>
      <c r="C216" s="25" t="s">
        <v>338</v>
      </c>
      <c r="D216" s="11" t="s">
        <v>260</v>
      </c>
      <c r="E216" s="9" t="s">
        <v>57</v>
      </c>
      <c r="F216" s="13"/>
      <c r="G216" s="8" t="s">
        <v>59</v>
      </c>
      <c r="H216" s="8" t="s">
        <v>50</v>
      </c>
      <c r="I216" s="8" t="s">
        <v>60</v>
      </c>
      <c r="J216" s="8" t="s">
        <v>52</v>
      </c>
      <c r="K216" s="8" t="s">
        <v>71</v>
      </c>
      <c r="L216" s="8" t="s">
        <v>62</v>
      </c>
    </row>
    <row r="217" spans="1:12" ht="42" customHeight="1" thickBot="1">
      <c r="A217" s="114"/>
      <c r="B217" s="116"/>
      <c r="C217" s="25" t="s">
        <v>339</v>
      </c>
      <c r="D217" s="11" t="s">
        <v>260</v>
      </c>
      <c r="E217" s="13"/>
      <c r="F217" s="13"/>
      <c r="G217" s="8" t="s">
        <v>59</v>
      </c>
      <c r="H217" s="8" t="s">
        <v>50</v>
      </c>
      <c r="I217" s="8" t="s">
        <v>60</v>
      </c>
      <c r="J217" s="8" t="s">
        <v>52</v>
      </c>
      <c r="K217" s="8" t="s">
        <v>71</v>
      </c>
      <c r="L217" s="8" t="s">
        <v>62</v>
      </c>
    </row>
    <row r="218" spans="1:12" ht="15" thickBot="1">
      <c r="A218" s="114"/>
      <c r="B218" s="116"/>
      <c r="C218" s="25" t="s">
        <v>340</v>
      </c>
      <c r="D218" s="11" t="s">
        <v>260</v>
      </c>
      <c r="E218" s="13"/>
      <c r="F218" s="13"/>
      <c r="G218" s="8" t="s">
        <v>59</v>
      </c>
      <c r="H218" s="8" t="s">
        <v>50</v>
      </c>
      <c r="I218" s="8" t="s">
        <v>60</v>
      </c>
      <c r="J218" s="8" t="s">
        <v>52</v>
      </c>
      <c r="K218" s="8" t="s">
        <v>71</v>
      </c>
      <c r="L218" s="8" t="s">
        <v>62</v>
      </c>
    </row>
    <row r="219" spans="1:12" ht="15" thickBot="1">
      <c r="A219" s="114"/>
      <c r="B219" s="116"/>
      <c r="C219" s="25" t="s">
        <v>341</v>
      </c>
      <c r="D219" s="11" t="s">
        <v>260</v>
      </c>
      <c r="E219" s="9" t="s">
        <v>57</v>
      </c>
      <c r="F219" s="13"/>
      <c r="G219" s="8" t="s">
        <v>59</v>
      </c>
      <c r="H219" s="8" t="s">
        <v>50</v>
      </c>
      <c r="I219" s="8" t="s">
        <v>60</v>
      </c>
      <c r="J219" s="8" t="s">
        <v>52</v>
      </c>
      <c r="K219" s="8" t="s">
        <v>71</v>
      </c>
      <c r="L219" s="8" t="s">
        <v>62</v>
      </c>
    </row>
    <row r="220" spans="1:12" ht="15" thickBot="1">
      <c r="A220" s="114"/>
      <c r="B220" s="116"/>
      <c r="C220" s="25" t="s">
        <v>342</v>
      </c>
      <c r="D220" s="11" t="s">
        <v>260</v>
      </c>
      <c r="E220" s="9" t="s">
        <v>57</v>
      </c>
      <c r="F220" s="13"/>
      <c r="G220" s="8" t="s">
        <v>59</v>
      </c>
      <c r="H220" s="8" t="s">
        <v>50</v>
      </c>
      <c r="I220" s="8" t="s">
        <v>60</v>
      </c>
      <c r="J220" s="8" t="s">
        <v>52</v>
      </c>
      <c r="K220" s="8" t="s">
        <v>71</v>
      </c>
      <c r="L220" s="8" t="s">
        <v>62</v>
      </c>
    </row>
    <row r="221" spans="1:12" ht="15" thickBot="1">
      <c r="A221" s="114"/>
      <c r="B221" s="116"/>
      <c r="C221" s="25" t="s">
        <v>343</v>
      </c>
      <c r="D221" s="11" t="s">
        <v>260</v>
      </c>
      <c r="E221" s="9" t="s">
        <v>57</v>
      </c>
      <c r="F221" s="13"/>
      <c r="G221" s="8" t="s">
        <v>59</v>
      </c>
      <c r="H221" s="8" t="s">
        <v>50</v>
      </c>
      <c r="I221" s="8" t="s">
        <v>60</v>
      </c>
      <c r="J221" s="8" t="s">
        <v>52</v>
      </c>
      <c r="K221" s="8" t="s">
        <v>71</v>
      </c>
      <c r="L221" s="8" t="s">
        <v>62</v>
      </c>
    </row>
    <row r="222" spans="1:12" ht="23.4" thickBot="1">
      <c r="A222" s="114"/>
      <c r="B222" s="116"/>
      <c r="C222" s="25" t="s">
        <v>344</v>
      </c>
      <c r="D222" s="11" t="s">
        <v>260</v>
      </c>
      <c r="E222" s="8" t="s">
        <v>155</v>
      </c>
      <c r="F222" s="8" t="s">
        <v>141</v>
      </c>
      <c r="G222" s="8" t="s">
        <v>142</v>
      </c>
      <c r="H222" s="8" t="s">
        <v>142</v>
      </c>
      <c r="I222" s="9" t="s">
        <v>143</v>
      </c>
      <c r="J222" s="8" t="s">
        <v>52</v>
      </c>
      <c r="K222" s="8" t="s">
        <v>321</v>
      </c>
      <c r="L222" s="8" t="s">
        <v>62</v>
      </c>
    </row>
    <row r="223" spans="1:12" ht="15" thickBot="1">
      <c r="A223" s="114"/>
      <c r="B223" s="116"/>
      <c r="C223" s="25" t="s">
        <v>345</v>
      </c>
      <c r="D223" s="11" t="s">
        <v>260</v>
      </c>
      <c r="E223" s="13"/>
      <c r="F223" s="13"/>
      <c r="G223" s="8" t="s">
        <v>59</v>
      </c>
      <c r="H223" s="8" t="s">
        <v>50</v>
      </c>
      <c r="I223" s="8" t="s">
        <v>60</v>
      </c>
      <c r="J223" s="8" t="s">
        <v>52</v>
      </c>
      <c r="K223" s="8" t="s">
        <v>71</v>
      </c>
      <c r="L223" s="8" t="s">
        <v>62</v>
      </c>
    </row>
    <row r="224" spans="1:12" ht="34.799999999999997" thickBot="1">
      <c r="A224" s="114"/>
      <c r="B224" s="116"/>
      <c r="C224" s="25" t="s">
        <v>346</v>
      </c>
      <c r="D224" s="11" t="s">
        <v>257</v>
      </c>
      <c r="E224" s="19" t="s">
        <v>347</v>
      </c>
      <c r="F224" s="8" t="s">
        <v>141</v>
      </c>
      <c r="G224" s="8" t="s">
        <v>142</v>
      </c>
      <c r="H224" s="8" t="s">
        <v>142</v>
      </c>
      <c r="I224" s="9" t="s">
        <v>143</v>
      </c>
      <c r="J224" s="8" t="s">
        <v>52</v>
      </c>
      <c r="K224" s="8" t="s">
        <v>96</v>
      </c>
      <c r="L224" s="8" t="s">
        <v>62</v>
      </c>
    </row>
    <row r="225" spans="1:12" ht="27" thickBot="1">
      <c r="A225" s="116">
        <v>15</v>
      </c>
      <c r="B225" s="116" t="s">
        <v>348</v>
      </c>
      <c r="C225" s="16" t="s">
        <v>69</v>
      </c>
      <c r="D225" s="11" t="s">
        <v>349</v>
      </c>
      <c r="E225" s="13"/>
      <c r="F225" s="13"/>
      <c r="G225" s="13"/>
      <c r="H225" s="13"/>
      <c r="I225" s="13"/>
      <c r="J225" s="13"/>
      <c r="K225" s="13"/>
      <c r="L225" s="4"/>
    </row>
    <row r="226" spans="1:12" ht="15" thickBot="1">
      <c r="A226" s="116"/>
      <c r="B226" s="116"/>
      <c r="C226" s="25" t="s">
        <v>350</v>
      </c>
      <c r="D226" s="11" t="s">
        <v>349</v>
      </c>
      <c r="E226" s="9" t="s">
        <v>57</v>
      </c>
      <c r="F226" s="13"/>
      <c r="G226" s="8" t="s">
        <v>59</v>
      </c>
      <c r="H226" s="8" t="s">
        <v>50</v>
      </c>
      <c r="I226" s="8" t="s">
        <v>60</v>
      </c>
      <c r="J226" s="8" t="s">
        <v>52</v>
      </c>
      <c r="K226" s="8" t="s">
        <v>71</v>
      </c>
      <c r="L226" s="8" t="s">
        <v>62</v>
      </c>
    </row>
    <row r="227" spans="1:12" ht="15" thickBot="1">
      <c r="A227" s="116"/>
      <c r="B227" s="116"/>
      <c r="C227" s="25" t="s">
        <v>351</v>
      </c>
      <c r="D227" s="11" t="s">
        <v>349</v>
      </c>
      <c r="E227" s="9" t="s">
        <v>57</v>
      </c>
      <c r="F227" s="13"/>
      <c r="G227" s="8" t="s">
        <v>59</v>
      </c>
      <c r="H227" s="8" t="s">
        <v>50</v>
      </c>
      <c r="I227" s="8" t="s">
        <v>60</v>
      </c>
      <c r="J227" s="8" t="s">
        <v>52</v>
      </c>
      <c r="K227" s="8" t="s">
        <v>71</v>
      </c>
      <c r="L227" s="8" t="s">
        <v>62</v>
      </c>
    </row>
    <row r="228" spans="1:12" ht="15" thickBot="1">
      <c r="A228" s="116"/>
      <c r="B228" s="116"/>
      <c r="C228" s="25" t="s">
        <v>352</v>
      </c>
      <c r="D228" s="11" t="s">
        <v>349</v>
      </c>
      <c r="E228" s="9" t="s">
        <v>57</v>
      </c>
      <c r="F228" s="13"/>
      <c r="G228" s="8" t="s">
        <v>59</v>
      </c>
      <c r="H228" s="8" t="s">
        <v>50</v>
      </c>
      <c r="I228" s="8" t="s">
        <v>60</v>
      </c>
      <c r="J228" s="8" t="s">
        <v>52</v>
      </c>
      <c r="K228" s="8" t="s">
        <v>71</v>
      </c>
      <c r="L228" s="8" t="s">
        <v>62</v>
      </c>
    </row>
    <row r="229" spans="1:12" ht="15" thickBot="1">
      <c r="A229" s="116"/>
      <c r="B229" s="116"/>
      <c r="C229" s="25" t="s">
        <v>353</v>
      </c>
      <c r="D229" s="11" t="s">
        <v>349</v>
      </c>
      <c r="E229" s="9" t="s">
        <v>57</v>
      </c>
      <c r="F229" s="13"/>
      <c r="G229" s="8" t="s">
        <v>59</v>
      </c>
      <c r="H229" s="8" t="s">
        <v>50</v>
      </c>
      <c r="I229" s="8" t="s">
        <v>60</v>
      </c>
      <c r="J229" s="8" t="s">
        <v>52</v>
      </c>
      <c r="K229" s="8" t="s">
        <v>71</v>
      </c>
      <c r="L229" s="8" t="s">
        <v>62</v>
      </c>
    </row>
    <row r="230" spans="1:12" ht="15" thickBot="1">
      <c r="A230" s="116"/>
      <c r="B230" s="116"/>
      <c r="C230" s="25" t="s">
        <v>354</v>
      </c>
      <c r="D230" s="11" t="s">
        <v>349</v>
      </c>
      <c r="E230" s="9" t="s">
        <v>57</v>
      </c>
      <c r="F230" s="13"/>
      <c r="G230" s="8" t="s">
        <v>59</v>
      </c>
      <c r="H230" s="8" t="s">
        <v>50</v>
      </c>
      <c r="I230" s="8" t="s">
        <v>60</v>
      </c>
      <c r="J230" s="8" t="s">
        <v>52</v>
      </c>
      <c r="K230" s="8" t="s">
        <v>71</v>
      </c>
      <c r="L230" s="8" t="s">
        <v>62</v>
      </c>
    </row>
    <row r="231" spans="1:12" ht="15" thickBot="1">
      <c r="A231" s="116"/>
      <c r="B231" s="116"/>
      <c r="C231" s="25" t="s">
        <v>355</v>
      </c>
      <c r="D231" s="11" t="s">
        <v>349</v>
      </c>
      <c r="E231" s="9" t="s">
        <v>57</v>
      </c>
      <c r="F231" s="8" t="s">
        <v>141</v>
      </c>
      <c r="G231" s="8" t="s">
        <v>142</v>
      </c>
      <c r="H231" s="8" t="s">
        <v>142</v>
      </c>
      <c r="I231" s="19" t="s">
        <v>143</v>
      </c>
      <c r="J231" s="8" t="s">
        <v>52</v>
      </c>
      <c r="K231" s="8" t="s">
        <v>96</v>
      </c>
      <c r="L231" s="8" t="s">
        <v>62</v>
      </c>
    </row>
    <row r="232" spans="1:12" ht="15" thickBot="1">
      <c r="A232" s="116"/>
      <c r="B232" s="116"/>
      <c r="C232" s="25" t="s">
        <v>356</v>
      </c>
      <c r="D232" s="11" t="s">
        <v>349</v>
      </c>
      <c r="E232" s="13"/>
      <c r="F232" s="8"/>
      <c r="G232" s="8" t="s">
        <v>59</v>
      </c>
      <c r="H232" s="8" t="s">
        <v>50</v>
      </c>
      <c r="I232" s="8" t="s">
        <v>60</v>
      </c>
      <c r="J232" s="8" t="s">
        <v>52</v>
      </c>
      <c r="K232" s="8" t="s">
        <v>71</v>
      </c>
      <c r="L232" s="8" t="s">
        <v>62</v>
      </c>
    </row>
    <row r="233" spans="1:12" ht="23.4" thickBot="1">
      <c r="A233" s="116"/>
      <c r="B233" s="116"/>
      <c r="C233" s="25" t="s">
        <v>357</v>
      </c>
      <c r="D233" s="11" t="s">
        <v>358</v>
      </c>
      <c r="E233" s="9" t="s">
        <v>57</v>
      </c>
      <c r="F233" s="13"/>
      <c r="G233" s="8" t="s">
        <v>59</v>
      </c>
      <c r="H233" s="8" t="s">
        <v>50</v>
      </c>
      <c r="I233" s="8" t="s">
        <v>60</v>
      </c>
      <c r="J233" s="8" t="s">
        <v>52</v>
      </c>
      <c r="K233" s="8" t="s">
        <v>71</v>
      </c>
      <c r="L233" s="8" t="s">
        <v>62</v>
      </c>
    </row>
    <row r="234" spans="1:12" ht="23.4" thickBot="1">
      <c r="A234" s="116"/>
      <c r="B234" s="116"/>
      <c r="C234" s="25" t="s">
        <v>359</v>
      </c>
      <c r="D234" s="11" t="s">
        <v>358</v>
      </c>
      <c r="E234" s="9" t="s">
        <v>57</v>
      </c>
      <c r="F234" s="13"/>
      <c r="G234" s="8" t="s">
        <v>59</v>
      </c>
      <c r="H234" s="8" t="s">
        <v>50</v>
      </c>
      <c r="I234" s="8" t="s">
        <v>60</v>
      </c>
      <c r="J234" s="8" t="s">
        <v>52</v>
      </c>
      <c r="K234" s="8" t="s">
        <v>71</v>
      </c>
      <c r="L234" s="8" t="s">
        <v>62</v>
      </c>
    </row>
    <row r="235" spans="1:12" ht="23.4" thickBot="1">
      <c r="A235" s="116"/>
      <c r="B235" s="116"/>
      <c r="C235" s="25" t="s">
        <v>360</v>
      </c>
      <c r="D235" s="117" t="s">
        <v>361</v>
      </c>
      <c r="E235" s="117"/>
      <c r="F235" s="117"/>
      <c r="G235" s="117"/>
      <c r="H235" s="117"/>
      <c r="I235" s="117"/>
      <c r="J235" s="117"/>
      <c r="K235" s="117"/>
      <c r="L235" s="8" t="s">
        <v>62</v>
      </c>
    </row>
    <row r="236" spans="1:12" ht="34.799999999999997" thickBot="1">
      <c r="A236" s="116"/>
      <c r="B236" s="116"/>
      <c r="C236" s="25" t="s">
        <v>362</v>
      </c>
      <c r="D236" s="9" t="s">
        <v>257</v>
      </c>
      <c r="E236" s="9" t="s">
        <v>363</v>
      </c>
      <c r="F236" s="8" t="s">
        <v>364</v>
      </c>
      <c r="G236" s="8" t="s">
        <v>142</v>
      </c>
      <c r="H236" s="8" t="s">
        <v>142</v>
      </c>
      <c r="I236" s="19" t="s">
        <v>143</v>
      </c>
      <c r="J236" s="8" t="s">
        <v>52</v>
      </c>
      <c r="K236" s="8" t="s">
        <v>365</v>
      </c>
      <c r="L236" s="8" t="s">
        <v>62</v>
      </c>
    </row>
    <row r="237" spans="1:12" ht="27" thickBot="1">
      <c r="A237" s="116"/>
      <c r="B237" s="116"/>
      <c r="C237" s="25" t="s">
        <v>366</v>
      </c>
      <c r="D237" s="9" t="s">
        <v>257</v>
      </c>
      <c r="E237" s="9" t="s">
        <v>363</v>
      </c>
      <c r="F237" s="8" t="s">
        <v>364</v>
      </c>
      <c r="G237" s="8" t="s">
        <v>142</v>
      </c>
      <c r="H237" s="8" t="s">
        <v>142</v>
      </c>
      <c r="I237" s="19" t="s">
        <v>143</v>
      </c>
      <c r="J237" s="8" t="s">
        <v>52</v>
      </c>
      <c r="K237" s="8" t="s">
        <v>365</v>
      </c>
      <c r="L237" s="8" t="s">
        <v>62</v>
      </c>
    </row>
    <row r="238" spans="1:12" ht="27" thickBot="1">
      <c r="A238" s="116">
        <v>16</v>
      </c>
      <c r="B238" s="116" t="s">
        <v>367</v>
      </c>
      <c r="C238" s="16" t="s">
        <v>69</v>
      </c>
      <c r="D238" s="13"/>
      <c r="E238" s="13"/>
      <c r="F238" s="13"/>
      <c r="G238" s="8" t="s">
        <v>59</v>
      </c>
      <c r="H238" s="8" t="s">
        <v>50</v>
      </c>
      <c r="I238" s="8" t="s">
        <v>60</v>
      </c>
      <c r="J238" s="8" t="s">
        <v>52</v>
      </c>
      <c r="K238" s="8" t="s">
        <v>71</v>
      </c>
      <c r="L238" s="8" t="s">
        <v>62</v>
      </c>
    </row>
    <row r="239" spans="1:12" ht="15" thickBot="1">
      <c r="A239" s="116"/>
      <c r="B239" s="116"/>
      <c r="C239" s="25" t="s">
        <v>368</v>
      </c>
      <c r="D239" s="11" t="s">
        <v>260</v>
      </c>
      <c r="E239" s="13"/>
      <c r="F239" s="13"/>
      <c r="G239" s="8" t="s">
        <v>59</v>
      </c>
      <c r="H239" s="8" t="s">
        <v>50</v>
      </c>
      <c r="I239" s="8" t="s">
        <v>60</v>
      </c>
      <c r="J239" s="8" t="s">
        <v>52</v>
      </c>
      <c r="K239" s="8" t="s">
        <v>71</v>
      </c>
      <c r="L239" s="8" t="s">
        <v>62</v>
      </c>
    </row>
    <row r="240" spans="1:12" ht="15" thickBot="1">
      <c r="A240" s="116"/>
      <c r="B240" s="116"/>
      <c r="C240" s="25" t="s">
        <v>369</v>
      </c>
      <c r="D240" s="11" t="s">
        <v>260</v>
      </c>
      <c r="E240" s="9" t="s">
        <v>57</v>
      </c>
      <c r="F240" s="13"/>
      <c r="G240" s="8" t="s">
        <v>59</v>
      </c>
      <c r="H240" s="8" t="s">
        <v>50</v>
      </c>
      <c r="I240" s="8" t="s">
        <v>60</v>
      </c>
      <c r="J240" s="8" t="s">
        <v>52</v>
      </c>
      <c r="K240" s="8" t="s">
        <v>71</v>
      </c>
      <c r="L240" s="8" t="s">
        <v>62</v>
      </c>
    </row>
    <row r="241" spans="1:12" ht="15" thickBot="1">
      <c r="A241" s="116"/>
      <c r="B241" s="116"/>
      <c r="C241" s="25" t="s">
        <v>370</v>
      </c>
      <c r="D241" s="11" t="s">
        <v>260</v>
      </c>
      <c r="E241" s="9" t="s">
        <v>57</v>
      </c>
      <c r="F241" s="13"/>
      <c r="G241" s="8" t="s">
        <v>59</v>
      </c>
      <c r="H241" s="8" t="s">
        <v>50</v>
      </c>
      <c r="I241" s="8" t="s">
        <v>60</v>
      </c>
      <c r="J241" s="8" t="s">
        <v>52</v>
      </c>
      <c r="K241" s="8" t="s">
        <v>71</v>
      </c>
      <c r="L241" s="8" t="s">
        <v>62</v>
      </c>
    </row>
    <row r="242" spans="1:12" ht="27" thickBot="1">
      <c r="A242" s="116"/>
      <c r="B242" s="116"/>
      <c r="C242" s="25" t="s">
        <v>371</v>
      </c>
      <c r="D242" s="11" t="s">
        <v>260</v>
      </c>
      <c r="E242" s="11" t="s">
        <v>372</v>
      </c>
      <c r="F242" s="13"/>
      <c r="G242" s="8" t="s">
        <v>59</v>
      </c>
      <c r="H242" s="8" t="s">
        <v>50</v>
      </c>
      <c r="I242" s="8" t="s">
        <v>60</v>
      </c>
      <c r="J242" s="8" t="s">
        <v>52</v>
      </c>
      <c r="K242" s="8" t="s">
        <v>71</v>
      </c>
      <c r="L242" s="8" t="s">
        <v>62</v>
      </c>
    </row>
    <row r="243" spans="1:12" ht="23.4" thickBot="1">
      <c r="A243" s="116"/>
      <c r="B243" s="116"/>
      <c r="C243" s="25" t="s">
        <v>373</v>
      </c>
      <c r="D243" s="11" t="s">
        <v>260</v>
      </c>
      <c r="E243" s="13"/>
      <c r="F243" s="13"/>
      <c r="G243" s="8" t="s">
        <v>59</v>
      </c>
      <c r="H243" s="8" t="s">
        <v>50</v>
      </c>
      <c r="I243" s="8" t="s">
        <v>60</v>
      </c>
      <c r="J243" s="8" t="s">
        <v>52</v>
      </c>
      <c r="K243" s="8" t="s">
        <v>71</v>
      </c>
      <c r="L243" s="8" t="s">
        <v>62</v>
      </c>
    </row>
    <row r="244" spans="1:12" ht="40.200000000000003" thickBot="1">
      <c r="A244" s="116"/>
      <c r="B244" s="116"/>
      <c r="C244" s="22" t="s">
        <v>374</v>
      </c>
      <c r="D244" s="11" t="s">
        <v>375</v>
      </c>
      <c r="E244" s="11" t="s">
        <v>372</v>
      </c>
      <c r="F244" s="8" t="s">
        <v>175</v>
      </c>
      <c r="G244" s="8" t="s">
        <v>142</v>
      </c>
      <c r="H244" s="8" t="s">
        <v>142</v>
      </c>
      <c r="I244" s="19" t="s">
        <v>143</v>
      </c>
      <c r="J244" s="8" t="s">
        <v>52</v>
      </c>
      <c r="K244" s="8" t="s">
        <v>118</v>
      </c>
      <c r="L244" s="8" t="s">
        <v>62</v>
      </c>
    </row>
    <row r="245" spans="1:12" ht="27" thickBot="1">
      <c r="A245" s="114">
        <v>17</v>
      </c>
      <c r="B245" s="114" t="s">
        <v>376</v>
      </c>
      <c r="C245" s="16" t="s">
        <v>69</v>
      </c>
      <c r="D245" s="13"/>
      <c r="E245" s="13"/>
      <c r="F245" s="13"/>
      <c r="G245" s="8" t="s">
        <v>59</v>
      </c>
      <c r="H245" s="8" t="s">
        <v>50</v>
      </c>
      <c r="I245" s="8" t="s">
        <v>60</v>
      </c>
      <c r="J245" s="8" t="s">
        <v>52</v>
      </c>
      <c r="K245" s="8" t="s">
        <v>71</v>
      </c>
      <c r="L245" s="8" t="s">
        <v>62</v>
      </c>
    </row>
    <row r="246" spans="1:12" ht="15" thickBot="1">
      <c r="A246" s="114"/>
      <c r="B246" s="114"/>
      <c r="C246" s="18" t="s">
        <v>377</v>
      </c>
      <c r="D246" s="13"/>
      <c r="E246" s="13"/>
      <c r="F246" s="13"/>
      <c r="G246" s="13"/>
      <c r="H246" s="13"/>
      <c r="I246" s="13"/>
      <c r="J246" s="13"/>
      <c r="K246" s="13"/>
      <c r="L246" s="8" t="s">
        <v>62</v>
      </c>
    </row>
    <row r="247" spans="1:12" ht="23.4" thickBot="1">
      <c r="A247" s="114"/>
      <c r="B247" s="114"/>
      <c r="C247" s="25" t="s">
        <v>378</v>
      </c>
      <c r="D247" s="11" t="s">
        <v>260</v>
      </c>
      <c r="E247" s="13"/>
      <c r="F247" s="13"/>
      <c r="G247" s="8" t="s">
        <v>59</v>
      </c>
      <c r="H247" s="8" t="s">
        <v>50</v>
      </c>
      <c r="I247" s="8" t="s">
        <v>60</v>
      </c>
      <c r="J247" s="8" t="s">
        <v>52</v>
      </c>
      <c r="K247" s="8" t="s">
        <v>71</v>
      </c>
      <c r="L247" s="8" t="s">
        <v>62</v>
      </c>
    </row>
    <row r="248" spans="1:12" ht="15" thickBot="1">
      <c r="A248" s="114"/>
      <c r="B248" s="114"/>
      <c r="C248" s="25" t="s">
        <v>379</v>
      </c>
      <c r="D248" s="9" t="s">
        <v>257</v>
      </c>
      <c r="E248" s="8" t="s">
        <v>155</v>
      </c>
      <c r="F248" s="8" t="s">
        <v>141</v>
      </c>
      <c r="G248" s="8" t="s">
        <v>142</v>
      </c>
      <c r="H248" s="8" t="s">
        <v>142</v>
      </c>
      <c r="I248" s="19" t="s">
        <v>143</v>
      </c>
      <c r="J248" s="8" t="s">
        <v>52</v>
      </c>
      <c r="K248" s="8" t="s">
        <v>96</v>
      </c>
      <c r="L248" s="8" t="s">
        <v>62</v>
      </c>
    </row>
    <row r="249" spans="1:12" ht="27" thickBot="1">
      <c r="A249" s="114"/>
      <c r="B249" s="114"/>
      <c r="C249" s="25" t="s">
        <v>380</v>
      </c>
      <c r="D249" s="11" t="s">
        <v>260</v>
      </c>
      <c r="E249" s="11" t="s">
        <v>372</v>
      </c>
      <c r="F249" s="13"/>
      <c r="G249" s="8" t="s">
        <v>59</v>
      </c>
      <c r="H249" s="8" t="s">
        <v>50</v>
      </c>
      <c r="I249" s="8" t="s">
        <v>60</v>
      </c>
      <c r="J249" s="8" t="s">
        <v>52</v>
      </c>
      <c r="K249" s="8" t="s">
        <v>71</v>
      </c>
      <c r="L249" s="8" t="s">
        <v>62</v>
      </c>
    </row>
    <row r="250" spans="1:12" ht="27" thickBot="1">
      <c r="A250" s="114"/>
      <c r="B250" s="114"/>
      <c r="C250" s="22" t="s">
        <v>381</v>
      </c>
      <c r="D250" s="11" t="s">
        <v>260</v>
      </c>
      <c r="E250" s="11" t="s">
        <v>372</v>
      </c>
      <c r="F250" s="13"/>
      <c r="G250" s="8" t="s">
        <v>59</v>
      </c>
      <c r="H250" s="8" t="s">
        <v>50</v>
      </c>
      <c r="I250" s="8" t="s">
        <v>60</v>
      </c>
      <c r="J250" s="8" t="s">
        <v>52</v>
      </c>
      <c r="K250" s="8" t="s">
        <v>71</v>
      </c>
      <c r="L250" s="8" t="s">
        <v>62</v>
      </c>
    </row>
    <row r="251" spans="1:12" ht="34.799999999999997" thickBot="1">
      <c r="A251" s="114"/>
      <c r="B251" s="114"/>
      <c r="C251" s="25" t="s">
        <v>382</v>
      </c>
      <c r="D251" s="11" t="s">
        <v>260</v>
      </c>
      <c r="E251" s="11" t="s">
        <v>372</v>
      </c>
      <c r="F251" s="13"/>
      <c r="G251" s="8" t="s">
        <v>59</v>
      </c>
      <c r="H251" s="8" t="s">
        <v>50</v>
      </c>
      <c r="I251" s="8" t="s">
        <v>60</v>
      </c>
      <c r="J251" s="8" t="s">
        <v>52</v>
      </c>
      <c r="K251" s="8" t="s">
        <v>71</v>
      </c>
      <c r="L251" s="8" t="s">
        <v>62</v>
      </c>
    </row>
    <row r="252" spans="1:12" ht="27" thickBot="1">
      <c r="A252" s="114"/>
      <c r="B252" s="114"/>
      <c r="C252" s="25" t="s">
        <v>383</v>
      </c>
      <c r="D252" s="11" t="s">
        <v>260</v>
      </c>
      <c r="E252" s="11" t="s">
        <v>372</v>
      </c>
      <c r="F252" s="13"/>
      <c r="G252" s="8" t="s">
        <v>59</v>
      </c>
      <c r="H252" s="8" t="s">
        <v>50</v>
      </c>
      <c r="I252" s="8" t="s">
        <v>60</v>
      </c>
      <c r="J252" s="8" t="s">
        <v>52</v>
      </c>
      <c r="K252" s="8" t="s">
        <v>71</v>
      </c>
      <c r="L252" s="8" t="s">
        <v>62</v>
      </c>
    </row>
    <row r="253" spans="1:12" ht="15" thickBot="1">
      <c r="A253" s="114"/>
      <c r="B253" s="114"/>
      <c r="C253" s="25" t="s">
        <v>384</v>
      </c>
      <c r="D253" s="11" t="s">
        <v>260</v>
      </c>
      <c r="E253" s="13"/>
      <c r="F253" s="13"/>
      <c r="G253" s="8" t="s">
        <v>59</v>
      </c>
      <c r="H253" s="8" t="s">
        <v>50</v>
      </c>
      <c r="I253" s="8" t="s">
        <v>60</v>
      </c>
      <c r="J253" s="8" t="s">
        <v>52</v>
      </c>
      <c r="K253" s="8" t="s">
        <v>71</v>
      </c>
      <c r="L253" s="8" t="s">
        <v>62</v>
      </c>
    </row>
    <row r="254" spans="1:12" ht="23.4" thickBot="1">
      <c r="A254" s="114"/>
      <c r="B254" s="114"/>
      <c r="C254" s="25" t="s">
        <v>385</v>
      </c>
      <c r="D254" s="9" t="s">
        <v>257</v>
      </c>
      <c r="E254" s="9" t="s">
        <v>386</v>
      </c>
      <c r="F254" s="8" t="s">
        <v>141</v>
      </c>
      <c r="G254" s="8" t="s">
        <v>142</v>
      </c>
      <c r="H254" s="8" t="s">
        <v>142</v>
      </c>
      <c r="I254" s="19" t="s">
        <v>143</v>
      </c>
      <c r="J254" s="8" t="s">
        <v>52</v>
      </c>
      <c r="K254" s="8" t="s">
        <v>96</v>
      </c>
      <c r="L254" s="8" t="s">
        <v>62</v>
      </c>
    </row>
    <row r="255" spans="1:12" ht="23.4" thickBot="1">
      <c r="A255" s="114"/>
      <c r="B255" s="114"/>
      <c r="C255" s="25" t="s">
        <v>387</v>
      </c>
      <c r="D255" s="9" t="s">
        <v>257</v>
      </c>
      <c r="E255" s="9" t="s">
        <v>388</v>
      </c>
      <c r="F255" s="8" t="s">
        <v>141</v>
      </c>
      <c r="G255" s="8" t="s">
        <v>142</v>
      </c>
      <c r="H255" s="8" t="s">
        <v>142</v>
      </c>
      <c r="I255" s="19" t="s">
        <v>143</v>
      </c>
      <c r="J255" s="8" t="s">
        <v>52</v>
      </c>
      <c r="K255" s="8" t="s">
        <v>96</v>
      </c>
      <c r="L255" s="8" t="s">
        <v>62</v>
      </c>
    </row>
    <row r="256" spans="1:12" ht="23.4" thickBot="1">
      <c r="A256" s="114"/>
      <c r="B256" s="114"/>
      <c r="C256" s="25" t="s">
        <v>389</v>
      </c>
      <c r="D256" s="9" t="s">
        <v>257</v>
      </c>
      <c r="E256" s="9" t="s">
        <v>388</v>
      </c>
      <c r="F256" s="8" t="s">
        <v>141</v>
      </c>
      <c r="G256" s="8" t="s">
        <v>142</v>
      </c>
      <c r="H256" s="8" t="s">
        <v>142</v>
      </c>
      <c r="I256" s="19" t="s">
        <v>143</v>
      </c>
      <c r="J256" s="8" t="s">
        <v>52</v>
      </c>
      <c r="K256" s="8" t="s">
        <v>96</v>
      </c>
      <c r="L256" s="8" t="s">
        <v>62</v>
      </c>
    </row>
    <row r="257" spans="1:12" ht="23.4" thickBot="1">
      <c r="A257" s="114"/>
      <c r="B257" s="114"/>
      <c r="C257" s="25" t="s">
        <v>390</v>
      </c>
      <c r="D257" s="9" t="s">
        <v>257</v>
      </c>
      <c r="E257" s="9" t="s">
        <v>391</v>
      </c>
      <c r="F257" s="8" t="s">
        <v>141</v>
      </c>
      <c r="G257" s="8" t="s">
        <v>142</v>
      </c>
      <c r="H257" s="8" t="s">
        <v>142</v>
      </c>
      <c r="I257" s="19" t="s">
        <v>143</v>
      </c>
      <c r="J257" s="8" t="s">
        <v>52</v>
      </c>
      <c r="K257" s="8" t="s">
        <v>96</v>
      </c>
      <c r="L257" s="8" t="s">
        <v>62</v>
      </c>
    </row>
    <row r="258" spans="1:12" ht="15" thickBot="1">
      <c r="A258" s="114"/>
      <c r="B258" s="114"/>
      <c r="C258" s="25" t="s">
        <v>392</v>
      </c>
      <c r="D258" s="9" t="s">
        <v>257</v>
      </c>
      <c r="E258" s="9" t="s">
        <v>393</v>
      </c>
      <c r="F258" s="8" t="s">
        <v>141</v>
      </c>
      <c r="G258" s="8" t="s">
        <v>142</v>
      </c>
      <c r="H258" s="8" t="s">
        <v>142</v>
      </c>
      <c r="I258" s="19" t="s">
        <v>143</v>
      </c>
      <c r="J258" s="8" t="s">
        <v>52</v>
      </c>
      <c r="K258" s="8" t="s">
        <v>96</v>
      </c>
      <c r="L258" s="8" t="s">
        <v>62</v>
      </c>
    </row>
    <row r="259" spans="1:12" ht="15" thickBot="1">
      <c r="A259" s="114"/>
      <c r="B259" s="114"/>
      <c r="C259" s="18" t="s">
        <v>394</v>
      </c>
      <c r="D259" s="13"/>
      <c r="E259" s="13"/>
      <c r="F259" s="13"/>
      <c r="G259" s="13"/>
      <c r="H259" s="13"/>
      <c r="I259" s="13"/>
      <c r="J259" s="13"/>
      <c r="K259" s="13"/>
      <c r="L259" s="8" t="s">
        <v>62</v>
      </c>
    </row>
    <row r="260" spans="1:12" ht="23.4" thickBot="1">
      <c r="A260" s="114"/>
      <c r="B260" s="114"/>
      <c r="C260" s="25" t="s">
        <v>395</v>
      </c>
      <c r="D260" s="9" t="s">
        <v>257</v>
      </c>
      <c r="E260" s="8" t="s">
        <v>155</v>
      </c>
      <c r="F260" s="8" t="s">
        <v>141</v>
      </c>
      <c r="G260" s="8" t="s">
        <v>142</v>
      </c>
      <c r="H260" s="8" t="s">
        <v>142</v>
      </c>
      <c r="I260" s="19" t="s">
        <v>143</v>
      </c>
      <c r="J260" s="8" t="s">
        <v>52</v>
      </c>
      <c r="K260" s="8" t="s">
        <v>96</v>
      </c>
      <c r="L260" s="8" t="s">
        <v>62</v>
      </c>
    </row>
    <row r="261" spans="1:12" ht="23.4" thickBot="1">
      <c r="A261" s="114"/>
      <c r="B261" s="114"/>
      <c r="C261" s="25" t="s">
        <v>378</v>
      </c>
      <c r="D261" s="11" t="s">
        <v>260</v>
      </c>
      <c r="E261" s="13"/>
      <c r="F261" s="13"/>
      <c r="G261" s="8" t="s">
        <v>59</v>
      </c>
      <c r="H261" s="8" t="s">
        <v>50</v>
      </c>
      <c r="I261" s="8" t="s">
        <v>60</v>
      </c>
      <c r="J261" s="8" t="s">
        <v>52</v>
      </c>
      <c r="K261" s="8" t="s">
        <v>71</v>
      </c>
      <c r="L261" s="8" t="s">
        <v>62</v>
      </c>
    </row>
    <row r="262" spans="1:12" ht="27" thickBot="1">
      <c r="A262" s="114"/>
      <c r="B262" s="114"/>
      <c r="C262" s="25" t="s">
        <v>396</v>
      </c>
      <c r="D262" s="11" t="s">
        <v>260</v>
      </c>
      <c r="E262" s="11" t="s">
        <v>372</v>
      </c>
      <c r="F262" s="13"/>
      <c r="G262" s="8" t="s">
        <v>59</v>
      </c>
      <c r="H262" s="8" t="s">
        <v>50</v>
      </c>
      <c r="I262" s="8" t="s">
        <v>60</v>
      </c>
      <c r="J262" s="8" t="s">
        <v>52</v>
      </c>
      <c r="K262" s="8" t="s">
        <v>71</v>
      </c>
      <c r="L262" s="8" t="s">
        <v>62</v>
      </c>
    </row>
    <row r="263" spans="1:12" ht="27" thickBot="1">
      <c r="A263" s="114"/>
      <c r="B263" s="114"/>
      <c r="C263" s="25" t="s">
        <v>397</v>
      </c>
      <c r="D263" s="11" t="s">
        <v>260</v>
      </c>
      <c r="E263" s="11" t="s">
        <v>372</v>
      </c>
      <c r="F263" s="13"/>
      <c r="G263" s="8" t="s">
        <v>59</v>
      </c>
      <c r="H263" s="8" t="s">
        <v>50</v>
      </c>
      <c r="I263" s="8" t="s">
        <v>60</v>
      </c>
      <c r="J263" s="8" t="s">
        <v>52</v>
      </c>
      <c r="K263" s="8" t="s">
        <v>71</v>
      </c>
      <c r="L263" s="8" t="s">
        <v>62</v>
      </c>
    </row>
    <row r="264" spans="1:12" ht="27" thickBot="1">
      <c r="A264" s="114"/>
      <c r="B264" s="114"/>
      <c r="C264" s="25" t="s">
        <v>398</v>
      </c>
      <c r="D264" s="11" t="s">
        <v>260</v>
      </c>
      <c r="E264" s="11" t="s">
        <v>372</v>
      </c>
      <c r="F264" s="13"/>
      <c r="G264" s="8" t="s">
        <v>59</v>
      </c>
      <c r="H264" s="8" t="s">
        <v>50</v>
      </c>
      <c r="I264" s="8" t="s">
        <v>60</v>
      </c>
      <c r="J264" s="8" t="s">
        <v>52</v>
      </c>
      <c r="K264" s="8" t="s">
        <v>71</v>
      </c>
      <c r="L264" s="8" t="s">
        <v>62</v>
      </c>
    </row>
    <row r="265" spans="1:12" ht="27" thickBot="1">
      <c r="A265" s="114"/>
      <c r="B265" s="114"/>
      <c r="C265" s="25" t="s">
        <v>399</v>
      </c>
      <c r="D265" s="11" t="s">
        <v>260</v>
      </c>
      <c r="E265" s="11" t="s">
        <v>372</v>
      </c>
      <c r="F265" s="13"/>
      <c r="G265" s="8" t="s">
        <v>59</v>
      </c>
      <c r="H265" s="8" t="s">
        <v>50</v>
      </c>
      <c r="I265" s="8" t="s">
        <v>60</v>
      </c>
      <c r="J265" s="8" t="s">
        <v>52</v>
      </c>
      <c r="K265" s="8" t="s">
        <v>71</v>
      </c>
      <c r="L265" s="8" t="s">
        <v>62</v>
      </c>
    </row>
    <row r="266" spans="1:12" ht="27" thickBot="1">
      <c r="A266" s="114"/>
      <c r="B266" s="114"/>
      <c r="C266" s="25" t="s">
        <v>400</v>
      </c>
      <c r="D266" s="11" t="s">
        <v>260</v>
      </c>
      <c r="E266" s="11" t="s">
        <v>372</v>
      </c>
      <c r="F266" s="13"/>
      <c r="G266" s="8" t="s">
        <v>59</v>
      </c>
      <c r="H266" s="8" t="s">
        <v>50</v>
      </c>
      <c r="I266" s="8" t="s">
        <v>60</v>
      </c>
      <c r="J266" s="8" t="s">
        <v>52</v>
      </c>
      <c r="K266" s="8" t="s">
        <v>71</v>
      </c>
      <c r="L266" s="8" t="s">
        <v>62</v>
      </c>
    </row>
    <row r="267" spans="1:12" ht="23.4" thickBot="1">
      <c r="A267" s="114"/>
      <c r="B267" s="114"/>
      <c r="C267" s="25" t="s">
        <v>401</v>
      </c>
      <c r="D267" s="9" t="s">
        <v>257</v>
      </c>
      <c r="E267" s="11" t="s">
        <v>402</v>
      </c>
      <c r="F267" s="8" t="s">
        <v>141</v>
      </c>
      <c r="G267" s="8" t="s">
        <v>142</v>
      </c>
      <c r="H267" s="8" t="s">
        <v>142</v>
      </c>
      <c r="I267" s="19" t="s">
        <v>143</v>
      </c>
      <c r="J267" s="8" t="s">
        <v>52</v>
      </c>
      <c r="K267" s="8" t="s">
        <v>96</v>
      </c>
      <c r="L267" s="8" t="s">
        <v>62</v>
      </c>
    </row>
    <row r="268" spans="1:12" ht="27" thickBot="1">
      <c r="A268" s="114">
        <v>18</v>
      </c>
      <c r="B268" s="114" t="s">
        <v>403</v>
      </c>
      <c r="C268" s="16" t="s">
        <v>69</v>
      </c>
      <c r="D268" s="13"/>
      <c r="E268" s="13"/>
      <c r="F268" s="13"/>
      <c r="G268" s="8" t="s">
        <v>59</v>
      </c>
      <c r="H268" s="8" t="s">
        <v>50</v>
      </c>
      <c r="I268" s="8" t="s">
        <v>60</v>
      </c>
      <c r="J268" s="8" t="s">
        <v>52</v>
      </c>
      <c r="K268" s="8" t="s">
        <v>71</v>
      </c>
      <c r="L268" s="8" t="s">
        <v>62</v>
      </c>
    </row>
    <row r="269" spans="1:12" ht="15" thickBot="1">
      <c r="A269" s="114"/>
      <c r="B269" s="114"/>
      <c r="C269" s="25" t="s">
        <v>404</v>
      </c>
      <c r="D269" s="13"/>
      <c r="E269" s="9" t="s">
        <v>57</v>
      </c>
      <c r="F269" s="13"/>
      <c r="G269" s="8" t="s">
        <v>59</v>
      </c>
      <c r="H269" s="8" t="s">
        <v>50</v>
      </c>
      <c r="I269" s="8" t="s">
        <v>60</v>
      </c>
      <c r="J269" s="8" t="s">
        <v>52</v>
      </c>
      <c r="K269" s="8" t="s">
        <v>71</v>
      </c>
      <c r="L269" s="8" t="s">
        <v>62</v>
      </c>
    </row>
    <row r="270" spans="1:12" ht="15" thickBot="1">
      <c r="A270" s="114"/>
      <c r="B270" s="114"/>
      <c r="C270" s="25" t="s">
        <v>405</v>
      </c>
      <c r="D270" s="13"/>
      <c r="E270" s="9" t="s">
        <v>57</v>
      </c>
      <c r="F270" s="13"/>
      <c r="G270" s="8" t="s">
        <v>59</v>
      </c>
      <c r="H270" s="8" t="s">
        <v>50</v>
      </c>
      <c r="I270" s="8" t="s">
        <v>60</v>
      </c>
      <c r="J270" s="8" t="s">
        <v>52</v>
      </c>
      <c r="K270" s="8" t="s">
        <v>71</v>
      </c>
      <c r="L270" s="8" t="s">
        <v>62</v>
      </c>
    </row>
    <row r="271" spans="1:12" ht="15" thickBot="1">
      <c r="A271" s="114"/>
      <c r="B271" s="114"/>
      <c r="C271" s="25" t="s">
        <v>406</v>
      </c>
      <c r="D271" s="13"/>
      <c r="E271" s="9" t="s">
        <v>57</v>
      </c>
      <c r="F271" s="13"/>
      <c r="G271" s="8" t="s">
        <v>59</v>
      </c>
      <c r="H271" s="8" t="s">
        <v>50</v>
      </c>
      <c r="I271" s="8" t="s">
        <v>60</v>
      </c>
      <c r="J271" s="8" t="s">
        <v>52</v>
      </c>
      <c r="K271" s="8" t="s">
        <v>71</v>
      </c>
      <c r="L271" s="8" t="s">
        <v>62</v>
      </c>
    </row>
    <row r="272" spans="1:12" ht="15" thickBot="1">
      <c r="A272" s="114"/>
      <c r="B272" s="114"/>
      <c r="C272" s="25" t="s">
        <v>407</v>
      </c>
      <c r="D272" s="9" t="s">
        <v>257</v>
      </c>
      <c r="E272" s="9" t="s">
        <v>408</v>
      </c>
      <c r="F272" s="8" t="s">
        <v>175</v>
      </c>
      <c r="G272" s="8" t="s">
        <v>142</v>
      </c>
      <c r="H272" s="8" t="s">
        <v>142</v>
      </c>
      <c r="I272" s="9" t="s">
        <v>143</v>
      </c>
      <c r="J272" s="8" t="s">
        <v>52</v>
      </c>
      <c r="K272" s="8" t="s">
        <v>118</v>
      </c>
      <c r="L272" s="8" t="s">
        <v>62</v>
      </c>
    </row>
    <row r="273" spans="1:12" ht="15" thickBot="1">
      <c r="A273" s="114"/>
      <c r="B273" s="114"/>
      <c r="C273" s="25" t="s">
        <v>409</v>
      </c>
      <c r="D273" s="9" t="s">
        <v>257</v>
      </c>
      <c r="E273" s="9" t="s">
        <v>408</v>
      </c>
      <c r="F273" s="8" t="s">
        <v>175</v>
      </c>
      <c r="G273" s="8" t="s">
        <v>142</v>
      </c>
      <c r="H273" s="8" t="s">
        <v>142</v>
      </c>
      <c r="I273" s="9" t="s">
        <v>143</v>
      </c>
      <c r="J273" s="8" t="s">
        <v>52</v>
      </c>
      <c r="K273" s="8" t="s">
        <v>118</v>
      </c>
      <c r="L273" s="8" t="s">
        <v>62</v>
      </c>
    </row>
    <row r="274" spans="1:12" ht="15" thickBot="1">
      <c r="A274" s="114"/>
      <c r="B274" s="114"/>
      <c r="C274" s="25" t="s">
        <v>410</v>
      </c>
      <c r="D274" s="9" t="s">
        <v>257</v>
      </c>
      <c r="E274" s="9" t="s">
        <v>408</v>
      </c>
      <c r="F274" s="8" t="s">
        <v>175</v>
      </c>
      <c r="G274" s="8" t="s">
        <v>142</v>
      </c>
      <c r="H274" s="8" t="s">
        <v>142</v>
      </c>
      <c r="I274" s="9" t="s">
        <v>143</v>
      </c>
      <c r="J274" s="8" t="s">
        <v>52</v>
      </c>
      <c r="K274" s="8" t="s">
        <v>118</v>
      </c>
      <c r="L274" s="8" t="s">
        <v>62</v>
      </c>
    </row>
    <row r="275" spans="1:12" ht="27" thickBot="1">
      <c r="A275" s="114">
        <v>19</v>
      </c>
      <c r="B275" s="114" t="s">
        <v>411</v>
      </c>
      <c r="C275" s="16" t="s">
        <v>69</v>
      </c>
      <c r="D275" s="13"/>
      <c r="E275" s="13"/>
      <c r="F275" s="13"/>
      <c r="G275" s="8" t="s">
        <v>59</v>
      </c>
      <c r="H275" s="8" t="s">
        <v>50</v>
      </c>
      <c r="I275" s="8" t="s">
        <v>60</v>
      </c>
      <c r="J275" s="8" t="s">
        <v>52</v>
      </c>
      <c r="K275" s="8" t="s">
        <v>71</v>
      </c>
      <c r="L275" s="8" t="s">
        <v>62</v>
      </c>
    </row>
    <row r="276" spans="1:12" ht="15" thickBot="1">
      <c r="A276" s="114"/>
      <c r="B276" s="114"/>
      <c r="C276" s="25" t="s">
        <v>412</v>
      </c>
      <c r="D276" s="9" t="s">
        <v>257</v>
      </c>
      <c r="E276" s="8" t="s">
        <v>155</v>
      </c>
      <c r="F276" s="8" t="s">
        <v>141</v>
      </c>
      <c r="G276" s="8" t="s">
        <v>142</v>
      </c>
      <c r="H276" s="8" t="s">
        <v>142</v>
      </c>
      <c r="I276" s="9" t="s">
        <v>143</v>
      </c>
      <c r="J276" s="8" t="s">
        <v>52</v>
      </c>
      <c r="K276" s="8" t="s">
        <v>413</v>
      </c>
      <c r="L276" s="8" t="s">
        <v>62</v>
      </c>
    </row>
    <row r="277" spans="1:12" ht="27" thickBot="1">
      <c r="A277" s="114"/>
      <c r="B277" s="114"/>
      <c r="C277" s="22" t="s">
        <v>414</v>
      </c>
      <c r="D277" s="13"/>
      <c r="E277" s="11" t="s">
        <v>372</v>
      </c>
      <c r="F277" s="13"/>
      <c r="G277" s="8" t="s">
        <v>59</v>
      </c>
      <c r="H277" s="8" t="s">
        <v>50</v>
      </c>
      <c r="I277" s="8" t="s">
        <v>60</v>
      </c>
      <c r="J277" s="8" t="s">
        <v>52</v>
      </c>
      <c r="K277" s="8" t="s">
        <v>71</v>
      </c>
      <c r="L277" s="8" t="s">
        <v>62</v>
      </c>
    </row>
    <row r="278" spans="1:12" ht="27" thickBot="1">
      <c r="A278" s="114"/>
      <c r="B278" s="114"/>
      <c r="C278" s="25" t="s">
        <v>415</v>
      </c>
      <c r="D278" s="13"/>
      <c r="E278" s="11" t="s">
        <v>372</v>
      </c>
      <c r="F278" s="13"/>
      <c r="G278" s="8" t="s">
        <v>59</v>
      </c>
      <c r="H278" s="8" t="s">
        <v>50</v>
      </c>
      <c r="I278" s="8" t="s">
        <v>60</v>
      </c>
      <c r="J278" s="8" t="s">
        <v>52</v>
      </c>
      <c r="K278" s="8" t="s">
        <v>71</v>
      </c>
      <c r="L278" s="8" t="s">
        <v>62</v>
      </c>
    </row>
    <row r="279" spans="1:12" ht="23.4" thickBot="1">
      <c r="A279" s="114"/>
      <c r="B279" s="114"/>
      <c r="C279" s="22" t="s">
        <v>416</v>
      </c>
      <c r="D279" s="13"/>
      <c r="E279" s="9" t="s">
        <v>57</v>
      </c>
      <c r="F279" s="13"/>
      <c r="G279" s="8" t="s">
        <v>59</v>
      </c>
      <c r="H279" s="8" t="s">
        <v>50</v>
      </c>
      <c r="I279" s="8" t="s">
        <v>60</v>
      </c>
      <c r="J279" s="8" t="s">
        <v>52</v>
      </c>
      <c r="K279" s="8" t="s">
        <v>71</v>
      </c>
      <c r="L279" s="8" t="s">
        <v>62</v>
      </c>
    </row>
    <row r="280" spans="1:12" ht="57.6" thickBot="1">
      <c r="A280" s="114"/>
      <c r="B280" s="114"/>
      <c r="C280" s="25" t="s">
        <v>417</v>
      </c>
      <c r="D280" s="13"/>
      <c r="E280" s="11" t="s">
        <v>372</v>
      </c>
      <c r="F280" s="13"/>
      <c r="G280" s="8" t="s">
        <v>59</v>
      </c>
      <c r="H280" s="8" t="s">
        <v>50</v>
      </c>
      <c r="I280" s="8" t="s">
        <v>60</v>
      </c>
      <c r="J280" s="8" t="s">
        <v>52</v>
      </c>
      <c r="K280" s="8" t="s">
        <v>71</v>
      </c>
      <c r="L280" s="8" t="s">
        <v>62</v>
      </c>
    </row>
    <row r="281" spans="1:12" ht="27" thickBot="1">
      <c r="A281" s="114"/>
      <c r="B281" s="114"/>
      <c r="C281" s="25" t="s">
        <v>418</v>
      </c>
      <c r="D281" s="9" t="s">
        <v>257</v>
      </c>
      <c r="E281" s="11" t="s">
        <v>372</v>
      </c>
      <c r="F281" s="8" t="s">
        <v>141</v>
      </c>
      <c r="G281" s="8" t="s">
        <v>142</v>
      </c>
      <c r="H281" s="8" t="s">
        <v>142</v>
      </c>
      <c r="I281" s="9" t="s">
        <v>143</v>
      </c>
      <c r="J281" s="8" t="s">
        <v>52</v>
      </c>
      <c r="K281" s="8" t="s">
        <v>413</v>
      </c>
      <c r="L281" s="8" t="s">
        <v>62</v>
      </c>
    </row>
  </sheetData>
  <autoFilter ref="A8:L281" xr:uid="{4C42653C-9B35-45A6-A166-5B6A5B8B28CB}">
    <filterColumn colId="6" showButton="0"/>
  </autoFilter>
  <mergeCells count="85">
    <mergeCell ref="A268:A274"/>
    <mergeCell ref="B268:B274"/>
    <mergeCell ref="A275:A281"/>
    <mergeCell ref="B275:B281"/>
    <mergeCell ref="A238:A244"/>
    <mergeCell ref="B238:B244"/>
    <mergeCell ref="A245:A267"/>
    <mergeCell ref="B245:B267"/>
    <mergeCell ref="A210:A224"/>
    <mergeCell ref="B210:B224"/>
    <mergeCell ref="A225:A237"/>
    <mergeCell ref="B225:B237"/>
    <mergeCell ref="D235:K235"/>
    <mergeCell ref="A179:A181"/>
    <mergeCell ref="B179:B181"/>
    <mergeCell ref="A182:A209"/>
    <mergeCell ref="B182:B209"/>
    <mergeCell ref="A150:A178"/>
    <mergeCell ref="B150:B178"/>
    <mergeCell ref="D174:K174"/>
    <mergeCell ref="D175:K175"/>
    <mergeCell ref="D176:K176"/>
    <mergeCell ref="A132:A142"/>
    <mergeCell ref="B132:B142"/>
    <mergeCell ref="A143:A149"/>
    <mergeCell ref="B143:B149"/>
    <mergeCell ref="A110:A121"/>
    <mergeCell ref="B110:B121"/>
    <mergeCell ref="D110:L110"/>
    <mergeCell ref="A122:A131"/>
    <mergeCell ref="B122:B131"/>
    <mergeCell ref="A51:A109"/>
    <mergeCell ref="B51:B109"/>
    <mergeCell ref="D51:K52"/>
    <mergeCell ref="L51:L52"/>
    <mergeCell ref="D60:L60"/>
    <mergeCell ref="D70:K70"/>
    <mergeCell ref="D79:K79"/>
    <mergeCell ref="D92:K92"/>
    <mergeCell ref="D107:L107"/>
    <mergeCell ref="A28:A39"/>
    <mergeCell ref="B28:B39"/>
    <mergeCell ref="A40:A50"/>
    <mergeCell ref="B40:B50"/>
    <mergeCell ref="A13:A19"/>
    <mergeCell ref="B13:B19"/>
    <mergeCell ref="A20:A27"/>
    <mergeCell ref="B20:B27"/>
    <mergeCell ref="G8:H8"/>
    <mergeCell ref="K8:K9"/>
    <mergeCell ref="L8:L9"/>
    <mergeCell ref="A10:A12"/>
    <mergeCell ref="B10:B12"/>
    <mergeCell ref="A8:A9"/>
    <mergeCell ref="B8:B9"/>
    <mergeCell ref="C8:C9"/>
    <mergeCell ref="D8:D9"/>
    <mergeCell ref="E8:E9"/>
    <mergeCell ref="F8:F9"/>
    <mergeCell ref="A7:L7"/>
    <mergeCell ref="A4:B4"/>
    <mergeCell ref="C4:E4"/>
    <mergeCell ref="F4:G4"/>
    <mergeCell ref="H4:I4"/>
    <mergeCell ref="J4:L4"/>
    <mergeCell ref="A5:B5"/>
    <mergeCell ref="C5:E5"/>
    <mergeCell ref="F5:G5"/>
    <mergeCell ref="H5:I5"/>
    <mergeCell ref="J5:L5"/>
    <mergeCell ref="A6:B6"/>
    <mergeCell ref="C6:E6"/>
    <mergeCell ref="F6:G6"/>
    <mergeCell ref="H6:I6"/>
    <mergeCell ref="J6:L6"/>
    <mergeCell ref="A1:B1"/>
    <mergeCell ref="C1:K1"/>
    <mergeCell ref="A2:B2"/>
    <mergeCell ref="C2:E2"/>
    <mergeCell ref="F2:L2"/>
    <mergeCell ref="A3:B3"/>
    <mergeCell ref="C3:E3"/>
    <mergeCell ref="F3:G3"/>
    <mergeCell ref="H3:I3"/>
    <mergeCell ref="J3:L3"/>
  </mergeCells>
  <conditionalFormatting sqref="L1 L10:L1048576">
    <cfRule type="containsText" dxfId="1" priority="1" operator="containsText" text="Completed">
      <formula>NOT(ISERROR(SEARCH("Completed",L1)))</formula>
    </cfRule>
    <cfRule type="containsText" dxfId="0" priority="2" operator="containsText" text="Pending">
      <formula>NOT(ISERROR(SEARCH("Pending",L1)))</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SOR Log</vt:lpstr>
      <vt:lpstr>Cube Test</vt:lpstr>
      <vt:lpstr>Organization Chart</vt:lpstr>
      <vt:lpstr>CAR register</vt:lpstr>
      <vt:lpstr>Quality Assurance Plan - Detail</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Saiyam Shah</dc:creator>
  <cp:lastModifiedBy>Saiyam Shah</cp:lastModifiedBy>
  <cp:lastPrinted>2026-02-21T10:27:28Z</cp:lastPrinted>
  <dcterms:created xsi:type="dcterms:W3CDTF">2026-01-22T16:31:38Z</dcterms:created>
  <dcterms:modified xsi:type="dcterms:W3CDTF">2026-02-21T10:27:41Z</dcterms:modified>
</cp:coreProperties>
</file>