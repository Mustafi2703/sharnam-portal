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3-Projects\14-Viatrix Engineering &amp; Plastics LLP 1\2. Project Constrcution\7. Billing Measurement Finance\7.1 Vendor RA Bills\7.2.1 Civil\7.2.1.3 RA BIll Certified\"/>
    </mc:Choice>
  </mc:AlternateContent>
  <xr:revisionPtr revIDLastSave="0" documentId="13_ncr:1_{1FA1603A-56B8-474D-AC72-77C6AB8E9A27}" xr6:coauthVersionLast="47" xr6:coauthVersionMax="47" xr10:uidLastSave="{00000000-0000-0000-0000-000000000000}"/>
  <bookViews>
    <workbookView xWindow="-108" yWindow="-108" windowWidth="23256" windowHeight="12456" tabRatio="760" activeTab="7" xr2:uid="{00000000-000D-0000-FFFF-FFFF00000000}"/>
  </bookViews>
  <sheets>
    <sheet name="01" sheetId="3" r:id="rId1"/>
    <sheet name="02" sheetId="4" r:id="rId2"/>
    <sheet name="03" sheetId="5" r:id="rId3"/>
    <sheet name="04" sheetId="6" r:id="rId4"/>
    <sheet name="05" sheetId="7" r:id="rId5"/>
    <sheet name="06" sheetId="8" r:id="rId6"/>
    <sheet name="07" sheetId="9" r:id="rId7"/>
    <sheet name="08" sheetId="10" r:id="rId8"/>
  </sheets>
  <functionGroups builtInGroupCount="19"/>
  <externalReferences>
    <externalReference r:id="rId9"/>
  </externalReferences>
  <definedNames>
    <definedName name="_Fill" hidden="1">#REF!</definedName>
    <definedName name="_Order1" hidden="1">255</definedName>
    <definedName name="_Sort" hidden="1">#REF!</definedName>
    <definedName name="A">#REF!</definedName>
    <definedName name="aas" hidden="1">#REF!</definedName>
    <definedName name="BBlock" hidden="1">#REF!</definedName>
    <definedName name="DAD" hidden="1">#REF!</definedName>
    <definedName name="_xlnm.Database">#REF!</definedName>
    <definedName name="dow" hidden="1">#REF!</definedName>
    <definedName name="Excel_BuiltIn_Database">#REF!</definedName>
    <definedName name="Excel_BuiltIn_Print_Area">#REF!</definedName>
    <definedName name="ffff" hidden="1">#REF!</definedName>
    <definedName name="GAIL" hidden="1">#REF!</definedName>
    <definedName name="HTML_CodePage" hidden="1">1252</definedName>
    <definedName name="HTML_Control" hidden="1">{"'Sheet1'!$A$4386:$N$4591"}</definedName>
    <definedName name="HTML_Description" hidden="1">""</definedName>
    <definedName name="HTML_Email" hidden="1">""</definedName>
    <definedName name="HTML_Header" hidden="1">"Sheet1"</definedName>
    <definedName name="HTML_LastUpdate" hidden="1">"7/1/03"</definedName>
    <definedName name="HTML_LineAfter" hidden="1">FALSE</definedName>
    <definedName name="HTML_LineBefore" hidden="1">FALSE</definedName>
    <definedName name="HTML_Name" hidden="1">"m.p.raval"</definedName>
    <definedName name="HTML_OBDlg2" hidden="1">TRUE</definedName>
    <definedName name="HTML_OBDlg4" hidden="1">TRUE</definedName>
    <definedName name="HTML_OS" hidden="1">0</definedName>
    <definedName name="HTML_PathFile" hidden="1">"A:\MyHTML.htm"</definedName>
    <definedName name="HTML_Title" hidden="1">"SGSDaily Progress Report Piyaj toDharoi Pipeline"</definedName>
    <definedName name="MAHESH" hidden="1">#REF!</definedName>
    <definedName name="MB___1">#REF!</definedName>
    <definedName name="MB___2">#REF!</definedName>
    <definedName name="mmmmmm" hidden="1">#REF!</definedName>
    <definedName name="_xlnm.Print_Area" localSheetId="0">'01'!$B$2:$G$49</definedName>
    <definedName name="_xlnm.Print_Area" localSheetId="1">'02'!$B$2:$G$49</definedName>
    <definedName name="_xlnm.Print_Area" localSheetId="2">'03'!$B$2:$G$49</definedName>
    <definedName name="_xlnm.Print_Area" localSheetId="3">'04'!$B$2:$G$49</definedName>
    <definedName name="_xlnm.Print_Area" localSheetId="4">'05'!$B$2:$G$49</definedName>
    <definedName name="_xlnm.Print_Area" localSheetId="5">'06'!$B$2:$G$49</definedName>
    <definedName name="_xlnm.Print_Area" localSheetId="6">'07'!$B$2:$G$49</definedName>
    <definedName name="_xlnm.Print_Area" localSheetId="7">'08'!$B$2:$G$49</definedName>
    <definedName name="_xlnm.Print_Area">#REF!</definedName>
    <definedName name="Print_Area_MI">#REF!</definedName>
    <definedName name="sdasd" hidden="1">#REF!</definedName>
    <definedName name="vijay">'[1]AXIS 9-18  MS'!$B$306</definedName>
    <definedName name="XCBa">#REF!</definedName>
  </definedNames>
  <calcPr calcId="191029"/>
</workbook>
</file>

<file path=xl/calcChain.xml><?xml version="1.0" encoding="utf-8"?>
<calcChain xmlns="http://schemas.openxmlformats.org/spreadsheetml/2006/main">
  <c r="F32" i="10" l="1"/>
  <c r="F25" i="10"/>
  <c r="F43" i="10" s="1"/>
  <c r="F44" i="10" s="1"/>
  <c r="E43" i="10"/>
  <c r="E44" i="10" s="1"/>
  <c r="H44" i="10" s="1"/>
  <c r="E30" i="10"/>
  <c r="H30" i="10" s="1"/>
  <c r="E24" i="10"/>
  <c r="E21" i="10"/>
  <c r="H21" i="10" s="1"/>
  <c r="E17" i="10"/>
  <c r="H18" i="10"/>
  <c r="H19" i="10"/>
  <c r="H20" i="10"/>
  <c r="H22" i="10"/>
  <c r="H23" i="10"/>
  <c r="H26" i="10"/>
  <c r="H27" i="10"/>
  <c r="H28" i="10"/>
  <c r="H29" i="10"/>
  <c r="H31" i="10"/>
  <c r="H33" i="10"/>
  <c r="H34" i="10"/>
  <c r="H36" i="10"/>
  <c r="H38" i="10"/>
  <c r="H40" i="10"/>
  <c r="H42" i="10"/>
  <c r="H45" i="10"/>
  <c r="H46" i="10"/>
  <c r="H17" i="10"/>
  <c r="G31" i="10"/>
  <c r="G29" i="10"/>
  <c r="G28" i="10"/>
  <c r="G23" i="10"/>
  <c r="G22" i="10"/>
  <c r="G17" i="10"/>
  <c r="F47" i="9"/>
  <c r="F43" i="9"/>
  <c r="F30" i="9"/>
  <c r="E43" i="9"/>
  <c r="E44" i="9" s="1"/>
  <c r="H44" i="9" s="1"/>
  <c r="E30" i="9"/>
  <c r="E24" i="9"/>
  <c r="H24" i="9" s="1"/>
  <c r="E21" i="9"/>
  <c r="H21" i="9" s="1"/>
  <c r="E17" i="9"/>
  <c r="H17" i="9" s="1"/>
  <c r="H18" i="9"/>
  <c r="H19" i="9"/>
  <c r="H20" i="9"/>
  <c r="H22" i="9"/>
  <c r="H23" i="9"/>
  <c r="H26" i="9"/>
  <c r="H27" i="9"/>
  <c r="H28" i="9"/>
  <c r="H29" i="9"/>
  <c r="H30" i="9"/>
  <c r="H31" i="9"/>
  <c r="H33" i="9"/>
  <c r="H34" i="9"/>
  <c r="H36" i="9"/>
  <c r="H38" i="9"/>
  <c r="H40" i="9"/>
  <c r="H42" i="9"/>
  <c r="H45" i="9"/>
  <c r="H46" i="9"/>
  <c r="F32" i="9"/>
  <c r="E32" i="9"/>
  <c r="H32" i="9" s="1"/>
  <c r="G31" i="9"/>
  <c r="G30" i="9"/>
  <c r="G29" i="9"/>
  <c r="G28" i="9"/>
  <c r="F25" i="9"/>
  <c r="F37" i="9" s="1"/>
  <c r="F39" i="9" s="1"/>
  <c r="G23" i="9"/>
  <c r="G22" i="9"/>
  <c r="F43" i="8"/>
  <c r="E43" i="8"/>
  <c r="E44" i="8" s="1"/>
  <c r="H44" i="8" s="1"/>
  <c r="E30" i="8"/>
  <c r="E24" i="8"/>
  <c r="H24" i="8" s="1"/>
  <c r="E21" i="8"/>
  <c r="E17" i="8"/>
  <c r="G17" i="8" s="1"/>
  <c r="H18" i="8"/>
  <c r="H19" i="8"/>
  <c r="H20" i="8"/>
  <c r="H21" i="8"/>
  <c r="H22" i="8"/>
  <c r="H23" i="8"/>
  <c r="H26" i="8"/>
  <c r="H27" i="8"/>
  <c r="H28" i="8"/>
  <c r="H29" i="8"/>
  <c r="H30" i="8"/>
  <c r="H31" i="8"/>
  <c r="H33" i="8"/>
  <c r="H34" i="8"/>
  <c r="H36" i="8"/>
  <c r="H38" i="8"/>
  <c r="H40" i="8"/>
  <c r="H42" i="8"/>
  <c r="H45" i="8"/>
  <c r="H46" i="8"/>
  <c r="F32" i="8"/>
  <c r="G31" i="8"/>
  <c r="E32" i="8"/>
  <c r="H32" i="8" s="1"/>
  <c r="G29" i="8"/>
  <c r="G28" i="8"/>
  <c r="F25" i="8"/>
  <c r="G23" i="8"/>
  <c r="G22" i="8"/>
  <c r="J23" i="7"/>
  <c r="J22" i="7"/>
  <c r="J21" i="7"/>
  <c r="J19" i="7"/>
  <c r="G24" i="10" l="1"/>
  <c r="F35" i="10"/>
  <c r="J19" i="10"/>
  <c r="J21" i="10"/>
  <c r="H43" i="10"/>
  <c r="E32" i="10"/>
  <c r="H32" i="10" s="1"/>
  <c r="H24" i="10"/>
  <c r="E25" i="10"/>
  <c r="G25" i="10" s="1"/>
  <c r="G44" i="10"/>
  <c r="G21" i="10"/>
  <c r="G30" i="10"/>
  <c r="F37" i="10"/>
  <c r="F39" i="10" s="1"/>
  <c r="G43" i="10"/>
  <c r="J21" i="9"/>
  <c r="F35" i="9"/>
  <c r="H43" i="9"/>
  <c r="G24" i="9"/>
  <c r="G17" i="9"/>
  <c r="J22" i="9"/>
  <c r="F41" i="9"/>
  <c r="E25" i="9"/>
  <c r="H25" i="9" s="1"/>
  <c r="J19" i="9"/>
  <c r="G32" i="9"/>
  <c r="G21" i="9"/>
  <c r="H43" i="8"/>
  <c r="F35" i="8"/>
  <c r="G24" i="8"/>
  <c r="E25" i="8"/>
  <c r="H25" i="8" s="1"/>
  <c r="H17" i="8"/>
  <c r="G32" i="8"/>
  <c r="F44" i="8"/>
  <c r="G44" i="8" s="1"/>
  <c r="G30" i="8"/>
  <c r="F37" i="8"/>
  <c r="F39" i="8" s="1"/>
  <c r="G21" i="8"/>
  <c r="J19" i="8"/>
  <c r="J21" i="8"/>
  <c r="E43" i="7"/>
  <c r="H43" i="7" s="1"/>
  <c r="E30" i="7"/>
  <c r="H30" i="7" s="1"/>
  <c r="E24" i="7"/>
  <c r="H24" i="7" s="1"/>
  <c r="E21" i="7"/>
  <c r="H21" i="7" s="1"/>
  <c r="H18" i="7"/>
  <c r="H19" i="7"/>
  <c r="H20" i="7"/>
  <c r="H22" i="7"/>
  <c r="H23" i="7"/>
  <c r="H26" i="7"/>
  <c r="H27" i="7"/>
  <c r="H28" i="7"/>
  <c r="H29" i="7"/>
  <c r="H31" i="7"/>
  <c r="H33" i="7"/>
  <c r="H34" i="7"/>
  <c r="H36" i="7"/>
  <c r="H38" i="7"/>
  <c r="H40" i="7"/>
  <c r="H42" i="7"/>
  <c r="H45" i="7"/>
  <c r="H46" i="7"/>
  <c r="H17" i="7"/>
  <c r="E17" i="7"/>
  <c r="G17" i="7" s="1"/>
  <c r="E44" i="7"/>
  <c r="H44" i="7" s="1"/>
  <c r="F32" i="7"/>
  <c r="G31" i="7"/>
  <c r="G30" i="7"/>
  <c r="E32" i="7"/>
  <c r="H32" i="7" s="1"/>
  <c r="G29" i="7"/>
  <c r="G28" i="7"/>
  <c r="F25" i="7"/>
  <c r="E25" i="7"/>
  <c r="H25" i="7" s="1"/>
  <c r="G23" i="7"/>
  <c r="G22" i="7"/>
  <c r="G47" i="6"/>
  <c r="F41" i="10" l="1"/>
  <c r="F47" i="10" s="1"/>
  <c r="G32" i="10"/>
  <c r="E37" i="10"/>
  <c r="H25" i="10"/>
  <c r="E35" i="10"/>
  <c r="J22" i="10"/>
  <c r="J23" i="10" s="1"/>
  <c r="E35" i="9"/>
  <c r="H35" i="9" s="1"/>
  <c r="E37" i="9"/>
  <c r="H37" i="9" s="1"/>
  <c r="G25" i="9"/>
  <c r="G43" i="9"/>
  <c r="F44" i="9"/>
  <c r="G44" i="9" s="1"/>
  <c r="J23" i="9"/>
  <c r="F41" i="8"/>
  <c r="F47" i="8" s="1"/>
  <c r="E35" i="8"/>
  <c r="H35" i="8" s="1"/>
  <c r="E37" i="8"/>
  <c r="H37" i="8" s="1"/>
  <c r="G25" i="8"/>
  <c r="G43" i="8"/>
  <c r="J22" i="8"/>
  <c r="J23" i="8" s="1"/>
  <c r="F35" i="7"/>
  <c r="G21" i="7"/>
  <c r="G32" i="7"/>
  <c r="G25" i="7"/>
  <c r="E37" i="7"/>
  <c r="H37" i="7" s="1"/>
  <c r="F43" i="7"/>
  <c r="F44" i="7" s="1"/>
  <c r="G44" i="7" s="1"/>
  <c r="E35" i="7"/>
  <c r="H35" i="7" s="1"/>
  <c r="F37" i="7"/>
  <c r="F39" i="7" s="1"/>
  <c r="G24" i="7"/>
  <c r="H43" i="6"/>
  <c r="E43" i="6"/>
  <c r="G43" i="5"/>
  <c r="E30" i="6"/>
  <c r="E32" i="6" s="1"/>
  <c r="H32" i="6" s="1"/>
  <c r="E24" i="6"/>
  <c r="E21" i="6"/>
  <c r="E17" i="6"/>
  <c r="H17" i="6" s="1"/>
  <c r="H18" i="6"/>
  <c r="H19" i="6"/>
  <c r="H20" i="6"/>
  <c r="H21" i="6"/>
  <c r="H22" i="6"/>
  <c r="H23" i="6"/>
  <c r="H24" i="6"/>
  <c r="H26" i="6"/>
  <c r="H27" i="6"/>
  <c r="H28" i="6"/>
  <c r="H29" i="6"/>
  <c r="H31" i="6"/>
  <c r="H33" i="6"/>
  <c r="H34" i="6"/>
  <c r="H36" i="6"/>
  <c r="H38" i="6"/>
  <c r="H40" i="6"/>
  <c r="H42" i="6"/>
  <c r="H45" i="6"/>
  <c r="H46" i="6"/>
  <c r="F32" i="6"/>
  <c r="G31" i="6"/>
  <c r="G29" i="6"/>
  <c r="G28" i="6"/>
  <c r="F25" i="6"/>
  <c r="F37" i="6" s="1"/>
  <c r="F39" i="6" s="1"/>
  <c r="E25" i="6"/>
  <c r="G23" i="6"/>
  <c r="G22" i="6"/>
  <c r="G21" i="6"/>
  <c r="H32" i="4"/>
  <c r="D13" i="5"/>
  <c r="F25" i="5"/>
  <c r="F43" i="5" s="1"/>
  <c r="F44" i="5" s="1"/>
  <c r="G23" i="5"/>
  <c r="G43" i="4"/>
  <c r="H43" i="5"/>
  <c r="E44" i="5"/>
  <c r="E43" i="5"/>
  <c r="E37" i="5"/>
  <c r="E24" i="5"/>
  <c r="E25" i="5" s="1"/>
  <c r="E30" i="5"/>
  <c r="G30" i="5" s="1"/>
  <c r="E21" i="5"/>
  <c r="H21" i="5" s="1"/>
  <c r="E17" i="5"/>
  <c r="H18" i="5"/>
  <c r="H19" i="5"/>
  <c r="H20" i="5"/>
  <c r="H22" i="5"/>
  <c r="H23" i="5"/>
  <c r="H26" i="5"/>
  <c r="H27" i="5"/>
  <c r="H28" i="5"/>
  <c r="H29" i="5"/>
  <c r="H31" i="5"/>
  <c r="H33" i="5"/>
  <c r="H34" i="5"/>
  <c r="H36" i="5"/>
  <c r="H37" i="5"/>
  <c r="H38" i="5"/>
  <c r="H40" i="5"/>
  <c r="H42" i="5"/>
  <c r="H44" i="5"/>
  <c r="H45" i="5"/>
  <c r="H46" i="5"/>
  <c r="H17" i="5"/>
  <c r="E39" i="5"/>
  <c r="H39" i="5" s="1"/>
  <c r="F32" i="5"/>
  <c r="G31" i="5"/>
  <c r="G29" i="5"/>
  <c r="G28" i="5"/>
  <c r="G22" i="5"/>
  <c r="G17" i="5"/>
  <c r="D48" i="10"/>
  <c r="D48" i="5"/>
  <c r="D48" i="8"/>
  <c r="D48" i="6"/>
  <c r="D14" i="10" l="1"/>
  <c r="H37" i="10"/>
  <c r="E39" i="10"/>
  <c r="G37" i="10"/>
  <c r="H35" i="10"/>
  <c r="G35" i="10"/>
  <c r="G35" i="9"/>
  <c r="G37" i="9"/>
  <c r="E39" i="9"/>
  <c r="H39" i="9" s="1"/>
  <c r="D14" i="8"/>
  <c r="G35" i="8"/>
  <c r="E41" i="8"/>
  <c r="H41" i="8" s="1"/>
  <c r="G37" i="8"/>
  <c r="E39" i="8"/>
  <c r="H39" i="8" s="1"/>
  <c r="G39" i="8"/>
  <c r="G43" i="7"/>
  <c r="F41" i="7"/>
  <c r="F47" i="7" s="1"/>
  <c r="D14" i="7" s="1"/>
  <c r="E39" i="7"/>
  <c r="H39" i="7" s="1"/>
  <c r="G37" i="7"/>
  <c r="G35" i="7"/>
  <c r="F43" i="6"/>
  <c r="F44" i="6" s="1"/>
  <c r="G30" i="6"/>
  <c r="H30" i="6"/>
  <c r="E35" i="6"/>
  <c r="H35" i="6" s="1"/>
  <c r="G32" i="6"/>
  <c r="H25" i="6"/>
  <c r="G24" i="6"/>
  <c r="F35" i="6"/>
  <c r="F41" i="6" s="1"/>
  <c r="G17" i="6"/>
  <c r="G25" i="6"/>
  <c r="E37" i="6"/>
  <c r="H37" i="6" s="1"/>
  <c r="G25" i="5"/>
  <c r="G44" i="5"/>
  <c r="H24" i="5"/>
  <c r="G24" i="5"/>
  <c r="H30" i="5"/>
  <c r="E32" i="5"/>
  <c r="H25" i="5"/>
  <c r="G21" i="5"/>
  <c r="F35" i="5"/>
  <c r="F37" i="5"/>
  <c r="D48" i="9"/>
  <c r="D48" i="7"/>
  <c r="H39" i="10" l="1"/>
  <c r="G39" i="10"/>
  <c r="E41" i="10"/>
  <c r="D14" i="9"/>
  <c r="G39" i="9"/>
  <c r="E41" i="9"/>
  <c r="H41" i="9" s="1"/>
  <c r="G41" i="8"/>
  <c r="E47" i="8"/>
  <c r="H47" i="8" s="1"/>
  <c r="E41" i="7"/>
  <c r="H41" i="7" s="1"/>
  <c r="G41" i="7"/>
  <c r="E47" i="7"/>
  <c r="H47" i="7" s="1"/>
  <c r="G39" i="7"/>
  <c r="G43" i="6"/>
  <c r="F47" i="6"/>
  <c r="D14" i="6" s="1"/>
  <c r="E44" i="6"/>
  <c r="H44" i="6" s="1"/>
  <c r="G35" i="6"/>
  <c r="G37" i="6"/>
  <c r="E39" i="6"/>
  <c r="H39" i="6" s="1"/>
  <c r="G32" i="5"/>
  <c r="H32" i="5"/>
  <c r="E35" i="5"/>
  <c r="H35" i="5" s="1"/>
  <c r="G37" i="5"/>
  <c r="F39" i="5"/>
  <c r="G39" i="5" s="1"/>
  <c r="G35" i="5"/>
  <c r="E41" i="5"/>
  <c r="H41" i="5" s="1"/>
  <c r="H41" i="10" l="1"/>
  <c r="E47" i="10"/>
  <c r="G41" i="10"/>
  <c r="E47" i="9"/>
  <c r="H47" i="9" s="1"/>
  <c r="G41" i="9"/>
  <c r="D13" i="8"/>
  <c r="D15" i="8" s="1"/>
  <c r="G47" i="8"/>
  <c r="D13" i="7"/>
  <c r="D15" i="7" s="1"/>
  <c r="G47" i="7"/>
  <c r="G39" i="6"/>
  <c r="E41" i="6"/>
  <c r="H41" i="6" s="1"/>
  <c r="G44" i="6"/>
  <c r="F41" i="5"/>
  <c r="F47" i="5" s="1"/>
  <c r="D14" i="5" s="1"/>
  <c r="D15" i="5" s="1"/>
  <c r="E47" i="5"/>
  <c r="H47" i="10" l="1"/>
  <c r="G47" i="10"/>
  <c r="D13" i="10"/>
  <c r="D15" i="10" s="1"/>
  <c r="G47" i="9"/>
  <c r="D13" i="9"/>
  <c r="D15" i="9" s="1"/>
  <c r="G41" i="6"/>
  <c r="E47" i="6"/>
  <c r="H47" i="6" s="1"/>
  <c r="G41" i="5"/>
  <c r="G47" i="5"/>
  <c r="H47" i="5"/>
  <c r="D13" i="6" l="1"/>
  <c r="D15" i="6" s="1"/>
  <c r="F43" i="4"/>
  <c r="F37" i="4"/>
  <c r="G17" i="4" l="1"/>
  <c r="F44" i="4"/>
  <c r="G44" i="4" s="1"/>
  <c r="F39" i="4"/>
  <c r="F32" i="4"/>
  <c r="E32" i="4"/>
  <c r="G31" i="4"/>
  <c r="G30" i="4"/>
  <c r="G29" i="4"/>
  <c r="G28" i="4"/>
  <c r="F25" i="4"/>
  <c r="G24" i="4"/>
  <c r="G23" i="4"/>
  <c r="G22" i="4"/>
  <c r="F39" i="3"/>
  <c r="E35" i="3"/>
  <c r="G32" i="3"/>
  <c r="F32" i="3"/>
  <c r="E32" i="3"/>
  <c r="G31" i="3"/>
  <c r="G30" i="3"/>
  <c r="G29" i="3"/>
  <c r="G28" i="3"/>
  <c r="F25" i="3"/>
  <c r="F35" i="3" s="1"/>
  <c r="F41" i="3" s="1"/>
  <c r="E25" i="3"/>
  <c r="E37" i="3" s="1"/>
  <c r="G24" i="3"/>
  <c r="G23" i="3"/>
  <c r="G22" i="3"/>
  <c r="G21" i="3"/>
  <c r="E21" i="4" s="1"/>
  <c r="G21" i="4" s="1"/>
  <c r="G17" i="3"/>
  <c r="E17" i="4" s="1"/>
  <c r="G32" i="4" l="1"/>
  <c r="F35" i="4"/>
  <c r="F41" i="4" s="1"/>
  <c r="F47" i="4" s="1"/>
  <c r="D14" i="4" s="1"/>
  <c r="D15" i="4" s="1"/>
  <c r="E25" i="4"/>
  <c r="E39" i="4"/>
  <c r="G39" i="4" s="1"/>
  <c r="G37" i="4"/>
  <c r="G25" i="4"/>
  <c r="E35" i="4"/>
  <c r="E39" i="3"/>
  <c r="G39" i="3" s="1"/>
  <c r="G37" i="3"/>
  <c r="G35" i="3"/>
  <c r="G25" i="3"/>
  <c r="E41" i="3"/>
  <c r="G35" i="4" l="1"/>
  <c r="E41" i="4"/>
  <c r="G41" i="3"/>
  <c r="E47" i="3"/>
  <c r="F44" i="3"/>
  <c r="E47" i="4" l="1"/>
  <c r="G47" i="4" s="1"/>
  <c r="G41" i="4"/>
  <c r="G44" i="3"/>
  <c r="F47" i="3"/>
  <c r="D14" i="3" s="1"/>
  <c r="D15" i="3" s="1"/>
  <c r="G47" i="3" l="1"/>
</calcChain>
</file>

<file path=xl/sharedStrings.xml><?xml version="1.0" encoding="utf-8"?>
<sst xmlns="http://schemas.openxmlformats.org/spreadsheetml/2006/main" count="592" uniqueCount="97">
  <si>
    <t>Contractor/Consultant/ Supplier:</t>
  </si>
  <si>
    <t>Work/Trade</t>
  </si>
  <si>
    <t>Certificate Type:</t>
  </si>
  <si>
    <t>Certificate No.:</t>
  </si>
  <si>
    <t>Budget Code:</t>
  </si>
  <si>
    <t>-</t>
  </si>
  <si>
    <t>Certificate Date:</t>
  </si>
  <si>
    <t>W.O. / P.O. No. &amp; Date:</t>
  </si>
  <si>
    <t>Payable to:</t>
  </si>
  <si>
    <t>Original W.O. Value:</t>
  </si>
  <si>
    <t>PAN:</t>
  </si>
  <si>
    <t>WO Amendment No.:</t>
  </si>
  <si>
    <t>GST No</t>
  </si>
  <si>
    <t>Amended WO Value:</t>
  </si>
  <si>
    <t>Invoice No. &amp; date:</t>
  </si>
  <si>
    <t>Sr. No.</t>
  </si>
  <si>
    <t>Description</t>
  </si>
  <si>
    <t>Remarks</t>
  </si>
  <si>
    <r>
      <rPr>
        <b/>
        <sz val="7.5"/>
        <rFont val="Arial"/>
        <family val="2"/>
      </rPr>
      <t>Previous Bills
(Rs.)</t>
    </r>
  </si>
  <si>
    <r>
      <rPr>
        <b/>
        <sz val="7.5"/>
        <rFont val="Arial"/>
        <family val="2"/>
      </rPr>
      <t>This Bill
(Rs.)</t>
    </r>
  </si>
  <si>
    <r>
      <rPr>
        <b/>
        <sz val="7.5"/>
        <rFont val="Arial"/>
        <family val="2"/>
      </rPr>
      <t>Cumulative
(Rs.)</t>
    </r>
  </si>
  <si>
    <t>A</t>
  </si>
  <si>
    <t>Amount Raised</t>
  </si>
  <si>
    <t>Raised</t>
  </si>
  <si>
    <t>Total (A)</t>
  </si>
  <si>
    <t>B</t>
  </si>
  <si>
    <t>Amount Certified</t>
  </si>
  <si>
    <t>Against bill Raised</t>
  </si>
  <si>
    <t>Extra Works</t>
  </si>
  <si>
    <t>Secured Advance against Material</t>
  </si>
  <si>
    <t>Price Variation of material</t>
  </si>
  <si>
    <t>Total (B)</t>
  </si>
  <si>
    <t>C</t>
  </si>
  <si>
    <t>Recoveries and Debits</t>
  </si>
  <si>
    <t>Adhoc Payment paid</t>
  </si>
  <si>
    <t>Total (C )</t>
  </si>
  <si>
    <t>D</t>
  </si>
  <si>
    <t>Total Certified Amount After Recoveries and Debits</t>
  </si>
  <si>
    <t>Total (D=B-C)</t>
  </si>
  <si>
    <t>E</t>
  </si>
  <si>
    <t>Retentions (5%)</t>
  </si>
  <si>
    <t>Retention Payable</t>
  </si>
  <si>
    <t>Total (E)</t>
  </si>
  <si>
    <t>F</t>
  </si>
  <si>
    <t>Total Certified Amount After Retentions</t>
  </si>
  <si>
    <t>Total (F=D-E)</t>
  </si>
  <si>
    <t>G</t>
  </si>
  <si>
    <t>Taxes as Mentioned in Tax Invoice:-</t>
  </si>
  <si>
    <t>Add GST  (18%)</t>
  </si>
  <si>
    <t>Total (G)</t>
  </si>
  <si>
    <t>H</t>
  </si>
  <si>
    <t>Net Amount Payable Against This Bill</t>
  </si>
  <si>
    <t>Total (H=F+G)</t>
  </si>
  <si>
    <t>Rs. (In Words)</t>
  </si>
  <si>
    <t xml:space="preserve">Previous Total Amount Certified : </t>
  </si>
  <si>
    <t xml:space="preserve">Amount Now Certified : </t>
  </si>
  <si>
    <t xml:space="preserve">Total Amount Certified: </t>
  </si>
  <si>
    <t xml:space="preserve">CERTIFICATE OF  PAYMENT  </t>
  </si>
  <si>
    <r>
      <rPr>
        <b/>
        <sz val="7.5"/>
        <rFont val="Arial"/>
        <family val="2"/>
      </rPr>
      <t xml:space="preserve">For Sharnam  Project Development Consultants &amp;  Co.                                                                                        For Client ,
Authorised Signature                                                                                                                                                  Authorised Signature  
</t>
    </r>
    <r>
      <rPr>
        <sz val="5"/>
        <rFont val="Arial"/>
        <family val="2"/>
      </rPr>
      <t>Note: Please return a signed copy of this Payment Certificate to SPDC  pmc for records.</t>
    </r>
  </si>
  <si>
    <t xml:space="preserve">Recoveries ( 5% 0n GA Drawing ) </t>
  </si>
  <si>
    <t xml:space="preserve">Mobilization advance ( 10 % Contract Advanced ) </t>
  </si>
  <si>
    <t xml:space="preserve">Wodden Packaging </t>
  </si>
  <si>
    <t xml:space="preserve">TMT Steel </t>
  </si>
  <si>
    <t>Against - Material Secured Advance @ 85%</t>
  </si>
  <si>
    <t xml:space="preserve">N.K INFRA </t>
  </si>
  <si>
    <t>01/N.K.INFRA/2025</t>
  </si>
  <si>
    <t>24AAOFV0867A1Z8</t>
  </si>
  <si>
    <t>AAOFV0867A</t>
  </si>
  <si>
    <t>01001, 10th Oct ,2025</t>
  </si>
  <si>
    <t>Rupees Four Lakh Eighty-Nine Thousand Nine Hundred Forty Only</t>
  </si>
  <si>
    <t xml:space="preserve">2526PO00160 </t>
  </si>
  <si>
    <t>Against - RA-01</t>
  </si>
  <si>
    <t>Twenty-six lakh two thousand seventy</t>
  </si>
  <si>
    <t xml:space="preserve">Civil Packages </t>
  </si>
  <si>
    <t>02/N.K.INFRA/2025</t>
  </si>
  <si>
    <t>114/2025-26 , 14-11-2025</t>
  </si>
  <si>
    <t>S</t>
  </si>
  <si>
    <t>Steel advance 85% adjusted as per consumption</t>
  </si>
  <si>
    <r>
      <rPr>
        <b/>
        <sz val="7.5"/>
        <rFont val="Arial"/>
        <family val="2"/>
      </rPr>
      <t xml:space="preserve">For Sharnam  Project Development Consultants &amp;  Co.                                                                                        For Client ,
Authorised Signature                                                                                                                                                  Authorised Signature  
</t>
    </r>
    <r>
      <rPr>
        <sz val="5"/>
        <rFont val="Arial"/>
        <family val="2"/>
      </rPr>
      <t>Note: Please return a signed copy of this Payment Certificate to SPDC  pmc for records.</t>
    </r>
  </si>
  <si>
    <t>Against - RA-02</t>
  </si>
  <si>
    <t>03/N.K.INFRA/2026</t>
  </si>
  <si>
    <t>170/2025-26 , 13-01-2026</t>
  </si>
  <si>
    <t>Against - RA-03</t>
  </si>
  <si>
    <t>04/N.K.INFRA/2026</t>
  </si>
  <si>
    <t>193/2025-26 , 13-02-2026</t>
  </si>
  <si>
    <t>05/N.K.INFRA/2026</t>
  </si>
  <si>
    <t>Against - RA-04</t>
  </si>
  <si>
    <t>229/2025-26 , 25-03-2026</t>
  </si>
  <si>
    <r>
      <rPr>
        <b/>
        <sz val="7.5"/>
        <rFont val="Arial"/>
        <family val="2"/>
      </rPr>
      <t xml:space="preserve">For Sharnam  Project Development Consultants &amp;  Co.                                                                                        For Client ,
Authorised Signature                                                                                                                                         Authorised Signature  
</t>
    </r>
    <r>
      <rPr>
        <sz val="5"/>
        <rFont val="Arial"/>
        <family val="2"/>
      </rPr>
      <t>Note: Please return a signed copy of this Payment Certificate to SPDC  pmc for records.</t>
    </r>
  </si>
  <si>
    <t>Against - RA-05</t>
  </si>
  <si>
    <t>14/2026-27 , 22-04-2026</t>
  </si>
  <si>
    <t>Against - RA-06</t>
  </si>
  <si>
    <t>06/N.K.INFRA/2026</t>
  </si>
  <si>
    <t>27/2026-27 , 22-05-2026</t>
  </si>
  <si>
    <t>07/N.K.INFRA/2026</t>
  </si>
  <si>
    <t>45/2026-27 , 01-07-2026</t>
  </si>
  <si>
    <t>Against - RA-07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</si>
</sst>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* #,##0_ ;_ * \-#,##0_ ;_ * &quot;-&quot;??_ ;_ @_ "/>
    <numFmt numFmtId="165" formatCode="[$-2409]dd\ mmmm\,\ yyyy;@"/>
    <numFmt numFmtId="166" formatCode="_ &quot;₹&quot;\ * #,##0_ ;_ &quot;₹&quot;\ * \-#,##0_ ;_ &quot;₹&quot;\ * &quot;-&quot;??_ ;_ @_ "/>
    <numFmt numFmtId="167" formatCode="0.000"/>
    <numFmt numFmtId="168" formatCode="[$-24009]mm/dd/yy"/>
    <numFmt numFmtId="169" formatCode="0.00000"/>
    <numFmt numFmtId="170" formatCode="_ * #,##0.0_ ;_ * \-#,##0.0_ ;_ * &quot;-&quot;??_ ;_ @_ "/>
    <numFmt numFmtId="171" formatCode="_ * #,##0.0_ ;_ * \-#,##0.0_ ;_ * &quot;-&quot;?_ ;_ @_ "/>
  </numFmts>
  <fonts count="2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7.5"/>
      <name val="Arial"/>
      <family val="2"/>
    </font>
    <font>
      <sz val="6.5"/>
      <name val="Arial"/>
      <family val="2"/>
    </font>
    <font>
      <sz val="6.5"/>
      <color rgb="FF000000"/>
      <name val="Arial"/>
      <family val="2"/>
    </font>
    <font>
      <sz val="7.5"/>
      <color rgb="FF000000"/>
      <name val="Arial"/>
      <family val="2"/>
    </font>
    <font>
      <sz val="7.5"/>
      <name val="Arial"/>
      <family val="2"/>
    </font>
    <font>
      <sz val="10"/>
      <name val="Arial"/>
      <family val="2"/>
    </font>
    <font>
      <sz val="5"/>
      <name val="Arial"/>
      <family val="2"/>
    </font>
    <font>
      <sz val="8"/>
      <name val="Arial"/>
      <family val="2"/>
    </font>
    <font>
      <b/>
      <sz val="14"/>
      <color rgb="FF000000"/>
      <name val="Arial"/>
      <family val="2"/>
    </font>
    <font>
      <sz val="10"/>
      <color rgb="FF000000"/>
      <name val="Times New Roman"/>
      <family val="1"/>
    </font>
    <font>
      <b/>
      <sz val="6.5"/>
      <name val="Arial"/>
      <family val="2"/>
    </font>
    <font>
      <sz val="10"/>
      <color rgb="FF000000"/>
      <name val="Times New Roman"/>
      <family val="1"/>
    </font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i/>
      <sz val="11"/>
      <color rgb="FF7F7F7F"/>
      <name val="Calibri"/>
      <family val="2"/>
    </font>
    <font>
      <sz val="12"/>
      <color theme="1"/>
      <name val="Calibri"/>
      <family val="2"/>
    </font>
    <font>
      <sz val="12"/>
      <name val="Arial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theme="1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</font>
    <font>
      <sz val="10"/>
      <name val="Helv"/>
    </font>
  </fonts>
  <fills count="5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A5A5A5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90">
    <xf numFmtId="0" fontId="0" fillId="0" borderId="0"/>
    <xf numFmtId="43" fontId="13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17" fillId="0" borderId="0">
      <protection locked="0"/>
    </xf>
    <xf numFmtId="0" fontId="17" fillId="0" borderId="0">
      <protection locked="0"/>
    </xf>
    <xf numFmtId="0" fontId="18" fillId="0" borderId="0">
      <protection locked="0"/>
    </xf>
    <xf numFmtId="43" fontId="9" fillId="0" borderId="0">
      <alignment vertical="top"/>
      <protection locked="0"/>
    </xf>
    <xf numFmtId="0" fontId="9" fillId="0" borderId="0">
      <protection locked="0"/>
    </xf>
    <xf numFmtId="0" fontId="9" fillId="0" borderId="0">
      <protection locked="0"/>
    </xf>
    <xf numFmtId="0" fontId="9" fillId="0" borderId="0"/>
    <xf numFmtId="0" fontId="9" fillId="0" borderId="0"/>
    <xf numFmtId="0" fontId="18" fillId="0" borderId="0">
      <protection locked="0"/>
    </xf>
    <xf numFmtId="0" fontId="9" fillId="0" borderId="0">
      <protection locked="0"/>
    </xf>
    <xf numFmtId="0" fontId="2" fillId="0" borderId="0"/>
    <xf numFmtId="167" fontId="9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43" fontId="9" fillId="0" borderId="0" applyFont="0" applyFill="0" applyBorder="0" applyAlignment="0" applyProtection="0"/>
    <xf numFmtId="0" fontId="9" fillId="0" borderId="0">
      <protection locked="0"/>
    </xf>
    <xf numFmtId="0" fontId="13" fillId="0" borderId="0"/>
    <xf numFmtId="0" fontId="19" fillId="0" borderId="0"/>
    <xf numFmtId="0" fontId="2" fillId="0" borderId="0"/>
    <xf numFmtId="0" fontId="16" fillId="0" borderId="0"/>
    <xf numFmtId="44" fontId="2" fillId="0" borderId="0" applyFont="0" applyFill="0" applyBorder="0" applyAlignment="0" applyProtection="0"/>
    <xf numFmtId="0" fontId="20" fillId="0" borderId="0"/>
    <xf numFmtId="43" fontId="21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168" fontId="22" fillId="0" borderId="0">
      <alignment vertical="center"/>
    </xf>
    <xf numFmtId="43" fontId="2" fillId="0" borderId="0" applyFont="0" applyFill="0" applyBorder="0" applyAlignment="0" applyProtection="0"/>
    <xf numFmtId="169" fontId="9" fillId="0" borderId="0" applyFill="0" applyBorder="0" applyAlignment="0" applyProtection="0"/>
    <xf numFmtId="43" fontId="9" fillId="0" borderId="0" applyFont="0" applyFill="0" applyBorder="0" applyAlignment="0" applyProtection="0"/>
    <xf numFmtId="0" fontId="22" fillId="0" borderId="0"/>
    <xf numFmtId="168" fontId="22" fillId="0" borderId="0">
      <alignment vertical="center"/>
    </xf>
    <xf numFmtId="168" fontId="23" fillId="0" borderId="0"/>
    <xf numFmtId="43" fontId="9" fillId="0" borderId="0" applyFont="0" applyFill="0" applyBorder="0" applyAlignment="0" applyProtection="0"/>
    <xf numFmtId="0" fontId="19" fillId="0" borderId="0"/>
    <xf numFmtId="0" fontId="9" fillId="0" borderId="0"/>
    <xf numFmtId="43" fontId="9" fillId="0" borderId="0">
      <alignment vertical="top"/>
      <protection locked="0"/>
    </xf>
    <xf numFmtId="43" fontId="9" fillId="0" borderId="0" applyFont="0" applyFill="0" applyBorder="0" applyAlignment="0" applyProtection="0"/>
    <xf numFmtId="43" fontId="21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2" fillId="0" borderId="0"/>
    <xf numFmtId="43" fontId="2" fillId="0" borderId="0" applyFont="0" applyFill="0" applyBorder="0" applyAlignment="0" applyProtection="0"/>
    <xf numFmtId="0" fontId="25" fillId="0" borderId="0"/>
    <xf numFmtId="43" fontId="25" fillId="0" borderId="0" applyFont="0" applyFill="0" applyBorder="0" applyAlignment="0" applyProtection="0"/>
    <xf numFmtId="0" fontId="2" fillId="0" borderId="0"/>
    <xf numFmtId="0" fontId="20" fillId="0" borderId="0"/>
    <xf numFmtId="0" fontId="20" fillId="0" borderId="0"/>
    <xf numFmtId="0" fontId="9" fillId="0" borderId="0"/>
    <xf numFmtId="43" fontId="2" fillId="0" borderId="0" applyFont="0" applyFill="0" applyBorder="0" applyAlignment="0" applyProtection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9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/>
    <xf numFmtId="0" fontId="9" fillId="0" borderId="0"/>
    <xf numFmtId="0" fontId="1" fillId="0" borderId="0"/>
    <xf numFmtId="43" fontId="1" fillId="0" borderId="0" applyFont="0" applyFill="0" applyBorder="0" applyAlignment="0" applyProtection="0"/>
    <xf numFmtId="43" fontId="9" fillId="0" borderId="0">
      <alignment vertical="top"/>
      <protection locked="0"/>
    </xf>
    <xf numFmtId="0" fontId="1" fillId="0" borderId="0"/>
    <xf numFmtId="43" fontId="9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3" fontId="21" fillId="0" borderId="0" applyFont="0" applyFill="0" applyBorder="0" applyAlignment="0" applyProtection="0">
      <alignment vertical="center"/>
    </xf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25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3" fontId="13" fillId="0" borderId="0" applyFont="0" applyFill="0" applyBorder="0" applyAlignment="0" applyProtection="0"/>
  </cellStyleXfs>
  <cellXfs count="112">
    <xf numFmtId="0" fontId="0" fillId="0" borderId="0" xfId="0" applyAlignment="1">
      <alignment horizontal="left" vertical="top"/>
    </xf>
    <xf numFmtId="0" fontId="3" fillId="0" borderId="0" xfId="0" applyFont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3" fillId="0" borderId="1" xfId="0" applyFont="1" applyBorder="1" applyAlignment="1">
      <alignment horizontal="center" vertical="top" wrapText="1"/>
    </xf>
    <xf numFmtId="0" fontId="8" fillId="0" borderId="1" xfId="0" applyFont="1" applyBorder="1" applyAlignment="1">
      <alignment horizontal="right" vertical="top" wrapText="1" indent="1"/>
    </xf>
    <xf numFmtId="0" fontId="8" fillId="0" borderId="1" xfId="0" applyFont="1" applyBorder="1" applyAlignment="1">
      <alignment horizontal="right" vertical="top" wrapText="1"/>
    </xf>
    <xf numFmtId="0" fontId="3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top" wrapText="1"/>
    </xf>
    <xf numFmtId="0" fontId="3" fillId="0" borderId="1" xfId="0" applyFont="1" applyBorder="1" applyAlignment="1">
      <alignment horizontal="left" wrapText="1"/>
    </xf>
    <xf numFmtId="0" fontId="8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right" vertical="top" wrapText="1"/>
    </xf>
    <xf numFmtId="0" fontId="4" fillId="3" borderId="1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right" vertical="top" wrapText="1"/>
    </xf>
    <xf numFmtId="0" fontId="4" fillId="4" borderId="1" xfId="0" applyFont="1" applyFill="1" applyBorder="1" applyAlignment="1">
      <alignment horizontal="left" vertical="top" wrapText="1"/>
    </xf>
    <xf numFmtId="0" fontId="8" fillId="2" borderId="1" xfId="0" applyFont="1" applyFill="1" applyBorder="1" applyAlignment="1">
      <alignment horizontal="right" vertical="top" wrapText="1"/>
    </xf>
    <xf numFmtId="0" fontId="3" fillId="0" borderId="4" xfId="0" applyFont="1" applyBorder="1" applyAlignment="1">
      <alignment horizontal="center" vertical="top" wrapText="1"/>
    </xf>
    <xf numFmtId="0" fontId="8" fillId="0" borderId="4" xfId="0" applyFont="1" applyBorder="1" applyAlignment="1">
      <alignment horizontal="right" vertical="top" wrapText="1"/>
    </xf>
    <xf numFmtId="0" fontId="3" fillId="2" borderId="4" xfId="0" applyFont="1" applyFill="1" applyBorder="1" applyAlignment="1">
      <alignment horizontal="left" wrapText="1"/>
    </xf>
    <xf numFmtId="0" fontId="3" fillId="0" borderId="4" xfId="0" applyFont="1" applyBorder="1" applyAlignment="1">
      <alignment horizontal="left" wrapText="1"/>
    </xf>
    <xf numFmtId="0" fontId="3" fillId="0" borderId="4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3" fillId="0" borderId="1" xfId="0" applyFont="1" applyBorder="1" applyAlignment="1" applyProtection="1">
      <alignment horizontal="left" vertical="center" wrapText="1"/>
      <protection locked="0"/>
    </xf>
    <xf numFmtId="0" fontId="8" fillId="0" borderId="1" xfId="0" applyFont="1" applyBorder="1" applyAlignment="1" applyProtection="1">
      <alignment horizontal="right" vertical="top" wrapText="1"/>
      <protection locked="0"/>
    </xf>
    <xf numFmtId="0" fontId="4" fillId="0" borderId="1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165" fontId="6" fillId="0" borderId="4" xfId="0" applyNumberFormat="1" applyFont="1" applyBorder="1" applyAlignment="1">
      <alignment horizontal="left" vertical="top" shrinkToFit="1"/>
    </xf>
    <xf numFmtId="164" fontId="8" fillId="0" borderId="1" xfId="1" applyNumberFormat="1" applyFont="1" applyBorder="1" applyAlignment="1">
      <alignment horizontal="right" vertical="top" wrapText="1"/>
    </xf>
    <xf numFmtId="164" fontId="8" fillId="0" borderId="4" xfId="0" applyNumberFormat="1" applyFont="1" applyBorder="1" applyAlignment="1">
      <alignment horizontal="right" vertical="top" wrapText="1"/>
    </xf>
    <xf numFmtId="43" fontId="8" fillId="0" borderId="1" xfId="1" applyFont="1" applyBorder="1" applyAlignment="1" applyProtection="1">
      <alignment horizontal="right" vertical="top" wrapText="1"/>
      <protection locked="0"/>
    </xf>
    <xf numFmtId="164" fontId="4" fillId="2" borderId="1" xfId="1" applyNumberFormat="1" applyFont="1" applyFill="1" applyBorder="1" applyAlignment="1">
      <alignment horizontal="right" vertical="top" wrapText="1"/>
    </xf>
    <xf numFmtId="164" fontId="8" fillId="0" borderId="1" xfId="1" applyNumberFormat="1" applyFont="1" applyBorder="1" applyAlignment="1" applyProtection="1">
      <alignment horizontal="right" vertical="top" wrapText="1"/>
      <protection locked="0"/>
    </xf>
    <xf numFmtId="164" fontId="8" fillId="0" borderId="4" xfId="1" applyNumberFormat="1" applyFont="1" applyBorder="1" applyAlignment="1">
      <alignment horizontal="right" vertical="top" wrapText="1"/>
    </xf>
    <xf numFmtId="164" fontId="4" fillId="2" borderId="4" xfId="1" applyNumberFormat="1" applyFont="1" applyFill="1" applyBorder="1" applyAlignment="1">
      <alignment horizontal="right" vertical="top" wrapText="1"/>
    </xf>
    <xf numFmtId="164" fontId="11" fillId="0" borderId="1" xfId="0" applyNumberFormat="1" applyFont="1" applyBorder="1" applyAlignment="1" applyProtection="1">
      <alignment horizontal="right" vertical="top" wrapText="1"/>
      <protection locked="0"/>
    </xf>
    <xf numFmtId="166" fontId="4" fillId="2" borderId="4" xfId="2" applyNumberFormat="1" applyFont="1" applyFill="1" applyBorder="1" applyAlignment="1">
      <alignment horizontal="right" vertical="top" wrapText="1"/>
    </xf>
    <xf numFmtId="164" fontId="8" fillId="0" borderId="1" xfId="0" applyNumberFormat="1" applyFont="1" applyBorder="1" applyAlignment="1">
      <alignment horizontal="right" vertical="top" wrapText="1"/>
    </xf>
    <xf numFmtId="164" fontId="4" fillId="3" borderId="1" xfId="1" applyNumberFormat="1" applyFont="1" applyFill="1" applyBorder="1" applyAlignment="1">
      <alignment horizontal="right" vertical="top" wrapText="1"/>
    </xf>
    <xf numFmtId="164" fontId="4" fillId="3" borderId="4" xfId="1" applyNumberFormat="1" applyFont="1" applyFill="1" applyBorder="1" applyAlignment="1">
      <alignment horizontal="right" vertical="top" wrapText="1"/>
    </xf>
    <xf numFmtId="44" fontId="3" fillId="0" borderId="0" xfId="0" applyNumberFormat="1" applyFont="1" applyAlignment="1">
      <alignment horizontal="left" vertical="top"/>
    </xf>
    <xf numFmtId="43" fontId="3" fillId="0" borderId="0" xfId="1" applyFont="1" applyAlignment="1">
      <alignment horizontal="left" vertical="top"/>
    </xf>
    <xf numFmtId="43" fontId="3" fillId="0" borderId="0" xfId="0" applyNumberFormat="1" applyFont="1" applyAlignment="1">
      <alignment horizontal="left" vertical="top"/>
    </xf>
    <xf numFmtId="0" fontId="4" fillId="0" borderId="1" xfId="0" applyFont="1" applyBorder="1" applyAlignment="1">
      <alignment vertical="top" wrapText="1"/>
    </xf>
    <xf numFmtId="0" fontId="4" fillId="0" borderId="19" xfId="0" applyFont="1" applyBorder="1" applyAlignment="1">
      <alignment horizontal="center" vertical="top" wrapText="1"/>
    </xf>
    <xf numFmtId="0" fontId="3" fillId="2" borderId="19" xfId="0" applyFont="1" applyFill="1" applyBorder="1" applyAlignment="1">
      <alignment horizontal="left" wrapText="1"/>
    </xf>
    <xf numFmtId="0" fontId="3" fillId="0" borderId="19" xfId="0" applyFont="1" applyBorder="1" applyAlignment="1">
      <alignment horizontal="left" wrapText="1"/>
    </xf>
    <xf numFmtId="1" fontId="7" fillId="0" borderId="19" xfId="0" applyNumberFormat="1" applyFont="1" applyBorder="1" applyAlignment="1">
      <alignment horizontal="center" vertical="top" shrinkToFit="1"/>
    </xf>
    <xf numFmtId="1" fontId="3" fillId="2" borderId="19" xfId="0" applyNumberFormat="1" applyFont="1" applyFill="1" applyBorder="1" applyAlignment="1">
      <alignment horizontal="left" wrapText="1"/>
    </xf>
    <xf numFmtId="1" fontId="3" fillId="0" borderId="19" xfId="0" applyNumberFormat="1" applyFont="1" applyBorder="1" applyAlignment="1">
      <alignment horizontal="left" wrapText="1"/>
    </xf>
    <xf numFmtId="1" fontId="4" fillId="0" borderId="19" xfId="0" applyNumberFormat="1" applyFont="1" applyBorder="1" applyAlignment="1">
      <alignment horizontal="center" vertical="top" wrapText="1"/>
    </xf>
    <xf numFmtId="0" fontId="8" fillId="0" borderId="19" xfId="0" applyFont="1" applyBorder="1" applyAlignment="1">
      <alignment horizontal="center" vertical="top" wrapText="1"/>
    </xf>
    <xf numFmtId="0" fontId="3" fillId="3" borderId="19" xfId="0" applyFont="1" applyFill="1" applyBorder="1" applyAlignment="1">
      <alignment horizontal="left" wrapText="1"/>
    </xf>
    <xf numFmtId="0" fontId="3" fillId="0" borderId="19" xfId="0" applyFont="1" applyBorder="1" applyAlignment="1">
      <alignment vertical="top" wrapText="1"/>
    </xf>
    <xf numFmtId="14" fontId="5" fillId="0" borderId="4" xfId="0" applyNumberFormat="1" applyFont="1" applyBorder="1" applyAlignment="1">
      <alignment horizontal="left" vertical="top" wrapText="1"/>
    </xf>
    <xf numFmtId="170" fontId="8" fillId="0" borderId="1" xfId="1" applyNumberFormat="1" applyFont="1" applyBorder="1" applyAlignment="1">
      <alignment horizontal="right" vertical="top" wrapText="1" indent="1"/>
    </xf>
    <xf numFmtId="170" fontId="3" fillId="2" borderId="1" xfId="1" applyNumberFormat="1" applyFont="1" applyFill="1" applyBorder="1" applyAlignment="1">
      <alignment horizontal="left" wrapText="1"/>
    </xf>
    <xf numFmtId="170" fontId="3" fillId="0" borderId="1" xfId="1" applyNumberFormat="1" applyFont="1" applyBorder="1" applyAlignment="1">
      <alignment horizontal="left" wrapText="1"/>
    </xf>
    <xf numFmtId="170" fontId="8" fillId="0" borderId="1" xfId="1" applyNumberFormat="1" applyFont="1" applyBorder="1" applyAlignment="1" applyProtection="1">
      <alignment horizontal="right" vertical="top" wrapText="1"/>
      <protection locked="0"/>
    </xf>
    <xf numFmtId="170" fontId="4" fillId="2" borderId="1" xfId="1" applyNumberFormat="1" applyFont="1" applyFill="1" applyBorder="1" applyAlignment="1">
      <alignment horizontal="right" vertical="top" wrapText="1"/>
    </xf>
    <xf numFmtId="170" fontId="3" fillId="0" borderId="1" xfId="1" applyNumberFormat="1" applyFont="1" applyBorder="1" applyAlignment="1" applyProtection="1">
      <alignment horizontal="left" vertical="center" wrapText="1"/>
      <protection locked="0"/>
    </xf>
    <xf numFmtId="170" fontId="8" fillId="2" borderId="1" xfId="1" applyNumberFormat="1" applyFont="1" applyFill="1" applyBorder="1" applyAlignment="1">
      <alignment horizontal="right" vertical="top" wrapText="1"/>
    </xf>
    <xf numFmtId="170" fontId="8" fillId="0" borderId="1" xfId="1" applyNumberFormat="1" applyFont="1" applyBorder="1" applyAlignment="1">
      <alignment horizontal="right" vertical="top" wrapText="1"/>
    </xf>
    <xf numFmtId="170" fontId="4" fillId="3" borderId="1" xfId="1" applyNumberFormat="1" applyFont="1" applyFill="1" applyBorder="1" applyAlignment="1">
      <alignment horizontal="right" vertical="top" wrapText="1"/>
    </xf>
    <xf numFmtId="171" fontId="8" fillId="0" borderId="4" xfId="0" applyNumberFormat="1" applyFont="1" applyBorder="1" applyAlignment="1">
      <alignment horizontal="right" vertical="top" wrapText="1"/>
    </xf>
    <xf numFmtId="4" fontId="8" fillId="0" borderId="1" xfId="0" applyNumberFormat="1" applyFont="1" applyBorder="1" applyAlignment="1">
      <alignment horizontal="right" vertical="top"/>
    </xf>
    <xf numFmtId="164" fontId="3" fillId="0" borderId="0" xfId="0" applyNumberFormat="1" applyFont="1" applyAlignment="1">
      <alignment horizontal="left" vertical="top"/>
    </xf>
    <xf numFmtId="43" fontId="8" fillId="0" borderId="4" xfId="1" applyFont="1" applyBorder="1" applyAlignment="1">
      <alignment horizontal="right" vertical="top" wrapText="1"/>
    </xf>
    <xf numFmtId="0" fontId="4" fillId="0" borderId="19" xfId="0" applyFont="1" applyBorder="1" applyAlignment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8" fillId="0" borderId="1" xfId="0" applyFont="1" applyBorder="1" applyAlignment="1">
      <alignment horizontal="left" vertical="top" wrapText="1"/>
    </xf>
    <xf numFmtId="0" fontId="3" fillId="0" borderId="8" xfId="0" applyFont="1" applyBorder="1" applyAlignment="1">
      <alignment horizontal="center" vertical="top"/>
    </xf>
    <xf numFmtId="0" fontId="3" fillId="0" borderId="10" xfId="0" applyFont="1" applyBorder="1" applyAlignment="1">
      <alignment horizontal="center" vertical="top"/>
    </xf>
    <xf numFmtId="0" fontId="3" fillId="0" borderId="11" xfId="0" applyFont="1" applyBorder="1" applyAlignment="1">
      <alignment horizontal="center" vertical="top"/>
    </xf>
    <xf numFmtId="0" fontId="3" fillId="0" borderId="12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3" fillId="0" borderId="7" xfId="0" applyFont="1" applyBorder="1" applyAlignment="1">
      <alignment horizontal="center" vertical="top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top"/>
    </xf>
    <xf numFmtId="0" fontId="3" fillId="0" borderId="14" xfId="0" applyFont="1" applyBorder="1" applyAlignment="1">
      <alignment horizontal="center" vertical="top"/>
    </xf>
    <xf numFmtId="0" fontId="3" fillId="0" borderId="15" xfId="0" applyFont="1" applyBorder="1" applyAlignment="1">
      <alignment horizontal="center" vertical="top"/>
    </xf>
    <xf numFmtId="0" fontId="4" fillId="0" borderId="18" xfId="0" applyFont="1" applyBorder="1" applyAlignment="1">
      <alignment horizontal="left" vertical="center" wrapText="1"/>
    </xf>
    <xf numFmtId="0" fontId="4" fillId="0" borderId="2" xfId="0" applyFont="1" applyBorder="1" applyAlignment="1">
      <alignment horizontal="left" vertical="center" wrapText="1"/>
    </xf>
    <xf numFmtId="0" fontId="8" fillId="0" borderId="2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top" wrapText="1"/>
    </xf>
    <xf numFmtId="14" fontId="14" fillId="0" borderId="1" xfId="0" applyNumberFormat="1" applyFont="1" applyBorder="1" applyAlignment="1">
      <alignment horizontal="right" vertical="top" wrapText="1"/>
    </xf>
    <xf numFmtId="0" fontId="14" fillId="0" borderId="1" xfId="0" applyFont="1" applyBorder="1" applyAlignment="1">
      <alignment horizontal="right" vertical="top" wrapText="1"/>
    </xf>
    <xf numFmtId="166" fontId="14" fillId="0" borderId="1" xfId="2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right" vertical="top" wrapText="1"/>
    </xf>
    <xf numFmtId="0" fontId="4" fillId="0" borderId="1" xfId="0" applyFont="1" applyBorder="1" applyAlignment="1">
      <alignment horizontal="right" vertical="top" wrapText="1"/>
    </xf>
    <xf numFmtId="166" fontId="8" fillId="0" borderId="1" xfId="2" applyNumberFormat="1" applyFont="1" applyBorder="1" applyAlignment="1">
      <alignment horizontal="right" vertical="top" wrapText="1"/>
    </xf>
    <xf numFmtId="166" fontId="8" fillId="0" borderId="4" xfId="2" applyNumberFormat="1" applyFont="1" applyBorder="1" applyAlignment="1">
      <alignment horizontal="right" vertical="top" wrapText="1"/>
    </xf>
    <xf numFmtId="0" fontId="4" fillId="4" borderId="1" xfId="0" applyFont="1" applyFill="1" applyBorder="1" applyAlignment="1">
      <alignment vertical="top" wrapText="1"/>
    </xf>
    <xf numFmtId="0" fontId="4" fillId="4" borderId="4" xfId="0" applyFont="1" applyFill="1" applyBorder="1" applyAlignment="1">
      <alignment vertical="top" wrapText="1"/>
    </xf>
    <xf numFmtId="0" fontId="9" fillId="0" borderId="20" xfId="0" applyFont="1" applyBorder="1" applyAlignment="1">
      <alignment horizontal="left" vertical="top" wrapText="1"/>
    </xf>
    <xf numFmtId="0" fontId="3" fillId="0" borderId="16" xfId="0" applyFont="1" applyBorder="1" applyAlignment="1">
      <alignment horizontal="left" vertical="top" wrapText="1"/>
    </xf>
    <xf numFmtId="0" fontId="3" fillId="0" borderId="17" xfId="0" applyFont="1" applyBorder="1" applyAlignment="1">
      <alignment horizontal="left" vertical="top" wrapText="1"/>
    </xf>
    <xf numFmtId="166" fontId="4" fillId="0" borderId="1" xfId="2" applyNumberFormat="1" applyFont="1" applyBorder="1" applyAlignment="1">
      <alignment horizontal="right" vertical="top" wrapText="1"/>
    </xf>
    <xf numFmtId="166" fontId="4" fillId="0" borderId="4" xfId="2" applyNumberFormat="1" applyFont="1" applyBorder="1" applyAlignment="1">
      <alignment horizontal="right" vertical="top" wrapText="1"/>
    </xf>
  </cellXfs>
  <cellStyles count="90">
    <cellStyle name="Comma" xfId="1" builtinId="3"/>
    <cellStyle name="Comma 11 12" xfId="21" xr:uid="{577B22BB-334D-4E9F-8F23-8E3D699DC974}"/>
    <cellStyle name="Comma 2" xfId="4" xr:uid="{0C82EF24-C0C4-4248-A9A4-F3F4055F8D7F}"/>
    <cellStyle name="Comma 2 2" xfId="25" xr:uid="{FA7F2100-A3DE-4A43-B16A-C56B2D06C7F0}"/>
    <cellStyle name="Comma 2 2 2" xfId="13" xr:uid="{7A9E5351-3305-43BE-BA23-7330F04D63C8}"/>
    <cellStyle name="Comma 2 2 2 2" xfId="45" xr:uid="{6EA0D2A9-5853-4D1B-BF83-BC46BDD8D44D}"/>
    <cellStyle name="Comma 2 2 2 3" xfId="71" xr:uid="{7FD06A6E-F1A1-430F-90E5-2837A0657E79}"/>
    <cellStyle name="Comma 2 2 3" xfId="46" xr:uid="{4B722760-9E4E-408B-BEF9-5A8CDDF8C755}"/>
    <cellStyle name="Comma 2 2 4" xfId="73" xr:uid="{1CEC83EA-85EA-460E-8DE6-330361EE9BB0}"/>
    <cellStyle name="Comma 2 3" xfId="42" xr:uid="{59569CC8-DF1C-4EDE-A2A8-87C9F6E30D63}"/>
    <cellStyle name="Comma 2 3 2" xfId="35" xr:uid="{D25C66E1-88F3-4A9B-A93F-DB03B1506B4B}"/>
    <cellStyle name="Comma 2 3 3" xfId="51" xr:uid="{5B0F6D85-240B-47C9-94B6-221F208690A8}"/>
    <cellStyle name="Comma 2 3 3 2" xfId="82" xr:uid="{AC237847-5C38-4C46-BF62-745C9FBA8243}"/>
    <cellStyle name="Comma 2 3 4" xfId="80" xr:uid="{4BD5ABD2-E219-4B9B-86EE-51EED59ED8D6}"/>
    <cellStyle name="Comma 2 4" xfId="48" xr:uid="{F77D1372-5EFE-4173-AE35-8209E0FE94E9}"/>
    <cellStyle name="Comma 2 5" xfId="64" xr:uid="{D373E14B-B41F-4B41-A3E5-77E2581433A6}"/>
    <cellStyle name="Comma 2 5 2" xfId="89" xr:uid="{F5905E3C-12FC-4818-82AE-BEA35EE65420}"/>
    <cellStyle name="Comma 2 6" xfId="33" xr:uid="{67F94BD6-9FC0-4F7C-BDD2-4E37F66EE7FB}"/>
    <cellStyle name="Comma 2 6 2" xfId="47" xr:uid="{3CAC14DA-796E-4784-9D2B-4E299B6E366F}"/>
    <cellStyle name="Comma 2 6 3" xfId="76" xr:uid="{0D098A2E-4F76-446D-BB0E-50D9ED8AB1A9}"/>
    <cellStyle name="Comma 2 7" xfId="34" xr:uid="{71F7D6CD-D215-477B-95C1-7C13F110A623}"/>
    <cellStyle name="Comma 2 8" xfId="77" xr:uid="{FA39F733-44A8-45DA-B939-B7FB6F728888}"/>
    <cellStyle name="Comma 3" xfId="57" xr:uid="{F2E3D58C-CAEA-444A-9F8E-F4968EE61E05}"/>
    <cellStyle name="Comma 3 2" xfId="36" xr:uid="{8F86FDF5-EA5B-4BB7-91EC-600C715B99C9}"/>
    <cellStyle name="Comma 3 2 2" xfId="49" xr:uid="{DF3BCFA3-F137-4897-A0E3-CC5CE297C1E8}"/>
    <cellStyle name="Comma 3 2 2 2" xfId="62" xr:uid="{4A3F565D-7111-4132-80B7-24E15C7ED20B}"/>
    <cellStyle name="Comma 3 2 2 2 2" xfId="87" xr:uid="{58DF1C9B-3587-4EE3-B468-7D939D47C6E4}"/>
    <cellStyle name="Comma 3 2 2 3" xfId="81" xr:uid="{8CC4F791-E0C7-4DE0-B73E-3E52518E9489}"/>
    <cellStyle name="Comma 3 2 3" xfId="52" xr:uid="{4144CB1F-63BC-4938-80CA-5967E9F8712A}"/>
    <cellStyle name="Comma 3 2 4" xfId="78" xr:uid="{B905E8B5-9232-457B-B7A9-D31C1C0BF31E}"/>
    <cellStyle name="Comma 3 3" xfId="85" xr:uid="{A0421454-25CA-47AA-B120-67E24DB2A906}"/>
    <cellStyle name="Comma 4" xfId="37" xr:uid="{F9653BDF-0DE3-4196-B68E-965E1C90C5AB}"/>
    <cellStyle name="Comma 5" xfId="6" xr:uid="{16D72920-491C-4B2C-BCBD-9B890B93B142}"/>
    <cellStyle name="Comma 6" xfId="70" xr:uid="{FCE004E9-CC4D-4D29-A21B-207C45E447F8}"/>
    <cellStyle name="Comma 7" xfId="38" xr:uid="{FDC1F374-ECB6-42F5-9D7D-6AD3576D3CE7}"/>
    <cellStyle name="Comma 7 2" xfId="50" xr:uid="{C28720C2-85B6-4E23-B025-5E11ADA90FAD}"/>
    <cellStyle name="Comma 7 3" xfId="79" xr:uid="{E993F3EA-F009-4532-BD23-040B6348F2C1}"/>
    <cellStyle name="Comma 8" xfId="55" xr:uid="{C32AE580-5658-4FA5-9B1C-E7BF3FCD348F}"/>
    <cellStyle name="Comma 8 2" xfId="84" xr:uid="{38677B44-C43B-470A-B9D9-5BA18FD71204}"/>
    <cellStyle name="Currency" xfId="2" builtinId="4"/>
    <cellStyle name="Currency 2" xfId="3" xr:uid="{A5C74473-47BD-4AB0-AEF8-3AA699B0788E}"/>
    <cellStyle name="Currency 2 2" xfId="63" xr:uid="{D55C2BC4-B94C-489D-B418-8CE1CCD77160}"/>
    <cellStyle name="Currency 2 3" xfId="88" xr:uid="{F79E1584-91AE-47FF-80AD-B3DD1499B011}"/>
    <cellStyle name="Currency 3" xfId="31" xr:uid="{213B7B69-4468-43F4-B10D-A6FB374997CA}"/>
    <cellStyle name="Currency 4" xfId="75" xr:uid="{6DFDD2DE-A107-4CB3-AA36-ABDEFBA520D2}"/>
    <cellStyle name="Excel Built-in Normal 1" xfId="39" xr:uid="{0A8A3A09-6DF1-44E9-B8AD-A09F3CA352A6}"/>
    <cellStyle name="Excel Built-in Normal 1 2" xfId="40" xr:uid="{D58B75A5-F5AC-440B-B670-363861FBC4FD}"/>
    <cellStyle name="Explanatory Text 2" xfId="12" xr:uid="{2A8FCB5D-4A14-4520-BA25-F4DE4D6BCAF1}"/>
    <cellStyle name="Explanatory Text 2 2" xfId="18" xr:uid="{8C194D42-8110-46D3-A50E-F302B7C981A6}"/>
    <cellStyle name="Hyperlink 2" xfId="66" xr:uid="{7C95D330-0835-40F0-92DF-C9618AC6BE2F}"/>
    <cellStyle name="Hyperlink 3" xfId="53" xr:uid="{10546279-7200-42B0-BCE0-CD1C0835B211}"/>
    <cellStyle name="Normal" xfId="0" builtinId="0"/>
    <cellStyle name="Normal 10" xfId="14" xr:uid="{94EE0863-BB9A-486D-A4D8-E21025E5DFD4}"/>
    <cellStyle name="Normal 10 2" xfId="23" xr:uid="{63763E26-337C-4090-9338-3BCF5CD4620F}"/>
    <cellStyle name="Normal 10 3" xfId="32" xr:uid="{C55EE2B7-8BE8-4BCD-B489-A8E63F6AE01D}"/>
    <cellStyle name="Normal 11" xfId="69" xr:uid="{83603F50-1CF9-457A-9D83-B07F29E68BC6}"/>
    <cellStyle name="Normal 11 2 2" xfId="17" xr:uid="{C041CDDB-A3CB-419E-874C-6094005D449C}"/>
    <cellStyle name="Normal 12" xfId="16" xr:uid="{6F9E706B-9953-4738-B738-B40887014A33}"/>
    <cellStyle name="Normal 13" xfId="9" xr:uid="{817032F8-49E0-4801-BDC9-7BE35C3262E7}"/>
    <cellStyle name="Normal 134 2" xfId="26" xr:uid="{0598366B-58E1-46A3-B7A8-8ACCBFA55824}"/>
    <cellStyle name="Normal 2" xfId="7" xr:uid="{540D8603-41AD-4D5D-B482-2BD7D41ABEA5}"/>
    <cellStyle name="Normal 2 2" xfId="67" xr:uid="{F1F3E9E7-A0D4-4D96-8A2D-EC2C9F1CA87E}"/>
    <cellStyle name="Normal 2 2 2" xfId="8" xr:uid="{AC83820C-3675-49B1-9694-A64E11301D2A}"/>
    <cellStyle name="Normal 2 2 2 2" xfId="19" xr:uid="{BA840D93-F913-493D-8337-CFFA80039418}"/>
    <cellStyle name="Normal 2 2 2 2 2" xfId="58" xr:uid="{7BDA9C86-6A21-4A7E-8758-6BCD07D6A287}"/>
    <cellStyle name="Normal 2 2 2 2 2 2" xfId="86" xr:uid="{6F98C5EF-D785-4502-9B97-0FCC54518B89}"/>
    <cellStyle name="Normal 2 2 3" xfId="59" xr:uid="{33C49519-51A6-4A75-84B0-C9B2E8FA334B}"/>
    <cellStyle name="Normal 3" xfId="27" xr:uid="{EED9ECEF-1AF0-41FB-A3D0-19F74A226DF7}"/>
    <cellStyle name="Normal 3 2" xfId="28" xr:uid="{DF325D5F-03B0-4F53-A828-349EC0F09C3C}"/>
    <cellStyle name="Normal 3 3" xfId="65" xr:uid="{D7F90562-01A0-4B2B-8F6D-3D3428B0A104}"/>
    <cellStyle name="Normal 37" xfId="43" xr:uid="{9FE7FCA5-ABF8-4806-80C9-FF2C0DFF8CED}"/>
    <cellStyle name="Normal 4" xfId="44" xr:uid="{12B25815-AE7A-46FA-9B14-7621FB148BAB}"/>
    <cellStyle name="Normal 4 2" xfId="60" xr:uid="{28F6B64E-1509-4327-8CA9-FC73A339FD55}"/>
    <cellStyle name="Normal 40" xfId="11" xr:uid="{139C79F3-2AE6-45C1-8454-C831E0BF0946}"/>
    <cellStyle name="Normal 40 2" xfId="20" xr:uid="{6F4CAB8D-9015-4A14-88C8-45E7860A7275}"/>
    <cellStyle name="Normal 40 2 2" xfId="72" xr:uid="{34C67C9D-A22C-4821-8397-8F236F713CAE}"/>
    <cellStyle name="Normal 43" xfId="10" xr:uid="{6FB30EF9-669A-433B-90CB-A4042BF391DE}"/>
    <cellStyle name="Normal 44" xfId="15" xr:uid="{7BE263C5-2C43-438C-9B24-17AEC98FA87A}"/>
    <cellStyle name="Normal 44 2" xfId="24" xr:uid="{AE37CC06-25CA-4DF4-B833-53B188C6A333}"/>
    <cellStyle name="Normal 5" xfId="41" xr:uid="{3BC1DD07-CE61-45E9-ABC7-07D2BAB624AB}"/>
    <cellStyle name="Normal 5 2" xfId="61" xr:uid="{040877BA-DF08-4DAF-B9DE-3F230C14574F}"/>
    <cellStyle name="Normal 6" xfId="29" xr:uid="{B2F8DF5E-7E21-41EA-A4A9-E607C3C3A52D}"/>
    <cellStyle name="Normal 6 2" xfId="30" xr:uid="{0067ACC3-490C-4F13-8F35-91D4801FE8B9}"/>
    <cellStyle name="Normal 6 3" xfId="68" xr:uid="{1B40CBAC-9D76-4612-BEAC-1655F56FECF4}"/>
    <cellStyle name="Normal 6 4" xfId="74" xr:uid="{B596D5B0-1576-43B1-B0B6-C2BB9A3DFE00}"/>
    <cellStyle name="Normal 7" xfId="56" xr:uid="{2AB7DB08-9AAC-44E2-A446-878CAD0835ED}"/>
    <cellStyle name="Normal 8" xfId="54" xr:uid="{EDFB218A-6672-4EE4-95F3-828E47254D84}"/>
    <cellStyle name="Normal 8 2" xfId="83" xr:uid="{3359625E-9AE4-4800-BFD6-AA1150C49630}"/>
    <cellStyle name="Normal 8 2 2" xfId="22" xr:uid="{B6BE9DE3-EED7-4BD6-8EEC-CD41DF367819}"/>
    <cellStyle name="Normal 9" xfId="5" xr:uid="{74C9D650-10FE-41B2-8E95-843667E98D24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4D165D1-B90D-40E6-952C-0AD18EED4E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0997" y="165100"/>
          <a:ext cx="1591790" cy="760535"/>
        </a:xfrm>
        <a:prstGeom prst="rect">
          <a:avLst/>
        </a:prstGeom>
      </xdr:spPr>
    </xdr:pic>
    <xdr:clientData/>
  </xdr:twoCellAnchor>
  <xdr:twoCellAnchor editAs="oneCell">
    <xdr:from>
      <xdr:col>2</xdr:col>
      <xdr:colOff>177800</xdr:colOff>
      <xdr:row>48</xdr:row>
      <xdr:rowOff>111614</xdr:rowOff>
    </xdr:from>
    <xdr:to>
      <xdr:col>3</xdr:col>
      <xdr:colOff>1004596</xdr:colOff>
      <xdr:row>48</xdr:row>
      <xdr:rowOff>774700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8930288-5427-4DD3-8073-937F740A7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0" y="7699864"/>
          <a:ext cx="2700046" cy="663086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03FA680-5A0B-4DBA-9AE5-EB8A5D044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393700"/>
          <a:ext cx="1424215" cy="3825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75FA5B-2E49-44A6-95F7-2AC9DC7E0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82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4ACADFA-D2D9-4118-A5BB-C3958F2BD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B37D7B-63FB-423B-98C3-94882D3C2D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82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F26AC03-A9C4-4AB3-AB74-74B9F6F299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CBE55A-841A-4024-9307-C40F35ABF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82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B9F4091-7010-4F06-BA2E-CF1A1DCF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CEAFD6C-85D8-4BD4-AC99-B5F4FA270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82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874DA7F-7659-437F-9006-6B5B9CBF91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175847</xdr:colOff>
      <xdr:row>1</xdr:row>
      <xdr:rowOff>0</xdr:rowOff>
    </xdr:from>
    <xdr:to>
      <xdr:col>6</xdr:col>
      <xdr:colOff>1767637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21264F-3600-42A6-A2C5-9122EECDB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582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EC47C6D-54B8-4108-9049-5E3FD7AB3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305387</xdr:colOff>
      <xdr:row>1</xdr:row>
      <xdr:rowOff>0</xdr:rowOff>
    </xdr:from>
    <xdr:to>
      <xdr:col>6</xdr:col>
      <xdr:colOff>1897177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16A480A-C83C-41F1-AD1C-35B1197CD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36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D1C626-A508-44E6-96E9-6F2EBF4B3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305387</xdr:colOff>
      <xdr:row>1</xdr:row>
      <xdr:rowOff>0</xdr:rowOff>
    </xdr:from>
    <xdr:to>
      <xdr:col>6</xdr:col>
      <xdr:colOff>1897177</xdr:colOff>
      <xdr:row>4</xdr:row>
      <xdr:rowOff>131885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DEE5B77-35EE-4FD4-95A4-B9B126C13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5367" y="175260"/>
          <a:ext cx="1591790" cy="771965"/>
        </a:xfrm>
        <a:prstGeom prst="rect">
          <a:avLst/>
        </a:prstGeom>
      </xdr:spPr>
    </xdr:pic>
    <xdr:clientData/>
  </xdr:twoCellAnchor>
  <xdr:twoCellAnchor editAs="oneCell">
    <xdr:from>
      <xdr:col>1</xdr:col>
      <xdr:colOff>527050</xdr:colOff>
      <xdr:row>2</xdr:row>
      <xdr:rowOff>69850</xdr:rowOff>
    </xdr:from>
    <xdr:to>
      <xdr:col>2</xdr:col>
      <xdr:colOff>1271815</xdr:colOff>
      <xdr:row>3</xdr:row>
      <xdr:rowOff>217469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A620046-BFEC-4401-AE8C-3C92C7A6F1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130" y="412750"/>
          <a:ext cx="1476285" cy="38383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Rjp-main\e\DCPL%20WORk\RIL%20GAS\Project\RA%20Bill\Claim\4%20th%20%20R.A%20%20Submited%20on%2002-05-200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ST ABS "/>
      <sheetName val="Service Tax Annexure"/>
      <sheetName val="RA Bill "/>
      <sheetName val="PRESSES"/>
      <sheetName val="FURNACE FDN-"/>
      <sheetName val="FURNACE FDN REV"/>
      <sheetName val="AXIS 9 - 18-"/>
      <sheetName val="AXIS 9 - 18 REV"/>
      <sheetName val="AXIS 4 - 9"/>
      <sheetName val="AXIS 1-4"/>
      <sheetName val="BATCH HOUSE"/>
      <sheetName val="CHIMNEY"/>
      <sheetName val="HEAD HOUSE"/>
      <sheetName val="EQ-FD"/>
      <sheetName val="RMSS"/>
      <sheetName val="FORMING FLOOR"/>
      <sheetName val="BLANK1"/>
      <sheetName val="PRESSES MS"/>
      <sheetName val="FURNACE FDN MS"/>
      <sheetName val="AXIS 9-18  MS"/>
      <sheetName val="STRUCTURE STEEL RECO"/>
      <sheetName val="Aligment STATUS "/>
      <sheetName val="Erection STATUS"/>
      <sheetName val="AXIS 9-18-STR-MS "/>
      <sheetName val="AXIS 1-9 MS "/>
      <sheetName val="AXIS 1-9 -STR-MS"/>
      <sheetName val="AXIS 1-4 MS"/>
      <sheetName val="HEAD HOUSE MS"/>
      <sheetName val="CHIMNEY MS"/>
      <sheetName val="BATCH HOUSE MS"/>
      <sheetName val="EQ-FD MS"/>
      <sheetName val="RMSS MS "/>
      <sheetName val="FORMING FLOOR MS"/>
      <sheetName val="BBS"/>
      <sheetName val="Rein - Cons"/>
      <sheetName val="BLANK"/>
      <sheetName val="AXIS 18-9 MS (20)"/>
      <sheetName val="AXIS 18-9 MS (19)"/>
      <sheetName val="AXIS 18-9 MS (18)"/>
      <sheetName val="AXIS 18-9 MS (17)"/>
      <sheetName val="AXIS 18-9 MS (16)"/>
      <sheetName val="AXIS 18-9 MS (15)"/>
      <sheetName val="AXIS 18-9 MS (14)"/>
      <sheetName val="AXIS 18-9 MS (13)"/>
      <sheetName val="AXIS 18-9 MS (12)"/>
      <sheetName val="AXIS 18-9 MS (11)"/>
      <sheetName val="AXIS 18-9 (20)"/>
      <sheetName val="AXIS 18-9 (19)"/>
      <sheetName val="AXIS 18-9 (18)"/>
      <sheetName val="AXIS 18-9 (17)"/>
      <sheetName val="AXIS 18-9 (16)"/>
      <sheetName val="AXIS 18-9 (15)"/>
      <sheetName val="AXIS 18-9 (14)"/>
      <sheetName val="AXIS 18-9 (13)"/>
      <sheetName val="AXIS 18-9 (12)"/>
      <sheetName val="AXIS 18-9 (11)"/>
      <sheetName val="RA 1 Measurement"/>
      <sheetName val="RA 1 Abstract"/>
      <sheetName val="Civil Boq"/>
      <sheetName val="BO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306">
          <cell r="B306" t="str">
            <v>230mm thk Brick masonary</v>
          </cell>
        </row>
      </sheetData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 refreshError="1"/>
      <sheetData sheetId="57" refreshError="1"/>
      <sheetData sheetId="58" refreshError="1"/>
      <sheetData sheetId="59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EFE91-4EF8-4CDE-9F2A-EB5080F83EA4}">
  <sheetPr codeName="Sheet2">
    <pageSetUpPr fitToPage="1"/>
  </sheetPr>
  <dimension ref="B1:I49"/>
  <sheetViews>
    <sheetView view="pageBreakPreview" topLeftCell="A13" zoomScaleNormal="130" zoomScaleSheetLayoutView="100" workbookViewId="0">
      <selection activeCell="G23" sqref="G23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62</v>
      </c>
    </row>
    <row r="7" spans="2:9" ht="13.05" customHeight="1" x14ac:dyDescent="0.25">
      <c r="B7" s="73" t="s">
        <v>2</v>
      </c>
      <c r="C7" s="74"/>
      <c r="D7" s="75" t="s">
        <v>63</v>
      </c>
      <c r="E7" s="75"/>
      <c r="F7" s="2" t="s">
        <v>3</v>
      </c>
      <c r="G7" s="23" t="s">
        <v>65</v>
      </c>
    </row>
    <row r="8" spans="2:9" ht="12" customHeight="1" thickBot="1" x14ac:dyDescent="0.3">
      <c r="B8" s="73" t="s">
        <v>4</v>
      </c>
      <c r="C8" s="74"/>
      <c r="D8" s="97" t="s">
        <v>5</v>
      </c>
      <c r="E8" s="97"/>
      <c r="F8" s="2" t="s">
        <v>6</v>
      </c>
      <c r="G8" s="32">
        <v>45945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96" t="s">
        <v>64</v>
      </c>
      <c r="H9" s="96"/>
    </row>
    <row r="10" spans="2:9" ht="14.85" customHeight="1" x14ac:dyDescent="0.25">
      <c r="B10" s="73" t="s">
        <v>9</v>
      </c>
      <c r="C10" s="74"/>
      <c r="D10" s="100">
        <v>6900000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5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68</v>
      </c>
      <c r="I12" s="45"/>
    </row>
    <row r="13" spans="2:9" ht="11.25" customHeight="1" x14ac:dyDescent="0.25">
      <c r="B13" s="101" t="s">
        <v>54</v>
      </c>
      <c r="C13" s="102"/>
      <c r="D13" s="103">
        <v>0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0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0</v>
      </c>
      <c r="E15" s="110"/>
      <c r="F15" s="110"/>
      <c r="G15" s="111"/>
      <c r="I15" s="47"/>
    </row>
    <row r="16" spans="2:9" ht="19.5" customHeight="1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9" ht="18.45" customHeight="1" x14ac:dyDescent="0.25">
      <c r="B17" s="49" t="s">
        <v>21</v>
      </c>
      <c r="C17" s="2" t="s">
        <v>22</v>
      </c>
      <c r="D17" s="26" t="s">
        <v>23</v>
      </c>
      <c r="E17" s="4">
        <v>0</v>
      </c>
      <c r="F17" s="37">
        <v>0</v>
      </c>
      <c r="G17" s="34">
        <f>E17+F17</f>
        <v>0</v>
      </c>
      <c r="I17" s="47"/>
    </row>
    <row r="18" spans="2:9" ht="18.45" customHeight="1" x14ac:dyDescent="0.25">
      <c r="B18" s="50"/>
      <c r="C18" s="7" t="s">
        <v>24</v>
      </c>
      <c r="D18" s="27"/>
      <c r="E18" s="6"/>
      <c r="F18" s="6"/>
      <c r="G18" s="18"/>
      <c r="I18" s="47"/>
    </row>
    <row r="19" spans="2:9" ht="18.45" customHeight="1" x14ac:dyDescent="0.25">
      <c r="B19" s="51"/>
      <c r="C19" s="8"/>
      <c r="D19" s="28"/>
      <c r="E19" s="8"/>
      <c r="F19" s="8"/>
      <c r="G19" s="19"/>
      <c r="I19" s="47"/>
    </row>
    <row r="20" spans="2:9" ht="18.45" customHeight="1" x14ac:dyDescent="0.25">
      <c r="B20" s="49" t="s">
        <v>25</v>
      </c>
      <c r="C20" s="2" t="s">
        <v>26</v>
      </c>
      <c r="D20" s="28"/>
      <c r="E20" s="25"/>
      <c r="F20" s="25"/>
      <c r="G20" s="17"/>
    </row>
    <row r="21" spans="2:9" ht="18.45" customHeight="1" x14ac:dyDescent="0.25">
      <c r="B21" s="52">
        <v>1</v>
      </c>
      <c r="C21" s="9" t="s">
        <v>27</v>
      </c>
      <c r="D21" s="29"/>
      <c r="E21" s="25">
        <v>0</v>
      </c>
      <c r="F21" s="37">
        <v>0</v>
      </c>
      <c r="G21" s="38">
        <f t="shared" ref="G21:G24" si="0">+F21+E21</f>
        <v>0</v>
      </c>
    </row>
    <row r="22" spans="2:9" ht="18.45" customHeight="1" x14ac:dyDescent="0.25">
      <c r="B22" s="52">
        <v>2</v>
      </c>
      <c r="C22" s="9" t="s">
        <v>28</v>
      </c>
      <c r="D22" s="29"/>
      <c r="E22" s="25">
        <v>0</v>
      </c>
      <c r="F22" s="25">
        <v>0</v>
      </c>
      <c r="G22" s="17">
        <f t="shared" si="0"/>
        <v>0</v>
      </c>
    </row>
    <row r="23" spans="2:9" ht="18.45" customHeight="1" x14ac:dyDescent="0.25">
      <c r="B23" s="52">
        <v>3</v>
      </c>
      <c r="C23" s="10" t="s">
        <v>29</v>
      </c>
      <c r="D23" s="29"/>
      <c r="E23" s="25">
        <v>0</v>
      </c>
      <c r="F23" s="25">
        <v>0</v>
      </c>
      <c r="G23" s="17">
        <f t="shared" si="0"/>
        <v>0</v>
      </c>
    </row>
    <row r="24" spans="2:9" ht="18.45" customHeight="1" x14ac:dyDescent="0.25">
      <c r="B24" s="52">
        <v>4</v>
      </c>
      <c r="C24" s="9" t="s">
        <v>30</v>
      </c>
      <c r="D24" s="29"/>
      <c r="E24" s="25">
        <v>0</v>
      </c>
      <c r="F24" s="25">
        <v>0</v>
      </c>
      <c r="G24" s="17">
        <f t="shared" si="0"/>
        <v>0</v>
      </c>
    </row>
    <row r="25" spans="2:9" ht="18.45" customHeight="1" x14ac:dyDescent="0.25">
      <c r="B25" s="53"/>
      <c r="C25" s="7" t="s">
        <v>31</v>
      </c>
      <c r="D25" s="27"/>
      <c r="E25" s="11">
        <f>+SUM(E20:E24)</f>
        <v>0</v>
      </c>
      <c r="F25" s="36">
        <f>+SUM(F20:F24)</f>
        <v>0</v>
      </c>
      <c r="G25" s="39">
        <f>+E25+F25</f>
        <v>0</v>
      </c>
    </row>
    <row r="26" spans="2:9" ht="18.45" customHeight="1" x14ac:dyDescent="0.25">
      <c r="B26" s="54"/>
      <c r="C26" s="8"/>
      <c r="D26" s="28"/>
      <c r="E26" s="8"/>
      <c r="F26" s="8"/>
      <c r="G26" s="19"/>
    </row>
    <row r="27" spans="2:9" ht="18.45" customHeight="1" x14ac:dyDescent="0.25">
      <c r="B27" s="55" t="s">
        <v>32</v>
      </c>
      <c r="C27" s="2" t="s">
        <v>33</v>
      </c>
      <c r="D27" s="28"/>
      <c r="E27" s="24"/>
      <c r="F27" s="24"/>
      <c r="G27" s="20"/>
    </row>
    <row r="28" spans="2:9" ht="18.45" customHeight="1" x14ac:dyDescent="0.25">
      <c r="B28" s="52">
        <v>1</v>
      </c>
      <c r="C28" s="9" t="s">
        <v>59</v>
      </c>
      <c r="D28" s="28"/>
      <c r="E28" s="25">
        <v>0</v>
      </c>
      <c r="F28" s="40">
        <v>0</v>
      </c>
      <c r="G28" s="38">
        <f>+E28+F28</f>
        <v>0</v>
      </c>
    </row>
    <row r="29" spans="2:9" ht="18.45" customHeight="1" x14ac:dyDescent="0.25">
      <c r="B29" s="52">
        <v>2</v>
      </c>
      <c r="C29" s="9" t="s">
        <v>60</v>
      </c>
      <c r="D29" s="28"/>
      <c r="E29" s="25">
        <v>0</v>
      </c>
      <c r="F29" s="40">
        <v>0</v>
      </c>
      <c r="G29" s="38">
        <f t="shared" ref="G29:G31" si="1">+E29+F29</f>
        <v>0</v>
      </c>
    </row>
    <row r="30" spans="2:9" ht="18.45" customHeight="1" x14ac:dyDescent="0.25">
      <c r="B30" s="52">
        <v>3</v>
      </c>
      <c r="C30" s="9" t="s">
        <v>34</v>
      </c>
      <c r="D30" s="28"/>
      <c r="E30" s="25">
        <v>0</v>
      </c>
      <c r="F30" s="40">
        <v>0</v>
      </c>
      <c r="G30" s="17">
        <f t="shared" si="1"/>
        <v>0</v>
      </c>
    </row>
    <row r="31" spans="2:9" ht="18.45" customHeight="1" x14ac:dyDescent="0.25">
      <c r="B31" s="52">
        <v>4</v>
      </c>
      <c r="C31" s="9" t="s">
        <v>61</v>
      </c>
      <c r="D31" s="28"/>
      <c r="E31" s="35">
        <v>0</v>
      </c>
      <c r="F31" s="40">
        <v>0</v>
      </c>
      <c r="G31" s="17">
        <f t="shared" si="1"/>
        <v>0</v>
      </c>
    </row>
    <row r="32" spans="2:9" ht="18.45" customHeight="1" x14ac:dyDescent="0.25">
      <c r="B32" s="50"/>
      <c r="C32" s="7" t="s">
        <v>35</v>
      </c>
      <c r="D32" s="27"/>
      <c r="E32" s="15">
        <f>+SUM(E28:E31)</f>
        <v>0</v>
      </c>
      <c r="F32" s="36">
        <f>+SUM(F28:F31)</f>
        <v>0</v>
      </c>
      <c r="G32" s="41">
        <f>+E32+F32</f>
        <v>0</v>
      </c>
    </row>
    <row r="33" spans="2:7" ht="18.45" customHeight="1" x14ac:dyDescent="0.25">
      <c r="B33" s="51"/>
      <c r="C33" s="8"/>
      <c r="D33" s="28"/>
      <c r="E33" s="8"/>
      <c r="F33" s="8"/>
      <c r="G33" s="19"/>
    </row>
    <row r="34" spans="2:7" ht="18.45" customHeight="1" x14ac:dyDescent="0.25">
      <c r="B34" s="49" t="s">
        <v>36</v>
      </c>
      <c r="C34" s="48" t="s">
        <v>37</v>
      </c>
      <c r="D34" s="48"/>
      <c r="E34" s="8"/>
      <c r="F34" s="8"/>
      <c r="G34" s="19"/>
    </row>
    <row r="35" spans="2:7" ht="18.45" customHeight="1" x14ac:dyDescent="0.25">
      <c r="B35" s="50"/>
      <c r="C35" s="7" t="s">
        <v>38</v>
      </c>
      <c r="D35" s="27"/>
      <c r="E35" s="11">
        <f>+E25-E32</f>
        <v>0</v>
      </c>
      <c r="F35" s="36">
        <f>+F25-F32</f>
        <v>0</v>
      </c>
      <c r="G35" s="39">
        <f>+E35+F35</f>
        <v>0</v>
      </c>
    </row>
    <row r="36" spans="2:7" ht="18.45" customHeight="1" x14ac:dyDescent="0.25">
      <c r="B36" s="51"/>
      <c r="C36" s="8"/>
      <c r="D36" s="28"/>
      <c r="E36" s="8"/>
      <c r="F36" s="8"/>
      <c r="G36" s="19"/>
    </row>
    <row r="37" spans="2:7" ht="18.45" customHeight="1" x14ac:dyDescent="0.25">
      <c r="B37" s="56" t="s">
        <v>39</v>
      </c>
      <c r="C37" s="9" t="s">
        <v>40</v>
      </c>
      <c r="D37" s="28"/>
      <c r="E37" s="5">
        <f>+E25*5%</f>
        <v>0</v>
      </c>
      <c r="F37" s="42"/>
      <c r="G37" s="38">
        <f>+E37+F37</f>
        <v>0</v>
      </c>
    </row>
    <row r="38" spans="2:7" ht="18.45" customHeight="1" x14ac:dyDescent="0.25">
      <c r="B38" s="51"/>
      <c r="C38" s="9" t="s">
        <v>41</v>
      </c>
      <c r="D38" s="28"/>
      <c r="E38" s="8"/>
      <c r="F38" s="8"/>
      <c r="G38" s="19"/>
    </row>
    <row r="39" spans="2:7" ht="18.45" customHeight="1" x14ac:dyDescent="0.25">
      <c r="B39" s="50"/>
      <c r="C39" s="7" t="s">
        <v>42</v>
      </c>
      <c r="D39" s="27"/>
      <c r="E39" s="11">
        <f>+SUM(E37:E38)</f>
        <v>0</v>
      </c>
      <c r="F39" s="36">
        <f>+SUM(F37:F38)</f>
        <v>0</v>
      </c>
      <c r="G39" s="39">
        <f>+E39+F39</f>
        <v>0</v>
      </c>
    </row>
    <row r="40" spans="2:7" ht="18.45" customHeight="1" x14ac:dyDescent="0.25">
      <c r="B40" s="49" t="s">
        <v>43</v>
      </c>
      <c r="C40" s="74" t="s">
        <v>44</v>
      </c>
      <c r="D40" s="74"/>
      <c r="E40" s="8"/>
      <c r="F40" s="8"/>
      <c r="G40" s="19"/>
    </row>
    <row r="41" spans="2:7" ht="18.45" customHeight="1" x14ac:dyDescent="0.25">
      <c r="B41" s="50"/>
      <c r="C41" s="7" t="s">
        <v>45</v>
      </c>
      <c r="D41" s="27"/>
      <c r="E41" s="11">
        <f>+E35-E39</f>
        <v>0</v>
      </c>
      <c r="F41" s="36">
        <f>+F35-F39</f>
        <v>0</v>
      </c>
      <c r="G41" s="39">
        <f>+E41+F41</f>
        <v>0</v>
      </c>
    </row>
    <row r="42" spans="2:7" ht="18.45" customHeight="1" x14ac:dyDescent="0.25">
      <c r="B42" s="49" t="s">
        <v>46</v>
      </c>
      <c r="C42" s="74" t="s">
        <v>47</v>
      </c>
      <c r="D42" s="74"/>
      <c r="E42" s="8"/>
      <c r="F42" s="8"/>
      <c r="G42" s="19"/>
    </row>
    <row r="43" spans="2:7" ht="18.45" customHeight="1" x14ac:dyDescent="0.25">
      <c r="B43" s="52">
        <v>1</v>
      </c>
      <c r="C43" s="9" t="s">
        <v>48</v>
      </c>
      <c r="D43" s="28"/>
      <c r="E43" s="5">
        <v>0</v>
      </c>
      <c r="F43" s="33"/>
      <c r="G43" s="38"/>
    </row>
    <row r="44" spans="2:7" ht="18.45" customHeight="1" x14ac:dyDescent="0.25">
      <c r="B44" s="50"/>
      <c r="C44" s="7" t="s">
        <v>49</v>
      </c>
      <c r="D44" s="27"/>
      <c r="E44" s="11">
        <v>0</v>
      </c>
      <c r="F44" s="36">
        <f>SUM(F43)</f>
        <v>0</v>
      </c>
      <c r="G44" s="39">
        <f>+E44+F44</f>
        <v>0</v>
      </c>
    </row>
    <row r="45" spans="2:7" ht="18.45" customHeight="1" x14ac:dyDescent="0.25">
      <c r="B45" s="51"/>
      <c r="C45" s="8"/>
      <c r="D45" s="28"/>
      <c r="E45" s="8"/>
      <c r="F45" s="8"/>
      <c r="G45" s="19"/>
    </row>
    <row r="46" spans="2:7" ht="18.45" customHeight="1" x14ac:dyDescent="0.25">
      <c r="B46" s="49" t="s">
        <v>50</v>
      </c>
      <c r="C46" s="74" t="s">
        <v>51</v>
      </c>
      <c r="D46" s="74"/>
      <c r="E46" s="8"/>
      <c r="F46" s="8"/>
      <c r="G46" s="19"/>
    </row>
    <row r="47" spans="2:7" ht="18.45" customHeight="1" x14ac:dyDescent="0.25">
      <c r="B47" s="57"/>
      <c r="C47" s="12" t="s">
        <v>52</v>
      </c>
      <c r="D47" s="30"/>
      <c r="E47" s="13">
        <f>+E41+E44</f>
        <v>0</v>
      </c>
      <c r="F47" s="43">
        <f>+F41+F44</f>
        <v>0</v>
      </c>
      <c r="G47" s="44">
        <f>+E47+F47</f>
        <v>0</v>
      </c>
    </row>
    <row r="48" spans="2:7" ht="17.25" customHeight="1" x14ac:dyDescent="0.25">
      <c r="B48" s="58"/>
      <c r="C48" s="14" t="s">
        <v>53</v>
      </c>
      <c r="D48" s="105" t="s">
        <v>69</v>
      </c>
      <c r="E48" s="105"/>
      <c r="F48" s="105"/>
      <c r="G48" s="106"/>
    </row>
    <row r="49" spans="2:7" ht="70.5" customHeight="1" thickBot="1" x14ac:dyDescent="0.3">
      <c r="B49" s="107" t="s">
        <v>58</v>
      </c>
      <c r="C49" s="108"/>
      <c r="D49" s="108"/>
      <c r="E49" s="108"/>
      <c r="F49" s="108"/>
      <c r="G49" s="109"/>
    </row>
  </sheetData>
  <mergeCells count="29">
    <mergeCell ref="G9:H9"/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8:C8"/>
    <mergeCell ref="D8:E8"/>
    <mergeCell ref="B9:C9"/>
    <mergeCell ref="D9:E9"/>
    <mergeCell ref="B10:C10"/>
    <mergeCell ref="D10:E10"/>
    <mergeCell ref="B7:C7"/>
    <mergeCell ref="D7:E7"/>
    <mergeCell ref="B2:C5"/>
    <mergeCell ref="D2:F5"/>
    <mergeCell ref="G2:G5"/>
    <mergeCell ref="B6:C6"/>
    <mergeCell ref="D6:E6"/>
  </mergeCells>
  <printOptions horizontalCentered="1"/>
  <pageMargins left="0.25" right="0.25" top="0.75" bottom="0.75" header="0.3" footer="0.3"/>
  <pageSetup paperSize="9" scale="83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50E8F-7AC6-480D-A9E6-76709D8AA9F1}">
  <sheetPr codeName="Sheet3">
    <pageSetUpPr fitToPage="1"/>
  </sheetPr>
  <dimension ref="B1:K49"/>
  <sheetViews>
    <sheetView view="pageBreakPreview" zoomScaleNormal="130" zoomScaleSheetLayoutView="100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10.21875" style="1" bestFit="1" customWidth="1"/>
    <col min="9" max="9" width="15.44140625" style="1" bestFit="1" customWidth="1"/>
    <col min="10" max="10" width="9.33203125" style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71</v>
      </c>
      <c r="E7" s="75"/>
      <c r="F7" s="2" t="s">
        <v>3</v>
      </c>
      <c r="G7" s="23" t="s">
        <v>74</v>
      </c>
    </row>
    <row r="8" spans="2:9" ht="12" customHeight="1" thickBot="1" x14ac:dyDescent="0.3">
      <c r="B8" s="73" t="s">
        <v>4</v>
      </c>
      <c r="C8" s="74"/>
      <c r="D8" s="97" t="s">
        <v>5</v>
      </c>
      <c r="E8" s="97"/>
      <c r="F8" s="2" t="s">
        <v>6</v>
      </c>
      <c r="G8" s="32">
        <v>45945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96" t="s">
        <v>64</v>
      </c>
      <c r="H9" s="96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75</v>
      </c>
      <c r="I12" s="45"/>
    </row>
    <row r="13" spans="2:9" ht="11.25" customHeight="1" x14ac:dyDescent="0.25">
      <c r="B13" s="101" t="s">
        <v>54</v>
      </c>
      <c r="C13" s="102"/>
      <c r="D13" s="103">
        <v>0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2602069.8200000003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2602069.8200000003</v>
      </c>
      <c r="E15" s="110"/>
      <c r="F15" s="110"/>
      <c r="G15" s="111"/>
      <c r="I15" s="47"/>
    </row>
    <row r="16" spans="2:9" ht="19.5" customHeight="1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9" ht="18.45" customHeight="1" x14ac:dyDescent="0.25">
      <c r="B17" s="49" t="s">
        <v>21</v>
      </c>
      <c r="C17" s="2" t="s">
        <v>22</v>
      </c>
      <c r="D17" s="26" t="s">
        <v>23</v>
      </c>
      <c r="E17" s="60">
        <f>'01'!G17</f>
        <v>0</v>
      </c>
      <c r="F17" s="37">
        <v>2633788</v>
      </c>
      <c r="G17" s="34">
        <f>E17+F17</f>
        <v>2633788</v>
      </c>
      <c r="I17" s="47"/>
    </row>
    <row r="18" spans="2:9" ht="18.45" customHeight="1" x14ac:dyDescent="0.25">
      <c r="B18" s="50"/>
      <c r="C18" s="7" t="s">
        <v>24</v>
      </c>
      <c r="D18" s="27"/>
      <c r="E18" s="61"/>
      <c r="F18" s="6"/>
      <c r="G18" s="18"/>
      <c r="I18" s="47"/>
    </row>
    <row r="19" spans="2:9" ht="18.45" customHeight="1" x14ac:dyDescent="0.25">
      <c r="B19" s="51"/>
      <c r="C19" s="8"/>
      <c r="D19" s="28"/>
      <c r="E19" s="62"/>
      <c r="F19" s="8"/>
      <c r="G19" s="19"/>
      <c r="I19" s="47"/>
    </row>
    <row r="20" spans="2:9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</row>
    <row r="21" spans="2:9" ht="18.45" customHeight="1" x14ac:dyDescent="0.25">
      <c r="B21" s="52">
        <v>1</v>
      </c>
      <c r="C21" s="9" t="s">
        <v>27</v>
      </c>
      <c r="D21" s="29"/>
      <c r="E21" s="63">
        <f>'01'!G21</f>
        <v>0</v>
      </c>
      <c r="F21" s="37">
        <v>3152382</v>
      </c>
      <c r="G21" s="38">
        <f t="shared" ref="G21:G24" si="0">+F21+E21</f>
        <v>3152382</v>
      </c>
    </row>
    <row r="22" spans="2:9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</row>
    <row r="23" spans="2:9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17">
        <f t="shared" si="0"/>
        <v>0</v>
      </c>
    </row>
    <row r="24" spans="2:9" ht="18.45" customHeight="1" x14ac:dyDescent="0.25">
      <c r="B24" s="52">
        <v>4</v>
      </c>
      <c r="C24" s="9" t="s">
        <v>30</v>
      </c>
      <c r="D24" s="29"/>
      <c r="E24" s="63">
        <v>0</v>
      </c>
      <c r="F24" s="25">
        <v>-148043</v>
      </c>
      <c r="G24" s="17">
        <f t="shared" si="0"/>
        <v>-148043</v>
      </c>
    </row>
    <row r="25" spans="2:9" ht="18.45" customHeight="1" x14ac:dyDescent="0.25">
      <c r="B25" s="53"/>
      <c r="C25" s="7" t="s">
        <v>31</v>
      </c>
      <c r="D25" s="27"/>
      <c r="E25" s="64">
        <f>+SUM(E20:E24)</f>
        <v>0</v>
      </c>
      <c r="F25" s="36">
        <f>+SUM(F20:F24)</f>
        <v>3004339</v>
      </c>
      <c r="G25" s="39">
        <f>+E25+F25</f>
        <v>3004339</v>
      </c>
    </row>
    <row r="26" spans="2:9" ht="18.45" customHeight="1" x14ac:dyDescent="0.25">
      <c r="B26" s="54"/>
      <c r="C26" s="8"/>
      <c r="D26" s="28"/>
      <c r="E26" s="62"/>
      <c r="F26" s="8"/>
      <c r="G26" s="19"/>
    </row>
    <row r="27" spans="2:9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</row>
    <row r="28" spans="2:9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</row>
    <row r="29" spans="2:9" ht="18.45" customHeight="1" x14ac:dyDescent="0.25">
      <c r="B29" s="52">
        <v>2</v>
      </c>
      <c r="C29" s="9" t="s">
        <v>60</v>
      </c>
      <c r="D29" s="28"/>
      <c r="E29" s="63">
        <v>0</v>
      </c>
      <c r="F29" s="40">
        <v>0</v>
      </c>
      <c r="G29" s="38">
        <f t="shared" ref="G29:G31" si="1">+E29+F29</f>
        <v>0</v>
      </c>
    </row>
    <row r="30" spans="2:9" ht="20.399999999999999" x14ac:dyDescent="0.25">
      <c r="B30" s="52">
        <v>3</v>
      </c>
      <c r="C30" s="9" t="s">
        <v>34</v>
      </c>
      <c r="D30" s="9" t="s">
        <v>77</v>
      </c>
      <c r="E30" s="63">
        <v>0</v>
      </c>
      <c r="F30" s="35">
        <v>792833.25</v>
      </c>
      <c r="G30" s="17">
        <f t="shared" si="1"/>
        <v>792833.25</v>
      </c>
    </row>
    <row r="31" spans="2:9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</row>
    <row r="32" spans="2:9" ht="18.45" customHeight="1" x14ac:dyDescent="0.25">
      <c r="B32" s="50"/>
      <c r="C32" s="7" t="s">
        <v>35</v>
      </c>
      <c r="D32" s="27"/>
      <c r="E32" s="66">
        <f>+SUM(E28:E31)</f>
        <v>0</v>
      </c>
      <c r="F32" s="36">
        <f>+SUM(F28:F31)</f>
        <v>792833.25</v>
      </c>
      <c r="G32" s="41">
        <f>+E32+F32</f>
        <v>792833.25</v>
      </c>
      <c r="H32" s="71">
        <f>F25+F44</f>
        <v>3545120.02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71"/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</row>
    <row r="35" spans="2:11" ht="18.45" customHeight="1" x14ac:dyDescent="0.25">
      <c r="B35" s="50"/>
      <c r="C35" s="7" t="s">
        <v>38</v>
      </c>
      <c r="D35" s="27"/>
      <c r="E35" s="64">
        <f>+E25-E32</f>
        <v>0</v>
      </c>
      <c r="F35" s="36">
        <f>+F25-F32</f>
        <v>2211505.75</v>
      </c>
      <c r="G35" s="39">
        <f>+E35+F35</f>
        <v>2211505.75</v>
      </c>
    </row>
    <row r="36" spans="2:11" ht="18.45" customHeight="1" x14ac:dyDescent="0.25">
      <c r="B36" s="51"/>
      <c r="C36" s="8"/>
      <c r="D36" s="28"/>
      <c r="E36" s="62"/>
      <c r="F36" s="8"/>
      <c r="G36" s="19"/>
    </row>
    <row r="37" spans="2:11" ht="18.45" customHeight="1" x14ac:dyDescent="0.25">
      <c r="B37" s="56" t="s">
        <v>39</v>
      </c>
      <c r="C37" s="9" t="s">
        <v>40</v>
      </c>
      <c r="D37" s="28"/>
      <c r="E37" s="67"/>
      <c r="F37" s="42">
        <f>F25*5%</f>
        <v>150216.95000000001</v>
      </c>
      <c r="G37" s="38">
        <f>+E37+F37</f>
        <v>150216.95000000001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</row>
    <row r="39" spans="2:11" ht="18.45" customHeight="1" x14ac:dyDescent="0.25">
      <c r="B39" s="50"/>
      <c r="C39" s="7" t="s">
        <v>42</v>
      </c>
      <c r="D39" s="27"/>
      <c r="E39" s="64">
        <f>+SUM(E37:E38)</f>
        <v>0</v>
      </c>
      <c r="F39" s="36">
        <f>+SUM(F37:F38)</f>
        <v>150216.95000000001</v>
      </c>
      <c r="G39" s="39">
        <f>+E39+F39</f>
        <v>150216.95000000001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0</v>
      </c>
      <c r="F41" s="36">
        <f>+F35-F39</f>
        <v>2061288.8</v>
      </c>
      <c r="G41" s="39">
        <f>+E41+F41</f>
        <v>2061288.8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K42" s="47"/>
    </row>
    <row r="43" spans="2:11" ht="18.45" customHeight="1" x14ac:dyDescent="0.25">
      <c r="B43" s="52">
        <v>1</v>
      </c>
      <c r="C43" s="9" t="s">
        <v>48</v>
      </c>
      <c r="D43" s="28"/>
      <c r="E43" s="67">
        <v>0</v>
      </c>
      <c r="F43" s="33">
        <f>F25*18%</f>
        <v>540781.02</v>
      </c>
      <c r="G43" s="33">
        <f>G25*18%</f>
        <v>540781.02</v>
      </c>
    </row>
    <row r="44" spans="2:11" ht="18.45" customHeight="1" x14ac:dyDescent="0.25">
      <c r="B44" s="50"/>
      <c r="C44" s="7" t="s">
        <v>49</v>
      </c>
      <c r="D44" s="27"/>
      <c r="E44" s="64">
        <v>0</v>
      </c>
      <c r="F44" s="36">
        <f>SUM(F43)</f>
        <v>540781.02</v>
      </c>
      <c r="G44" s="39">
        <f>+E44+F44</f>
        <v>540781.02</v>
      </c>
    </row>
    <row r="45" spans="2:11" ht="18.45" customHeight="1" x14ac:dyDescent="0.25">
      <c r="B45" s="51"/>
      <c r="C45" s="8"/>
      <c r="D45" s="28"/>
      <c r="E45" s="62"/>
      <c r="F45" s="8"/>
      <c r="G45" s="19"/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</row>
    <row r="47" spans="2:11" ht="18.45" customHeight="1" x14ac:dyDescent="0.25">
      <c r="B47" s="57"/>
      <c r="C47" s="12" t="s">
        <v>52</v>
      </c>
      <c r="D47" s="30"/>
      <c r="E47" s="68">
        <f>+E41+E44</f>
        <v>0</v>
      </c>
      <c r="F47" s="43">
        <f>+F41+F44</f>
        <v>2602069.8200000003</v>
      </c>
      <c r="G47" s="44">
        <f>+E47+F47</f>
        <v>2602069.8200000003</v>
      </c>
    </row>
    <row r="48" spans="2:11" ht="17.25" customHeight="1" x14ac:dyDescent="0.25">
      <c r="B48" s="58"/>
      <c r="C48" s="14" t="s">
        <v>53</v>
      </c>
      <c r="D48" s="105" t="s">
        <v>72</v>
      </c>
      <c r="E48" s="105"/>
      <c r="F48" s="105"/>
      <c r="G48" s="106"/>
    </row>
    <row r="49" spans="2:7" ht="70.5" customHeight="1" thickBot="1" x14ac:dyDescent="0.3">
      <c r="B49" s="107" t="s">
        <v>58</v>
      </c>
      <c r="C49" s="108"/>
      <c r="D49" s="108"/>
      <c r="E49" s="108"/>
      <c r="F49" s="108"/>
      <c r="G49" s="109"/>
    </row>
  </sheetData>
  <mergeCells count="29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10:C10"/>
    <mergeCell ref="D10:E10"/>
    <mergeCell ref="B2:C5"/>
    <mergeCell ref="D2:F5"/>
    <mergeCell ref="G2:G5"/>
    <mergeCell ref="B6:C6"/>
    <mergeCell ref="D6:E6"/>
    <mergeCell ref="B7:C7"/>
    <mergeCell ref="D7:E7"/>
    <mergeCell ref="B8:C8"/>
    <mergeCell ref="D8:E8"/>
    <mergeCell ref="B9:C9"/>
    <mergeCell ref="D9:E9"/>
    <mergeCell ref="G9:H9"/>
  </mergeCells>
  <printOptions horizontalCentered="1"/>
  <pageMargins left="0.25" right="0.25" top="0.75" bottom="0.75" header="0.3" footer="0.3"/>
  <pageSetup paperSize="9" scale="8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3EF15-ABE4-4D19-9332-CB02229E3A8D}">
  <sheetPr codeName="Sheet4">
    <pageSetUpPr fitToPage="1"/>
  </sheetPr>
  <dimension ref="B1:K49"/>
  <sheetViews>
    <sheetView view="pageBreakPreview" topLeftCell="A10" zoomScaleNormal="130" zoomScaleSheetLayoutView="100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9.33203125" style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79</v>
      </c>
      <c r="E7" s="75"/>
      <c r="F7" s="2" t="s">
        <v>3</v>
      </c>
      <c r="G7" s="23" t="s">
        <v>80</v>
      </c>
    </row>
    <row r="8" spans="2:9" ht="12" customHeight="1" thickBot="1" x14ac:dyDescent="0.3">
      <c r="B8" s="73" t="s">
        <v>4</v>
      </c>
      <c r="C8" s="74"/>
      <c r="D8" s="97" t="s">
        <v>5</v>
      </c>
      <c r="E8" s="97"/>
      <c r="F8" s="2" t="s">
        <v>6</v>
      </c>
      <c r="G8" s="32">
        <v>46035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96" t="s">
        <v>64</v>
      </c>
      <c r="H9" s="96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81</v>
      </c>
      <c r="I12" s="45"/>
    </row>
    <row r="13" spans="2:9" ht="11.25" customHeight="1" x14ac:dyDescent="0.25">
      <c r="B13" s="101" t="s">
        <v>54</v>
      </c>
      <c r="C13" s="102"/>
      <c r="D13" s="103">
        <f>E47</f>
        <v>2602069.8200000003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3624586.32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6226656.1400000006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9" ht="18.45" customHeight="1" x14ac:dyDescent="0.25">
      <c r="B17" s="49" t="s">
        <v>21</v>
      </c>
      <c r="C17" s="2" t="s">
        <v>22</v>
      </c>
      <c r="D17" s="26" t="s">
        <v>23</v>
      </c>
      <c r="E17" s="60">
        <f>'02'!G17</f>
        <v>2633788</v>
      </c>
      <c r="F17" s="70">
        <v>4185511.63</v>
      </c>
      <c r="G17" s="34">
        <f>E17+F17</f>
        <v>6819299.6299999999</v>
      </c>
      <c r="H17" s="1" t="b">
        <f>E17='02'!G17</f>
        <v>1</v>
      </c>
      <c r="I17" s="47"/>
    </row>
    <row r="18" spans="2:9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E18='02'!G18</f>
        <v>1</v>
      </c>
      <c r="I18" s="47"/>
    </row>
    <row r="19" spans="2:9" ht="18.45" customHeight="1" x14ac:dyDescent="0.25">
      <c r="B19" s="51"/>
      <c r="C19" s="8"/>
      <c r="D19" s="28"/>
      <c r="E19" s="62"/>
      <c r="F19" s="8"/>
      <c r="G19" s="19"/>
      <c r="H19" s="1" t="b">
        <f>E19='02'!G19</f>
        <v>1</v>
      </c>
      <c r="I19" s="47"/>
    </row>
    <row r="20" spans="2:9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E20='02'!G20</f>
        <v>1</v>
      </c>
    </row>
    <row r="21" spans="2:9" ht="18.45" customHeight="1" x14ac:dyDescent="0.25">
      <c r="B21" s="52">
        <v>1</v>
      </c>
      <c r="C21" s="9" t="s">
        <v>27</v>
      </c>
      <c r="D21" s="29"/>
      <c r="E21" s="63">
        <f>'02'!G21</f>
        <v>3152382</v>
      </c>
      <c r="F21" s="37">
        <v>4286581</v>
      </c>
      <c r="G21" s="38">
        <f t="shared" ref="G21:G24" si="0">+F21+E21</f>
        <v>7438963</v>
      </c>
      <c r="H21" s="1" t="b">
        <f>E21='02'!G21</f>
        <v>1</v>
      </c>
    </row>
    <row r="22" spans="2:9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E22='02'!G22</f>
        <v>1</v>
      </c>
    </row>
    <row r="23" spans="2:9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E23='02'!G23</f>
        <v>1</v>
      </c>
    </row>
    <row r="24" spans="2:9" ht="18.45" customHeight="1" x14ac:dyDescent="0.25">
      <c r="B24" s="52">
        <v>4</v>
      </c>
      <c r="C24" s="9" t="s">
        <v>30</v>
      </c>
      <c r="D24" s="29"/>
      <c r="E24" s="63">
        <f>'02'!F24</f>
        <v>-148043</v>
      </c>
      <c r="F24" s="37">
        <v>-201117</v>
      </c>
      <c r="G24" s="38">
        <f t="shared" si="0"/>
        <v>-349160</v>
      </c>
      <c r="H24" s="1" t="b">
        <f>E24='02'!G24</f>
        <v>1</v>
      </c>
    </row>
    <row r="25" spans="2:9" ht="18.45" customHeight="1" x14ac:dyDescent="0.25">
      <c r="B25" s="53"/>
      <c r="C25" s="7" t="s">
        <v>31</v>
      </c>
      <c r="D25" s="27"/>
      <c r="E25" s="64">
        <f>+SUM(E20:E24)</f>
        <v>3004339</v>
      </c>
      <c r="F25" s="36">
        <f>+SUM(F20:F24)</f>
        <v>4085464</v>
      </c>
      <c r="G25" s="39">
        <f>+E25+F25</f>
        <v>7089803</v>
      </c>
      <c r="H25" s="1" t="b">
        <f>E25='02'!G25</f>
        <v>1</v>
      </c>
    </row>
    <row r="26" spans="2:9" ht="18.45" customHeight="1" x14ac:dyDescent="0.25">
      <c r="B26" s="54"/>
      <c r="C26" s="8"/>
      <c r="D26" s="28"/>
      <c r="E26" s="62"/>
      <c r="F26" s="8"/>
      <c r="G26" s="19"/>
      <c r="H26" s="1" t="b">
        <f>E26='02'!G26</f>
        <v>1</v>
      </c>
    </row>
    <row r="27" spans="2:9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E27='02'!G27</f>
        <v>1</v>
      </c>
    </row>
    <row r="28" spans="2:9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E28='02'!G28</f>
        <v>1</v>
      </c>
    </row>
    <row r="29" spans="2:9" ht="20.399999999999999" x14ac:dyDescent="0.25">
      <c r="B29" s="52">
        <v>2</v>
      </c>
      <c r="C29" s="9" t="s">
        <v>60</v>
      </c>
      <c r="D29" s="28"/>
      <c r="E29" s="63">
        <v>0</v>
      </c>
      <c r="F29" s="40">
        <v>0</v>
      </c>
      <c r="G29" s="38">
        <f t="shared" ref="G29:G31" si="1">+E29+F29</f>
        <v>0</v>
      </c>
      <c r="H29" s="1" t="b">
        <f>E29='02'!G29</f>
        <v>1</v>
      </c>
    </row>
    <row r="30" spans="2:9" ht="20.399999999999999" x14ac:dyDescent="0.25">
      <c r="B30" s="52">
        <v>3</v>
      </c>
      <c r="C30" s="9" t="s">
        <v>34</v>
      </c>
      <c r="D30" s="9" t="s">
        <v>77</v>
      </c>
      <c r="E30" s="63">
        <f>'02'!F30</f>
        <v>792833.25</v>
      </c>
      <c r="F30" s="35">
        <v>991988</v>
      </c>
      <c r="G30" s="17">
        <f t="shared" si="1"/>
        <v>1784821.25</v>
      </c>
      <c r="H30" s="1" t="b">
        <f>E30='02'!G30</f>
        <v>1</v>
      </c>
    </row>
    <row r="31" spans="2:9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E31='02'!G31</f>
        <v>1</v>
      </c>
    </row>
    <row r="32" spans="2:9" ht="18.45" customHeight="1" x14ac:dyDescent="0.25">
      <c r="B32" s="50"/>
      <c r="C32" s="7" t="s">
        <v>35</v>
      </c>
      <c r="D32" s="27"/>
      <c r="E32" s="66">
        <f>+SUM(E28:E31)</f>
        <v>792833.25</v>
      </c>
      <c r="F32" s="36">
        <f>+SUM(F28:F31)</f>
        <v>991988</v>
      </c>
      <c r="G32" s="41">
        <f>+E32+F32</f>
        <v>1784821.25</v>
      </c>
      <c r="H32" s="1" t="b">
        <f>E32='02'!G32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E33='02'!G33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E34='02'!G34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2211505.75</v>
      </c>
      <c r="F35" s="36">
        <f>+F25-F32</f>
        <v>3093476</v>
      </c>
      <c r="G35" s="39">
        <f>+E35+F35</f>
        <v>5304981.75</v>
      </c>
      <c r="H35" s="1" t="b">
        <f>E35='02'!G35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E36='02'!G36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150216.95000000001</v>
      </c>
      <c r="F37" s="42">
        <f>F25*5%</f>
        <v>204273.2</v>
      </c>
      <c r="G37" s="38">
        <f>+E37+F37</f>
        <v>354490.15</v>
      </c>
      <c r="H37" s="1" t="b">
        <f>E37='02'!G37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E38='02'!G38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150216.95000000001</v>
      </c>
      <c r="F39" s="36">
        <f>+SUM(F37:F38)</f>
        <v>204273.2</v>
      </c>
      <c r="G39" s="39">
        <f>+E39+F39</f>
        <v>354490.15</v>
      </c>
      <c r="H39" s="1" t="b">
        <f>E39='02'!G39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E40='02'!G40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2061288.8</v>
      </c>
      <c r="F41" s="36">
        <f>+F35-F39</f>
        <v>2889202.8</v>
      </c>
      <c r="G41" s="39">
        <f>+E41+F41</f>
        <v>4950491.5999999996</v>
      </c>
      <c r="H41" s="1" t="b">
        <f>E41='02'!G41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E42='02'!G42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33">
        <f>E25*18%</f>
        <v>540781.02</v>
      </c>
      <c r="F43" s="33">
        <f>F25*18%</f>
        <v>735383.52</v>
      </c>
      <c r="G43" s="38">
        <f>E43+F43</f>
        <v>1276164.54</v>
      </c>
      <c r="H43" s="1" t="b">
        <f>E43='02'!G43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540781.02</v>
      </c>
      <c r="F44" s="36">
        <f>SUM(F43)</f>
        <v>735383.52</v>
      </c>
      <c r="G44" s="39">
        <f>+E44+F44</f>
        <v>1276164.54</v>
      </c>
      <c r="H44" s="1" t="b">
        <f>E44='02'!G44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E45='02'!G45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E46='02'!G46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2602069.8200000003</v>
      </c>
      <c r="F47" s="43">
        <f>+F41+F44</f>
        <v>3624586.32</v>
      </c>
      <c r="G47" s="44">
        <f>+E47+F47</f>
        <v>6226656.1400000006</v>
      </c>
      <c r="H47" s="1" t="b">
        <f>E47='02'!G47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Thirty Six Lakh Twenty Four Thousand Five Hundred and Eighty Six Rupees and Thirty Two Paise Only</v>
      </c>
      <c r="E48" s="105"/>
      <c r="F48" s="105"/>
      <c r="G48" s="106"/>
    </row>
    <row r="49" spans="2:7" ht="100.8" customHeight="1" thickBot="1" x14ac:dyDescent="0.3">
      <c r="B49" s="107" t="s">
        <v>78</v>
      </c>
      <c r="C49" s="108"/>
      <c r="D49" s="108"/>
      <c r="E49" s="108"/>
      <c r="F49" s="108"/>
      <c r="G49" s="109"/>
    </row>
  </sheetData>
  <mergeCells count="29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10:C10"/>
    <mergeCell ref="D10:E10"/>
    <mergeCell ref="B2:C5"/>
    <mergeCell ref="D2:F5"/>
    <mergeCell ref="G2:G5"/>
    <mergeCell ref="B6:C6"/>
    <mergeCell ref="D6:E6"/>
    <mergeCell ref="B7:C7"/>
    <mergeCell ref="D7:E7"/>
    <mergeCell ref="B8:C8"/>
    <mergeCell ref="D8:E8"/>
    <mergeCell ref="B9:C9"/>
    <mergeCell ref="D9:E9"/>
    <mergeCell ref="G9:H9"/>
  </mergeCells>
  <printOptions horizontalCentered="1"/>
  <pageMargins left="0.25" right="0.25" top="0.61" bottom="0.75" header="0.3" footer="0.3"/>
  <pageSetup paperSize="9" scale="83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024D1-AD9E-42FF-BCC4-75580EB79570}">
  <sheetPr codeName="Sheet5">
    <pageSetUpPr fitToPage="1"/>
  </sheetPr>
  <dimension ref="B1:K49"/>
  <sheetViews>
    <sheetView view="pageBreakPreview" topLeftCell="A13" zoomScaleNormal="130" zoomScaleSheetLayoutView="100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9.33203125" style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82</v>
      </c>
      <c r="E7" s="75"/>
      <c r="F7" s="2" t="s">
        <v>3</v>
      </c>
      <c r="G7" s="23" t="s">
        <v>83</v>
      </c>
    </row>
    <row r="8" spans="2:9" ht="12" customHeight="1" x14ac:dyDescent="0.25">
      <c r="B8" s="73" t="s">
        <v>4</v>
      </c>
      <c r="C8" s="74"/>
      <c r="D8" s="97" t="s">
        <v>5</v>
      </c>
      <c r="E8" s="97"/>
      <c r="F8" s="2" t="s">
        <v>6</v>
      </c>
      <c r="G8" s="32">
        <v>46066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32" t="s">
        <v>64</v>
      </c>
      <c r="H9" s="32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84</v>
      </c>
      <c r="I12" s="45"/>
    </row>
    <row r="13" spans="2:9" ht="11.25" customHeight="1" x14ac:dyDescent="0.25">
      <c r="B13" s="101" t="s">
        <v>54</v>
      </c>
      <c r="C13" s="102"/>
      <c r="D13" s="103">
        <f>E47</f>
        <v>6226656.1399999997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6163395.0099999998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12390051.149999999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9" ht="18.45" customHeight="1" x14ac:dyDescent="0.25">
      <c r="B17" s="49" t="s">
        <v>21</v>
      </c>
      <c r="C17" s="2" t="s">
        <v>22</v>
      </c>
      <c r="D17" s="26" t="s">
        <v>23</v>
      </c>
      <c r="E17" s="60">
        <f>'03'!G17</f>
        <v>6819299.6299999999</v>
      </c>
      <c r="F17" s="70">
        <v>4172173</v>
      </c>
      <c r="G17" s="34">
        <f>E17+F17</f>
        <v>10991472.629999999</v>
      </c>
      <c r="H17" s="1" t="b">
        <f>E17='03'!G17</f>
        <v>1</v>
      </c>
      <c r="I17" s="47"/>
    </row>
    <row r="18" spans="2:9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E18='03'!G18</f>
        <v>1</v>
      </c>
      <c r="I18" s="47"/>
    </row>
    <row r="19" spans="2:9" ht="18.45" customHeight="1" x14ac:dyDescent="0.25">
      <c r="B19" s="51"/>
      <c r="C19" s="8"/>
      <c r="D19" s="28"/>
      <c r="E19" s="62"/>
      <c r="F19" s="8"/>
      <c r="G19" s="19"/>
      <c r="H19" s="1" t="b">
        <f>E19='03'!G19</f>
        <v>1</v>
      </c>
      <c r="I19" s="47"/>
    </row>
    <row r="20" spans="2:9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E20='03'!G20</f>
        <v>1</v>
      </c>
    </row>
    <row r="21" spans="2:9" ht="18.45" customHeight="1" x14ac:dyDescent="0.25">
      <c r="B21" s="52">
        <v>1</v>
      </c>
      <c r="C21" s="9" t="s">
        <v>27</v>
      </c>
      <c r="D21" s="29"/>
      <c r="E21" s="63">
        <f>'03'!G21</f>
        <v>7438963</v>
      </c>
      <c r="F21" s="37">
        <v>5999728</v>
      </c>
      <c r="G21" s="38">
        <f t="shared" ref="G21:G24" si="0">+F21+E21</f>
        <v>13438691</v>
      </c>
      <c r="H21" s="1" t="b">
        <f>E21='03'!G21</f>
        <v>1</v>
      </c>
    </row>
    <row r="22" spans="2:9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E22='03'!G22</f>
        <v>1</v>
      </c>
    </row>
    <row r="23" spans="2:9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E23='03'!G23</f>
        <v>1</v>
      </c>
    </row>
    <row r="24" spans="2:9" ht="18.45" customHeight="1" x14ac:dyDescent="0.25">
      <c r="B24" s="52">
        <v>4</v>
      </c>
      <c r="C24" s="9" t="s">
        <v>30</v>
      </c>
      <c r="D24" s="29"/>
      <c r="E24" s="63">
        <f>'03'!G24</f>
        <v>-349160</v>
      </c>
      <c r="F24" s="37">
        <v>-99451</v>
      </c>
      <c r="G24" s="38">
        <f t="shared" si="0"/>
        <v>-448611</v>
      </c>
      <c r="H24" s="1" t="b">
        <f>E24='03'!G24</f>
        <v>1</v>
      </c>
    </row>
    <row r="25" spans="2:9" ht="18.45" customHeight="1" x14ac:dyDescent="0.25">
      <c r="B25" s="53"/>
      <c r="C25" s="7" t="s">
        <v>31</v>
      </c>
      <c r="D25" s="27"/>
      <c r="E25" s="64">
        <f>+SUM(E20:E24)</f>
        <v>7089803</v>
      </c>
      <c r="F25" s="36">
        <f>+SUM(F20:F24)</f>
        <v>5900277</v>
      </c>
      <c r="G25" s="39">
        <f>+E25+F25</f>
        <v>12990080</v>
      </c>
      <c r="H25" s="1" t="b">
        <f>E25='03'!G25</f>
        <v>1</v>
      </c>
    </row>
    <row r="26" spans="2:9" ht="18.45" customHeight="1" x14ac:dyDescent="0.25">
      <c r="B26" s="54"/>
      <c r="C26" s="8"/>
      <c r="D26" s="28"/>
      <c r="E26" s="62"/>
      <c r="F26" s="8"/>
      <c r="G26" s="19"/>
      <c r="H26" s="1" t="b">
        <f>E26='03'!G26</f>
        <v>1</v>
      </c>
    </row>
    <row r="27" spans="2:9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E27='03'!G27</f>
        <v>1</v>
      </c>
    </row>
    <row r="28" spans="2:9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E28='03'!G28</f>
        <v>1</v>
      </c>
    </row>
    <row r="29" spans="2:9" ht="20.399999999999999" x14ac:dyDescent="0.25">
      <c r="B29" s="52">
        <v>2</v>
      </c>
      <c r="C29" s="9" t="s">
        <v>60</v>
      </c>
      <c r="D29" s="28"/>
      <c r="E29" s="63">
        <v>0</v>
      </c>
      <c r="F29" s="40">
        <v>0</v>
      </c>
      <c r="G29" s="38">
        <f t="shared" ref="G29:G31" si="1">+E29+F29</f>
        <v>0</v>
      </c>
      <c r="H29" s="1" t="b">
        <f>E29='03'!G29</f>
        <v>1</v>
      </c>
    </row>
    <row r="30" spans="2:9" ht="20.399999999999999" x14ac:dyDescent="0.25">
      <c r="B30" s="52">
        <v>3</v>
      </c>
      <c r="C30" s="9" t="s">
        <v>34</v>
      </c>
      <c r="D30" s="9" t="s">
        <v>77</v>
      </c>
      <c r="E30" s="63">
        <f>'03'!G30</f>
        <v>1784821.25</v>
      </c>
      <c r="F30" s="35">
        <v>503918</v>
      </c>
      <c r="G30" s="72">
        <f t="shared" si="1"/>
        <v>2288739.25</v>
      </c>
      <c r="H30" s="1" t="b">
        <f>E30='03'!G30</f>
        <v>1</v>
      </c>
    </row>
    <row r="31" spans="2:9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E31='03'!G31</f>
        <v>1</v>
      </c>
    </row>
    <row r="32" spans="2:9" ht="18.45" customHeight="1" x14ac:dyDescent="0.25">
      <c r="B32" s="50"/>
      <c r="C32" s="7" t="s">
        <v>35</v>
      </c>
      <c r="D32" s="27"/>
      <c r="E32" s="66">
        <f>+SUM(E28:E31)</f>
        <v>1784821.25</v>
      </c>
      <c r="F32" s="36">
        <f>+SUM(F28:F31)</f>
        <v>503918</v>
      </c>
      <c r="G32" s="41">
        <f>+E32+F32</f>
        <v>2288739.25</v>
      </c>
      <c r="H32" s="1" t="b">
        <f>E32='03'!G32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E33='03'!G33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E34='03'!G34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5304981.75</v>
      </c>
      <c r="F35" s="36">
        <f>+F25-F32</f>
        <v>5396359</v>
      </c>
      <c r="G35" s="39">
        <f>+E35+F35</f>
        <v>10701340.75</v>
      </c>
      <c r="H35" s="1" t="b">
        <f>E35='03'!G35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E36='03'!G36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354490.15</v>
      </c>
      <c r="F37" s="42">
        <f>F25*5%</f>
        <v>295013.85000000003</v>
      </c>
      <c r="G37" s="38">
        <f>+E37+F37</f>
        <v>649504</v>
      </c>
      <c r="H37" s="1" t="b">
        <f>E37='03'!G37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E38='03'!G38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354490.15</v>
      </c>
      <c r="F39" s="36">
        <f>+SUM(F37:F38)</f>
        <v>295013.85000000003</v>
      </c>
      <c r="G39" s="39">
        <f>+E39+F39</f>
        <v>649504</v>
      </c>
      <c r="H39" s="1" t="b">
        <f>E39='03'!G39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E40='03'!G40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4950491.5999999996</v>
      </c>
      <c r="F41" s="36">
        <f>+F35-F39</f>
        <v>5101345.1500000004</v>
      </c>
      <c r="G41" s="39">
        <f>+E41+F41</f>
        <v>10051836.75</v>
      </c>
      <c r="H41" s="1" t="b">
        <f>E41='03'!G41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E42='03'!G42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33">
        <f>'03'!G43</f>
        <v>1276164.54</v>
      </c>
      <c r="F43" s="33">
        <f>F25*18%</f>
        <v>1062049.8599999999</v>
      </c>
      <c r="G43" s="33">
        <f>E43+F43</f>
        <v>2338214.4</v>
      </c>
      <c r="H43" s="1" t="b">
        <f>E43='03'!G43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1276164.54</v>
      </c>
      <c r="F44" s="36">
        <f>SUM(F43)</f>
        <v>1062049.8599999999</v>
      </c>
      <c r="G44" s="39">
        <f>+E44+F44</f>
        <v>2338214.4</v>
      </c>
      <c r="H44" s="1" t="b">
        <f>E44='03'!G44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E45='03'!G45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E46='03'!G46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6226656.1399999997</v>
      </c>
      <c r="F47" s="43">
        <f>+F41+F44</f>
        <v>6163395.0099999998</v>
      </c>
      <c r="G47" s="44">
        <f>+E47+F47</f>
        <v>12390051.149999999</v>
      </c>
      <c r="H47" s="1" t="b">
        <f>E47='03'!G47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Sixty One Lakh Sixty Three Thousand Three Hundred and Ninety Five Rupees and One Paise Only</v>
      </c>
      <c r="E48" s="105"/>
      <c r="F48" s="105"/>
      <c r="G48" s="106"/>
    </row>
    <row r="49" spans="2:7" ht="100.8" customHeight="1" thickBot="1" x14ac:dyDescent="0.3">
      <c r="B49" s="107" t="s">
        <v>78</v>
      </c>
      <c r="C49" s="108"/>
      <c r="D49" s="108"/>
      <c r="E49" s="108"/>
      <c r="F49" s="108"/>
      <c r="G49" s="109"/>
    </row>
  </sheetData>
  <mergeCells count="28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8:C8"/>
    <mergeCell ref="D8:E8"/>
    <mergeCell ref="B9:C9"/>
    <mergeCell ref="D9:E9"/>
    <mergeCell ref="B10:C10"/>
    <mergeCell ref="D10:E10"/>
    <mergeCell ref="B7:C7"/>
    <mergeCell ref="D7:E7"/>
    <mergeCell ref="B2:C5"/>
    <mergeCell ref="D2:F5"/>
    <mergeCell ref="G2:G5"/>
    <mergeCell ref="B6:C6"/>
    <mergeCell ref="D6:E6"/>
  </mergeCells>
  <printOptions horizontalCentered="1"/>
  <pageMargins left="0.25" right="0.25" top="0.61" bottom="0.75" header="0.3" footer="0.3"/>
  <pageSetup paperSize="9" scale="83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BABD1-7696-479B-A7D1-5F2059C17EC9}">
  <sheetPr codeName="Sheet6">
    <pageSetUpPr fitToPage="1"/>
  </sheetPr>
  <dimension ref="B1:K49"/>
  <sheetViews>
    <sheetView view="pageBreakPreview" topLeftCell="A10" zoomScale="85" zoomScaleNormal="130" zoomScaleSheetLayoutView="85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12.6640625" style="1" bestFit="1" customWidth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86</v>
      </c>
      <c r="E7" s="75"/>
      <c r="F7" s="2" t="s">
        <v>3</v>
      </c>
      <c r="G7" s="23" t="s">
        <v>85</v>
      </c>
    </row>
    <row r="8" spans="2:9" ht="12" customHeight="1" x14ac:dyDescent="0.25">
      <c r="B8" s="73" t="s">
        <v>4</v>
      </c>
      <c r="C8" s="74"/>
      <c r="D8" s="97" t="s">
        <v>5</v>
      </c>
      <c r="E8" s="97"/>
      <c r="F8" s="2" t="s">
        <v>6</v>
      </c>
      <c r="G8" s="32">
        <v>46106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32" t="s">
        <v>64</v>
      </c>
      <c r="H9" s="32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87</v>
      </c>
      <c r="I12" s="45"/>
    </row>
    <row r="13" spans="2:9" ht="11.25" customHeight="1" x14ac:dyDescent="0.25">
      <c r="B13" s="101" t="s">
        <v>54</v>
      </c>
      <c r="C13" s="102"/>
      <c r="D13" s="103">
        <f>E47</f>
        <v>12390051.15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5660401.3700000001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18050452.52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10" ht="18.45" customHeight="1" x14ac:dyDescent="0.25">
      <c r="B17" s="49" t="s">
        <v>21</v>
      </c>
      <c r="C17" s="2" t="s">
        <v>22</v>
      </c>
      <c r="D17" s="26" t="s">
        <v>23</v>
      </c>
      <c r="E17" s="60">
        <f>'04'!G17</f>
        <v>10991472.629999999</v>
      </c>
      <c r="F17" s="70">
        <v>5177787</v>
      </c>
      <c r="G17" s="34">
        <f>E17+F17</f>
        <v>16169259.629999999</v>
      </c>
      <c r="H17" s="1" t="b">
        <f>E17='04'!G17</f>
        <v>1</v>
      </c>
      <c r="I17" s="47"/>
    </row>
    <row r="18" spans="2:10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E18='04'!G18</f>
        <v>1</v>
      </c>
      <c r="I18" s="47"/>
    </row>
    <row r="19" spans="2:10" ht="18.45" customHeight="1" x14ac:dyDescent="0.25">
      <c r="B19" s="51"/>
      <c r="C19" s="8"/>
      <c r="D19" s="28"/>
      <c r="E19" s="62"/>
      <c r="F19" s="8"/>
      <c r="G19" s="19"/>
      <c r="H19" s="1" t="b">
        <f>E19='04'!G19</f>
        <v>1</v>
      </c>
      <c r="I19" s="47"/>
      <c r="J19" s="47">
        <f>F25*1.18</f>
        <v>6177947.8199999994</v>
      </c>
    </row>
    <row r="20" spans="2:10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E20='04'!G20</f>
        <v>1</v>
      </c>
    </row>
    <row r="21" spans="2:10" ht="18.45" customHeight="1" x14ac:dyDescent="0.25">
      <c r="B21" s="52">
        <v>1</v>
      </c>
      <c r="C21" s="9" t="s">
        <v>27</v>
      </c>
      <c r="D21" s="29"/>
      <c r="E21" s="63">
        <f>'04'!G21</f>
        <v>13438691</v>
      </c>
      <c r="F21" s="63">
        <v>5274039</v>
      </c>
      <c r="G21" s="38">
        <f t="shared" ref="G21:G24" si="0">+F21+E21</f>
        <v>18712730</v>
      </c>
      <c r="H21" s="1" t="b">
        <f>E21='04'!G21</f>
        <v>1</v>
      </c>
      <c r="J21" s="71">
        <f>F25-F32</f>
        <v>4979780</v>
      </c>
    </row>
    <row r="22" spans="2:10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E22='04'!G22</f>
        <v>1</v>
      </c>
      <c r="J22" s="71">
        <f>J21-F37</f>
        <v>4718002.55</v>
      </c>
    </row>
    <row r="23" spans="2:10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E23='04'!G23</f>
        <v>1</v>
      </c>
      <c r="J23" s="71">
        <f>J22+F43</f>
        <v>5660401.3700000001</v>
      </c>
    </row>
    <row r="24" spans="2:10" ht="18.45" customHeight="1" x14ac:dyDescent="0.25">
      <c r="B24" s="52">
        <v>4</v>
      </c>
      <c r="C24" s="9" t="s">
        <v>30</v>
      </c>
      <c r="D24" s="29"/>
      <c r="E24" s="63">
        <f>'04'!G24</f>
        <v>-448611</v>
      </c>
      <c r="F24" s="63">
        <v>-38490</v>
      </c>
      <c r="G24" s="38">
        <f t="shared" si="0"/>
        <v>-487101</v>
      </c>
      <c r="H24" s="1" t="b">
        <f>E24='04'!G24</f>
        <v>1</v>
      </c>
    </row>
    <row r="25" spans="2:10" ht="18.45" customHeight="1" x14ac:dyDescent="0.25">
      <c r="B25" s="53"/>
      <c r="C25" s="7" t="s">
        <v>31</v>
      </c>
      <c r="D25" s="27"/>
      <c r="E25" s="64">
        <f>+SUM(E20:E24)</f>
        <v>12990080</v>
      </c>
      <c r="F25" s="36">
        <f>+SUM(F20:F24)</f>
        <v>5235549</v>
      </c>
      <c r="G25" s="39">
        <f>+E25+F25</f>
        <v>18225629</v>
      </c>
      <c r="H25" s="1" t="b">
        <f>E25='04'!G25</f>
        <v>1</v>
      </c>
    </row>
    <row r="26" spans="2:10" ht="18.45" customHeight="1" x14ac:dyDescent="0.25">
      <c r="B26" s="54"/>
      <c r="C26" s="8"/>
      <c r="D26" s="28"/>
      <c r="E26" s="62"/>
      <c r="F26" s="8"/>
      <c r="G26" s="19"/>
      <c r="H26" s="1" t="b">
        <f>E26='04'!G26</f>
        <v>1</v>
      </c>
    </row>
    <row r="27" spans="2:10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E27='04'!G27</f>
        <v>1</v>
      </c>
    </row>
    <row r="28" spans="2:10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E28='04'!G28</f>
        <v>1</v>
      </c>
    </row>
    <row r="29" spans="2:10" ht="20.399999999999999" x14ac:dyDescent="0.25">
      <c r="B29" s="52">
        <v>2</v>
      </c>
      <c r="C29" s="9" t="s">
        <v>60</v>
      </c>
      <c r="D29" s="28"/>
      <c r="E29" s="63">
        <v>0</v>
      </c>
      <c r="F29" s="63">
        <v>0</v>
      </c>
      <c r="G29" s="38">
        <f t="shared" ref="G29:G31" si="1">+E29+F29</f>
        <v>0</v>
      </c>
      <c r="H29" s="1" t="b">
        <f>E29='04'!G29</f>
        <v>1</v>
      </c>
    </row>
    <row r="30" spans="2:10" ht="20.399999999999999" x14ac:dyDescent="0.25">
      <c r="B30" s="52">
        <v>3</v>
      </c>
      <c r="C30" s="9" t="s">
        <v>34</v>
      </c>
      <c r="D30" s="9" t="s">
        <v>77</v>
      </c>
      <c r="E30" s="63">
        <f>'04'!G30</f>
        <v>2288739.25</v>
      </c>
      <c r="F30" s="63">
        <v>255769</v>
      </c>
      <c r="G30" s="17">
        <f t="shared" si="1"/>
        <v>2544508.25</v>
      </c>
      <c r="H30" s="1" t="b">
        <f>E30='04'!G30</f>
        <v>1</v>
      </c>
    </row>
    <row r="31" spans="2:10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E31='04'!G31</f>
        <v>1</v>
      </c>
    </row>
    <row r="32" spans="2:10" ht="18.45" customHeight="1" x14ac:dyDescent="0.25">
      <c r="B32" s="50"/>
      <c r="C32" s="7" t="s">
        <v>35</v>
      </c>
      <c r="D32" s="27"/>
      <c r="E32" s="66">
        <f>+SUM(E28:E31)</f>
        <v>2288739.25</v>
      </c>
      <c r="F32" s="36">
        <f>+SUM(F28:F31)</f>
        <v>255769</v>
      </c>
      <c r="G32" s="41">
        <f>+E32+F32</f>
        <v>2544508.25</v>
      </c>
      <c r="H32" s="1" t="b">
        <f>E32='04'!G32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E33='04'!G33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E34='04'!G34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10701340.75</v>
      </c>
      <c r="F35" s="36">
        <f>+F25-F32</f>
        <v>4979780</v>
      </c>
      <c r="G35" s="39">
        <f>+E35+F35</f>
        <v>15681120.75</v>
      </c>
      <c r="H35" s="1" t="b">
        <f>E35='04'!G35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E36='04'!G36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649504</v>
      </c>
      <c r="F37" s="42">
        <f>F25*5%</f>
        <v>261777.45</v>
      </c>
      <c r="G37" s="38">
        <f>+E37+F37</f>
        <v>911281.45</v>
      </c>
      <c r="H37" s="1" t="b">
        <f>E37='04'!G37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E38='04'!G38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649504</v>
      </c>
      <c r="F39" s="36">
        <f>+SUM(F37:F38)</f>
        <v>261777.45</v>
      </c>
      <c r="G39" s="39">
        <f>+E39+F39</f>
        <v>911281.45</v>
      </c>
      <c r="H39" s="1" t="b">
        <f>E39='04'!G39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E40='04'!G40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10051836.75</v>
      </c>
      <c r="F41" s="36">
        <f>+F35-F39</f>
        <v>4718002.55</v>
      </c>
      <c r="G41" s="39">
        <f>+E41+F41</f>
        <v>14769839.300000001</v>
      </c>
      <c r="H41" s="1" t="b">
        <f>E41='04'!G41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E42='04'!G42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33">
        <f>'04'!G43</f>
        <v>2338214.4</v>
      </c>
      <c r="F43" s="33">
        <f>F25*18%</f>
        <v>942398.82</v>
      </c>
      <c r="G43" s="33">
        <f>E43+F43</f>
        <v>3280613.2199999997</v>
      </c>
      <c r="H43" s="1" t="b">
        <f>E43='04'!G43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2338214.4</v>
      </c>
      <c r="F44" s="36">
        <f>SUM(F43)</f>
        <v>942398.82</v>
      </c>
      <c r="G44" s="39">
        <f>+E44+F44</f>
        <v>3280613.2199999997</v>
      </c>
      <c r="H44" s="1" t="b">
        <f>E44='04'!G44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E45='04'!G45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E46='04'!G46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12390051.15</v>
      </c>
      <c r="F47" s="43">
        <f>+F41+F44</f>
        <v>5660401.3700000001</v>
      </c>
      <c r="G47" s="44">
        <f>+E47+F47</f>
        <v>18050452.52</v>
      </c>
      <c r="H47" s="1" t="b">
        <f>E47='04'!G47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Fifty Six Lakh Sixty Thousand Four Hundred and One Rupees and Thirty Seven Paise Only</v>
      </c>
      <c r="E48" s="105"/>
      <c r="F48" s="105"/>
      <c r="G48" s="106"/>
    </row>
    <row r="49" spans="2:7" ht="141.6" customHeight="1" thickBot="1" x14ac:dyDescent="0.3">
      <c r="B49" s="107" t="s">
        <v>88</v>
      </c>
      <c r="C49" s="108"/>
      <c r="D49" s="108"/>
      <c r="E49" s="108"/>
      <c r="F49" s="108"/>
      <c r="G49" s="109"/>
    </row>
  </sheetData>
  <mergeCells count="28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8:C8"/>
    <mergeCell ref="D8:E8"/>
    <mergeCell ref="B9:C9"/>
    <mergeCell ref="D9:E9"/>
    <mergeCell ref="B10:C10"/>
    <mergeCell ref="D10:E10"/>
    <mergeCell ref="B7:C7"/>
    <mergeCell ref="D7:E7"/>
    <mergeCell ref="B2:C5"/>
    <mergeCell ref="D2:F5"/>
    <mergeCell ref="G2:G5"/>
    <mergeCell ref="B6:C6"/>
    <mergeCell ref="D6:E6"/>
  </mergeCells>
  <printOptions horizontalCentered="1"/>
  <pageMargins left="0.25" right="0.25" top="0.61" bottom="0.75" header="0.3" footer="0.3"/>
  <pageSetup paperSize="9" scale="8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B5B3B-D6ED-4413-8D9E-8E7449793498}">
  <sheetPr codeName="Sheet7">
    <pageSetUpPr fitToPage="1"/>
  </sheetPr>
  <dimension ref="B1:K49"/>
  <sheetViews>
    <sheetView view="pageBreakPreview" topLeftCell="A13" zoomScaleNormal="130" zoomScaleSheetLayoutView="100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12.6640625" style="1" bestFit="1" customWidth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89</v>
      </c>
      <c r="E7" s="75"/>
      <c r="F7" s="2" t="s">
        <v>3</v>
      </c>
      <c r="G7" s="23" t="s">
        <v>85</v>
      </c>
    </row>
    <row r="8" spans="2:9" ht="12" customHeight="1" x14ac:dyDescent="0.25">
      <c r="B8" s="73" t="s">
        <v>4</v>
      </c>
      <c r="C8" s="74"/>
      <c r="D8" s="97" t="s">
        <v>5</v>
      </c>
      <c r="E8" s="97"/>
      <c r="F8" s="2" t="s">
        <v>6</v>
      </c>
      <c r="G8" s="32">
        <v>46134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32" t="s">
        <v>64</v>
      </c>
      <c r="H9" s="32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90</v>
      </c>
      <c r="I12" s="45"/>
    </row>
    <row r="13" spans="2:9" ht="11.25" customHeight="1" x14ac:dyDescent="0.25">
      <c r="B13" s="101" t="s">
        <v>54</v>
      </c>
      <c r="C13" s="102"/>
      <c r="D13" s="103">
        <f>E47</f>
        <v>18050452.52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11543759.93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29594212.449999999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10" ht="18.45" customHeight="1" x14ac:dyDescent="0.25">
      <c r="B17" s="49" t="s">
        <v>21</v>
      </c>
      <c r="C17" s="2" t="s">
        <v>22</v>
      </c>
      <c r="D17" s="26" t="s">
        <v>23</v>
      </c>
      <c r="E17" s="60">
        <f>'05'!G17</f>
        <v>16169259.629999999</v>
      </c>
      <c r="F17" s="70">
        <v>12727386</v>
      </c>
      <c r="G17" s="34">
        <f>E17+F17</f>
        <v>28896645.629999999</v>
      </c>
      <c r="H17" s="1" t="b">
        <f>E17='05'!G17</f>
        <v>1</v>
      </c>
      <c r="I17" s="47"/>
    </row>
    <row r="18" spans="2:10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E18='05'!G18</f>
        <v>1</v>
      </c>
      <c r="I18" s="47"/>
    </row>
    <row r="19" spans="2:10" ht="18.45" customHeight="1" x14ac:dyDescent="0.25">
      <c r="B19" s="51"/>
      <c r="C19" s="8"/>
      <c r="D19" s="28"/>
      <c r="E19" s="62"/>
      <c r="F19" s="8"/>
      <c r="G19" s="19"/>
      <c r="H19" s="1" t="b">
        <f>E19='05'!G19</f>
        <v>1</v>
      </c>
      <c r="I19" s="47"/>
      <c r="J19" s="47">
        <f>F25*1.18</f>
        <v>13711789.979999999</v>
      </c>
    </row>
    <row r="20" spans="2:10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E20='05'!G20</f>
        <v>1</v>
      </c>
    </row>
    <row r="21" spans="2:10" ht="18.45" customHeight="1" x14ac:dyDescent="0.25">
      <c r="B21" s="52">
        <v>1</v>
      </c>
      <c r="C21" s="9" t="s">
        <v>27</v>
      </c>
      <c r="D21" s="29"/>
      <c r="E21" s="63">
        <f>'05'!G21</f>
        <v>18712730</v>
      </c>
      <c r="F21" s="63">
        <v>11685557</v>
      </c>
      <c r="G21" s="38">
        <f t="shared" ref="G21:G24" si="0">+F21+E21</f>
        <v>30398287</v>
      </c>
      <c r="H21" s="1" t="b">
        <f>E21='05'!G21</f>
        <v>1</v>
      </c>
      <c r="J21" s="71">
        <f>F25-F32</f>
        <v>10033139</v>
      </c>
    </row>
    <row r="22" spans="2:10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E22='05'!G22</f>
        <v>1</v>
      </c>
      <c r="J22" s="71">
        <f>J21-F37</f>
        <v>9452130.9499999993</v>
      </c>
    </row>
    <row r="23" spans="2:10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E23='05'!G23</f>
        <v>1</v>
      </c>
      <c r="J23" s="71">
        <f>J22+F43</f>
        <v>11543759.93</v>
      </c>
    </row>
    <row r="24" spans="2:10" ht="18.45" customHeight="1" x14ac:dyDescent="0.25">
      <c r="B24" s="52">
        <v>4</v>
      </c>
      <c r="C24" s="9" t="s">
        <v>30</v>
      </c>
      <c r="D24" s="29"/>
      <c r="E24" s="63">
        <f>'05'!G24</f>
        <v>-487101</v>
      </c>
      <c r="F24" s="63">
        <v>-65396</v>
      </c>
      <c r="G24" s="38">
        <f t="shared" si="0"/>
        <v>-552497</v>
      </c>
      <c r="H24" s="1" t="b">
        <f>E24='05'!G24</f>
        <v>1</v>
      </c>
    </row>
    <row r="25" spans="2:10" ht="18.45" customHeight="1" x14ac:dyDescent="0.25">
      <c r="B25" s="53"/>
      <c r="C25" s="7" t="s">
        <v>31</v>
      </c>
      <c r="D25" s="27"/>
      <c r="E25" s="64">
        <f>+SUM(E20:E24)</f>
        <v>18225629</v>
      </c>
      <c r="F25" s="36">
        <f>+SUM(F20:F24)</f>
        <v>11620161</v>
      </c>
      <c r="G25" s="39">
        <f>+E25+F25</f>
        <v>29845790</v>
      </c>
      <c r="H25" s="1" t="b">
        <f>E25='05'!G25</f>
        <v>1</v>
      </c>
    </row>
    <row r="26" spans="2:10" ht="18.45" customHeight="1" x14ac:dyDescent="0.25">
      <c r="B26" s="54"/>
      <c r="C26" s="8"/>
      <c r="D26" s="28"/>
      <c r="E26" s="62"/>
      <c r="F26" s="8"/>
      <c r="G26" s="19"/>
      <c r="H26" s="1" t="b">
        <f>E26='05'!G26</f>
        <v>1</v>
      </c>
    </row>
    <row r="27" spans="2:10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E27='05'!G27</f>
        <v>1</v>
      </c>
    </row>
    <row r="28" spans="2:10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E28='05'!G28</f>
        <v>1</v>
      </c>
    </row>
    <row r="29" spans="2:10" ht="20.399999999999999" x14ac:dyDescent="0.25">
      <c r="B29" s="52">
        <v>2</v>
      </c>
      <c r="C29" s="9" t="s">
        <v>60</v>
      </c>
      <c r="D29" s="28"/>
      <c r="E29" s="63">
        <v>0</v>
      </c>
      <c r="F29" s="63">
        <v>0</v>
      </c>
      <c r="G29" s="38">
        <f t="shared" ref="G29:G31" si="1">+E29+F29</f>
        <v>0</v>
      </c>
      <c r="H29" s="1" t="b">
        <f>E29='05'!G29</f>
        <v>1</v>
      </c>
    </row>
    <row r="30" spans="2:10" ht="20.399999999999999" x14ac:dyDescent="0.25">
      <c r="B30" s="52">
        <v>3</v>
      </c>
      <c r="C30" s="9" t="s">
        <v>34</v>
      </c>
      <c r="D30" s="9" t="s">
        <v>77</v>
      </c>
      <c r="E30" s="63">
        <f>'05'!G30</f>
        <v>2544508.25</v>
      </c>
      <c r="F30" s="63">
        <v>1587022</v>
      </c>
      <c r="G30" s="72">
        <f t="shared" si="1"/>
        <v>4131530.25</v>
      </c>
      <c r="H30" s="1" t="b">
        <f>E30='05'!G30</f>
        <v>1</v>
      </c>
    </row>
    <row r="31" spans="2:10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E31='05'!G31</f>
        <v>1</v>
      </c>
    </row>
    <row r="32" spans="2:10" ht="18.45" customHeight="1" x14ac:dyDescent="0.25">
      <c r="B32" s="50"/>
      <c r="C32" s="7" t="s">
        <v>35</v>
      </c>
      <c r="D32" s="27"/>
      <c r="E32" s="66">
        <f>+SUM(E28:E31)</f>
        <v>2544508.25</v>
      </c>
      <c r="F32" s="36">
        <f>+SUM(F28:F31)</f>
        <v>1587022</v>
      </c>
      <c r="G32" s="41">
        <f>+E32+F32</f>
        <v>4131530.25</v>
      </c>
      <c r="H32" s="1" t="b">
        <f>E32='05'!G32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E33='05'!G33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E34='05'!G34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15681120.75</v>
      </c>
      <c r="F35" s="36">
        <f>+F25-F32</f>
        <v>10033139</v>
      </c>
      <c r="G35" s="39">
        <f>+E35+F35</f>
        <v>25714259.75</v>
      </c>
      <c r="H35" s="1" t="b">
        <f>E35='05'!G35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E36='05'!G36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911281.45000000007</v>
      </c>
      <c r="F37" s="42">
        <f>F25*5%</f>
        <v>581008.05000000005</v>
      </c>
      <c r="G37" s="38">
        <f>+E37+F37</f>
        <v>1492289.5</v>
      </c>
      <c r="H37" s="1" t="b">
        <f>E37='05'!G37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E38='05'!G38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911281.45000000007</v>
      </c>
      <c r="F39" s="36">
        <f>+SUM(F37:F38)</f>
        <v>581008.05000000005</v>
      </c>
      <c r="G39" s="39">
        <f>+E39+F39</f>
        <v>1492289.5</v>
      </c>
      <c r="H39" s="1" t="b">
        <f>E39='05'!G39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E40='05'!G40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14769839.300000001</v>
      </c>
      <c r="F41" s="36">
        <f>+F35-F39</f>
        <v>9452130.9499999993</v>
      </c>
      <c r="G41" s="39">
        <f>+E41+F41</f>
        <v>24221970.25</v>
      </c>
      <c r="H41" s="1" t="b">
        <f>E41='05'!G41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E42='05'!G42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33">
        <f>'05'!G43</f>
        <v>3280613.2199999997</v>
      </c>
      <c r="F43" s="33">
        <f>F25*18%</f>
        <v>2091628.98</v>
      </c>
      <c r="G43" s="33">
        <f>E43+F43</f>
        <v>5372242.1999999993</v>
      </c>
      <c r="H43" s="1" t="b">
        <f>E43='05'!G43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3280613.2199999997</v>
      </c>
      <c r="F44" s="36">
        <f>SUM(F43)</f>
        <v>2091628.98</v>
      </c>
      <c r="G44" s="39">
        <f>+E44+F44</f>
        <v>5372242.1999999993</v>
      </c>
      <c r="H44" s="1" t="b">
        <f>E44='05'!G44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E45='05'!G45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E46='05'!G46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18050452.52</v>
      </c>
      <c r="F47" s="43">
        <f>+F41+F44</f>
        <v>11543759.93</v>
      </c>
      <c r="G47" s="44">
        <f>+E47+F47</f>
        <v>29594212.449999999</v>
      </c>
      <c r="H47" s="1" t="b">
        <f>E47='05'!G47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One Crore Fifteen Lakh Forty Three Thousand Seven Hundred and Fifty Nine Rupees and Ninety Three Paise Only</v>
      </c>
      <c r="E48" s="105"/>
      <c r="F48" s="105"/>
      <c r="G48" s="106"/>
    </row>
    <row r="49" spans="2:7" ht="141.6" customHeight="1" thickBot="1" x14ac:dyDescent="0.3">
      <c r="B49" s="107" t="s">
        <v>88</v>
      </c>
      <c r="C49" s="108"/>
      <c r="D49" s="108"/>
      <c r="E49" s="108"/>
      <c r="F49" s="108"/>
      <c r="G49" s="109"/>
    </row>
  </sheetData>
  <mergeCells count="28">
    <mergeCell ref="B7:C7"/>
    <mergeCell ref="D7:E7"/>
    <mergeCell ref="B2:C5"/>
    <mergeCell ref="D2:F5"/>
    <mergeCell ref="G2:G5"/>
    <mergeCell ref="B6:C6"/>
    <mergeCell ref="D6:E6"/>
    <mergeCell ref="B8:C8"/>
    <mergeCell ref="D8:E8"/>
    <mergeCell ref="B9:C9"/>
    <mergeCell ref="D9:E9"/>
    <mergeCell ref="B10:C10"/>
    <mergeCell ref="D10:E10"/>
    <mergeCell ref="B11:C11"/>
    <mergeCell ref="D11:E11"/>
    <mergeCell ref="B12:C12"/>
    <mergeCell ref="D12:E12"/>
    <mergeCell ref="B13:C13"/>
    <mergeCell ref="D13:G13"/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</mergeCells>
  <printOptions horizontalCentered="1"/>
  <pageMargins left="0.25" right="0.25" top="0.61" bottom="0.75" header="0.3" footer="0.3"/>
  <pageSetup paperSize="9" scale="8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76D03-84F9-4E95-B60E-ACE93CA688DB}">
  <sheetPr codeName="Sheet8">
    <pageSetUpPr fitToPage="1"/>
  </sheetPr>
  <dimension ref="B1:K49"/>
  <sheetViews>
    <sheetView view="pageBreakPreview" topLeftCell="A28" zoomScaleNormal="130" zoomScaleSheetLayoutView="100" workbookViewId="0">
      <selection activeCell="F30" sqref="F30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12.6640625" style="1" bestFit="1" customWidth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91</v>
      </c>
      <c r="E7" s="75"/>
      <c r="F7" s="2" t="s">
        <v>3</v>
      </c>
      <c r="G7" s="23" t="s">
        <v>92</v>
      </c>
    </row>
    <row r="8" spans="2:9" ht="12" customHeight="1" x14ac:dyDescent="0.25">
      <c r="B8" s="73" t="s">
        <v>4</v>
      </c>
      <c r="C8" s="74"/>
      <c r="D8" s="97" t="s">
        <v>5</v>
      </c>
      <c r="E8" s="97"/>
      <c r="F8" s="2" t="s">
        <v>6</v>
      </c>
      <c r="G8" s="32">
        <v>46164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32" t="s">
        <v>64</v>
      </c>
      <c r="H9" s="32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 t="s">
        <v>76</v>
      </c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93</v>
      </c>
      <c r="I12" s="45"/>
    </row>
    <row r="13" spans="2:9" ht="11.25" customHeight="1" x14ac:dyDescent="0.25">
      <c r="B13" s="101" t="s">
        <v>54</v>
      </c>
      <c r="C13" s="102"/>
      <c r="D13" s="103">
        <f>E47</f>
        <v>29594212.449999999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2568720.34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32162932.789999999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10" ht="18.45" customHeight="1" x14ac:dyDescent="0.25">
      <c r="B17" s="49" t="s">
        <v>21</v>
      </c>
      <c r="C17" s="2" t="s">
        <v>22</v>
      </c>
      <c r="D17" s="26" t="s">
        <v>23</v>
      </c>
      <c r="E17" s="60">
        <f>'06'!G17</f>
        <v>28896645.629999999</v>
      </c>
      <c r="F17" s="70">
        <v>2688939</v>
      </c>
      <c r="G17" s="34">
        <f>E17+F17</f>
        <v>31585584.629999999</v>
      </c>
      <c r="H17" s="1" t="b">
        <f>E17='06'!G17</f>
        <v>1</v>
      </c>
      <c r="I17" s="47"/>
    </row>
    <row r="18" spans="2:10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E18='06'!G18</f>
        <v>1</v>
      </c>
      <c r="I18" s="47"/>
    </row>
    <row r="19" spans="2:10" ht="18.45" customHeight="1" x14ac:dyDescent="0.25">
      <c r="B19" s="51"/>
      <c r="C19" s="8"/>
      <c r="D19" s="28"/>
      <c r="E19" s="62"/>
      <c r="F19" s="8"/>
      <c r="G19" s="19"/>
      <c r="H19" s="1" t="b">
        <f>E19='06'!G19</f>
        <v>1</v>
      </c>
      <c r="I19" s="47"/>
      <c r="J19" s="47">
        <f>F25*1.18</f>
        <v>3040025.7399999998</v>
      </c>
    </row>
    <row r="20" spans="2:10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E20='06'!G20</f>
        <v>1</v>
      </c>
    </row>
    <row r="21" spans="2:10" ht="18.45" customHeight="1" x14ac:dyDescent="0.25">
      <c r="B21" s="52">
        <v>1</v>
      </c>
      <c r="C21" s="9" t="s">
        <v>27</v>
      </c>
      <c r="D21" s="29"/>
      <c r="E21" s="63">
        <f>'06'!G21</f>
        <v>30398287</v>
      </c>
      <c r="F21" s="63">
        <v>2605027</v>
      </c>
      <c r="G21" s="38">
        <f t="shared" ref="G21:G24" si="0">+F21+E21</f>
        <v>33003314</v>
      </c>
      <c r="H21" s="1" t="b">
        <f>E21='06'!G21</f>
        <v>1</v>
      </c>
      <c r="J21" s="71">
        <f>F25-F32</f>
        <v>2233802.25</v>
      </c>
    </row>
    <row r="22" spans="2:10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E22='06'!G22</f>
        <v>1</v>
      </c>
      <c r="J22" s="71">
        <f>J21-F37</f>
        <v>2104987.6</v>
      </c>
    </row>
    <row r="23" spans="2:10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E23='06'!G23</f>
        <v>1</v>
      </c>
      <c r="J23" s="71">
        <f>J22+F43</f>
        <v>2568720.34</v>
      </c>
    </row>
    <row r="24" spans="2:10" ht="18.45" customHeight="1" x14ac:dyDescent="0.25">
      <c r="B24" s="52">
        <v>4</v>
      </c>
      <c r="C24" s="9" t="s">
        <v>30</v>
      </c>
      <c r="D24" s="29"/>
      <c r="E24" s="63">
        <f>'06'!G24</f>
        <v>-552497</v>
      </c>
      <c r="F24" s="63">
        <v>-28734</v>
      </c>
      <c r="G24" s="38">
        <f t="shared" si="0"/>
        <v>-581231</v>
      </c>
      <c r="H24" s="1" t="b">
        <f>E24='06'!G24</f>
        <v>1</v>
      </c>
    </row>
    <row r="25" spans="2:10" ht="18.45" customHeight="1" x14ac:dyDescent="0.25">
      <c r="B25" s="53"/>
      <c r="C25" s="7" t="s">
        <v>31</v>
      </c>
      <c r="D25" s="27"/>
      <c r="E25" s="64">
        <f>+SUM(E20:E24)</f>
        <v>29845790</v>
      </c>
      <c r="F25" s="36">
        <f>+SUM(F20:F24)</f>
        <v>2576293</v>
      </c>
      <c r="G25" s="39">
        <f>+E25+F25</f>
        <v>32422083</v>
      </c>
      <c r="H25" s="1" t="b">
        <f>E25='06'!G25</f>
        <v>1</v>
      </c>
    </row>
    <row r="26" spans="2:10" ht="18.45" customHeight="1" x14ac:dyDescent="0.25">
      <c r="B26" s="54"/>
      <c r="C26" s="8"/>
      <c r="D26" s="28"/>
      <c r="E26" s="62"/>
      <c r="F26" s="8"/>
      <c r="G26" s="19"/>
      <c r="H26" s="1" t="b">
        <f>E26='06'!G26</f>
        <v>1</v>
      </c>
    </row>
    <row r="27" spans="2:10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E27='06'!G27</f>
        <v>1</v>
      </c>
    </row>
    <row r="28" spans="2:10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E28='06'!G28</f>
        <v>1</v>
      </c>
    </row>
    <row r="29" spans="2:10" ht="20.399999999999999" x14ac:dyDescent="0.25">
      <c r="B29" s="52">
        <v>2</v>
      </c>
      <c r="C29" s="9" t="s">
        <v>60</v>
      </c>
      <c r="D29" s="28"/>
      <c r="E29" s="63">
        <v>0</v>
      </c>
      <c r="F29" s="63">
        <v>0</v>
      </c>
      <c r="G29" s="38">
        <f t="shared" ref="G29:G31" si="1">+E29+F29</f>
        <v>0</v>
      </c>
      <c r="H29" s="1" t="b">
        <f>E29='06'!G29</f>
        <v>1</v>
      </c>
    </row>
    <row r="30" spans="2:10" ht="20.399999999999999" x14ac:dyDescent="0.25">
      <c r="B30" s="52">
        <v>3</v>
      </c>
      <c r="C30" s="9" t="s">
        <v>34</v>
      </c>
      <c r="D30" s="9" t="s">
        <v>77</v>
      </c>
      <c r="E30" s="63">
        <f>'06'!G30</f>
        <v>4131530.25</v>
      </c>
      <c r="F30" s="63">
        <f>4474021-4131530.25</f>
        <v>342490.75</v>
      </c>
      <c r="G30" s="72">
        <f t="shared" si="1"/>
        <v>4474021</v>
      </c>
      <c r="H30" s="1" t="b">
        <f>E30='06'!G30</f>
        <v>1</v>
      </c>
    </row>
    <row r="31" spans="2:10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E31='06'!G31</f>
        <v>1</v>
      </c>
    </row>
    <row r="32" spans="2:10" ht="18.45" customHeight="1" x14ac:dyDescent="0.25">
      <c r="B32" s="50"/>
      <c r="C32" s="7" t="s">
        <v>35</v>
      </c>
      <c r="D32" s="27"/>
      <c r="E32" s="66">
        <f>+SUM(E28:E31)</f>
        <v>4131530.25</v>
      </c>
      <c r="F32" s="36">
        <f>+SUM(F28:F31)</f>
        <v>342490.75</v>
      </c>
      <c r="G32" s="41">
        <f>+E32+F32</f>
        <v>4474021</v>
      </c>
      <c r="H32" s="1" t="b">
        <f>E32='06'!G32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E33='06'!G33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E34='06'!G34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25714259.75</v>
      </c>
      <c r="F35" s="36">
        <f>+F25-F32</f>
        <v>2233802.25</v>
      </c>
      <c r="G35" s="39">
        <f>+E35+F35</f>
        <v>27948062</v>
      </c>
      <c r="H35" s="1" t="b">
        <f>E35='06'!G35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E36='06'!G36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1492289.5</v>
      </c>
      <c r="F37" s="42">
        <f>F25*5%</f>
        <v>128814.65000000001</v>
      </c>
      <c r="G37" s="38">
        <f>+E37+F37</f>
        <v>1621104.15</v>
      </c>
      <c r="H37" s="1" t="b">
        <f>E37='06'!G37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E38='06'!G38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1492289.5</v>
      </c>
      <c r="F39" s="36">
        <f>+SUM(F37:F38)</f>
        <v>128814.65000000001</v>
      </c>
      <c r="G39" s="39">
        <f>+E39+F39</f>
        <v>1621104.15</v>
      </c>
      <c r="H39" s="1" t="b">
        <f>E39='06'!G39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E40='06'!G40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24221970.25</v>
      </c>
      <c r="F41" s="36">
        <f>+F35-F39</f>
        <v>2104987.6</v>
      </c>
      <c r="G41" s="39">
        <f>+E41+F41</f>
        <v>26326957.850000001</v>
      </c>
      <c r="H41" s="1" t="b">
        <f>E41='06'!G41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E42='06'!G42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63">
        <f>'06'!G43</f>
        <v>5372242.1999999993</v>
      </c>
      <c r="F43" s="33">
        <f>F25*18%</f>
        <v>463732.74</v>
      </c>
      <c r="G43" s="33">
        <f>E43+F43</f>
        <v>5835974.9399999995</v>
      </c>
      <c r="H43" s="1" t="b">
        <f>E43='06'!G43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5372242.1999999993</v>
      </c>
      <c r="F44" s="36">
        <f>SUM(F43)</f>
        <v>463732.74</v>
      </c>
      <c r="G44" s="39">
        <f>+E44+F44</f>
        <v>5835974.9399999995</v>
      </c>
      <c r="H44" s="1" t="b">
        <f>E44='06'!G44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E45='06'!G45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E46='06'!G46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29594212.449999999</v>
      </c>
      <c r="F47" s="43">
        <f>+F41+F44</f>
        <v>2568720.34</v>
      </c>
      <c r="G47" s="44">
        <f>+E47+F47</f>
        <v>32162932.789999999</v>
      </c>
      <c r="H47" s="1" t="b">
        <f>E47='06'!G47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Twenty Five Lakh Sixty Eight Thousand Seven Hundred and Twenty Rupees and Thirty Four Paise Only</v>
      </c>
      <c r="E48" s="105"/>
      <c r="F48" s="105"/>
      <c r="G48" s="106"/>
    </row>
    <row r="49" spans="2:7" ht="141.6" customHeight="1" thickBot="1" x14ac:dyDescent="0.3">
      <c r="B49" s="107" t="s">
        <v>88</v>
      </c>
      <c r="C49" s="108"/>
      <c r="D49" s="108"/>
      <c r="E49" s="108"/>
      <c r="F49" s="108"/>
      <c r="G49" s="109"/>
    </row>
  </sheetData>
  <mergeCells count="28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8:C8"/>
    <mergeCell ref="D8:E8"/>
    <mergeCell ref="B9:C9"/>
    <mergeCell ref="D9:E9"/>
    <mergeCell ref="B10:C10"/>
    <mergeCell ref="D10:E10"/>
    <mergeCell ref="B7:C7"/>
    <mergeCell ref="D7:E7"/>
    <mergeCell ref="B2:C5"/>
    <mergeCell ref="D2:F5"/>
    <mergeCell ref="G2:G5"/>
    <mergeCell ref="B6:C6"/>
    <mergeCell ref="D6:E6"/>
  </mergeCells>
  <printOptions horizontalCentered="1"/>
  <pageMargins left="0.25" right="0.25" top="0.61" bottom="0.75" header="0.3" footer="0.3"/>
  <pageSetup paperSize="9" scale="8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A13F6-7485-45B0-9096-CA711C3ECD6F}">
  <sheetPr codeName="Sheet9">
    <pageSetUpPr fitToPage="1"/>
  </sheetPr>
  <dimension ref="B1:K49"/>
  <sheetViews>
    <sheetView tabSelected="1" view="pageBreakPreview" topLeftCell="A16" zoomScaleNormal="130" zoomScaleSheetLayoutView="100" workbookViewId="0">
      <selection activeCell="J19" sqref="J19"/>
    </sheetView>
  </sheetViews>
  <sheetFormatPr defaultColWidth="9.33203125" defaultRowHeight="13.2" x14ac:dyDescent="0.25"/>
  <cols>
    <col min="1" max="1" width="9.33203125" style="1"/>
    <col min="2" max="2" width="10.6640625" style="1" customWidth="1"/>
    <col min="3" max="3" width="29.44140625" style="1" customWidth="1"/>
    <col min="4" max="4" width="22.21875" style="31" customWidth="1"/>
    <col min="5" max="5" width="16.44140625" style="1" customWidth="1"/>
    <col min="6" max="6" width="20.6640625" style="1" customWidth="1"/>
    <col min="7" max="7" width="32.6640625" style="1" customWidth="1"/>
    <col min="8" max="8" width="9.33203125" style="1"/>
    <col min="9" max="9" width="15.44140625" style="1" bestFit="1" customWidth="1"/>
    <col min="10" max="10" width="12.6640625" style="1" bestFit="1" customWidth="1"/>
    <col min="11" max="11" width="12.77734375" style="1" bestFit="1" customWidth="1"/>
    <col min="12" max="16384" width="9.33203125" style="1"/>
  </cols>
  <sheetData>
    <row r="1" spans="2:9" ht="13.8" thickBot="1" x14ac:dyDescent="0.3"/>
    <row r="2" spans="2:9" x14ac:dyDescent="0.25">
      <c r="B2" s="76"/>
      <c r="C2" s="77"/>
      <c r="D2" s="82" t="s">
        <v>57</v>
      </c>
      <c r="E2" s="83"/>
      <c r="F2" s="84"/>
      <c r="G2" s="91"/>
    </row>
    <row r="3" spans="2:9" ht="18.75" customHeight="1" x14ac:dyDescent="0.25">
      <c r="B3" s="78"/>
      <c r="C3" s="79"/>
      <c r="D3" s="85"/>
      <c r="E3" s="86"/>
      <c r="F3" s="87"/>
      <c r="G3" s="92"/>
    </row>
    <row r="4" spans="2:9" ht="18.75" customHeight="1" x14ac:dyDescent="0.25">
      <c r="B4" s="78"/>
      <c r="C4" s="79"/>
      <c r="D4" s="85"/>
      <c r="E4" s="86"/>
      <c r="F4" s="87"/>
      <c r="G4" s="92"/>
    </row>
    <row r="5" spans="2:9" ht="13.8" thickBot="1" x14ac:dyDescent="0.3">
      <c r="B5" s="80"/>
      <c r="C5" s="81"/>
      <c r="D5" s="88"/>
      <c r="E5" s="89"/>
      <c r="F5" s="90"/>
      <c r="G5" s="93"/>
    </row>
    <row r="6" spans="2:9" x14ac:dyDescent="0.25">
      <c r="B6" s="94" t="s">
        <v>0</v>
      </c>
      <c r="C6" s="95"/>
      <c r="D6" s="96" t="s">
        <v>64</v>
      </c>
      <c r="E6" s="96"/>
      <c r="F6" s="21" t="s">
        <v>1</v>
      </c>
      <c r="G6" s="22" t="s">
        <v>73</v>
      </c>
    </row>
    <row r="7" spans="2:9" ht="13.05" customHeight="1" x14ac:dyDescent="0.25">
      <c r="B7" s="73" t="s">
        <v>2</v>
      </c>
      <c r="C7" s="74"/>
      <c r="D7" s="75" t="s">
        <v>96</v>
      </c>
      <c r="E7" s="75"/>
      <c r="F7" s="2" t="s">
        <v>3</v>
      </c>
      <c r="G7" s="23" t="s">
        <v>94</v>
      </c>
    </row>
    <row r="8" spans="2:9" ht="12" customHeight="1" x14ac:dyDescent="0.25">
      <c r="B8" s="73" t="s">
        <v>4</v>
      </c>
      <c r="C8" s="74"/>
      <c r="D8" s="97" t="s">
        <v>5</v>
      </c>
      <c r="E8" s="97"/>
      <c r="F8" s="2" t="s">
        <v>6</v>
      </c>
      <c r="G8" s="32">
        <v>46204</v>
      </c>
    </row>
    <row r="9" spans="2:9" ht="11.25" customHeight="1" x14ac:dyDescent="0.25">
      <c r="B9" s="73" t="s">
        <v>7</v>
      </c>
      <c r="C9" s="74"/>
      <c r="D9" s="98" t="s">
        <v>70</v>
      </c>
      <c r="E9" s="99"/>
      <c r="F9" s="2" t="s">
        <v>8</v>
      </c>
      <c r="G9" s="32" t="s">
        <v>64</v>
      </c>
      <c r="H9" s="32"/>
    </row>
    <row r="10" spans="2:9" ht="14.85" customHeight="1" x14ac:dyDescent="0.25">
      <c r="B10" s="73" t="s">
        <v>9</v>
      </c>
      <c r="C10" s="74"/>
      <c r="D10" s="100">
        <v>69000000</v>
      </c>
      <c r="E10" s="100"/>
      <c r="F10" s="2" t="s">
        <v>10</v>
      </c>
      <c r="G10" s="23" t="s">
        <v>67</v>
      </c>
    </row>
    <row r="11" spans="2:9" ht="14.85" customHeight="1" x14ac:dyDescent="0.25">
      <c r="B11" s="73" t="s">
        <v>11</v>
      </c>
      <c r="C11" s="74"/>
      <c r="D11" s="97"/>
      <c r="E11" s="97"/>
      <c r="F11" s="2" t="s">
        <v>12</v>
      </c>
      <c r="G11" s="23" t="s">
        <v>66</v>
      </c>
      <c r="I11" s="45"/>
    </row>
    <row r="12" spans="2:9" ht="16.350000000000001" customHeight="1" x14ac:dyDescent="0.25">
      <c r="B12" s="73" t="s">
        <v>13</v>
      </c>
      <c r="C12" s="74"/>
      <c r="D12" s="97" t="s">
        <v>5</v>
      </c>
      <c r="E12" s="97"/>
      <c r="F12" s="2" t="s">
        <v>14</v>
      </c>
      <c r="G12" s="59" t="s">
        <v>95</v>
      </c>
      <c r="I12" s="45"/>
    </row>
    <row r="13" spans="2:9" ht="11.25" customHeight="1" x14ac:dyDescent="0.25">
      <c r="B13" s="101" t="s">
        <v>54</v>
      </c>
      <c r="C13" s="102"/>
      <c r="D13" s="103">
        <f>E47</f>
        <v>32162932.789999999</v>
      </c>
      <c r="E13" s="103"/>
      <c r="F13" s="103"/>
      <c r="G13" s="104"/>
      <c r="I13" s="46"/>
    </row>
    <row r="14" spans="2:9" ht="11.25" customHeight="1" x14ac:dyDescent="0.25">
      <c r="B14" s="101" t="s">
        <v>55</v>
      </c>
      <c r="C14" s="102"/>
      <c r="D14" s="103">
        <f>F47</f>
        <v>6705316.2199999997</v>
      </c>
      <c r="E14" s="103"/>
      <c r="F14" s="103"/>
      <c r="G14" s="104"/>
      <c r="I14" s="47"/>
    </row>
    <row r="15" spans="2:9" ht="11.25" customHeight="1" x14ac:dyDescent="0.25">
      <c r="B15" s="101" t="s">
        <v>56</v>
      </c>
      <c r="C15" s="102"/>
      <c r="D15" s="110">
        <f>D13+D14</f>
        <v>38868249.009999998</v>
      </c>
      <c r="E15" s="110"/>
      <c r="F15" s="110"/>
      <c r="G15" s="111"/>
      <c r="I15" s="47"/>
    </row>
    <row r="16" spans="2:9" ht="20.399999999999999" x14ac:dyDescent="0.25">
      <c r="B16" s="49" t="s">
        <v>15</v>
      </c>
      <c r="C16" s="2" t="s">
        <v>16</v>
      </c>
      <c r="D16" s="26" t="s">
        <v>17</v>
      </c>
      <c r="E16" s="3" t="s">
        <v>18</v>
      </c>
      <c r="F16" s="3" t="s">
        <v>19</v>
      </c>
      <c r="G16" s="16" t="s">
        <v>20</v>
      </c>
      <c r="I16" s="47"/>
    </row>
    <row r="17" spans="2:10" ht="18.45" customHeight="1" x14ac:dyDescent="0.25">
      <c r="B17" s="49" t="s">
        <v>21</v>
      </c>
      <c r="C17" s="2" t="s">
        <v>22</v>
      </c>
      <c r="D17" s="26" t="s">
        <v>23</v>
      </c>
      <c r="E17" s="60">
        <f>'07'!G17</f>
        <v>31585584.629999999</v>
      </c>
      <c r="F17" s="70"/>
      <c r="G17" s="34">
        <f>E17+F17</f>
        <v>31585584.629999999</v>
      </c>
      <c r="H17" s="1" t="b">
        <f>E17='07'!G17</f>
        <v>1</v>
      </c>
      <c r="I17" s="47"/>
    </row>
    <row r="18" spans="2:10" ht="18.45" customHeight="1" x14ac:dyDescent="0.25">
      <c r="B18" s="50"/>
      <c r="C18" s="7" t="s">
        <v>24</v>
      </c>
      <c r="D18" s="27"/>
      <c r="E18" s="61"/>
      <c r="F18" s="6"/>
      <c r="G18" s="18"/>
      <c r="H18" s="1" t="b">
        <f>E18='07'!G18</f>
        <v>1</v>
      </c>
      <c r="I18" s="47"/>
    </row>
    <row r="19" spans="2:10" ht="18.45" customHeight="1" x14ac:dyDescent="0.25">
      <c r="B19" s="51"/>
      <c r="C19" s="8"/>
      <c r="D19" s="28"/>
      <c r="E19" s="62"/>
      <c r="F19" s="8"/>
      <c r="G19" s="19"/>
      <c r="H19" s="1" t="b">
        <f>E19='07'!G19</f>
        <v>1</v>
      </c>
      <c r="I19" s="47"/>
      <c r="J19" s="47">
        <f>F25*1.18</f>
        <v>7445674.9199999999</v>
      </c>
    </row>
    <row r="20" spans="2:10" ht="18.45" customHeight="1" x14ac:dyDescent="0.25">
      <c r="B20" s="49" t="s">
        <v>25</v>
      </c>
      <c r="C20" s="2" t="s">
        <v>26</v>
      </c>
      <c r="D20" s="28"/>
      <c r="E20" s="63"/>
      <c r="F20" s="25"/>
      <c r="G20" s="17"/>
      <c r="H20" s="1" t="b">
        <f>E20='07'!G20</f>
        <v>1</v>
      </c>
    </row>
    <row r="21" spans="2:10" ht="18.45" customHeight="1" x14ac:dyDescent="0.25">
      <c r="B21" s="52">
        <v>1</v>
      </c>
      <c r="C21" s="9" t="s">
        <v>27</v>
      </c>
      <c r="D21" s="29"/>
      <c r="E21" s="63">
        <f>'07'!G21</f>
        <v>33003314</v>
      </c>
      <c r="F21" s="63">
        <v>6432564</v>
      </c>
      <c r="G21" s="38">
        <f t="shared" ref="G21:G24" si="0">+F21+E21</f>
        <v>39435878</v>
      </c>
      <c r="H21" s="1" t="b">
        <f>E21='07'!G21</f>
        <v>1</v>
      </c>
      <c r="J21" s="71">
        <f>F25-F32</f>
        <v>5885030</v>
      </c>
    </row>
    <row r="22" spans="2:10" ht="18.45" customHeight="1" x14ac:dyDescent="0.25">
      <c r="B22" s="52">
        <v>2</v>
      </c>
      <c r="C22" s="9" t="s">
        <v>28</v>
      </c>
      <c r="D22" s="29"/>
      <c r="E22" s="63">
        <v>0</v>
      </c>
      <c r="F22" s="25">
        <v>0</v>
      </c>
      <c r="G22" s="17">
        <f t="shared" si="0"/>
        <v>0</v>
      </c>
      <c r="H22" s="1" t="b">
        <f>E22='07'!G22</f>
        <v>1</v>
      </c>
      <c r="J22" s="71">
        <f>J21-F37</f>
        <v>5569535.2999999998</v>
      </c>
    </row>
    <row r="23" spans="2:10" ht="18.45" customHeight="1" x14ac:dyDescent="0.25">
      <c r="B23" s="52">
        <v>3</v>
      </c>
      <c r="C23" s="10" t="s">
        <v>29</v>
      </c>
      <c r="D23" s="29"/>
      <c r="E23" s="63">
        <v>0</v>
      </c>
      <c r="F23" s="25">
        <v>0</v>
      </c>
      <c r="G23" s="69">
        <f>+F23+E23</f>
        <v>0</v>
      </c>
      <c r="H23" s="1" t="b">
        <f>E23='07'!G23</f>
        <v>1</v>
      </c>
      <c r="J23" s="71">
        <f>J22+F43</f>
        <v>6705316.2199999997</v>
      </c>
    </row>
    <row r="24" spans="2:10" ht="18.45" customHeight="1" x14ac:dyDescent="0.25">
      <c r="B24" s="52">
        <v>4</v>
      </c>
      <c r="C24" s="9" t="s">
        <v>30</v>
      </c>
      <c r="D24" s="29"/>
      <c r="E24" s="63">
        <f>'07'!G24</f>
        <v>-581231</v>
      </c>
      <c r="F24" s="63">
        <v>-122670</v>
      </c>
      <c r="G24" s="38">
        <f t="shared" si="0"/>
        <v>-703901</v>
      </c>
      <c r="H24" s="1" t="b">
        <f>E24='07'!G24</f>
        <v>1</v>
      </c>
    </row>
    <row r="25" spans="2:10" ht="18.45" customHeight="1" x14ac:dyDescent="0.25">
      <c r="B25" s="53"/>
      <c r="C25" s="7" t="s">
        <v>31</v>
      </c>
      <c r="D25" s="27"/>
      <c r="E25" s="64">
        <f>+SUM(E20:E24)</f>
        <v>32422083</v>
      </c>
      <c r="F25" s="36">
        <f>+SUM(F20:F24)</f>
        <v>6309894</v>
      </c>
      <c r="G25" s="39">
        <f>+E25+F25</f>
        <v>38731977</v>
      </c>
      <c r="H25" s="1" t="b">
        <f>E25='07'!G25</f>
        <v>1</v>
      </c>
    </row>
    <row r="26" spans="2:10" ht="18.45" customHeight="1" x14ac:dyDescent="0.25">
      <c r="B26" s="54"/>
      <c r="C26" s="8"/>
      <c r="D26" s="28"/>
      <c r="E26" s="62"/>
      <c r="F26" s="8"/>
      <c r="G26" s="19"/>
      <c r="H26" s="1" t="b">
        <f>E26='07'!G26</f>
        <v>1</v>
      </c>
    </row>
    <row r="27" spans="2:10" ht="18.45" customHeight="1" x14ac:dyDescent="0.25">
      <c r="B27" s="55" t="s">
        <v>32</v>
      </c>
      <c r="C27" s="2" t="s">
        <v>33</v>
      </c>
      <c r="D27" s="28"/>
      <c r="E27" s="65"/>
      <c r="F27" s="24"/>
      <c r="G27" s="20"/>
      <c r="H27" s="1" t="b">
        <f>E27='07'!G27</f>
        <v>1</v>
      </c>
    </row>
    <row r="28" spans="2:10" ht="18.45" customHeight="1" x14ac:dyDescent="0.25">
      <c r="B28" s="52">
        <v>1</v>
      </c>
      <c r="C28" s="9" t="s">
        <v>59</v>
      </c>
      <c r="D28" s="28"/>
      <c r="E28" s="63">
        <v>0</v>
      </c>
      <c r="F28" s="40">
        <v>0</v>
      </c>
      <c r="G28" s="38">
        <f>+E28+F28</f>
        <v>0</v>
      </c>
      <c r="H28" s="1" t="b">
        <f>E28='07'!G28</f>
        <v>1</v>
      </c>
    </row>
    <row r="29" spans="2:10" ht="20.399999999999999" x14ac:dyDescent="0.25">
      <c r="B29" s="52">
        <v>2</v>
      </c>
      <c r="C29" s="9" t="s">
        <v>60</v>
      </c>
      <c r="D29" s="28"/>
      <c r="E29" s="63">
        <v>0</v>
      </c>
      <c r="F29" s="63">
        <v>0</v>
      </c>
      <c r="G29" s="38">
        <f t="shared" ref="G29:G31" si="1">+E29+F29</f>
        <v>0</v>
      </c>
      <c r="H29" s="1" t="b">
        <f>E29='07'!G29</f>
        <v>1</v>
      </c>
    </row>
    <row r="30" spans="2:10" ht="20.399999999999999" x14ac:dyDescent="0.25">
      <c r="B30" s="52">
        <v>3</v>
      </c>
      <c r="C30" s="9" t="s">
        <v>34</v>
      </c>
      <c r="D30" s="9" t="s">
        <v>77</v>
      </c>
      <c r="E30" s="63">
        <f>'07'!G30</f>
        <v>4474021</v>
      </c>
      <c r="F30" s="63">
        <v>424864</v>
      </c>
      <c r="G30" s="72">
        <f t="shared" si="1"/>
        <v>4898885</v>
      </c>
      <c r="H30" s="1" t="b">
        <f>E30='07'!G30</f>
        <v>1</v>
      </c>
    </row>
    <row r="31" spans="2:10" ht="18.45" customHeight="1" x14ac:dyDescent="0.25">
      <c r="B31" s="52">
        <v>4</v>
      </c>
      <c r="C31" s="9" t="s">
        <v>61</v>
      </c>
      <c r="D31" s="28"/>
      <c r="E31" s="63">
        <v>0</v>
      </c>
      <c r="F31" s="40">
        <v>0</v>
      </c>
      <c r="G31" s="17">
        <f t="shared" si="1"/>
        <v>0</v>
      </c>
      <c r="H31" s="1" t="b">
        <f>E31='07'!G31</f>
        <v>1</v>
      </c>
    </row>
    <row r="32" spans="2:10" ht="18.45" customHeight="1" x14ac:dyDescent="0.25">
      <c r="B32" s="50"/>
      <c r="C32" s="7" t="s">
        <v>35</v>
      </c>
      <c r="D32" s="27"/>
      <c r="E32" s="66">
        <f>+SUM(E28:E31)</f>
        <v>4474021</v>
      </c>
      <c r="F32" s="36">
        <f>+SUM(F28:F31)</f>
        <v>424864</v>
      </c>
      <c r="G32" s="41">
        <f>+E32+F32</f>
        <v>4898885</v>
      </c>
      <c r="H32" s="1" t="b">
        <f>E32='07'!G32</f>
        <v>1</v>
      </c>
    </row>
    <row r="33" spans="2:11" ht="18.45" customHeight="1" x14ac:dyDescent="0.25">
      <c r="B33" s="51"/>
      <c r="C33" s="8"/>
      <c r="D33" s="28"/>
      <c r="E33" s="62"/>
      <c r="F33" s="8"/>
      <c r="G33" s="19"/>
      <c r="H33" s="1" t="b">
        <f>E33='07'!G33</f>
        <v>1</v>
      </c>
    </row>
    <row r="34" spans="2:11" ht="30.6" customHeight="1" x14ac:dyDescent="0.25">
      <c r="B34" s="49" t="s">
        <v>36</v>
      </c>
      <c r="C34" s="48" t="s">
        <v>37</v>
      </c>
      <c r="D34" s="48"/>
      <c r="E34" s="62"/>
      <c r="F34" s="8"/>
      <c r="G34" s="19"/>
      <c r="H34" s="1" t="b">
        <f>E34='07'!G34</f>
        <v>1</v>
      </c>
    </row>
    <row r="35" spans="2:11" ht="18.45" customHeight="1" x14ac:dyDescent="0.25">
      <c r="B35" s="50"/>
      <c r="C35" s="7" t="s">
        <v>38</v>
      </c>
      <c r="D35" s="27"/>
      <c r="E35" s="64">
        <f>+E25-E32</f>
        <v>27948062</v>
      </c>
      <c r="F35" s="36">
        <f>+F25-F32</f>
        <v>5885030</v>
      </c>
      <c r="G35" s="39">
        <f>+E35+F35</f>
        <v>33833092</v>
      </c>
      <c r="H35" s="1" t="b">
        <f>E35='07'!G35</f>
        <v>1</v>
      </c>
    </row>
    <row r="36" spans="2:11" ht="18.45" customHeight="1" x14ac:dyDescent="0.25">
      <c r="B36" s="51"/>
      <c r="C36" s="8"/>
      <c r="D36" s="28"/>
      <c r="E36" s="62"/>
      <c r="F36" s="8"/>
      <c r="G36" s="19"/>
      <c r="H36" s="1" t="b">
        <f>E36='07'!G36</f>
        <v>1</v>
      </c>
    </row>
    <row r="37" spans="2:11" ht="18.45" customHeight="1" x14ac:dyDescent="0.25">
      <c r="B37" s="56" t="s">
        <v>39</v>
      </c>
      <c r="C37" s="9" t="s">
        <v>40</v>
      </c>
      <c r="D37" s="28"/>
      <c r="E37" s="42">
        <f>E25*5%</f>
        <v>1621104.1500000001</v>
      </c>
      <c r="F37" s="42">
        <f>F25*5%</f>
        <v>315494.7</v>
      </c>
      <c r="G37" s="38">
        <f>+E37+F37</f>
        <v>1936598.85</v>
      </c>
      <c r="H37" s="1" t="b">
        <f>E37='07'!G37</f>
        <v>1</v>
      </c>
    </row>
    <row r="38" spans="2:11" ht="18.45" customHeight="1" x14ac:dyDescent="0.25">
      <c r="B38" s="51"/>
      <c r="C38" s="9" t="s">
        <v>41</v>
      </c>
      <c r="D38" s="28"/>
      <c r="E38" s="62"/>
      <c r="F38" s="8"/>
      <c r="G38" s="19"/>
      <c r="H38" s="1" t="b">
        <f>E38='07'!G38</f>
        <v>1</v>
      </c>
    </row>
    <row r="39" spans="2:11" ht="18.45" customHeight="1" x14ac:dyDescent="0.25">
      <c r="B39" s="50"/>
      <c r="C39" s="7" t="s">
        <v>42</v>
      </c>
      <c r="D39" s="27"/>
      <c r="E39" s="64">
        <f>+SUM(E37:E38)</f>
        <v>1621104.1500000001</v>
      </c>
      <c r="F39" s="36">
        <f>+SUM(F37:F38)</f>
        <v>315494.7</v>
      </c>
      <c r="G39" s="39">
        <f>+E39+F39</f>
        <v>1936598.85</v>
      </c>
      <c r="H39" s="1" t="b">
        <f>E39='07'!G39</f>
        <v>1</v>
      </c>
    </row>
    <row r="40" spans="2:11" ht="18.45" customHeight="1" x14ac:dyDescent="0.25">
      <c r="B40" s="49" t="s">
        <v>43</v>
      </c>
      <c r="C40" s="74" t="s">
        <v>44</v>
      </c>
      <c r="D40" s="74"/>
      <c r="E40" s="62"/>
      <c r="F40" s="8"/>
      <c r="G40" s="19"/>
      <c r="H40" s="1" t="b">
        <f>E40='07'!G40</f>
        <v>1</v>
      </c>
      <c r="K40" s="47"/>
    </row>
    <row r="41" spans="2:11" ht="18.45" customHeight="1" x14ac:dyDescent="0.25">
      <c r="B41" s="50"/>
      <c r="C41" s="7" t="s">
        <v>45</v>
      </c>
      <c r="D41" s="27"/>
      <c r="E41" s="64">
        <f>+E35-E39</f>
        <v>26326957.850000001</v>
      </c>
      <c r="F41" s="36">
        <f>+F35-F39</f>
        <v>5569535.2999999998</v>
      </c>
      <c r="G41" s="39">
        <f>+E41+F41</f>
        <v>31896493.150000002</v>
      </c>
      <c r="H41" s="1" t="b">
        <f>E41='07'!G41</f>
        <v>1</v>
      </c>
      <c r="K41" s="47"/>
    </row>
    <row r="42" spans="2:11" ht="18.45" customHeight="1" x14ac:dyDescent="0.25">
      <c r="B42" s="49" t="s">
        <v>46</v>
      </c>
      <c r="C42" s="74" t="s">
        <v>47</v>
      </c>
      <c r="D42" s="74"/>
      <c r="E42" s="62"/>
      <c r="F42" s="8"/>
      <c r="G42" s="19"/>
      <c r="H42" s="1" t="b">
        <f>E42='07'!G42</f>
        <v>1</v>
      </c>
      <c r="K42" s="47"/>
    </row>
    <row r="43" spans="2:11" ht="18.45" customHeight="1" x14ac:dyDescent="0.25">
      <c r="B43" s="52">
        <v>1</v>
      </c>
      <c r="C43" s="9" t="s">
        <v>48</v>
      </c>
      <c r="D43" s="28"/>
      <c r="E43" s="63">
        <f>'07'!G43</f>
        <v>5835974.9399999995</v>
      </c>
      <c r="F43" s="33">
        <f>F25*18%</f>
        <v>1135780.92</v>
      </c>
      <c r="G43" s="33">
        <f>E43+F43</f>
        <v>6971755.8599999994</v>
      </c>
      <c r="H43" s="1" t="b">
        <f>E43='07'!G43</f>
        <v>1</v>
      </c>
    </row>
    <row r="44" spans="2:11" ht="18.45" customHeight="1" x14ac:dyDescent="0.25">
      <c r="B44" s="50"/>
      <c r="C44" s="7" t="s">
        <v>49</v>
      </c>
      <c r="D44" s="27"/>
      <c r="E44" s="36">
        <f>SUM(E43)</f>
        <v>5835974.9399999995</v>
      </c>
      <c r="F44" s="36">
        <f>SUM(F43)</f>
        <v>1135780.92</v>
      </c>
      <c r="G44" s="39">
        <f>+E44+F44</f>
        <v>6971755.8599999994</v>
      </c>
      <c r="H44" s="1" t="b">
        <f>E44='07'!G44</f>
        <v>1</v>
      </c>
    </row>
    <row r="45" spans="2:11" ht="18.45" customHeight="1" x14ac:dyDescent="0.25">
      <c r="B45" s="51"/>
      <c r="C45" s="8"/>
      <c r="D45" s="28"/>
      <c r="E45" s="62"/>
      <c r="F45" s="8"/>
      <c r="G45" s="19"/>
      <c r="H45" s="1" t="b">
        <f>E45='07'!G45</f>
        <v>1</v>
      </c>
    </row>
    <row r="46" spans="2:11" ht="18.45" customHeight="1" x14ac:dyDescent="0.25">
      <c r="B46" s="49" t="s">
        <v>50</v>
      </c>
      <c r="C46" s="74" t="s">
        <v>51</v>
      </c>
      <c r="D46" s="74"/>
      <c r="E46" s="62"/>
      <c r="F46" s="8"/>
      <c r="G46" s="19"/>
      <c r="H46" s="1" t="b">
        <f>E46='07'!G46</f>
        <v>1</v>
      </c>
    </row>
    <row r="47" spans="2:11" ht="18.45" customHeight="1" x14ac:dyDescent="0.25">
      <c r="B47" s="57"/>
      <c r="C47" s="12" t="s">
        <v>52</v>
      </c>
      <c r="D47" s="30"/>
      <c r="E47" s="68">
        <f>+E41+E44</f>
        <v>32162932.789999999</v>
      </c>
      <c r="F47" s="43">
        <f>+F41+F44</f>
        <v>6705316.2199999997</v>
      </c>
      <c r="G47" s="44">
        <f>+E47+F47</f>
        <v>38868249.009999998</v>
      </c>
      <c r="H47" s="1" t="b">
        <f>E47='07'!G47</f>
        <v>1</v>
      </c>
    </row>
    <row r="48" spans="2:11" ht="17.25" customHeight="1" x14ac:dyDescent="0.25">
      <c r="B48" s="58"/>
      <c r="C48" s="14" t="s">
        <v>53</v>
      </c>
      <c r="D48" s="105" t="str">
        <f>VBAProject.Module3.NumberToWords(F47)</f>
        <v>Sixty Seven Lakh Five Thousand Three Hundred and Sixteen Rupees and Twenty Two Paise Only</v>
      </c>
      <c r="E48" s="105"/>
      <c r="F48" s="105"/>
      <c r="G48" s="106"/>
    </row>
    <row r="49" spans="2:7" ht="141.6" customHeight="1" thickBot="1" x14ac:dyDescent="0.3">
      <c r="B49" s="107" t="s">
        <v>88</v>
      </c>
      <c r="C49" s="108"/>
      <c r="D49" s="108"/>
      <c r="E49" s="108"/>
      <c r="F49" s="108"/>
      <c r="G49" s="109"/>
    </row>
  </sheetData>
  <mergeCells count="28">
    <mergeCell ref="C46:D46"/>
    <mergeCell ref="D48:G48"/>
    <mergeCell ref="B49:G49"/>
    <mergeCell ref="B14:C14"/>
    <mergeCell ref="D14:G14"/>
    <mergeCell ref="B15:C15"/>
    <mergeCell ref="D15:G15"/>
    <mergeCell ref="C40:D40"/>
    <mergeCell ref="C42:D42"/>
    <mergeCell ref="B11:C11"/>
    <mergeCell ref="D11:E11"/>
    <mergeCell ref="B12:C12"/>
    <mergeCell ref="D12:E12"/>
    <mergeCell ref="B13:C13"/>
    <mergeCell ref="D13:G13"/>
    <mergeCell ref="B8:C8"/>
    <mergeCell ref="D8:E8"/>
    <mergeCell ref="B9:C9"/>
    <mergeCell ref="D9:E9"/>
    <mergeCell ref="B10:C10"/>
    <mergeCell ref="D10:E10"/>
    <mergeCell ref="B2:C5"/>
    <mergeCell ref="D2:F5"/>
    <mergeCell ref="G2:G5"/>
    <mergeCell ref="B6:C6"/>
    <mergeCell ref="D6:E6"/>
    <mergeCell ref="B7:C7"/>
    <mergeCell ref="D7:E7"/>
  </mergeCells>
  <printOptions horizontalCentered="1"/>
  <pageMargins left="0.25" right="0.25" top="0.61" bottom="0.75" header="0.3" footer="0.3"/>
  <pageSetup paperSize="9" scale="8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01</vt:lpstr>
      <vt:lpstr>02</vt:lpstr>
      <vt:lpstr>03</vt:lpstr>
      <vt:lpstr>04</vt:lpstr>
      <vt:lpstr>05</vt:lpstr>
      <vt:lpstr>06</vt:lpstr>
      <vt:lpstr>07</vt:lpstr>
      <vt:lpstr>08</vt:lpstr>
      <vt:lpstr>'01'!Print_Area</vt:lpstr>
      <vt:lpstr>'02'!Print_Area</vt:lpstr>
      <vt:lpstr>'03'!Print_Area</vt:lpstr>
      <vt:lpstr>'04'!Print_Area</vt:lpstr>
      <vt:lpstr>'05'!Print_Area</vt:lpstr>
      <vt:lpstr>'06'!Print_Area</vt:lpstr>
      <vt:lpstr>'07'!Print_Area</vt:lpstr>
      <vt:lpstr>'08'!Print_Area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Nirav Parekh</dc:creator>
  <cp:lastModifiedBy>Info</cp:lastModifiedBy>
  <cp:lastPrinted>2026-03-25T07:51:58Z</cp:lastPrinted>
  <dcterms:created xsi:type="dcterms:W3CDTF">2025-05-22T12:25:02Z</dcterms:created>
  <dcterms:modified xsi:type="dcterms:W3CDTF">2026-07-01T10:56:23Z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reated">
    <vt:filetime>2025-05-22T00:00:00Z</vt:filetime>
  </property>
  <property fmtid="{D5CDD505-2E9C-101B-9397-08002B2CF9AE}" pid="3" name="LastSaved">
    <vt:filetime>2025-05-22T00:00:00Z</vt:filetime>
  </property>
</Properties>
</file>