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rnam II\Submission\Phase 02\"/>
    </mc:Choice>
  </mc:AlternateContent>
  <xr:revisionPtr revIDLastSave="0" documentId="13_ncr:1_{E2260EA2-3A58-484C-AED0-B84B8090D21C}" xr6:coauthVersionLast="47" xr6:coauthVersionMax="47" xr10:uidLastSave="{00000000-0000-0000-0000-000000000000}"/>
  <bookViews>
    <workbookView xWindow="-108" yWindow="-108" windowWidth="23256" windowHeight="12456" xr2:uid="{628FF490-484F-436D-A15C-F76DF6F0DC66}"/>
  </bookViews>
  <sheets>
    <sheet name="One Pager" sheetId="1" r:id="rId1"/>
    <sheet name="Site Instruction" sheetId="2" r:id="rId2"/>
    <sheet name="Unsafe Act Summary" sheetId="6" r:id="rId3"/>
    <sheet name="NCR Summary" sheetId="8" r:id="rId4"/>
    <sheet name="Safety Hours" sheetId="7" r:id="rId5"/>
    <sheet name="NCR" sheetId="5" r:id="rId6"/>
    <sheet name="Observation - Unsafe Act" sheetId="3" r:id="rId7"/>
    <sheet name="HIRA " sheetId="9" r:id="rId8"/>
  </sheets>
  <definedNames>
    <definedName name="_xlnm._FilterDatabase" localSheetId="7" hidden="1">'HIRA '!$A$5:$N$6</definedName>
    <definedName name="_xlnm._FilterDatabase" localSheetId="3" hidden="1">'NCR Summary'!$A$9:$L$9</definedName>
    <definedName name="_xlnm._FilterDatabase" localSheetId="1" hidden="1">'Site Instruction'!$A$9:$L$9</definedName>
    <definedName name="_xlnm._FilterDatabase" localSheetId="2" hidden="1">'Unsafe Act Summary'!$A$9:$L$9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D80" i="1"/>
  <c r="C81" i="1"/>
  <c r="D81" i="1"/>
  <c r="D87" i="1"/>
  <c r="C87" i="1"/>
  <c r="D84" i="1"/>
  <c r="C84" i="1"/>
  <c r="D20" i="1"/>
  <c r="D17" i="1"/>
  <c r="L7" i="8"/>
  <c r="D79" i="1"/>
  <c r="C79" i="1"/>
  <c r="A20" i="1"/>
  <c r="A17" i="1"/>
  <c r="J7" i="7"/>
  <c r="E19" i="7"/>
  <c r="E18" i="7"/>
  <c r="E17" i="7"/>
  <c r="E16" i="7"/>
  <c r="E15" i="7"/>
  <c r="E14" i="7"/>
  <c r="E13" i="7"/>
  <c r="E12" i="7"/>
  <c r="E11" i="7"/>
  <c r="B73" i="1" l="1"/>
  <c r="M9" i="1" s="1"/>
  <c r="M39" i="9"/>
  <c r="I39" i="9"/>
  <c r="M38" i="9"/>
  <c r="I38" i="9"/>
  <c r="M37" i="9"/>
  <c r="I37" i="9"/>
  <c r="M36" i="9"/>
  <c r="I36" i="9"/>
  <c r="M35" i="9"/>
  <c r="I35" i="9"/>
  <c r="M34" i="9"/>
  <c r="I34" i="9"/>
  <c r="M33" i="9"/>
  <c r="I33" i="9"/>
  <c r="M32" i="9"/>
  <c r="I32" i="9"/>
  <c r="M31" i="9"/>
  <c r="I31" i="9"/>
  <c r="M30" i="9"/>
  <c r="I30" i="9"/>
  <c r="M29" i="9"/>
  <c r="I29" i="9"/>
  <c r="M28" i="9"/>
  <c r="I28" i="9"/>
  <c r="M27" i="9"/>
  <c r="I27" i="9"/>
  <c r="M26" i="9"/>
  <c r="I26" i="9"/>
  <c r="M25" i="9"/>
  <c r="I25" i="9"/>
  <c r="M24" i="9"/>
  <c r="I24" i="9"/>
  <c r="M23" i="9"/>
  <c r="I23" i="9"/>
  <c r="M22" i="9"/>
  <c r="I22" i="9"/>
  <c r="M21" i="9"/>
  <c r="I21" i="9"/>
  <c r="M20" i="9"/>
  <c r="I20" i="9"/>
  <c r="M19" i="9"/>
  <c r="I19" i="9"/>
  <c r="M18" i="9"/>
  <c r="I18" i="9"/>
  <c r="M17" i="9"/>
  <c r="I17" i="9"/>
  <c r="M16" i="9"/>
  <c r="I16" i="9"/>
  <c r="M15" i="9"/>
  <c r="I15" i="9"/>
  <c r="M14" i="9"/>
  <c r="I14" i="9"/>
  <c r="M13" i="9"/>
  <c r="I13" i="9"/>
  <c r="M12" i="9"/>
  <c r="I12" i="9"/>
  <c r="M11" i="9"/>
  <c r="I11" i="9"/>
  <c r="M10" i="9"/>
  <c r="I10" i="9"/>
  <c r="M9" i="9"/>
  <c r="I9" i="9"/>
  <c r="M8" i="9"/>
  <c r="I8" i="9"/>
  <c r="M7" i="9"/>
  <c r="I7" i="9"/>
  <c r="B71" i="1"/>
  <c r="G9" i="1" s="1"/>
  <c r="D9" i="7"/>
  <c r="B72" i="1" s="1"/>
  <c r="J9" i="1" s="1"/>
  <c r="J7" i="8"/>
  <c r="B70" i="1"/>
  <c r="D9" i="1" s="1"/>
  <c r="B69" i="1"/>
  <c r="A9" i="1" s="1"/>
  <c r="E39" i="7"/>
  <c r="E38" i="7"/>
  <c r="E37" i="7"/>
  <c r="E36" i="7"/>
  <c r="E35" i="7"/>
  <c r="E34" i="7"/>
  <c r="E33" i="7"/>
  <c r="E32" i="7"/>
  <c r="E31" i="7"/>
  <c r="E30" i="7"/>
  <c r="D29" i="7"/>
  <c r="E29" i="7" s="1"/>
  <c r="L7" i="6"/>
  <c r="J7" i="6"/>
  <c r="L7" i="2"/>
  <c r="J7" i="2"/>
  <c r="E9" i="7" l="1"/>
  <c r="E10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<sst xmlns="http://schemas.openxmlformats.org/spreadsheetml/2006/main" count="1591" uniqueCount="343">
  <si>
    <t>Sr.No</t>
  </si>
  <si>
    <t>Observation</t>
  </si>
  <si>
    <t>Open</t>
  </si>
  <si>
    <t xml:space="preserve">Site instruction </t>
  </si>
  <si>
    <t>NCR</t>
  </si>
  <si>
    <t xml:space="preserve">Name of Project </t>
  </si>
  <si>
    <t>Name of Client</t>
  </si>
  <si>
    <t>Principle  Consultant</t>
  </si>
  <si>
    <t>PMC</t>
  </si>
  <si>
    <t xml:space="preserve">Vendor </t>
  </si>
  <si>
    <t>Report No</t>
  </si>
  <si>
    <t xml:space="preserve">Safari Industrial Project at Halol GIDC </t>
  </si>
  <si>
    <t>Safari India Pvt. Ltd.</t>
  </si>
  <si>
    <t>Sharnam Project Development Consultant</t>
  </si>
  <si>
    <t>Shapoorji Pallonji Construction Pvt. Ltd.</t>
  </si>
  <si>
    <t>S. No</t>
  </si>
  <si>
    <t>Location</t>
  </si>
  <si>
    <t xml:space="preserve">Issued by </t>
  </si>
  <si>
    <t>Issued to</t>
  </si>
  <si>
    <t>Issued on</t>
  </si>
  <si>
    <t>Brief Description</t>
  </si>
  <si>
    <t>category</t>
  </si>
  <si>
    <t>Action taken</t>
  </si>
  <si>
    <t xml:space="preserve">Status </t>
  </si>
  <si>
    <t>Time Impact (Y/N)</t>
  </si>
  <si>
    <t>Cost Impact (Y/N)</t>
  </si>
  <si>
    <t>Remarks</t>
  </si>
  <si>
    <t xml:space="preserve">Site Instruction Report </t>
  </si>
  <si>
    <t>Updated On:</t>
  </si>
  <si>
    <t>Safari-Safety Instruction-Sharnam-001</t>
  </si>
  <si>
    <t xml:space="preserve">in the pit, this is totally unsafe condition to work for workeres. Injury or incident can be happen. </t>
  </si>
  <si>
    <t xml:space="preserve">Material is not stacked properly itemwise. </t>
  </si>
  <si>
    <t>It has been noted that the scaffolding is not rested on the proper land</t>
  </si>
  <si>
    <t xml:space="preserve">Unsafe bar bending work observded also working at height, without safety belt, working platform or hand rail.  </t>
  </si>
  <si>
    <t>Building A</t>
  </si>
  <si>
    <t>Sharnam PMC</t>
  </si>
  <si>
    <t>Shapoorji</t>
  </si>
  <si>
    <t>Working at Height</t>
  </si>
  <si>
    <t>Working in Pit</t>
  </si>
  <si>
    <t>Material</t>
  </si>
  <si>
    <t>Closed</t>
  </si>
  <si>
    <t>Yes</t>
  </si>
  <si>
    <t>No</t>
  </si>
  <si>
    <t>Building B</t>
  </si>
  <si>
    <t>Total Open</t>
  </si>
  <si>
    <t>Total Closed</t>
  </si>
  <si>
    <t>Unsafe Act Details</t>
  </si>
  <si>
    <t>Type of Unsafe Act</t>
  </si>
  <si>
    <t>Description</t>
  </si>
  <si>
    <t>[Brief details of the unsafe act, including location and task being performed.]</t>
  </si>
  <si>
    <t>Immediate Action Taken</t>
  </si>
  <si>
    <t>[E.g., Stopped work, provided PPE, isolated the hazard.]</t>
  </si>
  <si>
    <t>Responsible Person</t>
  </si>
  <si>
    <t>[Name &amp; Role]</t>
  </si>
  <si>
    <t>Photos/Sketches</t>
  </si>
  <si>
    <t>[Attach if available]</t>
  </si>
  <si>
    <t>Witnesses</t>
  </si>
  <si>
    <t>[List of any witnesses with roles]</t>
  </si>
  <si>
    <t>Actions &amp; Evidence</t>
  </si>
  <si>
    <t>Risk &amp; Recommendations</t>
  </si>
  <si>
    <t>Risk Level</t>
  </si>
  <si>
    <t>Consequences</t>
  </si>
  <si>
    <t>[Injury, fatality, equipment damage, project delay, etc.]</t>
  </si>
  <si>
    <t>Corrective Measures</t>
  </si>
  <si>
    <t>[Long-term actions like training, new procedures, or equipment repair.]</t>
  </si>
  <si>
    <t>Responsible Person/Dept.</t>
  </si>
  <si>
    <t>[Name or department]</t>
  </si>
  <si>
    <t>Deadline</t>
  </si>
  <si>
    <t>[Specify timeline for rectification]</t>
  </si>
  <si>
    <t>Follow-Up &amp; Approvals</t>
  </si>
  <si>
    <t>Follow-Up Date</t>
  </si>
  <si>
    <t>[DD/MM/YYYY]</t>
  </si>
  <si>
    <t>Status</t>
  </si>
  <si>
    <t>Prepared By</t>
  </si>
  <si>
    <t>Name: ______________</t>
  </si>
  <si>
    <t>Signature: ____________</t>
  </si>
  <si>
    <t>Reviewed By</t>
  </si>
  <si>
    <t>Signature: ____________ (Safety Officer)</t>
  </si>
  <si>
    <t>Approved By</t>
  </si>
  <si>
    <t>Signature: ____________ (Project Manager)</t>
  </si>
  <si>
    <t>Safari-Safety Observation Unsafe Act-Sharnam-001</t>
  </si>
  <si>
    <t>Working at height</t>
  </si>
  <si>
    <t>Improper tool use</t>
  </si>
  <si>
    <t>Non-compliance with PPE</t>
  </si>
  <si>
    <t>Poor housekeeping</t>
  </si>
  <si>
    <t>Electrical hazards</t>
  </si>
  <si>
    <t>Others: [Specify]</t>
  </si>
  <si>
    <t>Low</t>
  </si>
  <si>
    <t>Medium</t>
  </si>
  <si>
    <t>High</t>
  </si>
  <si>
    <t>In Progress</t>
  </si>
  <si>
    <t>Site Unsafe Act Report</t>
  </si>
  <si>
    <t>Issued By</t>
  </si>
  <si>
    <t>Issued To</t>
  </si>
  <si>
    <t>Issued On</t>
  </si>
  <si>
    <t>Category</t>
  </si>
  <si>
    <t>Action Taken</t>
  </si>
  <si>
    <t>Unsafe Act at Excavation</t>
  </si>
  <si>
    <t>Unsafe Act at 5th floor</t>
  </si>
  <si>
    <t>PPE kit</t>
  </si>
  <si>
    <t>Closed the work</t>
  </si>
  <si>
    <t>Provided PPE kit to Worker</t>
  </si>
  <si>
    <t>Unsafe Act Summary</t>
  </si>
  <si>
    <t>NCR No</t>
  </si>
  <si>
    <t>Safari-Safety NCR-Sharnam-001</t>
  </si>
  <si>
    <t>Activity/Task</t>
  </si>
  <si>
    <t>[E.g., Excavation, Lifting, Electrical Work]</t>
  </si>
  <si>
    <t>Non-Conformity Description</t>
  </si>
  <si>
    <t>[Detailed explanation of the unsafe condition or action observed]</t>
  </si>
  <si>
    <t>[E.g., Working at Heights, PPE Non-Compliance, Housekeeping, Electrical Hazard, etc.]</t>
  </si>
  <si>
    <t>Observed Risk Level</t>
  </si>
  <si>
    <t>Photos/Attachments</t>
  </si>
  <si>
    <t>[Attach relevant photos, sketches, or supporting documents]</t>
  </si>
  <si>
    <t xml:space="preserve">Low </t>
  </si>
  <si>
    <t>Root Cause Analysis</t>
  </si>
  <si>
    <t>Root Cause</t>
  </si>
  <si>
    <t>[E.g., Lack of training, inadequate supervision, poor planning, defective equipment, etc.]</t>
  </si>
  <si>
    <t>Contributing Factors</t>
  </si>
  <si>
    <t>[Other issues that may have led to the non-conformity]</t>
  </si>
  <si>
    <t>Corrective Actions</t>
  </si>
  <si>
    <t>[Steps taken immediately to mitigate the risk or resolve the issue]</t>
  </si>
  <si>
    <t>Long-Term Corrective Action</t>
  </si>
  <si>
    <t>[Preventive measures to ensure the issue doesn’t reoccur]</t>
  </si>
  <si>
    <t>Responsible Party</t>
  </si>
  <si>
    <t>[Name or department responsible for corrective actions]</t>
  </si>
  <si>
    <t>Target Completion Date</t>
  </si>
  <si>
    <t>Impact Assessment</t>
  </si>
  <si>
    <t>[Yes/No, specify the extent of delay if applicable]</t>
  </si>
  <si>
    <t>[Yes/No, specify the estimated cost impact if applicable]</t>
  </si>
  <si>
    <t>Follow-Up and Close-Out</t>
  </si>
  <si>
    <t>Site Safety Non Conformity Report</t>
  </si>
  <si>
    <t>Non-Conformity Safety Details</t>
  </si>
  <si>
    <t>HSE indicators</t>
  </si>
  <si>
    <t>Up to Previous Week (PW)</t>
  </si>
  <si>
    <t>Current Week (CW)</t>
  </si>
  <si>
    <t>Cumulative</t>
  </si>
  <si>
    <t>Safe-manhours</t>
  </si>
  <si>
    <t>Safe-man-days</t>
  </si>
  <si>
    <t>Toolbox Talk</t>
  </si>
  <si>
    <t>HSE induction</t>
  </si>
  <si>
    <t>HSE trainings</t>
  </si>
  <si>
    <t>Reported Incident/Accident</t>
  </si>
  <si>
    <t>Site safety Instructions</t>
  </si>
  <si>
    <t>NCN Raised</t>
  </si>
  <si>
    <t>SOR Raised</t>
  </si>
  <si>
    <t>FAC</t>
  </si>
  <si>
    <t>Near Miss</t>
  </si>
  <si>
    <t>Total Site Instruction</t>
  </si>
  <si>
    <t>Total Unsafe Act</t>
  </si>
  <si>
    <t>Total NCR</t>
  </si>
  <si>
    <t>NCR Summary</t>
  </si>
  <si>
    <t>Time Impact (Days)</t>
  </si>
  <si>
    <t>Cost Impact (INR)</t>
  </si>
  <si>
    <t>Action Taken by PMC</t>
  </si>
  <si>
    <t>Safe Hours Summary</t>
  </si>
  <si>
    <t>Project Start Date</t>
  </si>
  <si>
    <t>Last Accident Date</t>
  </si>
  <si>
    <t xml:space="preserve">                                                             Hazard Identification &amp; Risk Assessment</t>
  </si>
  <si>
    <t>Sharnam Project Development Consultants</t>
  </si>
  <si>
    <t>ID No :</t>
  </si>
  <si>
    <t>Revision :</t>
  </si>
  <si>
    <t>Name of Project: Safari Industrial Plant</t>
  </si>
  <si>
    <t>Location: Halol GIDC</t>
  </si>
  <si>
    <t>Activity: Execution</t>
  </si>
  <si>
    <t>Approved By:</t>
  </si>
  <si>
    <t>Date:</t>
  </si>
  <si>
    <t>Sr. No.</t>
  </si>
  <si>
    <t>Activity</t>
  </si>
  <si>
    <t>Risk ID</t>
  </si>
  <si>
    <t>Hazard</t>
  </si>
  <si>
    <t>Consequence</t>
  </si>
  <si>
    <t>Legal Concerns (Y/N)</t>
  </si>
  <si>
    <t>Risk Analysis</t>
  </si>
  <si>
    <t>Control Measure</t>
  </si>
  <si>
    <t>Residual Risk</t>
  </si>
  <si>
    <t>Remarks if any</t>
  </si>
  <si>
    <t>Probability</t>
  </si>
  <si>
    <t>Impact</t>
  </si>
  <si>
    <t>Severity</t>
  </si>
  <si>
    <t>A</t>
  </si>
  <si>
    <t>Person working too close to the edge of excavationn</t>
  </si>
  <si>
    <t>A1</t>
  </si>
  <si>
    <t>Fall of person into excavation</t>
  </si>
  <si>
    <t>Major Injury</t>
  </si>
  <si>
    <t>Barricading shall be provided.</t>
  </si>
  <si>
    <t>B</t>
  </si>
  <si>
    <t>Improper house-keeping</t>
  </si>
  <si>
    <t>B1</t>
  </si>
  <si>
    <t>Injury to personnel working near-by</t>
  </si>
  <si>
    <t>Minor Injury</t>
  </si>
  <si>
    <t>Proper house keeping shall be maintained</t>
  </si>
  <si>
    <t>C</t>
  </si>
  <si>
    <t>Concreting</t>
  </si>
  <si>
    <t>C1</t>
  </si>
  <si>
    <t>Earthing of  vibrators not done</t>
  </si>
  <si>
    <t>Can Cause short circuit</t>
  </si>
  <si>
    <t>Ensure earthing of equipment before commencement of work</t>
  </si>
  <si>
    <t>C2</t>
  </si>
  <si>
    <t>Continuous pouring by same gang</t>
  </si>
  <si>
    <t>Cause tiredness of workers and may lead to accident</t>
  </si>
  <si>
    <t>Insist on shift patterns</t>
  </si>
  <si>
    <t>D</t>
  </si>
  <si>
    <t>Bar Bending &amp; Bar Cutting Machine</t>
  </si>
  <si>
    <t>D1</t>
  </si>
  <si>
    <t>Inexperienced operator</t>
  </si>
  <si>
    <t>Ensure complete trained operator to be deployed.</t>
  </si>
  <si>
    <t>D2</t>
  </si>
  <si>
    <t>Defective machine</t>
  </si>
  <si>
    <t>Check machine condition before start</t>
  </si>
  <si>
    <t>D3</t>
  </si>
  <si>
    <t>Loose Electrical connection</t>
  </si>
  <si>
    <t>Fire/Short circuit</t>
  </si>
  <si>
    <t>Electrical connection should connected with ELCB</t>
  </si>
  <si>
    <t>D4</t>
  </si>
  <si>
    <t>Electrical shock</t>
  </si>
  <si>
    <t>Body Earthing provided to machine</t>
  </si>
  <si>
    <t>D5</t>
  </si>
  <si>
    <t>Hit by material</t>
  </si>
  <si>
    <t>Trained operator prrovided</t>
  </si>
  <si>
    <t>D6</t>
  </si>
  <si>
    <t>Defective blades</t>
  </si>
  <si>
    <t>Check blade condition</t>
  </si>
  <si>
    <t>E</t>
  </si>
  <si>
    <t>Reinforcement work</t>
  </si>
  <si>
    <t>E1</t>
  </si>
  <si>
    <t>During unloading rods from truck deck</t>
  </si>
  <si>
    <t xml:space="preserve">Injuries to the person due to hit while unloding rods </t>
  </si>
  <si>
    <t>Unload bars from trailers as closer as possible to work area</t>
  </si>
  <si>
    <t>E2</t>
  </si>
  <si>
    <t>Cutting of rods</t>
  </si>
  <si>
    <t xml:space="preserve">Person may injured his finger or hand </t>
  </si>
  <si>
    <t>Observe careful hand placement</t>
  </si>
  <si>
    <t>E3</t>
  </si>
  <si>
    <t>Carrying of rods for long distance</t>
  </si>
  <si>
    <t>Carrying of rods for short distance</t>
  </si>
  <si>
    <t>Use proper lifting techniques</t>
  </si>
  <si>
    <t>E4</t>
  </si>
  <si>
    <t>Bending of rods</t>
  </si>
  <si>
    <t>Get help with heavy / awkward bars</t>
  </si>
  <si>
    <t>F</t>
  </si>
  <si>
    <t>Formwork</t>
  </si>
  <si>
    <t>F1</t>
  </si>
  <si>
    <t>Working with cutting tools</t>
  </si>
  <si>
    <t>May cause hand injury</t>
  </si>
  <si>
    <t>Observe position of machine and work accordingly</t>
  </si>
  <si>
    <t>F2</t>
  </si>
  <si>
    <t>Falling of shuttering materials</t>
  </si>
  <si>
    <t>Safety net should be provided</t>
  </si>
  <si>
    <t>G</t>
  </si>
  <si>
    <t>Preparation of shuttering</t>
  </si>
  <si>
    <t>G1</t>
  </si>
  <si>
    <t>Nails not stacked properly</t>
  </si>
  <si>
    <t>Eye Injury</t>
  </si>
  <si>
    <t>Use magnet for collection of nails</t>
  </si>
  <si>
    <t>G2</t>
  </si>
  <si>
    <t>Use of loose hammer</t>
  </si>
  <si>
    <t>Use good condition of hammer</t>
  </si>
  <si>
    <t>H</t>
  </si>
  <si>
    <t>Erection of shuttering on height</t>
  </si>
  <si>
    <t>H1</t>
  </si>
  <si>
    <t>Fall of person</t>
  </si>
  <si>
    <t xml:space="preserve">Safety belt should be provided </t>
  </si>
  <si>
    <t>H2</t>
  </si>
  <si>
    <t>Fall of material</t>
  </si>
  <si>
    <t>I</t>
  </si>
  <si>
    <t xml:space="preserve">Walkway jellies laying/ removing </t>
  </si>
  <si>
    <t>I1</t>
  </si>
  <si>
    <t>Fall of jallies</t>
  </si>
  <si>
    <t>Walkway jallies should be bend with bending wires</t>
  </si>
  <si>
    <t>J</t>
  </si>
  <si>
    <t>Concrete Pumping</t>
  </si>
  <si>
    <t>J1</t>
  </si>
  <si>
    <t>Failure of equipment while working</t>
  </si>
  <si>
    <t>Injuries/ fatal/ fracture and equipment damage</t>
  </si>
  <si>
    <t>Check equipment before commencement of  work</t>
  </si>
  <si>
    <t>K</t>
  </si>
  <si>
    <t>Handling &amp; Stacking of scaffold materia</t>
  </si>
  <si>
    <t>K1</t>
  </si>
  <si>
    <t>Fall of material while loading &amp; unloading</t>
  </si>
  <si>
    <t>Injuries &amp; fracture</t>
  </si>
  <si>
    <t>Do not lift the materials with bundle ties and to be unloaded with suitablelifting equipments</t>
  </si>
  <si>
    <t>K2</t>
  </si>
  <si>
    <t>Improper stacking</t>
  </si>
  <si>
    <t>Material should be stacked in stable manner and must be barricaded</t>
  </si>
  <si>
    <t>L</t>
  </si>
  <si>
    <t>Working on scaffolding at height</t>
  </si>
  <si>
    <t>L1</t>
  </si>
  <si>
    <t>Insufficient width of scaffold work platform</t>
  </si>
  <si>
    <t>Injury/fatal</t>
  </si>
  <si>
    <t>Proper width should be provided for working</t>
  </si>
  <si>
    <t>M</t>
  </si>
  <si>
    <t>Use portable electrical power tools and electrical equipments</t>
  </si>
  <si>
    <t>M1</t>
  </si>
  <si>
    <t>Electrical shock and burn injury</t>
  </si>
  <si>
    <t>N</t>
  </si>
  <si>
    <t>Lifting of material</t>
  </si>
  <si>
    <t>N1</t>
  </si>
  <si>
    <t>Failure of lifting gear, improper rigging</t>
  </si>
  <si>
    <t>Fall of material from height, damages to material, man power</t>
  </si>
  <si>
    <t>To ensure safety checklist before commencing work</t>
  </si>
  <si>
    <t>N2</t>
  </si>
  <si>
    <t>Hit by object due with rapid speed of lowering hoist/hook.</t>
  </si>
  <si>
    <t>Close supervision is required</t>
  </si>
  <si>
    <t>O</t>
  </si>
  <si>
    <t>Other risk related to project</t>
  </si>
  <si>
    <t>O1</t>
  </si>
  <si>
    <t>Fire Hazard</t>
  </si>
  <si>
    <t>Major burn injuries</t>
  </si>
  <si>
    <t xml:space="preserve">Fire enstigushier should be provided </t>
  </si>
  <si>
    <t>O2</t>
  </si>
  <si>
    <t>Inflation in material rate</t>
  </si>
  <si>
    <t>Increase cost more than estimated</t>
  </si>
  <si>
    <t>Proper procurement strategy should be provided</t>
  </si>
  <si>
    <t>O3</t>
  </si>
  <si>
    <t>Change in scope</t>
  </si>
  <si>
    <t xml:space="preserve">Delay in project </t>
  </si>
  <si>
    <t>Changes should be done as per the client's requirements and cost should be revised</t>
  </si>
  <si>
    <t>O4</t>
  </si>
  <si>
    <t xml:space="preserve">Labour shortage </t>
  </si>
  <si>
    <t>More sub contractors should be procured to mitigate labour shortage</t>
  </si>
  <si>
    <t>O5</t>
  </si>
  <si>
    <t>Force Majure</t>
  </si>
  <si>
    <t xml:space="preserve">Various Policies and Insurance should be taken by contractor </t>
  </si>
  <si>
    <t>Unsafe Act</t>
  </si>
  <si>
    <t>Weekley Safe - Hours</t>
  </si>
  <si>
    <t>Total Incidents</t>
  </si>
  <si>
    <t>Weekley Safe Man Hours</t>
  </si>
  <si>
    <t>Cumulative Safe - Hours</t>
  </si>
  <si>
    <t>Total Safe man Hours</t>
  </si>
  <si>
    <t>NC Category</t>
  </si>
  <si>
    <t>Harassment</t>
  </si>
  <si>
    <t>Psychological</t>
  </si>
  <si>
    <t>Illness</t>
  </si>
  <si>
    <t>Injury</t>
  </si>
  <si>
    <t>Tool Box Talk</t>
  </si>
  <si>
    <t>This Week</t>
  </si>
  <si>
    <t>HSE Induction</t>
  </si>
  <si>
    <t>Safety Mantra - Week #</t>
  </si>
  <si>
    <t xml:space="preserve">Major Safety Incident -This  Week </t>
  </si>
  <si>
    <t>" No Job is so Difficult that we cannot do it Safely"</t>
  </si>
  <si>
    <t>Working without Rope &gt; 3m</t>
  </si>
  <si>
    <t>Safety Dashboard - Week 2 - Date #-#-##</t>
  </si>
  <si>
    <t xml:space="preserve"> Unsafe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</si>
</sst>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0"/>
      <color indexed="9"/>
      <name val="Calibri Light"/>
      <family val="2"/>
    </font>
    <font>
      <b/>
      <sz val="11"/>
      <color theme="1"/>
      <name val="Calibri Light"/>
      <family val="2"/>
    </font>
    <font>
      <b/>
      <sz val="11"/>
      <color rgb="FFC00000"/>
      <name val="Calibri Light"/>
      <family val="2"/>
    </font>
    <font>
      <b/>
      <sz val="11"/>
      <name val="Calibri Light"/>
      <family val="2"/>
    </font>
    <font>
      <b/>
      <sz val="18"/>
      <color theme="0"/>
      <name val="Calibri Light"/>
      <family val="2"/>
    </font>
    <font>
      <b/>
      <sz val="11"/>
      <color theme="0"/>
      <name val="Calibri Light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 Light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Artifakt Element"/>
      <family val="2"/>
    </font>
    <font>
      <sz val="12"/>
      <color theme="1"/>
      <name val="Artifakt Elemen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4"/>
      <color theme="1"/>
      <name val="Calibri"/>
      <family val="2"/>
    </font>
    <font>
      <sz val="36"/>
      <color theme="1"/>
      <name val="Calibri"/>
      <family val="2"/>
    </font>
    <font>
      <b/>
      <sz val="28"/>
      <color theme="0"/>
      <name val="Aptos Narrow"/>
      <family val="2"/>
      <scheme val="minor"/>
    </font>
    <font>
      <b/>
      <sz val="16"/>
      <color rgb="FFC00000"/>
      <name val="Calibri"/>
      <family val="2"/>
    </font>
    <font>
      <b/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3"/>
      <color theme="0"/>
      <name val="Calibri"/>
      <family val="2"/>
    </font>
    <font>
      <b/>
      <i/>
      <sz val="24"/>
      <color theme="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15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7B71"/>
        <bgColor indexed="64"/>
      </patternFill>
    </fill>
    <fill>
      <patternFill patternType="darkDown">
        <bgColor theme="0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1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2" xfId="0" applyFont="1" applyBorder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0" xfId="0" applyAlignment="1">
      <alignment horizontal="left" vertical="center"/>
    </xf>
    <xf numFmtId="0" fontId="14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7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2" xfId="0" applyFill="1" applyBorder="1"/>
    <xf numFmtId="0" fontId="11" fillId="7" borderId="1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7" borderId="14" xfId="0" applyFont="1" applyFill="1" applyBorder="1"/>
    <xf numFmtId="0" fontId="11" fillId="7" borderId="0" xfId="0" applyFont="1" applyFill="1"/>
    <xf numFmtId="0" fontId="0" fillId="7" borderId="21" xfId="0" applyFill="1" applyBorder="1"/>
    <xf numFmtId="0" fontId="4" fillId="7" borderId="21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4" fillId="7" borderId="22" xfId="0" applyFont="1" applyFill="1" applyBorder="1" applyAlignment="1">
      <alignment horizontal="left" vertical="center" wrapText="1"/>
    </xf>
    <xf numFmtId="0" fontId="0" fillId="7" borderId="26" xfId="0" applyFill="1" applyBorder="1"/>
    <xf numFmtId="0" fontId="0" fillId="7" borderId="27" xfId="0" applyFill="1" applyBorder="1"/>
    <xf numFmtId="0" fontId="6" fillId="3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14" fontId="5" fillId="4" borderId="8" xfId="0" applyNumberFormat="1" applyFont="1" applyFill="1" applyBorder="1" applyAlignment="1">
      <alignment horizontal="center" vertical="center" wrapText="1"/>
    </xf>
    <xf numFmtId="14" fontId="5" fillId="4" borderId="9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20" fillId="0" borderId="40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19" fillId="0" borderId="1" xfId="0" applyFont="1" applyBorder="1"/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0" fontId="20" fillId="0" borderId="3" xfId="0" applyFont="1" applyBorder="1"/>
    <xf numFmtId="0" fontId="19" fillId="0" borderId="2" xfId="0" applyFont="1" applyBorder="1" applyAlignment="1">
      <alignment vertical="center" textRotation="90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17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43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2" xfId="0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5" fillId="0" borderId="0" xfId="0" applyFont="1" applyAlignment="1">
      <alignment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/>
    <xf numFmtId="0" fontId="0" fillId="7" borderId="35" xfId="0" applyFill="1" applyBorder="1" applyAlignment="1">
      <alignment horizontal="center"/>
    </xf>
    <xf numFmtId="0" fontId="0" fillId="7" borderId="36" xfId="0" applyFill="1" applyBorder="1"/>
    <xf numFmtId="0" fontId="0" fillId="7" borderId="21" xfId="0" applyFill="1" applyBorder="1" applyAlignment="1">
      <alignment horizontal="center" vertical="center"/>
    </xf>
    <xf numFmtId="0" fontId="0" fillId="7" borderId="25" xfId="0" applyFill="1" applyBorder="1"/>
    <xf numFmtId="0" fontId="0" fillId="10" borderId="50" xfId="0" applyFill="1" applyBorder="1"/>
    <xf numFmtId="0" fontId="0" fillId="10" borderId="51" xfId="0" applyFill="1" applyBorder="1"/>
    <xf numFmtId="0" fontId="25" fillId="9" borderId="34" xfId="0" applyFont="1" applyFill="1" applyBorder="1" applyAlignment="1">
      <alignment horizontal="center" vertical="center"/>
    </xf>
    <xf numFmtId="0" fontId="25" fillId="9" borderId="36" xfId="0" applyFont="1" applyFill="1" applyBorder="1" applyAlignment="1">
      <alignment horizontal="center" vertical="center"/>
    </xf>
    <xf numFmtId="0" fontId="25" fillId="9" borderId="2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9" borderId="2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22" xfId="0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7" fillId="2" borderId="22" xfId="0" applyFont="1" applyFill="1" applyBorder="1" applyAlignment="1">
      <alignment horizontal="center" vertical="center"/>
    </xf>
    <xf numFmtId="0" fontId="24" fillId="8" borderId="21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1" fillId="9" borderId="16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21" fillId="9" borderId="24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2" fillId="8" borderId="21" xfId="0" applyFont="1" applyFill="1" applyBorder="1" applyAlignment="1">
      <alignment horizontal="center" vertical="center"/>
    </xf>
    <xf numFmtId="0" fontId="21" fillId="9" borderId="32" xfId="0" applyFont="1" applyFill="1" applyBorder="1" applyAlignment="1">
      <alignment horizontal="center" vertical="center"/>
    </xf>
    <xf numFmtId="0" fontId="22" fillId="8" borderId="31" xfId="0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25" xfId="0" applyFill="1" applyBorder="1" applyAlignment="1">
      <alignment horizontal="left" vertical="center"/>
    </xf>
    <xf numFmtId="0" fontId="0" fillId="7" borderId="26" xfId="0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6" xfId="0" applyFill="1" applyBorder="1" applyAlignment="1">
      <alignment horizontal="left"/>
    </xf>
    <xf numFmtId="0" fontId="0" fillId="7" borderId="27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4" fillId="7" borderId="34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0" fontId="0" fillId="7" borderId="22" xfId="0" applyFill="1" applyBorder="1" applyAlignment="1">
      <alignment horizontal="left" vertical="center" wrapText="1"/>
    </xf>
    <xf numFmtId="0" fontId="0" fillId="7" borderId="21" xfId="0" applyFill="1" applyBorder="1" applyAlignment="1">
      <alignment horizontal="left" vertical="center" wrapText="1"/>
    </xf>
    <xf numFmtId="0" fontId="11" fillId="7" borderId="37" xfId="0" applyFont="1" applyFill="1" applyBorder="1" applyAlignment="1">
      <alignment horizontal="left"/>
    </xf>
    <xf numFmtId="0" fontId="11" fillId="7" borderId="16" xfId="0" applyFont="1" applyFill="1" applyBorder="1" applyAlignment="1">
      <alignment horizontal="left"/>
    </xf>
    <xf numFmtId="0" fontId="11" fillId="7" borderId="32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11" fillId="7" borderId="2" xfId="0" applyFont="1" applyFill="1" applyBorder="1" applyAlignment="1">
      <alignment horizontal="left"/>
    </xf>
    <xf numFmtId="0" fontId="11" fillId="7" borderId="13" xfId="0" applyFont="1" applyFill="1" applyBorder="1" applyAlignment="1">
      <alignment horizontal="left" vertical="center"/>
    </xf>
    <xf numFmtId="0" fontId="11" fillId="7" borderId="11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/>
    </xf>
    <xf numFmtId="0" fontId="11" fillId="7" borderId="17" xfId="0" applyFont="1" applyFill="1" applyBorder="1" applyAlignment="1">
      <alignment horizontal="left" vertical="center"/>
    </xf>
    <xf numFmtId="0" fontId="9" fillId="7" borderId="18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left"/>
    </xf>
    <xf numFmtId="0" fontId="11" fillId="7" borderId="11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left" vertical="center"/>
    </xf>
    <xf numFmtId="0" fontId="9" fillId="7" borderId="28" xfId="0" applyFont="1" applyFill="1" applyBorder="1" applyAlignment="1">
      <alignment horizontal="left" vertical="center" wrapText="1"/>
    </xf>
    <xf numFmtId="0" fontId="9" fillId="7" borderId="29" xfId="0" applyFont="1" applyFill="1" applyBorder="1" applyAlignment="1">
      <alignment horizontal="left" vertical="center" wrapText="1"/>
    </xf>
    <xf numFmtId="0" fontId="9" fillId="7" borderId="30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left"/>
    </xf>
    <xf numFmtId="0" fontId="0" fillId="7" borderId="31" xfId="0" applyFill="1" applyBorder="1" applyAlignment="1">
      <alignment horizontal="left"/>
    </xf>
    <xf numFmtId="0" fontId="0" fillId="7" borderId="23" xfId="0" applyFill="1" applyBorder="1" applyAlignment="1">
      <alignment horizontal="left" vertical="center"/>
    </xf>
    <xf numFmtId="0" fontId="0" fillId="7" borderId="15" xfId="0" applyFill="1" applyBorder="1" applyAlignment="1">
      <alignment horizontal="left" vertical="center"/>
    </xf>
    <xf numFmtId="0" fontId="0" fillId="7" borderId="24" xfId="0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0" fillId="7" borderId="3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4" fillId="7" borderId="2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28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horizontal="left" vertical="center" wrapText="1"/>
    </xf>
    <xf numFmtId="0" fontId="4" fillId="7" borderId="30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44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7" xfId="0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textRotation="90"/>
    </xf>
    <xf numFmtId="0" fontId="19" fillId="0" borderId="44" xfId="0" applyFont="1" applyBorder="1" applyAlignment="1">
      <alignment horizontal="center" vertical="center" textRotation="90"/>
    </xf>
    <xf numFmtId="0" fontId="19" fillId="0" borderId="17" xfId="0" applyFont="1" applyBorder="1" applyAlignment="1">
      <alignment horizontal="center" vertical="center" textRotation="90" wrapText="1"/>
    </xf>
    <xf numFmtId="0" fontId="19" fillId="0" borderId="45" xfId="0" applyFont="1" applyBorder="1" applyAlignment="1">
      <alignment horizontal="center" vertical="center" textRotation="90" wrapText="1"/>
    </xf>
    <xf numFmtId="0" fontId="19" fillId="0" borderId="17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3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28" fillId="7" borderId="0" xfId="0" applyFont="1" applyFill="1" applyAlignment="1">
      <alignment horizontal="center" vertical="center" wrapText="1"/>
    </xf>
    <xf numFmtId="0" fontId="28" fillId="7" borderId="22" xfId="0" applyFont="1" applyFill="1" applyBorder="1" applyAlignment="1">
      <alignment horizontal="center" vertical="center" wrapText="1"/>
    </xf>
  </cellXfs>
  <cellStyles count="2">
    <cellStyle name="Normal" xfId="0" builtinId="0"/>
    <cellStyle name="Normal 2 5" xfId="1" xr:uid="{AB4C8FDC-54C7-4DDA-A019-83663788AC4C}"/>
  </cellStyles>
  <dxfs count="16"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FB978"/>
      <color rgb="FF58DABE"/>
      <color rgb="FFFB7B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91578711201818"/>
          <c:y val="0.12758262800022416"/>
          <c:w val="0.57944338287281261"/>
          <c:h val="0.84448880389255643"/>
        </c:manualLayout>
      </c:layout>
      <c:doughnutChart>
        <c:varyColors val="1"/>
        <c:ser>
          <c:idx val="0"/>
          <c:order val="0"/>
          <c:tx>
            <c:strRef>
              <c:f>'One Pager'!$B$87</c:f>
              <c:strCache>
                <c:ptCount val="1"/>
                <c:pt idx="0">
                  <c:v>NCR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68-464E-B4C3-905462E8360B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68-464E-B4C3-905462E836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'One Pager'!$C$86:$D$86</c:f>
              <c:strCache>
                <c:ptCount val="2"/>
                <c:pt idx="0">
                  <c:v>Open</c:v>
                </c:pt>
                <c:pt idx="1">
                  <c:v>Closed</c:v>
                </c:pt>
              </c:strCache>
            </c:strRef>
          </c:cat>
          <c:val>
            <c:numRef>
              <c:f>'One Pager'!$C$87:$D$87</c:f>
              <c:numCache>
                <c:formatCode>General</c:formatCode>
                <c:ptCount val="2"/>
                <c:pt idx="0">
                  <c:v>11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6-4E6E-B3A6-1186E3D1D5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'One Pager'!$C$78</c:f>
              <c:strCache>
                <c:ptCount val="1"/>
                <c:pt idx="0">
                  <c:v>Open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'One Pager'!$B$79:$B$81</c:f>
              <c:strCache>
                <c:ptCount val="3"/>
                <c:pt idx="0">
                  <c:v>Site instruction </c:v>
                </c:pt>
                <c:pt idx="1">
                  <c:v>Unsafe Act</c:v>
                </c:pt>
                <c:pt idx="2">
                  <c:v>NCR</c:v>
                </c:pt>
              </c:strCache>
            </c:strRef>
          </c:cat>
          <c:val>
            <c:numRef>
              <c:f>'One Pager'!$C$79:$C$81</c:f>
              <c:numCache>
                <c:formatCode>General</c:formatCode>
                <c:ptCount val="3"/>
                <c:pt idx="0">
                  <c:v>6</c:v>
                </c:pt>
                <c:pt idx="1">
                  <c:v>39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8-46A5-8A57-FCA51EEE3ACF}"/>
            </c:ext>
          </c:extLst>
        </c:ser>
        <c:ser>
          <c:idx val="1"/>
          <c:order val="1"/>
          <c:tx>
            <c:strRef>
              <c:f>'One Pager'!$D$78</c:f>
              <c:strCache>
                <c:ptCount val="1"/>
                <c:pt idx="0">
                  <c:v>Closed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'One Pager'!$B$79:$B$81</c:f>
              <c:strCache>
                <c:ptCount val="3"/>
                <c:pt idx="0">
                  <c:v>Site instruction </c:v>
                </c:pt>
                <c:pt idx="1">
                  <c:v>Unsafe Act</c:v>
                </c:pt>
                <c:pt idx="2">
                  <c:v>NCR</c:v>
                </c:pt>
              </c:strCache>
            </c:strRef>
          </c:cat>
          <c:val>
            <c:numRef>
              <c:f>'One Pager'!$D$79:$D$81</c:f>
              <c:numCache>
                <c:formatCode>General</c:formatCode>
                <c:ptCount val="3"/>
                <c:pt idx="0">
                  <c:v>17</c:v>
                </c:pt>
                <c:pt idx="1">
                  <c:v>43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8-46A5-8A57-FCA51EEE3A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68698608"/>
        <c:axId val="868699328"/>
      </c:barChart>
      <c:catAx>
        <c:axId val="86869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99328"/>
        <c:crosses val="autoZero"/>
        <c:auto val="1"/>
        <c:lblAlgn val="ctr"/>
        <c:lblOffset val="100"/>
        <c:noMultiLvlLbl val="0"/>
      </c:catAx>
      <c:valAx>
        <c:axId val="86869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98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759050</xdr:colOff>
      <xdr:row>13</xdr:row>
      <xdr:rowOff>160967</xdr:rowOff>
    </xdr:from>
    <xdr:to>
      <xdr:col>10</xdr:col>
      <xdr:colOff>69302</xdr:colOff>
      <xdr:row>25</xdr:row>
      <xdr:rowOff>89838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1E3B23C-8562-45BC-8C0A-BC7D49C0DEB5}"/>
            </a:ext>
          </a:extLst>
        </xdr:cNvPr>
        <xdr:cNvSpPr/>
      </xdr:nvSpPr>
      <xdr:spPr>
        <a:xfrm>
          <a:off x="6265578" y="2633873"/>
          <a:ext cx="3077120" cy="2904984"/>
        </a:xfrm>
        <a:prstGeom prst="ellipse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6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159761</xdr:colOff>
      <xdr:row>15</xdr:row>
      <xdr:rowOff>13575</xdr:rowOff>
    </xdr:from>
    <xdr:to>
      <xdr:col>9</xdr:col>
      <xdr:colOff>945137</xdr:colOff>
      <xdr:row>25</xdr:row>
      <xdr:rowOff>78499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F15EEEA-5C43-A0EC-E57F-60D68D56AB08}"/>
            </a:ext>
          </a:extLst>
        </xdr:cNvPr>
        <xdr:cNvSpPr/>
      </xdr:nvSpPr>
      <xdr:spPr>
        <a:xfrm>
          <a:off x="6428289" y="2860292"/>
          <a:ext cx="2740697" cy="2667226"/>
        </a:xfrm>
        <a:prstGeom prst="ellipse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5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21</a:t>
          </a:r>
        </a:p>
        <a:p>
          <a:pPr algn="ctr"/>
          <a:r>
            <a:rPr lang="en-IN" sz="2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Days</a:t>
          </a:r>
        </a:p>
        <a:p>
          <a:pPr algn="ctr"/>
          <a:r>
            <a:rPr lang="en-IN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Since</a:t>
          </a:r>
          <a:r>
            <a:rPr lang="en-IN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Last Accident</a:t>
          </a:r>
          <a:endParaRPr lang="en-IN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oneCell">
    <xdr:from>
      <xdr:col>13</xdr:col>
      <xdr:colOff>91656</xdr:colOff>
      <xdr:row>2</xdr:row>
      <xdr:rowOff>27288</xdr:rowOff>
    </xdr:from>
    <xdr:to>
      <xdr:col>13</xdr:col>
      <xdr:colOff>1555898</xdr:colOff>
      <xdr:row>4</xdr:row>
      <xdr:rowOff>166459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160924-6CB5-4841-8D2B-92D369AE8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4031" y="408288"/>
          <a:ext cx="1464242" cy="520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29896</xdr:rowOff>
    </xdr:from>
    <xdr:to>
      <xdr:col>1</xdr:col>
      <xdr:colOff>705696</xdr:colOff>
      <xdr:row>4</xdr:row>
      <xdr:rowOff>168016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FD5CBF-13AC-4AE4-B4BD-3033C221A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0896"/>
          <a:ext cx="1467696" cy="5191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5</xdr:col>
      <xdr:colOff>0</xdr:colOff>
      <xdr:row>41</xdr:row>
      <xdr:rowOff>32426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38C0D97-F257-CED4-6E6A-63F6E393C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965079</xdr:colOff>
      <xdr:row>25</xdr:row>
      <xdr:rowOff>301924</xdr:rowOff>
    </xdr:from>
    <xdr:to>
      <xdr:col>11</xdr:col>
      <xdr:colOff>201282</xdr:colOff>
      <xdr:row>42</xdr:row>
      <xdr:rowOff>126324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8D47350-F163-4299-BB3F-F7BF6C4B0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18360</xdr:colOff>
      <xdr:row>16</xdr:row>
      <xdr:rowOff>233869</xdr:rowOff>
    </xdr:from>
    <xdr:to>
      <xdr:col>14</xdr:col>
      <xdr:colOff>-1</xdr:colOff>
      <xdr:row>25</xdr:row>
      <xdr:rowOff>215660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CABF511-E00C-9894-1E74-A41184A4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43228" y="3353756"/>
          <a:ext cx="3619111" cy="231092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493A-854A-4763-945A-0E84C36D748A}">
  <sheetPr>
    <tabColor rgb="FFFFC000"/>
  </sheetPr>
  <dimension ref="A1:O87"/>
  <sheetViews>
    <sheetView tabSelected="1" topLeftCell="A2" zoomScale="53" zoomScaleNormal="69" workbookViewId="0">
      <selection activeCell="Y23" sqref="Y23"/>
    </sheetView>
  </sheetViews>
  <sheetFormatPr defaultRowHeight="14.4" x14ac:dyDescent="0.3"/>
  <cols>
    <col min="1" max="1" width="11.109375" style="1" customWidth="1"/>
    <col min="2" max="2" width="19.77734375" bestFit="1" customWidth="1"/>
    <col min="3" max="3" width="9.77734375" style="24" bestFit="1" customWidth="1"/>
    <col min="4" max="4" width="11.109375" style="24" customWidth="1"/>
    <col min="5" max="5" width="19.77734375" style="24" bestFit="1" customWidth="1"/>
    <col min="7" max="7" width="11.109375" customWidth="1"/>
    <col min="8" max="8" width="19.77734375" customWidth="1"/>
    <col min="10" max="10" width="15.21875" customWidth="1"/>
    <col min="11" max="11" width="19.77734375" bestFit="1" customWidth="1"/>
    <col min="13" max="13" width="21" customWidth="1"/>
    <col min="14" max="14" width="23.21875" customWidth="1"/>
    <col min="15" max="15" width="1.21875" customWidth="1"/>
  </cols>
  <sheetData>
    <row r="1" spans="1:15" x14ac:dyDescent="0.3">
      <c r="A1" s="38"/>
      <c r="B1" s="39"/>
      <c r="C1" s="40"/>
      <c r="D1" s="40"/>
      <c r="E1" s="40"/>
      <c r="F1" s="39"/>
      <c r="G1" s="39"/>
      <c r="H1" s="39"/>
      <c r="I1" s="39"/>
      <c r="J1" s="39"/>
      <c r="K1" s="39"/>
      <c r="L1" s="39"/>
      <c r="M1" s="39"/>
      <c r="N1" s="39"/>
    </row>
    <row r="2" spans="1:15" x14ac:dyDescent="0.3">
      <c r="A2" s="38"/>
      <c r="B2" s="39"/>
      <c r="C2" s="40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</row>
    <row r="3" spans="1:15" ht="14.4" customHeight="1" x14ac:dyDescent="0.3">
      <c r="A3" s="125" t="s">
        <v>341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5" ht="14.4" customHeight="1" x14ac:dyDescent="0.3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</row>
    <row r="5" spans="1:15" ht="14.4" customHeight="1" thickBot="1" x14ac:dyDescent="0.3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</row>
    <row r="6" spans="1:15" x14ac:dyDescent="0.3">
      <c r="A6" s="95"/>
      <c r="B6" s="96"/>
      <c r="C6" s="97"/>
      <c r="D6" s="97"/>
      <c r="E6" s="97"/>
      <c r="F6" s="96"/>
      <c r="G6" s="96"/>
      <c r="H6" s="96"/>
      <c r="I6" s="96"/>
      <c r="J6" s="96"/>
      <c r="K6" s="96"/>
      <c r="L6" s="96"/>
      <c r="M6" s="96"/>
      <c r="N6" s="98"/>
    </row>
    <row r="7" spans="1:15" x14ac:dyDescent="0.3">
      <c r="A7" s="99"/>
      <c r="B7" s="39"/>
      <c r="C7" s="40"/>
      <c r="D7" s="40"/>
      <c r="E7" s="40"/>
      <c r="F7" s="39"/>
      <c r="G7" s="39"/>
      <c r="H7" s="39"/>
      <c r="I7" s="39"/>
      <c r="J7" s="39"/>
      <c r="K7" s="39"/>
      <c r="L7" s="39"/>
      <c r="M7" s="39"/>
      <c r="N7" s="44"/>
    </row>
    <row r="8" spans="1:15" ht="18" x14ac:dyDescent="0.3">
      <c r="A8" s="119" t="s">
        <v>325</v>
      </c>
      <c r="B8" s="115"/>
      <c r="C8" s="118"/>
      <c r="D8" s="115" t="s">
        <v>148</v>
      </c>
      <c r="E8" s="115"/>
      <c r="F8" s="118"/>
      <c r="G8" s="115" t="s">
        <v>149</v>
      </c>
      <c r="H8" s="115"/>
      <c r="I8" s="118"/>
      <c r="J8" s="115" t="s">
        <v>324</v>
      </c>
      <c r="K8" s="115"/>
      <c r="L8" s="118"/>
      <c r="M8" s="115" t="s">
        <v>327</v>
      </c>
      <c r="N8" s="122"/>
      <c r="O8" s="39"/>
    </row>
    <row r="9" spans="1:15" ht="14.4" customHeight="1" x14ac:dyDescent="0.3">
      <c r="A9" s="120">
        <f>B69</f>
        <v>23</v>
      </c>
      <c r="B9" s="116"/>
      <c r="C9" s="118"/>
      <c r="D9" s="116">
        <f>B70</f>
        <v>82</v>
      </c>
      <c r="E9" s="116"/>
      <c r="F9" s="118"/>
      <c r="G9" s="116">
        <f>B71</f>
        <v>16</v>
      </c>
      <c r="H9" s="116"/>
      <c r="I9" s="118"/>
      <c r="J9" s="116">
        <f>B72</f>
        <v>1350</v>
      </c>
      <c r="K9" s="116"/>
      <c r="L9" s="118"/>
      <c r="M9" s="116">
        <f>B73</f>
        <v>7670</v>
      </c>
      <c r="N9" s="123"/>
      <c r="O9" s="39"/>
    </row>
    <row r="10" spans="1:15" ht="14.4" customHeight="1" x14ac:dyDescent="0.3">
      <c r="A10" s="121"/>
      <c r="B10" s="117"/>
      <c r="C10" s="118"/>
      <c r="D10" s="117"/>
      <c r="E10" s="117"/>
      <c r="F10" s="118"/>
      <c r="G10" s="117"/>
      <c r="H10" s="117"/>
      <c r="I10" s="118"/>
      <c r="J10" s="117"/>
      <c r="K10" s="117"/>
      <c r="L10" s="118"/>
      <c r="M10" s="117"/>
      <c r="N10" s="124"/>
      <c r="O10" s="39"/>
    </row>
    <row r="11" spans="1:15" ht="14.4" customHeight="1" x14ac:dyDescent="0.3">
      <c r="A11" s="121"/>
      <c r="B11" s="117"/>
      <c r="C11" s="118"/>
      <c r="D11" s="117"/>
      <c r="E11" s="117"/>
      <c r="F11" s="118"/>
      <c r="G11" s="117"/>
      <c r="H11" s="117"/>
      <c r="I11" s="118"/>
      <c r="J11" s="117"/>
      <c r="K11" s="117"/>
      <c r="L11" s="118"/>
      <c r="M11" s="117"/>
      <c r="N11" s="124"/>
      <c r="O11" s="39"/>
    </row>
    <row r="12" spans="1:15" ht="14.4" customHeight="1" x14ac:dyDescent="0.3">
      <c r="A12" s="121"/>
      <c r="B12" s="117"/>
      <c r="C12" s="118"/>
      <c r="D12" s="117"/>
      <c r="E12" s="117"/>
      <c r="F12" s="118"/>
      <c r="G12" s="117"/>
      <c r="H12" s="117"/>
      <c r="I12" s="118"/>
      <c r="J12" s="117"/>
      <c r="K12" s="117"/>
      <c r="L12" s="118"/>
      <c r="M12" s="117"/>
      <c r="N12" s="124"/>
      <c r="O12" s="39"/>
    </row>
    <row r="13" spans="1:15" ht="14.4" customHeight="1" x14ac:dyDescent="0.3">
      <c r="A13" s="121"/>
      <c r="B13" s="117"/>
      <c r="C13" s="118"/>
      <c r="D13" s="117"/>
      <c r="E13" s="117"/>
      <c r="F13" s="118"/>
      <c r="G13" s="117"/>
      <c r="H13" s="117"/>
      <c r="I13" s="118"/>
      <c r="J13" s="117"/>
      <c r="K13" s="117"/>
      <c r="L13" s="118"/>
      <c r="M13" s="117"/>
      <c r="N13" s="124"/>
      <c r="O13" s="39"/>
    </row>
    <row r="14" spans="1:15" x14ac:dyDescent="0.3">
      <c r="A14" s="48"/>
      <c r="B14" s="40"/>
      <c r="C14" s="40"/>
      <c r="D14" s="40"/>
      <c r="E14" s="39"/>
      <c r="F14" s="39"/>
      <c r="G14" s="39"/>
      <c r="H14" s="39"/>
      <c r="I14" s="39"/>
      <c r="J14" s="39"/>
      <c r="K14" s="39"/>
      <c r="L14" s="39"/>
      <c r="M14" s="39"/>
      <c r="N14" s="44"/>
      <c r="O14" s="39"/>
    </row>
    <row r="15" spans="1:15" x14ac:dyDescent="0.3">
      <c r="A15" s="48"/>
      <c r="B15" s="40"/>
      <c r="C15" s="40"/>
      <c r="D15" s="40"/>
      <c r="E15" s="39"/>
      <c r="F15" s="39"/>
      <c r="G15" s="39"/>
      <c r="H15" s="39"/>
      <c r="I15" s="39"/>
      <c r="J15" s="39"/>
      <c r="K15" s="39"/>
      <c r="L15" s="39"/>
      <c r="M15" s="39"/>
      <c r="N15" s="44"/>
      <c r="O15" s="39"/>
    </row>
    <row r="16" spans="1:15" ht="21" x14ac:dyDescent="0.3">
      <c r="A16" s="119" t="s">
        <v>334</v>
      </c>
      <c r="B16" s="115"/>
      <c r="C16" s="40"/>
      <c r="D16" s="115" t="s">
        <v>336</v>
      </c>
      <c r="E16" s="115"/>
      <c r="F16" s="39"/>
      <c r="G16" s="39"/>
      <c r="H16" s="39"/>
      <c r="I16" s="39"/>
      <c r="J16" s="39"/>
      <c r="K16" s="39"/>
      <c r="L16" s="107" t="s">
        <v>338</v>
      </c>
      <c r="M16" s="107"/>
      <c r="N16" s="108"/>
      <c r="O16" s="39"/>
    </row>
    <row r="17" spans="1:15" ht="19.8" customHeight="1" x14ac:dyDescent="0.3">
      <c r="A17" s="120">
        <f>'Safety Hours'!D11</f>
        <v>7</v>
      </c>
      <c r="B17" s="116"/>
      <c r="C17" s="40"/>
      <c r="D17" s="116">
        <f>'Safety Hours'!D12</f>
        <v>2</v>
      </c>
      <c r="E17" s="116"/>
      <c r="F17" s="39"/>
      <c r="G17" s="39"/>
      <c r="H17" s="39"/>
      <c r="I17" s="39"/>
      <c r="J17" s="39"/>
      <c r="K17" s="39"/>
      <c r="L17" s="111" t="s">
        <v>340</v>
      </c>
      <c r="M17" s="111"/>
      <c r="N17" s="112"/>
      <c r="O17" s="39"/>
    </row>
    <row r="18" spans="1:15" ht="14.4" customHeight="1" x14ac:dyDescent="0.3">
      <c r="A18" s="121"/>
      <c r="B18" s="117"/>
      <c r="C18" s="40"/>
      <c r="D18" s="117"/>
      <c r="E18" s="117"/>
      <c r="F18" s="39"/>
      <c r="G18" s="39"/>
      <c r="H18" s="39"/>
      <c r="I18" s="39"/>
      <c r="J18" s="39"/>
      <c r="K18" s="39"/>
      <c r="L18" s="109"/>
      <c r="M18" s="109"/>
      <c r="N18" s="110"/>
      <c r="O18" s="39"/>
    </row>
    <row r="19" spans="1:15" ht="32.4" customHeight="1" x14ac:dyDescent="0.3">
      <c r="A19" s="113" t="s">
        <v>335</v>
      </c>
      <c r="B19" s="114"/>
      <c r="C19" s="40"/>
      <c r="D19" s="114" t="s">
        <v>335</v>
      </c>
      <c r="E19" s="114"/>
      <c r="F19" s="39"/>
      <c r="G19" s="39"/>
      <c r="H19" s="39"/>
      <c r="I19" s="39"/>
      <c r="J19" s="39"/>
      <c r="K19" s="39"/>
      <c r="L19" s="109"/>
      <c r="M19" s="109"/>
      <c r="N19" s="110"/>
      <c r="O19" s="39"/>
    </row>
    <row r="20" spans="1:15" ht="14.4" customHeight="1" x14ac:dyDescent="0.3">
      <c r="A20" s="121">
        <f>'Safety Hours'!E11</f>
        <v>39</v>
      </c>
      <c r="B20" s="117"/>
      <c r="C20" s="40"/>
      <c r="D20" s="117">
        <f>'Safety Hours'!E12</f>
        <v>19</v>
      </c>
      <c r="E20" s="117"/>
      <c r="F20" s="39"/>
      <c r="G20" s="39"/>
      <c r="H20" s="39"/>
      <c r="I20" s="39"/>
      <c r="J20" s="39"/>
      <c r="K20" s="39"/>
      <c r="L20" s="109"/>
      <c r="M20" s="109"/>
      <c r="N20" s="110"/>
      <c r="O20" s="39"/>
    </row>
    <row r="21" spans="1:15" ht="14.4" customHeight="1" x14ac:dyDescent="0.3">
      <c r="A21" s="121"/>
      <c r="B21" s="117"/>
      <c r="C21" s="40"/>
      <c r="D21" s="117"/>
      <c r="E21" s="117"/>
      <c r="F21" s="39"/>
      <c r="G21" s="39"/>
      <c r="H21" s="39"/>
      <c r="I21" s="39"/>
      <c r="J21" s="39"/>
      <c r="K21" s="39"/>
      <c r="L21" s="109"/>
      <c r="M21" s="109"/>
      <c r="N21" s="110"/>
      <c r="O21" s="39"/>
    </row>
    <row r="22" spans="1:15" ht="43.2" customHeight="1" x14ac:dyDescent="0.3">
      <c r="A22" s="113" t="s">
        <v>135</v>
      </c>
      <c r="B22" s="114"/>
      <c r="C22" s="40"/>
      <c r="D22" s="114" t="s">
        <v>135</v>
      </c>
      <c r="E22" s="114"/>
      <c r="F22" s="39"/>
      <c r="G22" s="39"/>
      <c r="H22" s="39"/>
      <c r="I22" s="39"/>
      <c r="J22" s="39"/>
      <c r="K22" s="39"/>
      <c r="L22" s="109"/>
      <c r="M22" s="109"/>
      <c r="N22" s="110"/>
      <c r="O22" s="39"/>
    </row>
    <row r="23" spans="1:15" x14ac:dyDescent="0.3">
      <c r="A23" s="99"/>
      <c r="B23" s="39"/>
      <c r="C23" s="40"/>
      <c r="D23" s="40"/>
      <c r="E23" s="40"/>
      <c r="F23" s="39"/>
      <c r="G23" s="39"/>
      <c r="H23" s="39"/>
      <c r="I23" s="39"/>
      <c r="J23" s="39"/>
      <c r="K23" s="39"/>
      <c r="L23" s="109"/>
      <c r="M23" s="109"/>
      <c r="N23" s="110"/>
      <c r="O23" s="39"/>
    </row>
    <row r="24" spans="1:15" x14ac:dyDescent="0.3">
      <c r="A24" s="99"/>
      <c r="B24" s="39"/>
      <c r="C24" s="40"/>
      <c r="D24" s="40"/>
      <c r="E24" s="40"/>
      <c r="F24" s="39"/>
      <c r="G24" s="39"/>
      <c r="H24" s="39"/>
      <c r="I24" s="39"/>
      <c r="J24" s="39"/>
      <c r="K24" s="39"/>
      <c r="L24" s="109"/>
      <c r="M24" s="109"/>
      <c r="N24" s="110"/>
      <c r="O24" s="39"/>
    </row>
    <row r="25" spans="1:15" x14ac:dyDescent="0.3">
      <c r="A25" s="99"/>
      <c r="B25" s="39"/>
      <c r="C25" s="40"/>
      <c r="D25" s="40"/>
      <c r="E25" s="40"/>
      <c r="F25" s="39"/>
      <c r="G25" s="39"/>
      <c r="H25" s="39"/>
      <c r="I25" s="39"/>
      <c r="J25" s="39"/>
      <c r="K25" s="39"/>
      <c r="L25" s="39"/>
      <c r="M25" s="39"/>
      <c r="N25" s="44"/>
      <c r="O25" s="39"/>
    </row>
    <row r="26" spans="1:15" ht="27" customHeight="1" x14ac:dyDescent="0.3">
      <c r="A26" s="99"/>
      <c r="B26" s="39"/>
      <c r="C26" s="40"/>
      <c r="D26" s="40"/>
      <c r="E26" s="40"/>
      <c r="F26" s="39"/>
      <c r="G26" s="39"/>
      <c r="H26" s="39"/>
      <c r="I26" s="39"/>
      <c r="J26" s="39"/>
      <c r="K26" s="39"/>
      <c r="L26" s="39"/>
      <c r="M26" s="39"/>
      <c r="N26" s="44"/>
      <c r="O26" s="39"/>
    </row>
    <row r="27" spans="1:15" x14ac:dyDescent="0.3">
      <c r="A27" s="99"/>
      <c r="B27" s="39"/>
      <c r="C27" s="40"/>
      <c r="D27" s="40"/>
      <c r="E27" s="40"/>
      <c r="F27" s="39"/>
      <c r="G27" s="39"/>
      <c r="H27" s="39"/>
      <c r="I27" s="39"/>
      <c r="J27" s="39"/>
      <c r="K27" s="39"/>
      <c r="L27" s="39"/>
      <c r="M27" s="39"/>
      <c r="N27" s="44"/>
      <c r="O27" s="39"/>
    </row>
    <row r="28" spans="1:15" ht="15" thickBot="1" x14ac:dyDescent="0.35">
      <c r="A28" s="99"/>
      <c r="B28" s="39"/>
      <c r="C28" s="40"/>
      <c r="D28" s="40"/>
      <c r="E28" s="40"/>
      <c r="F28" s="39"/>
      <c r="G28" s="39"/>
      <c r="H28" s="39"/>
      <c r="I28" s="39"/>
      <c r="J28" s="39"/>
      <c r="K28" s="39"/>
      <c r="L28" s="39"/>
      <c r="M28" s="39"/>
      <c r="N28" s="44"/>
      <c r="O28" s="39"/>
    </row>
    <row r="29" spans="1:15" x14ac:dyDescent="0.3">
      <c r="A29" s="99"/>
      <c r="B29" s="39"/>
      <c r="C29" s="40"/>
      <c r="D29" s="40"/>
      <c r="E29" s="40"/>
      <c r="F29" s="39"/>
      <c r="G29" s="39"/>
      <c r="H29" s="39"/>
      <c r="I29" s="39"/>
      <c r="J29" s="39"/>
      <c r="K29" s="39"/>
      <c r="L29" s="39"/>
      <c r="M29" s="103" t="s">
        <v>337</v>
      </c>
      <c r="N29" s="104"/>
      <c r="O29" s="39"/>
    </row>
    <row r="30" spans="1:15" x14ac:dyDescent="0.3">
      <c r="A30" s="99"/>
      <c r="B30" s="39"/>
      <c r="C30" s="40"/>
      <c r="D30" s="40"/>
      <c r="E30" s="40"/>
      <c r="F30" s="39"/>
      <c r="G30" s="39"/>
      <c r="H30" s="39"/>
      <c r="I30" s="39"/>
      <c r="J30" s="39"/>
      <c r="K30" s="39"/>
      <c r="L30" s="39"/>
      <c r="M30" s="105"/>
      <c r="N30" s="106"/>
      <c r="O30" s="39"/>
    </row>
    <row r="31" spans="1:15" x14ac:dyDescent="0.3">
      <c r="A31" s="99"/>
      <c r="B31" s="39"/>
      <c r="C31" s="40"/>
      <c r="D31" s="40"/>
      <c r="E31" s="40"/>
      <c r="F31" s="39"/>
      <c r="G31" s="39"/>
      <c r="H31" s="39"/>
      <c r="I31" s="39"/>
      <c r="J31" s="39"/>
      <c r="K31" s="39"/>
      <c r="L31" s="39"/>
      <c r="M31" s="105"/>
      <c r="N31" s="106"/>
      <c r="O31" s="39"/>
    </row>
    <row r="32" spans="1:15" ht="21" customHeight="1" thickBot="1" x14ac:dyDescent="0.35">
      <c r="A32" s="99"/>
      <c r="B32" s="39"/>
      <c r="C32" s="40"/>
      <c r="D32" s="40"/>
      <c r="E32" s="40"/>
      <c r="F32" s="39"/>
      <c r="G32" s="39"/>
      <c r="H32" s="39"/>
      <c r="I32" s="39"/>
      <c r="J32" s="39"/>
      <c r="K32" s="39"/>
      <c r="L32" s="39"/>
      <c r="M32" s="105"/>
      <c r="N32" s="106"/>
      <c r="O32" s="39"/>
    </row>
    <row r="33" spans="1:15" ht="15" thickBot="1" x14ac:dyDescent="0.35">
      <c r="A33" s="99"/>
      <c r="B33" s="39"/>
      <c r="C33" s="40"/>
      <c r="D33" s="40"/>
      <c r="E33" s="40"/>
      <c r="F33" s="39"/>
      <c r="G33" s="39"/>
      <c r="H33" s="39"/>
      <c r="I33" s="39"/>
      <c r="J33" s="39"/>
      <c r="K33" s="39"/>
      <c r="L33" s="39"/>
      <c r="M33" s="101"/>
      <c r="N33" s="102"/>
      <c r="O33" s="39"/>
    </row>
    <row r="34" spans="1:15" ht="14.4" customHeight="1" x14ac:dyDescent="0.3">
      <c r="A34" s="99"/>
      <c r="B34" s="39"/>
      <c r="C34" s="40"/>
      <c r="D34" s="40"/>
      <c r="E34" s="40"/>
      <c r="F34" s="39"/>
      <c r="G34" s="39"/>
      <c r="H34" s="39"/>
      <c r="I34" s="39"/>
      <c r="J34" s="39"/>
      <c r="K34" s="39"/>
      <c r="L34" s="39"/>
      <c r="M34" s="269" t="s">
        <v>339</v>
      </c>
      <c r="N34" s="270"/>
      <c r="O34" s="39"/>
    </row>
    <row r="35" spans="1:15" ht="27.6" customHeight="1" x14ac:dyDescent="0.3">
      <c r="A35" s="99"/>
      <c r="B35" s="39"/>
      <c r="C35" s="40"/>
      <c r="D35" s="40"/>
      <c r="E35" s="40"/>
      <c r="F35" s="39"/>
      <c r="G35" s="39"/>
      <c r="H35" s="39"/>
      <c r="I35" s="39"/>
      <c r="J35" s="39"/>
      <c r="K35" s="39"/>
      <c r="L35" s="39"/>
      <c r="M35" s="269"/>
      <c r="N35" s="270"/>
      <c r="O35" s="94"/>
    </row>
    <row r="36" spans="1:15" ht="14.4" customHeight="1" x14ac:dyDescent="0.3">
      <c r="A36" s="99"/>
      <c r="B36" s="39"/>
      <c r="C36" s="40"/>
      <c r="D36" s="40"/>
      <c r="E36" s="40"/>
      <c r="F36" s="39"/>
      <c r="G36" s="39"/>
      <c r="H36" s="39"/>
      <c r="I36" s="39"/>
      <c r="J36" s="39"/>
      <c r="K36" s="39"/>
      <c r="L36" s="39"/>
      <c r="M36" s="269"/>
      <c r="N36" s="270"/>
      <c r="O36" s="39"/>
    </row>
    <row r="37" spans="1:15" ht="14.4" customHeight="1" x14ac:dyDescent="0.3">
      <c r="A37" s="99"/>
      <c r="B37" s="39"/>
      <c r="C37" s="40"/>
      <c r="D37" s="40"/>
      <c r="E37" s="40"/>
      <c r="F37" s="39"/>
      <c r="G37" s="39"/>
      <c r="H37" s="39"/>
      <c r="I37" s="39"/>
      <c r="J37" s="39"/>
      <c r="K37" s="39"/>
      <c r="L37" s="39"/>
      <c r="M37" s="269"/>
      <c r="N37" s="270"/>
      <c r="O37" s="39"/>
    </row>
    <row r="38" spans="1:15" ht="14.4" customHeight="1" x14ac:dyDescent="0.3">
      <c r="A38" s="99"/>
      <c r="B38" s="39"/>
      <c r="C38" s="40"/>
      <c r="D38" s="40"/>
      <c r="E38" s="40"/>
      <c r="F38" s="39"/>
      <c r="G38" s="39"/>
      <c r="H38" s="39"/>
      <c r="I38" s="39"/>
      <c r="J38" s="39"/>
      <c r="K38" s="39"/>
      <c r="L38" s="39"/>
      <c r="M38" s="269"/>
      <c r="N38" s="270"/>
      <c r="O38" s="39"/>
    </row>
    <row r="39" spans="1:15" ht="14.4" customHeight="1" x14ac:dyDescent="0.3">
      <c r="A39" s="99"/>
      <c r="B39" s="39"/>
      <c r="C39" s="40"/>
      <c r="D39" s="40"/>
      <c r="E39" s="40"/>
      <c r="F39" s="39"/>
      <c r="G39" s="39"/>
      <c r="H39" s="39"/>
      <c r="I39" s="39"/>
      <c r="J39" s="39"/>
      <c r="K39" s="39"/>
      <c r="L39" s="39"/>
      <c r="M39" s="269"/>
      <c r="N39" s="270"/>
      <c r="O39" s="39"/>
    </row>
    <row r="40" spans="1:15" ht="14.4" customHeight="1" x14ac:dyDescent="0.3">
      <c r="A40" s="99"/>
      <c r="B40" s="39"/>
      <c r="C40" s="40"/>
      <c r="D40" s="40"/>
      <c r="E40" s="40"/>
      <c r="F40" s="39"/>
      <c r="G40" s="39"/>
      <c r="H40" s="39"/>
      <c r="I40" s="39"/>
      <c r="J40" s="39"/>
      <c r="K40" s="39"/>
      <c r="L40" s="39"/>
      <c r="M40" s="269"/>
      <c r="N40" s="270"/>
      <c r="O40" s="39"/>
    </row>
    <row r="41" spans="1:15" ht="14.4" customHeight="1" x14ac:dyDescent="0.3">
      <c r="A41" s="99"/>
      <c r="B41" s="39"/>
      <c r="C41" s="40"/>
      <c r="D41" s="40"/>
      <c r="E41" s="40"/>
      <c r="F41" s="39"/>
      <c r="G41" s="39"/>
      <c r="H41" s="39"/>
      <c r="I41" s="39"/>
      <c r="J41" s="39"/>
      <c r="K41" s="39"/>
      <c r="L41" s="39"/>
      <c r="M41" s="269"/>
      <c r="N41" s="270"/>
      <c r="O41" s="39"/>
    </row>
    <row r="42" spans="1:15" ht="14.4" customHeight="1" x14ac:dyDescent="0.3">
      <c r="A42" s="4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269"/>
      <c r="N42" s="270"/>
      <c r="O42" s="39"/>
    </row>
    <row r="43" spans="1:15" ht="15" thickBot="1" x14ac:dyDescent="0.35">
      <c r="A43" s="100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4"/>
    </row>
    <row r="69" spans="1:4" ht="28.8" x14ac:dyDescent="0.3">
      <c r="A69" s="41" t="s">
        <v>147</v>
      </c>
      <c r="B69" s="42">
        <f>COUNT('Site Instruction'!A10:A318)</f>
        <v>23</v>
      </c>
    </row>
    <row r="70" spans="1:4" ht="28.8" x14ac:dyDescent="0.3">
      <c r="A70" s="41" t="s">
        <v>148</v>
      </c>
      <c r="B70" s="42">
        <f>COUNT('Unsafe Act Summary'!A10:A320)</f>
        <v>82</v>
      </c>
    </row>
    <row r="71" spans="1:4" x14ac:dyDescent="0.3">
      <c r="A71" s="1" t="s">
        <v>149</v>
      </c>
      <c r="B71" s="42">
        <f>COUNT('NCR Summary'!A10:A300)</f>
        <v>16</v>
      </c>
    </row>
    <row r="72" spans="1:4" x14ac:dyDescent="0.3">
      <c r="A72" s="1" t="s">
        <v>326</v>
      </c>
      <c r="B72">
        <f>'Safety Hours'!D9</f>
        <v>1350</v>
      </c>
    </row>
    <row r="73" spans="1:4" x14ac:dyDescent="0.3">
      <c r="A73" s="1" t="s">
        <v>328</v>
      </c>
      <c r="B73">
        <f>'Safety Hours'!C9</f>
        <v>7670</v>
      </c>
    </row>
    <row r="77" spans="1:4" ht="15" thickBot="1" x14ac:dyDescent="0.35"/>
    <row r="78" spans="1:4" x14ac:dyDescent="0.3">
      <c r="A78" s="88" t="s">
        <v>0</v>
      </c>
      <c r="B78" s="89" t="s">
        <v>1</v>
      </c>
      <c r="C78" s="89" t="s">
        <v>2</v>
      </c>
      <c r="D78" s="90" t="s">
        <v>40</v>
      </c>
    </row>
    <row r="79" spans="1:4" x14ac:dyDescent="0.3">
      <c r="A79" s="69">
        <v>1</v>
      </c>
      <c r="B79" s="81" t="s">
        <v>3</v>
      </c>
      <c r="C79" s="87">
        <f>COUNTIF('Site Instruction'!I10:I320,"Open")</f>
        <v>6</v>
      </c>
      <c r="D79" s="91">
        <f>COUNTIF('Site Instruction'!I10:I320,"Closed")</f>
        <v>17</v>
      </c>
    </row>
    <row r="80" spans="1:4" x14ac:dyDescent="0.3">
      <c r="A80" s="69">
        <v>2</v>
      </c>
      <c r="B80" s="81" t="s">
        <v>323</v>
      </c>
      <c r="C80" s="87">
        <f>COUNTIF('Unsafe Act Summary'!I10:I320,"Open")</f>
        <v>39</v>
      </c>
      <c r="D80" s="91">
        <f>COUNTIF('Unsafe Act Summary'!I10:I320,"Closed")</f>
        <v>43</v>
      </c>
    </row>
    <row r="81" spans="1:4" ht="15" thickBot="1" x14ac:dyDescent="0.35">
      <c r="A81" s="82">
        <v>3</v>
      </c>
      <c r="B81" s="84" t="s">
        <v>4</v>
      </c>
      <c r="C81" s="92">
        <f>COUNTIF('NCR Summary'!I10:I321,"Open")</f>
        <v>11</v>
      </c>
      <c r="D81" s="93">
        <f>COUNTIF('NCR Summary'!I11:I321,"Closed")</f>
        <v>5</v>
      </c>
    </row>
    <row r="82" spans="1:4" ht="15" thickBot="1" x14ac:dyDescent="0.35"/>
    <row r="83" spans="1:4" x14ac:dyDescent="0.3">
      <c r="A83" s="88" t="s">
        <v>0</v>
      </c>
      <c r="B83" s="89" t="s">
        <v>1</v>
      </c>
      <c r="C83" s="89" t="s">
        <v>2</v>
      </c>
      <c r="D83" s="90" t="s">
        <v>40</v>
      </c>
    </row>
    <row r="84" spans="1:4" ht="15" thickBot="1" x14ac:dyDescent="0.35">
      <c r="A84" s="82">
        <v>1</v>
      </c>
      <c r="B84" s="84" t="s">
        <v>342</v>
      </c>
      <c r="C84" s="92">
        <f>COUNTIF('Unsafe Act Summary'!I10:I320,"Open")</f>
        <v>39</v>
      </c>
      <c r="D84" s="93">
        <f>COUNTIF('Unsafe Act Summary'!I10:I320,"Closed")</f>
        <v>43</v>
      </c>
    </row>
    <row r="85" spans="1:4" ht="15" thickBot="1" x14ac:dyDescent="0.35"/>
    <row r="86" spans="1:4" x14ac:dyDescent="0.3">
      <c r="A86" s="88" t="s">
        <v>0</v>
      </c>
      <c r="B86" s="89" t="s">
        <v>1</v>
      </c>
      <c r="C86" s="89" t="s">
        <v>2</v>
      </c>
      <c r="D86" s="90" t="s">
        <v>40</v>
      </c>
    </row>
    <row r="87" spans="1:4" ht="15" thickBot="1" x14ac:dyDescent="0.35">
      <c r="A87" s="82">
        <v>1</v>
      </c>
      <c r="B87" s="84" t="s">
        <v>4</v>
      </c>
      <c r="C87" s="92">
        <f>COUNTIF('NCR Summary'!I10:I327,"Open")</f>
        <v>11</v>
      </c>
      <c r="D87" s="93">
        <f>COUNTIF('NCR Summary'!I10:I327,"Closed")</f>
        <v>5</v>
      </c>
    </row>
  </sheetData>
  <mergeCells count="30">
    <mergeCell ref="A3:N5"/>
    <mergeCell ref="C8:C13"/>
    <mergeCell ref="M8:N8"/>
    <mergeCell ref="A9:B13"/>
    <mergeCell ref="D9:E13"/>
    <mergeCell ref="G9:H13"/>
    <mergeCell ref="J9:K13"/>
    <mergeCell ref="M9:N13"/>
    <mergeCell ref="F8:F13"/>
    <mergeCell ref="I8:I13"/>
    <mergeCell ref="L8:L13"/>
    <mergeCell ref="A16:B16"/>
    <mergeCell ref="A17:B18"/>
    <mergeCell ref="A8:B8"/>
    <mergeCell ref="D8:E8"/>
    <mergeCell ref="G8:H8"/>
    <mergeCell ref="J8:K8"/>
    <mergeCell ref="A22:B22"/>
    <mergeCell ref="D16:E16"/>
    <mergeCell ref="D17:E18"/>
    <mergeCell ref="D19:E19"/>
    <mergeCell ref="D20:E21"/>
    <mergeCell ref="D22:E22"/>
    <mergeCell ref="A19:B19"/>
    <mergeCell ref="A20:B21"/>
    <mergeCell ref="M34:N42"/>
    <mergeCell ref="M29:N32"/>
    <mergeCell ref="L16:N16"/>
    <mergeCell ref="L18:N24"/>
    <mergeCell ref="L17:N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2C01-3644-4737-809C-A735AC7125EE}">
  <sheetPr>
    <tabColor theme="4" tint="-0.499984740745262"/>
  </sheetPr>
  <dimension ref="A1:AV32"/>
  <sheetViews>
    <sheetView zoomScale="70" zoomScaleNormal="70" workbookViewId="0">
      <selection activeCell="A9" sqref="A9"/>
    </sheetView>
  </sheetViews>
  <sheetFormatPr defaultColWidth="8.77734375" defaultRowHeight="14.4" x14ac:dyDescent="0.3"/>
  <cols>
    <col min="1" max="1" width="12.77734375" style="5" customWidth="1"/>
    <col min="2" max="2" width="14.6640625" style="5" customWidth="1"/>
    <col min="3" max="3" width="15.88671875" style="6" customWidth="1"/>
    <col min="4" max="4" width="15.6640625" style="7" customWidth="1"/>
    <col min="5" max="5" width="18" style="5" customWidth="1"/>
    <col min="6" max="6" width="41" style="6" customWidth="1"/>
    <col min="7" max="7" width="15.33203125" style="6" bestFit="1" customWidth="1"/>
    <col min="8" max="8" width="13.5546875" style="5" customWidth="1"/>
    <col min="9" max="9" width="12.88671875" style="5" customWidth="1"/>
    <col min="10" max="10" width="13.109375" style="5" customWidth="1"/>
    <col min="11" max="11" width="13.77734375" style="5" customWidth="1"/>
    <col min="12" max="12" width="10.77734375" style="6" customWidth="1"/>
    <col min="13" max="16384" width="8.77734375" style="6"/>
  </cols>
  <sheetData>
    <row r="1" spans="1:48" ht="36.450000000000003" customHeight="1" x14ac:dyDescent="0.3">
      <c r="A1" s="136" t="s">
        <v>27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</row>
    <row r="2" spans="1:48" x14ac:dyDescent="0.3">
      <c r="A2" s="126" t="s">
        <v>5</v>
      </c>
      <c r="B2" s="127"/>
      <c r="C2" s="128" t="s">
        <v>11</v>
      </c>
      <c r="D2" s="128"/>
      <c r="E2" s="128"/>
      <c r="F2" s="128"/>
      <c r="G2" s="128"/>
      <c r="H2" s="128"/>
      <c r="I2" s="128"/>
      <c r="J2" s="128"/>
      <c r="K2" s="128"/>
      <c r="L2" s="129"/>
    </row>
    <row r="3" spans="1:48" x14ac:dyDescent="0.3">
      <c r="A3" s="126" t="s">
        <v>6</v>
      </c>
      <c r="B3" s="127"/>
      <c r="C3" s="128" t="s">
        <v>12</v>
      </c>
      <c r="D3" s="128"/>
      <c r="E3" s="128"/>
      <c r="F3" s="128"/>
      <c r="G3" s="128"/>
      <c r="H3" s="128"/>
      <c r="I3" s="128"/>
      <c r="J3" s="128"/>
      <c r="K3" s="128"/>
      <c r="L3" s="129"/>
    </row>
    <row r="4" spans="1:48" x14ac:dyDescent="0.3">
      <c r="A4" s="126" t="s">
        <v>7</v>
      </c>
      <c r="B4" s="127"/>
      <c r="C4" s="128" t="s">
        <v>13</v>
      </c>
      <c r="D4" s="128"/>
      <c r="E4" s="128"/>
      <c r="F4" s="128"/>
      <c r="G4" s="128"/>
      <c r="H4" s="128"/>
      <c r="I4" s="128"/>
      <c r="J4" s="128"/>
      <c r="K4" s="128"/>
      <c r="L4" s="129"/>
    </row>
    <row r="5" spans="1:48" x14ac:dyDescent="0.3">
      <c r="A5" s="126" t="s">
        <v>8</v>
      </c>
      <c r="B5" s="127"/>
      <c r="C5" s="128" t="s">
        <v>13</v>
      </c>
      <c r="D5" s="128"/>
      <c r="E5" s="128"/>
      <c r="F5" s="128"/>
      <c r="G5" s="128"/>
      <c r="H5" s="128"/>
      <c r="I5" s="128"/>
      <c r="J5" s="128"/>
      <c r="K5" s="128"/>
      <c r="L5" s="129"/>
    </row>
    <row r="6" spans="1:48" x14ac:dyDescent="0.3">
      <c r="A6" s="126" t="s">
        <v>9</v>
      </c>
      <c r="B6" s="127"/>
      <c r="C6" s="128" t="s">
        <v>14</v>
      </c>
      <c r="D6" s="128"/>
      <c r="E6" s="128"/>
      <c r="F6" s="128"/>
      <c r="G6" s="128"/>
      <c r="H6" s="128"/>
      <c r="I6" s="128"/>
      <c r="J6" s="128" t="s">
        <v>28</v>
      </c>
      <c r="K6" s="128"/>
      <c r="L6" s="129"/>
    </row>
    <row r="7" spans="1:48" ht="14.55" customHeight="1" x14ac:dyDescent="0.3">
      <c r="A7" s="126" t="s">
        <v>10</v>
      </c>
      <c r="B7" s="127"/>
      <c r="C7" s="133" t="s">
        <v>29</v>
      </c>
      <c r="D7" s="134"/>
      <c r="E7" s="134"/>
      <c r="F7" s="134"/>
      <c r="G7" s="134"/>
      <c r="H7" s="135"/>
      <c r="I7" s="22" t="s">
        <v>44</v>
      </c>
      <c r="J7" s="23">
        <f>COUNTIF(I10:I600,"Open")</f>
        <v>6</v>
      </c>
      <c r="K7" s="22" t="s">
        <v>45</v>
      </c>
      <c r="L7" s="23">
        <f>COUNTIF(I10:I600,"Closed")</f>
        <v>17</v>
      </c>
    </row>
    <row r="8" spans="1:48" x14ac:dyDescent="0.3">
      <c r="A8" s="130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2"/>
    </row>
    <row r="9" spans="1:48" ht="28.95" customHeight="1" x14ac:dyDescent="0.3">
      <c r="A9" s="2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24</v>
      </c>
      <c r="K9" s="3" t="s">
        <v>25</v>
      </c>
      <c r="L9" s="4" t="s">
        <v>26</v>
      </c>
      <c r="AT9" s="6" t="s">
        <v>41</v>
      </c>
      <c r="AV9" s="6" t="s">
        <v>2</v>
      </c>
    </row>
    <row r="10" spans="1:48" ht="43.2" x14ac:dyDescent="0.3">
      <c r="A10" s="13">
        <v>1</v>
      </c>
      <c r="B10" s="8" t="s">
        <v>34</v>
      </c>
      <c r="C10" s="9" t="s">
        <v>35</v>
      </c>
      <c r="D10" s="10" t="s">
        <v>36</v>
      </c>
      <c r="E10" s="11">
        <v>46006</v>
      </c>
      <c r="F10" s="12" t="s">
        <v>33</v>
      </c>
      <c r="G10" s="9" t="s">
        <v>37</v>
      </c>
      <c r="H10" s="11">
        <v>45644</v>
      </c>
      <c r="I10" s="8" t="s">
        <v>40</v>
      </c>
      <c r="J10" s="8" t="s">
        <v>41</v>
      </c>
      <c r="K10" s="8" t="s">
        <v>41</v>
      </c>
      <c r="L10" s="14"/>
      <c r="AT10" s="6" t="s">
        <v>42</v>
      </c>
      <c r="AV10" s="6" t="s">
        <v>40</v>
      </c>
    </row>
    <row r="11" spans="1:48" ht="28.8" x14ac:dyDescent="0.3">
      <c r="A11" s="13">
        <v>2</v>
      </c>
      <c r="B11" s="8" t="s">
        <v>43</v>
      </c>
      <c r="C11" s="9" t="s">
        <v>35</v>
      </c>
      <c r="D11" s="10" t="s">
        <v>36</v>
      </c>
      <c r="E11" s="11">
        <v>46007</v>
      </c>
      <c r="F11" s="12" t="s">
        <v>30</v>
      </c>
      <c r="G11" s="9" t="s">
        <v>38</v>
      </c>
      <c r="H11" s="11">
        <v>45645</v>
      </c>
      <c r="I11" s="8" t="s">
        <v>40</v>
      </c>
      <c r="J11" s="8" t="s">
        <v>41</v>
      </c>
      <c r="K11" s="8" t="s">
        <v>41</v>
      </c>
      <c r="L11" s="14"/>
    </row>
    <row r="12" spans="1:48" x14ac:dyDescent="0.3">
      <c r="A12" s="13">
        <v>3</v>
      </c>
      <c r="B12" s="8" t="s">
        <v>34</v>
      </c>
      <c r="C12" s="9" t="s">
        <v>35</v>
      </c>
      <c r="D12" s="10" t="s">
        <v>36</v>
      </c>
      <c r="E12" s="11">
        <v>46008</v>
      </c>
      <c r="F12" s="12" t="s">
        <v>31</v>
      </c>
      <c r="G12" s="9" t="s">
        <v>39</v>
      </c>
      <c r="H12" s="11">
        <v>45646</v>
      </c>
      <c r="I12" s="8" t="s">
        <v>40</v>
      </c>
      <c r="J12" s="8" t="s">
        <v>41</v>
      </c>
      <c r="K12" s="8" t="s">
        <v>41</v>
      </c>
      <c r="L12" s="14"/>
    </row>
    <row r="13" spans="1:48" ht="28.8" x14ac:dyDescent="0.3">
      <c r="A13" s="13">
        <v>4</v>
      </c>
      <c r="B13" s="8" t="s">
        <v>43</v>
      </c>
      <c r="C13" s="9" t="s">
        <v>35</v>
      </c>
      <c r="D13" s="10" t="s">
        <v>36</v>
      </c>
      <c r="E13" s="11">
        <v>46009</v>
      </c>
      <c r="F13" s="12" t="s">
        <v>32</v>
      </c>
      <c r="G13" s="9" t="s">
        <v>39</v>
      </c>
      <c r="H13" s="11"/>
      <c r="I13" s="8" t="s">
        <v>2</v>
      </c>
      <c r="J13" s="8" t="s">
        <v>42</v>
      </c>
      <c r="K13" s="8" t="s">
        <v>42</v>
      </c>
      <c r="L13" s="14"/>
    </row>
    <row r="14" spans="1:48" ht="43.2" x14ac:dyDescent="0.3">
      <c r="A14" s="13">
        <v>5</v>
      </c>
      <c r="B14" s="8" t="s">
        <v>34</v>
      </c>
      <c r="C14" s="9" t="s">
        <v>35</v>
      </c>
      <c r="D14" s="10" t="s">
        <v>36</v>
      </c>
      <c r="E14" s="11">
        <v>46010</v>
      </c>
      <c r="F14" s="12" t="s">
        <v>33</v>
      </c>
      <c r="G14" s="9" t="s">
        <v>37</v>
      </c>
      <c r="H14" s="11">
        <v>45647</v>
      </c>
      <c r="I14" s="8" t="s">
        <v>40</v>
      </c>
      <c r="J14" s="8" t="s">
        <v>41</v>
      </c>
      <c r="K14" s="8" t="s">
        <v>41</v>
      </c>
      <c r="L14" s="14"/>
    </row>
    <row r="15" spans="1:48" ht="28.8" x14ac:dyDescent="0.3">
      <c r="A15" s="13">
        <v>6</v>
      </c>
      <c r="B15" s="8" t="s">
        <v>43</v>
      </c>
      <c r="C15" s="9" t="s">
        <v>35</v>
      </c>
      <c r="D15" s="10" t="s">
        <v>36</v>
      </c>
      <c r="E15" s="11">
        <v>46011</v>
      </c>
      <c r="F15" s="12" t="s">
        <v>30</v>
      </c>
      <c r="G15" s="9" t="s">
        <v>38</v>
      </c>
      <c r="H15" s="11">
        <v>45648</v>
      </c>
      <c r="I15" s="8" t="s">
        <v>2</v>
      </c>
      <c r="J15" s="8" t="s">
        <v>41</v>
      </c>
      <c r="K15" s="8" t="s">
        <v>41</v>
      </c>
      <c r="L15" s="14"/>
    </row>
    <row r="16" spans="1:48" x14ac:dyDescent="0.3">
      <c r="A16" s="13">
        <v>7</v>
      </c>
      <c r="B16" s="8" t="s">
        <v>34</v>
      </c>
      <c r="C16" s="9" t="s">
        <v>35</v>
      </c>
      <c r="D16" s="10" t="s">
        <v>36</v>
      </c>
      <c r="E16" s="11">
        <v>46012</v>
      </c>
      <c r="F16" s="12" t="s">
        <v>31</v>
      </c>
      <c r="G16" s="9" t="s">
        <v>39</v>
      </c>
      <c r="H16" s="11">
        <v>45649</v>
      </c>
      <c r="I16" s="8" t="s">
        <v>40</v>
      </c>
      <c r="J16" s="8" t="s">
        <v>41</v>
      </c>
      <c r="K16" s="8" t="s">
        <v>41</v>
      </c>
      <c r="L16" s="14"/>
    </row>
    <row r="17" spans="1:12" ht="28.8" x14ac:dyDescent="0.3">
      <c r="A17" s="13">
        <v>8</v>
      </c>
      <c r="B17" s="8" t="s">
        <v>43</v>
      </c>
      <c r="C17" s="9" t="s">
        <v>35</v>
      </c>
      <c r="D17" s="10" t="s">
        <v>36</v>
      </c>
      <c r="E17" s="11">
        <v>46013</v>
      </c>
      <c r="F17" s="12" t="s">
        <v>32</v>
      </c>
      <c r="G17" s="9" t="s">
        <v>39</v>
      </c>
      <c r="H17" s="11"/>
      <c r="I17" s="8" t="s">
        <v>2</v>
      </c>
      <c r="J17" s="8" t="s">
        <v>42</v>
      </c>
      <c r="K17" s="8" t="s">
        <v>42</v>
      </c>
      <c r="L17" s="14"/>
    </row>
    <row r="18" spans="1:12" ht="43.2" x14ac:dyDescent="0.3">
      <c r="A18" s="13">
        <v>9</v>
      </c>
      <c r="B18" s="8" t="s">
        <v>34</v>
      </c>
      <c r="C18" s="9" t="s">
        <v>35</v>
      </c>
      <c r="D18" s="10" t="s">
        <v>36</v>
      </c>
      <c r="E18" s="11">
        <v>46014</v>
      </c>
      <c r="F18" s="12" t="s">
        <v>33</v>
      </c>
      <c r="G18" s="9" t="s">
        <v>37</v>
      </c>
      <c r="H18" s="11">
        <v>45650</v>
      </c>
      <c r="I18" s="8" t="s">
        <v>40</v>
      </c>
      <c r="J18" s="8" t="s">
        <v>41</v>
      </c>
      <c r="K18" s="8" t="s">
        <v>41</v>
      </c>
      <c r="L18" s="14"/>
    </row>
    <row r="19" spans="1:12" ht="28.8" x14ac:dyDescent="0.3">
      <c r="A19" s="13">
        <v>10</v>
      </c>
      <c r="B19" s="8" t="s">
        <v>43</v>
      </c>
      <c r="C19" s="9" t="s">
        <v>35</v>
      </c>
      <c r="D19" s="10" t="s">
        <v>36</v>
      </c>
      <c r="E19" s="11">
        <v>46015</v>
      </c>
      <c r="F19" s="12" t="s">
        <v>30</v>
      </c>
      <c r="G19" s="9" t="s">
        <v>38</v>
      </c>
      <c r="H19" s="11">
        <v>45651</v>
      </c>
      <c r="I19" s="8" t="s">
        <v>40</v>
      </c>
      <c r="J19" s="8" t="s">
        <v>41</v>
      </c>
      <c r="K19" s="8" t="s">
        <v>41</v>
      </c>
      <c r="L19" s="14"/>
    </row>
    <row r="20" spans="1:12" x14ac:dyDescent="0.3">
      <c r="A20" s="13">
        <v>11</v>
      </c>
      <c r="B20" s="8" t="s">
        <v>34</v>
      </c>
      <c r="C20" s="9" t="s">
        <v>35</v>
      </c>
      <c r="D20" s="10" t="s">
        <v>36</v>
      </c>
      <c r="E20" s="11">
        <v>46016</v>
      </c>
      <c r="F20" s="12" t="s">
        <v>31</v>
      </c>
      <c r="G20" s="9" t="s">
        <v>39</v>
      </c>
      <c r="H20" s="11">
        <v>45652</v>
      </c>
      <c r="I20" s="8" t="s">
        <v>40</v>
      </c>
      <c r="J20" s="8" t="s">
        <v>41</v>
      </c>
      <c r="K20" s="8" t="s">
        <v>41</v>
      </c>
      <c r="L20" s="14"/>
    </row>
    <row r="21" spans="1:12" ht="28.8" x14ac:dyDescent="0.3">
      <c r="A21" s="13">
        <v>12</v>
      </c>
      <c r="B21" s="8" t="s">
        <v>43</v>
      </c>
      <c r="C21" s="9" t="s">
        <v>35</v>
      </c>
      <c r="D21" s="10" t="s">
        <v>36</v>
      </c>
      <c r="E21" s="11">
        <v>46017</v>
      </c>
      <c r="F21" s="12" t="s">
        <v>32</v>
      </c>
      <c r="G21" s="9" t="s">
        <v>39</v>
      </c>
      <c r="H21" s="11"/>
      <c r="I21" s="8" t="s">
        <v>2</v>
      </c>
      <c r="J21" s="8" t="s">
        <v>42</v>
      </c>
      <c r="K21" s="8" t="s">
        <v>42</v>
      </c>
      <c r="L21" s="14"/>
    </row>
    <row r="22" spans="1:12" ht="43.2" x14ac:dyDescent="0.3">
      <c r="A22" s="13">
        <v>13</v>
      </c>
      <c r="B22" s="8" t="s">
        <v>34</v>
      </c>
      <c r="C22" s="9" t="s">
        <v>35</v>
      </c>
      <c r="D22" s="10" t="s">
        <v>36</v>
      </c>
      <c r="E22" s="11">
        <v>46018</v>
      </c>
      <c r="F22" s="12" t="s">
        <v>33</v>
      </c>
      <c r="G22" s="9" t="s">
        <v>37</v>
      </c>
      <c r="H22" s="11">
        <v>45653</v>
      </c>
      <c r="I22" s="8" t="s">
        <v>40</v>
      </c>
      <c r="J22" s="8" t="s">
        <v>41</v>
      </c>
      <c r="K22" s="8" t="s">
        <v>41</v>
      </c>
      <c r="L22" s="14"/>
    </row>
    <row r="23" spans="1:12" ht="28.8" x14ac:dyDescent="0.3">
      <c r="A23" s="13">
        <v>14</v>
      </c>
      <c r="B23" s="8" t="s">
        <v>43</v>
      </c>
      <c r="C23" s="9" t="s">
        <v>35</v>
      </c>
      <c r="D23" s="10" t="s">
        <v>36</v>
      </c>
      <c r="E23" s="11">
        <v>46019</v>
      </c>
      <c r="F23" s="12" t="s">
        <v>30</v>
      </c>
      <c r="G23" s="9" t="s">
        <v>38</v>
      </c>
      <c r="H23" s="11">
        <v>45654</v>
      </c>
      <c r="I23" s="8" t="s">
        <v>40</v>
      </c>
      <c r="J23" s="8" t="s">
        <v>41</v>
      </c>
      <c r="K23" s="8" t="s">
        <v>41</v>
      </c>
      <c r="L23" s="14"/>
    </row>
    <row r="24" spans="1:12" x14ac:dyDescent="0.3">
      <c r="A24" s="13">
        <v>15</v>
      </c>
      <c r="B24" s="8" t="s">
        <v>34</v>
      </c>
      <c r="C24" s="9" t="s">
        <v>35</v>
      </c>
      <c r="D24" s="10" t="s">
        <v>36</v>
      </c>
      <c r="E24" s="11">
        <v>46020</v>
      </c>
      <c r="F24" s="12" t="s">
        <v>31</v>
      </c>
      <c r="G24" s="9" t="s">
        <v>39</v>
      </c>
      <c r="H24" s="11">
        <v>45655</v>
      </c>
      <c r="I24" s="8" t="s">
        <v>40</v>
      </c>
      <c r="J24" s="8" t="s">
        <v>41</v>
      </c>
      <c r="K24" s="8" t="s">
        <v>41</v>
      </c>
      <c r="L24" s="14"/>
    </row>
    <row r="25" spans="1:12" ht="28.8" x14ac:dyDescent="0.3">
      <c r="A25" s="13">
        <v>16</v>
      </c>
      <c r="B25" s="8" t="s">
        <v>43</v>
      </c>
      <c r="C25" s="9" t="s">
        <v>35</v>
      </c>
      <c r="D25" s="10" t="s">
        <v>36</v>
      </c>
      <c r="E25" s="11">
        <v>46021</v>
      </c>
      <c r="F25" s="12" t="s">
        <v>32</v>
      </c>
      <c r="G25" s="9" t="s">
        <v>39</v>
      </c>
      <c r="H25" s="11"/>
      <c r="I25" s="8" t="s">
        <v>2</v>
      </c>
      <c r="J25" s="8" t="s">
        <v>42</v>
      </c>
      <c r="K25" s="8" t="s">
        <v>42</v>
      </c>
      <c r="L25" s="14"/>
    </row>
    <row r="26" spans="1:12" ht="43.2" x14ac:dyDescent="0.3">
      <c r="A26" s="13">
        <v>17</v>
      </c>
      <c r="B26" s="8" t="s">
        <v>34</v>
      </c>
      <c r="C26" s="9" t="s">
        <v>35</v>
      </c>
      <c r="D26" s="10" t="s">
        <v>36</v>
      </c>
      <c r="E26" s="11">
        <v>46022</v>
      </c>
      <c r="F26" s="12" t="s">
        <v>33</v>
      </c>
      <c r="G26" s="9" t="s">
        <v>37</v>
      </c>
      <c r="H26" s="11">
        <v>45656</v>
      </c>
      <c r="I26" s="8" t="s">
        <v>40</v>
      </c>
      <c r="J26" s="8" t="s">
        <v>41</v>
      </c>
      <c r="K26" s="8" t="s">
        <v>41</v>
      </c>
      <c r="L26" s="14"/>
    </row>
    <row r="27" spans="1:12" ht="28.8" x14ac:dyDescent="0.3">
      <c r="A27" s="13">
        <v>18</v>
      </c>
      <c r="B27" s="8" t="s">
        <v>43</v>
      </c>
      <c r="C27" s="9" t="s">
        <v>35</v>
      </c>
      <c r="D27" s="10" t="s">
        <v>36</v>
      </c>
      <c r="E27" s="11">
        <v>46023</v>
      </c>
      <c r="F27" s="12" t="s">
        <v>30</v>
      </c>
      <c r="G27" s="9" t="s">
        <v>38</v>
      </c>
      <c r="H27" s="11">
        <v>45657</v>
      </c>
      <c r="I27" s="8" t="s">
        <v>40</v>
      </c>
      <c r="J27" s="8" t="s">
        <v>41</v>
      </c>
      <c r="K27" s="8" t="s">
        <v>41</v>
      </c>
      <c r="L27" s="14"/>
    </row>
    <row r="28" spans="1:12" x14ac:dyDescent="0.3">
      <c r="A28" s="13">
        <v>19</v>
      </c>
      <c r="B28" s="8" t="s">
        <v>34</v>
      </c>
      <c r="C28" s="9" t="s">
        <v>35</v>
      </c>
      <c r="D28" s="10" t="s">
        <v>36</v>
      </c>
      <c r="E28" s="11">
        <v>46024</v>
      </c>
      <c r="F28" s="12" t="s">
        <v>31</v>
      </c>
      <c r="G28" s="9" t="s">
        <v>39</v>
      </c>
      <c r="H28" s="11">
        <v>45658</v>
      </c>
      <c r="I28" s="8" t="s">
        <v>40</v>
      </c>
      <c r="J28" s="8" t="s">
        <v>41</v>
      </c>
      <c r="K28" s="8" t="s">
        <v>41</v>
      </c>
      <c r="L28" s="14"/>
    </row>
    <row r="29" spans="1:12" ht="28.8" x14ac:dyDescent="0.3">
      <c r="A29" s="13">
        <v>20</v>
      </c>
      <c r="B29" s="8" t="s">
        <v>43</v>
      </c>
      <c r="C29" s="9" t="s">
        <v>35</v>
      </c>
      <c r="D29" s="10" t="s">
        <v>36</v>
      </c>
      <c r="E29" s="11">
        <v>46025</v>
      </c>
      <c r="F29" s="12" t="s">
        <v>32</v>
      </c>
      <c r="G29" s="9" t="s">
        <v>39</v>
      </c>
      <c r="H29" s="11"/>
      <c r="I29" s="8" t="s">
        <v>2</v>
      </c>
      <c r="J29" s="8" t="s">
        <v>42</v>
      </c>
      <c r="K29" s="8" t="s">
        <v>42</v>
      </c>
      <c r="L29" s="14"/>
    </row>
    <row r="30" spans="1:12" ht="43.2" x14ac:dyDescent="0.3">
      <c r="A30" s="13">
        <v>21</v>
      </c>
      <c r="B30" s="8" t="s">
        <v>34</v>
      </c>
      <c r="C30" s="9" t="s">
        <v>35</v>
      </c>
      <c r="D30" s="10" t="s">
        <v>36</v>
      </c>
      <c r="E30" s="11">
        <v>46026</v>
      </c>
      <c r="F30" s="12" t="s">
        <v>33</v>
      </c>
      <c r="G30" s="9" t="s">
        <v>37</v>
      </c>
      <c r="H30" s="11">
        <v>45659</v>
      </c>
      <c r="I30" s="8" t="s">
        <v>40</v>
      </c>
      <c r="J30" s="8" t="s">
        <v>41</v>
      </c>
      <c r="K30" s="8" t="s">
        <v>41</v>
      </c>
      <c r="L30" s="14"/>
    </row>
    <row r="31" spans="1:12" ht="28.8" x14ac:dyDescent="0.3">
      <c r="A31" s="13">
        <v>22</v>
      </c>
      <c r="B31" s="8" t="s">
        <v>43</v>
      </c>
      <c r="C31" s="9" t="s">
        <v>35</v>
      </c>
      <c r="D31" s="10" t="s">
        <v>36</v>
      </c>
      <c r="E31" s="11">
        <v>46027</v>
      </c>
      <c r="F31" s="12" t="s">
        <v>30</v>
      </c>
      <c r="G31" s="9" t="s">
        <v>38</v>
      </c>
      <c r="H31" s="11">
        <v>45660</v>
      </c>
      <c r="I31" s="8" t="s">
        <v>40</v>
      </c>
      <c r="J31" s="8" t="s">
        <v>41</v>
      </c>
      <c r="K31" s="8" t="s">
        <v>41</v>
      </c>
      <c r="L31" s="14"/>
    </row>
    <row r="32" spans="1:12" ht="15" thickBot="1" x14ac:dyDescent="0.35">
      <c r="A32" s="15">
        <v>23</v>
      </c>
      <c r="B32" s="16" t="s">
        <v>34</v>
      </c>
      <c r="C32" s="17" t="s">
        <v>35</v>
      </c>
      <c r="D32" s="18" t="s">
        <v>36</v>
      </c>
      <c r="E32" s="11">
        <v>46028</v>
      </c>
      <c r="F32" s="20" t="s">
        <v>31</v>
      </c>
      <c r="G32" s="17" t="s">
        <v>39</v>
      </c>
      <c r="H32" s="19">
        <v>45661</v>
      </c>
      <c r="I32" s="16" t="s">
        <v>40</v>
      </c>
      <c r="J32" s="16" t="s">
        <v>41</v>
      </c>
      <c r="K32" s="16" t="s">
        <v>41</v>
      </c>
      <c r="L32" s="21"/>
    </row>
  </sheetData>
  <autoFilter ref="A9:L9" xr:uid="{2C212C01-3644-4737-809C-A735AC7125EE}"/>
  <mergeCells count="14">
    <mergeCell ref="A4:B4"/>
    <mergeCell ref="C4:L4"/>
    <mergeCell ref="A8:L8"/>
    <mergeCell ref="C7:H7"/>
    <mergeCell ref="A1:L1"/>
    <mergeCell ref="A2:B2"/>
    <mergeCell ref="C2:L2"/>
    <mergeCell ref="A3:B3"/>
    <mergeCell ref="C3:L3"/>
    <mergeCell ref="A5:B5"/>
    <mergeCell ref="C5:L5"/>
    <mergeCell ref="A6:B6"/>
    <mergeCell ref="C6:L6"/>
    <mergeCell ref="A7:B7"/>
  </mergeCells>
  <conditionalFormatting sqref="I1:I6 I9:I1048576">
    <cfRule type="containsText" dxfId="15" priority="1" operator="containsText" text="Closed">
      <formula>NOT(ISERROR(SEARCH("Closed",I1)))</formula>
    </cfRule>
    <cfRule type="containsText" dxfId="14" priority="2" operator="containsText" text="Open">
      <formula>NOT(ISERROR(SEARCH("Open",I1)))</formula>
    </cfRule>
  </conditionalFormatting>
  <dataValidations count="5">
    <dataValidation type="list" allowBlank="1" showInputMessage="1" showErrorMessage="1" sqref="I9" xr:uid="{8BB52E52-CF46-4B05-8FDD-928C94FDEB43}">
      <formula1>"Open, Closed"</formula1>
    </dataValidation>
    <dataValidation type="list" allowBlank="1" showInputMessage="1" showErrorMessage="1" sqref="J9:K9" xr:uid="{3A53709B-E76C-482F-AFAC-D4E743992D6A}">
      <formula1>"Yes, No"</formula1>
    </dataValidation>
    <dataValidation type="list" allowBlank="1" showInputMessage="1" showErrorMessage="1" sqref="I11:I13 I15:I17 I19:I21 I23:I25 I27:I29 I31:I1048576" xr:uid="{251396EA-E925-47FA-9D6A-6D44C3793778}">
      <formula1>$AV$9:$AV$10</formula1>
    </dataValidation>
    <dataValidation type="list" allowBlank="1" showInputMessage="1" showErrorMessage="1" sqref="I10 I14 I18 I22 I26 I30" xr:uid="{36F93D2F-6083-48C5-9182-BC4239E3050D}">
      <formula1>$AV9:$AV$10</formula1>
    </dataValidation>
    <dataValidation type="list" allowBlank="1" showInputMessage="1" showErrorMessage="1" sqref="J10:K1048576" xr:uid="{A89A7DC5-A516-4581-B31B-9C3C9A2DBE8E}">
      <formula1>$AT$9:$AT$10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E12D-6F31-4459-9ED4-4A41A7B43545}">
  <sheetPr>
    <tabColor theme="4" tint="-0.499984740745262"/>
  </sheetPr>
  <dimension ref="A1:L99"/>
  <sheetViews>
    <sheetView zoomScale="73" workbookViewId="0">
      <selection activeCell="E92" sqref="E92"/>
    </sheetView>
  </sheetViews>
  <sheetFormatPr defaultColWidth="8.77734375" defaultRowHeight="14.4" x14ac:dyDescent="0.3"/>
  <cols>
    <col min="1" max="1" width="4.77734375" style="5" customWidth="1"/>
    <col min="2" max="2" width="12.33203125" style="25" bestFit="1" customWidth="1"/>
    <col min="3" max="3" width="14.5546875" style="25" bestFit="1" customWidth="1"/>
    <col min="4" max="4" width="10.44140625" style="25" customWidth="1"/>
    <col min="5" max="5" width="12.6640625" style="25" bestFit="1" customWidth="1"/>
    <col min="6" max="6" width="23" style="25" customWidth="1"/>
    <col min="7" max="7" width="14.109375" style="5" customWidth="1"/>
    <col min="8" max="8" width="23.6640625" style="25" customWidth="1"/>
    <col min="9" max="9" width="11.5546875" style="5" customWidth="1"/>
    <col min="10" max="10" width="14.21875" style="5" customWidth="1"/>
    <col min="11" max="11" width="14.33203125" style="5" customWidth="1"/>
    <col min="12" max="12" width="34.109375" style="25" customWidth="1"/>
    <col min="13" max="16384" width="8.77734375" style="25"/>
  </cols>
  <sheetData>
    <row r="1" spans="1:12" ht="23.4" x14ac:dyDescent="0.3">
      <c r="A1" s="136" t="s">
        <v>102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</row>
    <row r="2" spans="1:12" x14ac:dyDescent="0.3">
      <c r="A2" s="126" t="s">
        <v>5</v>
      </c>
      <c r="B2" s="127"/>
      <c r="C2" s="128" t="s">
        <v>11</v>
      </c>
      <c r="D2" s="128"/>
      <c r="E2" s="128"/>
      <c r="F2" s="128"/>
      <c r="G2" s="128"/>
      <c r="H2" s="128"/>
      <c r="I2" s="128"/>
      <c r="J2" s="128"/>
      <c r="K2" s="128"/>
      <c r="L2" s="129"/>
    </row>
    <row r="3" spans="1:12" x14ac:dyDescent="0.3">
      <c r="A3" s="126" t="s">
        <v>6</v>
      </c>
      <c r="B3" s="127"/>
      <c r="C3" s="128" t="s">
        <v>12</v>
      </c>
      <c r="D3" s="128"/>
      <c r="E3" s="128"/>
      <c r="F3" s="128"/>
      <c r="G3" s="128"/>
      <c r="H3" s="128"/>
      <c r="I3" s="128"/>
      <c r="J3" s="128"/>
      <c r="K3" s="128"/>
      <c r="L3" s="129"/>
    </row>
    <row r="4" spans="1:12" x14ac:dyDescent="0.3">
      <c r="A4" s="126" t="s">
        <v>7</v>
      </c>
      <c r="B4" s="127"/>
      <c r="C4" s="128" t="s">
        <v>13</v>
      </c>
      <c r="D4" s="128"/>
      <c r="E4" s="128"/>
      <c r="F4" s="128"/>
      <c r="G4" s="128"/>
      <c r="H4" s="128"/>
      <c r="I4" s="128"/>
      <c r="J4" s="128"/>
      <c r="K4" s="128"/>
      <c r="L4" s="129"/>
    </row>
    <row r="5" spans="1:12" x14ac:dyDescent="0.3">
      <c r="A5" s="126" t="s">
        <v>8</v>
      </c>
      <c r="B5" s="127"/>
      <c r="C5" s="128" t="s">
        <v>13</v>
      </c>
      <c r="D5" s="128"/>
      <c r="E5" s="128"/>
      <c r="F5" s="128"/>
      <c r="G5" s="128"/>
      <c r="H5" s="128"/>
      <c r="I5" s="128"/>
      <c r="J5" s="128"/>
      <c r="K5" s="128"/>
      <c r="L5" s="129"/>
    </row>
    <row r="6" spans="1:12" x14ac:dyDescent="0.3">
      <c r="A6" s="126" t="s">
        <v>9</v>
      </c>
      <c r="B6" s="127"/>
      <c r="C6" s="128" t="s">
        <v>14</v>
      </c>
      <c r="D6" s="128"/>
      <c r="E6" s="128"/>
      <c r="F6" s="128"/>
      <c r="G6" s="128"/>
      <c r="H6" s="128"/>
      <c r="I6" s="128"/>
      <c r="J6" s="128" t="s">
        <v>28</v>
      </c>
      <c r="K6" s="128"/>
      <c r="L6" s="129"/>
    </row>
    <row r="7" spans="1:12" ht="15" customHeight="1" thickBot="1" x14ac:dyDescent="0.35">
      <c r="A7" s="142" t="s">
        <v>10</v>
      </c>
      <c r="B7" s="143"/>
      <c r="C7" s="139" t="s">
        <v>80</v>
      </c>
      <c r="D7" s="140"/>
      <c r="E7" s="140"/>
      <c r="F7" s="140"/>
      <c r="G7" s="140"/>
      <c r="H7" s="141"/>
      <c r="I7" s="22" t="s">
        <v>44</v>
      </c>
      <c r="J7" s="23">
        <f>COUNTIF(I10:I529,"Open")</f>
        <v>39</v>
      </c>
      <c r="K7" s="22" t="s">
        <v>45</v>
      </c>
      <c r="L7" s="23">
        <f>COUNTIF(I10:I529,"Closed")</f>
        <v>43</v>
      </c>
    </row>
    <row r="8" spans="1:12" ht="15" thickBot="1" x14ac:dyDescent="0.35">
      <c r="A8" s="130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2"/>
    </row>
    <row r="9" spans="1:12" ht="28.8" x14ac:dyDescent="0.3">
      <c r="A9" s="27" t="s">
        <v>15</v>
      </c>
      <c r="B9" s="28" t="s">
        <v>16</v>
      </c>
      <c r="C9" s="28" t="s">
        <v>92</v>
      </c>
      <c r="D9" s="28" t="s">
        <v>93</v>
      </c>
      <c r="E9" s="28" t="s">
        <v>94</v>
      </c>
      <c r="F9" s="28" t="s">
        <v>20</v>
      </c>
      <c r="G9" s="28" t="s">
        <v>95</v>
      </c>
      <c r="H9" s="28" t="s">
        <v>96</v>
      </c>
      <c r="I9" s="28" t="s">
        <v>72</v>
      </c>
      <c r="J9" s="29" t="s">
        <v>24</v>
      </c>
      <c r="K9" s="29" t="s">
        <v>25</v>
      </c>
      <c r="L9" s="30" t="s">
        <v>26</v>
      </c>
    </row>
    <row r="10" spans="1:12" x14ac:dyDescent="0.3">
      <c r="A10" s="13">
        <v>1</v>
      </c>
      <c r="B10" s="8" t="s">
        <v>34</v>
      </c>
      <c r="C10" s="9" t="s">
        <v>35</v>
      </c>
      <c r="D10" s="10" t="s">
        <v>36</v>
      </c>
      <c r="E10" s="11">
        <v>46006</v>
      </c>
      <c r="F10" s="26" t="s">
        <v>97</v>
      </c>
      <c r="G10" s="8" t="s">
        <v>38</v>
      </c>
      <c r="H10" s="26" t="s">
        <v>100</v>
      </c>
      <c r="I10" s="8" t="s">
        <v>2</v>
      </c>
      <c r="J10" s="8" t="s">
        <v>42</v>
      </c>
      <c r="K10" s="8" t="s">
        <v>42</v>
      </c>
      <c r="L10" s="31"/>
    </row>
    <row r="11" spans="1:12" x14ac:dyDescent="0.3">
      <c r="A11" s="13">
        <v>2</v>
      </c>
      <c r="B11" s="8" t="s">
        <v>43</v>
      </c>
      <c r="C11" s="9" t="s">
        <v>35</v>
      </c>
      <c r="D11" s="10" t="s">
        <v>36</v>
      </c>
      <c r="E11" s="11">
        <v>46007</v>
      </c>
      <c r="F11" s="26" t="s">
        <v>98</v>
      </c>
      <c r="G11" s="8" t="s">
        <v>99</v>
      </c>
      <c r="H11" s="26" t="s">
        <v>101</v>
      </c>
      <c r="I11" s="8" t="s">
        <v>40</v>
      </c>
      <c r="J11" s="8" t="s">
        <v>41</v>
      </c>
      <c r="K11" s="8" t="s">
        <v>41</v>
      </c>
      <c r="L11" s="31"/>
    </row>
    <row r="12" spans="1:12" x14ac:dyDescent="0.3">
      <c r="A12" s="13">
        <v>3</v>
      </c>
      <c r="B12" s="8" t="s">
        <v>34</v>
      </c>
      <c r="C12" s="9" t="s">
        <v>35</v>
      </c>
      <c r="D12" s="10" t="s">
        <v>36</v>
      </c>
      <c r="E12" s="11">
        <v>46008</v>
      </c>
      <c r="F12" s="26" t="s">
        <v>97</v>
      </c>
      <c r="G12" s="8" t="s">
        <v>38</v>
      </c>
      <c r="H12" s="26" t="s">
        <v>100</v>
      </c>
      <c r="I12" s="8" t="s">
        <v>2</v>
      </c>
      <c r="J12" s="8" t="s">
        <v>42</v>
      </c>
      <c r="K12" s="8" t="s">
        <v>42</v>
      </c>
      <c r="L12" s="31"/>
    </row>
    <row r="13" spans="1:12" x14ac:dyDescent="0.3">
      <c r="A13" s="13">
        <v>4</v>
      </c>
      <c r="B13" s="8" t="s">
        <v>43</v>
      </c>
      <c r="C13" s="9" t="s">
        <v>35</v>
      </c>
      <c r="D13" s="10" t="s">
        <v>36</v>
      </c>
      <c r="E13" s="11">
        <v>46009</v>
      </c>
      <c r="F13" s="26" t="s">
        <v>98</v>
      </c>
      <c r="G13" s="8" t="s">
        <v>99</v>
      </c>
      <c r="H13" s="26" t="s">
        <v>101</v>
      </c>
      <c r="I13" s="8" t="s">
        <v>40</v>
      </c>
      <c r="J13" s="8" t="s">
        <v>41</v>
      </c>
      <c r="K13" s="8" t="s">
        <v>41</v>
      </c>
      <c r="L13" s="31"/>
    </row>
    <row r="14" spans="1:12" x14ac:dyDescent="0.3">
      <c r="A14" s="13">
        <v>5</v>
      </c>
      <c r="B14" s="8" t="s">
        <v>34</v>
      </c>
      <c r="C14" s="9" t="s">
        <v>35</v>
      </c>
      <c r="D14" s="10" t="s">
        <v>36</v>
      </c>
      <c r="E14" s="11">
        <v>46010</v>
      </c>
      <c r="F14" s="26" t="s">
        <v>97</v>
      </c>
      <c r="G14" s="8" t="s">
        <v>38</v>
      </c>
      <c r="H14" s="26" t="s">
        <v>100</v>
      </c>
      <c r="I14" s="8" t="s">
        <v>2</v>
      </c>
      <c r="J14" s="8" t="s">
        <v>42</v>
      </c>
      <c r="K14" s="8" t="s">
        <v>42</v>
      </c>
      <c r="L14" s="31"/>
    </row>
    <row r="15" spans="1:12" x14ac:dyDescent="0.3">
      <c r="A15" s="13">
        <v>6</v>
      </c>
      <c r="B15" s="8" t="s">
        <v>43</v>
      </c>
      <c r="C15" s="9" t="s">
        <v>35</v>
      </c>
      <c r="D15" s="10" t="s">
        <v>36</v>
      </c>
      <c r="E15" s="11">
        <v>46011</v>
      </c>
      <c r="F15" s="26" t="s">
        <v>98</v>
      </c>
      <c r="G15" s="8" t="s">
        <v>99</v>
      </c>
      <c r="H15" s="26" t="s">
        <v>101</v>
      </c>
      <c r="I15" s="8" t="s">
        <v>40</v>
      </c>
      <c r="J15" s="8" t="s">
        <v>41</v>
      </c>
      <c r="K15" s="8" t="s">
        <v>41</v>
      </c>
      <c r="L15" s="31"/>
    </row>
    <row r="16" spans="1:12" x14ac:dyDescent="0.3">
      <c r="A16" s="13">
        <v>7</v>
      </c>
      <c r="B16" s="8" t="s">
        <v>34</v>
      </c>
      <c r="C16" s="9" t="s">
        <v>35</v>
      </c>
      <c r="D16" s="10" t="s">
        <v>36</v>
      </c>
      <c r="E16" s="11">
        <v>46012</v>
      </c>
      <c r="F16" s="26" t="s">
        <v>97</v>
      </c>
      <c r="G16" s="8" t="s">
        <v>38</v>
      </c>
      <c r="H16" s="26" t="s">
        <v>100</v>
      </c>
      <c r="I16" s="8" t="s">
        <v>2</v>
      </c>
      <c r="J16" s="8" t="s">
        <v>42</v>
      </c>
      <c r="K16" s="8" t="s">
        <v>42</v>
      </c>
      <c r="L16" s="31"/>
    </row>
    <row r="17" spans="1:12" x14ac:dyDescent="0.3">
      <c r="A17" s="13">
        <v>8</v>
      </c>
      <c r="B17" s="8" t="s">
        <v>43</v>
      </c>
      <c r="C17" s="9" t="s">
        <v>35</v>
      </c>
      <c r="D17" s="10" t="s">
        <v>36</v>
      </c>
      <c r="E17" s="11">
        <v>46013</v>
      </c>
      <c r="F17" s="26" t="s">
        <v>98</v>
      </c>
      <c r="G17" s="8" t="s">
        <v>99</v>
      </c>
      <c r="H17" s="26" t="s">
        <v>101</v>
      </c>
      <c r="I17" s="8" t="s">
        <v>40</v>
      </c>
      <c r="J17" s="8" t="s">
        <v>41</v>
      </c>
      <c r="K17" s="8" t="s">
        <v>41</v>
      </c>
      <c r="L17" s="31"/>
    </row>
    <row r="18" spans="1:12" x14ac:dyDescent="0.3">
      <c r="A18" s="13">
        <v>9</v>
      </c>
      <c r="B18" s="8" t="s">
        <v>34</v>
      </c>
      <c r="C18" s="9" t="s">
        <v>35</v>
      </c>
      <c r="D18" s="10" t="s">
        <v>36</v>
      </c>
      <c r="E18" s="11">
        <v>46014</v>
      </c>
      <c r="F18" s="26" t="s">
        <v>97</v>
      </c>
      <c r="G18" s="8" t="s">
        <v>38</v>
      </c>
      <c r="H18" s="26" t="s">
        <v>100</v>
      </c>
      <c r="I18" s="8" t="s">
        <v>2</v>
      </c>
      <c r="J18" s="8" t="s">
        <v>42</v>
      </c>
      <c r="K18" s="8" t="s">
        <v>42</v>
      </c>
      <c r="L18" s="31"/>
    </row>
    <row r="19" spans="1:12" x14ac:dyDescent="0.3">
      <c r="A19" s="13">
        <v>10</v>
      </c>
      <c r="B19" s="8" t="s">
        <v>43</v>
      </c>
      <c r="C19" s="9" t="s">
        <v>35</v>
      </c>
      <c r="D19" s="10" t="s">
        <v>36</v>
      </c>
      <c r="E19" s="11">
        <v>46015</v>
      </c>
      <c r="F19" s="26" t="s">
        <v>98</v>
      </c>
      <c r="G19" s="8" t="s">
        <v>99</v>
      </c>
      <c r="H19" s="26" t="s">
        <v>101</v>
      </c>
      <c r="I19" s="8" t="s">
        <v>2</v>
      </c>
      <c r="J19" s="8" t="s">
        <v>41</v>
      </c>
      <c r="K19" s="8" t="s">
        <v>41</v>
      </c>
      <c r="L19" s="31"/>
    </row>
    <row r="20" spans="1:12" x14ac:dyDescent="0.3">
      <c r="A20" s="13">
        <v>11</v>
      </c>
      <c r="B20" s="8" t="s">
        <v>34</v>
      </c>
      <c r="C20" s="9" t="s">
        <v>35</v>
      </c>
      <c r="D20" s="10" t="s">
        <v>36</v>
      </c>
      <c r="E20" s="11">
        <v>46016</v>
      </c>
      <c r="F20" s="26" t="s">
        <v>97</v>
      </c>
      <c r="G20" s="8" t="s">
        <v>38</v>
      </c>
      <c r="H20" s="26" t="s">
        <v>100</v>
      </c>
      <c r="I20" s="8" t="s">
        <v>2</v>
      </c>
      <c r="J20" s="8" t="s">
        <v>42</v>
      </c>
      <c r="K20" s="8" t="s">
        <v>42</v>
      </c>
      <c r="L20" s="31"/>
    </row>
    <row r="21" spans="1:12" x14ac:dyDescent="0.3">
      <c r="A21" s="13">
        <v>12</v>
      </c>
      <c r="B21" s="8" t="s">
        <v>43</v>
      </c>
      <c r="C21" s="9" t="s">
        <v>35</v>
      </c>
      <c r="D21" s="10" t="s">
        <v>36</v>
      </c>
      <c r="E21" s="11">
        <v>46017</v>
      </c>
      <c r="F21" s="26" t="s">
        <v>98</v>
      </c>
      <c r="G21" s="8" t="s">
        <v>99</v>
      </c>
      <c r="H21" s="26" t="s">
        <v>101</v>
      </c>
      <c r="I21" s="8" t="s">
        <v>2</v>
      </c>
      <c r="J21" s="8" t="s">
        <v>41</v>
      </c>
      <c r="K21" s="8" t="s">
        <v>41</v>
      </c>
      <c r="L21" s="31"/>
    </row>
    <row r="22" spans="1:12" x14ac:dyDescent="0.3">
      <c r="A22" s="13">
        <v>13</v>
      </c>
      <c r="B22" s="8" t="s">
        <v>34</v>
      </c>
      <c r="C22" s="9" t="s">
        <v>35</v>
      </c>
      <c r="D22" s="10" t="s">
        <v>36</v>
      </c>
      <c r="E22" s="11">
        <v>46018</v>
      </c>
      <c r="F22" s="26" t="s">
        <v>97</v>
      </c>
      <c r="G22" s="8" t="s">
        <v>38</v>
      </c>
      <c r="H22" s="26" t="s">
        <v>100</v>
      </c>
      <c r="I22" s="8" t="s">
        <v>2</v>
      </c>
      <c r="J22" s="8" t="s">
        <v>42</v>
      </c>
      <c r="K22" s="8" t="s">
        <v>42</v>
      </c>
      <c r="L22" s="31"/>
    </row>
    <row r="23" spans="1:12" x14ac:dyDescent="0.3">
      <c r="A23" s="13">
        <v>14</v>
      </c>
      <c r="B23" s="8" t="s">
        <v>43</v>
      </c>
      <c r="C23" s="9" t="s">
        <v>35</v>
      </c>
      <c r="D23" s="10" t="s">
        <v>36</v>
      </c>
      <c r="E23" s="11">
        <v>46019</v>
      </c>
      <c r="F23" s="26" t="s">
        <v>98</v>
      </c>
      <c r="G23" s="8" t="s">
        <v>99</v>
      </c>
      <c r="H23" s="26" t="s">
        <v>101</v>
      </c>
      <c r="I23" s="8" t="s">
        <v>2</v>
      </c>
      <c r="J23" s="8" t="s">
        <v>41</v>
      </c>
      <c r="K23" s="8" t="s">
        <v>41</v>
      </c>
      <c r="L23" s="31"/>
    </row>
    <row r="24" spans="1:12" x14ac:dyDescent="0.3">
      <c r="A24" s="13">
        <v>15</v>
      </c>
      <c r="B24" s="8" t="s">
        <v>34</v>
      </c>
      <c r="C24" s="9" t="s">
        <v>35</v>
      </c>
      <c r="D24" s="10" t="s">
        <v>36</v>
      </c>
      <c r="E24" s="11">
        <v>46020</v>
      </c>
      <c r="F24" s="26" t="s">
        <v>97</v>
      </c>
      <c r="G24" s="8" t="s">
        <v>38</v>
      </c>
      <c r="H24" s="26" t="s">
        <v>100</v>
      </c>
      <c r="I24" s="8" t="s">
        <v>2</v>
      </c>
      <c r="J24" s="8" t="s">
        <v>42</v>
      </c>
      <c r="K24" s="8" t="s">
        <v>42</v>
      </c>
      <c r="L24" s="31"/>
    </row>
    <row r="25" spans="1:12" x14ac:dyDescent="0.3">
      <c r="A25" s="13">
        <v>16</v>
      </c>
      <c r="B25" s="8" t="s">
        <v>43</v>
      </c>
      <c r="C25" s="9" t="s">
        <v>35</v>
      </c>
      <c r="D25" s="10" t="s">
        <v>36</v>
      </c>
      <c r="E25" s="11">
        <v>46021</v>
      </c>
      <c r="F25" s="26" t="s">
        <v>98</v>
      </c>
      <c r="G25" s="8" t="s">
        <v>99</v>
      </c>
      <c r="H25" s="26" t="s">
        <v>101</v>
      </c>
      <c r="I25" s="8" t="s">
        <v>40</v>
      </c>
      <c r="J25" s="8" t="s">
        <v>41</v>
      </c>
      <c r="K25" s="8" t="s">
        <v>41</v>
      </c>
      <c r="L25" s="31"/>
    </row>
    <row r="26" spans="1:12" x14ac:dyDescent="0.3">
      <c r="A26" s="13">
        <v>17</v>
      </c>
      <c r="B26" s="8" t="s">
        <v>34</v>
      </c>
      <c r="C26" s="9" t="s">
        <v>35</v>
      </c>
      <c r="D26" s="10" t="s">
        <v>36</v>
      </c>
      <c r="E26" s="11">
        <v>46022</v>
      </c>
      <c r="F26" s="26" t="s">
        <v>97</v>
      </c>
      <c r="G26" s="8" t="s">
        <v>38</v>
      </c>
      <c r="H26" s="26" t="s">
        <v>100</v>
      </c>
      <c r="I26" s="8" t="s">
        <v>40</v>
      </c>
      <c r="J26" s="8" t="s">
        <v>42</v>
      </c>
      <c r="K26" s="8" t="s">
        <v>42</v>
      </c>
      <c r="L26" s="31"/>
    </row>
    <row r="27" spans="1:12" x14ac:dyDescent="0.3">
      <c r="A27" s="13">
        <v>18</v>
      </c>
      <c r="B27" s="8" t="s">
        <v>43</v>
      </c>
      <c r="C27" s="9" t="s">
        <v>35</v>
      </c>
      <c r="D27" s="10" t="s">
        <v>36</v>
      </c>
      <c r="E27" s="11">
        <v>46023</v>
      </c>
      <c r="F27" s="26" t="s">
        <v>98</v>
      </c>
      <c r="G27" s="8" t="s">
        <v>99</v>
      </c>
      <c r="H27" s="26" t="s">
        <v>101</v>
      </c>
      <c r="I27" s="8" t="s">
        <v>40</v>
      </c>
      <c r="J27" s="8" t="s">
        <v>41</v>
      </c>
      <c r="K27" s="8" t="s">
        <v>41</v>
      </c>
      <c r="L27" s="31"/>
    </row>
    <row r="28" spans="1:12" x14ac:dyDescent="0.3">
      <c r="A28" s="13">
        <v>19</v>
      </c>
      <c r="B28" s="8" t="s">
        <v>34</v>
      </c>
      <c r="C28" s="9" t="s">
        <v>35</v>
      </c>
      <c r="D28" s="10" t="s">
        <v>36</v>
      </c>
      <c r="E28" s="11">
        <v>46024</v>
      </c>
      <c r="F28" s="26" t="s">
        <v>97</v>
      </c>
      <c r="G28" s="8" t="s">
        <v>38</v>
      </c>
      <c r="H28" s="26" t="s">
        <v>100</v>
      </c>
      <c r="I28" s="8" t="s">
        <v>2</v>
      </c>
      <c r="J28" s="8" t="s">
        <v>42</v>
      </c>
      <c r="K28" s="8" t="s">
        <v>42</v>
      </c>
      <c r="L28" s="31"/>
    </row>
    <row r="29" spans="1:12" x14ac:dyDescent="0.3">
      <c r="A29" s="13">
        <v>20</v>
      </c>
      <c r="B29" s="8" t="s">
        <v>43</v>
      </c>
      <c r="C29" s="9" t="s">
        <v>35</v>
      </c>
      <c r="D29" s="10" t="s">
        <v>36</v>
      </c>
      <c r="E29" s="11">
        <v>46025</v>
      </c>
      <c r="F29" s="26" t="s">
        <v>98</v>
      </c>
      <c r="G29" s="8" t="s">
        <v>99</v>
      </c>
      <c r="H29" s="26" t="s">
        <v>101</v>
      </c>
      <c r="I29" s="8" t="s">
        <v>40</v>
      </c>
      <c r="J29" s="8" t="s">
        <v>41</v>
      </c>
      <c r="K29" s="8" t="s">
        <v>41</v>
      </c>
      <c r="L29" s="31"/>
    </row>
    <row r="30" spans="1:12" x14ac:dyDescent="0.3">
      <c r="A30" s="13">
        <v>21</v>
      </c>
      <c r="B30" s="8" t="s">
        <v>34</v>
      </c>
      <c r="C30" s="9" t="s">
        <v>35</v>
      </c>
      <c r="D30" s="10" t="s">
        <v>36</v>
      </c>
      <c r="E30" s="11">
        <v>46026</v>
      </c>
      <c r="F30" s="26" t="s">
        <v>97</v>
      </c>
      <c r="G30" s="8" t="s">
        <v>38</v>
      </c>
      <c r="H30" s="26" t="s">
        <v>100</v>
      </c>
      <c r="I30" s="8" t="s">
        <v>40</v>
      </c>
      <c r="J30" s="8" t="s">
        <v>42</v>
      </c>
      <c r="K30" s="8" t="s">
        <v>42</v>
      </c>
      <c r="L30" s="31"/>
    </row>
    <row r="31" spans="1:12" x14ac:dyDescent="0.3">
      <c r="A31" s="13">
        <v>22</v>
      </c>
      <c r="B31" s="8" t="s">
        <v>43</v>
      </c>
      <c r="C31" s="9" t="s">
        <v>35</v>
      </c>
      <c r="D31" s="10" t="s">
        <v>36</v>
      </c>
      <c r="E31" s="11">
        <v>46027</v>
      </c>
      <c r="F31" s="26" t="s">
        <v>98</v>
      </c>
      <c r="G31" s="8" t="s">
        <v>99</v>
      </c>
      <c r="H31" s="26" t="s">
        <v>101</v>
      </c>
      <c r="I31" s="8" t="s">
        <v>40</v>
      </c>
      <c r="J31" s="8" t="s">
        <v>41</v>
      </c>
      <c r="K31" s="8" t="s">
        <v>41</v>
      </c>
      <c r="L31" s="31"/>
    </row>
    <row r="32" spans="1:12" x14ac:dyDescent="0.3">
      <c r="A32" s="13">
        <v>23</v>
      </c>
      <c r="B32" s="8" t="s">
        <v>34</v>
      </c>
      <c r="C32" s="9" t="s">
        <v>35</v>
      </c>
      <c r="D32" s="10" t="s">
        <v>36</v>
      </c>
      <c r="E32" s="11">
        <v>46028</v>
      </c>
      <c r="F32" s="26" t="s">
        <v>97</v>
      </c>
      <c r="G32" s="8" t="s">
        <v>38</v>
      </c>
      <c r="H32" s="26" t="s">
        <v>100</v>
      </c>
      <c r="I32" s="8" t="s">
        <v>40</v>
      </c>
      <c r="J32" s="8" t="s">
        <v>42</v>
      </c>
      <c r="K32" s="8" t="s">
        <v>42</v>
      </c>
      <c r="L32" s="31"/>
    </row>
    <row r="33" spans="1:12" x14ac:dyDescent="0.3">
      <c r="A33" s="13">
        <v>24</v>
      </c>
      <c r="B33" s="8" t="s">
        <v>43</v>
      </c>
      <c r="C33" s="9" t="s">
        <v>35</v>
      </c>
      <c r="D33" s="10" t="s">
        <v>36</v>
      </c>
      <c r="E33" s="11">
        <v>46029</v>
      </c>
      <c r="F33" s="26" t="s">
        <v>98</v>
      </c>
      <c r="G33" s="8" t="s">
        <v>99</v>
      </c>
      <c r="H33" s="26" t="s">
        <v>101</v>
      </c>
      <c r="I33" s="8" t="s">
        <v>40</v>
      </c>
      <c r="J33" s="8" t="s">
        <v>41</v>
      </c>
      <c r="K33" s="8" t="s">
        <v>41</v>
      </c>
      <c r="L33" s="31"/>
    </row>
    <row r="34" spans="1:12" x14ac:dyDescent="0.3">
      <c r="A34" s="13">
        <v>25</v>
      </c>
      <c r="B34" s="8" t="s">
        <v>34</v>
      </c>
      <c r="C34" s="9" t="s">
        <v>35</v>
      </c>
      <c r="D34" s="10" t="s">
        <v>36</v>
      </c>
      <c r="E34" s="11">
        <v>46030</v>
      </c>
      <c r="F34" s="26" t="s">
        <v>97</v>
      </c>
      <c r="G34" s="8" t="s">
        <v>38</v>
      </c>
      <c r="H34" s="26" t="s">
        <v>100</v>
      </c>
      <c r="I34" s="8" t="s">
        <v>40</v>
      </c>
      <c r="J34" s="8" t="s">
        <v>42</v>
      </c>
      <c r="K34" s="8" t="s">
        <v>42</v>
      </c>
      <c r="L34" s="31"/>
    </row>
    <row r="35" spans="1:12" x14ac:dyDescent="0.3">
      <c r="A35" s="13">
        <v>26</v>
      </c>
      <c r="B35" s="8" t="s">
        <v>43</v>
      </c>
      <c r="C35" s="9" t="s">
        <v>35</v>
      </c>
      <c r="D35" s="10" t="s">
        <v>36</v>
      </c>
      <c r="E35" s="11">
        <v>46031</v>
      </c>
      <c r="F35" s="26" t="s">
        <v>98</v>
      </c>
      <c r="G35" s="8" t="s">
        <v>99</v>
      </c>
      <c r="H35" s="26" t="s">
        <v>101</v>
      </c>
      <c r="I35" s="8" t="s">
        <v>40</v>
      </c>
      <c r="J35" s="8" t="s">
        <v>41</v>
      </c>
      <c r="K35" s="8" t="s">
        <v>41</v>
      </c>
      <c r="L35" s="31"/>
    </row>
    <row r="36" spans="1:12" x14ac:dyDescent="0.3">
      <c r="A36" s="13">
        <v>27</v>
      </c>
      <c r="B36" s="8" t="s">
        <v>34</v>
      </c>
      <c r="C36" s="9" t="s">
        <v>35</v>
      </c>
      <c r="D36" s="10" t="s">
        <v>36</v>
      </c>
      <c r="E36" s="11">
        <v>46032</v>
      </c>
      <c r="F36" s="26" t="s">
        <v>97</v>
      </c>
      <c r="G36" s="8" t="s">
        <v>38</v>
      </c>
      <c r="H36" s="26" t="s">
        <v>100</v>
      </c>
      <c r="I36" s="8" t="s">
        <v>40</v>
      </c>
      <c r="J36" s="8" t="s">
        <v>42</v>
      </c>
      <c r="K36" s="8" t="s">
        <v>42</v>
      </c>
      <c r="L36" s="31"/>
    </row>
    <row r="37" spans="1:12" x14ac:dyDescent="0.3">
      <c r="A37" s="13">
        <v>28</v>
      </c>
      <c r="B37" s="8" t="s">
        <v>43</v>
      </c>
      <c r="C37" s="9" t="s">
        <v>35</v>
      </c>
      <c r="D37" s="10" t="s">
        <v>36</v>
      </c>
      <c r="E37" s="11">
        <v>46033</v>
      </c>
      <c r="F37" s="26" t="s">
        <v>98</v>
      </c>
      <c r="G37" s="8" t="s">
        <v>99</v>
      </c>
      <c r="H37" s="26" t="s">
        <v>101</v>
      </c>
      <c r="I37" s="8" t="s">
        <v>40</v>
      </c>
      <c r="J37" s="8" t="s">
        <v>41</v>
      </c>
      <c r="K37" s="8" t="s">
        <v>41</v>
      </c>
      <c r="L37" s="31"/>
    </row>
    <row r="38" spans="1:12" x14ac:dyDescent="0.3">
      <c r="A38" s="13">
        <v>29</v>
      </c>
      <c r="B38" s="8" t="s">
        <v>34</v>
      </c>
      <c r="C38" s="9" t="s">
        <v>35</v>
      </c>
      <c r="D38" s="10" t="s">
        <v>36</v>
      </c>
      <c r="E38" s="11">
        <v>46034</v>
      </c>
      <c r="F38" s="26" t="s">
        <v>97</v>
      </c>
      <c r="G38" s="8" t="s">
        <v>38</v>
      </c>
      <c r="H38" s="26" t="s">
        <v>100</v>
      </c>
      <c r="I38" s="8" t="s">
        <v>2</v>
      </c>
      <c r="J38" s="8" t="s">
        <v>42</v>
      </c>
      <c r="K38" s="8" t="s">
        <v>42</v>
      </c>
      <c r="L38" s="31"/>
    </row>
    <row r="39" spans="1:12" x14ac:dyDescent="0.3">
      <c r="A39" s="13">
        <v>30</v>
      </c>
      <c r="B39" s="8" t="s">
        <v>43</v>
      </c>
      <c r="C39" s="9" t="s">
        <v>35</v>
      </c>
      <c r="D39" s="10" t="s">
        <v>36</v>
      </c>
      <c r="E39" s="11">
        <v>46035</v>
      </c>
      <c r="F39" s="26" t="s">
        <v>98</v>
      </c>
      <c r="G39" s="8" t="s">
        <v>99</v>
      </c>
      <c r="H39" s="26" t="s">
        <v>101</v>
      </c>
      <c r="I39" s="8" t="s">
        <v>40</v>
      </c>
      <c r="J39" s="8" t="s">
        <v>41</v>
      </c>
      <c r="K39" s="8" t="s">
        <v>41</v>
      </c>
      <c r="L39" s="31"/>
    </row>
    <row r="40" spans="1:12" x14ac:dyDescent="0.3">
      <c r="A40" s="13">
        <v>31</v>
      </c>
      <c r="B40" s="8" t="s">
        <v>34</v>
      </c>
      <c r="C40" s="9" t="s">
        <v>35</v>
      </c>
      <c r="D40" s="10" t="s">
        <v>36</v>
      </c>
      <c r="E40" s="11">
        <v>46036</v>
      </c>
      <c r="F40" s="26" t="s">
        <v>97</v>
      </c>
      <c r="G40" s="8" t="s">
        <v>38</v>
      </c>
      <c r="H40" s="26" t="s">
        <v>100</v>
      </c>
      <c r="I40" s="8" t="s">
        <v>2</v>
      </c>
      <c r="J40" s="8" t="s">
        <v>42</v>
      </c>
      <c r="K40" s="8" t="s">
        <v>42</v>
      </c>
      <c r="L40" s="31"/>
    </row>
    <row r="41" spans="1:12" x14ac:dyDescent="0.3">
      <c r="A41" s="13">
        <v>32</v>
      </c>
      <c r="B41" s="8" t="s">
        <v>43</v>
      </c>
      <c r="C41" s="9" t="s">
        <v>35</v>
      </c>
      <c r="D41" s="10" t="s">
        <v>36</v>
      </c>
      <c r="E41" s="11">
        <v>46037</v>
      </c>
      <c r="F41" s="26" t="s">
        <v>98</v>
      </c>
      <c r="G41" s="8" t="s">
        <v>99</v>
      </c>
      <c r="H41" s="26" t="s">
        <v>101</v>
      </c>
      <c r="I41" s="8" t="s">
        <v>40</v>
      </c>
      <c r="J41" s="8" t="s">
        <v>41</v>
      </c>
      <c r="K41" s="8" t="s">
        <v>41</v>
      </c>
      <c r="L41" s="31"/>
    </row>
    <row r="42" spans="1:12" x14ac:dyDescent="0.3">
      <c r="A42" s="13">
        <v>33</v>
      </c>
      <c r="B42" s="8" t="s">
        <v>34</v>
      </c>
      <c r="C42" s="9" t="s">
        <v>35</v>
      </c>
      <c r="D42" s="10" t="s">
        <v>36</v>
      </c>
      <c r="E42" s="11">
        <v>46038</v>
      </c>
      <c r="F42" s="26" t="s">
        <v>97</v>
      </c>
      <c r="G42" s="8" t="s">
        <v>38</v>
      </c>
      <c r="H42" s="26" t="s">
        <v>100</v>
      </c>
      <c r="I42" s="8" t="s">
        <v>2</v>
      </c>
      <c r="J42" s="8" t="s">
        <v>42</v>
      </c>
      <c r="K42" s="8" t="s">
        <v>42</v>
      </c>
      <c r="L42" s="31"/>
    </row>
    <row r="43" spans="1:12" x14ac:dyDescent="0.3">
      <c r="A43" s="13">
        <v>34</v>
      </c>
      <c r="B43" s="8" t="s">
        <v>43</v>
      </c>
      <c r="C43" s="9" t="s">
        <v>35</v>
      </c>
      <c r="D43" s="10" t="s">
        <v>36</v>
      </c>
      <c r="E43" s="11">
        <v>46039</v>
      </c>
      <c r="F43" s="26" t="s">
        <v>98</v>
      </c>
      <c r="G43" s="8" t="s">
        <v>99</v>
      </c>
      <c r="H43" s="26" t="s">
        <v>101</v>
      </c>
      <c r="I43" s="8" t="s">
        <v>40</v>
      </c>
      <c r="J43" s="8" t="s">
        <v>41</v>
      </c>
      <c r="K43" s="8" t="s">
        <v>41</v>
      </c>
      <c r="L43" s="31"/>
    </row>
    <row r="44" spans="1:12" x14ac:dyDescent="0.3">
      <c r="A44" s="13">
        <v>35</v>
      </c>
      <c r="B44" s="8" t="s">
        <v>34</v>
      </c>
      <c r="C44" s="9" t="s">
        <v>35</v>
      </c>
      <c r="D44" s="10" t="s">
        <v>36</v>
      </c>
      <c r="E44" s="11">
        <v>46040</v>
      </c>
      <c r="F44" s="26" t="s">
        <v>97</v>
      </c>
      <c r="G44" s="8" t="s">
        <v>38</v>
      </c>
      <c r="H44" s="26" t="s">
        <v>100</v>
      </c>
      <c r="I44" s="8" t="s">
        <v>2</v>
      </c>
      <c r="J44" s="8" t="s">
        <v>42</v>
      </c>
      <c r="K44" s="8" t="s">
        <v>42</v>
      </c>
      <c r="L44" s="31"/>
    </row>
    <row r="45" spans="1:12" x14ac:dyDescent="0.3">
      <c r="A45" s="13">
        <v>36</v>
      </c>
      <c r="B45" s="8" t="s">
        <v>43</v>
      </c>
      <c r="C45" s="9" t="s">
        <v>35</v>
      </c>
      <c r="D45" s="10" t="s">
        <v>36</v>
      </c>
      <c r="E45" s="11">
        <v>46041</v>
      </c>
      <c r="F45" s="26" t="s">
        <v>98</v>
      </c>
      <c r="G45" s="8" t="s">
        <v>99</v>
      </c>
      <c r="H45" s="26" t="s">
        <v>101</v>
      </c>
      <c r="I45" s="8" t="s">
        <v>40</v>
      </c>
      <c r="J45" s="8" t="s">
        <v>41</v>
      </c>
      <c r="K45" s="8" t="s">
        <v>41</v>
      </c>
      <c r="L45" s="31"/>
    </row>
    <row r="46" spans="1:12" x14ac:dyDescent="0.3">
      <c r="A46" s="13">
        <v>37</v>
      </c>
      <c r="B46" s="8" t="s">
        <v>34</v>
      </c>
      <c r="C46" s="9" t="s">
        <v>35</v>
      </c>
      <c r="D46" s="10" t="s">
        <v>36</v>
      </c>
      <c r="E46" s="11">
        <v>46042</v>
      </c>
      <c r="F46" s="26" t="s">
        <v>97</v>
      </c>
      <c r="G46" s="8" t="s">
        <v>38</v>
      </c>
      <c r="H46" s="26" t="s">
        <v>100</v>
      </c>
      <c r="I46" s="8" t="s">
        <v>2</v>
      </c>
      <c r="J46" s="8" t="s">
        <v>42</v>
      </c>
      <c r="K46" s="8" t="s">
        <v>42</v>
      </c>
      <c r="L46" s="31"/>
    </row>
    <row r="47" spans="1:12" x14ac:dyDescent="0.3">
      <c r="A47" s="13">
        <v>38</v>
      </c>
      <c r="B47" s="8" t="s">
        <v>43</v>
      </c>
      <c r="C47" s="9" t="s">
        <v>35</v>
      </c>
      <c r="D47" s="10" t="s">
        <v>36</v>
      </c>
      <c r="E47" s="11">
        <v>46043</v>
      </c>
      <c r="F47" s="26" t="s">
        <v>98</v>
      </c>
      <c r="G47" s="8" t="s">
        <v>99</v>
      </c>
      <c r="H47" s="26" t="s">
        <v>101</v>
      </c>
      <c r="I47" s="8" t="s">
        <v>40</v>
      </c>
      <c r="J47" s="8" t="s">
        <v>41</v>
      </c>
      <c r="K47" s="8" t="s">
        <v>41</v>
      </c>
      <c r="L47" s="31"/>
    </row>
    <row r="48" spans="1:12" x14ac:dyDescent="0.3">
      <c r="A48" s="13">
        <v>39</v>
      </c>
      <c r="B48" s="8" t="s">
        <v>34</v>
      </c>
      <c r="C48" s="9" t="s">
        <v>35</v>
      </c>
      <c r="D48" s="10" t="s">
        <v>36</v>
      </c>
      <c r="E48" s="11">
        <v>46044</v>
      </c>
      <c r="F48" s="26" t="s">
        <v>97</v>
      </c>
      <c r="G48" s="8" t="s">
        <v>38</v>
      </c>
      <c r="H48" s="26" t="s">
        <v>100</v>
      </c>
      <c r="I48" s="8" t="s">
        <v>2</v>
      </c>
      <c r="J48" s="8" t="s">
        <v>42</v>
      </c>
      <c r="K48" s="8" t="s">
        <v>42</v>
      </c>
      <c r="L48" s="31"/>
    </row>
    <row r="49" spans="1:12" x14ac:dyDescent="0.3">
      <c r="A49" s="13">
        <v>40</v>
      </c>
      <c r="B49" s="8" t="s">
        <v>43</v>
      </c>
      <c r="C49" s="9" t="s">
        <v>35</v>
      </c>
      <c r="D49" s="10" t="s">
        <v>36</v>
      </c>
      <c r="E49" s="11">
        <v>46045</v>
      </c>
      <c r="F49" s="26" t="s">
        <v>98</v>
      </c>
      <c r="G49" s="8" t="s">
        <v>99</v>
      </c>
      <c r="H49" s="26" t="s">
        <v>101</v>
      </c>
      <c r="I49" s="8" t="s">
        <v>40</v>
      </c>
      <c r="J49" s="8" t="s">
        <v>41</v>
      </c>
      <c r="K49" s="8" t="s">
        <v>41</v>
      </c>
      <c r="L49" s="31"/>
    </row>
    <row r="50" spans="1:12" x14ac:dyDescent="0.3">
      <c r="A50" s="13">
        <v>41</v>
      </c>
      <c r="B50" s="8" t="s">
        <v>34</v>
      </c>
      <c r="C50" s="9" t="s">
        <v>35</v>
      </c>
      <c r="D50" s="10" t="s">
        <v>36</v>
      </c>
      <c r="E50" s="11">
        <v>46046</v>
      </c>
      <c r="F50" s="26" t="s">
        <v>97</v>
      </c>
      <c r="G50" s="8" t="s">
        <v>38</v>
      </c>
      <c r="H50" s="26" t="s">
        <v>100</v>
      </c>
      <c r="I50" s="8" t="s">
        <v>2</v>
      </c>
      <c r="J50" s="8" t="s">
        <v>42</v>
      </c>
      <c r="K50" s="8" t="s">
        <v>42</v>
      </c>
      <c r="L50" s="31"/>
    </row>
    <row r="51" spans="1:12" x14ac:dyDescent="0.3">
      <c r="A51" s="13">
        <v>42</v>
      </c>
      <c r="B51" s="8" t="s">
        <v>43</v>
      </c>
      <c r="C51" s="9" t="s">
        <v>35</v>
      </c>
      <c r="D51" s="10" t="s">
        <v>36</v>
      </c>
      <c r="E51" s="11">
        <v>46047</v>
      </c>
      <c r="F51" s="26" t="s">
        <v>98</v>
      </c>
      <c r="G51" s="8" t="s">
        <v>99</v>
      </c>
      <c r="H51" s="26" t="s">
        <v>101</v>
      </c>
      <c r="I51" s="8" t="s">
        <v>40</v>
      </c>
      <c r="J51" s="8" t="s">
        <v>41</v>
      </c>
      <c r="K51" s="8" t="s">
        <v>41</v>
      </c>
      <c r="L51" s="31"/>
    </row>
    <row r="52" spans="1:12" x14ac:dyDescent="0.3">
      <c r="A52" s="13">
        <v>43</v>
      </c>
      <c r="B52" s="8" t="s">
        <v>34</v>
      </c>
      <c r="C52" s="9" t="s">
        <v>35</v>
      </c>
      <c r="D52" s="10" t="s">
        <v>36</v>
      </c>
      <c r="E52" s="11">
        <v>46048</v>
      </c>
      <c r="F52" s="26" t="s">
        <v>97</v>
      </c>
      <c r="G52" s="8" t="s">
        <v>38</v>
      </c>
      <c r="H52" s="26" t="s">
        <v>100</v>
      </c>
      <c r="I52" s="8" t="s">
        <v>2</v>
      </c>
      <c r="J52" s="8" t="s">
        <v>42</v>
      </c>
      <c r="K52" s="8" t="s">
        <v>42</v>
      </c>
      <c r="L52" s="31"/>
    </row>
    <row r="53" spans="1:12" x14ac:dyDescent="0.3">
      <c r="A53" s="13">
        <v>44</v>
      </c>
      <c r="B53" s="8" t="s">
        <v>43</v>
      </c>
      <c r="C53" s="9" t="s">
        <v>35</v>
      </c>
      <c r="D53" s="10" t="s">
        <v>36</v>
      </c>
      <c r="E53" s="11">
        <v>46049</v>
      </c>
      <c r="F53" s="26" t="s">
        <v>98</v>
      </c>
      <c r="G53" s="8" t="s">
        <v>99</v>
      </c>
      <c r="H53" s="26" t="s">
        <v>101</v>
      </c>
      <c r="I53" s="8" t="s">
        <v>40</v>
      </c>
      <c r="J53" s="8" t="s">
        <v>41</v>
      </c>
      <c r="K53" s="8" t="s">
        <v>41</v>
      </c>
      <c r="L53" s="31"/>
    </row>
    <row r="54" spans="1:12" x14ac:dyDescent="0.3">
      <c r="A54" s="13">
        <v>45</v>
      </c>
      <c r="B54" s="8" t="s">
        <v>34</v>
      </c>
      <c r="C54" s="9" t="s">
        <v>35</v>
      </c>
      <c r="D54" s="10" t="s">
        <v>36</v>
      </c>
      <c r="E54" s="11">
        <v>46050</v>
      </c>
      <c r="F54" s="26" t="s">
        <v>97</v>
      </c>
      <c r="G54" s="8" t="s">
        <v>38</v>
      </c>
      <c r="H54" s="26" t="s">
        <v>100</v>
      </c>
      <c r="I54" s="8" t="s">
        <v>2</v>
      </c>
      <c r="J54" s="8" t="s">
        <v>42</v>
      </c>
      <c r="K54" s="8" t="s">
        <v>42</v>
      </c>
      <c r="L54" s="31"/>
    </row>
    <row r="55" spans="1:12" x14ac:dyDescent="0.3">
      <c r="A55" s="13">
        <v>46</v>
      </c>
      <c r="B55" s="8" t="s">
        <v>43</v>
      </c>
      <c r="C55" s="9" t="s">
        <v>35</v>
      </c>
      <c r="D55" s="10" t="s">
        <v>36</v>
      </c>
      <c r="E55" s="11">
        <v>46051</v>
      </c>
      <c r="F55" s="26" t="s">
        <v>98</v>
      </c>
      <c r="G55" s="8" t="s">
        <v>99</v>
      </c>
      <c r="H55" s="26" t="s">
        <v>101</v>
      </c>
      <c r="I55" s="8" t="s">
        <v>40</v>
      </c>
      <c r="J55" s="8" t="s">
        <v>41</v>
      </c>
      <c r="K55" s="8" t="s">
        <v>41</v>
      </c>
      <c r="L55" s="31"/>
    </row>
    <row r="56" spans="1:12" x14ac:dyDescent="0.3">
      <c r="A56" s="13">
        <v>47</v>
      </c>
      <c r="B56" s="8" t="s">
        <v>34</v>
      </c>
      <c r="C56" s="9" t="s">
        <v>35</v>
      </c>
      <c r="D56" s="10" t="s">
        <v>36</v>
      </c>
      <c r="E56" s="11">
        <v>46052</v>
      </c>
      <c r="F56" s="26" t="s">
        <v>97</v>
      </c>
      <c r="G56" s="8" t="s">
        <v>38</v>
      </c>
      <c r="H56" s="26" t="s">
        <v>100</v>
      </c>
      <c r="I56" s="8" t="s">
        <v>2</v>
      </c>
      <c r="J56" s="8" t="s">
        <v>42</v>
      </c>
      <c r="K56" s="8" t="s">
        <v>42</v>
      </c>
      <c r="L56" s="31"/>
    </row>
    <row r="57" spans="1:12" x14ac:dyDescent="0.3">
      <c r="A57" s="13">
        <v>48</v>
      </c>
      <c r="B57" s="8" t="s">
        <v>43</v>
      </c>
      <c r="C57" s="9" t="s">
        <v>35</v>
      </c>
      <c r="D57" s="10" t="s">
        <v>36</v>
      </c>
      <c r="E57" s="11">
        <v>46053</v>
      </c>
      <c r="F57" s="26" t="s">
        <v>98</v>
      </c>
      <c r="G57" s="8" t="s">
        <v>99</v>
      </c>
      <c r="H57" s="26" t="s">
        <v>101</v>
      </c>
      <c r="I57" s="8" t="s">
        <v>40</v>
      </c>
      <c r="J57" s="8" t="s">
        <v>41</v>
      </c>
      <c r="K57" s="8" t="s">
        <v>41</v>
      </c>
      <c r="L57" s="31"/>
    </row>
    <row r="58" spans="1:12" x14ac:dyDescent="0.3">
      <c r="A58" s="13">
        <v>49</v>
      </c>
      <c r="B58" s="8" t="s">
        <v>34</v>
      </c>
      <c r="C58" s="9" t="s">
        <v>35</v>
      </c>
      <c r="D58" s="10" t="s">
        <v>36</v>
      </c>
      <c r="E58" s="11">
        <v>46054</v>
      </c>
      <c r="F58" s="26" t="s">
        <v>97</v>
      </c>
      <c r="G58" s="8" t="s">
        <v>38</v>
      </c>
      <c r="H58" s="26" t="s">
        <v>100</v>
      </c>
      <c r="I58" s="8" t="s">
        <v>2</v>
      </c>
      <c r="J58" s="8" t="s">
        <v>42</v>
      </c>
      <c r="K58" s="8" t="s">
        <v>42</v>
      </c>
      <c r="L58" s="31"/>
    </row>
    <row r="59" spans="1:12" x14ac:dyDescent="0.3">
      <c r="A59" s="13">
        <v>50</v>
      </c>
      <c r="B59" s="8" t="s">
        <v>43</v>
      </c>
      <c r="C59" s="9" t="s">
        <v>35</v>
      </c>
      <c r="D59" s="10" t="s">
        <v>36</v>
      </c>
      <c r="E59" s="11">
        <v>46055</v>
      </c>
      <c r="F59" s="26" t="s">
        <v>98</v>
      </c>
      <c r="G59" s="8" t="s">
        <v>99</v>
      </c>
      <c r="H59" s="26" t="s">
        <v>101</v>
      </c>
      <c r="I59" s="8" t="s">
        <v>40</v>
      </c>
      <c r="J59" s="8" t="s">
        <v>41</v>
      </c>
      <c r="K59" s="8" t="s">
        <v>41</v>
      </c>
      <c r="L59" s="31"/>
    </row>
    <row r="60" spans="1:12" x14ac:dyDescent="0.3">
      <c r="A60" s="13">
        <v>51</v>
      </c>
      <c r="B60" s="8" t="s">
        <v>34</v>
      </c>
      <c r="C60" s="9" t="s">
        <v>35</v>
      </c>
      <c r="D60" s="10" t="s">
        <v>36</v>
      </c>
      <c r="E60" s="11">
        <v>46056</v>
      </c>
      <c r="F60" s="26" t="s">
        <v>97</v>
      </c>
      <c r="G60" s="8" t="s">
        <v>38</v>
      </c>
      <c r="H60" s="26" t="s">
        <v>100</v>
      </c>
      <c r="I60" s="8" t="s">
        <v>2</v>
      </c>
      <c r="J60" s="8" t="s">
        <v>42</v>
      </c>
      <c r="K60" s="8" t="s">
        <v>42</v>
      </c>
      <c r="L60" s="31"/>
    </row>
    <row r="61" spans="1:12" x14ac:dyDescent="0.3">
      <c r="A61" s="13">
        <v>52</v>
      </c>
      <c r="B61" s="8" t="s">
        <v>43</v>
      </c>
      <c r="C61" s="9" t="s">
        <v>35</v>
      </c>
      <c r="D61" s="10" t="s">
        <v>36</v>
      </c>
      <c r="E61" s="11">
        <v>46057</v>
      </c>
      <c r="F61" s="26" t="s">
        <v>98</v>
      </c>
      <c r="G61" s="8" t="s">
        <v>99</v>
      </c>
      <c r="H61" s="26" t="s">
        <v>101</v>
      </c>
      <c r="I61" s="8" t="s">
        <v>40</v>
      </c>
      <c r="J61" s="8" t="s">
        <v>41</v>
      </c>
      <c r="K61" s="8" t="s">
        <v>41</v>
      </c>
      <c r="L61" s="31"/>
    </row>
    <row r="62" spans="1:12" x14ac:dyDescent="0.3">
      <c r="A62" s="13">
        <v>53</v>
      </c>
      <c r="B62" s="8" t="s">
        <v>34</v>
      </c>
      <c r="C62" s="9" t="s">
        <v>35</v>
      </c>
      <c r="D62" s="10" t="s">
        <v>36</v>
      </c>
      <c r="E62" s="11">
        <v>46058</v>
      </c>
      <c r="F62" s="26" t="s">
        <v>97</v>
      </c>
      <c r="G62" s="8" t="s">
        <v>38</v>
      </c>
      <c r="H62" s="26" t="s">
        <v>100</v>
      </c>
      <c r="I62" s="8" t="s">
        <v>2</v>
      </c>
      <c r="J62" s="8" t="s">
        <v>42</v>
      </c>
      <c r="K62" s="8" t="s">
        <v>42</v>
      </c>
      <c r="L62" s="31"/>
    </row>
    <row r="63" spans="1:12" x14ac:dyDescent="0.3">
      <c r="A63" s="13">
        <v>54</v>
      </c>
      <c r="B63" s="8" t="s">
        <v>43</v>
      </c>
      <c r="C63" s="9" t="s">
        <v>35</v>
      </c>
      <c r="D63" s="10" t="s">
        <v>36</v>
      </c>
      <c r="E63" s="11">
        <v>46059</v>
      </c>
      <c r="F63" s="26" t="s">
        <v>98</v>
      </c>
      <c r="G63" s="8" t="s">
        <v>99</v>
      </c>
      <c r="H63" s="26" t="s">
        <v>101</v>
      </c>
      <c r="I63" s="8" t="s">
        <v>40</v>
      </c>
      <c r="J63" s="8" t="s">
        <v>41</v>
      </c>
      <c r="K63" s="8" t="s">
        <v>41</v>
      </c>
      <c r="L63" s="31"/>
    </row>
    <row r="64" spans="1:12" x14ac:dyDescent="0.3">
      <c r="A64" s="13">
        <v>55</v>
      </c>
      <c r="B64" s="8" t="s">
        <v>34</v>
      </c>
      <c r="C64" s="9" t="s">
        <v>35</v>
      </c>
      <c r="D64" s="10" t="s">
        <v>36</v>
      </c>
      <c r="E64" s="11">
        <v>46060</v>
      </c>
      <c r="F64" s="26" t="s">
        <v>97</v>
      </c>
      <c r="G64" s="8" t="s">
        <v>38</v>
      </c>
      <c r="H64" s="26" t="s">
        <v>100</v>
      </c>
      <c r="I64" s="8" t="s">
        <v>2</v>
      </c>
      <c r="J64" s="8" t="s">
        <v>42</v>
      </c>
      <c r="K64" s="8" t="s">
        <v>42</v>
      </c>
      <c r="L64" s="31"/>
    </row>
    <row r="65" spans="1:12" x14ac:dyDescent="0.3">
      <c r="A65" s="13">
        <v>56</v>
      </c>
      <c r="B65" s="8" t="s">
        <v>43</v>
      </c>
      <c r="C65" s="9" t="s">
        <v>35</v>
      </c>
      <c r="D65" s="10" t="s">
        <v>36</v>
      </c>
      <c r="E65" s="11">
        <v>46061</v>
      </c>
      <c r="F65" s="26" t="s">
        <v>98</v>
      </c>
      <c r="G65" s="8" t="s">
        <v>99</v>
      </c>
      <c r="H65" s="26" t="s">
        <v>101</v>
      </c>
      <c r="I65" s="8" t="s">
        <v>40</v>
      </c>
      <c r="J65" s="8" t="s">
        <v>41</v>
      </c>
      <c r="K65" s="8" t="s">
        <v>41</v>
      </c>
      <c r="L65" s="31"/>
    </row>
    <row r="66" spans="1:12" x14ac:dyDescent="0.3">
      <c r="A66" s="13">
        <v>57</v>
      </c>
      <c r="B66" s="8" t="s">
        <v>34</v>
      </c>
      <c r="C66" s="9" t="s">
        <v>35</v>
      </c>
      <c r="D66" s="10" t="s">
        <v>36</v>
      </c>
      <c r="E66" s="11">
        <v>46062</v>
      </c>
      <c r="F66" s="26" t="s">
        <v>97</v>
      </c>
      <c r="G66" s="8" t="s">
        <v>38</v>
      </c>
      <c r="H66" s="26" t="s">
        <v>100</v>
      </c>
      <c r="I66" s="8" t="s">
        <v>2</v>
      </c>
      <c r="J66" s="8" t="s">
        <v>42</v>
      </c>
      <c r="K66" s="8" t="s">
        <v>42</v>
      </c>
      <c r="L66" s="31"/>
    </row>
    <row r="67" spans="1:12" x14ac:dyDescent="0.3">
      <c r="A67" s="13">
        <v>58</v>
      </c>
      <c r="B67" s="8" t="s">
        <v>43</v>
      </c>
      <c r="C67" s="9" t="s">
        <v>35</v>
      </c>
      <c r="D67" s="10" t="s">
        <v>36</v>
      </c>
      <c r="E67" s="11">
        <v>46063</v>
      </c>
      <c r="F67" s="26" t="s">
        <v>98</v>
      </c>
      <c r="G67" s="8" t="s">
        <v>99</v>
      </c>
      <c r="H67" s="26" t="s">
        <v>101</v>
      </c>
      <c r="I67" s="8" t="s">
        <v>40</v>
      </c>
      <c r="J67" s="8" t="s">
        <v>41</v>
      </c>
      <c r="K67" s="8" t="s">
        <v>41</v>
      </c>
      <c r="L67" s="31"/>
    </row>
    <row r="68" spans="1:12" x14ac:dyDescent="0.3">
      <c r="A68" s="13">
        <v>59</v>
      </c>
      <c r="B68" s="8" t="s">
        <v>34</v>
      </c>
      <c r="C68" s="9" t="s">
        <v>35</v>
      </c>
      <c r="D68" s="10" t="s">
        <v>36</v>
      </c>
      <c r="E68" s="11">
        <v>46064</v>
      </c>
      <c r="F68" s="26" t="s">
        <v>97</v>
      </c>
      <c r="G68" s="8" t="s">
        <v>38</v>
      </c>
      <c r="H68" s="26" t="s">
        <v>100</v>
      </c>
      <c r="I68" s="8" t="s">
        <v>2</v>
      </c>
      <c r="J68" s="8" t="s">
        <v>42</v>
      </c>
      <c r="K68" s="8" t="s">
        <v>42</v>
      </c>
      <c r="L68" s="31"/>
    </row>
    <row r="69" spans="1:12" x14ac:dyDescent="0.3">
      <c r="A69" s="13">
        <v>60</v>
      </c>
      <c r="B69" s="8" t="s">
        <v>43</v>
      </c>
      <c r="C69" s="9" t="s">
        <v>35</v>
      </c>
      <c r="D69" s="10" t="s">
        <v>36</v>
      </c>
      <c r="E69" s="11">
        <v>46065</v>
      </c>
      <c r="F69" s="26" t="s">
        <v>98</v>
      </c>
      <c r="G69" s="8" t="s">
        <v>99</v>
      </c>
      <c r="H69" s="26" t="s">
        <v>101</v>
      </c>
      <c r="I69" s="8" t="s">
        <v>40</v>
      </c>
      <c r="J69" s="8" t="s">
        <v>41</v>
      </c>
      <c r="K69" s="8" t="s">
        <v>41</v>
      </c>
      <c r="L69" s="31"/>
    </row>
    <row r="70" spans="1:12" x14ac:dyDescent="0.3">
      <c r="A70" s="13">
        <v>61</v>
      </c>
      <c r="B70" s="8" t="s">
        <v>34</v>
      </c>
      <c r="C70" s="9" t="s">
        <v>35</v>
      </c>
      <c r="D70" s="10" t="s">
        <v>36</v>
      </c>
      <c r="E70" s="11">
        <v>46066</v>
      </c>
      <c r="F70" s="26" t="s">
        <v>97</v>
      </c>
      <c r="G70" s="8" t="s">
        <v>38</v>
      </c>
      <c r="H70" s="26" t="s">
        <v>100</v>
      </c>
      <c r="I70" s="8" t="s">
        <v>2</v>
      </c>
      <c r="J70" s="8" t="s">
        <v>42</v>
      </c>
      <c r="K70" s="8" t="s">
        <v>42</v>
      </c>
      <c r="L70" s="31"/>
    </row>
    <row r="71" spans="1:12" x14ac:dyDescent="0.3">
      <c r="A71" s="13">
        <v>62</v>
      </c>
      <c r="B71" s="8" t="s">
        <v>43</v>
      </c>
      <c r="C71" s="9" t="s">
        <v>35</v>
      </c>
      <c r="D71" s="10" t="s">
        <v>36</v>
      </c>
      <c r="E71" s="11">
        <v>46067</v>
      </c>
      <c r="F71" s="26" t="s">
        <v>98</v>
      </c>
      <c r="G71" s="8" t="s">
        <v>99</v>
      </c>
      <c r="H71" s="26" t="s">
        <v>101</v>
      </c>
      <c r="I71" s="8" t="s">
        <v>40</v>
      </c>
      <c r="J71" s="8" t="s">
        <v>41</v>
      </c>
      <c r="K71" s="8" t="s">
        <v>41</v>
      </c>
      <c r="L71" s="31"/>
    </row>
    <row r="72" spans="1:12" x14ac:dyDescent="0.3">
      <c r="A72" s="13">
        <v>63</v>
      </c>
      <c r="B72" s="8" t="s">
        <v>34</v>
      </c>
      <c r="C72" s="9" t="s">
        <v>35</v>
      </c>
      <c r="D72" s="10" t="s">
        <v>36</v>
      </c>
      <c r="E72" s="11">
        <v>46068</v>
      </c>
      <c r="F72" s="26" t="s">
        <v>97</v>
      </c>
      <c r="G72" s="8" t="s">
        <v>38</v>
      </c>
      <c r="H72" s="26" t="s">
        <v>100</v>
      </c>
      <c r="I72" s="8" t="s">
        <v>2</v>
      </c>
      <c r="J72" s="8" t="s">
        <v>42</v>
      </c>
      <c r="K72" s="8" t="s">
        <v>42</v>
      </c>
      <c r="L72" s="31"/>
    </row>
    <row r="73" spans="1:12" x14ac:dyDescent="0.3">
      <c r="A73" s="13">
        <v>64</v>
      </c>
      <c r="B73" s="8" t="s">
        <v>43</v>
      </c>
      <c r="C73" s="9" t="s">
        <v>35</v>
      </c>
      <c r="D73" s="10" t="s">
        <v>36</v>
      </c>
      <c r="E73" s="11">
        <v>46069</v>
      </c>
      <c r="F73" s="26" t="s">
        <v>98</v>
      </c>
      <c r="G73" s="8" t="s">
        <v>99</v>
      </c>
      <c r="H73" s="26" t="s">
        <v>101</v>
      </c>
      <c r="I73" s="8" t="s">
        <v>40</v>
      </c>
      <c r="J73" s="8" t="s">
        <v>41</v>
      </c>
      <c r="K73" s="8" t="s">
        <v>41</v>
      </c>
      <c r="L73" s="31"/>
    </row>
    <row r="74" spans="1:12" x14ac:dyDescent="0.3">
      <c r="A74" s="13">
        <v>65</v>
      </c>
      <c r="B74" s="8" t="s">
        <v>34</v>
      </c>
      <c r="C74" s="9" t="s">
        <v>35</v>
      </c>
      <c r="D74" s="10" t="s">
        <v>36</v>
      </c>
      <c r="E74" s="11">
        <v>46070</v>
      </c>
      <c r="F74" s="26" t="s">
        <v>97</v>
      </c>
      <c r="G74" s="8" t="s">
        <v>38</v>
      </c>
      <c r="H74" s="26" t="s">
        <v>100</v>
      </c>
      <c r="I74" s="8" t="s">
        <v>2</v>
      </c>
      <c r="J74" s="8" t="s">
        <v>42</v>
      </c>
      <c r="K74" s="8" t="s">
        <v>42</v>
      </c>
      <c r="L74" s="31"/>
    </row>
    <row r="75" spans="1:12" x14ac:dyDescent="0.3">
      <c r="A75" s="13">
        <v>66</v>
      </c>
      <c r="B75" s="8" t="s">
        <v>43</v>
      </c>
      <c r="C75" s="9" t="s">
        <v>35</v>
      </c>
      <c r="D75" s="10" t="s">
        <v>36</v>
      </c>
      <c r="E75" s="11">
        <v>46071</v>
      </c>
      <c r="F75" s="26" t="s">
        <v>98</v>
      </c>
      <c r="G75" s="8" t="s">
        <v>99</v>
      </c>
      <c r="H75" s="26" t="s">
        <v>101</v>
      </c>
      <c r="I75" s="8" t="s">
        <v>40</v>
      </c>
      <c r="J75" s="8" t="s">
        <v>41</v>
      </c>
      <c r="K75" s="8" t="s">
        <v>41</v>
      </c>
      <c r="L75" s="31"/>
    </row>
    <row r="76" spans="1:12" x14ac:dyDescent="0.3">
      <c r="A76" s="13">
        <v>67</v>
      </c>
      <c r="B76" s="8" t="s">
        <v>34</v>
      </c>
      <c r="C76" s="9" t="s">
        <v>35</v>
      </c>
      <c r="D76" s="10" t="s">
        <v>36</v>
      </c>
      <c r="E76" s="11">
        <v>46072</v>
      </c>
      <c r="F76" s="26" t="s">
        <v>97</v>
      </c>
      <c r="G76" s="8" t="s">
        <v>38</v>
      </c>
      <c r="H76" s="26" t="s">
        <v>100</v>
      </c>
      <c r="I76" s="8" t="s">
        <v>2</v>
      </c>
      <c r="J76" s="8" t="s">
        <v>42</v>
      </c>
      <c r="K76" s="8" t="s">
        <v>42</v>
      </c>
      <c r="L76" s="31"/>
    </row>
    <row r="77" spans="1:12" x14ac:dyDescent="0.3">
      <c r="A77" s="13">
        <v>68</v>
      </c>
      <c r="B77" s="8" t="s">
        <v>43</v>
      </c>
      <c r="C77" s="9" t="s">
        <v>35</v>
      </c>
      <c r="D77" s="10" t="s">
        <v>36</v>
      </c>
      <c r="E77" s="11">
        <v>46073</v>
      </c>
      <c r="F77" s="26" t="s">
        <v>98</v>
      </c>
      <c r="G77" s="8" t="s">
        <v>99</v>
      </c>
      <c r="H77" s="26" t="s">
        <v>101</v>
      </c>
      <c r="I77" s="8" t="s">
        <v>40</v>
      </c>
      <c r="J77" s="8" t="s">
        <v>41</v>
      </c>
      <c r="K77" s="8" t="s">
        <v>41</v>
      </c>
      <c r="L77" s="31"/>
    </row>
    <row r="78" spans="1:12" x14ac:dyDescent="0.3">
      <c r="A78" s="13">
        <v>69</v>
      </c>
      <c r="B78" s="8" t="s">
        <v>34</v>
      </c>
      <c r="C78" s="9" t="s">
        <v>35</v>
      </c>
      <c r="D78" s="10" t="s">
        <v>36</v>
      </c>
      <c r="E78" s="11">
        <v>46074</v>
      </c>
      <c r="F78" s="26" t="s">
        <v>97</v>
      </c>
      <c r="G78" s="8" t="s">
        <v>38</v>
      </c>
      <c r="H78" s="26" t="s">
        <v>100</v>
      </c>
      <c r="I78" s="8" t="s">
        <v>2</v>
      </c>
      <c r="J78" s="8" t="s">
        <v>42</v>
      </c>
      <c r="K78" s="8" t="s">
        <v>42</v>
      </c>
      <c r="L78" s="31"/>
    </row>
    <row r="79" spans="1:12" x14ac:dyDescent="0.3">
      <c r="A79" s="13">
        <v>70</v>
      </c>
      <c r="B79" s="8" t="s">
        <v>43</v>
      </c>
      <c r="C79" s="9" t="s">
        <v>35</v>
      </c>
      <c r="D79" s="10" t="s">
        <v>36</v>
      </c>
      <c r="E79" s="11">
        <v>46075</v>
      </c>
      <c r="F79" s="26" t="s">
        <v>98</v>
      </c>
      <c r="G79" s="8" t="s">
        <v>99</v>
      </c>
      <c r="H79" s="26" t="s">
        <v>101</v>
      </c>
      <c r="I79" s="8" t="s">
        <v>40</v>
      </c>
      <c r="J79" s="8" t="s">
        <v>41</v>
      </c>
      <c r="K79" s="8" t="s">
        <v>41</v>
      </c>
      <c r="L79" s="31"/>
    </row>
    <row r="80" spans="1:12" x14ac:dyDescent="0.3">
      <c r="A80" s="13">
        <v>71</v>
      </c>
      <c r="B80" s="8" t="s">
        <v>34</v>
      </c>
      <c r="C80" s="9" t="s">
        <v>35</v>
      </c>
      <c r="D80" s="10" t="s">
        <v>36</v>
      </c>
      <c r="E80" s="11">
        <v>46076</v>
      </c>
      <c r="F80" s="26" t="s">
        <v>97</v>
      </c>
      <c r="G80" s="8" t="s">
        <v>38</v>
      </c>
      <c r="H80" s="26" t="s">
        <v>100</v>
      </c>
      <c r="I80" s="8" t="s">
        <v>2</v>
      </c>
      <c r="J80" s="8" t="s">
        <v>42</v>
      </c>
      <c r="K80" s="8" t="s">
        <v>42</v>
      </c>
      <c r="L80" s="31"/>
    </row>
    <row r="81" spans="1:12" x14ac:dyDescent="0.3">
      <c r="A81" s="13">
        <v>72</v>
      </c>
      <c r="B81" s="8" t="s">
        <v>43</v>
      </c>
      <c r="C81" s="9" t="s">
        <v>35</v>
      </c>
      <c r="D81" s="10" t="s">
        <v>36</v>
      </c>
      <c r="E81" s="11">
        <v>46077</v>
      </c>
      <c r="F81" s="26" t="s">
        <v>98</v>
      </c>
      <c r="G81" s="8" t="s">
        <v>99</v>
      </c>
      <c r="H81" s="26" t="s">
        <v>101</v>
      </c>
      <c r="I81" s="8" t="s">
        <v>40</v>
      </c>
      <c r="J81" s="8" t="s">
        <v>41</v>
      </c>
      <c r="K81" s="8" t="s">
        <v>41</v>
      </c>
      <c r="L81" s="31"/>
    </row>
    <row r="82" spans="1:12" x14ac:dyDescent="0.3">
      <c r="A82" s="13">
        <v>73</v>
      </c>
      <c r="B82" s="8" t="s">
        <v>34</v>
      </c>
      <c r="C82" s="9" t="s">
        <v>35</v>
      </c>
      <c r="D82" s="10" t="s">
        <v>36</v>
      </c>
      <c r="E82" s="11">
        <v>46078</v>
      </c>
      <c r="F82" s="26" t="s">
        <v>97</v>
      </c>
      <c r="G82" s="8" t="s">
        <v>38</v>
      </c>
      <c r="H82" s="26" t="s">
        <v>100</v>
      </c>
      <c r="I82" s="8" t="s">
        <v>2</v>
      </c>
      <c r="J82" s="8" t="s">
        <v>42</v>
      </c>
      <c r="K82" s="8" t="s">
        <v>42</v>
      </c>
      <c r="L82" s="31"/>
    </row>
    <row r="83" spans="1:12" x14ac:dyDescent="0.3">
      <c r="A83" s="13">
        <v>74</v>
      </c>
      <c r="B83" s="8" t="s">
        <v>43</v>
      </c>
      <c r="C83" s="9" t="s">
        <v>35</v>
      </c>
      <c r="D83" s="10" t="s">
        <v>36</v>
      </c>
      <c r="E83" s="11">
        <v>46079</v>
      </c>
      <c r="F83" s="26" t="s">
        <v>98</v>
      </c>
      <c r="G83" s="8" t="s">
        <v>99</v>
      </c>
      <c r="H83" s="26" t="s">
        <v>101</v>
      </c>
      <c r="I83" s="8" t="s">
        <v>40</v>
      </c>
      <c r="J83" s="8" t="s">
        <v>41</v>
      </c>
      <c r="K83" s="8" t="s">
        <v>41</v>
      </c>
      <c r="L83" s="31"/>
    </row>
    <row r="84" spans="1:12" x14ac:dyDescent="0.3">
      <c r="A84" s="13">
        <v>75</v>
      </c>
      <c r="B84" s="8" t="s">
        <v>34</v>
      </c>
      <c r="C84" s="9" t="s">
        <v>35</v>
      </c>
      <c r="D84" s="10" t="s">
        <v>36</v>
      </c>
      <c r="E84" s="11">
        <v>46080</v>
      </c>
      <c r="F84" s="26" t="s">
        <v>97</v>
      </c>
      <c r="G84" s="8" t="s">
        <v>38</v>
      </c>
      <c r="H84" s="26" t="s">
        <v>100</v>
      </c>
      <c r="I84" s="8" t="s">
        <v>2</v>
      </c>
      <c r="J84" s="8" t="s">
        <v>42</v>
      </c>
      <c r="K84" s="8" t="s">
        <v>42</v>
      </c>
      <c r="L84" s="31"/>
    </row>
    <row r="85" spans="1:12" x14ac:dyDescent="0.3">
      <c r="A85" s="13">
        <v>76</v>
      </c>
      <c r="B85" s="8" t="s">
        <v>43</v>
      </c>
      <c r="C85" s="9" t="s">
        <v>35</v>
      </c>
      <c r="D85" s="10" t="s">
        <v>36</v>
      </c>
      <c r="E85" s="11">
        <v>46081</v>
      </c>
      <c r="F85" s="26" t="s">
        <v>98</v>
      </c>
      <c r="G85" s="8" t="s">
        <v>99</v>
      </c>
      <c r="H85" s="26" t="s">
        <v>101</v>
      </c>
      <c r="I85" s="8" t="s">
        <v>40</v>
      </c>
      <c r="J85" s="8" t="s">
        <v>41</v>
      </c>
      <c r="K85" s="8" t="s">
        <v>41</v>
      </c>
      <c r="L85" s="31"/>
    </row>
    <row r="86" spans="1:12" x14ac:dyDescent="0.3">
      <c r="A86" s="13">
        <v>77</v>
      </c>
      <c r="B86" s="8" t="s">
        <v>34</v>
      </c>
      <c r="C86" s="9" t="s">
        <v>35</v>
      </c>
      <c r="D86" s="10" t="s">
        <v>36</v>
      </c>
      <c r="E86" s="11">
        <v>46082</v>
      </c>
      <c r="F86" s="26" t="s">
        <v>97</v>
      </c>
      <c r="G86" s="8" t="s">
        <v>38</v>
      </c>
      <c r="H86" s="26" t="s">
        <v>100</v>
      </c>
      <c r="I86" s="8" t="s">
        <v>2</v>
      </c>
      <c r="J86" s="8" t="s">
        <v>42</v>
      </c>
      <c r="K86" s="8" t="s">
        <v>42</v>
      </c>
      <c r="L86" s="31"/>
    </row>
    <row r="87" spans="1:12" x14ac:dyDescent="0.3">
      <c r="A87" s="13">
        <v>78</v>
      </c>
      <c r="B87" s="8" t="s">
        <v>43</v>
      </c>
      <c r="C87" s="9" t="s">
        <v>35</v>
      </c>
      <c r="D87" s="10" t="s">
        <v>36</v>
      </c>
      <c r="E87" s="11">
        <v>46083</v>
      </c>
      <c r="F87" s="26" t="s">
        <v>98</v>
      </c>
      <c r="G87" s="8" t="s">
        <v>99</v>
      </c>
      <c r="H87" s="26" t="s">
        <v>101</v>
      </c>
      <c r="I87" s="8" t="s">
        <v>40</v>
      </c>
      <c r="J87" s="8" t="s">
        <v>41</v>
      </c>
      <c r="K87" s="8" t="s">
        <v>41</v>
      </c>
      <c r="L87" s="31"/>
    </row>
    <row r="88" spans="1:12" x14ac:dyDescent="0.3">
      <c r="A88" s="13">
        <v>79</v>
      </c>
      <c r="B88" s="8" t="s">
        <v>34</v>
      </c>
      <c r="C88" s="9" t="s">
        <v>35</v>
      </c>
      <c r="D88" s="10" t="s">
        <v>36</v>
      </c>
      <c r="E88" s="11">
        <v>46084</v>
      </c>
      <c r="F88" s="26" t="s">
        <v>97</v>
      </c>
      <c r="G88" s="8" t="s">
        <v>38</v>
      </c>
      <c r="H88" s="26" t="s">
        <v>100</v>
      </c>
      <c r="I88" s="8" t="s">
        <v>2</v>
      </c>
      <c r="J88" s="8" t="s">
        <v>42</v>
      </c>
      <c r="K88" s="8" t="s">
        <v>42</v>
      </c>
      <c r="L88" s="31"/>
    </row>
    <row r="89" spans="1:12" x14ac:dyDescent="0.3">
      <c r="A89" s="13">
        <v>80</v>
      </c>
      <c r="B89" s="8" t="s">
        <v>43</v>
      </c>
      <c r="C89" s="9" t="s">
        <v>35</v>
      </c>
      <c r="D89" s="10" t="s">
        <v>36</v>
      </c>
      <c r="E89" s="11">
        <v>46085</v>
      </c>
      <c r="F89" s="26" t="s">
        <v>98</v>
      </c>
      <c r="G89" s="8" t="s">
        <v>99</v>
      </c>
      <c r="H89" s="26" t="s">
        <v>101</v>
      </c>
      <c r="I89" s="8" t="s">
        <v>40</v>
      </c>
      <c r="J89" s="8" t="s">
        <v>41</v>
      </c>
      <c r="K89" s="8" t="s">
        <v>41</v>
      </c>
      <c r="L89" s="31"/>
    </row>
    <row r="90" spans="1:12" x14ac:dyDescent="0.3">
      <c r="A90" s="13">
        <v>81</v>
      </c>
      <c r="B90" s="8" t="s">
        <v>34</v>
      </c>
      <c r="C90" s="9" t="s">
        <v>35</v>
      </c>
      <c r="D90" s="10" t="s">
        <v>36</v>
      </c>
      <c r="E90" s="11">
        <v>46086</v>
      </c>
      <c r="F90" s="26" t="s">
        <v>97</v>
      </c>
      <c r="G90" s="8" t="s">
        <v>38</v>
      </c>
      <c r="H90" s="26" t="s">
        <v>100</v>
      </c>
      <c r="I90" s="8" t="s">
        <v>2</v>
      </c>
      <c r="J90" s="8" t="s">
        <v>42</v>
      </c>
      <c r="K90" s="8" t="s">
        <v>42</v>
      </c>
      <c r="L90" s="31"/>
    </row>
    <row r="91" spans="1:12" x14ac:dyDescent="0.3">
      <c r="A91" s="13">
        <v>82</v>
      </c>
      <c r="B91" s="8" t="s">
        <v>43</v>
      </c>
      <c r="C91" s="9" t="s">
        <v>35</v>
      </c>
      <c r="D91" s="10" t="s">
        <v>36</v>
      </c>
      <c r="E91" s="11">
        <v>46087</v>
      </c>
      <c r="F91" s="26" t="s">
        <v>98</v>
      </c>
      <c r="G91" s="8" t="s">
        <v>99</v>
      </c>
      <c r="H91" s="26" t="s">
        <v>101</v>
      </c>
      <c r="I91" s="8" t="s">
        <v>40</v>
      </c>
      <c r="J91" s="8" t="s">
        <v>41</v>
      </c>
      <c r="K91" s="8" t="s">
        <v>41</v>
      </c>
      <c r="L91" s="31"/>
    </row>
    <row r="92" spans="1:12" x14ac:dyDescent="0.3">
      <c r="A92" s="13"/>
      <c r="B92" s="26"/>
      <c r="C92" s="26"/>
      <c r="D92" s="26"/>
      <c r="E92" s="26"/>
      <c r="F92" s="26"/>
      <c r="G92" s="8"/>
      <c r="H92" s="26"/>
      <c r="I92" s="8"/>
      <c r="J92" s="8"/>
      <c r="K92" s="8"/>
      <c r="L92" s="31"/>
    </row>
    <row r="93" spans="1:12" x14ac:dyDescent="0.3">
      <c r="A93" s="13"/>
      <c r="B93" s="26"/>
      <c r="C93" s="26"/>
      <c r="D93" s="26"/>
      <c r="E93" s="26"/>
      <c r="F93" s="26"/>
      <c r="G93" s="8"/>
      <c r="H93" s="26"/>
      <c r="I93" s="8"/>
      <c r="J93" s="8"/>
      <c r="K93" s="8"/>
      <c r="L93" s="31"/>
    </row>
    <row r="94" spans="1:12" x14ac:dyDescent="0.3">
      <c r="A94" s="13"/>
      <c r="B94" s="26"/>
      <c r="C94" s="26"/>
      <c r="D94" s="26"/>
      <c r="E94" s="26"/>
      <c r="F94" s="26"/>
      <c r="G94" s="8"/>
      <c r="H94" s="26"/>
      <c r="I94" s="8"/>
      <c r="J94" s="8"/>
      <c r="K94" s="8"/>
      <c r="L94" s="31"/>
    </row>
    <row r="95" spans="1:12" x14ac:dyDescent="0.3">
      <c r="A95" s="13"/>
      <c r="B95" s="26"/>
      <c r="C95" s="26"/>
      <c r="D95" s="26"/>
      <c r="E95" s="26"/>
      <c r="F95" s="26"/>
      <c r="G95" s="8"/>
      <c r="H95" s="26"/>
      <c r="I95" s="8"/>
      <c r="J95" s="8"/>
      <c r="K95" s="8"/>
      <c r="L95" s="31"/>
    </row>
    <row r="96" spans="1:12" x14ac:dyDescent="0.3">
      <c r="A96" s="13"/>
      <c r="B96" s="26"/>
      <c r="C96" s="26"/>
      <c r="D96" s="26"/>
      <c r="E96" s="26"/>
      <c r="F96" s="26"/>
      <c r="G96" s="8"/>
      <c r="H96" s="26"/>
      <c r="I96" s="8"/>
      <c r="J96" s="8"/>
      <c r="K96" s="8"/>
      <c r="L96" s="31"/>
    </row>
    <row r="97" spans="1:12" x14ac:dyDescent="0.3">
      <c r="A97" s="13"/>
      <c r="B97" s="26"/>
      <c r="C97" s="26"/>
      <c r="D97" s="26"/>
      <c r="E97" s="26"/>
      <c r="F97" s="26"/>
      <c r="G97" s="8"/>
      <c r="H97" s="26"/>
      <c r="I97" s="8"/>
      <c r="J97" s="8"/>
      <c r="K97" s="8"/>
      <c r="L97" s="31"/>
    </row>
    <row r="98" spans="1:12" x14ac:dyDescent="0.3">
      <c r="A98" s="13"/>
      <c r="B98" s="26"/>
      <c r="C98" s="26"/>
      <c r="D98" s="26"/>
      <c r="E98" s="26"/>
      <c r="F98" s="26"/>
      <c r="G98" s="8"/>
      <c r="H98" s="26"/>
      <c r="I98" s="8"/>
      <c r="J98" s="8"/>
      <c r="K98" s="8"/>
      <c r="L98" s="31"/>
    </row>
    <row r="99" spans="1:12" ht="15" thickBot="1" x14ac:dyDescent="0.35">
      <c r="A99" s="15"/>
      <c r="B99" s="32"/>
      <c r="C99" s="32"/>
      <c r="D99" s="32"/>
      <c r="E99" s="32"/>
      <c r="F99" s="32"/>
      <c r="G99" s="16"/>
      <c r="H99" s="32"/>
      <c r="I99" s="16"/>
      <c r="J99" s="16"/>
      <c r="K99" s="16"/>
      <c r="L99" s="33"/>
    </row>
  </sheetData>
  <autoFilter ref="A9:L9" xr:uid="{70D2E12D-6F31-4459-9ED4-4A41A7B43545}"/>
  <mergeCells count="14">
    <mergeCell ref="A4:B4"/>
    <mergeCell ref="C4:L4"/>
    <mergeCell ref="A1:L1"/>
    <mergeCell ref="A2:B2"/>
    <mergeCell ref="C2:L2"/>
    <mergeCell ref="A3:B3"/>
    <mergeCell ref="C3:L3"/>
    <mergeCell ref="A8:L8"/>
    <mergeCell ref="C7:H7"/>
    <mergeCell ref="A5:B5"/>
    <mergeCell ref="C5:L5"/>
    <mergeCell ref="A6:B6"/>
    <mergeCell ref="C6:L6"/>
    <mergeCell ref="A7:B7"/>
  </mergeCells>
  <conditionalFormatting sqref="I1:I6">
    <cfRule type="containsText" dxfId="13" priority="3" operator="containsText" text="Closed">
      <formula>NOT(ISERROR(SEARCH("Closed",I1)))</formula>
    </cfRule>
    <cfRule type="containsText" dxfId="12" priority="4" operator="containsText" text="Open">
      <formula>NOT(ISERROR(SEARCH("Open",I1)))</formula>
    </cfRule>
  </conditionalFormatting>
  <conditionalFormatting sqref="I10:I1048576">
    <cfRule type="containsText" dxfId="11" priority="1" operator="containsText" text="Closed">
      <formula>NOT(ISERROR(SEARCH("Closed",I10)))</formula>
    </cfRule>
    <cfRule type="containsText" dxfId="10" priority="2" operator="containsText" text="Open">
      <formula>NOT(ISERROR(SEARCH("Open",I10)))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CD43-C18F-4616-BDC3-15BA59D34AB0}">
  <sheetPr>
    <tabColor theme="4" tint="-0.499984740745262"/>
  </sheetPr>
  <dimension ref="A1:L99"/>
  <sheetViews>
    <sheetView zoomScale="73" workbookViewId="0">
      <selection activeCell="L7" sqref="L7"/>
    </sheetView>
  </sheetViews>
  <sheetFormatPr defaultColWidth="8.77734375" defaultRowHeight="14.4" x14ac:dyDescent="0.3"/>
  <cols>
    <col min="1" max="1" width="4.77734375" style="5" customWidth="1"/>
    <col min="2" max="2" width="12.33203125" style="25" bestFit="1" customWidth="1"/>
    <col min="3" max="3" width="14.5546875" style="25" bestFit="1" customWidth="1"/>
    <col min="4" max="4" width="10.44140625" style="25" customWidth="1"/>
    <col min="5" max="5" width="12.6640625" style="25" bestFit="1" customWidth="1"/>
    <col min="6" max="6" width="23" style="25" customWidth="1"/>
    <col min="7" max="7" width="14.109375" style="5" customWidth="1"/>
    <col min="8" max="8" width="23.6640625" style="25" customWidth="1"/>
    <col min="9" max="9" width="11.5546875" style="5" customWidth="1"/>
    <col min="10" max="10" width="14.21875" style="5" customWidth="1"/>
    <col min="11" max="11" width="14.33203125" style="5" customWidth="1"/>
    <col min="12" max="12" width="18.77734375" style="25" customWidth="1"/>
    <col min="13" max="16384" width="8.77734375" style="25"/>
  </cols>
  <sheetData>
    <row r="1" spans="1:12" ht="23.4" x14ac:dyDescent="0.3">
      <c r="A1" s="136" t="s">
        <v>150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</row>
    <row r="2" spans="1:12" x14ac:dyDescent="0.3">
      <c r="A2" s="126" t="s">
        <v>5</v>
      </c>
      <c r="B2" s="127"/>
      <c r="C2" s="128" t="s">
        <v>11</v>
      </c>
      <c r="D2" s="128"/>
      <c r="E2" s="128"/>
      <c r="F2" s="128"/>
      <c r="G2" s="128"/>
      <c r="H2" s="128"/>
      <c r="I2" s="128"/>
      <c r="J2" s="128"/>
      <c r="K2" s="128"/>
      <c r="L2" s="129"/>
    </row>
    <row r="3" spans="1:12" x14ac:dyDescent="0.3">
      <c r="A3" s="126" t="s">
        <v>6</v>
      </c>
      <c r="B3" s="127"/>
      <c r="C3" s="128" t="s">
        <v>12</v>
      </c>
      <c r="D3" s="128"/>
      <c r="E3" s="128"/>
      <c r="F3" s="128"/>
      <c r="G3" s="128"/>
      <c r="H3" s="128"/>
      <c r="I3" s="128"/>
      <c r="J3" s="128"/>
      <c r="K3" s="128"/>
      <c r="L3" s="129"/>
    </row>
    <row r="4" spans="1:12" x14ac:dyDescent="0.3">
      <c r="A4" s="126" t="s">
        <v>7</v>
      </c>
      <c r="B4" s="127"/>
      <c r="C4" s="128" t="s">
        <v>13</v>
      </c>
      <c r="D4" s="128"/>
      <c r="E4" s="128"/>
      <c r="F4" s="128"/>
      <c r="G4" s="128"/>
      <c r="H4" s="128"/>
      <c r="I4" s="128"/>
      <c r="J4" s="128"/>
      <c r="K4" s="128"/>
      <c r="L4" s="129"/>
    </row>
    <row r="5" spans="1:12" x14ac:dyDescent="0.3">
      <c r="A5" s="126" t="s">
        <v>8</v>
      </c>
      <c r="B5" s="127"/>
      <c r="C5" s="128" t="s">
        <v>13</v>
      </c>
      <c r="D5" s="128"/>
      <c r="E5" s="128"/>
      <c r="F5" s="128"/>
      <c r="G5" s="128"/>
      <c r="H5" s="128"/>
      <c r="I5" s="128"/>
      <c r="J5" s="128"/>
      <c r="K5" s="128"/>
      <c r="L5" s="129"/>
    </row>
    <row r="6" spans="1:12" x14ac:dyDescent="0.3">
      <c r="A6" s="126" t="s">
        <v>9</v>
      </c>
      <c r="B6" s="127"/>
      <c r="C6" s="128" t="s">
        <v>14</v>
      </c>
      <c r="D6" s="128"/>
      <c r="E6" s="128"/>
      <c r="F6" s="128"/>
      <c r="G6" s="128"/>
      <c r="H6" s="128"/>
      <c r="I6" s="128"/>
      <c r="J6" s="128" t="s">
        <v>28</v>
      </c>
      <c r="K6" s="128"/>
      <c r="L6" s="129"/>
    </row>
    <row r="7" spans="1:12" ht="15" customHeight="1" thickBot="1" x14ac:dyDescent="0.35">
      <c r="A7" s="142" t="s">
        <v>10</v>
      </c>
      <c r="B7" s="143"/>
      <c r="C7" s="139" t="s">
        <v>80</v>
      </c>
      <c r="D7" s="140"/>
      <c r="E7" s="140"/>
      <c r="F7" s="140"/>
      <c r="G7" s="140"/>
      <c r="H7" s="141"/>
      <c r="I7" s="55" t="s">
        <v>44</v>
      </c>
      <c r="J7" s="56">
        <f>COUNTIF(I10:I529,"Open")</f>
        <v>11</v>
      </c>
      <c r="K7" s="55" t="s">
        <v>45</v>
      </c>
      <c r="L7" s="57">
        <f>COUNTIF(I10:I529,"Closed")</f>
        <v>5</v>
      </c>
    </row>
    <row r="8" spans="1:12" ht="15" thickBot="1" x14ac:dyDescent="0.35">
      <c r="A8" s="144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6"/>
    </row>
    <row r="9" spans="1:12" ht="46.2" customHeight="1" x14ac:dyDescent="0.3">
      <c r="A9" s="27" t="s">
        <v>15</v>
      </c>
      <c r="B9" s="28" t="s">
        <v>16</v>
      </c>
      <c r="C9" s="28" t="s">
        <v>92</v>
      </c>
      <c r="D9" s="28" t="s">
        <v>93</v>
      </c>
      <c r="E9" s="28" t="s">
        <v>94</v>
      </c>
      <c r="F9" s="28" t="s">
        <v>20</v>
      </c>
      <c r="G9" s="28" t="s">
        <v>329</v>
      </c>
      <c r="H9" s="28" t="s">
        <v>153</v>
      </c>
      <c r="I9" s="28" t="s">
        <v>72</v>
      </c>
      <c r="J9" s="29" t="s">
        <v>151</v>
      </c>
      <c r="K9" s="29" t="s">
        <v>152</v>
      </c>
      <c r="L9" s="30" t="s">
        <v>26</v>
      </c>
    </row>
    <row r="10" spans="1:12" x14ac:dyDescent="0.3">
      <c r="A10" s="13">
        <v>1</v>
      </c>
      <c r="B10" s="8" t="s">
        <v>34</v>
      </c>
      <c r="C10" s="9" t="s">
        <v>35</v>
      </c>
      <c r="D10" s="10" t="s">
        <v>36</v>
      </c>
      <c r="E10" s="11">
        <v>46006</v>
      </c>
      <c r="F10" s="26" t="s">
        <v>97</v>
      </c>
      <c r="G10" s="10" t="s">
        <v>146</v>
      </c>
      <c r="H10" s="26" t="s">
        <v>100</v>
      </c>
      <c r="I10" s="8" t="s">
        <v>2</v>
      </c>
      <c r="J10" s="8" t="s">
        <v>42</v>
      </c>
      <c r="K10" s="8" t="s">
        <v>42</v>
      </c>
      <c r="L10" s="31"/>
    </row>
    <row r="11" spans="1:12" x14ac:dyDescent="0.3">
      <c r="A11" s="13">
        <v>2</v>
      </c>
      <c r="B11" s="8" t="s">
        <v>43</v>
      </c>
      <c r="C11" s="9" t="s">
        <v>35</v>
      </c>
      <c r="D11" s="10" t="s">
        <v>36</v>
      </c>
      <c r="E11" s="11">
        <v>46007</v>
      </c>
      <c r="F11" s="26" t="s">
        <v>98</v>
      </c>
      <c r="G11" s="10" t="s">
        <v>330</v>
      </c>
      <c r="H11" s="26" t="s">
        <v>101</v>
      </c>
      <c r="I11" s="8" t="s">
        <v>40</v>
      </c>
      <c r="J11" s="8" t="s">
        <v>41</v>
      </c>
      <c r="K11" s="8" t="s">
        <v>41</v>
      </c>
      <c r="L11" s="31"/>
    </row>
    <row r="12" spans="1:12" x14ac:dyDescent="0.3">
      <c r="A12" s="13">
        <v>3</v>
      </c>
      <c r="B12" s="8" t="s">
        <v>34</v>
      </c>
      <c r="C12" s="9" t="s">
        <v>35</v>
      </c>
      <c r="D12" s="10" t="s">
        <v>36</v>
      </c>
      <c r="E12" s="11">
        <v>46008</v>
      </c>
      <c r="F12" s="26" t="s">
        <v>97</v>
      </c>
      <c r="G12" s="10" t="s">
        <v>331</v>
      </c>
      <c r="H12" s="26" t="s">
        <v>100</v>
      </c>
      <c r="I12" s="8" t="s">
        <v>2</v>
      </c>
      <c r="J12" s="8" t="s">
        <v>42</v>
      </c>
      <c r="K12" s="8" t="s">
        <v>42</v>
      </c>
      <c r="L12" s="31"/>
    </row>
    <row r="13" spans="1:12" x14ac:dyDescent="0.3">
      <c r="A13" s="13">
        <v>4</v>
      </c>
      <c r="B13" s="8" t="s">
        <v>43</v>
      </c>
      <c r="C13" s="9" t="s">
        <v>35</v>
      </c>
      <c r="D13" s="10" t="s">
        <v>36</v>
      </c>
      <c r="E13" s="11">
        <v>46009</v>
      </c>
      <c r="F13" s="26" t="s">
        <v>98</v>
      </c>
      <c r="G13" s="10" t="s">
        <v>332</v>
      </c>
      <c r="H13" s="26" t="s">
        <v>101</v>
      </c>
      <c r="I13" s="8" t="s">
        <v>40</v>
      </c>
      <c r="J13" s="8" t="s">
        <v>41</v>
      </c>
      <c r="K13" s="8" t="s">
        <v>41</v>
      </c>
      <c r="L13" s="31"/>
    </row>
    <row r="14" spans="1:12" x14ac:dyDescent="0.3">
      <c r="A14" s="13">
        <v>5</v>
      </c>
      <c r="B14" s="8" t="s">
        <v>34</v>
      </c>
      <c r="C14" s="9" t="s">
        <v>35</v>
      </c>
      <c r="D14" s="10" t="s">
        <v>36</v>
      </c>
      <c r="E14" s="11">
        <v>46010</v>
      </c>
      <c r="F14" s="26" t="s">
        <v>97</v>
      </c>
      <c r="G14" s="10" t="s">
        <v>333</v>
      </c>
      <c r="H14" s="26" t="s">
        <v>100</v>
      </c>
      <c r="I14" s="8" t="s">
        <v>2</v>
      </c>
      <c r="J14" s="8" t="s">
        <v>42</v>
      </c>
      <c r="K14" s="8" t="s">
        <v>42</v>
      </c>
      <c r="L14" s="31"/>
    </row>
    <row r="15" spans="1:12" x14ac:dyDescent="0.3">
      <c r="A15" s="13">
        <v>6</v>
      </c>
      <c r="B15" s="8" t="s">
        <v>43</v>
      </c>
      <c r="C15" s="9" t="s">
        <v>35</v>
      </c>
      <c r="D15" s="10" t="s">
        <v>36</v>
      </c>
      <c r="E15" s="11">
        <v>46011</v>
      </c>
      <c r="F15" s="26" t="s">
        <v>98</v>
      </c>
      <c r="G15" s="10" t="s">
        <v>146</v>
      </c>
      <c r="H15" s="26" t="s">
        <v>101</v>
      </c>
      <c r="I15" s="8" t="s">
        <v>40</v>
      </c>
      <c r="J15" s="8" t="s">
        <v>41</v>
      </c>
      <c r="K15" s="8" t="s">
        <v>41</v>
      </c>
      <c r="L15" s="31"/>
    </row>
    <row r="16" spans="1:12" x14ac:dyDescent="0.3">
      <c r="A16" s="13">
        <v>7</v>
      </c>
      <c r="B16" s="8" t="s">
        <v>34</v>
      </c>
      <c r="C16" s="9" t="s">
        <v>35</v>
      </c>
      <c r="D16" s="10" t="s">
        <v>36</v>
      </c>
      <c r="E16" s="11">
        <v>46012</v>
      </c>
      <c r="F16" s="26" t="s">
        <v>97</v>
      </c>
      <c r="G16" s="10" t="s">
        <v>330</v>
      </c>
      <c r="H16" s="26" t="s">
        <v>100</v>
      </c>
      <c r="I16" s="8" t="s">
        <v>2</v>
      </c>
      <c r="J16" s="8" t="s">
        <v>42</v>
      </c>
      <c r="K16" s="8" t="s">
        <v>42</v>
      </c>
      <c r="L16" s="31"/>
    </row>
    <row r="17" spans="1:12" x14ac:dyDescent="0.3">
      <c r="A17" s="13">
        <v>8</v>
      </c>
      <c r="B17" s="8" t="s">
        <v>43</v>
      </c>
      <c r="C17" s="9" t="s">
        <v>35</v>
      </c>
      <c r="D17" s="10" t="s">
        <v>36</v>
      </c>
      <c r="E17" s="11">
        <v>46013</v>
      </c>
      <c r="F17" s="26" t="s">
        <v>98</v>
      </c>
      <c r="G17" s="10" t="s">
        <v>331</v>
      </c>
      <c r="H17" s="26" t="s">
        <v>101</v>
      </c>
      <c r="I17" s="8" t="s">
        <v>40</v>
      </c>
      <c r="J17" s="8" t="s">
        <v>41</v>
      </c>
      <c r="K17" s="8" t="s">
        <v>41</v>
      </c>
      <c r="L17" s="31"/>
    </row>
    <row r="18" spans="1:12" x14ac:dyDescent="0.3">
      <c r="A18" s="13">
        <v>9</v>
      </c>
      <c r="B18" s="8" t="s">
        <v>34</v>
      </c>
      <c r="C18" s="9" t="s">
        <v>35</v>
      </c>
      <c r="D18" s="10" t="s">
        <v>36</v>
      </c>
      <c r="E18" s="11">
        <v>46014</v>
      </c>
      <c r="F18" s="26" t="s">
        <v>97</v>
      </c>
      <c r="G18" s="10" t="s">
        <v>332</v>
      </c>
      <c r="H18" s="26" t="s">
        <v>100</v>
      </c>
      <c r="I18" s="8" t="s">
        <v>2</v>
      </c>
      <c r="J18" s="8" t="s">
        <v>42</v>
      </c>
      <c r="K18" s="8" t="s">
        <v>42</v>
      </c>
      <c r="L18" s="31"/>
    </row>
    <row r="19" spans="1:12" x14ac:dyDescent="0.3">
      <c r="A19" s="13">
        <v>10</v>
      </c>
      <c r="B19" s="8" t="s">
        <v>43</v>
      </c>
      <c r="C19" s="9" t="s">
        <v>35</v>
      </c>
      <c r="D19" s="10" t="s">
        <v>36</v>
      </c>
      <c r="E19" s="11">
        <v>46015</v>
      </c>
      <c r="F19" s="26" t="s">
        <v>98</v>
      </c>
      <c r="G19" s="10" t="s">
        <v>333</v>
      </c>
      <c r="H19" s="26" t="s">
        <v>101</v>
      </c>
      <c r="I19" s="8" t="s">
        <v>2</v>
      </c>
      <c r="J19" s="8" t="s">
        <v>41</v>
      </c>
      <c r="K19" s="8" t="s">
        <v>41</v>
      </c>
      <c r="L19" s="31"/>
    </row>
    <row r="20" spans="1:12" x14ac:dyDescent="0.3">
      <c r="A20" s="13">
        <v>11</v>
      </c>
      <c r="B20" s="8" t="s">
        <v>34</v>
      </c>
      <c r="C20" s="9" t="s">
        <v>35</v>
      </c>
      <c r="D20" s="10" t="s">
        <v>36</v>
      </c>
      <c r="E20" s="11">
        <v>46016</v>
      </c>
      <c r="F20" s="26" t="s">
        <v>97</v>
      </c>
      <c r="G20" s="10" t="s">
        <v>146</v>
      </c>
      <c r="H20" s="26" t="s">
        <v>100</v>
      </c>
      <c r="I20" s="8" t="s">
        <v>2</v>
      </c>
      <c r="J20" s="8" t="s">
        <v>42</v>
      </c>
      <c r="K20" s="8" t="s">
        <v>42</v>
      </c>
      <c r="L20" s="31"/>
    </row>
    <row r="21" spans="1:12" x14ac:dyDescent="0.3">
      <c r="A21" s="13">
        <v>12</v>
      </c>
      <c r="B21" s="8" t="s">
        <v>43</v>
      </c>
      <c r="C21" s="9" t="s">
        <v>35</v>
      </c>
      <c r="D21" s="10" t="s">
        <v>36</v>
      </c>
      <c r="E21" s="11">
        <v>46017</v>
      </c>
      <c r="F21" s="26" t="s">
        <v>98</v>
      </c>
      <c r="G21" s="10" t="s">
        <v>330</v>
      </c>
      <c r="H21" s="26" t="s">
        <v>101</v>
      </c>
      <c r="I21" s="8" t="s">
        <v>2</v>
      </c>
      <c r="J21" s="8" t="s">
        <v>41</v>
      </c>
      <c r="K21" s="8" t="s">
        <v>41</v>
      </c>
      <c r="L21" s="31"/>
    </row>
    <row r="22" spans="1:12" x14ac:dyDescent="0.3">
      <c r="A22" s="13">
        <v>13</v>
      </c>
      <c r="B22" s="8" t="s">
        <v>34</v>
      </c>
      <c r="C22" s="9" t="s">
        <v>35</v>
      </c>
      <c r="D22" s="10" t="s">
        <v>36</v>
      </c>
      <c r="E22" s="11">
        <v>46018</v>
      </c>
      <c r="F22" s="26" t="s">
        <v>97</v>
      </c>
      <c r="G22" s="10" t="s">
        <v>331</v>
      </c>
      <c r="H22" s="26" t="s">
        <v>100</v>
      </c>
      <c r="I22" s="8" t="s">
        <v>2</v>
      </c>
      <c r="J22" s="8" t="s">
        <v>42</v>
      </c>
      <c r="K22" s="8" t="s">
        <v>42</v>
      </c>
      <c r="L22" s="31"/>
    </row>
    <row r="23" spans="1:12" x14ac:dyDescent="0.3">
      <c r="A23" s="13">
        <v>14</v>
      </c>
      <c r="B23" s="8" t="s">
        <v>43</v>
      </c>
      <c r="C23" s="9" t="s">
        <v>35</v>
      </c>
      <c r="D23" s="10" t="s">
        <v>36</v>
      </c>
      <c r="E23" s="11">
        <v>46019</v>
      </c>
      <c r="F23" s="26" t="s">
        <v>98</v>
      </c>
      <c r="G23" s="10" t="s">
        <v>332</v>
      </c>
      <c r="H23" s="26" t="s">
        <v>101</v>
      </c>
      <c r="I23" s="8" t="s">
        <v>2</v>
      </c>
      <c r="J23" s="8" t="s">
        <v>41</v>
      </c>
      <c r="K23" s="8" t="s">
        <v>41</v>
      </c>
      <c r="L23" s="31"/>
    </row>
    <row r="24" spans="1:12" x14ac:dyDescent="0.3">
      <c r="A24" s="13">
        <v>15</v>
      </c>
      <c r="B24" s="8" t="s">
        <v>34</v>
      </c>
      <c r="C24" s="9" t="s">
        <v>35</v>
      </c>
      <c r="D24" s="10" t="s">
        <v>36</v>
      </c>
      <c r="E24" s="11">
        <v>46020</v>
      </c>
      <c r="F24" s="26" t="s">
        <v>97</v>
      </c>
      <c r="G24" s="10" t="s">
        <v>333</v>
      </c>
      <c r="H24" s="26" t="s">
        <v>100</v>
      </c>
      <c r="I24" s="8" t="s">
        <v>2</v>
      </c>
      <c r="J24" s="8" t="s">
        <v>42</v>
      </c>
      <c r="K24" s="8" t="s">
        <v>42</v>
      </c>
      <c r="L24" s="31"/>
    </row>
    <row r="25" spans="1:12" x14ac:dyDescent="0.3">
      <c r="A25" s="13">
        <v>16</v>
      </c>
      <c r="B25" s="8" t="s">
        <v>43</v>
      </c>
      <c r="C25" s="9" t="s">
        <v>35</v>
      </c>
      <c r="D25" s="10" t="s">
        <v>36</v>
      </c>
      <c r="E25" s="11">
        <v>46021</v>
      </c>
      <c r="F25" s="26" t="s">
        <v>98</v>
      </c>
      <c r="G25" s="10" t="s">
        <v>146</v>
      </c>
      <c r="H25" s="26" t="s">
        <v>101</v>
      </c>
      <c r="I25" s="8" t="s">
        <v>40</v>
      </c>
      <c r="J25" s="8" t="s">
        <v>41</v>
      </c>
      <c r="K25" s="8" t="s">
        <v>41</v>
      </c>
      <c r="L25" s="31"/>
    </row>
    <row r="26" spans="1:12" x14ac:dyDescent="0.3">
      <c r="A26" s="13"/>
      <c r="B26" s="8"/>
      <c r="C26" s="9"/>
      <c r="D26" s="10"/>
      <c r="E26" s="11"/>
      <c r="F26" s="26"/>
      <c r="G26" s="8"/>
      <c r="H26" s="26"/>
      <c r="I26" s="8"/>
      <c r="J26" s="8"/>
      <c r="K26" s="8"/>
      <c r="L26" s="31"/>
    </row>
    <row r="27" spans="1:12" x14ac:dyDescent="0.3">
      <c r="A27" s="13"/>
      <c r="B27" s="8"/>
      <c r="C27" s="9"/>
      <c r="D27" s="10"/>
      <c r="E27" s="11"/>
      <c r="F27" s="26"/>
      <c r="G27" s="8"/>
      <c r="H27" s="26"/>
      <c r="I27" s="8"/>
      <c r="J27" s="8"/>
      <c r="K27" s="8"/>
      <c r="L27" s="31"/>
    </row>
    <row r="28" spans="1:12" x14ac:dyDescent="0.3">
      <c r="A28" s="13"/>
      <c r="B28" s="8"/>
      <c r="C28" s="9"/>
      <c r="D28" s="10"/>
      <c r="E28" s="11"/>
      <c r="F28" s="26"/>
      <c r="G28" s="8"/>
      <c r="H28" s="26"/>
      <c r="I28" s="8"/>
      <c r="J28" s="8"/>
      <c r="K28" s="8"/>
      <c r="L28" s="31"/>
    </row>
    <row r="29" spans="1:12" x14ac:dyDescent="0.3">
      <c r="A29" s="13"/>
      <c r="B29" s="8"/>
      <c r="C29" s="9"/>
      <c r="D29" s="10"/>
      <c r="E29" s="11"/>
      <c r="F29" s="26"/>
      <c r="G29" s="8"/>
      <c r="H29" s="26"/>
      <c r="I29" s="8"/>
      <c r="J29" s="8"/>
      <c r="K29" s="8"/>
      <c r="L29" s="31"/>
    </row>
    <row r="30" spans="1:12" x14ac:dyDescent="0.3">
      <c r="A30" s="13"/>
      <c r="B30" s="8"/>
      <c r="C30" s="9"/>
      <c r="D30" s="10"/>
      <c r="E30" s="11"/>
      <c r="F30" s="26"/>
      <c r="G30" s="8"/>
      <c r="H30" s="26"/>
      <c r="I30" s="8"/>
      <c r="J30" s="8"/>
      <c r="K30" s="8"/>
      <c r="L30" s="31"/>
    </row>
    <row r="31" spans="1:12" x14ac:dyDescent="0.3">
      <c r="A31" s="13"/>
      <c r="B31" s="8"/>
      <c r="C31" s="9"/>
      <c r="D31" s="10"/>
      <c r="E31" s="11"/>
      <c r="F31" s="26"/>
      <c r="G31" s="8"/>
      <c r="H31" s="26"/>
      <c r="I31" s="8"/>
      <c r="J31" s="8"/>
      <c r="K31" s="8"/>
      <c r="L31" s="31"/>
    </row>
    <row r="32" spans="1:12" x14ac:dyDescent="0.3">
      <c r="A32" s="13"/>
      <c r="B32" s="8"/>
      <c r="C32" s="9"/>
      <c r="D32" s="10"/>
      <c r="E32" s="11"/>
      <c r="F32" s="26"/>
      <c r="G32" s="8"/>
      <c r="H32" s="26"/>
      <c r="I32" s="8"/>
      <c r="J32" s="8"/>
      <c r="K32" s="8"/>
      <c r="L32" s="31"/>
    </row>
    <row r="33" spans="1:12" x14ac:dyDescent="0.3">
      <c r="A33" s="13"/>
      <c r="B33" s="8"/>
      <c r="C33" s="9"/>
      <c r="D33" s="10"/>
      <c r="E33" s="11"/>
      <c r="F33" s="26"/>
      <c r="G33" s="8"/>
      <c r="H33" s="26"/>
      <c r="I33" s="8"/>
      <c r="J33" s="8"/>
      <c r="K33" s="8"/>
      <c r="L33" s="31"/>
    </row>
    <row r="34" spans="1:12" x14ac:dyDescent="0.3">
      <c r="A34" s="13"/>
      <c r="B34" s="8"/>
      <c r="C34" s="9"/>
      <c r="D34" s="10"/>
      <c r="E34" s="11"/>
      <c r="F34" s="26"/>
      <c r="G34" s="8"/>
      <c r="H34" s="26"/>
      <c r="I34" s="8"/>
      <c r="J34" s="8"/>
      <c r="K34" s="8"/>
      <c r="L34" s="31"/>
    </row>
    <row r="35" spans="1:12" x14ac:dyDescent="0.3">
      <c r="A35" s="13"/>
      <c r="B35" s="8"/>
      <c r="C35" s="9"/>
      <c r="D35" s="10"/>
      <c r="E35" s="11"/>
      <c r="F35" s="26"/>
      <c r="G35" s="8"/>
      <c r="H35" s="26"/>
      <c r="I35" s="8"/>
      <c r="J35" s="8"/>
      <c r="K35" s="8"/>
      <c r="L35" s="31"/>
    </row>
    <row r="36" spans="1:12" x14ac:dyDescent="0.3">
      <c r="A36" s="13"/>
      <c r="B36" s="8"/>
      <c r="C36" s="9"/>
      <c r="D36" s="10"/>
      <c r="E36" s="11"/>
      <c r="F36" s="26"/>
      <c r="G36" s="8"/>
      <c r="H36" s="26"/>
      <c r="I36" s="8"/>
      <c r="J36" s="8"/>
      <c r="K36" s="8"/>
      <c r="L36" s="31"/>
    </row>
    <row r="37" spans="1:12" x14ac:dyDescent="0.3">
      <c r="A37" s="13"/>
      <c r="B37" s="8"/>
      <c r="C37" s="9"/>
      <c r="D37" s="10"/>
      <c r="E37" s="11"/>
      <c r="F37" s="26"/>
      <c r="G37" s="8"/>
      <c r="H37" s="26"/>
      <c r="I37" s="8"/>
      <c r="J37" s="8"/>
      <c r="K37" s="8"/>
      <c r="L37" s="31"/>
    </row>
    <row r="38" spans="1:12" x14ac:dyDescent="0.3">
      <c r="A38" s="13"/>
      <c r="B38" s="8"/>
      <c r="C38" s="9"/>
      <c r="D38" s="10"/>
      <c r="E38" s="11"/>
      <c r="F38" s="26"/>
      <c r="G38" s="8"/>
      <c r="H38" s="26"/>
      <c r="I38" s="8"/>
      <c r="J38" s="8"/>
      <c r="K38" s="8"/>
      <c r="L38" s="31"/>
    </row>
    <row r="39" spans="1:12" x14ac:dyDescent="0.3">
      <c r="A39" s="13"/>
      <c r="B39" s="8"/>
      <c r="C39" s="9"/>
      <c r="D39" s="10"/>
      <c r="E39" s="11"/>
      <c r="F39" s="26"/>
      <c r="G39" s="8"/>
      <c r="H39" s="26"/>
      <c r="I39" s="8"/>
      <c r="J39" s="8"/>
      <c r="K39" s="8"/>
      <c r="L39" s="31"/>
    </row>
    <row r="40" spans="1:12" x14ac:dyDescent="0.3">
      <c r="A40" s="13"/>
      <c r="B40" s="8"/>
      <c r="C40" s="9"/>
      <c r="D40" s="10"/>
      <c r="E40" s="11"/>
      <c r="F40" s="26"/>
      <c r="G40" s="8"/>
      <c r="H40" s="26"/>
      <c r="I40" s="8"/>
      <c r="J40" s="8"/>
      <c r="K40" s="8"/>
      <c r="L40" s="31"/>
    </row>
    <row r="41" spans="1:12" x14ac:dyDescent="0.3">
      <c r="A41" s="13"/>
      <c r="B41" s="8"/>
      <c r="C41" s="9"/>
      <c r="D41" s="10"/>
      <c r="E41" s="11"/>
      <c r="F41" s="26"/>
      <c r="G41" s="8"/>
      <c r="H41" s="26"/>
      <c r="I41" s="8"/>
      <c r="J41" s="8"/>
      <c r="K41" s="8"/>
      <c r="L41" s="31"/>
    </row>
    <row r="42" spans="1:12" x14ac:dyDescent="0.3">
      <c r="A42" s="13"/>
      <c r="B42" s="8"/>
      <c r="C42" s="9"/>
      <c r="D42" s="10"/>
      <c r="E42" s="11"/>
      <c r="F42" s="26"/>
      <c r="G42" s="8"/>
      <c r="H42" s="26"/>
      <c r="I42" s="8"/>
      <c r="J42" s="8"/>
      <c r="K42" s="8"/>
      <c r="L42" s="31"/>
    </row>
    <row r="43" spans="1:12" x14ac:dyDescent="0.3">
      <c r="A43" s="13"/>
      <c r="B43" s="8"/>
      <c r="C43" s="9"/>
      <c r="D43" s="10"/>
      <c r="E43" s="11"/>
      <c r="F43" s="26"/>
      <c r="G43" s="8"/>
      <c r="H43" s="26"/>
      <c r="I43" s="8"/>
      <c r="J43" s="8"/>
      <c r="K43" s="8"/>
      <c r="L43" s="31"/>
    </row>
    <row r="44" spans="1:12" x14ac:dyDescent="0.3">
      <c r="A44" s="13"/>
      <c r="B44" s="8"/>
      <c r="C44" s="9"/>
      <c r="D44" s="10"/>
      <c r="E44" s="11"/>
      <c r="F44" s="26"/>
      <c r="G44" s="8"/>
      <c r="H44" s="26"/>
      <c r="I44" s="8"/>
      <c r="J44" s="8"/>
      <c r="K44" s="8"/>
      <c r="L44" s="31"/>
    </row>
    <row r="45" spans="1:12" x14ac:dyDescent="0.3">
      <c r="A45" s="13"/>
      <c r="B45" s="8"/>
      <c r="C45" s="9"/>
      <c r="D45" s="10"/>
      <c r="E45" s="11"/>
      <c r="F45" s="26"/>
      <c r="G45" s="8"/>
      <c r="H45" s="26"/>
      <c r="I45" s="8"/>
      <c r="J45" s="8"/>
      <c r="K45" s="8"/>
      <c r="L45" s="31"/>
    </row>
    <row r="46" spans="1:12" x14ac:dyDescent="0.3">
      <c r="A46" s="13"/>
      <c r="B46" s="8"/>
      <c r="C46" s="9"/>
      <c r="D46" s="10"/>
      <c r="E46" s="11"/>
      <c r="F46" s="26"/>
      <c r="G46" s="8"/>
      <c r="H46" s="26"/>
      <c r="I46" s="8"/>
      <c r="J46" s="8"/>
      <c r="K46" s="8"/>
      <c r="L46" s="31"/>
    </row>
    <row r="47" spans="1:12" x14ac:dyDescent="0.3">
      <c r="A47" s="13"/>
      <c r="B47" s="8"/>
      <c r="C47" s="9"/>
      <c r="D47" s="10"/>
      <c r="E47" s="11"/>
      <c r="F47" s="26"/>
      <c r="G47" s="8"/>
      <c r="H47" s="26"/>
      <c r="I47" s="8"/>
      <c r="J47" s="8"/>
      <c r="K47" s="8"/>
      <c r="L47" s="31"/>
    </row>
    <row r="48" spans="1:12" x14ac:dyDescent="0.3">
      <c r="A48" s="13"/>
      <c r="B48" s="8"/>
      <c r="C48" s="9"/>
      <c r="D48" s="10"/>
      <c r="E48" s="11"/>
      <c r="F48" s="26"/>
      <c r="G48" s="8"/>
      <c r="H48" s="26"/>
      <c r="I48" s="8"/>
      <c r="J48" s="8"/>
      <c r="K48" s="8"/>
      <c r="L48" s="31"/>
    </row>
    <row r="49" spans="1:12" x14ac:dyDescent="0.3">
      <c r="A49" s="13"/>
      <c r="B49" s="8"/>
      <c r="C49" s="9"/>
      <c r="D49" s="10"/>
      <c r="E49" s="11"/>
      <c r="F49" s="26"/>
      <c r="G49" s="8"/>
      <c r="H49" s="26"/>
      <c r="I49" s="8"/>
      <c r="J49" s="8"/>
      <c r="K49" s="8"/>
      <c r="L49" s="31"/>
    </row>
    <row r="50" spans="1:12" x14ac:dyDescent="0.3">
      <c r="A50" s="13"/>
      <c r="B50" s="8"/>
      <c r="C50" s="9"/>
      <c r="D50" s="10"/>
      <c r="E50" s="11"/>
      <c r="F50" s="26"/>
      <c r="G50" s="8"/>
      <c r="H50" s="26"/>
      <c r="I50" s="8"/>
      <c r="J50" s="8"/>
      <c r="K50" s="8"/>
      <c r="L50" s="31"/>
    </row>
    <row r="51" spans="1:12" x14ac:dyDescent="0.3">
      <c r="A51" s="13"/>
      <c r="B51" s="8"/>
      <c r="C51" s="9"/>
      <c r="D51" s="10"/>
      <c r="E51" s="11"/>
      <c r="F51" s="26"/>
      <c r="G51" s="8"/>
      <c r="H51" s="26"/>
      <c r="I51" s="8"/>
      <c r="J51" s="8"/>
      <c r="K51" s="8"/>
      <c r="L51" s="31"/>
    </row>
    <row r="52" spans="1:12" x14ac:dyDescent="0.3">
      <c r="A52" s="13"/>
      <c r="B52" s="8"/>
      <c r="C52" s="9"/>
      <c r="D52" s="10"/>
      <c r="E52" s="11"/>
      <c r="F52" s="26"/>
      <c r="G52" s="8"/>
      <c r="H52" s="26"/>
      <c r="I52" s="8"/>
      <c r="J52" s="8"/>
      <c r="K52" s="8"/>
      <c r="L52" s="31"/>
    </row>
    <row r="53" spans="1:12" x14ac:dyDescent="0.3">
      <c r="A53" s="13"/>
      <c r="B53" s="8"/>
      <c r="C53" s="9"/>
      <c r="D53" s="10"/>
      <c r="E53" s="11"/>
      <c r="F53" s="26"/>
      <c r="G53" s="8"/>
      <c r="H53" s="26"/>
      <c r="I53" s="8"/>
      <c r="J53" s="8"/>
      <c r="K53" s="8"/>
      <c r="L53" s="31"/>
    </row>
    <row r="54" spans="1:12" x14ac:dyDescent="0.3">
      <c r="A54" s="13"/>
      <c r="B54" s="8"/>
      <c r="C54" s="9"/>
      <c r="D54" s="10"/>
      <c r="E54" s="11"/>
      <c r="F54" s="26"/>
      <c r="G54" s="8"/>
      <c r="H54" s="26"/>
      <c r="I54" s="8"/>
      <c r="J54" s="8"/>
      <c r="K54" s="8"/>
      <c r="L54" s="31"/>
    </row>
    <row r="55" spans="1:12" x14ac:dyDescent="0.3">
      <c r="A55" s="13"/>
      <c r="B55" s="8"/>
      <c r="C55" s="9"/>
      <c r="D55" s="10"/>
      <c r="E55" s="11"/>
      <c r="F55" s="26"/>
      <c r="G55" s="8"/>
      <c r="H55" s="26"/>
      <c r="I55" s="8"/>
      <c r="J55" s="8"/>
      <c r="K55" s="8"/>
      <c r="L55" s="31"/>
    </row>
    <row r="56" spans="1:12" x14ac:dyDescent="0.3">
      <c r="A56" s="13"/>
      <c r="B56" s="8"/>
      <c r="C56" s="9"/>
      <c r="D56" s="10"/>
      <c r="E56" s="11"/>
      <c r="F56" s="26"/>
      <c r="G56" s="8"/>
      <c r="H56" s="26"/>
      <c r="I56" s="8"/>
      <c r="J56" s="8"/>
      <c r="K56" s="8"/>
      <c r="L56" s="31"/>
    </row>
    <row r="57" spans="1:12" x14ac:dyDescent="0.3">
      <c r="A57" s="13"/>
      <c r="B57" s="8"/>
      <c r="C57" s="9"/>
      <c r="D57" s="10"/>
      <c r="E57" s="11"/>
      <c r="F57" s="26"/>
      <c r="G57" s="8"/>
      <c r="H57" s="26"/>
      <c r="I57" s="8"/>
      <c r="J57" s="8"/>
      <c r="K57" s="8"/>
      <c r="L57" s="31"/>
    </row>
    <row r="58" spans="1:12" x14ac:dyDescent="0.3">
      <c r="A58" s="13"/>
      <c r="B58" s="8"/>
      <c r="C58" s="9"/>
      <c r="D58" s="10"/>
      <c r="E58" s="11"/>
      <c r="F58" s="26"/>
      <c r="G58" s="8"/>
      <c r="H58" s="26"/>
      <c r="I58" s="8"/>
      <c r="J58" s="8"/>
      <c r="K58" s="8"/>
      <c r="L58" s="31"/>
    </row>
    <row r="59" spans="1:12" x14ac:dyDescent="0.3">
      <c r="A59" s="13"/>
      <c r="B59" s="8"/>
      <c r="C59" s="9"/>
      <c r="D59" s="10"/>
      <c r="E59" s="11"/>
      <c r="F59" s="26"/>
      <c r="G59" s="8"/>
      <c r="H59" s="26"/>
      <c r="I59" s="8"/>
      <c r="J59" s="8"/>
      <c r="K59" s="8"/>
      <c r="L59" s="31"/>
    </row>
    <row r="60" spans="1:12" x14ac:dyDescent="0.3">
      <c r="A60" s="13"/>
      <c r="B60" s="8"/>
      <c r="C60" s="9"/>
      <c r="D60" s="10"/>
      <c r="E60" s="11"/>
      <c r="F60" s="26"/>
      <c r="G60" s="8"/>
      <c r="H60" s="26"/>
      <c r="I60" s="8"/>
      <c r="J60" s="8"/>
      <c r="K60" s="8"/>
      <c r="L60" s="31"/>
    </row>
    <row r="61" spans="1:12" x14ac:dyDescent="0.3">
      <c r="A61" s="13"/>
      <c r="B61" s="8"/>
      <c r="C61" s="9"/>
      <c r="D61" s="10"/>
      <c r="E61" s="11"/>
      <c r="F61" s="26"/>
      <c r="G61" s="8"/>
      <c r="H61" s="26"/>
      <c r="I61" s="8"/>
      <c r="J61" s="8"/>
      <c r="K61" s="8"/>
      <c r="L61" s="31"/>
    </row>
    <row r="62" spans="1:12" x14ac:dyDescent="0.3">
      <c r="A62" s="13"/>
      <c r="B62" s="8"/>
      <c r="C62" s="9"/>
      <c r="D62" s="10"/>
      <c r="E62" s="11"/>
      <c r="F62" s="26"/>
      <c r="G62" s="8"/>
      <c r="H62" s="26"/>
      <c r="I62" s="8"/>
      <c r="J62" s="8"/>
      <c r="K62" s="8"/>
      <c r="L62" s="31"/>
    </row>
    <row r="63" spans="1:12" x14ac:dyDescent="0.3">
      <c r="A63" s="13"/>
      <c r="B63" s="8"/>
      <c r="C63" s="9"/>
      <c r="D63" s="10"/>
      <c r="E63" s="11"/>
      <c r="F63" s="26"/>
      <c r="G63" s="8"/>
      <c r="H63" s="26"/>
      <c r="I63" s="8"/>
      <c r="J63" s="8"/>
      <c r="K63" s="8"/>
      <c r="L63" s="31"/>
    </row>
    <row r="64" spans="1:12" x14ac:dyDescent="0.3">
      <c r="A64" s="13"/>
      <c r="B64" s="8"/>
      <c r="C64" s="9"/>
      <c r="D64" s="10"/>
      <c r="E64" s="11"/>
      <c r="F64" s="26"/>
      <c r="G64" s="8"/>
      <c r="H64" s="26"/>
      <c r="I64" s="8"/>
      <c r="J64" s="8"/>
      <c r="K64" s="8"/>
      <c r="L64" s="31"/>
    </row>
    <row r="65" spans="1:12" x14ac:dyDescent="0.3">
      <c r="A65" s="13"/>
      <c r="B65" s="8"/>
      <c r="C65" s="9"/>
      <c r="D65" s="10"/>
      <c r="E65" s="11"/>
      <c r="F65" s="26"/>
      <c r="G65" s="8"/>
      <c r="H65" s="26"/>
      <c r="I65" s="8"/>
      <c r="J65" s="8"/>
      <c r="K65" s="8"/>
      <c r="L65" s="31"/>
    </row>
    <row r="66" spans="1:12" x14ac:dyDescent="0.3">
      <c r="A66" s="13"/>
      <c r="B66" s="8"/>
      <c r="C66" s="9"/>
      <c r="D66" s="10"/>
      <c r="E66" s="11"/>
      <c r="F66" s="26"/>
      <c r="G66" s="8"/>
      <c r="H66" s="26"/>
      <c r="I66" s="8"/>
      <c r="J66" s="8"/>
      <c r="K66" s="8"/>
      <c r="L66" s="31"/>
    </row>
    <row r="67" spans="1:12" x14ac:dyDescent="0.3">
      <c r="A67" s="13"/>
      <c r="B67" s="8"/>
      <c r="C67" s="9"/>
      <c r="D67" s="10"/>
      <c r="E67" s="11"/>
      <c r="F67" s="26"/>
      <c r="G67" s="8"/>
      <c r="H67" s="26"/>
      <c r="I67" s="8"/>
      <c r="J67" s="8"/>
      <c r="K67" s="8"/>
      <c r="L67" s="31"/>
    </row>
    <row r="68" spans="1:12" x14ac:dyDescent="0.3">
      <c r="A68" s="13"/>
      <c r="B68" s="8"/>
      <c r="C68" s="9"/>
      <c r="D68" s="10"/>
      <c r="E68" s="11"/>
      <c r="F68" s="26"/>
      <c r="G68" s="8"/>
      <c r="H68" s="26"/>
      <c r="I68" s="8"/>
      <c r="J68" s="8"/>
      <c r="K68" s="8"/>
      <c r="L68" s="31"/>
    </row>
    <row r="69" spans="1:12" x14ac:dyDescent="0.3">
      <c r="A69" s="13"/>
      <c r="B69" s="8"/>
      <c r="C69" s="9"/>
      <c r="D69" s="10"/>
      <c r="E69" s="11"/>
      <c r="F69" s="26"/>
      <c r="G69" s="8"/>
      <c r="H69" s="26"/>
      <c r="I69" s="8"/>
      <c r="J69" s="8"/>
      <c r="K69" s="8"/>
      <c r="L69" s="31"/>
    </row>
    <row r="70" spans="1:12" x14ac:dyDescent="0.3">
      <c r="A70" s="13"/>
      <c r="B70" s="8"/>
      <c r="C70" s="9"/>
      <c r="D70" s="10"/>
      <c r="E70" s="11"/>
      <c r="F70" s="26"/>
      <c r="G70" s="8"/>
      <c r="H70" s="26"/>
      <c r="I70" s="8"/>
      <c r="J70" s="8"/>
      <c r="K70" s="8"/>
      <c r="L70" s="31"/>
    </row>
    <row r="71" spans="1:12" x14ac:dyDescent="0.3">
      <c r="A71" s="13"/>
      <c r="B71" s="8"/>
      <c r="C71" s="9"/>
      <c r="D71" s="10"/>
      <c r="E71" s="11"/>
      <c r="F71" s="26"/>
      <c r="G71" s="8"/>
      <c r="H71" s="26"/>
      <c r="I71" s="8"/>
      <c r="J71" s="8"/>
      <c r="K71" s="8"/>
      <c r="L71" s="31"/>
    </row>
    <row r="72" spans="1:12" x14ac:dyDescent="0.3">
      <c r="A72" s="13"/>
      <c r="B72" s="8"/>
      <c r="C72" s="9"/>
      <c r="D72" s="10"/>
      <c r="E72" s="11"/>
      <c r="F72" s="26"/>
      <c r="G72" s="8"/>
      <c r="H72" s="26"/>
      <c r="I72" s="8"/>
      <c r="J72" s="8"/>
      <c r="K72" s="8"/>
      <c r="L72" s="31"/>
    </row>
    <row r="73" spans="1:12" x14ac:dyDescent="0.3">
      <c r="A73" s="13"/>
      <c r="B73" s="8"/>
      <c r="C73" s="9"/>
      <c r="D73" s="10"/>
      <c r="E73" s="11"/>
      <c r="F73" s="26"/>
      <c r="G73" s="8"/>
      <c r="H73" s="26"/>
      <c r="I73" s="8"/>
      <c r="J73" s="8"/>
      <c r="K73" s="8"/>
      <c r="L73" s="31"/>
    </row>
    <row r="74" spans="1:12" x14ac:dyDescent="0.3">
      <c r="A74" s="13"/>
      <c r="B74" s="8"/>
      <c r="C74" s="9"/>
      <c r="D74" s="10"/>
      <c r="E74" s="11"/>
      <c r="F74" s="26"/>
      <c r="G74" s="8"/>
      <c r="H74" s="26"/>
      <c r="I74" s="8"/>
      <c r="J74" s="8"/>
      <c r="K74" s="8"/>
      <c r="L74" s="31"/>
    </row>
    <row r="75" spans="1:12" x14ac:dyDescent="0.3">
      <c r="A75" s="13"/>
      <c r="B75" s="8"/>
      <c r="C75" s="9"/>
      <c r="D75" s="10"/>
      <c r="E75" s="11"/>
      <c r="F75" s="26"/>
      <c r="G75" s="8"/>
      <c r="H75" s="26"/>
      <c r="I75" s="8"/>
      <c r="J75" s="8"/>
      <c r="K75" s="8"/>
      <c r="L75" s="31"/>
    </row>
    <row r="76" spans="1:12" x14ac:dyDescent="0.3">
      <c r="A76" s="13"/>
      <c r="B76" s="8"/>
      <c r="C76" s="9"/>
      <c r="D76" s="10"/>
      <c r="E76" s="11"/>
      <c r="F76" s="26"/>
      <c r="G76" s="8"/>
      <c r="H76" s="26"/>
      <c r="I76" s="8"/>
      <c r="J76" s="8"/>
      <c r="K76" s="8"/>
      <c r="L76" s="31"/>
    </row>
    <row r="77" spans="1:12" x14ac:dyDescent="0.3">
      <c r="A77" s="13"/>
      <c r="B77" s="8"/>
      <c r="C77" s="9"/>
      <c r="D77" s="10"/>
      <c r="E77" s="11"/>
      <c r="F77" s="26"/>
      <c r="G77" s="8"/>
      <c r="H77" s="26"/>
      <c r="I77" s="8"/>
      <c r="J77" s="8"/>
      <c r="K77" s="8"/>
      <c r="L77" s="31"/>
    </row>
    <row r="78" spans="1:12" x14ac:dyDescent="0.3">
      <c r="A78" s="13"/>
      <c r="B78" s="8"/>
      <c r="C78" s="9"/>
      <c r="D78" s="10"/>
      <c r="E78" s="11"/>
      <c r="F78" s="26"/>
      <c r="G78" s="8"/>
      <c r="H78" s="26"/>
      <c r="I78" s="8"/>
      <c r="J78" s="8"/>
      <c r="K78" s="8"/>
      <c r="L78" s="31"/>
    </row>
    <row r="79" spans="1:12" x14ac:dyDescent="0.3">
      <c r="A79" s="13"/>
      <c r="B79" s="8"/>
      <c r="C79" s="9"/>
      <c r="D79" s="10"/>
      <c r="E79" s="11"/>
      <c r="F79" s="26"/>
      <c r="G79" s="8"/>
      <c r="H79" s="26"/>
      <c r="I79" s="8"/>
      <c r="J79" s="8"/>
      <c r="K79" s="8"/>
      <c r="L79" s="31"/>
    </row>
    <row r="80" spans="1:12" x14ac:dyDescent="0.3">
      <c r="A80" s="13"/>
      <c r="B80" s="8"/>
      <c r="C80" s="9"/>
      <c r="D80" s="10"/>
      <c r="E80" s="11"/>
      <c r="F80" s="26"/>
      <c r="G80" s="8"/>
      <c r="H80" s="26"/>
      <c r="I80" s="8"/>
      <c r="J80" s="8"/>
      <c r="K80" s="8"/>
      <c r="L80" s="31"/>
    </row>
    <row r="81" spans="1:12" x14ac:dyDescent="0.3">
      <c r="A81" s="13"/>
      <c r="B81" s="8"/>
      <c r="C81" s="9"/>
      <c r="D81" s="10"/>
      <c r="E81" s="11"/>
      <c r="F81" s="26"/>
      <c r="G81" s="8"/>
      <c r="H81" s="26"/>
      <c r="I81" s="8"/>
      <c r="J81" s="8"/>
      <c r="K81" s="8"/>
      <c r="L81" s="31"/>
    </row>
    <row r="82" spans="1:12" x14ac:dyDescent="0.3">
      <c r="A82" s="13"/>
      <c r="B82" s="8"/>
      <c r="C82" s="9"/>
      <c r="D82" s="10"/>
      <c r="E82" s="11"/>
      <c r="F82" s="26"/>
      <c r="G82" s="8"/>
      <c r="H82" s="26"/>
      <c r="I82" s="8"/>
      <c r="J82" s="8"/>
      <c r="K82" s="8"/>
      <c r="L82" s="31"/>
    </row>
    <row r="83" spans="1:12" x14ac:dyDescent="0.3">
      <c r="A83" s="13"/>
      <c r="B83" s="8"/>
      <c r="C83" s="9"/>
      <c r="D83" s="10"/>
      <c r="E83" s="11"/>
      <c r="F83" s="26"/>
      <c r="G83" s="8"/>
      <c r="H83" s="26"/>
      <c r="I83" s="8"/>
      <c r="J83" s="8"/>
      <c r="K83" s="8"/>
      <c r="L83" s="31"/>
    </row>
    <row r="84" spans="1:12" x14ac:dyDescent="0.3">
      <c r="A84" s="13"/>
      <c r="B84" s="8"/>
      <c r="C84" s="9"/>
      <c r="D84" s="10"/>
      <c r="E84" s="11"/>
      <c r="F84" s="26"/>
      <c r="G84" s="8"/>
      <c r="H84" s="26"/>
      <c r="I84" s="8"/>
      <c r="J84" s="8"/>
      <c r="K84" s="8"/>
      <c r="L84" s="31"/>
    </row>
    <row r="85" spans="1:12" x14ac:dyDescent="0.3">
      <c r="A85" s="13"/>
      <c r="B85" s="8"/>
      <c r="C85" s="9"/>
      <c r="D85" s="10"/>
      <c r="E85" s="11"/>
      <c r="F85" s="26"/>
      <c r="G85" s="8"/>
      <c r="H85" s="26"/>
      <c r="I85" s="8"/>
      <c r="J85" s="8"/>
      <c r="K85" s="8"/>
      <c r="L85" s="31"/>
    </row>
    <row r="86" spans="1:12" x14ac:dyDescent="0.3">
      <c r="A86" s="13"/>
      <c r="B86" s="8"/>
      <c r="C86" s="9"/>
      <c r="D86" s="10"/>
      <c r="E86" s="11"/>
      <c r="F86" s="26"/>
      <c r="G86" s="8"/>
      <c r="H86" s="26"/>
      <c r="I86" s="8"/>
      <c r="J86" s="8"/>
      <c r="K86" s="8"/>
      <c r="L86" s="31"/>
    </row>
    <row r="87" spans="1:12" x14ac:dyDescent="0.3">
      <c r="A87" s="13"/>
      <c r="B87" s="8"/>
      <c r="C87" s="9"/>
      <c r="D87" s="10"/>
      <c r="E87" s="11"/>
      <c r="F87" s="26"/>
      <c r="G87" s="8"/>
      <c r="H87" s="26"/>
      <c r="I87" s="8"/>
      <c r="J87" s="8"/>
      <c r="K87" s="8"/>
      <c r="L87" s="31"/>
    </row>
    <row r="88" spans="1:12" x14ac:dyDescent="0.3">
      <c r="A88" s="13"/>
      <c r="B88" s="8"/>
      <c r="C88" s="9"/>
      <c r="D88" s="10"/>
      <c r="E88" s="11"/>
      <c r="F88" s="26"/>
      <c r="G88" s="8"/>
      <c r="H88" s="26"/>
      <c r="I88" s="8"/>
      <c r="J88" s="8"/>
      <c r="K88" s="8"/>
      <c r="L88" s="31"/>
    </row>
    <row r="89" spans="1:12" x14ac:dyDescent="0.3">
      <c r="A89" s="13"/>
      <c r="B89" s="8"/>
      <c r="C89" s="9"/>
      <c r="D89" s="10"/>
      <c r="E89" s="11"/>
      <c r="F89" s="26"/>
      <c r="G89" s="8"/>
      <c r="H89" s="26"/>
      <c r="I89" s="8"/>
      <c r="J89" s="8"/>
      <c r="K89" s="8"/>
      <c r="L89" s="31"/>
    </row>
    <row r="90" spans="1:12" x14ac:dyDescent="0.3">
      <c r="A90" s="13"/>
      <c r="B90" s="8"/>
      <c r="C90" s="9"/>
      <c r="D90" s="10"/>
      <c r="E90" s="11"/>
      <c r="F90" s="26"/>
      <c r="G90" s="8"/>
      <c r="H90" s="26"/>
      <c r="I90" s="8"/>
      <c r="J90" s="8"/>
      <c r="K90" s="8"/>
      <c r="L90" s="31"/>
    </row>
    <row r="91" spans="1:12" x14ac:dyDescent="0.3">
      <c r="A91" s="13"/>
      <c r="B91" s="8"/>
      <c r="C91" s="9"/>
      <c r="D91" s="10"/>
      <c r="E91" s="11"/>
      <c r="F91" s="26"/>
      <c r="G91" s="8"/>
      <c r="H91" s="26"/>
      <c r="I91" s="8"/>
      <c r="J91" s="8"/>
      <c r="K91" s="8"/>
      <c r="L91" s="31"/>
    </row>
    <row r="92" spans="1:12" x14ac:dyDescent="0.3">
      <c r="A92" s="13"/>
      <c r="B92" s="26"/>
      <c r="C92" s="26"/>
      <c r="D92" s="26"/>
      <c r="E92" s="26"/>
      <c r="F92" s="26"/>
      <c r="G92" s="8"/>
      <c r="H92" s="26"/>
      <c r="I92" s="8"/>
      <c r="J92" s="8"/>
      <c r="K92" s="8"/>
      <c r="L92" s="31"/>
    </row>
    <row r="93" spans="1:12" x14ac:dyDescent="0.3">
      <c r="A93" s="13"/>
      <c r="B93" s="26"/>
      <c r="C93" s="26"/>
      <c r="D93" s="26"/>
      <c r="E93" s="26"/>
      <c r="F93" s="26"/>
      <c r="G93" s="8"/>
      <c r="H93" s="26"/>
      <c r="I93" s="8"/>
      <c r="J93" s="8"/>
      <c r="K93" s="8"/>
      <c r="L93" s="31"/>
    </row>
    <row r="94" spans="1:12" x14ac:dyDescent="0.3">
      <c r="A94" s="13"/>
      <c r="B94" s="26"/>
      <c r="C94" s="26"/>
      <c r="D94" s="26"/>
      <c r="E94" s="26"/>
      <c r="F94" s="26"/>
      <c r="G94" s="8"/>
      <c r="H94" s="26"/>
      <c r="I94" s="8"/>
      <c r="J94" s="8"/>
      <c r="K94" s="8"/>
      <c r="L94" s="31"/>
    </row>
    <row r="95" spans="1:12" x14ac:dyDescent="0.3">
      <c r="A95" s="13"/>
      <c r="B95" s="26"/>
      <c r="C95" s="26"/>
      <c r="D95" s="26"/>
      <c r="E95" s="26"/>
      <c r="F95" s="26"/>
      <c r="G95" s="8"/>
      <c r="H95" s="26"/>
      <c r="I95" s="8"/>
      <c r="J95" s="8"/>
      <c r="K95" s="8"/>
      <c r="L95" s="31"/>
    </row>
    <row r="96" spans="1:12" x14ac:dyDescent="0.3">
      <c r="A96" s="13"/>
      <c r="B96" s="26"/>
      <c r="C96" s="26"/>
      <c r="D96" s="26"/>
      <c r="E96" s="26"/>
      <c r="F96" s="26"/>
      <c r="G96" s="8"/>
      <c r="H96" s="26"/>
      <c r="I96" s="8"/>
      <c r="J96" s="8"/>
      <c r="K96" s="8"/>
      <c r="L96" s="31"/>
    </row>
    <row r="97" spans="1:12" x14ac:dyDescent="0.3">
      <c r="A97" s="13"/>
      <c r="B97" s="26"/>
      <c r="C97" s="26"/>
      <c r="D97" s="26"/>
      <c r="E97" s="26"/>
      <c r="F97" s="26"/>
      <c r="G97" s="8"/>
      <c r="H97" s="26"/>
      <c r="I97" s="8"/>
      <c r="J97" s="8"/>
      <c r="K97" s="8"/>
      <c r="L97" s="31"/>
    </row>
    <row r="98" spans="1:12" x14ac:dyDescent="0.3">
      <c r="A98" s="13"/>
      <c r="B98" s="26"/>
      <c r="C98" s="26"/>
      <c r="D98" s="26"/>
      <c r="E98" s="26"/>
      <c r="F98" s="26"/>
      <c r="G98" s="8"/>
      <c r="H98" s="26"/>
      <c r="I98" s="8"/>
      <c r="J98" s="8"/>
      <c r="K98" s="8"/>
      <c r="L98" s="31"/>
    </row>
    <row r="99" spans="1:12" ht="15" thickBot="1" x14ac:dyDescent="0.35">
      <c r="A99" s="15"/>
      <c r="B99" s="32"/>
      <c r="C99" s="32"/>
      <c r="D99" s="32"/>
      <c r="E99" s="32"/>
      <c r="F99" s="32"/>
      <c r="G99" s="16"/>
      <c r="H99" s="32"/>
      <c r="I99" s="16"/>
      <c r="J99" s="16"/>
      <c r="K99" s="16"/>
      <c r="L99" s="33"/>
    </row>
  </sheetData>
  <autoFilter ref="A9:L9" xr:uid="{70D2E12D-6F31-4459-9ED4-4A41A7B43545}"/>
  <mergeCells count="14">
    <mergeCell ref="A4:B4"/>
    <mergeCell ref="C4:L4"/>
    <mergeCell ref="A1:L1"/>
    <mergeCell ref="A2:B2"/>
    <mergeCell ref="C2:L2"/>
    <mergeCell ref="A3:B3"/>
    <mergeCell ref="C3:L3"/>
    <mergeCell ref="A8:L8"/>
    <mergeCell ref="A5:B5"/>
    <mergeCell ref="C5:L5"/>
    <mergeCell ref="A6:B6"/>
    <mergeCell ref="C6:L6"/>
    <mergeCell ref="A7:B7"/>
    <mergeCell ref="C7:H7"/>
  </mergeCells>
  <conditionalFormatting sqref="I1:I6">
    <cfRule type="containsText" dxfId="9" priority="3" operator="containsText" text="Closed">
      <formula>NOT(ISERROR(SEARCH("Closed",I1)))</formula>
    </cfRule>
    <cfRule type="containsText" dxfId="8" priority="4" operator="containsText" text="Open">
      <formula>NOT(ISERROR(SEARCH("Open",I1)))</formula>
    </cfRule>
  </conditionalFormatting>
  <conditionalFormatting sqref="I10:I1048576">
    <cfRule type="containsText" dxfId="7" priority="1" operator="containsText" text="Closed">
      <formula>NOT(ISERROR(SEARCH("Closed",I10)))</formula>
    </cfRule>
    <cfRule type="containsText" dxfId="6" priority="2" operator="containsText" text="Open">
      <formula>NOT(ISERROR(SEARCH("Open",I10)))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5E1C-42B0-4C3A-B099-DC6DD00204D2}">
  <sheetPr>
    <tabColor theme="4" tint="-0.499984740745262"/>
  </sheetPr>
  <dimension ref="A1:J42"/>
  <sheetViews>
    <sheetView workbookViewId="0">
      <selection activeCell="D13" sqref="D13"/>
    </sheetView>
  </sheetViews>
  <sheetFormatPr defaultRowHeight="14.4" x14ac:dyDescent="0.3"/>
  <cols>
    <col min="2" max="2" width="32.5546875" bestFit="1" customWidth="1"/>
    <col min="3" max="3" width="22.21875" customWidth="1"/>
    <col min="4" max="4" width="21.21875" customWidth="1"/>
    <col min="5" max="5" width="19.77734375" customWidth="1"/>
    <col min="6" max="6" width="22.5546875" customWidth="1"/>
    <col min="7" max="7" width="15.44140625" customWidth="1"/>
    <col min="8" max="8" width="22.109375" customWidth="1"/>
    <col min="9" max="9" width="16" customWidth="1"/>
  </cols>
  <sheetData>
    <row r="1" spans="1:10" ht="23.4" x14ac:dyDescent="0.3">
      <c r="A1" s="136" t="s">
        <v>154</v>
      </c>
      <c r="B1" s="137"/>
      <c r="C1" s="137"/>
      <c r="D1" s="137"/>
      <c r="E1" s="137"/>
      <c r="F1" s="137"/>
      <c r="G1" s="137"/>
      <c r="H1" s="137"/>
      <c r="I1" s="138"/>
    </row>
    <row r="2" spans="1:10" x14ac:dyDescent="0.3">
      <c r="A2" s="126" t="s">
        <v>5</v>
      </c>
      <c r="B2" s="127"/>
      <c r="C2" s="128" t="s">
        <v>11</v>
      </c>
      <c r="D2" s="128"/>
      <c r="E2" s="128"/>
      <c r="F2" s="128"/>
      <c r="G2" s="128"/>
      <c r="H2" s="128"/>
      <c r="I2" s="129"/>
    </row>
    <row r="3" spans="1:10" x14ac:dyDescent="0.3">
      <c r="A3" s="126" t="s">
        <v>6</v>
      </c>
      <c r="B3" s="127"/>
      <c r="C3" s="128" t="s">
        <v>12</v>
      </c>
      <c r="D3" s="128"/>
      <c r="E3" s="128"/>
      <c r="F3" s="128"/>
      <c r="G3" s="128"/>
      <c r="H3" s="128"/>
      <c r="I3" s="129"/>
    </row>
    <row r="4" spans="1:10" x14ac:dyDescent="0.3">
      <c r="A4" s="126" t="s">
        <v>7</v>
      </c>
      <c r="B4" s="127"/>
      <c r="C4" s="128" t="s">
        <v>13</v>
      </c>
      <c r="D4" s="128"/>
      <c r="E4" s="128"/>
      <c r="F4" s="128"/>
      <c r="G4" s="128"/>
      <c r="H4" s="128"/>
      <c r="I4" s="129"/>
    </row>
    <row r="5" spans="1:10" x14ac:dyDescent="0.3">
      <c r="A5" s="126" t="s">
        <v>8</v>
      </c>
      <c r="B5" s="127"/>
      <c r="C5" s="128" t="s">
        <v>13</v>
      </c>
      <c r="D5" s="128"/>
      <c r="E5" s="128"/>
      <c r="F5" s="128"/>
      <c r="G5" s="128"/>
      <c r="H5" s="128"/>
      <c r="I5" s="129"/>
    </row>
    <row r="6" spans="1:10" x14ac:dyDescent="0.3">
      <c r="A6" s="126" t="s">
        <v>9</v>
      </c>
      <c r="B6" s="127"/>
      <c r="C6" s="128" t="s">
        <v>14</v>
      </c>
      <c r="D6" s="128"/>
      <c r="E6" s="128"/>
      <c r="F6" s="128"/>
      <c r="G6" s="128" t="s">
        <v>28</v>
      </c>
      <c r="H6" s="128"/>
      <c r="I6" s="129"/>
    </row>
    <row r="7" spans="1:10" ht="15" thickBot="1" x14ac:dyDescent="0.35">
      <c r="A7" s="142" t="s">
        <v>10</v>
      </c>
      <c r="B7" s="143"/>
      <c r="C7" s="139" t="s">
        <v>80</v>
      </c>
      <c r="D7" s="140"/>
      <c r="E7" s="140"/>
      <c r="F7" s="55" t="s">
        <v>155</v>
      </c>
      <c r="G7" s="58">
        <v>45992</v>
      </c>
      <c r="H7" s="55" t="s">
        <v>156</v>
      </c>
      <c r="I7" s="59">
        <v>46019</v>
      </c>
      <c r="J7">
        <f>I7-G7</f>
        <v>27</v>
      </c>
    </row>
    <row r="8" spans="1:10" ht="28.8" x14ac:dyDescent="0.3">
      <c r="A8" s="60" t="s">
        <v>0</v>
      </c>
      <c r="B8" s="60" t="s">
        <v>132</v>
      </c>
      <c r="C8" s="60" t="s">
        <v>133</v>
      </c>
      <c r="D8" s="60" t="s">
        <v>134</v>
      </c>
      <c r="E8" s="60" t="s">
        <v>135</v>
      </c>
    </row>
    <row r="9" spans="1:10" x14ac:dyDescent="0.3">
      <c r="A9" s="61">
        <v>1</v>
      </c>
      <c r="B9" s="61" t="s">
        <v>136</v>
      </c>
      <c r="C9" s="1">
        <v>7670</v>
      </c>
      <c r="D9" s="1">
        <f>150*9</f>
        <v>1350</v>
      </c>
      <c r="E9">
        <f>C9+D9</f>
        <v>9020</v>
      </c>
    </row>
    <row r="10" spans="1:10" x14ac:dyDescent="0.3">
      <c r="A10" s="61">
        <v>2</v>
      </c>
      <c r="B10" s="61" t="s">
        <v>137</v>
      </c>
      <c r="C10" s="1">
        <v>20</v>
      </c>
      <c r="D10" s="1">
        <v>7</v>
      </c>
      <c r="E10">
        <f>C10+D10</f>
        <v>27</v>
      </c>
    </row>
    <row r="11" spans="1:10" ht="18" x14ac:dyDescent="0.3">
      <c r="A11" s="61">
        <v>3</v>
      </c>
      <c r="B11" s="37" t="s">
        <v>138</v>
      </c>
      <c r="C11" s="36">
        <v>32</v>
      </c>
      <c r="D11" s="36">
        <v>7</v>
      </c>
      <c r="E11" s="36">
        <f t="shared" ref="E11:E15" si="0">D11+C11</f>
        <v>39</v>
      </c>
    </row>
    <row r="12" spans="1:10" ht="18" x14ac:dyDescent="0.3">
      <c r="A12" s="61">
        <v>4</v>
      </c>
      <c r="B12" s="37" t="s">
        <v>139</v>
      </c>
      <c r="C12" s="36">
        <v>17</v>
      </c>
      <c r="D12" s="36">
        <v>2</v>
      </c>
      <c r="E12" s="36">
        <f t="shared" si="0"/>
        <v>19</v>
      </c>
    </row>
    <row r="13" spans="1:10" ht="18" x14ac:dyDescent="0.3">
      <c r="A13" s="61">
        <v>5</v>
      </c>
      <c r="B13" s="37" t="s">
        <v>140</v>
      </c>
      <c r="C13" s="36">
        <v>4</v>
      </c>
      <c r="D13" s="36">
        <v>0</v>
      </c>
      <c r="E13" s="36">
        <f t="shared" si="0"/>
        <v>4</v>
      </c>
    </row>
    <row r="14" spans="1:10" ht="18" x14ac:dyDescent="0.3">
      <c r="A14" s="61">
        <v>6</v>
      </c>
      <c r="B14" s="37" t="s">
        <v>141</v>
      </c>
      <c r="C14" s="36">
        <v>1</v>
      </c>
      <c r="D14" s="36">
        <v>0</v>
      </c>
      <c r="E14" s="36">
        <f t="shared" si="0"/>
        <v>1</v>
      </c>
    </row>
    <row r="15" spans="1:10" ht="18" x14ac:dyDescent="0.3">
      <c r="A15" s="61">
        <v>7</v>
      </c>
      <c r="B15" s="37" t="s">
        <v>142</v>
      </c>
      <c r="C15" s="36">
        <v>91</v>
      </c>
      <c r="D15" s="36">
        <v>5</v>
      </c>
      <c r="E15" s="36">
        <f t="shared" si="0"/>
        <v>96</v>
      </c>
    </row>
    <row r="16" spans="1:10" ht="18" x14ac:dyDescent="0.3">
      <c r="A16" s="61">
        <v>8</v>
      </c>
      <c r="B16" s="37" t="s">
        <v>143</v>
      </c>
      <c r="C16" s="36">
        <v>2</v>
      </c>
      <c r="D16" s="36">
        <v>0</v>
      </c>
      <c r="E16" s="36">
        <f>D16+C16</f>
        <v>2</v>
      </c>
    </row>
    <row r="17" spans="1:5" ht="18" x14ac:dyDescent="0.3">
      <c r="A17" s="61">
        <v>9</v>
      </c>
      <c r="B17" s="37" t="s">
        <v>144</v>
      </c>
      <c r="C17" s="36">
        <v>0</v>
      </c>
      <c r="D17" s="36">
        <v>0</v>
      </c>
      <c r="E17" s="36">
        <f t="shared" ref="E17" si="1">D17+C17</f>
        <v>0</v>
      </c>
    </row>
    <row r="18" spans="1:5" ht="18" x14ac:dyDescent="0.3">
      <c r="A18" s="61">
        <v>10</v>
      </c>
      <c r="B18" s="37" t="s">
        <v>145</v>
      </c>
      <c r="C18" s="36">
        <v>0</v>
      </c>
      <c r="D18" s="36">
        <v>0</v>
      </c>
      <c r="E18" s="36">
        <f>D18+C18</f>
        <v>0</v>
      </c>
    </row>
    <row r="19" spans="1:5" ht="18" x14ac:dyDescent="0.3">
      <c r="A19" s="61">
        <v>11</v>
      </c>
      <c r="B19" s="37" t="s">
        <v>146</v>
      </c>
      <c r="C19" s="36">
        <v>2</v>
      </c>
      <c r="D19" s="36">
        <v>0</v>
      </c>
      <c r="E19" s="36">
        <f>D19+C19</f>
        <v>2</v>
      </c>
    </row>
    <row r="28" spans="1:5" ht="36" x14ac:dyDescent="0.3">
      <c r="A28" s="35" t="s">
        <v>0</v>
      </c>
      <c r="B28" s="35" t="s">
        <v>132</v>
      </c>
      <c r="C28" s="35" t="s">
        <v>133</v>
      </c>
      <c r="D28" s="35" t="s">
        <v>134</v>
      </c>
      <c r="E28" s="35" t="s">
        <v>135</v>
      </c>
    </row>
    <row r="29" spans="1:5" ht="18" x14ac:dyDescent="0.3">
      <c r="A29" s="36">
        <v>1</v>
      </c>
      <c r="B29" s="37" t="s">
        <v>136</v>
      </c>
      <c r="C29" s="36">
        <v>76704</v>
      </c>
      <c r="D29" s="36">
        <f>649*8</f>
        <v>5192</v>
      </c>
      <c r="E29" s="36">
        <f>D29+C29</f>
        <v>81896</v>
      </c>
    </row>
    <row r="30" spans="1:5" ht="18" x14ac:dyDescent="0.3">
      <c r="A30" s="36">
        <v>2</v>
      </c>
      <c r="B30" s="37" t="s">
        <v>137</v>
      </c>
      <c r="C30" s="36">
        <v>140</v>
      </c>
      <c r="D30" s="36">
        <v>7</v>
      </c>
      <c r="E30" s="36">
        <f t="shared" ref="E30:E37" si="2">D30+C30</f>
        <v>147</v>
      </c>
    </row>
    <row r="31" spans="1:5" ht="18" x14ac:dyDescent="0.3">
      <c r="A31" s="36">
        <v>3</v>
      </c>
      <c r="B31" s="37" t="s">
        <v>138</v>
      </c>
      <c r="C31" s="36">
        <v>32</v>
      </c>
      <c r="D31" s="36">
        <v>2</v>
      </c>
      <c r="E31" s="36">
        <f t="shared" si="2"/>
        <v>34</v>
      </c>
    </row>
    <row r="32" spans="1:5" ht="18" x14ac:dyDescent="0.3">
      <c r="A32" s="36">
        <v>4</v>
      </c>
      <c r="B32" s="37" t="s">
        <v>139</v>
      </c>
      <c r="C32" s="36">
        <v>17</v>
      </c>
      <c r="D32" s="36">
        <v>0</v>
      </c>
      <c r="E32" s="36">
        <f t="shared" si="2"/>
        <v>17</v>
      </c>
    </row>
    <row r="33" spans="1:5" ht="18" x14ac:dyDescent="0.3">
      <c r="A33" s="36">
        <v>5</v>
      </c>
      <c r="B33" s="37" t="s">
        <v>140</v>
      </c>
      <c r="C33" s="36">
        <v>4</v>
      </c>
      <c r="D33" s="36">
        <v>0</v>
      </c>
      <c r="E33" s="36">
        <f t="shared" si="2"/>
        <v>4</v>
      </c>
    </row>
    <row r="34" spans="1:5" ht="18" x14ac:dyDescent="0.3">
      <c r="A34" s="36">
        <v>6</v>
      </c>
      <c r="B34" s="37" t="s">
        <v>141</v>
      </c>
      <c r="C34" s="36">
        <v>0</v>
      </c>
      <c r="D34" s="36">
        <v>0</v>
      </c>
      <c r="E34" s="36">
        <f t="shared" si="2"/>
        <v>0</v>
      </c>
    </row>
    <row r="35" spans="1:5" ht="18" x14ac:dyDescent="0.3">
      <c r="A35" s="36">
        <v>7</v>
      </c>
      <c r="B35" s="37" t="s">
        <v>142</v>
      </c>
      <c r="C35" s="36">
        <v>91</v>
      </c>
      <c r="D35" s="36">
        <v>5</v>
      </c>
      <c r="E35" s="36">
        <f t="shared" si="2"/>
        <v>96</v>
      </c>
    </row>
    <row r="36" spans="1:5" ht="18" x14ac:dyDescent="0.3">
      <c r="A36" s="36">
        <v>8</v>
      </c>
      <c r="B36" s="37" t="s">
        <v>143</v>
      </c>
      <c r="C36" s="36">
        <v>2</v>
      </c>
      <c r="D36" s="36">
        <v>0</v>
      </c>
      <c r="E36" s="36">
        <f>D36+C36</f>
        <v>2</v>
      </c>
    </row>
    <row r="37" spans="1:5" ht="18" x14ac:dyDescent="0.3">
      <c r="A37" s="36">
        <v>9</v>
      </c>
      <c r="B37" s="37" t="s">
        <v>144</v>
      </c>
      <c r="C37" s="36">
        <v>0</v>
      </c>
      <c r="D37" s="36">
        <v>0</v>
      </c>
      <c r="E37" s="36">
        <f t="shared" si="2"/>
        <v>0</v>
      </c>
    </row>
    <row r="38" spans="1:5" ht="18" x14ac:dyDescent="0.3">
      <c r="A38" s="36">
        <v>10</v>
      </c>
      <c r="B38" s="37" t="s">
        <v>145</v>
      </c>
      <c r="C38" s="36">
        <v>0</v>
      </c>
      <c r="D38" s="36">
        <v>0</v>
      </c>
      <c r="E38" s="36">
        <f>D38+C38</f>
        <v>0</v>
      </c>
    </row>
    <row r="39" spans="1:5" ht="18" x14ac:dyDescent="0.3">
      <c r="A39" s="36">
        <v>11</v>
      </c>
      <c r="B39" s="37" t="s">
        <v>146</v>
      </c>
      <c r="C39" s="36">
        <v>2</v>
      </c>
      <c r="D39" s="36">
        <v>0</v>
      </c>
      <c r="E39" s="36">
        <f>D39+C39</f>
        <v>2</v>
      </c>
    </row>
    <row r="42" spans="1:5" ht="36" x14ac:dyDescent="0.3">
      <c r="A42" s="35" t="s">
        <v>0</v>
      </c>
      <c r="B42" s="35" t="s">
        <v>132</v>
      </c>
      <c r="C42" s="35" t="s">
        <v>133</v>
      </c>
      <c r="D42" s="35" t="s">
        <v>134</v>
      </c>
      <c r="E42" s="35" t="s">
        <v>135</v>
      </c>
    </row>
  </sheetData>
  <mergeCells count="13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A7:B7"/>
    <mergeCell ref="C7:E7"/>
  </mergeCells>
  <conditionalFormatting sqref="F1:F6">
    <cfRule type="containsText" dxfId="5" priority="1" operator="containsText" text="Closed">
      <formula>NOT(ISERROR(SEARCH("Closed",F1)))</formula>
    </cfRule>
    <cfRule type="containsText" dxfId="4" priority="2" operator="containsText" text="Open">
      <formula>NOT(ISERROR(SEARCH("Open",F1)))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6188-B0F3-4253-A216-7F762A20ADAB}">
  <sheetPr>
    <tabColor rgb="FFFB7B71"/>
  </sheetPr>
  <dimension ref="A1:K36"/>
  <sheetViews>
    <sheetView workbookViewId="0">
      <selection activeCell="L18" sqref="L18"/>
    </sheetView>
  </sheetViews>
  <sheetFormatPr defaultRowHeight="14.4" x14ac:dyDescent="0.3"/>
  <cols>
    <col min="1" max="1" width="14.44140625" customWidth="1"/>
    <col min="2" max="2" width="9.21875" customWidth="1"/>
    <col min="3" max="3" width="5.21875" customWidth="1"/>
  </cols>
  <sheetData>
    <row r="1" spans="1:11" x14ac:dyDescent="0.3">
      <c r="A1" s="189" t="s">
        <v>130</v>
      </c>
      <c r="B1" s="190"/>
      <c r="C1" s="190"/>
      <c r="D1" s="190"/>
      <c r="E1" s="190"/>
      <c r="F1" s="190"/>
      <c r="G1" s="190"/>
      <c r="H1" s="190"/>
      <c r="I1" s="190"/>
      <c r="J1" s="190"/>
      <c r="K1" s="191"/>
    </row>
    <row r="2" spans="1:11" x14ac:dyDescent="0.3">
      <c r="A2" s="180" t="s">
        <v>5</v>
      </c>
      <c r="B2" s="181"/>
      <c r="C2" s="182" t="s">
        <v>11</v>
      </c>
      <c r="D2" s="182"/>
      <c r="E2" s="182"/>
      <c r="F2" s="182"/>
      <c r="G2" s="182"/>
      <c r="H2" s="182"/>
      <c r="I2" s="182"/>
      <c r="J2" s="182"/>
      <c r="K2" s="183"/>
    </row>
    <row r="3" spans="1:11" x14ac:dyDescent="0.3">
      <c r="A3" s="180" t="s">
        <v>6</v>
      </c>
      <c r="B3" s="181"/>
      <c r="C3" s="182" t="s">
        <v>12</v>
      </c>
      <c r="D3" s="182"/>
      <c r="E3" s="182"/>
      <c r="F3" s="182"/>
      <c r="G3" s="182"/>
      <c r="H3" s="182"/>
      <c r="I3" s="182"/>
      <c r="J3" s="182"/>
      <c r="K3" s="183"/>
    </row>
    <row r="4" spans="1:11" x14ac:dyDescent="0.3">
      <c r="A4" s="180" t="s">
        <v>7</v>
      </c>
      <c r="B4" s="181"/>
      <c r="C4" s="182" t="s">
        <v>13</v>
      </c>
      <c r="D4" s="182"/>
      <c r="E4" s="182"/>
      <c r="F4" s="182"/>
      <c r="G4" s="182"/>
      <c r="H4" s="182"/>
      <c r="I4" s="182"/>
      <c r="J4" s="182"/>
      <c r="K4" s="183"/>
    </row>
    <row r="5" spans="1:11" x14ac:dyDescent="0.3">
      <c r="A5" s="180" t="s">
        <v>8</v>
      </c>
      <c r="B5" s="181"/>
      <c r="C5" s="182" t="s">
        <v>13</v>
      </c>
      <c r="D5" s="182"/>
      <c r="E5" s="182"/>
      <c r="F5" s="182"/>
      <c r="G5" s="182"/>
      <c r="H5" s="182"/>
      <c r="I5" s="182"/>
      <c r="J5" s="182"/>
      <c r="K5" s="183"/>
    </row>
    <row r="6" spans="1:11" x14ac:dyDescent="0.3">
      <c r="A6" s="180" t="s">
        <v>9</v>
      </c>
      <c r="B6" s="181"/>
      <c r="C6" s="182" t="s">
        <v>14</v>
      </c>
      <c r="D6" s="182"/>
      <c r="E6" s="182"/>
      <c r="F6" s="182"/>
      <c r="G6" s="182"/>
      <c r="H6" s="182"/>
      <c r="I6" s="182"/>
      <c r="J6" s="182" t="s">
        <v>28</v>
      </c>
      <c r="K6" s="183"/>
    </row>
    <row r="7" spans="1:11" ht="15" thickBot="1" x14ac:dyDescent="0.35">
      <c r="A7" s="184" t="s">
        <v>103</v>
      </c>
      <c r="B7" s="185"/>
      <c r="C7" s="186" t="s">
        <v>104</v>
      </c>
      <c r="D7" s="187"/>
      <c r="E7" s="187"/>
      <c r="F7" s="187"/>
      <c r="G7" s="187"/>
      <c r="H7" s="187"/>
      <c r="I7" s="187"/>
      <c r="J7" s="187"/>
      <c r="K7" s="188"/>
    </row>
    <row r="8" spans="1:11" x14ac:dyDescent="0.3">
      <c r="A8" s="174" t="s">
        <v>131</v>
      </c>
      <c r="B8" s="175"/>
      <c r="C8" s="175"/>
      <c r="D8" s="175"/>
      <c r="E8" s="175"/>
      <c r="F8" s="175"/>
      <c r="G8" s="175"/>
      <c r="H8" s="175"/>
      <c r="I8" s="175"/>
      <c r="J8" s="175"/>
      <c r="K8" s="176"/>
    </row>
    <row r="9" spans="1:11" x14ac:dyDescent="0.3">
      <c r="A9" s="166" t="s">
        <v>105</v>
      </c>
      <c r="B9" s="167"/>
      <c r="C9" s="168" t="s">
        <v>106</v>
      </c>
      <c r="D9" s="169"/>
      <c r="E9" s="169"/>
      <c r="F9" s="169"/>
      <c r="G9" s="169"/>
      <c r="H9" s="169"/>
      <c r="I9" s="169"/>
      <c r="J9" s="169"/>
      <c r="K9" s="170"/>
    </row>
    <row r="10" spans="1:11" x14ac:dyDescent="0.3">
      <c r="A10" s="166" t="s">
        <v>107</v>
      </c>
      <c r="B10" s="167"/>
      <c r="C10" s="171" t="s">
        <v>108</v>
      </c>
      <c r="D10" s="171"/>
      <c r="E10" s="171"/>
      <c r="F10" s="171"/>
      <c r="G10" s="171"/>
      <c r="H10" s="171"/>
      <c r="I10" s="171"/>
      <c r="J10" s="171"/>
      <c r="K10" s="172"/>
    </row>
    <row r="11" spans="1:11" x14ac:dyDescent="0.3">
      <c r="A11" s="166" t="s">
        <v>95</v>
      </c>
      <c r="B11" s="167"/>
      <c r="C11" s="173" t="s">
        <v>109</v>
      </c>
      <c r="D11" s="173"/>
      <c r="E11" s="173"/>
      <c r="F11" s="171"/>
      <c r="G11" s="171"/>
      <c r="H11" s="173"/>
      <c r="I11" s="171"/>
      <c r="J11" s="171"/>
      <c r="K11" s="172"/>
    </row>
    <row r="12" spans="1:11" x14ac:dyDescent="0.3">
      <c r="A12" s="166" t="s">
        <v>110</v>
      </c>
      <c r="B12" s="177"/>
      <c r="C12" s="45" t="b">
        <v>0</v>
      </c>
      <c r="D12" s="46" t="s">
        <v>113</v>
      </c>
      <c r="E12" s="47"/>
      <c r="F12" s="45" t="b">
        <v>0</v>
      </c>
      <c r="G12" s="46" t="s">
        <v>88</v>
      </c>
      <c r="H12" s="47"/>
      <c r="I12" s="45" t="b">
        <v>0</v>
      </c>
      <c r="J12" s="178" t="s">
        <v>89</v>
      </c>
      <c r="K12" s="179"/>
    </row>
    <row r="13" spans="1:11" x14ac:dyDescent="0.3">
      <c r="A13" s="166" t="s">
        <v>111</v>
      </c>
      <c r="B13" s="167"/>
      <c r="C13" s="163" t="s">
        <v>112</v>
      </c>
      <c r="D13" s="164"/>
      <c r="E13" s="164"/>
      <c r="F13" s="164"/>
      <c r="G13" s="164"/>
      <c r="H13" s="164"/>
      <c r="I13" s="164"/>
      <c r="J13" s="164"/>
      <c r="K13" s="165"/>
    </row>
    <row r="14" spans="1:11" ht="15" thickBot="1" x14ac:dyDescent="0.35">
      <c r="A14" s="48"/>
      <c r="B14" s="39"/>
      <c r="C14" s="39"/>
      <c r="D14" s="39"/>
      <c r="E14" s="39"/>
      <c r="F14" s="39"/>
      <c r="G14" s="39"/>
      <c r="H14" s="39"/>
      <c r="I14" s="39"/>
      <c r="J14" s="39"/>
      <c r="K14" s="44"/>
    </row>
    <row r="15" spans="1:11" x14ac:dyDescent="0.3">
      <c r="A15" s="156" t="s">
        <v>114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8"/>
    </row>
    <row r="16" spans="1:11" x14ac:dyDescent="0.3">
      <c r="A16" s="162" t="s">
        <v>115</v>
      </c>
      <c r="B16" s="160"/>
      <c r="C16" s="160" t="s">
        <v>116</v>
      </c>
      <c r="D16" s="160"/>
      <c r="E16" s="160"/>
      <c r="F16" s="160"/>
      <c r="G16" s="160"/>
      <c r="H16" s="160"/>
      <c r="I16" s="160"/>
      <c r="J16" s="160"/>
      <c r="K16" s="161"/>
    </row>
    <row r="17" spans="1:11" ht="15" thickBot="1" x14ac:dyDescent="0.35">
      <c r="A17" s="162" t="s">
        <v>117</v>
      </c>
      <c r="B17" s="160"/>
      <c r="C17" s="160" t="s">
        <v>118</v>
      </c>
      <c r="D17" s="160"/>
      <c r="E17" s="160"/>
      <c r="F17" s="160"/>
      <c r="G17" s="160"/>
      <c r="H17" s="160"/>
      <c r="I17" s="160"/>
      <c r="J17" s="160"/>
      <c r="K17" s="161"/>
    </row>
    <row r="18" spans="1:11" x14ac:dyDescent="0.3">
      <c r="A18" s="156" t="s">
        <v>119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8"/>
    </row>
    <row r="19" spans="1:11" ht="19.05" customHeight="1" x14ac:dyDescent="0.3">
      <c r="A19" s="162" t="s">
        <v>50</v>
      </c>
      <c r="B19" s="160"/>
      <c r="C19" s="160" t="s">
        <v>120</v>
      </c>
      <c r="D19" s="160"/>
      <c r="E19" s="160"/>
      <c r="F19" s="160"/>
      <c r="G19" s="160"/>
      <c r="H19" s="160"/>
      <c r="I19" s="160"/>
      <c r="J19" s="160"/>
      <c r="K19" s="161"/>
    </row>
    <row r="20" spans="1:11" x14ac:dyDescent="0.3">
      <c r="A20" s="162" t="s">
        <v>121</v>
      </c>
      <c r="B20" s="160"/>
      <c r="C20" s="160" t="s">
        <v>122</v>
      </c>
      <c r="D20" s="160"/>
      <c r="E20" s="160"/>
      <c r="F20" s="160"/>
      <c r="G20" s="160"/>
      <c r="H20" s="160"/>
      <c r="I20" s="160"/>
      <c r="J20" s="160"/>
      <c r="K20" s="161"/>
    </row>
    <row r="21" spans="1:11" x14ac:dyDescent="0.3">
      <c r="A21" s="162" t="s">
        <v>123</v>
      </c>
      <c r="B21" s="160"/>
      <c r="C21" s="160" t="s">
        <v>124</v>
      </c>
      <c r="D21" s="160"/>
      <c r="E21" s="160"/>
      <c r="F21" s="160"/>
      <c r="G21" s="160"/>
      <c r="H21" s="160"/>
      <c r="I21" s="160"/>
      <c r="J21" s="160"/>
      <c r="K21" s="161"/>
    </row>
    <row r="22" spans="1:11" ht="15" thickBot="1" x14ac:dyDescent="0.35">
      <c r="A22" s="162" t="s">
        <v>125</v>
      </c>
      <c r="B22" s="160"/>
      <c r="C22" s="160" t="s">
        <v>71</v>
      </c>
      <c r="D22" s="160"/>
      <c r="E22" s="160"/>
      <c r="F22" s="160"/>
      <c r="G22" s="160"/>
      <c r="H22" s="160"/>
      <c r="I22" s="160"/>
      <c r="J22" s="160"/>
      <c r="K22" s="161"/>
    </row>
    <row r="23" spans="1:11" x14ac:dyDescent="0.3">
      <c r="A23" s="156" t="s">
        <v>126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8"/>
    </row>
    <row r="24" spans="1:11" x14ac:dyDescent="0.3">
      <c r="A24" s="147" t="s">
        <v>24</v>
      </c>
      <c r="B24" s="148"/>
      <c r="C24" s="148" t="s">
        <v>127</v>
      </c>
      <c r="D24" s="148"/>
      <c r="E24" s="148"/>
      <c r="F24" s="148"/>
      <c r="G24" s="148"/>
      <c r="H24" s="148"/>
      <c r="I24" s="148"/>
      <c r="J24" s="148"/>
      <c r="K24" s="159"/>
    </row>
    <row r="25" spans="1:11" ht="15" thickBot="1" x14ac:dyDescent="0.35">
      <c r="A25" s="147" t="s">
        <v>25</v>
      </c>
      <c r="B25" s="148"/>
      <c r="C25" s="148" t="s">
        <v>128</v>
      </c>
      <c r="D25" s="148"/>
      <c r="E25" s="148"/>
      <c r="F25" s="148"/>
      <c r="G25" s="148"/>
      <c r="H25" s="148"/>
      <c r="I25" s="148"/>
      <c r="J25" s="148"/>
      <c r="K25" s="159"/>
    </row>
    <row r="26" spans="1:11" x14ac:dyDescent="0.3">
      <c r="A26" s="156" t="s">
        <v>129</v>
      </c>
      <c r="B26" s="157"/>
      <c r="C26" s="157"/>
      <c r="D26" s="157"/>
      <c r="E26" s="157"/>
      <c r="F26" s="157"/>
      <c r="G26" s="157"/>
      <c r="H26" s="157"/>
      <c r="I26" s="157"/>
      <c r="J26" s="157"/>
      <c r="K26" s="158"/>
    </row>
    <row r="27" spans="1:11" x14ac:dyDescent="0.3">
      <c r="A27" s="155" t="s">
        <v>70</v>
      </c>
      <c r="B27" s="151"/>
      <c r="C27" s="151" t="s">
        <v>71</v>
      </c>
      <c r="D27" s="151"/>
      <c r="E27" s="151"/>
      <c r="F27" s="151"/>
      <c r="G27" s="151"/>
      <c r="H27" s="151"/>
      <c r="I27" s="151"/>
      <c r="J27" s="151"/>
      <c r="K27" s="152"/>
    </row>
    <row r="28" spans="1:11" x14ac:dyDescent="0.3">
      <c r="A28" s="147" t="s">
        <v>72</v>
      </c>
      <c r="B28" s="148"/>
      <c r="C28" s="43" t="b">
        <v>0</v>
      </c>
      <c r="D28" s="39" t="s">
        <v>2</v>
      </c>
      <c r="E28" s="39"/>
      <c r="F28" s="39"/>
      <c r="G28" s="39"/>
      <c r="H28" s="39"/>
      <c r="I28" s="39"/>
      <c r="J28" s="39"/>
      <c r="K28" s="44"/>
    </row>
    <row r="29" spans="1:11" x14ac:dyDescent="0.3">
      <c r="A29" s="147"/>
      <c r="B29" s="148"/>
      <c r="C29" s="43" t="b">
        <v>0</v>
      </c>
      <c r="D29" s="39" t="s">
        <v>90</v>
      </c>
      <c r="E29" s="39"/>
      <c r="F29" s="39"/>
      <c r="G29" s="39"/>
      <c r="H29" s="39"/>
      <c r="I29" s="39"/>
      <c r="J29" s="39"/>
      <c r="K29" s="44"/>
    </row>
    <row r="30" spans="1:11" x14ac:dyDescent="0.3">
      <c r="A30" s="147"/>
      <c r="B30" s="148"/>
      <c r="C30" s="43" t="b">
        <v>0</v>
      </c>
      <c r="D30" s="39" t="s">
        <v>40</v>
      </c>
      <c r="E30" s="39"/>
      <c r="F30" s="39"/>
      <c r="G30" s="39"/>
      <c r="H30" s="39"/>
      <c r="I30" s="39"/>
      <c r="J30" s="39"/>
      <c r="K30" s="44"/>
    </row>
    <row r="31" spans="1:11" x14ac:dyDescent="0.3">
      <c r="A31" s="147" t="s">
        <v>73</v>
      </c>
      <c r="B31" s="148"/>
      <c r="C31" s="151" t="s">
        <v>74</v>
      </c>
      <c r="D31" s="151"/>
      <c r="E31" s="151"/>
      <c r="F31" s="151"/>
      <c r="G31" s="151"/>
      <c r="H31" s="151"/>
      <c r="I31" s="151"/>
      <c r="J31" s="151"/>
      <c r="K31" s="152"/>
    </row>
    <row r="32" spans="1:11" x14ac:dyDescent="0.3">
      <c r="A32" s="147"/>
      <c r="B32" s="148"/>
      <c r="C32" s="151" t="s">
        <v>75</v>
      </c>
      <c r="D32" s="151"/>
      <c r="E32" s="151"/>
      <c r="F32" s="151"/>
      <c r="G32" s="151"/>
      <c r="H32" s="151"/>
      <c r="I32" s="151"/>
      <c r="J32" s="151"/>
      <c r="K32" s="152"/>
    </row>
    <row r="33" spans="1:11" x14ac:dyDescent="0.3">
      <c r="A33" s="147" t="s">
        <v>76</v>
      </c>
      <c r="B33" s="148"/>
      <c r="C33" s="151" t="s">
        <v>74</v>
      </c>
      <c r="D33" s="151"/>
      <c r="E33" s="151"/>
      <c r="F33" s="151"/>
      <c r="G33" s="151"/>
      <c r="H33" s="151"/>
      <c r="I33" s="151"/>
      <c r="J33" s="151"/>
      <c r="K33" s="152"/>
    </row>
    <row r="34" spans="1:11" x14ac:dyDescent="0.3">
      <c r="A34" s="147"/>
      <c r="B34" s="148"/>
      <c r="C34" s="151" t="s">
        <v>77</v>
      </c>
      <c r="D34" s="151"/>
      <c r="E34" s="151"/>
      <c r="F34" s="151"/>
      <c r="G34" s="151"/>
      <c r="H34" s="151"/>
      <c r="I34" s="151"/>
      <c r="J34" s="151"/>
      <c r="K34" s="152"/>
    </row>
    <row r="35" spans="1:11" x14ac:dyDescent="0.3">
      <c r="A35" s="147" t="s">
        <v>78</v>
      </c>
      <c r="B35" s="148"/>
      <c r="C35" s="151" t="s">
        <v>74</v>
      </c>
      <c r="D35" s="151"/>
      <c r="E35" s="151"/>
      <c r="F35" s="151"/>
      <c r="G35" s="151"/>
      <c r="H35" s="151"/>
      <c r="I35" s="151"/>
      <c r="J35" s="151"/>
      <c r="K35" s="152"/>
    </row>
    <row r="36" spans="1:11" ht="15" thickBot="1" x14ac:dyDescent="0.35">
      <c r="A36" s="149"/>
      <c r="B36" s="150"/>
      <c r="C36" s="153" t="s">
        <v>79</v>
      </c>
      <c r="D36" s="153"/>
      <c r="E36" s="153"/>
      <c r="F36" s="153"/>
      <c r="G36" s="153"/>
      <c r="H36" s="153"/>
      <c r="I36" s="153"/>
      <c r="J36" s="153"/>
      <c r="K36" s="154"/>
    </row>
  </sheetData>
  <mergeCells count="56">
    <mergeCell ref="A4:B4"/>
    <mergeCell ref="C4:K4"/>
    <mergeCell ref="A1:K1"/>
    <mergeCell ref="A2:B2"/>
    <mergeCell ref="C2:K2"/>
    <mergeCell ref="A3:B3"/>
    <mergeCell ref="C3:K3"/>
    <mergeCell ref="A5:B5"/>
    <mergeCell ref="C5:K5"/>
    <mergeCell ref="A6:B6"/>
    <mergeCell ref="C6:K6"/>
    <mergeCell ref="A7:B7"/>
    <mergeCell ref="C7:K7"/>
    <mergeCell ref="C9:K9"/>
    <mergeCell ref="C10:K10"/>
    <mergeCell ref="C11:K11"/>
    <mergeCell ref="C16:K16"/>
    <mergeCell ref="A8:K8"/>
    <mergeCell ref="A9:B9"/>
    <mergeCell ref="A10:B10"/>
    <mergeCell ref="A11:B11"/>
    <mergeCell ref="A12:B12"/>
    <mergeCell ref="J12:K12"/>
    <mergeCell ref="C17:K17"/>
    <mergeCell ref="A16:B16"/>
    <mergeCell ref="A17:B17"/>
    <mergeCell ref="C13:K13"/>
    <mergeCell ref="A15:K15"/>
    <mergeCell ref="A13:B13"/>
    <mergeCell ref="A18:K18"/>
    <mergeCell ref="C19:K19"/>
    <mergeCell ref="C20:K20"/>
    <mergeCell ref="C21:K21"/>
    <mergeCell ref="C22:K22"/>
    <mergeCell ref="A19:B19"/>
    <mergeCell ref="A20:B20"/>
    <mergeCell ref="A21:B21"/>
    <mergeCell ref="A22:B22"/>
    <mergeCell ref="A27:B27"/>
    <mergeCell ref="A28:B30"/>
    <mergeCell ref="C27:K27"/>
    <mergeCell ref="A23:K23"/>
    <mergeCell ref="C24:K24"/>
    <mergeCell ref="C25:K25"/>
    <mergeCell ref="A24:B24"/>
    <mergeCell ref="A25:B25"/>
    <mergeCell ref="A26:K26"/>
    <mergeCell ref="A31:B32"/>
    <mergeCell ref="A33:B34"/>
    <mergeCell ref="A35:B36"/>
    <mergeCell ref="C31:K31"/>
    <mergeCell ref="C33:K33"/>
    <mergeCell ref="C34:K34"/>
    <mergeCell ref="C35:K35"/>
    <mergeCell ref="C36:K36"/>
    <mergeCell ref="C32:K32"/>
  </mergeCells>
  <conditionalFormatting sqref="I1:I6">
    <cfRule type="containsText" dxfId="3" priority="1" operator="containsText" text="Closed">
      <formula>NOT(ISERROR(SEARCH("Closed",I1)))</formula>
    </cfRule>
    <cfRule type="containsText" dxfId="2" priority="2" operator="containsText" text="Open">
      <formula>NOT(ISERROR(SEARCH("Open",I1)))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C879-2CE5-400A-AC5C-DB0B28EA501D}">
  <sheetPr>
    <tabColor rgb="FFFB7B71"/>
  </sheetPr>
  <dimension ref="A1:L41"/>
  <sheetViews>
    <sheetView zoomScale="85" zoomScaleNormal="85" workbookViewId="0">
      <selection activeCell="K30" sqref="K30"/>
    </sheetView>
  </sheetViews>
  <sheetFormatPr defaultRowHeight="14.4" x14ac:dyDescent="0.3"/>
  <cols>
    <col min="2" max="2" width="12.77734375" customWidth="1"/>
    <col min="3" max="3" width="3.77734375" customWidth="1"/>
    <col min="4" max="8" width="8.77734375" customWidth="1"/>
    <col min="12" max="12" width="8.77734375" customWidth="1"/>
  </cols>
  <sheetData>
    <row r="1" spans="1:12" ht="18" x14ac:dyDescent="0.3">
      <c r="A1" s="212" t="s">
        <v>91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4"/>
    </row>
    <row r="2" spans="1:12" ht="11.55" customHeight="1" x14ac:dyDescent="0.3">
      <c r="A2" s="205" t="s">
        <v>5</v>
      </c>
      <c r="B2" s="206"/>
      <c r="C2" s="207" t="s">
        <v>11</v>
      </c>
      <c r="D2" s="207"/>
      <c r="E2" s="207"/>
      <c r="F2" s="207"/>
      <c r="G2" s="207"/>
      <c r="H2" s="207"/>
      <c r="I2" s="207"/>
      <c r="J2" s="207"/>
      <c r="K2" s="207"/>
      <c r="L2" s="208"/>
    </row>
    <row r="3" spans="1:12" ht="11.55" customHeight="1" x14ac:dyDescent="0.3">
      <c r="A3" s="205" t="s">
        <v>6</v>
      </c>
      <c r="B3" s="206"/>
      <c r="C3" s="207" t="s">
        <v>12</v>
      </c>
      <c r="D3" s="207"/>
      <c r="E3" s="207"/>
      <c r="F3" s="207"/>
      <c r="G3" s="207"/>
      <c r="H3" s="207"/>
      <c r="I3" s="207"/>
      <c r="J3" s="207"/>
      <c r="K3" s="207"/>
      <c r="L3" s="208"/>
    </row>
    <row r="4" spans="1:12" ht="11.55" customHeight="1" x14ac:dyDescent="0.3">
      <c r="A4" s="205" t="s">
        <v>7</v>
      </c>
      <c r="B4" s="206"/>
      <c r="C4" s="207" t="s">
        <v>13</v>
      </c>
      <c r="D4" s="207"/>
      <c r="E4" s="207"/>
      <c r="F4" s="207"/>
      <c r="G4" s="207"/>
      <c r="H4" s="207"/>
      <c r="I4" s="207"/>
      <c r="J4" s="207"/>
      <c r="K4" s="207"/>
      <c r="L4" s="208"/>
    </row>
    <row r="5" spans="1:12" ht="11.55" customHeight="1" x14ac:dyDescent="0.3">
      <c r="A5" s="205" t="s">
        <v>8</v>
      </c>
      <c r="B5" s="206"/>
      <c r="C5" s="207" t="s">
        <v>13</v>
      </c>
      <c r="D5" s="207"/>
      <c r="E5" s="207"/>
      <c r="F5" s="207"/>
      <c r="G5" s="207"/>
      <c r="H5" s="207"/>
      <c r="I5" s="207"/>
      <c r="J5" s="207"/>
      <c r="K5" s="207"/>
      <c r="L5" s="208"/>
    </row>
    <row r="6" spans="1:12" ht="11.55" customHeight="1" x14ac:dyDescent="0.3">
      <c r="A6" s="205" t="s">
        <v>9</v>
      </c>
      <c r="B6" s="206"/>
      <c r="C6" s="207" t="s">
        <v>14</v>
      </c>
      <c r="D6" s="207"/>
      <c r="E6" s="207"/>
      <c r="F6" s="207"/>
      <c r="G6" s="207"/>
      <c r="H6" s="207"/>
      <c r="I6" s="207"/>
      <c r="J6" s="207" t="s">
        <v>28</v>
      </c>
      <c r="K6" s="207"/>
      <c r="L6" s="208"/>
    </row>
    <row r="7" spans="1:12" ht="11.55" customHeight="1" thickBot="1" x14ac:dyDescent="0.35">
      <c r="A7" s="218" t="s">
        <v>10</v>
      </c>
      <c r="B7" s="219"/>
      <c r="C7" s="209" t="s">
        <v>80</v>
      </c>
      <c r="D7" s="210"/>
      <c r="E7" s="210"/>
      <c r="F7" s="210"/>
      <c r="G7" s="210"/>
      <c r="H7" s="210"/>
      <c r="I7" s="210"/>
      <c r="J7" s="210"/>
      <c r="K7" s="210"/>
      <c r="L7" s="211"/>
    </row>
    <row r="8" spans="1:12" ht="14.55" customHeight="1" thickBot="1" x14ac:dyDescent="0.35">
      <c r="A8" s="49"/>
      <c r="B8" s="50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3">
      <c r="A9" s="215" t="s">
        <v>46</v>
      </c>
      <c r="B9" s="216"/>
      <c r="C9" s="216"/>
      <c r="D9" s="216"/>
      <c r="E9" s="216"/>
      <c r="F9" s="216"/>
      <c r="G9" s="216"/>
      <c r="H9" s="216"/>
      <c r="I9" s="216"/>
      <c r="J9" s="216"/>
      <c r="K9" s="216"/>
      <c r="L9" s="217"/>
    </row>
    <row r="10" spans="1:12" x14ac:dyDescent="0.3">
      <c r="A10" s="194" t="s">
        <v>47</v>
      </c>
      <c r="B10" s="195"/>
      <c r="C10" s="43" t="b">
        <v>0</v>
      </c>
      <c r="D10" s="192" t="s">
        <v>81</v>
      </c>
      <c r="E10" s="192"/>
      <c r="F10" s="192"/>
      <c r="G10" s="192"/>
      <c r="H10" s="192"/>
      <c r="I10" s="192"/>
      <c r="J10" s="192"/>
      <c r="K10" s="192"/>
      <c r="L10" s="193"/>
    </row>
    <row r="11" spans="1:12" x14ac:dyDescent="0.3">
      <c r="A11" s="147"/>
      <c r="B11" s="148"/>
      <c r="C11" s="43" t="b">
        <v>0</v>
      </c>
      <c r="D11" s="39" t="s">
        <v>82</v>
      </c>
      <c r="E11" s="39"/>
      <c r="F11" s="39"/>
      <c r="G11" s="39"/>
      <c r="H11" s="39"/>
      <c r="I11" s="39"/>
      <c r="J11" s="39"/>
      <c r="K11" s="39"/>
      <c r="L11" s="44"/>
    </row>
    <row r="12" spans="1:12" x14ac:dyDescent="0.3">
      <c r="A12" s="147"/>
      <c r="B12" s="148"/>
      <c r="C12" s="43" t="b">
        <v>0</v>
      </c>
      <c r="D12" s="39" t="s">
        <v>83</v>
      </c>
      <c r="E12" s="39"/>
      <c r="F12" s="39"/>
      <c r="G12" s="39"/>
      <c r="H12" s="39"/>
      <c r="I12" s="39"/>
      <c r="J12" s="39"/>
      <c r="K12" s="39"/>
      <c r="L12" s="44"/>
    </row>
    <row r="13" spans="1:12" x14ac:dyDescent="0.3">
      <c r="A13" s="147"/>
      <c r="B13" s="148"/>
      <c r="C13" s="43" t="b">
        <v>0</v>
      </c>
      <c r="D13" s="39" t="s">
        <v>84</v>
      </c>
      <c r="E13" s="39"/>
      <c r="F13" s="39"/>
      <c r="G13" s="39"/>
      <c r="H13" s="39"/>
      <c r="I13" s="39"/>
      <c r="J13" s="39"/>
      <c r="K13" s="39"/>
      <c r="L13" s="44"/>
    </row>
    <row r="14" spans="1:12" x14ac:dyDescent="0.3">
      <c r="A14" s="147"/>
      <c r="B14" s="148"/>
      <c r="C14" s="43" t="b">
        <v>0</v>
      </c>
      <c r="D14" s="39" t="s">
        <v>85</v>
      </c>
      <c r="E14" s="39"/>
      <c r="F14" s="39"/>
      <c r="G14" s="39"/>
      <c r="H14" s="39"/>
      <c r="I14" s="39"/>
      <c r="J14" s="39"/>
      <c r="K14" s="39"/>
      <c r="L14" s="44"/>
    </row>
    <row r="15" spans="1:12" x14ac:dyDescent="0.3">
      <c r="A15" s="147"/>
      <c r="B15" s="148"/>
      <c r="C15" s="43" t="b">
        <v>0</v>
      </c>
      <c r="D15" s="39" t="s">
        <v>86</v>
      </c>
      <c r="E15" s="39"/>
      <c r="F15" s="39"/>
      <c r="G15" s="39"/>
      <c r="H15" s="39"/>
      <c r="I15" s="39"/>
      <c r="J15" s="39"/>
      <c r="K15" s="39"/>
      <c r="L15" s="44"/>
    </row>
    <row r="16" spans="1:12" x14ac:dyDescent="0.3">
      <c r="A16" s="155" t="s">
        <v>48</v>
      </c>
      <c r="B16" s="151"/>
      <c r="C16" s="151" t="s">
        <v>49</v>
      </c>
      <c r="D16" s="151"/>
      <c r="E16" s="151"/>
      <c r="F16" s="151"/>
      <c r="G16" s="151"/>
      <c r="H16" s="151"/>
      <c r="I16" s="151"/>
      <c r="J16" s="151"/>
      <c r="K16" s="151"/>
      <c r="L16" s="152"/>
    </row>
    <row r="17" spans="1:12" x14ac:dyDescent="0.3">
      <c r="A17" s="196" t="s">
        <v>16</v>
      </c>
      <c r="B17" s="197"/>
      <c r="C17" s="197" t="s">
        <v>34</v>
      </c>
      <c r="D17" s="197"/>
      <c r="E17" s="197"/>
      <c r="F17" s="197"/>
      <c r="G17" s="197"/>
      <c r="H17" s="197"/>
      <c r="I17" s="197"/>
      <c r="J17" s="197"/>
      <c r="K17" s="197"/>
      <c r="L17" s="201"/>
    </row>
    <row r="18" spans="1:12" x14ac:dyDescent="0.3">
      <c r="A18" s="198" t="s">
        <v>58</v>
      </c>
      <c r="B18" s="199"/>
      <c r="C18" s="199"/>
      <c r="D18" s="199"/>
      <c r="E18" s="199"/>
      <c r="F18" s="199"/>
      <c r="G18" s="199"/>
      <c r="H18" s="199"/>
      <c r="I18" s="199"/>
      <c r="J18" s="199"/>
      <c r="K18" s="199"/>
      <c r="L18" s="200"/>
    </row>
    <row r="19" spans="1:12" x14ac:dyDescent="0.3">
      <c r="A19" s="202" t="s">
        <v>50</v>
      </c>
      <c r="B19" s="192"/>
      <c r="C19" s="39" t="s">
        <v>51</v>
      </c>
      <c r="D19" s="39"/>
      <c r="E19" s="39"/>
      <c r="F19" s="39"/>
      <c r="G19" s="39"/>
      <c r="H19" s="39"/>
      <c r="I19" s="39"/>
      <c r="J19" s="39"/>
      <c r="K19" s="39"/>
      <c r="L19" s="44"/>
    </row>
    <row r="20" spans="1:12" x14ac:dyDescent="0.3">
      <c r="A20" s="155" t="s">
        <v>52</v>
      </c>
      <c r="B20" s="151"/>
      <c r="C20" s="39" t="s">
        <v>53</v>
      </c>
      <c r="D20" s="39"/>
      <c r="E20" s="39"/>
      <c r="F20" s="39"/>
      <c r="G20" s="39"/>
      <c r="H20" s="39"/>
      <c r="I20" s="39"/>
      <c r="J20" s="39"/>
      <c r="K20" s="39"/>
      <c r="L20" s="44"/>
    </row>
    <row r="21" spans="1:12" x14ac:dyDescent="0.3">
      <c r="A21" s="155" t="s">
        <v>54</v>
      </c>
      <c r="B21" s="151"/>
      <c r="C21" s="39" t="s">
        <v>55</v>
      </c>
      <c r="D21" s="39"/>
      <c r="E21" s="39"/>
      <c r="F21" s="39"/>
      <c r="G21" s="39"/>
      <c r="H21" s="39"/>
      <c r="I21" s="39"/>
      <c r="J21" s="39"/>
      <c r="K21" s="39"/>
      <c r="L21" s="44"/>
    </row>
    <row r="22" spans="1:12" x14ac:dyDescent="0.3">
      <c r="A22" s="196" t="s">
        <v>56</v>
      </c>
      <c r="B22" s="197"/>
      <c r="C22" s="39" t="s">
        <v>57</v>
      </c>
      <c r="D22" s="39"/>
      <c r="E22" s="39"/>
      <c r="F22" s="39"/>
      <c r="G22" s="39"/>
      <c r="H22" s="39"/>
      <c r="I22" s="39"/>
      <c r="J22" s="39"/>
      <c r="K22" s="39"/>
      <c r="L22" s="44"/>
    </row>
    <row r="23" spans="1:12" x14ac:dyDescent="0.3">
      <c r="A23" s="198" t="s">
        <v>59</v>
      </c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200"/>
    </row>
    <row r="24" spans="1:12" x14ac:dyDescent="0.3">
      <c r="A24" s="194" t="s">
        <v>60</v>
      </c>
      <c r="B24" s="195"/>
      <c r="C24" s="43" t="b">
        <v>0</v>
      </c>
      <c r="D24" s="39" t="s">
        <v>87</v>
      </c>
      <c r="E24" s="39"/>
      <c r="F24" s="39"/>
      <c r="G24" s="39"/>
      <c r="H24" s="39"/>
      <c r="I24" s="39"/>
      <c r="J24" s="39"/>
      <c r="K24" s="39"/>
      <c r="L24" s="44"/>
    </row>
    <row r="25" spans="1:12" x14ac:dyDescent="0.3">
      <c r="A25" s="147"/>
      <c r="B25" s="148"/>
      <c r="C25" s="43" t="b">
        <v>0</v>
      </c>
      <c r="D25" s="39" t="s">
        <v>88</v>
      </c>
      <c r="E25" s="39"/>
      <c r="F25" s="39"/>
      <c r="G25" s="39"/>
      <c r="H25" s="39"/>
      <c r="I25" s="39"/>
      <c r="J25" s="39"/>
      <c r="K25" s="39"/>
      <c r="L25" s="44"/>
    </row>
    <row r="26" spans="1:12" x14ac:dyDescent="0.3">
      <c r="A26" s="147"/>
      <c r="B26" s="148"/>
      <c r="C26" s="43" t="b">
        <v>0</v>
      </c>
      <c r="D26" s="39" t="s">
        <v>89</v>
      </c>
      <c r="E26" s="39"/>
      <c r="F26" s="39"/>
      <c r="G26" s="39"/>
      <c r="H26" s="39"/>
      <c r="I26" s="39"/>
      <c r="J26" s="39"/>
      <c r="K26" s="39"/>
      <c r="L26" s="44"/>
    </row>
    <row r="27" spans="1:12" x14ac:dyDescent="0.3">
      <c r="A27" s="155" t="s">
        <v>61</v>
      </c>
      <c r="B27" s="151"/>
      <c r="C27" s="39" t="s">
        <v>62</v>
      </c>
      <c r="D27" s="39"/>
      <c r="E27" s="39"/>
      <c r="F27" s="39"/>
      <c r="G27" s="39"/>
      <c r="H27" s="39"/>
      <c r="I27" s="39"/>
      <c r="J27" s="39"/>
      <c r="K27" s="39"/>
      <c r="L27" s="44"/>
    </row>
    <row r="28" spans="1:12" x14ac:dyDescent="0.3">
      <c r="A28" s="155" t="s">
        <v>63</v>
      </c>
      <c r="B28" s="151"/>
      <c r="C28" s="39" t="s">
        <v>64</v>
      </c>
      <c r="D28" s="39"/>
      <c r="E28" s="39"/>
      <c r="F28" s="39"/>
      <c r="G28" s="39"/>
      <c r="H28" s="39"/>
      <c r="I28" s="39"/>
      <c r="J28" s="39"/>
      <c r="K28" s="39"/>
      <c r="L28" s="44"/>
    </row>
    <row r="29" spans="1:12" x14ac:dyDescent="0.3">
      <c r="A29" s="155" t="s">
        <v>65</v>
      </c>
      <c r="B29" s="151"/>
      <c r="C29" s="39" t="s">
        <v>66</v>
      </c>
      <c r="D29" s="39"/>
      <c r="E29" s="39"/>
      <c r="F29" s="39"/>
      <c r="G29" s="39"/>
      <c r="H29" s="39"/>
      <c r="I29" s="39"/>
      <c r="J29" s="39"/>
      <c r="K29" s="39"/>
      <c r="L29" s="44"/>
    </row>
    <row r="30" spans="1:12" x14ac:dyDescent="0.3">
      <c r="A30" s="196" t="s">
        <v>67</v>
      </c>
      <c r="B30" s="197"/>
      <c r="C30" s="39" t="s">
        <v>68</v>
      </c>
      <c r="D30" s="39"/>
      <c r="E30" s="39"/>
      <c r="F30" s="39"/>
      <c r="G30" s="39"/>
      <c r="H30" s="39"/>
      <c r="I30" s="39"/>
      <c r="J30" s="39"/>
      <c r="K30" s="39"/>
      <c r="L30" s="44"/>
    </row>
    <row r="31" spans="1:12" x14ac:dyDescent="0.3">
      <c r="A31" s="203" t="s">
        <v>69</v>
      </c>
      <c r="B31" s="204"/>
      <c r="C31" s="199"/>
      <c r="D31" s="199"/>
      <c r="E31" s="199"/>
      <c r="F31" s="199"/>
      <c r="G31" s="199"/>
      <c r="H31" s="199"/>
      <c r="I31" s="199"/>
      <c r="J31" s="199"/>
      <c r="K31" s="199"/>
      <c r="L31" s="200"/>
    </row>
    <row r="32" spans="1:12" x14ac:dyDescent="0.3">
      <c r="A32" s="155" t="s">
        <v>70</v>
      </c>
      <c r="B32" s="151"/>
      <c r="C32" s="39" t="s">
        <v>71</v>
      </c>
      <c r="D32" s="39"/>
      <c r="E32" s="39"/>
      <c r="F32" s="39"/>
      <c r="G32" s="39"/>
      <c r="H32" s="39"/>
      <c r="I32" s="39"/>
      <c r="J32" s="39"/>
      <c r="K32" s="39"/>
      <c r="L32" s="44"/>
    </row>
    <row r="33" spans="1:12" x14ac:dyDescent="0.3">
      <c r="A33" s="147" t="s">
        <v>72</v>
      </c>
      <c r="B33" s="148"/>
      <c r="C33" s="43" t="b">
        <v>0</v>
      </c>
      <c r="D33" s="39" t="s">
        <v>2</v>
      </c>
      <c r="E33" s="39"/>
      <c r="F33" s="39"/>
      <c r="G33" s="39"/>
      <c r="H33" s="39"/>
      <c r="I33" s="39"/>
      <c r="J33" s="39"/>
      <c r="K33" s="39"/>
      <c r="L33" s="44"/>
    </row>
    <row r="34" spans="1:12" x14ac:dyDescent="0.3">
      <c r="A34" s="147"/>
      <c r="B34" s="148"/>
      <c r="C34" s="43" t="b">
        <v>0</v>
      </c>
      <c r="D34" s="39" t="s">
        <v>90</v>
      </c>
      <c r="E34" s="39"/>
      <c r="F34" s="39"/>
      <c r="G34" s="39"/>
      <c r="H34" s="39"/>
      <c r="I34" s="39"/>
      <c r="J34" s="39"/>
      <c r="K34" s="39"/>
      <c r="L34" s="44"/>
    </row>
    <row r="35" spans="1:12" x14ac:dyDescent="0.3">
      <c r="A35" s="147"/>
      <c r="B35" s="148"/>
      <c r="C35" s="43" t="b">
        <v>0</v>
      </c>
      <c r="D35" s="39" t="s">
        <v>40</v>
      </c>
      <c r="E35" s="39"/>
      <c r="F35" s="39"/>
      <c r="G35" s="39"/>
      <c r="H35" s="39"/>
      <c r="I35" s="39"/>
      <c r="J35" s="39"/>
      <c r="K35" s="39"/>
      <c r="L35" s="44"/>
    </row>
    <row r="36" spans="1:12" x14ac:dyDescent="0.3">
      <c r="A36" s="147" t="s">
        <v>73</v>
      </c>
      <c r="B36" s="148"/>
      <c r="C36" s="39" t="s">
        <v>74</v>
      </c>
      <c r="D36" s="39"/>
      <c r="E36" s="39"/>
      <c r="F36" s="39"/>
      <c r="G36" s="39"/>
      <c r="H36" s="39"/>
      <c r="I36" s="39"/>
      <c r="J36" s="39"/>
      <c r="K36" s="39"/>
      <c r="L36" s="44"/>
    </row>
    <row r="37" spans="1:12" x14ac:dyDescent="0.3">
      <c r="A37" s="147"/>
      <c r="B37" s="148"/>
      <c r="C37" s="39" t="s">
        <v>75</v>
      </c>
      <c r="D37" s="39"/>
      <c r="E37" s="39"/>
      <c r="F37" s="39"/>
      <c r="G37" s="39"/>
      <c r="H37" s="39"/>
      <c r="I37" s="39"/>
      <c r="J37" s="39"/>
      <c r="K37" s="39"/>
      <c r="L37" s="44"/>
    </row>
    <row r="38" spans="1:12" x14ac:dyDescent="0.3">
      <c r="A38" s="147" t="s">
        <v>76</v>
      </c>
      <c r="B38" s="148"/>
      <c r="C38" s="39" t="s">
        <v>74</v>
      </c>
      <c r="D38" s="39"/>
      <c r="E38" s="39"/>
      <c r="F38" s="39"/>
      <c r="G38" s="39"/>
      <c r="H38" s="39"/>
      <c r="I38" s="39"/>
      <c r="J38" s="39"/>
      <c r="K38" s="39"/>
      <c r="L38" s="44"/>
    </row>
    <row r="39" spans="1:12" x14ac:dyDescent="0.3">
      <c r="A39" s="147"/>
      <c r="B39" s="148"/>
      <c r="C39" s="39" t="s">
        <v>77</v>
      </c>
      <c r="D39" s="39"/>
      <c r="E39" s="39"/>
      <c r="F39" s="39"/>
      <c r="G39" s="39"/>
      <c r="H39" s="39"/>
      <c r="I39" s="39"/>
      <c r="J39" s="39"/>
      <c r="K39" s="39"/>
      <c r="L39" s="44"/>
    </row>
    <row r="40" spans="1:12" x14ac:dyDescent="0.3">
      <c r="A40" s="147" t="s">
        <v>78</v>
      </c>
      <c r="B40" s="148"/>
      <c r="C40" s="39" t="s">
        <v>74</v>
      </c>
      <c r="D40" s="39"/>
      <c r="E40" s="39"/>
      <c r="F40" s="39"/>
      <c r="G40" s="39"/>
      <c r="H40" s="39"/>
      <c r="I40" s="39"/>
      <c r="J40" s="39"/>
      <c r="K40" s="39"/>
      <c r="L40" s="44"/>
    </row>
    <row r="41" spans="1:12" ht="15" thickBot="1" x14ac:dyDescent="0.35">
      <c r="A41" s="149"/>
      <c r="B41" s="150"/>
      <c r="C41" s="53" t="s">
        <v>79</v>
      </c>
      <c r="D41" s="53"/>
      <c r="E41" s="53"/>
      <c r="F41" s="53"/>
      <c r="G41" s="53"/>
      <c r="H41" s="53"/>
      <c r="I41" s="53"/>
      <c r="J41" s="53"/>
      <c r="K41" s="53"/>
      <c r="L41" s="54"/>
    </row>
  </sheetData>
  <mergeCells count="37">
    <mergeCell ref="A9:L9"/>
    <mergeCell ref="A5:B5"/>
    <mergeCell ref="C5:L5"/>
    <mergeCell ref="A6:B6"/>
    <mergeCell ref="C6:L6"/>
    <mergeCell ref="A7:B7"/>
    <mergeCell ref="A4:B4"/>
    <mergeCell ref="C4:L4"/>
    <mergeCell ref="C7:L7"/>
    <mergeCell ref="A1:L1"/>
    <mergeCell ref="A2:B2"/>
    <mergeCell ref="C2:L2"/>
    <mergeCell ref="A3:B3"/>
    <mergeCell ref="C3:L3"/>
    <mergeCell ref="A38:B39"/>
    <mergeCell ref="A40:B41"/>
    <mergeCell ref="A27:B27"/>
    <mergeCell ref="A28:B28"/>
    <mergeCell ref="A29:B29"/>
    <mergeCell ref="A30:B30"/>
    <mergeCell ref="A31:L31"/>
    <mergeCell ref="D10:L10"/>
    <mergeCell ref="A10:B15"/>
    <mergeCell ref="A32:B32"/>
    <mergeCell ref="A33:B35"/>
    <mergeCell ref="A36:B37"/>
    <mergeCell ref="A21:B21"/>
    <mergeCell ref="A22:B22"/>
    <mergeCell ref="A23:L23"/>
    <mergeCell ref="A24:B26"/>
    <mergeCell ref="C16:L16"/>
    <mergeCell ref="C17:L17"/>
    <mergeCell ref="A18:L18"/>
    <mergeCell ref="A19:B19"/>
    <mergeCell ref="A20:B20"/>
    <mergeCell ref="A16:B16"/>
    <mergeCell ref="A17:B17"/>
  </mergeCells>
  <conditionalFormatting sqref="I1:I6">
    <cfRule type="containsText" dxfId="1" priority="1" operator="containsText" text="Closed">
      <formula>NOT(ISERROR(SEARCH("Closed",I1)))</formula>
    </cfRule>
    <cfRule type="containsText" dxfId="0" priority="2" operator="containsText" text="Open">
      <formula>NOT(ISERROR(SEARCH("Open",I1)))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757E-7239-4770-909D-D115B28CF049}">
  <sheetPr>
    <pageSetUpPr fitToPage="1"/>
  </sheetPr>
  <dimension ref="A1:N39"/>
  <sheetViews>
    <sheetView zoomScale="73" zoomScaleNormal="55" workbookViewId="0">
      <selection activeCell="N8" sqref="N8"/>
    </sheetView>
  </sheetViews>
  <sheetFormatPr defaultColWidth="8.88671875" defaultRowHeight="14.4" x14ac:dyDescent="0.3"/>
  <cols>
    <col min="1" max="1" width="3.33203125" customWidth="1"/>
    <col min="2" max="2" width="25.5546875" customWidth="1"/>
    <col min="3" max="3" width="9.88671875" style="1" customWidth="1"/>
    <col min="4" max="4" width="25.109375" customWidth="1"/>
    <col min="5" max="5" width="19.5546875" customWidth="1"/>
    <col min="6" max="6" width="12.88671875" customWidth="1"/>
    <col min="7" max="7" width="5.33203125" customWidth="1"/>
    <col min="8" max="8" width="4.44140625" customWidth="1"/>
    <col min="9" max="9" width="4.88671875" bestFit="1" customWidth="1"/>
    <col min="10" max="10" width="31.88671875" customWidth="1"/>
    <col min="11" max="11" width="5.21875" customWidth="1"/>
    <col min="12" max="12" width="4.6640625" customWidth="1"/>
    <col min="13" max="13" width="5.44140625" customWidth="1"/>
    <col min="14" max="14" width="26.6640625" customWidth="1"/>
  </cols>
  <sheetData>
    <row r="1" spans="1:14" ht="21" x14ac:dyDescent="0.3">
      <c r="A1" s="249" t="e" vm="1">
        <v>#VALUE!</v>
      </c>
      <c r="B1" s="250"/>
      <c r="C1" s="255" t="s">
        <v>157</v>
      </c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6"/>
    </row>
    <row r="2" spans="1:14" ht="15.6" x14ac:dyDescent="0.3">
      <c r="A2" s="251"/>
      <c r="B2" s="252"/>
      <c r="C2" s="257" t="s">
        <v>158</v>
      </c>
      <c r="D2" s="258"/>
      <c r="E2" s="258"/>
      <c r="F2" s="258"/>
      <c r="G2" s="258"/>
      <c r="H2" s="258"/>
      <c r="I2" s="258"/>
      <c r="J2" s="258"/>
      <c r="K2" s="258"/>
      <c r="L2" s="258"/>
      <c r="M2" s="259"/>
      <c r="N2" s="62" t="s">
        <v>159</v>
      </c>
    </row>
    <row r="3" spans="1:14" ht="15.6" x14ac:dyDescent="0.3">
      <c r="A3" s="253"/>
      <c r="B3" s="254"/>
      <c r="C3" s="260"/>
      <c r="D3" s="261"/>
      <c r="E3" s="261"/>
      <c r="F3" s="261"/>
      <c r="G3" s="261"/>
      <c r="H3" s="261"/>
      <c r="I3" s="261"/>
      <c r="J3" s="261"/>
      <c r="K3" s="261"/>
      <c r="L3" s="261"/>
      <c r="M3" s="262"/>
      <c r="N3" s="63" t="s">
        <v>160</v>
      </c>
    </row>
    <row r="4" spans="1:14" ht="15.6" x14ac:dyDescent="0.3">
      <c r="A4" s="64" t="s">
        <v>161</v>
      </c>
      <c r="B4" s="65"/>
      <c r="C4" s="66"/>
      <c r="D4" s="263" t="s">
        <v>162</v>
      </c>
      <c r="E4" s="264"/>
      <c r="F4" s="263" t="s">
        <v>163</v>
      </c>
      <c r="G4" s="265"/>
      <c r="H4" s="265"/>
      <c r="I4" s="264"/>
      <c r="J4" s="266" t="s">
        <v>164</v>
      </c>
      <c r="K4" s="267"/>
      <c r="L4" s="267"/>
      <c r="M4" s="268"/>
      <c r="N4" s="67" t="s">
        <v>165</v>
      </c>
    </row>
    <row r="5" spans="1:14" s="34" customFormat="1" ht="57" customHeight="1" x14ac:dyDescent="0.3">
      <c r="A5" s="243" t="s">
        <v>166</v>
      </c>
      <c r="B5" s="236" t="s">
        <v>167</v>
      </c>
      <c r="C5" s="245" t="s">
        <v>168</v>
      </c>
      <c r="D5" s="236" t="s">
        <v>169</v>
      </c>
      <c r="E5" s="236" t="s">
        <v>170</v>
      </c>
      <c r="F5" s="247" t="s">
        <v>171</v>
      </c>
      <c r="G5" s="233" t="s">
        <v>172</v>
      </c>
      <c r="H5" s="234"/>
      <c r="I5" s="235"/>
      <c r="J5" s="236" t="s">
        <v>173</v>
      </c>
      <c r="K5" s="238" t="s">
        <v>174</v>
      </c>
      <c r="L5" s="239"/>
      <c r="M5" s="240"/>
      <c r="N5" s="241" t="s">
        <v>175</v>
      </c>
    </row>
    <row r="6" spans="1:14" s="42" customFormat="1" ht="82.5" customHeight="1" x14ac:dyDescent="0.3">
      <c r="A6" s="244"/>
      <c r="B6" s="237"/>
      <c r="C6" s="246"/>
      <c r="D6" s="237"/>
      <c r="E6" s="237"/>
      <c r="F6" s="248"/>
      <c r="G6" s="68" t="s">
        <v>176</v>
      </c>
      <c r="H6" s="68" t="s">
        <v>177</v>
      </c>
      <c r="I6" s="68" t="s">
        <v>178</v>
      </c>
      <c r="J6" s="237"/>
      <c r="K6" s="68" t="s">
        <v>176</v>
      </c>
      <c r="L6" s="68" t="s">
        <v>177</v>
      </c>
      <c r="M6" s="68" t="s">
        <v>178</v>
      </c>
      <c r="N6" s="242"/>
    </row>
    <row r="7" spans="1:14" ht="28.8" x14ac:dyDescent="0.3">
      <c r="A7" s="69" t="s">
        <v>179</v>
      </c>
      <c r="B7" s="70" t="s">
        <v>180</v>
      </c>
      <c r="C7" s="71" t="s">
        <v>181</v>
      </c>
      <c r="D7" s="70" t="s">
        <v>182</v>
      </c>
      <c r="E7" s="70" t="s">
        <v>183</v>
      </c>
      <c r="F7" s="71" t="s">
        <v>41</v>
      </c>
      <c r="G7" s="72">
        <v>3</v>
      </c>
      <c r="H7" s="72">
        <v>3</v>
      </c>
      <c r="I7" s="72">
        <f>G7*H7</f>
        <v>9</v>
      </c>
      <c r="J7" s="70" t="s">
        <v>184</v>
      </c>
      <c r="K7" s="72">
        <v>2</v>
      </c>
      <c r="L7" s="72">
        <v>3</v>
      </c>
      <c r="M7" s="72">
        <f>K7*L7</f>
        <v>6</v>
      </c>
      <c r="N7" s="73"/>
    </row>
    <row r="8" spans="1:14" ht="28.8" x14ac:dyDescent="0.3">
      <c r="A8" s="69" t="s">
        <v>185</v>
      </c>
      <c r="B8" s="70" t="s">
        <v>186</v>
      </c>
      <c r="C8" s="71" t="s">
        <v>187</v>
      </c>
      <c r="D8" s="70" t="s">
        <v>188</v>
      </c>
      <c r="E8" s="70" t="s">
        <v>189</v>
      </c>
      <c r="F8" s="71" t="s">
        <v>42</v>
      </c>
      <c r="G8" s="72">
        <v>3</v>
      </c>
      <c r="H8" s="72">
        <v>2</v>
      </c>
      <c r="I8" s="72">
        <f>G8*H8</f>
        <v>6</v>
      </c>
      <c r="J8" s="70" t="s">
        <v>190</v>
      </c>
      <c r="K8" s="72">
        <v>2</v>
      </c>
      <c r="L8" s="72">
        <v>2</v>
      </c>
      <c r="M8" s="72">
        <f t="shared" ref="M8:M39" si="0">K8*L8</f>
        <v>4</v>
      </c>
      <c r="N8" s="73"/>
    </row>
    <row r="9" spans="1:14" ht="28.8" x14ac:dyDescent="0.3">
      <c r="A9" s="220" t="s">
        <v>191</v>
      </c>
      <c r="B9" s="222" t="s">
        <v>192</v>
      </c>
      <c r="C9" s="71" t="s">
        <v>193</v>
      </c>
      <c r="D9" s="70" t="s">
        <v>194</v>
      </c>
      <c r="E9" s="70" t="s">
        <v>195</v>
      </c>
      <c r="F9" s="71" t="s">
        <v>42</v>
      </c>
      <c r="G9" s="72">
        <v>3</v>
      </c>
      <c r="H9" s="72">
        <v>2</v>
      </c>
      <c r="I9" s="72">
        <f t="shared" ref="I9:I34" si="1">G9*H9</f>
        <v>6</v>
      </c>
      <c r="J9" s="70" t="s">
        <v>196</v>
      </c>
      <c r="K9" s="72">
        <v>1</v>
      </c>
      <c r="L9" s="72">
        <v>2</v>
      </c>
      <c r="M9" s="72">
        <f t="shared" si="0"/>
        <v>2</v>
      </c>
      <c r="N9" s="73"/>
    </row>
    <row r="10" spans="1:14" ht="43.2" x14ac:dyDescent="0.3">
      <c r="A10" s="229"/>
      <c r="B10" s="223"/>
      <c r="C10" s="71" t="s">
        <v>197</v>
      </c>
      <c r="D10" s="70" t="s">
        <v>198</v>
      </c>
      <c r="E10" s="70" t="s">
        <v>199</v>
      </c>
      <c r="F10" s="71" t="s">
        <v>42</v>
      </c>
      <c r="G10" s="72">
        <v>2</v>
      </c>
      <c r="H10" s="72">
        <v>3</v>
      </c>
      <c r="I10" s="72">
        <f t="shared" si="1"/>
        <v>6</v>
      </c>
      <c r="J10" s="70" t="s">
        <v>200</v>
      </c>
      <c r="K10" s="72">
        <v>1</v>
      </c>
      <c r="L10" s="72">
        <v>3</v>
      </c>
      <c r="M10" s="72">
        <f t="shared" si="0"/>
        <v>3</v>
      </c>
      <c r="N10" s="73"/>
    </row>
    <row r="11" spans="1:14" ht="28.8" x14ac:dyDescent="0.3">
      <c r="A11" s="220" t="s">
        <v>201</v>
      </c>
      <c r="B11" s="222" t="s">
        <v>202</v>
      </c>
      <c r="C11" s="71" t="s">
        <v>203</v>
      </c>
      <c r="D11" s="70" t="s">
        <v>204</v>
      </c>
      <c r="E11" s="70" t="s">
        <v>183</v>
      </c>
      <c r="F11" s="71" t="s">
        <v>42</v>
      </c>
      <c r="G11" s="72">
        <v>3</v>
      </c>
      <c r="H11" s="72">
        <v>3</v>
      </c>
      <c r="I11" s="72">
        <f t="shared" si="1"/>
        <v>9</v>
      </c>
      <c r="J11" s="70" t="s">
        <v>205</v>
      </c>
      <c r="K11" s="72">
        <v>1</v>
      </c>
      <c r="L11" s="72">
        <v>3</v>
      </c>
      <c r="M11" s="72">
        <f t="shared" si="0"/>
        <v>3</v>
      </c>
      <c r="N11" s="73"/>
    </row>
    <row r="12" spans="1:14" x14ac:dyDescent="0.3">
      <c r="A12" s="221"/>
      <c r="B12" s="232"/>
      <c r="C12" s="71" t="s">
        <v>206</v>
      </c>
      <c r="D12" s="70" t="s">
        <v>207</v>
      </c>
      <c r="E12" s="70" t="s">
        <v>183</v>
      </c>
      <c r="F12" s="71" t="s">
        <v>41</v>
      </c>
      <c r="G12" s="72">
        <v>3</v>
      </c>
      <c r="H12" s="72">
        <v>3</v>
      </c>
      <c r="I12" s="72">
        <f t="shared" si="1"/>
        <v>9</v>
      </c>
      <c r="J12" s="70" t="s">
        <v>208</v>
      </c>
      <c r="K12" s="72">
        <v>2</v>
      </c>
      <c r="L12" s="72">
        <v>3</v>
      </c>
      <c r="M12" s="72">
        <f t="shared" si="0"/>
        <v>6</v>
      </c>
      <c r="N12" s="73"/>
    </row>
    <row r="13" spans="1:14" ht="28.8" x14ac:dyDescent="0.3">
      <c r="A13" s="221"/>
      <c r="B13" s="232"/>
      <c r="C13" s="71" t="s">
        <v>209</v>
      </c>
      <c r="D13" s="70" t="s">
        <v>210</v>
      </c>
      <c r="E13" s="75" t="s">
        <v>211</v>
      </c>
      <c r="F13" s="71" t="s">
        <v>41</v>
      </c>
      <c r="G13" s="72">
        <v>3</v>
      </c>
      <c r="H13" s="72">
        <v>3</v>
      </c>
      <c r="I13" s="72">
        <f t="shared" si="1"/>
        <v>9</v>
      </c>
      <c r="J13" s="70" t="s">
        <v>212</v>
      </c>
      <c r="K13" s="72">
        <v>1</v>
      </c>
      <c r="L13" s="72">
        <v>3</v>
      </c>
      <c r="M13" s="72">
        <f t="shared" si="0"/>
        <v>3</v>
      </c>
      <c r="N13" s="73"/>
    </row>
    <row r="14" spans="1:14" x14ac:dyDescent="0.3">
      <c r="A14" s="221"/>
      <c r="B14" s="232"/>
      <c r="C14" s="71" t="s">
        <v>213</v>
      </c>
      <c r="D14" s="70" t="s">
        <v>214</v>
      </c>
      <c r="E14" s="75" t="s">
        <v>211</v>
      </c>
      <c r="F14" s="71" t="s">
        <v>41</v>
      </c>
      <c r="G14" s="72">
        <v>3</v>
      </c>
      <c r="H14" s="72">
        <v>2</v>
      </c>
      <c r="I14" s="72">
        <f t="shared" si="1"/>
        <v>6</v>
      </c>
      <c r="J14" s="70" t="s">
        <v>215</v>
      </c>
      <c r="K14" s="72">
        <v>1</v>
      </c>
      <c r="L14" s="72">
        <v>3</v>
      </c>
      <c r="M14" s="72">
        <f t="shared" si="0"/>
        <v>3</v>
      </c>
      <c r="N14" s="73"/>
    </row>
    <row r="15" spans="1:14" x14ac:dyDescent="0.3">
      <c r="A15" s="221"/>
      <c r="B15" s="232"/>
      <c r="C15" s="71" t="s">
        <v>216</v>
      </c>
      <c r="D15" s="70" t="s">
        <v>217</v>
      </c>
      <c r="E15" s="70" t="s">
        <v>189</v>
      </c>
      <c r="F15" s="71" t="s">
        <v>41</v>
      </c>
      <c r="G15" s="72">
        <v>2</v>
      </c>
      <c r="H15" s="72">
        <v>3</v>
      </c>
      <c r="I15" s="72">
        <f t="shared" si="1"/>
        <v>6</v>
      </c>
      <c r="J15" s="70" t="s">
        <v>218</v>
      </c>
      <c r="K15" s="72">
        <v>1</v>
      </c>
      <c r="L15" s="72">
        <v>3</v>
      </c>
      <c r="M15" s="72">
        <f t="shared" si="0"/>
        <v>3</v>
      </c>
      <c r="N15" s="73"/>
    </row>
    <row r="16" spans="1:14" x14ac:dyDescent="0.3">
      <c r="A16" s="229"/>
      <c r="B16" s="223"/>
      <c r="C16" s="71" t="s">
        <v>219</v>
      </c>
      <c r="D16" s="70" t="s">
        <v>220</v>
      </c>
      <c r="E16" s="70" t="s">
        <v>189</v>
      </c>
      <c r="F16" s="71" t="s">
        <v>42</v>
      </c>
      <c r="G16" s="72">
        <v>2</v>
      </c>
      <c r="H16" s="72">
        <v>1</v>
      </c>
      <c r="I16" s="72">
        <f t="shared" si="1"/>
        <v>2</v>
      </c>
      <c r="J16" s="70" t="s">
        <v>221</v>
      </c>
      <c r="K16" s="72">
        <v>1</v>
      </c>
      <c r="L16" s="72">
        <v>1</v>
      </c>
      <c r="M16" s="72">
        <f t="shared" si="0"/>
        <v>1</v>
      </c>
      <c r="N16" s="73"/>
    </row>
    <row r="17" spans="1:14" ht="43.2" x14ac:dyDescent="0.3">
      <c r="A17" s="220" t="s">
        <v>222</v>
      </c>
      <c r="B17" s="222" t="s">
        <v>223</v>
      </c>
      <c r="C17" s="71" t="s">
        <v>224</v>
      </c>
      <c r="D17" s="70" t="s">
        <v>225</v>
      </c>
      <c r="E17" s="70" t="s">
        <v>226</v>
      </c>
      <c r="F17" s="71" t="s">
        <v>42</v>
      </c>
      <c r="G17" s="72">
        <v>3</v>
      </c>
      <c r="H17" s="72">
        <v>2</v>
      </c>
      <c r="I17" s="72">
        <f t="shared" si="1"/>
        <v>6</v>
      </c>
      <c r="J17" s="70" t="s">
        <v>227</v>
      </c>
      <c r="K17" s="72">
        <v>2</v>
      </c>
      <c r="L17" s="72">
        <v>2</v>
      </c>
      <c r="M17" s="72">
        <f t="shared" si="0"/>
        <v>4</v>
      </c>
      <c r="N17" s="73"/>
    </row>
    <row r="18" spans="1:14" ht="28.8" x14ac:dyDescent="0.3">
      <c r="A18" s="221"/>
      <c r="B18" s="232"/>
      <c r="C18" s="71" t="s">
        <v>228</v>
      </c>
      <c r="D18" s="70" t="s">
        <v>229</v>
      </c>
      <c r="E18" s="70" t="s">
        <v>230</v>
      </c>
      <c r="F18" s="71" t="s">
        <v>42</v>
      </c>
      <c r="G18" s="72">
        <v>3</v>
      </c>
      <c r="H18" s="72">
        <v>2</v>
      </c>
      <c r="I18" s="72">
        <f t="shared" si="1"/>
        <v>6</v>
      </c>
      <c r="J18" s="70" t="s">
        <v>231</v>
      </c>
      <c r="K18" s="72">
        <v>2</v>
      </c>
      <c r="L18" s="72">
        <v>2</v>
      </c>
      <c r="M18" s="72">
        <f t="shared" si="0"/>
        <v>4</v>
      </c>
      <c r="N18" s="73"/>
    </row>
    <row r="19" spans="1:14" ht="28.8" x14ac:dyDescent="0.3">
      <c r="A19" s="221"/>
      <c r="B19" s="232"/>
      <c r="C19" s="71" t="s">
        <v>232</v>
      </c>
      <c r="D19" s="70" t="s">
        <v>233</v>
      </c>
      <c r="E19" s="70" t="s">
        <v>234</v>
      </c>
      <c r="F19" s="71" t="s">
        <v>42</v>
      </c>
      <c r="G19" s="72">
        <v>3</v>
      </c>
      <c r="H19" s="72">
        <v>1</v>
      </c>
      <c r="I19" s="72">
        <f t="shared" si="1"/>
        <v>3</v>
      </c>
      <c r="J19" s="70" t="s">
        <v>235</v>
      </c>
      <c r="K19" s="72">
        <v>1</v>
      </c>
      <c r="L19" s="72">
        <v>1</v>
      </c>
      <c r="M19" s="72">
        <f t="shared" si="0"/>
        <v>1</v>
      </c>
      <c r="N19" s="73"/>
    </row>
    <row r="20" spans="1:14" x14ac:dyDescent="0.3">
      <c r="A20" s="229"/>
      <c r="B20" s="223"/>
      <c r="C20" s="71" t="s">
        <v>236</v>
      </c>
      <c r="D20" s="70" t="s">
        <v>237</v>
      </c>
      <c r="E20" s="70" t="s">
        <v>189</v>
      </c>
      <c r="F20" s="71" t="s">
        <v>42</v>
      </c>
      <c r="G20" s="72">
        <v>2</v>
      </c>
      <c r="H20" s="72">
        <v>2</v>
      </c>
      <c r="I20" s="72">
        <f t="shared" si="1"/>
        <v>4</v>
      </c>
      <c r="J20" s="70" t="s">
        <v>238</v>
      </c>
      <c r="K20" s="72">
        <v>1</v>
      </c>
      <c r="L20" s="72">
        <v>2</v>
      </c>
      <c r="M20" s="72">
        <f t="shared" si="0"/>
        <v>2</v>
      </c>
      <c r="N20" s="73"/>
    </row>
    <row r="21" spans="1:14" ht="28.8" x14ac:dyDescent="0.3">
      <c r="A21" s="220" t="s">
        <v>239</v>
      </c>
      <c r="B21" s="222" t="s">
        <v>240</v>
      </c>
      <c r="C21" s="71" t="s">
        <v>241</v>
      </c>
      <c r="D21" s="70" t="s">
        <v>242</v>
      </c>
      <c r="E21" s="70" t="s">
        <v>243</v>
      </c>
      <c r="F21" s="71" t="s">
        <v>42</v>
      </c>
      <c r="G21" s="72">
        <v>3</v>
      </c>
      <c r="H21" s="72">
        <v>2</v>
      </c>
      <c r="I21" s="72">
        <f t="shared" si="1"/>
        <v>6</v>
      </c>
      <c r="J21" s="70" t="s">
        <v>244</v>
      </c>
      <c r="K21" s="72">
        <v>2</v>
      </c>
      <c r="L21" s="72">
        <v>2</v>
      </c>
      <c r="M21" s="72">
        <f t="shared" si="0"/>
        <v>4</v>
      </c>
      <c r="N21" s="73"/>
    </row>
    <row r="22" spans="1:14" x14ac:dyDescent="0.3">
      <c r="A22" s="229"/>
      <c r="B22" s="223"/>
      <c r="C22" s="71" t="s">
        <v>245</v>
      </c>
      <c r="D22" s="70" t="s">
        <v>246</v>
      </c>
      <c r="E22" s="70" t="s">
        <v>183</v>
      </c>
      <c r="F22" s="71" t="s">
        <v>41</v>
      </c>
      <c r="G22" s="72">
        <v>2</v>
      </c>
      <c r="H22" s="72">
        <v>2</v>
      </c>
      <c r="I22" s="72">
        <f t="shared" si="1"/>
        <v>4</v>
      </c>
      <c r="J22" s="70" t="s">
        <v>247</v>
      </c>
      <c r="K22" s="72">
        <v>1</v>
      </c>
      <c r="L22" s="72">
        <v>2</v>
      </c>
      <c r="M22" s="72">
        <f t="shared" si="0"/>
        <v>2</v>
      </c>
      <c r="N22" s="73"/>
    </row>
    <row r="23" spans="1:14" x14ac:dyDescent="0.3">
      <c r="A23" s="220" t="s">
        <v>248</v>
      </c>
      <c r="B23" s="230" t="s">
        <v>249</v>
      </c>
      <c r="C23" s="72" t="s">
        <v>250</v>
      </c>
      <c r="D23" s="76" t="s">
        <v>251</v>
      </c>
      <c r="E23" s="76" t="s">
        <v>252</v>
      </c>
      <c r="F23" s="72" t="s">
        <v>42</v>
      </c>
      <c r="G23" s="72">
        <v>2</v>
      </c>
      <c r="H23" s="72">
        <v>3</v>
      </c>
      <c r="I23" s="72">
        <f t="shared" si="1"/>
        <v>6</v>
      </c>
      <c r="J23" s="70" t="s">
        <v>253</v>
      </c>
      <c r="K23" s="72">
        <v>1</v>
      </c>
      <c r="L23" s="72">
        <v>3</v>
      </c>
      <c r="M23" s="72">
        <f t="shared" si="0"/>
        <v>3</v>
      </c>
      <c r="N23" s="73"/>
    </row>
    <row r="24" spans="1:14" x14ac:dyDescent="0.3">
      <c r="A24" s="229"/>
      <c r="B24" s="231"/>
      <c r="C24" s="71" t="s">
        <v>254</v>
      </c>
      <c r="D24" s="70" t="s">
        <v>255</v>
      </c>
      <c r="E24" s="70" t="s">
        <v>183</v>
      </c>
      <c r="F24" s="71" t="s">
        <v>42</v>
      </c>
      <c r="G24" s="72">
        <v>3</v>
      </c>
      <c r="H24" s="72">
        <v>2</v>
      </c>
      <c r="I24" s="72">
        <f t="shared" si="1"/>
        <v>6</v>
      </c>
      <c r="J24" s="70" t="s">
        <v>256</v>
      </c>
      <c r="K24" s="72">
        <v>1</v>
      </c>
      <c r="L24" s="72">
        <v>2</v>
      </c>
      <c r="M24" s="72">
        <f t="shared" si="0"/>
        <v>2</v>
      </c>
      <c r="N24" s="73"/>
    </row>
    <row r="25" spans="1:14" ht="28.95" customHeight="1" x14ac:dyDescent="0.3">
      <c r="A25" s="220" t="s">
        <v>257</v>
      </c>
      <c r="B25" s="222" t="s">
        <v>258</v>
      </c>
      <c r="C25" s="71" t="s">
        <v>259</v>
      </c>
      <c r="D25" s="70" t="s">
        <v>260</v>
      </c>
      <c r="E25" s="70" t="s">
        <v>183</v>
      </c>
      <c r="F25" s="71" t="s">
        <v>41</v>
      </c>
      <c r="G25" s="72">
        <v>2</v>
      </c>
      <c r="H25" s="72">
        <v>4</v>
      </c>
      <c r="I25" s="72">
        <f t="shared" si="1"/>
        <v>8</v>
      </c>
      <c r="J25" s="70" t="s">
        <v>261</v>
      </c>
      <c r="K25" s="72">
        <v>1</v>
      </c>
      <c r="L25" s="72">
        <v>4</v>
      </c>
      <c r="M25" s="72">
        <f t="shared" si="0"/>
        <v>4</v>
      </c>
      <c r="N25" s="73"/>
    </row>
    <row r="26" spans="1:14" x14ac:dyDescent="0.3">
      <c r="A26" s="229"/>
      <c r="B26" s="223"/>
      <c r="C26" s="71" t="s">
        <v>262</v>
      </c>
      <c r="D26" s="70" t="s">
        <v>263</v>
      </c>
      <c r="E26" s="70" t="s">
        <v>183</v>
      </c>
      <c r="F26" s="71" t="s">
        <v>41</v>
      </c>
      <c r="G26" s="72">
        <v>2</v>
      </c>
      <c r="H26" s="72">
        <v>4</v>
      </c>
      <c r="I26" s="72">
        <f t="shared" si="1"/>
        <v>8</v>
      </c>
      <c r="J26" s="70" t="s">
        <v>247</v>
      </c>
      <c r="K26" s="72">
        <v>1</v>
      </c>
      <c r="L26" s="72">
        <v>4</v>
      </c>
      <c r="M26" s="72">
        <f t="shared" si="0"/>
        <v>4</v>
      </c>
      <c r="N26" s="73"/>
    </row>
    <row r="27" spans="1:14" ht="28.8" x14ac:dyDescent="0.3">
      <c r="A27" s="69" t="s">
        <v>264</v>
      </c>
      <c r="B27" s="70" t="s">
        <v>265</v>
      </c>
      <c r="C27" s="71" t="s">
        <v>266</v>
      </c>
      <c r="D27" s="70" t="s">
        <v>267</v>
      </c>
      <c r="E27" s="70" t="s">
        <v>183</v>
      </c>
      <c r="F27" s="71" t="s">
        <v>41</v>
      </c>
      <c r="G27" s="72">
        <v>2</v>
      </c>
      <c r="H27" s="72">
        <v>3</v>
      </c>
      <c r="I27" s="72">
        <f t="shared" si="1"/>
        <v>6</v>
      </c>
      <c r="J27" s="70" t="s">
        <v>268</v>
      </c>
      <c r="K27" s="72">
        <v>1</v>
      </c>
      <c r="L27" s="72">
        <v>3</v>
      </c>
      <c r="M27" s="72">
        <f t="shared" si="0"/>
        <v>3</v>
      </c>
      <c r="N27" s="73"/>
    </row>
    <row r="28" spans="1:14" ht="43.2" x14ac:dyDescent="0.3">
      <c r="A28" s="69" t="s">
        <v>269</v>
      </c>
      <c r="B28" s="70" t="s">
        <v>270</v>
      </c>
      <c r="C28" s="71" t="s">
        <v>271</v>
      </c>
      <c r="D28" s="70" t="s">
        <v>272</v>
      </c>
      <c r="E28" s="70" t="s">
        <v>273</v>
      </c>
      <c r="F28" s="71" t="s">
        <v>41</v>
      </c>
      <c r="G28" s="72">
        <v>2</v>
      </c>
      <c r="H28" s="72">
        <v>5</v>
      </c>
      <c r="I28" s="72">
        <f t="shared" si="1"/>
        <v>10</v>
      </c>
      <c r="J28" s="70" t="s">
        <v>274</v>
      </c>
      <c r="K28" s="72">
        <v>1</v>
      </c>
      <c r="L28" s="72">
        <v>5</v>
      </c>
      <c r="M28" s="72">
        <f t="shared" si="0"/>
        <v>5</v>
      </c>
      <c r="N28" s="73"/>
    </row>
    <row r="29" spans="1:14" ht="43.2" x14ac:dyDescent="0.3">
      <c r="A29" s="220" t="s">
        <v>275</v>
      </c>
      <c r="B29" s="222" t="s">
        <v>276</v>
      </c>
      <c r="C29" s="71" t="s">
        <v>277</v>
      </c>
      <c r="D29" s="70" t="s">
        <v>278</v>
      </c>
      <c r="E29" s="70" t="s">
        <v>279</v>
      </c>
      <c r="F29" s="71" t="s">
        <v>42</v>
      </c>
      <c r="G29" s="72">
        <v>3</v>
      </c>
      <c r="H29" s="72">
        <v>1</v>
      </c>
      <c r="I29" s="72">
        <f t="shared" si="1"/>
        <v>3</v>
      </c>
      <c r="J29" s="70" t="s">
        <v>280</v>
      </c>
      <c r="K29" s="72">
        <v>2</v>
      </c>
      <c r="L29" s="72">
        <v>1</v>
      </c>
      <c r="M29" s="72">
        <f t="shared" si="0"/>
        <v>2</v>
      </c>
      <c r="N29" s="73"/>
    </row>
    <row r="30" spans="1:14" ht="28.8" x14ac:dyDescent="0.3">
      <c r="A30" s="229"/>
      <c r="B30" s="223"/>
      <c r="C30" s="71" t="s">
        <v>281</v>
      </c>
      <c r="D30" s="70" t="s">
        <v>282</v>
      </c>
      <c r="E30" s="70" t="s">
        <v>189</v>
      </c>
      <c r="F30" s="71" t="s">
        <v>42</v>
      </c>
      <c r="G30" s="72">
        <v>4</v>
      </c>
      <c r="H30" s="72">
        <v>1</v>
      </c>
      <c r="I30" s="72">
        <f t="shared" si="1"/>
        <v>4</v>
      </c>
      <c r="J30" s="70" t="s">
        <v>283</v>
      </c>
      <c r="K30" s="72">
        <v>1</v>
      </c>
      <c r="L30" s="72">
        <v>1</v>
      </c>
      <c r="M30" s="72">
        <f t="shared" si="0"/>
        <v>1</v>
      </c>
      <c r="N30" s="73"/>
    </row>
    <row r="31" spans="1:14" ht="28.8" x14ac:dyDescent="0.3">
      <c r="A31" s="69" t="s">
        <v>284</v>
      </c>
      <c r="B31" s="70" t="s">
        <v>285</v>
      </c>
      <c r="C31" s="71" t="s">
        <v>286</v>
      </c>
      <c r="D31" s="70" t="s">
        <v>287</v>
      </c>
      <c r="E31" s="70" t="s">
        <v>288</v>
      </c>
      <c r="F31" s="71" t="s">
        <v>41</v>
      </c>
      <c r="G31" s="72">
        <v>4</v>
      </c>
      <c r="H31" s="72">
        <v>5</v>
      </c>
      <c r="I31" s="72">
        <f t="shared" si="1"/>
        <v>20</v>
      </c>
      <c r="J31" s="70" t="s">
        <v>289</v>
      </c>
      <c r="K31" s="72">
        <v>2</v>
      </c>
      <c r="L31" s="72">
        <v>5</v>
      </c>
      <c r="M31" s="72">
        <f t="shared" si="0"/>
        <v>10</v>
      </c>
      <c r="N31" s="73"/>
    </row>
    <row r="32" spans="1:14" ht="43.2" x14ac:dyDescent="0.3">
      <c r="A32" s="69" t="s">
        <v>290</v>
      </c>
      <c r="B32" s="70" t="s">
        <v>291</v>
      </c>
      <c r="C32" s="71" t="s">
        <v>292</v>
      </c>
      <c r="D32" s="70" t="s">
        <v>204</v>
      </c>
      <c r="E32" s="70" t="s">
        <v>293</v>
      </c>
      <c r="F32" s="71" t="s">
        <v>42</v>
      </c>
      <c r="G32" s="72">
        <v>2</v>
      </c>
      <c r="H32" s="72">
        <v>3</v>
      </c>
      <c r="I32" s="72">
        <f t="shared" si="1"/>
        <v>6</v>
      </c>
      <c r="J32" s="70" t="s">
        <v>205</v>
      </c>
      <c r="K32" s="72">
        <v>1</v>
      </c>
      <c r="L32" s="72">
        <v>3</v>
      </c>
      <c r="M32" s="72">
        <f t="shared" si="0"/>
        <v>3</v>
      </c>
      <c r="N32" s="73"/>
    </row>
    <row r="33" spans="1:14" ht="43.2" x14ac:dyDescent="0.3">
      <c r="A33" s="220" t="s">
        <v>294</v>
      </c>
      <c r="B33" s="222" t="s">
        <v>295</v>
      </c>
      <c r="C33" s="71" t="s">
        <v>296</v>
      </c>
      <c r="D33" s="70" t="s">
        <v>297</v>
      </c>
      <c r="E33" s="70" t="s">
        <v>298</v>
      </c>
      <c r="F33" s="71" t="s">
        <v>41</v>
      </c>
      <c r="G33" s="72">
        <v>2</v>
      </c>
      <c r="H33" s="72">
        <v>5</v>
      </c>
      <c r="I33" s="72">
        <f t="shared" si="1"/>
        <v>10</v>
      </c>
      <c r="J33" s="70" t="s">
        <v>299</v>
      </c>
      <c r="K33" s="72">
        <v>1</v>
      </c>
      <c r="L33" s="72">
        <v>5</v>
      </c>
      <c r="M33" s="72">
        <f t="shared" si="0"/>
        <v>5</v>
      </c>
      <c r="N33" s="73"/>
    </row>
    <row r="34" spans="1:14" ht="28.8" x14ac:dyDescent="0.3">
      <c r="A34" s="221"/>
      <c r="B34" s="223"/>
      <c r="C34" s="77" t="s">
        <v>300</v>
      </c>
      <c r="D34" s="74" t="s">
        <v>301</v>
      </c>
      <c r="E34" s="74" t="s">
        <v>183</v>
      </c>
      <c r="F34" s="77" t="s">
        <v>41</v>
      </c>
      <c r="G34" s="78">
        <v>2</v>
      </c>
      <c r="H34" s="78">
        <v>4</v>
      </c>
      <c r="I34" s="78">
        <f t="shared" si="1"/>
        <v>8</v>
      </c>
      <c r="J34" s="74" t="s">
        <v>302</v>
      </c>
      <c r="K34" s="78">
        <v>1</v>
      </c>
      <c r="L34" s="78">
        <v>4</v>
      </c>
      <c r="M34" s="78">
        <f t="shared" si="0"/>
        <v>4</v>
      </c>
      <c r="N34" s="79"/>
    </row>
    <row r="35" spans="1:14" ht="21.45" customHeight="1" x14ac:dyDescent="0.3">
      <c r="A35" s="224" t="s">
        <v>303</v>
      </c>
      <c r="B35" s="226" t="s">
        <v>304</v>
      </c>
      <c r="C35" s="71" t="s">
        <v>305</v>
      </c>
      <c r="D35" s="80" t="s">
        <v>306</v>
      </c>
      <c r="E35" s="80" t="s">
        <v>307</v>
      </c>
      <c r="F35" s="71" t="s">
        <v>41</v>
      </c>
      <c r="G35" s="72">
        <v>1</v>
      </c>
      <c r="H35" s="72">
        <v>5</v>
      </c>
      <c r="I35" s="72">
        <f>G35*H35</f>
        <v>5</v>
      </c>
      <c r="J35" s="80" t="s">
        <v>308</v>
      </c>
      <c r="K35" s="72">
        <v>1</v>
      </c>
      <c r="L35" s="72">
        <v>3</v>
      </c>
      <c r="M35" s="72">
        <f t="shared" si="0"/>
        <v>3</v>
      </c>
      <c r="N35" s="73"/>
    </row>
    <row r="36" spans="1:14" ht="28.8" x14ac:dyDescent="0.3">
      <c r="A36" s="224"/>
      <c r="B36" s="227"/>
      <c r="C36" s="72" t="s">
        <v>309</v>
      </c>
      <c r="D36" s="81" t="s">
        <v>310</v>
      </c>
      <c r="E36" s="81" t="s">
        <v>311</v>
      </c>
      <c r="F36" s="72" t="s">
        <v>42</v>
      </c>
      <c r="G36" s="72">
        <v>3</v>
      </c>
      <c r="H36" s="72">
        <v>2</v>
      </c>
      <c r="I36" s="72">
        <f t="shared" ref="I36:I39" si="2">G36*H36</f>
        <v>6</v>
      </c>
      <c r="J36" s="80" t="s">
        <v>312</v>
      </c>
      <c r="K36" s="72">
        <v>2</v>
      </c>
      <c r="L36" s="72">
        <v>2</v>
      </c>
      <c r="M36" s="72">
        <f t="shared" si="0"/>
        <v>4</v>
      </c>
      <c r="N36" s="73"/>
    </row>
    <row r="37" spans="1:14" ht="43.2" x14ac:dyDescent="0.3">
      <c r="A37" s="224"/>
      <c r="B37" s="227"/>
      <c r="C37" s="72" t="s">
        <v>313</v>
      </c>
      <c r="D37" s="81" t="s">
        <v>314</v>
      </c>
      <c r="E37" s="81" t="s">
        <v>315</v>
      </c>
      <c r="F37" s="72" t="s">
        <v>42</v>
      </c>
      <c r="G37" s="72">
        <v>3</v>
      </c>
      <c r="H37" s="72">
        <v>5</v>
      </c>
      <c r="I37" s="72">
        <f t="shared" si="2"/>
        <v>15</v>
      </c>
      <c r="J37" s="80" t="s">
        <v>316</v>
      </c>
      <c r="K37" s="72">
        <v>1</v>
      </c>
      <c r="L37" s="72">
        <v>3</v>
      </c>
      <c r="M37" s="72">
        <f t="shared" si="0"/>
        <v>3</v>
      </c>
      <c r="N37" s="73"/>
    </row>
    <row r="38" spans="1:14" ht="28.8" x14ac:dyDescent="0.3">
      <c r="A38" s="224"/>
      <c r="B38" s="227"/>
      <c r="C38" s="72" t="s">
        <v>317</v>
      </c>
      <c r="D38" s="81" t="s">
        <v>318</v>
      </c>
      <c r="E38" s="81" t="s">
        <v>315</v>
      </c>
      <c r="F38" s="72" t="s">
        <v>42</v>
      </c>
      <c r="G38" s="72">
        <v>4</v>
      </c>
      <c r="H38" s="72">
        <v>4</v>
      </c>
      <c r="I38" s="72">
        <f t="shared" si="2"/>
        <v>16</v>
      </c>
      <c r="J38" s="80" t="s">
        <v>319</v>
      </c>
      <c r="K38" s="72">
        <v>2</v>
      </c>
      <c r="L38" s="72">
        <v>3</v>
      </c>
      <c r="M38" s="72">
        <f t="shared" si="0"/>
        <v>6</v>
      </c>
      <c r="N38" s="73"/>
    </row>
    <row r="39" spans="1:14" ht="29.4" thickBot="1" x14ac:dyDescent="0.35">
      <c r="A39" s="225"/>
      <c r="B39" s="228"/>
      <c r="C39" s="83" t="s">
        <v>320</v>
      </c>
      <c r="D39" s="84" t="s">
        <v>321</v>
      </c>
      <c r="E39" s="84" t="s">
        <v>315</v>
      </c>
      <c r="F39" s="83" t="s">
        <v>42</v>
      </c>
      <c r="G39" s="83">
        <v>2</v>
      </c>
      <c r="H39" s="83">
        <v>4</v>
      </c>
      <c r="I39" s="83">
        <f t="shared" si="2"/>
        <v>8</v>
      </c>
      <c r="J39" s="85" t="s">
        <v>322</v>
      </c>
      <c r="K39" s="83">
        <v>2</v>
      </c>
      <c r="L39" s="83">
        <v>3</v>
      </c>
      <c r="M39" s="83">
        <f t="shared" si="0"/>
        <v>6</v>
      </c>
      <c r="N39" s="86"/>
    </row>
  </sheetData>
  <autoFilter ref="A5:N6" xr:uid="{7158B660-FFE0-4E90-8345-18351F329FD0}">
    <filterColumn colId="6" showButton="0"/>
    <filterColumn colId="7" showButton="0"/>
    <filterColumn colId="10" showButton="0"/>
    <filterColumn colId="11" showButton="0"/>
  </autoFilter>
  <mergeCells count="34">
    <mergeCell ref="A1:B3"/>
    <mergeCell ref="C1:N1"/>
    <mergeCell ref="C2:M3"/>
    <mergeCell ref="D4:E4"/>
    <mergeCell ref="F4:I4"/>
    <mergeCell ref="J4:M4"/>
    <mergeCell ref="G5:I5"/>
    <mergeCell ref="J5:J6"/>
    <mergeCell ref="K5:M5"/>
    <mergeCell ref="N5:N6"/>
    <mergeCell ref="A9:A10"/>
    <mergeCell ref="B9:B10"/>
    <mergeCell ref="A5:A6"/>
    <mergeCell ref="B5:B6"/>
    <mergeCell ref="C5:C6"/>
    <mergeCell ref="D5:D6"/>
    <mergeCell ref="E5:E6"/>
    <mergeCell ref="F5:F6"/>
    <mergeCell ref="A11:A16"/>
    <mergeCell ref="B11:B16"/>
    <mergeCell ref="A17:A20"/>
    <mergeCell ref="B17:B20"/>
    <mergeCell ref="A21:A22"/>
    <mergeCell ref="B21:B22"/>
    <mergeCell ref="A33:A34"/>
    <mergeCell ref="B33:B34"/>
    <mergeCell ref="A35:A39"/>
    <mergeCell ref="B35:B39"/>
    <mergeCell ref="A23:A24"/>
    <mergeCell ref="B23:B24"/>
    <mergeCell ref="A25:A26"/>
    <mergeCell ref="B25:B26"/>
    <mergeCell ref="A29:A30"/>
    <mergeCell ref="B29:B30"/>
  </mergeCells>
  <conditionalFormatting sqref="G7:I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:M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3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One Pager</vt:lpstr>
      <vt:lpstr>Site Instruction</vt:lpstr>
      <vt:lpstr>Unsafe Act Summary</vt:lpstr>
      <vt:lpstr>NCR Summary</vt:lpstr>
      <vt:lpstr>Safety Hours</vt:lpstr>
      <vt:lpstr>NCR</vt:lpstr>
      <vt:lpstr>Observation - Unsafe Act</vt:lpstr>
      <vt:lpstr>HIRA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Saiyam Shah</dc:creator>
  <cp:lastModifiedBy>Saiyam Shah</cp:lastModifiedBy>
  <dcterms:created xsi:type="dcterms:W3CDTF">2024-12-15T08:45:13Z</dcterms:created>
  <dcterms:modified xsi:type="dcterms:W3CDTF">2026-01-18T12:29:49Z</dcterms:modified>
</cp:coreProperties>
</file>