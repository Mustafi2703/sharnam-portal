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hecklist Format (Blank)" sheetId="1" state="visible" r:id="rId3"/>
    <sheet name="Example — RCC Column" sheetId="2" state="visible" r:id="rId4"/>
    <sheet name="How to Write a Checklist" sheetId="3" state="visible" r:id="rId5"/>
  </sheets>
  <definedNames>
    <definedName function="false" hidden="false" localSheetId="0" name="_xlnm.Print_Titles" vbProcedure="false">'Checklist Format (Blank)'!$14:$14</definedName>
    <definedName function="false" hidden="false" localSheetId="1" name="_xlnm.Print_Titles" vbProcedure="false">'Example — RCC Column'!$14:$14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<sst xmlns="http://schemas.openxmlformats.org/spreadsheetml/2006/main" count="306" uniqueCount="204">
  <si>
    <t xml:space="preserve">SHARNAM PROJECT DEVELOPMENT
CONSULTANTS &amp; CO. (SPDC)</t>
  </si>
  <si>
    <t xml:space="preserve">ACTIVITY INSPECTION CHECKLIST</t>
  </si>
  <si>
    <t xml:space="preserve">Doc. No.</t>
  </si>
  <si>
    <t xml:space="preserve">SPDC/QA/F-02  Rev. 0</t>
  </si>
  <si>
    <t xml:space="preserve">PARTICULARS</t>
  </si>
  <si>
    <t xml:space="preserve">Project / Facility</t>
  </si>
  <si>
    <t xml:space="preserve">Checklist No.</t>
  </si>
  <si>
    <t xml:space="preserve">Employer / Client</t>
  </si>
  <si>
    <t xml:space="preserve">Date of Check</t>
  </si>
  <si>
    <t xml:space="preserve">Contractor / Agency</t>
  </si>
  <si>
    <t xml:space="preserve">Linked IR No.</t>
  </si>
  <si>
    <t xml:space="preserve">Activity Checked</t>
  </si>
  <si>
    <t xml:space="preserve">Discipline</t>
  </si>
  <si>
    <t xml:space="preserve">Location / Grid / Level</t>
  </si>
  <si>
    <t xml:space="preserve">Quantity / Unit</t>
  </si>
  <si>
    <t xml:space="preserve">Drawing No. &amp; Rev.</t>
  </si>
  <si>
    <t xml:space="preserve">Specification Clause</t>
  </si>
  <si>
    <t xml:space="preserve">Approved Method Stmt. No.</t>
  </si>
  <si>
    <t xml:space="preserve">ITP Ref. / Control Point</t>
  </si>
  <si>
    <t xml:space="preserve">Sr.</t>
  </si>
  <si>
    <t xml:space="preserve">Check Description
(what is being verified)</t>
  </si>
  <si>
    <t xml:space="preserve">Requirement / Acceptance Criteria
(with value &amp; tolerance)</t>
  </si>
  <si>
    <t xml:space="preserve">Method of Check</t>
  </si>
  <si>
    <t xml:space="preserve">Reference
Document</t>
  </si>
  <si>
    <t xml:space="preserve">Status</t>
  </si>
  <si>
    <t xml:space="preserve">Actual Observation
/ Reading</t>
  </si>
  <si>
    <t xml:space="preserve">Remarks</t>
  </si>
  <si>
    <t xml:space="preserve">A.  DOCUMENTS &amp; PRE-REQUISITES</t>
  </si>
  <si>
    <t xml:space="preserve">B.  MATERIALS</t>
  </si>
  <si>
    <t xml:space="preserve">C.  SETTING OUT, LINE &amp; LEVEL</t>
  </si>
  <si>
    <t xml:space="preserve">D.  WORKMANSHIP / METHOD OF EXECUTION</t>
  </si>
  <si>
    <t xml:space="preserve">E.  DIMENSIONS &amp; TOLERANCES  (record actual readings)</t>
  </si>
  <si>
    <t xml:space="preserve">F.  TESTING, SAMPLING &amp; RECORDS</t>
  </si>
  <si>
    <t xml:space="preserve">G.  SAFETY, ACCESS &amp; PROTECTION</t>
  </si>
  <si>
    <t xml:space="preserve">H.  HOUSEKEEPING &amp; CLOSE-OUT</t>
  </si>
  <si>
    <t xml:space="preserve">RESULT SUMMARY</t>
  </si>
  <si>
    <t xml:space="preserve">Total check points filled</t>
  </si>
  <si>
    <t xml:space="preserve">Points marked Not OK</t>
  </si>
  <si>
    <t xml:space="preserve">Points marked OK</t>
  </si>
  <si>
    <t xml:space="preserve">Points marked NA</t>
  </si>
  <si>
    <t xml:space="preserve">Activity fit for offering / approval</t>
  </si>
  <si>
    <t xml:space="preserve">Checked by Contractor
Name / Designation / Sign / Date</t>
  </si>
  <si>
    <t xml:space="preserve">Countersigned by PMC (SPDC)
Name / Sign / Date</t>
  </si>
  <si>
    <t xml:space="preserve">This checklist is a pre-requisite enclosure to the Request for Inspection (SPDC/QA/F-01). A checklist signed with any point left blank, or with a Not OK point uncleared, is not a valid offer of work.</t>
  </si>
  <si>
    <t xml:space="preserve">Illustrative — replace with project</t>
  </si>
  <si>
    <t xml:space="preserve">CL/CIV/104</t>
  </si>
  <si>
    <t xml:space="preserve">—</t>
  </si>
  <si>
    <t xml:space="preserve">14-Aug-26</t>
  </si>
  <si>
    <t xml:space="preserve">IR/CIV/024</t>
  </si>
  <si>
    <t xml:space="preserve">RCC column casting — C104 (lift 1)</t>
  </si>
  <si>
    <t xml:space="preserve">Civil / Structural</t>
  </si>
  <si>
    <t xml:space="preserve">Grid C4 / Lvl +0.00 to +4.15</t>
  </si>
  <si>
    <t xml:space="preserve">3.2 cum</t>
  </si>
  <si>
    <t xml:space="preserve">SPDC-STR-104  Rev. 2</t>
  </si>
  <si>
    <t xml:space="preserve">Sec. 5.3 — RCC works</t>
  </si>
  <si>
    <t xml:space="preserve">MS-STR-07  Rev. 1</t>
  </si>
  <si>
    <t xml:space="preserve">ITP-STR-05  /  H — Hold Point</t>
  </si>
  <si>
    <t xml:space="preserve">Latest revision of GFC drawing available at work front</t>
  </si>
  <si>
    <t xml:space="preserve">Rev. in use = rev. in DCI register; superseded prints removed</t>
  </si>
  <si>
    <t xml:space="preserve">Document check</t>
  </si>
  <si>
    <t xml:space="preserve">DCI Register</t>
  </si>
  <si>
    <t xml:space="preserve">OK</t>
  </si>
  <si>
    <t xml:space="preserve">Rev. 2 in use</t>
  </si>
  <si>
    <t xml:space="preserve">Method statement approved and available</t>
  </si>
  <si>
    <t xml:space="preserve">Approved Code 1 / 2 by PMC</t>
  </si>
  <si>
    <t xml:space="preserve">MS-STR-07</t>
  </si>
  <si>
    <t xml:space="preserve">Code 1</t>
  </si>
  <si>
    <t xml:space="preserve">Preceding activity (footing / starter) inspection cleared</t>
  </si>
  <si>
    <t xml:space="preserve">Previous IR closed</t>
  </si>
  <si>
    <t xml:space="preserve">Record check</t>
  </si>
  <si>
    <t xml:space="preserve">IR/CIV/018</t>
  </si>
  <si>
    <t xml:space="preserve">Closed 12-Aug</t>
  </si>
  <si>
    <t xml:space="preserve">BBS approved and available at site</t>
  </si>
  <si>
    <t xml:space="preserve">Signed BBS matching drawing rev.</t>
  </si>
  <si>
    <t xml:space="preserve">BBS-C-104</t>
  </si>
  <si>
    <t xml:space="preserve">Cement — brand, grade, source approved; within shelf life</t>
  </si>
  <si>
    <t xml:space="preserve">As approved MAR; &lt; 90 days from manufacture</t>
  </si>
  <si>
    <t xml:space="preserve">MTC + visual</t>
  </si>
  <si>
    <t xml:space="preserve">MAR-004</t>
  </si>
  <si>
    <t xml:space="preserve">OPC 53, 22-Jun</t>
  </si>
  <si>
    <t xml:space="preserve">Reinforcement — grade, source, MTC available</t>
  </si>
  <si>
    <t xml:space="preserve">Fe 500D, approved source, MTC lot-wise</t>
  </si>
  <si>
    <t xml:space="preserve">MTC verification</t>
  </si>
  <si>
    <t xml:space="preserve">MAR-011</t>
  </si>
  <si>
    <t xml:space="preserve">Lot 7741</t>
  </si>
  <si>
    <t xml:space="preserve">Cover blocks — grade &amp; thickness</t>
  </si>
  <si>
    <t xml:space="preserve">Cement blocks, ≥ concrete grade, 40 mm</t>
  </si>
  <si>
    <t xml:space="preserve">Measurement</t>
  </si>
  <si>
    <t xml:space="preserve">IS 456 Cl.26.4</t>
  </si>
  <si>
    <t xml:space="preserve">40 mm</t>
  </si>
  <si>
    <t xml:space="preserve">Concrete — grade &amp; mix design approved</t>
  </si>
  <si>
    <t xml:space="preserve">M30, approved mix design, RMC plant approved</t>
  </si>
  <si>
    <t xml:space="preserve">MD-M30-02</t>
  </si>
  <si>
    <t xml:space="preserve">RMC-A</t>
  </si>
  <si>
    <t xml:space="preserve">Column centre line marked from established grid</t>
  </si>
  <si>
    <t xml:space="preserve">Offset marks from two independent grid lines</t>
  </si>
  <si>
    <t xml:space="preserve">Total station</t>
  </si>
  <si>
    <t xml:space="preserve">Layout dwg</t>
  </si>
  <si>
    <t xml:space="preserve">Starter bar / kicker position and plumb</t>
  </si>
  <si>
    <t xml:space="preserve">Within ± 5 mm of theoretical centre</t>
  </si>
  <si>
    <t xml:space="preserve">IS 456</t>
  </si>
  <si>
    <t xml:space="preserve">+3 mm</t>
  </si>
  <si>
    <t xml:space="preserve">Top of concrete level marked on shutter</t>
  </si>
  <si>
    <t xml:space="preserve">As per drawing level, marked on all four faces</t>
  </si>
  <si>
    <t xml:space="preserve">Auto level</t>
  </si>
  <si>
    <t xml:space="preserve">STR-104 R2</t>
  </si>
  <si>
    <t xml:space="preserve">+4.150 m</t>
  </si>
  <si>
    <t xml:space="preserve">Verticality of column shutter</t>
  </si>
  <si>
    <t xml:space="preserve">Within ± 6 mm over full height (whichever is less of H/500)</t>
  </si>
  <si>
    <t xml:space="preserve">Plumb bob</t>
  </si>
  <si>
    <t xml:space="preserve">IS 456 Cl.11</t>
  </si>
  <si>
    <t xml:space="preserve">4 mm</t>
  </si>
  <si>
    <t xml:space="preserve">Main bar dia, number and position as per BBS</t>
  </si>
  <si>
    <t xml:space="preserve">8 nos 20 mm dia as per drawing</t>
  </si>
  <si>
    <t xml:space="preserve">Count + gauge</t>
  </si>
  <si>
    <t xml:space="preserve">8-20Ø</t>
  </si>
  <si>
    <t xml:space="preserve">Lateral tie dia and spacing</t>
  </si>
  <si>
    <t xml:space="preserve">8 mm @ 150 c/c, reduced spacing in confining zone</t>
  </si>
  <si>
    <t xml:space="preserve">150 c/c</t>
  </si>
  <si>
    <t xml:space="preserve">Lap length, stagger and location</t>
  </si>
  <si>
    <t xml:space="preserve">As per drawing; not more than 50% laps at one section</t>
  </si>
  <si>
    <t xml:space="preserve">IS 456 Cl.26.2.5</t>
  </si>
  <si>
    <t xml:space="preserve">1000 mm</t>
  </si>
  <si>
    <t xml:space="preserve">Shutter joints sealed, surface clean, shutter oil applied</t>
  </si>
  <si>
    <t xml:space="preserve">No grout leakage path; uniform release agent</t>
  </si>
  <si>
    <t xml:space="preserve">Visual</t>
  </si>
  <si>
    <t xml:space="preserve">Props, bracing and staging adequate and on firm base</t>
  </si>
  <si>
    <t xml:space="preserve">As per approved staging design; sole plates provided</t>
  </si>
  <si>
    <t xml:space="preserve">Visual + design check</t>
  </si>
  <si>
    <t xml:space="preserve">Column size (cross-section)</t>
  </si>
  <si>
    <t xml:space="preserve">300 x 600 mm,  tolerance + 12 / − 6 mm</t>
  </si>
  <si>
    <t xml:space="preserve">Measuring tape</t>
  </si>
  <si>
    <t xml:space="preserve">302 x 601</t>
  </si>
  <si>
    <t xml:space="preserve">Both ends checked</t>
  </si>
  <si>
    <t xml:space="preserve">Clear cover to ties</t>
  </si>
  <si>
    <t xml:space="preserve">40 mm, tolerance + 10 / − 0 mm</t>
  </si>
  <si>
    <t xml:space="preserve">Cover meter / gauge</t>
  </si>
  <si>
    <t xml:space="preserve">42 mm</t>
  </si>
  <si>
    <t xml:space="preserve">Height of pour / lift</t>
  </si>
  <si>
    <t xml:space="preserve">Up to soffit level +4.150 m</t>
  </si>
  <si>
    <t xml:space="preserve">+4.148 m</t>
  </si>
  <si>
    <t xml:space="preserve">Position of inserts, sleeves and dowels</t>
  </si>
  <si>
    <t xml:space="preserve">As per coordination drawing, ± 10 mm</t>
  </si>
  <si>
    <t xml:space="preserve">COORD-11</t>
  </si>
  <si>
    <t xml:space="preserve">NA</t>
  </si>
  <si>
    <t xml:space="preserve">None in this column</t>
  </si>
  <si>
    <t xml:space="preserve">Slump test arrangement ready</t>
  </si>
  <si>
    <t xml:space="preserve">Cone, tamping rod, base plate at pour point</t>
  </si>
  <si>
    <t xml:space="preserve">IS 1199</t>
  </si>
  <si>
    <t xml:space="preserve">Cube moulds available and identified</t>
  </si>
  <si>
    <t xml:space="preserve">Required nos as per IS 456 sampling; oiled and numbered</t>
  </si>
  <si>
    <t xml:space="preserve">Count</t>
  </si>
  <si>
    <t xml:space="preserve">IS 456 Cl.15</t>
  </si>
  <si>
    <t xml:space="preserve">6 nos</t>
  </si>
  <si>
    <t xml:space="preserve">Pour card prepared with quantity and sequence</t>
  </si>
  <si>
    <t xml:space="preserve">Signed pour card enclosed</t>
  </si>
  <si>
    <t xml:space="preserve">PC-C-104</t>
  </si>
  <si>
    <t xml:space="preserve">Vibrators — working plus standby</t>
  </si>
  <si>
    <t xml:space="preserve">Min. 1 working + 1 standby at pour point</t>
  </si>
  <si>
    <t xml:space="preserve">2 nos</t>
  </si>
  <si>
    <t xml:space="preserve">Access platform and ladder at pour level</t>
  </si>
  <si>
    <t xml:space="preserve">Rigid platform with handrail and toe board</t>
  </si>
  <si>
    <t xml:space="preserve">HSE plan</t>
  </si>
  <si>
    <t xml:space="preserve">Scaffold / staging tag valid</t>
  </si>
  <si>
    <t xml:space="preserve">Green tag, current date, signed by competent person</t>
  </si>
  <si>
    <t xml:space="preserve">Tag check</t>
  </si>
  <si>
    <t xml:space="preserve">PPE compliance of working crew</t>
  </si>
  <si>
    <t xml:space="preserve">Helmet, full-body harness, shoes, gloves</t>
  </si>
  <si>
    <t xml:space="preserve">Area cleared of loose material, binding wire and debris</t>
  </si>
  <si>
    <t xml:space="preserve">Pour area clean before closing shutter</t>
  </si>
  <si>
    <t xml:space="preserve">Curing arrangement and protection of adjacent work</t>
  </si>
  <si>
    <t xml:space="preserve">Water source, hessian / curing compound arranged</t>
  </si>
  <si>
    <t xml:space="preserve">DRAFTING RULES — ACTIVITY CHECKLISTS</t>
  </si>
  <si>
    <t xml:space="preserve">One activity, one checklist</t>
  </si>
  <si>
    <t xml:space="preserve">A checklist covers a single activity at a single stage. Do not merge reinforcement and concreting into one sheet — they are two separate hold points with two separate IRs.</t>
  </si>
  <si>
    <t xml:space="preserve">Eight standard sections</t>
  </si>
  <si>
    <t xml:space="preserve">Every checklist, in every discipline, uses the same eight section headings (A to H). Only the check points inside them change. This is what makes the format reusable and makes the register comparable across packages.</t>
  </si>
  <si>
    <t xml:space="preserve">Write measurable criteria</t>
  </si>
  <si>
    <t xml:space="preserve">Column C states what is checked; Column D states the number it must meet. "Cover adequate" is not a check point. "Clear cover 40 mm, tolerance +10 / −0" is. If a criterion cannot be given a value, a tolerance or a pass/fail rule, it does not belong on the checklist.</t>
  </si>
  <si>
    <t xml:space="preserve">Cite the source</t>
  </si>
  <si>
    <t xml:space="preserve">Every acceptance criterion traces to a drawing, a specification clause, an approved method statement or a code (IS 456, IS 800, NBC, project spec). Column F carries that reference. An unreferenced criterion cannot be defended in a dispute.</t>
  </si>
  <si>
    <t xml:space="preserve">Record the actual, not just the tick</t>
  </si>
  <si>
    <t xml:space="preserve">Column H is the one that has evidentiary value. Ticking OK proves someone looked; writing 42 mm proves what they found. Insist on readings for everything in Section E.</t>
  </si>
  <si>
    <t xml:space="preserve">Not OK must be cleared, not erased</t>
  </si>
  <si>
    <t xml:space="preserve">A Not OK point is rectified and re-verified with the observation updated — the original entry is never rubbed out. If any point remains Not OK, the summary block blocks the offer.</t>
  </si>
  <si>
    <t xml:space="preserve">Length discipline</t>
  </si>
  <si>
    <t xml:space="preserve">20 to 35 check points is the working range for a site activity. Below 15, the checklist is decoration. Above 40, it stops being filled honestly.</t>
  </si>
  <si>
    <t xml:space="preserve">NA is a decision, not a blank</t>
  </si>
  <si>
    <t xml:space="preserve">Mark NA with a one-line reason in Remarks. A blank cell means the check was not done and invalidates the offer.</t>
  </si>
  <si>
    <t xml:space="preserve">Version control</t>
  </si>
  <si>
    <t xml:space="preserve">Each activity checklist is a controlled document: CL/&lt;discipline&gt;/&lt;serial&gt;, with a revision number. When a drawing revision changes a criterion, the checklist is revised — not annotated by hand.</t>
  </si>
  <si>
    <t xml:space="preserve">Enclosure to the IR</t>
  </si>
  <si>
    <t xml:space="preserve">The signed checklist is enclosed with the Request for Inspection (SPDC/QA/F-01). The IR is the offer; the checklist is the proof the contractor did their own quality control first.</t>
  </si>
  <si>
    <t xml:space="preserve">SUGGESTED CHECKLIST SET BY DISCIPLINE</t>
  </si>
  <si>
    <t xml:space="preserve">Excavation &amp; founding strata · PCC · Raft/footing reinforcement · Column reinforcement · Shuttering (column/beam/slab) · Slab reinforcement · Pre-concreting · Post de-shuttering · Backfilling &amp; compaction</t>
  </si>
  <si>
    <t xml:space="preserve">PEB / Steel</t>
  </si>
  <si>
    <t xml:space="preserve">Anchor bolt setting · Member receipt &amp; MTC · Erection alignment · Bolting &amp; torque · Welding · Sheeting &amp; flashing · Painting DFT · Final erection tolerance</t>
  </si>
  <si>
    <t xml:space="preserve">Architectural</t>
  </si>
  <si>
    <t xml:space="preserve">Blockwork · Plaster · Waterproofing (pre &amp; post ponding) · Flooring bedding &amp; laying · Door/window frame fixing · Painting surface preparation · False ceiling framing</t>
  </si>
  <si>
    <t xml:space="preserve">MEP</t>
  </si>
  <si>
    <t xml:space="preserve">Underground piping &amp; pressure test · Conduiting before slab pour · Cable laying &amp; megger · Panel installation · Ducting &amp; leak test · Firefighting piping &amp; hydro test · Sanitary fixture installation</t>
  </si>
  <si>
    <t xml:space="preserve">External</t>
  </si>
  <si>
    <t xml:space="preserve">Road subgrade &amp; GSB · Kerb &amp; drain · Compound wall · Paver block laying · Landscaping</t>
  </si>
  <si>
    <t xml:space="preserve">Tolerances quoted in the example sheet are typical values from IS 456 and general good practice. Project specification and approved drawings override them in every case — confirm before issuing a checklist for use.</t>
  </si>
</sst>
</file>

<file path=xl/styles.xml><?xml version="1.0" encoding="utf-8"?>
<styleSheet xmlns="http://schemas.openxmlformats.org/spreadsheetml/2006/main">
  <numFmts count="2">
    <numFmt numFmtId="164" formatCode="General"/>
    <numFmt numFmtId="165" formatCode="General"/>
  </numFmts>
  <fonts count="17">
    <font>
      <sz val="11"/>
      <color theme="1"/>
      <name val="Calibri"/>
      <family val="2"/>
      <charset val="1"/>
    </font>
    <font>
      <sz val="10"/>
      <name val="Arial"/>
      <family val="0"/>
    </font>
    <font>
      <sz val="10"/>
      <name val="Arial"/>
      <family val="0"/>
    </font>
    <font>
      <sz val="10"/>
      <name val="Arial"/>
      <family val="0"/>
    </font>
    <font>
      <b val="true"/>
      <sz val="9.5"/>
      <color rgb="FF000000"/>
      <name val="Arial"/>
      <family val="0"/>
      <charset val="1"/>
    </font>
    <font>
      <b val="true"/>
      <sz val="13"/>
      <color rgb="FF000000"/>
      <name val="Arial"/>
      <family val="0"/>
      <charset val="1"/>
    </font>
    <font>
      <b val="true"/>
      <sz val="8"/>
      <color rgb="FF000000"/>
      <name val="Arial"/>
      <family val="0"/>
      <charset val="1"/>
    </font>
    <font>
      <sz val="8"/>
      <color rgb="FF000000"/>
      <name val="Arial"/>
      <family val="0"/>
      <charset val="1"/>
    </font>
    <font>
      <b val="true"/>
      <sz val="9"/>
      <color rgb="FFFFFFFF"/>
      <name val="Arial"/>
      <family val="0"/>
      <charset val="1"/>
    </font>
    <font>
      <b val="true"/>
      <sz val="8.5"/>
      <color rgb="FF000000"/>
      <name val="Arial"/>
      <family val="0"/>
      <charset val="1"/>
    </font>
    <font>
      <sz val="8.5"/>
      <color rgb="FF000000"/>
      <name val="Arial"/>
      <family val="0"/>
      <charset val="1"/>
    </font>
    <font>
      <b val="true"/>
      <sz val="9"/>
      <color rgb="FF000000"/>
      <name val="Arial"/>
      <family val="0"/>
      <charset val="1"/>
    </font>
    <font>
      <i val="true"/>
      <sz val="7.5"/>
      <color rgb="FF000000"/>
      <name val="Arial"/>
      <family val="0"/>
      <charset val="1"/>
    </font>
    <font>
      <i val="true"/>
      <sz val="8.5"/>
      <color rgb="FF595959"/>
      <name val="Arial"/>
      <family val="0"/>
      <charset val="1"/>
    </font>
    <font>
      <b val="true"/>
      <sz val="12"/>
      <color rgb="FFFFFFFF"/>
      <name val="Arial"/>
      <family val="0"/>
      <charset val="1"/>
    </font>
    <font>
      <b val="true"/>
      <sz val="10"/>
      <color rgb="FFFFFFFF"/>
      <name val="Arial"/>
      <family val="0"/>
      <charset val="1"/>
    </font>
    <font>
      <i val="true"/>
      <sz val="8"/>
      <color rgb="FF000000"/>
      <name val="Arial"/>
      <family val="0"/>
      <charset val="1"/>
    </font>
  </fonts>
  <fills count="7">
    <fill>
      <patternFill patternType="none"/>
    </fill>
    <fill>
      <patternFill patternType="gray125"/>
    </fill>
    <fill>
      <patternFill patternType="solid">
        <fgColor rgb="FFF2F2F2"/>
        <bgColor rgb="FFE2EFDA"/>
      </patternFill>
    </fill>
    <fill>
      <patternFill patternType="solid">
        <fgColor rgb="FFD9D9D9"/>
        <bgColor rgb="FFE2EFDA"/>
      </patternFill>
    </fill>
    <fill>
      <patternFill patternType="solid">
        <fgColor rgb="FF1F3864"/>
        <bgColor rgb="FF333333"/>
      </patternFill>
    </fill>
    <fill>
      <patternFill patternType="solid">
        <fgColor rgb="FFFFF2CC"/>
        <bgColor rgb="FFF2F2F2"/>
      </patternFill>
    </fill>
    <fill>
      <patternFill patternType="solid">
        <fgColor rgb="FFE2EFDA"/>
        <bgColor rgb="FFF2F2F2"/>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left" vertical="center" textRotation="0" wrapText="true" indent="0" shrinkToFit="false"/>
      <protection locked="true" hidden="false"/>
    </xf>
    <xf numFmtId="164" fontId="9" fillId="3" borderId="1" xfId="0" applyFont="true" applyBorder="true" applyAlignment="true" applyProtection="false">
      <alignment horizontal="left" vertical="center" textRotation="0" wrapText="true" indent="0" shrinkToFit="false"/>
      <protection locked="true" hidden="false"/>
    </xf>
    <xf numFmtId="164" fontId="10" fillId="5" borderId="1" xfId="0" applyFont="true" applyBorder="true" applyAlignment="true" applyProtection="false">
      <alignment horizontal="left"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11" fillId="2" borderId="1" xfId="0" applyFont="true" applyBorder="true" applyAlignment="true" applyProtection="false">
      <alignment horizontal="left" vertical="center" textRotation="0" wrapText="tru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5" fontId="10" fillId="6" borderId="1" xfId="0" applyFont="true" applyBorder="true" applyAlignment="true" applyProtection="false">
      <alignment horizontal="center" vertical="center" textRotation="0" wrapText="true" indent="0" shrinkToFit="false"/>
      <protection locked="true" hidden="false"/>
    </xf>
    <xf numFmtId="164" fontId="11" fillId="6"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4" fontId="13" fillId="5" borderId="1" xfId="0" applyFont="true" applyBorder="true" applyAlignment="true" applyProtection="false">
      <alignment horizontal="left" vertical="center" textRotation="0" wrapText="true" indent="0" shrinkToFit="false"/>
      <protection locked="true" hidden="false"/>
    </xf>
    <xf numFmtId="164" fontId="13" fillId="5" borderId="1" xfId="0" applyFont="true" applyBorder="true" applyAlignment="true" applyProtection="false">
      <alignment horizontal="center" vertical="center" textRotation="0" wrapText="true" indent="0" shrinkToFit="false"/>
      <protection locked="true" hidden="false"/>
    </xf>
    <xf numFmtId="164" fontId="14" fillId="4" borderId="1" xfId="0" applyFont="true" applyBorder="true" applyAlignment="true" applyProtection="false">
      <alignment horizontal="center" vertical="center" textRotation="0" wrapText="true" indent="0" shrinkToFit="false"/>
      <protection locked="true" hidden="false"/>
    </xf>
    <xf numFmtId="164" fontId="11" fillId="3" borderId="1" xfId="0" applyFont="true" applyBorder="true" applyAlignment="true" applyProtection="false">
      <alignment horizontal="left" vertical="center" textRotation="0" wrapText="tru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4" fontId="15" fillId="4" borderId="1" xfId="0" applyFont="true" applyBorder="true" applyAlignment="true" applyProtection="false">
      <alignment horizontal="left" vertical="center" textRotation="0" wrapText="true" indent="0" shrinkToFit="false"/>
      <protection locked="true" hidden="false"/>
    </xf>
    <xf numFmtId="164" fontId="16" fillId="0"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6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14" topLeftCell="B15" activePane="bottomRight" state="frozen"/>
      <selection pane="topLeft" activeCell="A1" activeCellId="0" sqref="A1"/>
      <selection pane="topRight" activeCell="B1" activeCellId="0" sqref="B1"/>
      <selection pane="bottomLeft" activeCell="A15" activeCellId="0" sqref="A1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5"/>
    <col collapsed="false" customWidth="true" hidden="false" outlineLevel="0" max="3" min="3" style="0" width="34"/>
    <col collapsed="false" customWidth="true" hidden="false" outlineLevel="0" max="4" min="4" style="0" width="30"/>
    <col collapsed="false" customWidth="true" hidden="false" outlineLevel="0" max="5" min="5" style="0" width="14"/>
    <col collapsed="false" customWidth="true" hidden="false" outlineLevel="0" max="6" min="6" style="0" width="13"/>
    <col collapsed="false" customWidth="true" hidden="false" outlineLevel="0" max="7" min="7" style="0" width="9"/>
    <col collapsed="false" customWidth="true" hidden="false" outlineLevel="0" max="8" min="8" style="0" width="16"/>
    <col collapsed="false" customWidth="true" hidden="false" outlineLevel="0" max="9" min="9" style="0" width="20"/>
  </cols>
  <sheetData>
    <row r="1" customFormat="false" ht="6" hidden="false" customHeight="true" outlineLevel="0" collapsed="false"/>
    <row r="2" customFormat="false" ht="27.75" hidden="false" customHeight="true" outlineLevel="0" collapsed="false">
      <c r="B2" s="1" t="s">
        <v>0</v>
      </c>
      <c r="C2" s="1"/>
      <c r="D2" s="1"/>
      <c r="E2" s="2" t="s">
        <v>1</v>
      </c>
      <c r="F2" s="2"/>
      <c r="G2" s="2"/>
      <c r="H2" s="3" t="s">
        <v>2</v>
      </c>
      <c r="I2" s="3"/>
    </row>
    <row r="3" customFormat="false" ht="27.75" hidden="false" customHeight="true" outlineLevel="0" collapsed="false">
      <c r="B3" s="1"/>
      <c r="C3" s="1"/>
      <c r="D3" s="1"/>
      <c r="E3" s="2"/>
      <c r="F3" s="2"/>
      <c r="G3" s="2"/>
      <c r="H3" s="4" t="s">
        <v>3</v>
      </c>
      <c r="I3" s="4"/>
    </row>
    <row r="5" customFormat="false" ht="15" hidden="false" customHeight="true" outlineLevel="0" collapsed="false">
      <c r="B5" s="5" t="s">
        <v>4</v>
      </c>
      <c r="C5" s="5"/>
      <c r="D5" s="5"/>
      <c r="E5" s="5"/>
      <c r="F5" s="5"/>
      <c r="G5" s="5"/>
      <c r="H5" s="5"/>
      <c r="I5" s="5"/>
    </row>
    <row r="6" customFormat="false" ht="15" hidden="false" customHeight="true" outlineLevel="0" collapsed="false">
      <c r="B6" s="6" t="s">
        <v>5</v>
      </c>
      <c r="C6" s="6"/>
      <c r="D6" s="7"/>
      <c r="E6" s="7"/>
      <c r="F6" s="6" t="s">
        <v>6</v>
      </c>
      <c r="G6" s="6"/>
      <c r="H6" s="7"/>
      <c r="I6" s="7"/>
    </row>
    <row r="7" customFormat="false" ht="15" hidden="false" customHeight="true" outlineLevel="0" collapsed="false">
      <c r="B7" s="6" t="s">
        <v>7</v>
      </c>
      <c r="C7" s="6"/>
      <c r="D7" s="7"/>
      <c r="E7" s="7"/>
      <c r="F7" s="6" t="s">
        <v>8</v>
      </c>
      <c r="G7" s="6"/>
      <c r="H7" s="7"/>
      <c r="I7" s="7"/>
    </row>
    <row r="8" customFormat="false" ht="15" hidden="false" customHeight="true" outlineLevel="0" collapsed="false">
      <c r="B8" s="6" t="s">
        <v>9</v>
      </c>
      <c r="C8" s="6"/>
      <c r="D8" s="7"/>
      <c r="E8" s="7"/>
      <c r="F8" s="6" t="s">
        <v>10</v>
      </c>
      <c r="G8" s="6"/>
      <c r="H8" s="7"/>
      <c r="I8" s="7"/>
    </row>
    <row r="9" customFormat="false" ht="15" hidden="false" customHeight="true" outlineLevel="0" collapsed="false">
      <c r="B9" s="6" t="s">
        <v>11</v>
      </c>
      <c r="C9" s="6"/>
      <c r="D9" s="7"/>
      <c r="E9" s="7"/>
      <c r="F9" s="6" t="s">
        <v>12</v>
      </c>
      <c r="G9" s="6"/>
      <c r="H9" s="7"/>
      <c r="I9" s="7"/>
    </row>
    <row r="10" customFormat="false" ht="15" hidden="false" customHeight="true" outlineLevel="0" collapsed="false">
      <c r="B10" s="6" t="s">
        <v>13</v>
      </c>
      <c r="C10" s="6"/>
      <c r="D10" s="7"/>
      <c r="E10" s="7"/>
      <c r="F10" s="6" t="s">
        <v>14</v>
      </c>
      <c r="G10" s="6"/>
      <c r="H10" s="7"/>
      <c r="I10" s="7"/>
    </row>
    <row r="11" customFormat="false" ht="15" hidden="false" customHeight="true" outlineLevel="0" collapsed="false">
      <c r="B11" s="6" t="s">
        <v>15</v>
      </c>
      <c r="C11" s="6"/>
      <c r="D11" s="7"/>
      <c r="E11" s="7"/>
      <c r="F11" s="6" t="s">
        <v>16</v>
      </c>
      <c r="G11" s="6"/>
      <c r="H11" s="7"/>
      <c r="I11" s="7"/>
    </row>
    <row r="12" customFormat="false" ht="15" hidden="false" customHeight="true" outlineLevel="0" collapsed="false">
      <c r="B12" s="6" t="s">
        <v>17</v>
      </c>
      <c r="C12" s="6"/>
      <c r="D12" s="7"/>
      <c r="E12" s="7"/>
      <c r="F12" s="6" t="s">
        <v>18</v>
      </c>
      <c r="G12" s="6"/>
      <c r="H12" s="7"/>
      <c r="I12" s="7"/>
    </row>
    <row r="14" customFormat="false" ht="30" hidden="false" customHeight="true" outlineLevel="0" collapsed="false">
      <c r="B14" s="8" t="s">
        <v>19</v>
      </c>
      <c r="C14" s="8" t="s">
        <v>20</v>
      </c>
      <c r="D14" s="8" t="s">
        <v>21</v>
      </c>
      <c r="E14" s="8" t="s">
        <v>22</v>
      </c>
      <c r="F14" s="8" t="s">
        <v>23</v>
      </c>
      <c r="G14" s="8" t="s">
        <v>24</v>
      </c>
      <c r="H14" s="8" t="s">
        <v>25</v>
      </c>
      <c r="I14" s="8" t="s">
        <v>26</v>
      </c>
    </row>
    <row r="15" customFormat="false" ht="15.75" hidden="false" customHeight="true" outlineLevel="0" collapsed="false">
      <c r="B15" s="9" t="s">
        <v>27</v>
      </c>
      <c r="C15" s="9"/>
      <c r="D15" s="9"/>
      <c r="E15" s="9"/>
      <c r="F15" s="9"/>
      <c r="G15" s="9"/>
      <c r="H15" s="9"/>
      <c r="I15" s="9"/>
    </row>
    <row r="16" customFormat="false" ht="25.5" hidden="false" customHeight="true" outlineLevel="0" collapsed="false">
      <c r="B16" s="10" t="n">
        <v>1</v>
      </c>
      <c r="C16" s="7"/>
      <c r="D16" s="7"/>
      <c r="E16" s="7"/>
      <c r="F16" s="11"/>
      <c r="G16" s="11"/>
      <c r="H16" s="7"/>
      <c r="I16" s="7"/>
    </row>
    <row r="17" customFormat="false" ht="25.5" hidden="false" customHeight="true" outlineLevel="0" collapsed="false">
      <c r="B17" s="10" t="n">
        <v>2</v>
      </c>
      <c r="C17" s="7"/>
      <c r="D17" s="7"/>
      <c r="E17" s="7"/>
      <c r="F17" s="11"/>
      <c r="G17" s="11"/>
      <c r="H17" s="7"/>
      <c r="I17" s="7"/>
    </row>
    <row r="18" customFormat="false" ht="25.5" hidden="false" customHeight="true" outlineLevel="0" collapsed="false">
      <c r="B18" s="10" t="n">
        <v>3</v>
      </c>
      <c r="C18" s="7"/>
      <c r="D18" s="7"/>
      <c r="E18" s="7"/>
      <c r="F18" s="11"/>
      <c r="G18" s="11"/>
      <c r="H18" s="7"/>
      <c r="I18" s="7"/>
    </row>
    <row r="19" customFormat="false" ht="25.5" hidden="false" customHeight="true" outlineLevel="0" collapsed="false">
      <c r="B19" s="10" t="n">
        <v>4</v>
      </c>
      <c r="C19" s="7"/>
      <c r="D19" s="7"/>
      <c r="E19" s="7"/>
      <c r="F19" s="11"/>
      <c r="G19" s="11"/>
      <c r="H19" s="7"/>
      <c r="I19" s="7"/>
    </row>
    <row r="20" customFormat="false" ht="15.75" hidden="false" customHeight="true" outlineLevel="0" collapsed="false">
      <c r="B20" s="9" t="s">
        <v>28</v>
      </c>
      <c r="C20" s="9"/>
      <c r="D20" s="9"/>
      <c r="E20" s="9"/>
      <c r="F20" s="9"/>
      <c r="G20" s="9"/>
      <c r="H20" s="9"/>
      <c r="I20" s="9"/>
    </row>
    <row r="21" customFormat="false" ht="25.5" hidden="false" customHeight="true" outlineLevel="0" collapsed="false">
      <c r="B21" s="10" t="n">
        <v>1</v>
      </c>
      <c r="C21" s="7"/>
      <c r="D21" s="7"/>
      <c r="E21" s="7"/>
      <c r="F21" s="11"/>
      <c r="G21" s="11"/>
      <c r="H21" s="7"/>
      <c r="I21" s="7"/>
    </row>
    <row r="22" customFormat="false" ht="25.5" hidden="false" customHeight="true" outlineLevel="0" collapsed="false">
      <c r="B22" s="10" t="n">
        <v>2</v>
      </c>
      <c r="C22" s="7"/>
      <c r="D22" s="7"/>
      <c r="E22" s="7"/>
      <c r="F22" s="11"/>
      <c r="G22" s="11"/>
      <c r="H22" s="7"/>
      <c r="I22" s="7"/>
    </row>
    <row r="23" customFormat="false" ht="25.5" hidden="false" customHeight="true" outlineLevel="0" collapsed="false">
      <c r="B23" s="10" t="n">
        <v>3</v>
      </c>
      <c r="C23" s="7"/>
      <c r="D23" s="7"/>
      <c r="E23" s="7"/>
      <c r="F23" s="11"/>
      <c r="G23" s="11"/>
      <c r="H23" s="7"/>
      <c r="I23" s="7"/>
    </row>
    <row r="24" customFormat="false" ht="25.5" hidden="false" customHeight="true" outlineLevel="0" collapsed="false">
      <c r="B24" s="10" t="n">
        <v>4</v>
      </c>
      <c r="C24" s="7"/>
      <c r="D24" s="7"/>
      <c r="E24" s="7"/>
      <c r="F24" s="11"/>
      <c r="G24" s="11"/>
      <c r="H24" s="7"/>
      <c r="I24" s="7"/>
    </row>
    <row r="25" customFormat="false" ht="15.75" hidden="false" customHeight="true" outlineLevel="0" collapsed="false">
      <c r="B25" s="9" t="s">
        <v>29</v>
      </c>
      <c r="C25" s="9"/>
      <c r="D25" s="9"/>
      <c r="E25" s="9"/>
      <c r="F25" s="9"/>
      <c r="G25" s="9"/>
      <c r="H25" s="9"/>
      <c r="I25" s="9"/>
    </row>
    <row r="26" customFormat="false" ht="25.5" hidden="false" customHeight="true" outlineLevel="0" collapsed="false">
      <c r="B26" s="10" t="n">
        <v>1</v>
      </c>
      <c r="C26" s="7"/>
      <c r="D26" s="7"/>
      <c r="E26" s="7"/>
      <c r="F26" s="11"/>
      <c r="G26" s="11"/>
      <c r="H26" s="7"/>
      <c r="I26" s="7"/>
    </row>
    <row r="27" customFormat="false" ht="25.5" hidden="false" customHeight="true" outlineLevel="0" collapsed="false">
      <c r="B27" s="10" t="n">
        <v>2</v>
      </c>
      <c r="C27" s="7"/>
      <c r="D27" s="7"/>
      <c r="E27" s="7"/>
      <c r="F27" s="11"/>
      <c r="G27" s="11"/>
      <c r="H27" s="7"/>
      <c r="I27" s="7"/>
    </row>
    <row r="28" customFormat="false" ht="25.5" hidden="false" customHeight="true" outlineLevel="0" collapsed="false">
      <c r="B28" s="10" t="n">
        <v>3</v>
      </c>
      <c r="C28" s="7"/>
      <c r="D28" s="7"/>
      <c r="E28" s="7"/>
      <c r="F28" s="11"/>
      <c r="G28" s="11"/>
      <c r="H28" s="7"/>
      <c r="I28" s="7"/>
    </row>
    <row r="29" customFormat="false" ht="25.5" hidden="false" customHeight="true" outlineLevel="0" collapsed="false">
      <c r="B29" s="10" t="n">
        <v>4</v>
      </c>
      <c r="C29" s="7"/>
      <c r="D29" s="7"/>
      <c r="E29" s="7"/>
      <c r="F29" s="11"/>
      <c r="G29" s="11"/>
      <c r="H29" s="7"/>
      <c r="I29" s="7"/>
    </row>
    <row r="30" customFormat="false" ht="15.75" hidden="false" customHeight="true" outlineLevel="0" collapsed="false">
      <c r="B30" s="9" t="s">
        <v>30</v>
      </c>
      <c r="C30" s="9"/>
      <c r="D30" s="9"/>
      <c r="E30" s="9"/>
      <c r="F30" s="9"/>
      <c r="G30" s="9"/>
      <c r="H30" s="9"/>
      <c r="I30" s="9"/>
    </row>
    <row r="31" customFormat="false" ht="25.5" hidden="false" customHeight="true" outlineLevel="0" collapsed="false">
      <c r="B31" s="10" t="n">
        <v>1</v>
      </c>
      <c r="C31" s="7"/>
      <c r="D31" s="7"/>
      <c r="E31" s="7"/>
      <c r="F31" s="11"/>
      <c r="G31" s="11"/>
      <c r="H31" s="7"/>
      <c r="I31" s="7"/>
    </row>
    <row r="32" customFormat="false" ht="25.5" hidden="false" customHeight="true" outlineLevel="0" collapsed="false">
      <c r="B32" s="10" t="n">
        <v>2</v>
      </c>
      <c r="C32" s="7"/>
      <c r="D32" s="7"/>
      <c r="E32" s="7"/>
      <c r="F32" s="11"/>
      <c r="G32" s="11"/>
      <c r="H32" s="7"/>
      <c r="I32" s="7"/>
    </row>
    <row r="33" customFormat="false" ht="25.5" hidden="false" customHeight="true" outlineLevel="0" collapsed="false">
      <c r="B33" s="10" t="n">
        <v>3</v>
      </c>
      <c r="C33" s="7"/>
      <c r="D33" s="7"/>
      <c r="E33" s="7"/>
      <c r="F33" s="11"/>
      <c r="G33" s="11"/>
      <c r="H33" s="7"/>
      <c r="I33" s="7"/>
    </row>
    <row r="34" customFormat="false" ht="25.5" hidden="false" customHeight="true" outlineLevel="0" collapsed="false">
      <c r="B34" s="10" t="n">
        <v>4</v>
      </c>
      <c r="C34" s="7"/>
      <c r="D34" s="7"/>
      <c r="E34" s="7"/>
      <c r="F34" s="11"/>
      <c r="G34" s="11"/>
      <c r="H34" s="7"/>
      <c r="I34" s="7"/>
    </row>
    <row r="35" customFormat="false" ht="25.5" hidden="false" customHeight="true" outlineLevel="0" collapsed="false">
      <c r="B35" s="10" t="n">
        <v>5</v>
      </c>
      <c r="C35" s="7"/>
      <c r="D35" s="7"/>
      <c r="E35" s="7"/>
      <c r="F35" s="11"/>
      <c r="G35" s="11"/>
      <c r="H35" s="7"/>
      <c r="I35" s="7"/>
    </row>
    <row r="36" customFormat="false" ht="25.5" hidden="false" customHeight="true" outlineLevel="0" collapsed="false">
      <c r="B36" s="10" t="n">
        <v>6</v>
      </c>
      <c r="C36" s="7"/>
      <c r="D36" s="7"/>
      <c r="E36" s="7"/>
      <c r="F36" s="11"/>
      <c r="G36" s="11"/>
      <c r="H36" s="7"/>
      <c r="I36" s="7"/>
    </row>
    <row r="37" customFormat="false" ht="15.75" hidden="false" customHeight="true" outlineLevel="0" collapsed="false">
      <c r="B37" s="9" t="s">
        <v>31</v>
      </c>
      <c r="C37" s="9"/>
      <c r="D37" s="9"/>
      <c r="E37" s="9"/>
      <c r="F37" s="9"/>
      <c r="G37" s="9"/>
      <c r="H37" s="9"/>
      <c r="I37" s="9"/>
    </row>
    <row r="38" customFormat="false" ht="25.5" hidden="false" customHeight="true" outlineLevel="0" collapsed="false">
      <c r="B38" s="10" t="n">
        <v>1</v>
      </c>
      <c r="C38" s="7"/>
      <c r="D38" s="7"/>
      <c r="E38" s="7"/>
      <c r="F38" s="11"/>
      <c r="G38" s="11"/>
      <c r="H38" s="7"/>
      <c r="I38" s="7"/>
    </row>
    <row r="39" customFormat="false" ht="25.5" hidden="false" customHeight="true" outlineLevel="0" collapsed="false">
      <c r="B39" s="10" t="n">
        <v>2</v>
      </c>
      <c r="C39" s="7"/>
      <c r="D39" s="7"/>
      <c r="E39" s="7"/>
      <c r="F39" s="11"/>
      <c r="G39" s="11"/>
      <c r="H39" s="7"/>
      <c r="I39" s="7"/>
    </row>
    <row r="40" customFormat="false" ht="25.5" hidden="false" customHeight="true" outlineLevel="0" collapsed="false">
      <c r="B40" s="10" t="n">
        <v>3</v>
      </c>
      <c r="C40" s="7"/>
      <c r="D40" s="7"/>
      <c r="E40" s="7"/>
      <c r="F40" s="11"/>
      <c r="G40" s="11"/>
      <c r="H40" s="7"/>
      <c r="I40" s="7"/>
    </row>
    <row r="41" customFormat="false" ht="25.5" hidden="false" customHeight="true" outlineLevel="0" collapsed="false">
      <c r="B41" s="10" t="n">
        <v>4</v>
      </c>
      <c r="C41" s="7"/>
      <c r="D41" s="7"/>
      <c r="E41" s="7"/>
      <c r="F41" s="11"/>
      <c r="G41" s="11"/>
      <c r="H41" s="7"/>
      <c r="I41" s="7"/>
    </row>
    <row r="42" customFormat="false" ht="25.5" hidden="false" customHeight="true" outlineLevel="0" collapsed="false">
      <c r="B42" s="10" t="n">
        <v>5</v>
      </c>
      <c r="C42" s="7"/>
      <c r="D42" s="7"/>
      <c r="E42" s="7"/>
      <c r="F42" s="11"/>
      <c r="G42" s="11"/>
      <c r="H42" s="7"/>
      <c r="I42" s="7"/>
    </row>
    <row r="43" customFormat="false" ht="15.75" hidden="false" customHeight="true" outlineLevel="0" collapsed="false">
      <c r="B43" s="9" t="s">
        <v>32</v>
      </c>
      <c r="C43" s="9"/>
      <c r="D43" s="9"/>
      <c r="E43" s="9"/>
      <c r="F43" s="9"/>
      <c r="G43" s="9"/>
      <c r="H43" s="9"/>
      <c r="I43" s="9"/>
    </row>
    <row r="44" customFormat="false" ht="25.5" hidden="false" customHeight="true" outlineLevel="0" collapsed="false">
      <c r="B44" s="10" t="n">
        <v>1</v>
      </c>
      <c r="C44" s="7"/>
      <c r="D44" s="7"/>
      <c r="E44" s="7"/>
      <c r="F44" s="11"/>
      <c r="G44" s="11"/>
      <c r="H44" s="7"/>
      <c r="I44" s="7"/>
    </row>
    <row r="45" customFormat="false" ht="25.5" hidden="false" customHeight="true" outlineLevel="0" collapsed="false">
      <c r="B45" s="10" t="n">
        <v>2</v>
      </c>
      <c r="C45" s="7"/>
      <c r="D45" s="7"/>
      <c r="E45" s="7"/>
      <c r="F45" s="11"/>
      <c r="G45" s="11"/>
      <c r="H45" s="7"/>
      <c r="I45" s="7"/>
    </row>
    <row r="46" customFormat="false" ht="25.5" hidden="false" customHeight="true" outlineLevel="0" collapsed="false">
      <c r="B46" s="10" t="n">
        <v>3</v>
      </c>
      <c r="C46" s="7"/>
      <c r="D46" s="7"/>
      <c r="E46" s="7"/>
      <c r="F46" s="11"/>
      <c r="G46" s="11"/>
      <c r="H46" s="7"/>
      <c r="I46" s="7"/>
    </row>
    <row r="47" customFormat="false" ht="25.5" hidden="false" customHeight="true" outlineLevel="0" collapsed="false">
      <c r="B47" s="10" t="n">
        <v>4</v>
      </c>
      <c r="C47" s="7"/>
      <c r="D47" s="7"/>
      <c r="E47" s="7"/>
      <c r="F47" s="11"/>
      <c r="G47" s="11"/>
      <c r="H47" s="7"/>
      <c r="I47" s="7"/>
    </row>
    <row r="48" customFormat="false" ht="15.75" hidden="false" customHeight="true" outlineLevel="0" collapsed="false">
      <c r="B48" s="9" t="s">
        <v>33</v>
      </c>
      <c r="C48" s="9"/>
      <c r="D48" s="9"/>
      <c r="E48" s="9"/>
      <c r="F48" s="9"/>
      <c r="G48" s="9"/>
      <c r="H48" s="9"/>
      <c r="I48" s="9"/>
    </row>
    <row r="49" customFormat="false" ht="25.5" hidden="false" customHeight="true" outlineLevel="0" collapsed="false">
      <c r="B49" s="10" t="n">
        <v>1</v>
      </c>
      <c r="C49" s="7"/>
      <c r="D49" s="7"/>
      <c r="E49" s="7"/>
      <c r="F49" s="11"/>
      <c r="G49" s="11"/>
      <c r="H49" s="7"/>
      <c r="I49" s="7"/>
    </row>
    <row r="50" customFormat="false" ht="25.5" hidden="false" customHeight="true" outlineLevel="0" collapsed="false">
      <c r="B50" s="10" t="n">
        <v>2</v>
      </c>
      <c r="C50" s="7"/>
      <c r="D50" s="7"/>
      <c r="E50" s="7"/>
      <c r="F50" s="11"/>
      <c r="G50" s="11"/>
      <c r="H50" s="7"/>
      <c r="I50" s="7"/>
    </row>
    <row r="51" customFormat="false" ht="25.5" hidden="false" customHeight="true" outlineLevel="0" collapsed="false">
      <c r="B51" s="10" t="n">
        <v>3</v>
      </c>
      <c r="C51" s="7"/>
      <c r="D51" s="7"/>
      <c r="E51" s="7"/>
      <c r="F51" s="11"/>
      <c r="G51" s="11"/>
      <c r="H51" s="7"/>
      <c r="I51" s="7"/>
    </row>
    <row r="52" customFormat="false" ht="25.5" hidden="false" customHeight="true" outlineLevel="0" collapsed="false">
      <c r="B52" s="10" t="n">
        <v>4</v>
      </c>
      <c r="C52" s="7"/>
      <c r="D52" s="7"/>
      <c r="E52" s="7"/>
      <c r="F52" s="11"/>
      <c r="G52" s="11"/>
      <c r="H52" s="7"/>
      <c r="I52" s="7"/>
    </row>
    <row r="53" customFormat="false" ht="15.75" hidden="false" customHeight="true" outlineLevel="0" collapsed="false">
      <c r="B53" s="9" t="s">
        <v>34</v>
      </c>
      <c r="C53" s="9"/>
      <c r="D53" s="9"/>
      <c r="E53" s="9"/>
      <c r="F53" s="9"/>
      <c r="G53" s="9"/>
      <c r="H53" s="9"/>
      <c r="I53" s="9"/>
    </row>
    <row r="54" customFormat="false" ht="25.5" hidden="false" customHeight="true" outlineLevel="0" collapsed="false">
      <c r="B54" s="10" t="n">
        <v>1</v>
      </c>
      <c r="C54" s="7"/>
      <c r="D54" s="7"/>
      <c r="E54" s="7"/>
      <c r="F54" s="11"/>
      <c r="G54" s="11"/>
      <c r="H54" s="7"/>
      <c r="I54" s="7"/>
    </row>
    <row r="55" customFormat="false" ht="25.5" hidden="false" customHeight="true" outlineLevel="0" collapsed="false">
      <c r="B55" s="10" t="n">
        <v>2</v>
      </c>
      <c r="C55" s="7"/>
      <c r="D55" s="7"/>
      <c r="E55" s="7"/>
      <c r="F55" s="11"/>
      <c r="G55" s="11"/>
      <c r="H55" s="7"/>
      <c r="I55" s="7"/>
    </row>
    <row r="56" customFormat="false" ht="25.5" hidden="false" customHeight="true" outlineLevel="0" collapsed="false">
      <c r="B56" s="10" t="n">
        <v>3</v>
      </c>
      <c r="C56" s="7"/>
      <c r="D56" s="7"/>
      <c r="E56" s="7"/>
      <c r="F56" s="11"/>
      <c r="G56" s="11"/>
      <c r="H56" s="7"/>
      <c r="I56" s="7"/>
    </row>
    <row r="58" customFormat="false" ht="15.75" hidden="false" customHeight="true" outlineLevel="0" collapsed="false">
      <c r="B58" s="5" t="s">
        <v>35</v>
      </c>
      <c r="C58" s="5"/>
      <c r="D58" s="5"/>
      <c r="E58" s="5"/>
      <c r="F58" s="5"/>
      <c r="G58" s="5"/>
      <c r="H58" s="5"/>
      <c r="I58" s="5"/>
    </row>
    <row r="59" customFormat="false" ht="15" hidden="false" customHeight="true" outlineLevel="0" collapsed="false">
      <c r="B59" s="6" t="s">
        <v>36</v>
      </c>
      <c r="C59" s="6"/>
      <c r="D59" s="12" t="n">
        <f aca="false">COUNTIF($G$15:$G$56,"&lt;&gt;")</f>
        <v>0</v>
      </c>
      <c r="E59" s="6" t="s">
        <v>37</v>
      </c>
      <c r="F59" s="6"/>
      <c r="G59" s="12" t="n">
        <f aca="false">COUNTIF($G$15:$G$56,"Not OK")</f>
        <v>0</v>
      </c>
      <c r="H59" s="12"/>
      <c r="I59" s="12"/>
    </row>
    <row r="60" customFormat="false" ht="15" hidden="false" customHeight="true" outlineLevel="0" collapsed="false">
      <c r="B60" s="6" t="s">
        <v>38</v>
      </c>
      <c r="C60" s="6"/>
      <c r="D60" s="12" t="n">
        <f aca="false">COUNTIF($G$15:$G$56,"OK")</f>
        <v>0</v>
      </c>
      <c r="E60" s="6" t="s">
        <v>39</v>
      </c>
      <c r="F60" s="6"/>
      <c r="G60" s="12" t="n">
        <f aca="false">COUNTIF($G$15:$G$56,"NA")</f>
        <v>0</v>
      </c>
      <c r="H60" s="12"/>
      <c r="I60" s="12"/>
    </row>
    <row r="61" customFormat="false" ht="16.5" hidden="false" customHeight="true" outlineLevel="0" collapsed="false">
      <c r="B61" s="6" t="s">
        <v>40</v>
      </c>
      <c r="C61" s="6"/>
      <c r="D61" s="13" t="str">
        <f aca="false">IF(COUNTIF($G$15:$G$56,"&lt;&gt;")=0,"— fill the checklist —",IF(COUNTIF($G$15:$G$56,"Not OK")=0,"YES — all check points cleared","NO — rectify the Not OK points before offering"))</f>
        <v>— fill the checklist —</v>
      </c>
      <c r="E61" s="13"/>
      <c r="F61" s="13"/>
      <c r="G61" s="13"/>
      <c r="H61" s="13"/>
      <c r="I61" s="13"/>
    </row>
    <row r="63" customFormat="false" ht="33.75" hidden="false" customHeight="true" outlineLevel="0" collapsed="false">
      <c r="B63" s="8" t="s">
        <v>41</v>
      </c>
      <c r="C63" s="8"/>
      <c r="D63" s="7"/>
      <c r="E63" s="7"/>
      <c r="F63" s="8" t="s">
        <v>42</v>
      </c>
      <c r="G63" s="8"/>
      <c r="H63" s="7"/>
      <c r="I63" s="7"/>
    </row>
    <row r="64" customFormat="false" ht="25.5" hidden="false" customHeight="true" outlineLevel="0" collapsed="false">
      <c r="B64" s="14" t="s">
        <v>43</v>
      </c>
      <c r="C64" s="14"/>
      <c r="D64" s="14"/>
      <c r="E64" s="14"/>
      <c r="F64" s="14"/>
      <c r="G64" s="14"/>
      <c r="H64" s="14"/>
      <c r="I64" s="14"/>
    </row>
  </sheetData>
  <mergeCells count="55">
    <mergeCell ref="B2:D3"/>
    <mergeCell ref="E2:G3"/>
    <mergeCell ref="H2:I2"/>
    <mergeCell ref="H3:I3"/>
    <mergeCell ref="B5:I5"/>
    <mergeCell ref="B6:C6"/>
    <mergeCell ref="D6:E6"/>
    <mergeCell ref="F6:G6"/>
    <mergeCell ref="H6:I6"/>
    <mergeCell ref="B7:C7"/>
    <mergeCell ref="D7:E7"/>
    <mergeCell ref="F7:G7"/>
    <mergeCell ref="H7:I7"/>
    <mergeCell ref="B8:C8"/>
    <mergeCell ref="D8:E8"/>
    <mergeCell ref="F8:G8"/>
    <mergeCell ref="H8:I8"/>
    <mergeCell ref="B9:C9"/>
    <mergeCell ref="D9:E9"/>
    <mergeCell ref="F9:G9"/>
    <mergeCell ref="H9:I9"/>
    <mergeCell ref="B10:C10"/>
    <mergeCell ref="D10:E10"/>
    <mergeCell ref="F10:G10"/>
    <mergeCell ref="H10:I10"/>
    <mergeCell ref="B11:C11"/>
    <mergeCell ref="D11:E11"/>
    <mergeCell ref="F11:G11"/>
    <mergeCell ref="H11:I11"/>
    <mergeCell ref="B12:C12"/>
    <mergeCell ref="D12:E12"/>
    <mergeCell ref="F12:G12"/>
    <mergeCell ref="H12:I12"/>
    <mergeCell ref="B15:I15"/>
    <mergeCell ref="B20:I20"/>
    <mergeCell ref="B25:I25"/>
    <mergeCell ref="B30:I30"/>
    <mergeCell ref="B37:I37"/>
    <mergeCell ref="B43:I43"/>
    <mergeCell ref="B48:I48"/>
    <mergeCell ref="B53:I53"/>
    <mergeCell ref="B58:I58"/>
    <mergeCell ref="B59:C59"/>
    <mergeCell ref="E59:F59"/>
    <mergeCell ref="G59:I59"/>
    <mergeCell ref="B60:C60"/>
    <mergeCell ref="E60:F60"/>
    <mergeCell ref="G60:I60"/>
    <mergeCell ref="B61:C61"/>
    <mergeCell ref="D61:I61"/>
    <mergeCell ref="B63:C63"/>
    <mergeCell ref="D63:E63"/>
    <mergeCell ref="F63:G63"/>
    <mergeCell ref="H63:I63"/>
    <mergeCell ref="B64:I64"/>
  </mergeCells>
  <dataValidations count="1">
    <dataValidation allowBlank="true" errorStyle="stop" operator="between" showDropDown="false" showErrorMessage="false" showInputMessage="false" sqref="G15:G56" type="list">
      <formula1>"OK,Not OK,NA"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4" topLeftCell="B15" activePane="bottomRight" state="frozen"/>
      <selection pane="topLeft" activeCell="A1" activeCellId="0" sqref="A1"/>
      <selection pane="topRight" activeCell="B1" activeCellId="0" sqref="B1"/>
      <selection pane="bottomLeft" activeCell="A15" activeCellId="0" sqref="A1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5"/>
    <col collapsed="false" customWidth="true" hidden="false" outlineLevel="0" max="3" min="3" style="0" width="34"/>
    <col collapsed="false" customWidth="true" hidden="false" outlineLevel="0" max="4" min="4" style="0" width="30"/>
    <col collapsed="false" customWidth="true" hidden="false" outlineLevel="0" max="5" min="5" style="0" width="14"/>
    <col collapsed="false" customWidth="true" hidden="false" outlineLevel="0" max="6" min="6" style="0" width="13"/>
    <col collapsed="false" customWidth="true" hidden="false" outlineLevel="0" max="7" min="7" style="0" width="9"/>
    <col collapsed="false" customWidth="true" hidden="false" outlineLevel="0" max="8" min="8" style="0" width="16"/>
    <col collapsed="false" customWidth="true" hidden="false" outlineLevel="0" max="9" min="9" style="0" width="20"/>
  </cols>
  <sheetData>
    <row r="1" customFormat="false" ht="6" hidden="false" customHeight="true" outlineLevel="0" collapsed="false"/>
    <row r="2" customFormat="false" ht="27.75" hidden="false" customHeight="true" outlineLevel="0" collapsed="false">
      <c r="B2" s="1" t="s">
        <v>0</v>
      </c>
      <c r="C2" s="1"/>
      <c r="D2" s="1"/>
      <c r="E2" s="2" t="s">
        <v>1</v>
      </c>
      <c r="F2" s="2"/>
      <c r="G2" s="2"/>
      <c r="H2" s="3" t="s">
        <v>2</v>
      </c>
      <c r="I2" s="3"/>
    </row>
    <row r="3" customFormat="false" ht="27.75" hidden="false" customHeight="true" outlineLevel="0" collapsed="false">
      <c r="B3" s="1"/>
      <c r="C3" s="1"/>
      <c r="D3" s="1"/>
      <c r="E3" s="2"/>
      <c r="F3" s="2"/>
      <c r="G3" s="2"/>
      <c r="H3" s="4" t="s">
        <v>3</v>
      </c>
      <c r="I3" s="4"/>
    </row>
    <row r="5" customFormat="false" ht="15" hidden="false" customHeight="true" outlineLevel="0" collapsed="false">
      <c r="B5" s="5" t="s">
        <v>4</v>
      </c>
      <c r="C5" s="5"/>
      <c r="D5" s="5"/>
      <c r="E5" s="5"/>
      <c r="F5" s="5"/>
      <c r="G5" s="5"/>
      <c r="H5" s="5"/>
      <c r="I5" s="5"/>
    </row>
    <row r="6" customFormat="false" ht="15" hidden="false" customHeight="true" outlineLevel="0" collapsed="false">
      <c r="B6" s="6" t="s">
        <v>5</v>
      </c>
      <c r="C6" s="6"/>
      <c r="D6" s="15" t="s">
        <v>44</v>
      </c>
      <c r="E6" s="15"/>
      <c r="F6" s="6" t="s">
        <v>6</v>
      </c>
      <c r="G6" s="6"/>
      <c r="H6" s="15" t="s">
        <v>45</v>
      </c>
      <c r="I6" s="15"/>
    </row>
    <row r="7" customFormat="false" ht="15" hidden="false" customHeight="true" outlineLevel="0" collapsed="false">
      <c r="B7" s="6" t="s">
        <v>7</v>
      </c>
      <c r="C7" s="6"/>
      <c r="D7" s="15" t="s">
        <v>46</v>
      </c>
      <c r="E7" s="15"/>
      <c r="F7" s="6" t="s">
        <v>8</v>
      </c>
      <c r="G7" s="6"/>
      <c r="H7" s="15" t="s">
        <v>47</v>
      </c>
      <c r="I7" s="15"/>
    </row>
    <row r="8" customFormat="false" ht="15" hidden="false" customHeight="true" outlineLevel="0" collapsed="false">
      <c r="B8" s="6" t="s">
        <v>9</v>
      </c>
      <c r="C8" s="6"/>
      <c r="D8" s="15" t="s">
        <v>46</v>
      </c>
      <c r="E8" s="15"/>
      <c r="F8" s="6" t="s">
        <v>10</v>
      </c>
      <c r="G8" s="6"/>
      <c r="H8" s="15" t="s">
        <v>48</v>
      </c>
      <c r="I8" s="15"/>
    </row>
    <row r="9" customFormat="false" ht="15" hidden="false" customHeight="true" outlineLevel="0" collapsed="false">
      <c r="B9" s="6" t="s">
        <v>11</v>
      </c>
      <c r="C9" s="6"/>
      <c r="D9" s="15" t="s">
        <v>49</v>
      </c>
      <c r="E9" s="15"/>
      <c r="F9" s="6" t="s">
        <v>12</v>
      </c>
      <c r="G9" s="6"/>
      <c r="H9" s="15" t="s">
        <v>50</v>
      </c>
      <c r="I9" s="15"/>
    </row>
    <row r="10" customFormat="false" ht="15" hidden="false" customHeight="true" outlineLevel="0" collapsed="false">
      <c r="B10" s="6" t="s">
        <v>13</v>
      </c>
      <c r="C10" s="6"/>
      <c r="D10" s="15" t="s">
        <v>51</v>
      </c>
      <c r="E10" s="15"/>
      <c r="F10" s="6" t="s">
        <v>14</v>
      </c>
      <c r="G10" s="6"/>
      <c r="H10" s="15" t="s">
        <v>52</v>
      </c>
      <c r="I10" s="15"/>
    </row>
    <row r="11" customFormat="false" ht="15" hidden="false" customHeight="true" outlineLevel="0" collapsed="false">
      <c r="B11" s="6" t="s">
        <v>15</v>
      </c>
      <c r="C11" s="6"/>
      <c r="D11" s="15" t="s">
        <v>53</v>
      </c>
      <c r="E11" s="15"/>
      <c r="F11" s="6" t="s">
        <v>16</v>
      </c>
      <c r="G11" s="6"/>
      <c r="H11" s="15" t="s">
        <v>54</v>
      </c>
      <c r="I11" s="15"/>
    </row>
    <row r="12" customFormat="false" ht="15" hidden="false" customHeight="true" outlineLevel="0" collapsed="false">
      <c r="B12" s="6" t="s">
        <v>17</v>
      </c>
      <c r="C12" s="6"/>
      <c r="D12" s="15" t="s">
        <v>55</v>
      </c>
      <c r="E12" s="15"/>
      <c r="F12" s="6" t="s">
        <v>18</v>
      </c>
      <c r="G12" s="6"/>
      <c r="H12" s="15" t="s">
        <v>56</v>
      </c>
      <c r="I12" s="15"/>
    </row>
    <row r="14" customFormat="false" ht="30" hidden="false" customHeight="true" outlineLevel="0" collapsed="false">
      <c r="B14" s="8" t="s">
        <v>19</v>
      </c>
      <c r="C14" s="8" t="s">
        <v>20</v>
      </c>
      <c r="D14" s="8" t="s">
        <v>21</v>
      </c>
      <c r="E14" s="8" t="s">
        <v>22</v>
      </c>
      <c r="F14" s="8" t="s">
        <v>23</v>
      </c>
      <c r="G14" s="8" t="s">
        <v>24</v>
      </c>
      <c r="H14" s="8" t="s">
        <v>25</v>
      </c>
      <c r="I14" s="8" t="s">
        <v>26</v>
      </c>
    </row>
    <row r="15" customFormat="false" ht="15.75" hidden="false" customHeight="true" outlineLevel="0" collapsed="false">
      <c r="B15" s="9" t="s">
        <v>27</v>
      </c>
      <c r="C15" s="9"/>
      <c r="D15" s="9"/>
      <c r="E15" s="9"/>
      <c r="F15" s="9"/>
      <c r="G15" s="9"/>
      <c r="H15" s="9"/>
      <c r="I15" s="9"/>
    </row>
    <row r="16" customFormat="false" ht="21.75" hidden="false" customHeight="true" outlineLevel="0" collapsed="false">
      <c r="B16" s="10" t="n">
        <v>1</v>
      </c>
      <c r="C16" s="15" t="s">
        <v>57</v>
      </c>
      <c r="D16" s="15" t="s">
        <v>58</v>
      </c>
      <c r="E16" s="15" t="s">
        <v>59</v>
      </c>
      <c r="F16" s="16" t="s">
        <v>60</v>
      </c>
      <c r="G16" s="16" t="s">
        <v>61</v>
      </c>
      <c r="H16" s="15" t="s">
        <v>62</v>
      </c>
      <c r="I16" s="15"/>
    </row>
    <row r="17" customFormat="false" ht="21.75" hidden="false" customHeight="true" outlineLevel="0" collapsed="false">
      <c r="B17" s="10" t="n">
        <v>2</v>
      </c>
      <c r="C17" s="15" t="s">
        <v>63</v>
      </c>
      <c r="D17" s="15" t="s">
        <v>64</v>
      </c>
      <c r="E17" s="15" t="s">
        <v>59</v>
      </c>
      <c r="F17" s="16" t="s">
        <v>65</v>
      </c>
      <c r="G17" s="16" t="s">
        <v>61</v>
      </c>
      <c r="H17" s="15" t="s">
        <v>66</v>
      </c>
      <c r="I17" s="15"/>
    </row>
    <row r="18" customFormat="false" ht="21.75" hidden="false" customHeight="true" outlineLevel="0" collapsed="false">
      <c r="B18" s="10" t="n">
        <v>3</v>
      </c>
      <c r="C18" s="15" t="s">
        <v>67</v>
      </c>
      <c r="D18" s="15" t="s">
        <v>68</v>
      </c>
      <c r="E18" s="15" t="s">
        <v>69</v>
      </c>
      <c r="F18" s="16" t="s">
        <v>70</v>
      </c>
      <c r="G18" s="16" t="s">
        <v>61</v>
      </c>
      <c r="H18" s="15" t="s">
        <v>71</v>
      </c>
      <c r="I18" s="15"/>
    </row>
    <row r="19" customFormat="false" ht="21.75" hidden="false" customHeight="true" outlineLevel="0" collapsed="false">
      <c r="B19" s="10" t="n">
        <v>4</v>
      </c>
      <c r="C19" s="15" t="s">
        <v>72</v>
      </c>
      <c r="D19" s="15" t="s">
        <v>73</v>
      </c>
      <c r="E19" s="15" t="s">
        <v>59</v>
      </c>
      <c r="F19" s="16" t="s">
        <v>74</v>
      </c>
      <c r="G19" s="16" t="s">
        <v>61</v>
      </c>
      <c r="H19" s="15"/>
      <c r="I19" s="15"/>
    </row>
    <row r="20" customFormat="false" ht="15.75" hidden="false" customHeight="true" outlineLevel="0" collapsed="false">
      <c r="B20" s="9" t="s">
        <v>28</v>
      </c>
      <c r="C20" s="9"/>
      <c r="D20" s="9"/>
      <c r="E20" s="9"/>
      <c r="F20" s="9"/>
      <c r="G20" s="9"/>
      <c r="H20" s="9"/>
      <c r="I20" s="9"/>
    </row>
    <row r="21" customFormat="false" ht="21.75" hidden="false" customHeight="true" outlineLevel="0" collapsed="false">
      <c r="B21" s="10" t="n">
        <v>1</v>
      </c>
      <c r="C21" s="15" t="s">
        <v>75</v>
      </c>
      <c r="D21" s="15" t="s">
        <v>76</v>
      </c>
      <c r="E21" s="15" t="s">
        <v>77</v>
      </c>
      <c r="F21" s="16" t="s">
        <v>78</v>
      </c>
      <c r="G21" s="16" t="s">
        <v>61</v>
      </c>
      <c r="H21" s="15" t="s">
        <v>79</v>
      </c>
      <c r="I21" s="15"/>
    </row>
    <row r="22" customFormat="false" ht="21.75" hidden="false" customHeight="true" outlineLevel="0" collapsed="false">
      <c r="B22" s="10" t="n">
        <v>2</v>
      </c>
      <c r="C22" s="15" t="s">
        <v>80</v>
      </c>
      <c r="D22" s="15" t="s">
        <v>81</v>
      </c>
      <c r="E22" s="15" t="s">
        <v>82</v>
      </c>
      <c r="F22" s="16" t="s">
        <v>83</v>
      </c>
      <c r="G22" s="16" t="s">
        <v>61</v>
      </c>
      <c r="H22" s="15" t="s">
        <v>84</v>
      </c>
      <c r="I22" s="15"/>
    </row>
    <row r="23" customFormat="false" ht="21.75" hidden="false" customHeight="true" outlineLevel="0" collapsed="false">
      <c r="B23" s="10" t="n">
        <v>3</v>
      </c>
      <c r="C23" s="15" t="s">
        <v>85</v>
      </c>
      <c r="D23" s="15" t="s">
        <v>86</v>
      </c>
      <c r="E23" s="15" t="s">
        <v>87</v>
      </c>
      <c r="F23" s="16" t="s">
        <v>88</v>
      </c>
      <c r="G23" s="16" t="s">
        <v>61</v>
      </c>
      <c r="H23" s="15" t="s">
        <v>89</v>
      </c>
      <c r="I23" s="15"/>
    </row>
    <row r="24" customFormat="false" ht="21.75" hidden="false" customHeight="true" outlineLevel="0" collapsed="false">
      <c r="B24" s="10" t="n">
        <v>4</v>
      </c>
      <c r="C24" s="15" t="s">
        <v>90</v>
      </c>
      <c r="D24" s="15" t="s">
        <v>91</v>
      </c>
      <c r="E24" s="15" t="s">
        <v>59</v>
      </c>
      <c r="F24" s="16" t="s">
        <v>92</v>
      </c>
      <c r="G24" s="16" t="s">
        <v>61</v>
      </c>
      <c r="H24" s="15" t="s">
        <v>93</v>
      </c>
      <c r="I24" s="15"/>
    </row>
    <row r="25" customFormat="false" ht="15.75" hidden="false" customHeight="true" outlineLevel="0" collapsed="false">
      <c r="B25" s="9" t="s">
        <v>29</v>
      </c>
      <c r="C25" s="9"/>
      <c r="D25" s="9"/>
      <c r="E25" s="9"/>
      <c r="F25" s="9"/>
      <c r="G25" s="9"/>
      <c r="H25" s="9"/>
      <c r="I25" s="9"/>
    </row>
    <row r="26" customFormat="false" ht="21.75" hidden="false" customHeight="true" outlineLevel="0" collapsed="false">
      <c r="B26" s="10" t="n">
        <v>1</v>
      </c>
      <c r="C26" s="15" t="s">
        <v>94</v>
      </c>
      <c r="D26" s="15" t="s">
        <v>95</v>
      </c>
      <c r="E26" s="15" t="s">
        <v>96</v>
      </c>
      <c r="F26" s="16" t="s">
        <v>97</v>
      </c>
      <c r="G26" s="16" t="s">
        <v>61</v>
      </c>
      <c r="H26" s="15"/>
      <c r="I26" s="15"/>
    </row>
    <row r="27" customFormat="false" ht="21.75" hidden="false" customHeight="true" outlineLevel="0" collapsed="false">
      <c r="B27" s="10" t="n">
        <v>2</v>
      </c>
      <c r="C27" s="15" t="s">
        <v>98</v>
      </c>
      <c r="D27" s="15" t="s">
        <v>99</v>
      </c>
      <c r="E27" s="15" t="s">
        <v>87</v>
      </c>
      <c r="F27" s="16" t="s">
        <v>100</v>
      </c>
      <c r="G27" s="16" t="s">
        <v>61</v>
      </c>
      <c r="H27" s="15" t="s">
        <v>101</v>
      </c>
      <c r="I27" s="15"/>
    </row>
    <row r="28" customFormat="false" ht="21.75" hidden="false" customHeight="true" outlineLevel="0" collapsed="false">
      <c r="B28" s="10" t="n">
        <v>3</v>
      </c>
      <c r="C28" s="15" t="s">
        <v>102</v>
      </c>
      <c r="D28" s="15" t="s">
        <v>103</v>
      </c>
      <c r="E28" s="15" t="s">
        <v>104</v>
      </c>
      <c r="F28" s="16" t="s">
        <v>105</v>
      </c>
      <c r="G28" s="16" t="s">
        <v>61</v>
      </c>
      <c r="H28" s="15" t="s">
        <v>106</v>
      </c>
      <c r="I28" s="15"/>
    </row>
    <row r="29" customFormat="false" ht="21.75" hidden="false" customHeight="true" outlineLevel="0" collapsed="false">
      <c r="B29" s="10" t="n">
        <v>4</v>
      </c>
      <c r="C29" s="15" t="s">
        <v>107</v>
      </c>
      <c r="D29" s="15" t="s">
        <v>108</v>
      </c>
      <c r="E29" s="15" t="s">
        <v>109</v>
      </c>
      <c r="F29" s="16" t="s">
        <v>110</v>
      </c>
      <c r="G29" s="16" t="s">
        <v>61</v>
      </c>
      <c r="H29" s="15" t="s">
        <v>111</v>
      </c>
      <c r="I29" s="15"/>
    </row>
    <row r="30" customFormat="false" ht="15.75" hidden="false" customHeight="true" outlineLevel="0" collapsed="false">
      <c r="B30" s="9" t="s">
        <v>30</v>
      </c>
      <c r="C30" s="9"/>
      <c r="D30" s="9"/>
      <c r="E30" s="9"/>
      <c r="F30" s="9"/>
      <c r="G30" s="9"/>
      <c r="H30" s="9"/>
      <c r="I30" s="9"/>
    </row>
    <row r="31" customFormat="false" ht="21.75" hidden="false" customHeight="true" outlineLevel="0" collapsed="false">
      <c r="B31" s="10" t="n">
        <v>1</v>
      </c>
      <c r="C31" s="15" t="s">
        <v>112</v>
      </c>
      <c r="D31" s="15" t="s">
        <v>113</v>
      </c>
      <c r="E31" s="15" t="s">
        <v>114</v>
      </c>
      <c r="F31" s="16" t="s">
        <v>74</v>
      </c>
      <c r="G31" s="16" t="s">
        <v>61</v>
      </c>
      <c r="H31" s="15" t="s">
        <v>115</v>
      </c>
      <c r="I31" s="15"/>
    </row>
    <row r="32" customFormat="false" ht="21.75" hidden="false" customHeight="true" outlineLevel="0" collapsed="false">
      <c r="B32" s="10" t="n">
        <v>2</v>
      </c>
      <c r="C32" s="15" t="s">
        <v>116</v>
      </c>
      <c r="D32" s="15" t="s">
        <v>117</v>
      </c>
      <c r="E32" s="15" t="s">
        <v>87</v>
      </c>
      <c r="F32" s="16" t="s">
        <v>105</v>
      </c>
      <c r="G32" s="16" t="s">
        <v>61</v>
      </c>
      <c r="H32" s="15" t="s">
        <v>118</v>
      </c>
      <c r="I32" s="15"/>
    </row>
    <row r="33" customFormat="false" ht="21.75" hidden="false" customHeight="true" outlineLevel="0" collapsed="false">
      <c r="B33" s="10" t="n">
        <v>3</v>
      </c>
      <c r="C33" s="15" t="s">
        <v>119</v>
      </c>
      <c r="D33" s="15" t="s">
        <v>120</v>
      </c>
      <c r="E33" s="15" t="s">
        <v>87</v>
      </c>
      <c r="F33" s="16" t="s">
        <v>121</v>
      </c>
      <c r="G33" s="16" t="s">
        <v>61</v>
      </c>
      <c r="H33" s="15" t="s">
        <v>122</v>
      </c>
      <c r="I33" s="15"/>
    </row>
    <row r="34" customFormat="false" ht="21.75" hidden="false" customHeight="true" outlineLevel="0" collapsed="false">
      <c r="B34" s="10" t="n">
        <v>4</v>
      </c>
      <c r="C34" s="15" t="s">
        <v>123</v>
      </c>
      <c r="D34" s="15" t="s">
        <v>124</v>
      </c>
      <c r="E34" s="15" t="s">
        <v>125</v>
      </c>
      <c r="F34" s="16" t="s">
        <v>65</v>
      </c>
      <c r="G34" s="16" t="s">
        <v>61</v>
      </c>
      <c r="H34" s="15"/>
      <c r="I34" s="15"/>
    </row>
    <row r="35" customFormat="false" ht="21.75" hidden="false" customHeight="true" outlineLevel="0" collapsed="false">
      <c r="B35" s="10" t="n">
        <v>5</v>
      </c>
      <c r="C35" s="15" t="s">
        <v>126</v>
      </c>
      <c r="D35" s="15" t="s">
        <v>127</v>
      </c>
      <c r="E35" s="15" t="s">
        <v>128</v>
      </c>
      <c r="F35" s="16" t="s">
        <v>65</v>
      </c>
      <c r="G35" s="16" t="s">
        <v>61</v>
      </c>
      <c r="H35" s="15"/>
      <c r="I35" s="15"/>
    </row>
    <row r="36" customFormat="false" ht="15.75" hidden="false" customHeight="true" outlineLevel="0" collapsed="false">
      <c r="B36" s="9" t="s">
        <v>31</v>
      </c>
      <c r="C36" s="9"/>
      <c r="D36" s="9"/>
      <c r="E36" s="9"/>
      <c r="F36" s="9"/>
      <c r="G36" s="9"/>
      <c r="H36" s="9"/>
      <c r="I36" s="9"/>
    </row>
    <row r="37" customFormat="false" ht="21.75" hidden="false" customHeight="true" outlineLevel="0" collapsed="false">
      <c r="B37" s="10" t="n">
        <v>1</v>
      </c>
      <c r="C37" s="15" t="s">
        <v>129</v>
      </c>
      <c r="D37" s="15" t="s">
        <v>130</v>
      </c>
      <c r="E37" s="15" t="s">
        <v>131</v>
      </c>
      <c r="F37" s="16" t="s">
        <v>105</v>
      </c>
      <c r="G37" s="16" t="s">
        <v>61</v>
      </c>
      <c r="H37" s="15" t="s">
        <v>132</v>
      </c>
      <c r="I37" s="15" t="s">
        <v>133</v>
      </c>
    </row>
    <row r="38" customFormat="false" ht="21.75" hidden="false" customHeight="true" outlineLevel="0" collapsed="false">
      <c r="B38" s="10" t="n">
        <v>2</v>
      </c>
      <c r="C38" s="15" t="s">
        <v>134</v>
      </c>
      <c r="D38" s="15" t="s">
        <v>135</v>
      </c>
      <c r="E38" s="15" t="s">
        <v>136</v>
      </c>
      <c r="F38" s="16" t="s">
        <v>88</v>
      </c>
      <c r="G38" s="16" t="s">
        <v>61</v>
      </c>
      <c r="H38" s="15" t="s">
        <v>137</v>
      </c>
      <c r="I38" s="15"/>
    </row>
    <row r="39" customFormat="false" ht="21.75" hidden="false" customHeight="true" outlineLevel="0" collapsed="false">
      <c r="B39" s="10" t="n">
        <v>3</v>
      </c>
      <c r="C39" s="15" t="s">
        <v>138</v>
      </c>
      <c r="D39" s="15" t="s">
        <v>139</v>
      </c>
      <c r="E39" s="15" t="s">
        <v>104</v>
      </c>
      <c r="F39" s="16" t="s">
        <v>105</v>
      </c>
      <c r="G39" s="16" t="s">
        <v>61</v>
      </c>
      <c r="H39" s="15" t="s">
        <v>140</v>
      </c>
      <c r="I39" s="15"/>
    </row>
    <row r="40" customFormat="false" ht="21.75" hidden="false" customHeight="true" outlineLevel="0" collapsed="false">
      <c r="B40" s="10" t="n">
        <v>4</v>
      </c>
      <c r="C40" s="15" t="s">
        <v>141</v>
      </c>
      <c r="D40" s="15" t="s">
        <v>142</v>
      </c>
      <c r="E40" s="15" t="s">
        <v>87</v>
      </c>
      <c r="F40" s="16" t="s">
        <v>143</v>
      </c>
      <c r="G40" s="16" t="s">
        <v>144</v>
      </c>
      <c r="H40" s="15" t="s">
        <v>145</v>
      </c>
      <c r="I40" s="15"/>
    </row>
    <row r="41" customFormat="false" ht="15.75" hidden="false" customHeight="true" outlineLevel="0" collapsed="false">
      <c r="B41" s="9" t="s">
        <v>32</v>
      </c>
      <c r="C41" s="9"/>
      <c r="D41" s="9"/>
      <c r="E41" s="9"/>
      <c r="F41" s="9"/>
      <c r="G41" s="9"/>
      <c r="H41" s="9"/>
      <c r="I41" s="9"/>
    </row>
    <row r="42" customFormat="false" ht="21.75" hidden="false" customHeight="true" outlineLevel="0" collapsed="false">
      <c r="B42" s="10" t="n">
        <v>1</v>
      </c>
      <c r="C42" s="15" t="s">
        <v>146</v>
      </c>
      <c r="D42" s="15" t="s">
        <v>147</v>
      </c>
      <c r="E42" s="15" t="s">
        <v>125</v>
      </c>
      <c r="F42" s="16" t="s">
        <v>148</v>
      </c>
      <c r="G42" s="16" t="s">
        <v>61</v>
      </c>
      <c r="H42" s="15"/>
      <c r="I42" s="15"/>
    </row>
    <row r="43" customFormat="false" ht="21.75" hidden="false" customHeight="true" outlineLevel="0" collapsed="false">
      <c r="B43" s="10" t="n">
        <v>2</v>
      </c>
      <c r="C43" s="15" t="s">
        <v>149</v>
      </c>
      <c r="D43" s="15" t="s">
        <v>150</v>
      </c>
      <c r="E43" s="15" t="s">
        <v>151</v>
      </c>
      <c r="F43" s="16" t="s">
        <v>152</v>
      </c>
      <c r="G43" s="16" t="s">
        <v>61</v>
      </c>
      <c r="H43" s="15" t="s">
        <v>153</v>
      </c>
      <c r="I43" s="15"/>
    </row>
    <row r="44" customFormat="false" ht="21.75" hidden="false" customHeight="true" outlineLevel="0" collapsed="false">
      <c r="B44" s="10" t="n">
        <v>3</v>
      </c>
      <c r="C44" s="15" t="s">
        <v>154</v>
      </c>
      <c r="D44" s="15" t="s">
        <v>155</v>
      </c>
      <c r="E44" s="15" t="s">
        <v>59</v>
      </c>
      <c r="F44" s="16" t="s">
        <v>156</v>
      </c>
      <c r="G44" s="16" t="s">
        <v>61</v>
      </c>
      <c r="H44" s="15" t="s">
        <v>52</v>
      </c>
      <c r="I44" s="15"/>
    </row>
    <row r="45" customFormat="false" ht="21.75" hidden="false" customHeight="true" outlineLevel="0" collapsed="false">
      <c r="B45" s="10" t="n">
        <v>4</v>
      </c>
      <c r="C45" s="15" t="s">
        <v>157</v>
      </c>
      <c r="D45" s="15" t="s">
        <v>158</v>
      </c>
      <c r="E45" s="15" t="s">
        <v>125</v>
      </c>
      <c r="F45" s="16" t="s">
        <v>65</v>
      </c>
      <c r="G45" s="16" t="s">
        <v>61</v>
      </c>
      <c r="H45" s="15" t="s">
        <v>159</v>
      </c>
      <c r="I45" s="15"/>
    </row>
    <row r="46" customFormat="false" ht="15.75" hidden="false" customHeight="true" outlineLevel="0" collapsed="false">
      <c r="B46" s="9" t="s">
        <v>33</v>
      </c>
      <c r="C46" s="9"/>
      <c r="D46" s="9"/>
      <c r="E46" s="9"/>
      <c r="F46" s="9"/>
      <c r="G46" s="9"/>
      <c r="H46" s="9"/>
      <c r="I46" s="9"/>
    </row>
    <row r="47" customFormat="false" ht="21.75" hidden="false" customHeight="true" outlineLevel="0" collapsed="false">
      <c r="B47" s="10" t="n">
        <v>1</v>
      </c>
      <c r="C47" s="15" t="s">
        <v>160</v>
      </c>
      <c r="D47" s="15" t="s">
        <v>161</v>
      </c>
      <c r="E47" s="15" t="s">
        <v>125</v>
      </c>
      <c r="F47" s="16" t="s">
        <v>162</v>
      </c>
      <c r="G47" s="16" t="s">
        <v>61</v>
      </c>
      <c r="H47" s="15"/>
      <c r="I47" s="15"/>
    </row>
    <row r="48" customFormat="false" ht="21.75" hidden="false" customHeight="true" outlineLevel="0" collapsed="false">
      <c r="B48" s="10" t="n">
        <v>2</v>
      </c>
      <c r="C48" s="15" t="s">
        <v>163</v>
      </c>
      <c r="D48" s="15" t="s">
        <v>164</v>
      </c>
      <c r="E48" s="15" t="s">
        <v>165</v>
      </c>
      <c r="F48" s="16" t="s">
        <v>162</v>
      </c>
      <c r="G48" s="16" t="s">
        <v>61</v>
      </c>
      <c r="H48" s="15"/>
      <c r="I48" s="15"/>
    </row>
    <row r="49" customFormat="false" ht="21.75" hidden="false" customHeight="true" outlineLevel="0" collapsed="false">
      <c r="B49" s="10" t="n">
        <v>3</v>
      </c>
      <c r="C49" s="15" t="s">
        <v>166</v>
      </c>
      <c r="D49" s="15" t="s">
        <v>167</v>
      </c>
      <c r="E49" s="15" t="s">
        <v>125</v>
      </c>
      <c r="F49" s="16" t="s">
        <v>162</v>
      </c>
      <c r="G49" s="16" t="s">
        <v>61</v>
      </c>
      <c r="H49" s="15"/>
      <c r="I49" s="15"/>
    </row>
    <row r="50" customFormat="false" ht="15.75" hidden="false" customHeight="true" outlineLevel="0" collapsed="false">
      <c r="B50" s="9" t="s">
        <v>34</v>
      </c>
      <c r="C50" s="9"/>
      <c r="D50" s="9"/>
      <c r="E50" s="9"/>
      <c r="F50" s="9"/>
      <c r="G50" s="9"/>
      <c r="H50" s="9"/>
      <c r="I50" s="9"/>
    </row>
    <row r="51" customFormat="false" ht="21.75" hidden="false" customHeight="true" outlineLevel="0" collapsed="false">
      <c r="B51" s="10" t="n">
        <v>1</v>
      </c>
      <c r="C51" s="15" t="s">
        <v>168</v>
      </c>
      <c r="D51" s="15" t="s">
        <v>169</v>
      </c>
      <c r="E51" s="15" t="s">
        <v>125</v>
      </c>
      <c r="F51" s="16" t="s">
        <v>46</v>
      </c>
      <c r="G51" s="16" t="s">
        <v>61</v>
      </c>
      <c r="H51" s="15"/>
      <c r="I51" s="15"/>
    </row>
    <row r="52" customFormat="false" ht="21.75" hidden="false" customHeight="true" outlineLevel="0" collapsed="false">
      <c r="B52" s="10" t="n">
        <v>2</v>
      </c>
      <c r="C52" s="15" t="s">
        <v>170</v>
      </c>
      <c r="D52" s="15" t="s">
        <v>171</v>
      </c>
      <c r="E52" s="15" t="s">
        <v>125</v>
      </c>
      <c r="F52" s="16" t="s">
        <v>65</v>
      </c>
      <c r="G52" s="16" t="s">
        <v>61</v>
      </c>
      <c r="H52" s="15"/>
      <c r="I52" s="15"/>
    </row>
    <row r="54" customFormat="false" ht="15.75" hidden="false" customHeight="true" outlineLevel="0" collapsed="false">
      <c r="B54" s="5" t="s">
        <v>35</v>
      </c>
      <c r="C54" s="5"/>
      <c r="D54" s="5"/>
      <c r="E54" s="5"/>
      <c r="F54" s="5"/>
      <c r="G54" s="5"/>
      <c r="H54" s="5"/>
      <c r="I54" s="5"/>
    </row>
    <row r="55" customFormat="false" ht="15" hidden="false" customHeight="true" outlineLevel="0" collapsed="false">
      <c r="B55" s="6" t="s">
        <v>36</v>
      </c>
      <c r="C55" s="6"/>
      <c r="D55" s="12" t="n">
        <f aca="false">COUNTIF($G$15:$G$52,"&lt;&gt;")</f>
        <v>30</v>
      </c>
      <c r="E55" s="6" t="s">
        <v>37</v>
      </c>
      <c r="F55" s="6"/>
      <c r="G55" s="12" t="n">
        <f aca="false">COUNTIF($G$15:$G$52,"Not OK")</f>
        <v>0</v>
      </c>
      <c r="H55" s="12"/>
      <c r="I55" s="12"/>
    </row>
    <row r="56" customFormat="false" ht="15" hidden="false" customHeight="true" outlineLevel="0" collapsed="false">
      <c r="B56" s="6" t="s">
        <v>38</v>
      </c>
      <c r="C56" s="6"/>
      <c r="D56" s="12" t="n">
        <f aca="false">COUNTIF($G$15:$G$52,"OK")</f>
        <v>29</v>
      </c>
      <c r="E56" s="6" t="s">
        <v>39</v>
      </c>
      <c r="F56" s="6"/>
      <c r="G56" s="12" t="n">
        <f aca="false">COUNTIF($G$15:$G$52,"NA")</f>
        <v>1</v>
      </c>
      <c r="H56" s="12"/>
      <c r="I56" s="12"/>
    </row>
    <row r="57" customFormat="false" ht="16.5" hidden="false" customHeight="true" outlineLevel="0" collapsed="false">
      <c r="B57" s="6" t="s">
        <v>40</v>
      </c>
      <c r="C57" s="6"/>
      <c r="D57" s="13" t="str">
        <f aca="false">IF(COUNTIF($G$15:$G$52,"&lt;&gt;")=0,"— fill the checklist —",IF(COUNTIF($G$15:$G$52,"Not OK")=0,"YES — all check points cleared","NO — rectify the Not OK points before offering"))</f>
        <v>YES — all check points cleared</v>
      </c>
      <c r="E57" s="13"/>
      <c r="F57" s="13"/>
      <c r="G57" s="13"/>
      <c r="H57" s="13"/>
      <c r="I57" s="13"/>
    </row>
    <row r="59" customFormat="false" ht="33.75" hidden="false" customHeight="true" outlineLevel="0" collapsed="false">
      <c r="B59" s="8" t="s">
        <v>41</v>
      </c>
      <c r="C59" s="8"/>
      <c r="D59" s="7"/>
      <c r="E59" s="7"/>
      <c r="F59" s="8" t="s">
        <v>42</v>
      </c>
      <c r="G59" s="8"/>
      <c r="H59" s="7"/>
      <c r="I59" s="7"/>
    </row>
    <row r="60" customFormat="false" ht="25.5" hidden="false" customHeight="true" outlineLevel="0" collapsed="false">
      <c r="B60" s="14" t="s">
        <v>43</v>
      </c>
      <c r="C60" s="14"/>
      <c r="D60" s="14"/>
      <c r="E60" s="14"/>
      <c r="F60" s="14"/>
      <c r="G60" s="14"/>
      <c r="H60" s="14"/>
      <c r="I60" s="14"/>
    </row>
  </sheetData>
  <mergeCells count="55">
    <mergeCell ref="B2:D3"/>
    <mergeCell ref="E2:G3"/>
    <mergeCell ref="H2:I2"/>
    <mergeCell ref="H3:I3"/>
    <mergeCell ref="B5:I5"/>
    <mergeCell ref="B6:C6"/>
    <mergeCell ref="D6:E6"/>
    <mergeCell ref="F6:G6"/>
    <mergeCell ref="H6:I6"/>
    <mergeCell ref="B7:C7"/>
    <mergeCell ref="D7:E7"/>
    <mergeCell ref="F7:G7"/>
    <mergeCell ref="H7:I7"/>
    <mergeCell ref="B8:C8"/>
    <mergeCell ref="D8:E8"/>
    <mergeCell ref="F8:G8"/>
    <mergeCell ref="H8:I8"/>
    <mergeCell ref="B9:C9"/>
    <mergeCell ref="D9:E9"/>
    <mergeCell ref="F9:G9"/>
    <mergeCell ref="H9:I9"/>
    <mergeCell ref="B10:C10"/>
    <mergeCell ref="D10:E10"/>
    <mergeCell ref="F10:G10"/>
    <mergeCell ref="H10:I10"/>
    <mergeCell ref="B11:C11"/>
    <mergeCell ref="D11:E11"/>
    <mergeCell ref="F11:G11"/>
    <mergeCell ref="H11:I11"/>
    <mergeCell ref="B12:C12"/>
    <mergeCell ref="D12:E12"/>
    <mergeCell ref="F12:G12"/>
    <mergeCell ref="H12:I12"/>
    <mergeCell ref="B15:I15"/>
    <mergeCell ref="B20:I20"/>
    <mergeCell ref="B25:I25"/>
    <mergeCell ref="B30:I30"/>
    <mergeCell ref="B36:I36"/>
    <mergeCell ref="B41:I41"/>
    <mergeCell ref="B46:I46"/>
    <mergeCell ref="B50:I50"/>
    <mergeCell ref="B54:I54"/>
    <mergeCell ref="B55:C55"/>
    <mergeCell ref="E55:F55"/>
    <mergeCell ref="G55:I55"/>
    <mergeCell ref="B56:C56"/>
    <mergeCell ref="E56:F56"/>
    <mergeCell ref="G56:I56"/>
    <mergeCell ref="B57:C57"/>
    <mergeCell ref="D57:I57"/>
    <mergeCell ref="B59:C59"/>
    <mergeCell ref="D59:E59"/>
    <mergeCell ref="F59:G59"/>
    <mergeCell ref="H59:I59"/>
    <mergeCell ref="B60:I60"/>
  </mergeCells>
  <dataValidations count="1">
    <dataValidation allowBlank="true" errorStyle="stop" operator="between" showDropDown="false" showErrorMessage="false" showInputMessage="false" sqref="G15:G52" type="list">
      <formula1>"OK,Not OK,NA"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C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88"/>
  </cols>
  <sheetData>
    <row r="2" customFormat="false" ht="24" hidden="false" customHeight="true" outlineLevel="0" collapsed="false">
      <c r="B2" s="17" t="s">
        <v>172</v>
      </c>
      <c r="C2" s="17"/>
    </row>
    <row r="3" customFormat="false" ht="43.5" hidden="false" customHeight="true" outlineLevel="0" collapsed="false">
      <c r="B3" s="18" t="s">
        <v>173</v>
      </c>
      <c r="C3" s="19" t="s">
        <v>174</v>
      </c>
    </row>
    <row r="4" customFormat="false" ht="55.5" hidden="false" customHeight="true" outlineLevel="0" collapsed="false">
      <c r="B4" s="18" t="s">
        <v>175</v>
      </c>
      <c r="C4" s="19" t="s">
        <v>176</v>
      </c>
    </row>
    <row r="5" customFormat="false" ht="55.5" hidden="false" customHeight="true" outlineLevel="0" collapsed="false">
      <c r="B5" s="18" t="s">
        <v>177</v>
      </c>
      <c r="C5" s="19" t="s">
        <v>178</v>
      </c>
    </row>
    <row r="6" customFormat="false" ht="55.5" hidden="false" customHeight="true" outlineLevel="0" collapsed="false">
      <c r="B6" s="18" t="s">
        <v>179</v>
      </c>
      <c r="C6" s="19" t="s">
        <v>180</v>
      </c>
    </row>
    <row r="7" customFormat="false" ht="43.5" hidden="false" customHeight="true" outlineLevel="0" collapsed="false">
      <c r="B7" s="18" t="s">
        <v>181</v>
      </c>
      <c r="C7" s="19" t="s">
        <v>182</v>
      </c>
    </row>
    <row r="8" customFormat="false" ht="43.5" hidden="false" customHeight="true" outlineLevel="0" collapsed="false">
      <c r="B8" s="18" t="s">
        <v>183</v>
      </c>
      <c r="C8" s="19" t="s">
        <v>184</v>
      </c>
    </row>
    <row r="9" customFormat="false" ht="43.5" hidden="false" customHeight="true" outlineLevel="0" collapsed="false">
      <c r="B9" s="18" t="s">
        <v>185</v>
      </c>
      <c r="C9" s="19" t="s">
        <v>186</v>
      </c>
    </row>
    <row r="10" customFormat="false" ht="43.5" hidden="false" customHeight="true" outlineLevel="0" collapsed="false">
      <c r="B10" s="18" t="s">
        <v>187</v>
      </c>
      <c r="C10" s="19" t="s">
        <v>188</v>
      </c>
    </row>
    <row r="11" customFormat="false" ht="55.5" hidden="false" customHeight="true" outlineLevel="0" collapsed="false">
      <c r="B11" s="18" t="s">
        <v>189</v>
      </c>
      <c r="C11" s="19" t="s">
        <v>190</v>
      </c>
    </row>
    <row r="12" customFormat="false" ht="43.5" hidden="false" customHeight="true" outlineLevel="0" collapsed="false">
      <c r="B12" s="18" t="s">
        <v>191</v>
      </c>
      <c r="C12" s="19" t="s">
        <v>192</v>
      </c>
    </row>
    <row r="14" customFormat="false" ht="18" hidden="false" customHeight="true" outlineLevel="0" collapsed="false">
      <c r="B14" s="20" t="s">
        <v>193</v>
      </c>
      <c r="C14" s="20"/>
    </row>
    <row r="15" customFormat="false" ht="51.75" hidden="false" customHeight="true" outlineLevel="0" collapsed="false">
      <c r="B15" s="18" t="s">
        <v>50</v>
      </c>
      <c r="C15" s="19" t="s">
        <v>194</v>
      </c>
    </row>
    <row r="16" customFormat="false" ht="39.75" hidden="false" customHeight="true" outlineLevel="0" collapsed="false">
      <c r="B16" s="18" t="s">
        <v>195</v>
      </c>
      <c r="C16" s="19" t="s">
        <v>196</v>
      </c>
    </row>
    <row r="17" customFormat="false" ht="39.75" hidden="false" customHeight="true" outlineLevel="0" collapsed="false">
      <c r="B17" s="18" t="s">
        <v>197</v>
      </c>
      <c r="C17" s="19" t="s">
        <v>198</v>
      </c>
    </row>
    <row r="18" customFormat="false" ht="51.75" hidden="false" customHeight="true" outlineLevel="0" collapsed="false">
      <c r="B18" s="18" t="s">
        <v>199</v>
      </c>
      <c r="C18" s="19" t="s">
        <v>200</v>
      </c>
    </row>
    <row r="19" customFormat="false" ht="27.75" hidden="false" customHeight="true" outlineLevel="0" collapsed="false">
      <c r="B19" s="18" t="s">
        <v>201</v>
      </c>
      <c r="C19" s="19" t="s">
        <v>202</v>
      </c>
    </row>
    <row r="21" customFormat="false" ht="25.5" hidden="false" customHeight="true" outlineLevel="0" collapsed="false">
      <c r="B21" s="21" t="s">
        <v>203</v>
      </c>
      <c r="C21" s="21"/>
    </row>
  </sheetData>
  <mergeCells count="3">
    <mergeCell ref="B2:C2"/>
    <mergeCell ref="B14:C14"/>
    <mergeCell ref="B21:C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2026-08-19T05:42:23Z</dcterms:created>
  <dc:creator>openpyxl</dc:creator>
  <dc:description/>
  <dc:language>en-US</dc:language>
  <cp:lastModifiedBy/>
  <dcterms:modified xsi:type="dcterms:W3CDTF">2026-08-19T05:42:23Z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