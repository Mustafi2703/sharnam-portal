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Sharnam\Phase 2\"/>
    </mc:Choice>
  </mc:AlternateContent>
  <bookViews>
    <workbookView xWindow="0" yWindow="0" windowWidth="20490" windowHeight="7755"/>
  </bookViews>
  <sheets>
    <sheet name="Dashboard" sheetId="1" r:id="rId1"/>
    <sheet name="Legal Approval Tracker" sheetId="8" r:id="rId2"/>
    <sheet name="Milestone" sheetId="9" r:id="rId3"/>
    <sheet name="Risk Register" sheetId="10" r:id="rId4"/>
    <sheet name="Hinderance Register" sheetId="12" r:id="rId5"/>
  </sheets>
  <externalReferences>
    <externalReference r:id="rId6"/>
    <externalReference r:id="rId7"/>
    <externalReference r:id="rId8"/>
    <externalReference r:id="rId9"/>
    <externalReference r:id="rId10"/>
    <externalReference r:id="rId11"/>
    <externalReference r:id="rId12"/>
  </externalReferences>
  <definedNames>
    <definedName name="_xlnm._FilterDatabase" localSheetId="4" hidden="1">'Hinderance Register'!$A$2:$Q$18</definedName>
    <definedName name="_xlnm._FilterDatabase" localSheetId="1" hidden="1">'Legal Approval Tracker'!$A$3:$L$3</definedName>
    <definedName name="closed">OFFSET([3]calculations!$J$16,,,days)</definedName>
    <definedName name="closed_labels">closed+label_offset</definedName>
    <definedName name="dates">OFFSET([3]calculations!$H$16,,,days)</definedName>
    <definedName name="days">[3]calculations!$J$7</definedName>
    <definedName name="keydate">[3]calculations!$J$8</definedName>
    <definedName name="label_offset">MAX(opened, closed)*4%</definedName>
    <definedName name="Milestone_Marker">[4]Purple!$C$6</definedName>
    <definedName name="opened">OFFSET([3]calculations!$I$16,,,days)</definedName>
    <definedName name="opened_labels">opened+label_offset</definedName>
    <definedName name="_xlnm.Print_Area" localSheetId="0">Dashboard!$A$1:$AB$52</definedName>
    <definedName name="priorities">OFFSET([3]calculations!$T$16,,,[3]calculations!$O$13+1)</definedName>
    <definedName name="prioritiesUnsorted">OFFSET([3]calculations!$O$15,,,[3]calculations!$O$13+1)</definedName>
    <definedName name="priority">[3]calculations!$J$10</definedName>
    <definedName name="Proj_Phases">[5]Lists!$H$17:$H$21</definedName>
    <definedName name="Project_Start">[4]Purple!$C$5</definedName>
    <definedName name="RowTitleRegion1..J2">#REF!</definedName>
    <definedName name="Scrolling_Increment">[4]Purple!$U$5</definedName>
    <definedName name="Title1">#REF!</definedName>
    <definedName name="type">[3]calculations!$J$9</definedName>
    <definedName name="types">OFFSET([3]calculations!$S$16,,,[3]calculations!$N$13+1)</definedName>
    <definedName name="typesUnsorted">OFFSET([3]calculations!$N$15,,,[3]calculations!$N$13+1)</definedName>
  </definedNames>
  <calcPr calcId="152511"/>
  <pivotCaches>
    <pivotCache cacheId="7" r:id="rId13"/>
    <pivotCache cacheId="13" r:id="rId14"/>
    <pivotCache cacheId="35" r:id="rId15"/>
    <pivotCache cacheId="67"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9" i="12" l="1"/>
  <c r="L17" i="12"/>
  <c r="J17" i="12"/>
  <c r="L16" i="12"/>
  <c r="J16" i="12"/>
  <c r="L15" i="12"/>
  <c r="J15" i="12"/>
  <c r="L14" i="12"/>
  <c r="J14" i="12"/>
  <c r="L13" i="12"/>
  <c r="J13" i="12"/>
  <c r="L12" i="12"/>
  <c r="J12" i="12"/>
  <c r="L11" i="12"/>
  <c r="J11" i="12"/>
  <c r="L10" i="12"/>
  <c r="J10" i="12"/>
  <c r="L9" i="12"/>
  <c r="J9" i="12"/>
  <c r="L8" i="12"/>
  <c r="J8" i="12"/>
  <c r="L7" i="12"/>
  <c r="J7" i="12"/>
  <c r="L6" i="12"/>
  <c r="J6" i="12"/>
  <c r="L5" i="12"/>
  <c r="J5" i="12"/>
  <c r="L4" i="12"/>
  <c r="J4" i="12"/>
  <c r="T3" i="12"/>
  <c r="L3" i="12"/>
  <c r="U3" i="12" s="1"/>
  <c r="J3" i="12"/>
  <c r="R32" i="10" l="1"/>
  <c r="H32" i="10"/>
  <c r="R31" i="10"/>
  <c r="H31" i="10"/>
  <c r="R30" i="10"/>
  <c r="H30" i="10"/>
  <c r="R29" i="10"/>
  <c r="H29" i="10"/>
  <c r="R28" i="10"/>
  <c r="H28" i="10"/>
  <c r="R27" i="10"/>
  <c r="H27" i="10"/>
  <c r="R26" i="10"/>
  <c r="H26" i="10"/>
  <c r="R25" i="10"/>
  <c r="H25" i="10"/>
  <c r="R24" i="10"/>
  <c r="H24" i="10"/>
  <c r="R23" i="10"/>
  <c r="H23" i="10"/>
  <c r="R22" i="10"/>
  <c r="H22" i="10"/>
  <c r="R21" i="10"/>
  <c r="H21" i="10"/>
  <c r="R20" i="10"/>
  <c r="H20" i="10"/>
  <c r="R19" i="10"/>
  <c r="H19" i="10"/>
  <c r="R18" i="10"/>
  <c r="H18" i="10"/>
  <c r="R17" i="10"/>
  <c r="H17" i="10"/>
  <c r="R16" i="10"/>
  <c r="H16" i="10"/>
  <c r="R15" i="10"/>
  <c r="H15" i="10"/>
  <c r="R14" i="10"/>
  <c r="H14" i="10"/>
  <c r="R13" i="10"/>
  <c r="H13" i="10"/>
  <c r="R12" i="10"/>
  <c r="H12" i="10"/>
  <c r="R11" i="10"/>
  <c r="H11" i="10"/>
  <c r="R10" i="10"/>
  <c r="H10" i="10"/>
  <c r="R9" i="10"/>
  <c r="H9" i="10"/>
  <c r="R8" i="10"/>
  <c r="H8" i="10"/>
  <c r="R7" i="10"/>
  <c r="H7" i="10"/>
  <c r="R6" i="10"/>
  <c r="H6" i="10"/>
  <c r="R5" i="10"/>
  <c r="H5" i="10"/>
  <c r="R4" i="10"/>
  <c r="H4" i="10"/>
  <c r="R3" i="10"/>
  <c r="H3" i="10"/>
  <c r="B14" i="9" l="1"/>
  <c r="O11" i="9"/>
  <c r="N11" i="9"/>
  <c r="K11" i="9"/>
  <c r="F11" i="9"/>
  <c r="N10" i="9"/>
  <c r="K10" i="9"/>
  <c r="I10" i="9"/>
  <c r="F10" i="9"/>
  <c r="O10" i="9" s="1"/>
  <c r="N9" i="9"/>
  <c r="I9" i="9"/>
  <c r="F9" i="9"/>
  <c r="O9" i="9" s="1"/>
  <c r="O8" i="9"/>
  <c r="N8" i="9"/>
  <c r="K8" i="9"/>
  <c r="N7" i="9"/>
  <c r="K7" i="9"/>
  <c r="I7" i="9"/>
  <c r="F7" i="9"/>
  <c r="O7" i="9" s="1"/>
  <c r="N6" i="9"/>
  <c r="K6" i="9"/>
  <c r="I6" i="9"/>
  <c r="F6" i="9"/>
  <c r="O6" i="9" s="1"/>
  <c r="N5" i="9"/>
  <c r="K5" i="9"/>
  <c r="I5" i="9"/>
  <c r="F5" i="9"/>
  <c r="O5" i="9" s="1"/>
  <c r="N4" i="9"/>
  <c r="K4" i="9"/>
  <c r="I4" i="9"/>
  <c r="O4" i="9" s="1"/>
  <c r="F4" i="9"/>
  <c r="N3" i="9"/>
  <c r="K3" i="9"/>
  <c r="I3" i="9"/>
  <c r="O3" i="9" s="1"/>
  <c r="F3" i="9"/>
  <c r="N2" i="9"/>
  <c r="K2" i="9"/>
  <c r="I2" i="9"/>
  <c r="F2" i="9"/>
  <c r="O2" i="9" s="1"/>
  <c r="J14" i="9" l="1"/>
  <c r="J4" i="8" l="1"/>
  <c r="D9" i="1" l="1"/>
  <c r="D10" i="1" s="1"/>
  <c r="N12" i="9"/>
</calcChain>
</file>

<file path=xl/sharedStrings.xml><?xml version="1.0" encoding="utf-8"?>
<sst xmlns="http://schemas.openxmlformats.org/spreadsheetml/2006/main" count="889" uniqueCount="356">
  <si>
    <t>Open</t>
  </si>
  <si>
    <t>Client</t>
  </si>
  <si>
    <t>Contractor</t>
  </si>
  <si>
    <t>PMC</t>
  </si>
  <si>
    <t>Completed</t>
  </si>
  <si>
    <t>Excavation</t>
  </si>
  <si>
    <t>Reinforcement</t>
  </si>
  <si>
    <t>Plastering</t>
  </si>
  <si>
    <t>Flooring</t>
  </si>
  <si>
    <t>Status</t>
  </si>
  <si>
    <t xml:space="preserve"> Progress Overview - February Week 2 - 2026</t>
  </si>
  <si>
    <t>Project Timeline</t>
  </si>
  <si>
    <t>Project Start Date</t>
  </si>
  <si>
    <t>Planned End Date</t>
  </si>
  <si>
    <t>Current Date</t>
  </si>
  <si>
    <t>Project Progress</t>
  </si>
  <si>
    <t>Legal Approval Tracker - Week #</t>
  </si>
  <si>
    <t>Approval ID</t>
  </si>
  <si>
    <t>Approval Category</t>
  </si>
  <si>
    <t>Authority Name</t>
  </si>
  <si>
    <t>Approval Description</t>
  </si>
  <si>
    <t>Applicable Building / Package</t>
  </si>
  <si>
    <t>Submission Date</t>
  </si>
  <si>
    <t>Required By</t>
  </si>
  <si>
    <t>Approval Received Date</t>
  </si>
  <si>
    <t>Delay (Days)</t>
  </si>
  <si>
    <t>Responsible Party</t>
  </si>
  <si>
    <t>Remarks</t>
  </si>
  <si>
    <t>LA-01</t>
  </si>
  <si>
    <t>Labour Compliance</t>
  </si>
  <si>
    <t>Labour Department</t>
  </si>
  <si>
    <t>BOCW Registration – Building &amp; Other Construction Works</t>
  </si>
  <si>
    <t>All Towers</t>
  </si>
  <si>
    <t>Approved</t>
  </si>
  <si>
    <t>Approved with minor delay</t>
  </si>
  <si>
    <t>LA-02</t>
  </si>
  <si>
    <t>Insurance</t>
  </si>
  <si>
    <t>Insurance Company</t>
  </si>
  <si>
    <t>CAR Policy – Contractor All Risk</t>
  </si>
  <si>
    <t>All Packages</t>
  </si>
  <si>
    <t>Submitted on priority</t>
  </si>
  <si>
    <t>LA-03</t>
  </si>
  <si>
    <t>CLRA Registration – Contract Labour Regulation Act</t>
  </si>
  <si>
    <t>Submitted</t>
  </si>
  <si>
    <t>Under review by department</t>
  </si>
  <si>
    <t>LA-04</t>
  </si>
  <si>
    <t>Labour License</t>
  </si>
  <si>
    <t>Tower 1</t>
  </si>
  <si>
    <t>Delayed</t>
  </si>
  <si>
    <t>Inspection pending</t>
  </si>
  <si>
    <t>LA-05</t>
  </si>
  <si>
    <t>Statutory</t>
  </si>
  <si>
    <t>EPFO</t>
  </si>
  <si>
    <t>PF Registration Documents</t>
  </si>
  <si>
    <t>-</t>
  </si>
  <si>
    <t>LA-06</t>
  </si>
  <si>
    <t>ESIC</t>
  </si>
  <si>
    <t>ESI Registration Documents</t>
  </si>
  <si>
    <t>One day delay</t>
  </si>
  <si>
    <t>LA-07</t>
  </si>
  <si>
    <t>Tax</t>
  </si>
  <si>
    <t>State Tax Department</t>
  </si>
  <si>
    <t>Professional Tax Registration</t>
  </si>
  <si>
    <t>LA-08</t>
  </si>
  <si>
    <t>LWF – Labour Welfare Fund Registration</t>
  </si>
  <si>
    <t>Follow-up required</t>
  </si>
  <si>
    <t>LA-09</t>
  </si>
  <si>
    <t>Health &amp; Safety</t>
  </si>
  <si>
    <t>Government Hospital</t>
  </si>
  <si>
    <t>Worker Medical Fitness Certification</t>
  </si>
  <si>
    <t>LA-10</t>
  </si>
  <si>
    <t>Police Clearance</t>
  </si>
  <si>
    <t>Local Police Department</t>
  </si>
  <si>
    <t>Worker Police Verification</t>
  </si>
  <si>
    <t>Police clearance pending</t>
  </si>
  <si>
    <t>LA-11</t>
  </si>
  <si>
    <t>Safety</t>
  </si>
  <si>
    <t>Third Party Agency</t>
  </si>
  <si>
    <t>Test Certificate – Lifting Tools &amp; Tackles</t>
  </si>
  <si>
    <t>LA-12</t>
  </si>
  <si>
    <t>Pressure Vessel Test Certificate</t>
  </si>
  <si>
    <t>Inspection scheduled</t>
  </si>
  <si>
    <t>LA-13</t>
  </si>
  <si>
    <t>Fire</t>
  </si>
  <si>
    <t>Fire Department</t>
  </si>
  <si>
    <t>Fire NOC – Temporary Site Office</t>
  </si>
  <si>
    <t>Site Area</t>
  </si>
  <si>
    <t>In Progress</t>
  </si>
  <si>
    <t>Documents submitted</t>
  </si>
  <si>
    <t>LA-14</t>
  </si>
  <si>
    <t>Environment</t>
  </si>
  <si>
    <t>Pollution Control Board</t>
  </si>
  <si>
    <t>Consent to Establish (CTE)</t>
  </si>
  <si>
    <t>Project Site</t>
  </si>
  <si>
    <t>Under scrutiny</t>
  </si>
  <si>
    <t>LA-15</t>
  </si>
  <si>
    <t>Consent to Operate – DG Set</t>
  </si>
  <si>
    <t>Not Submitted</t>
  </si>
  <si>
    <t>DG set not installed</t>
  </si>
  <si>
    <t>LA-16</t>
  </si>
  <si>
    <t>Local Authority</t>
  </si>
  <si>
    <t>Municipal Corporation</t>
  </si>
  <si>
    <t>Building Plan Approval</t>
  </si>
  <si>
    <t>LA-17</t>
  </si>
  <si>
    <t>Commencement Certificate</t>
  </si>
  <si>
    <t>Tower 2</t>
  </si>
  <si>
    <t>Resubmission required</t>
  </si>
  <si>
    <t>LA-18</t>
  </si>
  <si>
    <t>Utility</t>
  </si>
  <si>
    <t>Electricity Board</t>
  </si>
  <si>
    <t>Temporary Power Connection</t>
  </si>
  <si>
    <t>Site</t>
  </si>
  <si>
    <t>LA-19</t>
  </si>
  <si>
    <t>Water Supply Department</t>
  </si>
  <si>
    <t>Temporary Water Connection</t>
  </si>
  <si>
    <t>Pipeline work pending</t>
  </si>
  <si>
    <t>LA-20</t>
  </si>
  <si>
    <t>Traffic</t>
  </si>
  <si>
    <t>Traffic Police Department</t>
  </si>
  <si>
    <t>Traffic Diversion Permission</t>
  </si>
  <si>
    <t>Main Road</t>
  </si>
  <si>
    <t>LA-21</t>
  </si>
  <si>
    <t>Factory Inspectorate</t>
  </si>
  <si>
    <t>Site Safety Registration</t>
  </si>
  <si>
    <t>Inspection awaited</t>
  </si>
  <si>
    <t>LA-22</t>
  </si>
  <si>
    <t>Workmen Compensation Policy</t>
  </si>
  <si>
    <t>All Labour</t>
  </si>
  <si>
    <t>LA-23</t>
  </si>
  <si>
    <t>Inter-State Migrant Workmen Registration</t>
  </si>
  <si>
    <t>Documents under review</t>
  </si>
  <si>
    <t>LA-24</t>
  </si>
  <si>
    <t>Tree Cutting Permission</t>
  </si>
  <si>
    <t>Site Boundary</t>
  </si>
  <si>
    <t>Tree survey pending</t>
  </si>
  <si>
    <t>LA-25</t>
  </si>
  <si>
    <t>Fire Safety Equipment Approval</t>
  </si>
  <si>
    <t>Partial installation completed</t>
  </si>
  <si>
    <t>LA-26</t>
  </si>
  <si>
    <t>Telecom Authority</t>
  </si>
  <si>
    <t>Internet / Telecom Permission</t>
  </si>
  <si>
    <t>Site Office</t>
  </si>
  <si>
    <t>LA-27</t>
  </si>
  <si>
    <t>Hoarding Permission</t>
  </si>
  <si>
    <t>Approval awaited</t>
  </si>
  <si>
    <t>LA-28</t>
  </si>
  <si>
    <t>Debris Disposal Permission</t>
  </si>
  <si>
    <t>Vendor finalisation pending</t>
  </si>
  <si>
    <t>LA-29</t>
  </si>
  <si>
    <t>Lift Inspector</t>
  </si>
  <si>
    <t>Temporary Construction Lift Approval</t>
  </si>
  <si>
    <t>LA-30</t>
  </si>
  <si>
    <t>Explosives Department</t>
  </si>
  <si>
    <t>Diesel Storage License</t>
  </si>
  <si>
    <t>Tank installation pending</t>
  </si>
  <si>
    <t>Row Labels</t>
  </si>
  <si>
    <t>Grand Total</t>
  </si>
  <si>
    <t>Count of Approval ID</t>
  </si>
  <si>
    <t>Milestone ID</t>
  </si>
  <si>
    <t>Phase</t>
  </si>
  <si>
    <t>Milestone Name</t>
  </si>
  <si>
    <t>Planned Start</t>
  </si>
  <si>
    <t>Planned End</t>
  </si>
  <si>
    <t>Planned Days</t>
  </si>
  <si>
    <t>Actual Start</t>
  </si>
  <si>
    <t>Actual End</t>
  </si>
  <si>
    <t>Actual Days</t>
  </si>
  <si>
    <t xml:space="preserve">Weightage </t>
  </si>
  <si>
    <t>% Complete</t>
  </si>
  <si>
    <t xml:space="preserve">Stakeholder </t>
  </si>
  <si>
    <t>Zone</t>
  </si>
  <si>
    <t>Status2</t>
  </si>
  <si>
    <t>Delays</t>
  </si>
  <si>
    <t>M01</t>
  </si>
  <si>
    <t>Pre-Construction</t>
  </si>
  <si>
    <t>Site Mobilization</t>
  </si>
  <si>
    <t>ABC Infra</t>
  </si>
  <si>
    <t>A</t>
  </si>
  <si>
    <t>M02</t>
  </si>
  <si>
    <t>Excavation Work</t>
  </si>
  <si>
    <t>M03</t>
  </si>
  <si>
    <t>Foundation</t>
  </si>
  <si>
    <t>PCC Work</t>
  </si>
  <si>
    <t>XYZ Con</t>
  </si>
  <si>
    <t>M04</t>
  </si>
  <si>
    <t>Footing RCC</t>
  </si>
  <si>
    <t>B</t>
  </si>
  <si>
    <t>M05</t>
  </si>
  <si>
    <t>Structure</t>
  </si>
  <si>
    <t>Column RCC</t>
  </si>
  <si>
    <t>M06</t>
  </si>
  <si>
    <t>Slab Casting</t>
  </si>
  <si>
    <t>LMN Build</t>
  </si>
  <si>
    <t>M07</t>
  </si>
  <si>
    <t>Masonry</t>
  </si>
  <si>
    <t>Block Work</t>
  </si>
  <si>
    <t>C</t>
  </si>
  <si>
    <t>M08</t>
  </si>
  <si>
    <t>Finishing</t>
  </si>
  <si>
    <t>M09</t>
  </si>
  <si>
    <t>PQR Works</t>
  </si>
  <si>
    <t>M10</t>
  </si>
  <si>
    <t>Handover</t>
  </si>
  <si>
    <t>Final Inspection</t>
  </si>
  <si>
    <t>Average of % Complete</t>
  </si>
  <si>
    <t>Step 1: Risk Identification</t>
  </si>
  <si>
    <t>Step 2: Risk Assessment</t>
  </si>
  <si>
    <t>Step 3: Risk Response</t>
  </si>
  <si>
    <t>Step 4: Monitor &amp; Control</t>
  </si>
  <si>
    <t>#</t>
  </si>
  <si>
    <t>Category</t>
  </si>
  <si>
    <t>Opportunity / Threat</t>
  </si>
  <si>
    <t>Risk Name</t>
  </si>
  <si>
    <t>Detailed Description</t>
  </si>
  <si>
    <t>Probability (1 - 5)</t>
  </si>
  <si>
    <t>Consequence (1-5)</t>
  </si>
  <si>
    <t>Severity (Priority)</t>
  </si>
  <si>
    <t>Probability (%)</t>
  </si>
  <si>
    <t>Cost Impact (₹)</t>
  </si>
  <si>
    <t>Most Likely (no. of weeks)</t>
  </si>
  <si>
    <t>Urgency</t>
  </si>
  <si>
    <t>Response Category</t>
  </si>
  <si>
    <t>Impact</t>
  </si>
  <si>
    <t>Risk Owner</t>
  </si>
  <si>
    <t>Contingency Plan</t>
  </si>
  <si>
    <t>Date Last Updated</t>
  </si>
  <si>
    <t>Tracking Comments</t>
  </si>
  <si>
    <t>R1</t>
  </si>
  <si>
    <t>Execution</t>
  </si>
  <si>
    <t>Threat</t>
  </si>
  <si>
    <t>Manpower Shortage</t>
  </si>
  <si>
    <t>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t>
  </si>
  <si>
    <t>High</t>
  </si>
  <si>
    <t>Mitigate</t>
  </si>
  <si>
    <t>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t>
  </si>
  <si>
    <t>Designer</t>
  </si>
  <si>
    <t xml:space="preserve">The contractor is required to immediately deploy the necessary manpower to meet current site requirements. </t>
  </si>
  <si>
    <t>Not Started</t>
  </si>
  <si>
    <t>NA</t>
  </si>
  <si>
    <t>R2</t>
  </si>
  <si>
    <t>Planning/ Scope</t>
  </si>
  <si>
    <t>Opportunity</t>
  </si>
  <si>
    <t>Manpower Opportunity</t>
  </si>
  <si>
    <t>Low</t>
  </si>
  <si>
    <t>Active (Ongoing)</t>
  </si>
  <si>
    <t>R3</t>
  </si>
  <si>
    <t>Communications</t>
  </si>
  <si>
    <t>Both</t>
  </si>
  <si>
    <t>Medium</t>
  </si>
  <si>
    <t>Transfer</t>
  </si>
  <si>
    <t>Dormant (Not Started)</t>
  </si>
  <si>
    <t>R4</t>
  </si>
  <si>
    <t>Schedule</t>
  </si>
  <si>
    <t>Avoid</t>
  </si>
  <si>
    <t>MEPF Consultant</t>
  </si>
  <si>
    <t>R5</t>
  </si>
  <si>
    <t>Estimating</t>
  </si>
  <si>
    <t>Owner</t>
  </si>
  <si>
    <t>R6</t>
  </si>
  <si>
    <t>Controlling</t>
  </si>
  <si>
    <t>Exploit</t>
  </si>
  <si>
    <t>R7</t>
  </si>
  <si>
    <t>Share</t>
  </si>
  <si>
    <t>R8</t>
  </si>
  <si>
    <t>R9</t>
  </si>
  <si>
    <t>R10</t>
  </si>
  <si>
    <t>Esxecution</t>
  </si>
  <si>
    <t>R11</t>
  </si>
  <si>
    <t>R12</t>
  </si>
  <si>
    <t>Accept</t>
  </si>
  <si>
    <t>R13</t>
  </si>
  <si>
    <t>R14</t>
  </si>
  <si>
    <t>R15</t>
  </si>
  <si>
    <t>R16</t>
  </si>
  <si>
    <t>R17</t>
  </si>
  <si>
    <t>R18</t>
  </si>
  <si>
    <t>R19</t>
  </si>
  <si>
    <t>R20</t>
  </si>
  <si>
    <t>R21</t>
  </si>
  <si>
    <t>Enhance</t>
  </si>
  <si>
    <t>R22</t>
  </si>
  <si>
    <t>R23</t>
  </si>
  <si>
    <t>R24</t>
  </si>
  <si>
    <t>R25</t>
  </si>
  <si>
    <t>R26</t>
  </si>
  <si>
    <t>R27</t>
  </si>
  <si>
    <t>R28</t>
  </si>
  <si>
    <t>R29</t>
  </si>
  <si>
    <t>R30</t>
  </si>
  <si>
    <t>Count of #</t>
  </si>
  <si>
    <t>Hinderance Register</t>
  </si>
  <si>
    <t>Sr. No</t>
  </si>
  <si>
    <t>Description of Hindrance</t>
  </si>
  <si>
    <t xml:space="preserve">Location </t>
  </si>
  <si>
    <t>Critical Activity affected</t>
  </si>
  <si>
    <t xml:space="preserve">Correspondence </t>
  </si>
  <si>
    <t>Type of Hindrance</t>
  </si>
  <si>
    <t>Date of Occurrence</t>
  </si>
  <si>
    <t>Date Resolved</t>
  </si>
  <si>
    <t>No. of Days</t>
  </si>
  <si>
    <t>Baseline Start Date</t>
  </si>
  <si>
    <t>Schedule Impact</t>
  </si>
  <si>
    <t>Delay Type</t>
  </si>
  <si>
    <t>Accountable</t>
  </si>
  <si>
    <t>Description of Resolution</t>
  </si>
  <si>
    <t xml:space="preserve">Staircase work </t>
  </si>
  <si>
    <t>Building A</t>
  </si>
  <si>
    <t>Shutterting</t>
  </si>
  <si>
    <t>Design &amp; Technical</t>
  </si>
  <si>
    <t>Storage and handling constraints</t>
  </si>
  <si>
    <t>Overlapping Delay</t>
  </si>
  <si>
    <t>Architecture Consultant</t>
  </si>
  <si>
    <t>Resolved</t>
  </si>
  <si>
    <t>drawing was given on 22-11-2026</t>
  </si>
  <si>
    <t>Column reinforcement and formwork for part 1A</t>
  </si>
  <si>
    <t>Building B</t>
  </si>
  <si>
    <t>Casting</t>
  </si>
  <si>
    <t>Approval</t>
  </si>
  <si>
    <t>Delay in mock-up / sample approvals</t>
  </si>
  <si>
    <t>Non-overlapping Delay</t>
  </si>
  <si>
    <t>drawing was given on 28-12-2027</t>
  </si>
  <si>
    <t>basement 1 slab for Part 1B,1C</t>
  </si>
  <si>
    <t>Building C</t>
  </si>
  <si>
    <t>Variation / change order approval delays</t>
  </si>
  <si>
    <t>Structure Consultant</t>
  </si>
  <si>
    <t>drawing was given on 17-1-23</t>
  </si>
  <si>
    <t>Basement 1 slab for Part 1D</t>
  </si>
  <si>
    <t>Building D</t>
  </si>
  <si>
    <t>Material Procurement</t>
  </si>
  <si>
    <t>Work front not available / handed over</t>
  </si>
  <si>
    <t>Ground floor slab for Block A</t>
  </si>
  <si>
    <t>Building E</t>
  </si>
  <si>
    <t>Import / logistics clearance delays</t>
  </si>
  <si>
    <t>drawing was given on 8-2-23 for shuttering</t>
  </si>
  <si>
    <t>Basement 3 slab for Part 2</t>
  </si>
  <si>
    <t>Delay in statutory approvals (Fire, Local Authority, Utilities)</t>
  </si>
  <si>
    <t>drawing was given on 7-2-23 for shuttering</t>
  </si>
  <si>
    <t xml:space="preserve">Lift 4 </t>
  </si>
  <si>
    <t>Vendor / supplier non-performance</t>
  </si>
  <si>
    <t>drawing was given on 24-1-23 and hold decision was given on 31-1-23</t>
  </si>
  <si>
    <t>Stair 5,6,2 - Part 2</t>
  </si>
  <si>
    <t>Insufficient skilled manpower</t>
  </si>
  <si>
    <t>Block B &amp; C - ground floor slab</t>
  </si>
  <si>
    <t>Constructability issues at site</t>
  </si>
  <si>
    <t>drawing was given on 19-2-23 for shuttering</t>
  </si>
  <si>
    <t xml:space="preserve">Block A - ground floor </t>
  </si>
  <si>
    <t>Delay in issue of GFC / IFC drawings</t>
  </si>
  <si>
    <t>Block C - ground floor</t>
  </si>
  <si>
    <t>Delay in design clarifications (RFIs)</t>
  </si>
  <si>
    <t>casting done on 2/3/23</t>
  </si>
  <si>
    <t>Part 2- ramp work</t>
  </si>
  <si>
    <t>Delay in approval from Client / PMC</t>
  </si>
  <si>
    <t>Part 1- Stair 1,9</t>
  </si>
  <si>
    <t xml:space="preserve">Part 2A- basement 2 </t>
  </si>
  <si>
    <t>drawing was given on 21-3-23 for shuttering</t>
  </si>
  <si>
    <t>Count of Sr. No</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</si>
</sst>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5" formatCode="_ &quot;₹&quot;\ * #,##0.00_ ;_ &quot;₹&quot;\ * \-#,##0.00_ ;_ &quot;₹&quot;\ * &quot;-&quot;??_ ;_ @_ "/>
    <numFmt numFmtId="166" formatCode="&quot;₹&quot;\ #,##0.00"/>
    <numFmt numFmtId="167" formatCode="mm/dd/yy;@"/>
    <numFmt numFmtId="169" formatCode="_ &quot;Rs.&quot;\ * #,##0.00_ ;_ &quot;Rs.&quot;\ * \-#,##0.00_ ;_ &quot;Rs.&quot;\ * &quot;-&quot;??_ ;_ @_ "/>
  </numFmts>
  <fonts count="27">
    <font>
      <sz val="11"/>
      <color theme="1"/>
      <name val="Aptos Narrow"/>
      <family val="2"/>
      <scheme val="minor"/>
    </font>
    <font>
      <b/>
      <sz val="11"/>
      <color theme="1"/>
      <name val="Aptos Narrow"/>
      <family val="2"/>
      <scheme val="minor"/>
    </font>
    <font>
      <b/>
      <sz val="12"/>
      <color theme="1"/>
      <name val="Aptos Narrow"/>
      <family val="2"/>
      <scheme val="minor"/>
    </font>
    <font>
      <sz val="10"/>
      <color theme="1"/>
      <name val="Arial"/>
      <family val="2"/>
    </font>
    <font>
      <b/>
      <sz val="14"/>
      <color theme="1"/>
      <name val="Calibri"/>
      <family val="2"/>
    </font>
    <font>
      <sz val="10"/>
      <name val="Arial"/>
    </font>
    <font>
      <b/>
      <sz val="16"/>
      <color theme="1"/>
      <name val="Aptos Narrow"/>
      <family val="2"/>
      <scheme val="minor"/>
    </font>
    <font>
      <b/>
      <sz val="36"/>
      <color theme="0"/>
      <name val="Aptos Narrow"/>
      <family val="2"/>
      <scheme val="minor"/>
    </font>
    <font>
      <b/>
      <sz val="16"/>
      <color theme="1"/>
      <name val="Calibri"/>
      <family val="2"/>
    </font>
    <font>
      <sz val="16"/>
      <color theme="1"/>
      <name val="Aptos Narrow"/>
      <family val="2"/>
      <scheme val="minor"/>
    </font>
    <font>
      <b/>
      <sz val="20"/>
      <color theme="1"/>
      <name val="Aptos Narrow"/>
      <family val="2"/>
      <scheme val="minor"/>
    </font>
    <font>
      <sz val="20"/>
      <color theme="1"/>
      <name val="Aptos Narrow"/>
      <family val="2"/>
      <scheme val="minor"/>
    </font>
    <font>
      <sz val="11"/>
      <color theme="1"/>
      <name val="Aptos Narrow"/>
      <family val="2"/>
      <scheme val="minor"/>
    </font>
    <font>
      <sz val="12"/>
      <color theme="1"/>
      <name val="Aptos Narrow"/>
      <family val="2"/>
      <scheme val="minor"/>
    </font>
    <font>
      <b/>
      <sz val="11"/>
      <color theme="0"/>
      <name val="Calibri"/>
      <family val="2"/>
    </font>
    <font>
      <sz val="11"/>
      <color theme="1"/>
      <name val="Calibri"/>
      <family val="2"/>
    </font>
    <font>
      <b/>
      <sz val="18"/>
      <color theme="0"/>
      <name val="Arial"/>
      <family val="2"/>
    </font>
    <font>
      <b/>
      <sz val="12"/>
      <color theme="1"/>
      <name val="Arial"/>
      <family val="2"/>
    </font>
    <font>
      <b/>
      <sz val="12"/>
      <color theme="1" tint="4.9989318521683403E-2"/>
      <name val="Arial"/>
      <family val="2"/>
    </font>
    <font>
      <b/>
      <sz val="14"/>
      <color theme="1"/>
      <name val="Arial"/>
      <family val="2"/>
    </font>
    <font>
      <sz val="11"/>
      <name val="Aptos Narrow"/>
      <family val="2"/>
      <scheme val="minor"/>
    </font>
    <font>
      <sz val="11"/>
      <name val="Verdana"/>
      <family val="2"/>
    </font>
    <font>
      <b/>
      <sz val="10"/>
      <color theme="0"/>
      <name val="Calibri"/>
      <family val="2"/>
    </font>
    <font>
      <sz val="10"/>
      <name val="Calibri"/>
      <family val="2"/>
    </font>
    <font>
      <sz val="11"/>
      <name val="Calibri"/>
      <family val="2"/>
    </font>
    <font>
      <b/>
      <sz val="11"/>
      <name val="Calibri"/>
      <family val="2"/>
    </font>
    <font>
      <b/>
      <sz val="11"/>
      <name val="Verdana"/>
      <family val="2"/>
    </font>
  </fonts>
  <fills count="13">
    <fill>
      <patternFill patternType="none"/>
    </fill>
    <fill>
      <patternFill patternType="gray125"/>
    </fill>
    <fill>
      <patternFill patternType="solid">
        <fgColor theme="0" tint="-0.14999847407452621"/>
        <bgColor indexed="64"/>
      </patternFill>
    </fill>
    <fill>
      <patternFill patternType="solid">
        <fgColor theme="4" tint="-0.249977111117893"/>
        <bgColor indexed="64"/>
      </patternFill>
    </fill>
    <fill>
      <patternFill patternType="solid">
        <fgColor theme="0"/>
        <bgColor indexed="64"/>
      </patternFill>
    </fill>
    <fill>
      <patternFill patternType="solid">
        <fgColor theme="4" tint="-0.499984740745262"/>
        <bgColor indexed="64"/>
      </patternFill>
    </fill>
    <fill>
      <patternFill patternType="solid">
        <fgColor rgb="FFFF7C80"/>
        <bgColor indexed="64"/>
      </patternFill>
    </fill>
    <fill>
      <patternFill patternType="solid">
        <fgColor rgb="FFF89D84"/>
        <bgColor indexed="64"/>
      </patternFill>
    </fill>
    <fill>
      <patternFill patternType="solid">
        <fgColor rgb="FFC00000"/>
        <bgColor indexed="64"/>
      </patternFill>
    </fill>
    <fill>
      <patternFill patternType="solid">
        <fgColor rgb="FF393185"/>
        <bgColor rgb="FF393185"/>
      </patternFill>
    </fill>
    <fill>
      <patternFill patternType="solid">
        <fgColor rgb="FF92D050"/>
        <bgColor rgb="FF92D050"/>
      </patternFill>
    </fill>
    <fill>
      <patternFill patternType="solid">
        <fgColor rgb="FFFFFF00"/>
        <bgColor rgb="FFFFFF00"/>
      </patternFill>
    </fill>
    <fill>
      <patternFill patternType="solid">
        <fgColor rgb="FFFF0000"/>
        <bgColor rgb="FFFF0000"/>
      </patternFill>
    </fill>
  </fills>
  <borders count="49">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double">
        <color theme="1"/>
      </top>
      <bottom/>
      <diagonal/>
    </border>
    <border>
      <left/>
      <right/>
      <top style="double">
        <color theme="1"/>
      </top>
      <bottom/>
      <diagonal/>
    </border>
    <border>
      <left/>
      <right style="double">
        <color theme="1"/>
      </right>
      <top style="double">
        <color theme="1"/>
      </top>
      <bottom/>
      <diagonal/>
    </border>
    <border>
      <left style="medium">
        <color indexed="64"/>
      </left>
      <right/>
      <top/>
      <bottom style="double">
        <color theme="1"/>
      </bottom>
      <diagonal/>
    </border>
    <border>
      <left/>
      <right/>
      <top/>
      <bottom style="double">
        <color theme="1"/>
      </bottom>
      <diagonal/>
    </border>
    <border>
      <left/>
      <right style="double">
        <color theme="1"/>
      </right>
      <top/>
      <bottom style="double">
        <color theme="1"/>
      </bottom>
      <diagonal/>
    </border>
    <border>
      <left style="medium">
        <color indexed="64"/>
      </left>
      <right style="double">
        <color indexed="64"/>
      </right>
      <top style="double">
        <color theme="1"/>
      </top>
      <bottom style="double">
        <color theme="1"/>
      </bottom>
      <diagonal/>
    </border>
    <border>
      <left style="double">
        <color indexed="64"/>
      </left>
      <right style="double">
        <color indexed="64"/>
      </right>
      <top style="double">
        <color theme="1"/>
      </top>
      <bottom style="double">
        <color theme="1"/>
      </bottom>
      <diagonal/>
    </border>
    <border>
      <left style="double">
        <color indexed="64"/>
      </left>
      <right style="double">
        <color theme="1"/>
      </right>
      <top style="double">
        <color theme="1"/>
      </top>
      <bottom style="double">
        <color theme="1"/>
      </bottom>
      <diagonal/>
    </border>
    <border>
      <left style="medium">
        <color indexed="64"/>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style="double">
        <color theme="1"/>
      </right>
      <top/>
      <bottom style="double">
        <color indexed="64"/>
      </bottom>
      <diagonal/>
    </border>
    <border>
      <left style="medium">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medium">
        <color indexed="64"/>
      </left>
      <right style="double">
        <color indexed="64"/>
      </right>
      <top style="double">
        <color indexed="64"/>
      </top>
      <bottom style="double">
        <color theme="1"/>
      </bottom>
      <diagonal/>
    </border>
    <border>
      <left style="double">
        <color indexed="64"/>
      </left>
      <right style="double">
        <color indexed="64"/>
      </right>
      <top style="double">
        <color indexed="64"/>
      </top>
      <bottom style="double">
        <color theme="1"/>
      </bottom>
      <diagonal/>
    </border>
    <border>
      <left style="double">
        <color indexed="64"/>
      </left>
      <right style="double">
        <color theme="1"/>
      </right>
      <top style="double">
        <color indexed="64"/>
      </top>
      <bottom style="double">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6">
    <xf numFmtId="0" fontId="0" fillId="0" borderId="0"/>
    <xf numFmtId="0" fontId="5" fillId="0" borderId="0"/>
    <xf numFmtId="9" fontId="12" fillId="0" borderId="0" applyFont="0" applyFill="0" applyBorder="0" applyAlignment="0" applyProtection="0"/>
    <xf numFmtId="165" fontId="12" fillId="0" borderId="0" applyFont="0" applyFill="0" applyBorder="0" applyAlignment="0" applyProtection="0"/>
    <xf numFmtId="0" fontId="20" fillId="0" borderId="0"/>
    <xf numFmtId="0" fontId="20" fillId="0" borderId="0"/>
  </cellStyleXfs>
  <cellXfs count="153">
    <xf numFmtId="0" fontId="0" fillId="0" borderId="0" xfId="0"/>
    <xf numFmtId="0" fontId="0" fillId="0" borderId="0" xfId="0" applyAlignment="1">
      <alignment vertical="center"/>
    </xf>
    <xf numFmtId="0" fontId="0" fillId="4" borderId="3" xfId="0" applyFill="1" applyBorder="1"/>
    <xf numFmtId="0" fontId="0" fillId="4" borderId="0" xfId="0" applyFill="1"/>
    <xf numFmtId="0" fontId="0" fillId="4" borderId="3" xfId="0" applyFill="1" applyBorder="1" applyAlignment="1">
      <alignment vertical="center"/>
    </xf>
    <xf numFmtId="0" fontId="0" fillId="4" borderId="0" xfId="0" applyFill="1" applyAlignment="1">
      <alignment vertical="center"/>
    </xf>
    <xf numFmtId="0" fontId="4" fillId="4" borderId="0" xfId="0" applyFont="1" applyFill="1" applyAlignment="1">
      <alignment vertical="center"/>
    </xf>
    <xf numFmtId="0" fontId="8" fillId="4" borderId="0" xfId="0" applyFont="1" applyFill="1" applyAlignment="1">
      <alignment vertical="center"/>
    </xf>
    <xf numFmtId="0" fontId="9" fillId="4" borderId="0" xfId="0" applyFont="1" applyFill="1" applyAlignment="1">
      <alignment horizontal="left" wrapText="1"/>
    </xf>
    <xf numFmtId="0" fontId="11" fillId="4" borderId="0" xfId="0" applyFont="1" applyFill="1" applyAlignment="1">
      <alignment horizontal="right" vertical="center"/>
    </xf>
    <xf numFmtId="0" fontId="7" fillId="3" borderId="3" xfId="0" applyFont="1" applyFill="1" applyBorder="1" applyAlignment="1">
      <alignment horizontal="center" vertical="center"/>
    </xf>
    <xf numFmtId="0" fontId="6" fillId="4" borderId="0" xfId="0" applyFont="1" applyFill="1" applyAlignment="1">
      <alignment horizontal="left" vertical="center" wrapText="1"/>
    </xf>
    <xf numFmtId="10" fontId="10" fillId="4" borderId="0" xfId="0" applyNumberFormat="1" applyFont="1" applyFill="1" applyAlignment="1">
      <alignment horizontal="right" vertical="center"/>
    </xf>
    <xf numFmtId="0" fontId="7" fillId="3" borderId="3" xfId="0" applyFont="1" applyFill="1" applyBorder="1" applyAlignment="1">
      <alignment vertical="center"/>
    </xf>
    <xf numFmtId="0" fontId="7" fillId="3" borderId="0" xfId="0" applyFont="1" applyFill="1" applyAlignment="1">
      <alignment vertical="center"/>
    </xf>
    <xf numFmtId="0" fontId="7" fillId="3" borderId="0" xfId="0" applyFont="1" applyFill="1" applyBorder="1" applyAlignment="1">
      <alignment horizontal="center" vertical="center"/>
    </xf>
    <xf numFmtId="0" fontId="7" fillId="0" borderId="3" xfId="0" applyFont="1" applyFill="1" applyBorder="1" applyAlignment="1">
      <alignment vertical="center"/>
    </xf>
    <xf numFmtId="0" fontId="7" fillId="0" borderId="0" xfId="0" applyFont="1" applyFill="1" applyAlignment="1">
      <alignment vertical="center"/>
    </xf>
    <xf numFmtId="0" fontId="6" fillId="6" borderId="14" xfId="0" applyFont="1" applyFill="1" applyBorder="1" applyAlignment="1">
      <alignment horizontal="center" vertical="center" wrapText="1"/>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0" fontId="6" fillId="6" borderId="17" xfId="0" applyFont="1" applyFill="1" applyBorder="1" applyAlignment="1">
      <alignment horizontal="center" vertical="center"/>
    </xf>
    <xf numFmtId="0" fontId="6" fillId="6" borderId="18" xfId="0" applyFont="1" applyFill="1" applyBorder="1" applyAlignment="1">
      <alignment horizontal="center" vertical="center"/>
    </xf>
    <xf numFmtId="0" fontId="6" fillId="6" borderId="19" xfId="0" applyFont="1" applyFill="1" applyBorder="1" applyAlignment="1">
      <alignment horizontal="center" vertical="center"/>
    </xf>
    <xf numFmtId="0" fontId="2" fillId="4" borderId="20" xfId="0" applyFont="1" applyFill="1" applyBorder="1" applyAlignment="1">
      <alignment horizontal="left" vertical="center"/>
    </xf>
    <xf numFmtId="0" fontId="2" fillId="4" borderId="21" xfId="0" applyFont="1" applyFill="1" applyBorder="1" applyAlignment="1">
      <alignment horizontal="left" vertical="center"/>
    </xf>
    <xf numFmtId="14" fontId="13" fillId="0" borderId="21" xfId="0" applyNumberFormat="1" applyFont="1" applyBorder="1" applyAlignment="1">
      <alignment horizontal="center" vertical="center"/>
    </xf>
    <xf numFmtId="14" fontId="13" fillId="0" borderId="22" xfId="0" applyNumberFormat="1" applyFont="1" applyBorder="1" applyAlignment="1">
      <alignment horizontal="center" vertical="center"/>
    </xf>
    <xf numFmtId="0" fontId="2" fillId="4" borderId="23" xfId="0" applyFont="1" applyFill="1" applyBorder="1" applyAlignment="1">
      <alignment horizontal="left" vertical="center"/>
    </xf>
    <xf numFmtId="0" fontId="2" fillId="4" borderId="24" xfId="0" applyFont="1" applyFill="1" applyBorder="1" applyAlignment="1">
      <alignment horizontal="left" vertical="center"/>
    </xf>
    <xf numFmtId="14" fontId="13" fillId="0" borderId="24" xfId="0" applyNumberFormat="1" applyFont="1" applyBorder="1" applyAlignment="1">
      <alignment horizontal="center" vertical="center"/>
    </xf>
    <xf numFmtId="14" fontId="13" fillId="0" borderId="25" xfId="0" applyNumberFormat="1" applyFont="1" applyBorder="1" applyAlignment="1">
      <alignment horizontal="center" vertical="center"/>
    </xf>
    <xf numFmtId="0" fontId="2" fillId="4" borderId="26" xfId="0" applyFont="1" applyFill="1" applyBorder="1" applyAlignment="1">
      <alignment horizontal="left" vertical="center"/>
    </xf>
    <xf numFmtId="0" fontId="2" fillId="4" borderId="27" xfId="0" applyFont="1" applyFill="1" applyBorder="1" applyAlignment="1">
      <alignment horizontal="left" vertical="center"/>
    </xf>
    <xf numFmtId="0" fontId="2" fillId="4" borderId="28" xfId="0" applyFont="1" applyFill="1" applyBorder="1" applyAlignment="1">
      <alignment horizontal="left" vertical="center"/>
    </xf>
    <xf numFmtId="0" fontId="2" fillId="4" borderId="29" xfId="0" applyFont="1" applyFill="1" applyBorder="1" applyAlignment="1">
      <alignment horizontal="left" vertical="center"/>
    </xf>
    <xf numFmtId="10" fontId="2" fillId="4" borderId="29" xfId="0" applyNumberFormat="1" applyFont="1" applyFill="1" applyBorder="1" applyAlignment="1">
      <alignment horizontal="center" vertical="center"/>
    </xf>
    <xf numFmtId="10" fontId="2" fillId="4" borderId="30" xfId="0" applyNumberFormat="1" applyFont="1" applyFill="1" applyBorder="1" applyAlignment="1">
      <alignment horizontal="center" vertical="center"/>
    </xf>
    <xf numFmtId="0" fontId="7" fillId="0" borderId="0" xfId="0" applyFont="1" applyFill="1" applyBorder="1" applyAlignment="1">
      <alignment vertical="center"/>
    </xf>
    <xf numFmtId="0" fontId="4" fillId="7" borderId="31" xfId="0" applyFont="1" applyFill="1" applyBorder="1" applyAlignment="1">
      <alignment horizontal="center" vertical="center"/>
    </xf>
    <xf numFmtId="0" fontId="4" fillId="7" borderId="32" xfId="0" applyFont="1" applyFill="1" applyBorder="1" applyAlignment="1">
      <alignment horizontal="center" vertical="center"/>
    </xf>
    <xf numFmtId="0" fontId="4" fillId="7" borderId="33" xfId="0" applyFont="1" applyFill="1" applyBorder="1" applyAlignment="1">
      <alignment horizontal="center" vertical="center"/>
    </xf>
    <xf numFmtId="0" fontId="4" fillId="7" borderId="34" xfId="0" applyFont="1" applyFill="1" applyBorder="1" applyAlignment="1">
      <alignment horizontal="center" vertical="center"/>
    </xf>
    <xf numFmtId="0" fontId="4" fillId="7" borderId="35" xfId="0" applyFont="1" applyFill="1" applyBorder="1" applyAlignment="1">
      <alignment horizontal="center" vertical="center"/>
    </xf>
    <xf numFmtId="0" fontId="4" fillId="7" borderId="9" xfId="0" applyFont="1" applyFill="1" applyBorder="1" applyAlignment="1">
      <alignment horizontal="center" vertical="center"/>
    </xf>
    <xf numFmtId="0" fontId="14" fillId="3" borderId="31"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4" fillId="3" borderId="33" xfId="0" applyFont="1" applyFill="1" applyBorder="1" applyAlignment="1">
      <alignment horizontal="center" vertical="center" wrapText="1"/>
    </xf>
    <xf numFmtId="0" fontId="0" fillId="0" borderId="0" xfId="0" applyAlignment="1">
      <alignment vertical="center" wrapText="1"/>
    </xf>
    <xf numFmtId="0" fontId="15" fillId="0" borderId="11" xfId="0" applyFont="1" applyBorder="1" applyAlignment="1">
      <alignment vertical="center"/>
    </xf>
    <xf numFmtId="0" fontId="15" fillId="0" borderId="12" xfId="0" applyFont="1" applyBorder="1" applyAlignment="1">
      <alignment vertical="center"/>
    </xf>
    <xf numFmtId="0" fontId="15" fillId="0" borderId="12" xfId="0" applyFont="1" applyBorder="1" applyAlignment="1">
      <alignment vertical="center" wrapText="1"/>
    </xf>
    <xf numFmtId="0" fontId="15" fillId="0" borderId="12" xfId="0" applyFont="1" applyBorder="1" applyAlignment="1">
      <alignment horizontal="center" vertical="center"/>
    </xf>
    <xf numFmtId="14" fontId="15" fillId="0" borderId="12" xfId="0" applyNumberFormat="1" applyFont="1" applyBorder="1" applyAlignment="1">
      <alignment horizontal="center" vertical="center"/>
    </xf>
    <xf numFmtId="0" fontId="15" fillId="0" borderId="13" xfId="0" applyFont="1" applyBorder="1" applyAlignment="1">
      <alignment vertical="center"/>
    </xf>
    <xf numFmtId="0" fontId="15" fillId="0" borderId="4" xfId="0" applyFont="1" applyBorder="1" applyAlignment="1">
      <alignment vertical="center"/>
    </xf>
    <xf numFmtId="0" fontId="15" fillId="0" borderId="1" xfId="0" applyFont="1" applyBorder="1" applyAlignment="1">
      <alignment vertical="center"/>
    </xf>
    <xf numFmtId="0" fontId="15" fillId="0" borderId="1" xfId="0" applyFont="1" applyBorder="1" applyAlignment="1">
      <alignment vertical="center" wrapText="1"/>
    </xf>
    <xf numFmtId="0" fontId="15" fillId="0" borderId="1" xfId="0" applyFont="1" applyBorder="1" applyAlignment="1">
      <alignment horizontal="center" vertical="center"/>
    </xf>
    <xf numFmtId="14" fontId="15" fillId="0" borderId="1" xfId="0" applyNumberFormat="1" applyFont="1" applyBorder="1" applyAlignment="1">
      <alignment horizontal="center" vertical="center"/>
    </xf>
    <xf numFmtId="0" fontId="15" fillId="0" borderId="5" xfId="0" applyFont="1" applyBorder="1" applyAlignment="1">
      <alignment vertical="center"/>
    </xf>
    <xf numFmtId="0" fontId="15" fillId="0" borderId="8" xfId="0" applyFont="1" applyBorder="1" applyAlignment="1">
      <alignment vertical="center"/>
    </xf>
    <xf numFmtId="0" fontId="15" fillId="0" borderId="6" xfId="0" applyFont="1" applyBorder="1" applyAlignment="1">
      <alignment vertical="center"/>
    </xf>
    <xf numFmtId="0" fontId="15" fillId="0" borderId="6" xfId="0" applyFont="1" applyBorder="1" applyAlignment="1">
      <alignment vertical="center" wrapText="1"/>
    </xf>
    <xf numFmtId="0" fontId="15" fillId="0" borderId="6" xfId="0" applyFont="1" applyBorder="1" applyAlignment="1">
      <alignment horizontal="center" vertical="center"/>
    </xf>
    <xf numFmtId="14" fontId="15" fillId="0" borderId="6" xfId="0" applyNumberFormat="1" applyFont="1" applyBorder="1" applyAlignment="1">
      <alignment horizontal="center" vertical="center"/>
    </xf>
    <xf numFmtId="0" fontId="15" fillId="0" borderId="7" xfId="0" applyFont="1" applyBorder="1" applyAlignment="1">
      <alignment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vertical="center" wrapText="1"/>
    </xf>
    <xf numFmtId="15" fontId="0" fillId="0" borderId="0" xfId="0" applyNumberFormat="1" applyAlignment="1">
      <alignment vertical="center" wrapText="1"/>
    </xf>
    <xf numFmtId="1" fontId="0" fillId="0" borderId="0" xfId="0" applyNumberFormat="1" applyAlignment="1">
      <alignment vertical="center" wrapText="1"/>
    </xf>
    <xf numFmtId="9" fontId="0" fillId="0" borderId="0" xfId="0" applyNumberFormat="1" applyAlignment="1">
      <alignment vertical="center" wrapText="1"/>
    </xf>
    <xf numFmtId="0" fontId="0" fillId="0" borderId="0" xfId="0" applyNumberFormat="1" applyAlignment="1">
      <alignment vertical="center" wrapText="1"/>
    </xf>
    <xf numFmtId="9" fontId="0" fillId="0" borderId="0" xfId="0" applyNumberFormat="1"/>
    <xf numFmtId="0" fontId="16" fillId="5" borderId="36" xfId="0" applyFont="1" applyFill="1" applyBorder="1" applyAlignment="1">
      <alignment horizontal="center" vertical="center"/>
    </xf>
    <xf numFmtId="0" fontId="16" fillId="5" borderId="37" xfId="0" applyFont="1" applyFill="1" applyBorder="1" applyAlignment="1">
      <alignment horizontal="center" vertical="center"/>
    </xf>
    <xf numFmtId="0" fontId="16" fillId="5" borderId="36" xfId="0" applyFont="1" applyFill="1" applyBorder="1" applyAlignment="1">
      <alignment vertical="center"/>
    </xf>
    <xf numFmtId="0" fontId="16" fillId="5" borderId="37" xfId="0" applyFont="1" applyFill="1" applyBorder="1" applyAlignment="1">
      <alignment horizontal="center" vertical="center"/>
    </xf>
    <xf numFmtId="0" fontId="16" fillId="5" borderId="36" xfId="0" applyFont="1" applyFill="1" applyBorder="1" applyAlignment="1">
      <alignment horizontal="center" vertical="center" wrapText="1"/>
    </xf>
    <xf numFmtId="0" fontId="16" fillId="5" borderId="37"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7" fillId="0" borderId="0" xfId="0" applyFont="1" applyAlignment="1">
      <alignment vertical="center"/>
    </xf>
    <xf numFmtId="0" fontId="18" fillId="2" borderId="38" xfId="0" applyFont="1" applyFill="1" applyBorder="1" applyAlignment="1">
      <alignment horizontal="center" vertical="center" wrapText="1"/>
    </xf>
    <xf numFmtId="0" fontId="18" fillId="2" borderId="39" xfId="0" applyFont="1" applyFill="1" applyBorder="1" applyAlignment="1">
      <alignment horizontal="center" vertical="center" textRotation="90" wrapText="1"/>
    </xf>
    <xf numFmtId="0" fontId="18" fillId="2" borderId="39" xfId="0" applyFont="1" applyFill="1" applyBorder="1" applyAlignment="1">
      <alignment horizontal="center" vertical="center" wrapText="1"/>
    </xf>
    <xf numFmtId="0" fontId="18" fillId="2" borderId="40" xfId="0" applyFont="1" applyFill="1" applyBorder="1" applyAlignment="1">
      <alignment horizontal="center" vertical="center" wrapText="1"/>
    </xf>
    <xf numFmtId="0" fontId="18" fillId="2" borderId="38" xfId="0" applyFont="1" applyFill="1" applyBorder="1" applyAlignment="1">
      <alignment horizontal="center" vertical="center" textRotation="90" wrapText="1"/>
    </xf>
    <xf numFmtId="0" fontId="18" fillId="2" borderId="41" xfId="0" applyFont="1" applyFill="1" applyBorder="1" applyAlignment="1">
      <alignment horizontal="center" vertical="center" textRotation="90" wrapText="1"/>
    </xf>
    <xf numFmtId="0" fontId="18" fillId="2" borderId="40" xfId="0" applyFont="1" applyFill="1" applyBorder="1" applyAlignment="1">
      <alignment horizontal="center" vertical="center" textRotation="90" wrapText="1"/>
    </xf>
    <xf numFmtId="0" fontId="18" fillId="2" borderId="10" xfId="0" applyFont="1" applyFill="1" applyBorder="1" applyAlignment="1">
      <alignment horizontal="center" vertical="center" textRotation="90" wrapText="1"/>
    </xf>
    <xf numFmtId="0" fontId="18" fillId="2" borderId="41"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42" xfId="0" applyFont="1" applyFill="1" applyBorder="1" applyAlignment="1">
      <alignment horizontal="center" vertical="center" wrapText="1"/>
    </xf>
    <xf numFmtId="0" fontId="19" fillId="0" borderId="0" xfId="0" applyFont="1" applyAlignment="1">
      <alignment horizontal="center" vertical="center" wrapText="1"/>
    </xf>
    <xf numFmtId="0" fontId="3" fillId="0" borderId="43" xfId="0" applyFont="1" applyBorder="1" applyAlignment="1">
      <alignment horizontal="center" vertical="center" wrapText="1"/>
    </xf>
    <xf numFmtId="49" fontId="3" fillId="0" borderId="43" xfId="0" applyNumberFormat="1" applyFont="1" applyBorder="1" applyAlignment="1">
      <alignment horizontal="left" vertical="center" wrapText="1"/>
    </xf>
    <xf numFmtId="0" fontId="3" fillId="0" borderId="43" xfId="0" applyFont="1" applyBorder="1" applyAlignment="1">
      <alignment horizontal="center" vertical="center"/>
    </xf>
    <xf numFmtId="9" fontId="3" fillId="0" borderId="43" xfId="2" applyFont="1" applyFill="1" applyBorder="1" applyAlignment="1" applyProtection="1">
      <alignment horizontal="center" vertical="center"/>
    </xf>
    <xf numFmtId="166" fontId="3" fillId="0" borderId="43" xfId="3" quotePrefix="1" applyNumberFormat="1" applyFont="1" applyFill="1" applyBorder="1" applyAlignment="1" applyProtection="1">
      <alignment horizontal="center" vertical="center" wrapText="1"/>
    </xf>
    <xf numFmtId="0" fontId="3" fillId="0" borderId="43" xfId="3" quotePrefix="1" applyNumberFormat="1" applyFont="1" applyFill="1" applyBorder="1" applyAlignment="1" applyProtection="1">
      <alignment horizontal="center" vertical="center" wrapText="1"/>
    </xf>
    <xf numFmtId="49" fontId="3" fillId="0" borderId="43" xfId="0" quotePrefix="1" applyNumberFormat="1" applyFont="1" applyBorder="1" applyAlignment="1">
      <alignment horizontal="left" vertical="center" wrapText="1"/>
    </xf>
    <xf numFmtId="49" fontId="3" fillId="0" borderId="43" xfId="0" quotePrefix="1" applyNumberFormat="1" applyFont="1" applyBorder="1" applyAlignment="1">
      <alignment horizontal="center" vertical="center" wrapText="1"/>
    </xf>
    <xf numFmtId="49" fontId="3" fillId="0" borderId="43" xfId="0" quotePrefix="1" applyNumberFormat="1" applyFont="1" applyBorder="1" applyAlignment="1">
      <alignment vertical="center" wrapText="1"/>
    </xf>
    <xf numFmtId="167" fontId="3" fillId="0" borderId="43" xfId="0" applyNumberFormat="1" applyFont="1" applyBorder="1" applyAlignment="1">
      <alignment horizontal="center" vertical="center" wrapText="1"/>
    </xf>
    <xf numFmtId="167" fontId="3" fillId="0" borderId="1" xfId="0" applyNumberFormat="1" applyFont="1" applyBorder="1" applyAlignment="1">
      <alignment horizontal="center" vertical="center" wrapText="1"/>
    </xf>
    <xf numFmtId="49" fontId="3" fillId="0" borderId="1" xfId="0" quotePrefix="1" applyNumberFormat="1"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textRotation="90"/>
    </xf>
    <xf numFmtId="0" fontId="14" fillId="8" borderId="0" xfId="4" applyFont="1" applyFill="1" applyAlignment="1">
      <alignment horizontal="center" vertical="center"/>
    </xf>
    <xf numFmtId="0" fontId="21" fillId="0" borderId="0" xfId="4" applyFont="1"/>
    <xf numFmtId="0" fontId="20" fillId="0" borderId="0" xfId="4"/>
    <xf numFmtId="0" fontId="22" fillId="9" borderId="44" xfId="4" applyFont="1" applyFill="1" applyBorder="1" applyAlignment="1">
      <alignment horizontal="center" vertical="center" wrapText="1"/>
    </xf>
    <xf numFmtId="0" fontId="21" fillId="0" borderId="0" xfId="4" applyFont="1" applyAlignment="1">
      <alignment wrapText="1"/>
    </xf>
    <xf numFmtId="0" fontId="23" fillId="0" borderId="44" xfId="4" applyFont="1" applyBorder="1" applyAlignment="1">
      <alignment horizontal="center" vertical="center"/>
    </xf>
    <xf numFmtId="0" fontId="23" fillId="0" borderId="44" xfId="4" applyFont="1" applyBorder="1" applyAlignment="1">
      <alignment horizontal="left" vertical="center" wrapText="1"/>
    </xf>
    <xf numFmtId="0" fontId="24" fillId="0" borderId="1" xfId="5" applyFont="1" applyBorder="1" applyAlignment="1">
      <alignment horizontal="center" vertical="center" wrapText="1"/>
    </xf>
    <xf numFmtId="0" fontId="23" fillId="0" borderId="44" xfId="4" applyFont="1" applyBorder="1" applyAlignment="1">
      <alignment horizontal="center" vertical="center" wrapText="1"/>
    </xf>
    <xf numFmtId="14" fontId="23" fillId="0" borderId="44" xfId="4" applyNumberFormat="1" applyFont="1" applyBorder="1" applyAlignment="1">
      <alignment horizontal="center" vertical="center" wrapText="1"/>
    </xf>
    <xf numFmtId="14" fontId="24" fillId="0" borderId="44" xfId="4" applyNumberFormat="1" applyFont="1" applyBorder="1" applyAlignment="1">
      <alignment horizontal="center" vertical="center" wrapText="1"/>
    </xf>
    <xf numFmtId="0" fontId="24" fillId="0" borderId="44" xfId="4" applyFont="1" applyBorder="1" applyAlignment="1">
      <alignment horizontal="center" vertical="center"/>
    </xf>
    <xf numFmtId="0" fontId="25" fillId="0" borderId="44" xfId="4" applyFont="1" applyBorder="1" applyAlignment="1">
      <alignment horizontal="center" vertical="center"/>
    </xf>
    <xf numFmtId="0" fontId="24" fillId="0" borderId="44" xfId="4" applyFont="1" applyBorder="1" applyAlignment="1">
      <alignment horizontal="center" vertical="center" wrapText="1"/>
    </xf>
    <xf numFmtId="0" fontId="24" fillId="10" borderId="44" xfId="4" applyFont="1" applyFill="1" applyBorder="1" applyAlignment="1">
      <alignment horizontal="center" vertical="center"/>
    </xf>
    <xf numFmtId="0" fontId="24" fillId="0" borderId="44" xfId="4" applyFont="1" applyBorder="1" applyAlignment="1">
      <alignment horizontal="left" vertical="center" wrapText="1"/>
    </xf>
    <xf numFmtId="0" fontId="21" fillId="0" borderId="0" xfId="4" applyFont="1" applyAlignment="1">
      <alignment horizontal="center" vertical="center"/>
    </xf>
    <xf numFmtId="0" fontId="26" fillId="11" borderId="45" xfId="4" applyFont="1" applyFill="1" applyBorder="1" applyAlignment="1">
      <alignment horizontal="center"/>
    </xf>
    <xf numFmtId="0" fontId="24" fillId="0" borderId="46" xfId="4" applyFont="1" applyBorder="1"/>
    <xf numFmtId="0" fontId="24" fillId="0" borderId="47" xfId="4" applyFont="1" applyBorder="1"/>
    <xf numFmtId="0" fontId="26" fillId="11" borderId="44" xfId="4" applyFont="1" applyFill="1" applyBorder="1" applyAlignment="1">
      <alignment horizontal="center"/>
    </xf>
    <xf numFmtId="14" fontId="24" fillId="0" borderId="44" xfId="4" applyNumberFormat="1" applyFont="1" applyBorder="1" applyAlignment="1">
      <alignment horizontal="center" vertical="center"/>
    </xf>
    <xf numFmtId="0" fontId="23" fillId="0" borderId="48" xfId="4" applyFont="1" applyBorder="1" applyAlignment="1">
      <alignment horizontal="center" vertical="center"/>
    </xf>
    <xf numFmtId="0" fontId="23" fillId="0" borderId="48" xfId="4" applyFont="1" applyBorder="1" applyAlignment="1">
      <alignment horizontal="left" vertical="center" wrapText="1"/>
    </xf>
    <xf numFmtId="14" fontId="23" fillId="0" borderId="48" xfId="4" applyNumberFormat="1" applyFont="1" applyBorder="1" applyAlignment="1">
      <alignment horizontal="center" vertical="center"/>
    </xf>
    <xf numFmtId="0" fontId="24" fillId="0" borderId="48" xfId="4" applyFont="1" applyBorder="1" applyAlignment="1">
      <alignment horizontal="left" vertical="center" wrapText="1"/>
    </xf>
    <xf numFmtId="14" fontId="24" fillId="0" borderId="48" xfId="4" applyNumberFormat="1" applyFont="1" applyBorder="1" applyAlignment="1">
      <alignment horizontal="center" vertical="center"/>
    </xf>
    <xf numFmtId="0" fontId="24" fillId="0" borderId="48" xfId="4" applyFont="1" applyBorder="1" applyAlignment="1">
      <alignment horizontal="center" vertical="center"/>
    </xf>
    <xf numFmtId="14" fontId="24" fillId="0" borderId="48" xfId="4" applyNumberFormat="1" applyFont="1" applyBorder="1" applyAlignment="1">
      <alignment horizontal="center" vertical="center" wrapText="1"/>
    </xf>
    <xf numFmtId="0" fontId="25" fillId="0" borderId="48" xfId="4" applyFont="1" applyBorder="1" applyAlignment="1">
      <alignment horizontal="center" vertical="center"/>
    </xf>
    <xf numFmtId="0" fontId="24" fillId="0" borderId="48" xfId="4" applyFont="1" applyBorder="1" applyAlignment="1">
      <alignment horizontal="center" vertical="center" wrapText="1"/>
    </xf>
    <xf numFmtId="0" fontId="24" fillId="10" borderId="48" xfId="4" applyFont="1" applyFill="1" applyBorder="1" applyAlignment="1">
      <alignment horizontal="center" vertical="center"/>
    </xf>
    <xf numFmtId="14" fontId="23" fillId="0" borderId="44" xfId="4" applyNumberFormat="1" applyFont="1" applyBorder="1" applyAlignment="1">
      <alignment horizontal="center" vertical="center"/>
    </xf>
    <xf numFmtId="0" fontId="24" fillId="12" borderId="48" xfId="4" applyFont="1" applyFill="1" applyBorder="1" applyAlignment="1">
      <alignment horizontal="center" vertical="center"/>
    </xf>
    <xf numFmtId="0" fontId="24" fillId="0" borderId="44" xfId="4" applyFont="1" applyBorder="1" applyAlignment="1">
      <alignment horizontal="center"/>
    </xf>
    <xf numFmtId="0" fontId="21" fillId="0" borderId="0" xfId="4" applyFont="1" applyAlignment="1">
      <alignment horizontal="center"/>
    </xf>
    <xf numFmtId="169" fontId="21" fillId="0" borderId="0" xfId="4" applyNumberFormat="1" applyFont="1"/>
    <xf numFmtId="169" fontId="21" fillId="0" borderId="0" xfId="4" applyNumberFormat="1" applyFont="1" applyAlignment="1">
      <alignment horizontal="center"/>
    </xf>
    <xf numFmtId="169" fontId="21" fillId="0" borderId="0" xfId="4" applyNumberFormat="1" applyFont="1" applyAlignment="1">
      <alignment horizontal="center" vertical="center"/>
    </xf>
    <xf numFmtId="0" fontId="21" fillId="0" borderId="44" xfId="4" applyFont="1" applyBorder="1" applyAlignment="1">
      <alignment horizontal="center" vertical="center"/>
    </xf>
    <xf numFmtId="0" fontId="20" fillId="0" borderId="0" xfId="4" applyAlignment="1">
      <alignment horizontal="center"/>
    </xf>
    <xf numFmtId="0" fontId="7" fillId="0" borderId="0" xfId="0" applyFont="1" applyFill="1" applyAlignment="1">
      <alignment horizontal="center" vertical="center"/>
    </xf>
  </cellXfs>
  <cellStyles count="6">
    <cellStyle name="Currency 2" xfId="3"/>
    <cellStyle name="Normal" xfId="0" builtinId="0"/>
    <cellStyle name="Normal 2" xfId="1"/>
    <cellStyle name="Normal 2 2" xfId="5"/>
    <cellStyle name="Normal 4" xfId="4"/>
    <cellStyle name="Percent" xfId="2" builtinId="5"/>
  </cellStyles>
  <dxfs count="61">
    <dxf>
      <font>
        <color rgb="FF006100"/>
      </font>
      <fill>
        <patternFill>
          <bgColor rgb="FFC6EFCE"/>
        </patternFill>
      </fill>
    </dxf>
    <dxf>
      <font>
        <color rgb="FF9C0006"/>
      </font>
      <fill>
        <patternFill>
          <bgColor rgb="FFFFC7CE"/>
        </patternFill>
      </fill>
    </dxf>
    <dxf>
      <fill>
        <patternFill>
          <bgColor rgb="FFFFC000"/>
        </patternFill>
      </fill>
    </dxf>
    <dxf>
      <fill>
        <patternFill>
          <bgColor theme="3" tint="0.749961851863155"/>
        </patternFill>
      </fill>
    </dxf>
    <dxf>
      <fill>
        <patternFill>
          <bgColor theme="9"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24"/>
        <color theme="1"/>
        <name val="Arial"/>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numFmt numFmtId="167"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numFmt numFmtId="30" formatCode="@"/>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scheme val="none"/>
      </font>
      <numFmt numFmtId="30" formatCode="@"/>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numFmt numFmtId="30" formatCode="@"/>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protection locked="1"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scheme val="none"/>
      </font>
      <numFmt numFmtId="0" formatCode="General"/>
      <fill>
        <patternFill patternType="none">
          <fgColor indexed="64"/>
          <bgColor indexed="65"/>
        </patternFill>
      </fill>
      <alignment horizontal="center" vertical="center" textRotation="90" wrapText="1"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numFmt numFmtId="30" formatCode="@"/>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scheme val="none"/>
      </font>
      <numFmt numFmtId="30" formatCode="@"/>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30" formatCode="@"/>
      <alignment horizontal="center" vertical="center" textRotation="9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numFmt numFmtId="30" formatCode="@"/>
      <alignment horizontal="center" vertical="center" textRotation="9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2"/>
        <color theme="1" tint="4.9989318521683403E-2"/>
        <name val="Arial"/>
        <scheme val="none"/>
      </font>
      <fill>
        <patternFill patternType="solid">
          <fgColor indexed="64"/>
          <bgColor theme="0" tint="-0.14999847407452621"/>
        </patternFill>
      </fill>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dd/mmm/yy"/>
      <alignment horizontal="general" vertical="center" textRotation="0" wrapText="1" indent="0" justifyLastLine="0" shrinkToFit="0" readingOrder="0"/>
    </dxf>
    <dxf>
      <numFmt numFmtId="164" formatCode="dd/mmm/yy"/>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wrapText="1" indent="0" justifyLastLine="0" shrinkToFit="0" readingOrder="0"/>
    </dxf>
    <dxf>
      <numFmt numFmtId="164" formatCode="dd/mmm/yy"/>
      <alignment horizontal="general" vertical="center" textRotation="0" wrapText="1" indent="0" justifyLastLine="0" shrinkToFit="0" readingOrder="0"/>
    </dxf>
    <dxf>
      <numFmt numFmtId="164" formatCode="dd/mmm/yy"/>
      <alignment horizontal="general" vertical="center" textRotation="0" wrapText="1" indent="0" justifyLastLine="0" shrinkToFit="0" readingOrder="0"/>
    </dxf>
    <dxf>
      <numFmt numFmtId="164" formatCode="dd/mmm/yy"/>
      <alignment horizontal="general" vertical="center" textRotation="0" wrapText="1" indent="0" justifyLastLine="0" shrinkToFit="0" readingOrder="0"/>
    </dxf>
    <dxf>
      <numFmt numFmtId="164"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scheme val="minor"/>
      </font>
      <alignment horizontal="center" vertical="center" textRotation="0" wrapText="1" indent="0" justifyLastLine="0" shrinkToFit="0" readingOrder="0"/>
    </dxf>
  </dxfs>
  <tableStyles count="0" defaultTableStyle="TableStyleMedium2" defaultPivotStyle="PivotStyleLight16"/>
  <colors>
    <mruColors>
      <color rgb="FFFE6262"/>
      <color rgb="FFF57359"/>
      <color rgb="FFF7917D"/>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externalLink" Target="externalLinks/externalLink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[Monthly Progress Dashboard - Copy.xlsx]Dashboard!PivotTable1</c:name>
    <c:fmtId val="0"/>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Status of Approvals</a:t>
            </a:r>
          </a:p>
        </c:rich>
      </c:tx>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tint val="54000"/>
            </a:schemeClr>
          </a:solidFill>
          <a:ln>
            <a:noFill/>
          </a:ln>
          <a:effectLst/>
        </c:spPr>
        <c:dLbl>
          <c:idx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
      </c:pivotFmt>
      <c:pivotFmt>
        <c:idx val="3"/>
        <c:spPr>
          <a:solidFill>
            <a:schemeClr val="accent1">
              <a:tint val="77000"/>
            </a:schemeClr>
          </a:solidFill>
          <a:ln>
            <a:noFill/>
          </a:ln>
          <a:effectLst/>
        </c:spPr>
        <c:dLbl>
          <c:idx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
      </c:pivotFmt>
    </c:pivotFmts>
    <c:plotArea>
      <c:layout/>
      <c:doughnutChart>
        <c:varyColors val="1"/>
        <c:ser>
          <c:idx val="0"/>
          <c:order val="0"/>
          <c:tx>
            <c:strRef>
              <c:f>Dashboard!$I$16</c:f>
              <c:strCache>
                <c:ptCount val="1"/>
                <c:pt idx="0">
                  <c:v>Total</c:v>
                </c:pt>
              </c:strCache>
            </c:strRef>
          </c:tx>
          <c:dPt>
            <c:idx val="0"/>
            <c:bubble3D val="0"/>
            <c:spPr>
              <a:solidFill>
                <a:schemeClr val="accent1">
                  <a:shade val="53000"/>
                </a:schemeClr>
              </a:solidFill>
              <a:ln>
                <a:noFill/>
              </a:ln>
              <a:effectLst/>
            </c:spPr>
          </c:dPt>
          <c:dPt>
            <c:idx val="1"/>
            <c:bubble3D val="0"/>
            <c:spPr>
              <a:solidFill>
                <a:schemeClr val="accent1">
                  <a:shade val="76000"/>
                </a:schemeClr>
              </a:solidFill>
              <a:ln>
                <a:noFill/>
              </a:ln>
              <a:effectLst/>
            </c:spPr>
          </c:dPt>
          <c:dPt>
            <c:idx val="2"/>
            <c:bubble3D val="0"/>
            <c:spPr>
              <a:solidFill>
                <a:schemeClr val="accent1"/>
              </a:solidFill>
              <a:ln>
                <a:noFill/>
              </a:ln>
              <a:effectLst/>
            </c:spPr>
          </c:dPt>
          <c:dPt>
            <c:idx val="3"/>
            <c:bubble3D val="0"/>
            <c:spPr>
              <a:solidFill>
                <a:schemeClr val="accent1">
                  <a:tint val="77000"/>
                </a:schemeClr>
              </a:solidFill>
              <a:ln>
                <a:noFill/>
              </a:ln>
              <a:effectLst/>
            </c:spPr>
          </c:dPt>
          <c:dPt>
            <c:idx val="4"/>
            <c:bubble3D val="0"/>
            <c:spPr>
              <a:solidFill>
                <a:schemeClr val="accent1">
                  <a:tint val="54000"/>
                </a:schemeClr>
              </a:solidFill>
              <a:ln>
                <a:noFill/>
              </a:ln>
              <a:effectLst/>
            </c:spPr>
          </c:dPt>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Dashboard!$H$17:$H$22</c:f>
              <c:strCache>
                <c:ptCount val="5"/>
                <c:pt idx="0">
                  <c:v>Approved</c:v>
                </c:pt>
                <c:pt idx="1">
                  <c:v>Delayed</c:v>
                </c:pt>
                <c:pt idx="2">
                  <c:v>In Progress</c:v>
                </c:pt>
                <c:pt idx="3">
                  <c:v>Not Submitted</c:v>
                </c:pt>
                <c:pt idx="4">
                  <c:v>Submitted</c:v>
                </c:pt>
              </c:strCache>
            </c:strRef>
          </c:cat>
          <c:val>
            <c:numRef>
              <c:f>Dashboard!$I$17:$I$22</c:f>
              <c:numCache>
                <c:formatCode>General</c:formatCode>
                <c:ptCount val="5"/>
                <c:pt idx="0">
                  <c:v>12</c:v>
                </c:pt>
                <c:pt idx="1">
                  <c:v>3</c:v>
                </c:pt>
                <c:pt idx="2">
                  <c:v>4</c:v>
                </c:pt>
                <c:pt idx="3">
                  <c:v>4</c:v>
                </c:pt>
                <c:pt idx="4">
                  <c:v>7</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 Progress Dashboard - Copy.xlsx]Dashboard!PivotTable2</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400" b="1" i="0" u="none" strike="noStrike" kern="1200" spc="0" baseline="0">
                <a:solidFill>
                  <a:sysClr val="windowText" lastClr="000000">
                    <a:lumMod val="65000"/>
                    <a:lumOff val="35000"/>
                  </a:sysClr>
                </a:solidFill>
                <a:latin typeface="+mn-lt"/>
                <a:ea typeface="+mn-ea"/>
                <a:cs typeface="+mn-cs"/>
              </a:defRPr>
            </a:pPr>
            <a:r>
              <a:rPr lang="en-US" sz="2400" b="1" i="0" baseline="0">
                <a:effectLst/>
              </a:rPr>
              <a:t>% Complete of Phase </a:t>
            </a:r>
            <a:endParaRPr lang="en-US" sz="2400" b="1">
              <a:effectLst/>
            </a:endParaRP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Dashboard!$O$12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Dashboard!$N$13:$N$20</c:f>
              <c:strCache>
                <c:ptCount val="7"/>
                <c:pt idx="0">
                  <c:v>Excavation</c:v>
                </c:pt>
                <c:pt idx="1">
                  <c:v>Finishing</c:v>
                </c:pt>
                <c:pt idx="2">
                  <c:v>Foundation</c:v>
                </c:pt>
                <c:pt idx="3">
                  <c:v>Handover</c:v>
                </c:pt>
                <c:pt idx="4">
                  <c:v>Masonry</c:v>
                </c:pt>
                <c:pt idx="5">
                  <c:v>Pre-Construction</c:v>
                </c:pt>
                <c:pt idx="6">
                  <c:v>Structure</c:v>
                </c:pt>
              </c:strCache>
            </c:strRef>
          </c:cat>
          <c:val>
            <c:numRef>
              <c:f>Dashboard!$O$13:$O$20</c:f>
              <c:numCache>
                <c:formatCode>0%</c:formatCode>
                <c:ptCount val="7"/>
                <c:pt idx="0">
                  <c:v>1</c:v>
                </c:pt>
                <c:pt idx="1">
                  <c:v>0.1</c:v>
                </c:pt>
                <c:pt idx="2">
                  <c:v>1</c:v>
                </c:pt>
                <c:pt idx="3">
                  <c:v>0</c:v>
                </c:pt>
                <c:pt idx="4">
                  <c:v>1</c:v>
                </c:pt>
                <c:pt idx="5">
                  <c:v>1</c:v>
                </c:pt>
                <c:pt idx="6">
                  <c:v>1</c:v>
                </c:pt>
              </c:numCache>
            </c:numRef>
          </c:val>
        </c:ser>
        <c:dLbls>
          <c:dLblPos val="outEnd"/>
          <c:showLegendKey val="0"/>
          <c:showVal val="1"/>
          <c:showCatName val="0"/>
          <c:showSerName val="0"/>
          <c:showPercent val="0"/>
          <c:showBubbleSize val="0"/>
        </c:dLbls>
        <c:gapWidth val="219"/>
        <c:axId val="-870779712"/>
        <c:axId val="-870777536"/>
      </c:barChart>
      <c:catAx>
        <c:axId val="-87077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70777536"/>
        <c:crosses val="autoZero"/>
        <c:auto val="1"/>
        <c:lblAlgn val="ctr"/>
        <c:lblOffset val="100"/>
        <c:noMultiLvlLbl val="0"/>
      </c:catAx>
      <c:valAx>
        <c:axId val="-8707775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70779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[Monthly Progress Dashboard - Copy.xlsx]Dashboard!PivotTable3</c:name>
    <c:fmtId val="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IN" sz="2400" b="1"/>
              <a:t>Risk status</a:t>
            </a:r>
            <a:endParaRPr lang="en-US" sz="2400" b="1"/>
          </a:p>
        </c:rich>
      </c:tx>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tint val="58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dLbl>
      </c:pivotFmt>
    </c:pivotFmts>
    <c:plotArea>
      <c:layout/>
      <c:doughnutChart>
        <c:varyColors val="1"/>
        <c:ser>
          <c:idx val="0"/>
          <c:order val="0"/>
          <c:tx>
            <c:strRef>
              <c:f>Dashboard!$D$28</c:f>
              <c:strCache>
                <c:ptCount val="1"/>
                <c:pt idx="0">
                  <c:v>Total</c:v>
                </c:pt>
              </c:strCache>
            </c:strRef>
          </c:tx>
          <c:dPt>
            <c:idx val="0"/>
            <c:bubble3D val="0"/>
            <c:spPr>
              <a:solidFill>
                <a:schemeClr val="accent1">
                  <a:shade val="58000"/>
                </a:schemeClr>
              </a:solidFill>
              <a:ln w="19050">
                <a:solidFill>
                  <a:schemeClr val="lt1"/>
                </a:solidFill>
              </a:ln>
              <a:effectLst/>
            </c:spPr>
          </c:dPt>
          <c:dPt>
            <c:idx val="1"/>
            <c:bubble3D val="0"/>
            <c:spPr>
              <a:solidFill>
                <a:schemeClr val="accent1">
                  <a:shade val="86000"/>
                </a:schemeClr>
              </a:solidFill>
              <a:ln w="19050">
                <a:solidFill>
                  <a:schemeClr val="lt1"/>
                </a:solidFill>
              </a:ln>
              <a:effectLst/>
            </c:spPr>
          </c:dPt>
          <c:dPt>
            <c:idx val="2"/>
            <c:bubble3D val="0"/>
            <c:spPr>
              <a:solidFill>
                <a:schemeClr val="accent1">
                  <a:tint val="86000"/>
                </a:schemeClr>
              </a:solidFill>
              <a:ln w="19050">
                <a:solidFill>
                  <a:schemeClr val="lt1"/>
                </a:solidFill>
              </a:ln>
              <a:effectLst/>
            </c:spPr>
          </c:dPt>
          <c:dPt>
            <c:idx val="3"/>
            <c:bubble3D val="0"/>
            <c:spPr>
              <a:solidFill>
                <a:schemeClr val="accent1">
                  <a:tint val="58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Dashboard!$C$29:$C$33</c:f>
              <c:strCache>
                <c:ptCount val="4"/>
                <c:pt idx="0">
                  <c:v>Active (Ongoing)</c:v>
                </c:pt>
                <c:pt idx="1">
                  <c:v>Completed</c:v>
                </c:pt>
                <c:pt idx="2">
                  <c:v>Dormant (Not Started)</c:v>
                </c:pt>
                <c:pt idx="3">
                  <c:v>Not Started</c:v>
                </c:pt>
              </c:strCache>
            </c:strRef>
          </c:cat>
          <c:val>
            <c:numRef>
              <c:f>Dashboard!$D$29:$D$33</c:f>
              <c:numCache>
                <c:formatCode>General</c:formatCode>
                <c:ptCount val="4"/>
                <c:pt idx="0">
                  <c:v>8</c:v>
                </c:pt>
                <c:pt idx="1">
                  <c:v>7</c:v>
                </c:pt>
                <c:pt idx="2">
                  <c:v>7</c:v>
                </c:pt>
                <c:pt idx="3">
                  <c:v>8</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073561235974399E-2"/>
          <c:y val="0.12856746913971381"/>
          <c:w val="0.80508316515152312"/>
          <c:h val="0.80451246924683995"/>
        </c:manualLayout>
      </c:layout>
      <c:lineChart>
        <c:grouping val="standard"/>
        <c:varyColors val="0"/>
        <c:ser>
          <c:idx val="0"/>
          <c:order val="0"/>
          <c:tx>
            <c:strRef>
              <c:f>[6]Tracking!$A$26</c:f>
              <c:strCache>
                <c:ptCount val="1"/>
                <c:pt idx="0">
                  <c:v>CPI</c:v>
                </c:pt>
              </c:strCache>
            </c:strRef>
          </c:tx>
          <c:spPr>
            <a:ln w="34925" cap="rnd">
              <a:solidFill>
                <a:schemeClr val="lt1"/>
              </a:solidFill>
              <a:round/>
            </a:ln>
            <a:effectLst>
              <a:outerShdw dist="25400" dir="2700000" algn="tl" rotWithShape="0">
                <a:schemeClr val="accent1"/>
              </a:outerShdw>
            </a:effectLst>
          </c:spPr>
          <c:marker>
            <c:symbol val="none"/>
          </c:marker>
          <c:dLbls>
            <c:dLbl>
              <c:idx val="0"/>
              <c:layout>
                <c:manualLayout>
                  <c:x val="-8.0343438688740818E-2"/>
                  <c:y val="-9.8483803802145664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0707071826995056E-2"/>
                  <c:y val="-8.763980328812305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numRef>
              <c:f>[6]Tracking!$B$2:$E$2</c:f>
              <c:numCache>
                <c:formatCode>General</c:formatCode>
                <c:ptCount val="4"/>
                <c:pt idx="0">
                  <c:v>45931</c:v>
                </c:pt>
                <c:pt idx="1">
                  <c:v>45962</c:v>
                </c:pt>
                <c:pt idx="2">
                  <c:v>45992</c:v>
                </c:pt>
                <c:pt idx="3">
                  <c:v>46023</c:v>
                </c:pt>
              </c:numCache>
            </c:numRef>
          </c:cat>
          <c:val>
            <c:numRef>
              <c:f>[6]Tracking!$B$26:$E$26</c:f>
              <c:numCache>
                <c:formatCode>General</c:formatCode>
                <c:ptCount val="4"/>
                <c:pt idx="0">
                  <c:v>1.0331074883938467</c:v>
                </c:pt>
                <c:pt idx="1">
                  <c:v>1.1443730219714245</c:v>
                </c:pt>
                <c:pt idx="2">
                  <c:v>1.1967394447894066</c:v>
                </c:pt>
                <c:pt idx="3">
                  <c:v>1.090883835583212</c:v>
                </c:pt>
              </c:numCache>
            </c:numRef>
          </c:val>
          <c:smooth val="1"/>
          <c:extLst xmlns:c16r2="http://schemas.microsoft.com/office/drawing/2015/06/chart">
            <c:ext xmlns:c16="http://schemas.microsoft.com/office/drawing/2014/chart" uri="{C3380CC4-5D6E-409C-BE32-E72D297353CC}">
              <c16:uniqueId val="{00000000-EC3E-4BB0-BBFA-09D02B5711B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549073760"/>
        <c:axId val="-549083552"/>
      </c:lineChart>
      <c:catAx>
        <c:axId val="-549073760"/>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2000" b="0" i="0" u="none" strike="noStrike" kern="1200" spc="100" baseline="0">
                <a:solidFill>
                  <a:schemeClr val="lt1"/>
                </a:solidFill>
                <a:latin typeface="+mn-lt"/>
                <a:ea typeface="+mn-ea"/>
                <a:cs typeface="+mn-cs"/>
              </a:defRPr>
            </a:pPr>
            <a:endParaRPr lang="en-US"/>
          </a:p>
        </c:txPr>
        <c:crossAx val="-549083552"/>
        <c:crosses val="autoZero"/>
        <c:auto val="1"/>
        <c:lblAlgn val="ctr"/>
        <c:lblOffset val="100"/>
        <c:noMultiLvlLbl val="0"/>
      </c:catAx>
      <c:valAx>
        <c:axId val="-549083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solidFill>
                <a:latin typeface="+mn-lt"/>
                <a:ea typeface="+mn-ea"/>
                <a:cs typeface="+mn-cs"/>
              </a:defRPr>
            </a:pPr>
            <a:endParaRPr lang="en-US"/>
          </a:p>
        </c:txPr>
        <c:crossAx val="-549073760"/>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sz="2000"/>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86930721421594"/>
          <c:y val="0.17308670301033133"/>
          <c:w val="0.77286695960168283"/>
          <c:h val="0.6004222783038905"/>
        </c:manualLayout>
      </c:layout>
      <c:barChart>
        <c:barDir val="col"/>
        <c:grouping val="clustered"/>
        <c:varyColors val="0"/>
        <c:ser>
          <c:idx val="0"/>
          <c:order val="0"/>
          <c:tx>
            <c:strRef>
              <c:f>'[7]Project Cashflow '!$E$3</c:f>
              <c:strCache>
                <c:ptCount val="1"/>
                <c:pt idx="0">
                  <c:v>Planned Work </c:v>
                </c:pt>
              </c:strCache>
            </c:strRef>
          </c:tx>
          <c:spPr>
            <a:solidFill>
              <a:srgbClr val="005A80"/>
            </a:solidFill>
            <a:ln>
              <a:noFill/>
            </a:ln>
            <a:effectLst/>
          </c:spPr>
          <c:invertIfNegative val="0"/>
          <c:dPt>
            <c:idx val="0"/>
            <c:invertIfNegative val="0"/>
            <c:bubble3D val="0"/>
            <c:spPr>
              <a:solidFill>
                <a:srgbClr val="005A80"/>
              </a:solidFill>
              <a:ln cmpd="sng">
                <a:solidFill>
                  <a:schemeClr val="accent1"/>
                </a:solidFill>
              </a:ln>
              <a:effectLst/>
            </c:spPr>
            <c:extLst xmlns:c16r2="http://schemas.microsoft.com/office/drawing/2015/06/chart">
              <c:ext xmlns:c16="http://schemas.microsoft.com/office/drawing/2014/chart" uri="{C3380CC4-5D6E-409C-BE32-E72D297353CC}">
                <c16:uniqueId val="{00000001-BD25-49C4-9D85-B6BE1CB09FC0}"/>
              </c:ext>
            </c:extLst>
          </c:dPt>
          <c:dLbls>
            <c:dLbl>
              <c:idx val="0"/>
              <c:layout>
                <c:manualLayout>
                  <c:x val="-2.8090420952591121E-3"/>
                  <c:y val="4.6788639624340224E-3"/>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D25-49C4-9D85-B6BE1CB09FC0}"/>
                </c:ext>
                <c:ext xmlns:c15="http://schemas.microsoft.com/office/drawing/2012/chart" uri="{CE6537A1-D6FC-4f65-9D91-7224C49458BB}">
                  <c15:layout/>
                </c:ext>
              </c:extLst>
            </c:dLbl>
            <c:spPr>
              <a:noFill/>
              <a:ln>
                <a:noFill/>
              </a:ln>
              <a:effectLst/>
            </c:spPr>
            <c:txPr>
              <a:bodyPr rot="-5400000" spcFirstLastPara="1" vertOverflow="ellipsis"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trendline>
            <c:spPr>
              <a:ln w="34925" cap="rnd">
                <a:solidFill>
                  <a:srgbClr val="FF5050"/>
                </a:solidFill>
                <a:prstDash val="solid"/>
              </a:ln>
              <a:effectLst/>
            </c:spPr>
            <c:trendlineType val="movingAvg"/>
            <c:period val="2"/>
            <c:dispRSqr val="0"/>
            <c:dispEq val="0"/>
          </c:trendline>
          <c:cat>
            <c:strRef>
              <c:f>'[7]Project Cashflow '!$B$4:$B$11</c:f>
              <c:strCache>
                <c:ptCount val="8"/>
                <c:pt idx="0">
                  <c:v>August</c:v>
                </c:pt>
                <c:pt idx="1">
                  <c:v>September</c:v>
                </c:pt>
                <c:pt idx="2">
                  <c:v>October</c:v>
                </c:pt>
                <c:pt idx="3">
                  <c:v>November</c:v>
                </c:pt>
                <c:pt idx="4">
                  <c:v>December</c:v>
                </c:pt>
                <c:pt idx="5">
                  <c:v>January</c:v>
                </c:pt>
                <c:pt idx="6">
                  <c:v>February</c:v>
                </c:pt>
                <c:pt idx="7">
                  <c:v>March</c:v>
                </c:pt>
              </c:strCache>
            </c:strRef>
          </c:cat>
          <c:val>
            <c:numRef>
              <c:f>'[7]Project Cashflow '!$E$4:$E$11</c:f>
              <c:numCache>
                <c:formatCode>"₹"\ #,##0</c:formatCode>
                <c:ptCount val="8"/>
                <c:pt idx="0">
                  <c:v>5000000</c:v>
                </c:pt>
                <c:pt idx="1">
                  <c:v>7200000</c:v>
                </c:pt>
                <c:pt idx="2">
                  <c:v>5000000</c:v>
                </c:pt>
                <c:pt idx="3">
                  <c:v>7500000</c:v>
                </c:pt>
                <c:pt idx="4">
                  <c:v>8000000</c:v>
                </c:pt>
                <c:pt idx="5">
                  <c:v>9000000</c:v>
                </c:pt>
                <c:pt idx="6">
                  <c:v>8000000</c:v>
                </c:pt>
                <c:pt idx="7">
                  <c:v>8000000</c:v>
                </c:pt>
              </c:numCache>
            </c:numRef>
          </c:val>
          <c:extLst xmlns:c16r2="http://schemas.microsoft.com/office/drawing/2015/06/chart">
            <c:ext xmlns:c16="http://schemas.microsoft.com/office/drawing/2014/chart" uri="{C3380CC4-5D6E-409C-BE32-E72D297353CC}">
              <c16:uniqueId val="{00000003-BD25-49C4-9D85-B6BE1CB09FC0}"/>
            </c:ext>
          </c:extLst>
        </c:ser>
        <c:ser>
          <c:idx val="1"/>
          <c:order val="1"/>
          <c:tx>
            <c:strRef>
              <c:f>'[7]Project Cashflow '!$F$3</c:f>
              <c:strCache>
                <c:ptCount val="1"/>
                <c:pt idx="0">
                  <c:v>Actual Work</c:v>
                </c:pt>
              </c:strCache>
            </c:strRef>
          </c:tx>
          <c:spPr>
            <a:solidFill>
              <a:srgbClr val="FF615F"/>
            </a:solidFill>
            <a:ln>
              <a:noFill/>
            </a:ln>
            <a:effectLst/>
          </c:spPr>
          <c:invertIfNegative val="0"/>
          <c:dLbls>
            <c:dLbl>
              <c:idx val="0"/>
              <c:layout>
                <c:manualLayout>
                  <c:x val="2.8280280074939796E-3"/>
                  <c:y val="5.124068071818433E-3"/>
                </c:manualLayout>
              </c:layout>
              <c:dLblPos val="out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BD25-49C4-9D85-B6BE1CB09FC0}"/>
                </c:ext>
                <c:ext xmlns:c15="http://schemas.microsoft.com/office/drawing/2012/chart" uri="{CE6537A1-D6FC-4f65-9D91-7224C49458BB}">
                  <c15:layout/>
                </c:ext>
              </c:extLst>
            </c:dLbl>
            <c:spPr>
              <a:noFill/>
              <a:ln>
                <a:noFill/>
              </a:ln>
              <a:effectLst/>
            </c:spPr>
            <c:txPr>
              <a:bodyPr rot="-5400000" spcFirstLastPara="1" vertOverflow="ellipsis"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'[7]Project Cashflow '!$B$4:$B$11</c:f>
              <c:strCache>
                <c:ptCount val="8"/>
                <c:pt idx="0">
                  <c:v>August</c:v>
                </c:pt>
                <c:pt idx="1">
                  <c:v>September</c:v>
                </c:pt>
                <c:pt idx="2">
                  <c:v>October</c:v>
                </c:pt>
                <c:pt idx="3">
                  <c:v>November</c:v>
                </c:pt>
                <c:pt idx="4">
                  <c:v>December</c:v>
                </c:pt>
                <c:pt idx="5">
                  <c:v>January</c:v>
                </c:pt>
                <c:pt idx="6">
                  <c:v>February</c:v>
                </c:pt>
                <c:pt idx="7">
                  <c:v>March</c:v>
                </c:pt>
              </c:strCache>
            </c:strRef>
          </c:cat>
          <c:val>
            <c:numRef>
              <c:f>'[7]Project Cashflow '!$F$4:$F$11</c:f>
              <c:numCache>
                <c:formatCode>"₹"\ #,##0</c:formatCode>
                <c:ptCount val="8"/>
                <c:pt idx="0">
                  <c:v>1063955</c:v>
                </c:pt>
                <c:pt idx="1">
                  <c:v>7797193</c:v>
                </c:pt>
                <c:pt idx="2">
                  <c:v>168333</c:v>
                </c:pt>
                <c:pt idx="3">
                  <c:v>2376171</c:v>
                </c:pt>
                <c:pt idx="4">
                  <c:v>11104853</c:v>
                </c:pt>
              </c:numCache>
            </c:numRef>
          </c:val>
          <c:extLst xmlns:c16r2="http://schemas.microsoft.com/office/drawing/2015/06/chart">
            <c:ext xmlns:c16="http://schemas.microsoft.com/office/drawing/2014/chart" uri="{C3380CC4-5D6E-409C-BE32-E72D297353CC}">
              <c16:uniqueId val="{00000005-BD25-49C4-9D85-B6BE1CB09FC0}"/>
            </c:ext>
          </c:extLst>
        </c:ser>
        <c:dLbls>
          <c:dLblPos val="outEnd"/>
          <c:showLegendKey val="0"/>
          <c:showVal val="1"/>
          <c:showCatName val="0"/>
          <c:showSerName val="0"/>
          <c:showPercent val="0"/>
          <c:showBubbleSize val="0"/>
        </c:dLbls>
        <c:gapWidth val="219"/>
        <c:axId val="-682633600"/>
        <c:axId val="-682622720"/>
      </c:barChart>
      <c:catAx>
        <c:axId val="-682633600"/>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a:t>Months</a:t>
                </a:r>
              </a:p>
            </c:rich>
          </c:tx>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82622720"/>
        <c:crosses val="autoZero"/>
        <c:auto val="1"/>
        <c:lblAlgn val="ctr"/>
        <c:lblOffset val="100"/>
        <c:noMultiLvlLbl val="0"/>
      </c:catAx>
      <c:valAx>
        <c:axId val="-682622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IN"/>
                  <a:t>Amount (Rs.)</a:t>
                </a:r>
              </a:p>
            </c:rich>
          </c:tx>
          <c:layout>
            <c:manualLayout>
              <c:xMode val="edge"/>
              <c:yMode val="edge"/>
              <c:x val="3.6231492879596594E-2"/>
              <c:y val="0.35618821865216244"/>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826336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[Monthly Progress Dashboard - Copy.xlsx]Dashboard!PivotTable14</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400" b="0" i="0" u="none" strike="noStrike" kern="1200" spc="0" baseline="0">
                <a:solidFill>
                  <a:sysClr val="windowText" lastClr="000000">
                    <a:lumMod val="65000"/>
                    <a:lumOff val="35000"/>
                  </a:sysClr>
                </a:solidFill>
                <a:latin typeface="+mn-lt"/>
                <a:ea typeface="+mn-ea"/>
                <a:cs typeface="+mn-cs"/>
              </a:defRPr>
            </a:pPr>
            <a:r>
              <a:rPr lang="en-US" sz="2400" b="1" i="0" cap="all" baseline="0">
                <a:effectLst/>
              </a:rPr>
              <a:t>Critical Activity Affected</a:t>
            </a:r>
            <a:endParaRPr lang="en-US" sz="2400">
              <a:effectLst/>
            </a:endParaRP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2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Dashboard!$AB$10</c:f>
              <c:strCache>
                <c:ptCount val="1"/>
                <c:pt idx="0">
                  <c:v>Total</c:v>
                </c:pt>
              </c:strCache>
            </c:strRef>
          </c:tx>
          <c:dPt>
            <c:idx val="0"/>
            <c:bubble3D val="0"/>
            <c:spPr>
              <a:solidFill>
                <a:schemeClr val="accent1">
                  <a:shade val="58000"/>
                </a:schemeClr>
              </a:solidFill>
              <a:ln>
                <a:noFill/>
              </a:ln>
              <a:effectLst/>
            </c:spPr>
          </c:dPt>
          <c:dPt>
            <c:idx val="1"/>
            <c:bubble3D val="0"/>
            <c:spPr>
              <a:solidFill>
                <a:schemeClr val="accent1">
                  <a:shade val="86000"/>
                </a:schemeClr>
              </a:solidFill>
              <a:ln>
                <a:noFill/>
              </a:ln>
              <a:effectLst/>
            </c:spPr>
          </c:dPt>
          <c:dPt>
            <c:idx val="2"/>
            <c:bubble3D val="0"/>
            <c:spPr>
              <a:solidFill>
                <a:schemeClr val="accent1">
                  <a:tint val="86000"/>
                </a:schemeClr>
              </a:solidFill>
              <a:ln>
                <a:noFill/>
              </a:ln>
              <a:effectLst/>
            </c:spPr>
          </c:dPt>
          <c:dPt>
            <c:idx val="3"/>
            <c:bubble3D val="0"/>
            <c:spPr>
              <a:solidFill>
                <a:schemeClr val="accent1">
                  <a:tint val="58000"/>
                </a:schemeClr>
              </a:solidFill>
              <a:ln>
                <a:noFill/>
              </a:ln>
              <a:effectLst/>
            </c:spPr>
          </c:dPt>
          <c:dLbls>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Dashboard!$AA$11:$AA$15</c:f>
              <c:strCache>
                <c:ptCount val="4"/>
                <c:pt idx="0">
                  <c:v>Casting</c:v>
                </c:pt>
                <c:pt idx="1">
                  <c:v>Excavation</c:v>
                </c:pt>
                <c:pt idx="2">
                  <c:v>Reinforcement</c:v>
                </c:pt>
                <c:pt idx="3">
                  <c:v>Shutterting</c:v>
                </c:pt>
              </c:strCache>
            </c:strRef>
          </c:cat>
          <c:val>
            <c:numRef>
              <c:f>Dashboard!$AB$11:$AB$15</c:f>
              <c:numCache>
                <c:formatCode>General</c:formatCode>
                <c:ptCount val="4"/>
                <c:pt idx="0">
                  <c:v>3</c:v>
                </c:pt>
                <c:pt idx="1">
                  <c:v>4</c:v>
                </c:pt>
                <c:pt idx="2">
                  <c:v>4</c:v>
                </c:pt>
                <c:pt idx="3">
                  <c:v>4</c:v>
                </c:pt>
              </c:numCache>
            </c:numRef>
          </c:val>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27</xdr:col>
      <xdr:colOff>2214977</xdr:colOff>
      <xdr:row>0</xdr:row>
      <xdr:rowOff>142532</xdr:rowOff>
    </xdr:from>
    <xdr:to>
      <xdr:col>27</xdr:col>
      <xdr:colOff>3846267</xdr:colOff>
      <xdr:row>3</xdr:row>
      <xdr:rowOff>106566</xdr:rowOff>
    </xdr:to>
    <xdr:pic>
      <xdr:nvPicPr>
        <xdr:cNvPr id="7" name="Picture 6">
          <a:extLst>
            <a:ext uri="{FF2B5EF4-FFF2-40B4-BE49-F238E27FC236}">
              <a16:creationId xmlns:a16="http://schemas.microsoft.com/office/drawing/2014/main" xmlns="" id="{95EB7CF4-AC08-49B2-A527-92FBFFC49188}"/>
            </a:ext>
          </a:extLst>
        </xdr:cNvPr>
        <xdr:cNvPicPr>
          <a:picLocks noChangeAspect="1"/>
        </xdr:cNvPicPr>
      </xdr:nvPicPr>
      <xdr:blipFill>
        <a:blip xmlns:r="http://schemas.openxmlformats.org/officeDocument/2006/relationships" r:embed="rId1"/>
        <a:stretch>
          <a:fillRect/>
        </a:stretch>
      </xdr:blipFill>
      <xdr:spPr>
        <a:xfrm>
          <a:off x="26770892" y="142532"/>
          <a:ext cx="1631290" cy="521595"/>
        </a:xfrm>
        <a:prstGeom prst="rect">
          <a:avLst/>
        </a:prstGeom>
      </xdr:spPr>
    </xdr:pic>
    <xdr:clientData/>
  </xdr:twoCellAnchor>
  <xdr:twoCellAnchor editAs="oneCell">
    <xdr:from>
      <xdr:col>0</xdr:col>
      <xdr:colOff>94891</xdr:colOff>
      <xdr:row>0</xdr:row>
      <xdr:rowOff>106746</xdr:rowOff>
    </xdr:from>
    <xdr:to>
      <xdr:col>2</xdr:col>
      <xdr:colOff>489660</xdr:colOff>
      <xdr:row>3</xdr:row>
      <xdr:rowOff>70780</xdr:rowOff>
    </xdr:to>
    <xdr:pic>
      <xdr:nvPicPr>
        <xdr:cNvPr id="16" name="Picture 15">
          <a:extLst>
            <a:ext uri="{FF2B5EF4-FFF2-40B4-BE49-F238E27FC236}">
              <a16:creationId xmlns:a16="http://schemas.microsoft.com/office/drawing/2014/main" xmlns="" id="{476589EA-D5D7-4891-ABEC-0AC88D06740D}"/>
            </a:ext>
          </a:extLst>
        </xdr:cNvPr>
        <xdr:cNvPicPr>
          <a:picLocks noChangeAspect="1"/>
        </xdr:cNvPicPr>
      </xdr:nvPicPr>
      <xdr:blipFill>
        <a:blip xmlns:r="http://schemas.openxmlformats.org/officeDocument/2006/relationships" r:embed="rId1"/>
        <a:stretch>
          <a:fillRect/>
        </a:stretch>
      </xdr:blipFill>
      <xdr:spPr>
        <a:xfrm>
          <a:off x="94891" y="106746"/>
          <a:ext cx="1765032" cy="515481"/>
        </a:xfrm>
        <a:prstGeom prst="rect">
          <a:avLst/>
        </a:prstGeom>
      </xdr:spPr>
    </xdr:pic>
    <xdr:clientData/>
  </xdr:twoCellAnchor>
  <xdr:twoCellAnchor>
    <xdr:from>
      <xdr:col>0</xdr:col>
      <xdr:colOff>35112</xdr:colOff>
      <xdr:row>11</xdr:row>
      <xdr:rowOff>0</xdr:rowOff>
    </xdr:from>
    <xdr:to>
      <xdr:col>5</xdr:col>
      <xdr:colOff>100264</xdr:colOff>
      <xdr:row>13</xdr:row>
      <xdr:rowOff>175846</xdr:rowOff>
    </xdr:to>
    <xdr:sp macro="" textlink="">
      <xdr:nvSpPr>
        <xdr:cNvPr id="57" name="Rectangle: Top Corners Rounded 56">
          <a:extLst>
            <a:ext uri="{FF2B5EF4-FFF2-40B4-BE49-F238E27FC236}">
              <a16:creationId xmlns:a16="http://schemas.microsoft.com/office/drawing/2014/main" xmlns="" id="{5F4BFB34-53EB-4E3C-B544-CF1773F19217}"/>
            </a:ext>
          </a:extLst>
        </xdr:cNvPr>
        <xdr:cNvSpPr/>
      </xdr:nvSpPr>
      <xdr:spPr>
        <a:xfrm>
          <a:off x="35112" y="2957763"/>
          <a:ext cx="4109099" cy="593609"/>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Projet Milestone Update</a:t>
          </a:r>
        </a:p>
      </xdr:txBody>
    </xdr:sp>
    <xdr:clientData/>
  </xdr:twoCellAnchor>
  <xdr:twoCellAnchor>
    <xdr:from>
      <xdr:col>0</xdr:col>
      <xdr:colOff>33618</xdr:colOff>
      <xdr:row>13</xdr:row>
      <xdr:rowOff>177419</xdr:rowOff>
    </xdr:from>
    <xdr:to>
      <xdr:col>5</xdr:col>
      <xdr:colOff>100264</xdr:colOff>
      <xdr:row>21</xdr:row>
      <xdr:rowOff>100263</xdr:rowOff>
    </xdr:to>
    <xdr:sp macro="" textlink="">
      <xdr:nvSpPr>
        <xdr:cNvPr id="58" name="Rectangle: Diagonal Corners Rounded 57">
          <a:extLst>
            <a:ext uri="{FF2B5EF4-FFF2-40B4-BE49-F238E27FC236}">
              <a16:creationId xmlns:a16="http://schemas.microsoft.com/office/drawing/2014/main" xmlns="" id="{DC614380-3ACB-4CDA-8C16-BCB698326A58}"/>
            </a:ext>
          </a:extLst>
        </xdr:cNvPr>
        <xdr:cNvSpPr/>
      </xdr:nvSpPr>
      <xdr:spPr>
        <a:xfrm>
          <a:off x="33618" y="3552945"/>
          <a:ext cx="4110593" cy="1510344"/>
        </a:xfrm>
        <a:prstGeom prst="round2Diag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bg1"/>
              </a:solidFill>
            </a:rPr>
            <a:t>Support</a:t>
          </a:r>
          <a:r>
            <a:rPr lang="en-IN" sz="2000" b="1" baseline="0">
              <a:solidFill>
                <a:schemeClr val="bg1"/>
              </a:solidFill>
            </a:rPr>
            <a:t> Required from Client - </a:t>
          </a:r>
          <a:endParaRPr lang="en-IN" sz="2000" b="1">
            <a:solidFill>
              <a:schemeClr val="bg1"/>
            </a:solidFill>
          </a:endParaRPr>
        </a:p>
      </xdr:txBody>
    </xdr:sp>
    <xdr:clientData/>
  </xdr:twoCellAnchor>
  <xdr:twoCellAnchor>
    <xdr:from>
      <xdr:col>0</xdr:col>
      <xdr:colOff>0</xdr:colOff>
      <xdr:row>22</xdr:row>
      <xdr:rowOff>129434</xdr:rowOff>
    </xdr:from>
    <xdr:to>
      <xdr:col>7</xdr:col>
      <xdr:colOff>23232</xdr:colOff>
      <xdr:row>24</xdr:row>
      <xdr:rowOff>280902</xdr:rowOff>
    </xdr:to>
    <xdr:sp macro="" textlink="">
      <xdr:nvSpPr>
        <xdr:cNvPr id="8" name="Rectangle: Top Corners Rounded 7">
          <a:extLst>
            <a:ext uri="{FF2B5EF4-FFF2-40B4-BE49-F238E27FC236}">
              <a16:creationId xmlns:a16="http://schemas.microsoft.com/office/drawing/2014/main" xmlns="" id="{00E5F0A2-B19C-4EBB-86B0-E8918C331A4D}"/>
            </a:ext>
          </a:extLst>
        </xdr:cNvPr>
        <xdr:cNvSpPr/>
      </xdr:nvSpPr>
      <xdr:spPr>
        <a:xfrm>
          <a:off x="0" y="5774739"/>
          <a:ext cx="5831159" cy="616102"/>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Monthwise</a:t>
          </a:r>
          <a:r>
            <a:rPr lang="en-IN" sz="1800" b="1" baseline="0">
              <a:solidFill>
                <a:schemeClr val="tx1"/>
              </a:solidFill>
            </a:rPr>
            <a:t> Cashflow Update</a:t>
          </a:r>
          <a:endParaRPr lang="en-IN" sz="1800" b="1">
            <a:solidFill>
              <a:schemeClr val="tx1"/>
            </a:solidFill>
          </a:endParaRPr>
        </a:p>
      </xdr:txBody>
    </xdr:sp>
    <xdr:clientData/>
  </xdr:twoCellAnchor>
  <xdr:twoCellAnchor>
    <xdr:from>
      <xdr:col>7</xdr:col>
      <xdr:colOff>185853</xdr:colOff>
      <xdr:row>22</xdr:row>
      <xdr:rowOff>106866</xdr:rowOff>
    </xdr:from>
    <xdr:to>
      <xdr:col>14</xdr:col>
      <xdr:colOff>1138354</xdr:colOff>
      <xdr:row>24</xdr:row>
      <xdr:rowOff>302013</xdr:rowOff>
    </xdr:to>
    <xdr:sp macro="" textlink="">
      <xdr:nvSpPr>
        <xdr:cNvPr id="27" name="Rectangle: Top Corners Rounded 26">
          <a:extLst>
            <a:ext uri="{FF2B5EF4-FFF2-40B4-BE49-F238E27FC236}">
              <a16:creationId xmlns:a16="http://schemas.microsoft.com/office/drawing/2014/main" xmlns="" id="{ECF4CCEE-15DA-4C6C-A4B7-8AC5A58D5A97}"/>
            </a:ext>
          </a:extLst>
        </xdr:cNvPr>
        <xdr:cNvSpPr/>
      </xdr:nvSpPr>
      <xdr:spPr>
        <a:xfrm>
          <a:off x="6853353" y="5752171"/>
          <a:ext cx="7620001" cy="659781"/>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Cost Performace Index</a:t>
          </a:r>
        </a:p>
      </xdr:txBody>
    </xdr:sp>
    <xdr:clientData/>
  </xdr:twoCellAnchor>
  <xdr:twoCellAnchor>
    <xdr:from>
      <xdr:col>5</xdr:col>
      <xdr:colOff>384342</xdr:colOff>
      <xdr:row>4</xdr:row>
      <xdr:rowOff>167106</xdr:rowOff>
    </xdr:from>
    <xdr:to>
      <xdr:col>8</xdr:col>
      <xdr:colOff>384342</xdr:colOff>
      <xdr:row>6</xdr:row>
      <xdr:rowOff>236775</xdr:rowOff>
    </xdr:to>
    <xdr:sp macro="" textlink="">
      <xdr:nvSpPr>
        <xdr:cNvPr id="36" name="Rectangle: Top Corners Rounded 46">
          <a:extLst>
            <a:ext uri="{FF2B5EF4-FFF2-40B4-BE49-F238E27FC236}">
              <a16:creationId xmlns:a16="http://schemas.microsoft.com/office/drawing/2014/main" xmlns="" id="{67BC6BF4-CD31-437B-AC08-8078E45AC885}"/>
            </a:ext>
          </a:extLst>
        </xdr:cNvPr>
        <xdr:cNvSpPr/>
      </xdr:nvSpPr>
      <xdr:spPr>
        <a:xfrm>
          <a:off x="4428289" y="902369"/>
          <a:ext cx="2991185" cy="437301"/>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Poured Concrete</a:t>
          </a:r>
        </a:p>
      </xdr:txBody>
    </xdr:sp>
    <xdr:clientData/>
  </xdr:twoCellAnchor>
  <xdr:twoCellAnchor>
    <xdr:from>
      <xdr:col>5</xdr:col>
      <xdr:colOff>387684</xdr:colOff>
      <xdr:row>6</xdr:row>
      <xdr:rowOff>220910</xdr:rowOff>
    </xdr:from>
    <xdr:to>
      <xdr:col>8</xdr:col>
      <xdr:colOff>384342</xdr:colOff>
      <xdr:row>7</xdr:row>
      <xdr:rowOff>383331</xdr:rowOff>
    </xdr:to>
    <xdr:sp macro="" textlink="">
      <xdr:nvSpPr>
        <xdr:cNvPr id="37" name="Rectangle: Diagonal Corners Rounded 47">
          <a:extLst>
            <a:ext uri="{FF2B5EF4-FFF2-40B4-BE49-F238E27FC236}">
              <a16:creationId xmlns:a16="http://schemas.microsoft.com/office/drawing/2014/main" xmlns="" id="{2379E299-1BB0-4F56-BF41-4D2A72F69F9C}"/>
            </a:ext>
          </a:extLst>
        </xdr:cNvPr>
        <xdr:cNvSpPr/>
      </xdr:nvSpPr>
      <xdr:spPr>
        <a:xfrm>
          <a:off x="4431631" y="1323805"/>
          <a:ext cx="2987843" cy="580184"/>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3300 m3</a:t>
          </a:r>
        </a:p>
      </xdr:txBody>
    </xdr:sp>
    <xdr:clientData/>
  </xdr:twoCellAnchor>
  <xdr:twoCellAnchor>
    <xdr:from>
      <xdr:col>8</xdr:col>
      <xdr:colOff>718552</xdr:colOff>
      <xdr:row>4</xdr:row>
      <xdr:rowOff>133684</xdr:rowOff>
    </xdr:from>
    <xdr:to>
      <xdr:col>12</xdr:col>
      <xdr:colOff>16155</xdr:colOff>
      <xdr:row>6</xdr:row>
      <xdr:rowOff>203353</xdr:rowOff>
    </xdr:to>
    <xdr:sp macro="" textlink="">
      <xdr:nvSpPr>
        <xdr:cNvPr id="38" name="Rectangle: Top Corners Rounded 50">
          <a:extLst>
            <a:ext uri="{FF2B5EF4-FFF2-40B4-BE49-F238E27FC236}">
              <a16:creationId xmlns:a16="http://schemas.microsoft.com/office/drawing/2014/main" xmlns="" id="{9058F4F4-2A74-4D5D-8180-E95BE948D859}"/>
            </a:ext>
          </a:extLst>
        </xdr:cNvPr>
        <xdr:cNvSpPr/>
      </xdr:nvSpPr>
      <xdr:spPr>
        <a:xfrm>
          <a:off x="7753684" y="868947"/>
          <a:ext cx="3141024" cy="437301"/>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Safe</a:t>
          </a:r>
          <a:r>
            <a:rPr lang="en-IN" sz="1800" b="1" baseline="0">
              <a:solidFill>
                <a:schemeClr val="tx1"/>
              </a:solidFill>
            </a:rPr>
            <a:t> Hours</a:t>
          </a:r>
          <a:endParaRPr lang="en-IN" sz="1800" b="1">
            <a:solidFill>
              <a:schemeClr val="tx1"/>
            </a:solidFill>
          </a:endParaRPr>
        </a:p>
      </xdr:txBody>
    </xdr:sp>
    <xdr:clientData/>
  </xdr:twoCellAnchor>
  <xdr:twoCellAnchor>
    <xdr:from>
      <xdr:col>8</xdr:col>
      <xdr:colOff>721894</xdr:colOff>
      <xdr:row>6</xdr:row>
      <xdr:rowOff>187488</xdr:rowOff>
    </xdr:from>
    <xdr:to>
      <xdr:col>12</xdr:col>
      <xdr:colOff>15909</xdr:colOff>
      <xdr:row>7</xdr:row>
      <xdr:rowOff>349909</xdr:rowOff>
    </xdr:to>
    <xdr:sp macro="" textlink="">
      <xdr:nvSpPr>
        <xdr:cNvPr id="39" name="Rectangle: Diagonal Corners Rounded 51">
          <a:extLst>
            <a:ext uri="{FF2B5EF4-FFF2-40B4-BE49-F238E27FC236}">
              <a16:creationId xmlns:a16="http://schemas.microsoft.com/office/drawing/2014/main" xmlns="" id="{9EED0C55-3B18-409E-8B4C-EE041165E9A2}"/>
            </a:ext>
          </a:extLst>
        </xdr:cNvPr>
        <xdr:cNvSpPr/>
      </xdr:nvSpPr>
      <xdr:spPr>
        <a:xfrm>
          <a:off x="7757026" y="1290383"/>
          <a:ext cx="3137436" cy="580184"/>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700 Hours</a:t>
          </a:r>
        </a:p>
      </xdr:txBody>
    </xdr:sp>
    <xdr:clientData/>
  </xdr:twoCellAnchor>
  <xdr:twoCellAnchor>
    <xdr:from>
      <xdr:col>12</xdr:col>
      <xdr:colOff>304271</xdr:colOff>
      <xdr:row>4</xdr:row>
      <xdr:rowOff>133233</xdr:rowOff>
    </xdr:from>
    <xdr:to>
      <xdr:col>17</xdr:col>
      <xdr:colOff>19637</xdr:colOff>
      <xdr:row>6</xdr:row>
      <xdr:rowOff>202902</xdr:rowOff>
    </xdr:to>
    <xdr:sp macro="" textlink="">
      <xdr:nvSpPr>
        <xdr:cNvPr id="45" name="Rectangle: Top Corners Rounded 50">
          <a:extLst>
            <a:ext uri="{FF2B5EF4-FFF2-40B4-BE49-F238E27FC236}">
              <a16:creationId xmlns:a16="http://schemas.microsoft.com/office/drawing/2014/main" xmlns="" id="{9058F4F4-2A74-4D5D-8180-E95BE948D859}"/>
            </a:ext>
          </a:extLst>
        </xdr:cNvPr>
        <xdr:cNvSpPr/>
      </xdr:nvSpPr>
      <xdr:spPr>
        <a:xfrm>
          <a:off x="11182824" y="868496"/>
          <a:ext cx="3141024" cy="437301"/>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Total UnSafe</a:t>
          </a:r>
          <a:r>
            <a:rPr lang="en-IN" sz="1800" b="1" baseline="0">
              <a:solidFill>
                <a:schemeClr val="tx1"/>
              </a:solidFill>
            </a:rPr>
            <a:t> Hours</a:t>
          </a:r>
          <a:endParaRPr lang="en-IN" sz="1800" b="1">
            <a:solidFill>
              <a:schemeClr val="tx1"/>
            </a:solidFill>
          </a:endParaRPr>
        </a:p>
      </xdr:txBody>
    </xdr:sp>
    <xdr:clientData/>
  </xdr:twoCellAnchor>
  <xdr:twoCellAnchor>
    <xdr:from>
      <xdr:col>12</xdr:col>
      <xdr:colOff>307613</xdr:colOff>
      <xdr:row>6</xdr:row>
      <xdr:rowOff>187037</xdr:rowOff>
    </xdr:from>
    <xdr:to>
      <xdr:col>17</xdr:col>
      <xdr:colOff>19391</xdr:colOff>
      <xdr:row>7</xdr:row>
      <xdr:rowOff>349458</xdr:rowOff>
    </xdr:to>
    <xdr:sp macro="" textlink="">
      <xdr:nvSpPr>
        <xdr:cNvPr id="46" name="Rectangle: Diagonal Corners Rounded 51">
          <a:extLst>
            <a:ext uri="{FF2B5EF4-FFF2-40B4-BE49-F238E27FC236}">
              <a16:creationId xmlns:a16="http://schemas.microsoft.com/office/drawing/2014/main" xmlns="" id="{9EED0C55-3B18-409E-8B4C-EE041165E9A2}"/>
            </a:ext>
          </a:extLst>
        </xdr:cNvPr>
        <xdr:cNvSpPr/>
      </xdr:nvSpPr>
      <xdr:spPr>
        <a:xfrm>
          <a:off x="11186166" y="1289932"/>
          <a:ext cx="3137436" cy="580184"/>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4 Hours</a:t>
          </a:r>
        </a:p>
      </xdr:txBody>
    </xdr:sp>
    <xdr:clientData/>
  </xdr:twoCellAnchor>
  <xdr:twoCellAnchor>
    <xdr:from>
      <xdr:col>17</xdr:col>
      <xdr:colOff>326985</xdr:colOff>
      <xdr:row>4</xdr:row>
      <xdr:rowOff>131212</xdr:rowOff>
    </xdr:from>
    <xdr:to>
      <xdr:col>22</xdr:col>
      <xdr:colOff>384342</xdr:colOff>
      <xdr:row>6</xdr:row>
      <xdr:rowOff>200881</xdr:rowOff>
    </xdr:to>
    <xdr:sp macro="" textlink="">
      <xdr:nvSpPr>
        <xdr:cNvPr id="55" name="Rectangle: Top Corners Rounded 52">
          <a:extLst>
            <a:ext uri="{FF2B5EF4-FFF2-40B4-BE49-F238E27FC236}">
              <a16:creationId xmlns:a16="http://schemas.microsoft.com/office/drawing/2014/main" xmlns="" id="{D590E6DC-EADE-4AC1-8953-2B4C1525206E}"/>
            </a:ext>
          </a:extLst>
        </xdr:cNvPr>
        <xdr:cNvSpPr/>
      </xdr:nvSpPr>
      <xdr:spPr>
        <a:xfrm>
          <a:off x="14631196" y="866475"/>
          <a:ext cx="3483014" cy="437301"/>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Non - Conformity Report</a:t>
          </a:r>
        </a:p>
      </xdr:txBody>
    </xdr:sp>
    <xdr:clientData/>
  </xdr:twoCellAnchor>
  <xdr:twoCellAnchor>
    <xdr:from>
      <xdr:col>17</xdr:col>
      <xdr:colOff>325245</xdr:colOff>
      <xdr:row>6</xdr:row>
      <xdr:rowOff>185016</xdr:rowOff>
    </xdr:from>
    <xdr:to>
      <xdr:col>22</xdr:col>
      <xdr:colOff>367633</xdr:colOff>
      <xdr:row>7</xdr:row>
      <xdr:rowOff>347437</xdr:rowOff>
    </xdr:to>
    <xdr:sp macro="" textlink="">
      <xdr:nvSpPr>
        <xdr:cNvPr id="56" name="Rectangle: Diagonal Corners Rounded 53">
          <a:extLst>
            <a:ext uri="{FF2B5EF4-FFF2-40B4-BE49-F238E27FC236}">
              <a16:creationId xmlns:a16="http://schemas.microsoft.com/office/drawing/2014/main" xmlns="" id="{B4A5A968-6F5B-492E-8492-D1DEBE91F17C}"/>
            </a:ext>
          </a:extLst>
        </xdr:cNvPr>
        <xdr:cNvSpPr/>
      </xdr:nvSpPr>
      <xdr:spPr>
        <a:xfrm>
          <a:off x="17168233" y="1300138"/>
          <a:ext cx="3527144" cy="580592"/>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0</a:t>
          </a:r>
        </a:p>
      </xdr:txBody>
    </xdr:sp>
    <xdr:clientData/>
  </xdr:twoCellAnchor>
  <xdr:twoCellAnchor>
    <xdr:from>
      <xdr:col>22</xdr:col>
      <xdr:colOff>565873</xdr:colOff>
      <xdr:row>4</xdr:row>
      <xdr:rowOff>144090</xdr:rowOff>
    </xdr:from>
    <xdr:to>
      <xdr:col>27</xdr:col>
      <xdr:colOff>276123</xdr:colOff>
      <xdr:row>6</xdr:row>
      <xdr:rowOff>213759</xdr:rowOff>
    </xdr:to>
    <xdr:sp macro="" textlink="">
      <xdr:nvSpPr>
        <xdr:cNvPr id="59" name="Rectangle: Top Corners Rounded 40">
          <a:extLst>
            <a:ext uri="{FF2B5EF4-FFF2-40B4-BE49-F238E27FC236}">
              <a16:creationId xmlns:a16="http://schemas.microsoft.com/office/drawing/2014/main" xmlns="" id="{66F2AE75-5B10-4EF3-9285-874218B57995}"/>
            </a:ext>
          </a:extLst>
        </xdr:cNvPr>
        <xdr:cNvSpPr/>
      </xdr:nvSpPr>
      <xdr:spPr>
        <a:xfrm>
          <a:off x="18295741" y="879353"/>
          <a:ext cx="3135908" cy="437301"/>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Timeline Status</a:t>
          </a:r>
        </a:p>
      </xdr:txBody>
    </xdr:sp>
    <xdr:clientData/>
  </xdr:twoCellAnchor>
  <xdr:twoCellAnchor>
    <xdr:from>
      <xdr:col>22</xdr:col>
      <xdr:colOff>569215</xdr:colOff>
      <xdr:row>6</xdr:row>
      <xdr:rowOff>197894</xdr:rowOff>
    </xdr:from>
    <xdr:to>
      <xdr:col>27</xdr:col>
      <xdr:colOff>275877</xdr:colOff>
      <xdr:row>7</xdr:row>
      <xdr:rowOff>360315</xdr:rowOff>
    </xdr:to>
    <xdr:sp macro="" textlink="">
      <xdr:nvSpPr>
        <xdr:cNvPr id="60" name="Rectangle: Diagonal Corners Rounded 41">
          <a:extLst>
            <a:ext uri="{FF2B5EF4-FFF2-40B4-BE49-F238E27FC236}">
              <a16:creationId xmlns:a16="http://schemas.microsoft.com/office/drawing/2014/main" xmlns="" id="{31C62CB1-0125-4849-94CE-40C887F14F0A}"/>
            </a:ext>
          </a:extLst>
        </xdr:cNvPr>
        <xdr:cNvSpPr/>
      </xdr:nvSpPr>
      <xdr:spPr>
        <a:xfrm>
          <a:off x="18299083" y="1300789"/>
          <a:ext cx="3132320" cy="580184"/>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tx1"/>
              </a:solidFill>
            </a:rPr>
            <a:t>On Time</a:t>
          </a:r>
        </a:p>
      </xdr:txBody>
    </xdr:sp>
    <xdr:clientData/>
  </xdr:twoCellAnchor>
  <xdr:twoCellAnchor>
    <xdr:from>
      <xdr:col>5</xdr:col>
      <xdr:colOff>370973</xdr:colOff>
      <xdr:row>8</xdr:row>
      <xdr:rowOff>190833</xdr:rowOff>
    </xdr:from>
    <xdr:to>
      <xdr:col>11</xdr:col>
      <xdr:colOff>209086</xdr:colOff>
      <xdr:row>21</xdr:row>
      <xdr:rowOff>300790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325245</xdr:colOff>
      <xdr:row>8</xdr:row>
      <xdr:rowOff>196540</xdr:rowOff>
    </xdr:from>
    <xdr:to>
      <xdr:col>19</xdr:col>
      <xdr:colOff>232318</xdr:colOff>
      <xdr:row>22</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464634</xdr:colOff>
      <xdr:row>5</xdr:row>
      <xdr:rowOff>0</xdr:rowOff>
    </xdr:from>
    <xdr:to>
      <xdr:col>27</xdr:col>
      <xdr:colOff>4065548</xdr:colOff>
      <xdr:row>21</xdr:row>
      <xdr:rowOff>278780</xdr:rowOff>
    </xdr:to>
    <xdr:sp macro="" textlink="">
      <xdr:nvSpPr>
        <xdr:cNvPr id="62" name="Rectangle 61">
          <a:extLst>
            <a:ext uri="{FF2B5EF4-FFF2-40B4-BE49-F238E27FC236}">
              <a16:creationId xmlns:r="http://schemas.openxmlformats.org/officeDocument/2006/relationships" xmlns:p="http://schemas.openxmlformats.org/presentationml/2006/main" xmlns:a16="http://schemas.microsoft.com/office/drawing/2014/main" xmlns="" xmlns:lc="http://schemas.openxmlformats.org/drawingml/2006/lockedCanvas" id="{B2DAE2FB-E907-4FF4-8ADC-6A098035F73F}"/>
            </a:ext>
          </a:extLst>
        </xdr:cNvPr>
        <xdr:cNvSpPr/>
      </xdr:nvSpPr>
      <xdr:spPr>
        <a:xfrm>
          <a:off x="24277134" y="929268"/>
          <a:ext cx="3600914" cy="4669573"/>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en-US" sz="1800" b="1">
              <a:solidFill>
                <a:schemeClr val="bg1"/>
              </a:solidFill>
              <a:latin typeface="Calibri" panose="020F0502020204030204" pitchFamily="34" charset="0"/>
              <a:cs typeface="Calibri" panose="020F0502020204030204" pitchFamily="34" charset="0"/>
            </a:rPr>
            <a:t>Upcoming Major Activities :  </a:t>
          </a:r>
        </a:p>
        <a:p>
          <a:endParaRPr lang="en-US" sz="1800" b="1">
            <a:solidFill>
              <a:schemeClr val="bg1"/>
            </a:solidFill>
            <a:latin typeface="Calibri" panose="020F0502020204030204" pitchFamily="34" charset="0"/>
            <a:cs typeface="Calibri" panose="020F0502020204030204" pitchFamily="34" charset="0"/>
          </a:endParaRPr>
        </a:p>
        <a:p>
          <a:pPr marL="285750" indent="-285750">
            <a:buFont typeface="Arial" panose="020B0604020202020204" pitchFamily="34" charset="0"/>
            <a:buChar char="•"/>
          </a:pPr>
          <a:r>
            <a:rPr lang="en-US" sz="1800" b="1">
              <a:solidFill>
                <a:schemeClr val="bg1"/>
              </a:solidFill>
              <a:latin typeface="Calibri" panose="020F0502020204030204" pitchFamily="34" charset="0"/>
              <a:cs typeface="Calibri" panose="020F0502020204030204" pitchFamily="34" charset="0"/>
            </a:rPr>
            <a:t>Concreting of Floor 2 on 26-02-2026</a:t>
          </a:r>
        </a:p>
        <a:p>
          <a:pPr marL="285750" indent="-285750">
            <a:buFont typeface="Arial" panose="020B0604020202020204" pitchFamily="34" charset="0"/>
            <a:buChar char="•"/>
          </a:pPr>
          <a:r>
            <a:rPr lang="en-US" sz="1800" b="1">
              <a:solidFill>
                <a:schemeClr val="bg1"/>
              </a:solidFill>
              <a:latin typeface="Calibri" panose="020F0502020204030204" pitchFamily="34" charset="0"/>
              <a:cs typeface="Calibri" panose="020F0502020204030204" pitchFamily="34" charset="0"/>
            </a:rPr>
            <a:t>Safety Awareness Program </a:t>
          </a:r>
        </a:p>
        <a:p>
          <a:pPr marL="285750" indent="-285750">
            <a:buFont typeface="Arial" panose="020B0604020202020204" pitchFamily="34" charset="0"/>
            <a:buChar char="•"/>
          </a:pPr>
          <a:r>
            <a:rPr lang="en-US" sz="1800" b="1">
              <a:solidFill>
                <a:schemeClr val="bg1"/>
              </a:solidFill>
              <a:latin typeface="Calibri" panose="020F0502020204030204" pitchFamily="34" charset="0"/>
              <a:cs typeface="Calibri" panose="020F0502020204030204" pitchFamily="34" charset="0"/>
            </a:rPr>
            <a:t>Joint Visit on 28-02-2026</a:t>
          </a:r>
        </a:p>
        <a:p>
          <a:r>
            <a:rPr lang="en-US" sz="1800" b="1">
              <a:solidFill>
                <a:schemeClr val="bg1"/>
              </a:solidFill>
              <a:latin typeface="Calibri" panose="020F0502020204030204" pitchFamily="34" charset="0"/>
              <a:cs typeface="Calibri" panose="020F0502020204030204" pitchFamily="34" charset="0"/>
            </a:rPr>
            <a:t> </a:t>
          </a:r>
          <a:endParaRPr lang="en-IN" sz="18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83634</xdr:colOff>
      <xdr:row>25</xdr:row>
      <xdr:rowOff>103611</xdr:rowOff>
    </xdr:from>
    <xdr:to>
      <xdr:col>6</xdr:col>
      <xdr:colOff>673719</xdr:colOff>
      <xdr:row>50</xdr:row>
      <xdr:rowOff>92926</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162622</xdr:colOff>
      <xdr:row>25</xdr:row>
      <xdr:rowOff>92928</xdr:rowOff>
    </xdr:from>
    <xdr:to>
      <xdr:col>14</xdr:col>
      <xdr:colOff>1161585</xdr:colOff>
      <xdr:row>50</xdr:row>
      <xdr:rowOff>61509</xdr:rowOff>
    </xdr:to>
    <xdr:graphicFrame macro="">
      <xdr:nvGraphicFramePr>
        <xdr:cNvPr id="63" name="Chart 62">
          <a:extLst>
            <a:ext uri="{FF2B5EF4-FFF2-40B4-BE49-F238E27FC236}">
              <a16:creationId xmlns:a16="http://schemas.microsoft.com/office/drawing/2014/main" xmlns="" id="{712B7C4C-5804-4C15-853B-DCA2C25CB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1406912</xdr:colOff>
      <xdr:row>22</xdr:row>
      <xdr:rowOff>143107</xdr:rowOff>
    </xdr:from>
    <xdr:to>
      <xdr:col>27</xdr:col>
      <xdr:colOff>3949390</xdr:colOff>
      <xdr:row>25</xdr:row>
      <xdr:rowOff>13010</xdr:rowOff>
    </xdr:to>
    <xdr:sp macro="" textlink="">
      <xdr:nvSpPr>
        <xdr:cNvPr id="65" name="Rectangle: Top Corners Rounded 26">
          <a:extLst>
            <a:ext uri="{FF2B5EF4-FFF2-40B4-BE49-F238E27FC236}">
              <a16:creationId xmlns:a16="http://schemas.microsoft.com/office/drawing/2014/main" xmlns="" id="{ECF4CCEE-15DA-4C6C-A4B7-8AC5A58D5A97}"/>
            </a:ext>
          </a:extLst>
        </xdr:cNvPr>
        <xdr:cNvSpPr/>
      </xdr:nvSpPr>
      <xdr:spPr>
        <a:xfrm>
          <a:off x="14741912" y="5788412"/>
          <a:ext cx="13019978" cy="659781"/>
        </a:xfrm>
        <a:prstGeom prst="round2SameRect">
          <a:avLst>
            <a:gd name="adj1" fmla="val 50000"/>
            <a:gd name="adj2" fmla="val 0"/>
          </a:avLst>
        </a:prstGeom>
        <a:solidFill>
          <a:srgbClr val="FE6262"/>
        </a:solidFill>
        <a:ln>
          <a:solidFill>
            <a:schemeClr val="bg1"/>
          </a:solid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Planned Vs Actual</a:t>
          </a:r>
        </a:p>
      </xdr:txBody>
    </xdr:sp>
    <xdr:clientData/>
  </xdr:twoCellAnchor>
  <xdr:twoCellAnchor>
    <xdr:from>
      <xdr:col>14</xdr:col>
      <xdr:colOff>1417134</xdr:colOff>
      <xdr:row>25</xdr:row>
      <xdr:rowOff>162622</xdr:rowOff>
    </xdr:from>
    <xdr:to>
      <xdr:col>27</xdr:col>
      <xdr:colOff>3926159</xdr:colOff>
      <xdr:row>50</xdr:row>
      <xdr:rowOff>69695</xdr:rowOff>
    </xdr:to>
    <xdr:graphicFrame macro="">
      <xdr:nvGraphicFramePr>
        <xdr:cNvPr id="66" name="Chart 65">
          <a:extLst>
            <a:ext uri="{FF2B5EF4-FFF2-40B4-BE49-F238E27FC236}">
              <a16:creationId xmlns="" xmlns:a16="http://schemas.microsoft.com/office/drawing/2014/main" id="{8BC1BD95-DC56-4D6F-A3E9-924EF1136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339184</xdr:colOff>
      <xdr:row>8</xdr:row>
      <xdr:rowOff>173308</xdr:rowOff>
    </xdr:from>
    <xdr:to>
      <xdr:col>27</xdr:col>
      <xdr:colOff>255549</xdr:colOff>
      <xdr:row>21</xdr:row>
      <xdr:rowOff>255549</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0.03545</cdr:x>
      <cdr:y>0.79241</cdr:y>
    </cdr:from>
    <cdr:to>
      <cdr:x>1</cdr:x>
      <cdr:y>0.79655</cdr:y>
    </cdr:to>
    <cdr:cxnSp macro="">
      <cdr:nvCxnSpPr>
        <cdr:cNvPr id="3" name="Straight Connector 2">
          <a:extLst xmlns:a="http://schemas.openxmlformats.org/drawingml/2006/main">
            <a:ext uri="{FF2B5EF4-FFF2-40B4-BE49-F238E27FC236}">
              <a16:creationId xmlns:a16="http://schemas.microsoft.com/office/drawing/2014/main" xmlns="" id="{B7CCD9BB-9D8F-0143-237C-E5AC6DBBB2A0}"/>
            </a:ext>
          </a:extLst>
        </cdr:cNvPr>
        <cdr:cNvCxnSpPr/>
      </cdr:nvCxnSpPr>
      <cdr:spPr>
        <a:xfrm xmlns:a="http://schemas.openxmlformats.org/drawingml/2006/main" flipV="1">
          <a:off x="364506" y="3476582"/>
          <a:ext cx="9919008" cy="18144"/>
        </a:xfrm>
        <a:prstGeom xmlns:a="http://schemas.openxmlformats.org/drawingml/2006/main" prst="line">
          <a:avLst/>
        </a:prstGeom>
        <a:ln xmlns:a="http://schemas.openxmlformats.org/drawingml/2006/main" w="57150">
          <a:solidFill>
            <a:srgbClr val="C00000"/>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0.71116</cdr:x>
      <cdr:y>0.67249</cdr:y>
    </cdr:from>
    <cdr:to>
      <cdr:x>0.99697</cdr:x>
      <cdr:y>0.76346</cdr:y>
    </cdr:to>
    <cdr:sp macro="" textlink="">
      <cdr:nvSpPr>
        <cdr:cNvPr id="5" name="TextBox 4">
          <a:extLst xmlns:a="http://schemas.openxmlformats.org/drawingml/2006/main">
            <a:ext uri="{FF2B5EF4-FFF2-40B4-BE49-F238E27FC236}">
              <a16:creationId xmlns:a16="http://schemas.microsoft.com/office/drawing/2014/main" xmlns="" id="{C914D3E3-4146-9A36-27D4-B3C7D9137DE4}"/>
            </a:ext>
          </a:extLst>
        </cdr:cNvPr>
        <cdr:cNvSpPr txBox="1"/>
      </cdr:nvSpPr>
      <cdr:spPr>
        <a:xfrm xmlns:a="http://schemas.openxmlformats.org/drawingml/2006/main">
          <a:off x="7313220" y="2950440"/>
          <a:ext cx="2939143" cy="39914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0.74771</cdr:x>
      <cdr:y>0.66422</cdr:y>
    </cdr:from>
    <cdr:to>
      <cdr:x>1</cdr:x>
      <cdr:y>0.78</cdr:y>
    </cdr:to>
    <cdr:sp macro="" textlink="">
      <cdr:nvSpPr>
        <cdr:cNvPr id="6" name="TextBox 5">
          <a:extLst xmlns:a="http://schemas.openxmlformats.org/drawingml/2006/main">
            <a:ext uri="{FF2B5EF4-FFF2-40B4-BE49-F238E27FC236}">
              <a16:creationId xmlns:a16="http://schemas.microsoft.com/office/drawing/2014/main" xmlns="" id="{6BA94D54-DCA2-801B-177A-FB75F2618B60}"/>
            </a:ext>
          </a:extLst>
        </cdr:cNvPr>
        <cdr:cNvSpPr txBox="1"/>
      </cdr:nvSpPr>
      <cdr:spPr>
        <a:xfrm xmlns:a="http://schemas.openxmlformats.org/drawingml/2006/main">
          <a:off x="7689085" y="2914155"/>
          <a:ext cx="2594429" cy="508000"/>
        </a:xfrm>
        <a:prstGeom xmlns:a="http://schemas.openxmlformats.org/drawingml/2006/main" prst="rect">
          <a:avLst/>
        </a:prstGeom>
        <a:solidFill xmlns:a="http://schemas.openxmlformats.org/drawingml/2006/main">
          <a:srgbClr val="002060"/>
        </a:solidFill>
      </cdr:spPr>
      <cdr:txBody>
        <a:bodyPr xmlns:a="http://schemas.openxmlformats.org/drawingml/2006/main" vertOverflow="clip" wrap="square" rtlCol="0" anchor="ctr"/>
        <a:lstStyle xmlns:a="http://schemas.openxmlformats.org/drawingml/2006/main"/>
        <a:p xmlns:a="http://schemas.openxmlformats.org/drawingml/2006/main">
          <a:pPr algn="ctr"/>
          <a:r>
            <a:rPr lang="en-IN" sz="2000" b="1" kern="1200">
              <a:solidFill>
                <a:schemeClr val="bg1"/>
              </a:solidFill>
            </a:rPr>
            <a:t>Under Budget</a:t>
          </a:r>
        </a:p>
      </cdr:txBody>
    </cdr:sp>
  </cdr:relSizeAnchor>
  <cdr:relSizeAnchor xmlns:cdr="http://schemas.openxmlformats.org/drawingml/2006/chartDrawing">
    <cdr:from>
      <cdr:x>0.74771</cdr:x>
      <cdr:y>0.81382</cdr:y>
    </cdr:from>
    <cdr:to>
      <cdr:x>1</cdr:x>
      <cdr:y>0.92961</cdr:y>
    </cdr:to>
    <cdr:sp macro="" textlink="">
      <cdr:nvSpPr>
        <cdr:cNvPr id="8" name="TextBox 1">
          <a:extLst xmlns:a="http://schemas.openxmlformats.org/drawingml/2006/main">
            <a:ext uri="{FF2B5EF4-FFF2-40B4-BE49-F238E27FC236}">
              <a16:creationId xmlns:a16="http://schemas.microsoft.com/office/drawing/2014/main" xmlns="" id="{B966A18D-9BA7-0A6A-DB3C-70ECFB761DEB}"/>
            </a:ext>
          </a:extLst>
        </cdr:cNvPr>
        <cdr:cNvSpPr txBox="1"/>
      </cdr:nvSpPr>
      <cdr:spPr>
        <a:xfrm xmlns:a="http://schemas.openxmlformats.org/drawingml/2006/main">
          <a:off x="7689085" y="3570514"/>
          <a:ext cx="2594429" cy="508000"/>
        </a:xfrm>
        <a:prstGeom xmlns:a="http://schemas.openxmlformats.org/drawingml/2006/main" prst="rect">
          <a:avLst/>
        </a:prstGeom>
        <a:solidFill xmlns:a="http://schemas.openxmlformats.org/drawingml/2006/main">
          <a:srgbClr val="002060"/>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2000" b="1" kern="1200">
              <a:solidFill>
                <a:schemeClr val="bg1"/>
              </a:solidFill>
            </a:rPr>
            <a:t>Over Budget</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24765</xdr:colOff>
      <xdr:row>0</xdr:row>
      <xdr:rowOff>56063</xdr:rowOff>
    </xdr:from>
    <xdr:to>
      <xdr:col>1</xdr:col>
      <xdr:colOff>790800</xdr:colOff>
      <xdr:row>1</xdr:row>
      <xdr:rowOff>140970</xdr:rowOff>
    </xdr:to>
    <xdr:sp macro="" textlink="">
      <xdr:nvSpPr>
        <xdr:cNvPr id="2" name="Rectangle 1">
          <a:extLst>
            <a:ext uri="{FF2B5EF4-FFF2-40B4-BE49-F238E27FC236}">
              <a16:creationId xmlns:a16="http://schemas.microsoft.com/office/drawing/2014/main" xmlns="" id="{CA4D17BA-3B33-4B39-A881-585729FA20BB}"/>
            </a:ext>
          </a:extLst>
        </xdr:cNvPr>
        <xdr:cNvSpPr/>
      </xdr:nvSpPr>
      <xdr:spPr>
        <a:xfrm>
          <a:off x="24765" y="56063"/>
          <a:ext cx="1585185" cy="31350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Client Logo</a:t>
          </a:r>
        </a:p>
      </xdr:txBody>
    </xdr:sp>
    <xdr:clientData/>
  </xdr:twoCellAnchor>
  <xdr:twoCellAnchor editAs="oneCell">
    <xdr:from>
      <xdr:col>11</xdr:col>
      <xdr:colOff>647699</xdr:colOff>
      <xdr:row>0</xdr:row>
      <xdr:rowOff>27919</xdr:rowOff>
    </xdr:from>
    <xdr:to>
      <xdr:col>11</xdr:col>
      <xdr:colOff>1810678</xdr:colOff>
      <xdr:row>1</xdr:row>
      <xdr:rowOff>149672</xdr:rowOff>
    </xdr:to>
    <xdr:pic>
      <xdr:nvPicPr>
        <xdr:cNvPr id="3" name="Picture 2">
          <a:extLst>
            <a:ext uri="{FF2B5EF4-FFF2-40B4-BE49-F238E27FC236}">
              <a16:creationId xmlns:a16="http://schemas.microsoft.com/office/drawing/2014/main" xmlns="" id="{AC2F1411-20CD-433D-86B1-CB577AFE6B9E}"/>
            </a:ext>
          </a:extLst>
        </xdr:cNvPr>
        <xdr:cNvPicPr>
          <a:picLocks noChangeAspect="1"/>
        </xdr:cNvPicPr>
      </xdr:nvPicPr>
      <xdr:blipFill>
        <a:blip xmlns:r="http://schemas.openxmlformats.org/officeDocument/2006/relationships" r:embed="rId1"/>
        <a:stretch>
          <a:fillRect/>
        </a:stretch>
      </xdr:blipFill>
      <xdr:spPr>
        <a:xfrm>
          <a:off x="16259174" y="27919"/>
          <a:ext cx="1162979" cy="3503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harnam%20II\Submission\Phase%2001\Cashflow%20-%20Dashboar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sk%20Register%20-%20Dashboard.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roject%20issue%20tracker1"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ate%20tracking%20Gantt%20char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DELL9\Downloads\riskregist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shflow%20-%20Dashboar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lanned%20Vs.%20Actual%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Tracking"/>
      <sheetName val="Cash Flow Chart - INR"/>
      <sheetName val="Cash Flow - Forecast"/>
      <sheetName val="Budget"/>
      <sheetName val="Monitoring"/>
      <sheetName val="STEEL RATE DIFFRENCE"/>
      <sheetName val="CEMENT RATE DIFFRENCE"/>
    </sheetNames>
    <sheetDataSet>
      <sheetData sheetId="0"/>
      <sheetData sheetId="1">
        <row r="2">
          <cell r="B2">
            <v>45931</v>
          </cell>
        </row>
        <row r="26">
          <cell r="D26">
            <v>1.1967394447894066</v>
          </cell>
        </row>
      </sheetData>
      <sheetData sheetId="2">
        <row r="2">
          <cell r="B2">
            <v>45931</v>
          </cell>
          <cell r="C2">
            <v>45962</v>
          </cell>
          <cell r="D2">
            <v>45992</v>
          </cell>
          <cell r="E2">
            <v>46023</v>
          </cell>
          <cell r="F2">
            <v>46054</v>
          </cell>
          <cell r="G2">
            <v>46082</v>
          </cell>
          <cell r="H2">
            <v>46113</v>
          </cell>
          <cell r="I2">
            <v>46143</v>
          </cell>
          <cell r="J2">
            <v>46174</v>
          </cell>
          <cell r="K2">
            <v>46204</v>
          </cell>
          <cell r="L2">
            <v>46235</v>
          </cell>
          <cell r="M2">
            <v>46266</v>
          </cell>
          <cell r="N2">
            <v>46296</v>
          </cell>
          <cell r="O2">
            <v>46327</v>
          </cell>
          <cell r="P2">
            <v>46357</v>
          </cell>
          <cell r="Q2">
            <v>46388</v>
          </cell>
          <cell r="R2">
            <v>46419</v>
          </cell>
        </row>
        <row r="3">
          <cell r="A3" t="str">
            <v xml:space="preserve">Planned Budget (EXCLUDING GST) </v>
          </cell>
          <cell r="B3">
            <v>6485619.2326947041</v>
          </cell>
          <cell r="C3">
            <v>8564401.2326947041</v>
          </cell>
          <cell r="D3">
            <v>5975619.232694705</v>
          </cell>
          <cell r="E3">
            <v>5975619.232694705</v>
          </cell>
          <cell r="F3">
            <v>5975619.232694705</v>
          </cell>
          <cell r="G3">
            <v>5975619.232694705</v>
          </cell>
          <cell r="H3">
            <v>5975619.232694705</v>
          </cell>
          <cell r="I3">
            <v>5975619.232694705</v>
          </cell>
          <cell r="J3">
            <v>5975619.232694705</v>
          </cell>
          <cell r="K3">
            <v>5975619.232694705</v>
          </cell>
          <cell r="L3">
            <v>5975619.232694705</v>
          </cell>
          <cell r="M3">
            <v>5975619.232694705</v>
          </cell>
          <cell r="N3">
            <v>5975619.232694705</v>
          </cell>
          <cell r="O3">
            <v>5975619.232694705</v>
          </cell>
          <cell r="P3">
            <v>5975619.232694705</v>
          </cell>
          <cell r="Q3">
            <v>5975619.232694705</v>
          </cell>
          <cell r="R3">
            <v>5975619.232694705</v>
          </cell>
        </row>
        <row r="4">
          <cell r="A4" t="str">
            <v>Planned Budget (EXCLUDING GST) Cumulative</v>
          </cell>
          <cell r="C4">
            <v>15050020.465389408</v>
          </cell>
          <cell r="D4">
            <v>21025639.698084112</v>
          </cell>
          <cell r="E4">
            <v>27001258.930778816</v>
          </cell>
          <cell r="F4">
            <v>32976878.16347352</v>
          </cell>
          <cell r="G4">
            <v>38952497.396168225</v>
          </cell>
          <cell r="H4">
            <v>44928116.628862932</v>
          </cell>
          <cell r="I4">
            <v>50903735.86155764</v>
          </cell>
          <cell r="J4">
            <v>56879355.094252348</v>
          </cell>
          <cell r="K4">
            <v>62854974.326947056</v>
          </cell>
          <cell r="L4">
            <v>68830593.559641764</v>
          </cell>
          <cell r="M4">
            <v>74806212.792336464</v>
          </cell>
          <cell r="N4">
            <v>80781832.025031164</v>
          </cell>
          <cell r="O4">
            <v>86757451.257725865</v>
          </cell>
          <cell r="P4">
            <v>92733070.490420565</v>
          </cell>
          <cell r="Q4">
            <v>98708689.723115265</v>
          </cell>
          <cell r="R4">
            <v>104684308.95580997</v>
          </cell>
        </row>
        <row r="5">
          <cell r="A5" t="str">
            <v>Actual Work Done (EXCLUDING GST)</v>
          </cell>
          <cell r="B5">
            <v>5650000</v>
          </cell>
          <cell r="C5">
            <v>6735532</v>
          </cell>
          <cell r="D5">
            <v>4993250</v>
          </cell>
          <cell r="E5">
            <v>4930000</v>
          </cell>
          <cell r="F5">
            <v>0</v>
          </cell>
          <cell r="G5">
            <v>0</v>
          </cell>
          <cell r="H5">
            <v>0</v>
          </cell>
          <cell r="I5">
            <v>0</v>
          </cell>
          <cell r="J5">
            <v>0</v>
          </cell>
          <cell r="K5">
            <v>0</v>
          </cell>
          <cell r="L5">
            <v>0</v>
          </cell>
          <cell r="M5">
            <v>0</v>
          </cell>
          <cell r="N5">
            <v>0</v>
          </cell>
          <cell r="O5">
            <v>0</v>
          </cell>
          <cell r="P5">
            <v>0</v>
          </cell>
          <cell r="Q5">
            <v>0</v>
          </cell>
          <cell r="R5">
            <v>0</v>
          </cell>
        </row>
        <row r="6">
          <cell r="A6" t="str">
            <v>Actual Work Done (EXCLUDING GST) Cumulative</v>
          </cell>
          <cell r="C6">
            <v>12385532</v>
          </cell>
          <cell r="D6">
            <v>17378782</v>
          </cell>
          <cell r="E6">
            <v>22308782</v>
          </cell>
        </row>
      </sheetData>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Risk Register"/>
      <sheetName val="List"/>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 Tracker"/>
      <sheetName val="calculations"/>
      <sheetName val="Project issue tracker1"/>
    </sheetNames>
    <sheetDataSet>
      <sheetData sheetId="0"/>
      <sheetData sheetId="1">
        <row r="7">
          <cell r="J7">
            <v>30</v>
          </cell>
        </row>
        <row r="8">
          <cell r="J8">
            <v>45807</v>
          </cell>
        </row>
        <row r="9">
          <cell r="J9" t="str">
            <v>*</v>
          </cell>
        </row>
        <row r="10">
          <cell r="J10" t="str">
            <v>*</v>
          </cell>
        </row>
        <row r="13">
          <cell r="N13">
            <v>4</v>
          </cell>
          <cell r="O13">
            <v>3</v>
          </cell>
        </row>
        <row r="15">
          <cell r="N15" t="str">
            <v>*</v>
          </cell>
          <cell r="O15" t="str">
            <v>*</v>
          </cell>
        </row>
        <row r="16">
          <cell r="H16">
            <v>45778</v>
          </cell>
          <cell r="I16">
            <v>0</v>
          </cell>
          <cell r="J16">
            <v>1</v>
          </cell>
          <cell r="S16" t="str">
            <v>*</v>
          </cell>
          <cell r="T16" t="str">
            <v>*</v>
          </cell>
        </row>
      </sheetData>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bout"/>
      <sheetName val="Green"/>
      <sheetName val="Blue"/>
      <sheetName val="Purple"/>
    </sheetNames>
    <sheetDataSet>
      <sheetData sheetId="0" refreshError="1"/>
      <sheetData sheetId="1"/>
      <sheetData sheetId="2" refreshError="1"/>
      <sheetData sheetId="3">
        <row r="5">
          <cell r="C5">
            <v>46011</v>
          </cell>
          <cell r="U5">
            <v>13</v>
          </cell>
        </row>
        <row r="6">
          <cell r="C6">
            <v>1</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Template"/>
      <sheetName val="Instructions"/>
      <sheetName val="Opportunity - Rating Desc."/>
      <sheetName val="Threat - Rating Desc."/>
      <sheetName val="Severity matrix"/>
      <sheetName val="Sample Risk Checklist"/>
      <sheetName val="Risk Allocation"/>
      <sheetName val="Lists"/>
    </sheetNames>
    <sheetDataSet>
      <sheetData sheetId="0"/>
      <sheetData sheetId="1"/>
      <sheetData sheetId="2"/>
      <sheetData sheetId="3"/>
      <sheetData sheetId="4"/>
      <sheetData sheetId="5"/>
      <sheetData sheetId="6"/>
      <sheetData sheetId="7">
        <row r="17">
          <cell r="H17" t="str">
            <v>Planning/Scoping</v>
          </cell>
        </row>
        <row r="18">
          <cell r="H18" t="str">
            <v>Design</v>
          </cell>
        </row>
        <row r="19">
          <cell r="H19" t="str">
            <v>ROW-Utilities</v>
          </cell>
        </row>
        <row r="20">
          <cell r="H20" t="str">
            <v>Construction</v>
          </cell>
        </row>
        <row r="21">
          <cell r="H21" t="str">
            <v>Maintenance</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Tracking"/>
      <sheetName val="Cash Flow Chart - INR"/>
      <sheetName val="Cash Flow - Forecast"/>
      <sheetName val="Budget"/>
      <sheetName val="Monitoring"/>
      <sheetName val="STEEL RATE DIFFRENCE"/>
      <sheetName val="CEMENT RATE DIFFRENCE"/>
    </sheetNames>
    <sheetDataSet>
      <sheetData sheetId="0" refreshError="1"/>
      <sheetData sheetId="1">
        <row r="2">
          <cell r="B2">
            <v>45931</v>
          </cell>
          <cell r="C2">
            <v>45962</v>
          </cell>
          <cell r="D2">
            <v>45992</v>
          </cell>
          <cell r="E2">
            <v>46023</v>
          </cell>
        </row>
        <row r="26">
          <cell r="A26" t="str">
            <v>CPI</v>
          </cell>
          <cell r="B26">
            <v>1.0331074883938467</v>
          </cell>
          <cell r="C26">
            <v>1.1443730219714245</v>
          </cell>
          <cell r="D26">
            <v>1.1967394447894066</v>
          </cell>
          <cell r="E26">
            <v>1.090883835583212</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Weekly Manpower"/>
      <sheetName val="Project Cashflow "/>
      <sheetName val="Planned Vs Actual "/>
      <sheetName val="As per drawing status"/>
    </sheetNames>
    <sheetDataSet>
      <sheetData sheetId="0"/>
      <sheetData sheetId="1"/>
      <sheetData sheetId="2">
        <row r="3">
          <cell r="E3" t="str">
            <v xml:space="preserve">Planned Work </v>
          </cell>
          <cell r="F3" t="str">
            <v>Actual Work</v>
          </cell>
        </row>
        <row r="4">
          <cell r="B4" t="str">
            <v>August</v>
          </cell>
          <cell r="E4">
            <v>5000000</v>
          </cell>
          <cell r="F4">
            <v>1063955</v>
          </cell>
        </row>
        <row r="5">
          <cell r="B5" t="str">
            <v>September</v>
          </cell>
          <cell r="E5">
            <v>7200000</v>
          </cell>
          <cell r="F5">
            <v>7797193</v>
          </cell>
        </row>
        <row r="6">
          <cell r="B6" t="str">
            <v>October</v>
          </cell>
          <cell r="E6">
            <v>5000000</v>
          </cell>
          <cell r="F6">
            <v>168333</v>
          </cell>
        </row>
        <row r="7">
          <cell r="B7" t="str">
            <v>November</v>
          </cell>
          <cell r="E7">
            <v>7500000</v>
          </cell>
          <cell r="F7">
            <v>2376171</v>
          </cell>
        </row>
        <row r="8">
          <cell r="B8" t="str">
            <v>December</v>
          </cell>
          <cell r="E8">
            <v>8000000</v>
          </cell>
          <cell r="F8">
            <v>11104853</v>
          </cell>
        </row>
        <row r="9">
          <cell r="B9" t="str">
            <v>January</v>
          </cell>
          <cell r="E9">
            <v>9000000</v>
          </cell>
        </row>
        <row r="10">
          <cell r="B10" t="str">
            <v>February</v>
          </cell>
          <cell r="E10">
            <v>8000000</v>
          </cell>
        </row>
        <row r="11">
          <cell r="B11" t="str">
            <v>March</v>
          </cell>
          <cell r="E11">
            <v>8000000</v>
          </cell>
        </row>
      </sheetData>
      <sheetData sheetId="3"/>
      <sheetData sheetId="4"/>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SHANIL" refreshedDate="46085.175567939812" createdVersion="5" refreshedVersion="5" minRefreshableVersion="3" recordCount="30">
  <cacheSource type="worksheet">
    <worksheetSource ref="A3:L33" sheet="Legal Approval Tracker"/>
  </cacheSource>
  <cacheFields count="12">
    <cacheField name="Approval ID" numFmtId="0">
      <sharedItems count="30">
        <s v="LA-01"/>
        <s v="LA-02"/>
        <s v="LA-03"/>
        <s v="LA-04"/>
        <s v="LA-05"/>
        <s v="LA-06"/>
        <s v="LA-07"/>
        <s v="LA-08"/>
        <s v="LA-09"/>
        <s v="LA-10"/>
        <s v="LA-11"/>
        <s v="LA-12"/>
        <s v="LA-13"/>
        <s v="LA-14"/>
        <s v="LA-15"/>
        <s v="LA-16"/>
        <s v="LA-17"/>
        <s v="LA-18"/>
        <s v="LA-19"/>
        <s v="LA-20"/>
        <s v="LA-21"/>
        <s v="LA-22"/>
        <s v="LA-23"/>
        <s v="LA-24"/>
        <s v="LA-25"/>
        <s v="LA-26"/>
        <s v="LA-27"/>
        <s v="LA-28"/>
        <s v="LA-29"/>
        <s v="LA-30"/>
      </sharedItems>
    </cacheField>
    <cacheField name="Approval Category" numFmtId="0">
      <sharedItems/>
    </cacheField>
    <cacheField name="Authority Name" numFmtId="0">
      <sharedItems/>
    </cacheField>
    <cacheField name="Approval Description" numFmtId="0">
      <sharedItems/>
    </cacheField>
    <cacheField name="Applicable Building / Package" numFmtId="0">
      <sharedItems/>
    </cacheField>
    <cacheField name="Submission Date" numFmtId="14">
      <sharedItems containsSemiMixedTypes="0" containsNonDate="0" containsDate="1" containsString="0" minDate="2024-12-15T00:00:00" maxDate="2025-01-26T00:00:00"/>
    </cacheField>
    <cacheField name="Required By" numFmtId="14">
      <sharedItems containsSemiMixedTypes="0" containsNonDate="0" containsDate="1" containsString="0" minDate="2025-01-10T00:00:00" maxDate="2025-02-16T00:00:00"/>
    </cacheField>
    <cacheField name="Approval Received Date" numFmtId="0">
      <sharedItems containsNonDate="0" containsDate="1" containsString="0" containsBlank="1" minDate="2025-01-09T00:00:00" maxDate="2025-01-29T00:00:00"/>
    </cacheField>
    <cacheField name="Status" numFmtId="0">
      <sharedItems count="5">
        <s v="Approved"/>
        <s v="Submitted"/>
        <s v="Delayed"/>
        <s v="In Progress"/>
        <s v="Not Submitted"/>
      </sharedItems>
    </cacheField>
    <cacheField name="Delay (Days)" numFmtId="0">
      <sharedItems containsString="0" containsBlank="1" containsNumber="1" containsInteger="1" minValue="-2" maxValue="2"/>
    </cacheField>
    <cacheField name="Responsible Party" numFmtId="0">
      <sharedItems/>
    </cacheField>
    <cacheField name="Remark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HANIL" refreshedDate="46085.188571180559" createdVersion="5" refreshedVersion="5" minRefreshableVersion="3" recordCount="10">
  <cacheSource type="worksheet">
    <worksheetSource name="Table1"/>
  </cacheSource>
  <cacheFields count="15">
    <cacheField name="Milestone ID" numFmtId="0">
      <sharedItems/>
    </cacheField>
    <cacheField name="Phase" numFmtId="0">
      <sharedItems count="7">
        <s v="Pre-Construction"/>
        <s v="Excavation"/>
        <s v="Foundation"/>
        <s v="Structure"/>
        <s v="Masonry"/>
        <s v="Finishing"/>
        <s v="Handover"/>
      </sharedItems>
    </cacheField>
    <cacheField name="Milestone Name" numFmtId="0">
      <sharedItems/>
    </cacheField>
    <cacheField name="Planned Start" numFmtId="15">
      <sharedItems containsSemiMixedTypes="0" containsNonDate="0" containsDate="1" containsString="0" minDate="2026-01-01T00:00:00" maxDate="2026-04-07T00:00:00"/>
    </cacheField>
    <cacheField name="Planned End" numFmtId="15">
      <sharedItems containsSemiMixedTypes="0" containsNonDate="0" containsDate="1" containsString="0" minDate="2026-01-05T00:00:00" maxDate="2026-04-11T00:00:00"/>
    </cacheField>
    <cacheField name="Planned Days" numFmtId="1">
      <sharedItems containsSemiMixedTypes="0" containsString="0" containsNumber="1" containsInteger="1" minValue="4" maxValue="30"/>
    </cacheField>
    <cacheField name="Actual Start" numFmtId="15">
      <sharedItems containsNonDate="0" containsDate="1" containsString="0" containsBlank="1" minDate="1900-01-07T00:00:00" maxDate="2026-02-12T00:00:00"/>
    </cacheField>
    <cacheField name="Actual End" numFmtId="15">
      <sharedItems containsNonDate="0" containsDate="1" containsString="0" containsBlank="1" minDate="2026-01-05T00:00:00" maxDate="2026-03-14T00:00:00"/>
    </cacheField>
    <cacheField name="Actual Days" numFmtId="1">
      <sharedItems containsString="0" containsBlank="1" containsNumber="1" containsInteger="1" minValue="-8" maxValue="39"/>
    </cacheField>
    <cacheField name="Weightage " numFmtId="0">
      <sharedItems containsSemiMixedTypes="0" containsString="0" containsNumber="1" containsInteger="1" minValue="5" maxValue="15"/>
    </cacheField>
    <cacheField name="% Complete" numFmtId="9">
      <sharedItems containsSemiMixedTypes="0" containsString="0" containsNumber="1" minValue="0" maxValue="1"/>
    </cacheField>
    <cacheField name="Stakeholder " numFmtId="0">
      <sharedItems/>
    </cacheField>
    <cacheField name="Zone" numFmtId="0">
      <sharedItems/>
    </cacheField>
    <cacheField name="Status2" numFmtId="0">
      <sharedItems/>
    </cacheField>
    <cacheField name="Delays" numFmtId="0">
      <sharedItems containsSemiMixedTypes="0" containsString="0" containsNumber="1" containsInteger="1" minValue="0" maxValue="3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HANIL" refreshedDate="46085.200695717591" createdVersion="5" refreshedVersion="5" minRefreshableVersion="3" recordCount="30">
  <cacheSource type="worksheet">
    <worksheetSource ref="A2:S32" sheet="Risk Register"/>
  </cacheSource>
  <cacheFields count="19">
    <cacheField name="#" numFmtId="0">
      <sharedItems/>
    </cacheField>
    <cacheField name="Category" numFmtId="0">
      <sharedItems/>
    </cacheField>
    <cacheField name="Opportunity / Threat" numFmtId="0">
      <sharedItems/>
    </cacheField>
    <cacheField name="Risk Name" numFmtId="49">
      <sharedItems/>
    </cacheField>
    <cacheField name="Detailed Description" numFmtId="49">
      <sharedItems longText="1"/>
    </cacheField>
    <cacheField name="Probability (1 - 5)" numFmtId="0">
      <sharedItems containsSemiMixedTypes="0" containsString="0" containsNumber="1" containsInteger="1" minValue="1" maxValue="5"/>
    </cacheField>
    <cacheField name="Consequence (1-5)" numFmtId="0">
      <sharedItems containsSemiMixedTypes="0" containsString="0" containsNumber="1" containsInteger="1" minValue="1" maxValue="5"/>
    </cacheField>
    <cacheField name="Severity (Priority)" numFmtId="0">
      <sharedItems containsSemiMixedTypes="0" containsString="0" containsNumber="1" containsInteger="1" minValue="2" maxValue="25"/>
    </cacheField>
    <cacheField name="Probability (%)" numFmtId="9">
      <sharedItems containsSemiMixedTypes="0" containsString="0" containsNumber="1" minValue="0.1" maxValue="0.5"/>
    </cacheField>
    <cacheField name="Cost Impact (₹)" numFmtId="166">
      <sharedItems containsSemiMixedTypes="0" containsString="0" containsNumber="1" containsInteger="1" minValue="100" maxValue="26000"/>
    </cacheField>
    <cacheField name="Most Likely (no. of weeks)" numFmtId="0">
      <sharedItems containsSemiMixedTypes="0" containsString="0" containsNumber="1" containsInteger="1" minValue="1" maxValue="1"/>
    </cacheField>
    <cacheField name="Urgency" numFmtId="0">
      <sharedItems/>
    </cacheField>
    <cacheField name="Response Category" numFmtId="0">
      <sharedItems/>
    </cacheField>
    <cacheField name="Impact" numFmtId="49">
      <sharedItems longText="1"/>
    </cacheField>
    <cacheField name="Risk Owner" numFmtId="49">
      <sharedItems/>
    </cacheField>
    <cacheField name="Contingency Plan" numFmtId="49">
      <sharedItems/>
    </cacheField>
    <cacheField name="Status" numFmtId="49">
      <sharedItems count="4">
        <s v="Not Started"/>
        <s v="Active (Ongoing)"/>
        <s v="Dormant (Not Started)"/>
        <s v="Completed"/>
      </sharedItems>
    </cacheField>
    <cacheField name="Date Last Updated" numFmtId="167">
      <sharedItems containsSemiMixedTypes="0" containsNonDate="0" containsDate="1" containsString="0" minDate="2026-02-27T00:00:00" maxDate="2026-03-10T00:00:00"/>
    </cacheField>
    <cacheField name="Tracking Comments" numFmtId="4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SHANIL" refreshedDate="46085.216038310187" createdVersion="5" refreshedVersion="5" minRefreshableVersion="3" recordCount="15">
  <cacheSource type="worksheet">
    <worksheetSource ref="A2:P17" sheet="Hinderance Register"/>
  </cacheSource>
  <cacheFields count="16">
    <cacheField name="Sr. No" numFmtId="0">
      <sharedItems containsSemiMixedTypes="0" containsString="0" containsNumber="1" containsInteger="1" minValue="1" maxValue="15"/>
    </cacheField>
    <cacheField name="Description of Hindrance" numFmtId="0">
      <sharedItems/>
    </cacheField>
    <cacheField name="Location " numFmtId="0">
      <sharedItems/>
    </cacheField>
    <cacheField name="Critical Activity affected" numFmtId="0">
      <sharedItems count="4">
        <s v="Shutterting"/>
        <s v="Casting"/>
        <s v="Reinforcement"/>
        <s v="Excavation"/>
      </sharedItems>
    </cacheField>
    <cacheField name="Correspondence " numFmtId="14">
      <sharedItems containsSemiMixedTypes="0" containsNonDate="0" containsDate="1" containsString="0" minDate="2026-12-26T00:00:00" maxDate="2027-03-15T00:00:00"/>
    </cacheField>
    <cacheField name="Category" numFmtId="14">
      <sharedItems/>
    </cacheField>
    <cacheField name="Type of Hindrance" numFmtId="0">
      <sharedItems/>
    </cacheField>
    <cacheField name="Date of Occurrence" numFmtId="14">
      <sharedItems containsSemiMixedTypes="0" containsNonDate="0" containsDate="1" containsString="0" minDate="2026-11-19T00:00:00" maxDate="2027-03-17T00:00:00"/>
    </cacheField>
    <cacheField name="Date Resolved" numFmtId="14">
      <sharedItems containsSemiMixedTypes="0" containsNonDate="0" containsDate="1" containsString="0" minDate="2026-11-22T00:00:00" maxDate="2027-04-05T00:00:00"/>
    </cacheField>
    <cacheField name="No. of Days" numFmtId="0">
      <sharedItems containsSemiMixedTypes="0" containsString="0" containsNumber="1" containsInteger="1" minValue="3" maxValue="31"/>
    </cacheField>
    <cacheField name="Baseline Start Date" numFmtId="14">
      <sharedItems containsSemiMixedTypes="0" containsNonDate="0" containsDate="1" containsString="0" minDate="2026-11-13T00:00:00" maxDate="2027-02-11T00:00:00"/>
    </cacheField>
    <cacheField name="Schedule Impact" numFmtId="0">
      <sharedItems containsSemiMixedTypes="0" containsString="0" containsNumber="1" containsInteger="1" minValue="5" maxValue="64"/>
    </cacheField>
    <cacheField name="Delay Type" numFmtId="0">
      <sharedItems/>
    </cacheField>
    <cacheField name="Accountable" numFmtId="0">
      <sharedItems/>
    </cacheField>
    <cacheField name="Status" numFmtId="0">
      <sharedItems/>
    </cacheField>
    <cacheField name="Description of Resolu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
  <r>
    <x v="0"/>
    <s v="Labour Compliance"/>
    <s v="Labour Department"/>
    <s v="BOCW Registration – Building &amp; Other Construction Works"/>
    <s v="All Towers"/>
    <d v="2025-01-05T00:00:00"/>
    <d v="2025-01-20T00:00:00"/>
    <d v="2025-01-22T00:00:00"/>
    <x v="0"/>
    <n v="2"/>
    <s v="Client"/>
    <s v="Approved with minor delay"/>
  </r>
  <r>
    <x v="1"/>
    <s v="Insurance"/>
    <s v="Insurance Company"/>
    <s v="CAR Policy – Contractor All Risk"/>
    <s v="All Packages"/>
    <d v="2025-01-02T00:00:00"/>
    <d v="2025-01-10T00:00:00"/>
    <d v="2025-01-09T00:00:00"/>
    <x v="0"/>
    <n v="-1"/>
    <s v="Contractor"/>
    <s v="Submitted on priority"/>
  </r>
  <r>
    <x v="2"/>
    <s v="Labour Compliance"/>
    <s v="Labour Department"/>
    <s v="CLRA Registration – Contract Labour Regulation Act"/>
    <s v="All Towers"/>
    <d v="2025-01-06T00:00:00"/>
    <d v="2025-01-25T00:00:00"/>
    <m/>
    <x v="1"/>
    <m/>
    <s v="Contractor"/>
    <s v="Under review by department"/>
  </r>
  <r>
    <x v="3"/>
    <s v="Labour Compliance"/>
    <s v="Labour Department"/>
    <s v="Labour License"/>
    <s v="Tower 1"/>
    <d v="2025-01-08T00:00:00"/>
    <d v="2025-01-20T00:00:00"/>
    <m/>
    <x v="2"/>
    <m/>
    <s v="Contractor"/>
    <s v="Inspection pending"/>
  </r>
  <r>
    <x v="4"/>
    <s v="Statutory"/>
    <s v="EPFO"/>
    <s v="PF Registration Documents"/>
    <s v="All Packages"/>
    <d v="2025-01-03T00:00:00"/>
    <d v="2025-01-15T00:00:00"/>
    <d v="2025-01-14T00:00:00"/>
    <x v="0"/>
    <n v="-1"/>
    <s v="Contractor"/>
    <s v="-"/>
  </r>
  <r>
    <x v="5"/>
    <s v="Statutory"/>
    <s v="ESIC"/>
    <s v="ESI Registration Documents"/>
    <s v="All Packages"/>
    <d v="2025-01-03T00:00:00"/>
    <d v="2025-01-15T00:00:00"/>
    <d v="2025-01-16T00:00:00"/>
    <x v="0"/>
    <n v="1"/>
    <s v="Contractor"/>
    <s v="One day delay"/>
  </r>
  <r>
    <x v="6"/>
    <s v="Tax"/>
    <s v="State Tax Department"/>
    <s v="Professional Tax Registration"/>
    <s v="All Packages"/>
    <d v="2025-01-04T00:00:00"/>
    <d v="2025-01-18T00:00:00"/>
    <d v="2025-01-17T00:00:00"/>
    <x v="0"/>
    <n v="-1"/>
    <s v="Contractor"/>
    <s v="-"/>
  </r>
  <r>
    <x v="7"/>
    <s v="Labour Compliance"/>
    <s v="Labour Department"/>
    <s v="LWF – Labour Welfare Fund Registration"/>
    <s v="All Towers"/>
    <d v="2025-01-05T00:00:00"/>
    <d v="2025-01-18T00:00:00"/>
    <m/>
    <x v="1"/>
    <m/>
    <s v="Contractor"/>
    <s v="Follow-up required"/>
  </r>
  <r>
    <x v="8"/>
    <s v="Health &amp; Safety"/>
    <s v="Government Hospital"/>
    <s v="Worker Medical Fitness Certification"/>
    <s v="All Towers"/>
    <d v="2025-01-07T00:00:00"/>
    <d v="2025-01-14T00:00:00"/>
    <d v="2025-01-13T00:00:00"/>
    <x v="0"/>
    <n v="-1"/>
    <s v="Contractor"/>
    <s v="-"/>
  </r>
  <r>
    <x v="9"/>
    <s v="Police Clearance"/>
    <s v="Local Police Department"/>
    <s v="Worker Police Verification"/>
    <s v="All Towers"/>
    <d v="2025-01-07T00:00:00"/>
    <d v="2025-01-21T00:00:00"/>
    <m/>
    <x v="2"/>
    <m/>
    <s v="Contractor"/>
    <s v="Police clearance pending"/>
  </r>
  <r>
    <x v="10"/>
    <s v="Safety"/>
    <s v="Third Party Agency"/>
    <s v="Test Certificate – Lifting Tools &amp; Tackles"/>
    <s v="All Towers"/>
    <d v="2025-01-09T00:00:00"/>
    <d v="2025-01-19T00:00:00"/>
    <d v="2025-01-18T00:00:00"/>
    <x v="0"/>
    <n v="-1"/>
    <s v="Contractor"/>
    <s v="-"/>
  </r>
  <r>
    <x v="11"/>
    <s v="Safety"/>
    <s v="Third Party Agency"/>
    <s v="Pressure Vessel Test Certificate"/>
    <s v="All Towers"/>
    <d v="2025-01-09T00:00:00"/>
    <d v="2025-01-19T00:00:00"/>
    <m/>
    <x v="1"/>
    <m/>
    <s v="Contractor"/>
    <s v="Inspection scheduled"/>
  </r>
  <r>
    <x v="12"/>
    <s v="Fire"/>
    <s v="Fire Department"/>
    <s v="Fire NOC – Temporary Site Office"/>
    <s v="Site Area"/>
    <d v="2025-01-10T00:00:00"/>
    <d v="2025-01-25T00:00:00"/>
    <m/>
    <x v="3"/>
    <m/>
    <s v="Client"/>
    <s v="Documents submitted"/>
  </r>
  <r>
    <x v="13"/>
    <s v="Environment"/>
    <s v="Pollution Control Board"/>
    <s v="Consent to Establish (CTE)"/>
    <s v="Project Site"/>
    <d v="2025-01-12T00:00:00"/>
    <d v="2025-02-05T00:00:00"/>
    <m/>
    <x v="1"/>
    <m/>
    <s v="Client"/>
    <s v="Under scrutiny"/>
  </r>
  <r>
    <x v="14"/>
    <s v="Environment"/>
    <s v="Pollution Control Board"/>
    <s v="Consent to Operate – DG Set"/>
    <s v="Project Site"/>
    <d v="2025-01-15T00:00:00"/>
    <d v="2025-02-10T00:00:00"/>
    <m/>
    <x v="4"/>
    <m/>
    <s v="Contractor"/>
    <s v="DG set not installed"/>
  </r>
  <r>
    <x v="15"/>
    <s v="Local Authority"/>
    <s v="Municipal Corporation"/>
    <s v="Building Plan Approval"/>
    <s v="Tower 1"/>
    <d v="2024-12-15T00:00:00"/>
    <d v="2025-01-30T00:00:00"/>
    <d v="2025-01-28T00:00:00"/>
    <x v="0"/>
    <n v="-2"/>
    <s v="Client"/>
    <s v="-"/>
  </r>
  <r>
    <x v="16"/>
    <s v="Local Authority"/>
    <s v="Municipal Corporation"/>
    <s v="Commencement Certificate"/>
    <s v="Tower 2"/>
    <d v="2025-01-05T00:00:00"/>
    <d v="2025-01-25T00:00:00"/>
    <m/>
    <x v="2"/>
    <m/>
    <s v="Client"/>
    <s v="Resubmission required"/>
  </r>
  <r>
    <x v="17"/>
    <s v="Utility"/>
    <s v="Electricity Board"/>
    <s v="Temporary Power Connection"/>
    <s v="Site"/>
    <d v="2025-01-06T00:00:00"/>
    <d v="2025-01-20T00:00:00"/>
    <d v="2025-01-21T00:00:00"/>
    <x v="0"/>
    <n v="1"/>
    <s v="Contractor"/>
    <s v="-"/>
  </r>
  <r>
    <x v="18"/>
    <s v="Utility"/>
    <s v="Water Supply Department"/>
    <s v="Temporary Water Connection"/>
    <s v="Site"/>
    <d v="2025-01-06T00:00:00"/>
    <d v="2025-01-20T00:00:00"/>
    <m/>
    <x v="1"/>
    <m/>
    <s v="Contractor"/>
    <s v="Pipeline work pending"/>
  </r>
  <r>
    <x v="19"/>
    <s v="Traffic"/>
    <s v="Traffic Police Department"/>
    <s v="Traffic Diversion Permission"/>
    <s v="Main Road"/>
    <d v="2025-01-10T00:00:00"/>
    <d v="2025-01-18T00:00:00"/>
    <d v="2025-01-17T00:00:00"/>
    <x v="0"/>
    <n v="-1"/>
    <s v="Client"/>
    <s v="-"/>
  </r>
  <r>
    <x v="20"/>
    <s v="Safety"/>
    <s v="Factory Inspectorate"/>
    <s v="Site Safety Registration"/>
    <s v="All Towers"/>
    <d v="2025-01-11T00:00:00"/>
    <d v="2025-01-22T00:00:00"/>
    <m/>
    <x v="3"/>
    <m/>
    <s v="Contractor"/>
    <s v="Inspection awaited"/>
  </r>
  <r>
    <x v="21"/>
    <s v="Insurance"/>
    <s v="Insurance Company"/>
    <s v="Workmen Compensation Policy"/>
    <s v="All Labour"/>
    <d v="2025-01-05T00:00:00"/>
    <d v="2025-01-12T00:00:00"/>
    <d v="2025-01-11T00:00:00"/>
    <x v="0"/>
    <n v="-1"/>
    <s v="Contractor"/>
    <s v="-"/>
  </r>
  <r>
    <x v="22"/>
    <s v="Labour Compliance"/>
    <s v="Labour Department"/>
    <s v="Inter-State Migrant Workmen Registration"/>
    <s v="All Towers"/>
    <d v="2025-01-08T00:00:00"/>
    <d v="2025-01-25T00:00:00"/>
    <m/>
    <x v="1"/>
    <m/>
    <s v="Contractor"/>
    <s v="Documents under review"/>
  </r>
  <r>
    <x v="23"/>
    <s v="Environment"/>
    <s v="Local Authority"/>
    <s v="Tree Cutting Permission"/>
    <s v="Site Boundary"/>
    <d v="2025-01-15T00:00:00"/>
    <d v="2025-02-01T00:00:00"/>
    <m/>
    <x v="4"/>
    <m/>
    <s v="Client"/>
    <s v="Tree survey pending"/>
  </r>
  <r>
    <x v="24"/>
    <s v="Safety"/>
    <s v="Fire Department"/>
    <s v="Fire Safety Equipment Approval"/>
    <s v="Site"/>
    <d v="2025-01-16T00:00:00"/>
    <d v="2025-01-30T00:00:00"/>
    <m/>
    <x v="3"/>
    <m/>
    <s v="Contractor"/>
    <s v="Partial installation completed"/>
  </r>
  <r>
    <x v="25"/>
    <s v="Utility"/>
    <s v="Telecom Authority"/>
    <s v="Internet / Telecom Permission"/>
    <s v="Site Office"/>
    <d v="2025-01-14T00:00:00"/>
    <d v="2025-01-28T00:00:00"/>
    <d v="2025-01-27T00:00:00"/>
    <x v="0"/>
    <n v="-1"/>
    <s v="Contractor"/>
    <s v="-"/>
  </r>
  <r>
    <x v="26"/>
    <s v="Local Authority"/>
    <s v="Municipal Corporation"/>
    <s v="Hoarding Permission"/>
    <s v="Site Boundary"/>
    <d v="2025-01-18T00:00:00"/>
    <d v="2025-01-28T00:00:00"/>
    <m/>
    <x v="1"/>
    <m/>
    <s v="Client"/>
    <s v="Approval awaited"/>
  </r>
  <r>
    <x v="27"/>
    <s v="Environment"/>
    <s v="Local Authority"/>
    <s v="Debris Disposal Permission"/>
    <s v="Project Site"/>
    <d v="2025-01-20T00:00:00"/>
    <d v="2025-02-05T00:00:00"/>
    <m/>
    <x v="4"/>
    <m/>
    <s v="Contractor"/>
    <s v="Vendor finalisation pending"/>
  </r>
  <r>
    <x v="28"/>
    <s v="Safety"/>
    <s v="Lift Inspector"/>
    <s v="Temporary Construction Lift Approval"/>
    <s v="Tower 1"/>
    <d v="2025-01-22T00:00:00"/>
    <d v="2025-02-10T00:00:00"/>
    <m/>
    <x v="3"/>
    <m/>
    <s v="Contractor"/>
    <s v="Inspection scheduled"/>
  </r>
  <r>
    <x v="29"/>
    <s v="Statutory"/>
    <s v="Explosives Department"/>
    <s v="Diesel Storage License"/>
    <s v="Project Site"/>
    <d v="2025-01-25T00:00:00"/>
    <d v="2025-02-15T00:00:00"/>
    <m/>
    <x v="4"/>
    <m/>
    <s v="Contractor"/>
    <s v="Tank installation pending"/>
  </r>
</pivotCacheRecords>
</file>

<file path=xl/pivotCache/pivotCacheRecords2.xml><?xml version="1.0" encoding="utf-8"?>
<pivotCacheRecords xmlns="http://schemas.openxmlformats.org/spreadsheetml/2006/main" xmlns:r="http://schemas.openxmlformats.org/officeDocument/2006/relationships" count="10">
  <r>
    <s v="M01"/>
    <x v="0"/>
    <s v="Site Mobilization"/>
    <d v="2026-01-01T00:00:00"/>
    <d v="2026-01-05T00:00:00"/>
    <n v="4"/>
    <d v="2026-01-01T00:00:00"/>
    <d v="2026-01-05T00:00:00"/>
    <n v="4"/>
    <n v="5"/>
    <n v="1"/>
    <s v="ABC Infra"/>
    <s v="A"/>
    <s v="Completed"/>
    <n v="0"/>
  </r>
  <r>
    <s v="M02"/>
    <x v="1"/>
    <s v="Excavation Work"/>
    <d v="2026-01-06T00:00:00"/>
    <d v="2026-01-15T00:00:00"/>
    <n v="9"/>
    <d v="2026-01-07T00:00:00"/>
    <d v="2026-01-17T00:00:00"/>
    <n v="10"/>
    <n v="5"/>
    <n v="1"/>
    <s v="ABC Infra"/>
    <s v="A"/>
    <s v="Delayed"/>
    <n v="1"/>
  </r>
  <r>
    <s v="M03"/>
    <x v="2"/>
    <s v="PCC Work"/>
    <d v="2026-01-16T00:00:00"/>
    <d v="2026-01-20T00:00:00"/>
    <n v="4"/>
    <d v="2026-01-16T00:00:00"/>
    <d v="2026-01-20T00:00:00"/>
    <n v="4"/>
    <n v="5"/>
    <n v="1"/>
    <s v="XYZ Con"/>
    <s v="A"/>
    <s v="Completed"/>
    <n v="0"/>
  </r>
  <r>
    <s v="M04"/>
    <x v="2"/>
    <s v="Footing RCC"/>
    <d v="2026-01-21T00:00:00"/>
    <d v="2026-01-30T00:00:00"/>
    <n v="9"/>
    <d v="2026-01-21T00:00:00"/>
    <d v="2026-02-02T00:00:00"/>
    <n v="12"/>
    <n v="10"/>
    <n v="1"/>
    <s v="XYZ Con"/>
    <s v="B"/>
    <s v="Delayed"/>
    <n v="3"/>
  </r>
  <r>
    <s v="M05"/>
    <x v="3"/>
    <s v="Column RCC"/>
    <d v="2026-02-01T00:00:00"/>
    <d v="2026-02-10T00:00:00"/>
    <n v="9"/>
    <d v="2026-02-01T00:00:00"/>
    <d v="2026-03-12T00:00:00"/>
    <n v="39"/>
    <n v="15"/>
    <n v="1"/>
    <s v="XYZ Con"/>
    <s v="B"/>
    <s v="Delayed"/>
    <n v="30"/>
  </r>
  <r>
    <s v="M06"/>
    <x v="3"/>
    <s v="Slab Casting"/>
    <d v="2026-02-11T00:00:00"/>
    <d v="2026-02-20T00:00:00"/>
    <n v="9"/>
    <d v="2026-02-11T00:00:00"/>
    <d v="2026-03-13T00:00:00"/>
    <n v="30"/>
    <n v="15"/>
    <n v="1"/>
    <s v="LMN Build"/>
    <s v="B"/>
    <s v="Delayed"/>
    <n v="21"/>
  </r>
  <r>
    <s v="M07"/>
    <x v="4"/>
    <s v="Block Work"/>
    <d v="2026-02-21T00:00:00"/>
    <d v="2026-03-05T00:00:00"/>
    <n v="30"/>
    <d v="2026-01-08T00:00:00"/>
    <m/>
    <n v="0"/>
    <n v="15"/>
    <n v="1"/>
    <s v="LMN Build"/>
    <s v="C"/>
    <s v="In Progress"/>
    <n v="0"/>
  </r>
  <r>
    <s v="M08"/>
    <x v="5"/>
    <s v="Plastering"/>
    <d v="2026-03-06T00:00:00"/>
    <d v="2026-03-20T00:00:00"/>
    <n v="14"/>
    <d v="1900-01-07T00:00:00"/>
    <m/>
    <n v="-8"/>
    <n v="10"/>
    <n v="0.2"/>
    <s v="LMN Build"/>
    <s v="C"/>
    <s v="In Progress"/>
    <n v="0"/>
  </r>
  <r>
    <s v="M09"/>
    <x v="5"/>
    <s v="Flooring"/>
    <d v="2026-03-21T00:00:00"/>
    <d v="2026-04-05T00:00:00"/>
    <n v="15"/>
    <m/>
    <m/>
    <n v="0"/>
    <n v="10"/>
    <n v="0"/>
    <s v="PQR Works"/>
    <s v="C"/>
    <s v="Not Started"/>
    <n v="0"/>
  </r>
  <r>
    <s v="M10"/>
    <x v="6"/>
    <s v="Final Inspection"/>
    <d v="2026-04-06T00:00:00"/>
    <d v="2026-04-10T00:00:00"/>
    <n v="4"/>
    <m/>
    <m/>
    <m/>
    <n v="10"/>
    <n v="0"/>
    <s v="PQR Works"/>
    <s v="C"/>
    <s v="Not Started"/>
    <n v="0"/>
  </r>
</pivotCacheRecords>
</file>

<file path=xl/pivotCache/pivotCacheRecords3.xml><?xml version="1.0" encoding="utf-8"?>
<pivotCacheRecords xmlns="http://schemas.openxmlformats.org/spreadsheetml/2006/main" xmlns:r="http://schemas.openxmlformats.org/officeDocument/2006/relationships" count="30">
  <r>
    <s v="R1"/>
    <s v="Execution"/>
    <s v="Threat"/>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2"/>
    <n v="1000"/>
    <n v="1"/>
    <s v="High"/>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Designer"/>
    <s v="The contractor is required to immediately deploy the necessary manpower to meet current site requirements. "/>
    <x v="0"/>
    <d v="2026-03-04T00:00:00"/>
    <s v="NA"/>
  </r>
  <r>
    <s v="R2"/>
    <s v="Planning/ Scope"/>
    <s v="Opportunity"/>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3"/>
    <n v="2"/>
    <n v="6"/>
    <n v="0.3"/>
    <n v="2000"/>
    <n v="1"/>
    <s v="Low"/>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Contractor"/>
    <s v="The contractor is required to immediately deploy the necessary manpower to meet current site requirements. "/>
    <x v="1"/>
    <d v="2026-03-09T00:00:00"/>
    <s v="NA"/>
  </r>
  <r>
    <s v="R3"/>
    <s v="Communications"/>
    <s v="Both"/>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1"/>
    <n v="5"/>
    <n v="0.4"/>
    <n v="3000"/>
    <n v="1"/>
    <s v="Medium"/>
    <s v="Transfer"/>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PMC"/>
    <s v="The contractor is required to immediately deploy the necessary manpower to meet current site requirements. "/>
    <x v="2"/>
    <d v="2026-02-27T00:00:00"/>
    <s v="NA"/>
  </r>
  <r>
    <s v="R4"/>
    <s v="Schedule"/>
    <s v="Threat"/>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4"/>
    <n v="3"/>
    <n v="12"/>
    <n v="0.5"/>
    <n v="100"/>
    <n v="1"/>
    <s v="High"/>
    <s v="Avoid"/>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MEPF Consultant"/>
    <s v="The contractor is required to immediately deploy the necessary manpower to meet current site requirements. "/>
    <x v="3"/>
    <d v="2026-03-04T00:00:00"/>
    <s v="NA"/>
  </r>
  <r>
    <s v="R5"/>
    <s v="Estimating"/>
    <s v="Opportunity"/>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2"/>
    <n v="5"/>
    <n v="10"/>
    <n v="0.1"/>
    <n v="5000"/>
    <n v="1"/>
    <s v="Low"/>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Owner"/>
    <s v="The contractor is required to immediately deploy the necessary manpower to meet current site requirements. "/>
    <x v="0"/>
    <d v="2026-03-09T00:00:00"/>
    <s v="NA"/>
  </r>
  <r>
    <s v="R6"/>
    <s v="Controlling"/>
    <s v="Both"/>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2"/>
    <n v="10"/>
    <n v="0.2"/>
    <n v="6000"/>
    <n v="1"/>
    <s v="Medium"/>
    <s v="Exploit"/>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Designer"/>
    <s v="The contractor is required to immediately deploy the necessary manpower to meet current site requirements. "/>
    <x v="1"/>
    <d v="2026-02-27T00:00:00"/>
    <s v="NA"/>
  </r>
  <r>
    <s v="R7"/>
    <s v="Planning/ Scope"/>
    <s v="Threat"/>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4"/>
    <n v="4"/>
    <n v="16"/>
    <n v="0.3"/>
    <n v="10000"/>
    <n v="1"/>
    <s v="High"/>
    <s v="Shar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Contractor"/>
    <s v="The contractor is required to immediately deploy the necessary manpower to meet current site requirements. "/>
    <x v="2"/>
    <d v="2026-03-04T00:00:00"/>
    <s v="NA"/>
  </r>
  <r>
    <s v="R8"/>
    <s v="Communications"/>
    <s v="Opportunity"/>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4"/>
    <n v="2000"/>
    <n v="1"/>
    <s v="Low"/>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PMC"/>
    <s v="The contractor is required to immediately deploy the necessary manpower to meet current site requirements. "/>
    <x v="3"/>
    <d v="2026-03-09T00:00:00"/>
    <s v="NA"/>
  </r>
  <r>
    <s v="R9"/>
    <s v="Schedule"/>
    <s v="Both"/>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2"/>
    <n v="2"/>
    <n v="0.5"/>
    <n v="8000"/>
    <n v="1"/>
    <s v="Medium"/>
    <s v="Transfer"/>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MEPF Consultant"/>
    <s v="The contractor is required to immediately deploy the necessary manpower to meet current site requirements. "/>
    <x v="0"/>
    <d v="2026-02-27T00:00:00"/>
    <s v="NA"/>
  </r>
  <r>
    <s v="R10"/>
    <s v="Esxecution"/>
    <s v="Threat"/>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2"/>
    <n v="2"/>
    <n v="0.2"/>
    <n v="3000"/>
    <n v="1"/>
    <s v="High"/>
    <s v="Avoid"/>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Owner"/>
    <s v="The contractor is required to immediately deploy the necessary manpower to meet current site requirements. "/>
    <x v="1"/>
    <d v="2026-03-04T00:00:00"/>
    <s v="NA"/>
  </r>
  <r>
    <s v="R11"/>
    <s v="Controlling"/>
    <s v="Opportunity"/>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2"/>
    <n v="2"/>
    <n v="0.3"/>
    <n v="3500"/>
    <n v="1"/>
    <s v="Low"/>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Designer"/>
    <s v="The contractor is required to immediately deploy the necessary manpower to meet current site requirements. "/>
    <x v="2"/>
    <d v="2026-03-09T00:00:00"/>
    <s v="NA"/>
  </r>
  <r>
    <s v="R12"/>
    <s v="Planning/ Scope"/>
    <s v="Both"/>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2"/>
    <n v="2"/>
    <n v="0.4"/>
    <n v="6480"/>
    <n v="1"/>
    <s v="Medium"/>
    <s v="Accept"/>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Contractor"/>
    <s v="The contractor is required to immediately deploy the necessary manpower to meet current site requirements. "/>
    <x v="3"/>
    <d v="2026-02-27T00:00:00"/>
    <s v="NA"/>
  </r>
  <r>
    <s v="R13"/>
    <s v="Communications"/>
    <s v="Threat"/>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1"/>
    <n v="3"/>
    <n v="3"/>
    <n v="0.5"/>
    <n v="6500"/>
    <n v="1"/>
    <s v="High"/>
    <s v="Accept"/>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PMC"/>
    <s v="The contractor is required to immediately deploy the necessary manpower to meet current site requirements. "/>
    <x v="0"/>
    <d v="2026-03-04T00:00:00"/>
    <s v="NA"/>
  </r>
  <r>
    <s v="R14"/>
    <s v="Schedule"/>
    <s v="Opportunity"/>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4"/>
    <n v="20"/>
    <n v="0.2"/>
    <n v="9000"/>
    <n v="1"/>
    <s v="Low"/>
    <s v="Avoid"/>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MEPF Consultant"/>
    <s v="The contractor is required to immediately deploy the necessary manpower to meet current site requirements. "/>
    <x v="1"/>
    <d v="2026-03-09T00:00:00"/>
    <s v="NA"/>
  </r>
  <r>
    <s v="R15"/>
    <s v="Estimating"/>
    <s v="Both"/>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4"/>
    <n v="3"/>
    <n v="12"/>
    <n v="0.3"/>
    <n v="8750"/>
    <n v="1"/>
    <s v="Medium"/>
    <s v="Avoid"/>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Owner"/>
    <s v="The contractor is required to immediately deploy the necessary manpower to meet current site requirements. "/>
    <x v="2"/>
    <d v="2026-02-27T00:00:00"/>
    <s v="NA"/>
  </r>
  <r>
    <s v="R16"/>
    <s v="Controlling"/>
    <s v="Threat"/>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4"/>
    <n v="250"/>
    <n v="1"/>
    <s v="High"/>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Designer"/>
    <s v="The contractor is required to immediately deploy the necessary manpower to meet current site requirements. "/>
    <x v="3"/>
    <d v="2026-03-04T00:00:00"/>
    <s v="NA"/>
  </r>
  <r>
    <s v="R17"/>
    <s v="Planning/ Scope"/>
    <s v="Opportunity"/>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5"/>
    <n v="100"/>
    <n v="1"/>
    <s v="Low"/>
    <s v="Accept"/>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Contractor"/>
    <s v="The contractor is required to immediately deploy the necessary manpower to meet current site requirements. "/>
    <x v="0"/>
    <d v="2026-03-09T00:00:00"/>
    <s v="NA"/>
  </r>
  <r>
    <s v="R18"/>
    <s v="Communications"/>
    <s v="Both"/>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2"/>
    <n v="600"/>
    <n v="1"/>
    <s v="Medium"/>
    <s v="Transfer"/>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PMC"/>
    <s v="The contractor is required to immediately deploy the necessary manpower to meet current site requirements. "/>
    <x v="1"/>
    <d v="2026-02-27T00:00:00"/>
    <s v="NA"/>
  </r>
  <r>
    <s v="R19"/>
    <s v="Schedule"/>
    <s v="Threat"/>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4"/>
    <n v="20"/>
    <n v="0.3"/>
    <n v="13000"/>
    <n v="1"/>
    <s v="High"/>
    <s v="Exploit"/>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MEPF Consultant"/>
    <s v="The contractor is required to immediately deploy the necessary manpower to meet current site requirements. "/>
    <x v="2"/>
    <d v="2026-03-04T00:00:00"/>
    <s v="NA"/>
  </r>
  <r>
    <s v="R20"/>
    <s v="Esxecution"/>
    <s v="Opportunity"/>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4"/>
    <n v="26000"/>
    <n v="1"/>
    <s v="Low"/>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Owner"/>
    <s v="The contractor is required to immediately deploy the necessary manpower to meet current site requirements. "/>
    <x v="3"/>
    <d v="2026-03-09T00:00:00"/>
    <s v="NA"/>
  </r>
  <r>
    <s v="R21"/>
    <s v="Controlling"/>
    <s v="Both"/>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5"/>
    <n v="14500"/>
    <n v="1"/>
    <s v="Medium"/>
    <s v="Enhanc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Designer"/>
    <s v="The contractor is required to immediately deploy the necessary manpower to meet current site requirements. "/>
    <x v="0"/>
    <d v="2026-02-27T00:00:00"/>
    <s v="NA"/>
  </r>
  <r>
    <s v="R22"/>
    <s v="Planning/ Scope"/>
    <s v="Threat"/>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2"/>
    <n v="18000"/>
    <n v="1"/>
    <s v="High"/>
    <s v="Avoid"/>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Contractor"/>
    <s v="The contractor is required to immediately deploy the necessary manpower to meet current site requirements. "/>
    <x v="1"/>
    <d v="2026-03-04T00:00:00"/>
    <s v="NA"/>
  </r>
  <r>
    <s v="R23"/>
    <s v="Communications"/>
    <s v="Opportunity"/>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3"/>
    <n v="21500"/>
    <n v="1"/>
    <s v="Low"/>
    <s v="Transfer"/>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PMC"/>
    <s v="The contractor is required to immediately deploy the necessary manpower to meet current site requirements. "/>
    <x v="2"/>
    <d v="2026-03-09T00:00:00"/>
    <s v="NA"/>
  </r>
  <r>
    <s v="R24"/>
    <s v="Schedule"/>
    <s v="Both"/>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4"/>
    <n v="1450"/>
    <n v="1"/>
    <s v="Medium"/>
    <s v="Exploit"/>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MEPF Consultant"/>
    <s v="The contractor is required to immediately deploy the necessary manpower to meet current site requirements. "/>
    <x v="3"/>
    <d v="2026-02-27T00:00:00"/>
    <s v="NA"/>
  </r>
  <r>
    <s v="R25"/>
    <s v="Esxecution"/>
    <s v="Threat"/>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5"/>
    <n v="1000"/>
    <n v="1"/>
    <s v="High"/>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Owner"/>
    <s v="The contractor is required to immediately deploy the necessary manpower to meet current site requirements. "/>
    <x v="0"/>
    <d v="2026-03-04T00:00:00"/>
    <s v="NA"/>
  </r>
  <r>
    <s v="R26"/>
    <s v="Controlling"/>
    <s v="Opportunity"/>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2"/>
    <n v="6200"/>
    <n v="1"/>
    <s v="Low"/>
    <s v="Enhanc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Designer"/>
    <s v="The contractor is required to immediately deploy the necessary manpower to meet current site requirements. "/>
    <x v="1"/>
    <d v="2026-03-09T00:00:00"/>
    <s v="NA"/>
  </r>
  <r>
    <s v="R27"/>
    <s v="Planning/ Scope"/>
    <s v="Both"/>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3"/>
    <n v="1000"/>
    <n v="1"/>
    <s v="Medium"/>
    <s v="Transfer"/>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Contractor"/>
    <s v="The contractor is required to immediately deploy the necessary manpower to meet current site requirements. "/>
    <x v="2"/>
    <d v="2026-02-27T00:00:00"/>
    <s v="NA"/>
  </r>
  <r>
    <s v="R28"/>
    <s v="Communications"/>
    <s v="Threat"/>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4"/>
    <n v="1000"/>
    <n v="1"/>
    <s v="High"/>
    <s v="Exploit"/>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PMC"/>
    <s v="The contractor is required to immediately deploy the necessary manpower to meet current site requirements. "/>
    <x v="3"/>
    <d v="2026-03-04T00:00:00"/>
    <s v="NA"/>
  </r>
  <r>
    <s v="R29"/>
    <s v="Schedule"/>
    <s v="Opportunity"/>
    <s v="Manpower Shortage"/>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5"/>
    <n v="1000"/>
    <n v="1"/>
    <s v="Low"/>
    <s v="Mitigat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MEPF Consultant"/>
    <s v="The contractor is required to immediately deploy the necessary manpower to meet current site requirements. "/>
    <x v="0"/>
    <d v="2026-03-09T00:00:00"/>
    <s v="NA"/>
  </r>
  <r>
    <s v="R30"/>
    <s v="Esxecution"/>
    <s v="Both"/>
    <s v="Manpower Opportunity"/>
    <s v="It has been observed that the manpower currently available at the site is inadequate to meet the scheduled activity requirements of the project. The contractor has been instructed to mobilize the remaining workforce at the earliest. Only 6 masons are available on site for masonry work, which is targeted for 10 nos."/>
    <n v="5"/>
    <n v="5"/>
    <n v="25"/>
    <n v="0.2"/>
    <n v="1000"/>
    <n v="1"/>
    <s v="Medium"/>
    <s v="Enhance"/>
    <s v="The shortage of manpower at the site is likely to cause significant delays in executing scheduled project activities, disrupting the overall project timeline. This may lead to resource mismanagement, reduced work efficiency, and a cascading impact on dependent tasks. If not resolved promptly, it can also increase project costs due to idle equipment, extended project duration, and potential contractual penalties."/>
    <s v="Owner"/>
    <s v="The contractor is required to immediately deploy the necessary manpower to meet current site requirements. "/>
    <x v="1"/>
    <d v="2026-02-27T00:00:00"/>
    <s v="NA"/>
  </r>
</pivotCacheRecords>
</file>

<file path=xl/pivotCache/pivotCacheRecords4.xml><?xml version="1.0" encoding="utf-8"?>
<pivotCacheRecords xmlns="http://schemas.openxmlformats.org/spreadsheetml/2006/main" xmlns:r="http://schemas.openxmlformats.org/officeDocument/2006/relationships" count="15">
  <r>
    <n v="1"/>
    <s v="Staircase work "/>
    <s v="Building A"/>
    <x v="0"/>
    <d v="2026-12-26T00:00:00"/>
    <s v="Design &amp; Technical"/>
    <s v="Storage and handling constraints"/>
    <d v="2026-11-19T00:00:00"/>
    <d v="2026-11-22T00:00:00"/>
    <n v="4"/>
    <d v="2026-11-13T00:00:00"/>
    <n v="10"/>
    <s v="Overlapping Delay"/>
    <s v="Architecture Consultant"/>
    <s v="Resolved"/>
    <s v="drawing was given on 22-11-2026"/>
  </r>
  <r>
    <n v="2"/>
    <s v="Column reinforcement and formwork for part 1A"/>
    <s v="Building B"/>
    <x v="1"/>
    <d v="2026-12-26T00:00:00"/>
    <s v="Approval"/>
    <s v="Delay in mock-up / sample approvals"/>
    <d v="2026-12-24T00:00:00"/>
    <d v="2026-12-28T00:00:00"/>
    <n v="5"/>
    <d v="2026-12-24T00:00:00"/>
    <n v="5"/>
    <s v="Non-overlapping Delay"/>
    <s v="Contractor"/>
    <s v="Resolved"/>
    <s v="drawing was given on 28-12-2027"/>
  </r>
  <r>
    <n v="3"/>
    <s v="basement 1 slab for Part 1B,1C"/>
    <s v="Building C"/>
    <x v="2"/>
    <d v="2027-01-12T00:00:00"/>
    <s v="Execution"/>
    <s v="Variation / change order approval delays"/>
    <d v="2027-01-05T00:00:00"/>
    <d v="2027-01-17T00:00:00"/>
    <n v="13"/>
    <d v="2027-01-06T00:00:00"/>
    <n v="12"/>
    <s v="Non-overlapping Delay"/>
    <s v="Structure Consultant"/>
    <s v="Resolved"/>
    <s v="drawing was given on 17-1-23"/>
  </r>
  <r>
    <n v="4"/>
    <s v="Basement 1 slab for Part 1D"/>
    <s v="Building D"/>
    <x v="3"/>
    <d v="2027-01-12T00:00:00"/>
    <s v="Material Procurement"/>
    <s v="Work front not available / handed over"/>
    <d v="2027-01-12T00:00:00"/>
    <d v="2027-01-17T00:00:00"/>
    <n v="6"/>
    <d v="2026-12-31T00:00:00"/>
    <n v="18"/>
    <s v="Overlapping Delay"/>
    <s v="PMC"/>
    <s v="Resolved"/>
    <s v="drawing was given on 17-1-23"/>
  </r>
  <r>
    <n v="5"/>
    <s v="Ground floor slab for Block A"/>
    <s v="Building E"/>
    <x v="0"/>
    <d v="2026-12-26T00:00:00"/>
    <s v="Material Procurement"/>
    <s v="Import / logistics clearance delays"/>
    <d v="2027-01-20T00:00:00"/>
    <d v="2027-02-08T00:00:00"/>
    <n v="20"/>
    <d v="2027-01-20T00:00:00"/>
    <n v="20"/>
    <s v="Non-overlapping Delay"/>
    <s v="Structure Consultant"/>
    <s v="Resolved"/>
    <s v="drawing was given on 8-2-23 for shuttering"/>
  </r>
  <r>
    <n v="6"/>
    <s v="Basement 3 slab for Part 2"/>
    <s v="Building A"/>
    <x v="1"/>
    <d v="2026-12-26T00:00:00"/>
    <s v="Approval"/>
    <s v="Delay in statutory approvals (Fire, Local Authority, Utilities)"/>
    <d v="2027-01-20T00:00:00"/>
    <d v="2027-02-07T00:00:00"/>
    <n v="19"/>
    <d v="2027-01-15T00:00:00"/>
    <n v="24"/>
    <s v="Overlapping Delay"/>
    <s v="Client"/>
    <s v="Resolved"/>
    <s v="drawing was given on 7-2-23 for shuttering"/>
  </r>
  <r>
    <n v="7"/>
    <s v="Lift 4 "/>
    <s v="Building B"/>
    <x v="2"/>
    <d v="2027-01-28T00:00:00"/>
    <s v="Execution"/>
    <s v="Vendor / supplier non-performance"/>
    <d v="2027-01-18T00:00:00"/>
    <d v="2027-01-31T00:00:00"/>
    <n v="14"/>
    <d v="2027-01-07T00:00:00"/>
    <n v="25"/>
    <s v="Non-overlapping Delay"/>
    <s v="Contractor"/>
    <s v="Open"/>
    <s v="drawing was given on 24-1-23 and hold decision was given on 31-1-23"/>
  </r>
  <r>
    <n v="8"/>
    <s v="Stair 5,6,2 - Part 2"/>
    <s v="Building C"/>
    <x v="3"/>
    <d v="2027-02-22T00:00:00"/>
    <s v="Design &amp; Technical"/>
    <s v="Insufficient skilled manpower"/>
    <d v="2027-02-10T00:00:00"/>
    <d v="2027-03-01T00:00:00"/>
    <n v="20"/>
    <d v="2027-01-15T00:00:00"/>
    <n v="46"/>
    <s v="Non-overlapping Delay"/>
    <s v="Architecture Consultant"/>
    <s v="Open"/>
    <s v="drawing was given on 8-2-23 for shuttering"/>
  </r>
  <r>
    <n v="9"/>
    <s v="Block B &amp; C - ground floor slab"/>
    <s v="Building D"/>
    <x v="2"/>
    <d v="2026-12-26T00:00:00"/>
    <s v="Approval"/>
    <s v="Constructability issues at site"/>
    <d v="2027-02-15T00:00:00"/>
    <d v="2027-02-19T00:00:00"/>
    <n v="5"/>
    <d v="2027-01-31T00:00:00"/>
    <n v="20"/>
    <s v="Overlapping Delay"/>
    <s v="Contractor"/>
    <s v="Resolved"/>
    <s v="drawing was given on 19-2-23 for shuttering"/>
  </r>
  <r>
    <n v="10"/>
    <s v="Block A - ground floor "/>
    <s v="Building E"/>
    <x v="3"/>
    <d v="2026-12-26T00:00:00"/>
    <s v="Execution"/>
    <s v="Delay in issue of GFC / IFC drawings"/>
    <d v="2027-02-20T00:00:00"/>
    <d v="2027-02-23T00:00:00"/>
    <n v="4"/>
    <d v="2027-02-07T00:00:00"/>
    <n v="17"/>
    <s v="Overlapping Delay"/>
    <s v="Structure Consultant"/>
    <s v="Resolved"/>
    <s v="drawing was given on 8-2-23 for shuttering"/>
  </r>
  <r>
    <n v="11"/>
    <s v="Block C - ground floor"/>
    <s v="Building A"/>
    <x v="0"/>
    <d v="2027-02-27T00:00:00"/>
    <s v="Design &amp; Technical"/>
    <s v="Delay in issue of GFC / IFC drawings"/>
    <d v="2027-02-26T00:00:00"/>
    <d v="2027-02-28T00:00:00"/>
    <n v="3"/>
    <d v="2027-02-04T00:00:00"/>
    <n v="25"/>
    <s v="Overlapping Delay"/>
    <s v="PMC"/>
    <s v="Resolved"/>
    <m/>
  </r>
  <r>
    <n v="12"/>
    <s v="Block A - ground floor "/>
    <s v="Building B"/>
    <x v="1"/>
    <d v="2026-12-26T00:00:00"/>
    <s v="Execution"/>
    <s v="Delay in design clarifications (RFIs)"/>
    <d v="2027-02-27T00:00:00"/>
    <d v="2027-03-02T00:00:00"/>
    <n v="4"/>
    <d v="2027-02-07T00:00:00"/>
    <n v="24"/>
    <s v="Non-overlapping Delay"/>
    <s v="Structure Consultant"/>
    <s v="Resolved"/>
    <s v="casting done on 2/3/23"/>
  </r>
  <r>
    <n v="13"/>
    <s v="Part 2- ramp work"/>
    <s v="Building C"/>
    <x v="3"/>
    <d v="2027-02-27T00:00:00"/>
    <s v="Material Procurement"/>
    <s v="Delay in approval from Client / PMC"/>
    <d v="2027-02-17T00:00:00"/>
    <d v="2027-03-04T00:00:00"/>
    <n v="16"/>
    <d v="2027-01-16T00:00:00"/>
    <n v="48"/>
    <s v="Non-overlapping Delay"/>
    <s v="Client"/>
    <s v="Resolved"/>
    <m/>
  </r>
  <r>
    <n v="14"/>
    <s v="Part 1- Stair 1,9"/>
    <s v="Building D"/>
    <x v="0"/>
    <d v="2026-12-26T00:00:00"/>
    <s v="Approval"/>
    <s v="Delay in statutory approvals (Fire, Local Authority, Utilities)"/>
    <d v="2027-03-05T00:00:00"/>
    <d v="2027-04-04T00:00:00"/>
    <n v="31"/>
    <d v="2027-01-31T00:00:00"/>
    <n v="64"/>
    <s v="Overlapping Delay"/>
    <s v="Contractor"/>
    <s v="Open"/>
    <m/>
  </r>
  <r>
    <n v="15"/>
    <s v="Part 2A- basement 2 "/>
    <s v="Building E"/>
    <x v="2"/>
    <d v="2027-03-14T00:00:00"/>
    <s v="Execution"/>
    <s v="Delay in issue of GFC / IFC drawings"/>
    <d v="2027-03-16T00:00:00"/>
    <d v="2027-03-21T00:00:00"/>
    <n v="6"/>
    <d v="2027-02-10T00:00:00"/>
    <n v="40"/>
    <s v="Non-overlapping Delay"/>
    <s v="Client"/>
    <s v="Resolved"/>
    <s v="drawing was given on 21-3-23 for shutter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6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A10:AB15" firstHeaderRow="1" firstDataRow="1" firstDataCol="1"/>
  <pivotFields count="16">
    <pivotField dataField="1" showAll="0"/>
    <pivotField showAll="0"/>
    <pivotField showAll="0"/>
    <pivotField axis="axisRow" showAll="0">
      <items count="5">
        <item x="1"/>
        <item x="3"/>
        <item x="2"/>
        <item x="0"/>
        <item t="default"/>
      </items>
    </pivotField>
    <pivotField numFmtId="14" showAll="0"/>
    <pivotField showAll="0"/>
    <pivotField showAll="0"/>
    <pivotField numFmtId="14" showAll="0"/>
    <pivotField numFmtId="14" showAll="0"/>
    <pivotField showAll="0"/>
    <pivotField numFmtId="14"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Sr. No" fld="0" subtotal="count"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C28:D33" firstHeaderRow="1"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4">
        <item x="1"/>
        <item x="3"/>
        <item x="2"/>
        <item x="0"/>
      </items>
    </pivotField>
    <pivotField showAll="0" defaultSubtotal="0"/>
    <pivotField showAll="0" defaultSubtotal="0"/>
  </pivotFields>
  <rowFields count="1">
    <field x="16"/>
  </rowFields>
  <rowItems count="5">
    <i>
      <x/>
    </i>
    <i>
      <x v="1"/>
    </i>
    <i>
      <x v="2"/>
    </i>
    <i>
      <x v="3"/>
    </i>
    <i t="grand">
      <x/>
    </i>
  </rowItems>
  <colItems count="1">
    <i/>
  </colItems>
  <dataFields count="1">
    <dataField name="Count of #" fld="0" subtotal="count" baseField="0" baseItem="0"/>
  </dataFields>
  <chartFormats count="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N12:O20" firstHeaderRow="1" firstDataRow="1" firstDataCol="1"/>
  <pivotFields count="15">
    <pivotField showAll="0"/>
    <pivotField axis="axisRow" showAll="0">
      <items count="8">
        <item x="1"/>
        <item x="5"/>
        <item x="2"/>
        <item x="6"/>
        <item x="4"/>
        <item x="0"/>
        <item x="3"/>
        <item t="default"/>
      </items>
    </pivotField>
    <pivotField showAll="0"/>
    <pivotField numFmtId="15" showAll="0"/>
    <pivotField numFmtId="15" showAll="0"/>
    <pivotField numFmtId="1" showAll="0"/>
    <pivotField showAll="0"/>
    <pivotField showAll="0"/>
    <pivotField showAll="0"/>
    <pivotField showAll="0"/>
    <pivotField dataField="1" numFmtId="9"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Average of % Complete" fld="10" subtotal="average" baseField="0"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H16:I22" firstHeaderRow="1" firstDataRow="1" firstDataCol="1"/>
  <pivotFields count="12">
    <pivotField dataField="1"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showAll="0"/>
    <pivotField numFmtId="14" showAll="0"/>
    <pivotField numFmtId="14" showAll="0"/>
    <pivotField showAll="0"/>
    <pivotField axis="axisRow" showAll="0">
      <items count="6">
        <item x="0"/>
        <item x="2"/>
        <item x="3"/>
        <item x="4"/>
        <item x="1"/>
        <item t="default"/>
      </items>
    </pivotField>
    <pivotField showAll="0"/>
    <pivotField showAll="0"/>
    <pivotField showAll="0"/>
  </pivotFields>
  <rowFields count="1">
    <field x="8"/>
  </rowFields>
  <rowItems count="6">
    <i>
      <x/>
    </i>
    <i>
      <x v="1"/>
    </i>
    <i>
      <x v="2"/>
    </i>
    <i>
      <x v="3"/>
    </i>
    <i>
      <x v="4"/>
    </i>
    <i t="grand">
      <x/>
    </i>
  </rowItems>
  <colItems count="1">
    <i/>
  </colItems>
  <dataFields count="1">
    <dataField name="Count of Approval ID" fld="0" subtotal="count" baseField="8"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4"/>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O12" totalsRowCount="1" headerRowDxfId="60" dataDxfId="59">
  <autoFilter ref="A1:O11"/>
  <tableColumns count="15">
    <tableColumn id="1" name="Milestone ID" dataDxfId="57" totalsRowDxfId="58"/>
    <tableColumn id="2" name="Phase" dataDxfId="55" totalsRowDxfId="56"/>
    <tableColumn id="3" name="Milestone Name" dataDxfId="53" totalsRowDxfId="54"/>
    <tableColumn id="4" name="Planned Start" dataDxfId="51" totalsRowDxfId="52"/>
    <tableColumn id="5" name="Planned End" dataDxfId="49" totalsRowDxfId="50"/>
    <tableColumn id="15" name="Planned Days" dataDxfId="47" totalsRowDxfId="48">
      <calculatedColumnFormula>Table1[[#This Row],[Planned End]]-Table1[[#This Row],[Planned Start]]</calculatedColumnFormula>
    </tableColumn>
    <tableColumn id="17" name="Actual Start" dataDxfId="45" totalsRowDxfId="46"/>
    <tableColumn id="6" name="Actual End" dataDxfId="43" totalsRowDxfId="44"/>
    <tableColumn id="14" name="Actual Days" dataDxfId="41" totalsRowDxfId="42">
      <calculatedColumnFormula>Table1[[#This Row],[Actual End]]-Table1[[#This Row],[Actual Start]]</calculatedColumnFormula>
    </tableColumn>
    <tableColumn id="16" name="Weightage " dataDxfId="39" totalsRowDxfId="40"/>
    <tableColumn id="8" name="% Complete" dataDxfId="37" totalsRowDxfId="38">
      <calculatedColumnFormula>IF(AND(G2="",H2=""),0,
 IF(AND(G2&lt;&gt;"",H2=""),
  MIN((TODAY()-G2+1)/F2,1),
  1))</calculatedColumnFormula>
    </tableColumn>
    <tableColumn id="10" name="Stakeholder " dataDxfId="35" totalsRowDxfId="36"/>
    <tableColumn id="11" name="Zone" dataDxfId="33" totalsRowDxfId="34"/>
    <tableColumn id="12" name="Status2" totalsRowFunction="custom" dataDxfId="31" totalsRowDxfId="32">
      <calculatedColumnFormula>IF(AND(G2="",H2=""),"Not Started",
 IF(AND(G2&lt;&gt;"",H2=""),"In Progress",
 IF(H2&lt;=E2,"Completed",
 "Delayed")))</calculatedColumnFormula>
      <totalsRowFormula>COUNTIF(N:N,N7)</totalsRowFormula>
    </tableColumn>
    <tableColumn id="13" name="Delays" dataDxfId="29" totalsRowDxfId="30">
      <calculatedColumnFormula>IF(Table1[[#This Row],[Actual Days]]&gt;Table1[[#This Row],[Planned Days]],Table1[[#This Row],[Actual Days]]-Table1[[#This Row],[Planned Days]],0)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Risk_Register" displayName="Risk_Register" ref="A2:S32" totalsRowShown="0" headerRowDxfId="28" tableBorderDxfId="27">
  <autoFilter ref="A2:S32"/>
  <tableColumns count="19">
    <tableColumn id="1" name="#" dataDxfId="26"/>
    <tableColumn id="2" name="Category" dataDxfId="25"/>
    <tableColumn id="3" name="Opportunity / Threat" dataDxfId="24"/>
    <tableColumn id="4" name="Risk Name" dataDxfId="23"/>
    <tableColumn id="5" name="Detailed Description" dataDxfId="22"/>
    <tableColumn id="6" name="Probability (1 - 5)" dataDxfId="21"/>
    <tableColumn id="7" name="Consequence (1-5)" dataDxfId="20"/>
    <tableColumn id="8" name="Severity (Priority)" dataDxfId="19">
      <calculatedColumnFormula>F3*G3</calculatedColumnFormula>
    </tableColumn>
    <tableColumn id="9" name="Probability (%)" dataDxfId="18" dataCellStyle="Percent"/>
    <tableColumn id="10" name="Cost Impact (₹)" dataDxfId="17" dataCellStyle="Currency"/>
    <tableColumn id="11" name="Most Likely (no. of weeks)" dataDxfId="16" dataCellStyle="Currency"/>
    <tableColumn id="19" name="Urgency" dataDxfId="15" dataCellStyle="Currency"/>
    <tableColumn id="12" name="Response Category" dataDxfId="14"/>
    <tableColumn id="13" name="Impact" dataDxfId="13"/>
    <tableColumn id="14" name="Risk Owner" dataDxfId="12" dataCellStyle="Currency"/>
    <tableColumn id="15" name="Contingency Plan" dataDxfId="11" dataCellStyle="Currency"/>
    <tableColumn id="16" name="Status" dataDxfId="10"/>
    <tableColumn id="17" name="Date Last Updated" dataDxfId="9"/>
    <tableColumn id="18" name="Tracking Comments" dataDxfId="8"/>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57"/>
  <sheetViews>
    <sheetView tabSelected="1" view="pageBreakPreview" zoomScale="41" zoomScaleNormal="37" zoomScaleSheetLayoutView="41" workbookViewId="0">
      <selection activeCell="U57" sqref="U57"/>
    </sheetView>
  </sheetViews>
  <sheetFormatPr defaultRowHeight="14.25"/>
  <cols>
    <col min="3" max="3" width="19.125" customWidth="1"/>
    <col min="4" max="4" width="13.25" customWidth="1"/>
    <col min="5" max="5" width="14.25" customWidth="1"/>
    <col min="6" max="6" width="13.5" customWidth="1"/>
    <col min="8" max="8" width="19.125" bestFit="1" customWidth="1"/>
    <col min="9" max="9" width="13.25" customWidth="1"/>
    <col min="12" max="12" width="8.875" customWidth="1"/>
    <col min="14" max="14" width="19" bestFit="1" customWidth="1"/>
    <col min="15" max="15" width="27.625" bestFit="1" customWidth="1"/>
    <col min="27" max="27" width="19" bestFit="1" customWidth="1"/>
    <col min="28" max="28" width="54.625" customWidth="1"/>
    <col min="30" max="30" width="14.625" customWidth="1"/>
    <col min="31" max="31" width="9.25" customWidth="1"/>
  </cols>
  <sheetData>
    <row r="1" spans="1:31" ht="14.45" customHeight="1">
      <c r="A1" s="10" t="s">
        <v>10</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row>
    <row r="2" spans="1:31" ht="14.45" customHeight="1">
      <c r="A2" s="10"/>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row>
    <row r="3" spans="1:31" ht="14.45" customHeight="1">
      <c r="A3" s="10"/>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row>
    <row r="4" spans="1:31" ht="14.45" customHeight="1" thickBot="1">
      <c r="A4" s="13"/>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spans="1:31" ht="14.45" customHeight="1" thickTop="1">
      <c r="A5" s="18" t="s">
        <v>11</v>
      </c>
      <c r="B5" s="19"/>
      <c r="C5" s="19"/>
      <c r="D5" s="19"/>
      <c r="E5" s="20"/>
      <c r="F5" s="17"/>
      <c r="G5" s="17"/>
      <c r="H5" s="17"/>
      <c r="I5" s="17"/>
      <c r="J5" s="17"/>
      <c r="K5" s="17"/>
      <c r="L5" s="17"/>
      <c r="M5" s="17"/>
      <c r="N5" s="17"/>
      <c r="O5" s="17"/>
      <c r="P5" s="17"/>
      <c r="Q5" s="17"/>
      <c r="R5" s="17"/>
      <c r="S5" s="17"/>
      <c r="T5" s="17"/>
      <c r="U5" s="17"/>
      <c r="V5" s="17"/>
      <c r="W5" s="17"/>
      <c r="X5" s="17"/>
      <c r="Y5" s="17"/>
      <c r="Z5" s="17"/>
      <c r="AA5" s="17"/>
      <c r="AB5" s="17"/>
      <c r="AC5" s="17"/>
      <c r="AD5" s="17"/>
      <c r="AE5" s="17"/>
    </row>
    <row r="6" spans="1:31" ht="14.45" customHeight="1" thickBot="1">
      <c r="A6" s="21"/>
      <c r="B6" s="22"/>
      <c r="C6" s="22"/>
      <c r="D6" s="22"/>
      <c r="E6" s="23"/>
      <c r="F6" s="17"/>
      <c r="G6" s="17"/>
      <c r="H6" s="17"/>
      <c r="I6" s="17"/>
      <c r="J6" s="17"/>
      <c r="K6" s="17"/>
      <c r="L6" s="17"/>
      <c r="M6" s="17"/>
      <c r="N6" s="17"/>
      <c r="O6" s="17"/>
      <c r="P6" s="17"/>
      <c r="Q6" s="17"/>
      <c r="R6" s="17"/>
      <c r="S6" s="17"/>
      <c r="T6" s="17"/>
      <c r="U6" s="17"/>
      <c r="V6" s="17"/>
      <c r="W6" s="17"/>
      <c r="X6" s="17"/>
      <c r="Y6" s="17"/>
      <c r="Z6" s="17"/>
      <c r="AA6" s="17"/>
      <c r="AB6" s="17"/>
      <c r="AC6" s="17"/>
      <c r="AD6" s="17"/>
      <c r="AE6" s="17"/>
    </row>
    <row r="7" spans="1:31" ht="33" customHeight="1" thickTop="1" thickBot="1">
      <c r="A7" s="24" t="s">
        <v>12</v>
      </c>
      <c r="B7" s="25"/>
      <c r="C7" s="25"/>
      <c r="D7" s="26">
        <v>45809</v>
      </c>
      <c r="E7" s="27"/>
      <c r="F7" s="17"/>
      <c r="G7" s="17"/>
      <c r="H7" s="17"/>
      <c r="I7" s="17"/>
      <c r="J7" s="17"/>
      <c r="K7" s="17"/>
      <c r="L7" s="17"/>
      <c r="M7" s="17"/>
      <c r="N7" s="17"/>
      <c r="O7" s="17"/>
      <c r="P7" s="17"/>
      <c r="Q7" s="17"/>
      <c r="R7" s="17"/>
      <c r="S7" s="17"/>
      <c r="T7" s="17"/>
      <c r="U7" s="17"/>
      <c r="V7" s="17"/>
      <c r="W7" s="17"/>
      <c r="X7" s="17"/>
      <c r="Y7" s="17"/>
      <c r="Z7" s="17"/>
      <c r="AA7" s="17"/>
      <c r="AB7" s="17"/>
      <c r="AC7" s="17"/>
      <c r="AD7" s="17"/>
      <c r="AE7" s="17"/>
    </row>
    <row r="8" spans="1:31" ht="33" customHeight="1" thickTop="1" thickBot="1">
      <c r="A8" s="28" t="s">
        <v>13</v>
      </c>
      <c r="B8" s="29"/>
      <c r="C8" s="29"/>
      <c r="D8" s="30">
        <v>46203</v>
      </c>
      <c r="E8" s="31"/>
      <c r="F8" s="17"/>
      <c r="G8" s="17"/>
      <c r="H8" s="17"/>
      <c r="I8" s="17"/>
      <c r="J8" s="17"/>
      <c r="K8" s="17"/>
      <c r="L8" s="17"/>
      <c r="M8" s="17"/>
      <c r="N8" s="17"/>
      <c r="O8" s="17"/>
      <c r="P8" s="17"/>
      <c r="Q8" s="17"/>
      <c r="R8" s="17"/>
      <c r="S8" s="17"/>
      <c r="T8" s="17"/>
      <c r="U8" s="17"/>
      <c r="V8" s="17"/>
      <c r="W8" s="17"/>
      <c r="X8" s="17"/>
      <c r="Y8" s="17"/>
      <c r="Z8" s="17"/>
      <c r="AA8" s="17"/>
      <c r="AB8" s="17"/>
      <c r="AC8" s="17"/>
      <c r="AD8" s="17"/>
      <c r="AE8" s="17"/>
    </row>
    <row r="9" spans="1:31" ht="33" customHeight="1" thickTop="1" thickBot="1">
      <c r="A9" s="32" t="s">
        <v>14</v>
      </c>
      <c r="B9" s="33"/>
      <c r="C9" s="33"/>
      <c r="D9" s="30">
        <f ca="1">TODAY()</f>
        <v>46085</v>
      </c>
      <c r="E9" s="31"/>
      <c r="F9" s="38"/>
      <c r="G9" s="17"/>
      <c r="H9" s="17"/>
      <c r="I9" s="17"/>
      <c r="J9" s="17"/>
      <c r="K9" s="17"/>
      <c r="L9" s="17"/>
      <c r="M9" s="17"/>
      <c r="N9" s="17"/>
      <c r="O9" s="17"/>
      <c r="P9" s="17"/>
      <c r="Q9" s="17"/>
      <c r="R9" s="17"/>
      <c r="S9" s="17"/>
      <c r="T9" s="17"/>
      <c r="U9" s="17"/>
      <c r="V9" s="17"/>
      <c r="W9" s="17"/>
      <c r="X9" s="17"/>
      <c r="Y9" s="17"/>
      <c r="Z9" s="17"/>
      <c r="AA9" s="17"/>
      <c r="AB9" s="17"/>
      <c r="AC9" s="17"/>
      <c r="AD9" s="17"/>
      <c r="AE9" s="17"/>
    </row>
    <row r="10" spans="1:31" ht="46.5" thickTop="1" thickBot="1">
      <c r="A10" s="34" t="s">
        <v>15</v>
      </c>
      <c r="B10" s="35"/>
      <c r="C10" s="35"/>
      <c r="D10" s="36">
        <f ca="1">(D9-D7)/(D8-D7)</f>
        <v>0.70050761421319796</v>
      </c>
      <c r="E10" s="37"/>
      <c r="F10" s="17"/>
      <c r="G10" s="17"/>
      <c r="H10" s="17"/>
      <c r="I10" s="17"/>
      <c r="J10" s="17"/>
      <c r="K10" s="17"/>
      <c r="L10" s="17"/>
      <c r="M10" s="17"/>
      <c r="N10" s="17"/>
      <c r="O10" s="17"/>
      <c r="P10" s="17"/>
      <c r="Q10" s="17"/>
      <c r="R10" s="17"/>
      <c r="S10" s="17"/>
      <c r="T10" s="17"/>
      <c r="U10" s="17"/>
      <c r="V10" s="17"/>
      <c r="W10" s="152"/>
      <c r="X10" s="17"/>
      <c r="Y10" s="17"/>
      <c r="Z10" s="17"/>
      <c r="AA10" s="68" t="s">
        <v>155</v>
      </c>
      <c r="AB10" t="s">
        <v>355</v>
      </c>
      <c r="AD10" s="17"/>
      <c r="AE10" s="17"/>
    </row>
    <row r="11" spans="1:31" ht="45.75" thickTop="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69" t="s">
        <v>316</v>
      </c>
      <c r="AB11" s="70">
        <v>3</v>
      </c>
      <c r="AD11" s="17"/>
      <c r="AE11" s="17"/>
    </row>
    <row r="12" spans="1:31" ht="18.75">
      <c r="A12" s="6"/>
      <c r="B12" s="6"/>
      <c r="C12" s="6"/>
      <c r="D12" s="6"/>
      <c r="E12" s="6"/>
      <c r="F12" s="6"/>
      <c r="G12" s="6"/>
      <c r="H12" s="6"/>
      <c r="I12" s="6"/>
      <c r="J12" s="6"/>
      <c r="K12" s="6"/>
      <c r="L12" s="6"/>
      <c r="M12" s="6"/>
      <c r="N12" s="68" t="s">
        <v>155</v>
      </c>
      <c r="O12" t="s">
        <v>204</v>
      </c>
      <c r="Q12" s="6"/>
      <c r="R12" s="6"/>
      <c r="S12" s="6"/>
      <c r="T12" s="6"/>
      <c r="U12" s="6"/>
      <c r="V12" s="6"/>
      <c r="W12" s="6"/>
      <c r="X12" s="6"/>
      <c r="Y12" s="6"/>
      <c r="Z12" s="6"/>
      <c r="AA12" s="69" t="s">
        <v>5</v>
      </c>
      <c r="AB12" s="70">
        <v>4</v>
      </c>
      <c r="AD12" s="6"/>
      <c r="AE12" s="6"/>
    </row>
    <row r="13" spans="1:31" ht="18.75">
      <c r="A13" s="6"/>
      <c r="B13" s="6"/>
      <c r="C13" s="6"/>
      <c r="D13" s="6"/>
      <c r="E13" s="6"/>
      <c r="F13" s="6"/>
      <c r="G13" s="6"/>
      <c r="H13" s="6"/>
      <c r="I13" s="6"/>
      <c r="J13" s="6"/>
      <c r="K13" s="6"/>
      <c r="L13" s="6"/>
      <c r="M13" s="6"/>
      <c r="N13" s="69" t="s">
        <v>5</v>
      </c>
      <c r="O13" s="76">
        <v>1</v>
      </c>
      <c r="Q13" s="6"/>
      <c r="R13" s="6"/>
      <c r="S13" s="6"/>
      <c r="T13" s="6"/>
      <c r="U13" s="6"/>
      <c r="V13" s="6"/>
      <c r="W13" s="6"/>
      <c r="X13" s="6"/>
      <c r="Y13" s="6"/>
      <c r="Z13" s="6"/>
      <c r="AA13" s="69" t="s">
        <v>6</v>
      </c>
      <c r="AB13" s="70">
        <v>4</v>
      </c>
      <c r="AD13" s="6"/>
      <c r="AE13" s="6"/>
    </row>
    <row r="14" spans="1:31" ht="18.75">
      <c r="A14" s="6"/>
      <c r="B14" s="6"/>
      <c r="C14" s="6"/>
      <c r="D14" s="6"/>
      <c r="E14" s="6"/>
      <c r="F14" s="6"/>
      <c r="G14" s="6"/>
      <c r="H14" s="6"/>
      <c r="I14" s="6"/>
      <c r="J14" s="6"/>
      <c r="K14" s="6"/>
      <c r="L14" s="6"/>
      <c r="M14" s="6"/>
      <c r="N14" s="69" t="s">
        <v>198</v>
      </c>
      <c r="O14" s="76">
        <v>0.1</v>
      </c>
      <c r="Q14" s="6"/>
      <c r="R14" s="6"/>
      <c r="S14" s="6"/>
      <c r="T14" s="6"/>
      <c r="U14" s="6"/>
      <c r="V14" s="6"/>
      <c r="W14" s="6"/>
      <c r="X14" s="6"/>
      <c r="Y14" s="6"/>
      <c r="Z14" s="6"/>
      <c r="AA14" s="69" t="s">
        <v>307</v>
      </c>
      <c r="AB14" s="70">
        <v>4</v>
      </c>
      <c r="AD14" s="6"/>
      <c r="AE14" s="6"/>
    </row>
    <row r="15" spans="1:31" ht="18.75">
      <c r="A15" s="6"/>
      <c r="B15" s="6"/>
      <c r="C15" s="6"/>
      <c r="D15" s="6"/>
      <c r="E15" s="6"/>
      <c r="F15" s="6"/>
      <c r="G15" s="6"/>
      <c r="H15" s="6"/>
      <c r="I15" s="6"/>
      <c r="J15" s="6"/>
      <c r="K15" s="6"/>
      <c r="L15" s="6"/>
      <c r="M15" s="6"/>
      <c r="N15" s="69" t="s">
        <v>181</v>
      </c>
      <c r="O15" s="76">
        <v>1</v>
      </c>
      <c r="Q15" s="6"/>
      <c r="R15" s="6"/>
      <c r="S15" s="6"/>
      <c r="T15" s="6"/>
      <c r="U15" s="6"/>
      <c r="V15" s="6"/>
      <c r="W15" s="6"/>
      <c r="X15" s="6"/>
      <c r="Y15" s="6"/>
      <c r="Z15" s="6"/>
      <c r="AA15" s="69" t="s">
        <v>156</v>
      </c>
      <c r="AB15" s="70">
        <v>15</v>
      </c>
      <c r="AD15" s="6"/>
      <c r="AE15" s="6"/>
    </row>
    <row r="16" spans="1:31" ht="18.75">
      <c r="A16" s="6"/>
      <c r="B16" s="6"/>
      <c r="C16" s="6"/>
      <c r="D16" s="6"/>
      <c r="E16" s="6"/>
      <c r="F16" s="6"/>
      <c r="G16" s="6"/>
      <c r="H16" s="68" t="s">
        <v>155</v>
      </c>
      <c r="I16" t="s">
        <v>157</v>
      </c>
      <c r="K16" s="6"/>
      <c r="L16" s="6"/>
      <c r="M16" s="6"/>
      <c r="N16" s="69" t="s">
        <v>202</v>
      </c>
      <c r="O16" s="76">
        <v>0</v>
      </c>
      <c r="Q16" s="6"/>
      <c r="R16" s="6"/>
      <c r="S16" s="6"/>
      <c r="T16" s="6"/>
      <c r="U16" s="6"/>
      <c r="V16" s="6"/>
      <c r="W16" s="6"/>
      <c r="X16" s="6"/>
      <c r="Y16" s="6"/>
      <c r="Z16" s="6"/>
      <c r="AD16" s="6"/>
      <c r="AE16" s="6"/>
    </row>
    <row r="17" spans="1:31" ht="18.75">
      <c r="A17" s="6"/>
      <c r="B17" s="6"/>
      <c r="C17" s="6"/>
      <c r="D17" s="6"/>
      <c r="E17" s="6"/>
      <c r="F17" s="6"/>
      <c r="G17" s="6"/>
      <c r="H17" s="69" t="s">
        <v>33</v>
      </c>
      <c r="I17" s="70">
        <v>12</v>
      </c>
      <c r="K17" s="6"/>
      <c r="L17" s="6"/>
      <c r="M17" s="6"/>
      <c r="N17" s="69" t="s">
        <v>194</v>
      </c>
      <c r="O17" s="76">
        <v>1</v>
      </c>
      <c r="Q17" s="6"/>
      <c r="R17" s="6"/>
      <c r="S17" s="6"/>
      <c r="T17" s="6"/>
      <c r="U17" s="6"/>
      <c r="V17" s="6"/>
      <c r="W17" s="6"/>
      <c r="X17" s="6"/>
      <c r="Y17" s="6"/>
      <c r="Z17" s="6"/>
      <c r="AD17" s="6"/>
      <c r="AE17" s="6"/>
    </row>
    <row r="18" spans="1:31" ht="18.75">
      <c r="A18" s="6"/>
      <c r="B18" s="6"/>
      <c r="C18" s="6"/>
      <c r="D18" s="6"/>
      <c r="E18" s="6"/>
      <c r="F18" s="6"/>
      <c r="G18" s="6"/>
      <c r="H18" s="69" t="s">
        <v>48</v>
      </c>
      <c r="I18" s="70">
        <v>3</v>
      </c>
      <c r="K18" s="6"/>
      <c r="L18" s="6"/>
      <c r="M18" s="6"/>
      <c r="N18" s="69" t="s">
        <v>174</v>
      </c>
      <c r="O18" s="76">
        <v>1</v>
      </c>
      <c r="Q18" s="6"/>
      <c r="R18" s="6"/>
      <c r="S18" s="6"/>
      <c r="T18" s="6"/>
      <c r="U18" s="6"/>
      <c r="V18" s="6"/>
      <c r="W18" s="6"/>
      <c r="X18" s="6"/>
      <c r="Y18" s="6"/>
      <c r="Z18" s="6"/>
      <c r="AD18" s="6"/>
      <c r="AE18" s="6"/>
    </row>
    <row r="19" spans="1:31" ht="21">
      <c r="A19" s="6"/>
      <c r="B19" s="6"/>
      <c r="C19" s="6"/>
      <c r="D19" s="6"/>
      <c r="E19" s="6"/>
      <c r="F19" s="6"/>
      <c r="G19" s="6"/>
      <c r="H19" s="69" t="s">
        <v>87</v>
      </c>
      <c r="I19" s="70">
        <v>4</v>
      </c>
      <c r="K19" s="7"/>
      <c r="L19" s="7"/>
      <c r="M19" s="7"/>
      <c r="N19" s="69" t="s">
        <v>188</v>
      </c>
      <c r="O19" s="76">
        <v>1</v>
      </c>
      <c r="Q19" s="6"/>
      <c r="R19" s="6"/>
      <c r="S19" s="6"/>
      <c r="T19" s="6"/>
      <c r="U19" s="6"/>
      <c r="V19" s="6"/>
      <c r="W19" s="6"/>
      <c r="X19" s="6"/>
      <c r="Y19" s="6"/>
      <c r="Z19" s="6"/>
      <c r="AD19" s="6"/>
      <c r="AE19" s="6"/>
    </row>
    <row r="20" spans="1:31" ht="18.75">
      <c r="A20" s="6"/>
      <c r="B20" s="6"/>
      <c r="C20" s="6"/>
      <c r="D20" s="6"/>
      <c r="E20" s="6"/>
      <c r="F20" s="6"/>
      <c r="G20" s="6"/>
      <c r="H20" s="69" t="s">
        <v>97</v>
      </c>
      <c r="I20" s="70">
        <v>4</v>
      </c>
      <c r="K20" s="3"/>
      <c r="L20" s="3"/>
      <c r="M20" s="3"/>
      <c r="N20" s="69" t="s">
        <v>156</v>
      </c>
      <c r="O20" s="76">
        <v>0.72</v>
      </c>
      <c r="Q20" s="11"/>
      <c r="R20" s="11"/>
      <c r="S20" s="11"/>
      <c r="T20" s="11"/>
      <c r="U20" s="12"/>
      <c r="V20" s="12"/>
      <c r="W20" s="12"/>
      <c r="X20" s="12"/>
      <c r="Y20" s="6"/>
      <c r="Z20" s="6"/>
      <c r="AD20" s="6"/>
      <c r="AE20" s="6"/>
    </row>
    <row r="21" spans="1:31" ht="18.75">
      <c r="A21" s="6"/>
      <c r="B21" s="6"/>
      <c r="C21" s="6"/>
      <c r="D21" s="6"/>
      <c r="E21" s="6"/>
      <c r="F21" s="6"/>
      <c r="G21" s="6"/>
      <c r="H21" s="69" t="s">
        <v>43</v>
      </c>
      <c r="I21" s="70">
        <v>7</v>
      </c>
      <c r="K21" s="3"/>
      <c r="L21" s="3"/>
      <c r="M21" s="3"/>
      <c r="Q21" s="11"/>
      <c r="R21" s="11"/>
      <c r="S21" s="11"/>
      <c r="T21" s="11"/>
      <c r="U21" s="12"/>
      <c r="V21" s="12"/>
      <c r="W21" s="12"/>
      <c r="X21" s="12"/>
      <c r="Y21" s="6"/>
      <c r="Z21" s="6"/>
      <c r="AD21" s="6"/>
      <c r="AE21" s="6"/>
    </row>
    <row r="22" spans="1:31" ht="25.5">
      <c r="A22" s="6"/>
      <c r="B22" s="6"/>
      <c r="C22" s="6"/>
      <c r="D22" s="6"/>
      <c r="E22" s="6"/>
      <c r="F22" s="6"/>
      <c r="G22" s="6"/>
      <c r="H22" s="69" t="s">
        <v>156</v>
      </c>
      <c r="I22" s="70">
        <v>30</v>
      </c>
      <c r="K22" s="3"/>
      <c r="L22" s="3"/>
      <c r="M22" s="3"/>
      <c r="Q22" s="8"/>
      <c r="R22" s="8"/>
      <c r="S22" s="8"/>
      <c r="T22" s="8"/>
      <c r="U22" s="9"/>
      <c r="V22" s="9"/>
      <c r="W22" s="9"/>
      <c r="X22" s="6"/>
      <c r="Y22" s="6"/>
      <c r="Z22" s="6"/>
      <c r="AD22" s="6"/>
      <c r="AE22" s="6"/>
    </row>
    <row r="23" spans="1:31" ht="18.75">
      <c r="A23" s="6"/>
      <c r="B23" s="6"/>
      <c r="C23" s="6"/>
      <c r="D23" s="6"/>
      <c r="E23" s="6"/>
      <c r="F23" s="6"/>
      <c r="G23" s="6"/>
      <c r="K23" s="3"/>
      <c r="L23" s="3"/>
      <c r="M23" s="3"/>
      <c r="Q23" s="11"/>
      <c r="R23" s="11"/>
      <c r="S23" s="11"/>
      <c r="T23" s="11"/>
      <c r="U23" s="12"/>
      <c r="V23" s="12"/>
      <c r="W23" s="12"/>
      <c r="X23" s="12"/>
      <c r="Y23" s="6"/>
      <c r="Z23" s="6"/>
      <c r="AD23" s="6"/>
      <c r="AE23" s="6"/>
    </row>
    <row r="24" spans="1:31" ht="18.75">
      <c r="A24" s="6"/>
      <c r="B24" s="6"/>
      <c r="C24" s="6"/>
      <c r="D24" s="6"/>
      <c r="E24" s="6"/>
      <c r="F24" s="6"/>
      <c r="G24" s="6"/>
      <c r="K24" s="3"/>
      <c r="L24" s="3"/>
      <c r="M24" s="3"/>
      <c r="Q24" s="11"/>
      <c r="R24" s="11"/>
      <c r="S24" s="11"/>
      <c r="T24" s="11"/>
      <c r="U24" s="12"/>
      <c r="V24" s="12"/>
      <c r="W24" s="12"/>
      <c r="X24" s="12"/>
      <c r="Y24" s="6"/>
      <c r="Z24" s="6"/>
      <c r="AD24" s="6"/>
      <c r="AE24" s="6"/>
    </row>
    <row r="25" spans="1:31" ht="25.5">
      <c r="A25" s="6"/>
      <c r="B25" s="6"/>
      <c r="C25" s="6"/>
      <c r="D25" s="6"/>
      <c r="E25" s="6"/>
      <c r="F25" s="6"/>
      <c r="G25" s="6"/>
      <c r="K25" s="3"/>
      <c r="L25" s="3"/>
      <c r="M25" s="3"/>
      <c r="Q25" s="8"/>
      <c r="R25" s="8"/>
      <c r="S25" s="8"/>
      <c r="T25" s="8"/>
      <c r="U25" s="9"/>
      <c r="V25" s="9"/>
      <c r="W25" s="9"/>
      <c r="X25" s="6"/>
      <c r="Y25" s="6"/>
      <c r="Z25" s="6"/>
      <c r="AD25" s="6"/>
      <c r="AE25" s="6"/>
    </row>
    <row r="26" spans="1:31" ht="18.75">
      <c r="A26" s="6"/>
      <c r="B26" s="6"/>
      <c r="C26" s="6"/>
      <c r="D26" s="6"/>
      <c r="E26" s="6"/>
      <c r="F26" s="6"/>
      <c r="G26" s="6"/>
      <c r="K26" s="3"/>
      <c r="L26" s="3"/>
      <c r="M26" s="3"/>
      <c r="Q26" s="11"/>
      <c r="R26" s="11"/>
      <c r="S26" s="11"/>
      <c r="T26" s="11"/>
      <c r="U26" s="12"/>
      <c r="V26" s="12"/>
      <c r="W26" s="12"/>
      <c r="X26" s="12"/>
      <c r="Y26" s="6"/>
      <c r="Z26" s="6"/>
      <c r="AD26" s="6"/>
      <c r="AE26" s="6"/>
    </row>
    <row r="27" spans="1:31" ht="15" customHeight="1">
      <c r="A27" s="3"/>
      <c r="B27" s="3"/>
      <c r="C27" s="3"/>
      <c r="D27" s="3"/>
      <c r="E27" s="3"/>
      <c r="F27" s="3"/>
      <c r="G27" s="3"/>
      <c r="K27" s="3"/>
      <c r="L27" s="3"/>
      <c r="M27" s="3"/>
      <c r="Q27" s="11"/>
      <c r="R27" s="11"/>
      <c r="S27" s="11"/>
      <c r="T27" s="11"/>
      <c r="U27" s="12"/>
      <c r="V27" s="12"/>
      <c r="W27" s="12"/>
      <c r="X27" s="12"/>
      <c r="Y27" s="3"/>
      <c r="Z27" s="3"/>
      <c r="AD27" s="3"/>
      <c r="AE27" s="3"/>
    </row>
    <row r="28" spans="1:31" ht="18" customHeight="1">
      <c r="A28" s="3"/>
      <c r="B28" s="3"/>
      <c r="C28" s="68" t="s">
        <v>155</v>
      </c>
      <c r="D28" t="s">
        <v>289</v>
      </c>
      <c r="F28" s="3"/>
      <c r="G28" s="3"/>
      <c r="K28" s="3"/>
      <c r="L28" s="3"/>
      <c r="M28" s="3"/>
      <c r="Q28" s="3"/>
      <c r="R28" s="3"/>
      <c r="S28" s="3"/>
      <c r="T28" s="3"/>
      <c r="U28" s="3"/>
      <c r="V28" s="3"/>
      <c r="W28" s="3"/>
      <c r="X28" s="3"/>
      <c r="Y28" s="3"/>
      <c r="Z28" s="3"/>
      <c r="AA28" s="3"/>
      <c r="AB28" s="3"/>
      <c r="AC28" s="3"/>
      <c r="AD28" s="3"/>
      <c r="AE28" s="3"/>
    </row>
    <row r="29" spans="1:31" ht="15" customHeight="1">
      <c r="A29" s="3"/>
      <c r="B29" s="3"/>
      <c r="C29" s="69" t="s">
        <v>244</v>
      </c>
      <c r="D29" s="70">
        <v>8</v>
      </c>
      <c r="F29" s="3"/>
      <c r="G29" s="3"/>
      <c r="K29" s="3"/>
      <c r="L29" s="3"/>
      <c r="M29" s="3"/>
      <c r="Q29" s="3"/>
      <c r="R29" s="3"/>
      <c r="S29" s="3"/>
      <c r="T29" s="3"/>
      <c r="U29" s="3"/>
      <c r="V29" s="3"/>
      <c r="W29" s="3"/>
      <c r="X29" s="3"/>
      <c r="Y29" s="3"/>
      <c r="Z29" s="3"/>
      <c r="AA29" s="3"/>
      <c r="AB29" s="3"/>
      <c r="AC29" s="3"/>
      <c r="AD29" s="3"/>
      <c r="AE29" s="3"/>
    </row>
    <row r="30" spans="1:31">
      <c r="A30" s="3"/>
      <c r="B30" s="3"/>
      <c r="C30" s="69" t="s">
        <v>4</v>
      </c>
      <c r="D30" s="70">
        <v>7</v>
      </c>
      <c r="F30" s="3"/>
      <c r="G30" s="3"/>
      <c r="K30" s="3"/>
      <c r="L30" s="3"/>
      <c r="M30" s="3"/>
      <c r="N30" s="3"/>
      <c r="O30" s="3"/>
      <c r="P30" s="3"/>
      <c r="Q30" s="3"/>
      <c r="R30" s="3"/>
      <c r="S30" s="3"/>
      <c r="T30" s="3"/>
      <c r="U30" s="3"/>
      <c r="V30" s="3"/>
      <c r="W30" s="3"/>
      <c r="X30" s="3"/>
      <c r="Y30" s="3"/>
      <c r="Z30" s="3"/>
      <c r="AA30" s="3"/>
      <c r="AB30" s="3"/>
      <c r="AC30" s="3"/>
      <c r="AD30" s="3"/>
      <c r="AE30" s="3"/>
    </row>
    <row r="31" spans="1:31">
      <c r="A31" s="3"/>
      <c r="B31" s="3"/>
      <c r="C31" s="69" t="s">
        <v>250</v>
      </c>
      <c r="D31" s="70">
        <v>7</v>
      </c>
      <c r="F31" s="3"/>
      <c r="G31" s="3"/>
      <c r="K31" s="3"/>
      <c r="L31" s="3"/>
      <c r="M31" s="3"/>
      <c r="N31" s="3"/>
      <c r="O31" s="3"/>
      <c r="P31" s="3"/>
      <c r="Q31" s="3"/>
      <c r="R31" s="3"/>
      <c r="S31" s="3"/>
      <c r="T31" s="3"/>
      <c r="U31" s="3"/>
      <c r="V31" s="3"/>
      <c r="W31" s="3"/>
      <c r="X31" s="3"/>
      <c r="Y31" s="3"/>
      <c r="Z31" s="3"/>
      <c r="AA31" s="3"/>
      <c r="AB31" s="3"/>
      <c r="AC31" s="3"/>
      <c r="AD31" s="3"/>
      <c r="AE31" s="3"/>
    </row>
    <row r="32" spans="1:31">
      <c r="A32" s="3"/>
      <c r="B32" s="3"/>
      <c r="C32" s="69" t="s">
        <v>237</v>
      </c>
      <c r="D32" s="70">
        <v>8</v>
      </c>
      <c r="F32" s="3"/>
      <c r="G32" s="3"/>
      <c r="K32" s="3"/>
      <c r="L32" s="3"/>
      <c r="M32" s="3"/>
      <c r="N32" s="3"/>
      <c r="O32" s="3"/>
      <c r="P32" s="3"/>
      <c r="Q32" s="3"/>
      <c r="R32" s="3"/>
      <c r="S32" s="3"/>
      <c r="T32" s="3"/>
      <c r="U32" s="3"/>
      <c r="V32" s="3"/>
      <c r="W32" s="3"/>
      <c r="X32" s="3"/>
      <c r="Y32" s="3"/>
      <c r="Z32" s="3"/>
      <c r="AA32" s="3"/>
      <c r="AB32" s="3"/>
      <c r="AC32" s="3"/>
      <c r="AD32" s="3"/>
      <c r="AE32" s="3"/>
    </row>
    <row r="33" spans="1:31">
      <c r="A33" s="3"/>
      <c r="B33" s="3"/>
      <c r="C33" s="69" t="s">
        <v>156</v>
      </c>
      <c r="D33" s="70">
        <v>30</v>
      </c>
      <c r="F33" s="3"/>
      <c r="G33" s="3"/>
      <c r="K33" s="3"/>
      <c r="L33" s="3"/>
      <c r="M33" s="3"/>
      <c r="N33" s="3"/>
      <c r="O33" s="3"/>
      <c r="P33" s="3"/>
      <c r="Q33" s="3"/>
      <c r="R33" s="3"/>
      <c r="S33" s="3"/>
      <c r="T33" s="3"/>
      <c r="U33" s="3"/>
      <c r="V33" s="3"/>
      <c r="W33" s="3"/>
      <c r="X33" s="3"/>
      <c r="Y33" s="3"/>
      <c r="Z33" s="3"/>
      <c r="AA33" s="3"/>
      <c r="AB33" s="3"/>
      <c r="AC33" s="3"/>
      <c r="AD33" s="3"/>
      <c r="AE33" s="3"/>
    </row>
    <row r="34" spans="1:31">
      <c r="A34" s="3"/>
      <c r="B34" s="3"/>
      <c r="F34" s="3"/>
      <c r="G34" s="3"/>
      <c r="K34" s="3"/>
      <c r="L34" s="3"/>
      <c r="M34" s="3"/>
      <c r="N34" s="3"/>
      <c r="O34" s="3"/>
      <c r="P34" s="3"/>
      <c r="Q34" s="3"/>
      <c r="R34" s="3"/>
      <c r="S34" s="3"/>
      <c r="T34" s="3"/>
      <c r="U34" s="3"/>
      <c r="V34" s="3"/>
      <c r="W34" s="3"/>
      <c r="X34" s="3"/>
      <c r="Y34" s="3"/>
      <c r="Z34" s="3"/>
      <c r="AA34" s="3"/>
      <c r="AB34" s="3"/>
      <c r="AC34" s="3"/>
      <c r="AD34" s="3"/>
      <c r="AE34" s="3"/>
    </row>
    <row r="35" spans="1:31">
      <c r="A35" s="3"/>
      <c r="B35" s="3"/>
      <c r="F35" s="3"/>
      <c r="G35" s="3"/>
      <c r="K35" s="3"/>
      <c r="L35" s="3"/>
      <c r="M35" s="3"/>
      <c r="N35" s="3"/>
      <c r="O35" s="3"/>
      <c r="P35" s="3"/>
      <c r="Q35" s="3"/>
      <c r="R35" s="3"/>
      <c r="S35" s="3"/>
      <c r="T35" s="3"/>
      <c r="U35" s="3"/>
      <c r="V35" s="3"/>
      <c r="W35" s="3"/>
      <c r="X35" s="3"/>
      <c r="Y35" s="3"/>
      <c r="Z35" s="3"/>
      <c r="AA35" s="3"/>
      <c r="AB35" s="3"/>
      <c r="AC35" s="3"/>
      <c r="AD35" s="3"/>
      <c r="AE35" s="3"/>
    </row>
    <row r="36" spans="1:31">
      <c r="A36" s="3"/>
      <c r="B36" s="3"/>
      <c r="F36" s="3"/>
      <c r="G36" s="3"/>
      <c r="K36" s="3"/>
      <c r="L36" s="3"/>
      <c r="M36" s="3"/>
      <c r="N36" s="3"/>
      <c r="O36" s="3"/>
      <c r="P36" s="3"/>
      <c r="Q36" s="3"/>
      <c r="R36" s="3"/>
      <c r="S36" s="3"/>
      <c r="T36" s="3"/>
      <c r="U36" s="3"/>
      <c r="V36" s="3"/>
      <c r="W36" s="3"/>
      <c r="X36" s="3"/>
      <c r="Y36" s="3"/>
      <c r="Z36" s="3"/>
      <c r="AA36" s="3"/>
      <c r="AB36" s="3"/>
      <c r="AC36" s="3"/>
      <c r="AD36" s="3"/>
      <c r="AE36" s="3"/>
    </row>
    <row r="37" spans="1:31">
      <c r="A37" s="3"/>
      <c r="B37" s="3"/>
      <c r="F37" s="3"/>
      <c r="G37" s="3"/>
      <c r="K37" s="3"/>
      <c r="L37" s="3"/>
      <c r="M37" s="3"/>
      <c r="N37" s="3"/>
      <c r="O37" s="3"/>
      <c r="P37" s="3"/>
      <c r="Q37" s="3"/>
      <c r="R37" s="3"/>
      <c r="S37" s="3"/>
      <c r="T37" s="3"/>
      <c r="U37" s="3"/>
      <c r="V37" s="3"/>
      <c r="W37" s="3"/>
      <c r="X37" s="3"/>
      <c r="Y37" s="3"/>
      <c r="Z37" s="3"/>
      <c r="AA37" s="3"/>
      <c r="AB37" s="3"/>
      <c r="AC37" s="3"/>
      <c r="AD37" s="3"/>
      <c r="AE37" s="3"/>
    </row>
    <row r="38" spans="1:31">
      <c r="A38" s="2"/>
      <c r="B38" s="3"/>
      <c r="F38" s="3"/>
      <c r="G38" s="3"/>
      <c r="K38" s="3"/>
      <c r="L38" s="3"/>
      <c r="M38" s="3"/>
      <c r="N38" s="3"/>
      <c r="O38" s="3"/>
      <c r="P38" s="3"/>
      <c r="Q38" s="3"/>
      <c r="R38" s="3"/>
      <c r="S38" s="3"/>
      <c r="T38" s="3"/>
      <c r="U38" s="3"/>
      <c r="V38" s="3"/>
      <c r="W38" s="3"/>
      <c r="X38" s="3"/>
      <c r="Y38" s="3"/>
      <c r="Z38" s="3"/>
      <c r="AA38" s="3"/>
      <c r="AB38" s="3"/>
      <c r="AC38" s="3"/>
      <c r="AD38" s="3"/>
      <c r="AE38" s="3"/>
    </row>
    <row r="39" spans="1:31">
      <c r="A39" s="2"/>
      <c r="B39" s="3"/>
      <c r="F39" s="3"/>
      <c r="G39" s="3"/>
      <c r="K39" s="3"/>
      <c r="L39" s="3"/>
      <c r="M39" s="3"/>
      <c r="N39" s="3"/>
      <c r="O39" s="3"/>
      <c r="P39" s="3"/>
      <c r="Q39" s="3"/>
      <c r="R39" s="3"/>
      <c r="S39" s="3"/>
      <c r="T39" s="3"/>
      <c r="U39" s="3"/>
      <c r="V39" s="3"/>
      <c r="W39" s="3"/>
      <c r="X39" s="3"/>
      <c r="Y39" s="3"/>
      <c r="Z39" s="3"/>
      <c r="AA39" s="3"/>
      <c r="AB39" s="3"/>
      <c r="AC39" s="3"/>
      <c r="AD39" s="3"/>
      <c r="AE39" s="3"/>
    </row>
    <row r="40" spans="1:31">
      <c r="A40" s="2"/>
      <c r="B40" s="3"/>
      <c r="F40" s="3"/>
      <c r="G40" s="3"/>
      <c r="K40" s="3"/>
      <c r="L40" s="3"/>
      <c r="M40" s="3"/>
      <c r="N40" s="3"/>
      <c r="O40" s="3"/>
      <c r="P40" s="3"/>
      <c r="Q40" s="3"/>
      <c r="R40" s="3"/>
      <c r="S40" s="3"/>
      <c r="T40" s="3"/>
      <c r="U40" s="3"/>
      <c r="V40" s="3"/>
      <c r="W40" s="3"/>
      <c r="X40" s="3"/>
      <c r="Y40" s="3"/>
      <c r="Z40" s="3"/>
      <c r="AA40" s="3"/>
      <c r="AB40" s="3"/>
      <c r="AC40" s="3"/>
      <c r="AD40" s="3"/>
      <c r="AE40" s="3"/>
    </row>
    <row r="41" spans="1:31">
      <c r="A41" s="2"/>
      <c r="B41" s="3"/>
      <c r="F41" s="3"/>
      <c r="G41" s="3"/>
      <c r="K41" s="3"/>
      <c r="L41" s="3"/>
      <c r="M41" s="3"/>
      <c r="N41" s="3"/>
      <c r="O41" s="3"/>
      <c r="P41" s="3"/>
      <c r="Q41" s="3"/>
      <c r="R41" s="3"/>
      <c r="S41" s="3"/>
      <c r="T41" s="3"/>
      <c r="U41" s="3"/>
      <c r="V41" s="3"/>
      <c r="W41" s="3"/>
      <c r="X41" s="3"/>
      <c r="Y41" s="3"/>
      <c r="Z41" s="3"/>
      <c r="AA41" s="3"/>
      <c r="AB41" s="3"/>
      <c r="AC41" s="3"/>
      <c r="AD41" s="3"/>
      <c r="AE41" s="3"/>
    </row>
    <row r="42" spans="1:31">
      <c r="A42" s="2"/>
      <c r="B42" s="3"/>
      <c r="F42" s="3"/>
      <c r="G42" s="3"/>
      <c r="K42" s="3"/>
      <c r="L42" s="3"/>
      <c r="M42" s="3"/>
      <c r="N42" s="3"/>
      <c r="O42" s="3"/>
      <c r="P42" s="3"/>
      <c r="Q42" s="3"/>
      <c r="R42" s="3"/>
      <c r="S42" s="3"/>
      <c r="T42" s="3"/>
      <c r="U42" s="3"/>
      <c r="V42" s="3"/>
      <c r="W42" s="3"/>
      <c r="X42" s="3"/>
      <c r="Y42" s="3"/>
      <c r="Z42" s="3"/>
      <c r="AA42" s="3"/>
      <c r="AB42" s="3"/>
      <c r="AC42" s="3"/>
      <c r="AD42" s="3"/>
      <c r="AE42" s="3"/>
    </row>
    <row r="43" spans="1:31">
      <c r="A43" s="2"/>
      <c r="B43" s="3"/>
      <c r="F43" s="3"/>
      <c r="G43" s="3"/>
      <c r="K43" s="3"/>
      <c r="L43" s="3"/>
      <c r="M43" s="3"/>
      <c r="N43" s="3"/>
      <c r="O43" s="3"/>
      <c r="P43" s="3"/>
      <c r="Q43" s="3"/>
      <c r="R43" s="3"/>
      <c r="S43" s="3"/>
      <c r="T43" s="3"/>
      <c r="U43" s="3"/>
      <c r="V43" s="3"/>
      <c r="W43" s="3"/>
      <c r="X43" s="3"/>
      <c r="Y43" s="3"/>
      <c r="Z43" s="3"/>
      <c r="AA43" s="3"/>
      <c r="AB43" s="3"/>
      <c r="AC43" s="3"/>
      <c r="AD43" s="3"/>
      <c r="AE43" s="3"/>
    </row>
    <row r="44" spans="1:31">
      <c r="A44" s="4"/>
      <c r="B44" s="3"/>
      <c r="F44" s="3"/>
      <c r="G44" s="3"/>
      <c r="K44" s="3"/>
      <c r="L44" s="3"/>
      <c r="M44" s="3"/>
      <c r="N44" s="3"/>
      <c r="O44" s="3"/>
      <c r="P44" s="3"/>
      <c r="Q44" s="3"/>
      <c r="R44" s="3"/>
      <c r="S44" s="3"/>
      <c r="T44" s="3"/>
      <c r="U44" s="3"/>
      <c r="V44" s="3"/>
      <c r="W44" s="3"/>
      <c r="X44" s="3"/>
      <c r="Y44" s="3"/>
      <c r="Z44" s="3"/>
      <c r="AA44" s="3"/>
      <c r="AB44" s="3"/>
      <c r="AC44" s="3"/>
      <c r="AD44" s="3"/>
      <c r="AE44" s="3"/>
    </row>
    <row r="45" spans="1:31">
      <c r="A45" s="4"/>
      <c r="B45" s="3"/>
      <c r="F45" s="3"/>
      <c r="G45" s="3"/>
      <c r="K45" s="3"/>
      <c r="L45" s="3"/>
      <c r="M45" s="3"/>
      <c r="N45" s="3"/>
      <c r="O45" s="3"/>
      <c r="P45" s="3"/>
      <c r="Q45" s="3"/>
      <c r="R45" s="3"/>
      <c r="S45" s="3"/>
      <c r="T45" s="3"/>
      <c r="U45" s="3"/>
      <c r="V45" s="3"/>
      <c r="W45" s="3"/>
      <c r="X45" s="3"/>
      <c r="Y45" s="3"/>
      <c r="Z45" s="3"/>
      <c r="AA45" s="3"/>
      <c r="AB45" s="3"/>
      <c r="AC45" s="3"/>
      <c r="AD45" s="3"/>
      <c r="AE45" s="3"/>
    </row>
    <row r="46" spans="1:31" ht="12" customHeight="1">
      <c r="A46" s="4"/>
      <c r="B46" s="3"/>
      <c r="E46" s="3"/>
      <c r="F46" s="3"/>
      <c r="G46" s="3"/>
      <c r="K46" s="3"/>
      <c r="L46" s="3"/>
      <c r="M46" s="3"/>
      <c r="N46" s="3"/>
      <c r="O46" s="3"/>
      <c r="P46" s="3"/>
      <c r="Q46" s="3"/>
      <c r="R46" s="3"/>
      <c r="S46" s="3"/>
      <c r="T46" s="3"/>
      <c r="U46" s="3"/>
      <c r="V46" s="3"/>
      <c r="W46" s="3"/>
      <c r="X46" s="3"/>
      <c r="Y46" s="3"/>
      <c r="Z46" s="3"/>
      <c r="AA46" s="3"/>
      <c r="AB46" s="3"/>
      <c r="AC46" s="3"/>
      <c r="AD46" s="3"/>
      <c r="AE46" s="3"/>
    </row>
    <row r="47" spans="1:31">
      <c r="A47" s="5"/>
      <c r="B47" s="3"/>
      <c r="E47" s="3"/>
      <c r="F47" s="3"/>
      <c r="G47" s="3"/>
      <c r="K47" s="3"/>
      <c r="L47" s="3"/>
      <c r="M47" s="3"/>
      <c r="N47" s="3"/>
      <c r="O47" s="3"/>
      <c r="P47" s="3"/>
      <c r="Q47" s="3"/>
      <c r="R47" s="3"/>
      <c r="S47" s="3"/>
      <c r="T47" s="3"/>
      <c r="U47" s="3"/>
      <c r="V47" s="3"/>
      <c r="W47" s="3"/>
      <c r="X47" s="3"/>
      <c r="Y47" s="3"/>
      <c r="Z47" s="3"/>
      <c r="AA47" s="3"/>
      <c r="AB47" s="3"/>
      <c r="AC47" s="3"/>
      <c r="AD47" s="3"/>
      <c r="AE47" s="3"/>
    </row>
    <row r="48" spans="1:31">
      <c r="A48" s="3"/>
      <c r="B48" s="3"/>
      <c r="E48" s="3"/>
      <c r="F48" s="3"/>
      <c r="G48" s="3"/>
      <c r="K48" s="3"/>
      <c r="L48" s="3"/>
      <c r="M48" s="3"/>
      <c r="N48" s="3"/>
      <c r="O48" s="3"/>
      <c r="P48" s="3"/>
      <c r="Q48" s="3"/>
      <c r="R48" s="3"/>
      <c r="S48" s="3"/>
      <c r="T48" s="3"/>
      <c r="U48" s="3"/>
      <c r="V48" s="3"/>
      <c r="W48" s="3"/>
      <c r="X48" s="3"/>
      <c r="Y48" s="3"/>
      <c r="Z48" s="3"/>
      <c r="AA48" s="3"/>
      <c r="AB48" s="3"/>
      <c r="AC48" s="3"/>
      <c r="AD48" s="3"/>
      <c r="AE48" s="3"/>
    </row>
    <row r="49" spans="1:31">
      <c r="A49" s="3"/>
      <c r="B49" s="3"/>
      <c r="E49" s="3"/>
      <c r="F49" s="3"/>
      <c r="G49" s="3"/>
      <c r="I49" s="3"/>
      <c r="J49" s="3"/>
      <c r="K49" s="3"/>
      <c r="L49" s="3"/>
      <c r="M49" s="3"/>
      <c r="N49" s="3"/>
      <c r="O49" s="3"/>
      <c r="P49" s="3"/>
      <c r="Q49" s="3"/>
      <c r="R49" s="3"/>
      <c r="S49" s="3"/>
      <c r="T49" s="3"/>
      <c r="U49" s="3"/>
      <c r="V49" s="3"/>
      <c r="W49" s="3"/>
      <c r="X49" s="3"/>
      <c r="Y49" s="3"/>
      <c r="Z49" s="3"/>
      <c r="AA49" s="3"/>
      <c r="AB49" s="3"/>
      <c r="AC49" s="3"/>
      <c r="AD49" s="3"/>
      <c r="AE49" s="3"/>
    </row>
    <row r="50" spans="1:31">
      <c r="A50" s="3"/>
      <c r="B50" s="3"/>
      <c r="E50" s="3"/>
      <c r="F50" s="3"/>
      <c r="G50" s="3"/>
      <c r="I50" s="3"/>
      <c r="J50" s="3"/>
      <c r="K50" s="3"/>
      <c r="L50" s="3"/>
      <c r="M50" s="3"/>
      <c r="N50" s="3"/>
      <c r="O50" s="3"/>
      <c r="P50" s="3"/>
      <c r="Q50" s="3"/>
      <c r="R50" s="3"/>
      <c r="S50" s="3"/>
      <c r="T50" s="3"/>
      <c r="U50" s="3"/>
      <c r="V50" s="3"/>
      <c r="W50" s="3"/>
      <c r="X50" s="3"/>
      <c r="Y50" s="3"/>
      <c r="Z50" s="3"/>
      <c r="AA50" s="3"/>
      <c r="AB50" s="3"/>
      <c r="AC50" s="3"/>
      <c r="AD50" s="3"/>
      <c r="AE50" s="3"/>
    </row>
    <row r="51" spans="1:31">
      <c r="A51" s="3"/>
      <c r="B51" s="3"/>
      <c r="E51" s="3"/>
      <c r="F51" s="3"/>
      <c r="G51" s="3"/>
      <c r="I51" s="3"/>
      <c r="J51" s="3"/>
      <c r="K51" s="3"/>
      <c r="L51" s="3"/>
      <c r="M51" s="3"/>
      <c r="N51" s="3"/>
      <c r="O51" s="3"/>
      <c r="P51" s="3"/>
      <c r="Q51" s="3"/>
      <c r="R51" s="3"/>
      <c r="S51" s="3"/>
      <c r="T51" s="3"/>
      <c r="U51" s="3"/>
      <c r="V51" s="3"/>
      <c r="W51" s="3"/>
      <c r="X51" s="3"/>
      <c r="Y51" s="3"/>
      <c r="Z51" s="3"/>
      <c r="AA51" s="3"/>
      <c r="AB51" s="3"/>
      <c r="AC51" s="3"/>
      <c r="AD51" s="3"/>
      <c r="AE51" s="3"/>
    </row>
    <row r="52" spans="1:31">
      <c r="A52" s="3"/>
      <c r="B52" s="3"/>
      <c r="E52" s="3"/>
      <c r="F52" s="3"/>
      <c r="G52" s="3"/>
      <c r="I52" s="3"/>
      <c r="J52" s="3"/>
      <c r="K52" s="3"/>
      <c r="L52" s="3"/>
      <c r="M52" s="3"/>
      <c r="N52" s="3"/>
      <c r="O52" s="3"/>
      <c r="P52" s="3"/>
      <c r="Q52" s="3"/>
      <c r="R52" s="3"/>
      <c r="S52" s="3"/>
      <c r="T52" s="3"/>
      <c r="U52" s="3"/>
      <c r="V52" s="3"/>
      <c r="W52" s="3"/>
      <c r="X52" s="3"/>
      <c r="Y52" s="3"/>
      <c r="Z52" s="3"/>
      <c r="AA52" s="3"/>
      <c r="AB52" s="3"/>
      <c r="AC52" s="3"/>
      <c r="AD52" s="3"/>
      <c r="AE52" s="3"/>
    </row>
    <row r="53" spans="1:31">
      <c r="A53" s="3"/>
      <c r="B53" s="3"/>
      <c r="E53" s="3"/>
      <c r="F53" s="3"/>
      <c r="G53" s="3"/>
      <c r="I53" s="3"/>
      <c r="J53" s="3"/>
      <c r="K53" s="3"/>
      <c r="L53" s="3"/>
      <c r="M53" s="3"/>
      <c r="N53" s="3"/>
      <c r="O53" s="3"/>
      <c r="P53" s="3"/>
      <c r="Q53" s="3"/>
      <c r="R53" s="3"/>
      <c r="S53" s="3"/>
      <c r="T53" s="3"/>
      <c r="U53" s="3"/>
      <c r="V53" s="3"/>
      <c r="W53" s="3"/>
      <c r="X53" s="3"/>
      <c r="Y53" s="3"/>
      <c r="Z53" s="3"/>
      <c r="AA53" s="3"/>
      <c r="AB53" s="3"/>
      <c r="AC53" s="3"/>
      <c r="AD53" s="3"/>
      <c r="AE53" s="3"/>
    </row>
    <row r="54" spans="1:31">
      <c r="A54" s="3"/>
      <c r="B54" s="3"/>
      <c r="E54" s="3"/>
      <c r="F54" s="3"/>
      <c r="G54" s="3"/>
      <c r="I54" s="3"/>
      <c r="J54" s="3"/>
      <c r="K54" s="3"/>
      <c r="L54" s="3"/>
      <c r="M54" s="3"/>
      <c r="N54" s="3"/>
      <c r="O54" s="3"/>
      <c r="P54" s="3"/>
      <c r="Q54" s="3"/>
      <c r="R54" s="3"/>
      <c r="S54" s="3"/>
      <c r="T54" s="3"/>
      <c r="U54" s="3"/>
      <c r="V54" s="3"/>
      <c r="W54" s="3"/>
      <c r="X54" s="3"/>
      <c r="Y54" s="3"/>
      <c r="Z54" s="3"/>
      <c r="AA54" s="3"/>
      <c r="AB54" s="3"/>
      <c r="AC54" s="3"/>
      <c r="AD54" s="3"/>
      <c r="AE54" s="3"/>
    </row>
    <row r="55" spans="1:31">
      <c r="A55" s="3"/>
      <c r="B55" s="3"/>
      <c r="E55" s="3"/>
      <c r="F55" s="3"/>
      <c r="G55" s="3"/>
      <c r="I55" s="3"/>
      <c r="J55" s="3"/>
      <c r="K55" s="3"/>
      <c r="L55" s="3"/>
      <c r="M55" s="3"/>
      <c r="N55" s="3"/>
      <c r="O55" s="3"/>
      <c r="P55" s="3"/>
      <c r="Q55" s="3"/>
      <c r="R55" s="3"/>
      <c r="S55" s="3"/>
      <c r="T55" s="3"/>
      <c r="U55" s="3"/>
      <c r="V55" s="3"/>
      <c r="W55" s="3"/>
      <c r="X55" s="3"/>
      <c r="Y55" s="3"/>
      <c r="Z55" s="3"/>
      <c r="AA55" s="3"/>
      <c r="AB55" s="3"/>
      <c r="AC55" s="3"/>
      <c r="AD55" s="3"/>
      <c r="AE55" s="3"/>
    </row>
    <row r="56" spans="1:31">
      <c r="A56" s="3"/>
      <c r="B56" s="3"/>
      <c r="E56" s="3"/>
      <c r="F56" s="3"/>
      <c r="G56" s="3"/>
      <c r="I56" s="3"/>
      <c r="J56" s="3"/>
      <c r="K56" s="3"/>
      <c r="L56" s="3"/>
      <c r="M56" s="3"/>
      <c r="N56" s="3"/>
      <c r="O56" s="3"/>
      <c r="P56" s="3"/>
      <c r="Q56" s="3"/>
      <c r="R56" s="3"/>
      <c r="S56" s="3"/>
      <c r="T56" s="3"/>
      <c r="U56" s="3"/>
      <c r="V56" s="3"/>
      <c r="W56" s="3"/>
      <c r="X56" s="3"/>
      <c r="Y56" s="3"/>
      <c r="Z56" s="3"/>
      <c r="AA56" s="3"/>
      <c r="AB56" s="3"/>
      <c r="AC56" s="3"/>
      <c r="AD56" s="3"/>
      <c r="AE56" s="3"/>
    </row>
    <row r="57" spans="1:31">
      <c r="A57" s="3"/>
      <c r="B57" s="3"/>
      <c r="E57" s="3"/>
      <c r="F57" s="3"/>
      <c r="G57" s="3"/>
      <c r="I57" s="3"/>
      <c r="J57" s="3"/>
      <c r="K57" s="3"/>
      <c r="L57" s="3"/>
      <c r="M57" s="3"/>
      <c r="N57" s="3"/>
      <c r="O57" s="3"/>
      <c r="P57" s="3"/>
      <c r="Q57" s="3"/>
      <c r="R57" s="3"/>
      <c r="S57" s="3"/>
      <c r="T57" s="3"/>
      <c r="U57" s="3"/>
      <c r="V57" s="3"/>
      <c r="W57" s="3"/>
      <c r="X57" s="3"/>
      <c r="Y57" s="3"/>
      <c r="Z57" s="3"/>
      <c r="AA57" s="3"/>
      <c r="AB57" s="3"/>
      <c r="AC57" s="3"/>
      <c r="AD57" s="3"/>
      <c r="AE57" s="3"/>
    </row>
  </sheetData>
  <mergeCells count="16">
    <mergeCell ref="D10:E10"/>
    <mergeCell ref="Q26:T27"/>
    <mergeCell ref="Q23:T24"/>
    <mergeCell ref="Q20:T21"/>
    <mergeCell ref="U20:X21"/>
    <mergeCell ref="U23:X24"/>
    <mergeCell ref="U26:X27"/>
    <mergeCell ref="A1:AE3"/>
    <mergeCell ref="A5:E6"/>
    <mergeCell ref="A7:C7"/>
    <mergeCell ref="D7:E7"/>
    <mergeCell ref="A8:C8"/>
    <mergeCell ref="D8:E8"/>
    <mergeCell ref="A9:C9"/>
    <mergeCell ref="D9:E9"/>
    <mergeCell ref="A10:C10"/>
  </mergeCells>
  <conditionalFormatting sqref="U20 U23 U26">
    <cfRule type="iconSet" priority="2">
      <iconSet iconSet="3Symbols">
        <cfvo type="percent" val="0"/>
        <cfvo type="percent" val="33"/>
        <cfvo type="percent" val="67"/>
      </iconSet>
    </cfRule>
  </conditionalFormatting>
  <conditionalFormatting sqref="D10:E10">
    <cfRule type="dataBar" priority="1">
      <dataBar>
        <cfvo type="percent" val="0"/>
        <cfvo type="percent" val="100"/>
        <color theme="9"/>
      </dataBar>
      <extLst>
        <ext xmlns:x14="http://schemas.microsoft.com/office/spreadsheetml/2009/9/main" uri="{B025F937-C7B1-47D3-B67F-A62EFF666E3E}">
          <x14:id>{A2E13CA9-771A-415C-8467-756DE824D3F3}</x14:id>
        </ext>
      </extLst>
    </cfRule>
  </conditionalFormatting>
  <pageMargins left="0.7" right="0.7" top="0.75" bottom="0.75" header="0.3" footer="0.3"/>
  <pageSetup scale="30" fitToHeight="0" orientation="landscape" r:id="rId5"/>
  <drawing r:id="rId6"/>
  <extLst>
    <ext xmlns:x14="http://schemas.microsoft.com/office/spreadsheetml/2009/9/main" uri="{78C0D931-6437-407d-A8EE-F0AAD7539E65}">
      <x14:conditionalFormattings>
        <x14:conditionalFormatting xmlns:xm="http://schemas.microsoft.com/office/excel/2006/main">
          <x14:cfRule type="dataBar" id="{A2E13CA9-771A-415C-8467-756DE824D3F3}">
            <x14:dataBar minLength="0" maxLength="100" direction="leftToRight">
              <x14:cfvo type="percent">
                <xm:f>0</xm:f>
              </x14:cfvo>
              <x14:cfvo type="percent">
                <xm:f>100</xm:f>
              </x14:cfvo>
              <x14:negativeFillColor rgb="FFFF0000"/>
              <x14:axisColor rgb="FF000000"/>
            </x14:dataBar>
          </x14:cfRule>
          <xm:sqref>D10:E10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opLeftCell="E13" workbookViewId="0">
      <selection sqref="A1:XFD1048576"/>
    </sheetView>
  </sheetViews>
  <sheetFormatPr defaultColWidth="8.875" defaultRowHeight="14.25"/>
  <cols>
    <col min="1" max="1" width="10.75" style="1" customWidth="1"/>
    <col min="2" max="2" width="17.875" style="1" bestFit="1" customWidth="1"/>
    <col min="3" max="3" width="22.875" style="1" bestFit="1" customWidth="1"/>
    <col min="4" max="4" width="36.5" style="48" customWidth="1"/>
    <col min="5" max="5" width="26.875" style="1" bestFit="1" customWidth="1"/>
    <col min="6" max="6" width="18.125" style="67" customWidth="1"/>
    <col min="7" max="7" width="16.25" style="67" customWidth="1"/>
    <col min="8" max="8" width="16.875" style="1" customWidth="1"/>
    <col min="9" max="9" width="13.25" style="1" bestFit="1" customWidth="1"/>
    <col min="10" max="10" width="11.625" style="1" bestFit="1" customWidth="1"/>
    <col min="11" max="11" width="13.875" style="1" customWidth="1"/>
    <col min="12" max="12" width="27.125" style="1" customWidth="1"/>
    <col min="13" max="16384" width="8.875" style="1"/>
  </cols>
  <sheetData>
    <row r="1" spans="1:12" ht="18.600000000000001" customHeight="1">
      <c r="A1" s="39" t="s">
        <v>16</v>
      </c>
      <c r="B1" s="40"/>
      <c r="C1" s="40"/>
      <c r="D1" s="40"/>
      <c r="E1" s="40"/>
      <c r="F1" s="40"/>
      <c r="G1" s="40"/>
      <c r="H1" s="40"/>
      <c r="I1" s="40"/>
      <c r="J1" s="40"/>
      <c r="K1" s="40"/>
      <c r="L1" s="41"/>
    </row>
    <row r="2" spans="1:12" ht="15" thickBot="1">
      <c r="A2" s="42"/>
      <c r="B2" s="43"/>
      <c r="C2" s="43"/>
      <c r="D2" s="43"/>
      <c r="E2" s="43"/>
      <c r="F2" s="43"/>
      <c r="G2" s="43"/>
      <c r="H2" s="43"/>
      <c r="I2" s="43"/>
      <c r="J2" s="43"/>
      <c r="K2" s="43"/>
      <c r="L2" s="44"/>
    </row>
    <row r="3" spans="1:12" s="48" customFormat="1" ht="30.75" thickBot="1">
      <c r="A3" s="45" t="s">
        <v>17</v>
      </c>
      <c r="B3" s="46" t="s">
        <v>18</v>
      </c>
      <c r="C3" s="46" t="s">
        <v>19</v>
      </c>
      <c r="D3" s="46" t="s">
        <v>20</v>
      </c>
      <c r="E3" s="46" t="s">
        <v>21</v>
      </c>
      <c r="F3" s="46" t="s">
        <v>22</v>
      </c>
      <c r="G3" s="46" t="s">
        <v>23</v>
      </c>
      <c r="H3" s="46" t="s">
        <v>24</v>
      </c>
      <c r="I3" s="46" t="s">
        <v>9</v>
      </c>
      <c r="J3" s="46" t="s">
        <v>25</v>
      </c>
      <c r="K3" s="46" t="s">
        <v>26</v>
      </c>
      <c r="L3" s="47" t="s">
        <v>27</v>
      </c>
    </row>
    <row r="4" spans="1:12" ht="30">
      <c r="A4" s="49" t="s">
        <v>28</v>
      </c>
      <c r="B4" s="50" t="s">
        <v>29</v>
      </c>
      <c r="C4" s="50" t="s">
        <v>30</v>
      </c>
      <c r="D4" s="51" t="s">
        <v>31</v>
      </c>
      <c r="E4" s="52" t="s">
        <v>32</v>
      </c>
      <c r="F4" s="53">
        <v>45662</v>
      </c>
      <c r="G4" s="53">
        <v>45677</v>
      </c>
      <c r="H4" s="53">
        <v>45679</v>
      </c>
      <c r="I4" s="50" t="s">
        <v>33</v>
      </c>
      <c r="J4" s="52">
        <f>H4-G4</f>
        <v>2</v>
      </c>
      <c r="K4" s="50" t="s">
        <v>1</v>
      </c>
      <c r="L4" s="54" t="s">
        <v>34</v>
      </c>
    </row>
    <row r="5" spans="1:12" ht="15">
      <c r="A5" s="55" t="s">
        <v>35</v>
      </c>
      <c r="B5" s="56" t="s">
        <v>36</v>
      </c>
      <c r="C5" s="56" t="s">
        <v>37</v>
      </c>
      <c r="D5" s="57" t="s">
        <v>38</v>
      </c>
      <c r="E5" s="58" t="s">
        <v>39</v>
      </c>
      <c r="F5" s="59">
        <v>45659</v>
      </c>
      <c r="G5" s="59">
        <v>45667</v>
      </c>
      <c r="H5" s="59">
        <v>45666</v>
      </c>
      <c r="I5" s="56" t="s">
        <v>33</v>
      </c>
      <c r="J5" s="58">
        <v>-1</v>
      </c>
      <c r="K5" s="56" t="s">
        <v>2</v>
      </c>
      <c r="L5" s="60" t="s">
        <v>40</v>
      </c>
    </row>
    <row r="6" spans="1:12" ht="30">
      <c r="A6" s="55" t="s">
        <v>41</v>
      </c>
      <c r="B6" s="56" t="s">
        <v>29</v>
      </c>
      <c r="C6" s="56" t="s">
        <v>30</v>
      </c>
      <c r="D6" s="57" t="s">
        <v>42</v>
      </c>
      <c r="E6" s="58" t="s">
        <v>32</v>
      </c>
      <c r="F6" s="59">
        <v>45663</v>
      </c>
      <c r="G6" s="59">
        <v>45682</v>
      </c>
      <c r="H6" s="58"/>
      <c r="I6" s="56" t="s">
        <v>43</v>
      </c>
      <c r="J6" s="58"/>
      <c r="K6" s="56" t="s">
        <v>2</v>
      </c>
      <c r="L6" s="60" t="s">
        <v>44</v>
      </c>
    </row>
    <row r="7" spans="1:12" ht="15">
      <c r="A7" s="55" t="s">
        <v>45</v>
      </c>
      <c r="B7" s="56" t="s">
        <v>29</v>
      </c>
      <c r="C7" s="56" t="s">
        <v>30</v>
      </c>
      <c r="D7" s="57" t="s">
        <v>46</v>
      </c>
      <c r="E7" s="58" t="s">
        <v>47</v>
      </c>
      <c r="F7" s="59">
        <v>45665</v>
      </c>
      <c r="G7" s="59">
        <v>45677</v>
      </c>
      <c r="H7" s="58"/>
      <c r="I7" s="56" t="s">
        <v>48</v>
      </c>
      <c r="J7" s="58"/>
      <c r="K7" s="56" t="s">
        <v>2</v>
      </c>
      <c r="L7" s="60" t="s">
        <v>49</v>
      </c>
    </row>
    <row r="8" spans="1:12" ht="15">
      <c r="A8" s="55" t="s">
        <v>50</v>
      </c>
      <c r="B8" s="56" t="s">
        <v>51</v>
      </c>
      <c r="C8" s="56" t="s">
        <v>52</v>
      </c>
      <c r="D8" s="57" t="s">
        <v>53</v>
      </c>
      <c r="E8" s="58" t="s">
        <v>39</v>
      </c>
      <c r="F8" s="59">
        <v>45660</v>
      </c>
      <c r="G8" s="59">
        <v>45672</v>
      </c>
      <c r="H8" s="59">
        <v>45671</v>
      </c>
      <c r="I8" s="56" t="s">
        <v>33</v>
      </c>
      <c r="J8" s="58">
        <v>-1</v>
      </c>
      <c r="K8" s="56" t="s">
        <v>2</v>
      </c>
      <c r="L8" s="60" t="s">
        <v>54</v>
      </c>
    </row>
    <row r="9" spans="1:12" ht="15">
      <c r="A9" s="55" t="s">
        <v>55</v>
      </c>
      <c r="B9" s="56" t="s">
        <v>51</v>
      </c>
      <c r="C9" s="56" t="s">
        <v>56</v>
      </c>
      <c r="D9" s="57" t="s">
        <v>57</v>
      </c>
      <c r="E9" s="58" t="s">
        <v>39</v>
      </c>
      <c r="F9" s="59">
        <v>45660</v>
      </c>
      <c r="G9" s="59">
        <v>45672</v>
      </c>
      <c r="H9" s="59">
        <v>45673</v>
      </c>
      <c r="I9" s="56" t="s">
        <v>33</v>
      </c>
      <c r="J9" s="58">
        <v>1</v>
      </c>
      <c r="K9" s="56" t="s">
        <v>2</v>
      </c>
      <c r="L9" s="60" t="s">
        <v>58</v>
      </c>
    </row>
    <row r="10" spans="1:12" ht="15">
      <c r="A10" s="55" t="s">
        <v>59</v>
      </c>
      <c r="B10" s="56" t="s">
        <v>60</v>
      </c>
      <c r="C10" s="56" t="s">
        <v>61</v>
      </c>
      <c r="D10" s="57" t="s">
        <v>62</v>
      </c>
      <c r="E10" s="58" t="s">
        <v>39</v>
      </c>
      <c r="F10" s="59">
        <v>45661</v>
      </c>
      <c r="G10" s="59">
        <v>45675</v>
      </c>
      <c r="H10" s="59">
        <v>45674</v>
      </c>
      <c r="I10" s="56" t="s">
        <v>33</v>
      </c>
      <c r="J10" s="58">
        <v>-1</v>
      </c>
      <c r="K10" s="56" t="s">
        <v>2</v>
      </c>
      <c r="L10" s="60" t="s">
        <v>54</v>
      </c>
    </row>
    <row r="11" spans="1:12" ht="15">
      <c r="A11" s="55" t="s">
        <v>63</v>
      </c>
      <c r="B11" s="56" t="s">
        <v>29</v>
      </c>
      <c r="C11" s="56" t="s">
        <v>30</v>
      </c>
      <c r="D11" s="57" t="s">
        <v>64</v>
      </c>
      <c r="E11" s="58" t="s">
        <v>32</v>
      </c>
      <c r="F11" s="59">
        <v>45662</v>
      </c>
      <c r="G11" s="59">
        <v>45675</v>
      </c>
      <c r="H11" s="58"/>
      <c r="I11" s="56" t="s">
        <v>43</v>
      </c>
      <c r="J11" s="58"/>
      <c r="K11" s="56" t="s">
        <v>2</v>
      </c>
      <c r="L11" s="60" t="s">
        <v>65</v>
      </c>
    </row>
    <row r="12" spans="1:12" ht="15">
      <c r="A12" s="55" t="s">
        <v>66</v>
      </c>
      <c r="B12" s="56" t="s">
        <v>67</v>
      </c>
      <c r="C12" s="56" t="s">
        <v>68</v>
      </c>
      <c r="D12" s="57" t="s">
        <v>69</v>
      </c>
      <c r="E12" s="58" t="s">
        <v>32</v>
      </c>
      <c r="F12" s="59">
        <v>45664</v>
      </c>
      <c r="G12" s="59">
        <v>45671</v>
      </c>
      <c r="H12" s="59">
        <v>45670</v>
      </c>
      <c r="I12" s="56" t="s">
        <v>33</v>
      </c>
      <c r="J12" s="58">
        <v>-1</v>
      </c>
      <c r="K12" s="56" t="s">
        <v>2</v>
      </c>
      <c r="L12" s="60" t="s">
        <v>54</v>
      </c>
    </row>
    <row r="13" spans="1:12" ht="15">
      <c r="A13" s="55" t="s">
        <v>70</v>
      </c>
      <c r="B13" s="56" t="s">
        <v>71</v>
      </c>
      <c r="C13" s="56" t="s">
        <v>72</v>
      </c>
      <c r="D13" s="57" t="s">
        <v>73</v>
      </c>
      <c r="E13" s="58" t="s">
        <v>32</v>
      </c>
      <c r="F13" s="59">
        <v>45664</v>
      </c>
      <c r="G13" s="59">
        <v>45678</v>
      </c>
      <c r="H13" s="58"/>
      <c r="I13" s="56" t="s">
        <v>48</v>
      </c>
      <c r="J13" s="58"/>
      <c r="K13" s="56" t="s">
        <v>2</v>
      </c>
      <c r="L13" s="60" t="s">
        <v>74</v>
      </c>
    </row>
    <row r="14" spans="1:12" ht="15">
      <c r="A14" s="55" t="s">
        <v>75</v>
      </c>
      <c r="B14" s="56" t="s">
        <v>76</v>
      </c>
      <c r="C14" s="56" t="s">
        <v>77</v>
      </c>
      <c r="D14" s="57" t="s">
        <v>78</v>
      </c>
      <c r="E14" s="58" t="s">
        <v>32</v>
      </c>
      <c r="F14" s="59">
        <v>45666</v>
      </c>
      <c r="G14" s="59">
        <v>45676</v>
      </c>
      <c r="H14" s="59">
        <v>45675</v>
      </c>
      <c r="I14" s="56" t="s">
        <v>33</v>
      </c>
      <c r="J14" s="58">
        <v>-1</v>
      </c>
      <c r="K14" s="56" t="s">
        <v>2</v>
      </c>
      <c r="L14" s="60" t="s">
        <v>54</v>
      </c>
    </row>
    <row r="15" spans="1:12" ht="15">
      <c r="A15" s="55" t="s">
        <v>79</v>
      </c>
      <c r="B15" s="56" t="s">
        <v>76</v>
      </c>
      <c r="C15" s="56" t="s">
        <v>77</v>
      </c>
      <c r="D15" s="57" t="s">
        <v>80</v>
      </c>
      <c r="E15" s="58" t="s">
        <v>32</v>
      </c>
      <c r="F15" s="59">
        <v>45666</v>
      </c>
      <c r="G15" s="59">
        <v>45676</v>
      </c>
      <c r="H15" s="58"/>
      <c r="I15" s="56" t="s">
        <v>43</v>
      </c>
      <c r="J15" s="58"/>
      <c r="K15" s="56" t="s">
        <v>2</v>
      </c>
      <c r="L15" s="60" t="s">
        <v>81</v>
      </c>
    </row>
    <row r="16" spans="1:12" ht="15">
      <c r="A16" s="55" t="s">
        <v>82</v>
      </c>
      <c r="B16" s="56" t="s">
        <v>83</v>
      </c>
      <c r="C16" s="56" t="s">
        <v>84</v>
      </c>
      <c r="D16" s="57" t="s">
        <v>85</v>
      </c>
      <c r="E16" s="58" t="s">
        <v>86</v>
      </c>
      <c r="F16" s="59">
        <v>45667</v>
      </c>
      <c r="G16" s="59">
        <v>45682</v>
      </c>
      <c r="H16" s="58"/>
      <c r="I16" s="56" t="s">
        <v>87</v>
      </c>
      <c r="J16" s="58"/>
      <c r="K16" s="56" t="s">
        <v>1</v>
      </c>
      <c r="L16" s="60" t="s">
        <v>88</v>
      </c>
    </row>
    <row r="17" spans="1:12" ht="15">
      <c r="A17" s="55" t="s">
        <v>89</v>
      </c>
      <c r="B17" s="56" t="s">
        <v>90</v>
      </c>
      <c r="C17" s="56" t="s">
        <v>91</v>
      </c>
      <c r="D17" s="57" t="s">
        <v>92</v>
      </c>
      <c r="E17" s="58" t="s">
        <v>93</v>
      </c>
      <c r="F17" s="59">
        <v>45669</v>
      </c>
      <c r="G17" s="59">
        <v>45693</v>
      </c>
      <c r="H17" s="58"/>
      <c r="I17" s="56" t="s">
        <v>43</v>
      </c>
      <c r="J17" s="58"/>
      <c r="K17" s="56" t="s">
        <v>1</v>
      </c>
      <c r="L17" s="60" t="s">
        <v>94</v>
      </c>
    </row>
    <row r="18" spans="1:12" ht="15">
      <c r="A18" s="55" t="s">
        <v>95</v>
      </c>
      <c r="B18" s="56" t="s">
        <v>90</v>
      </c>
      <c r="C18" s="56" t="s">
        <v>91</v>
      </c>
      <c r="D18" s="57" t="s">
        <v>96</v>
      </c>
      <c r="E18" s="58" t="s">
        <v>93</v>
      </c>
      <c r="F18" s="59">
        <v>45672</v>
      </c>
      <c r="G18" s="59">
        <v>45698</v>
      </c>
      <c r="H18" s="58"/>
      <c r="I18" s="56" t="s">
        <v>97</v>
      </c>
      <c r="J18" s="58"/>
      <c r="K18" s="56" t="s">
        <v>2</v>
      </c>
      <c r="L18" s="60" t="s">
        <v>98</v>
      </c>
    </row>
    <row r="19" spans="1:12" ht="15">
      <c r="A19" s="55" t="s">
        <v>99</v>
      </c>
      <c r="B19" s="56" t="s">
        <v>100</v>
      </c>
      <c r="C19" s="56" t="s">
        <v>101</v>
      </c>
      <c r="D19" s="57" t="s">
        <v>102</v>
      </c>
      <c r="E19" s="58" t="s">
        <v>47</v>
      </c>
      <c r="F19" s="59">
        <v>45641</v>
      </c>
      <c r="G19" s="59">
        <v>45687</v>
      </c>
      <c r="H19" s="59">
        <v>45685</v>
      </c>
      <c r="I19" s="56" t="s">
        <v>33</v>
      </c>
      <c r="J19" s="58">
        <v>-2</v>
      </c>
      <c r="K19" s="56" t="s">
        <v>1</v>
      </c>
      <c r="L19" s="60" t="s">
        <v>54</v>
      </c>
    </row>
    <row r="20" spans="1:12" ht="15">
      <c r="A20" s="55" t="s">
        <v>103</v>
      </c>
      <c r="B20" s="56" t="s">
        <v>100</v>
      </c>
      <c r="C20" s="56" t="s">
        <v>101</v>
      </c>
      <c r="D20" s="57" t="s">
        <v>104</v>
      </c>
      <c r="E20" s="58" t="s">
        <v>105</v>
      </c>
      <c r="F20" s="59">
        <v>45662</v>
      </c>
      <c r="G20" s="59">
        <v>45682</v>
      </c>
      <c r="H20" s="58"/>
      <c r="I20" s="56" t="s">
        <v>48</v>
      </c>
      <c r="J20" s="58"/>
      <c r="K20" s="56" t="s">
        <v>1</v>
      </c>
      <c r="L20" s="60" t="s">
        <v>106</v>
      </c>
    </row>
    <row r="21" spans="1:12" ht="15">
      <c r="A21" s="55" t="s">
        <v>107</v>
      </c>
      <c r="B21" s="56" t="s">
        <v>108</v>
      </c>
      <c r="C21" s="56" t="s">
        <v>109</v>
      </c>
      <c r="D21" s="57" t="s">
        <v>110</v>
      </c>
      <c r="E21" s="58" t="s">
        <v>111</v>
      </c>
      <c r="F21" s="59">
        <v>45663</v>
      </c>
      <c r="G21" s="59">
        <v>45677</v>
      </c>
      <c r="H21" s="59">
        <v>45678</v>
      </c>
      <c r="I21" s="56" t="s">
        <v>33</v>
      </c>
      <c r="J21" s="58">
        <v>1</v>
      </c>
      <c r="K21" s="56" t="s">
        <v>2</v>
      </c>
      <c r="L21" s="60" t="s">
        <v>54</v>
      </c>
    </row>
    <row r="22" spans="1:12" ht="15">
      <c r="A22" s="55" t="s">
        <v>112</v>
      </c>
      <c r="B22" s="56" t="s">
        <v>108</v>
      </c>
      <c r="C22" s="56" t="s">
        <v>113</v>
      </c>
      <c r="D22" s="57" t="s">
        <v>114</v>
      </c>
      <c r="E22" s="58" t="s">
        <v>111</v>
      </c>
      <c r="F22" s="59">
        <v>45663</v>
      </c>
      <c r="G22" s="59">
        <v>45677</v>
      </c>
      <c r="H22" s="58"/>
      <c r="I22" s="56" t="s">
        <v>43</v>
      </c>
      <c r="J22" s="58"/>
      <c r="K22" s="56" t="s">
        <v>2</v>
      </c>
      <c r="L22" s="60" t="s">
        <v>115</v>
      </c>
    </row>
    <row r="23" spans="1:12" ht="15">
      <c r="A23" s="55" t="s">
        <v>116</v>
      </c>
      <c r="B23" s="56" t="s">
        <v>117</v>
      </c>
      <c r="C23" s="56" t="s">
        <v>118</v>
      </c>
      <c r="D23" s="57" t="s">
        <v>119</v>
      </c>
      <c r="E23" s="58" t="s">
        <v>120</v>
      </c>
      <c r="F23" s="59">
        <v>45667</v>
      </c>
      <c r="G23" s="59">
        <v>45675</v>
      </c>
      <c r="H23" s="59">
        <v>45674</v>
      </c>
      <c r="I23" s="56" t="s">
        <v>33</v>
      </c>
      <c r="J23" s="58">
        <v>-1</v>
      </c>
      <c r="K23" s="56" t="s">
        <v>1</v>
      </c>
      <c r="L23" s="60" t="s">
        <v>54</v>
      </c>
    </row>
    <row r="24" spans="1:12" ht="15">
      <c r="A24" s="55" t="s">
        <v>121</v>
      </c>
      <c r="B24" s="56" t="s">
        <v>76</v>
      </c>
      <c r="C24" s="56" t="s">
        <v>122</v>
      </c>
      <c r="D24" s="57" t="s">
        <v>123</v>
      </c>
      <c r="E24" s="58" t="s">
        <v>32</v>
      </c>
      <c r="F24" s="59">
        <v>45668</v>
      </c>
      <c r="G24" s="59">
        <v>45679</v>
      </c>
      <c r="H24" s="58"/>
      <c r="I24" s="56" t="s">
        <v>87</v>
      </c>
      <c r="J24" s="58"/>
      <c r="K24" s="56" t="s">
        <v>2</v>
      </c>
      <c r="L24" s="60" t="s">
        <v>124</v>
      </c>
    </row>
    <row r="25" spans="1:12" ht="15">
      <c r="A25" s="55" t="s">
        <v>125</v>
      </c>
      <c r="B25" s="56" t="s">
        <v>36</v>
      </c>
      <c r="C25" s="56" t="s">
        <v>37</v>
      </c>
      <c r="D25" s="57" t="s">
        <v>126</v>
      </c>
      <c r="E25" s="58" t="s">
        <v>127</v>
      </c>
      <c r="F25" s="59">
        <v>45662</v>
      </c>
      <c r="G25" s="59">
        <v>45669</v>
      </c>
      <c r="H25" s="59">
        <v>45668</v>
      </c>
      <c r="I25" s="56" t="s">
        <v>33</v>
      </c>
      <c r="J25" s="58">
        <v>-1</v>
      </c>
      <c r="K25" s="56" t="s">
        <v>2</v>
      </c>
      <c r="L25" s="60" t="s">
        <v>54</v>
      </c>
    </row>
    <row r="26" spans="1:12" ht="15">
      <c r="A26" s="55" t="s">
        <v>128</v>
      </c>
      <c r="B26" s="56" t="s">
        <v>29</v>
      </c>
      <c r="C26" s="56" t="s">
        <v>30</v>
      </c>
      <c r="D26" s="57" t="s">
        <v>129</v>
      </c>
      <c r="E26" s="58" t="s">
        <v>32</v>
      </c>
      <c r="F26" s="59">
        <v>45665</v>
      </c>
      <c r="G26" s="59">
        <v>45682</v>
      </c>
      <c r="H26" s="58"/>
      <c r="I26" s="56" t="s">
        <v>43</v>
      </c>
      <c r="J26" s="58"/>
      <c r="K26" s="56" t="s">
        <v>2</v>
      </c>
      <c r="L26" s="60" t="s">
        <v>130</v>
      </c>
    </row>
    <row r="27" spans="1:12" ht="15">
      <c r="A27" s="55" t="s">
        <v>131</v>
      </c>
      <c r="B27" s="56" t="s">
        <v>90</v>
      </c>
      <c r="C27" s="56" t="s">
        <v>100</v>
      </c>
      <c r="D27" s="57" t="s">
        <v>132</v>
      </c>
      <c r="E27" s="58" t="s">
        <v>133</v>
      </c>
      <c r="F27" s="59">
        <v>45672</v>
      </c>
      <c r="G27" s="59">
        <v>45689</v>
      </c>
      <c r="H27" s="58"/>
      <c r="I27" s="56" t="s">
        <v>97</v>
      </c>
      <c r="J27" s="58"/>
      <c r="K27" s="56" t="s">
        <v>1</v>
      </c>
      <c r="L27" s="60" t="s">
        <v>134</v>
      </c>
    </row>
    <row r="28" spans="1:12" ht="15">
      <c r="A28" s="55" t="s">
        <v>135</v>
      </c>
      <c r="B28" s="56" t="s">
        <v>76</v>
      </c>
      <c r="C28" s="56" t="s">
        <v>84</v>
      </c>
      <c r="D28" s="57" t="s">
        <v>136</v>
      </c>
      <c r="E28" s="58" t="s">
        <v>111</v>
      </c>
      <c r="F28" s="59">
        <v>45673</v>
      </c>
      <c r="G28" s="59">
        <v>45687</v>
      </c>
      <c r="H28" s="58"/>
      <c r="I28" s="56" t="s">
        <v>87</v>
      </c>
      <c r="J28" s="58"/>
      <c r="K28" s="56" t="s">
        <v>2</v>
      </c>
      <c r="L28" s="60" t="s">
        <v>137</v>
      </c>
    </row>
    <row r="29" spans="1:12" ht="15">
      <c r="A29" s="55" t="s">
        <v>138</v>
      </c>
      <c r="B29" s="56" t="s">
        <v>108</v>
      </c>
      <c r="C29" s="56" t="s">
        <v>139</v>
      </c>
      <c r="D29" s="57" t="s">
        <v>140</v>
      </c>
      <c r="E29" s="58" t="s">
        <v>141</v>
      </c>
      <c r="F29" s="59">
        <v>45671</v>
      </c>
      <c r="G29" s="59">
        <v>45685</v>
      </c>
      <c r="H29" s="59">
        <v>45684</v>
      </c>
      <c r="I29" s="56" t="s">
        <v>33</v>
      </c>
      <c r="J29" s="58">
        <v>-1</v>
      </c>
      <c r="K29" s="56" t="s">
        <v>2</v>
      </c>
      <c r="L29" s="60" t="s">
        <v>54</v>
      </c>
    </row>
    <row r="30" spans="1:12" ht="15">
      <c r="A30" s="55" t="s">
        <v>142</v>
      </c>
      <c r="B30" s="56" t="s">
        <v>100</v>
      </c>
      <c r="C30" s="56" t="s">
        <v>101</v>
      </c>
      <c r="D30" s="57" t="s">
        <v>143</v>
      </c>
      <c r="E30" s="58" t="s">
        <v>133</v>
      </c>
      <c r="F30" s="59">
        <v>45675</v>
      </c>
      <c r="G30" s="59">
        <v>45685</v>
      </c>
      <c r="H30" s="58"/>
      <c r="I30" s="56" t="s">
        <v>43</v>
      </c>
      <c r="J30" s="58"/>
      <c r="K30" s="56" t="s">
        <v>1</v>
      </c>
      <c r="L30" s="60" t="s">
        <v>144</v>
      </c>
    </row>
    <row r="31" spans="1:12" ht="15">
      <c r="A31" s="55" t="s">
        <v>145</v>
      </c>
      <c r="B31" s="56" t="s">
        <v>90</v>
      </c>
      <c r="C31" s="56" t="s">
        <v>100</v>
      </c>
      <c r="D31" s="57" t="s">
        <v>146</v>
      </c>
      <c r="E31" s="58" t="s">
        <v>93</v>
      </c>
      <c r="F31" s="59">
        <v>45677</v>
      </c>
      <c r="G31" s="59">
        <v>45693</v>
      </c>
      <c r="H31" s="58"/>
      <c r="I31" s="56" t="s">
        <v>97</v>
      </c>
      <c r="J31" s="58"/>
      <c r="K31" s="56" t="s">
        <v>2</v>
      </c>
      <c r="L31" s="60" t="s">
        <v>147</v>
      </c>
    </row>
    <row r="32" spans="1:12" ht="15">
      <c r="A32" s="55" t="s">
        <v>148</v>
      </c>
      <c r="B32" s="56" t="s">
        <v>76</v>
      </c>
      <c r="C32" s="56" t="s">
        <v>149</v>
      </c>
      <c r="D32" s="57" t="s">
        <v>150</v>
      </c>
      <c r="E32" s="58" t="s">
        <v>47</v>
      </c>
      <c r="F32" s="59">
        <v>45679</v>
      </c>
      <c r="G32" s="59">
        <v>45698</v>
      </c>
      <c r="H32" s="58"/>
      <c r="I32" s="56" t="s">
        <v>87</v>
      </c>
      <c r="J32" s="58"/>
      <c r="K32" s="56" t="s">
        <v>2</v>
      </c>
      <c r="L32" s="60" t="s">
        <v>81</v>
      </c>
    </row>
    <row r="33" spans="1:12" ht="15.75" thickBot="1">
      <c r="A33" s="61" t="s">
        <v>151</v>
      </c>
      <c r="B33" s="62" t="s">
        <v>51</v>
      </c>
      <c r="C33" s="62" t="s">
        <v>152</v>
      </c>
      <c r="D33" s="63" t="s">
        <v>153</v>
      </c>
      <c r="E33" s="64" t="s">
        <v>93</v>
      </c>
      <c r="F33" s="65">
        <v>45682</v>
      </c>
      <c r="G33" s="65">
        <v>45703</v>
      </c>
      <c r="H33" s="64"/>
      <c r="I33" s="62" t="s">
        <v>97</v>
      </c>
      <c r="J33" s="64"/>
      <c r="K33" s="62" t="s">
        <v>2</v>
      </c>
      <c r="L33" s="66" t="s">
        <v>154</v>
      </c>
    </row>
  </sheetData>
  <autoFilter ref="A3:L3"/>
  <mergeCells count="1">
    <mergeCell ref="A1:L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workbookViewId="0">
      <selection activeCell="E19" sqref="E19"/>
    </sheetView>
  </sheetViews>
  <sheetFormatPr defaultRowHeight="14.25"/>
  <cols>
    <col min="1" max="1" width="12.75" customWidth="1"/>
    <col min="2" max="2" width="13.25" customWidth="1"/>
    <col min="3" max="3" width="16.5" customWidth="1"/>
    <col min="4" max="4" width="15.625" customWidth="1"/>
    <col min="5" max="6" width="17.25" customWidth="1"/>
    <col min="7" max="7" width="13.625" customWidth="1"/>
    <col min="8" max="8" width="15.25" customWidth="1"/>
    <col min="9" max="9" width="18.125" customWidth="1"/>
    <col min="10" max="10" width="14.75" customWidth="1"/>
    <col min="11" max="11" width="14.5" customWidth="1"/>
    <col min="12" max="12" width="13.5" customWidth="1"/>
    <col min="13" max="13" width="12.125" customWidth="1"/>
    <col min="14" max="14" width="14" customWidth="1"/>
    <col min="15" max="15" width="13.5" customWidth="1"/>
  </cols>
  <sheetData>
    <row r="1" spans="1:15" ht="15">
      <c r="A1" s="71" t="s">
        <v>158</v>
      </c>
      <c r="B1" s="71" t="s">
        <v>159</v>
      </c>
      <c r="C1" s="71" t="s">
        <v>160</v>
      </c>
      <c r="D1" s="71" t="s">
        <v>161</v>
      </c>
      <c r="E1" s="71" t="s">
        <v>162</v>
      </c>
      <c r="F1" s="71" t="s">
        <v>163</v>
      </c>
      <c r="G1" s="71" t="s">
        <v>164</v>
      </c>
      <c r="H1" s="71" t="s">
        <v>165</v>
      </c>
      <c r="I1" s="71" t="s">
        <v>166</v>
      </c>
      <c r="J1" s="71" t="s">
        <v>167</v>
      </c>
      <c r="K1" s="71" t="s">
        <v>168</v>
      </c>
      <c r="L1" s="71" t="s">
        <v>169</v>
      </c>
      <c r="M1" s="71" t="s">
        <v>170</v>
      </c>
      <c r="N1" s="71" t="s">
        <v>171</v>
      </c>
      <c r="O1" s="71" t="s">
        <v>172</v>
      </c>
    </row>
    <row r="2" spans="1:15" ht="28.5">
      <c r="A2" s="48" t="s">
        <v>173</v>
      </c>
      <c r="B2" s="48" t="s">
        <v>174</v>
      </c>
      <c r="C2" s="48" t="s">
        <v>175</v>
      </c>
      <c r="D2" s="72">
        <v>46023</v>
      </c>
      <c r="E2" s="72">
        <v>46027</v>
      </c>
      <c r="F2" s="73">
        <f>Table1[[#This Row],[Planned End]]-Table1[[#This Row],[Planned Start]]</f>
        <v>4</v>
      </c>
      <c r="G2" s="72">
        <v>46023</v>
      </c>
      <c r="H2" s="72">
        <v>46027</v>
      </c>
      <c r="I2" s="73">
        <f>Table1[[#This Row],[Actual End]]-Table1[[#This Row],[Actual Start]]</f>
        <v>4</v>
      </c>
      <c r="J2" s="48">
        <v>5</v>
      </c>
      <c r="K2" s="74">
        <f ca="1">IF(AND(G2="",H2=""),0,
 IF(AND(G2&lt;&gt;"",H2=""),
  MIN((TODAY()-G2+1)/F2,1),
  1))</f>
        <v>1</v>
      </c>
      <c r="L2" s="48" t="s">
        <v>176</v>
      </c>
      <c r="M2" s="48" t="s">
        <v>177</v>
      </c>
      <c r="N2" s="48" t="str">
        <f>IF(AND(G2="",H2=""),"Not Started",
 IF(AND(G2&lt;&gt;"",H2=""),"In Progress",
 IF(H2&lt;=E2,"Completed",
 "Delayed")))</f>
        <v>Completed</v>
      </c>
      <c r="O2" s="48">
        <f>IF(Table1[[#This Row],[Actual Days]]&gt;Table1[[#This Row],[Planned Days]],Table1[[#This Row],[Actual Days]]-Table1[[#This Row],[Planned Days]],0)</f>
        <v>0</v>
      </c>
    </row>
    <row r="3" spans="1:15">
      <c r="A3" s="48" t="s">
        <v>178</v>
      </c>
      <c r="B3" s="48" t="s">
        <v>5</v>
      </c>
      <c r="C3" s="48" t="s">
        <v>179</v>
      </c>
      <c r="D3" s="72">
        <v>46028</v>
      </c>
      <c r="E3" s="72">
        <v>46037</v>
      </c>
      <c r="F3" s="73">
        <f>Table1[[#This Row],[Planned End]]-Table1[[#This Row],[Planned Start]]</f>
        <v>9</v>
      </c>
      <c r="G3" s="72">
        <v>46029</v>
      </c>
      <c r="H3" s="72">
        <v>46039</v>
      </c>
      <c r="I3" s="73">
        <f>Table1[[#This Row],[Actual End]]-Table1[[#This Row],[Actual Start]]</f>
        <v>10</v>
      </c>
      <c r="J3" s="48">
        <v>5</v>
      </c>
      <c r="K3" s="74">
        <f t="shared" ref="K3:K11" ca="1" si="0">IF(AND(G3="",H3=""),0,
 IF(AND(G3&lt;&gt;"",H3=""),
  MIN((TODAY()-G3+1)/F3,1),
  1))</f>
        <v>1</v>
      </c>
      <c r="L3" s="48" t="s">
        <v>176</v>
      </c>
      <c r="M3" s="48" t="s">
        <v>177</v>
      </c>
      <c r="N3" s="48" t="str">
        <f t="shared" ref="N3:N11" si="1">IF(AND(G3="",H3=""),"Not Started",
 IF(AND(G3&lt;&gt;"",H3=""),"In Progress",
 IF(H3&lt;=E3,"Completed",
 "Delayed")))</f>
        <v>Delayed</v>
      </c>
      <c r="O3" s="48">
        <f>IF(Table1[[#This Row],[Actual Days]]&gt;Table1[[#This Row],[Planned Days]],Table1[[#This Row],[Actual Days]]-Table1[[#This Row],[Planned Days]],0)</f>
        <v>1</v>
      </c>
    </row>
    <row r="4" spans="1:15">
      <c r="A4" s="48" t="s">
        <v>180</v>
      </c>
      <c r="B4" s="48" t="s">
        <v>181</v>
      </c>
      <c r="C4" s="48" t="s">
        <v>182</v>
      </c>
      <c r="D4" s="72">
        <v>46038</v>
      </c>
      <c r="E4" s="72">
        <v>46042</v>
      </c>
      <c r="F4" s="73">
        <f>Table1[[#This Row],[Planned End]]-Table1[[#This Row],[Planned Start]]</f>
        <v>4</v>
      </c>
      <c r="G4" s="72">
        <v>46038</v>
      </c>
      <c r="H4" s="72">
        <v>46042</v>
      </c>
      <c r="I4" s="73">
        <f>Table1[[#This Row],[Actual End]]-Table1[[#This Row],[Actual Start]]</f>
        <v>4</v>
      </c>
      <c r="J4" s="48">
        <v>5</v>
      </c>
      <c r="K4" s="74">
        <f t="shared" ca="1" si="0"/>
        <v>1</v>
      </c>
      <c r="L4" s="48" t="s">
        <v>183</v>
      </c>
      <c r="M4" s="48" t="s">
        <v>177</v>
      </c>
      <c r="N4" s="48" t="str">
        <f t="shared" si="1"/>
        <v>Completed</v>
      </c>
      <c r="O4" s="48">
        <f>IF(Table1[[#This Row],[Actual Days]]&gt;Table1[[#This Row],[Planned Days]],Table1[[#This Row],[Actual Days]]-Table1[[#This Row],[Planned Days]],0)</f>
        <v>0</v>
      </c>
    </row>
    <row r="5" spans="1:15">
      <c r="A5" s="48" t="s">
        <v>184</v>
      </c>
      <c r="B5" s="48" t="s">
        <v>181</v>
      </c>
      <c r="C5" s="48" t="s">
        <v>185</v>
      </c>
      <c r="D5" s="72">
        <v>46043</v>
      </c>
      <c r="E5" s="72">
        <v>46052</v>
      </c>
      <c r="F5" s="73">
        <f>Table1[[#This Row],[Planned End]]-Table1[[#This Row],[Planned Start]]</f>
        <v>9</v>
      </c>
      <c r="G5" s="72">
        <v>46043</v>
      </c>
      <c r="H5" s="72">
        <v>46055</v>
      </c>
      <c r="I5" s="73">
        <f>Table1[[#This Row],[Actual End]]-Table1[[#This Row],[Actual Start]]</f>
        <v>12</v>
      </c>
      <c r="J5" s="48">
        <v>10</v>
      </c>
      <c r="K5" s="74">
        <f t="shared" ca="1" si="0"/>
        <v>1</v>
      </c>
      <c r="L5" s="48" t="s">
        <v>183</v>
      </c>
      <c r="M5" s="48" t="s">
        <v>186</v>
      </c>
      <c r="N5" s="48" t="str">
        <f t="shared" si="1"/>
        <v>Delayed</v>
      </c>
      <c r="O5" s="48">
        <f>IF(Table1[[#This Row],[Actual Days]]&gt;Table1[[#This Row],[Planned Days]],Table1[[#This Row],[Actual Days]]-Table1[[#This Row],[Planned Days]],0)</f>
        <v>3</v>
      </c>
    </row>
    <row r="6" spans="1:15">
      <c r="A6" s="48" t="s">
        <v>187</v>
      </c>
      <c r="B6" s="48" t="s">
        <v>188</v>
      </c>
      <c r="C6" s="48" t="s">
        <v>189</v>
      </c>
      <c r="D6" s="72">
        <v>46054</v>
      </c>
      <c r="E6" s="72">
        <v>46063</v>
      </c>
      <c r="F6" s="73">
        <f>Table1[[#This Row],[Planned End]]-Table1[[#This Row],[Planned Start]]</f>
        <v>9</v>
      </c>
      <c r="G6" s="72">
        <v>46054</v>
      </c>
      <c r="H6" s="72">
        <v>46093</v>
      </c>
      <c r="I6" s="73">
        <f>Table1[[#This Row],[Actual End]]-Table1[[#This Row],[Actual Start]]</f>
        <v>39</v>
      </c>
      <c r="J6" s="48">
        <v>15</v>
      </c>
      <c r="K6" s="74">
        <f t="shared" ca="1" si="0"/>
        <v>1</v>
      </c>
      <c r="L6" s="48" t="s">
        <v>183</v>
      </c>
      <c r="M6" s="48" t="s">
        <v>186</v>
      </c>
      <c r="N6" s="48" t="str">
        <f t="shared" si="1"/>
        <v>Delayed</v>
      </c>
      <c r="O6" s="48">
        <f>IF(Table1[[#This Row],[Actual Days]]&gt;Table1[[#This Row],[Planned Days]],Table1[[#This Row],[Actual Days]]-Table1[[#This Row],[Planned Days]],0)</f>
        <v>30</v>
      </c>
    </row>
    <row r="7" spans="1:15">
      <c r="A7" s="48" t="s">
        <v>190</v>
      </c>
      <c r="B7" s="48" t="s">
        <v>188</v>
      </c>
      <c r="C7" s="48" t="s">
        <v>191</v>
      </c>
      <c r="D7" s="72">
        <v>46064</v>
      </c>
      <c r="E7" s="72">
        <v>46073</v>
      </c>
      <c r="F7" s="73">
        <f>Table1[[#This Row],[Planned End]]-Table1[[#This Row],[Planned Start]]</f>
        <v>9</v>
      </c>
      <c r="G7" s="72">
        <v>46064</v>
      </c>
      <c r="H7" s="72">
        <v>46094</v>
      </c>
      <c r="I7" s="73">
        <f>Table1[[#This Row],[Actual End]]-Table1[[#This Row],[Actual Start]]</f>
        <v>30</v>
      </c>
      <c r="J7" s="48">
        <v>15</v>
      </c>
      <c r="K7" s="74">
        <f t="shared" ca="1" si="0"/>
        <v>1</v>
      </c>
      <c r="L7" s="48" t="s">
        <v>192</v>
      </c>
      <c r="M7" s="48" t="s">
        <v>186</v>
      </c>
      <c r="N7" s="48" t="str">
        <f t="shared" si="1"/>
        <v>Delayed</v>
      </c>
      <c r="O7" s="48">
        <f>IF(Table1[[#This Row],[Actual Days]]&gt;Table1[[#This Row],[Planned Days]],Table1[[#This Row],[Actual Days]]-Table1[[#This Row],[Planned Days]],0)</f>
        <v>21</v>
      </c>
    </row>
    <row r="8" spans="1:15">
      <c r="A8" s="48" t="s">
        <v>193</v>
      </c>
      <c r="B8" s="48" t="s">
        <v>194</v>
      </c>
      <c r="C8" s="48" t="s">
        <v>195</v>
      </c>
      <c r="D8" s="72">
        <v>46074</v>
      </c>
      <c r="E8" s="72">
        <v>46086</v>
      </c>
      <c r="F8" s="73">
        <v>30</v>
      </c>
      <c r="G8" s="72">
        <v>46030</v>
      </c>
      <c r="H8" s="72"/>
      <c r="I8" s="73">
        <v>0</v>
      </c>
      <c r="J8" s="48">
        <v>15</v>
      </c>
      <c r="K8" s="74">
        <f t="shared" ca="1" si="0"/>
        <v>1</v>
      </c>
      <c r="L8" s="48" t="s">
        <v>192</v>
      </c>
      <c r="M8" s="48" t="s">
        <v>196</v>
      </c>
      <c r="N8" s="48" t="str">
        <f t="shared" si="1"/>
        <v>In Progress</v>
      </c>
      <c r="O8" s="48">
        <f>IF(Table1[[#This Row],[Actual Days]]&gt;Table1[[#This Row],[Planned Days]],Table1[[#This Row],[Actual Days]]-Table1[[#This Row],[Planned Days]],0)</f>
        <v>0</v>
      </c>
    </row>
    <row r="9" spans="1:15">
      <c r="A9" s="48" t="s">
        <v>197</v>
      </c>
      <c r="B9" s="48" t="s">
        <v>198</v>
      </c>
      <c r="C9" s="48" t="s">
        <v>7</v>
      </c>
      <c r="D9" s="72">
        <v>46087</v>
      </c>
      <c r="E9" s="72">
        <v>46101</v>
      </c>
      <c r="F9" s="73">
        <f>Table1[[#This Row],[Planned End]]-Table1[[#This Row],[Planned Start]]</f>
        <v>14</v>
      </c>
      <c r="G9" s="72">
        <v>8</v>
      </c>
      <c r="H9" s="72"/>
      <c r="I9" s="73">
        <f>Table1[[#This Row],[Actual End]]-Table1[[#This Row],[Actual Start]]</f>
        <v>-8</v>
      </c>
      <c r="J9" s="48">
        <v>10</v>
      </c>
      <c r="K9" s="74">
        <v>0.2</v>
      </c>
      <c r="L9" s="48" t="s">
        <v>192</v>
      </c>
      <c r="M9" s="48" t="s">
        <v>196</v>
      </c>
      <c r="N9" s="48" t="str">
        <f t="shared" si="1"/>
        <v>In Progress</v>
      </c>
      <c r="O9" s="48">
        <f>IF(Table1[[#This Row],[Actual Days]]&gt;Table1[[#This Row],[Planned Days]],Table1[[#This Row],[Actual Days]]-Table1[[#This Row],[Planned Days]],0)</f>
        <v>0</v>
      </c>
    </row>
    <row r="10" spans="1:15">
      <c r="A10" s="48" t="s">
        <v>199</v>
      </c>
      <c r="B10" s="48" t="s">
        <v>198</v>
      </c>
      <c r="C10" s="48" t="s">
        <v>8</v>
      </c>
      <c r="D10" s="72">
        <v>46102</v>
      </c>
      <c r="E10" s="72">
        <v>46117</v>
      </c>
      <c r="F10" s="73">
        <f>Table1[[#This Row],[Planned End]]-Table1[[#This Row],[Planned Start]]</f>
        <v>15</v>
      </c>
      <c r="G10" s="72"/>
      <c r="H10" s="72"/>
      <c r="I10" s="73">
        <f>Table1[[#This Row],[Actual End]]-Table1[[#This Row],[Actual Start]]</f>
        <v>0</v>
      </c>
      <c r="J10" s="48">
        <v>10</v>
      </c>
      <c r="K10" s="74">
        <f t="shared" ca="1" si="0"/>
        <v>0</v>
      </c>
      <c r="L10" s="48" t="s">
        <v>200</v>
      </c>
      <c r="M10" s="48" t="s">
        <v>196</v>
      </c>
      <c r="N10" s="48" t="str">
        <f t="shared" si="1"/>
        <v>Not Started</v>
      </c>
      <c r="O10" s="48">
        <f>IF(Table1[[#This Row],[Actual Days]]&gt;Table1[[#This Row],[Planned Days]],Table1[[#This Row],[Actual Days]]-Table1[[#This Row],[Planned Days]],0)</f>
        <v>0</v>
      </c>
    </row>
    <row r="11" spans="1:15">
      <c r="A11" s="48" t="s">
        <v>201</v>
      </c>
      <c r="B11" s="48" t="s">
        <v>202</v>
      </c>
      <c r="C11" s="48" t="s">
        <v>203</v>
      </c>
      <c r="D11" s="72">
        <v>46118</v>
      </c>
      <c r="E11" s="72">
        <v>46122</v>
      </c>
      <c r="F11" s="73">
        <f>Table1[[#This Row],[Planned End]]-Table1[[#This Row],[Planned Start]]</f>
        <v>4</v>
      </c>
      <c r="G11" s="72"/>
      <c r="H11" s="72"/>
      <c r="I11" s="73"/>
      <c r="J11" s="48">
        <v>10</v>
      </c>
      <c r="K11" s="74">
        <f t="shared" ca="1" si="0"/>
        <v>0</v>
      </c>
      <c r="L11" s="48" t="s">
        <v>200</v>
      </c>
      <c r="M11" s="48" t="s">
        <v>196</v>
      </c>
      <c r="N11" s="48" t="str">
        <f t="shared" si="1"/>
        <v>Not Started</v>
      </c>
      <c r="O11" s="48">
        <f>IF(Table1[[#This Row],[Actual Days]]&gt;Table1[[#This Row],[Planned Days]],Table1[[#This Row],[Actual Days]]-Table1[[#This Row],[Planned Days]],0)</f>
        <v>0</v>
      </c>
    </row>
    <row r="12" spans="1:15" ht="15">
      <c r="A12" s="48"/>
      <c r="B12" s="48"/>
      <c r="C12" s="48"/>
      <c r="D12" s="72"/>
      <c r="E12" s="72"/>
      <c r="F12" s="73"/>
      <c r="G12" s="72"/>
      <c r="H12" s="48"/>
      <c r="I12" s="73"/>
      <c r="J12" s="48"/>
      <c r="K12" s="48"/>
      <c r="L12" s="48"/>
      <c r="M12" s="48"/>
      <c r="N12" s="75">
        <f ca="1">COUNTIF(N:N,N7)</f>
        <v>0</v>
      </c>
      <c r="O12" s="75"/>
    </row>
    <row r="14" spans="1:15">
      <c r="B14">
        <f>COUNTA(A2:A11)</f>
        <v>10</v>
      </c>
      <c r="J14" s="76">
        <f ca="1">SUMPRODUCT(J2:J11, K2:K11) / 100</f>
        <v>0.72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5"/>
  <sheetViews>
    <sheetView topLeftCell="A31" zoomScale="69" zoomScaleNormal="70" workbookViewId="0">
      <selection activeCell="E32" sqref="E32"/>
    </sheetView>
  </sheetViews>
  <sheetFormatPr defaultColWidth="8.875" defaultRowHeight="14.25" outlineLevelCol="3"/>
  <cols>
    <col min="1" max="1" width="10.625" style="67" customWidth="1" outlineLevel="1"/>
    <col min="2" max="2" width="16.5" style="109" customWidth="1" outlineLevel="1"/>
    <col min="3" max="3" width="12.25" style="67" customWidth="1" outlineLevel="1"/>
    <col min="4" max="4" width="34.125" style="109" customWidth="1"/>
    <col min="5" max="5" width="48.5" style="48" customWidth="1"/>
    <col min="6" max="6" width="10.5" style="67" customWidth="1" outlineLevel="3"/>
    <col min="7" max="7" width="7.625" style="67" customWidth="1" outlineLevel="3"/>
    <col min="8" max="8" width="10.125" style="67" customWidth="1" outlineLevel="3"/>
    <col min="9" max="9" width="11.75" style="67" customWidth="1" outlineLevel="3"/>
    <col min="10" max="10" width="11.25" style="67" customWidth="1" outlineLevel="1"/>
    <col min="11" max="11" width="13.5" style="67" customWidth="1" outlineLevel="1"/>
    <col min="12" max="12" width="11.25" style="67" customWidth="1" outlineLevel="1"/>
    <col min="13" max="13" width="18.125" style="67" hidden="1" customWidth="1" outlineLevel="2"/>
    <col min="14" max="14" width="44.125" style="48" hidden="1" customWidth="1" outlineLevel="2"/>
    <col min="15" max="15" width="15.125" style="110" customWidth="1" outlineLevel="1" collapsed="1"/>
    <col min="16" max="16" width="33.625" style="110" customWidth="1" outlineLevel="1"/>
    <col min="17" max="17" width="13.375" style="67" customWidth="1" outlineLevel="1"/>
    <col min="18" max="18" width="27.5" style="67" customWidth="1" outlineLevel="1"/>
    <col min="19" max="19" width="42.625" style="67" customWidth="1" outlineLevel="1"/>
    <col min="20" max="16384" width="8.875" style="1"/>
  </cols>
  <sheetData>
    <row r="1" spans="1:19" s="84" customFormat="1" ht="24" thickBot="1">
      <c r="A1" s="77" t="s">
        <v>205</v>
      </c>
      <c r="B1" s="78"/>
      <c r="C1" s="78"/>
      <c r="D1" s="78"/>
      <c r="E1" s="78"/>
      <c r="F1" s="79"/>
      <c r="G1" s="78" t="s">
        <v>206</v>
      </c>
      <c r="H1" s="78"/>
      <c r="I1" s="78"/>
      <c r="J1" s="78"/>
      <c r="K1" s="78"/>
      <c r="L1" s="80"/>
      <c r="M1" s="81" t="s">
        <v>207</v>
      </c>
      <c r="N1" s="82"/>
      <c r="O1" s="82"/>
      <c r="P1" s="83"/>
      <c r="Q1" s="81" t="s">
        <v>208</v>
      </c>
      <c r="R1" s="82"/>
      <c r="S1" s="83"/>
    </row>
    <row r="2" spans="1:19" s="96" customFormat="1" ht="154.9" customHeight="1" thickBot="1">
      <c r="A2" s="85" t="s">
        <v>209</v>
      </c>
      <c r="B2" s="86" t="s">
        <v>210</v>
      </c>
      <c r="C2" s="86" t="s">
        <v>211</v>
      </c>
      <c r="D2" s="87" t="s">
        <v>212</v>
      </c>
      <c r="E2" s="88" t="s">
        <v>213</v>
      </c>
      <c r="F2" s="89" t="s">
        <v>214</v>
      </c>
      <c r="G2" s="86" t="s">
        <v>215</v>
      </c>
      <c r="H2" s="90" t="s">
        <v>216</v>
      </c>
      <c r="I2" s="89" t="s">
        <v>217</v>
      </c>
      <c r="J2" s="86" t="s">
        <v>218</v>
      </c>
      <c r="K2" s="91" t="s">
        <v>219</v>
      </c>
      <c r="L2" s="92" t="s">
        <v>220</v>
      </c>
      <c r="M2" s="89" t="s">
        <v>221</v>
      </c>
      <c r="N2" s="87" t="s">
        <v>222</v>
      </c>
      <c r="O2" s="87" t="s">
        <v>223</v>
      </c>
      <c r="P2" s="93" t="s">
        <v>224</v>
      </c>
      <c r="Q2" s="93" t="s">
        <v>9</v>
      </c>
      <c r="R2" s="94" t="s">
        <v>225</v>
      </c>
      <c r="S2" s="95" t="s">
        <v>226</v>
      </c>
    </row>
    <row r="3" spans="1:19" ht="169.9" customHeight="1">
      <c r="A3" s="97" t="s">
        <v>227</v>
      </c>
      <c r="B3" s="97" t="s">
        <v>228</v>
      </c>
      <c r="C3" s="97" t="s">
        <v>229</v>
      </c>
      <c r="D3" s="98" t="s">
        <v>230</v>
      </c>
      <c r="E3" s="98" t="s">
        <v>231</v>
      </c>
      <c r="F3" s="99">
        <v>5</v>
      </c>
      <c r="G3" s="99">
        <v>5</v>
      </c>
      <c r="H3" s="99">
        <f t="shared" ref="H3:H32" si="0">F3*G3</f>
        <v>25</v>
      </c>
      <c r="I3" s="100">
        <v>0.2</v>
      </c>
      <c r="J3" s="101">
        <v>1000</v>
      </c>
      <c r="K3" s="102">
        <v>1</v>
      </c>
      <c r="L3" s="102" t="s">
        <v>232</v>
      </c>
      <c r="M3" s="102" t="s">
        <v>233</v>
      </c>
      <c r="N3" s="103" t="s">
        <v>234</v>
      </c>
      <c r="O3" s="104" t="s">
        <v>235</v>
      </c>
      <c r="P3" s="105" t="s">
        <v>236</v>
      </c>
      <c r="Q3" s="104" t="s">
        <v>237</v>
      </c>
      <c r="R3" s="106">
        <f ca="1">TODAY()</f>
        <v>46085</v>
      </c>
      <c r="S3" s="104" t="s">
        <v>238</v>
      </c>
    </row>
    <row r="4" spans="1:19" ht="102">
      <c r="A4" s="97" t="s">
        <v>239</v>
      </c>
      <c r="B4" s="97" t="s">
        <v>240</v>
      </c>
      <c r="C4" s="97" t="s">
        <v>241</v>
      </c>
      <c r="D4" s="98" t="s">
        <v>242</v>
      </c>
      <c r="E4" s="98" t="s">
        <v>231</v>
      </c>
      <c r="F4" s="99">
        <v>3</v>
      </c>
      <c r="G4" s="99">
        <v>2</v>
      </c>
      <c r="H4" s="99">
        <f t="shared" si="0"/>
        <v>6</v>
      </c>
      <c r="I4" s="100">
        <v>0.3</v>
      </c>
      <c r="J4" s="101">
        <v>2000</v>
      </c>
      <c r="K4" s="102">
        <v>1</v>
      </c>
      <c r="L4" s="102" t="s">
        <v>243</v>
      </c>
      <c r="M4" s="102" t="s">
        <v>233</v>
      </c>
      <c r="N4" s="103" t="s">
        <v>234</v>
      </c>
      <c r="O4" s="104" t="s">
        <v>2</v>
      </c>
      <c r="P4" s="105" t="s">
        <v>236</v>
      </c>
      <c r="Q4" s="104" t="s">
        <v>244</v>
      </c>
      <c r="R4" s="107">
        <f ca="1">TODAY()+5</f>
        <v>46090</v>
      </c>
      <c r="S4" s="108" t="s">
        <v>238</v>
      </c>
    </row>
    <row r="5" spans="1:19" ht="102">
      <c r="A5" s="97" t="s">
        <v>245</v>
      </c>
      <c r="B5" s="97" t="s">
        <v>246</v>
      </c>
      <c r="C5" s="97" t="s">
        <v>247</v>
      </c>
      <c r="D5" s="98" t="s">
        <v>230</v>
      </c>
      <c r="E5" s="98" t="s">
        <v>231</v>
      </c>
      <c r="F5" s="99">
        <v>5</v>
      </c>
      <c r="G5" s="99">
        <v>1</v>
      </c>
      <c r="H5" s="99">
        <f t="shared" si="0"/>
        <v>5</v>
      </c>
      <c r="I5" s="100">
        <v>0.4</v>
      </c>
      <c r="J5" s="101">
        <v>3000</v>
      </c>
      <c r="K5" s="102">
        <v>1</v>
      </c>
      <c r="L5" s="102" t="s">
        <v>248</v>
      </c>
      <c r="M5" s="102" t="s">
        <v>249</v>
      </c>
      <c r="N5" s="103" t="s">
        <v>234</v>
      </c>
      <c r="O5" s="104" t="s">
        <v>3</v>
      </c>
      <c r="P5" s="105" t="s">
        <v>236</v>
      </c>
      <c r="Q5" s="104" t="s">
        <v>250</v>
      </c>
      <c r="R5" s="107">
        <f ca="1">TODAY()-5</f>
        <v>46080</v>
      </c>
      <c r="S5" s="108" t="s">
        <v>238</v>
      </c>
    </row>
    <row r="6" spans="1:19" ht="102">
      <c r="A6" s="97" t="s">
        <v>251</v>
      </c>
      <c r="B6" s="97" t="s">
        <v>252</v>
      </c>
      <c r="C6" s="97" t="s">
        <v>229</v>
      </c>
      <c r="D6" s="98" t="s">
        <v>242</v>
      </c>
      <c r="E6" s="98" t="s">
        <v>231</v>
      </c>
      <c r="F6" s="99">
        <v>4</v>
      </c>
      <c r="G6" s="99">
        <v>3</v>
      </c>
      <c r="H6" s="99">
        <f t="shared" si="0"/>
        <v>12</v>
      </c>
      <c r="I6" s="100">
        <v>0.5</v>
      </c>
      <c r="J6" s="101">
        <v>100</v>
      </c>
      <c r="K6" s="102">
        <v>1</v>
      </c>
      <c r="L6" s="102" t="s">
        <v>232</v>
      </c>
      <c r="M6" s="102" t="s">
        <v>253</v>
      </c>
      <c r="N6" s="103" t="s">
        <v>234</v>
      </c>
      <c r="O6" s="104" t="s">
        <v>254</v>
      </c>
      <c r="P6" s="105" t="s">
        <v>236</v>
      </c>
      <c r="Q6" s="104" t="s">
        <v>4</v>
      </c>
      <c r="R6" s="107">
        <f ca="1">TODAY()</f>
        <v>46085</v>
      </c>
      <c r="S6" s="108" t="s">
        <v>238</v>
      </c>
    </row>
    <row r="7" spans="1:19" ht="102">
      <c r="A7" s="97" t="s">
        <v>255</v>
      </c>
      <c r="B7" s="97" t="s">
        <v>256</v>
      </c>
      <c r="C7" s="97" t="s">
        <v>241</v>
      </c>
      <c r="D7" s="98" t="s">
        <v>230</v>
      </c>
      <c r="E7" s="98" t="s">
        <v>231</v>
      </c>
      <c r="F7" s="99">
        <v>2</v>
      </c>
      <c r="G7" s="99">
        <v>5</v>
      </c>
      <c r="H7" s="99">
        <f t="shared" si="0"/>
        <v>10</v>
      </c>
      <c r="I7" s="100">
        <v>0.1</v>
      </c>
      <c r="J7" s="101">
        <v>5000</v>
      </c>
      <c r="K7" s="102">
        <v>1</v>
      </c>
      <c r="L7" s="102" t="s">
        <v>243</v>
      </c>
      <c r="M7" s="102" t="s">
        <v>233</v>
      </c>
      <c r="N7" s="103" t="s">
        <v>234</v>
      </c>
      <c r="O7" s="104" t="s">
        <v>257</v>
      </c>
      <c r="P7" s="105" t="s">
        <v>236</v>
      </c>
      <c r="Q7" s="104" t="s">
        <v>237</v>
      </c>
      <c r="R7" s="107">
        <f ca="1">TODAY()+5</f>
        <v>46090</v>
      </c>
      <c r="S7" s="108" t="s">
        <v>238</v>
      </c>
    </row>
    <row r="8" spans="1:19" ht="102">
      <c r="A8" s="97" t="s">
        <v>258</v>
      </c>
      <c r="B8" s="97" t="s">
        <v>259</v>
      </c>
      <c r="C8" s="97" t="s">
        <v>247</v>
      </c>
      <c r="D8" s="98" t="s">
        <v>242</v>
      </c>
      <c r="E8" s="98" t="s">
        <v>231</v>
      </c>
      <c r="F8" s="99">
        <v>5</v>
      </c>
      <c r="G8" s="99">
        <v>2</v>
      </c>
      <c r="H8" s="99">
        <f t="shared" si="0"/>
        <v>10</v>
      </c>
      <c r="I8" s="100">
        <v>0.2</v>
      </c>
      <c r="J8" s="101">
        <v>6000</v>
      </c>
      <c r="K8" s="102">
        <v>1</v>
      </c>
      <c r="L8" s="102" t="s">
        <v>248</v>
      </c>
      <c r="M8" s="102" t="s">
        <v>260</v>
      </c>
      <c r="N8" s="103" t="s">
        <v>234</v>
      </c>
      <c r="O8" s="104" t="s">
        <v>235</v>
      </c>
      <c r="P8" s="105" t="s">
        <v>236</v>
      </c>
      <c r="Q8" s="104" t="s">
        <v>244</v>
      </c>
      <c r="R8" s="107">
        <f ca="1">TODAY()-5</f>
        <v>46080</v>
      </c>
      <c r="S8" s="108" t="s">
        <v>238</v>
      </c>
    </row>
    <row r="9" spans="1:19" ht="102">
      <c r="A9" s="97" t="s">
        <v>261</v>
      </c>
      <c r="B9" s="97" t="s">
        <v>240</v>
      </c>
      <c r="C9" s="97" t="s">
        <v>229</v>
      </c>
      <c r="D9" s="98" t="s">
        <v>230</v>
      </c>
      <c r="E9" s="98" t="s">
        <v>231</v>
      </c>
      <c r="F9" s="99">
        <v>4</v>
      </c>
      <c r="G9" s="99">
        <v>4</v>
      </c>
      <c r="H9" s="99">
        <f t="shared" si="0"/>
        <v>16</v>
      </c>
      <c r="I9" s="100">
        <v>0.3</v>
      </c>
      <c r="J9" s="101">
        <v>10000</v>
      </c>
      <c r="K9" s="102">
        <v>1</v>
      </c>
      <c r="L9" s="102" t="s">
        <v>232</v>
      </c>
      <c r="M9" s="102" t="s">
        <v>262</v>
      </c>
      <c r="N9" s="103" t="s">
        <v>234</v>
      </c>
      <c r="O9" s="104" t="s">
        <v>2</v>
      </c>
      <c r="P9" s="105" t="s">
        <v>236</v>
      </c>
      <c r="Q9" s="104" t="s">
        <v>250</v>
      </c>
      <c r="R9" s="107">
        <f ca="1">TODAY()</f>
        <v>46085</v>
      </c>
      <c r="S9" s="108" t="s">
        <v>238</v>
      </c>
    </row>
    <row r="10" spans="1:19" ht="102">
      <c r="A10" s="97" t="s">
        <v>263</v>
      </c>
      <c r="B10" s="97" t="s">
        <v>246</v>
      </c>
      <c r="C10" s="97" t="s">
        <v>241</v>
      </c>
      <c r="D10" s="98" t="s">
        <v>242</v>
      </c>
      <c r="E10" s="98" t="s">
        <v>231</v>
      </c>
      <c r="F10" s="99">
        <v>5</v>
      </c>
      <c r="G10" s="99">
        <v>5</v>
      </c>
      <c r="H10" s="99">
        <f t="shared" si="0"/>
        <v>25</v>
      </c>
      <c r="I10" s="100">
        <v>0.4</v>
      </c>
      <c r="J10" s="101">
        <v>2000</v>
      </c>
      <c r="K10" s="102">
        <v>1</v>
      </c>
      <c r="L10" s="102" t="s">
        <v>243</v>
      </c>
      <c r="M10" s="102" t="s">
        <v>233</v>
      </c>
      <c r="N10" s="103" t="s">
        <v>234</v>
      </c>
      <c r="O10" s="104" t="s">
        <v>3</v>
      </c>
      <c r="P10" s="105" t="s">
        <v>236</v>
      </c>
      <c r="Q10" s="104" t="s">
        <v>4</v>
      </c>
      <c r="R10" s="107">
        <f ca="1">TODAY()+5</f>
        <v>46090</v>
      </c>
      <c r="S10" s="108" t="s">
        <v>238</v>
      </c>
    </row>
    <row r="11" spans="1:19" ht="102">
      <c r="A11" s="97" t="s">
        <v>264</v>
      </c>
      <c r="B11" s="97" t="s">
        <v>252</v>
      </c>
      <c r="C11" s="97" t="s">
        <v>247</v>
      </c>
      <c r="D11" s="98" t="s">
        <v>230</v>
      </c>
      <c r="E11" s="98" t="s">
        <v>231</v>
      </c>
      <c r="F11" s="99">
        <v>1</v>
      </c>
      <c r="G11" s="99">
        <v>2</v>
      </c>
      <c r="H11" s="99">
        <f t="shared" si="0"/>
        <v>2</v>
      </c>
      <c r="I11" s="100">
        <v>0.5</v>
      </c>
      <c r="J11" s="101">
        <v>8000</v>
      </c>
      <c r="K11" s="102">
        <v>1</v>
      </c>
      <c r="L11" s="102" t="s">
        <v>248</v>
      </c>
      <c r="M11" s="102" t="s">
        <v>249</v>
      </c>
      <c r="N11" s="103" t="s">
        <v>234</v>
      </c>
      <c r="O11" s="104" t="s">
        <v>254</v>
      </c>
      <c r="P11" s="105" t="s">
        <v>236</v>
      </c>
      <c r="Q11" s="104" t="s">
        <v>237</v>
      </c>
      <c r="R11" s="107">
        <f ca="1">TODAY()-5</f>
        <v>46080</v>
      </c>
      <c r="S11" s="108" t="s">
        <v>238</v>
      </c>
    </row>
    <row r="12" spans="1:19" ht="102">
      <c r="A12" s="97" t="s">
        <v>265</v>
      </c>
      <c r="B12" s="97" t="s">
        <v>266</v>
      </c>
      <c r="C12" s="97" t="s">
        <v>229</v>
      </c>
      <c r="D12" s="98" t="s">
        <v>242</v>
      </c>
      <c r="E12" s="98" t="s">
        <v>231</v>
      </c>
      <c r="F12" s="99">
        <v>1</v>
      </c>
      <c r="G12" s="99">
        <v>2</v>
      </c>
      <c r="H12" s="99">
        <f t="shared" si="0"/>
        <v>2</v>
      </c>
      <c r="I12" s="100">
        <v>0.2</v>
      </c>
      <c r="J12" s="101">
        <v>3000</v>
      </c>
      <c r="K12" s="102">
        <v>1</v>
      </c>
      <c r="L12" s="102" t="s">
        <v>232</v>
      </c>
      <c r="M12" s="102" t="s">
        <v>253</v>
      </c>
      <c r="N12" s="103" t="s">
        <v>234</v>
      </c>
      <c r="O12" s="104" t="s">
        <v>257</v>
      </c>
      <c r="P12" s="105" t="s">
        <v>236</v>
      </c>
      <c r="Q12" s="104" t="s">
        <v>244</v>
      </c>
      <c r="R12" s="107">
        <f ca="1">TODAY()</f>
        <v>46085</v>
      </c>
      <c r="S12" s="108" t="s">
        <v>238</v>
      </c>
    </row>
    <row r="13" spans="1:19" ht="102">
      <c r="A13" s="97" t="s">
        <v>267</v>
      </c>
      <c r="B13" s="97" t="s">
        <v>259</v>
      </c>
      <c r="C13" s="97" t="s">
        <v>241</v>
      </c>
      <c r="D13" s="98" t="s">
        <v>230</v>
      </c>
      <c r="E13" s="98" t="s">
        <v>231</v>
      </c>
      <c r="F13" s="99">
        <v>1</v>
      </c>
      <c r="G13" s="99">
        <v>2</v>
      </c>
      <c r="H13" s="99">
        <f t="shared" si="0"/>
        <v>2</v>
      </c>
      <c r="I13" s="100">
        <v>0.3</v>
      </c>
      <c r="J13" s="101">
        <v>3500</v>
      </c>
      <c r="K13" s="102">
        <v>1</v>
      </c>
      <c r="L13" s="102" t="s">
        <v>243</v>
      </c>
      <c r="M13" s="102" t="s">
        <v>233</v>
      </c>
      <c r="N13" s="103" t="s">
        <v>234</v>
      </c>
      <c r="O13" s="104" t="s">
        <v>235</v>
      </c>
      <c r="P13" s="105" t="s">
        <v>236</v>
      </c>
      <c r="Q13" s="104" t="s">
        <v>250</v>
      </c>
      <c r="R13" s="107">
        <f ca="1">TODAY()+5</f>
        <v>46090</v>
      </c>
      <c r="S13" s="108" t="s">
        <v>238</v>
      </c>
    </row>
    <row r="14" spans="1:19" ht="102">
      <c r="A14" s="97" t="s">
        <v>268</v>
      </c>
      <c r="B14" s="97" t="s">
        <v>240</v>
      </c>
      <c r="C14" s="97" t="s">
        <v>247</v>
      </c>
      <c r="D14" s="98" t="s">
        <v>242</v>
      </c>
      <c r="E14" s="98" t="s">
        <v>231</v>
      </c>
      <c r="F14" s="99">
        <v>1</v>
      </c>
      <c r="G14" s="99">
        <v>2</v>
      </c>
      <c r="H14" s="99">
        <f t="shared" si="0"/>
        <v>2</v>
      </c>
      <c r="I14" s="100">
        <v>0.4</v>
      </c>
      <c r="J14" s="101">
        <v>6480</v>
      </c>
      <c r="K14" s="102">
        <v>1</v>
      </c>
      <c r="L14" s="102" t="s">
        <v>248</v>
      </c>
      <c r="M14" s="102" t="s">
        <v>269</v>
      </c>
      <c r="N14" s="103" t="s">
        <v>234</v>
      </c>
      <c r="O14" s="104" t="s">
        <v>2</v>
      </c>
      <c r="P14" s="105" t="s">
        <v>236</v>
      </c>
      <c r="Q14" s="104" t="s">
        <v>4</v>
      </c>
      <c r="R14" s="107">
        <f ca="1">TODAY()-5</f>
        <v>46080</v>
      </c>
      <c r="S14" s="108" t="s">
        <v>238</v>
      </c>
    </row>
    <row r="15" spans="1:19" ht="102">
      <c r="A15" s="97" t="s">
        <v>270</v>
      </c>
      <c r="B15" s="97" t="s">
        <v>246</v>
      </c>
      <c r="C15" s="97" t="s">
        <v>229</v>
      </c>
      <c r="D15" s="98" t="s">
        <v>230</v>
      </c>
      <c r="E15" s="98" t="s">
        <v>231</v>
      </c>
      <c r="F15" s="99">
        <v>1</v>
      </c>
      <c r="G15" s="99">
        <v>3</v>
      </c>
      <c r="H15" s="99">
        <f t="shared" si="0"/>
        <v>3</v>
      </c>
      <c r="I15" s="100">
        <v>0.5</v>
      </c>
      <c r="J15" s="101">
        <v>6500</v>
      </c>
      <c r="K15" s="102">
        <v>1</v>
      </c>
      <c r="L15" s="102" t="s">
        <v>232</v>
      </c>
      <c r="M15" s="102" t="s">
        <v>269</v>
      </c>
      <c r="N15" s="103" t="s">
        <v>234</v>
      </c>
      <c r="O15" s="104" t="s">
        <v>3</v>
      </c>
      <c r="P15" s="105" t="s">
        <v>236</v>
      </c>
      <c r="Q15" s="104" t="s">
        <v>237</v>
      </c>
      <c r="R15" s="107">
        <f ca="1">TODAY()</f>
        <v>46085</v>
      </c>
      <c r="S15" s="108" t="s">
        <v>238</v>
      </c>
    </row>
    <row r="16" spans="1:19" ht="102">
      <c r="A16" s="97" t="s">
        <v>271</v>
      </c>
      <c r="B16" s="97" t="s">
        <v>252</v>
      </c>
      <c r="C16" s="97" t="s">
        <v>241</v>
      </c>
      <c r="D16" s="98" t="s">
        <v>242</v>
      </c>
      <c r="E16" s="98" t="s">
        <v>231</v>
      </c>
      <c r="F16" s="99">
        <v>5</v>
      </c>
      <c r="G16" s="99">
        <v>4</v>
      </c>
      <c r="H16" s="99">
        <f t="shared" si="0"/>
        <v>20</v>
      </c>
      <c r="I16" s="100">
        <v>0.2</v>
      </c>
      <c r="J16" s="101">
        <v>9000</v>
      </c>
      <c r="K16" s="102">
        <v>1</v>
      </c>
      <c r="L16" s="102" t="s">
        <v>243</v>
      </c>
      <c r="M16" s="102" t="s">
        <v>253</v>
      </c>
      <c r="N16" s="103" t="s">
        <v>234</v>
      </c>
      <c r="O16" s="104" t="s">
        <v>254</v>
      </c>
      <c r="P16" s="105" t="s">
        <v>236</v>
      </c>
      <c r="Q16" s="104" t="s">
        <v>244</v>
      </c>
      <c r="R16" s="107">
        <f ca="1">TODAY()+5</f>
        <v>46090</v>
      </c>
      <c r="S16" s="108" t="s">
        <v>238</v>
      </c>
    </row>
    <row r="17" spans="1:19" ht="102">
      <c r="A17" s="97" t="s">
        <v>272</v>
      </c>
      <c r="B17" s="97" t="s">
        <v>256</v>
      </c>
      <c r="C17" s="97" t="s">
        <v>247</v>
      </c>
      <c r="D17" s="98" t="s">
        <v>230</v>
      </c>
      <c r="E17" s="98" t="s">
        <v>231</v>
      </c>
      <c r="F17" s="99">
        <v>4</v>
      </c>
      <c r="G17" s="99">
        <v>3</v>
      </c>
      <c r="H17" s="99">
        <f t="shared" si="0"/>
        <v>12</v>
      </c>
      <c r="I17" s="100">
        <v>0.3</v>
      </c>
      <c r="J17" s="101">
        <v>8750</v>
      </c>
      <c r="K17" s="102">
        <v>1</v>
      </c>
      <c r="L17" s="102" t="s">
        <v>248</v>
      </c>
      <c r="M17" s="102" t="s">
        <v>253</v>
      </c>
      <c r="N17" s="103" t="s">
        <v>234</v>
      </c>
      <c r="O17" s="104" t="s">
        <v>257</v>
      </c>
      <c r="P17" s="105" t="s">
        <v>236</v>
      </c>
      <c r="Q17" s="104" t="s">
        <v>250</v>
      </c>
      <c r="R17" s="107">
        <f ca="1">TODAY()-5</f>
        <v>46080</v>
      </c>
      <c r="S17" s="108" t="s">
        <v>238</v>
      </c>
    </row>
    <row r="18" spans="1:19" ht="102">
      <c r="A18" s="97" t="s">
        <v>273</v>
      </c>
      <c r="B18" s="97" t="s">
        <v>259</v>
      </c>
      <c r="C18" s="97" t="s">
        <v>229</v>
      </c>
      <c r="D18" s="98" t="s">
        <v>242</v>
      </c>
      <c r="E18" s="98" t="s">
        <v>231</v>
      </c>
      <c r="F18" s="99">
        <v>5</v>
      </c>
      <c r="G18" s="99">
        <v>5</v>
      </c>
      <c r="H18" s="99">
        <f t="shared" si="0"/>
        <v>25</v>
      </c>
      <c r="I18" s="100">
        <v>0.4</v>
      </c>
      <c r="J18" s="101">
        <v>250</v>
      </c>
      <c r="K18" s="102">
        <v>1</v>
      </c>
      <c r="L18" s="102" t="s">
        <v>232</v>
      </c>
      <c r="M18" s="102" t="s">
        <v>233</v>
      </c>
      <c r="N18" s="103" t="s">
        <v>234</v>
      </c>
      <c r="O18" s="104" t="s">
        <v>235</v>
      </c>
      <c r="P18" s="105" t="s">
        <v>236</v>
      </c>
      <c r="Q18" s="104" t="s">
        <v>4</v>
      </c>
      <c r="R18" s="107">
        <f ca="1">TODAY()</f>
        <v>46085</v>
      </c>
      <c r="S18" s="108" t="s">
        <v>238</v>
      </c>
    </row>
    <row r="19" spans="1:19" ht="102">
      <c r="A19" s="97" t="s">
        <v>274</v>
      </c>
      <c r="B19" s="97" t="s">
        <v>240</v>
      </c>
      <c r="C19" s="97" t="s">
        <v>241</v>
      </c>
      <c r="D19" s="98" t="s">
        <v>230</v>
      </c>
      <c r="E19" s="98" t="s">
        <v>231</v>
      </c>
      <c r="F19" s="99">
        <v>5</v>
      </c>
      <c r="G19" s="99">
        <v>5</v>
      </c>
      <c r="H19" s="99">
        <f t="shared" si="0"/>
        <v>25</v>
      </c>
      <c r="I19" s="100">
        <v>0.5</v>
      </c>
      <c r="J19" s="101">
        <v>100</v>
      </c>
      <c r="K19" s="102">
        <v>1</v>
      </c>
      <c r="L19" s="102" t="s">
        <v>243</v>
      </c>
      <c r="M19" s="102" t="s">
        <v>269</v>
      </c>
      <c r="N19" s="103" t="s">
        <v>234</v>
      </c>
      <c r="O19" s="104" t="s">
        <v>2</v>
      </c>
      <c r="P19" s="105" t="s">
        <v>236</v>
      </c>
      <c r="Q19" s="104" t="s">
        <v>237</v>
      </c>
      <c r="R19" s="107">
        <f ca="1">TODAY()+5</f>
        <v>46090</v>
      </c>
      <c r="S19" s="108" t="s">
        <v>238</v>
      </c>
    </row>
    <row r="20" spans="1:19" ht="102">
      <c r="A20" s="97" t="s">
        <v>275</v>
      </c>
      <c r="B20" s="97" t="s">
        <v>246</v>
      </c>
      <c r="C20" s="97" t="s">
        <v>247</v>
      </c>
      <c r="D20" s="98" t="s">
        <v>242</v>
      </c>
      <c r="E20" s="98" t="s">
        <v>231</v>
      </c>
      <c r="F20" s="99">
        <v>5</v>
      </c>
      <c r="G20" s="99">
        <v>5</v>
      </c>
      <c r="H20" s="99">
        <f t="shared" si="0"/>
        <v>25</v>
      </c>
      <c r="I20" s="100">
        <v>0.2</v>
      </c>
      <c r="J20" s="101">
        <v>600</v>
      </c>
      <c r="K20" s="102">
        <v>1</v>
      </c>
      <c r="L20" s="102" t="s">
        <v>248</v>
      </c>
      <c r="M20" s="102" t="s">
        <v>249</v>
      </c>
      <c r="N20" s="103" t="s">
        <v>234</v>
      </c>
      <c r="O20" s="104" t="s">
        <v>3</v>
      </c>
      <c r="P20" s="105" t="s">
        <v>236</v>
      </c>
      <c r="Q20" s="104" t="s">
        <v>244</v>
      </c>
      <c r="R20" s="107">
        <f ca="1">TODAY()-5</f>
        <v>46080</v>
      </c>
      <c r="S20" s="108" t="s">
        <v>238</v>
      </c>
    </row>
    <row r="21" spans="1:19" ht="102">
      <c r="A21" s="97" t="s">
        <v>276</v>
      </c>
      <c r="B21" s="97" t="s">
        <v>252</v>
      </c>
      <c r="C21" s="97" t="s">
        <v>229</v>
      </c>
      <c r="D21" s="98" t="s">
        <v>230</v>
      </c>
      <c r="E21" s="98" t="s">
        <v>231</v>
      </c>
      <c r="F21" s="99">
        <v>5</v>
      </c>
      <c r="G21" s="99">
        <v>4</v>
      </c>
      <c r="H21" s="99">
        <f t="shared" si="0"/>
        <v>20</v>
      </c>
      <c r="I21" s="100">
        <v>0.3</v>
      </c>
      <c r="J21" s="101">
        <v>13000</v>
      </c>
      <c r="K21" s="102">
        <v>1</v>
      </c>
      <c r="L21" s="102" t="s">
        <v>232</v>
      </c>
      <c r="M21" s="102" t="s">
        <v>260</v>
      </c>
      <c r="N21" s="103" t="s">
        <v>234</v>
      </c>
      <c r="O21" s="104" t="s">
        <v>254</v>
      </c>
      <c r="P21" s="105" t="s">
        <v>236</v>
      </c>
      <c r="Q21" s="104" t="s">
        <v>250</v>
      </c>
      <c r="R21" s="107">
        <f ca="1">TODAY()</f>
        <v>46085</v>
      </c>
      <c r="S21" s="108" t="s">
        <v>238</v>
      </c>
    </row>
    <row r="22" spans="1:19" ht="102">
      <c r="A22" s="97" t="s">
        <v>277</v>
      </c>
      <c r="B22" s="97" t="s">
        <v>266</v>
      </c>
      <c r="C22" s="97" t="s">
        <v>241</v>
      </c>
      <c r="D22" s="98" t="s">
        <v>242</v>
      </c>
      <c r="E22" s="98" t="s">
        <v>231</v>
      </c>
      <c r="F22" s="99">
        <v>5</v>
      </c>
      <c r="G22" s="99">
        <v>5</v>
      </c>
      <c r="H22" s="99">
        <f t="shared" si="0"/>
        <v>25</v>
      </c>
      <c r="I22" s="100">
        <v>0.4</v>
      </c>
      <c r="J22" s="101">
        <v>26000</v>
      </c>
      <c r="K22" s="102">
        <v>1</v>
      </c>
      <c r="L22" s="102" t="s">
        <v>243</v>
      </c>
      <c r="M22" s="102" t="s">
        <v>233</v>
      </c>
      <c r="N22" s="103" t="s">
        <v>234</v>
      </c>
      <c r="O22" s="104" t="s">
        <v>257</v>
      </c>
      <c r="P22" s="105" t="s">
        <v>236</v>
      </c>
      <c r="Q22" s="104" t="s">
        <v>4</v>
      </c>
      <c r="R22" s="107">
        <f ca="1">TODAY()+5</f>
        <v>46090</v>
      </c>
      <c r="S22" s="108" t="s">
        <v>238</v>
      </c>
    </row>
    <row r="23" spans="1:19" ht="102">
      <c r="A23" s="97" t="s">
        <v>278</v>
      </c>
      <c r="B23" s="97" t="s">
        <v>259</v>
      </c>
      <c r="C23" s="97" t="s">
        <v>247</v>
      </c>
      <c r="D23" s="98" t="s">
        <v>230</v>
      </c>
      <c r="E23" s="98" t="s">
        <v>231</v>
      </c>
      <c r="F23" s="99">
        <v>5</v>
      </c>
      <c r="G23" s="99">
        <v>5</v>
      </c>
      <c r="H23" s="99">
        <f t="shared" si="0"/>
        <v>25</v>
      </c>
      <c r="I23" s="100">
        <v>0.5</v>
      </c>
      <c r="J23" s="101">
        <v>14500</v>
      </c>
      <c r="K23" s="102">
        <v>1</v>
      </c>
      <c r="L23" s="102" t="s">
        <v>248</v>
      </c>
      <c r="M23" s="102" t="s">
        <v>279</v>
      </c>
      <c r="N23" s="103" t="s">
        <v>234</v>
      </c>
      <c r="O23" s="104" t="s">
        <v>235</v>
      </c>
      <c r="P23" s="105" t="s">
        <v>236</v>
      </c>
      <c r="Q23" s="104" t="s">
        <v>237</v>
      </c>
      <c r="R23" s="107">
        <f ca="1">TODAY()-5</f>
        <v>46080</v>
      </c>
      <c r="S23" s="108" t="s">
        <v>238</v>
      </c>
    </row>
    <row r="24" spans="1:19" ht="102">
      <c r="A24" s="97" t="s">
        <v>280</v>
      </c>
      <c r="B24" s="97" t="s">
        <v>240</v>
      </c>
      <c r="C24" s="97" t="s">
        <v>229</v>
      </c>
      <c r="D24" s="98" t="s">
        <v>242</v>
      </c>
      <c r="E24" s="98" t="s">
        <v>231</v>
      </c>
      <c r="F24" s="99">
        <v>5</v>
      </c>
      <c r="G24" s="99">
        <v>5</v>
      </c>
      <c r="H24" s="99">
        <f t="shared" si="0"/>
        <v>25</v>
      </c>
      <c r="I24" s="100">
        <v>0.2</v>
      </c>
      <c r="J24" s="101">
        <v>18000</v>
      </c>
      <c r="K24" s="102">
        <v>1</v>
      </c>
      <c r="L24" s="102" t="s">
        <v>232</v>
      </c>
      <c r="M24" s="102" t="s">
        <v>253</v>
      </c>
      <c r="N24" s="103" t="s">
        <v>234</v>
      </c>
      <c r="O24" s="104" t="s">
        <v>2</v>
      </c>
      <c r="P24" s="105" t="s">
        <v>236</v>
      </c>
      <c r="Q24" s="104" t="s">
        <v>244</v>
      </c>
      <c r="R24" s="107">
        <f ca="1">TODAY()</f>
        <v>46085</v>
      </c>
      <c r="S24" s="108" t="s">
        <v>238</v>
      </c>
    </row>
    <row r="25" spans="1:19" ht="102">
      <c r="A25" s="97" t="s">
        <v>281</v>
      </c>
      <c r="B25" s="97" t="s">
        <v>246</v>
      </c>
      <c r="C25" s="97" t="s">
        <v>241</v>
      </c>
      <c r="D25" s="98" t="s">
        <v>230</v>
      </c>
      <c r="E25" s="98" t="s">
        <v>231</v>
      </c>
      <c r="F25" s="99">
        <v>5</v>
      </c>
      <c r="G25" s="99">
        <v>5</v>
      </c>
      <c r="H25" s="99">
        <f t="shared" si="0"/>
        <v>25</v>
      </c>
      <c r="I25" s="100">
        <v>0.3</v>
      </c>
      <c r="J25" s="101">
        <v>21500</v>
      </c>
      <c r="K25" s="102">
        <v>1</v>
      </c>
      <c r="L25" s="102" t="s">
        <v>243</v>
      </c>
      <c r="M25" s="102" t="s">
        <v>249</v>
      </c>
      <c r="N25" s="103" t="s">
        <v>234</v>
      </c>
      <c r="O25" s="104" t="s">
        <v>3</v>
      </c>
      <c r="P25" s="105" t="s">
        <v>236</v>
      </c>
      <c r="Q25" s="104" t="s">
        <v>250</v>
      </c>
      <c r="R25" s="107">
        <f ca="1">TODAY()+5</f>
        <v>46090</v>
      </c>
      <c r="S25" s="108" t="s">
        <v>238</v>
      </c>
    </row>
    <row r="26" spans="1:19" ht="102">
      <c r="A26" s="97" t="s">
        <v>282</v>
      </c>
      <c r="B26" s="97" t="s">
        <v>252</v>
      </c>
      <c r="C26" s="97" t="s">
        <v>247</v>
      </c>
      <c r="D26" s="98" t="s">
        <v>242</v>
      </c>
      <c r="E26" s="98" t="s">
        <v>231</v>
      </c>
      <c r="F26" s="99">
        <v>5</v>
      </c>
      <c r="G26" s="99">
        <v>5</v>
      </c>
      <c r="H26" s="99">
        <f t="shared" si="0"/>
        <v>25</v>
      </c>
      <c r="I26" s="100">
        <v>0.4</v>
      </c>
      <c r="J26" s="101">
        <v>1450</v>
      </c>
      <c r="K26" s="102">
        <v>1</v>
      </c>
      <c r="L26" s="102" t="s">
        <v>248</v>
      </c>
      <c r="M26" s="102" t="s">
        <v>260</v>
      </c>
      <c r="N26" s="103" t="s">
        <v>234</v>
      </c>
      <c r="O26" s="104" t="s">
        <v>254</v>
      </c>
      <c r="P26" s="105" t="s">
        <v>236</v>
      </c>
      <c r="Q26" s="104" t="s">
        <v>4</v>
      </c>
      <c r="R26" s="107">
        <f ca="1">TODAY()-5</f>
        <v>46080</v>
      </c>
      <c r="S26" s="108" t="s">
        <v>238</v>
      </c>
    </row>
    <row r="27" spans="1:19" ht="102">
      <c r="A27" s="97" t="s">
        <v>283</v>
      </c>
      <c r="B27" s="97" t="s">
        <v>266</v>
      </c>
      <c r="C27" s="97" t="s">
        <v>229</v>
      </c>
      <c r="D27" s="98" t="s">
        <v>230</v>
      </c>
      <c r="E27" s="98" t="s">
        <v>231</v>
      </c>
      <c r="F27" s="99">
        <v>5</v>
      </c>
      <c r="G27" s="99">
        <v>5</v>
      </c>
      <c r="H27" s="99">
        <f t="shared" si="0"/>
        <v>25</v>
      </c>
      <c r="I27" s="100">
        <v>0.5</v>
      </c>
      <c r="J27" s="101">
        <v>1000</v>
      </c>
      <c r="K27" s="102">
        <v>1</v>
      </c>
      <c r="L27" s="102" t="s">
        <v>232</v>
      </c>
      <c r="M27" s="102" t="s">
        <v>233</v>
      </c>
      <c r="N27" s="103" t="s">
        <v>234</v>
      </c>
      <c r="O27" s="104" t="s">
        <v>257</v>
      </c>
      <c r="P27" s="105" t="s">
        <v>236</v>
      </c>
      <c r="Q27" s="104" t="s">
        <v>237</v>
      </c>
      <c r="R27" s="107">
        <f ca="1">TODAY()</f>
        <v>46085</v>
      </c>
      <c r="S27" s="108" t="s">
        <v>238</v>
      </c>
    </row>
    <row r="28" spans="1:19" ht="102">
      <c r="A28" s="97" t="s">
        <v>284</v>
      </c>
      <c r="B28" s="97" t="s">
        <v>259</v>
      </c>
      <c r="C28" s="97" t="s">
        <v>241</v>
      </c>
      <c r="D28" s="98" t="s">
        <v>242</v>
      </c>
      <c r="E28" s="98" t="s">
        <v>231</v>
      </c>
      <c r="F28" s="99">
        <v>5</v>
      </c>
      <c r="G28" s="99">
        <v>5</v>
      </c>
      <c r="H28" s="99">
        <f t="shared" si="0"/>
        <v>25</v>
      </c>
      <c r="I28" s="100">
        <v>0.2</v>
      </c>
      <c r="J28" s="101">
        <v>6200</v>
      </c>
      <c r="K28" s="102">
        <v>1</v>
      </c>
      <c r="L28" s="102" t="s">
        <v>243</v>
      </c>
      <c r="M28" s="102" t="s">
        <v>279</v>
      </c>
      <c r="N28" s="103" t="s">
        <v>234</v>
      </c>
      <c r="O28" s="104" t="s">
        <v>235</v>
      </c>
      <c r="P28" s="105" t="s">
        <v>236</v>
      </c>
      <c r="Q28" s="104" t="s">
        <v>244</v>
      </c>
      <c r="R28" s="107">
        <f ca="1">TODAY()+5</f>
        <v>46090</v>
      </c>
      <c r="S28" s="108" t="s">
        <v>238</v>
      </c>
    </row>
    <row r="29" spans="1:19" ht="102">
      <c r="A29" s="97" t="s">
        <v>285</v>
      </c>
      <c r="B29" s="97" t="s">
        <v>240</v>
      </c>
      <c r="C29" s="97" t="s">
        <v>247</v>
      </c>
      <c r="D29" s="98" t="s">
        <v>230</v>
      </c>
      <c r="E29" s="98" t="s">
        <v>231</v>
      </c>
      <c r="F29" s="99">
        <v>5</v>
      </c>
      <c r="G29" s="99">
        <v>5</v>
      </c>
      <c r="H29" s="99">
        <f t="shared" si="0"/>
        <v>25</v>
      </c>
      <c r="I29" s="100">
        <v>0.3</v>
      </c>
      <c r="J29" s="101">
        <v>1000</v>
      </c>
      <c r="K29" s="102">
        <v>1</v>
      </c>
      <c r="L29" s="102" t="s">
        <v>248</v>
      </c>
      <c r="M29" s="102" t="s">
        <v>249</v>
      </c>
      <c r="N29" s="103" t="s">
        <v>234</v>
      </c>
      <c r="O29" s="104" t="s">
        <v>2</v>
      </c>
      <c r="P29" s="105" t="s">
        <v>236</v>
      </c>
      <c r="Q29" s="104" t="s">
        <v>250</v>
      </c>
      <c r="R29" s="107">
        <f ca="1">TODAY()-5</f>
        <v>46080</v>
      </c>
      <c r="S29" s="108" t="s">
        <v>238</v>
      </c>
    </row>
    <row r="30" spans="1:19" ht="102">
      <c r="A30" s="97" t="s">
        <v>286</v>
      </c>
      <c r="B30" s="97" t="s">
        <v>246</v>
      </c>
      <c r="C30" s="97" t="s">
        <v>229</v>
      </c>
      <c r="D30" s="98" t="s">
        <v>242</v>
      </c>
      <c r="E30" s="98" t="s">
        <v>231</v>
      </c>
      <c r="F30" s="99">
        <v>5</v>
      </c>
      <c r="G30" s="99">
        <v>5</v>
      </c>
      <c r="H30" s="99">
        <f t="shared" si="0"/>
        <v>25</v>
      </c>
      <c r="I30" s="100">
        <v>0.4</v>
      </c>
      <c r="J30" s="101">
        <v>1000</v>
      </c>
      <c r="K30" s="102">
        <v>1</v>
      </c>
      <c r="L30" s="102" t="s">
        <v>232</v>
      </c>
      <c r="M30" s="102" t="s">
        <v>260</v>
      </c>
      <c r="N30" s="103" t="s">
        <v>234</v>
      </c>
      <c r="O30" s="104" t="s">
        <v>3</v>
      </c>
      <c r="P30" s="105" t="s">
        <v>236</v>
      </c>
      <c r="Q30" s="104" t="s">
        <v>4</v>
      </c>
      <c r="R30" s="107">
        <f ca="1">TODAY()</f>
        <v>46085</v>
      </c>
      <c r="S30" s="108" t="s">
        <v>238</v>
      </c>
    </row>
    <row r="31" spans="1:19" ht="102">
      <c r="A31" s="97" t="s">
        <v>287</v>
      </c>
      <c r="B31" s="97" t="s">
        <v>252</v>
      </c>
      <c r="C31" s="97" t="s">
        <v>241</v>
      </c>
      <c r="D31" s="98" t="s">
        <v>230</v>
      </c>
      <c r="E31" s="98" t="s">
        <v>231</v>
      </c>
      <c r="F31" s="99">
        <v>5</v>
      </c>
      <c r="G31" s="99">
        <v>5</v>
      </c>
      <c r="H31" s="99">
        <f t="shared" si="0"/>
        <v>25</v>
      </c>
      <c r="I31" s="100">
        <v>0.5</v>
      </c>
      <c r="J31" s="101">
        <v>1000</v>
      </c>
      <c r="K31" s="102">
        <v>1</v>
      </c>
      <c r="L31" s="102" t="s">
        <v>243</v>
      </c>
      <c r="M31" s="102" t="s">
        <v>233</v>
      </c>
      <c r="N31" s="103" t="s">
        <v>234</v>
      </c>
      <c r="O31" s="104" t="s">
        <v>254</v>
      </c>
      <c r="P31" s="105" t="s">
        <v>236</v>
      </c>
      <c r="Q31" s="104" t="s">
        <v>237</v>
      </c>
      <c r="R31" s="107">
        <f ca="1">TODAY()+5</f>
        <v>46090</v>
      </c>
      <c r="S31" s="108" t="s">
        <v>238</v>
      </c>
    </row>
    <row r="32" spans="1:19" ht="102">
      <c r="A32" s="97" t="s">
        <v>288</v>
      </c>
      <c r="B32" s="97" t="s">
        <v>266</v>
      </c>
      <c r="C32" s="97" t="s">
        <v>247</v>
      </c>
      <c r="D32" s="98" t="s">
        <v>242</v>
      </c>
      <c r="E32" s="98" t="s">
        <v>231</v>
      </c>
      <c r="F32" s="99">
        <v>5</v>
      </c>
      <c r="G32" s="99">
        <v>5</v>
      </c>
      <c r="H32" s="99">
        <f t="shared" si="0"/>
        <v>25</v>
      </c>
      <c r="I32" s="100">
        <v>0.2</v>
      </c>
      <c r="J32" s="101">
        <v>1000</v>
      </c>
      <c r="K32" s="102">
        <v>1</v>
      </c>
      <c r="L32" s="102" t="s">
        <v>248</v>
      </c>
      <c r="M32" s="102" t="s">
        <v>279</v>
      </c>
      <c r="N32" s="103" t="s">
        <v>234</v>
      </c>
      <c r="O32" s="104" t="s">
        <v>257</v>
      </c>
      <c r="P32" s="105" t="s">
        <v>236</v>
      </c>
      <c r="Q32" s="104" t="s">
        <v>244</v>
      </c>
      <c r="R32" s="107">
        <f ca="1">TODAY()-5</f>
        <v>46080</v>
      </c>
      <c r="S32" s="108" t="s">
        <v>238</v>
      </c>
    </row>
    <row r="33" spans="1:19">
      <c r="A33" s="97"/>
      <c r="B33" s="97"/>
      <c r="C33" s="97"/>
      <c r="D33" s="98"/>
      <c r="E33" s="98"/>
      <c r="F33" s="99"/>
      <c r="G33" s="99"/>
      <c r="H33" s="99"/>
      <c r="I33" s="100"/>
      <c r="J33" s="101"/>
      <c r="K33" s="102"/>
      <c r="L33" s="102"/>
      <c r="M33" s="102"/>
      <c r="N33" s="103"/>
      <c r="O33" s="104"/>
      <c r="P33" s="105"/>
      <c r="Q33" s="104"/>
      <c r="R33" s="107"/>
      <c r="S33" s="108"/>
    </row>
    <row r="34" spans="1:19">
      <c r="A34" s="97"/>
      <c r="B34" s="97"/>
      <c r="C34" s="97"/>
      <c r="D34" s="98"/>
      <c r="E34" s="98"/>
      <c r="F34" s="99"/>
      <c r="G34" s="99"/>
      <c r="H34" s="99"/>
      <c r="I34" s="100"/>
      <c r="J34" s="101"/>
      <c r="K34" s="102"/>
      <c r="L34" s="102"/>
      <c r="M34" s="102"/>
      <c r="N34" s="103"/>
      <c r="O34" s="104"/>
      <c r="P34" s="105"/>
      <c r="Q34" s="104"/>
      <c r="R34" s="107"/>
      <c r="S34" s="108"/>
    </row>
    <row r="35" spans="1:19">
      <c r="A35" s="97"/>
      <c r="B35" s="97"/>
      <c r="C35" s="97"/>
      <c r="D35" s="98"/>
      <c r="E35" s="98"/>
      <c r="F35" s="99"/>
      <c r="G35" s="99"/>
      <c r="H35" s="99"/>
      <c r="I35" s="100"/>
      <c r="J35" s="101"/>
      <c r="K35" s="102"/>
      <c r="L35" s="102"/>
      <c r="M35" s="102"/>
      <c r="N35" s="103"/>
      <c r="O35" s="104"/>
      <c r="P35" s="105"/>
      <c r="Q35" s="104"/>
      <c r="R35" s="107"/>
      <c r="S35" s="108"/>
    </row>
    <row r="36" spans="1:19">
      <c r="A36" s="97"/>
      <c r="B36" s="97"/>
      <c r="C36" s="97"/>
      <c r="D36" s="98"/>
      <c r="E36" s="98"/>
      <c r="F36" s="99"/>
      <c r="G36" s="99"/>
      <c r="H36" s="99"/>
      <c r="I36" s="100"/>
      <c r="J36" s="101"/>
      <c r="K36" s="102"/>
      <c r="L36" s="102"/>
      <c r="M36" s="102"/>
      <c r="N36" s="103"/>
      <c r="O36" s="104"/>
      <c r="P36" s="105"/>
      <c r="Q36" s="104"/>
      <c r="R36" s="107"/>
      <c r="S36" s="108"/>
    </row>
    <row r="37" spans="1:19">
      <c r="A37" s="97"/>
      <c r="B37" s="97"/>
      <c r="C37" s="97"/>
      <c r="D37" s="98"/>
      <c r="E37" s="98"/>
      <c r="F37" s="99"/>
      <c r="G37" s="99"/>
      <c r="H37" s="99"/>
      <c r="I37" s="100"/>
      <c r="J37" s="101"/>
      <c r="K37" s="102"/>
      <c r="L37" s="102"/>
      <c r="M37" s="102"/>
      <c r="N37" s="103"/>
      <c r="O37" s="104"/>
      <c r="P37" s="105"/>
      <c r="Q37" s="104"/>
      <c r="R37" s="107"/>
      <c r="S37" s="108"/>
    </row>
    <row r="38" spans="1:19">
      <c r="A38" s="97"/>
      <c r="B38" s="97"/>
      <c r="C38" s="97"/>
      <c r="D38" s="98"/>
      <c r="E38" s="98"/>
      <c r="F38" s="99"/>
      <c r="G38" s="99"/>
      <c r="H38" s="99"/>
      <c r="I38" s="100"/>
      <c r="J38" s="101"/>
      <c r="K38" s="102"/>
      <c r="L38" s="102"/>
      <c r="M38" s="102"/>
      <c r="N38" s="103"/>
      <c r="O38" s="104"/>
      <c r="P38" s="105"/>
      <c r="Q38" s="104"/>
      <c r="R38" s="107"/>
      <c r="S38" s="108"/>
    </row>
    <row r="39" spans="1:19">
      <c r="A39" s="97"/>
      <c r="B39" s="97"/>
      <c r="C39" s="97"/>
      <c r="D39" s="98"/>
      <c r="E39" s="98"/>
      <c r="F39" s="99"/>
      <c r="G39" s="99"/>
      <c r="H39" s="99"/>
      <c r="I39" s="100"/>
      <c r="J39" s="101"/>
      <c r="K39" s="102"/>
      <c r="L39" s="102"/>
      <c r="M39" s="102"/>
      <c r="N39" s="103"/>
      <c r="O39" s="104"/>
      <c r="P39" s="105"/>
      <c r="Q39" s="104"/>
      <c r="R39" s="107"/>
      <c r="S39" s="108"/>
    </row>
    <row r="40" spans="1:19">
      <c r="A40" s="97"/>
      <c r="B40" s="97"/>
      <c r="C40" s="97"/>
      <c r="D40" s="98"/>
      <c r="E40" s="98"/>
      <c r="F40" s="99"/>
      <c r="G40" s="99"/>
      <c r="H40" s="99"/>
      <c r="I40" s="100"/>
      <c r="J40" s="101"/>
      <c r="K40" s="102"/>
      <c r="L40" s="102"/>
      <c r="M40" s="102"/>
      <c r="N40" s="103"/>
      <c r="O40" s="104"/>
      <c r="P40" s="105"/>
      <c r="Q40" s="104"/>
      <c r="R40" s="107"/>
      <c r="S40" s="108"/>
    </row>
    <row r="41" spans="1:19">
      <c r="A41" s="97"/>
      <c r="B41" s="97"/>
      <c r="C41" s="97"/>
      <c r="D41" s="98"/>
      <c r="E41" s="98"/>
      <c r="F41" s="99"/>
      <c r="G41" s="99"/>
      <c r="H41" s="99"/>
      <c r="I41" s="100"/>
      <c r="J41" s="101"/>
      <c r="K41" s="102"/>
      <c r="L41" s="102"/>
      <c r="M41" s="102"/>
      <c r="N41" s="103"/>
      <c r="O41" s="104"/>
      <c r="P41" s="105"/>
      <c r="Q41" s="104"/>
      <c r="R41" s="107"/>
      <c r="S41" s="108"/>
    </row>
    <row r="42" spans="1:19">
      <c r="A42" s="97"/>
      <c r="B42" s="97"/>
      <c r="C42" s="97"/>
      <c r="D42" s="98"/>
      <c r="E42" s="98"/>
      <c r="F42" s="99"/>
      <c r="G42" s="99"/>
      <c r="H42" s="99"/>
      <c r="I42" s="100"/>
      <c r="J42" s="101"/>
      <c r="K42" s="102"/>
      <c r="L42" s="102"/>
      <c r="M42" s="102"/>
      <c r="N42" s="103"/>
      <c r="O42" s="104"/>
      <c r="P42" s="105"/>
      <c r="Q42" s="104"/>
      <c r="R42" s="107"/>
      <c r="S42" s="108"/>
    </row>
    <row r="43" spans="1:19">
      <c r="A43" s="97"/>
      <c r="B43" s="97"/>
      <c r="C43" s="97"/>
      <c r="D43" s="98"/>
      <c r="E43" s="98"/>
      <c r="F43" s="99"/>
      <c r="G43" s="99"/>
      <c r="H43" s="99"/>
      <c r="I43" s="100"/>
      <c r="J43" s="101"/>
      <c r="K43" s="102"/>
      <c r="L43" s="102"/>
      <c r="M43" s="102"/>
      <c r="N43" s="103"/>
      <c r="O43" s="104"/>
      <c r="P43" s="105"/>
      <c r="Q43" s="104"/>
      <c r="R43" s="107"/>
      <c r="S43" s="108"/>
    </row>
    <row r="44" spans="1:19">
      <c r="A44" s="97"/>
      <c r="B44" s="97"/>
      <c r="C44" s="97"/>
      <c r="D44" s="98"/>
      <c r="E44" s="98"/>
      <c r="F44" s="99"/>
      <c r="G44" s="99"/>
      <c r="H44" s="99"/>
      <c r="I44" s="100"/>
      <c r="J44" s="101"/>
      <c r="K44" s="102"/>
      <c r="L44" s="102"/>
      <c r="M44" s="102"/>
      <c r="N44" s="103"/>
      <c r="O44" s="104"/>
      <c r="P44" s="105"/>
      <c r="Q44" s="104"/>
      <c r="R44" s="107"/>
      <c r="S44" s="108"/>
    </row>
    <row r="45" spans="1:19">
      <c r="A45" s="97"/>
      <c r="B45" s="97"/>
      <c r="C45" s="97"/>
      <c r="D45" s="98"/>
      <c r="E45" s="98"/>
      <c r="F45" s="99"/>
      <c r="G45" s="99"/>
      <c r="H45" s="99"/>
      <c r="I45" s="100"/>
      <c r="J45" s="101"/>
      <c r="K45" s="102"/>
      <c r="L45" s="102"/>
      <c r="M45" s="102"/>
      <c r="N45" s="103"/>
      <c r="O45" s="104"/>
      <c r="P45" s="105"/>
      <c r="Q45" s="104"/>
      <c r="R45" s="107"/>
      <c r="S45" s="108"/>
    </row>
    <row r="46" spans="1:19">
      <c r="A46" s="97"/>
      <c r="B46" s="97"/>
      <c r="C46" s="97"/>
      <c r="D46" s="98"/>
      <c r="E46" s="98"/>
      <c r="F46" s="99"/>
      <c r="G46" s="99"/>
      <c r="H46" s="99"/>
      <c r="I46" s="100"/>
      <c r="J46" s="101"/>
      <c r="K46" s="102"/>
      <c r="L46" s="102"/>
      <c r="M46" s="102"/>
      <c r="N46" s="103"/>
      <c r="O46" s="104"/>
      <c r="P46" s="105"/>
      <c r="Q46" s="104"/>
      <c r="R46" s="107"/>
      <c r="S46" s="108"/>
    </row>
    <row r="47" spans="1:19">
      <c r="A47" s="97"/>
      <c r="B47" s="97"/>
      <c r="C47" s="97"/>
      <c r="D47" s="98"/>
      <c r="E47" s="98"/>
      <c r="F47" s="99"/>
      <c r="G47" s="99"/>
      <c r="H47" s="99"/>
      <c r="I47" s="100"/>
      <c r="J47" s="101"/>
      <c r="K47" s="102"/>
      <c r="L47" s="102"/>
      <c r="M47" s="102"/>
      <c r="N47" s="103"/>
      <c r="O47" s="104"/>
      <c r="P47" s="105"/>
      <c r="Q47" s="104"/>
      <c r="R47" s="107"/>
      <c r="S47" s="108"/>
    </row>
    <row r="48" spans="1:19">
      <c r="A48" s="97"/>
      <c r="B48" s="97"/>
      <c r="C48" s="97"/>
      <c r="D48" s="98"/>
      <c r="E48" s="98"/>
      <c r="F48" s="99"/>
      <c r="G48" s="99"/>
      <c r="H48" s="99"/>
      <c r="I48" s="100"/>
      <c r="J48" s="101"/>
      <c r="K48" s="102"/>
      <c r="L48" s="102"/>
      <c r="M48" s="102"/>
      <c r="N48" s="103"/>
      <c r="O48" s="104"/>
      <c r="P48" s="105"/>
      <c r="Q48" s="104"/>
      <c r="R48" s="107"/>
      <c r="S48" s="108"/>
    </row>
    <row r="49" spans="1:19">
      <c r="A49" s="97"/>
      <c r="B49" s="97"/>
      <c r="C49" s="97"/>
      <c r="D49" s="98"/>
      <c r="E49" s="98"/>
      <c r="F49" s="99"/>
      <c r="G49" s="99"/>
      <c r="H49" s="99"/>
      <c r="I49" s="100"/>
      <c r="J49" s="101"/>
      <c r="K49" s="102"/>
      <c r="L49" s="102"/>
      <c r="M49" s="102"/>
      <c r="N49" s="103"/>
      <c r="O49" s="104"/>
      <c r="P49" s="105"/>
      <c r="Q49" s="104"/>
      <c r="R49" s="107"/>
      <c r="S49" s="108"/>
    </row>
    <row r="50" spans="1:19">
      <c r="A50" s="97"/>
      <c r="B50" s="97"/>
      <c r="C50" s="97"/>
      <c r="D50" s="98"/>
      <c r="E50" s="98"/>
      <c r="F50" s="99"/>
      <c r="G50" s="99"/>
      <c r="H50" s="99"/>
      <c r="I50" s="100"/>
      <c r="J50" s="101"/>
      <c r="K50" s="102"/>
      <c r="L50" s="102"/>
      <c r="M50" s="102"/>
      <c r="N50" s="103"/>
      <c r="O50" s="104"/>
      <c r="P50" s="105"/>
      <c r="Q50" s="104"/>
      <c r="R50" s="107"/>
      <c r="S50" s="108"/>
    </row>
    <row r="51" spans="1:19">
      <c r="A51" s="97"/>
      <c r="B51" s="97"/>
      <c r="C51" s="97"/>
      <c r="D51" s="98"/>
      <c r="E51" s="98"/>
      <c r="F51" s="99"/>
      <c r="G51" s="99"/>
      <c r="H51" s="99"/>
      <c r="I51" s="100"/>
      <c r="J51" s="101"/>
      <c r="K51" s="102"/>
      <c r="L51" s="102"/>
      <c r="M51" s="102"/>
      <c r="N51" s="103"/>
      <c r="O51" s="104"/>
      <c r="P51" s="105"/>
      <c r="Q51" s="104"/>
      <c r="R51" s="107"/>
      <c r="S51" s="108"/>
    </row>
    <row r="52" spans="1:19">
      <c r="A52" s="97"/>
      <c r="B52" s="97"/>
      <c r="C52" s="97"/>
      <c r="D52" s="98"/>
      <c r="E52" s="98"/>
      <c r="F52" s="99"/>
      <c r="G52" s="99"/>
      <c r="H52" s="99"/>
      <c r="I52" s="100"/>
      <c r="J52" s="101"/>
      <c r="K52" s="102"/>
      <c r="L52" s="102"/>
      <c r="M52" s="102"/>
      <c r="N52" s="103"/>
      <c r="O52" s="104"/>
      <c r="P52" s="105"/>
      <c r="Q52" s="104"/>
      <c r="R52" s="107"/>
      <c r="S52" s="108"/>
    </row>
    <row r="53" spans="1:19">
      <c r="A53" s="97"/>
      <c r="B53" s="97"/>
      <c r="C53" s="97"/>
      <c r="D53" s="98"/>
      <c r="E53" s="98"/>
      <c r="F53" s="99"/>
      <c r="G53" s="99"/>
      <c r="H53" s="99"/>
      <c r="I53" s="100"/>
      <c r="J53" s="101"/>
      <c r="K53" s="102"/>
      <c r="L53" s="102"/>
      <c r="M53" s="102"/>
      <c r="N53" s="103"/>
      <c r="O53" s="104"/>
      <c r="P53" s="105"/>
      <c r="Q53" s="104"/>
      <c r="R53" s="107"/>
      <c r="S53" s="108"/>
    </row>
    <row r="54" spans="1:19">
      <c r="A54" s="97"/>
      <c r="B54" s="97"/>
      <c r="C54" s="97"/>
      <c r="D54" s="98"/>
      <c r="E54" s="98"/>
      <c r="F54" s="99"/>
      <c r="G54" s="99"/>
      <c r="H54" s="99"/>
      <c r="I54" s="100"/>
      <c r="J54" s="101"/>
      <c r="K54" s="102"/>
      <c r="L54" s="102"/>
      <c r="M54" s="102"/>
      <c r="N54" s="103"/>
      <c r="O54" s="104"/>
      <c r="P54" s="105"/>
      <c r="Q54" s="104"/>
      <c r="R54" s="107"/>
      <c r="S54" s="108"/>
    </row>
    <row r="55" spans="1:19">
      <c r="A55" s="97"/>
      <c r="B55" s="97"/>
      <c r="C55" s="97"/>
      <c r="D55" s="98"/>
      <c r="E55" s="98"/>
      <c r="F55" s="99"/>
      <c r="G55" s="99"/>
      <c r="H55" s="99"/>
      <c r="I55" s="100"/>
      <c r="J55" s="101"/>
      <c r="K55" s="102"/>
      <c r="L55" s="102"/>
      <c r="M55" s="102"/>
      <c r="N55" s="103"/>
      <c r="O55" s="104"/>
      <c r="P55" s="105"/>
      <c r="Q55" s="104"/>
      <c r="R55" s="107"/>
      <c r="S55" s="108"/>
    </row>
    <row r="56" spans="1:19">
      <c r="A56" s="97"/>
      <c r="B56" s="97"/>
      <c r="C56" s="97"/>
      <c r="D56" s="98"/>
      <c r="E56" s="98"/>
      <c r="F56" s="99"/>
      <c r="G56" s="99"/>
      <c r="H56" s="99"/>
      <c r="I56" s="100"/>
      <c r="J56" s="101"/>
      <c r="K56" s="102"/>
      <c r="L56" s="102"/>
      <c r="M56" s="102"/>
      <c r="N56" s="103"/>
      <c r="O56" s="104"/>
      <c r="P56" s="105"/>
      <c r="Q56" s="104"/>
      <c r="R56" s="107"/>
      <c r="S56" s="108"/>
    </row>
    <row r="57" spans="1:19">
      <c r="A57" s="97"/>
      <c r="B57" s="97"/>
      <c r="C57" s="97"/>
      <c r="D57" s="98"/>
      <c r="E57" s="98"/>
      <c r="F57" s="99"/>
      <c r="G57" s="99"/>
      <c r="H57" s="99"/>
      <c r="I57" s="100"/>
      <c r="J57" s="101"/>
      <c r="K57" s="102"/>
      <c r="L57" s="102"/>
      <c r="M57" s="102"/>
      <c r="N57" s="103"/>
      <c r="O57" s="104"/>
      <c r="P57" s="105"/>
      <c r="Q57" s="104"/>
      <c r="R57" s="107"/>
      <c r="S57" s="108"/>
    </row>
    <row r="58" spans="1:19">
      <c r="A58" s="97"/>
      <c r="B58" s="97"/>
      <c r="C58" s="97"/>
      <c r="D58" s="98"/>
      <c r="E58" s="98"/>
      <c r="F58" s="99"/>
      <c r="G58" s="99"/>
      <c r="H58" s="99"/>
      <c r="I58" s="100"/>
      <c r="J58" s="101"/>
      <c r="K58" s="102"/>
      <c r="L58" s="102"/>
      <c r="M58" s="102"/>
      <c r="N58" s="103"/>
      <c r="O58" s="104"/>
      <c r="P58" s="105"/>
      <c r="Q58" s="104"/>
      <c r="R58" s="107"/>
      <c r="S58" s="108"/>
    </row>
    <row r="59" spans="1:19">
      <c r="A59" s="97"/>
      <c r="B59" s="97"/>
      <c r="C59" s="97"/>
      <c r="D59" s="98"/>
      <c r="E59" s="98"/>
      <c r="F59" s="99"/>
      <c r="G59" s="99"/>
      <c r="H59" s="99"/>
      <c r="I59" s="100"/>
      <c r="J59" s="101"/>
      <c r="K59" s="102"/>
      <c r="L59" s="102"/>
      <c r="M59" s="102"/>
      <c r="N59" s="103"/>
      <c r="O59" s="104"/>
      <c r="P59" s="105"/>
      <c r="Q59" s="104"/>
      <c r="R59" s="107"/>
      <c r="S59" s="108"/>
    </row>
    <row r="60" spans="1:19">
      <c r="A60" s="97"/>
      <c r="B60" s="97"/>
      <c r="C60" s="97"/>
      <c r="D60" s="98"/>
      <c r="E60" s="98"/>
      <c r="F60" s="99"/>
      <c r="G60" s="99"/>
      <c r="H60" s="99"/>
      <c r="I60" s="100"/>
      <c r="J60" s="101"/>
      <c r="K60" s="102"/>
      <c r="L60" s="102"/>
      <c r="M60" s="102"/>
      <c r="N60" s="103"/>
      <c r="O60" s="104"/>
      <c r="P60" s="105"/>
      <c r="Q60" s="104"/>
      <c r="R60" s="107"/>
      <c r="S60" s="108"/>
    </row>
    <row r="61" spans="1:19">
      <c r="A61" s="97"/>
      <c r="B61" s="97"/>
      <c r="C61" s="97"/>
      <c r="D61" s="98"/>
      <c r="E61" s="98"/>
      <c r="F61" s="99"/>
      <c r="G61" s="99"/>
      <c r="H61" s="99"/>
      <c r="I61" s="100"/>
      <c r="J61" s="101"/>
      <c r="K61" s="102"/>
      <c r="L61" s="102"/>
      <c r="M61" s="102"/>
      <c r="N61" s="103"/>
      <c r="O61" s="104"/>
      <c r="P61" s="105"/>
      <c r="Q61" s="104"/>
      <c r="R61" s="107"/>
      <c r="S61" s="108"/>
    </row>
    <row r="62" spans="1:19">
      <c r="A62" s="97"/>
      <c r="B62" s="97"/>
      <c r="C62" s="97"/>
      <c r="D62" s="98"/>
      <c r="E62" s="98"/>
      <c r="F62" s="99"/>
      <c r="G62" s="99"/>
      <c r="H62" s="99"/>
      <c r="I62" s="100"/>
      <c r="J62" s="101"/>
      <c r="K62" s="102"/>
      <c r="L62" s="102"/>
      <c r="M62" s="102"/>
      <c r="N62" s="103"/>
      <c r="O62" s="104"/>
      <c r="P62" s="105"/>
      <c r="Q62" s="104"/>
      <c r="R62" s="107"/>
      <c r="S62" s="108"/>
    </row>
    <row r="63" spans="1:19">
      <c r="A63" s="97"/>
      <c r="B63" s="97"/>
      <c r="C63" s="97"/>
      <c r="D63" s="98"/>
      <c r="E63" s="98"/>
      <c r="F63" s="99"/>
      <c r="G63" s="99"/>
      <c r="H63" s="99"/>
      <c r="I63" s="100"/>
      <c r="J63" s="101"/>
      <c r="K63" s="102"/>
      <c r="L63" s="102"/>
      <c r="M63" s="102"/>
      <c r="N63" s="103"/>
      <c r="O63" s="104"/>
      <c r="P63" s="105"/>
      <c r="Q63" s="104"/>
      <c r="R63" s="107"/>
      <c r="S63" s="108"/>
    </row>
    <row r="64" spans="1:19">
      <c r="A64" s="97"/>
      <c r="B64" s="97"/>
      <c r="C64" s="97"/>
      <c r="D64" s="98"/>
      <c r="E64" s="98"/>
      <c r="F64" s="99"/>
      <c r="G64" s="99"/>
      <c r="H64" s="99"/>
      <c r="I64" s="100"/>
      <c r="J64" s="101"/>
      <c r="K64" s="102"/>
      <c r="L64" s="102"/>
      <c r="M64" s="102"/>
      <c r="N64" s="103"/>
      <c r="O64" s="104"/>
      <c r="P64" s="105"/>
      <c r="Q64" s="104"/>
      <c r="R64" s="107"/>
      <c r="S64" s="108"/>
    </row>
    <row r="65" spans="1:19">
      <c r="A65" s="97"/>
      <c r="B65" s="97"/>
      <c r="C65" s="97"/>
      <c r="D65" s="98"/>
      <c r="E65" s="98"/>
      <c r="F65" s="99"/>
      <c r="G65" s="99"/>
      <c r="H65" s="99"/>
      <c r="I65" s="100"/>
      <c r="J65" s="101"/>
      <c r="K65" s="102"/>
      <c r="L65" s="102"/>
      <c r="M65" s="102"/>
      <c r="N65" s="103"/>
      <c r="O65" s="104"/>
      <c r="P65" s="105"/>
      <c r="Q65" s="104"/>
      <c r="R65" s="107"/>
      <c r="S65" s="108"/>
    </row>
    <row r="66" spans="1:19">
      <c r="A66" s="97"/>
      <c r="B66" s="97"/>
      <c r="C66" s="97"/>
      <c r="D66" s="98"/>
      <c r="E66" s="98"/>
      <c r="F66" s="99"/>
      <c r="G66" s="99"/>
      <c r="H66" s="99"/>
      <c r="I66" s="100"/>
      <c r="J66" s="101"/>
      <c r="K66" s="102"/>
      <c r="L66" s="102"/>
      <c r="M66" s="102"/>
      <c r="N66" s="103"/>
      <c r="O66" s="104"/>
      <c r="P66" s="105"/>
      <c r="Q66" s="104"/>
      <c r="R66" s="107"/>
      <c r="S66" s="108"/>
    </row>
    <row r="67" spans="1:19">
      <c r="A67" s="97"/>
      <c r="B67" s="97"/>
      <c r="C67" s="97"/>
      <c r="D67" s="98"/>
      <c r="E67" s="98"/>
      <c r="F67" s="99"/>
      <c r="G67" s="99"/>
      <c r="H67" s="99"/>
      <c r="I67" s="100"/>
      <c r="J67" s="101"/>
      <c r="K67" s="102"/>
      <c r="L67" s="102"/>
      <c r="M67" s="102"/>
      <c r="N67" s="103"/>
      <c r="O67" s="104"/>
      <c r="P67" s="105"/>
      <c r="Q67" s="104"/>
      <c r="R67" s="107"/>
      <c r="S67" s="108"/>
    </row>
    <row r="68" spans="1:19">
      <c r="A68" s="97"/>
      <c r="B68" s="97"/>
      <c r="C68" s="97"/>
      <c r="D68" s="98"/>
      <c r="E68" s="98"/>
      <c r="F68" s="99"/>
      <c r="G68" s="99"/>
      <c r="H68" s="99"/>
      <c r="I68" s="100"/>
      <c r="J68" s="101"/>
      <c r="K68" s="102"/>
      <c r="L68" s="102"/>
      <c r="M68" s="102"/>
      <c r="N68" s="103"/>
      <c r="O68" s="104"/>
      <c r="P68" s="105"/>
      <c r="Q68" s="104"/>
      <c r="R68" s="107"/>
      <c r="S68" s="108"/>
    </row>
    <row r="69" spans="1:19">
      <c r="A69" s="97"/>
      <c r="B69" s="97"/>
      <c r="C69" s="97"/>
      <c r="D69" s="98"/>
      <c r="E69" s="98"/>
      <c r="F69" s="99"/>
      <c r="G69" s="99"/>
      <c r="H69" s="99"/>
      <c r="I69" s="100"/>
      <c r="J69" s="101"/>
      <c r="K69" s="102"/>
      <c r="L69" s="102"/>
      <c r="M69" s="102"/>
      <c r="N69" s="103"/>
      <c r="O69" s="104"/>
      <c r="P69" s="105"/>
      <c r="Q69" s="104"/>
      <c r="R69" s="107"/>
      <c r="S69" s="108"/>
    </row>
    <row r="70" spans="1:19">
      <c r="A70" s="97"/>
      <c r="B70" s="97"/>
      <c r="C70" s="97"/>
      <c r="D70" s="98"/>
      <c r="E70" s="98"/>
      <c r="F70" s="99"/>
      <c r="G70" s="99"/>
      <c r="H70" s="99"/>
      <c r="I70" s="100"/>
      <c r="J70" s="101"/>
      <c r="K70" s="102"/>
      <c r="L70" s="102"/>
      <c r="M70" s="102"/>
      <c r="N70" s="103"/>
      <c r="O70" s="104"/>
      <c r="P70" s="105"/>
      <c r="Q70" s="104"/>
      <c r="R70" s="107"/>
      <c r="S70" s="108"/>
    </row>
    <row r="71" spans="1:19">
      <c r="A71" s="97"/>
      <c r="B71" s="97"/>
      <c r="C71" s="97"/>
      <c r="D71" s="98"/>
      <c r="E71" s="98"/>
      <c r="F71" s="99"/>
      <c r="G71" s="99"/>
      <c r="H71" s="99"/>
      <c r="I71" s="100"/>
      <c r="J71" s="101"/>
      <c r="K71" s="102"/>
      <c r="L71" s="102"/>
      <c r="M71" s="102"/>
      <c r="N71" s="103"/>
      <c r="O71" s="104"/>
      <c r="P71" s="105"/>
      <c r="Q71" s="104"/>
      <c r="R71" s="107"/>
      <c r="S71" s="108"/>
    </row>
    <row r="72" spans="1:19">
      <c r="A72" s="97"/>
      <c r="B72" s="97"/>
      <c r="C72" s="97"/>
      <c r="D72" s="98"/>
      <c r="E72" s="98"/>
      <c r="F72" s="99"/>
      <c r="G72" s="99"/>
      <c r="H72" s="99"/>
      <c r="I72" s="100"/>
      <c r="J72" s="101"/>
      <c r="K72" s="102"/>
      <c r="L72" s="102"/>
      <c r="M72" s="102"/>
      <c r="N72" s="103"/>
      <c r="O72" s="104"/>
      <c r="P72" s="105"/>
      <c r="Q72" s="104"/>
      <c r="R72" s="107"/>
      <c r="S72" s="108"/>
    </row>
    <row r="73" spans="1:19">
      <c r="A73" s="97"/>
      <c r="B73" s="97"/>
      <c r="C73" s="97"/>
      <c r="D73" s="98"/>
      <c r="E73" s="98"/>
      <c r="F73" s="99"/>
      <c r="G73" s="99"/>
      <c r="H73" s="99"/>
      <c r="I73" s="100"/>
      <c r="J73" s="101"/>
      <c r="K73" s="102"/>
      <c r="L73" s="102"/>
      <c r="M73" s="102"/>
      <c r="N73" s="103"/>
      <c r="O73" s="104"/>
      <c r="P73" s="105"/>
      <c r="Q73" s="104"/>
      <c r="R73" s="107"/>
      <c r="S73" s="108"/>
    </row>
    <row r="74" spans="1:19">
      <c r="A74" s="97"/>
      <c r="B74" s="97"/>
      <c r="C74" s="97"/>
      <c r="D74" s="98"/>
      <c r="E74" s="98"/>
      <c r="F74" s="99"/>
      <c r="G74" s="99"/>
      <c r="H74" s="99"/>
      <c r="I74" s="100"/>
      <c r="J74" s="101"/>
      <c r="K74" s="102"/>
      <c r="L74" s="102"/>
      <c r="M74" s="102"/>
      <c r="N74" s="103"/>
      <c r="O74" s="104"/>
      <c r="P74" s="105"/>
      <c r="Q74" s="104"/>
      <c r="R74" s="107"/>
      <c r="S74" s="108"/>
    </row>
    <row r="75" spans="1:19">
      <c r="A75" s="97"/>
      <c r="B75" s="97"/>
      <c r="C75" s="97"/>
      <c r="D75" s="98"/>
      <c r="E75" s="98"/>
      <c r="F75" s="99"/>
      <c r="G75" s="99"/>
      <c r="H75" s="99"/>
      <c r="I75" s="100"/>
      <c r="J75" s="101"/>
      <c r="K75" s="102"/>
      <c r="L75" s="102"/>
      <c r="M75" s="102"/>
      <c r="N75" s="103"/>
      <c r="O75" s="104"/>
      <c r="P75" s="105"/>
      <c r="Q75" s="104"/>
      <c r="R75" s="107"/>
      <c r="S75" s="108"/>
    </row>
    <row r="76" spans="1:19">
      <c r="A76" s="97"/>
      <c r="B76" s="97"/>
      <c r="C76" s="97"/>
      <c r="D76" s="98"/>
      <c r="E76" s="98"/>
      <c r="F76" s="99"/>
      <c r="G76" s="99"/>
      <c r="H76" s="99"/>
      <c r="I76" s="100"/>
      <c r="J76" s="101"/>
      <c r="K76" s="102"/>
      <c r="L76" s="102"/>
      <c r="M76" s="102"/>
      <c r="N76" s="103"/>
      <c r="O76" s="104"/>
      <c r="P76" s="105"/>
      <c r="Q76" s="104"/>
      <c r="R76" s="107"/>
      <c r="S76" s="108"/>
    </row>
    <row r="77" spans="1:19">
      <c r="A77" s="97"/>
      <c r="B77" s="97"/>
      <c r="C77" s="97"/>
      <c r="D77" s="98"/>
      <c r="E77" s="98"/>
      <c r="F77" s="99"/>
      <c r="G77" s="99"/>
      <c r="H77" s="99"/>
      <c r="I77" s="100"/>
      <c r="J77" s="101"/>
      <c r="K77" s="102"/>
      <c r="L77" s="102"/>
      <c r="M77" s="102"/>
      <c r="N77" s="103"/>
      <c r="O77" s="104"/>
      <c r="P77" s="105"/>
      <c r="Q77" s="104"/>
      <c r="R77" s="107"/>
      <c r="S77" s="108"/>
    </row>
    <row r="78" spans="1:19">
      <c r="A78" s="97"/>
      <c r="B78" s="97"/>
      <c r="C78" s="97"/>
      <c r="D78" s="98"/>
      <c r="E78" s="98"/>
      <c r="F78" s="99"/>
      <c r="G78" s="99"/>
      <c r="H78" s="99"/>
      <c r="I78" s="100"/>
      <c r="J78" s="101"/>
      <c r="K78" s="102"/>
      <c r="L78" s="102"/>
      <c r="M78" s="102"/>
      <c r="N78" s="103"/>
      <c r="O78" s="104"/>
      <c r="P78" s="105"/>
      <c r="Q78" s="104"/>
      <c r="R78" s="107"/>
      <c r="S78" s="108"/>
    </row>
    <row r="79" spans="1:19">
      <c r="A79" s="97"/>
      <c r="B79" s="97"/>
      <c r="C79" s="97"/>
      <c r="D79" s="98"/>
      <c r="E79" s="98"/>
      <c r="F79" s="99"/>
      <c r="G79" s="99"/>
      <c r="H79" s="99"/>
      <c r="I79" s="100"/>
      <c r="J79" s="101"/>
      <c r="K79" s="102"/>
      <c r="L79" s="102"/>
      <c r="M79" s="102"/>
      <c r="N79" s="103"/>
      <c r="O79" s="104"/>
      <c r="P79" s="105"/>
      <c r="Q79" s="104"/>
      <c r="R79" s="107"/>
      <c r="S79" s="108"/>
    </row>
    <row r="80" spans="1:19">
      <c r="A80" s="97"/>
      <c r="B80" s="97"/>
      <c r="C80" s="97"/>
      <c r="D80" s="98"/>
      <c r="E80" s="98"/>
      <c r="F80" s="99"/>
      <c r="G80" s="99"/>
      <c r="H80" s="99"/>
      <c r="I80" s="100"/>
      <c r="J80" s="101"/>
      <c r="K80" s="102"/>
      <c r="L80" s="102"/>
      <c r="M80" s="102"/>
      <c r="N80" s="103"/>
      <c r="O80" s="104"/>
      <c r="P80" s="105"/>
      <c r="Q80" s="104"/>
      <c r="R80" s="107"/>
      <c r="S80" s="108"/>
    </row>
    <row r="81" spans="1:19">
      <c r="A81" s="97"/>
      <c r="B81" s="97"/>
      <c r="C81" s="97"/>
      <c r="D81" s="98"/>
      <c r="E81" s="98"/>
      <c r="F81" s="99"/>
      <c r="G81" s="99"/>
      <c r="H81" s="99"/>
      <c r="I81" s="100"/>
      <c r="J81" s="101"/>
      <c r="K81" s="102"/>
      <c r="L81" s="102"/>
      <c r="M81" s="102"/>
      <c r="N81" s="103"/>
      <c r="O81" s="104"/>
      <c r="P81" s="105"/>
      <c r="Q81" s="104"/>
      <c r="R81" s="107"/>
      <c r="S81" s="108"/>
    </row>
    <row r="82" spans="1:19">
      <c r="A82" s="97"/>
      <c r="B82" s="97"/>
      <c r="C82" s="97"/>
      <c r="D82" s="98"/>
      <c r="E82" s="98"/>
      <c r="F82" s="99"/>
      <c r="G82" s="99"/>
      <c r="H82" s="99"/>
      <c r="I82" s="100"/>
      <c r="J82" s="101"/>
      <c r="K82" s="102"/>
      <c r="L82" s="102"/>
      <c r="M82" s="102"/>
      <c r="N82" s="103"/>
      <c r="O82" s="104"/>
      <c r="P82" s="105"/>
      <c r="Q82" s="104"/>
      <c r="R82" s="107"/>
      <c r="S82" s="108"/>
    </row>
    <row r="83" spans="1:19">
      <c r="A83" s="97"/>
      <c r="B83" s="97"/>
      <c r="C83" s="97"/>
      <c r="D83" s="98"/>
      <c r="E83" s="98"/>
      <c r="F83" s="99"/>
      <c r="G83" s="99"/>
      <c r="H83" s="99"/>
      <c r="I83" s="100"/>
      <c r="J83" s="101"/>
      <c r="K83" s="102"/>
      <c r="L83" s="102"/>
      <c r="M83" s="102"/>
      <c r="N83" s="103"/>
      <c r="O83" s="104"/>
      <c r="P83" s="105"/>
      <c r="Q83" s="104"/>
      <c r="R83" s="107"/>
      <c r="S83" s="108"/>
    </row>
    <row r="84" spans="1:19">
      <c r="A84" s="97"/>
      <c r="B84" s="97"/>
      <c r="C84" s="97"/>
      <c r="D84" s="98"/>
      <c r="E84" s="98"/>
      <c r="F84" s="99"/>
      <c r="G84" s="99"/>
      <c r="H84" s="99"/>
      <c r="I84" s="100"/>
      <c r="J84" s="101"/>
      <c r="K84" s="102"/>
      <c r="L84" s="102"/>
      <c r="M84" s="102"/>
      <c r="N84" s="103"/>
      <c r="O84" s="104"/>
      <c r="P84" s="105"/>
      <c r="Q84" s="104"/>
      <c r="R84" s="107"/>
      <c r="S84" s="108"/>
    </row>
    <row r="85" spans="1:19">
      <c r="A85" s="97"/>
      <c r="B85" s="97"/>
      <c r="C85" s="97"/>
      <c r="D85" s="98"/>
      <c r="E85" s="98"/>
      <c r="F85" s="99"/>
      <c r="G85" s="99"/>
      <c r="H85" s="99"/>
      <c r="I85" s="100"/>
      <c r="J85" s="101"/>
      <c r="K85" s="102"/>
      <c r="L85" s="102"/>
      <c r="M85" s="102"/>
      <c r="N85" s="103"/>
      <c r="O85" s="104"/>
      <c r="P85" s="105"/>
      <c r="Q85" s="104"/>
      <c r="R85" s="107"/>
      <c r="S85" s="108"/>
    </row>
    <row r="86" spans="1:19">
      <c r="A86" s="97"/>
      <c r="B86" s="97"/>
      <c r="C86" s="97"/>
      <c r="D86" s="98"/>
      <c r="E86" s="98"/>
      <c r="F86" s="99"/>
      <c r="G86" s="99"/>
      <c r="H86" s="99"/>
      <c r="I86" s="100"/>
      <c r="J86" s="101"/>
      <c r="K86" s="102"/>
      <c r="L86" s="102"/>
      <c r="M86" s="102"/>
      <c r="N86" s="103"/>
      <c r="O86" s="104"/>
      <c r="P86" s="105"/>
      <c r="Q86" s="104"/>
      <c r="R86" s="107"/>
      <c r="S86" s="108"/>
    </row>
    <row r="87" spans="1:19">
      <c r="A87" s="97"/>
      <c r="B87" s="97"/>
      <c r="C87" s="97"/>
      <c r="D87" s="98"/>
      <c r="E87" s="98"/>
      <c r="F87" s="99"/>
      <c r="G87" s="99"/>
      <c r="H87" s="99"/>
      <c r="I87" s="100"/>
      <c r="J87" s="101"/>
      <c r="K87" s="102"/>
      <c r="L87" s="102"/>
      <c r="M87" s="102"/>
      <c r="N87" s="103"/>
      <c r="O87" s="104"/>
      <c r="P87" s="105"/>
      <c r="Q87" s="104"/>
      <c r="R87" s="107"/>
      <c r="S87" s="108"/>
    </row>
    <row r="88" spans="1:19">
      <c r="A88" s="97"/>
      <c r="B88" s="97"/>
      <c r="C88" s="97"/>
      <c r="D88" s="98"/>
      <c r="E88" s="98"/>
      <c r="F88" s="99"/>
      <c r="G88" s="99"/>
      <c r="H88" s="99"/>
      <c r="I88" s="100"/>
      <c r="J88" s="101"/>
      <c r="K88" s="102"/>
      <c r="L88" s="102"/>
      <c r="M88" s="102"/>
      <c r="N88" s="103"/>
      <c r="O88" s="104"/>
      <c r="P88" s="105"/>
      <c r="Q88" s="104"/>
      <c r="R88" s="107"/>
      <c r="S88" s="108"/>
    </row>
    <row r="89" spans="1:19">
      <c r="A89" s="97"/>
      <c r="B89" s="97"/>
      <c r="C89" s="97"/>
      <c r="D89" s="98"/>
      <c r="E89" s="98"/>
      <c r="F89" s="99"/>
      <c r="G89" s="99"/>
      <c r="H89" s="99"/>
      <c r="I89" s="100"/>
      <c r="J89" s="101"/>
      <c r="K89" s="102"/>
      <c r="L89" s="102"/>
      <c r="M89" s="102"/>
      <c r="N89" s="103"/>
      <c r="O89" s="104"/>
      <c r="P89" s="105"/>
      <c r="Q89" s="104"/>
      <c r="R89" s="107"/>
      <c r="S89" s="108"/>
    </row>
    <row r="90" spans="1:19">
      <c r="A90" s="97"/>
      <c r="B90" s="97"/>
      <c r="C90" s="97"/>
      <c r="D90" s="98"/>
      <c r="E90" s="98"/>
      <c r="F90" s="99"/>
      <c r="G90" s="99"/>
      <c r="H90" s="99"/>
      <c r="I90" s="100"/>
      <c r="J90" s="101"/>
      <c r="K90" s="102"/>
      <c r="L90" s="102"/>
      <c r="M90" s="102"/>
      <c r="N90" s="103"/>
      <c r="O90" s="104"/>
      <c r="P90" s="105"/>
      <c r="Q90" s="104"/>
      <c r="R90" s="107"/>
      <c r="S90" s="108"/>
    </row>
    <row r="91" spans="1:19">
      <c r="A91" s="97"/>
      <c r="B91" s="97"/>
      <c r="C91" s="97"/>
      <c r="D91" s="98"/>
      <c r="E91" s="98"/>
      <c r="F91" s="99"/>
      <c r="G91" s="99"/>
      <c r="H91" s="99"/>
      <c r="I91" s="100"/>
      <c r="J91" s="101"/>
      <c r="K91" s="102"/>
      <c r="L91" s="102"/>
      <c r="M91" s="102"/>
      <c r="N91" s="103"/>
      <c r="O91" s="104"/>
      <c r="P91" s="105"/>
      <c r="Q91" s="104"/>
      <c r="R91" s="107"/>
      <c r="S91" s="108"/>
    </row>
    <row r="92" spans="1:19">
      <c r="A92" s="97"/>
      <c r="B92" s="97"/>
      <c r="C92" s="97"/>
      <c r="D92" s="98"/>
      <c r="E92" s="98"/>
      <c r="F92" s="99"/>
      <c r="G92" s="99"/>
      <c r="H92" s="99"/>
      <c r="I92" s="100"/>
      <c r="J92" s="101"/>
      <c r="K92" s="102"/>
      <c r="L92" s="102"/>
      <c r="M92" s="102"/>
      <c r="N92" s="103"/>
      <c r="O92" s="104"/>
      <c r="P92" s="105"/>
      <c r="Q92" s="104"/>
      <c r="R92" s="107"/>
      <c r="S92" s="108"/>
    </row>
    <row r="93" spans="1:19">
      <c r="A93" s="97"/>
      <c r="B93" s="97"/>
      <c r="C93" s="97"/>
      <c r="D93" s="98"/>
      <c r="E93" s="98"/>
      <c r="F93" s="99"/>
      <c r="G93" s="99"/>
      <c r="H93" s="99"/>
      <c r="I93" s="100"/>
      <c r="J93" s="101"/>
      <c r="K93" s="102"/>
      <c r="L93" s="102"/>
      <c r="M93" s="102"/>
      <c r="N93" s="103"/>
      <c r="O93" s="104"/>
      <c r="P93" s="105"/>
      <c r="Q93" s="104"/>
      <c r="R93" s="107"/>
      <c r="S93" s="108"/>
    </row>
    <row r="94" spans="1:19">
      <c r="A94" s="97"/>
      <c r="B94" s="97"/>
      <c r="C94" s="97"/>
      <c r="D94" s="98"/>
      <c r="E94" s="98"/>
      <c r="F94" s="99"/>
      <c r="G94" s="99"/>
      <c r="H94" s="99"/>
      <c r="I94" s="100"/>
      <c r="J94" s="101"/>
      <c r="K94" s="102"/>
      <c r="L94" s="102"/>
      <c r="M94" s="102"/>
      <c r="N94" s="103"/>
      <c r="O94" s="104"/>
      <c r="P94" s="105"/>
      <c r="Q94" s="104"/>
      <c r="R94" s="107"/>
      <c r="S94" s="108"/>
    </row>
    <row r="95" spans="1:19">
      <c r="A95" s="97"/>
      <c r="B95" s="97"/>
      <c r="C95" s="97"/>
      <c r="D95" s="98"/>
      <c r="E95" s="98"/>
      <c r="F95" s="99"/>
      <c r="G95" s="99"/>
      <c r="H95" s="99"/>
      <c r="I95" s="100"/>
      <c r="J95" s="101"/>
      <c r="K95" s="102"/>
      <c r="L95" s="102"/>
      <c r="M95" s="102"/>
      <c r="N95" s="103"/>
      <c r="O95" s="104"/>
      <c r="P95" s="105"/>
      <c r="Q95" s="104"/>
      <c r="R95" s="107"/>
      <c r="S95" s="108"/>
    </row>
    <row r="96" spans="1:19">
      <c r="A96" s="97"/>
      <c r="B96" s="97"/>
      <c r="C96" s="97"/>
      <c r="D96" s="98"/>
      <c r="E96" s="98"/>
      <c r="F96" s="99"/>
      <c r="G96" s="99"/>
      <c r="H96" s="99"/>
      <c r="I96" s="100"/>
      <c r="J96" s="101"/>
      <c r="K96" s="102"/>
      <c r="L96" s="102"/>
      <c r="M96" s="102"/>
      <c r="N96" s="103"/>
      <c r="O96" s="104"/>
      <c r="P96" s="105"/>
      <c r="Q96" s="104"/>
      <c r="R96" s="107"/>
      <c r="S96" s="108"/>
    </row>
    <row r="97" spans="1:19">
      <c r="A97" s="97"/>
      <c r="B97" s="97"/>
      <c r="C97" s="97"/>
      <c r="D97" s="98"/>
      <c r="E97" s="98"/>
      <c r="F97" s="99"/>
      <c r="G97" s="99"/>
      <c r="H97" s="99"/>
      <c r="I97" s="100"/>
      <c r="J97" s="101"/>
      <c r="K97" s="102"/>
      <c r="L97" s="102"/>
      <c r="M97" s="102"/>
      <c r="N97" s="103"/>
      <c r="O97" s="104"/>
      <c r="P97" s="105"/>
      <c r="Q97" s="104"/>
      <c r="R97" s="107"/>
      <c r="S97" s="108"/>
    </row>
    <row r="98" spans="1:19">
      <c r="A98" s="97"/>
      <c r="B98" s="97"/>
      <c r="C98" s="97"/>
      <c r="D98" s="98"/>
      <c r="E98" s="98"/>
      <c r="F98" s="99"/>
      <c r="G98" s="99"/>
      <c r="H98" s="99"/>
      <c r="I98" s="100"/>
      <c r="J98" s="101"/>
      <c r="K98" s="102"/>
      <c r="L98" s="102"/>
      <c r="M98" s="102"/>
      <c r="N98" s="103"/>
      <c r="O98" s="104"/>
      <c r="P98" s="105"/>
      <c r="Q98" s="104"/>
      <c r="R98" s="107"/>
      <c r="S98" s="108"/>
    </row>
    <row r="99" spans="1:19">
      <c r="A99" s="97"/>
      <c r="B99" s="97"/>
      <c r="C99" s="97"/>
      <c r="D99" s="98"/>
      <c r="E99" s="98"/>
      <c r="F99" s="99"/>
      <c r="G99" s="99"/>
      <c r="H99" s="99"/>
      <c r="I99" s="100"/>
      <c r="J99" s="101"/>
      <c r="K99" s="102"/>
      <c r="L99" s="102"/>
      <c r="M99" s="102"/>
      <c r="N99" s="103"/>
      <c r="O99" s="104"/>
      <c r="P99" s="105"/>
      <c r="Q99" s="104"/>
      <c r="R99" s="107"/>
      <c r="S99" s="108"/>
    </row>
    <row r="100" spans="1:19">
      <c r="A100" s="97"/>
      <c r="B100" s="97"/>
      <c r="C100" s="97"/>
      <c r="D100" s="98"/>
      <c r="E100" s="98"/>
      <c r="F100" s="99"/>
      <c r="G100" s="99"/>
      <c r="H100" s="99"/>
      <c r="I100" s="100"/>
      <c r="J100" s="101"/>
      <c r="K100" s="102"/>
      <c r="L100" s="102"/>
      <c r="M100" s="102"/>
      <c r="N100" s="103"/>
      <c r="O100" s="104"/>
      <c r="P100" s="105"/>
      <c r="Q100" s="104"/>
      <c r="R100" s="107"/>
      <c r="S100" s="108"/>
    </row>
    <row r="101" spans="1:19">
      <c r="A101" s="97"/>
      <c r="B101" s="97"/>
      <c r="C101" s="97"/>
      <c r="D101" s="98"/>
      <c r="E101" s="98"/>
      <c r="F101" s="99"/>
      <c r="G101" s="99"/>
      <c r="H101" s="99"/>
      <c r="I101" s="100"/>
      <c r="J101" s="101"/>
      <c r="K101" s="102"/>
      <c r="L101" s="102"/>
      <c r="M101" s="102"/>
      <c r="N101" s="103"/>
      <c r="O101" s="104"/>
      <c r="P101" s="105"/>
      <c r="Q101" s="104"/>
      <c r="R101" s="107"/>
      <c r="S101" s="108"/>
    </row>
    <row r="102" spans="1:19">
      <c r="A102" s="97"/>
      <c r="B102" s="97"/>
      <c r="C102" s="97"/>
      <c r="D102" s="98"/>
      <c r="E102" s="98"/>
      <c r="F102" s="99"/>
      <c r="G102" s="99"/>
      <c r="H102" s="99"/>
      <c r="I102" s="100"/>
      <c r="J102" s="101"/>
      <c r="K102" s="102"/>
      <c r="L102" s="102"/>
      <c r="M102" s="102"/>
      <c r="N102" s="103"/>
      <c r="O102" s="104"/>
      <c r="P102" s="105"/>
      <c r="Q102" s="104"/>
      <c r="R102" s="107"/>
      <c r="S102" s="108"/>
    </row>
    <row r="103" spans="1:19">
      <c r="A103" s="97"/>
      <c r="B103" s="97"/>
      <c r="C103" s="97"/>
      <c r="D103" s="98"/>
      <c r="E103" s="98"/>
      <c r="F103" s="99"/>
      <c r="G103" s="99"/>
      <c r="H103" s="99"/>
      <c r="I103" s="100"/>
      <c r="J103" s="101"/>
      <c r="K103" s="102"/>
      <c r="L103" s="102"/>
      <c r="M103" s="102"/>
      <c r="N103" s="103"/>
      <c r="O103" s="104"/>
      <c r="P103" s="105"/>
      <c r="Q103" s="104"/>
      <c r="R103" s="107"/>
      <c r="S103" s="108"/>
    </row>
    <row r="104" spans="1:19">
      <c r="A104" s="97"/>
      <c r="B104" s="97"/>
      <c r="C104" s="97"/>
      <c r="D104" s="98"/>
      <c r="E104" s="98"/>
      <c r="F104" s="99"/>
      <c r="G104" s="99"/>
      <c r="H104" s="99"/>
      <c r="I104" s="100"/>
      <c r="J104" s="101"/>
      <c r="K104" s="102"/>
      <c r="L104" s="102"/>
      <c r="M104" s="102"/>
      <c r="N104" s="103"/>
      <c r="O104" s="104"/>
      <c r="P104" s="105"/>
      <c r="Q104" s="104"/>
      <c r="R104" s="107"/>
      <c r="S104" s="108"/>
    </row>
    <row r="105" spans="1:19">
      <c r="A105" s="97"/>
      <c r="B105" s="97"/>
      <c r="C105" s="97"/>
      <c r="D105" s="98"/>
      <c r="E105" s="98"/>
      <c r="F105" s="99"/>
      <c r="G105" s="99"/>
      <c r="H105" s="99"/>
      <c r="I105" s="100"/>
      <c r="J105" s="101"/>
      <c r="K105" s="102"/>
      <c r="L105" s="102"/>
      <c r="M105" s="102"/>
      <c r="N105" s="103"/>
      <c r="O105" s="104"/>
      <c r="P105" s="105"/>
      <c r="Q105" s="104"/>
      <c r="R105" s="107"/>
      <c r="S105" s="108"/>
    </row>
    <row r="106" spans="1:19">
      <c r="A106" s="97"/>
      <c r="B106" s="97"/>
      <c r="C106" s="97"/>
      <c r="D106" s="98"/>
      <c r="E106" s="98"/>
      <c r="F106" s="99"/>
      <c r="G106" s="99"/>
      <c r="H106" s="99"/>
      <c r="I106" s="100"/>
      <c r="J106" s="101"/>
      <c r="K106" s="102"/>
      <c r="L106" s="102"/>
      <c r="M106" s="102"/>
      <c r="N106" s="103"/>
      <c r="O106" s="104"/>
      <c r="P106" s="105"/>
      <c r="Q106" s="104"/>
      <c r="R106" s="107"/>
      <c r="S106" s="108"/>
    </row>
    <row r="107" spans="1:19">
      <c r="A107" s="97"/>
      <c r="B107" s="97"/>
      <c r="C107" s="97"/>
      <c r="D107" s="98"/>
      <c r="E107" s="98"/>
      <c r="F107" s="99"/>
      <c r="G107" s="99"/>
      <c r="H107" s="99"/>
      <c r="I107" s="100"/>
      <c r="J107" s="101"/>
      <c r="K107" s="102"/>
      <c r="L107" s="102"/>
      <c r="M107" s="102"/>
      <c r="N107" s="103"/>
      <c r="O107" s="104"/>
      <c r="P107" s="105"/>
      <c r="Q107" s="104"/>
      <c r="R107" s="107"/>
      <c r="S107" s="108"/>
    </row>
    <row r="108" spans="1:19">
      <c r="A108" s="97"/>
      <c r="B108" s="97"/>
      <c r="C108" s="97"/>
      <c r="D108" s="98"/>
      <c r="E108" s="98"/>
      <c r="F108" s="99"/>
      <c r="G108" s="99"/>
      <c r="H108" s="99"/>
      <c r="I108" s="100"/>
      <c r="J108" s="101"/>
      <c r="K108" s="102"/>
      <c r="L108" s="102"/>
      <c r="M108" s="102"/>
      <c r="N108" s="103"/>
      <c r="O108" s="104"/>
      <c r="P108" s="105"/>
      <c r="Q108" s="104"/>
      <c r="R108" s="107"/>
      <c r="S108" s="108"/>
    </row>
    <row r="109" spans="1:19">
      <c r="A109" s="97"/>
      <c r="B109" s="97"/>
      <c r="C109" s="97"/>
      <c r="D109" s="98"/>
      <c r="E109" s="98"/>
      <c r="F109" s="99"/>
      <c r="G109" s="99"/>
      <c r="H109" s="99"/>
      <c r="I109" s="100"/>
      <c r="J109" s="101"/>
      <c r="K109" s="102"/>
      <c r="L109" s="102"/>
      <c r="M109" s="102"/>
      <c r="N109" s="103"/>
      <c r="O109" s="104"/>
      <c r="P109" s="105"/>
      <c r="Q109" s="104"/>
      <c r="R109" s="107"/>
      <c r="S109" s="108"/>
    </row>
    <row r="110" spans="1:19">
      <c r="A110" s="97"/>
      <c r="B110" s="97"/>
      <c r="C110" s="97"/>
      <c r="D110" s="98"/>
      <c r="E110" s="98"/>
      <c r="F110" s="99"/>
      <c r="G110" s="99"/>
      <c r="H110" s="99"/>
      <c r="I110" s="100"/>
      <c r="J110" s="101"/>
      <c r="K110" s="102"/>
      <c r="L110" s="102"/>
      <c r="M110" s="102"/>
      <c r="N110" s="103"/>
      <c r="O110" s="104"/>
      <c r="P110" s="105"/>
      <c r="Q110" s="104"/>
      <c r="R110" s="107"/>
      <c r="S110" s="108"/>
    </row>
    <row r="111" spans="1:19">
      <c r="A111" s="97"/>
      <c r="B111" s="97"/>
      <c r="C111" s="97"/>
      <c r="D111" s="98"/>
      <c r="E111" s="98"/>
      <c r="F111" s="99"/>
      <c r="G111" s="99"/>
      <c r="H111" s="99"/>
      <c r="I111" s="100"/>
      <c r="J111" s="101"/>
      <c r="K111" s="102"/>
      <c r="L111" s="102"/>
      <c r="M111" s="102"/>
      <c r="N111" s="103"/>
      <c r="O111" s="104"/>
      <c r="P111" s="105"/>
      <c r="Q111" s="104"/>
      <c r="R111" s="107"/>
      <c r="S111" s="108"/>
    </row>
    <row r="112" spans="1:19">
      <c r="A112" s="97"/>
      <c r="B112" s="97"/>
      <c r="C112" s="97"/>
      <c r="D112" s="98"/>
      <c r="E112" s="98"/>
      <c r="F112" s="99"/>
      <c r="G112" s="99"/>
      <c r="H112" s="99"/>
      <c r="I112" s="100"/>
      <c r="J112" s="101"/>
      <c r="K112" s="102"/>
      <c r="L112" s="102"/>
      <c r="M112" s="102"/>
      <c r="N112" s="103"/>
      <c r="O112" s="104"/>
      <c r="P112" s="105"/>
      <c r="Q112" s="104"/>
      <c r="R112" s="107"/>
      <c r="S112" s="108"/>
    </row>
    <row r="113" spans="1:19">
      <c r="A113" s="97"/>
      <c r="B113" s="97"/>
      <c r="C113" s="97"/>
      <c r="D113" s="98"/>
      <c r="E113" s="98"/>
      <c r="F113" s="99"/>
      <c r="G113" s="99"/>
      <c r="H113" s="99"/>
      <c r="I113" s="100"/>
      <c r="J113" s="101"/>
      <c r="K113" s="102"/>
      <c r="L113" s="102"/>
      <c r="M113" s="102"/>
      <c r="N113" s="103"/>
      <c r="O113" s="104"/>
      <c r="P113" s="105"/>
      <c r="Q113" s="104"/>
      <c r="R113" s="107"/>
      <c r="S113" s="108"/>
    </row>
    <row r="114" spans="1:19">
      <c r="A114" s="97"/>
      <c r="B114" s="97"/>
      <c r="C114" s="97"/>
      <c r="D114" s="98"/>
      <c r="E114" s="98"/>
      <c r="F114" s="99"/>
      <c r="G114" s="99"/>
      <c r="H114" s="99"/>
      <c r="I114" s="100"/>
      <c r="J114" s="101"/>
      <c r="K114" s="102"/>
      <c r="L114" s="102"/>
      <c r="M114" s="102"/>
      <c r="N114" s="103"/>
      <c r="O114" s="104"/>
      <c r="P114" s="105"/>
      <c r="Q114" s="104"/>
      <c r="R114" s="107"/>
      <c r="S114" s="108"/>
    </row>
    <row r="115" spans="1:19">
      <c r="A115" s="97"/>
      <c r="B115" s="97"/>
      <c r="C115" s="97"/>
      <c r="D115" s="98"/>
      <c r="E115" s="98"/>
      <c r="F115" s="99"/>
      <c r="G115" s="99"/>
      <c r="H115" s="99"/>
      <c r="I115" s="100"/>
      <c r="J115" s="101"/>
      <c r="K115" s="102"/>
      <c r="L115" s="102"/>
      <c r="M115" s="102"/>
      <c r="N115" s="103"/>
      <c r="O115" s="104"/>
      <c r="P115" s="105"/>
      <c r="Q115" s="104"/>
      <c r="R115" s="107"/>
      <c r="S115" s="108"/>
    </row>
    <row r="116" spans="1:19">
      <c r="A116" s="97"/>
      <c r="B116" s="97"/>
      <c r="C116" s="97"/>
      <c r="D116" s="98"/>
      <c r="E116" s="98"/>
      <c r="F116" s="99"/>
      <c r="G116" s="99"/>
      <c r="H116" s="99"/>
      <c r="I116" s="100"/>
      <c r="J116" s="101"/>
      <c r="K116" s="102"/>
      <c r="L116" s="102"/>
      <c r="M116" s="102"/>
      <c r="N116" s="103"/>
      <c r="O116" s="104"/>
      <c r="P116" s="105"/>
      <c r="Q116" s="104"/>
      <c r="R116" s="107"/>
      <c r="S116" s="108"/>
    </row>
    <row r="117" spans="1:19">
      <c r="A117" s="97"/>
      <c r="B117" s="97"/>
      <c r="C117" s="97"/>
      <c r="D117" s="98"/>
      <c r="E117" s="98"/>
      <c r="F117" s="99"/>
      <c r="G117" s="99"/>
      <c r="H117" s="99"/>
      <c r="I117" s="100"/>
      <c r="J117" s="101"/>
      <c r="K117" s="102"/>
      <c r="L117" s="102"/>
      <c r="M117" s="102"/>
      <c r="N117" s="103"/>
      <c r="O117" s="104"/>
      <c r="P117" s="105"/>
      <c r="Q117" s="104"/>
      <c r="R117" s="107"/>
      <c r="S117" s="108"/>
    </row>
    <row r="118" spans="1:19">
      <c r="A118" s="97"/>
      <c r="B118" s="97"/>
      <c r="C118" s="97"/>
      <c r="D118" s="98"/>
      <c r="E118" s="98"/>
      <c r="F118" s="99"/>
      <c r="G118" s="99"/>
      <c r="H118" s="99"/>
      <c r="I118" s="100"/>
      <c r="J118" s="101"/>
      <c r="K118" s="102"/>
      <c r="L118" s="102"/>
      <c r="M118" s="102"/>
      <c r="N118" s="103"/>
      <c r="O118" s="104"/>
      <c r="P118" s="105"/>
      <c r="Q118" s="104"/>
      <c r="R118" s="107"/>
      <c r="S118" s="108"/>
    </row>
    <row r="119" spans="1:19">
      <c r="A119" s="97"/>
      <c r="B119" s="97"/>
      <c r="C119" s="97"/>
      <c r="D119" s="98"/>
      <c r="E119" s="98"/>
      <c r="F119" s="99"/>
      <c r="G119" s="99"/>
      <c r="H119" s="99"/>
      <c r="I119" s="100"/>
      <c r="J119" s="101"/>
      <c r="K119" s="102"/>
      <c r="L119" s="102"/>
      <c r="M119" s="102"/>
      <c r="N119" s="103"/>
      <c r="O119" s="104"/>
      <c r="P119" s="105"/>
      <c r="Q119" s="104"/>
      <c r="R119" s="107"/>
      <c r="S119" s="108"/>
    </row>
    <row r="120" spans="1:19">
      <c r="A120" s="97"/>
      <c r="B120" s="97"/>
      <c r="C120" s="97"/>
      <c r="D120" s="98"/>
      <c r="E120" s="98"/>
      <c r="F120" s="99"/>
      <c r="G120" s="99"/>
      <c r="H120" s="99"/>
      <c r="I120" s="100"/>
      <c r="J120" s="101"/>
      <c r="K120" s="102"/>
      <c r="L120" s="102"/>
      <c r="M120" s="102"/>
      <c r="N120" s="103"/>
      <c r="O120" s="104"/>
      <c r="P120" s="105"/>
      <c r="Q120" s="104"/>
      <c r="R120" s="107"/>
      <c r="S120" s="108"/>
    </row>
    <row r="121" spans="1:19">
      <c r="A121" s="97"/>
      <c r="B121" s="97"/>
      <c r="C121" s="97"/>
      <c r="D121" s="98"/>
      <c r="E121" s="98"/>
      <c r="F121" s="99"/>
      <c r="G121" s="99"/>
      <c r="H121" s="99"/>
      <c r="I121" s="100"/>
      <c r="J121" s="101"/>
      <c r="K121" s="102"/>
      <c r="L121" s="102"/>
      <c r="M121" s="102"/>
      <c r="N121" s="103"/>
      <c r="O121" s="104"/>
      <c r="P121" s="105"/>
      <c r="Q121" s="104"/>
      <c r="R121" s="107"/>
      <c r="S121" s="108"/>
    </row>
    <row r="122" spans="1:19">
      <c r="A122" s="97"/>
      <c r="B122" s="97"/>
      <c r="C122" s="97"/>
      <c r="D122" s="98"/>
      <c r="E122" s="98"/>
      <c r="F122" s="99"/>
      <c r="G122" s="99"/>
      <c r="H122" s="99"/>
      <c r="I122" s="100"/>
      <c r="J122" s="101"/>
      <c r="K122" s="102"/>
      <c r="L122" s="102"/>
      <c r="M122" s="102"/>
      <c r="N122" s="103"/>
      <c r="O122" s="104"/>
      <c r="P122" s="105"/>
      <c r="Q122" s="104"/>
      <c r="R122" s="107"/>
      <c r="S122" s="108"/>
    </row>
    <row r="123" spans="1:19">
      <c r="A123" s="97"/>
      <c r="B123" s="97"/>
      <c r="C123" s="97"/>
      <c r="D123" s="98"/>
      <c r="E123" s="98"/>
      <c r="F123" s="99"/>
      <c r="G123" s="99"/>
      <c r="H123" s="99"/>
      <c r="I123" s="100"/>
      <c r="J123" s="101"/>
      <c r="K123" s="102"/>
      <c r="L123" s="102"/>
      <c r="M123" s="102"/>
      <c r="N123" s="103"/>
      <c r="O123" s="104"/>
      <c r="P123" s="105"/>
      <c r="Q123" s="104"/>
      <c r="R123" s="107"/>
      <c r="S123" s="108"/>
    </row>
    <row r="124" spans="1:19">
      <c r="A124" s="97"/>
      <c r="B124" s="97"/>
      <c r="C124" s="97"/>
      <c r="D124" s="98"/>
      <c r="E124" s="98"/>
      <c r="F124" s="99"/>
      <c r="G124" s="99"/>
      <c r="H124" s="99"/>
      <c r="I124" s="100"/>
      <c r="J124" s="101"/>
      <c r="K124" s="102"/>
      <c r="L124" s="102"/>
      <c r="M124" s="102"/>
      <c r="N124" s="103"/>
      <c r="O124" s="104"/>
      <c r="P124" s="105"/>
      <c r="Q124" s="104"/>
      <c r="R124" s="107"/>
      <c r="S124" s="108"/>
    </row>
    <row r="125" spans="1:19">
      <c r="A125" s="97"/>
      <c r="B125" s="97"/>
      <c r="C125" s="97"/>
      <c r="D125" s="98"/>
      <c r="E125" s="98"/>
      <c r="F125" s="99"/>
      <c r="G125" s="99"/>
      <c r="H125" s="99"/>
      <c r="I125" s="100"/>
      <c r="J125" s="101"/>
      <c r="K125" s="102"/>
      <c r="L125" s="102"/>
      <c r="M125" s="102"/>
      <c r="N125" s="103"/>
      <c r="O125" s="104"/>
      <c r="P125" s="105"/>
      <c r="Q125" s="104"/>
      <c r="R125" s="107"/>
      <c r="S125" s="108"/>
    </row>
    <row r="126" spans="1:19">
      <c r="A126" s="97"/>
      <c r="B126" s="97"/>
      <c r="C126" s="97"/>
      <c r="D126" s="98"/>
      <c r="E126" s="98"/>
      <c r="F126" s="99"/>
      <c r="G126" s="99"/>
      <c r="H126" s="99"/>
      <c r="I126" s="100"/>
      <c r="J126" s="101"/>
      <c r="K126" s="102"/>
      <c r="L126" s="102"/>
      <c r="M126" s="102"/>
      <c r="N126" s="103"/>
      <c r="O126" s="104"/>
      <c r="P126" s="105"/>
      <c r="Q126" s="104"/>
      <c r="R126" s="107"/>
      <c r="S126" s="108"/>
    </row>
    <row r="127" spans="1:19">
      <c r="A127" s="97"/>
      <c r="B127" s="97"/>
      <c r="C127" s="97"/>
      <c r="D127" s="98"/>
      <c r="E127" s="98"/>
      <c r="F127" s="99"/>
      <c r="G127" s="99"/>
      <c r="H127" s="99"/>
      <c r="I127" s="100"/>
      <c r="J127" s="101"/>
      <c r="K127" s="102"/>
      <c r="L127" s="102"/>
      <c r="M127" s="102"/>
      <c r="N127" s="103"/>
      <c r="O127" s="104"/>
      <c r="P127" s="105"/>
      <c r="Q127" s="104"/>
      <c r="R127" s="107"/>
      <c r="S127" s="108"/>
    </row>
    <row r="128" spans="1:19">
      <c r="A128" s="97"/>
      <c r="B128" s="97"/>
      <c r="C128" s="97"/>
      <c r="D128" s="98"/>
      <c r="E128" s="98"/>
      <c r="F128" s="99"/>
      <c r="G128" s="99"/>
      <c r="H128" s="99"/>
      <c r="I128" s="100"/>
      <c r="J128" s="101"/>
      <c r="K128" s="102"/>
      <c r="L128" s="102"/>
      <c r="M128" s="102"/>
      <c r="N128" s="103"/>
      <c r="O128" s="104"/>
      <c r="P128" s="105"/>
      <c r="Q128" s="104"/>
      <c r="R128" s="107"/>
      <c r="S128" s="108"/>
    </row>
    <row r="129" spans="1:19">
      <c r="A129" s="97"/>
      <c r="B129" s="97"/>
      <c r="C129" s="97"/>
      <c r="D129" s="98"/>
      <c r="E129" s="98"/>
      <c r="F129" s="99"/>
      <c r="G129" s="99"/>
      <c r="H129" s="99"/>
      <c r="I129" s="100"/>
      <c r="J129" s="101"/>
      <c r="K129" s="102"/>
      <c r="L129" s="102"/>
      <c r="M129" s="102"/>
      <c r="N129" s="103"/>
      <c r="O129" s="104"/>
      <c r="P129" s="105"/>
      <c r="Q129" s="104"/>
      <c r="R129" s="107"/>
      <c r="S129" s="108"/>
    </row>
    <row r="130" spans="1:19">
      <c r="A130" s="97"/>
      <c r="B130" s="97"/>
      <c r="C130" s="97"/>
      <c r="D130" s="98"/>
      <c r="E130" s="98"/>
      <c r="F130" s="99"/>
      <c r="G130" s="99"/>
      <c r="H130" s="99"/>
      <c r="I130" s="100"/>
      <c r="J130" s="101"/>
      <c r="K130" s="102"/>
      <c r="L130" s="102"/>
      <c r="M130" s="102"/>
      <c r="N130" s="103"/>
      <c r="O130" s="104"/>
      <c r="P130" s="105"/>
      <c r="Q130" s="104"/>
      <c r="R130" s="107"/>
      <c r="S130" s="108"/>
    </row>
    <row r="131" spans="1:19">
      <c r="A131" s="97"/>
      <c r="B131" s="97"/>
      <c r="C131" s="97"/>
      <c r="D131" s="98"/>
      <c r="E131" s="98"/>
      <c r="F131" s="99"/>
      <c r="G131" s="99"/>
      <c r="H131" s="99"/>
      <c r="I131" s="100"/>
      <c r="J131" s="101"/>
      <c r="K131" s="102"/>
      <c r="L131" s="102"/>
      <c r="M131" s="102"/>
      <c r="N131" s="103"/>
      <c r="O131" s="104"/>
      <c r="P131" s="105"/>
      <c r="Q131" s="104"/>
      <c r="R131" s="107"/>
      <c r="S131" s="108"/>
    </row>
    <row r="132" spans="1:19">
      <c r="A132" s="97"/>
      <c r="B132" s="97"/>
      <c r="C132" s="97"/>
      <c r="D132" s="98"/>
      <c r="E132" s="98"/>
      <c r="F132" s="99"/>
      <c r="G132" s="99"/>
      <c r="H132" s="99"/>
      <c r="I132" s="100"/>
      <c r="J132" s="101"/>
      <c r="K132" s="102"/>
      <c r="L132" s="102"/>
      <c r="M132" s="102"/>
      <c r="N132" s="103"/>
      <c r="O132" s="104"/>
      <c r="P132" s="105"/>
      <c r="Q132" s="104"/>
      <c r="R132" s="107"/>
      <c r="S132" s="108"/>
    </row>
    <row r="133" spans="1:19">
      <c r="A133" s="97"/>
      <c r="B133" s="97"/>
      <c r="C133" s="97"/>
      <c r="D133" s="98"/>
      <c r="E133" s="98"/>
      <c r="F133" s="99"/>
      <c r="G133" s="99"/>
      <c r="H133" s="99"/>
      <c r="I133" s="100"/>
      <c r="J133" s="101"/>
      <c r="K133" s="102"/>
      <c r="L133" s="102"/>
      <c r="M133" s="102"/>
      <c r="N133" s="103"/>
      <c r="O133" s="104"/>
      <c r="P133" s="105"/>
      <c r="Q133" s="104"/>
      <c r="R133" s="107"/>
      <c r="S133" s="108"/>
    </row>
    <row r="134" spans="1:19">
      <c r="A134" s="97"/>
      <c r="B134" s="97"/>
      <c r="C134" s="97"/>
      <c r="D134" s="98"/>
      <c r="E134" s="98"/>
      <c r="F134" s="99"/>
      <c r="G134" s="99"/>
      <c r="H134" s="99"/>
      <c r="I134" s="100"/>
      <c r="J134" s="101"/>
      <c r="K134" s="102"/>
      <c r="L134" s="102"/>
      <c r="M134" s="102"/>
      <c r="N134" s="103"/>
      <c r="O134" s="104"/>
      <c r="P134" s="105"/>
      <c r="Q134" s="104"/>
      <c r="R134" s="107"/>
      <c r="S134" s="108"/>
    </row>
    <row r="135" spans="1:19">
      <c r="A135" s="97"/>
      <c r="B135" s="97"/>
      <c r="C135" s="97"/>
      <c r="D135" s="98"/>
      <c r="E135" s="98"/>
      <c r="F135" s="99"/>
      <c r="G135" s="99"/>
      <c r="H135" s="99"/>
      <c r="I135" s="100"/>
      <c r="J135" s="101"/>
      <c r="K135" s="102"/>
      <c r="L135" s="102"/>
      <c r="M135" s="102"/>
      <c r="N135" s="103"/>
      <c r="O135" s="104"/>
      <c r="P135" s="105"/>
      <c r="Q135" s="104"/>
      <c r="R135" s="107"/>
      <c r="S135" s="108"/>
    </row>
    <row r="136" spans="1:19">
      <c r="A136" s="97"/>
      <c r="B136" s="97"/>
      <c r="C136" s="97"/>
      <c r="D136" s="98"/>
      <c r="E136" s="98"/>
      <c r="F136" s="99"/>
      <c r="G136" s="99"/>
      <c r="H136" s="99"/>
      <c r="I136" s="100"/>
      <c r="J136" s="101"/>
      <c r="K136" s="102"/>
      <c r="L136" s="102"/>
      <c r="M136" s="102"/>
      <c r="N136" s="103"/>
      <c r="O136" s="104"/>
      <c r="P136" s="105"/>
      <c r="Q136" s="104"/>
      <c r="R136" s="107"/>
      <c r="S136" s="108"/>
    </row>
    <row r="137" spans="1:19">
      <c r="A137" s="97"/>
      <c r="B137" s="97"/>
      <c r="C137" s="97"/>
      <c r="D137" s="98"/>
      <c r="E137" s="98"/>
      <c r="F137" s="99"/>
      <c r="G137" s="99"/>
      <c r="H137" s="99"/>
      <c r="I137" s="100"/>
      <c r="J137" s="101"/>
      <c r="K137" s="102"/>
      <c r="L137" s="102"/>
      <c r="M137" s="102"/>
      <c r="N137" s="103"/>
      <c r="O137" s="104"/>
      <c r="P137" s="105"/>
      <c r="Q137" s="104"/>
      <c r="R137" s="107"/>
      <c r="S137" s="108"/>
    </row>
    <row r="138" spans="1:19">
      <c r="A138" s="97"/>
      <c r="B138" s="97"/>
      <c r="C138" s="97"/>
      <c r="D138" s="98"/>
      <c r="E138" s="98"/>
      <c r="F138" s="99"/>
      <c r="G138" s="99"/>
      <c r="H138" s="99"/>
      <c r="I138" s="100"/>
      <c r="J138" s="101"/>
      <c r="K138" s="102"/>
      <c r="L138" s="102"/>
      <c r="M138" s="102"/>
      <c r="N138" s="103"/>
      <c r="O138" s="104"/>
      <c r="P138" s="105"/>
      <c r="Q138" s="104"/>
      <c r="R138" s="107"/>
      <c r="S138" s="108"/>
    </row>
    <row r="139" spans="1:19">
      <c r="A139" s="97"/>
      <c r="B139" s="97"/>
      <c r="C139" s="97"/>
      <c r="D139" s="98"/>
      <c r="E139" s="98"/>
      <c r="F139" s="99"/>
      <c r="G139" s="99"/>
      <c r="H139" s="99"/>
      <c r="I139" s="100"/>
      <c r="J139" s="101"/>
      <c r="K139" s="102"/>
      <c r="L139" s="102"/>
      <c r="M139" s="102"/>
      <c r="N139" s="103"/>
      <c r="O139" s="104"/>
      <c r="P139" s="105"/>
      <c r="Q139" s="104"/>
      <c r="R139" s="107"/>
      <c r="S139" s="108"/>
    </row>
    <row r="140" spans="1:19">
      <c r="A140" s="97"/>
      <c r="B140" s="97"/>
      <c r="C140" s="97"/>
      <c r="D140" s="98"/>
      <c r="E140" s="98"/>
      <c r="F140" s="99"/>
      <c r="G140" s="99"/>
      <c r="H140" s="99"/>
      <c r="I140" s="100"/>
      <c r="J140" s="101"/>
      <c r="K140" s="102"/>
      <c r="L140" s="102"/>
      <c r="M140" s="102"/>
      <c r="N140" s="103"/>
      <c r="O140" s="104"/>
      <c r="P140" s="105"/>
      <c r="Q140" s="104"/>
      <c r="R140" s="107"/>
      <c r="S140" s="108"/>
    </row>
    <row r="141" spans="1:19">
      <c r="A141" s="97"/>
      <c r="B141" s="97"/>
      <c r="C141" s="97"/>
      <c r="D141" s="98"/>
      <c r="E141" s="98"/>
      <c r="F141" s="99"/>
      <c r="G141" s="99"/>
      <c r="H141" s="99"/>
      <c r="I141" s="100"/>
      <c r="J141" s="101"/>
      <c r="K141" s="102"/>
      <c r="L141" s="102"/>
      <c r="M141" s="102"/>
      <c r="N141" s="103"/>
      <c r="O141" s="104"/>
      <c r="P141" s="105"/>
      <c r="Q141" s="104"/>
      <c r="R141" s="107"/>
      <c r="S141" s="108"/>
    </row>
    <row r="142" spans="1:19">
      <c r="A142" s="97"/>
      <c r="B142" s="97"/>
      <c r="C142" s="97"/>
      <c r="D142" s="98"/>
      <c r="E142" s="98"/>
      <c r="F142" s="99"/>
      <c r="G142" s="99"/>
      <c r="H142" s="99"/>
      <c r="I142" s="100"/>
      <c r="J142" s="101"/>
      <c r="K142" s="102"/>
      <c r="L142" s="102"/>
      <c r="M142" s="102"/>
      <c r="N142" s="103"/>
      <c r="O142" s="104"/>
      <c r="P142" s="105"/>
      <c r="Q142" s="104"/>
      <c r="R142" s="107"/>
      <c r="S142" s="108"/>
    </row>
    <row r="143" spans="1:19">
      <c r="A143" s="97"/>
      <c r="B143" s="97"/>
      <c r="C143" s="97"/>
      <c r="D143" s="98"/>
      <c r="E143" s="98"/>
      <c r="F143" s="99"/>
      <c r="G143" s="99"/>
      <c r="H143" s="99"/>
      <c r="I143" s="100"/>
      <c r="J143" s="101"/>
      <c r="K143" s="102"/>
      <c r="L143" s="102"/>
      <c r="M143" s="102"/>
      <c r="N143" s="103"/>
      <c r="O143" s="104"/>
      <c r="P143" s="105"/>
      <c r="Q143" s="104"/>
      <c r="R143" s="107"/>
      <c r="S143" s="108"/>
    </row>
    <row r="144" spans="1:19">
      <c r="A144" s="97"/>
      <c r="B144" s="97"/>
      <c r="C144" s="97"/>
      <c r="D144" s="98"/>
      <c r="E144" s="98"/>
      <c r="F144" s="99"/>
      <c r="G144" s="99"/>
      <c r="H144" s="99"/>
      <c r="I144" s="100"/>
      <c r="J144" s="101"/>
      <c r="K144" s="102"/>
      <c r="L144" s="102"/>
      <c r="M144" s="102"/>
      <c r="N144" s="103"/>
      <c r="O144" s="104"/>
      <c r="P144" s="105"/>
      <c r="Q144" s="104"/>
      <c r="R144" s="107"/>
      <c r="S144" s="108"/>
    </row>
    <row r="145" spans="1:19">
      <c r="A145" s="97"/>
      <c r="B145" s="97"/>
      <c r="C145" s="97"/>
      <c r="D145" s="98"/>
      <c r="E145" s="98"/>
      <c r="F145" s="99"/>
      <c r="G145" s="99"/>
      <c r="H145" s="99"/>
      <c r="I145" s="100"/>
      <c r="J145" s="101"/>
      <c r="K145" s="102"/>
      <c r="L145" s="102"/>
      <c r="M145" s="102"/>
      <c r="N145" s="103"/>
      <c r="O145" s="104"/>
      <c r="P145" s="105"/>
      <c r="Q145" s="104"/>
      <c r="R145" s="107"/>
      <c r="S145" s="108"/>
    </row>
    <row r="146" spans="1:19">
      <c r="A146" s="97"/>
      <c r="B146" s="97"/>
      <c r="C146" s="97"/>
      <c r="D146" s="98"/>
      <c r="E146" s="98"/>
      <c r="F146" s="99"/>
      <c r="G146" s="99"/>
      <c r="H146" s="99"/>
      <c r="I146" s="100"/>
      <c r="J146" s="101"/>
      <c r="K146" s="102"/>
      <c r="L146" s="102"/>
      <c r="M146" s="102"/>
      <c r="N146" s="103"/>
      <c r="O146" s="104"/>
      <c r="P146" s="105"/>
      <c r="Q146" s="104"/>
      <c r="R146" s="107"/>
      <c r="S146" s="108"/>
    </row>
    <row r="147" spans="1:19">
      <c r="A147" s="97"/>
      <c r="B147" s="97"/>
      <c r="C147" s="97"/>
      <c r="D147" s="98"/>
      <c r="E147" s="98"/>
      <c r="F147" s="99"/>
      <c r="G147" s="99"/>
      <c r="H147" s="99"/>
      <c r="I147" s="100"/>
      <c r="J147" s="101"/>
      <c r="K147" s="102"/>
      <c r="L147" s="102"/>
      <c r="M147" s="102"/>
      <c r="N147" s="103"/>
      <c r="O147" s="104"/>
      <c r="P147" s="105"/>
      <c r="Q147" s="104"/>
      <c r="R147" s="107"/>
      <c r="S147" s="108"/>
    </row>
    <row r="148" spans="1:19">
      <c r="A148" s="97"/>
      <c r="B148" s="97"/>
      <c r="C148" s="97"/>
      <c r="D148" s="98"/>
      <c r="E148" s="98"/>
      <c r="F148" s="99"/>
      <c r="G148" s="99"/>
      <c r="H148" s="99"/>
      <c r="I148" s="100"/>
      <c r="J148" s="101"/>
      <c r="K148" s="102"/>
      <c r="L148" s="102"/>
      <c r="M148" s="102"/>
      <c r="N148" s="103"/>
      <c r="O148" s="104"/>
      <c r="P148" s="105"/>
      <c r="Q148" s="104"/>
      <c r="R148" s="107"/>
      <c r="S148" s="108"/>
    </row>
    <row r="149" spans="1:19">
      <c r="A149" s="97"/>
      <c r="B149" s="97"/>
      <c r="C149" s="97"/>
      <c r="D149" s="98"/>
      <c r="E149" s="98"/>
      <c r="F149" s="99"/>
      <c r="G149" s="99"/>
      <c r="H149" s="99"/>
      <c r="I149" s="100"/>
      <c r="J149" s="101"/>
      <c r="K149" s="102"/>
      <c r="L149" s="102"/>
      <c r="M149" s="102"/>
      <c r="N149" s="103"/>
      <c r="O149" s="104"/>
      <c r="P149" s="105"/>
      <c r="Q149" s="104"/>
      <c r="R149" s="107"/>
      <c r="S149" s="108"/>
    </row>
    <row r="150" spans="1:19">
      <c r="A150" s="97"/>
      <c r="B150" s="97"/>
      <c r="C150" s="97"/>
      <c r="D150" s="98"/>
      <c r="E150" s="98"/>
      <c r="F150" s="99"/>
      <c r="G150" s="99"/>
      <c r="H150" s="99"/>
      <c r="I150" s="100"/>
      <c r="J150" s="101"/>
      <c r="K150" s="102"/>
      <c r="L150" s="102"/>
      <c r="M150" s="102"/>
      <c r="N150" s="103"/>
      <c r="O150" s="104"/>
      <c r="P150" s="105"/>
      <c r="Q150" s="104"/>
      <c r="R150" s="107"/>
      <c r="S150" s="108"/>
    </row>
    <row r="151" spans="1:19">
      <c r="A151" s="97"/>
      <c r="B151" s="97"/>
      <c r="C151" s="97"/>
      <c r="D151" s="98"/>
      <c r="E151" s="98"/>
      <c r="F151" s="99"/>
      <c r="G151" s="99"/>
      <c r="H151" s="99"/>
      <c r="I151" s="100"/>
      <c r="J151" s="101"/>
      <c r="K151" s="102"/>
      <c r="L151" s="102"/>
      <c r="M151" s="102"/>
      <c r="N151" s="103"/>
      <c r="O151" s="104"/>
      <c r="P151" s="105"/>
      <c r="Q151" s="104"/>
      <c r="R151" s="107"/>
      <c r="S151" s="108"/>
    </row>
    <row r="152" spans="1:19">
      <c r="A152" s="97"/>
      <c r="B152" s="97"/>
      <c r="C152" s="97"/>
      <c r="D152" s="98"/>
      <c r="E152" s="98"/>
      <c r="F152" s="99"/>
      <c r="G152" s="99"/>
      <c r="H152" s="99"/>
      <c r="I152" s="100"/>
      <c r="J152" s="101"/>
      <c r="K152" s="102"/>
      <c r="L152" s="102"/>
      <c r="M152" s="102"/>
      <c r="N152" s="103"/>
      <c r="O152" s="104"/>
      <c r="P152" s="105"/>
      <c r="Q152" s="104"/>
      <c r="R152" s="107"/>
      <c r="S152" s="108"/>
    </row>
    <row r="153" spans="1:19">
      <c r="A153" s="97"/>
      <c r="B153" s="97"/>
      <c r="C153" s="97"/>
      <c r="D153" s="98"/>
      <c r="E153" s="98"/>
      <c r="F153" s="99"/>
      <c r="G153" s="99"/>
      <c r="H153" s="99"/>
      <c r="I153" s="100"/>
      <c r="J153" s="101"/>
      <c r="K153" s="102"/>
      <c r="L153" s="102"/>
      <c r="M153" s="102"/>
      <c r="N153" s="103"/>
      <c r="O153" s="104"/>
      <c r="P153" s="105"/>
      <c r="Q153" s="104"/>
      <c r="R153" s="107"/>
      <c r="S153" s="108"/>
    </row>
    <row r="154" spans="1:19">
      <c r="A154" s="97"/>
      <c r="B154" s="97"/>
      <c r="C154" s="97"/>
      <c r="D154" s="98"/>
      <c r="E154" s="98"/>
      <c r="F154" s="99"/>
      <c r="G154" s="99"/>
      <c r="H154" s="99"/>
      <c r="I154" s="100"/>
      <c r="J154" s="101"/>
      <c r="K154" s="102"/>
      <c r="L154" s="102"/>
      <c r="M154" s="102"/>
      <c r="N154" s="103"/>
      <c r="O154" s="104"/>
      <c r="P154" s="105"/>
      <c r="Q154" s="104"/>
      <c r="R154" s="107"/>
      <c r="S154" s="108"/>
    </row>
    <row r="155" spans="1:19">
      <c r="A155" s="97"/>
      <c r="B155" s="97"/>
      <c r="C155" s="97"/>
      <c r="D155" s="98"/>
      <c r="E155" s="98"/>
      <c r="F155" s="99"/>
      <c r="G155" s="99"/>
      <c r="H155" s="99"/>
      <c r="I155" s="100"/>
      <c r="J155" s="101"/>
      <c r="K155" s="102"/>
      <c r="L155" s="102"/>
      <c r="M155" s="102"/>
      <c r="N155" s="103"/>
      <c r="O155" s="104"/>
      <c r="P155" s="105"/>
      <c r="Q155" s="104"/>
      <c r="R155" s="107"/>
      <c r="S155" s="108"/>
    </row>
    <row r="156" spans="1:19">
      <c r="A156" s="97"/>
      <c r="B156" s="97"/>
      <c r="C156" s="97"/>
      <c r="D156" s="98"/>
      <c r="E156" s="98"/>
      <c r="F156" s="99"/>
      <c r="G156" s="99"/>
      <c r="H156" s="99"/>
      <c r="I156" s="100"/>
      <c r="J156" s="101"/>
      <c r="K156" s="102"/>
      <c r="L156" s="102"/>
      <c r="M156" s="102"/>
      <c r="N156" s="103"/>
      <c r="O156" s="104"/>
      <c r="P156" s="105"/>
      <c r="Q156" s="104"/>
      <c r="R156" s="107"/>
      <c r="S156" s="108"/>
    </row>
    <row r="157" spans="1:19">
      <c r="A157" s="97"/>
      <c r="B157" s="97"/>
      <c r="C157" s="97"/>
      <c r="D157" s="98"/>
      <c r="E157" s="98"/>
      <c r="F157" s="99"/>
      <c r="G157" s="99"/>
      <c r="H157" s="99"/>
      <c r="I157" s="100"/>
      <c r="J157" s="101"/>
      <c r="K157" s="102"/>
      <c r="L157" s="102"/>
      <c r="M157" s="102"/>
      <c r="N157" s="103"/>
      <c r="O157" s="104"/>
      <c r="P157" s="105"/>
      <c r="Q157" s="104"/>
      <c r="R157" s="107"/>
      <c r="S157" s="108"/>
    </row>
    <row r="158" spans="1:19">
      <c r="A158" s="97"/>
      <c r="B158" s="97"/>
      <c r="C158" s="97"/>
      <c r="D158" s="98"/>
      <c r="E158" s="98"/>
      <c r="F158" s="99"/>
      <c r="G158" s="99"/>
      <c r="H158" s="99"/>
      <c r="I158" s="100"/>
      <c r="J158" s="101"/>
      <c r="K158" s="102"/>
      <c r="L158" s="102"/>
      <c r="M158" s="102"/>
      <c r="N158" s="103"/>
      <c r="O158" s="104"/>
      <c r="P158" s="105"/>
      <c r="Q158" s="104"/>
      <c r="R158" s="107"/>
      <c r="S158" s="108"/>
    </row>
    <row r="159" spans="1:19">
      <c r="A159" s="97"/>
      <c r="B159" s="97"/>
      <c r="C159" s="97"/>
      <c r="D159" s="98"/>
      <c r="E159" s="98"/>
      <c r="F159" s="99"/>
      <c r="G159" s="99"/>
      <c r="H159" s="99"/>
      <c r="I159" s="100"/>
      <c r="J159" s="101"/>
      <c r="K159" s="102"/>
      <c r="L159" s="102"/>
      <c r="M159" s="102"/>
      <c r="N159" s="103"/>
      <c r="O159" s="104"/>
      <c r="P159" s="105"/>
      <c r="Q159" s="104"/>
      <c r="R159" s="107"/>
      <c r="S159" s="108"/>
    </row>
    <row r="160" spans="1:19">
      <c r="A160" s="97"/>
      <c r="B160" s="97"/>
      <c r="C160" s="97"/>
      <c r="D160" s="98"/>
      <c r="E160" s="98"/>
      <c r="F160" s="99"/>
      <c r="G160" s="99"/>
      <c r="H160" s="99"/>
      <c r="I160" s="100"/>
      <c r="J160" s="101"/>
      <c r="K160" s="102"/>
      <c r="L160" s="102"/>
      <c r="M160" s="102"/>
      <c r="N160" s="103"/>
      <c r="O160" s="104"/>
      <c r="P160" s="105"/>
      <c r="Q160" s="104"/>
      <c r="R160" s="107"/>
      <c r="S160" s="108"/>
    </row>
    <row r="161" spans="1:19">
      <c r="A161" s="97"/>
      <c r="B161" s="97"/>
      <c r="C161" s="97"/>
      <c r="D161" s="98"/>
      <c r="E161" s="98"/>
      <c r="F161" s="99"/>
      <c r="G161" s="99"/>
      <c r="H161" s="99"/>
      <c r="I161" s="100"/>
      <c r="J161" s="101"/>
      <c r="K161" s="102"/>
      <c r="L161" s="102"/>
      <c r="M161" s="102"/>
      <c r="N161" s="103"/>
      <c r="O161" s="104"/>
      <c r="P161" s="105"/>
      <c r="Q161" s="104"/>
      <c r="R161" s="107"/>
      <c r="S161" s="108"/>
    </row>
    <row r="162" spans="1:19">
      <c r="A162" s="97"/>
      <c r="B162" s="97"/>
      <c r="C162" s="97"/>
      <c r="D162" s="98"/>
      <c r="E162" s="98"/>
      <c r="F162" s="99"/>
      <c r="G162" s="99"/>
      <c r="H162" s="99"/>
      <c r="I162" s="100"/>
      <c r="J162" s="101"/>
      <c r="K162" s="102"/>
      <c r="L162" s="102"/>
      <c r="M162" s="102"/>
      <c r="N162" s="103"/>
      <c r="O162" s="104"/>
      <c r="P162" s="105"/>
      <c r="Q162" s="104"/>
      <c r="R162" s="107"/>
      <c r="S162" s="108"/>
    </row>
    <row r="163" spans="1:19">
      <c r="A163" s="97"/>
      <c r="B163" s="97"/>
      <c r="C163" s="97"/>
      <c r="D163" s="98"/>
      <c r="E163" s="98"/>
      <c r="F163" s="99"/>
      <c r="G163" s="99"/>
      <c r="H163" s="99"/>
      <c r="I163" s="100"/>
      <c r="J163" s="101"/>
      <c r="K163" s="102"/>
      <c r="L163" s="102"/>
      <c r="M163" s="102"/>
      <c r="N163" s="103"/>
      <c r="O163" s="104"/>
      <c r="P163" s="105"/>
      <c r="Q163" s="104"/>
      <c r="R163" s="107"/>
      <c r="S163" s="108"/>
    </row>
    <row r="164" spans="1:19">
      <c r="A164" s="97"/>
      <c r="B164" s="97"/>
      <c r="C164" s="97"/>
      <c r="D164" s="98"/>
      <c r="E164" s="98"/>
      <c r="F164" s="99"/>
      <c r="G164" s="99"/>
      <c r="H164" s="99"/>
      <c r="I164" s="100"/>
      <c r="J164" s="101"/>
      <c r="K164" s="102"/>
      <c r="L164" s="102"/>
      <c r="M164" s="102"/>
      <c r="N164" s="103"/>
      <c r="O164" s="104"/>
      <c r="P164" s="105"/>
      <c r="Q164" s="104"/>
      <c r="R164" s="107"/>
      <c r="S164" s="108"/>
    </row>
    <row r="165" spans="1:19">
      <c r="A165" s="97"/>
      <c r="B165" s="97"/>
      <c r="C165" s="97"/>
      <c r="D165" s="98"/>
      <c r="E165" s="98"/>
      <c r="F165" s="99"/>
      <c r="G165" s="99"/>
      <c r="H165" s="99"/>
      <c r="I165" s="100"/>
      <c r="J165" s="101"/>
      <c r="K165" s="102"/>
      <c r="L165" s="102"/>
      <c r="M165" s="102"/>
      <c r="N165" s="103"/>
      <c r="O165" s="104"/>
      <c r="P165" s="105"/>
      <c r="Q165" s="104"/>
      <c r="R165" s="107"/>
      <c r="S165" s="108"/>
    </row>
    <row r="166" spans="1:19">
      <c r="A166" s="97"/>
      <c r="B166" s="97"/>
      <c r="C166" s="97"/>
      <c r="D166" s="98"/>
      <c r="E166" s="98"/>
      <c r="F166" s="99"/>
      <c r="G166" s="99"/>
      <c r="H166" s="99"/>
      <c r="I166" s="100"/>
      <c r="J166" s="101"/>
      <c r="K166" s="102"/>
      <c r="L166" s="102"/>
      <c r="M166" s="102"/>
      <c r="N166" s="103"/>
      <c r="O166" s="104"/>
      <c r="P166" s="105"/>
      <c r="Q166" s="104"/>
      <c r="R166" s="107"/>
      <c r="S166" s="108"/>
    </row>
    <row r="167" spans="1:19">
      <c r="A167" s="97"/>
      <c r="B167" s="97"/>
      <c r="C167" s="97"/>
      <c r="D167" s="98"/>
      <c r="E167" s="98"/>
      <c r="F167" s="99"/>
      <c r="G167" s="99"/>
      <c r="H167" s="99"/>
      <c r="I167" s="100"/>
      <c r="J167" s="101"/>
      <c r="K167" s="102"/>
      <c r="L167" s="102"/>
      <c r="M167" s="102"/>
      <c r="N167" s="103"/>
      <c r="O167" s="104"/>
      <c r="P167" s="105"/>
      <c r="Q167" s="104"/>
      <c r="R167" s="107"/>
      <c r="S167" s="108"/>
    </row>
    <row r="168" spans="1:19">
      <c r="A168" s="97"/>
      <c r="B168" s="97"/>
      <c r="C168" s="97"/>
      <c r="D168" s="98"/>
      <c r="E168" s="98"/>
      <c r="F168" s="99"/>
      <c r="G168" s="99"/>
      <c r="H168" s="99"/>
      <c r="I168" s="100"/>
      <c r="J168" s="101"/>
      <c r="K168" s="102"/>
      <c r="L168" s="102"/>
      <c r="M168" s="102"/>
      <c r="N168" s="103"/>
      <c r="O168" s="104"/>
      <c r="P168" s="105"/>
      <c r="Q168" s="104"/>
      <c r="R168" s="107"/>
      <c r="S168" s="108"/>
    </row>
    <row r="169" spans="1:19">
      <c r="A169" s="97"/>
      <c r="B169" s="97"/>
      <c r="C169" s="97"/>
      <c r="D169" s="98"/>
      <c r="E169" s="98"/>
      <c r="F169" s="99"/>
      <c r="G169" s="99"/>
      <c r="H169" s="99"/>
      <c r="I169" s="100"/>
      <c r="J169" s="101"/>
      <c r="K169" s="102"/>
      <c r="L169" s="102"/>
      <c r="M169" s="102"/>
      <c r="N169" s="103"/>
      <c r="O169" s="104"/>
      <c r="P169" s="105"/>
      <c r="Q169" s="104"/>
      <c r="R169" s="107"/>
      <c r="S169" s="108"/>
    </row>
    <row r="170" spans="1:19">
      <c r="A170" s="97"/>
      <c r="B170" s="97"/>
      <c r="C170" s="97"/>
      <c r="D170" s="98"/>
      <c r="E170" s="98"/>
      <c r="F170" s="99"/>
      <c r="G170" s="99"/>
      <c r="H170" s="99"/>
      <c r="I170" s="100"/>
      <c r="J170" s="101"/>
      <c r="K170" s="102"/>
      <c r="L170" s="102"/>
      <c r="M170" s="102"/>
      <c r="N170" s="103"/>
      <c r="O170" s="104"/>
      <c r="P170" s="105"/>
      <c r="Q170" s="104"/>
      <c r="R170" s="107"/>
      <c r="S170" s="108"/>
    </row>
    <row r="171" spans="1:19">
      <c r="A171" s="97"/>
      <c r="B171" s="97"/>
      <c r="C171" s="97"/>
      <c r="D171" s="98"/>
      <c r="E171" s="98"/>
      <c r="F171" s="99"/>
      <c r="G171" s="99"/>
      <c r="H171" s="99"/>
      <c r="I171" s="100"/>
      <c r="J171" s="101"/>
      <c r="K171" s="102"/>
      <c r="L171" s="102"/>
      <c r="M171" s="102"/>
      <c r="N171" s="103"/>
      <c r="O171" s="104"/>
      <c r="P171" s="105"/>
      <c r="Q171" s="104"/>
      <c r="R171" s="107"/>
      <c r="S171" s="108"/>
    </row>
    <row r="172" spans="1:19">
      <c r="A172" s="97"/>
      <c r="B172" s="97"/>
      <c r="C172" s="97"/>
      <c r="D172" s="98"/>
      <c r="E172" s="98"/>
      <c r="F172" s="99"/>
      <c r="G172" s="99"/>
      <c r="H172" s="99"/>
      <c r="I172" s="100"/>
      <c r="J172" s="101"/>
      <c r="K172" s="102"/>
      <c r="L172" s="102"/>
      <c r="M172" s="102"/>
      <c r="N172" s="103"/>
      <c r="O172" s="104"/>
      <c r="P172" s="105"/>
      <c r="Q172" s="104"/>
      <c r="R172" s="107"/>
      <c r="S172" s="108"/>
    </row>
    <row r="173" spans="1:19">
      <c r="A173" s="97"/>
      <c r="B173" s="97"/>
      <c r="C173" s="97"/>
      <c r="D173" s="98"/>
      <c r="E173" s="98"/>
      <c r="F173" s="99"/>
      <c r="G173" s="99"/>
      <c r="H173" s="99"/>
      <c r="I173" s="100"/>
      <c r="J173" s="101"/>
      <c r="K173" s="102"/>
      <c r="L173" s="102"/>
      <c r="M173" s="102"/>
      <c r="N173" s="103"/>
      <c r="O173" s="104"/>
      <c r="P173" s="105"/>
      <c r="Q173" s="104"/>
      <c r="R173" s="107"/>
      <c r="S173" s="108"/>
    </row>
    <row r="174" spans="1:19">
      <c r="A174" s="97"/>
      <c r="B174" s="97"/>
      <c r="C174" s="97"/>
      <c r="D174" s="98"/>
      <c r="E174" s="98"/>
      <c r="F174" s="99"/>
      <c r="G174" s="99"/>
      <c r="H174" s="99"/>
      <c r="I174" s="100"/>
      <c r="J174" s="101"/>
      <c r="K174" s="102"/>
      <c r="L174" s="102"/>
      <c r="M174" s="102"/>
      <c r="N174" s="103"/>
      <c r="O174" s="104"/>
      <c r="P174" s="105"/>
      <c r="Q174" s="104"/>
      <c r="R174" s="107"/>
      <c r="S174" s="108"/>
    </row>
    <row r="175" spans="1:19">
      <c r="A175" s="97"/>
      <c r="B175" s="97"/>
      <c r="C175" s="97"/>
      <c r="D175" s="98"/>
      <c r="E175" s="98"/>
      <c r="F175" s="99"/>
      <c r="G175" s="99"/>
      <c r="H175" s="99"/>
      <c r="I175" s="100"/>
      <c r="J175" s="101"/>
      <c r="K175" s="102"/>
      <c r="L175" s="102"/>
      <c r="M175" s="102"/>
      <c r="N175" s="103"/>
      <c r="O175" s="104"/>
      <c r="P175" s="105"/>
      <c r="Q175" s="104"/>
      <c r="R175" s="107"/>
      <c r="S175" s="108"/>
    </row>
  </sheetData>
  <mergeCells count="4">
    <mergeCell ref="A1:E1"/>
    <mergeCell ref="G1:K1"/>
    <mergeCell ref="M1:P1"/>
    <mergeCell ref="Q1:S1"/>
  </mergeCells>
  <conditionalFormatting sqref="H3:H175">
    <cfRule type="cellIs" dxfId="7" priority="1" operator="between">
      <formula>13</formula>
      <formula>25</formula>
    </cfRule>
    <cfRule type="cellIs" dxfId="6" priority="2" operator="between">
      <formula>6</formula>
      <formula>12</formula>
    </cfRule>
    <cfRule type="cellIs" dxfId="5" priority="3" operator="between">
      <formula>1</formula>
      <formula>5</formula>
    </cfRule>
  </conditionalFormatting>
  <conditionalFormatting sqref="L3:L1048576">
    <cfRule type="containsText" dxfId="4" priority="4" operator="containsText" text="Low">
      <formula>NOT(ISERROR(SEARCH("Low",L3)))</formula>
    </cfRule>
    <cfRule type="containsText" dxfId="3" priority="5" operator="containsText" text="Medium">
      <formula>NOT(ISERROR(SEARCH("Medium",L3)))</formula>
    </cfRule>
    <cfRule type="containsText" dxfId="2" priority="6" operator="containsText" text="High">
      <formula>NOT(ISERROR(SEARCH("High",L3)))</formula>
    </cfRule>
  </conditionalFormatting>
  <dataValidations count="2">
    <dataValidation type="whole" allowBlank="1" showInputMessage="1" showErrorMessage="1" promptTitle="Impact" prompt="Threat = 1 to 5 (+ value)_x000a_Opportunity = -1 to -5 (- value)" sqref="F3:G32">
      <formula1>-5</formula1>
      <formula2>5</formula2>
    </dataValidation>
    <dataValidation allowBlank="1" showErrorMessage="1" promptTitle="Risk Status" prompt="This is the current status of the risk element_x000a__x000a_Active = Risk is being actively monitored and controlled_x000a__x000a_Dormant = Risk is not currently a high priority, but may become active in the future_x000a__x000a_Retired = Risk is no longer a threat to project objectives" sqref="R3:R32"/>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[2]List!#REF!</xm:f>
          </x14:formula1>
          <xm:sqref>B3:B1048576</xm:sqref>
        </x14:dataValidation>
        <x14:dataValidation type="list" allowBlank="1" showInputMessage="1" showErrorMessage="1">
          <x14:formula1>
            <xm:f>[2]List!#REF!</xm:f>
          </x14:formula1>
          <xm:sqref>Q3:Q1048576</xm:sqref>
        </x14:dataValidation>
        <x14:dataValidation type="list" allowBlank="1" showInputMessage="1" showErrorMessage="1">
          <x14:formula1>
            <xm:f>[2]List!#REF!</xm:f>
          </x14:formula1>
          <xm:sqref>O3:O1048576</xm:sqref>
        </x14:dataValidation>
        <x14:dataValidation type="list" allowBlank="1" showInputMessage="1" showErrorMessage="1">
          <x14:formula1>
            <xm:f>[2]List!#REF!</xm:f>
          </x14:formula1>
          <xm:sqref>M3:M1048576</xm:sqref>
        </x14:dataValidation>
        <x14:dataValidation type="list" allowBlank="1" showInputMessage="1" showErrorMessage="1">
          <x14:formula1>
            <xm:f>[2]List!#REF!</xm:f>
          </x14:formula1>
          <xm:sqref>L3:L1048576</xm:sqref>
        </x14:dataValidation>
        <x14:dataValidation type="list" allowBlank="1" showInputMessage="1" showErrorMessage="1">
          <x14:formula1>
            <xm:f>[2]List!#REF!</xm:f>
          </x14:formula1>
          <xm:sqref>C3:C1048576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2"/>
  <sheetViews>
    <sheetView zoomScale="67" zoomScaleNormal="53" workbookViewId="0">
      <pane xSplit="2" ySplit="2" topLeftCell="C3" activePane="bottomRight" state="frozen"/>
      <selection pane="topRight" activeCell="C1" sqref="C1"/>
      <selection pane="bottomLeft" activeCell="A3" sqref="A3"/>
      <selection pane="bottomRight" activeCell="D2" sqref="A2:D17"/>
    </sheetView>
  </sheetViews>
  <sheetFormatPr defaultColWidth="14.5" defaultRowHeight="14.25"/>
  <cols>
    <col min="1" max="1" width="8.5" style="113" customWidth="1"/>
    <col min="2" max="2" width="27.625" style="113" customWidth="1"/>
    <col min="3" max="3" width="27.125" style="151" customWidth="1"/>
    <col min="4" max="4" width="25.375" style="113" customWidth="1"/>
    <col min="5" max="6" width="30.875" style="113" customWidth="1"/>
    <col min="7" max="7" width="25.375" style="151" customWidth="1"/>
    <col min="8" max="8" width="24.5" style="113" customWidth="1"/>
    <col min="9" max="9" width="28.875" style="113" customWidth="1"/>
    <col min="10" max="10" width="16.375" style="113" customWidth="1"/>
    <col min="11" max="11" width="16" style="113" customWidth="1"/>
    <col min="12" max="12" width="16.625" style="113" customWidth="1"/>
    <col min="13" max="13" width="28.125" style="113" customWidth="1"/>
    <col min="14" max="14" width="18.625" style="113" customWidth="1"/>
    <col min="15" max="15" width="22.5" style="113" customWidth="1"/>
    <col min="16" max="16" width="50.125" style="113" customWidth="1"/>
    <col min="17" max="17" width="54.5" style="113" customWidth="1"/>
    <col min="18" max="18" width="9.125" style="113" customWidth="1"/>
    <col min="19" max="19" width="8.375" style="113" customWidth="1"/>
    <col min="20" max="27" width="8.375" style="113" hidden="1" customWidth="1"/>
    <col min="28" max="16384" width="14.5" style="113"/>
  </cols>
  <sheetData>
    <row r="1" spans="1:27" ht="15">
      <c r="A1" s="111" t="s">
        <v>290</v>
      </c>
      <c r="B1" s="111"/>
      <c r="C1" s="111"/>
      <c r="D1" s="111"/>
      <c r="E1" s="111"/>
      <c r="F1" s="111"/>
      <c r="G1" s="111"/>
      <c r="H1" s="111"/>
      <c r="I1" s="111"/>
      <c r="J1" s="111"/>
      <c r="K1" s="111"/>
      <c r="L1" s="111"/>
      <c r="M1" s="111"/>
      <c r="N1" s="111"/>
      <c r="O1" s="111"/>
      <c r="P1" s="111"/>
      <c r="Q1" s="111"/>
      <c r="R1" s="112"/>
      <c r="S1" s="112"/>
      <c r="T1" s="112"/>
      <c r="U1" s="112"/>
      <c r="V1" s="112"/>
      <c r="W1" s="112"/>
      <c r="X1" s="112"/>
      <c r="Y1" s="112"/>
      <c r="Z1" s="112"/>
      <c r="AA1" s="112"/>
    </row>
    <row r="2" spans="1:27">
      <c r="A2" s="114" t="s">
        <v>291</v>
      </c>
      <c r="B2" s="114" t="s">
        <v>292</v>
      </c>
      <c r="C2" s="114" t="s">
        <v>293</v>
      </c>
      <c r="D2" s="114" t="s">
        <v>294</v>
      </c>
      <c r="E2" s="114" t="s">
        <v>295</v>
      </c>
      <c r="F2" s="114" t="s">
        <v>210</v>
      </c>
      <c r="G2" s="114" t="s">
        <v>296</v>
      </c>
      <c r="H2" s="114" t="s">
        <v>297</v>
      </c>
      <c r="I2" s="114" t="s">
        <v>298</v>
      </c>
      <c r="J2" s="114" t="s">
        <v>299</v>
      </c>
      <c r="K2" s="114" t="s">
        <v>300</v>
      </c>
      <c r="L2" s="114" t="s">
        <v>301</v>
      </c>
      <c r="M2" s="114" t="s">
        <v>302</v>
      </c>
      <c r="N2" s="114" t="s">
        <v>303</v>
      </c>
      <c r="O2" s="114" t="s">
        <v>9</v>
      </c>
      <c r="P2" s="114" t="s">
        <v>304</v>
      </c>
      <c r="Q2" s="114" t="s">
        <v>27</v>
      </c>
      <c r="R2" s="115"/>
      <c r="S2" s="115"/>
      <c r="T2" s="115"/>
      <c r="U2" s="115"/>
      <c r="V2" s="115"/>
      <c r="W2" s="115"/>
      <c r="X2" s="115"/>
      <c r="Y2" s="115"/>
      <c r="Z2" s="115"/>
      <c r="AA2" s="115"/>
    </row>
    <row r="3" spans="1:27" ht="30">
      <c r="A3" s="116">
        <v>1</v>
      </c>
      <c r="B3" s="117" t="s">
        <v>305</v>
      </c>
      <c r="C3" s="118" t="s">
        <v>306</v>
      </c>
      <c r="D3" s="119" t="s">
        <v>307</v>
      </c>
      <c r="E3" s="120">
        <v>46382</v>
      </c>
      <c r="F3" s="120" t="s">
        <v>308</v>
      </c>
      <c r="G3" s="117" t="s">
        <v>309</v>
      </c>
      <c r="H3" s="121">
        <v>46345</v>
      </c>
      <c r="I3" s="121">
        <v>46348</v>
      </c>
      <c r="J3" s="122">
        <f t="shared" ref="J3:J16" si="0">I3-H3+1</f>
        <v>4</v>
      </c>
      <c r="K3" s="121">
        <v>46339</v>
      </c>
      <c r="L3" s="123">
        <f t="shared" ref="L3:L17" si="1">I3-K3+1</f>
        <v>10</v>
      </c>
      <c r="M3" s="122" t="s">
        <v>310</v>
      </c>
      <c r="N3" s="124" t="s">
        <v>311</v>
      </c>
      <c r="O3" s="125" t="s">
        <v>312</v>
      </c>
      <c r="P3" s="126" t="s">
        <v>313</v>
      </c>
      <c r="Q3" s="117"/>
      <c r="R3" s="112"/>
      <c r="S3" s="112"/>
      <c r="T3" s="127" t="e">
        <f>MATCH(J3,#REF!,0)</f>
        <v>#REF!</v>
      </c>
      <c r="U3" s="127" t="e">
        <f>MATCH(L3,#REF!,0)</f>
        <v>#REF!</v>
      </c>
      <c r="V3" s="128"/>
      <c r="W3" s="129"/>
      <c r="X3" s="129"/>
      <c r="Y3" s="129"/>
      <c r="Z3" s="129"/>
      <c r="AA3" s="130"/>
    </row>
    <row r="4" spans="1:27" ht="25.5">
      <c r="A4" s="116">
        <v>2</v>
      </c>
      <c r="B4" s="117" t="s">
        <v>314</v>
      </c>
      <c r="C4" s="118" t="s">
        <v>315</v>
      </c>
      <c r="D4" s="119" t="s">
        <v>316</v>
      </c>
      <c r="E4" s="120">
        <v>46382</v>
      </c>
      <c r="F4" s="120" t="s">
        <v>317</v>
      </c>
      <c r="G4" s="117" t="s">
        <v>318</v>
      </c>
      <c r="H4" s="121">
        <v>46380</v>
      </c>
      <c r="I4" s="121">
        <v>46384</v>
      </c>
      <c r="J4" s="122">
        <f t="shared" si="0"/>
        <v>5</v>
      </c>
      <c r="K4" s="121">
        <v>46380</v>
      </c>
      <c r="L4" s="123">
        <f t="shared" si="1"/>
        <v>5</v>
      </c>
      <c r="M4" s="122" t="s">
        <v>319</v>
      </c>
      <c r="N4" s="124" t="s">
        <v>2</v>
      </c>
      <c r="O4" s="125" t="s">
        <v>312</v>
      </c>
      <c r="P4" s="126" t="s">
        <v>320</v>
      </c>
      <c r="Q4" s="117"/>
      <c r="R4" s="112"/>
      <c r="S4" s="112"/>
      <c r="T4" s="127"/>
      <c r="U4" s="127"/>
      <c r="V4" s="131"/>
      <c r="W4" s="131"/>
      <c r="X4" s="131"/>
      <c r="Y4" s="131"/>
      <c r="Z4" s="131"/>
      <c r="AA4" s="131"/>
    </row>
    <row r="5" spans="1:27" ht="25.5">
      <c r="A5" s="116">
        <v>3</v>
      </c>
      <c r="B5" s="117" t="s">
        <v>321</v>
      </c>
      <c r="C5" s="118" t="s">
        <v>322</v>
      </c>
      <c r="D5" s="119" t="s">
        <v>6</v>
      </c>
      <c r="E5" s="120">
        <v>46399</v>
      </c>
      <c r="F5" s="120" t="s">
        <v>228</v>
      </c>
      <c r="G5" s="117" t="s">
        <v>323</v>
      </c>
      <c r="H5" s="121">
        <v>46392</v>
      </c>
      <c r="I5" s="132">
        <v>46404</v>
      </c>
      <c r="J5" s="122">
        <f t="shared" si="0"/>
        <v>13</v>
      </c>
      <c r="K5" s="121">
        <v>46393</v>
      </c>
      <c r="L5" s="123">
        <f t="shared" si="1"/>
        <v>12</v>
      </c>
      <c r="M5" s="122" t="s">
        <v>319</v>
      </c>
      <c r="N5" s="124" t="s">
        <v>324</v>
      </c>
      <c r="O5" s="125" t="s">
        <v>312</v>
      </c>
      <c r="P5" s="126" t="s">
        <v>325</v>
      </c>
      <c r="Q5" s="116"/>
      <c r="R5" s="112"/>
      <c r="S5" s="112"/>
      <c r="T5" s="127"/>
      <c r="U5" s="127"/>
      <c r="V5" s="112"/>
      <c r="W5" s="112"/>
      <c r="X5" s="112"/>
      <c r="Y5" s="112"/>
      <c r="Z5" s="112"/>
      <c r="AA5" s="112"/>
    </row>
    <row r="6" spans="1:27" ht="25.5">
      <c r="A6" s="116">
        <v>4</v>
      </c>
      <c r="B6" s="117" t="s">
        <v>326</v>
      </c>
      <c r="C6" s="118" t="s">
        <v>327</v>
      </c>
      <c r="D6" s="119" t="s">
        <v>5</v>
      </c>
      <c r="E6" s="120">
        <v>46399</v>
      </c>
      <c r="F6" s="120" t="s">
        <v>328</v>
      </c>
      <c r="G6" s="117" t="s">
        <v>329</v>
      </c>
      <c r="H6" s="121">
        <v>46399</v>
      </c>
      <c r="I6" s="132">
        <v>46404</v>
      </c>
      <c r="J6" s="122">
        <f t="shared" si="0"/>
        <v>6</v>
      </c>
      <c r="K6" s="121">
        <v>46387</v>
      </c>
      <c r="L6" s="123">
        <f t="shared" si="1"/>
        <v>18</v>
      </c>
      <c r="M6" s="122" t="s">
        <v>310</v>
      </c>
      <c r="N6" s="124" t="s">
        <v>3</v>
      </c>
      <c r="O6" s="125" t="s">
        <v>312</v>
      </c>
      <c r="P6" s="126" t="s">
        <v>325</v>
      </c>
      <c r="Q6" s="116"/>
      <c r="R6" s="112"/>
      <c r="S6" s="112"/>
      <c r="T6" s="127"/>
      <c r="U6" s="127"/>
      <c r="V6" s="112"/>
      <c r="W6" s="112"/>
      <c r="X6" s="112"/>
      <c r="Y6" s="112"/>
      <c r="Z6" s="112"/>
      <c r="AA6" s="112"/>
    </row>
    <row r="7" spans="1:27" ht="15">
      <c r="A7" s="116">
        <v>5</v>
      </c>
      <c r="B7" s="117" t="s">
        <v>330</v>
      </c>
      <c r="C7" s="118" t="s">
        <v>331</v>
      </c>
      <c r="D7" s="119" t="s">
        <v>307</v>
      </c>
      <c r="E7" s="120">
        <v>46382</v>
      </c>
      <c r="F7" s="120" t="s">
        <v>328</v>
      </c>
      <c r="G7" s="117" t="s">
        <v>332</v>
      </c>
      <c r="H7" s="121">
        <v>46407</v>
      </c>
      <c r="I7" s="132">
        <v>46426</v>
      </c>
      <c r="J7" s="122">
        <f t="shared" si="0"/>
        <v>20</v>
      </c>
      <c r="K7" s="121">
        <v>46407</v>
      </c>
      <c r="L7" s="123">
        <f t="shared" si="1"/>
        <v>20</v>
      </c>
      <c r="M7" s="122" t="s">
        <v>319</v>
      </c>
      <c r="N7" s="124" t="s">
        <v>324</v>
      </c>
      <c r="O7" s="125" t="s">
        <v>312</v>
      </c>
      <c r="P7" s="126" t="s">
        <v>333</v>
      </c>
      <c r="Q7" s="116"/>
      <c r="R7" s="112"/>
      <c r="S7" s="112"/>
      <c r="T7" s="127"/>
      <c r="U7" s="127"/>
      <c r="V7" s="112"/>
      <c r="W7" s="112"/>
      <c r="X7" s="112"/>
      <c r="Y7" s="112"/>
      <c r="Z7" s="112"/>
      <c r="AA7" s="112"/>
    </row>
    <row r="8" spans="1:27" ht="25.5">
      <c r="A8" s="116">
        <v>6</v>
      </c>
      <c r="B8" s="117" t="s">
        <v>334</v>
      </c>
      <c r="C8" s="118" t="s">
        <v>306</v>
      </c>
      <c r="D8" s="119" t="s">
        <v>316</v>
      </c>
      <c r="E8" s="120">
        <v>46382</v>
      </c>
      <c r="F8" s="120" t="s">
        <v>317</v>
      </c>
      <c r="G8" s="117" t="s">
        <v>335</v>
      </c>
      <c r="H8" s="121">
        <v>46407</v>
      </c>
      <c r="I8" s="132">
        <v>46425</v>
      </c>
      <c r="J8" s="122">
        <f t="shared" si="0"/>
        <v>19</v>
      </c>
      <c r="K8" s="121">
        <v>46402</v>
      </c>
      <c r="L8" s="123">
        <f t="shared" si="1"/>
        <v>24</v>
      </c>
      <c r="M8" s="122" t="s">
        <v>310</v>
      </c>
      <c r="N8" s="124" t="s">
        <v>1</v>
      </c>
      <c r="O8" s="125" t="s">
        <v>312</v>
      </c>
      <c r="P8" s="126" t="s">
        <v>336</v>
      </c>
      <c r="Q8" s="116"/>
      <c r="R8" s="112"/>
      <c r="S8" s="112"/>
      <c r="T8" s="127"/>
      <c r="U8" s="127"/>
      <c r="V8" s="112"/>
      <c r="W8" s="112"/>
      <c r="X8" s="112"/>
      <c r="Y8" s="112"/>
      <c r="Z8" s="112"/>
      <c r="AA8" s="112"/>
    </row>
    <row r="9" spans="1:27" ht="30">
      <c r="A9" s="133">
        <v>7</v>
      </c>
      <c r="B9" s="134" t="s">
        <v>337</v>
      </c>
      <c r="C9" s="118" t="s">
        <v>315</v>
      </c>
      <c r="D9" s="119" t="s">
        <v>6</v>
      </c>
      <c r="E9" s="135">
        <v>46415</v>
      </c>
      <c r="F9" s="120" t="s">
        <v>228</v>
      </c>
      <c r="G9" s="136" t="s">
        <v>338</v>
      </c>
      <c r="H9" s="137">
        <v>46405</v>
      </c>
      <c r="I9" s="137">
        <v>46418</v>
      </c>
      <c r="J9" s="138">
        <f t="shared" si="0"/>
        <v>14</v>
      </c>
      <c r="K9" s="139">
        <v>46394</v>
      </c>
      <c r="L9" s="140">
        <f t="shared" si="1"/>
        <v>25</v>
      </c>
      <c r="M9" s="138" t="s">
        <v>319</v>
      </c>
      <c r="N9" s="141" t="s">
        <v>2</v>
      </c>
      <c r="O9" s="142" t="s">
        <v>0</v>
      </c>
      <c r="P9" s="134" t="s">
        <v>339</v>
      </c>
      <c r="Q9" s="133"/>
      <c r="R9" s="112"/>
      <c r="S9" s="112"/>
      <c r="T9" s="127"/>
      <c r="U9" s="127"/>
      <c r="V9" s="112"/>
      <c r="W9" s="112"/>
      <c r="X9" s="112"/>
      <c r="Y9" s="112"/>
      <c r="Z9" s="112"/>
      <c r="AA9" s="112"/>
    </row>
    <row r="10" spans="1:27" ht="30">
      <c r="A10" s="116">
        <v>8</v>
      </c>
      <c r="B10" s="117" t="s">
        <v>340</v>
      </c>
      <c r="C10" s="118" t="s">
        <v>322</v>
      </c>
      <c r="D10" s="119" t="s">
        <v>5</v>
      </c>
      <c r="E10" s="143">
        <v>46440</v>
      </c>
      <c r="F10" s="120" t="s">
        <v>308</v>
      </c>
      <c r="G10" s="117" t="s">
        <v>341</v>
      </c>
      <c r="H10" s="132">
        <v>46428</v>
      </c>
      <c r="I10" s="132">
        <v>46447</v>
      </c>
      <c r="J10" s="122">
        <f t="shared" si="0"/>
        <v>20</v>
      </c>
      <c r="K10" s="121">
        <v>46402</v>
      </c>
      <c r="L10" s="123">
        <f t="shared" si="1"/>
        <v>46</v>
      </c>
      <c r="M10" s="122" t="s">
        <v>319</v>
      </c>
      <c r="N10" s="124" t="s">
        <v>311</v>
      </c>
      <c r="O10" s="142" t="s">
        <v>0</v>
      </c>
      <c r="P10" s="126" t="s">
        <v>333</v>
      </c>
      <c r="Q10" s="116"/>
      <c r="R10" s="112"/>
      <c r="S10" s="112"/>
      <c r="T10" s="127"/>
      <c r="U10" s="127"/>
      <c r="V10" s="112"/>
      <c r="W10" s="112"/>
      <c r="X10" s="112"/>
      <c r="Y10" s="112"/>
      <c r="Z10" s="112"/>
      <c r="AA10" s="112"/>
    </row>
    <row r="11" spans="1:27" ht="15">
      <c r="A11" s="133">
        <v>9</v>
      </c>
      <c r="B11" s="117" t="s">
        <v>342</v>
      </c>
      <c r="C11" s="118" t="s">
        <v>327</v>
      </c>
      <c r="D11" s="119" t="s">
        <v>6</v>
      </c>
      <c r="E11" s="120">
        <v>46382</v>
      </c>
      <c r="F11" s="120" t="s">
        <v>317</v>
      </c>
      <c r="G11" s="117" t="s">
        <v>343</v>
      </c>
      <c r="H11" s="132">
        <v>46433</v>
      </c>
      <c r="I11" s="132">
        <v>46437</v>
      </c>
      <c r="J11" s="122">
        <f t="shared" si="0"/>
        <v>5</v>
      </c>
      <c r="K11" s="121">
        <v>46418</v>
      </c>
      <c r="L11" s="123">
        <f t="shared" si="1"/>
        <v>20</v>
      </c>
      <c r="M11" s="122" t="s">
        <v>310</v>
      </c>
      <c r="N11" s="124" t="s">
        <v>2</v>
      </c>
      <c r="O11" s="142" t="s">
        <v>312</v>
      </c>
      <c r="P11" s="126" t="s">
        <v>344</v>
      </c>
      <c r="Q11" s="116"/>
      <c r="R11" s="112"/>
      <c r="S11" s="112"/>
      <c r="T11" s="127"/>
      <c r="U11" s="127"/>
      <c r="V11" s="112"/>
      <c r="W11" s="112"/>
      <c r="X11" s="112"/>
      <c r="Y11" s="112"/>
      <c r="Z11" s="112"/>
      <c r="AA11" s="112"/>
    </row>
    <row r="12" spans="1:27" ht="25.5">
      <c r="A12" s="116">
        <v>10</v>
      </c>
      <c r="B12" s="117" t="s">
        <v>345</v>
      </c>
      <c r="C12" s="118" t="s">
        <v>331</v>
      </c>
      <c r="D12" s="119" t="s">
        <v>5</v>
      </c>
      <c r="E12" s="120">
        <v>46382</v>
      </c>
      <c r="F12" s="120" t="s">
        <v>228</v>
      </c>
      <c r="G12" s="117" t="s">
        <v>346</v>
      </c>
      <c r="H12" s="132">
        <v>46438</v>
      </c>
      <c r="I12" s="132">
        <v>46441</v>
      </c>
      <c r="J12" s="122">
        <f t="shared" si="0"/>
        <v>4</v>
      </c>
      <c r="K12" s="121">
        <v>46425</v>
      </c>
      <c r="L12" s="123">
        <f t="shared" si="1"/>
        <v>17</v>
      </c>
      <c r="M12" s="122" t="s">
        <v>310</v>
      </c>
      <c r="N12" s="124" t="s">
        <v>324</v>
      </c>
      <c r="O12" s="142" t="s">
        <v>312</v>
      </c>
      <c r="P12" s="126" t="s">
        <v>333</v>
      </c>
      <c r="Q12" s="116"/>
      <c r="R12" s="112"/>
      <c r="S12" s="112"/>
      <c r="T12" s="127"/>
      <c r="U12" s="127"/>
      <c r="V12" s="112"/>
      <c r="W12" s="112"/>
      <c r="X12" s="112"/>
      <c r="Y12" s="112"/>
      <c r="Z12" s="112"/>
      <c r="AA12" s="112"/>
    </row>
    <row r="13" spans="1:27" ht="25.5">
      <c r="A13" s="133">
        <v>11</v>
      </c>
      <c r="B13" s="117" t="s">
        <v>347</v>
      </c>
      <c r="C13" s="118" t="s">
        <v>306</v>
      </c>
      <c r="D13" s="119" t="s">
        <v>307</v>
      </c>
      <c r="E13" s="143">
        <v>46445</v>
      </c>
      <c r="F13" s="143" t="s">
        <v>308</v>
      </c>
      <c r="G13" s="117" t="s">
        <v>346</v>
      </c>
      <c r="H13" s="132">
        <v>46444</v>
      </c>
      <c r="I13" s="132">
        <v>46446</v>
      </c>
      <c r="J13" s="122">
        <f t="shared" si="0"/>
        <v>3</v>
      </c>
      <c r="K13" s="121">
        <v>46422</v>
      </c>
      <c r="L13" s="123">
        <f t="shared" si="1"/>
        <v>25</v>
      </c>
      <c r="M13" s="122" t="s">
        <v>310</v>
      </c>
      <c r="N13" s="124" t="s">
        <v>3</v>
      </c>
      <c r="O13" s="142" t="s">
        <v>312</v>
      </c>
      <c r="P13" s="117"/>
      <c r="Q13" s="116"/>
      <c r="R13" s="112"/>
      <c r="S13" s="112"/>
      <c r="T13" s="127"/>
      <c r="U13" s="127"/>
      <c r="V13" s="112"/>
      <c r="W13" s="112"/>
      <c r="X13" s="112"/>
      <c r="Y13" s="112"/>
      <c r="Z13" s="112"/>
      <c r="AA13" s="112"/>
    </row>
    <row r="14" spans="1:27" ht="30">
      <c r="A14" s="116">
        <v>12</v>
      </c>
      <c r="B14" s="117" t="s">
        <v>345</v>
      </c>
      <c r="C14" s="118" t="s">
        <v>315</v>
      </c>
      <c r="D14" s="119" t="s">
        <v>316</v>
      </c>
      <c r="E14" s="120">
        <v>46382</v>
      </c>
      <c r="F14" s="120" t="s">
        <v>228</v>
      </c>
      <c r="G14" s="126" t="s">
        <v>348</v>
      </c>
      <c r="H14" s="132">
        <v>46445</v>
      </c>
      <c r="I14" s="132">
        <v>46448</v>
      </c>
      <c r="J14" s="122">
        <f t="shared" si="0"/>
        <v>4</v>
      </c>
      <c r="K14" s="121">
        <v>46425</v>
      </c>
      <c r="L14" s="123">
        <f t="shared" si="1"/>
        <v>24</v>
      </c>
      <c r="M14" s="122" t="s">
        <v>319</v>
      </c>
      <c r="N14" s="124" t="s">
        <v>324</v>
      </c>
      <c r="O14" s="142" t="s">
        <v>312</v>
      </c>
      <c r="P14" s="117" t="s">
        <v>349</v>
      </c>
      <c r="Q14" s="116"/>
      <c r="R14" s="112"/>
      <c r="S14" s="112"/>
      <c r="T14" s="127"/>
      <c r="U14" s="127"/>
      <c r="V14" s="112"/>
      <c r="W14" s="112"/>
      <c r="X14" s="112"/>
      <c r="Y14" s="112"/>
      <c r="Z14" s="112"/>
      <c r="AA14" s="112"/>
    </row>
    <row r="15" spans="1:27" ht="30">
      <c r="A15" s="133">
        <v>13</v>
      </c>
      <c r="B15" s="117" t="s">
        <v>350</v>
      </c>
      <c r="C15" s="118" t="s">
        <v>322</v>
      </c>
      <c r="D15" s="119" t="s">
        <v>5</v>
      </c>
      <c r="E15" s="143">
        <v>46445</v>
      </c>
      <c r="F15" s="120" t="s">
        <v>328</v>
      </c>
      <c r="G15" s="126" t="s">
        <v>351</v>
      </c>
      <c r="H15" s="132">
        <v>46435</v>
      </c>
      <c r="I15" s="132">
        <v>46450</v>
      </c>
      <c r="J15" s="122">
        <f t="shared" si="0"/>
        <v>16</v>
      </c>
      <c r="K15" s="121">
        <v>46403</v>
      </c>
      <c r="L15" s="123">
        <f t="shared" si="1"/>
        <v>48</v>
      </c>
      <c r="M15" s="122" t="s">
        <v>319</v>
      </c>
      <c r="N15" s="124" t="s">
        <v>1</v>
      </c>
      <c r="O15" s="142" t="s">
        <v>312</v>
      </c>
      <c r="P15" s="117"/>
      <c r="Q15" s="116"/>
      <c r="R15" s="112"/>
      <c r="S15" s="112"/>
      <c r="T15" s="127"/>
      <c r="U15" s="127"/>
      <c r="V15" s="112"/>
      <c r="W15" s="112"/>
      <c r="X15" s="112"/>
      <c r="Y15" s="112"/>
      <c r="Z15" s="112"/>
      <c r="AA15" s="112"/>
    </row>
    <row r="16" spans="1:27" ht="25.5">
      <c r="A16" s="116">
        <v>14</v>
      </c>
      <c r="B16" s="117" t="s">
        <v>352</v>
      </c>
      <c r="C16" s="118" t="s">
        <v>327</v>
      </c>
      <c r="D16" s="119" t="s">
        <v>307</v>
      </c>
      <c r="E16" s="120">
        <v>46382</v>
      </c>
      <c r="F16" s="120" t="s">
        <v>317</v>
      </c>
      <c r="G16" s="117" t="s">
        <v>335</v>
      </c>
      <c r="H16" s="132">
        <v>46451</v>
      </c>
      <c r="I16" s="132">
        <v>46481</v>
      </c>
      <c r="J16" s="122">
        <f t="shared" si="0"/>
        <v>31</v>
      </c>
      <c r="K16" s="121">
        <v>46418</v>
      </c>
      <c r="L16" s="123">
        <f t="shared" si="1"/>
        <v>64</v>
      </c>
      <c r="M16" s="122" t="s">
        <v>310</v>
      </c>
      <c r="N16" s="141" t="s">
        <v>2</v>
      </c>
      <c r="O16" s="144" t="s">
        <v>0</v>
      </c>
      <c r="P16" s="117"/>
      <c r="Q16" s="116"/>
      <c r="R16" s="112"/>
      <c r="S16" s="112"/>
      <c r="T16" s="127"/>
      <c r="U16" s="127"/>
      <c r="V16" s="112"/>
      <c r="W16" s="112"/>
      <c r="X16" s="112"/>
      <c r="Y16" s="112"/>
      <c r="Z16" s="112"/>
      <c r="AA16" s="112"/>
    </row>
    <row r="17" spans="1:27" ht="25.5">
      <c r="A17" s="133">
        <v>15</v>
      </c>
      <c r="B17" s="117" t="s">
        <v>353</v>
      </c>
      <c r="C17" s="118" t="s">
        <v>331</v>
      </c>
      <c r="D17" s="119" t="s">
        <v>6</v>
      </c>
      <c r="E17" s="143">
        <v>46460</v>
      </c>
      <c r="F17" s="120" t="s">
        <v>228</v>
      </c>
      <c r="G17" s="117" t="s">
        <v>346</v>
      </c>
      <c r="H17" s="132">
        <v>46462</v>
      </c>
      <c r="I17" s="132">
        <v>46467</v>
      </c>
      <c r="J17" s="122">
        <f>I17-H17+1</f>
        <v>6</v>
      </c>
      <c r="K17" s="121">
        <v>46428</v>
      </c>
      <c r="L17" s="123">
        <f t="shared" si="1"/>
        <v>40</v>
      </c>
      <c r="M17" s="122" t="s">
        <v>319</v>
      </c>
      <c r="N17" s="124" t="s">
        <v>1</v>
      </c>
      <c r="O17" s="142" t="s">
        <v>312</v>
      </c>
      <c r="P17" s="126" t="s">
        <v>354</v>
      </c>
      <c r="Q17" s="116"/>
      <c r="R17" s="112"/>
      <c r="S17" s="112"/>
      <c r="T17" s="127"/>
      <c r="U17" s="127"/>
      <c r="V17" s="112"/>
      <c r="W17" s="112"/>
      <c r="X17" s="112"/>
      <c r="Y17" s="112"/>
      <c r="Z17" s="112"/>
      <c r="AA17" s="112"/>
    </row>
    <row r="18" spans="1:27" ht="15">
      <c r="A18" s="116"/>
      <c r="B18" s="117"/>
      <c r="C18" s="145"/>
      <c r="D18" s="116"/>
      <c r="E18" s="143"/>
      <c r="F18" s="143"/>
      <c r="G18" s="117"/>
      <c r="H18" s="132"/>
      <c r="I18" s="132"/>
      <c r="J18" s="122"/>
      <c r="K18" s="121"/>
      <c r="L18" s="123"/>
      <c r="M18" s="122"/>
      <c r="N18" s="124"/>
      <c r="O18" s="122"/>
      <c r="P18" s="117"/>
      <c r="Q18" s="116"/>
      <c r="R18" s="112"/>
      <c r="S18" s="112"/>
      <c r="T18" s="127"/>
      <c r="U18" s="127"/>
      <c r="V18" s="112"/>
      <c r="W18" s="112"/>
      <c r="X18" s="112"/>
      <c r="Y18" s="112"/>
      <c r="Z18" s="112"/>
      <c r="AA18" s="112"/>
    </row>
    <row r="19" spans="1:27">
      <c r="A19" s="112"/>
      <c r="B19" s="112"/>
      <c r="C19" s="146"/>
      <c r="D19" s="127"/>
      <c r="E19" s="127"/>
      <c r="F19" s="127"/>
      <c r="G19" s="146"/>
      <c r="H19" s="112"/>
      <c r="I19" s="112"/>
      <c r="J19" s="112"/>
      <c r="K19" s="112"/>
      <c r="L19" s="112"/>
      <c r="M19" s="112"/>
      <c r="N19" s="112"/>
      <c r="O19" s="112"/>
      <c r="P19" s="112"/>
      <c r="Q19" s="112"/>
      <c r="R19" s="112"/>
      <c r="S19" s="112"/>
      <c r="T19" s="112"/>
      <c r="U19" s="112"/>
      <c r="V19" s="112"/>
      <c r="W19" s="112"/>
      <c r="X19" s="112"/>
      <c r="Y19" s="112"/>
      <c r="Z19" s="112"/>
      <c r="AA19" s="112"/>
    </row>
    <row r="20" spans="1:27">
      <c r="A20" s="147"/>
      <c r="B20" s="147"/>
      <c r="C20" s="148"/>
      <c r="D20" s="149"/>
      <c r="E20" s="149"/>
      <c r="F20" s="149"/>
      <c r="G20" s="148"/>
      <c r="H20" s="147"/>
      <c r="I20" s="147"/>
      <c r="J20" s="147"/>
      <c r="K20" s="147"/>
      <c r="L20" s="147"/>
      <c r="N20" s="147"/>
      <c r="P20" s="147"/>
      <c r="Q20" s="147"/>
      <c r="R20" s="112"/>
      <c r="S20" s="112"/>
      <c r="T20" s="112"/>
      <c r="U20" s="112"/>
      <c r="V20" s="112"/>
      <c r="W20" s="112"/>
      <c r="X20" s="112"/>
      <c r="Y20" s="112"/>
      <c r="Z20" s="112"/>
      <c r="AA20" s="112"/>
    </row>
    <row r="21" spans="1:27">
      <c r="A21" s="147"/>
      <c r="B21" s="147"/>
      <c r="C21" s="148"/>
      <c r="D21" s="149"/>
      <c r="E21" s="149"/>
      <c r="F21" s="149"/>
      <c r="G21" s="148"/>
      <c r="H21" s="147"/>
      <c r="I21" s="147"/>
      <c r="J21" s="147"/>
      <c r="K21" s="147"/>
      <c r="L21" s="147"/>
      <c r="N21" s="147"/>
      <c r="P21" s="147"/>
      <c r="Q21" s="147"/>
      <c r="R21" s="112"/>
      <c r="S21" s="112"/>
      <c r="T21" s="112"/>
      <c r="U21" s="112"/>
      <c r="V21" s="112"/>
      <c r="W21" s="112"/>
      <c r="X21" s="112"/>
      <c r="Y21" s="112"/>
      <c r="Z21" s="112"/>
      <c r="AA21" s="112"/>
    </row>
    <row r="22" spans="1:27">
      <c r="A22" s="147"/>
      <c r="B22" s="147"/>
      <c r="C22" s="148"/>
      <c r="D22" s="149"/>
      <c r="E22" s="149"/>
      <c r="F22" s="149"/>
      <c r="G22" s="148"/>
      <c r="H22" s="147"/>
      <c r="I22" s="147"/>
      <c r="J22" s="147"/>
      <c r="K22" s="147"/>
      <c r="L22" s="147"/>
      <c r="M22" s="147"/>
      <c r="N22" s="147"/>
      <c r="O22" s="147"/>
      <c r="P22" s="147"/>
      <c r="Q22" s="147"/>
      <c r="R22" s="112"/>
      <c r="S22" s="112"/>
      <c r="T22" s="112"/>
      <c r="U22" s="112"/>
      <c r="V22" s="112"/>
      <c r="W22" s="112"/>
      <c r="X22" s="112"/>
      <c r="Y22" s="112"/>
      <c r="Z22" s="112"/>
      <c r="AA22" s="112"/>
    </row>
    <row r="23" spans="1:27">
      <c r="A23" s="147"/>
      <c r="B23" s="147"/>
      <c r="C23" s="148"/>
      <c r="D23" s="149"/>
      <c r="E23" s="149"/>
      <c r="F23" s="149"/>
      <c r="G23" s="148"/>
      <c r="H23" s="147"/>
      <c r="I23" s="147"/>
      <c r="J23" s="147"/>
      <c r="K23" s="147"/>
      <c r="L23" s="147"/>
      <c r="M23" s="147"/>
      <c r="N23" s="147"/>
      <c r="O23" s="147"/>
      <c r="P23" s="147"/>
      <c r="Q23" s="147"/>
      <c r="R23" s="112"/>
      <c r="S23" s="112"/>
      <c r="T23" s="112"/>
      <c r="U23" s="112"/>
      <c r="V23" s="112"/>
      <c r="W23" s="112"/>
      <c r="X23" s="112"/>
      <c r="Y23" s="112"/>
      <c r="Z23" s="112"/>
      <c r="AA23" s="112"/>
    </row>
    <row r="24" spans="1:27">
      <c r="A24" s="112"/>
      <c r="B24" s="112"/>
      <c r="C24" s="146"/>
      <c r="D24" s="127"/>
      <c r="E24" s="127"/>
      <c r="F24" s="127"/>
      <c r="G24" s="146"/>
      <c r="H24" s="112"/>
      <c r="I24" s="112"/>
      <c r="J24" s="112"/>
      <c r="K24" s="112"/>
      <c r="L24" s="112"/>
      <c r="M24" s="112"/>
      <c r="N24" s="112"/>
      <c r="O24" s="112"/>
      <c r="P24" s="112"/>
      <c r="Q24" s="112"/>
      <c r="R24" s="112"/>
      <c r="S24" s="112"/>
      <c r="T24" s="112"/>
      <c r="U24" s="112"/>
      <c r="V24" s="112"/>
      <c r="W24" s="112"/>
      <c r="X24" s="112"/>
      <c r="Y24" s="112"/>
      <c r="Z24" s="112"/>
      <c r="AA24" s="112"/>
    </row>
    <row r="25" spans="1:27">
      <c r="A25" s="112"/>
      <c r="B25" s="112"/>
      <c r="C25" s="146"/>
      <c r="D25" s="127"/>
      <c r="E25" s="127"/>
      <c r="F25" s="127"/>
      <c r="G25" s="146"/>
      <c r="H25" s="112"/>
      <c r="I25" s="112"/>
      <c r="J25" s="112"/>
      <c r="K25" s="112"/>
      <c r="L25" s="112"/>
      <c r="M25" s="112"/>
      <c r="N25" s="112"/>
      <c r="O25" s="112"/>
      <c r="P25" s="112"/>
      <c r="Q25" s="112"/>
      <c r="R25" s="112"/>
      <c r="S25" s="112"/>
      <c r="T25" s="112"/>
      <c r="U25" s="112"/>
      <c r="V25" s="112"/>
      <c r="W25" s="112"/>
      <c r="X25" s="112"/>
      <c r="Y25" s="112"/>
      <c r="Z25" s="112"/>
      <c r="AA25" s="112"/>
    </row>
    <row r="26" spans="1:27">
      <c r="A26" s="112"/>
      <c r="B26" s="112"/>
      <c r="C26" s="146"/>
      <c r="D26" s="127"/>
      <c r="E26" s="127"/>
      <c r="F26" s="127"/>
      <c r="G26" s="146"/>
      <c r="H26" s="112"/>
      <c r="I26" s="112"/>
      <c r="J26" s="112"/>
      <c r="K26" s="112"/>
      <c r="L26" s="112"/>
      <c r="M26" s="112"/>
      <c r="N26" s="112"/>
      <c r="O26" s="112"/>
      <c r="P26" s="112"/>
      <c r="Q26" s="112"/>
      <c r="R26" s="112"/>
      <c r="S26" s="112"/>
      <c r="T26" s="112"/>
      <c r="U26" s="112"/>
      <c r="V26" s="112"/>
      <c r="W26" s="112"/>
      <c r="X26" s="112"/>
      <c r="Y26" s="112"/>
      <c r="Z26" s="112"/>
      <c r="AA26" s="112"/>
    </row>
    <row r="27" spans="1:27">
      <c r="A27" s="112"/>
      <c r="B27" s="112"/>
      <c r="C27" s="146"/>
      <c r="D27" s="127"/>
      <c r="E27" s="127"/>
      <c r="F27" s="127"/>
      <c r="G27" s="146"/>
      <c r="H27" s="112"/>
      <c r="I27" s="112"/>
      <c r="J27" s="112"/>
      <c r="K27" s="112"/>
      <c r="L27" s="112"/>
      <c r="M27" s="112"/>
      <c r="N27" s="112"/>
      <c r="O27" s="112"/>
      <c r="P27" s="112"/>
      <c r="Q27" s="112"/>
      <c r="R27" s="112"/>
      <c r="S27" s="112"/>
      <c r="T27" s="112"/>
      <c r="U27" s="112"/>
      <c r="V27" s="112"/>
      <c r="W27" s="112"/>
      <c r="X27" s="112"/>
      <c r="Y27" s="112"/>
      <c r="Z27" s="112"/>
      <c r="AA27" s="112"/>
    </row>
    <row r="28" spans="1:27">
      <c r="A28" s="112"/>
      <c r="B28" s="112"/>
      <c r="C28" s="146"/>
      <c r="D28" s="127"/>
      <c r="E28" s="127"/>
      <c r="F28" s="127"/>
      <c r="G28" s="146"/>
      <c r="H28" s="112"/>
      <c r="I28" s="112"/>
      <c r="J28" s="112"/>
      <c r="K28" s="112"/>
      <c r="L28" s="112"/>
      <c r="M28" s="112"/>
      <c r="N28" s="112"/>
      <c r="O28" s="112"/>
      <c r="P28" s="112"/>
      <c r="Q28" s="112"/>
      <c r="R28" s="112"/>
      <c r="S28" s="112"/>
      <c r="T28" s="112"/>
      <c r="U28" s="112"/>
      <c r="V28" s="112"/>
      <c r="W28" s="112"/>
      <c r="X28" s="112"/>
      <c r="Y28" s="112"/>
      <c r="Z28" s="112"/>
      <c r="AA28" s="112"/>
    </row>
    <row r="29" spans="1:27">
      <c r="A29" s="112"/>
      <c r="B29" s="112"/>
      <c r="C29" s="146"/>
      <c r="D29" s="127"/>
      <c r="E29" s="127"/>
      <c r="F29" s="127"/>
      <c r="G29" s="146"/>
      <c r="H29" s="112"/>
      <c r="I29" s="112"/>
      <c r="J29" s="112"/>
      <c r="K29" s="112"/>
      <c r="L29" s="112"/>
      <c r="M29" s="112"/>
      <c r="N29" s="112"/>
      <c r="O29" s="112"/>
      <c r="P29" s="112"/>
      <c r="Q29" s="112"/>
      <c r="R29" s="112"/>
      <c r="S29" s="112"/>
      <c r="T29" s="112"/>
      <c r="U29" s="112"/>
      <c r="V29" s="112"/>
      <c r="W29" s="112"/>
      <c r="X29" s="112"/>
      <c r="Y29" s="112"/>
      <c r="Z29" s="112"/>
      <c r="AA29" s="112"/>
    </row>
    <row r="30" spans="1:27">
      <c r="A30" s="112"/>
      <c r="B30" s="112"/>
      <c r="C30" s="146"/>
      <c r="D30" s="127"/>
      <c r="E30" s="127"/>
      <c r="F30" s="127"/>
      <c r="G30" s="146"/>
      <c r="H30" s="112"/>
      <c r="I30" s="112"/>
      <c r="J30" s="112"/>
      <c r="K30" s="112"/>
      <c r="L30" s="112"/>
      <c r="M30" s="112"/>
      <c r="N30" s="112"/>
      <c r="O30" s="112"/>
      <c r="P30" s="112"/>
      <c r="Q30" s="112"/>
      <c r="R30" s="112"/>
      <c r="S30" s="112"/>
      <c r="T30" s="112"/>
      <c r="U30" s="112"/>
      <c r="V30" s="112"/>
      <c r="W30" s="112"/>
      <c r="X30" s="112"/>
      <c r="Y30" s="112"/>
      <c r="Z30" s="112"/>
      <c r="AA30" s="112"/>
    </row>
    <row r="31" spans="1:27">
      <c r="A31" s="112"/>
      <c r="B31" s="112"/>
      <c r="C31" s="146"/>
      <c r="D31" s="127"/>
      <c r="E31" s="127"/>
      <c r="F31" s="127"/>
      <c r="G31" s="146"/>
      <c r="H31" s="112"/>
      <c r="I31" s="112"/>
      <c r="J31" s="112"/>
      <c r="K31" s="112"/>
      <c r="L31" s="112"/>
      <c r="M31" s="112"/>
      <c r="N31" s="112"/>
      <c r="O31" s="112"/>
      <c r="P31" s="112"/>
      <c r="Q31" s="112"/>
      <c r="R31" s="112"/>
      <c r="S31" s="112"/>
      <c r="T31" s="112"/>
      <c r="U31" s="112"/>
      <c r="V31" s="112"/>
      <c r="W31" s="112"/>
      <c r="X31" s="112"/>
      <c r="Y31" s="112"/>
      <c r="Z31" s="112"/>
      <c r="AA31" s="112"/>
    </row>
    <row r="32" spans="1:27">
      <c r="A32" s="112"/>
      <c r="B32" s="112"/>
      <c r="C32" s="146"/>
      <c r="D32" s="127"/>
      <c r="E32" s="127"/>
      <c r="F32" s="127"/>
      <c r="G32" s="146"/>
      <c r="H32" s="112"/>
      <c r="I32" s="112"/>
      <c r="J32" s="112"/>
      <c r="K32" s="112"/>
      <c r="L32" s="112"/>
      <c r="M32" s="112"/>
      <c r="N32" s="112"/>
      <c r="O32" s="112"/>
      <c r="P32" s="112"/>
      <c r="Q32" s="112"/>
      <c r="R32" s="112"/>
      <c r="S32" s="112"/>
      <c r="T32" s="112"/>
      <c r="U32" s="112"/>
      <c r="V32" s="112"/>
      <c r="W32" s="112"/>
      <c r="X32" s="112"/>
      <c r="Y32" s="112"/>
      <c r="Z32" s="112"/>
      <c r="AA32" s="112"/>
    </row>
    <row r="33" spans="1:27">
      <c r="A33" s="112"/>
      <c r="B33" s="112"/>
      <c r="C33" s="146"/>
      <c r="D33" s="127"/>
      <c r="E33" s="127"/>
      <c r="F33" s="127"/>
      <c r="G33" s="146"/>
      <c r="H33" s="112"/>
      <c r="I33" s="112"/>
      <c r="J33" s="112"/>
      <c r="K33" s="112"/>
      <c r="L33" s="112"/>
      <c r="M33" s="112"/>
      <c r="N33" s="112"/>
      <c r="O33" s="112"/>
      <c r="P33" s="112"/>
      <c r="Q33" s="112"/>
      <c r="R33" s="112"/>
      <c r="S33" s="112"/>
      <c r="T33" s="112"/>
      <c r="U33" s="112"/>
      <c r="V33" s="112"/>
      <c r="W33" s="112"/>
      <c r="X33" s="112"/>
      <c r="Y33" s="112"/>
      <c r="Z33" s="112"/>
      <c r="AA33" s="112"/>
    </row>
    <row r="34" spans="1:27">
      <c r="A34" s="112"/>
      <c r="B34" s="112"/>
      <c r="C34" s="146"/>
      <c r="D34" s="127"/>
      <c r="E34" s="127"/>
      <c r="F34" s="127"/>
      <c r="G34" s="146"/>
      <c r="H34" s="112"/>
      <c r="I34" s="112"/>
      <c r="J34" s="112"/>
      <c r="K34" s="112"/>
      <c r="L34" s="112"/>
      <c r="M34" s="112"/>
      <c r="N34" s="112"/>
      <c r="O34" s="112"/>
      <c r="P34" s="112"/>
      <c r="Q34" s="112"/>
      <c r="R34" s="112"/>
      <c r="S34" s="112"/>
      <c r="T34" s="112"/>
      <c r="U34" s="112"/>
      <c r="V34" s="112"/>
      <c r="W34" s="112"/>
      <c r="X34" s="112"/>
      <c r="Y34" s="112"/>
      <c r="Z34" s="112"/>
      <c r="AA34" s="112"/>
    </row>
    <row r="35" spans="1:27">
      <c r="A35" s="112"/>
      <c r="B35" s="112"/>
      <c r="C35" s="146"/>
      <c r="D35" s="127"/>
      <c r="E35" s="127"/>
      <c r="F35" s="127"/>
      <c r="G35" s="146"/>
      <c r="H35" s="112"/>
      <c r="I35" s="112"/>
      <c r="J35" s="112"/>
      <c r="K35" s="112"/>
      <c r="L35" s="112"/>
      <c r="M35" s="112"/>
      <c r="N35" s="112"/>
      <c r="O35" s="112"/>
      <c r="P35" s="112"/>
      <c r="Q35" s="112"/>
      <c r="R35" s="112"/>
      <c r="S35" s="112"/>
      <c r="T35" s="112"/>
      <c r="U35" s="112"/>
      <c r="V35" s="112"/>
      <c r="W35" s="112"/>
      <c r="X35" s="112"/>
      <c r="Y35" s="112"/>
      <c r="Z35" s="112"/>
      <c r="AA35" s="112"/>
    </row>
    <row r="36" spans="1:27">
      <c r="A36" s="112"/>
      <c r="B36" s="112"/>
      <c r="C36" s="146"/>
      <c r="D36" s="127"/>
      <c r="E36" s="127"/>
      <c r="F36" s="127"/>
      <c r="G36" s="146"/>
      <c r="H36" s="112"/>
      <c r="I36" s="112"/>
      <c r="J36" s="112"/>
      <c r="K36" s="112"/>
      <c r="L36" s="112"/>
      <c r="M36" s="112"/>
      <c r="N36" s="112"/>
      <c r="O36" s="112"/>
      <c r="P36" s="112"/>
      <c r="Q36" s="112"/>
      <c r="R36" s="112"/>
      <c r="S36" s="112"/>
      <c r="T36" s="112"/>
      <c r="U36" s="112"/>
      <c r="V36" s="112"/>
      <c r="W36" s="112"/>
      <c r="X36" s="112"/>
      <c r="Y36" s="112"/>
      <c r="Z36" s="112"/>
      <c r="AA36" s="112"/>
    </row>
    <row r="37" spans="1:27">
      <c r="A37" s="112"/>
      <c r="B37" s="112"/>
      <c r="C37" s="146"/>
      <c r="D37" s="127"/>
      <c r="E37" s="127"/>
      <c r="F37" s="127"/>
      <c r="G37" s="146"/>
      <c r="H37" s="112"/>
      <c r="I37" s="112"/>
      <c r="J37" s="112"/>
      <c r="K37" s="112"/>
      <c r="L37" s="112"/>
      <c r="M37" s="112"/>
      <c r="N37" s="112"/>
      <c r="O37" s="112"/>
      <c r="P37" s="112"/>
      <c r="Q37" s="112"/>
      <c r="R37" s="112"/>
      <c r="S37" s="112"/>
      <c r="T37" s="112"/>
      <c r="U37" s="112"/>
      <c r="V37" s="112"/>
      <c r="W37" s="112"/>
      <c r="X37" s="112"/>
      <c r="Y37" s="112"/>
      <c r="Z37" s="112"/>
      <c r="AA37" s="112"/>
    </row>
    <row r="38" spans="1:27">
      <c r="A38" s="112"/>
      <c r="B38" s="112"/>
      <c r="C38" s="146"/>
      <c r="D38" s="127"/>
      <c r="E38" s="127"/>
      <c r="F38" s="127"/>
      <c r="G38" s="146"/>
      <c r="H38" s="112"/>
      <c r="I38" s="112"/>
      <c r="J38" s="112"/>
      <c r="K38" s="112"/>
      <c r="L38" s="112"/>
      <c r="M38" s="112"/>
      <c r="N38" s="112"/>
      <c r="O38" s="112"/>
      <c r="P38" s="112"/>
      <c r="Q38" s="112"/>
      <c r="R38" s="112"/>
      <c r="S38" s="112"/>
      <c r="T38" s="112"/>
      <c r="U38" s="112"/>
      <c r="V38" s="112"/>
      <c r="W38" s="112"/>
      <c r="X38" s="112"/>
      <c r="Y38" s="112"/>
      <c r="Z38" s="112"/>
      <c r="AA38" s="112"/>
    </row>
    <row r="39" spans="1:27">
      <c r="A39" s="112"/>
      <c r="B39" s="112"/>
      <c r="C39" s="146"/>
      <c r="D39" s="127"/>
      <c r="E39" s="127"/>
      <c r="F39" s="127"/>
      <c r="G39" s="146"/>
      <c r="H39" s="112"/>
      <c r="I39" s="112"/>
      <c r="J39" s="112"/>
      <c r="K39" s="112"/>
      <c r="L39" s="112"/>
      <c r="M39" s="112"/>
      <c r="N39" s="112"/>
      <c r="O39" s="112"/>
      <c r="P39" s="112"/>
      <c r="Q39" s="112"/>
      <c r="R39" s="112"/>
      <c r="S39" s="112"/>
      <c r="T39" s="112"/>
      <c r="U39" s="112"/>
      <c r="V39" s="112"/>
      <c r="W39" s="112"/>
      <c r="X39" s="112"/>
      <c r="Y39" s="112"/>
      <c r="Z39" s="112"/>
      <c r="AA39" s="112"/>
    </row>
    <row r="40" spans="1:27">
      <c r="A40" s="112"/>
      <c r="B40" s="112"/>
      <c r="C40" s="146"/>
      <c r="D40" s="127"/>
      <c r="E40" s="127"/>
      <c r="F40" s="127"/>
      <c r="G40" s="146"/>
      <c r="H40" s="112"/>
      <c r="I40" s="112"/>
      <c r="J40" s="112"/>
      <c r="K40" s="112"/>
      <c r="L40" s="112"/>
      <c r="M40" s="112"/>
      <c r="N40" s="112"/>
      <c r="O40" s="112"/>
      <c r="P40" s="112"/>
      <c r="Q40" s="112"/>
      <c r="R40" s="112"/>
      <c r="S40" s="112"/>
      <c r="T40" s="112"/>
      <c r="U40" s="112"/>
      <c r="V40" s="112"/>
      <c r="W40" s="112"/>
      <c r="X40" s="112"/>
      <c r="Y40" s="112"/>
      <c r="Z40" s="112"/>
      <c r="AA40" s="112"/>
    </row>
    <row r="41" spans="1:27">
      <c r="A41" s="112"/>
      <c r="B41" s="112"/>
      <c r="C41" s="146"/>
      <c r="D41" s="127"/>
      <c r="E41" s="127"/>
      <c r="F41" s="127"/>
      <c r="G41" s="146"/>
      <c r="H41" s="112"/>
      <c r="I41" s="112"/>
      <c r="J41" s="112"/>
      <c r="K41" s="112"/>
      <c r="L41" s="112"/>
      <c r="M41" s="112"/>
      <c r="N41" s="112"/>
      <c r="O41" s="112"/>
      <c r="P41" s="112"/>
      <c r="Q41" s="112"/>
      <c r="R41" s="112"/>
      <c r="S41" s="112"/>
      <c r="T41" s="112"/>
      <c r="U41" s="112"/>
      <c r="V41" s="112"/>
      <c r="W41" s="112"/>
      <c r="X41" s="112"/>
      <c r="Y41" s="112"/>
      <c r="Z41" s="112"/>
      <c r="AA41" s="112"/>
    </row>
    <row r="42" spans="1:27">
      <c r="A42" s="112"/>
      <c r="B42" s="112"/>
      <c r="C42" s="146"/>
      <c r="D42" s="127"/>
      <c r="E42" s="127"/>
      <c r="F42" s="127"/>
      <c r="G42" s="146"/>
      <c r="H42" s="112"/>
      <c r="I42" s="112"/>
      <c r="J42" s="112"/>
      <c r="K42" s="112"/>
      <c r="L42" s="112"/>
      <c r="M42" s="112"/>
      <c r="N42" s="112"/>
      <c r="O42" s="112"/>
      <c r="P42" s="112"/>
      <c r="Q42" s="112"/>
      <c r="R42" s="112"/>
      <c r="S42" s="112"/>
      <c r="T42" s="112"/>
      <c r="U42" s="112"/>
      <c r="V42" s="112"/>
      <c r="W42" s="112"/>
      <c r="X42" s="112"/>
      <c r="Y42" s="112"/>
      <c r="Z42" s="112"/>
      <c r="AA42" s="112"/>
    </row>
    <row r="43" spans="1:27">
      <c r="A43" s="112"/>
      <c r="B43" s="112"/>
      <c r="C43" s="146"/>
      <c r="D43" s="127"/>
      <c r="E43" s="127"/>
      <c r="F43" s="127"/>
      <c r="G43" s="146"/>
      <c r="H43" s="112"/>
      <c r="I43" s="112"/>
      <c r="J43" s="112"/>
      <c r="K43" s="112"/>
      <c r="L43" s="112"/>
      <c r="M43" s="112"/>
      <c r="N43" s="112"/>
      <c r="O43" s="112"/>
      <c r="P43" s="112"/>
      <c r="Q43" s="112"/>
      <c r="R43" s="112"/>
      <c r="S43" s="112"/>
      <c r="T43" s="112"/>
      <c r="U43" s="112"/>
      <c r="V43" s="112"/>
      <c r="W43" s="112"/>
      <c r="X43" s="112"/>
      <c r="Y43" s="112"/>
      <c r="Z43" s="112"/>
      <c r="AA43" s="112"/>
    </row>
    <row r="44" spans="1:27">
      <c r="A44" s="112"/>
      <c r="B44" s="112"/>
      <c r="C44" s="146"/>
      <c r="D44" s="127"/>
      <c r="E44" s="127"/>
      <c r="F44" s="127"/>
      <c r="G44" s="146"/>
      <c r="H44" s="112"/>
      <c r="I44" s="112"/>
      <c r="J44" s="112"/>
      <c r="K44" s="112"/>
      <c r="L44" s="112"/>
      <c r="M44" s="112"/>
      <c r="N44" s="112"/>
      <c r="O44" s="112"/>
      <c r="P44" s="112"/>
      <c r="Q44" s="112"/>
      <c r="R44" s="112"/>
      <c r="S44" s="112"/>
      <c r="T44" s="112"/>
      <c r="U44" s="112"/>
      <c r="V44" s="112"/>
      <c r="W44" s="112"/>
      <c r="X44" s="112"/>
      <c r="Y44" s="112"/>
      <c r="Z44" s="112"/>
      <c r="AA44" s="112"/>
    </row>
    <row r="45" spans="1:27">
      <c r="A45" s="112"/>
      <c r="B45" s="112"/>
      <c r="C45" s="146"/>
      <c r="D45" s="127"/>
      <c r="E45" s="127"/>
      <c r="F45" s="127"/>
      <c r="G45" s="146"/>
      <c r="H45" s="112"/>
      <c r="I45" s="112"/>
      <c r="J45" s="112"/>
      <c r="K45" s="112"/>
      <c r="L45" s="112"/>
      <c r="M45" s="112"/>
      <c r="N45" s="112"/>
      <c r="O45" s="112"/>
      <c r="P45" s="112"/>
      <c r="Q45" s="112"/>
      <c r="R45" s="112"/>
      <c r="S45" s="112"/>
      <c r="T45" s="112"/>
      <c r="U45" s="112"/>
      <c r="V45" s="112"/>
      <c r="W45" s="112"/>
      <c r="X45" s="112"/>
      <c r="Y45" s="112"/>
      <c r="Z45" s="112"/>
      <c r="AA45" s="112"/>
    </row>
    <row r="46" spans="1:27">
      <c r="A46" s="112"/>
      <c r="B46" s="112"/>
      <c r="C46" s="146"/>
      <c r="D46" s="127"/>
      <c r="E46" s="127"/>
      <c r="F46" s="127"/>
      <c r="G46" s="146"/>
      <c r="H46" s="112"/>
      <c r="I46" s="112"/>
      <c r="J46" s="112"/>
      <c r="K46" s="112"/>
      <c r="L46" s="112"/>
      <c r="M46" s="112"/>
      <c r="N46" s="112"/>
      <c r="O46" s="112"/>
      <c r="P46" s="112"/>
      <c r="Q46" s="112"/>
      <c r="R46" s="112"/>
      <c r="S46" s="112"/>
      <c r="T46" s="112"/>
      <c r="U46" s="112"/>
      <c r="V46" s="112"/>
      <c r="W46" s="112"/>
      <c r="X46" s="112"/>
      <c r="Y46" s="112"/>
      <c r="Z46" s="112"/>
      <c r="AA46" s="112"/>
    </row>
    <row r="47" spans="1:27">
      <c r="A47" s="112"/>
      <c r="B47" s="112"/>
      <c r="C47" s="146"/>
      <c r="D47" s="127"/>
      <c r="E47" s="127"/>
      <c r="F47" s="127"/>
      <c r="G47" s="146"/>
      <c r="H47" s="112"/>
      <c r="I47" s="112"/>
      <c r="J47" s="112"/>
      <c r="K47" s="112"/>
      <c r="L47" s="112"/>
      <c r="M47" s="112"/>
      <c r="N47" s="112"/>
      <c r="O47" s="112"/>
      <c r="P47" s="112"/>
      <c r="Q47" s="112"/>
      <c r="R47" s="112"/>
      <c r="S47" s="112"/>
      <c r="T47" s="112"/>
      <c r="U47" s="112"/>
      <c r="V47" s="112"/>
      <c r="W47" s="112"/>
      <c r="X47" s="112"/>
      <c r="Y47" s="112"/>
      <c r="Z47" s="112"/>
      <c r="AA47" s="112"/>
    </row>
    <row r="48" spans="1:27">
      <c r="A48" s="112"/>
      <c r="B48" s="112"/>
      <c r="C48" s="146"/>
      <c r="D48" s="127"/>
      <c r="E48" s="127"/>
      <c r="F48" s="127"/>
      <c r="G48" s="146"/>
      <c r="H48" s="112"/>
      <c r="I48" s="112"/>
      <c r="J48" s="112"/>
      <c r="K48" s="112"/>
      <c r="L48" s="112"/>
      <c r="M48" s="112"/>
      <c r="N48" s="112"/>
      <c r="O48" s="112"/>
      <c r="P48" s="112"/>
      <c r="Q48" s="112"/>
      <c r="R48" s="112"/>
      <c r="S48" s="112"/>
      <c r="T48" s="112"/>
      <c r="U48" s="112"/>
      <c r="V48" s="112"/>
      <c r="W48" s="112"/>
      <c r="X48" s="112"/>
      <c r="Y48" s="112"/>
      <c r="Z48" s="112"/>
      <c r="AA48" s="112"/>
    </row>
    <row r="49" spans="1:27">
      <c r="A49" s="112"/>
      <c r="B49" s="112"/>
      <c r="C49" s="146"/>
      <c r="D49" s="127"/>
      <c r="E49" s="127"/>
      <c r="F49" s="127"/>
      <c r="G49" s="146"/>
      <c r="H49" s="112"/>
      <c r="I49" s="112"/>
      <c r="J49" s="112"/>
      <c r="K49" s="112"/>
      <c r="L49" s="112"/>
      <c r="M49" s="112"/>
      <c r="N49" s="112"/>
      <c r="O49" s="112"/>
      <c r="P49" s="112"/>
      <c r="Q49" s="112"/>
      <c r="R49" s="112"/>
      <c r="S49" s="112"/>
      <c r="T49" s="112"/>
      <c r="U49" s="112"/>
      <c r="V49" s="112"/>
      <c r="W49" s="112"/>
      <c r="X49" s="112"/>
      <c r="Y49" s="112"/>
      <c r="Z49" s="112"/>
      <c r="AA49" s="112"/>
    </row>
    <row r="50" spans="1:27">
      <c r="A50" s="112"/>
      <c r="B50" s="112"/>
      <c r="C50" s="146"/>
      <c r="D50" s="127"/>
      <c r="E50" s="127"/>
      <c r="F50" s="127"/>
      <c r="G50" s="146"/>
      <c r="H50" s="112"/>
      <c r="I50" s="112"/>
      <c r="J50" s="112"/>
      <c r="K50" s="112"/>
      <c r="L50" s="112"/>
      <c r="M50" s="112"/>
      <c r="N50" s="112"/>
      <c r="O50" s="112"/>
      <c r="P50" s="112"/>
      <c r="Q50" s="112"/>
      <c r="R50" s="112"/>
      <c r="S50" s="112"/>
      <c r="T50" s="112"/>
      <c r="U50" s="112"/>
      <c r="V50" s="112"/>
      <c r="W50" s="112"/>
      <c r="X50" s="112"/>
      <c r="Y50" s="112"/>
      <c r="Z50" s="112"/>
      <c r="AA50" s="112"/>
    </row>
    <row r="51" spans="1:27">
      <c r="A51" s="112"/>
      <c r="B51" s="112"/>
      <c r="C51" s="146"/>
      <c r="D51" s="127"/>
      <c r="E51" s="127"/>
      <c r="F51" s="127"/>
      <c r="G51" s="146"/>
      <c r="H51" s="112"/>
      <c r="I51" s="112"/>
      <c r="J51" s="112"/>
      <c r="K51" s="112"/>
      <c r="L51" s="112"/>
      <c r="M51" s="112"/>
      <c r="N51" s="112"/>
      <c r="O51" s="112"/>
      <c r="P51" s="112"/>
      <c r="Q51" s="112"/>
      <c r="R51" s="112"/>
      <c r="S51" s="112"/>
      <c r="T51" s="112"/>
      <c r="U51" s="112"/>
      <c r="V51" s="112"/>
      <c r="W51" s="112"/>
      <c r="X51" s="112"/>
      <c r="Y51" s="112"/>
      <c r="Z51" s="112"/>
      <c r="AA51" s="112"/>
    </row>
    <row r="52" spans="1:27">
      <c r="A52" s="112"/>
      <c r="B52" s="112"/>
      <c r="C52" s="146"/>
      <c r="D52" s="127"/>
      <c r="E52" s="127"/>
      <c r="F52" s="127"/>
      <c r="G52" s="146"/>
      <c r="H52" s="112"/>
      <c r="I52" s="112"/>
      <c r="J52" s="112"/>
      <c r="K52" s="112"/>
      <c r="L52" s="112"/>
      <c r="M52" s="112"/>
      <c r="N52" s="112"/>
      <c r="O52" s="112"/>
      <c r="P52" s="112"/>
      <c r="Q52" s="112"/>
      <c r="R52" s="112"/>
      <c r="S52" s="112"/>
      <c r="T52" s="112"/>
      <c r="U52" s="112"/>
      <c r="V52" s="112"/>
      <c r="W52" s="112"/>
      <c r="X52" s="112"/>
      <c r="Y52" s="112"/>
      <c r="Z52" s="112"/>
      <c r="AA52" s="112"/>
    </row>
    <row r="53" spans="1:27">
      <c r="A53" s="112"/>
      <c r="B53" s="112"/>
      <c r="C53" s="146"/>
      <c r="D53" s="127"/>
      <c r="E53" s="127"/>
      <c r="F53" s="127"/>
      <c r="G53" s="146"/>
      <c r="H53" s="112"/>
      <c r="I53" s="112"/>
      <c r="J53" s="112"/>
      <c r="K53" s="112"/>
      <c r="L53" s="112"/>
      <c r="M53" s="112"/>
      <c r="N53" s="112"/>
      <c r="O53" s="112"/>
      <c r="P53" s="112"/>
      <c r="Q53" s="112"/>
      <c r="R53" s="112"/>
      <c r="S53" s="112"/>
      <c r="T53" s="112"/>
      <c r="U53" s="112"/>
      <c r="V53" s="112"/>
      <c r="W53" s="112"/>
      <c r="X53" s="112"/>
      <c r="Y53" s="112"/>
      <c r="Z53" s="112"/>
      <c r="AA53" s="112"/>
    </row>
    <row r="54" spans="1:27">
      <c r="A54" s="112"/>
      <c r="B54" s="112"/>
      <c r="C54" s="146"/>
      <c r="D54" s="127"/>
      <c r="E54" s="127"/>
      <c r="F54" s="127"/>
      <c r="G54" s="146"/>
      <c r="H54" s="112"/>
      <c r="I54" s="112"/>
      <c r="J54" s="112"/>
      <c r="K54" s="112"/>
      <c r="L54" s="112"/>
      <c r="M54" s="112"/>
      <c r="N54" s="112"/>
      <c r="O54" s="112"/>
      <c r="P54" s="112"/>
      <c r="Q54" s="112"/>
      <c r="R54" s="112"/>
      <c r="S54" s="112"/>
      <c r="T54" s="112"/>
      <c r="U54" s="112"/>
      <c r="V54" s="112"/>
      <c r="W54" s="112"/>
      <c r="X54" s="112"/>
      <c r="Y54" s="112"/>
      <c r="Z54" s="112"/>
      <c r="AA54" s="112"/>
    </row>
    <row r="55" spans="1:27">
      <c r="A55" s="112"/>
      <c r="B55" s="112"/>
      <c r="C55" s="146"/>
      <c r="D55" s="127"/>
      <c r="E55" s="127"/>
      <c r="F55" s="127"/>
      <c r="G55" s="146"/>
      <c r="H55" s="112"/>
      <c r="I55" s="112"/>
      <c r="J55" s="112"/>
      <c r="K55" s="112"/>
      <c r="L55" s="112"/>
      <c r="M55" s="112"/>
      <c r="N55" s="112"/>
      <c r="O55" s="112"/>
      <c r="P55" s="112"/>
      <c r="Q55" s="112"/>
      <c r="R55" s="112"/>
      <c r="S55" s="112"/>
      <c r="T55" s="112"/>
      <c r="U55" s="112"/>
      <c r="V55" s="112"/>
      <c r="W55" s="112"/>
      <c r="X55" s="112"/>
      <c r="Y55" s="112"/>
      <c r="Z55" s="112"/>
      <c r="AA55" s="112"/>
    </row>
    <row r="56" spans="1:27">
      <c r="A56" s="112"/>
      <c r="B56" s="112"/>
      <c r="C56" s="146"/>
      <c r="D56" s="127"/>
      <c r="E56" s="127"/>
      <c r="F56" s="127"/>
      <c r="G56" s="146"/>
      <c r="H56" s="112"/>
      <c r="I56" s="112"/>
      <c r="J56" s="112"/>
      <c r="K56" s="112"/>
      <c r="L56" s="112"/>
      <c r="M56" s="112"/>
      <c r="N56" s="112"/>
      <c r="O56" s="112"/>
      <c r="P56" s="112"/>
      <c r="Q56" s="112"/>
      <c r="R56" s="112"/>
      <c r="S56" s="112"/>
      <c r="T56" s="112"/>
      <c r="U56" s="112"/>
      <c r="V56" s="112"/>
      <c r="W56" s="112"/>
      <c r="X56" s="112"/>
      <c r="Y56" s="112"/>
      <c r="Z56" s="112"/>
      <c r="AA56" s="112"/>
    </row>
    <row r="57" spans="1:27">
      <c r="A57" s="112"/>
      <c r="B57" s="112"/>
      <c r="C57" s="146"/>
      <c r="D57" s="127"/>
      <c r="E57" s="127"/>
      <c r="F57" s="127"/>
      <c r="G57" s="146"/>
      <c r="H57" s="112"/>
      <c r="I57" s="112"/>
      <c r="J57" s="112"/>
      <c r="K57" s="112"/>
      <c r="L57" s="112"/>
      <c r="M57" s="112"/>
      <c r="N57" s="112"/>
      <c r="O57" s="112"/>
      <c r="P57" s="112"/>
      <c r="Q57" s="112"/>
      <c r="R57" s="112"/>
      <c r="S57" s="112"/>
      <c r="T57" s="112"/>
      <c r="U57" s="112"/>
      <c r="V57" s="112"/>
      <c r="W57" s="112"/>
      <c r="X57" s="112"/>
      <c r="Y57" s="112"/>
      <c r="Z57" s="112"/>
      <c r="AA57" s="112"/>
    </row>
    <row r="58" spans="1:27">
      <c r="A58" s="112"/>
      <c r="B58" s="112"/>
      <c r="C58" s="146"/>
      <c r="D58" s="127"/>
      <c r="E58" s="127"/>
      <c r="F58" s="127"/>
      <c r="G58" s="146"/>
      <c r="H58" s="112"/>
      <c r="I58" s="112"/>
      <c r="J58" s="112"/>
      <c r="K58" s="112"/>
      <c r="L58" s="112"/>
      <c r="M58" s="112"/>
      <c r="N58" s="112"/>
      <c r="O58" s="112"/>
      <c r="P58" s="112"/>
      <c r="Q58" s="112"/>
      <c r="R58" s="112"/>
      <c r="S58" s="112"/>
      <c r="T58" s="112"/>
      <c r="U58" s="112"/>
      <c r="V58" s="112"/>
      <c r="W58" s="112"/>
      <c r="X58" s="112"/>
      <c r="Y58" s="112"/>
      <c r="Z58" s="112"/>
      <c r="AA58" s="112"/>
    </row>
    <row r="59" spans="1:27">
      <c r="A59" s="112"/>
      <c r="B59" s="112"/>
      <c r="C59" s="146"/>
      <c r="D59" s="127"/>
      <c r="E59" s="127"/>
      <c r="F59" s="127"/>
      <c r="G59" s="146"/>
      <c r="H59" s="112"/>
      <c r="I59" s="112"/>
      <c r="J59" s="112"/>
      <c r="K59" s="112"/>
      <c r="L59" s="112"/>
      <c r="M59" s="112"/>
      <c r="N59" s="112"/>
      <c r="O59" s="112"/>
      <c r="P59" s="112"/>
      <c r="Q59" s="112"/>
      <c r="R59" s="112"/>
      <c r="S59" s="112"/>
      <c r="T59" s="112"/>
      <c r="U59" s="112"/>
      <c r="V59" s="112"/>
      <c r="W59" s="112"/>
      <c r="X59" s="112"/>
      <c r="Y59" s="112"/>
      <c r="Z59" s="112"/>
      <c r="AA59" s="112"/>
    </row>
    <row r="60" spans="1:27">
      <c r="A60" s="112"/>
      <c r="B60" s="112"/>
      <c r="C60" s="146"/>
      <c r="D60" s="127"/>
      <c r="E60" s="127"/>
      <c r="F60" s="127"/>
      <c r="G60" s="146"/>
      <c r="H60" s="112"/>
      <c r="I60" s="112"/>
      <c r="J60" s="112"/>
      <c r="K60" s="112"/>
      <c r="L60" s="112"/>
      <c r="M60" s="112"/>
      <c r="N60" s="112"/>
      <c r="O60" s="112"/>
      <c r="P60" s="112"/>
      <c r="Q60" s="112"/>
      <c r="R60" s="112"/>
      <c r="S60" s="112"/>
      <c r="T60" s="112"/>
      <c r="U60" s="112"/>
      <c r="V60" s="112"/>
      <c r="W60" s="112"/>
      <c r="X60" s="112"/>
      <c r="Y60" s="112"/>
      <c r="Z60" s="112"/>
      <c r="AA60" s="112"/>
    </row>
    <row r="61" spans="1:27">
      <c r="A61" s="112"/>
      <c r="B61" s="112"/>
      <c r="C61" s="146"/>
      <c r="D61" s="127"/>
      <c r="E61" s="127"/>
      <c r="F61" s="127"/>
      <c r="G61" s="146"/>
      <c r="H61" s="112"/>
      <c r="I61" s="112"/>
      <c r="J61" s="112"/>
      <c r="K61" s="112"/>
      <c r="L61" s="112"/>
      <c r="M61" s="112"/>
      <c r="N61" s="112"/>
      <c r="O61" s="112"/>
      <c r="P61" s="112"/>
      <c r="Q61" s="112"/>
      <c r="R61" s="112"/>
      <c r="S61" s="112"/>
      <c r="T61" s="112"/>
      <c r="U61" s="112"/>
      <c r="V61" s="112"/>
      <c r="W61" s="112"/>
      <c r="X61" s="112"/>
      <c r="Y61" s="112"/>
      <c r="Z61" s="112"/>
      <c r="AA61" s="112"/>
    </row>
    <row r="62" spans="1:27">
      <c r="A62" s="112"/>
      <c r="B62" s="112"/>
      <c r="C62" s="146"/>
      <c r="D62" s="127"/>
      <c r="E62" s="127"/>
      <c r="F62" s="127"/>
      <c r="G62" s="146"/>
      <c r="H62" s="112"/>
      <c r="I62" s="112"/>
      <c r="J62" s="112"/>
      <c r="K62" s="112"/>
      <c r="L62" s="112"/>
      <c r="M62" s="112"/>
      <c r="N62" s="112"/>
      <c r="O62" s="112"/>
      <c r="P62" s="112"/>
      <c r="Q62" s="112"/>
      <c r="R62" s="112"/>
      <c r="S62" s="112"/>
      <c r="T62" s="112"/>
      <c r="U62" s="112"/>
      <c r="V62" s="112"/>
      <c r="W62" s="112"/>
      <c r="X62" s="112"/>
      <c r="Y62" s="112"/>
      <c r="Z62" s="112"/>
      <c r="AA62" s="112"/>
    </row>
    <row r="63" spans="1:27">
      <c r="A63" s="112"/>
      <c r="B63" s="112"/>
      <c r="C63" s="146"/>
      <c r="D63" s="127"/>
      <c r="E63" s="127"/>
      <c r="F63" s="127"/>
      <c r="G63" s="146"/>
      <c r="H63" s="112"/>
      <c r="I63" s="112"/>
      <c r="J63" s="112"/>
      <c r="K63" s="112"/>
      <c r="L63" s="112"/>
      <c r="M63" s="112"/>
      <c r="N63" s="112"/>
      <c r="O63" s="112"/>
      <c r="P63" s="112"/>
      <c r="Q63" s="112"/>
      <c r="R63" s="112"/>
      <c r="S63" s="112"/>
      <c r="T63" s="112"/>
      <c r="U63" s="112"/>
      <c r="V63" s="112"/>
      <c r="W63" s="112"/>
      <c r="X63" s="112"/>
      <c r="Y63" s="112"/>
      <c r="Z63" s="112"/>
      <c r="AA63" s="112"/>
    </row>
    <row r="64" spans="1:27">
      <c r="A64" s="112"/>
      <c r="B64" s="112"/>
      <c r="C64" s="146"/>
      <c r="D64" s="127"/>
      <c r="E64" s="127"/>
      <c r="F64" s="127"/>
      <c r="G64" s="146"/>
      <c r="H64" s="112"/>
      <c r="I64" s="112"/>
      <c r="J64" s="112"/>
      <c r="K64" s="112"/>
      <c r="L64" s="112"/>
      <c r="M64" s="112"/>
      <c r="N64" s="112"/>
      <c r="O64" s="112"/>
      <c r="P64" s="112"/>
      <c r="Q64" s="112"/>
      <c r="R64" s="112"/>
      <c r="S64" s="112"/>
      <c r="T64" s="112"/>
      <c r="U64" s="112"/>
      <c r="V64" s="112"/>
      <c r="W64" s="112"/>
      <c r="X64" s="112"/>
      <c r="Y64" s="112"/>
      <c r="Z64" s="112"/>
      <c r="AA64" s="112"/>
    </row>
    <row r="65" spans="1:27">
      <c r="A65" s="112"/>
      <c r="B65" s="112"/>
      <c r="C65" s="146"/>
      <c r="D65" s="127"/>
      <c r="E65" s="127"/>
      <c r="F65" s="127"/>
      <c r="G65" s="146"/>
      <c r="H65" s="112"/>
      <c r="I65" s="112"/>
      <c r="J65" s="112"/>
      <c r="K65" s="112"/>
      <c r="L65" s="112"/>
      <c r="M65" s="112"/>
      <c r="N65" s="112"/>
      <c r="O65" s="112"/>
      <c r="P65" s="112"/>
      <c r="Q65" s="112"/>
      <c r="R65" s="112"/>
      <c r="S65" s="112"/>
      <c r="T65" s="112"/>
      <c r="U65" s="112"/>
      <c r="V65" s="112"/>
      <c r="W65" s="112"/>
      <c r="X65" s="112"/>
      <c r="Y65" s="112"/>
      <c r="Z65" s="112"/>
      <c r="AA65" s="112"/>
    </row>
    <row r="66" spans="1:27">
      <c r="A66" s="112"/>
      <c r="B66" s="112"/>
      <c r="C66" s="146"/>
      <c r="D66" s="127"/>
      <c r="E66" s="127"/>
      <c r="F66" s="127"/>
      <c r="G66" s="146"/>
      <c r="H66" s="112"/>
      <c r="I66" s="112"/>
      <c r="J66" s="112"/>
      <c r="K66" s="112"/>
      <c r="L66" s="112"/>
      <c r="M66" s="112"/>
      <c r="N66" s="112"/>
      <c r="O66" s="112"/>
      <c r="P66" s="112"/>
      <c r="Q66" s="112"/>
      <c r="R66" s="112"/>
      <c r="S66" s="112"/>
      <c r="T66" s="112"/>
      <c r="U66" s="112"/>
      <c r="V66" s="112"/>
      <c r="W66" s="112"/>
      <c r="X66" s="112"/>
      <c r="Y66" s="112"/>
      <c r="Z66" s="112"/>
      <c r="AA66" s="112"/>
    </row>
    <row r="67" spans="1:27">
      <c r="A67" s="112"/>
      <c r="B67" s="112"/>
      <c r="C67" s="146"/>
      <c r="D67" s="127"/>
      <c r="E67" s="127"/>
      <c r="F67" s="127"/>
      <c r="G67" s="146"/>
      <c r="H67" s="112"/>
      <c r="I67" s="112"/>
      <c r="J67" s="112"/>
      <c r="K67" s="112"/>
      <c r="L67" s="112"/>
      <c r="M67" s="112"/>
      <c r="N67" s="112"/>
      <c r="O67" s="112"/>
      <c r="P67" s="112"/>
      <c r="Q67" s="112"/>
      <c r="R67" s="112"/>
      <c r="S67" s="112"/>
      <c r="T67" s="112"/>
      <c r="U67" s="112"/>
      <c r="V67" s="112"/>
      <c r="W67" s="112"/>
      <c r="X67" s="112"/>
      <c r="Y67" s="112"/>
      <c r="Z67" s="112"/>
      <c r="AA67" s="112"/>
    </row>
    <row r="68" spans="1:27">
      <c r="A68" s="112"/>
      <c r="B68" s="112"/>
      <c r="C68" s="146"/>
      <c r="D68" s="127"/>
      <c r="E68" s="127"/>
      <c r="F68" s="127"/>
      <c r="G68" s="146"/>
      <c r="H68" s="112"/>
      <c r="I68" s="112"/>
      <c r="J68" s="112"/>
      <c r="K68" s="112"/>
      <c r="L68" s="112"/>
      <c r="M68" s="112"/>
      <c r="N68" s="112"/>
      <c r="O68" s="112"/>
      <c r="P68" s="112"/>
      <c r="Q68" s="112"/>
      <c r="R68" s="112"/>
      <c r="S68" s="112"/>
      <c r="T68" s="112"/>
      <c r="U68" s="112"/>
      <c r="V68" s="112"/>
      <c r="W68" s="112"/>
      <c r="X68" s="112"/>
      <c r="Y68" s="112"/>
      <c r="Z68" s="112"/>
      <c r="AA68" s="112"/>
    </row>
    <row r="69" spans="1:27">
      <c r="A69" s="112"/>
      <c r="B69" s="112"/>
      <c r="C69" s="146"/>
      <c r="D69" s="127"/>
      <c r="E69" s="127"/>
      <c r="F69" s="127"/>
      <c r="G69" s="146"/>
      <c r="H69" s="112"/>
      <c r="I69" s="112"/>
      <c r="J69" s="150">
        <f>I69-H69</f>
        <v>0</v>
      </c>
      <c r="K69" s="112"/>
      <c r="L69" s="112"/>
      <c r="M69" s="112"/>
      <c r="N69" s="112"/>
      <c r="O69" s="112"/>
      <c r="P69" s="112"/>
      <c r="Q69" s="112"/>
      <c r="R69" s="112"/>
      <c r="S69" s="112"/>
      <c r="T69" s="112"/>
      <c r="U69" s="112"/>
      <c r="V69" s="112"/>
      <c r="W69" s="112"/>
      <c r="X69" s="112"/>
      <c r="Y69" s="112"/>
      <c r="Z69" s="112"/>
      <c r="AA69" s="112"/>
    </row>
    <row r="70" spans="1:27">
      <c r="A70" s="112"/>
      <c r="B70" s="112"/>
      <c r="C70" s="146"/>
      <c r="D70" s="127"/>
      <c r="E70" s="127"/>
      <c r="F70" s="127"/>
      <c r="G70" s="146"/>
      <c r="H70" s="112"/>
      <c r="I70" s="112"/>
      <c r="J70" s="112"/>
      <c r="K70" s="112"/>
      <c r="L70" s="112"/>
      <c r="M70" s="112"/>
      <c r="N70" s="112"/>
      <c r="O70" s="112"/>
      <c r="P70" s="112"/>
      <c r="Q70" s="112"/>
      <c r="R70" s="112"/>
      <c r="S70" s="112"/>
      <c r="T70" s="112"/>
      <c r="U70" s="112"/>
      <c r="V70" s="112"/>
      <c r="W70" s="112"/>
      <c r="X70" s="112"/>
      <c r="Y70" s="112"/>
      <c r="Z70" s="112"/>
      <c r="AA70" s="112"/>
    </row>
    <row r="71" spans="1:27">
      <c r="A71" s="112"/>
      <c r="B71" s="112"/>
      <c r="C71" s="146"/>
      <c r="D71" s="127"/>
      <c r="E71" s="127"/>
      <c r="F71" s="127"/>
      <c r="G71" s="146"/>
      <c r="H71" s="112"/>
      <c r="I71" s="112"/>
      <c r="J71" s="112"/>
      <c r="K71" s="112"/>
      <c r="L71" s="112"/>
      <c r="M71" s="112"/>
      <c r="N71" s="112"/>
      <c r="O71" s="112"/>
      <c r="P71" s="112"/>
      <c r="Q71" s="112"/>
      <c r="R71" s="112"/>
      <c r="S71" s="112"/>
      <c r="T71" s="112"/>
      <c r="U71" s="112"/>
      <c r="V71" s="112"/>
      <c r="W71" s="112"/>
      <c r="X71" s="112"/>
      <c r="Y71" s="112"/>
      <c r="Z71" s="112"/>
      <c r="AA71" s="112"/>
    </row>
    <row r="72" spans="1:27">
      <c r="A72" s="112"/>
      <c r="B72" s="112"/>
      <c r="C72" s="146"/>
      <c r="D72" s="127"/>
      <c r="E72" s="127"/>
      <c r="F72" s="127"/>
      <c r="G72" s="146"/>
      <c r="H72" s="112"/>
      <c r="I72" s="112"/>
      <c r="J72" s="112"/>
      <c r="K72" s="112"/>
      <c r="L72" s="112"/>
      <c r="M72" s="112"/>
      <c r="N72" s="112"/>
      <c r="O72" s="112"/>
      <c r="P72" s="112"/>
      <c r="Q72" s="112"/>
      <c r="R72" s="112"/>
      <c r="S72" s="112"/>
      <c r="T72" s="112"/>
      <c r="U72" s="112"/>
      <c r="V72" s="112"/>
      <c r="W72" s="112"/>
      <c r="X72" s="112"/>
      <c r="Y72" s="112"/>
      <c r="Z72" s="112"/>
      <c r="AA72" s="112"/>
    </row>
    <row r="73" spans="1:27">
      <c r="A73" s="112"/>
      <c r="B73" s="112"/>
      <c r="C73" s="146"/>
      <c r="D73" s="127"/>
      <c r="E73" s="127"/>
      <c r="F73" s="127"/>
      <c r="G73" s="146"/>
      <c r="H73" s="112"/>
      <c r="I73" s="112"/>
      <c r="J73" s="112"/>
      <c r="K73" s="112"/>
      <c r="L73" s="112"/>
      <c r="M73" s="112"/>
      <c r="N73" s="112"/>
      <c r="O73" s="112"/>
      <c r="P73" s="112"/>
      <c r="Q73" s="112"/>
      <c r="R73" s="112"/>
      <c r="S73" s="112"/>
      <c r="T73" s="112"/>
      <c r="U73" s="112"/>
      <c r="V73" s="112"/>
      <c r="W73" s="112"/>
      <c r="X73" s="112"/>
      <c r="Y73" s="112"/>
      <c r="Z73" s="112"/>
      <c r="AA73" s="112"/>
    </row>
    <row r="74" spans="1:27">
      <c r="A74" s="112"/>
      <c r="B74" s="112"/>
      <c r="C74" s="146"/>
      <c r="D74" s="127"/>
      <c r="E74" s="127"/>
      <c r="F74" s="127"/>
      <c r="G74" s="146"/>
      <c r="H74" s="112"/>
      <c r="I74" s="112"/>
      <c r="J74" s="112"/>
      <c r="K74" s="112"/>
      <c r="L74" s="112"/>
      <c r="M74" s="112"/>
      <c r="N74" s="112"/>
      <c r="O74" s="112"/>
      <c r="P74" s="112"/>
      <c r="Q74" s="112"/>
      <c r="R74" s="112"/>
      <c r="S74" s="112"/>
      <c r="T74" s="112"/>
      <c r="U74" s="112"/>
      <c r="V74" s="112"/>
      <c r="W74" s="112"/>
      <c r="X74" s="112"/>
      <c r="Y74" s="112"/>
      <c r="Z74" s="112"/>
      <c r="AA74" s="112"/>
    </row>
    <row r="75" spans="1:27">
      <c r="A75" s="112"/>
      <c r="B75" s="112"/>
      <c r="C75" s="146"/>
      <c r="D75" s="127"/>
      <c r="E75" s="127"/>
      <c r="F75" s="127"/>
      <c r="G75" s="146"/>
      <c r="H75" s="112"/>
      <c r="I75" s="112"/>
      <c r="J75" s="112"/>
      <c r="K75" s="112"/>
      <c r="L75" s="112"/>
      <c r="M75" s="112"/>
      <c r="N75" s="112"/>
      <c r="O75" s="112"/>
      <c r="P75" s="112"/>
      <c r="Q75" s="112"/>
      <c r="R75" s="112"/>
      <c r="S75" s="112"/>
      <c r="T75" s="112"/>
      <c r="U75" s="112"/>
      <c r="V75" s="112"/>
      <c r="W75" s="112"/>
      <c r="X75" s="112"/>
      <c r="Y75" s="112"/>
      <c r="Z75" s="112"/>
      <c r="AA75" s="112"/>
    </row>
    <row r="76" spans="1:27">
      <c r="A76" s="112"/>
      <c r="B76" s="112"/>
      <c r="C76" s="146"/>
      <c r="D76" s="127"/>
      <c r="E76" s="127"/>
      <c r="F76" s="127"/>
      <c r="G76" s="146"/>
      <c r="H76" s="112"/>
      <c r="I76" s="112"/>
      <c r="J76" s="112"/>
      <c r="K76" s="112"/>
      <c r="L76" s="112"/>
      <c r="M76" s="112"/>
      <c r="N76" s="112"/>
      <c r="O76" s="112"/>
      <c r="P76" s="112"/>
      <c r="Q76" s="112"/>
      <c r="R76" s="112"/>
      <c r="S76" s="112"/>
      <c r="T76" s="112"/>
      <c r="U76" s="112"/>
      <c r="V76" s="112"/>
      <c r="W76" s="112"/>
      <c r="X76" s="112"/>
      <c r="Y76" s="112"/>
      <c r="Z76" s="112"/>
      <c r="AA76" s="112"/>
    </row>
    <row r="77" spans="1:27">
      <c r="A77" s="112"/>
      <c r="B77" s="112"/>
      <c r="C77" s="146"/>
      <c r="D77" s="127"/>
      <c r="E77" s="127"/>
      <c r="F77" s="127"/>
      <c r="G77" s="146"/>
      <c r="H77" s="112"/>
      <c r="I77" s="112"/>
      <c r="J77" s="112"/>
      <c r="K77" s="112"/>
      <c r="L77" s="112"/>
      <c r="M77" s="112"/>
      <c r="N77" s="112"/>
      <c r="O77" s="112"/>
      <c r="P77" s="112"/>
      <c r="Q77" s="112"/>
      <c r="R77" s="112"/>
      <c r="S77" s="112"/>
      <c r="T77" s="112"/>
      <c r="U77" s="112"/>
      <c r="V77" s="112"/>
      <c r="W77" s="112"/>
      <c r="X77" s="112"/>
      <c r="Y77" s="112"/>
      <c r="Z77" s="112"/>
      <c r="AA77" s="112"/>
    </row>
    <row r="78" spans="1:27">
      <c r="A78" s="112"/>
      <c r="B78" s="112"/>
      <c r="C78" s="146"/>
      <c r="D78" s="127"/>
      <c r="E78" s="127"/>
      <c r="F78" s="127"/>
      <c r="G78" s="146"/>
      <c r="H78" s="112"/>
      <c r="I78" s="112"/>
      <c r="J78" s="112"/>
      <c r="K78" s="112"/>
      <c r="L78" s="112"/>
      <c r="M78" s="112"/>
      <c r="N78" s="112"/>
      <c r="O78" s="112"/>
      <c r="P78" s="112"/>
      <c r="Q78" s="112"/>
      <c r="R78" s="112"/>
      <c r="S78" s="112"/>
      <c r="T78" s="112"/>
      <c r="U78" s="112"/>
      <c r="V78" s="112"/>
      <c r="W78" s="112"/>
      <c r="X78" s="112"/>
      <c r="Y78" s="112"/>
      <c r="Z78" s="112"/>
      <c r="AA78" s="112"/>
    </row>
    <row r="79" spans="1:27">
      <c r="A79" s="112"/>
      <c r="B79" s="112"/>
      <c r="C79" s="146"/>
      <c r="D79" s="127"/>
      <c r="E79" s="127"/>
      <c r="F79" s="127"/>
      <c r="G79" s="146"/>
      <c r="H79" s="112"/>
      <c r="I79" s="112"/>
      <c r="J79" s="112"/>
      <c r="K79" s="112"/>
      <c r="L79" s="112"/>
      <c r="M79" s="112"/>
      <c r="N79" s="112"/>
      <c r="O79" s="112"/>
      <c r="P79" s="112"/>
      <c r="Q79" s="112"/>
      <c r="R79" s="112"/>
      <c r="S79" s="112"/>
      <c r="T79" s="112"/>
      <c r="U79" s="112"/>
      <c r="V79" s="112"/>
      <c r="W79" s="112"/>
      <c r="X79" s="112"/>
      <c r="Y79" s="112"/>
      <c r="Z79" s="112"/>
      <c r="AA79" s="112"/>
    </row>
    <row r="80" spans="1:27">
      <c r="A80" s="112"/>
      <c r="B80" s="112"/>
      <c r="C80" s="146"/>
      <c r="D80" s="127"/>
      <c r="E80" s="127"/>
      <c r="F80" s="127"/>
      <c r="G80" s="146"/>
      <c r="H80" s="112"/>
      <c r="I80" s="112"/>
      <c r="J80" s="112"/>
      <c r="K80" s="112"/>
      <c r="L80" s="112"/>
      <c r="M80" s="112"/>
      <c r="N80" s="112"/>
      <c r="O80" s="112"/>
      <c r="P80" s="112"/>
      <c r="Q80" s="112"/>
      <c r="R80" s="112"/>
      <c r="S80" s="112"/>
      <c r="T80" s="112"/>
      <c r="U80" s="112"/>
      <c r="V80" s="112"/>
      <c r="W80" s="112"/>
      <c r="X80" s="112"/>
      <c r="Y80" s="112"/>
      <c r="Z80" s="112"/>
      <c r="AA80" s="112"/>
    </row>
    <row r="81" spans="1:27">
      <c r="A81" s="112"/>
      <c r="B81" s="112"/>
      <c r="C81" s="146"/>
      <c r="D81" s="127"/>
      <c r="E81" s="127"/>
      <c r="F81" s="127"/>
      <c r="G81" s="146"/>
      <c r="H81" s="112"/>
      <c r="I81" s="112"/>
      <c r="J81" s="112"/>
      <c r="K81" s="112"/>
      <c r="L81" s="112"/>
      <c r="M81" s="112"/>
      <c r="N81" s="112"/>
      <c r="O81" s="112"/>
      <c r="P81" s="112"/>
      <c r="Q81" s="112"/>
      <c r="R81" s="112"/>
      <c r="S81" s="112"/>
      <c r="T81" s="112"/>
      <c r="U81" s="112"/>
      <c r="V81" s="112"/>
      <c r="W81" s="112"/>
      <c r="X81" s="112"/>
      <c r="Y81" s="112"/>
      <c r="Z81" s="112"/>
      <c r="AA81" s="112"/>
    </row>
    <row r="82" spans="1:27">
      <c r="A82" s="112"/>
      <c r="B82" s="112"/>
      <c r="C82" s="146"/>
      <c r="D82" s="127"/>
      <c r="E82" s="127"/>
      <c r="F82" s="127"/>
      <c r="G82" s="146"/>
      <c r="H82" s="112"/>
      <c r="I82" s="112"/>
      <c r="J82" s="112"/>
      <c r="K82" s="112"/>
      <c r="L82" s="112"/>
      <c r="M82" s="112"/>
      <c r="N82" s="112"/>
      <c r="O82" s="112"/>
      <c r="P82" s="112"/>
      <c r="Q82" s="112"/>
      <c r="R82" s="112"/>
      <c r="S82" s="112"/>
      <c r="T82" s="112"/>
      <c r="U82" s="112"/>
      <c r="V82" s="112"/>
      <c r="W82" s="112"/>
      <c r="X82" s="112"/>
      <c r="Y82" s="112"/>
      <c r="Z82" s="112"/>
      <c r="AA82" s="112"/>
    </row>
    <row r="83" spans="1:27">
      <c r="A83" s="112"/>
      <c r="B83" s="112"/>
      <c r="C83" s="146"/>
      <c r="D83" s="127"/>
      <c r="E83" s="127"/>
      <c r="F83" s="127"/>
      <c r="G83" s="146"/>
      <c r="H83" s="112"/>
      <c r="I83" s="112"/>
      <c r="J83" s="112"/>
      <c r="K83" s="112"/>
      <c r="L83" s="112"/>
      <c r="M83" s="112"/>
      <c r="N83" s="112"/>
      <c r="O83" s="112"/>
      <c r="P83" s="112"/>
      <c r="Q83" s="112"/>
      <c r="R83" s="112"/>
      <c r="S83" s="112"/>
      <c r="T83" s="112"/>
      <c r="U83" s="112"/>
      <c r="V83" s="112"/>
      <c r="W83" s="112"/>
      <c r="X83" s="112"/>
      <c r="Y83" s="112"/>
      <c r="Z83" s="112"/>
      <c r="AA83" s="112"/>
    </row>
    <row r="84" spans="1:27">
      <c r="A84" s="112"/>
      <c r="B84" s="112"/>
      <c r="C84" s="146"/>
      <c r="D84" s="127"/>
      <c r="E84" s="127"/>
      <c r="F84" s="127"/>
      <c r="G84" s="146"/>
      <c r="H84" s="112"/>
      <c r="I84" s="112"/>
      <c r="J84" s="112"/>
      <c r="K84" s="112"/>
      <c r="L84" s="112"/>
      <c r="M84" s="112"/>
      <c r="N84" s="112"/>
      <c r="O84" s="112"/>
      <c r="P84" s="112"/>
      <c r="Q84" s="112"/>
      <c r="R84" s="112"/>
      <c r="S84" s="112"/>
      <c r="T84" s="112"/>
      <c r="U84" s="112"/>
      <c r="V84" s="112"/>
      <c r="W84" s="112"/>
      <c r="X84" s="112"/>
      <c r="Y84" s="112"/>
      <c r="Z84" s="112"/>
      <c r="AA84" s="112"/>
    </row>
    <row r="85" spans="1:27">
      <c r="A85" s="112"/>
      <c r="B85" s="112"/>
      <c r="C85" s="146"/>
      <c r="D85" s="127"/>
      <c r="E85" s="127"/>
      <c r="F85" s="127"/>
      <c r="G85" s="146"/>
      <c r="H85" s="112"/>
      <c r="I85" s="112"/>
      <c r="J85" s="112"/>
      <c r="K85" s="112"/>
      <c r="L85" s="112"/>
      <c r="M85" s="112"/>
      <c r="N85" s="112"/>
      <c r="O85" s="112"/>
      <c r="P85" s="112"/>
      <c r="Q85" s="112"/>
      <c r="R85" s="112"/>
      <c r="S85" s="112"/>
      <c r="T85" s="112"/>
      <c r="U85" s="112"/>
      <c r="V85" s="112"/>
      <c r="W85" s="112"/>
      <c r="X85" s="112"/>
      <c r="Y85" s="112"/>
      <c r="Z85" s="112"/>
      <c r="AA85" s="112"/>
    </row>
    <row r="86" spans="1:27">
      <c r="A86" s="112"/>
      <c r="B86" s="112"/>
      <c r="C86" s="146"/>
      <c r="D86" s="127"/>
      <c r="E86" s="127"/>
      <c r="F86" s="127"/>
      <c r="G86" s="146"/>
      <c r="H86" s="112"/>
      <c r="I86" s="112"/>
      <c r="J86" s="112"/>
      <c r="K86" s="112"/>
      <c r="L86" s="112"/>
      <c r="M86" s="112"/>
      <c r="N86" s="112"/>
      <c r="O86" s="112"/>
      <c r="P86" s="112"/>
      <c r="Q86" s="112"/>
      <c r="R86" s="112"/>
      <c r="S86" s="112"/>
      <c r="T86" s="112"/>
      <c r="U86" s="112"/>
      <c r="V86" s="112"/>
      <c r="W86" s="112"/>
      <c r="X86" s="112"/>
      <c r="Y86" s="112"/>
      <c r="Z86" s="112"/>
      <c r="AA86" s="112"/>
    </row>
    <row r="87" spans="1:27">
      <c r="A87" s="112"/>
      <c r="B87" s="112"/>
      <c r="C87" s="146"/>
      <c r="D87" s="127"/>
      <c r="E87" s="127"/>
      <c r="F87" s="127"/>
      <c r="G87" s="146"/>
      <c r="H87" s="112"/>
      <c r="I87" s="112"/>
      <c r="J87" s="112"/>
      <c r="K87" s="112"/>
      <c r="L87" s="112"/>
      <c r="M87" s="112"/>
      <c r="N87" s="112"/>
      <c r="O87" s="112"/>
      <c r="P87" s="112"/>
      <c r="Q87" s="112"/>
      <c r="R87" s="112"/>
      <c r="S87" s="112"/>
      <c r="T87" s="112"/>
      <c r="U87" s="112"/>
      <c r="V87" s="112"/>
      <c r="W87" s="112"/>
      <c r="X87" s="112"/>
      <c r="Y87" s="112"/>
      <c r="Z87" s="112"/>
      <c r="AA87" s="112"/>
    </row>
    <row r="88" spans="1:27">
      <c r="A88" s="112"/>
      <c r="B88" s="112"/>
      <c r="C88" s="146"/>
      <c r="D88" s="127"/>
      <c r="E88" s="127"/>
      <c r="F88" s="127"/>
      <c r="G88" s="146"/>
      <c r="H88" s="112"/>
      <c r="I88" s="112"/>
      <c r="J88" s="112"/>
      <c r="K88" s="112"/>
      <c r="L88" s="112"/>
      <c r="M88" s="112"/>
      <c r="N88" s="112"/>
      <c r="O88" s="112"/>
      <c r="P88" s="112"/>
      <c r="Q88" s="112"/>
      <c r="R88" s="112"/>
      <c r="S88" s="112"/>
      <c r="T88" s="112"/>
      <c r="U88" s="112"/>
      <c r="V88" s="112"/>
      <c r="W88" s="112"/>
      <c r="X88" s="112"/>
      <c r="Y88" s="112"/>
      <c r="Z88" s="112"/>
      <c r="AA88" s="112"/>
    </row>
    <row r="89" spans="1:27">
      <c r="A89" s="112"/>
      <c r="B89" s="112"/>
      <c r="C89" s="146"/>
      <c r="D89" s="127"/>
      <c r="E89" s="127"/>
      <c r="F89" s="127"/>
      <c r="G89" s="146"/>
      <c r="H89" s="112"/>
      <c r="I89" s="112"/>
      <c r="J89" s="112"/>
      <c r="K89" s="112"/>
      <c r="L89" s="112"/>
      <c r="M89" s="112"/>
      <c r="N89" s="112"/>
      <c r="O89" s="112"/>
      <c r="P89" s="112"/>
      <c r="Q89" s="112"/>
      <c r="R89" s="112"/>
      <c r="S89" s="112"/>
      <c r="T89" s="112"/>
      <c r="U89" s="112"/>
      <c r="V89" s="112"/>
      <c r="W89" s="112"/>
      <c r="X89" s="112"/>
      <c r="Y89" s="112"/>
      <c r="Z89" s="112"/>
      <c r="AA89" s="112"/>
    </row>
    <row r="90" spans="1:27">
      <c r="A90" s="112"/>
      <c r="B90" s="112"/>
      <c r="C90" s="146"/>
      <c r="D90" s="127"/>
      <c r="E90" s="127"/>
      <c r="F90" s="127"/>
      <c r="G90" s="146"/>
      <c r="H90" s="112"/>
      <c r="I90" s="112"/>
      <c r="J90" s="112"/>
      <c r="K90" s="112"/>
      <c r="L90" s="112"/>
      <c r="M90" s="112"/>
      <c r="N90" s="112"/>
      <c r="O90" s="112"/>
      <c r="P90" s="112"/>
      <c r="Q90" s="112"/>
      <c r="R90" s="112"/>
      <c r="S90" s="112"/>
      <c r="T90" s="112"/>
      <c r="U90" s="112"/>
      <c r="V90" s="112"/>
      <c r="W90" s="112"/>
      <c r="X90" s="112"/>
      <c r="Y90" s="112"/>
      <c r="Z90" s="112"/>
      <c r="AA90" s="112"/>
    </row>
    <row r="91" spans="1:27">
      <c r="A91" s="112"/>
      <c r="B91" s="112"/>
      <c r="C91" s="146"/>
      <c r="D91" s="127"/>
      <c r="E91" s="127"/>
      <c r="F91" s="127"/>
      <c r="G91" s="146"/>
      <c r="H91" s="112"/>
      <c r="I91" s="112"/>
      <c r="J91" s="112"/>
      <c r="K91" s="112"/>
      <c r="L91" s="112"/>
      <c r="M91" s="112"/>
      <c r="N91" s="112"/>
      <c r="O91" s="112"/>
      <c r="P91" s="112"/>
      <c r="Q91" s="112"/>
      <c r="R91" s="112"/>
      <c r="S91" s="112"/>
      <c r="T91" s="112"/>
      <c r="U91" s="112"/>
      <c r="V91" s="112"/>
      <c r="W91" s="112"/>
      <c r="X91" s="112"/>
      <c r="Y91" s="112"/>
      <c r="Z91" s="112"/>
      <c r="AA91" s="112"/>
    </row>
    <row r="92" spans="1:27">
      <c r="A92" s="112"/>
      <c r="B92" s="112"/>
      <c r="C92" s="146"/>
      <c r="D92" s="127"/>
      <c r="E92" s="127"/>
      <c r="F92" s="127"/>
      <c r="G92" s="146"/>
      <c r="H92" s="112"/>
      <c r="I92" s="112"/>
      <c r="J92" s="112"/>
      <c r="K92" s="112"/>
      <c r="L92" s="112"/>
      <c r="M92" s="112"/>
      <c r="N92" s="112"/>
      <c r="O92" s="112"/>
      <c r="P92" s="112"/>
      <c r="Q92" s="112"/>
      <c r="R92" s="112"/>
      <c r="S92" s="112"/>
      <c r="T92" s="112"/>
      <c r="U92" s="112"/>
      <c r="V92" s="112"/>
      <c r="W92" s="112"/>
      <c r="X92" s="112"/>
      <c r="Y92" s="112"/>
      <c r="Z92" s="112"/>
      <c r="AA92" s="112"/>
    </row>
    <row r="93" spans="1:27">
      <c r="A93" s="112"/>
      <c r="B93" s="112"/>
      <c r="C93" s="146"/>
      <c r="D93" s="127"/>
      <c r="E93" s="127"/>
      <c r="F93" s="127"/>
      <c r="G93" s="146"/>
      <c r="H93" s="112"/>
      <c r="I93" s="112"/>
      <c r="J93" s="112"/>
      <c r="K93" s="112"/>
      <c r="L93" s="112"/>
      <c r="M93" s="112"/>
      <c r="N93" s="112"/>
      <c r="O93" s="112"/>
      <c r="P93" s="112"/>
      <c r="Q93" s="112"/>
      <c r="R93" s="112"/>
      <c r="S93" s="112"/>
      <c r="T93" s="112"/>
      <c r="U93" s="112"/>
      <c r="V93" s="112"/>
      <c r="W93" s="112"/>
      <c r="X93" s="112"/>
      <c r="Y93" s="112"/>
      <c r="Z93" s="112"/>
      <c r="AA93" s="112"/>
    </row>
    <row r="94" spans="1:27">
      <c r="A94" s="112"/>
      <c r="B94" s="112"/>
      <c r="C94" s="146"/>
      <c r="D94" s="127"/>
      <c r="E94" s="127"/>
      <c r="F94" s="127"/>
      <c r="G94" s="146"/>
      <c r="H94" s="112"/>
      <c r="I94" s="112"/>
      <c r="J94" s="112"/>
      <c r="K94" s="112"/>
      <c r="L94" s="112"/>
      <c r="M94" s="112"/>
      <c r="N94" s="112"/>
      <c r="O94" s="112"/>
      <c r="P94" s="112"/>
      <c r="Q94" s="112"/>
      <c r="R94" s="112"/>
      <c r="S94" s="112"/>
      <c r="T94" s="112"/>
      <c r="U94" s="112"/>
      <c r="V94" s="112"/>
      <c r="W94" s="112"/>
      <c r="X94" s="112"/>
      <c r="Y94" s="112"/>
      <c r="Z94" s="112"/>
      <c r="AA94" s="112"/>
    </row>
    <row r="95" spans="1:27">
      <c r="A95" s="112"/>
      <c r="B95" s="112"/>
      <c r="C95" s="146"/>
      <c r="D95" s="127"/>
      <c r="E95" s="127"/>
      <c r="F95" s="127"/>
      <c r="G95" s="146"/>
      <c r="H95" s="112"/>
      <c r="I95" s="112"/>
      <c r="J95" s="112"/>
      <c r="K95" s="112"/>
      <c r="L95" s="112"/>
      <c r="M95" s="112"/>
      <c r="N95" s="112"/>
      <c r="O95" s="112"/>
      <c r="P95" s="112"/>
      <c r="Q95" s="112"/>
      <c r="R95" s="112"/>
      <c r="S95" s="112"/>
      <c r="T95" s="112"/>
      <c r="U95" s="112"/>
      <c r="V95" s="112"/>
      <c r="W95" s="112"/>
      <c r="X95" s="112"/>
      <c r="Y95" s="112"/>
      <c r="Z95" s="112"/>
      <c r="AA95" s="112"/>
    </row>
    <row r="96" spans="1:27">
      <c r="A96" s="112"/>
      <c r="B96" s="112"/>
      <c r="C96" s="146"/>
      <c r="D96" s="127"/>
      <c r="E96" s="127"/>
      <c r="F96" s="127"/>
      <c r="G96" s="146"/>
      <c r="H96" s="112"/>
      <c r="I96" s="112"/>
      <c r="J96" s="112"/>
      <c r="K96" s="112"/>
      <c r="L96" s="112"/>
      <c r="M96" s="112"/>
      <c r="N96" s="112"/>
      <c r="O96" s="112"/>
      <c r="P96" s="112"/>
      <c r="Q96" s="112"/>
      <c r="R96" s="112"/>
      <c r="S96" s="112"/>
      <c r="T96" s="112"/>
      <c r="U96" s="112"/>
      <c r="V96" s="112"/>
      <c r="W96" s="112"/>
      <c r="X96" s="112"/>
      <c r="Y96" s="112"/>
      <c r="Z96" s="112"/>
      <c r="AA96" s="112"/>
    </row>
    <row r="97" spans="1:27">
      <c r="A97" s="112"/>
      <c r="B97" s="112"/>
      <c r="C97" s="146"/>
      <c r="D97" s="127"/>
      <c r="E97" s="127"/>
      <c r="F97" s="127"/>
      <c r="G97" s="146"/>
      <c r="H97" s="112"/>
      <c r="I97" s="112"/>
      <c r="J97" s="112"/>
      <c r="K97" s="112"/>
      <c r="L97" s="112"/>
      <c r="M97" s="112"/>
      <c r="N97" s="112"/>
      <c r="O97" s="112"/>
      <c r="P97" s="112"/>
      <c r="Q97" s="112"/>
      <c r="R97" s="112"/>
      <c r="S97" s="112"/>
      <c r="T97" s="112"/>
      <c r="U97" s="112"/>
      <c r="V97" s="112"/>
      <c r="W97" s="112"/>
      <c r="X97" s="112"/>
      <c r="Y97" s="112"/>
      <c r="Z97" s="112"/>
      <c r="AA97" s="112"/>
    </row>
    <row r="98" spans="1:27">
      <c r="A98" s="112"/>
      <c r="B98" s="112"/>
      <c r="C98" s="146"/>
      <c r="D98" s="127"/>
      <c r="E98" s="127"/>
      <c r="F98" s="127"/>
      <c r="G98" s="146"/>
      <c r="H98" s="112"/>
      <c r="I98" s="112"/>
      <c r="J98" s="112"/>
      <c r="K98" s="112"/>
      <c r="L98" s="112"/>
      <c r="M98" s="112"/>
      <c r="N98" s="112"/>
      <c r="O98" s="112"/>
      <c r="P98" s="112"/>
      <c r="Q98" s="112"/>
      <c r="R98" s="112"/>
      <c r="S98" s="112"/>
      <c r="T98" s="112"/>
      <c r="U98" s="112"/>
      <c r="V98" s="112"/>
      <c r="W98" s="112"/>
      <c r="X98" s="112"/>
      <c r="Y98" s="112"/>
      <c r="Z98" s="112"/>
      <c r="AA98" s="112"/>
    </row>
    <row r="99" spans="1:27">
      <c r="A99" s="112"/>
      <c r="B99" s="112"/>
      <c r="C99" s="146"/>
      <c r="D99" s="127"/>
      <c r="E99" s="127"/>
      <c r="F99" s="127"/>
      <c r="G99" s="146"/>
      <c r="H99" s="112"/>
      <c r="I99" s="112"/>
      <c r="J99" s="112"/>
      <c r="K99" s="112"/>
      <c r="L99" s="112"/>
      <c r="M99" s="112"/>
      <c r="N99" s="112"/>
      <c r="O99" s="112"/>
      <c r="P99" s="112"/>
      <c r="Q99" s="112"/>
      <c r="R99" s="112"/>
      <c r="S99" s="112"/>
      <c r="T99" s="112"/>
      <c r="U99" s="112"/>
      <c r="V99" s="112"/>
      <c r="W99" s="112"/>
      <c r="X99" s="112"/>
      <c r="Y99" s="112"/>
      <c r="Z99" s="112"/>
      <c r="AA99" s="112"/>
    </row>
    <row r="100" spans="1:27">
      <c r="A100" s="112"/>
      <c r="B100" s="112"/>
      <c r="C100" s="146"/>
      <c r="D100" s="127"/>
      <c r="E100" s="127"/>
      <c r="F100" s="127"/>
      <c r="G100" s="146"/>
      <c r="H100" s="112"/>
      <c r="I100" s="112"/>
      <c r="J100" s="112"/>
      <c r="K100" s="112"/>
      <c r="L100" s="112"/>
      <c r="M100" s="112"/>
      <c r="N100" s="112"/>
      <c r="O100" s="112"/>
      <c r="P100" s="112"/>
      <c r="Q100" s="112"/>
      <c r="R100" s="112"/>
      <c r="S100" s="112"/>
      <c r="T100" s="112"/>
      <c r="U100" s="112"/>
      <c r="V100" s="112"/>
      <c r="W100" s="112"/>
      <c r="X100" s="112"/>
      <c r="Y100" s="112"/>
      <c r="Z100" s="112"/>
      <c r="AA100" s="112"/>
    </row>
    <row r="101" spans="1:27">
      <c r="A101" s="112"/>
      <c r="B101" s="112"/>
      <c r="C101" s="146"/>
      <c r="D101" s="127"/>
      <c r="E101" s="127"/>
      <c r="F101" s="127"/>
      <c r="G101" s="146"/>
      <c r="H101" s="112"/>
      <c r="I101" s="112"/>
      <c r="J101" s="112"/>
      <c r="K101" s="112"/>
      <c r="L101" s="112"/>
      <c r="M101" s="112"/>
      <c r="N101" s="112"/>
      <c r="O101" s="112"/>
      <c r="P101" s="112"/>
      <c r="Q101" s="112"/>
      <c r="R101" s="112"/>
      <c r="S101" s="112"/>
      <c r="T101" s="112"/>
      <c r="U101" s="112"/>
      <c r="V101" s="112"/>
      <c r="W101" s="112"/>
      <c r="X101" s="112"/>
      <c r="Y101" s="112"/>
      <c r="Z101" s="112"/>
      <c r="AA101" s="112"/>
    </row>
    <row r="102" spans="1:27">
      <c r="A102" s="112"/>
      <c r="B102" s="112"/>
      <c r="C102" s="146"/>
      <c r="D102" s="127"/>
      <c r="E102" s="127"/>
      <c r="F102" s="127"/>
      <c r="G102" s="146"/>
      <c r="H102" s="112"/>
      <c r="I102" s="112"/>
      <c r="J102" s="112"/>
      <c r="K102" s="112"/>
      <c r="L102" s="112"/>
      <c r="M102" s="112"/>
      <c r="N102" s="112"/>
      <c r="O102" s="112"/>
      <c r="P102" s="112"/>
      <c r="Q102" s="112"/>
      <c r="R102" s="112"/>
      <c r="S102" s="112"/>
      <c r="T102" s="112"/>
      <c r="U102" s="112"/>
      <c r="V102" s="112"/>
      <c r="W102" s="112"/>
      <c r="X102" s="112"/>
      <c r="Y102" s="112"/>
      <c r="Z102" s="112"/>
      <c r="AA102" s="112"/>
    </row>
  </sheetData>
  <autoFilter ref="A2:Q18"/>
  <mergeCells count="2">
    <mergeCell ref="A1:Q1"/>
    <mergeCell ref="V3:AA3"/>
  </mergeCells>
  <conditionalFormatting sqref="O7:O8">
    <cfRule type="colorScale" priority="3">
      <colorScale>
        <cfvo type="min"/>
        <cfvo type="percentile" val="50"/>
        <cfvo type="max"/>
        <color rgb="FFF8696B"/>
        <color rgb="FFFFEB84"/>
        <color rgb="FF63BE7B"/>
      </colorScale>
    </cfRule>
  </conditionalFormatting>
  <conditionalFormatting sqref="O3:O1048576">
    <cfRule type="containsText" dxfId="1" priority="1" operator="containsText" text="Open">
      <formula>NOT(ISERROR(SEARCH("Open",O3)))</formula>
    </cfRule>
    <cfRule type="containsText" dxfId="0" priority="2" operator="containsText" text="Resolved">
      <formula>NOT(ISERROR(SEARCH("Resolved",O3)))</formula>
    </cfRule>
  </conditionalFormatting>
  <pageMargins left="0.25" right="0.25" top="0.75" bottom="0.75" header="0" footer="0"/>
  <pageSetup paperSize="8" scale="47" orientation="landscape"/>
  <extLst>
    <ext xmlns:x14="http://schemas.microsoft.com/office/spreadsheetml/2009/9/main" uri="{CCE6A557-97BC-4b89-ADB6-D9C93CAAB3DF}">
      <x14:dataValidations xmlns:xm="http://schemas.microsoft.com/office/excel/2006/main" count="6">
        <x14:dataValidation type="list" allowBlank="1" showErrorMessage="1">
          <x14:formula1>
            <xm:f>[1]Input!#REF!</xm:f>
          </x14:formula1>
          <xm:sqref>O3:O18</xm:sqref>
        </x14:dataValidation>
        <x14:dataValidation type="list" allowBlank="1" showErrorMessage="1">
          <x14:formula1>
            <xm:f>[1]Input!#REF!</xm:f>
          </x14:formula1>
          <xm:sqref>M3:M18</xm:sqref>
        </x14:dataValidation>
        <x14:dataValidation type="list" allowBlank="1" showInputMessage="1" showErrorMessage="1">
          <x14:formula1>
            <xm:f>[1]Input!#REF!</xm:f>
          </x14:formula1>
          <xm:sqref>F3:F1048576</xm:sqref>
        </x14:dataValidation>
        <x14:dataValidation type="list" allowBlank="1" showInputMessage="1" showErrorMessage="1">
          <x14:formula1>
            <xm:f>[1]Input!#REF!</xm:f>
          </x14:formula1>
          <xm:sqref>G3:G1048576</xm:sqref>
        </x14:dataValidation>
        <x14:dataValidation type="list" allowBlank="1" showInputMessage="1" showErrorMessage="1">
          <x14:formula1>
            <xm:f>[1]Input!#REF!</xm:f>
          </x14:formula1>
          <xm:sqref>D3:D1048576</xm:sqref>
        </x14:dataValidation>
        <x14:dataValidation type="list" allowBlank="1" showInputMessage="1" showErrorMessage="1">
          <x14:formula1>
            <xm:f>[1]Input!#REF!</xm:f>
          </x14:formula1>
          <xm:sqref>N3:N1048576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Legal Approval Tracker</vt:lpstr>
      <vt:lpstr>Milestone</vt:lpstr>
      <vt:lpstr>Risk Register</vt:lpstr>
      <vt:lpstr>Hinderance Register</vt:lpstr>
      <vt:lpstr>Dashboard!Print_Area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Saiyam Shah</dc:creator>
  <cp:lastModifiedBy>SHANIL</cp:lastModifiedBy>
  <cp:lastPrinted>2026-02-21T10:27:28Z</cp:lastPrinted>
  <dcterms:created xsi:type="dcterms:W3CDTF">2026-01-22T16:31:38Z</dcterms:created>
  <dcterms:modified xsi:type="dcterms:W3CDTF">2026-03-03T23:47:05Z</dcterms:modified>
</cp:coreProperties>
</file>