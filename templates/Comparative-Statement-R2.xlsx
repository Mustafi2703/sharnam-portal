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e R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3.83203125" customWidth="1"/>
    <col min="5" max="5" width="10.83203125" customWidth="1"/>
    <col min="6" max="6" width="10.83203125" customWidth="1"/>
    <col min="7" max="7" width="23.83203125" customWidth="1"/>
    <col min="8" max="8" width="25.83203125" customWidth="1"/>
    <col min="9" max="9" width="29.83203125" customWidth="1"/>
    <col min="10" max="10" width="31.83203125" customWidth="1"/>
    <col min="11" max="11" width="24.83203125" customWidth="1"/>
    <col min="12" max="12" width="26.83203125" customWidth="1"/>
    <col min="13" max="13" width="18.83203125" customWidth="1"/>
    <col min="14" max="14" width="15.83203125" customWidth="1"/>
    <col min="15" max="15" width="10.83203125" customWidth="1"/>
  </cols>
  <sheetData>
    <row r="1">
      <c r="A1" t="str">
        <v>Sr</v>
      </c>
      <c r="B1" t="str">
        <v>Section</v>
      </c>
      <c r="C1" t="str">
        <v>Item Code</v>
      </c>
      <c r="D1" t="str">
        <v>Description</v>
      </c>
      <c r="E1" t="str">
        <v>Qty</v>
      </c>
      <c r="F1" t="str">
        <v>Unit</v>
      </c>
      <c r="G1" t="str">
        <v>M/s Bhavna Infra Rate</v>
      </c>
      <c r="H1" t="str">
        <v>M/s Bhavna Infra Amount</v>
      </c>
      <c r="I1" t="str">
        <v>TCC Projects PVT. LTD. Rate</v>
      </c>
      <c r="J1" t="str">
        <v>TCC Projects PVT. LTD. Amount</v>
      </c>
      <c r="K1" t="str">
        <v>Pearl Electricals Rate</v>
      </c>
      <c r="L1" t="str">
        <v>Pearl Electricals Amount</v>
      </c>
      <c r="M1" t="str">
        <v>Sharnam Estimate</v>
      </c>
      <c r="N1" t="str">
        <v>Lowest Vendor</v>
      </c>
      <c r="O1" t="str">
        <v>Remarks</v>
      </c>
    </row>
    <row r="2">
      <c r="A2">
        <v>1</v>
      </c>
      <c r="B2" t="str">
        <v>SECTION A — EARTH WORK</v>
      </c>
      <c r="C2" t="str">
        <v>A-01</v>
      </c>
      <c r="D2" t="str">
        <v>Excavation in ordinary soil</v>
      </c>
      <c r="E2">
        <v>1200</v>
      </c>
      <c r="F2" t="str">
        <v>CUM</v>
      </c>
      <c r="G2" t="str">
        <v/>
      </c>
      <c r="H2">
        <f>E2*G2</f>
        <v>0</v>
      </c>
      <c r="I2" t="str">
        <v/>
      </c>
      <c r="J2">
        <f>E2*I2</f>
        <v>0</v>
      </c>
      <c r="K2" t="str">
        <v/>
      </c>
      <c r="L2">
        <f>E2*K2</f>
        <v>0</v>
      </c>
      <c r="M2" t="str">
        <v/>
      </c>
      <c r="N2" t="str">
        <v/>
      </c>
      <c r="O2" t="str">
        <v/>
      </c>
    </row>
    <row r="3">
      <c r="A3">
        <v>2</v>
      </c>
      <c r="B3" t="str">
        <v>SECTION A — EARTH WORK</v>
      </c>
      <c r="C3" t="str">
        <v>A-02</v>
      </c>
      <c r="D3" t="str">
        <v>Filling with soling material</v>
      </c>
      <c r="E3">
        <v>800</v>
      </c>
      <c r="F3" t="str">
        <v>CUM</v>
      </c>
      <c r="G3" t="str">
        <v/>
      </c>
      <c r="H3">
        <f>E3*G3</f>
        <v>0</v>
      </c>
      <c r="I3" t="str">
        <v/>
      </c>
      <c r="J3">
        <f>E3*I3</f>
        <v>0</v>
      </c>
      <c r="K3" t="str">
        <v/>
      </c>
      <c r="L3">
        <f>E3*K3</f>
        <v>0</v>
      </c>
      <c r="M3" t="str">
        <v/>
      </c>
      <c r="N3" t="str">
        <v/>
      </c>
      <c r="O3" t="str">
        <v/>
      </c>
    </row>
    <row r="4">
      <c r="A4">
        <v>3</v>
      </c>
      <c r="B4" t="str">
        <v>SECTION A — EARTH WORK</v>
      </c>
      <c r="C4" t="str">
        <v>A-03</v>
      </c>
      <c r="D4" t="str">
        <v>Compaction of soling</v>
      </c>
      <c r="E4">
        <v>800</v>
      </c>
      <c r="F4" t="str">
        <v>CUM</v>
      </c>
      <c r="G4" t="str">
        <v/>
      </c>
      <c r="H4">
        <f>E4*G4</f>
        <v>0</v>
      </c>
      <c r="I4" t="str">
        <v/>
      </c>
      <c r="J4">
        <f>E4*I4</f>
        <v>0</v>
      </c>
      <c r="K4" t="str">
        <v/>
      </c>
      <c r="L4">
        <f>E4*K4</f>
        <v>0</v>
      </c>
      <c r="M4" t="str">
        <v/>
      </c>
      <c r="N4" t="str">
        <v/>
      </c>
      <c r="O4" t="str">
        <v/>
      </c>
    </row>
    <row r="5">
      <c r="A5">
        <v>4</v>
      </c>
      <c r="B5" t="str">
        <v>SECTION B — RCC WORK</v>
      </c>
      <c r="C5" t="str">
        <v>B-01</v>
      </c>
      <c r="D5" t="str">
        <v>RCC M25 in foundation</v>
      </c>
      <c r="E5">
        <v>450</v>
      </c>
      <c r="F5" t="str">
        <v>CUM</v>
      </c>
      <c r="G5" t="str">
        <v/>
      </c>
      <c r="H5">
        <f>E5*G5</f>
        <v>0</v>
      </c>
      <c r="I5" t="str">
        <v/>
      </c>
      <c r="J5">
        <f>E5*I5</f>
        <v>0</v>
      </c>
      <c r="K5" t="str">
        <v/>
      </c>
      <c r="L5">
        <f>E5*K5</f>
        <v>0</v>
      </c>
      <c r="M5" t="str">
        <v/>
      </c>
      <c r="N5" t="str">
        <v/>
      </c>
      <c r="O5" t="str">
        <v/>
      </c>
    </row>
    <row r="6">
      <c r="A6">
        <v>5</v>
      </c>
      <c r="B6" t="str">
        <v>SECTION B — RCC WORK</v>
      </c>
      <c r="C6" t="str">
        <v>B-02</v>
      </c>
      <c r="D6" t="str">
        <v>RCC M30 in columns &amp; beams</v>
      </c>
      <c r="E6">
        <v>320</v>
      </c>
      <c r="F6" t="str">
        <v>CUM</v>
      </c>
      <c r="G6" t="str">
        <v/>
      </c>
      <c r="H6">
        <f>E6*G6</f>
        <v>0</v>
      </c>
      <c r="I6" t="str">
        <v/>
      </c>
      <c r="J6">
        <f>E6*I6</f>
        <v>0</v>
      </c>
      <c r="K6" t="str">
        <v/>
      </c>
      <c r="L6">
        <f>E6*K6</f>
        <v>0</v>
      </c>
      <c r="M6" t="str">
        <v/>
      </c>
      <c r="N6" t="str">
        <v/>
      </c>
      <c r="O6" t="str">
        <v/>
      </c>
    </row>
    <row r="7">
      <c r="A7">
        <v>6</v>
      </c>
      <c r="B7" t="str">
        <v>SECTION C — MASONRY</v>
      </c>
      <c r="C7" t="str">
        <v>C-01</v>
      </c>
      <c r="D7" t="str">
        <v>Brick masonry in CM 1:6</v>
      </c>
      <c r="E7">
        <v>2400</v>
      </c>
      <c r="F7" t="str">
        <v>SQ.M</v>
      </c>
      <c r="G7" t="str">
        <v/>
      </c>
      <c r="H7">
        <f>E7*G7</f>
        <v>0</v>
      </c>
      <c r="I7" t="str">
        <v/>
      </c>
      <c r="J7">
        <f>E7*I7</f>
        <v>0</v>
      </c>
      <c r="K7" t="str">
        <v/>
      </c>
      <c r="L7">
        <f>E7*K7</f>
        <v>0</v>
      </c>
      <c r="M7" t="str">
        <v/>
      </c>
      <c r="N7" t="str">
        <v/>
      </c>
      <c r="O7" t="str">
        <v/>
      </c>
    </row>
    <row r="8">
      <c r="A8">
        <v>7</v>
      </c>
      <c r="B8" t="str">
        <v>SECTION C — MASONRY</v>
      </c>
      <c r="C8" t="str">
        <v>C-02</v>
      </c>
      <c r="D8" t="str">
        <v>AAC block masonry</v>
      </c>
      <c r="E8">
        <v>1800</v>
      </c>
      <c r="F8" t="str">
        <v>SQ.M</v>
      </c>
      <c r="G8" t="str">
        <v/>
      </c>
      <c r="H8">
        <f>E8*G8</f>
        <v>0</v>
      </c>
      <c r="I8" t="str">
        <v/>
      </c>
      <c r="J8">
        <f>E8*I8</f>
        <v>0</v>
      </c>
      <c r="K8" t="str">
        <v/>
      </c>
      <c r="L8">
        <f>E8*K8</f>
        <v>0</v>
      </c>
      <c r="M8" t="str">
        <v/>
      </c>
      <c r="N8" t="str">
        <v/>
      </c>
      <c r="O8" t="str">
        <v/>
      </c>
    </row>
    <row r="9">
      <c r="A9" t="str">
        <v/>
      </c>
      <c r="B9" t="str">
        <v>GRAND TOTAL</v>
      </c>
      <c r="C9" t="str">
        <v/>
      </c>
      <c r="D9" t="str">
        <v>Comparative total (all sections)</v>
      </c>
      <c r="E9" t="str">
        <v/>
      </c>
      <c r="F9" t="str">
        <v/>
      </c>
      <c r="G9" t="str">
        <v/>
      </c>
      <c r="H9">
        <f>SUM(H2:H8)</f>
        <v>0</v>
      </c>
      <c r="I9" t="str">
        <v/>
      </c>
      <c r="J9">
        <f>SUM(J2:J8)</f>
        <v>0</v>
      </c>
      <c r="K9" t="str">
        <v/>
      </c>
      <c r="L9">
        <f>SUM(L2:L8)</f>
        <v>0</v>
      </c>
      <c r="M9" t="str">
        <v/>
      </c>
      <c r="N9" t="str">
        <v/>
      </c>
      <c r="O9" t="str">
        <v/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 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