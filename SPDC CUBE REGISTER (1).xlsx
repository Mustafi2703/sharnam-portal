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Regular work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9" i="1" l="1"/>
  <c r="I458" i="1"/>
  <c r="I457" i="1"/>
  <c r="L457" i="1"/>
  <c r="M457" i="1" s="1"/>
  <c r="I453" i="1"/>
  <c r="I452" i="1"/>
  <c r="I451" i="1"/>
  <c r="I447" i="1"/>
  <c r="I446" i="1"/>
  <c r="I445" i="1"/>
  <c r="H415" i="1"/>
  <c r="I420" i="1"/>
  <c r="I419" i="1"/>
  <c r="I418" i="1"/>
  <c r="I414" i="1"/>
  <c r="I413" i="1"/>
  <c r="I412" i="1"/>
  <c r="L412" i="1"/>
  <c r="M412" i="1" s="1"/>
  <c r="L406" i="1"/>
  <c r="M406" i="1" s="1"/>
  <c r="I408" i="1"/>
  <c r="I407" i="1"/>
  <c r="I406" i="1"/>
  <c r="G493" i="1" l="1"/>
  <c r="H493" i="1"/>
  <c r="G499" i="1"/>
  <c r="H499" i="1"/>
  <c r="G505" i="1"/>
  <c r="H505" i="1"/>
  <c r="G511" i="1"/>
  <c r="H511" i="1"/>
  <c r="G481" i="1"/>
  <c r="H481" i="1"/>
  <c r="G475" i="1"/>
  <c r="H475" i="1"/>
  <c r="G469" i="1" l="1"/>
  <c r="H469" i="1"/>
  <c r="G463" i="1" l="1"/>
  <c r="H463" i="1"/>
  <c r="G457" i="1" l="1"/>
  <c r="H457" i="1"/>
  <c r="L451" i="1" l="1"/>
  <c r="M451" i="1" s="1"/>
  <c r="L454" i="1"/>
  <c r="M454" i="1"/>
  <c r="G451" i="1"/>
  <c r="H451" i="1"/>
  <c r="I441" i="1" l="1"/>
  <c r="I440" i="1"/>
  <c r="I439" i="1"/>
  <c r="I435" i="1"/>
  <c r="I434" i="1"/>
  <c r="I433" i="1"/>
  <c r="I429" i="1"/>
  <c r="I428" i="1"/>
  <c r="I427" i="1"/>
  <c r="I402" i="1"/>
  <c r="I401" i="1"/>
  <c r="I400" i="1"/>
  <c r="I396" i="1" l="1"/>
  <c r="I395" i="1"/>
  <c r="I394" i="1"/>
  <c r="I390" i="1"/>
  <c r="I389" i="1"/>
  <c r="I388" i="1"/>
  <c r="I423" i="1"/>
  <c r="I422" i="1"/>
  <c r="I421" i="1"/>
  <c r="I417" i="1"/>
  <c r="I416" i="1"/>
  <c r="I415" i="1"/>
  <c r="G439" i="1" l="1"/>
  <c r="H439" i="1"/>
  <c r="L439" i="1"/>
  <c r="M439" i="1" s="1"/>
  <c r="L442" i="1"/>
  <c r="M442" i="1"/>
  <c r="G445" i="1"/>
  <c r="H445" i="1"/>
  <c r="L445" i="1"/>
  <c r="M445" i="1" s="1"/>
  <c r="L448" i="1"/>
  <c r="M448" i="1" s="1"/>
  <c r="I410" i="1" l="1"/>
  <c r="I411" i="1"/>
  <c r="I409" i="1"/>
  <c r="L403" i="1"/>
  <c r="I404" i="1"/>
  <c r="I405" i="1"/>
  <c r="I403" i="1"/>
  <c r="I384" i="1"/>
  <c r="I383" i="1"/>
  <c r="I382" i="1"/>
  <c r="I378" i="1"/>
  <c r="I377" i="1"/>
  <c r="I376" i="1"/>
  <c r="I372" i="1"/>
  <c r="I371" i="1"/>
  <c r="I370" i="1"/>
  <c r="I366" i="1"/>
  <c r="I365" i="1"/>
  <c r="I364" i="1"/>
  <c r="I360" i="1"/>
  <c r="I359" i="1"/>
  <c r="I358" i="1"/>
  <c r="I399" i="1" l="1"/>
  <c r="I398" i="1"/>
  <c r="I397" i="1"/>
  <c r="I393" i="1"/>
  <c r="L391" i="1"/>
  <c r="M391" i="1" s="1"/>
  <c r="I392" i="1"/>
  <c r="I391" i="1"/>
  <c r="I386" i="1"/>
  <c r="I387" i="1"/>
  <c r="L385" i="1"/>
  <c r="I385" i="1"/>
  <c r="I379" i="1"/>
  <c r="I354" i="1"/>
  <c r="I353" i="1"/>
  <c r="I352" i="1"/>
  <c r="I348" i="1"/>
  <c r="I347" i="1"/>
  <c r="I346" i="1"/>
  <c r="I342" i="1"/>
  <c r="I341" i="1"/>
  <c r="I340" i="1"/>
  <c r="I380" i="1" l="1"/>
  <c r="I381" i="1"/>
  <c r="G415" i="1" l="1"/>
  <c r="L415" i="1"/>
  <c r="M415" i="1" s="1"/>
  <c r="L418" i="1"/>
  <c r="M418" i="1" s="1"/>
  <c r="G421" i="1"/>
  <c r="H421" i="1"/>
  <c r="L421" i="1"/>
  <c r="M421" i="1" s="1"/>
  <c r="L424" i="1"/>
  <c r="M424" i="1" s="1"/>
  <c r="G427" i="1"/>
  <c r="H427" i="1"/>
  <c r="L427" i="1"/>
  <c r="M427" i="1" s="1"/>
  <c r="L430" i="1"/>
  <c r="M430" i="1" s="1"/>
  <c r="G433" i="1"/>
  <c r="H433" i="1"/>
  <c r="L433" i="1"/>
  <c r="M433" i="1" s="1"/>
  <c r="L436" i="1"/>
  <c r="M436" i="1" s="1"/>
  <c r="G403" i="1"/>
  <c r="H403" i="1"/>
  <c r="M403" i="1"/>
  <c r="G409" i="1"/>
  <c r="H409" i="1"/>
  <c r="L409" i="1"/>
  <c r="M409" i="1"/>
  <c r="G397" i="1"/>
  <c r="H397" i="1"/>
  <c r="L397" i="1"/>
  <c r="M397" i="1" s="1"/>
  <c r="L400" i="1"/>
  <c r="M400" i="1" s="1"/>
  <c r="I336" i="1"/>
  <c r="I335" i="1"/>
  <c r="I334" i="1"/>
  <c r="I330" i="1"/>
  <c r="I329" i="1"/>
  <c r="I328" i="1"/>
  <c r="I324" i="1"/>
  <c r="I323" i="1"/>
  <c r="I322" i="1"/>
  <c r="I318" i="1"/>
  <c r="I317" i="1"/>
  <c r="I316" i="1"/>
  <c r="I312" i="1"/>
  <c r="I311" i="1"/>
  <c r="I310" i="1"/>
  <c r="I306" i="1"/>
  <c r="I305" i="1"/>
  <c r="I304" i="1"/>
  <c r="I374" i="1" l="1"/>
  <c r="I375" i="1"/>
  <c r="I373" i="1"/>
  <c r="I368" i="1"/>
  <c r="I369" i="1"/>
  <c r="I367" i="1"/>
  <c r="L370" i="1"/>
  <c r="M370" i="1" s="1"/>
  <c r="L373" i="1"/>
  <c r="M373" i="1" s="1"/>
  <c r="L376" i="1"/>
  <c r="M376" i="1" s="1"/>
  <c r="L379" i="1"/>
  <c r="M379" i="1" s="1"/>
  <c r="L382" i="1"/>
  <c r="M382" i="1" s="1"/>
  <c r="M385" i="1"/>
  <c r="L388" i="1"/>
  <c r="M388" i="1" s="1"/>
  <c r="L394" i="1"/>
  <c r="M394" i="1" s="1"/>
  <c r="I362" i="1"/>
  <c r="I363" i="1"/>
  <c r="I361" i="1"/>
  <c r="I355" i="1"/>
  <c r="I356" i="1"/>
  <c r="I357" i="1"/>
  <c r="I300" i="1" l="1"/>
  <c r="I299" i="1"/>
  <c r="I298" i="1"/>
  <c r="I294" i="1"/>
  <c r="I292" i="1"/>
  <c r="I293" i="1"/>
  <c r="I288" i="1"/>
  <c r="I287" i="1"/>
  <c r="I286" i="1"/>
  <c r="G361" i="1"/>
  <c r="H361" i="1"/>
  <c r="G367" i="1"/>
  <c r="H367" i="1"/>
  <c r="G373" i="1"/>
  <c r="H373" i="1"/>
  <c r="G379" i="1"/>
  <c r="H379" i="1"/>
  <c r="G385" i="1"/>
  <c r="H385" i="1"/>
  <c r="G391" i="1"/>
  <c r="H391" i="1"/>
  <c r="I350" i="1" l="1"/>
  <c r="I351" i="1"/>
  <c r="I349" i="1"/>
  <c r="L346" i="1"/>
  <c r="M346" i="1" s="1"/>
  <c r="L349" i="1"/>
  <c r="M349" i="1" s="1"/>
  <c r="L352" i="1"/>
  <c r="M352" i="1" s="1"/>
  <c r="L355" i="1"/>
  <c r="M355" i="1" s="1"/>
  <c r="L358" i="1"/>
  <c r="M358" i="1" s="1"/>
  <c r="L361" i="1"/>
  <c r="M361" i="1" s="1"/>
  <c r="L364" i="1"/>
  <c r="M364" i="1" s="1"/>
  <c r="L367" i="1"/>
  <c r="M367" i="1" s="1"/>
  <c r="I344" i="1"/>
  <c r="I345" i="1"/>
  <c r="I343" i="1"/>
  <c r="I339" i="1"/>
  <c r="I338" i="1"/>
  <c r="I337" i="1"/>
  <c r="I332" i="1"/>
  <c r="I333" i="1"/>
  <c r="I331" i="1"/>
  <c r="H277" i="1"/>
  <c r="I280" i="1"/>
  <c r="I281" i="1"/>
  <c r="I282" i="1"/>
  <c r="I276" i="1"/>
  <c r="I275" i="1"/>
  <c r="I274" i="1"/>
  <c r="I270" i="1"/>
  <c r="I269" i="1"/>
  <c r="I268" i="1"/>
  <c r="I326" i="1"/>
  <c r="I327" i="1"/>
  <c r="I325" i="1"/>
  <c r="I320" i="1" l="1"/>
  <c r="I321" i="1"/>
  <c r="I319" i="1"/>
  <c r="I314" i="1"/>
  <c r="I315" i="1"/>
  <c r="I313" i="1"/>
  <c r="I264" i="1"/>
  <c r="I263" i="1"/>
  <c r="I262" i="1"/>
  <c r="I258" i="1"/>
  <c r="I257" i="1"/>
  <c r="I256" i="1"/>
  <c r="G337" i="1"/>
  <c r="H337" i="1"/>
  <c r="G343" i="1"/>
  <c r="H343" i="1"/>
  <c r="G349" i="1"/>
  <c r="H349" i="1"/>
  <c r="G355" i="1"/>
  <c r="H355" i="1"/>
  <c r="I308" i="1" l="1"/>
  <c r="I309" i="1"/>
  <c r="I307" i="1"/>
  <c r="I302" i="1"/>
  <c r="I303" i="1"/>
  <c r="I301" i="1"/>
  <c r="I296" i="1"/>
  <c r="I297" i="1"/>
  <c r="I295" i="1"/>
  <c r="I290" i="1"/>
  <c r="I291" i="1"/>
  <c r="I289" i="1"/>
  <c r="I284" i="1"/>
  <c r="I285" i="1"/>
  <c r="I283" i="1"/>
  <c r="L277" i="1"/>
  <c r="M277" i="1" s="1"/>
  <c r="L280" i="1"/>
  <c r="M280" i="1" s="1"/>
  <c r="L283" i="1"/>
  <c r="M283" i="1" s="1"/>
  <c r="L286" i="1"/>
  <c r="M286" i="1" s="1"/>
  <c r="L289" i="1"/>
  <c r="M289" i="1"/>
  <c r="L292" i="1"/>
  <c r="M292" i="1" s="1"/>
  <c r="L295" i="1"/>
  <c r="M295" i="1" s="1"/>
  <c r="L298" i="1"/>
  <c r="M298" i="1" s="1"/>
  <c r="L301" i="1"/>
  <c r="M301" i="1" s="1"/>
  <c r="L304" i="1"/>
  <c r="M304" i="1" s="1"/>
  <c r="L307" i="1"/>
  <c r="M307" i="1" s="1"/>
  <c r="L310" i="1"/>
  <c r="M310" i="1" s="1"/>
  <c r="L313" i="1"/>
  <c r="M313" i="1" s="1"/>
  <c r="L316" i="1"/>
  <c r="M316" i="1" s="1"/>
  <c r="L319" i="1"/>
  <c r="M319" i="1" s="1"/>
  <c r="L322" i="1"/>
  <c r="M322" i="1" s="1"/>
  <c r="L325" i="1"/>
  <c r="M325" i="1" s="1"/>
  <c r="L328" i="1"/>
  <c r="M328" i="1" s="1"/>
  <c r="L331" i="1"/>
  <c r="M331" i="1" s="1"/>
  <c r="L334" i="1"/>
  <c r="M334" i="1" s="1"/>
  <c r="L337" i="1"/>
  <c r="M337" i="1" s="1"/>
  <c r="L340" i="1"/>
  <c r="M340" i="1" s="1"/>
  <c r="L343" i="1"/>
  <c r="M343" i="1" s="1"/>
  <c r="I278" i="1"/>
  <c r="I279" i="1"/>
  <c r="I277" i="1"/>
  <c r="G325" i="1"/>
  <c r="H325" i="1"/>
  <c r="G331" i="1"/>
  <c r="H331" i="1"/>
  <c r="L268" i="1" l="1"/>
  <c r="M268" i="1" s="1"/>
  <c r="L271" i="1"/>
  <c r="M271" i="1" s="1"/>
  <c r="L274" i="1"/>
  <c r="M274" i="1" s="1"/>
  <c r="I273" i="1"/>
  <c r="I272" i="1"/>
  <c r="I271" i="1"/>
  <c r="I267" i="1" l="1"/>
  <c r="I266" i="1"/>
  <c r="I265" i="1"/>
  <c r="L265" i="1"/>
  <c r="M265" i="1" s="1"/>
  <c r="I261" i="1"/>
  <c r="I260" i="1"/>
  <c r="I259" i="1"/>
  <c r="L256" i="1"/>
  <c r="M256" i="1" s="1"/>
  <c r="L259" i="1"/>
  <c r="M259" i="1" s="1"/>
  <c r="L262" i="1"/>
  <c r="M262" i="1" s="1"/>
  <c r="G307" i="1" l="1"/>
  <c r="H307" i="1"/>
  <c r="G313" i="1"/>
  <c r="H313" i="1"/>
  <c r="G319" i="1"/>
  <c r="H319" i="1"/>
  <c r="G301" i="1"/>
  <c r="H301" i="1"/>
  <c r="G283" i="1" l="1"/>
  <c r="H283" i="1"/>
  <c r="G289" i="1"/>
  <c r="H289" i="1"/>
  <c r="G295" i="1"/>
  <c r="H295" i="1"/>
  <c r="G277" i="1"/>
  <c r="H271" i="1" l="1"/>
  <c r="G271" i="1"/>
  <c r="L253" i="1" l="1"/>
  <c r="M253" i="1" s="1"/>
  <c r="I255" i="1"/>
  <c r="I254" i="1"/>
  <c r="I253" i="1"/>
  <c r="I252" i="1"/>
  <c r="I251" i="1"/>
  <c r="I250" i="1"/>
  <c r="I245" i="1"/>
  <c r="I246" i="1"/>
  <c r="I244" i="1"/>
  <c r="G265" i="1" l="1"/>
  <c r="I240" i="1" l="1"/>
  <c r="I239" i="1"/>
  <c r="I238" i="1"/>
  <c r="I234" i="1"/>
  <c r="I233" i="1"/>
  <c r="I232" i="1"/>
  <c r="I229" i="1"/>
  <c r="I230" i="1"/>
  <c r="I231" i="1"/>
  <c r="I228" i="1"/>
  <c r="I227" i="1"/>
  <c r="I226" i="1"/>
  <c r="I222" i="1" l="1"/>
  <c r="I221" i="1"/>
  <c r="I220" i="1"/>
  <c r="L214" i="1"/>
  <c r="M214" i="1" s="1"/>
  <c r="I215" i="1"/>
  <c r="I216" i="1"/>
  <c r="I214" i="1"/>
  <c r="I248" i="1"/>
  <c r="I249" i="1"/>
  <c r="I247" i="1"/>
  <c r="L208" i="1" l="1"/>
  <c r="M208" i="1" s="1"/>
  <c r="I210" i="1"/>
  <c r="I209" i="1"/>
  <c r="I208" i="1"/>
  <c r="L202" i="1"/>
  <c r="M202" i="1" s="1"/>
  <c r="I203" i="1"/>
  <c r="I204" i="1"/>
  <c r="I202" i="1"/>
  <c r="G247" i="1"/>
  <c r="I242" i="1"/>
  <c r="I243" i="1"/>
  <c r="I241" i="1"/>
  <c r="H247" i="1" l="1"/>
  <c r="H253" i="1"/>
  <c r="H259" i="1"/>
  <c r="H265" i="1"/>
  <c r="G253" i="1"/>
  <c r="G259" i="1"/>
  <c r="L194" i="1" l="1"/>
  <c r="M194" i="1" s="1"/>
  <c r="J195" i="1"/>
  <c r="J196" i="1"/>
  <c r="J194" i="1"/>
  <c r="L188" i="1"/>
  <c r="M188" i="1" s="1"/>
  <c r="J189" i="1"/>
  <c r="J190" i="1"/>
  <c r="J188" i="1"/>
  <c r="J183" i="1"/>
  <c r="J184" i="1"/>
  <c r="J182" i="1"/>
  <c r="L176" i="1"/>
  <c r="M176" i="1" s="1"/>
  <c r="J177" i="1"/>
  <c r="J178" i="1"/>
  <c r="J176" i="1"/>
  <c r="I225" i="1" l="1"/>
  <c r="I224" i="1"/>
  <c r="I223" i="1"/>
  <c r="I236" i="1"/>
  <c r="I237" i="1"/>
  <c r="I235" i="1"/>
  <c r="L238" i="1"/>
  <c r="M238" i="1" s="1"/>
  <c r="L241" i="1"/>
  <c r="M241" i="1" s="1"/>
  <c r="L244" i="1"/>
  <c r="M244" i="1" s="1"/>
  <c r="L247" i="1"/>
  <c r="M247" i="1" s="1"/>
  <c r="L250" i="1"/>
  <c r="M250" i="1" s="1"/>
  <c r="L235" i="1"/>
  <c r="M235" i="1" s="1"/>
  <c r="L220" i="1"/>
  <c r="M220" i="1" s="1"/>
  <c r="L223" i="1"/>
  <c r="M223" i="1" s="1"/>
  <c r="L226" i="1"/>
  <c r="M226" i="1" s="1"/>
  <c r="L229" i="1"/>
  <c r="M229" i="1" s="1"/>
  <c r="L232" i="1"/>
  <c r="M232" i="1" s="1"/>
  <c r="H241" i="1" l="1"/>
  <c r="G241" i="1"/>
  <c r="H235" i="1"/>
  <c r="G235" i="1"/>
  <c r="G229" i="1" l="1"/>
  <c r="J171" i="1" l="1"/>
  <c r="J172" i="1"/>
  <c r="L170" i="1"/>
  <c r="M170" i="1" s="1"/>
  <c r="J170" i="1"/>
  <c r="L164" i="1"/>
  <c r="M164" i="1" s="1"/>
  <c r="J165" i="1"/>
  <c r="J166" i="1"/>
  <c r="J164" i="1"/>
  <c r="L158" i="1" l="1"/>
  <c r="M158" i="1" s="1"/>
  <c r="I159" i="1"/>
  <c r="I160" i="1"/>
  <c r="I158" i="1"/>
  <c r="I218" i="1"/>
  <c r="I219" i="1"/>
  <c r="I217" i="1"/>
  <c r="L217" i="1"/>
  <c r="M217" i="1" s="1"/>
  <c r="I212" i="1" l="1"/>
  <c r="I213" i="1"/>
  <c r="I211" i="1"/>
  <c r="L211" i="1"/>
  <c r="M211" i="1" s="1"/>
  <c r="L152" i="1"/>
  <c r="M152" i="1" s="1"/>
  <c r="J153" i="1"/>
  <c r="J154" i="1"/>
  <c r="J152" i="1"/>
  <c r="J147" i="1"/>
  <c r="J148" i="1"/>
  <c r="J146" i="1"/>
  <c r="L146" i="1"/>
  <c r="M146" i="1" s="1"/>
  <c r="L140" i="1"/>
  <c r="M140" i="1" s="1"/>
  <c r="J141" i="1"/>
  <c r="J142" i="1"/>
  <c r="J140" i="1"/>
  <c r="J135" i="1"/>
  <c r="J136" i="1"/>
  <c r="J134" i="1"/>
  <c r="L128" i="1"/>
  <c r="M128" i="1" s="1"/>
  <c r="J129" i="1"/>
  <c r="J130" i="1"/>
  <c r="J128" i="1"/>
  <c r="L134" i="1"/>
  <c r="M134" i="1" s="1"/>
  <c r="I206" i="1" l="1"/>
  <c r="I207" i="1"/>
  <c r="I205" i="1"/>
  <c r="L205" i="1"/>
  <c r="M205" i="1" s="1"/>
  <c r="H217" i="1"/>
  <c r="H223" i="1"/>
  <c r="H229" i="1"/>
  <c r="G217" i="1"/>
  <c r="G223" i="1"/>
  <c r="H205" i="1"/>
  <c r="H211" i="1"/>
  <c r="G211" i="1"/>
  <c r="G205" i="1"/>
  <c r="L199" i="1"/>
  <c r="M199" i="1" s="1"/>
  <c r="I200" i="1"/>
  <c r="I201" i="1"/>
  <c r="I199" i="1"/>
  <c r="L191" i="1"/>
  <c r="M191" i="1" s="1"/>
  <c r="I192" i="1"/>
  <c r="I193" i="1"/>
  <c r="I191" i="1"/>
  <c r="L122" i="1"/>
  <c r="M122" i="1" s="1"/>
  <c r="J123" i="1"/>
  <c r="J124" i="1"/>
  <c r="J122" i="1"/>
  <c r="L110" i="1" l="1"/>
  <c r="M110" i="1" s="1"/>
  <c r="J111" i="1"/>
  <c r="J112" i="1"/>
  <c r="J110" i="1"/>
  <c r="J105" i="1"/>
  <c r="J106" i="1"/>
  <c r="J104" i="1"/>
  <c r="L116" i="1"/>
  <c r="M116" i="1" s="1"/>
  <c r="J117" i="1"/>
  <c r="J118" i="1"/>
  <c r="J116" i="1"/>
  <c r="I187" i="1" l="1"/>
  <c r="I186" i="1"/>
  <c r="I185" i="1"/>
  <c r="L185" i="1"/>
  <c r="M185" i="1" s="1"/>
  <c r="I180" i="1"/>
  <c r="I181" i="1"/>
  <c r="I179" i="1"/>
  <c r="J99" i="1"/>
  <c r="J100" i="1"/>
  <c r="J98" i="1"/>
  <c r="J93" i="1"/>
  <c r="J94" i="1"/>
  <c r="J92" i="1"/>
  <c r="J87" i="1"/>
  <c r="J88" i="1"/>
  <c r="J86" i="1"/>
  <c r="J56" i="1" l="1"/>
  <c r="J57" i="1"/>
  <c r="J58" i="1"/>
  <c r="J52" i="1"/>
  <c r="J51" i="1"/>
  <c r="J40" i="1"/>
  <c r="J39" i="1"/>
  <c r="J38" i="1"/>
  <c r="J81" i="1" l="1"/>
  <c r="J82" i="1"/>
  <c r="J80" i="1"/>
  <c r="J75" i="1"/>
  <c r="J76" i="1"/>
  <c r="J74" i="1"/>
  <c r="J69" i="1"/>
  <c r="J70" i="1"/>
  <c r="J68" i="1"/>
  <c r="J63" i="1" l="1"/>
  <c r="J64" i="1"/>
  <c r="J62" i="1"/>
  <c r="I174" i="1"/>
  <c r="I175" i="1"/>
  <c r="I173" i="1"/>
  <c r="I168" i="1"/>
  <c r="I169" i="1"/>
  <c r="I167" i="1"/>
  <c r="H199" i="1"/>
  <c r="G199" i="1"/>
  <c r="L182" i="1"/>
  <c r="M182" i="1" s="1"/>
  <c r="H197" i="1"/>
  <c r="G197" i="1"/>
  <c r="J50" i="1" l="1"/>
  <c r="L44" i="1" l="1"/>
  <c r="J45" i="1"/>
  <c r="J46" i="1"/>
  <c r="J44" i="1"/>
  <c r="L32" i="1"/>
  <c r="J34" i="1"/>
  <c r="J33" i="1"/>
  <c r="J32" i="1"/>
  <c r="J27" i="1"/>
  <c r="J28" i="1"/>
  <c r="J26" i="1"/>
  <c r="L14" i="1"/>
  <c r="L20" i="1"/>
  <c r="J21" i="1"/>
  <c r="J22" i="1"/>
  <c r="J20" i="1"/>
  <c r="J15" i="1"/>
  <c r="J16" i="1"/>
  <c r="J14" i="1"/>
  <c r="M44" i="1" l="1"/>
  <c r="L38" i="1" l="1"/>
  <c r="M38" i="1" s="1"/>
  <c r="L29" i="1"/>
  <c r="L11" i="1"/>
  <c r="I138" i="1" l="1"/>
  <c r="I139" i="1"/>
  <c r="I137" i="1"/>
  <c r="I133" i="1" l="1"/>
  <c r="I132" i="1"/>
  <c r="I131" i="1"/>
  <c r="M14" i="1" l="1"/>
  <c r="L26" i="1"/>
  <c r="M26" i="1" s="1"/>
  <c r="L23" i="1"/>
  <c r="L17" i="1"/>
  <c r="G41" i="1" l="1"/>
  <c r="H41" i="1"/>
  <c r="G11" i="1"/>
  <c r="G23" i="1"/>
  <c r="G17" i="1"/>
  <c r="G191" i="1" l="1"/>
  <c r="H191" i="1"/>
  <c r="G179" i="1"/>
  <c r="H179" i="1"/>
  <c r="G185" i="1"/>
  <c r="H185" i="1"/>
  <c r="G173" i="1"/>
  <c r="H173" i="1"/>
  <c r="K163" i="1"/>
  <c r="K162" i="1"/>
  <c r="K161" i="1"/>
  <c r="K157" i="1"/>
  <c r="K156" i="1"/>
  <c r="K155" i="1"/>
  <c r="G167" i="1"/>
  <c r="H167" i="1"/>
  <c r="K151" i="1"/>
  <c r="K150" i="1"/>
  <c r="K149" i="1"/>
  <c r="K145" i="1"/>
  <c r="K144" i="1"/>
  <c r="K143" i="1"/>
  <c r="H161" i="1"/>
  <c r="G161" i="1"/>
  <c r="H155" i="1"/>
  <c r="G155" i="1"/>
  <c r="K125" i="1"/>
  <c r="K126" i="1"/>
  <c r="K127" i="1"/>
  <c r="H149" i="1"/>
  <c r="G149" i="1"/>
  <c r="K121" i="1"/>
  <c r="K120" i="1"/>
  <c r="K119" i="1"/>
  <c r="K115" i="1"/>
  <c r="K114" i="1"/>
  <c r="K113" i="1"/>
  <c r="K109" i="1"/>
  <c r="K108" i="1"/>
  <c r="K107" i="1"/>
  <c r="H143" i="1"/>
  <c r="G143" i="1"/>
  <c r="H137" i="1"/>
  <c r="G137" i="1"/>
  <c r="H131" i="1"/>
  <c r="G131" i="1"/>
  <c r="H125" i="1"/>
  <c r="G125" i="1"/>
  <c r="K103" i="1"/>
  <c r="K102" i="1"/>
  <c r="K101" i="1"/>
  <c r="K97" i="1"/>
  <c r="K96" i="1"/>
  <c r="K95" i="1"/>
  <c r="K91" i="1"/>
  <c r="K90" i="1"/>
  <c r="K89" i="1"/>
  <c r="K85" i="1"/>
  <c r="K84" i="1"/>
  <c r="K83" i="1"/>
  <c r="H119" i="1"/>
  <c r="G119" i="1"/>
  <c r="H113" i="1"/>
  <c r="G113" i="1"/>
  <c r="H107" i="1"/>
  <c r="G107" i="1"/>
  <c r="H101" i="1"/>
  <c r="G101" i="1"/>
  <c r="K79" i="1"/>
  <c r="K78" i="1"/>
  <c r="K77" i="1"/>
  <c r="K73" i="1"/>
  <c r="K72" i="1"/>
  <c r="K71" i="1"/>
  <c r="H95" i="1"/>
  <c r="G95" i="1"/>
  <c r="K67" i="1"/>
  <c r="K66" i="1"/>
  <c r="K65" i="1"/>
  <c r="H89" i="1"/>
  <c r="G89" i="1"/>
  <c r="H83" i="1"/>
  <c r="G83" i="1"/>
  <c r="H77" i="1"/>
  <c r="G77" i="1"/>
  <c r="K55" i="1"/>
  <c r="K54" i="1"/>
  <c r="K53" i="1"/>
  <c r="L41" i="1"/>
  <c r="M41" i="1" s="1"/>
  <c r="K49" i="1"/>
  <c r="K48" i="1"/>
  <c r="K47" i="1"/>
  <c r="H17" i="1"/>
  <c r="H11" i="1"/>
  <c r="K60" i="1"/>
  <c r="K61" i="1"/>
  <c r="K59" i="1"/>
  <c r="H71" i="1"/>
  <c r="G71" i="1"/>
  <c r="H65" i="1"/>
  <c r="G65" i="1"/>
  <c r="H59" i="1"/>
  <c r="G59" i="1"/>
  <c r="H53" i="1"/>
  <c r="G53" i="1"/>
  <c r="H47" i="1"/>
  <c r="G47" i="1"/>
  <c r="H35" i="1"/>
  <c r="G35" i="1"/>
  <c r="H29" i="1"/>
  <c r="G29" i="1"/>
  <c r="H23" i="1"/>
  <c r="L35" i="1"/>
  <c r="M35" i="1" s="1"/>
  <c r="L80" i="1" l="1"/>
  <c r="M80" i="1" s="1"/>
  <c r="L179" i="1"/>
  <c r="M179" i="1" s="1"/>
  <c r="L161" i="1"/>
  <c r="M161" i="1" s="1"/>
  <c r="L89" i="1"/>
  <c r="M89" i="1" s="1"/>
  <c r="L86" i="1"/>
  <c r="M86" i="1" s="1"/>
  <c r="L104" i="1"/>
  <c r="M104" i="1" s="1"/>
  <c r="L149" i="1"/>
  <c r="M149" i="1" s="1"/>
  <c r="L155" i="1"/>
  <c r="M155" i="1" s="1"/>
  <c r="L137" i="1"/>
  <c r="M137" i="1" s="1"/>
  <c r="L77" i="1"/>
  <c r="M77" i="1" s="1"/>
  <c r="L50" i="1"/>
  <c r="M50" i="1" s="1"/>
  <c r="L53" i="1"/>
  <c r="M53" i="1" s="1"/>
  <c r="L92" i="1"/>
  <c r="M92" i="1" s="1"/>
  <c r="L167" i="1"/>
  <c r="M167" i="1" s="1"/>
  <c r="L68" i="1"/>
  <c r="M68" i="1" s="1"/>
  <c r="L113" i="1"/>
  <c r="M113" i="1" s="1"/>
  <c r="L125" i="1"/>
  <c r="M125" i="1" s="1"/>
  <c r="L62" i="1"/>
  <c r="M62" i="1" s="1"/>
  <c r="L98" i="1"/>
  <c r="M98" i="1" s="1"/>
  <c r="L119" i="1"/>
  <c r="M119" i="1" s="1"/>
  <c r="L101" i="1"/>
  <c r="M101" i="1" s="1"/>
  <c r="L95" i="1"/>
  <c r="M95" i="1" s="1"/>
  <c r="L83" i="1"/>
  <c r="M83" i="1" s="1"/>
  <c r="L71" i="1"/>
  <c r="M71" i="1" s="1"/>
  <c r="L65" i="1"/>
  <c r="M65" i="1" s="1"/>
  <c r="L59" i="1"/>
  <c r="M59" i="1" s="1"/>
  <c r="L56" i="1"/>
  <c r="M56" i="1" s="1"/>
  <c r="L143" i="1"/>
  <c r="M143" i="1" s="1"/>
  <c r="L74" i="1"/>
  <c r="M74" i="1" s="1"/>
  <c r="L47" i="1"/>
  <c r="M47" i="1" s="1"/>
  <c r="L107" i="1"/>
  <c r="M107" i="1" s="1"/>
  <c r="L173" i="1"/>
  <c r="M173" i="1" s="1"/>
  <c r="L131" i="1"/>
  <c r="M131" i="1" s="1"/>
</calcChain>
</file>

<file path=xl/sharedStrings.xml><?xml version="1.0" encoding="utf-8"?>
<sst xmlns="http://schemas.openxmlformats.org/spreadsheetml/2006/main" count="197" uniqueCount="107">
  <si>
    <t>Date of Casting</t>
  </si>
  <si>
    <t>Concrete Grade</t>
  </si>
  <si>
    <t>7-day</t>
  </si>
  <si>
    <t>28-day</t>
  </si>
  <si>
    <t>Cube Strength</t>
  </si>
  <si>
    <t>Project Title:</t>
  </si>
  <si>
    <t>Sr. No.</t>
  </si>
  <si>
    <t>Description</t>
  </si>
  <si>
    <t>Weight of Cube</t>
  </si>
  <si>
    <t>TODAY'S DATE:</t>
  </si>
  <si>
    <t>Load</t>
  </si>
  <si>
    <t>Result</t>
  </si>
  <si>
    <t>CUBE REGISTER</t>
  </si>
  <si>
    <t>Average Strength</t>
  </si>
  <si>
    <t>Testing Date</t>
  </si>
  <si>
    <t xml:space="preserve">Name of Project </t>
  </si>
  <si>
    <t>Name of Client</t>
  </si>
  <si>
    <t>Principle  Consultant</t>
  </si>
  <si>
    <t>PMC</t>
  </si>
  <si>
    <t xml:space="preserve">Vendor </t>
  </si>
  <si>
    <t>SHARNAM PROJECT MANAGEMENT CONSULTANT</t>
  </si>
  <si>
    <t>TCC PROJECTS</t>
  </si>
  <si>
    <t>PASS</t>
  </si>
  <si>
    <t>FOOTING D-11,D-10,D-9,D-8</t>
  </si>
  <si>
    <t>FOOTING D-3,D-4,D-5,D-6,D-7</t>
  </si>
  <si>
    <t>FOOTING-D-2, C-3,C-5,C-7</t>
  </si>
  <si>
    <t>FOOTING C-9,C-11</t>
  </si>
  <si>
    <t>FOOTING B-3, B-05</t>
  </si>
  <si>
    <t>FOOTING B-7, B-9</t>
  </si>
  <si>
    <t>FOOTING -B-11,C1-11,C2-11,C3-11 PEDESTAL-D-10,D-11</t>
  </si>
  <si>
    <t>FOOTING C-12,C1-12 PEDESTAL D-9,D-8</t>
  </si>
  <si>
    <t>FOOTING-C1-13,B3-13,B3-15,C-15 PEDESTAL D-7,D-6</t>
  </si>
  <si>
    <t>FOOTING B-14,A-9,A-8</t>
  </si>
  <si>
    <t>FOOTING A-7,A-6 PEDESTAL D5 D4 D3 D2</t>
  </si>
  <si>
    <t>FOOTING A-5 A-10 PEDESTAL-C-3,C-5,C-9,C-11</t>
  </si>
  <si>
    <t>FOOTING B-14 PEDETAL C-11</t>
  </si>
  <si>
    <t>FOOTING B-3,B-5,B-7,B-9</t>
  </si>
  <si>
    <t>FOOTING- A3-13,A2-13,PEDESTAL C1-11,C2-11,C3-11,D-9</t>
  </si>
  <si>
    <t>FOOTING A1-13 A-13 A-12 A-11  AND PEDESTAL A-5, A-6, A-7, A-8</t>
  </si>
  <si>
    <t>FOOTING A-2, A-3</t>
  </si>
  <si>
    <t>FOOTING A-4</t>
  </si>
  <si>
    <t>BURCKHARDT COMPRESSION  FACTORY BUILDING</t>
  </si>
  <si>
    <t>BURCKHARDT COMPRESSION INDIA PVT LTD</t>
  </si>
  <si>
    <t>FOOTING B-2,B-13,B1-15,B2-15</t>
  </si>
  <si>
    <t>M:25</t>
  </si>
  <si>
    <t>PEDESTAL A-3,A-4,A2-3,A3-3,D-4,STUB C-4,C-8,C-13,B2-13,B-14</t>
  </si>
  <si>
    <t>FOOTING B-06,B-10 PEDETAL ,A-11</t>
  </si>
  <si>
    <t>FOOTING B-08, PEDETAL A9, A-10,</t>
  </si>
  <si>
    <t>FOOTINGA2-2,A2-3, PEDESTAL B3-15</t>
  </si>
  <si>
    <t>FOOTING A3-3,C-4,</t>
  </si>
  <si>
    <t>FOOTING,C1-08</t>
  </si>
  <si>
    <t>FOOTING -A3-2 ,B-12,C-13 ,C-14 PEDESTAL A3-13,A2-13,A1-13A-12,A-13</t>
  </si>
  <si>
    <t>FOOTING B3-14, PEDESTAL-B-6 ,B-8,B-10</t>
  </si>
  <si>
    <t>FOOTING B2-13</t>
  </si>
  <si>
    <t>PEDESTAL A2-2,A3-2,C-12,C1-12,B2-15</t>
  </si>
  <si>
    <t>PEDESTAL A-2,B-2,B-13,B1-15,B3-14,C-14</t>
  </si>
  <si>
    <t>PEDESTAL B-12,B-15,B3-13,C1-13</t>
  </si>
  <si>
    <t>PEDESTAL A-4,A-9,C-13,B-13</t>
  </si>
  <si>
    <t>STUB COLUMN A-4,A-9B-13,C-13</t>
  </si>
  <si>
    <t>PEDESTAL PB D-03 TO D-09</t>
  </si>
  <si>
    <t>PEDESTAL PB C07 TO C-09,B-05 TO B-06, B-02 TO B-3</t>
  </si>
  <si>
    <t>PB B-07-B-08 &amp; COLUMN A3-2,A3-3</t>
  </si>
  <si>
    <t>PB B-09 TO B-10</t>
  </si>
  <si>
    <t>PB D-09 TO D-11 &amp; B-11 TO B-13</t>
  </si>
  <si>
    <t>A-3 TO A-6</t>
  </si>
  <si>
    <t>A-7 T0 A-10 PB AND PEDESTAL</t>
  </si>
  <si>
    <t>A-10, A-12,A-13,A1-13,A2-13,A3-13  PB A12 TO A-13,A-13 TO A3-13</t>
  </si>
  <si>
    <t xml:space="preserve"> FOOTING A1-12 A2-12</t>
  </si>
  <si>
    <t>B1-13,B2-13,B3-13 BEAM B1-13 TO B3-13</t>
  </si>
  <si>
    <t>A1-12,A2-12,B1-14,B2-14</t>
  </si>
  <si>
    <t>FACTORY BUIDING PEDESTAL C-13,C1-13,C-11,C1-11,C2-11,C3-11,PB- B3-13 TO C1-13,C-11 TO C-13,C1-11 TO C1-13,PB32,PB32,C-11 TO D-11</t>
  </si>
  <si>
    <t>no 45 2nd set</t>
  </si>
  <si>
    <t>ADMIN BUILDING FOOTING D-2,D-3</t>
  </si>
  <si>
    <t>FACTORY BUILDING PEDESTAL  C-14,C-15,B2-15,B3-15,B1-15 PB C13 TO C15 ,C-15 TO B1-15,B3-13 TO B3-15</t>
  </si>
  <si>
    <t>ADMIN BUILDING FOOTING  C1-4,C2-6,D-4</t>
  </si>
  <si>
    <t>FACTORY BUILDING PEDESTAL  B-14 ,B-15 PB B-13 T0 B-15 PB15,PB42,PB43</t>
  </si>
  <si>
    <t>ADMIN BUILDING FOOTING D-2,D-3,D-4 FOOTING C3-4,C3-5,C3-6</t>
  </si>
  <si>
    <t>ADMIN BUILDING FOOTING C2-2,C1-2,C-2,D-5 COLUMN C3-4,C2-5,C1-4</t>
  </si>
  <si>
    <t>ADMIN BUILDING FOOTING C2-4 AND PEDESTAL C2-2 C1-2</t>
  </si>
  <si>
    <t>ADMIN BUILDING FOOTING A9-3A,A9-2A PEDESTAL C3-3</t>
  </si>
  <si>
    <t>ADMIN BUILDING FOOTING A6-3A,A7-3A PEDESTAL A9-3A.A9-2A.A6-3A,A7-3A,A7-2A,C3-6</t>
  </si>
  <si>
    <t>ADMIN BUILDING FOOTING C2-3,C1-3,C-3,(C2-F2-P1 LAST (C1-F2-P1 LAST)</t>
  </si>
  <si>
    <t>ADMIN BUILDING FOOTING AT C1 GRID F2-P1 2 NOS BETWEEN 3 AND 4 GRID PEDESTAL A9-3A,A9-2A,A1-A8</t>
  </si>
  <si>
    <t>ADMIN BUILDING FOOTING B5-3A B-5 F2-P1</t>
  </si>
  <si>
    <t>ADMIN BUILDING FOOTING AT B5-(F8-P5),B4-F8&amp;P5,B4-(F2-P1),A8&amp;A7-3A F5-SC-3NOS PEDESTAL C1-03,C-3,BETWEEN 3 AND 4 F2-P1 2NOS</t>
  </si>
  <si>
    <t>Factory Building Reports For 7 days And 28 Days</t>
  </si>
  <si>
    <t>Anchor Bolt Pedestal D2,D3.D4.D5,D6</t>
  </si>
  <si>
    <t>ADMIN BUILDING ANCHOR BOLT PEDESTAL C3-6 C1-4 TO 3&amp;F2P1 4 Nos C2-3,C/B5 F2P1,F5-SC-3NOS</t>
  </si>
  <si>
    <t>ADMIN BUILDING ANCHOR BOLT PEDESTAL C2-4, C2-6,C2 TO C1-P1- 2 NOS,C-6 C3-B Beam Bottom, footing C3-2&amp;3</t>
  </si>
  <si>
    <t>FACTORY BUILDING GRID 2 TO 3 Of grid A,B,D ANCHOR Bolt Pedestal A-2 ,D-2</t>
  </si>
  <si>
    <t>Pedestal SC1, C3-4,C3-2,C3-3 ,Fac Building Coping 13 To 9</t>
  </si>
  <si>
    <t>ANCHOR Bolt Pedestal C3-5,C-2,C-3,B3-2,A3-2A,A9-2A,A8-3A</t>
  </si>
  <si>
    <t>ADMIN PB- 3A C1,TO 3A -D-6 TO D-3, PB9,PB 10,PB 22A,PB 9A</t>
  </si>
  <si>
    <t>ADMIN FOOTING C1-1 AND C-1 COMMON GRID FOOTING , FCATORY BUILDING COPING A-13 TO B-13</t>
  </si>
  <si>
    <t>ADMIN FOOTING D-1( CF1)</t>
  </si>
  <si>
    <t xml:space="preserve">ADMIN FOOTING C3-1,C2-1 PB 18,PB 18,PB9A,10A PB 19, PB 20,PB 20A, </t>
  </si>
  <si>
    <t>ADMIN ANCHOR BOLT PEDESTAL 3A-A6,3A-A7,3A-A9,2A-A8,(B3-1 Footing)</t>
  </si>
  <si>
    <t>ADMIN BUILDING D-1 ,C1,C1-1 C2-1 PEDESTAL</t>
  </si>
  <si>
    <t>ADMIN BUILDING FOOTING 2A-A12,2A-A11,2A-A10 FOOTING</t>
  </si>
  <si>
    <t>ADMIN BUILDING C-1.,C2-1,C3-1 COLUMN,FOOTING 3A,13,3A-A12,3A,A11,3A-A10 BEAM(17,30,29) COPING C1-11 TO D-11</t>
  </si>
  <si>
    <t>ADMIN BUILDING 2A-A12,2A-A11,2A-A10 FOOTING 3A-A10 COLUMN UPTO BEAM B4</t>
  </si>
  <si>
    <t>ADMIN BUILDING 3A-10,3A-13,3A-12,3A-A11 UPTO BEAM BOTTOM BEAM 29,31,21</t>
  </si>
  <si>
    <t>M:28</t>
  </si>
  <si>
    <t>M:29</t>
  </si>
  <si>
    <t>M:30</t>
  </si>
  <si>
    <t>M:31</t>
  </si>
  <si>
    <t>ADMIN BUILDING 3A-A11,3A-A12,3A-A13,A1(B F1) Beam PB -6,22A,7,7,21A,23 Coping D10 To 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</si>
</sst>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>
    <font>
      <sz val="10"/>
      <name val="Arial"/>
    </font>
    <font>
      <sz val="8"/>
      <name val="Arial"/>
      <family val="2"/>
    </font>
    <font>
      <sz val="10"/>
      <name val="Artifakt Element"/>
      <family val="2"/>
    </font>
    <font>
      <b/>
      <sz val="12"/>
      <name val="Artifakt Element"/>
      <family val="2"/>
    </font>
    <font>
      <b/>
      <u/>
      <sz val="26"/>
      <color theme="0"/>
      <name val="Artifakt Element"/>
      <family val="2"/>
    </font>
    <font>
      <b/>
      <sz val="10"/>
      <color theme="1"/>
      <name val="Artifakt Element"/>
      <family val="2"/>
    </font>
    <font>
      <b/>
      <u val="double"/>
      <sz val="16"/>
      <color rgb="FFFF0000"/>
      <name val="Artifakt Element"/>
      <family val="2"/>
    </font>
    <font>
      <b/>
      <sz val="11"/>
      <color rgb="FF7030A0"/>
      <name val="Artifakt Element"/>
      <family val="2"/>
    </font>
    <font>
      <b/>
      <sz val="10"/>
      <name val="Artifakt Element"/>
    </font>
    <font>
      <sz val="10"/>
      <name val="Artifakt Element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23" xfId="0" applyFont="1" applyFill="1" applyBorder="1" applyAlignment="1">
      <alignment horizontal="center" vertical="center"/>
    </xf>
    <xf numFmtId="164" fontId="2" fillId="0" borderId="1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164" fontId="2" fillId="0" borderId="29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2" fontId="2" fillId="4" borderId="16" xfId="0" applyNumberFormat="1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2" fontId="2" fillId="4" borderId="27" xfId="0" applyNumberFormat="1" applyFont="1" applyFill="1" applyBorder="1" applyAlignment="1">
      <alignment horizontal="center" vertical="center"/>
    </xf>
    <xf numFmtId="164" fontId="2" fillId="0" borderId="22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2" fontId="2" fillId="3" borderId="16" xfId="0" applyNumberFormat="1" applyFont="1" applyFill="1" applyBorder="1" applyAlignment="1">
      <alignment horizontal="center" vertical="center"/>
    </xf>
    <xf numFmtId="2" fontId="2" fillId="3" borderId="27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164" fontId="2" fillId="0" borderId="30" xfId="0" applyNumberFormat="1" applyFont="1" applyFill="1" applyBorder="1" applyAlignment="1">
      <alignment horizontal="center" vertical="center"/>
    </xf>
    <xf numFmtId="2" fontId="2" fillId="0" borderId="16" xfId="0" applyNumberFormat="1" applyFont="1" applyFill="1" applyBorder="1" applyAlignment="1">
      <alignment horizontal="center" vertical="center"/>
    </xf>
    <xf numFmtId="2" fontId="2" fillId="0" borderId="27" xfId="0" applyNumberFormat="1" applyFont="1" applyFill="1" applyBorder="1" applyAlignment="1">
      <alignment horizontal="center" vertical="center"/>
    </xf>
    <xf numFmtId="2" fontId="2" fillId="0" borderId="22" xfId="0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8" fillId="0" borderId="5" xfId="0" applyFont="1" applyBorder="1" applyAlignment="1"/>
    <xf numFmtId="0" fontId="8" fillId="0" borderId="5" xfId="0" applyFont="1" applyBorder="1"/>
    <xf numFmtId="0" fontId="8" fillId="0" borderId="2" xfId="0" applyFont="1" applyBorder="1" applyAlignment="1"/>
    <xf numFmtId="0" fontId="8" fillId="0" borderId="8" xfId="0" applyFont="1" applyBorder="1"/>
    <xf numFmtId="0" fontId="9" fillId="3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14" fontId="2" fillId="0" borderId="17" xfId="0" applyNumberFormat="1" applyFont="1" applyFill="1" applyBorder="1" applyAlignment="1">
      <alignment horizontal="center" vertical="center"/>
    </xf>
    <xf numFmtId="14" fontId="2" fillId="0" borderId="26" xfId="0" applyNumberFormat="1" applyFont="1" applyFill="1" applyBorder="1" applyAlignment="1">
      <alignment horizontal="center" vertical="center"/>
    </xf>
    <xf numFmtId="14" fontId="2" fillId="0" borderId="22" xfId="0" applyNumberFormat="1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center"/>
    </xf>
    <xf numFmtId="2" fontId="7" fillId="3" borderId="26" xfId="0" applyNumberFormat="1" applyFont="1" applyFill="1" applyBorder="1" applyAlignment="1">
      <alignment horizontal="center" vertical="center"/>
    </xf>
    <xf numFmtId="2" fontId="7" fillId="3" borderId="2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2" fontId="7" fillId="4" borderId="17" xfId="0" applyNumberFormat="1" applyFont="1" applyFill="1" applyBorder="1" applyAlignment="1">
      <alignment horizontal="center" vertical="center"/>
    </xf>
    <xf numFmtId="2" fontId="7" fillId="4" borderId="26" xfId="0" applyNumberFormat="1" applyFont="1" applyFill="1" applyBorder="1" applyAlignment="1">
      <alignment horizontal="center" vertical="center"/>
    </xf>
    <xf numFmtId="2" fontId="7" fillId="4" borderId="22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right" vertical="center"/>
    </xf>
    <xf numFmtId="0" fontId="3" fillId="0" borderId="14" xfId="0" applyFont="1" applyFill="1" applyBorder="1" applyAlignment="1">
      <alignment horizontal="right" vertical="center"/>
    </xf>
    <xf numFmtId="0" fontId="3" fillId="0" borderId="17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3</xdr:col>
      <xdr:colOff>1623060</xdr:colOff>
      <xdr:row>0</xdr:row>
      <xdr:rowOff>914400</xdr:rowOff>
    </xdr:to>
    <xdr:pic>
      <xdr:nvPicPr>
        <xdr:cNvPr id="1026" name="Picture 1">
          <a:extLst>
            <a:ext uri="{FF2B5EF4-FFF2-40B4-BE49-F238E27FC236}">
              <a16:creationId xmlns="" xmlns:a16="http://schemas.microsoft.com/office/drawing/2014/main" id="{32A76AE5-28B3-5E91-C816-0EA65B20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0"/>
          <a:ext cx="208026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516"/>
  <sheetViews>
    <sheetView tabSelected="1" zoomScale="87" zoomScaleNormal="87" workbookViewId="0">
      <pane ySplit="10" topLeftCell="A409" activePane="bottomLeft" state="frozen"/>
      <selection pane="bottomLeft" activeCell="I459" sqref="I459"/>
    </sheetView>
  </sheetViews>
  <sheetFormatPr defaultColWidth="8.85546875" defaultRowHeight="16.5" customHeight="1"/>
  <cols>
    <col min="1" max="1" width="8.85546875" style="1"/>
    <col min="2" max="2" width="5" style="1" customWidth="1"/>
    <col min="3" max="3" width="13.7109375" style="1" bestFit="1" customWidth="1"/>
    <col min="4" max="4" width="46.42578125" style="1" customWidth="1"/>
    <col min="5" max="5" width="10.7109375" style="1" customWidth="1"/>
    <col min="6" max="6" width="8.5703125" style="1" customWidth="1"/>
    <col min="7" max="7" width="12.7109375" style="1" bestFit="1" customWidth="1"/>
    <col min="8" max="8" width="11.28515625" style="1" bestFit="1" customWidth="1"/>
    <col min="9" max="9" width="10.140625" style="1" bestFit="1" customWidth="1"/>
    <col min="10" max="10" width="9.7109375" style="1" customWidth="1"/>
    <col min="11" max="11" width="10.28515625" style="1" customWidth="1"/>
    <col min="12" max="12" width="11.42578125" style="1" customWidth="1"/>
    <col min="13" max="16384" width="8.85546875" style="1"/>
  </cols>
  <sheetData>
    <row r="1" spans="2:13" ht="82.15" customHeight="1">
      <c r="B1" s="119"/>
      <c r="C1" s="120"/>
      <c r="D1" s="120"/>
      <c r="E1" s="113" t="s">
        <v>12</v>
      </c>
      <c r="F1" s="113"/>
      <c r="G1" s="113"/>
      <c r="H1" s="113"/>
      <c r="I1" s="113"/>
      <c r="J1" s="113"/>
      <c r="K1" s="113"/>
      <c r="L1" s="113"/>
      <c r="M1" s="114"/>
    </row>
    <row r="2" spans="2:13" ht="12.75">
      <c r="B2" s="121" t="s">
        <v>15</v>
      </c>
      <c r="C2" s="122"/>
      <c r="D2" s="122"/>
      <c r="E2" s="115" t="s">
        <v>41</v>
      </c>
      <c r="F2" s="115"/>
      <c r="G2" s="115"/>
      <c r="H2" s="115"/>
      <c r="I2" s="115"/>
      <c r="J2" s="115"/>
      <c r="K2" s="115"/>
      <c r="L2" s="115"/>
      <c r="M2" s="116"/>
    </row>
    <row r="3" spans="2:13" ht="14.65" customHeight="1">
      <c r="B3" s="121" t="s">
        <v>16</v>
      </c>
      <c r="C3" s="122"/>
      <c r="D3" s="122"/>
      <c r="E3" s="115" t="s">
        <v>42</v>
      </c>
      <c r="F3" s="115"/>
      <c r="G3" s="115"/>
      <c r="H3" s="115"/>
      <c r="I3" s="115"/>
      <c r="J3" s="115"/>
      <c r="K3" s="115"/>
      <c r="L3" s="115"/>
      <c r="M3" s="116"/>
    </row>
    <row r="4" spans="2:13" ht="14.65" customHeight="1">
      <c r="B4" s="121" t="s">
        <v>17</v>
      </c>
      <c r="C4" s="122"/>
      <c r="D4" s="122"/>
      <c r="E4" s="115"/>
      <c r="F4" s="115"/>
      <c r="G4" s="115"/>
      <c r="H4" s="115"/>
      <c r="I4" s="115"/>
      <c r="J4" s="115"/>
      <c r="K4" s="115"/>
      <c r="L4" s="115"/>
      <c r="M4" s="116"/>
    </row>
    <row r="5" spans="2:13" ht="14.65" customHeight="1">
      <c r="B5" s="121" t="s">
        <v>18</v>
      </c>
      <c r="C5" s="122"/>
      <c r="D5" s="122"/>
      <c r="E5" s="115" t="s">
        <v>20</v>
      </c>
      <c r="F5" s="115"/>
      <c r="G5" s="115"/>
      <c r="H5" s="115"/>
      <c r="I5" s="115"/>
      <c r="J5" s="115"/>
      <c r="K5" s="115"/>
      <c r="L5" s="115"/>
      <c r="M5" s="116"/>
    </row>
    <row r="6" spans="2:13" ht="14.45" customHeight="1" thickBot="1">
      <c r="B6" s="123" t="s">
        <v>19</v>
      </c>
      <c r="C6" s="124"/>
      <c r="D6" s="124"/>
      <c r="E6" s="117" t="s">
        <v>21</v>
      </c>
      <c r="F6" s="117"/>
      <c r="G6" s="117"/>
      <c r="H6" s="117"/>
      <c r="I6" s="117"/>
      <c r="J6" s="117"/>
      <c r="K6" s="117"/>
      <c r="L6" s="117"/>
      <c r="M6" s="118"/>
    </row>
    <row r="7" spans="2:13" ht="13.15" customHeight="1" thickBot="1">
      <c r="B7" s="139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1"/>
    </row>
    <row r="8" spans="2:13" ht="32.450000000000003" customHeight="1" thickBot="1">
      <c r="B8" s="148" t="s">
        <v>5</v>
      </c>
      <c r="C8" s="149"/>
      <c r="D8" s="133" t="s">
        <v>85</v>
      </c>
      <c r="E8" s="146"/>
      <c r="F8" s="146"/>
      <c r="G8" s="146"/>
      <c r="H8" s="146"/>
      <c r="I8" s="134"/>
      <c r="J8" s="147" t="s">
        <v>9</v>
      </c>
      <c r="K8" s="145"/>
      <c r="L8" s="144"/>
      <c r="M8" s="145"/>
    </row>
    <row r="9" spans="2:13" s="2" customFormat="1" ht="22.9" customHeight="1" thickBot="1">
      <c r="B9" s="131" t="s">
        <v>6</v>
      </c>
      <c r="C9" s="131" t="s">
        <v>0</v>
      </c>
      <c r="D9" s="152" t="s">
        <v>7</v>
      </c>
      <c r="E9" s="131" t="s">
        <v>1</v>
      </c>
      <c r="F9" s="150" t="s">
        <v>8</v>
      </c>
      <c r="G9" s="133" t="s">
        <v>14</v>
      </c>
      <c r="H9" s="134"/>
      <c r="I9" s="135" t="s">
        <v>10</v>
      </c>
      <c r="J9" s="136"/>
      <c r="K9" s="137" t="s">
        <v>4</v>
      </c>
      <c r="L9" s="131" t="s">
        <v>13</v>
      </c>
      <c r="M9" s="142" t="s">
        <v>11</v>
      </c>
    </row>
    <row r="10" spans="2:13" s="2" customFormat="1" ht="31.15" customHeight="1" thickBot="1">
      <c r="B10" s="132"/>
      <c r="C10" s="132"/>
      <c r="D10" s="153"/>
      <c r="E10" s="132"/>
      <c r="F10" s="151"/>
      <c r="G10" s="3" t="s">
        <v>2</v>
      </c>
      <c r="H10" s="3" t="s">
        <v>3</v>
      </c>
      <c r="I10" s="3" t="s">
        <v>2</v>
      </c>
      <c r="J10" s="3" t="s">
        <v>3</v>
      </c>
      <c r="K10" s="138"/>
      <c r="L10" s="132"/>
      <c r="M10" s="143"/>
    </row>
    <row r="11" spans="2:13" s="2" customFormat="1" ht="16.5" customHeight="1">
      <c r="B11" s="98">
        <v>1</v>
      </c>
      <c r="C11" s="101">
        <v>46016</v>
      </c>
      <c r="D11" s="125" t="s">
        <v>23</v>
      </c>
      <c r="E11" s="98" t="s">
        <v>44</v>
      </c>
      <c r="F11" s="4">
        <v>7.91</v>
      </c>
      <c r="G11" s="101">
        <f>C11+7</f>
        <v>46023</v>
      </c>
      <c r="H11" s="101">
        <f>C11+28</f>
        <v>46044</v>
      </c>
      <c r="I11" s="5">
        <v>414.9</v>
      </c>
      <c r="J11" s="5"/>
      <c r="K11" s="6">
        <v>18.440000000000001</v>
      </c>
      <c r="L11" s="128">
        <f>AVERAGE(K11:K13)</f>
        <v>18.290000000000003</v>
      </c>
      <c r="M11" s="98" t="s">
        <v>22</v>
      </c>
    </row>
    <row r="12" spans="2:13" s="2" customFormat="1" ht="16.5" customHeight="1">
      <c r="B12" s="99"/>
      <c r="C12" s="102"/>
      <c r="D12" s="126"/>
      <c r="E12" s="99"/>
      <c r="F12" s="7">
        <v>8.0399999999999991</v>
      </c>
      <c r="G12" s="99"/>
      <c r="H12" s="99"/>
      <c r="I12" s="8">
        <v>394.87</v>
      </c>
      <c r="J12" s="8"/>
      <c r="K12" s="9">
        <v>17.55</v>
      </c>
      <c r="L12" s="129"/>
      <c r="M12" s="99"/>
    </row>
    <row r="13" spans="2:13" s="2" customFormat="1" ht="16.5" customHeight="1" thickBot="1">
      <c r="B13" s="99"/>
      <c r="C13" s="102"/>
      <c r="D13" s="126"/>
      <c r="E13" s="99"/>
      <c r="F13" s="10">
        <v>8.06</v>
      </c>
      <c r="G13" s="99"/>
      <c r="H13" s="99"/>
      <c r="I13" s="11">
        <v>424.8</v>
      </c>
      <c r="J13" s="11"/>
      <c r="K13" s="12">
        <v>18.88</v>
      </c>
      <c r="L13" s="130"/>
      <c r="M13" s="100"/>
    </row>
    <row r="14" spans="2:13" s="2" customFormat="1" ht="16.5" customHeight="1" thickBot="1">
      <c r="B14" s="99"/>
      <c r="C14" s="102"/>
      <c r="D14" s="126"/>
      <c r="E14" s="99"/>
      <c r="F14" s="4">
        <v>8</v>
      </c>
      <c r="G14" s="99"/>
      <c r="H14" s="99"/>
      <c r="I14" s="14"/>
      <c r="J14" s="14">
        <f>K14*22.5</f>
        <v>630</v>
      </c>
      <c r="K14" s="6">
        <v>28</v>
      </c>
      <c r="L14" s="128">
        <f>AVERAGE(K14:K16)</f>
        <v>27.466666666666669</v>
      </c>
      <c r="M14" s="98" t="str">
        <f>IF(L14=" ", " ",IF(L14&gt;17,"PASS", "FAIL" ))</f>
        <v>PASS</v>
      </c>
    </row>
    <row r="15" spans="2:13" s="2" customFormat="1" ht="16.5" customHeight="1" thickBot="1">
      <c r="B15" s="99"/>
      <c r="C15" s="102"/>
      <c r="D15" s="126"/>
      <c r="E15" s="99"/>
      <c r="F15" s="7">
        <v>8.0299999999999994</v>
      </c>
      <c r="G15" s="99"/>
      <c r="H15" s="99"/>
      <c r="I15" s="14"/>
      <c r="J15" s="14">
        <f t="shared" ref="J15:J16" si="0">K15*22.5</f>
        <v>571.5</v>
      </c>
      <c r="K15" s="9">
        <v>25.4</v>
      </c>
      <c r="L15" s="129"/>
      <c r="M15" s="99"/>
    </row>
    <row r="16" spans="2:13" s="2" customFormat="1" ht="16.5" customHeight="1" thickBot="1">
      <c r="B16" s="100"/>
      <c r="C16" s="103"/>
      <c r="D16" s="127"/>
      <c r="E16" s="100"/>
      <c r="F16" s="18">
        <v>8.1</v>
      </c>
      <c r="G16" s="100"/>
      <c r="H16" s="100"/>
      <c r="I16" s="14"/>
      <c r="J16" s="14">
        <f t="shared" si="0"/>
        <v>652.5</v>
      </c>
      <c r="K16" s="12">
        <v>29</v>
      </c>
      <c r="L16" s="130"/>
      <c r="M16" s="100"/>
    </row>
    <row r="17" spans="2:13" s="2" customFormat="1" ht="16.5" customHeight="1">
      <c r="B17" s="98">
        <v>2</v>
      </c>
      <c r="C17" s="101">
        <v>46017</v>
      </c>
      <c r="D17" s="125" t="s">
        <v>24</v>
      </c>
      <c r="E17" s="98" t="s">
        <v>44</v>
      </c>
      <c r="F17" s="4">
        <v>8.1</v>
      </c>
      <c r="G17" s="101">
        <f>C17+7</f>
        <v>46024</v>
      </c>
      <c r="H17" s="101">
        <f>C17+28</f>
        <v>46045</v>
      </c>
      <c r="I17" s="4">
        <v>406.8</v>
      </c>
      <c r="J17" s="5"/>
      <c r="K17" s="6">
        <v>18.079999999999998</v>
      </c>
      <c r="L17" s="128">
        <f>AVERAGE(K17:K19)</f>
        <v>18.646666666666665</v>
      </c>
      <c r="M17" s="98" t="s">
        <v>22</v>
      </c>
    </row>
    <row r="18" spans="2:13" s="2" customFormat="1" ht="16.5" customHeight="1">
      <c r="B18" s="99"/>
      <c r="C18" s="102"/>
      <c r="D18" s="126"/>
      <c r="E18" s="99"/>
      <c r="F18" s="7">
        <v>8.0299999999999994</v>
      </c>
      <c r="G18" s="99"/>
      <c r="H18" s="99"/>
      <c r="I18" s="7">
        <v>434.92</v>
      </c>
      <c r="J18" s="8"/>
      <c r="K18" s="9">
        <v>19.329999999999998</v>
      </c>
      <c r="L18" s="129"/>
      <c r="M18" s="99"/>
    </row>
    <row r="19" spans="2:13" s="2" customFormat="1" ht="16.5" customHeight="1" thickBot="1">
      <c r="B19" s="99"/>
      <c r="C19" s="102"/>
      <c r="D19" s="126"/>
      <c r="E19" s="99"/>
      <c r="F19" s="10">
        <v>7.9</v>
      </c>
      <c r="G19" s="99"/>
      <c r="H19" s="99"/>
      <c r="I19" s="10">
        <v>416.92500000000001</v>
      </c>
      <c r="J19" s="11"/>
      <c r="K19" s="12">
        <v>18.53</v>
      </c>
      <c r="L19" s="130"/>
      <c r="M19" s="100"/>
    </row>
    <row r="20" spans="2:13" s="2" customFormat="1" ht="16.5" customHeight="1" thickBot="1">
      <c r="B20" s="99"/>
      <c r="C20" s="102"/>
      <c r="D20" s="126"/>
      <c r="E20" s="99"/>
      <c r="F20" s="4">
        <v>7.99</v>
      </c>
      <c r="G20" s="99"/>
      <c r="H20" s="99"/>
      <c r="I20" s="14"/>
      <c r="J20" s="14">
        <f>K20*22.5</f>
        <v>769.50000000000011</v>
      </c>
      <c r="K20" s="6">
        <v>34.200000000000003</v>
      </c>
      <c r="L20" s="128">
        <f>AVERAGE(K20:K22)</f>
        <v>30.323333333333334</v>
      </c>
      <c r="M20" s="98" t="s">
        <v>22</v>
      </c>
    </row>
    <row r="21" spans="2:13" s="2" customFormat="1" ht="16.5" customHeight="1" thickBot="1">
      <c r="B21" s="99"/>
      <c r="C21" s="102"/>
      <c r="D21" s="126"/>
      <c r="E21" s="99"/>
      <c r="F21" s="7">
        <v>8.1199999999999992</v>
      </c>
      <c r="G21" s="99"/>
      <c r="H21" s="99"/>
      <c r="I21" s="14"/>
      <c r="J21" s="14">
        <f t="shared" ref="J21:J22" si="1">K21*22.5</f>
        <v>702</v>
      </c>
      <c r="K21" s="9">
        <v>31.2</v>
      </c>
      <c r="L21" s="129"/>
      <c r="M21" s="99"/>
    </row>
    <row r="22" spans="2:13" s="2" customFormat="1" ht="16.5" customHeight="1" thickBot="1">
      <c r="B22" s="100"/>
      <c r="C22" s="103"/>
      <c r="D22" s="127"/>
      <c r="E22" s="100"/>
      <c r="F22" s="18">
        <v>8.25</v>
      </c>
      <c r="G22" s="100"/>
      <c r="H22" s="100"/>
      <c r="I22" s="14"/>
      <c r="J22" s="14">
        <f t="shared" si="1"/>
        <v>575.32500000000005</v>
      </c>
      <c r="K22" s="12">
        <v>25.57</v>
      </c>
      <c r="L22" s="130"/>
      <c r="M22" s="100"/>
    </row>
    <row r="23" spans="2:13" ht="13.9" customHeight="1">
      <c r="B23" s="98">
        <v>3</v>
      </c>
      <c r="C23" s="101">
        <v>46018</v>
      </c>
      <c r="D23" s="125" t="s">
        <v>25</v>
      </c>
      <c r="E23" s="98" t="s">
        <v>44</v>
      </c>
      <c r="F23" s="4">
        <v>8.1</v>
      </c>
      <c r="G23" s="101">
        <f>C23+7</f>
        <v>46025</v>
      </c>
      <c r="H23" s="101">
        <f>C23+28</f>
        <v>46046</v>
      </c>
      <c r="I23" s="5">
        <v>369.9</v>
      </c>
      <c r="J23" s="5"/>
      <c r="K23" s="6">
        <v>17.64</v>
      </c>
      <c r="L23" s="128">
        <f>AVERAGE(K23:K25)</f>
        <v>17.966666666666665</v>
      </c>
      <c r="M23" s="98" t="s">
        <v>22</v>
      </c>
    </row>
    <row r="24" spans="2:13" ht="16.5" customHeight="1">
      <c r="B24" s="99"/>
      <c r="C24" s="102"/>
      <c r="D24" s="126"/>
      <c r="E24" s="99"/>
      <c r="F24" s="7">
        <v>8.25</v>
      </c>
      <c r="G24" s="99"/>
      <c r="H24" s="99"/>
      <c r="I24" s="8">
        <v>389.92</v>
      </c>
      <c r="J24" s="8"/>
      <c r="K24" s="9">
        <v>17.329999999999998</v>
      </c>
      <c r="L24" s="129"/>
      <c r="M24" s="99"/>
    </row>
    <row r="25" spans="2:13" ht="16.5" customHeight="1" thickBot="1">
      <c r="B25" s="99"/>
      <c r="C25" s="102"/>
      <c r="D25" s="126"/>
      <c r="E25" s="99"/>
      <c r="F25" s="10">
        <v>8.23</v>
      </c>
      <c r="G25" s="99"/>
      <c r="H25" s="99"/>
      <c r="I25" s="11">
        <v>425.92</v>
      </c>
      <c r="J25" s="11"/>
      <c r="K25" s="12">
        <v>18.93</v>
      </c>
      <c r="L25" s="130"/>
      <c r="M25" s="100"/>
    </row>
    <row r="26" spans="2:13" ht="16.5" customHeight="1" thickBot="1">
      <c r="B26" s="99"/>
      <c r="C26" s="102"/>
      <c r="D26" s="126"/>
      <c r="E26" s="99"/>
      <c r="F26" s="4">
        <v>7.83</v>
      </c>
      <c r="G26" s="99"/>
      <c r="H26" s="99"/>
      <c r="I26" s="14"/>
      <c r="J26" s="14">
        <f>22.5*K26</f>
        <v>612</v>
      </c>
      <c r="K26" s="15">
        <v>27.2</v>
      </c>
      <c r="L26" s="128">
        <f>AVERAGE(K26:K28)</f>
        <v>26.066666666666666</v>
      </c>
      <c r="M26" s="98" t="str">
        <f>IF(L26=" ", " ",IF(L26&gt;17,"PASS", "FAIL" ))</f>
        <v>PASS</v>
      </c>
    </row>
    <row r="27" spans="2:13" ht="16.5" customHeight="1" thickBot="1">
      <c r="B27" s="99"/>
      <c r="C27" s="102"/>
      <c r="D27" s="126"/>
      <c r="E27" s="99"/>
      <c r="F27" s="7">
        <v>7.9</v>
      </c>
      <c r="G27" s="99"/>
      <c r="H27" s="99"/>
      <c r="I27" s="14"/>
      <c r="J27" s="14">
        <f t="shared" ref="J27:J28" si="2">22.5*K27</f>
        <v>569.25</v>
      </c>
      <c r="K27" s="17">
        <v>25.3</v>
      </c>
      <c r="L27" s="129"/>
      <c r="M27" s="99"/>
    </row>
    <row r="28" spans="2:13" ht="16.5" customHeight="1" thickBot="1">
      <c r="B28" s="100"/>
      <c r="C28" s="103"/>
      <c r="D28" s="127"/>
      <c r="E28" s="100"/>
      <c r="F28" s="18">
        <v>8.1</v>
      </c>
      <c r="G28" s="100"/>
      <c r="H28" s="100"/>
      <c r="I28" s="14"/>
      <c r="J28" s="14">
        <f t="shared" si="2"/>
        <v>578.25</v>
      </c>
      <c r="K28" s="20">
        <v>25.7</v>
      </c>
      <c r="L28" s="130"/>
      <c r="M28" s="100"/>
    </row>
    <row r="29" spans="2:13" ht="16.5" customHeight="1">
      <c r="B29" s="98">
        <v>4</v>
      </c>
      <c r="C29" s="102">
        <v>46019</v>
      </c>
      <c r="D29" s="125" t="s">
        <v>26</v>
      </c>
      <c r="E29" s="98" t="s">
        <v>44</v>
      </c>
      <c r="F29" s="21">
        <v>7.89</v>
      </c>
      <c r="G29" s="101">
        <f>C29+7</f>
        <v>46026</v>
      </c>
      <c r="H29" s="101">
        <f>C29+28</f>
        <v>46047</v>
      </c>
      <c r="I29" s="5">
        <v>388.8</v>
      </c>
      <c r="J29" s="5"/>
      <c r="K29" s="6">
        <v>17.28</v>
      </c>
      <c r="L29" s="128">
        <f>AVERAGE(K29:K31)</f>
        <v>18.599999999999998</v>
      </c>
      <c r="M29" s="98" t="s">
        <v>22</v>
      </c>
    </row>
    <row r="30" spans="2:13" ht="16.5" customHeight="1">
      <c r="B30" s="99"/>
      <c r="C30" s="102"/>
      <c r="D30" s="126"/>
      <c r="E30" s="99"/>
      <c r="F30" s="22">
        <v>8.1999999999999993</v>
      </c>
      <c r="G30" s="99"/>
      <c r="H30" s="99"/>
      <c r="I30" s="8">
        <v>437.85</v>
      </c>
      <c r="J30" s="8"/>
      <c r="K30" s="9">
        <v>19.46</v>
      </c>
      <c r="L30" s="129"/>
      <c r="M30" s="99"/>
    </row>
    <row r="31" spans="2:13" ht="16.5" customHeight="1" thickBot="1">
      <c r="B31" s="99"/>
      <c r="C31" s="102"/>
      <c r="D31" s="126"/>
      <c r="E31" s="99"/>
      <c r="F31" s="23">
        <v>8.15</v>
      </c>
      <c r="G31" s="99"/>
      <c r="H31" s="99"/>
      <c r="I31" s="11">
        <v>428.85</v>
      </c>
      <c r="J31" s="11"/>
      <c r="K31" s="12">
        <v>19.059999999999999</v>
      </c>
      <c r="L31" s="130"/>
      <c r="M31" s="100"/>
    </row>
    <row r="32" spans="2:13" ht="16.5" customHeight="1" thickBot="1">
      <c r="B32" s="99"/>
      <c r="C32" s="102"/>
      <c r="D32" s="126"/>
      <c r="E32" s="99"/>
      <c r="F32" s="4">
        <v>7.8</v>
      </c>
      <c r="G32" s="99"/>
      <c r="H32" s="99"/>
      <c r="I32" s="14"/>
      <c r="J32" s="14">
        <f>K32*22.5</f>
        <v>594.9</v>
      </c>
      <c r="K32" s="15">
        <v>26.44</v>
      </c>
      <c r="L32" s="128">
        <f>AVERAGE(K32:K34)</f>
        <v>27.256666666666664</v>
      </c>
      <c r="M32" s="98" t="s">
        <v>22</v>
      </c>
    </row>
    <row r="33" spans="2:13" ht="16.5" customHeight="1" thickBot="1">
      <c r="B33" s="99"/>
      <c r="C33" s="102"/>
      <c r="D33" s="126"/>
      <c r="E33" s="99"/>
      <c r="F33" s="7">
        <v>7.91</v>
      </c>
      <c r="G33" s="99"/>
      <c r="H33" s="99"/>
      <c r="I33" s="14"/>
      <c r="J33" s="14">
        <f>K33*22.5</f>
        <v>591.30000000000007</v>
      </c>
      <c r="K33" s="17">
        <v>26.28</v>
      </c>
      <c r="L33" s="129"/>
      <c r="M33" s="99"/>
    </row>
    <row r="34" spans="2:13" ht="16.5" customHeight="1" thickBot="1">
      <c r="B34" s="100"/>
      <c r="C34" s="103"/>
      <c r="D34" s="127"/>
      <c r="E34" s="100"/>
      <c r="F34" s="18">
        <v>7.86</v>
      </c>
      <c r="G34" s="100"/>
      <c r="H34" s="100"/>
      <c r="I34" s="14"/>
      <c r="J34" s="14">
        <f>K34*22.5</f>
        <v>653.625</v>
      </c>
      <c r="K34" s="20">
        <v>29.05</v>
      </c>
      <c r="L34" s="130"/>
      <c r="M34" s="100"/>
    </row>
    <row r="35" spans="2:13" ht="16.5" customHeight="1">
      <c r="B35" s="98">
        <v>5</v>
      </c>
      <c r="C35" s="101">
        <v>46020</v>
      </c>
      <c r="D35" s="125" t="s">
        <v>27</v>
      </c>
      <c r="E35" s="98" t="s">
        <v>44</v>
      </c>
      <c r="F35" s="4">
        <v>7.91</v>
      </c>
      <c r="G35" s="101">
        <f>C35+7</f>
        <v>46027</v>
      </c>
      <c r="H35" s="101">
        <f>C35+28</f>
        <v>46048</v>
      </c>
      <c r="I35" s="5">
        <v>347.85</v>
      </c>
      <c r="J35" s="5"/>
      <c r="K35" s="6">
        <v>15.46</v>
      </c>
      <c r="L35" s="104">
        <f>AVERAGE(K35:K37)</f>
        <v>14.913333333333334</v>
      </c>
      <c r="M35" s="98" t="str">
        <f>IF(L35=" ", " ",IF(L35&gt;17,"PASS", "FAIL" ))</f>
        <v>FAIL</v>
      </c>
    </row>
    <row r="36" spans="2:13" ht="16.5" customHeight="1">
      <c r="B36" s="99"/>
      <c r="C36" s="102"/>
      <c r="D36" s="126"/>
      <c r="E36" s="99"/>
      <c r="F36" s="7">
        <v>7.99</v>
      </c>
      <c r="G36" s="99"/>
      <c r="H36" s="99"/>
      <c r="I36" s="8">
        <v>335.92500000000001</v>
      </c>
      <c r="J36" s="8"/>
      <c r="K36" s="9">
        <v>14.93</v>
      </c>
      <c r="L36" s="105"/>
      <c r="M36" s="99"/>
    </row>
    <row r="37" spans="2:13" ht="16.5" customHeight="1" thickBot="1">
      <c r="B37" s="99"/>
      <c r="C37" s="102"/>
      <c r="D37" s="126"/>
      <c r="E37" s="99"/>
      <c r="F37" s="10">
        <v>8.14</v>
      </c>
      <c r="G37" s="99"/>
      <c r="H37" s="99"/>
      <c r="I37" s="11">
        <v>322.875</v>
      </c>
      <c r="J37" s="11"/>
      <c r="K37" s="12">
        <v>14.35</v>
      </c>
      <c r="L37" s="106"/>
      <c r="M37" s="100"/>
    </row>
    <row r="38" spans="2:13" ht="16.5" customHeight="1" thickBot="1">
      <c r="B38" s="99"/>
      <c r="C38" s="102"/>
      <c r="D38" s="126"/>
      <c r="E38" s="99"/>
      <c r="F38" s="4">
        <v>7.69</v>
      </c>
      <c r="G38" s="99"/>
      <c r="H38" s="99"/>
      <c r="I38" s="14"/>
      <c r="J38" s="14">
        <f>28.9*22.5</f>
        <v>650.25</v>
      </c>
      <c r="K38" s="15">
        <v>28.9</v>
      </c>
      <c r="L38" s="104">
        <f>AVERAGE(K38:K40)</f>
        <v>26.846666666666664</v>
      </c>
      <c r="M38" s="98" t="str">
        <f>IF(L38=" ", " ",IF(L38&gt;17,"PASS", "FAIL" ))</f>
        <v>PASS</v>
      </c>
    </row>
    <row r="39" spans="2:13" ht="16.5" customHeight="1" thickBot="1">
      <c r="B39" s="99"/>
      <c r="C39" s="102"/>
      <c r="D39" s="126"/>
      <c r="E39" s="99"/>
      <c r="F39" s="7">
        <v>7.78</v>
      </c>
      <c r="G39" s="99"/>
      <c r="H39" s="99"/>
      <c r="I39" s="14"/>
      <c r="J39" s="14">
        <f>26.6*22.5</f>
        <v>598.5</v>
      </c>
      <c r="K39" s="17">
        <v>26.6</v>
      </c>
      <c r="L39" s="105"/>
      <c r="M39" s="99"/>
    </row>
    <row r="40" spans="2:13" ht="16.5" customHeight="1" thickBot="1">
      <c r="B40" s="100"/>
      <c r="C40" s="103"/>
      <c r="D40" s="127"/>
      <c r="E40" s="100"/>
      <c r="F40" s="18">
        <v>7.82</v>
      </c>
      <c r="G40" s="100"/>
      <c r="H40" s="100"/>
      <c r="I40" s="14"/>
      <c r="J40" s="14">
        <f>25.04*22.5</f>
        <v>563.4</v>
      </c>
      <c r="K40" s="20">
        <v>25.04</v>
      </c>
      <c r="L40" s="106"/>
      <c r="M40" s="100"/>
    </row>
    <row r="41" spans="2:13" ht="16.5" customHeight="1">
      <c r="B41" s="98">
        <v>6</v>
      </c>
      <c r="C41" s="101">
        <v>46021</v>
      </c>
      <c r="D41" s="125" t="s">
        <v>28</v>
      </c>
      <c r="E41" s="98" t="s">
        <v>44</v>
      </c>
      <c r="F41" s="4">
        <v>8.24</v>
      </c>
      <c r="G41" s="101">
        <f>C41+7</f>
        <v>46028</v>
      </c>
      <c r="H41" s="101">
        <f>C41+28</f>
        <v>46049</v>
      </c>
      <c r="I41" s="5">
        <v>318.82499999999999</v>
      </c>
      <c r="J41" s="5"/>
      <c r="K41" s="6">
        <v>14.17</v>
      </c>
      <c r="L41" s="104">
        <f>AVERAGE(K41:K43)</f>
        <v>15.283333333333333</v>
      </c>
      <c r="M41" s="98" t="str">
        <f>IF(L41=" ", " ",IF(L41&gt;17,"PASS", "FAIL" ))</f>
        <v>FAIL</v>
      </c>
    </row>
    <row r="42" spans="2:13" ht="16.5" customHeight="1">
      <c r="B42" s="99"/>
      <c r="C42" s="102"/>
      <c r="D42" s="126"/>
      <c r="E42" s="99"/>
      <c r="F42" s="7">
        <v>8.23</v>
      </c>
      <c r="G42" s="99"/>
      <c r="H42" s="99"/>
      <c r="I42" s="8">
        <v>348.97500000000002</v>
      </c>
      <c r="J42" s="8"/>
      <c r="K42" s="9">
        <v>15.51</v>
      </c>
      <c r="L42" s="105"/>
      <c r="M42" s="99"/>
    </row>
    <row r="43" spans="2:13" ht="16.5" customHeight="1" thickBot="1">
      <c r="B43" s="99"/>
      <c r="C43" s="102"/>
      <c r="D43" s="126"/>
      <c r="E43" s="99"/>
      <c r="F43" s="10">
        <v>8.06</v>
      </c>
      <c r="G43" s="99"/>
      <c r="H43" s="99"/>
      <c r="I43" s="11">
        <v>363.82</v>
      </c>
      <c r="J43" s="11"/>
      <c r="K43" s="12">
        <v>16.170000000000002</v>
      </c>
      <c r="L43" s="106"/>
      <c r="M43" s="100"/>
    </row>
    <row r="44" spans="2:13" ht="16.5" customHeight="1" thickBot="1">
      <c r="B44" s="99"/>
      <c r="C44" s="102"/>
      <c r="D44" s="126"/>
      <c r="E44" s="99"/>
      <c r="F44" s="4">
        <v>8.1199999999999992</v>
      </c>
      <c r="G44" s="99"/>
      <c r="H44" s="99"/>
      <c r="I44" s="14"/>
      <c r="J44" s="14">
        <f>K44*22.5</f>
        <v>576.9</v>
      </c>
      <c r="K44" s="15">
        <v>25.64</v>
      </c>
      <c r="L44" s="128">
        <f>AVERAGE(K44:K46)</f>
        <v>27.086666666666662</v>
      </c>
      <c r="M44" s="98" t="str">
        <f>IF(L44=" ", " ",IF(L44&gt;17,"PASS", "FAIL" ))</f>
        <v>PASS</v>
      </c>
    </row>
    <row r="45" spans="2:13" ht="16.5" customHeight="1" thickBot="1">
      <c r="B45" s="99"/>
      <c r="C45" s="102"/>
      <c r="D45" s="126"/>
      <c r="E45" s="99"/>
      <c r="F45" s="7">
        <v>8</v>
      </c>
      <c r="G45" s="99"/>
      <c r="H45" s="99"/>
      <c r="I45" s="14"/>
      <c r="J45" s="14">
        <f t="shared" ref="J45:J46" si="3">K45*22.5</f>
        <v>623.69999999999993</v>
      </c>
      <c r="K45" s="17">
        <v>27.72</v>
      </c>
      <c r="L45" s="129"/>
      <c r="M45" s="99"/>
    </row>
    <row r="46" spans="2:13" ht="16.5" customHeight="1" thickBot="1">
      <c r="B46" s="100"/>
      <c r="C46" s="103"/>
      <c r="D46" s="127"/>
      <c r="E46" s="100"/>
      <c r="F46" s="18">
        <v>7.98</v>
      </c>
      <c r="G46" s="100"/>
      <c r="H46" s="100"/>
      <c r="I46" s="14"/>
      <c r="J46" s="14">
        <f t="shared" si="3"/>
        <v>627.75</v>
      </c>
      <c r="K46" s="20">
        <v>27.9</v>
      </c>
      <c r="L46" s="130"/>
      <c r="M46" s="100"/>
    </row>
    <row r="47" spans="2:13" ht="16.5" customHeight="1">
      <c r="B47" s="98">
        <v>7</v>
      </c>
      <c r="C47" s="101">
        <v>46022</v>
      </c>
      <c r="D47" s="125" t="s">
        <v>29</v>
      </c>
      <c r="E47" s="98" t="s">
        <v>44</v>
      </c>
      <c r="F47" s="4">
        <v>8.234</v>
      </c>
      <c r="G47" s="101">
        <f>C47+7</f>
        <v>46029</v>
      </c>
      <c r="H47" s="101">
        <f>C47+28</f>
        <v>46050</v>
      </c>
      <c r="I47" s="5">
        <v>446.85</v>
      </c>
      <c r="J47" s="5"/>
      <c r="K47" s="24">
        <f>I47/22.5</f>
        <v>19.86</v>
      </c>
      <c r="L47" s="104">
        <f>AVERAGE(K47:K49)</f>
        <v>19.756592592592593</v>
      </c>
      <c r="M47" s="98" t="str">
        <f t="shared" ref="M47" si="4">IF(L47=" ", " ",IF(L47&gt;17,"PASS", "FAIL" ))</f>
        <v>PASS</v>
      </c>
    </row>
    <row r="48" spans="2:13" ht="16.5" customHeight="1">
      <c r="B48" s="99"/>
      <c r="C48" s="102"/>
      <c r="D48" s="126"/>
      <c r="E48" s="99"/>
      <c r="F48" s="7">
        <v>8.06</v>
      </c>
      <c r="G48" s="99"/>
      <c r="H48" s="99"/>
      <c r="I48" s="8">
        <v>459</v>
      </c>
      <c r="J48" s="8"/>
      <c r="K48" s="25">
        <f>I48/22.5</f>
        <v>20.399999999999999</v>
      </c>
      <c r="L48" s="105"/>
      <c r="M48" s="99"/>
    </row>
    <row r="49" spans="2:13" ht="16.5" customHeight="1" thickBot="1">
      <c r="B49" s="99"/>
      <c r="C49" s="102"/>
      <c r="D49" s="126"/>
      <c r="E49" s="99"/>
      <c r="F49" s="10">
        <v>8.4</v>
      </c>
      <c r="G49" s="99"/>
      <c r="H49" s="99"/>
      <c r="I49" s="11">
        <v>427.72</v>
      </c>
      <c r="J49" s="11"/>
      <c r="K49" s="26">
        <f>I49/22.5</f>
        <v>19.009777777777778</v>
      </c>
      <c r="L49" s="106"/>
      <c r="M49" s="100"/>
    </row>
    <row r="50" spans="2:13" ht="16.5" customHeight="1">
      <c r="B50" s="99"/>
      <c r="C50" s="102"/>
      <c r="D50" s="126"/>
      <c r="E50" s="99"/>
      <c r="F50" s="4">
        <v>8.1</v>
      </c>
      <c r="G50" s="99"/>
      <c r="H50" s="99"/>
      <c r="I50" s="14"/>
      <c r="J50" s="14">
        <f>K50*22.5</f>
        <v>695.02499999999998</v>
      </c>
      <c r="K50" s="14">
        <v>30.89</v>
      </c>
      <c r="L50" s="128">
        <f>AVERAGE(K50:K52)</f>
        <v>30.096666666666664</v>
      </c>
      <c r="M50" s="98" t="str">
        <f t="shared" ref="M50" si="5">IF(L50=" ", " ",IF(L50&gt;17,"PASS", "FAIL" ))</f>
        <v>PASS</v>
      </c>
    </row>
    <row r="51" spans="2:13" ht="16.5" customHeight="1">
      <c r="B51" s="99"/>
      <c r="C51" s="102"/>
      <c r="D51" s="126"/>
      <c r="E51" s="99"/>
      <c r="F51" s="7">
        <v>8</v>
      </c>
      <c r="G51" s="99"/>
      <c r="H51" s="99"/>
      <c r="I51" s="16"/>
      <c r="J51" s="16">
        <f>K51*22.5</f>
        <v>670.5</v>
      </c>
      <c r="K51" s="16">
        <v>29.8</v>
      </c>
      <c r="L51" s="129"/>
      <c r="M51" s="99"/>
    </row>
    <row r="52" spans="2:13" ht="16.5" customHeight="1" thickBot="1">
      <c r="B52" s="100"/>
      <c r="C52" s="103"/>
      <c r="D52" s="127"/>
      <c r="E52" s="100"/>
      <c r="F52" s="18">
        <v>7.98</v>
      </c>
      <c r="G52" s="100"/>
      <c r="H52" s="100"/>
      <c r="I52" s="19"/>
      <c r="J52" s="19">
        <f>K52*22.5</f>
        <v>666</v>
      </c>
      <c r="K52" s="19">
        <v>29.6</v>
      </c>
      <c r="L52" s="130"/>
      <c r="M52" s="100"/>
    </row>
    <row r="53" spans="2:13" ht="16.5" customHeight="1">
      <c r="B53" s="98">
        <v>8</v>
      </c>
      <c r="C53" s="102">
        <v>46024</v>
      </c>
      <c r="D53" s="125" t="s">
        <v>30</v>
      </c>
      <c r="E53" s="98" t="s">
        <v>44</v>
      </c>
      <c r="F53" s="4">
        <v>7.86</v>
      </c>
      <c r="G53" s="101">
        <f>C53+7</f>
        <v>46031</v>
      </c>
      <c r="H53" s="101">
        <f>C53+28</f>
        <v>46052</v>
      </c>
      <c r="I53" s="5">
        <v>460.35</v>
      </c>
      <c r="J53" s="5"/>
      <c r="K53" s="24">
        <f>I53/22.5</f>
        <v>20.46</v>
      </c>
      <c r="L53" s="104">
        <f>AVERAGE(K53:K55)</f>
        <v>19.920000000000002</v>
      </c>
      <c r="M53" s="98" t="str">
        <f>IF(L53=" ", " ",IF(L53&gt;17,"PASS", "FAIL" ))</f>
        <v>PASS</v>
      </c>
    </row>
    <row r="54" spans="2:13" ht="16.5" customHeight="1">
      <c r="B54" s="99"/>
      <c r="C54" s="102"/>
      <c r="D54" s="126"/>
      <c r="E54" s="99"/>
      <c r="F54" s="7">
        <v>8.1199999999999992</v>
      </c>
      <c r="G54" s="99"/>
      <c r="H54" s="99"/>
      <c r="I54" s="8">
        <v>445.5</v>
      </c>
      <c r="J54" s="8"/>
      <c r="K54" s="25">
        <f>I54/22.5</f>
        <v>19.8</v>
      </c>
      <c r="L54" s="105"/>
      <c r="M54" s="99"/>
    </row>
    <row r="55" spans="2:13" ht="16.5" customHeight="1" thickBot="1">
      <c r="B55" s="99"/>
      <c r="C55" s="102"/>
      <c r="D55" s="126"/>
      <c r="E55" s="99"/>
      <c r="F55" s="10">
        <v>8.15</v>
      </c>
      <c r="G55" s="99"/>
      <c r="H55" s="99"/>
      <c r="I55" s="11">
        <v>438.75</v>
      </c>
      <c r="J55" s="11"/>
      <c r="K55" s="26">
        <f>I55/22.5</f>
        <v>19.5</v>
      </c>
      <c r="L55" s="106"/>
      <c r="M55" s="100"/>
    </row>
    <row r="56" spans="2:13" ht="16.5" customHeight="1" thickBot="1">
      <c r="B56" s="99"/>
      <c r="C56" s="102"/>
      <c r="D56" s="126"/>
      <c r="E56" s="99"/>
      <c r="F56" s="21">
        <v>7.89</v>
      </c>
      <c r="G56" s="99"/>
      <c r="H56" s="99"/>
      <c r="I56" s="14"/>
      <c r="J56" s="14">
        <f>K56*22.5</f>
        <v>735.52499999999998</v>
      </c>
      <c r="K56" s="15">
        <v>32.69</v>
      </c>
      <c r="L56" s="128">
        <f>AVERAGE(K56:K58)</f>
        <v>31.986666666666665</v>
      </c>
      <c r="M56" s="98" t="str">
        <f>IF(L56=" ", " ",IF(L56&gt;25,"PASS", "FAIL" ))</f>
        <v>PASS</v>
      </c>
    </row>
    <row r="57" spans="2:13" ht="16.5" customHeight="1" thickBot="1">
      <c r="B57" s="99"/>
      <c r="C57" s="102"/>
      <c r="D57" s="126"/>
      <c r="E57" s="99"/>
      <c r="F57" s="22">
        <v>7.98</v>
      </c>
      <c r="G57" s="99"/>
      <c r="H57" s="99"/>
      <c r="I57" s="16"/>
      <c r="J57" s="14">
        <f>K57*22.5</f>
        <v>697.95</v>
      </c>
      <c r="K57" s="17">
        <v>31.02</v>
      </c>
      <c r="L57" s="129"/>
      <c r="M57" s="99"/>
    </row>
    <row r="58" spans="2:13" ht="16.5" customHeight="1" thickBot="1">
      <c r="B58" s="100"/>
      <c r="C58" s="103"/>
      <c r="D58" s="127"/>
      <c r="E58" s="100"/>
      <c r="F58" s="13">
        <v>8.01</v>
      </c>
      <c r="G58" s="100"/>
      <c r="H58" s="100"/>
      <c r="I58" s="19"/>
      <c r="J58" s="14">
        <f>K58*22.5</f>
        <v>725.625</v>
      </c>
      <c r="K58" s="20">
        <v>32.25</v>
      </c>
      <c r="L58" s="130"/>
      <c r="M58" s="100"/>
    </row>
    <row r="59" spans="2:13" ht="16.5" customHeight="1">
      <c r="B59" s="98">
        <v>9</v>
      </c>
      <c r="C59" s="102">
        <v>46025</v>
      </c>
      <c r="D59" s="125" t="s">
        <v>31</v>
      </c>
      <c r="E59" s="98" t="s">
        <v>44</v>
      </c>
      <c r="F59" s="4">
        <v>8.3309999999999995</v>
      </c>
      <c r="G59" s="101">
        <f>C59+7</f>
        <v>46032</v>
      </c>
      <c r="H59" s="101">
        <f>C59+28</f>
        <v>46053</v>
      </c>
      <c r="I59" s="5">
        <v>482.62</v>
      </c>
      <c r="J59" s="5"/>
      <c r="K59" s="24">
        <f>I59/22.5</f>
        <v>21.449777777777779</v>
      </c>
      <c r="L59" s="104">
        <f>AVERAGE(K59:K61)</f>
        <v>20.429925925925929</v>
      </c>
      <c r="M59" s="98" t="str">
        <f>IF(L59=" ", " ",IF(L59&gt;17,"PASS", "FAIL" ))</f>
        <v>PASS</v>
      </c>
    </row>
    <row r="60" spans="2:13" ht="16.5" customHeight="1">
      <c r="B60" s="99"/>
      <c r="C60" s="102"/>
      <c r="D60" s="126"/>
      <c r="E60" s="99"/>
      <c r="F60" s="7">
        <v>8.2449999999999992</v>
      </c>
      <c r="G60" s="99"/>
      <c r="H60" s="99"/>
      <c r="I60" s="8">
        <v>441.9</v>
      </c>
      <c r="J60" s="8"/>
      <c r="K60" s="25">
        <f>I60/22.5</f>
        <v>19.64</v>
      </c>
      <c r="L60" s="105"/>
      <c r="M60" s="99"/>
    </row>
    <row r="61" spans="2:13" ht="16.5" customHeight="1" thickBot="1">
      <c r="B61" s="99"/>
      <c r="C61" s="102"/>
      <c r="D61" s="126"/>
      <c r="E61" s="99"/>
      <c r="F61" s="10">
        <v>8.1850000000000005</v>
      </c>
      <c r="G61" s="99"/>
      <c r="H61" s="99"/>
      <c r="I61" s="11">
        <v>454.5</v>
      </c>
      <c r="J61" s="11"/>
      <c r="K61" s="26">
        <f>I61/22.5</f>
        <v>20.2</v>
      </c>
      <c r="L61" s="106"/>
      <c r="M61" s="100"/>
    </row>
    <row r="62" spans="2:13" ht="16.5" customHeight="1" thickBot="1">
      <c r="B62" s="99"/>
      <c r="C62" s="102"/>
      <c r="D62" s="126"/>
      <c r="E62" s="99"/>
      <c r="F62" s="4">
        <v>8.1999999999999993</v>
      </c>
      <c r="G62" s="99"/>
      <c r="H62" s="99"/>
      <c r="I62" s="14"/>
      <c r="J62" s="14">
        <f>22.5*K62</f>
        <v>714.6</v>
      </c>
      <c r="K62" s="15">
        <v>31.76</v>
      </c>
      <c r="L62" s="128">
        <f>AVERAGE(K62:K64)</f>
        <v>29.813333333333333</v>
      </c>
      <c r="M62" s="98" t="str">
        <f>IF(L62=" ", " ",IF(L62&gt;25,"PASS", "FAIL" ))</f>
        <v>PASS</v>
      </c>
    </row>
    <row r="63" spans="2:13" ht="16.5" customHeight="1" thickBot="1">
      <c r="B63" s="99"/>
      <c r="C63" s="102"/>
      <c r="D63" s="126"/>
      <c r="E63" s="99"/>
      <c r="F63" s="7">
        <v>8.16</v>
      </c>
      <c r="G63" s="99"/>
      <c r="H63" s="99"/>
      <c r="I63" s="16"/>
      <c r="J63" s="14">
        <f t="shared" ref="J63:J64" si="6">22.5*K63</f>
        <v>680.4</v>
      </c>
      <c r="K63" s="17">
        <v>30.24</v>
      </c>
      <c r="L63" s="129"/>
      <c r="M63" s="99"/>
    </row>
    <row r="64" spans="2:13" ht="16.5" customHeight="1" thickBot="1">
      <c r="B64" s="100"/>
      <c r="C64" s="103"/>
      <c r="D64" s="127"/>
      <c r="E64" s="100"/>
      <c r="F64" s="18">
        <v>7.99</v>
      </c>
      <c r="G64" s="100"/>
      <c r="H64" s="100"/>
      <c r="I64" s="19"/>
      <c r="J64" s="14">
        <f t="shared" si="6"/>
        <v>617.4</v>
      </c>
      <c r="K64" s="20">
        <v>27.44</v>
      </c>
      <c r="L64" s="130"/>
      <c r="M64" s="100"/>
    </row>
    <row r="65" spans="2:13" ht="16.5" customHeight="1">
      <c r="B65" s="98">
        <v>10</v>
      </c>
      <c r="C65" s="102">
        <v>46026</v>
      </c>
      <c r="D65" s="125" t="s">
        <v>32</v>
      </c>
      <c r="E65" s="98" t="s">
        <v>44</v>
      </c>
      <c r="F65" s="4">
        <v>8.2100000000000009</v>
      </c>
      <c r="G65" s="101">
        <f>C65+7</f>
        <v>46033</v>
      </c>
      <c r="H65" s="101">
        <f>C65+28</f>
        <v>46054</v>
      </c>
      <c r="I65" s="5">
        <v>437.62</v>
      </c>
      <c r="J65" s="5"/>
      <c r="K65" s="24">
        <f>I65/22.5</f>
        <v>19.449777777777779</v>
      </c>
      <c r="L65" s="104">
        <f>AVERAGE(K65:K67)</f>
        <v>20.083259259259261</v>
      </c>
      <c r="M65" s="98" t="str">
        <f>IF(L65=" ", " ",IF(L65&gt;17,"PASS", "FAIL" ))</f>
        <v>PASS</v>
      </c>
    </row>
    <row r="66" spans="2:13" ht="16.5" customHeight="1">
      <c r="B66" s="99"/>
      <c r="C66" s="102"/>
      <c r="D66" s="126"/>
      <c r="E66" s="99"/>
      <c r="F66" s="7">
        <v>8.0500000000000007</v>
      </c>
      <c r="G66" s="99"/>
      <c r="H66" s="99"/>
      <c r="I66" s="8">
        <v>454.5</v>
      </c>
      <c r="J66" s="8"/>
      <c r="K66" s="25">
        <f>I66/22.5</f>
        <v>20.2</v>
      </c>
      <c r="L66" s="105"/>
      <c r="M66" s="99"/>
    </row>
    <row r="67" spans="2:13" ht="16.5" customHeight="1" thickBot="1">
      <c r="B67" s="99"/>
      <c r="C67" s="102"/>
      <c r="D67" s="126"/>
      <c r="E67" s="99"/>
      <c r="F67" s="10">
        <v>8.1</v>
      </c>
      <c r="G67" s="99"/>
      <c r="H67" s="99"/>
      <c r="I67" s="11">
        <v>463.5</v>
      </c>
      <c r="J67" s="11"/>
      <c r="K67" s="26">
        <f>I67/22.5</f>
        <v>20.6</v>
      </c>
      <c r="L67" s="106"/>
      <c r="M67" s="100"/>
    </row>
    <row r="68" spans="2:13" ht="16.5" customHeight="1" thickBot="1">
      <c r="B68" s="99"/>
      <c r="C68" s="102"/>
      <c r="D68" s="126"/>
      <c r="E68" s="99"/>
      <c r="F68" s="4">
        <v>8</v>
      </c>
      <c r="G68" s="99"/>
      <c r="H68" s="99"/>
      <c r="I68" s="14"/>
      <c r="J68" s="14">
        <f>K68*22.5</f>
        <v>747.00000000000011</v>
      </c>
      <c r="K68" s="15">
        <v>33.200000000000003</v>
      </c>
      <c r="L68" s="128">
        <f>AVERAGE(K68:K70)</f>
        <v>31.340000000000003</v>
      </c>
      <c r="M68" s="98" t="str">
        <f>IF(L68=" ", " ",IF(L68&gt;25,"PASS", "FAIL" ))</f>
        <v>PASS</v>
      </c>
    </row>
    <row r="69" spans="2:13" ht="16.5" customHeight="1" thickBot="1">
      <c r="B69" s="99"/>
      <c r="C69" s="102"/>
      <c r="D69" s="126"/>
      <c r="E69" s="99"/>
      <c r="F69" s="7">
        <v>7.98</v>
      </c>
      <c r="G69" s="99"/>
      <c r="H69" s="99"/>
      <c r="I69" s="16"/>
      <c r="J69" s="14">
        <f t="shared" ref="J69:J70" si="7">K69*22.5</f>
        <v>718.875</v>
      </c>
      <c r="K69" s="17">
        <v>31.95</v>
      </c>
      <c r="L69" s="129"/>
      <c r="M69" s="99"/>
    </row>
    <row r="70" spans="2:13" ht="16.5" customHeight="1" thickBot="1">
      <c r="B70" s="100"/>
      <c r="C70" s="103"/>
      <c r="D70" s="127"/>
      <c r="E70" s="100"/>
      <c r="F70" s="18">
        <v>7.91</v>
      </c>
      <c r="G70" s="100"/>
      <c r="H70" s="100"/>
      <c r="I70" s="19"/>
      <c r="J70" s="14">
        <f t="shared" si="7"/>
        <v>649.57500000000005</v>
      </c>
      <c r="K70" s="20">
        <v>28.87</v>
      </c>
      <c r="L70" s="130"/>
      <c r="M70" s="100"/>
    </row>
    <row r="71" spans="2:13" ht="16.5" customHeight="1">
      <c r="B71" s="98">
        <v>11</v>
      </c>
      <c r="C71" s="102">
        <v>46027</v>
      </c>
      <c r="D71" s="125" t="s">
        <v>33</v>
      </c>
      <c r="E71" s="98" t="s">
        <v>44</v>
      </c>
      <c r="F71" s="4">
        <v>8.11</v>
      </c>
      <c r="G71" s="101">
        <f>C71+7</f>
        <v>46034</v>
      </c>
      <c r="H71" s="101">
        <f>C71+28</f>
        <v>46055</v>
      </c>
      <c r="I71" s="5">
        <v>486</v>
      </c>
      <c r="J71" s="5"/>
      <c r="K71" s="24">
        <f>I71/22.5</f>
        <v>21.6</v>
      </c>
      <c r="L71" s="104">
        <f>AVERAGE(K71:K73)</f>
        <v>21.026518518518518</v>
      </c>
      <c r="M71" s="98" t="str">
        <f>IF(L71=" ", " ",IF(L71&gt;17,"PASS", "FAIL" ))</f>
        <v>PASS</v>
      </c>
    </row>
    <row r="72" spans="2:13" ht="16.5" customHeight="1">
      <c r="B72" s="99"/>
      <c r="C72" s="102"/>
      <c r="D72" s="126"/>
      <c r="E72" s="99"/>
      <c r="F72" s="7">
        <v>8.23</v>
      </c>
      <c r="G72" s="99"/>
      <c r="H72" s="99"/>
      <c r="I72" s="8">
        <v>464.62</v>
      </c>
      <c r="J72" s="8"/>
      <c r="K72" s="25">
        <f>I72/22.5</f>
        <v>20.649777777777778</v>
      </c>
      <c r="L72" s="105"/>
      <c r="M72" s="99"/>
    </row>
    <row r="73" spans="2:13" ht="16.5" customHeight="1" thickBot="1">
      <c r="B73" s="99"/>
      <c r="C73" s="102"/>
      <c r="D73" s="126"/>
      <c r="E73" s="99"/>
      <c r="F73" s="10">
        <v>8.01</v>
      </c>
      <c r="G73" s="99"/>
      <c r="H73" s="99"/>
      <c r="I73" s="11">
        <v>468.67</v>
      </c>
      <c r="J73" s="11"/>
      <c r="K73" s="26">
        <f>I73/22.5</f>
        <v>20.829777777777778</v>
      </c>
      <c r="L73" s="106"/>
      <c r="M73" s="100"/>
    </row>
    <row r="74" spans="2:13" ht="16.5" customHeight="1" thickBot="1">
      <c r="B74" s="99"/>
      <c r="C74" s="102"/>
      <c r="D74" s="126"/>
      <c r="E74" s="99"/>
      <c r="F74" s="4">
        <v>8.1199999999999992</v>
      </c>
      <c r="G74" s="99"/>
      <c r="H74" s="99"/>
      <c r="I74" s="14"/>
      <c r="J74" s="14">
        <f>K74*22.5</f>
        <v>751.5</v>
      </c>
      <c r="K74" s="15">
        <v>33.4</v>
      </c>
      <c r="L74" s="128">
        <f>AVERAGE(K74:K76)</f>
        <v>32.556666666666665</v>
      </c>
      <c r="M74" s="98" t="str">
        <f>IF(L74=" ", " ",IF(L74&gt;25,"PASS", "FAIL" ))</f>
        <v>PASS</v>
      </c>
    </row>
    <row r="75" spans="2:13" ht="16.5" customHeight="1" thickBot="1">
      <c r="B75" s="99"/>
      <c r="C75" s="102"/>
      <c r="D75" s="126"/>
      <c r="E75" s="99"/>
      <c r="F75" s="7">
        <v>8.1150000000000002</v>
      </c>
      <c r="G75" s="99"/>
      <c r="H75" s="99"/>
      <c r="I75" s="16"/>
      <c r="J75" s="14">
        <f t="shared" ref="J75:J76" si="8">K75*22.5</f>
        <v>723.375</v>
      </c>
      <c r="K75" s="17">
        <v>32.15</v>
      </c>
      <c r="L75" s="129"/>
      <c r="M75" s="99"/>
    </row>
    <row r="76" spans="2:13" ht="16.5" customHeight="1" thickBot="1">
      <c r="B76" s="100"/>
      <c r="C76" s="103"/>
      <c r="D76" s="127"/>
      <c r="E76" s="100"/>
      <c r="F76" s="18">
        <v>8.17</v>
      </c>
      <c r="G76" s="100"/>
      <c r="H76" s="100"/>
      <c r="I76" s="19"/>
      <c r="J76" s="14">
        <f t="shared" si="8"/>
        <v>722.69999999999993</v>
      </c>
      <c r="K76" s="20">
        <v>32.119999999999997</v>
      </c>
      <c r="L76" s="130"/>
      <c r="M76" s="100"/>
    </row>
    <row r="77" spans="2:13" ht="16.5" customHeight="1">
      <c r="B77" s="98">
        <v>12</v>
      </c>
      <c r="C77" s="102">
        <v>46028</v>
      </c>
      <c r="D77" s="125" t="s">
        <v>34</v>
      </c>
      <c r="E77" s="98" t="s">
        <v>44</v>
      </c>
      <c r="F77" s="4">
        <v>8.15</v>
      </c>
      <c r="G77" s="101">
        <f>C77+7</f>
        <v>46035</v>
      </c>
      <c r="H77" s="101">
        <f>C77+28</f>
        <v>46056</v>
      </c>
      <c r="I77" s="5">
        <v>477.67</v>
      </c>
      <c r="J77" s="5"/>
      <c r="K77" s="24">
        <f>I77/22.5</f>
        <v>21.229777777777777</v>
      </c>
      <c r="L77" s="104">
        <f>AVERAGE(K77:K79)</f>
        <v>21.119851851851852</v>
      </c>
      <c r="M77" s="98" t="str">
        <f>IF(L77=" ", " ",IF(L77&gt;17,"PASS", "FAIL" ))</f>
        <v>PASS</v>
      </c>
    </row>
    <row r="78" spans="2:13" ht="16.5" customHeight="1">
      <c r="B78" s="99"/>
      <c r="C78" s="102"/>
      <c r="D78" s="126"/>
      <c r="E78" s="99"/>
      <c r="F78" s="7">
        <v>8.17</v>
      </c>
      <c r="G78" s="99"/>
      <c r="H78" s="99"/>
      <c r="I78" s="8">
        <v>475.87</v>
      </c>
      <c r="J78" s="8"/>
      <c r="K78" s="25">
        <f>I78/22.5</f>
        <v>21.149777777777778</v>
      </c>
      <c r="L78" s="105"/>
      <c r="M78" s="99"/>
    </row>
    <row r="79" spans="2:13" ht="16.5" customHeight="1" thickBot="1">
      <c r="B79" s="99"/>
      <c r="C79" s="102"/>
      <c r="D79" s="126"/>
      <c r="E79" s="99"/>
      <c r="F79" s="27">
        <v>8</v>
      </c>
      <c r="G79" s="99"/>
      <c r="H79" s="99"/>
      <c r="I79" s="11">
        <v>472.05</v>
      </c>
      <c r="J79" s="11"/>
      <c r="K79" s="26">
        <f>I79/22.5</f>
        <v>20.98</v>
      </c>
      <c r="L79" s="106"/>
      <c r="M79" s="100"/>
    </row>
    <row r="80" spans="2:13" ht="16.5" customHeight="1" thickBot="1">
      <c r="B80" s="99"/>
      <c r="C80" s="102"/>
      <c r="D80" s="126"/>
      <c r="E80" s="99"/>
      <c r="F80" s="4">
        <v>7.99</v>
      </c>
      <c r="G80" s="99"/>
      <c r="H80" s="99"/>
      <c r="I80" s="14"/>
      <c r="J80" s="14">
        <f>K80*22.5</f>
        <v>744.52500000000009</v>
      </c>
      <c r="K80" s="15">
        <v>33.090000000000003</v>
      </c>
      <c r="L80" s="128">
        <f>AVERAGE(K80:K82)</f>
        <v>31.830000000000002</v>
      </c>
      <c r="M80" s="98" t="str">
        <f>IF(L80=" ", " ",IF(L80&gt;25,"PASS", "FAIL" ))</f>
        <v>PASS</v>
      </c>
    </row>
    <row r="81" spans="2:13" ht="16.5" customHeight="1" thickBot="1">
      <c r="B81" s="99"/>
      <c r="C81" s="102"/>
      <c r="D81" s="126"/>
      <c r="E81" s="99"/>
      <c r="F81" s="7">
        <v>7.85</v>
      </c>
      <c r="G81" s="99"/>
      <c r="H81" s="99"/>
      <c r="I81" s="16"/>
      <c r="J81" s="14">
        <f t="shared" ref="J81:J82" si="9">K81*22.5</f>
        <v>731.25</v>
      </c>
      <c r="K81" s="17">
        <v>32.5</v>
      </c>
      <c r="L81" s="129"/>
      <c r="M81" s="99"/>
    </row>
    <row r="82" spans="2:13" ht="16.5" customHeight="1" thickBot="1">
      <c r="B82" s="100"/>
      <c r="C82" s="103"/>
      <c r="D82" s="127"/>
      <c r="E82" s="100"/>
      <c r="F82" s="18">
        <v>8.1</v>
      </c>
      <c r="G82" s="100"/>
      <c r="H82" s="100"/>
      <c r="I82" s="19"/>
      <c r="J82" s="14">
        <f t="shared" si="9"/>
        <v>672.75</v>
      </c>
      <c r="K82" s="20">
        <v>29.9</v>
      </c>
      <c r="L82" s="130"/>
      <c r="M82" s="100"/>
    </row>
    <row r="83" spans="2:13" ht="16.5" customHeight="1">
      <c r="B83" s="98">
        <v>13</v>
      </c>
      <c r="C83" s="102">
        <v>46029</v>
      </c>
      <c r="D83" s="125" t="s">
        <v>35</v>
      </c>
      <c r="E83" s="98" t="s">
        <v>44</v>
      </c>
      <c r="F83" s="4">
        <v>8.1199999999999992</v>
      </c>
      <c r="G83" s="101">
        <f>C83+7</f>
        <v>46036</v>
      </c>
      <c r="H83" s="101">
        <f>C83+28</f>
        <v>46057</v>
      </c>
      <c r="I83" s="5">
        <v>464.4</v>
      </c>
      <c r="J83" s="5"/>
      <c r="K83" s="24">
        <f>I83/22.5</f>
        <v>20.64</v>
      </c>
      <c r="L83" s="104">
        <f>AVERAGE(K83:K85)</f>
        <v>21.176592592592595</v>
      </c>
      <c r="M83" s="98" t="str">
        <f>IF(L83=" ", " ",IF(L83&gt;17,"PASS", "FAIL" ))</f>
        <v>PASS</v>
      </c>
    </row>
    <row r="84" spans="2:13" ht="16.5" customHeight="1">
      <c r="B84" s="99"/>
      <c r="C84" s="102"/>
      <c r="D84" s="126"/>
      <c r="E84" s="99"/>
      <c r="F84" s="7">
        <v>8.0500000000000007</v>
      </c>
      <c r="G84" s="99"/>
      <c r="H84" s="99"/>
      <c r="I84" s="8">
        <v>483.97</v>
      </c>
      <c r="J84" s="8"/>
      <c r="K84" s="25">
        <f>I84/22.5</f>
        <v>21.509777777777778</v>
      </c>
      <c r="L84" s="105"/>
      <c r="M84" s="99"/>
    </row>
    <row r="85" spans="2:13" ht="16.5" customHeight="1" thickBot="1">
      <c r="B85" s="99"/>
      <c r="C85" s="102"/>
      <c r="D85" s="126"/>
      <c r="E85" s="99"/>
      <c r="F85" s="10">
        <v>8.1999999999999993</v>
      </c>
      <c r="G85" s="99"/>
      <c r="H85" s="99"/>
      <c r="I85" s="11">
        <v>481.05</v>
      </c>
      <c r="J85" s="11"/>
      <c r="K85" s="26">
        <f>I85/22.5</f>
        <v>21.38</v>
      </c>
      <c r="L85" s="106"/>
      <c r="M85" s="100"/>
    </row>
    <row r="86" spans="2:13" ht="16.5" customHeight="1" thickBot="1">
      <c r="B86" s="99"/>
      <c r="C86" s="102"/>
      <c r="D86" s="126"/>
      <c r="E86" s="99"/>
      <c r="F86" s="4">
        <v>7.92</v>
      </c>
      <c r="G86" s="99"/>
      <c r="H86" s="99"/>
      <c r="I86" s="14"/>
      <c r="J86" s="14">
        <f>K86*22.5</f>
        <v>678.15</v>
      </c>
      <c r="K86" s="15">
        <v>30.14</v>
      </c>
      <c r="L86" s="128">
        <f>AVERAGE(K86:K88)</f>
        <v>30.866666666666664</v>
      </c>
      <c r="M86" s="98" t="str">
        <f>IF(L86=" ", " ",IF(L86&gt;25,"PASS", "FAIL" ))</f>
        <v>PASS</v>
      </c>
    </row>
    <row r="87" spans="2:13" ht="16.5" customHeight="1" thickBot="1">
      <c r="B87" s="99"/>
      <c r="C87" s="102"/>
      <c r="D87" s="126"/>
      <c r="E87" s="99"/>
      <c r="F87" s="7">
        <v>7.99</v>
      </c>
      <c r="G87" s="99"/>
      <c r="H87" s="99"/>
      <c r="I87" s="16"/>
      <c r="J87" s="14">
        <f t="shared" ref="J87:J88" si="10">K87*22.5</f>
        <v>709.2</v>
      </c>
      <c r="K87" s="17">
        <v>31.52</v>
      </c>
      <c r="L87" s="129"/>
      <c r="M87" s="99"/>
    </row>
    <row r="88" spans="2:13" ht="16.5" customHeight="1" thickBot="1">
      <c r="B88" s="100"/>
      <c r="C88" s="103"/>
      <c r="D88" s="127"/>
      <c r="E88" s="100"/>
      <c r="F88" s="18">
        <v>8.09</v>
      </c>
      <c r="G88" s="100"/>
      <c r="H88" s="100"/>
      <c r="I88" s="19"/>
      <c r="J88" s="14">
        <f t="shared" si="10"/>
        <v>696.15</v>
      </c>
      <c r="K88" s="20">
        <v>30.94</v>
      </c>
      <c r="L88" s="130"/>
      <c r="M88" s="100"/>
    </row>
    <row r="89" spans="2:13" ht="16.149999999999999" customHeight="1">
      <c r="B89" s="98">
        <v>14</v>
      </c>
      <c r="C89" s="102">
        <v>46030</v>
      </c>
      <c r="D89" s="125" t="s">
        <v>36</v>
      </c>
      <c r="E89" s="98" t="s">
        <v>44</v>
      </c>
      <c r="F89" s="4">
        <v>8.07</v>
      </c>
      <c r="G89" s="101">
        <f>C89+7</f>
        <v>46037</v>
      </c>
      <c r="H89" s="101">
        <f>C89+28</f>
        <v>46058</v>
      </c>
      <c r="I89" s="5">
        <v>467.1</v>
      </c>
      <c r="J89" s="5"/>
      <c r="K89" s="24">
        <f>I89/22.5</f>
        <v>20.76</v>
      </c>
      <c r="L89" s="104">
        <f>AVERAGE(K89:K91)</f>
        <v>21.05</v>
      </c>
      <c r="M89" s="98" t="str">
        <f>IF(L89=" ", " ",IF(L89&gt;17,"PASS", "FAIL" ))</f>
        <v>PASS</v>
      </c>
    </row>
    <row r="90" spans="2:13" ht="16.149999999999999" customHeight="1">
      <c r="B90" s="99"/>
      <c r="C90" s="102"/>
      <c r="D90" s="126"/>
      <c r="E90" s="99"/>
      <c r="F90" s="7">
        <v>8.1999999999999993</v>
      </c>
      <c r="G90" s="99"/>
      <c r="H90" s="99"/>
      <c r="I90" s="8">
        <v>478.35</v>
      </c>
      <c r="J90" s="8"/>
      <c r="K90" s="25">
        <f>I90/22.5</f>
        <v>21.26</v>
      </c>
      <c r="L90" s="105"/>
      <c r="M90" s="99"/>
    </row>
    <row r="91" spans="2:13" ht="16.149999999999999" customHeight="1" thickBot="1">
      <c r="B91" s="99"/>
      <c r="C91" s="102"/>
      <c r="D91" s="126"/>
      <c r="E91" s="99"/>
      <c r="F91" s="10">
        <v>8.2799999999999994</v>
      </c>
      <c r="G91" s="99"/>
      <c r="H91" s="99"/>
      <c r="I91" s="11">
        <v>475.42500000000001</v>
      </c>
      <c r="J91" s="11"/>
      <c r="K91" s="26">
        <f>I91/22.5</f>
        <v>21.13</v>
      </c>
      <c r="L91" s="106"/>
      <c r="M91" s="100"/>
    </row>
    <row r="92" spans="2:13" ht="13.15" customHeight="1" thickBot="1">
      <c r="B92" s="99"/>
      <c r="C92" s="102"/>
      <c r="D92" s="126"/>
      <c r="E92" s="99"/>
      <c r="F92" s="4">
        <v>7.99</v>
      </c>
      <c r="G92" s="99"/>
      <c r="H92" s="99"/>
      <c r="I92" s="14"/>
      <c r="J92" s="14">
        <f>K92*22.5</f>
        <v>667.125</v>
      </c>
      <c r="K92" s="15">
        <v>29.65</v>
      </c>
      <c r="L92" s="128">
        <f>AVERAGE(K92:K94)</f>
        <v>31.36</v>
      </c>
      <c r="M92" s="98" t="str">
        <f>IF(L92=" ", " ",IF(L92&gt;25,"PASS", "FAIL" ))</f>
        <v>PASS</v>
      </c>
    </row>
    <row r="93" spans="2:13" ht="16.5" customHeight="1" thickBot="1">
      <c r="B93" s="99"/>
      <c r="C93" s="102"/>
      <c r="D93" s="126"/>
      <c r="E93" s="99"/>
      <c r="F93" s="7">
        <v>8.14</v>
      </c>
      <c r="G93" s="99"/>
      <c r="H93" s="99"/>
      <c r="I93" s="16"/>
      <c r="J93" s="14">
        <f t="shared" ref="J93:J94" si="11">K93*22.5</f>
        <v>718.42499999999995</v>
      </c>
      <c r="K93" s="17">
        <v>31.93</v>
      </c>
      <c r="L93" s="129"/>
      <c r="M93" s="99"/>
    </row>
    <row r="94" spans="2:13" ht="16.5" customHeight="1" thickBot="1">
      <c r="B94" s="100"/>
      <c r="C94" s="103"/>
      <c r="D94" s="127"/>
      <c r="E94" s="100"/>
      <c r="F94" s="18">
        <v>8.09</v>
      </c>
      <c r="G94" s="100"/>
      <c r="H94" s="100"/>
      <c r="I94" s="19"/>
      <c r="J94" s="14">
        <f t="shared" si="11"/>
        <v>731.25</v>
      </c>
      <c r="K94" s="20">
        <v>32.5</v>
      </c>
      <c r="L94" s="130"/>
      <c r="M94" s="100"/>
    </row>
    <row r="95" spans="2:13" ht="16.5" customHeight="1">
      <c r="B95" s="98">
        <v>15</v>
      </c>
      <c r="C95" s="102">
        <v>46031</v>
      </c>
      <c r="D95" s="125" t="s">
        <v>37</v>
      </c>
      <c r="E95" s="98" t="s">
        <v>44</v>
      </c>
      <c r="F95" s="4">
        <v>8.1999999999999993</v>
      </c>
      <c r="G95" s="101">
        <f>C95+7</f>
        <v>46038</v>
      </c>
      <c r="H95" s="101">
        <f>C95+28</f>
        <v>46059</v>
      </c>
      <c r="I95" s="5">
        <v>478.57</v>
      </c>
      <c r="J95" s="5"/>
      <c r="K95" s="24">
        <f>I95/22.5</f>
        <v>21.269777777777776</v>
      </c>
      <c r="L95" s="104">
        <f>AVERAGE(K95:K97)</f>
        <v>21.01985185185185</v>
      </c>
      <c r="M95" s="98" t="str">
        <f>IF(L95=" ", " ",IF(L95&gt;17,"PASS", "FAIL" ))</f>
        <v>PASS</v>
      </c>
    </row>
    <row r="96" spans="2:13" ht="16.5" customHeight="1">
      <c r="B96" s="99"/>
      <c r="C96" s="102"/>
      <c r="D96" s="126"/>
      <c r="E96" s="99"/>
      <c r="F96" s="7">
        <v>8.11</v>
      </c>
      <c r="G96" s="99"/>
      <c r="H96" s="99"/>
      <c r="I96" s="8">
        <v>467.55</v>
      </c>
      <c r="J96" s="8"/>
      <c r="K96" s="25">
        <f>I96/22.5</f>
        <v>20.78</v>
      </c>
      <c r="L96" s="105"/>
      <c r="M96" s="99"/>
    </row>
    <row r="97" spans="2:13" ht="16.5" customHeight="1" thickBot="1">
      <c r="B97" s="99"/>
      <c r="C97" s="102"/>
      <c r="D97" s="126"/>
      <c r="E97" s="99"/>
      <c r="F97" s="27">
        <v>8.1</v>
      </c>
      <c r="G97" s="99"/>
      <c r="H97" s="99"/>
      <c r="I97" s="11">
        <v>472.72</v>
      </c>
      <c r="J97" s="11"/>
      <c r="K97" s="26">
        <f>I97/22.5</f>
        <v>21.009777777777778</v>
      </c>
      <c r="L97" s="106"/>
      <c r="M97" s="100"/>
    </row>
    <row r="98" spans="2:13" ht="16.5" customHeight="1" thickBot="1">
      <c r="B98" s="99"/>
      <c r="C98" s="102"/>
      <c r="D98" s="126"/>
      <c r="E98" s="99"/>
      <c r="F98" s="4">
        <v>8.1</v>
      </c>
      <c r="G98" s="99"/>
      <c r="H98" s="99"/>
      <c r="I98" s="14"/>
      <c r="J98" s="14">
        <f>22.5*K98</f>
        <v>751.5</v>
      </c>
      <c r="K98" s="15">
        <v>33.4</v>
      </c>
      <c r="L98" s="128">
        <f>AVERAGE(K98:K100)</f>
        <v>31.399999999999995</v>
      </c>
      <c r="M98" s="98" t="str">
        <f>IF(L98=" ", " ",IF(L98&gt;25,"PASS", "FAIL" ))</f>
        <v>PASS</v>
      </c>
    </row>
    <row r="99" spans="2:13" ht="16.5" customHeight="1" thickBot="1">
      <c r="B99" s="99"/>
      <c r="C99" s="102"/>
      <c r="D99" s="126"/>
      <c r="E99" s="99"/>
      <c r="F99" s="7">
        <v>8.0500000000000007</v>
      </c>
      <c r="G99" s="99"/>
      <c r="H99" s="99"/>
      <c r="I99" s="16"/>
      <c r="J99" s="14">
        <f t="shared" ref="J99:J100" si="12">22.5*K99</f>
        <v>702</v>
      </c>
      <c r="K99" s="17">
        <v>31.2</v>
      </c>
      <c r="L99" s="129"/>
      <c r="M99" s="99"/>
    </row>
    <row r="100" spans="2:13" ht="16.5" customHeight="1" thickBot="1">
      <c r="B100" s="100"/>
      <c r="C100" s="103"/>
      <c r="D100" s="127"/>
      <c r="E100" s="100"/>
      <c r="F100" s="18">
        <v>8.125</v>
      </c>
      <c r="G100" s="100"/>
      <c r="H100" s="100"/>
      <c r="I100" s="19"/>
      <c r="J100" s="14">
        <f t="shared" si="12"/>
        <v>666</v>
      </c>
      <c r="K100" s="20">
        <v>29.6</v>
      </c>
      <c r="L100" s="130"/>
      <c r="M100" s="100"/>
    </row>
    <row r="101" spans="2:13" ht="16.5" customHeight="1">
      <c r="B101" s="98">
        <v>16</v>
      </c>
      <c r="C101" s="102">
        <v>46032</v>
      </c>
      <c r="D101" s="125" t="s">
        <v>38</v>
      </c>
      <c r="E101" s="98" t="s">
        <v>44</v>
      </c>
      <c r="F101" s="4">
        <v>8.1199999999999992</v>
      </c>
      <c r="G101" s="101">
        <f>C101+7</f>
        <v>46039</v>
      </c>
      <c r="H101" s="101">
        <f>C101+28</f>
        <v>46060</v>
      </c>
      <c r="I101" s="5">
        <v>475.42500000000001</v>
      </c>
      <c r="J101" s="5"/>
      <c r="K101" s="24">
        <f>I101/22.5</f>
        <v>21.13</v>
      </c>
      <c r="L101" s="104">
        <f>AVERAGE(K101:K103)</f>
        <v>20.82</v>
      </c>
      <c r="M101" s="98" t="str">
        <f>IF(L101=" ", " ",IF(L101&gt;17,"PASS", "FAIL" ))</f>
        <v>PASS</v>
      </c>
    </row>
    <row r="102" spans="2:13" ht="16.5" customHeight="1">
      <c r="B102" s="99"/>
      <c r="C102" s="102"/>
      <c r="D102" s="126"/>
      <c r="E102" s="99"/>
      <c r="F102" s="7">
        <v>7.99</v>
      </c>
      <c r="G102" s="99"/>
      <c r="H102" s="99"/>
      <c r="I102" s="8">
        <v>443.92500000000001</v>
      </c>
      <c r="J102" s="8"/>
      <c r="K102" s="25">
        <f>I102/22.5</f>
        <v>19.73</v>
      </c>
      <c r="L102" s="105"/>
      <c r="M102" s="99"/>
    </row>
    <row r="103" spans="2:13" ht="16.5" customHeight="1" thickBot="1">
      <c r="B103" s="99"/>
      <c r="C103" s="102"/>
      <c r="D103" s="126"/>
      <c r="E103" s="99"/>
      <c r="F103" s="10">
        <v>8.1999999999999993</v>
      </c>
      <c r="G103" s="99"/>
      <c r="H103" s="99"/>
      <c r="I103" s="11">
        <v>486</v>
      </c>
      <c r="J103" s="11"/>
      <c r="K103" s="26">
        <f>I103/22.5</f>
        <v>21.6</v>
      </c>
      <c r="L103" s="106"/>
      <c r="M103" s="100"/>
    </row>
    <row r="104" spans="2:13" ht="16.5" customHeight="1" thickBot="1">
      <c r="B104" s="99"/>
      <c r="C104" s="102"/>
      <c r="D104" s="126"/>
      <c r="E104" s="99"/>
      <c r="F104" s="28">
        <v>8.02</v>
      </c>
      <c r="G104" s="99"/>
      <c r="H104" s="99"/>
      <c r="I104" s="14"/>
      <c r="J104" s="14">
        <f>22.5*K104</f>
        <v>688.95</v>
      </c>
      <c r="K104" s="15">
        <v>30.62</v>
      </c>
      <c r="L104" s="128">
        <f>AVERAGE(K104:K106)</f>
        <v>31.223333333333333</v>
      </c>
      <c r="M104" s="98" t="str">
        <f>IF(L104=" ", " ",IF(L104&gt;25,"PASS", "FAIL" ))</f>
        <v>PASS</v>
      </c>
    </row>
    <row r="105" spans="2:13" ht="16.5" customHeight="1" thickBot="1">
      <c r="B105" s="99"/>
      <c r="C105" s="102"/>
      <c r="D105" s="126"/>
      <c r="E105" s="99"/>
      <c r="F105" s="29">
        <v>8.09</v>
      </c>
      <c r="G105" s="99"/>
      <c r="H105" s="99"/>
      <c r="I105" s="16"/>
      <c r="J105" s="14">
        <f t="shared" ref="J105:J106" si="13">22.5*K105</f>
        <v>708.52499999999998</v>
      </c>
      <c r="K105" s="17">
        <v>31.49</v>
      </c>
      <c r="L105" s="129"/>
      <c r="M105" s="99"/>
    </row>
    <row r="106" spans="2:13" ht="16.5" customHeight="1" thickBot="1">
      <c r="B106" s="100"/>
      <c r="C106" s="103"/>
      <c r="D106" s="127"/>
      <c r="E106" s="100"/>
      <c r="F106" s="30">
        <v>8.01</v>
      </c>
      <c r="G106" s="100"/>
      <c r="H106" s="100"/>
      <c r="I106" s="19"/>
      <c r="J106" s="14">
        <f t="shared" si="13"/>
        <v>710.1</v>
      </c>
      <c r="K106" s="20">
        <v>31.56</v>
      </c>
      <c r="L106" s="130"/>
      <c r="M106" s="100"/>
    </row>
    <row r="107" spans="2:13" ht="16.5" customHeight="1">
      <c r="B107" s="98">
        <v>17</v>
      </c>
      <c r="C107" s="102">
        <v>46033</v>
      </c>
      <c r="D107" s="125" t="s">
        <v>39</v>
      </c>
      <c r="E107" s="98" t="s">
        <v>44</v>
      </c>
      <c r="F107" s="4">
        <v>8.1</v>
      </c>
      <c r="G107" s="101">
        <f>C107+7</f>
        <v>46040</v>
      </c>
      <c r="H107" s="101">
        <f>C107+28</f>
        <v>46061</v>
      </c>
      <c r="I107" s="5">
        <v>464.17500000000001</v>
      </c>
      <c r="J107" s="5"/>
      <c r="K107" s="24">
        <f>I107/22.5</f>
        <v>20.63</v>
      </c>
      <c r="L107" s="104">
        <f>AVERAGE(K107:K109)</f>
        <v>21.143333333333331</v>
      </c>
      <c r="M107" s="98" t="str">
        <f>IF(L107=" ", " ",IF(L107&gt;17,"PASS", "FAIL" ))</f>
        <v>PASS</v>
      </c>
    </row>
    <row r="108" spans="2:13" ht="16.5" customHeight="1">
      <c r="B108" s="99"/>
      <c r="C108" s="102"/>
      <c r="D108" s="126"/>
      <c r="E108" s="99"/>
      <c r="F108" s="7">
        <v>8.25</v>
      </c>
      <c r="G108" s="99"/>
      <c r="H108" s="99"/>
      <c r="I108" s="8">
        <v>481.95</v>
      </c>
      <c r="J108" s="8"/>
      <c r="K108" s="25">
        <f>I108/22.5</f>
        <v>21.419999999999998</v>
      </c>
      <c r="L108" s="105"/>
      <c r="M108" s="99"/>
    </row>
    <row r="109" spans="2:13" ht="16.5" customHeight="1" thickBot="1">
      <c r="B109" s="99"/>
      <c r="C109" s="102"/>
      <c r="D109" s="126"/>
      <c r="E109" s="99"/>
      <c r="F109" s="10">
        <v>8.1999999999999993</v>
      </c>
      <c r="G109" s="99"/>
      <c r="H109" s="99"/>
      <c r="I109" s="11">
        <v>481.05</v>
      </c>
      <c r="J109" s="11"/>
      <c r="K109" s="26">
        <f>I109/22.5</f>
        <v>21.38</v>
      </c>
      <c r="L109" s="106"/>
      <c r="M109" s="100"/>
    </row>
    <row r="110" spans="2:13" ht="16.5" customHeight="1" thickBot="1">
      <c r="B110" s="99"/>
      <c r="C110" s="102"/>
      <c r="D110" s="126"/>
      <c r="E110" s="99"/>
      <c r="F110" s="21">
        <v>8.02</v>
      </c>
      <c r="G110" s="99"/>
      <c r="H110" s="99"/>
      <c r="I110" s="14"/>
      <c r="J110" s="14">
        <f>K110*22.5</f>
        <v>681.30000000000007</v>
      </c>
      <c r="K110" s="31">
        <v>30.28</v>
      </c>
      <c r="L110" s="104">
        <f>AVERAGE(K110:K112)</f>
        <v>30.676666666666666</v>
      </c>
      <c r="M110" s="98" t="str">
        <f>IF(L110=" ", " ",IF(L110&gt;17,"PASS", "FAIL" ))</f>
        <v>PASS</v>
      </c>
    </row>
    <row r="111" spans="2:13" ht="16.5" customHeight="1" thickBot="1">
      <c r="B111" s="99"/>
      <c r="C111" s="102"/>
      <c r="D111" s="126"/>
      <c r="E111" s="99"/>
      <c r="F111" s="22">
        <v>7.88</v>
      </c>
      <c r="G111" s="99"/>
      <c r="H111" s="99"/>
      <c r="I111" s="16"/>
      <c r="J111" s="14">
        <f t="shared" ref="J111:J112" si="14">K111*22.5</f>
        <v>687.6</v>
      </c>
      <c r="K111" s="32">
        <v>30.56</v>
      </c>
      <c r="L111" s="105"/>
      <c r="M111" s="99"/>
    </row>
    <row r="112" spans="2:13" ht="16.5" customHeight="1" thickBot="1">
      <c r="B112" s="100"/>
      <c r="C112" s="103"/>
      <c r="D112" s="127"/>
      <c r="E112" s="100"/>
      <c r="F112" s="13">
        <v>8.07</v>
      </c>
      <c r="G112" s="100"/>
      <c r="H112" s="100"/>
      <c r="I112" s="19"/>
      <c r="J112" s="14">
        <f t="shared" si="14"/>
        <v>701.77499999999998</v>
      </c>
      <c r="K112" s="33">
        <v>31.19</v>
      </c>
      <c r="L112" s="106"/>
      <c r="M112" s="100"/>
    </row>
    <row r="113" spans="2:13" ht="16.5" customHeight="1">
      <c r="B113" s="98">
        <v>18</v>
      </c>
      <c r="C113" s="102">
        <v>46034</v>
      </c>
      <c r="D113" s="125" t="s">
        <v>40</v>
      </c>
      <c r="E113" s="98" t="s">
        <v>44</v>
      </c>
      <c r="F113" s="4">
        <v>7.98</v>
      </c>
      <c r="G113" s="101">
        <f>C113+7</f>
        <v>46041</v>
      </c>
      <c r="H113" s="101">
        <f>C113+28</f>
        <v>46062</v>
      </c>
      <c r="I113" s="5">
        <v>443.7</v>
      </c>
      <c r="J113" s="5"/>
      <c r="K113" s="24">
        <f>I113/22.5</f>
        <v>19.72</v>
      </c>
      <c r="L113" s="104">
        <f>AVERAGE(K113:K115)</f>
        <v>20.386666666666667</v>
      </c>
      <c r="M113" s="98" t="str">
        <f>IF(L113=" ", " ",IF(L113&gt;17,"PASS", "FAIL" ))</f>
        <v>PASS</v>
      </c>
    </row>
    <row r="114" spans="2:13" ht="16.5" customHeight="1">
      <c r="B114" s="99"/>
      <c r="C114" s="102"/>
      <c r="D114" s="126"/>
      <c r="E114" s="99"/>
      <c r="F114" s="7">
        <v>8.1</v>
      </c>
      <c r="G114" s="99"/>
      <c r="H114" s="99"/>
      <c r="I114" s="8">
        <v>463.5</v>
      </c>
      <c r="J114" s="8"/>
      <c r="K114" s="25">
        <f>I114/22.5</f>
        <v>20.6</v>
      </c>
      <c r="L114" s="105"/>
      <c r="M114" s="99"/>
    </row>
    <row r="115" spans="2:13" ht="16.5" customHeight="1" thickBot="1">
      <c r="B115" s="99"/>
      <c r="C115" s="102"/>
      <c r="D115" s="126"/>
      <c r="E115" s="99"/>
      <c r="F115" s="10">
        <v>8.2200000000000006</v>
      </c>
      <c r="G115" s="99"/>
      <c r="H115" s="99"/>
      <c r="I115" s="11">
        <v>468.9</v>
      </c>
      <c r="J115" s="11"/>
      <c r="K115" s="26">
        <f>I115/22.5</f>
        <v>20.84</v>
      </c>
      <c r="L115" s="106"/>
      <c r="M115" s="100"/>
    </row>
    <row r="116" spans="2:13" ht="16.5" customHeight="1" thickBot="1">
      <c r="B116" s="99"/>
      <c r="C116" s="102"/>
      <c r="D116" s="126"/>
      <c r="E116" s="99"/>
      <c r="F116" s="21">
        <v>7.97</v>
      </c>
      <c r="G116" s="99"/>
      <c r="H116" s="99"/>
      <c r="I116" s="14"/>
      <c r="J116" s="14">
        <f>K116*22.5</f>
        <v>730.35</v>
      </c>
      <c r="K116" s="31">
        <v>32.46</v>
      </c>
      <c r="L116" s="104">
        <f>AVERAGE(K116:K118)</f>
        <v>31.543333333333333</v>
      </c>
      <c r="M116" s="98" t="str">
        <f>IF(L116=" ", " ",IF(L116&gt;17,"PASS", "FAIL" ))</f>
        <v>PASS</v>
      </c>
    </row>
    <row r="117" spans="2:13" ht="16.5" customHeight="1" thickBot="1">
      <c r="B117" s="99"/>
      <c r="C117" s="102"/>
      <c r="D117" s="126"/>
      <c r="E117" s="99"/>
      <c r="F117" s="22">
        <v>7.96</v>
      </c>
      <c r="G117" s="99"/>
      <c r="H117" s="99"/>
      <c r="I117" s="16"/>
      <c r="J117" s="14">
        <f t="shared" ref="J117:J118" si="15">K117*22.5</f>
        <v>690.3</v>
      </c>
      <c r="K117" s="32">
        <v>30.68</v>
      </c>
      <c r="L117" s="105"/>
      <c r="M117" s="99"/>
    </row>
    <row r="118" spans="2:13" ht="16.5" customHeight="1" thickBot="1">
      <c r="B118" s="100"/>
      <c r="C118" s="103"/>
      <c r="D118" s="127"/>
      <c r="E118" s="100"/>
      <c r="F118" s="13">
        <v>8.1300000000000008</v>
      </c>
      <c r="G118" s="100"/>
      <c r="H118" s="100"/>
      <c r="I118" s="19"/>
      <c r="J118" s="14">
        <f t="shared" si="15"/>
        <v>708.52499999999998</v>
      </c>
      <c r="K118" s="33">
        <v>31.49</v>
      </c>
      <c r="L118" s="106"/>
      <c r="M118" s="100"/>
    </row>
    <row r="119" spans="2:13" ht="16.5" customHeight="1">
      <c r="B119" s="98">
        <v>19</v>
      </c>
      <c r="C119" s="102">
        <v>46035</v>
      </c>
      <c r="D119" s="125" t="s">
        <v>47</v>
      </c>
      <c r="E119" s="98" t="s">
        <v>44</v>
      </c>
      <c r="F119" s="4">
        <v>8.26</v>
      </c>
      <c r="G119" s="101">
        <f>C119+7</f>
        <v>46042</v>
      </c>
      <c r="H119" s="101">
        <f>C119+28</f>
        <v>46063</v>
      </c>
      <c r="I119" s="5">
        <v>481.5</v>
      </c>
      <c r="J119" s="5"/>
      <c r="K119" s="24">
        <f>I119/22.5</f>
        <v>21.4</v>
      </c>
      <c r="L119" s="104">
        <f>AVERAGE(K119:K121)</f>
        <v>20.419999999999998</v>
      </c>
      <c r="M119" s="98" t="str">
        <f>IF(L119=" ", " ",IF(L119&gt;17,"PASS", "FAIL" ))</f>
        <v>PASS</v>
      </c>
    </row>
    <row r="120" spans="2:13" ht="16.5" customHeight="1">
      <c r="B120" s="99"/>
      <c r="C120" s="102"/>
      <c r="D120" s="126"/>
      <c r="E120" s="99"/>
      <c r="F120" s="7">
        <v>7.9</v>
      </c>
      <c r="G120" s="99"/>
      <c r="H120" s="99"/>
      <c r="I120" s="8">
        <v>426.6</v>
      </c>
      <c r="J120" s="8"/>
      <c r="K120" s="25">
        <f>I120/22.5</f>
        <v>18.96</v>
      </c>
      <c r="L120" s="105"/>
      <c r="M120" s="99"/>
    </row>
    <row r="121" spans="2:13" ht="16.5" customHeight="1" thickBot="1">
      <c r="B121" s="99"/>
      <c r="C121" s="102"/>
      <c r="D121" s="126"/>
      <c r="E121" s="99"/>
      <c r="F121" s="10">
        <v>8.1</v>
      </c>
      <c r="G121" s="99"/>
      <c r="H121" s="99"/>
      <c r="I121" s="11">
        <v>470.25</v>
      </c>
      <c r="J121" s="11"/>
      <c r="K121" s="26">
        <f>I121/22.5</f>
        <v>20.9</v>
      </c>
      <c r="L121" s="106"/>
      <c r="M121" s="100"/>
    </row>
    <row r="122" spans="2:13" ht="16.5" customHeight="1" thickBot="1">
      <c r="B122" s="99"/>
      <c r="C122" s="102"/>
      <c r="D122" s="126"/>
      <c r="E122" s="99"/>
      <c r="F122" s="21">
        <v>8.1300000000000008</v>
      </c>
      <c r="G122" s="99"/>
      <c r="H122" s="99"/>
      <c r="I122" s="14"/>
      <c r="J122" s="14">
        <f>22.5*K122</f>
        <v>708.75</v>
      </c>
      <c r="K122" s="31">
        <v>31.5</v>
      </c>
      <c r="L122" s="104">
        <f>AVERAGE(K122:K124)</f>
        <v>31.433333333333334</v>
      </c>
      <c r="M122" s="98" t="str">
        <f>IF(L122=" ", " ",IF(L122&gt;17,"PASS", "FAIL" ))</f>
        <v>PASS</v>
      </c>
    </row>
    <row r="123" spans="2:13" ht="16.5" customHeight="1" thickBot="1">
      <c r="B123" s="99"/>
      <c r="C123" s="102"/>
      <c r="D123" s="126"/>
      <c r="E123" s="99"/>
      <c r="F123" s="22">
        <v>7.92</v>
      </c>
      <c r="G123" s="99"/>
      <c r="H123" s="99"/>
      <c r="I123" s="16"/>
      <c r="J123" s="14">
        <f t="shared" ref="J123:J124" si="16">22.5*K123</f>
        <v>716.85</v>
      </c>
      <c r="K123" s="32">
        <v>31.86</v>
      </c>
      <c r="L123" s="105"/>
      <c r="M123" s="99"/>
    </row>
    <row r="124" spans="2:13" ht="16.5" customHeight="1" thickBot="1">
      <c r="B124" s="100"/>
      <c r="C124" s="103"/>
      <c r="D124" s="127"/>
      <c r="E124" s="100"/>
      <c r="F124" s="13">
        <v>8.2200000000000006</v>
      </c>
      <c r="G124" s="100"/>
      <c r="H124" s="100"/>
      <c r="I124" s="19"/>
      <c r="J124" s="14">
        <f t="shared" si="16"/>
        <v>696.15</v>
      </c>
      <c r="K124" s="33">
        <v>30.94</v>
      </c>
      <c r="L124" s="106"/>
      <c r="M124" s="100"/>
    </row>
    <row r="125" spans="2:13" ht="16.5" customHeight="1">
      <c r="B125" s="98">
        <v>21</v>
      </c>
      <c r="C125" s="102">
        <v>46037</v>
      </c>
      <c r="D125" s="125" t="s">
        <v>46</v>
      </c>
      <c r="E125" s="98" t="s">
        <v>44</v>
      </c>
      <c r="F125" s="4">
        <v>8.1999999999999993</v>
      </c>
      <c r="G125" s="101">
        <f>C125+7</f>
        <v>46044</v>
      </c>
      <c r="H125" s="101">
        <f>C125+28</f>
        <v>46065</v>
      </c>
      <c r="I125" s="5">
        <v>460</v>
      </c>
      <c r="J125" s="5"/>
      <c r="K125" s="24">
        <f>I125/22.5</f>
        <v>20.444444444444443</v>
      </c>
      <c r="L125" s="104">
        <f>AVERAGE(K125:K127)</f>
        <v>19.25925925925926</v>
      </c>
      <c r="M125" s="98" t="str">
        <f>IF(L125=" ", " ",IF(L125&gt;17,"PASS", "FAIL" ))</f>
        <v>PASS</v>
      </c>
    </row>
    <row r="126" spans="2:13" ht="16.5" customHeight="1">
      <c r="B126" s="99"/>
      <c r="C126" s="102"/>
      <c r="D126" s="126"/>
      <c r="E126" s="99"/>
      <c r="F126" s="7">
        <v>8.25</v>
      </c>
      <c r="G126" s="99"/>
      <c r="H126" s="99"/>
      <c r="I126" s="8">
        <v>430</v>
      </c>
      <c r="J126" s="8"/>
      <c r="K126" s="25">
        <f>I126/22.5</f>
        <v>19.111111111111111</v>
      </c>
      <c r="L126" s="105"/>
      <c r="M126" s="99"/>
    </row>
    <row r="127" spans="2:13" ht="16.5" customHeight="1" thickBot="1">
      <c r="B127" s="99"/>
      <c r="C127" s="102"/>
      <c r="D127" s="126"/>
      <c r="E127" s="99"/>
      <c r="F127" s="10">
        <v>8.19</v>
      </c>
      <c r="G127" s="99"/>
      <c r="H127" s="99"/>
      <c r="I127" s="11">
        <v>410</v>
      </c>
      <c r="J127" s="11"/>
      <c r="K127" s="26">
        <f>I127/22.5</f>
        <v>18.222222222222221</v>
      </c>
      <c r="L127" s="106"/>
      <c r="M127" s="100"/>
    </row>
    <row r="128" spans="2:13" ht="16.5" customHeight="1" thickBot="1">
      <c r="B128" s="99"/>
      <c r="C128" s="102"/>
      <c r="D128" s="126"/>
      <c r="E128" s="99"/>
      <c r="F128" s="21">
        <v>7.98</v>
      </c>
      <c r="G128" s="99"/>
      <c r="H128" s="99"/>
      <c r="I128" s="14"/>
      <c r="J128" s="14">
        <f>K128*22.5</f>
        <v>708.97500000000002</v>
      </c>
      <c r="K128" s="31">
        <v>31.51</v>
      </c>
      <c r="L128" s="104">
        <f>AVERAGE(K128:K130)</f>
        <v>31.343333333333334</v>
      </c>
      <c r="M128" s="98" t="str">
        <f>IF(L128=" ", " ",IF(L128&gt;17,"PASS", "FAIL" ))</f>
        <v>PASS</v>
      </c>
    </row>
    <row r="129" spans="2:13" ht="16.5" customHeight="1" thickBot="1">
      <c r="B129" s="99"/>
      <c r="C129" s="102"/>
      <c r="D129" s="126"/>
      <c r="E129" s="99"/>
      <c r="F129" s="22">
        <v>8.06</v>
      </c>
      <c r="G129" s="99"/>
      <c r="H129" s="99"/>
      <c r="I129" s="14"/>
      <c r="J129" s="14">
        <f t="shared" ref="J129:J130" si="17">K129*22.5</f>
        <v>716.625</v>
      </c>
      <c r="K129" s="32">
        <v>31.85</v>
      </c>
      <c r="L129" s="105"/>
      <c r="M129" s="99"/>
    </row>
    <row r="130" spans="2:13" ht="16.5" customHeight="1" thickBot="1">
      <c r="B130" s="100"/>
      <c r="C130" s="103"/>
      <c r="D130" s="127"/>
      <c r="E130" s="100"/>
      <c r="F130" s="13">
        <v>8.09</v>
      </c>
      <c r="G130" s="100"/>
      <c r="H130" s="100"/>
      <c r="I130" s="14"/>
      <c r="J130" s="14">
        <f t="shared" si="17"/>
        <v>690.07500000000005</v>
      </c>
      <c r="K130" s="33">
        <v>30.67</v>
      </c>
      <c r="L130" s="106"/>
      <c r="M130" s="100"/>
    </row>
    <row r="131" spans="2:13" ht="16.5" customHeight="1">
      <c r="B131" s="98">
        <v>22</v>
      </c>
      <c r="C131" s="102">
        <v>46038</v>
      </c>
      <c r="D131" s="125" t="s">
        <v>48</v>
      </c>
      <c r="E131" s="98" t="s">
        <v>44</v>
      </c>
      <c r="F131" s="4">
        <v>8.1999999999999993</v>
      </c>
      <c r="G131" s="101">
        <f>C131+7</f>
        <v>46045</v>
      </c>
      <c r="H131" s="101">
        <f>C131+28</f>
        <v>46066</v>
      </c>
      <c r="I131" s="5">
        <f>K131*22.5</f>
        <v>508.04999999999995</v>
      </c>
      <c r="J131" s="5"/>
      <c r="K131" s="24">
        <v>22.58</v>
      </c>
      <c r="L131" s="104">
        <f>AVERAGE(K131:K133)</f>
        <v>20.290000000000003</v>
      </c>
      <c r="M131" s="98" t="str">
        <f>IF(L131=" ", " ",IF(L131&gt;17,"PASS", "FAIL" ))</f>
        <v>PASS</v>
      </c>
    </row>
    <row r="132" spans="2:13" ht="16.5" customHeight="1">
      <c r="B132" s="99"/>
      <c r="C132" s="102"/>
      <c r="D132" s="126"/>
      <c r="E132" s="99"/>
      <c r="F132" s="7">
        <v>8.1999999999999993</v>
      </c>
      <c r="G132" s="99"/>
      <c r="H132" s="99"/>
      <c r="I132" s="8">
        <f>K132*22.5</f>
        <v>446.62500000000006</v>
      </c>
      <c r="J132" s="8"/>
      <c r="K132" s="25">
        <v>19.850000000000001</v>
      </c>
      <c r="L132" s="105"/>
      <c r="M132" s="99"/>
    </row>
    <row r="133" spans="2:13" ht="16.5" customHeight="1" thickBot="1">
      <c r="B133" s="99"/>
      <c r="C133" s="102"/>
      <c r="D133" s="126"/>
      <c r="E133" s="99"/>
      <c r="F133" s="10">
        <v>8.1</v>
      </c>
      <c r="G133" s="99"/>
      <c r="H133" s="99"/>
      <c r="I133" s="11">
        <f>K133*22.5</f>
        <v>414.90000000000003</v>
      </c>
      <c r="J133" s="11"/>
      <c r="K133" s="26">
        <v>18.440000000000001</v>
      </c>
      <c r="L133" s="106"/>
      <c r="M133" s="100"/>
    </row>
    <row r="134" spans="2:13" ht="16.5" customHeight="1" thickBot="1">
      <c r="B134" s="99"/>
      <c r="C134" s="102"/>
      <c r="D134" s="126"/>
      <c r="E134" s="99"/>
      <c r="F134" s="21">
        <v>8.1</v>
      </c>
      <c r="G134" s="99"/>
      <c r="H134" s="99"/>
      <c r="I134" s="14"/>
      <c r="J134" s="14">
        <f>K134*22.5</f>
        <v>720.67500000000007</v>
      </c>
      <c r="K134" s="31">
        <v>32.03</v>
      </c>
      <c r="L134" s="104">
        <f>AVERAGE(K134:K136)</f>
        <v>31.286666666666665</v>
      </c>
      <c r="M134" s="98" t="str">
        <f>IF(L134=" ", " ",IF(L134&gt;17,"PASS", "FAIL" ))</f>
        <v>PASS</v>
      </c>
    </row>
    <row r="135" spans="2:13" ht="16.5" customHeight="1" thickBot="1">
      <c r="B135" s="99"/>
      <c r="C135" s="102"/>
      <c r="D135" s="126"/>
      <c r="E135" s="99"/>
      <c r="F135" s="22">
        <v>7.99</v>
      </c>
      <c r="G135" s="99"/>
      <c r="H135" s="99"/>
      <c r="I135" s="16"/>
      <c r="J135" s="14">
        <f t="shared" ref="J135:J136" si="18">K135*22.5</f>
        <v>713.25</v>
      </c>
      <c r="K135" s="32">
        <v>31.7</v>
      </c>
      <c r="L135" s="105"/>
      <c r="M135" s="99"/>
    </row>
    <row r="136" spans="2:13" ht="16.5" customHeight="1" thickBot="1">
      <c r="B136" s="100"/>
      <c r="C136" s="103"/>
      <c r="D136" s="127"/>
      <c r="E136" s="100"/>
      <c r="F136" s="13">
        <v>7.83</v>
      </c>
      <c r="G136" s="100"/>
      <c r="H136" s="100"/>
      <c r="I136" s="19"/>
      <c r="J136" s="14">
        <f t="shared" si="18"/>
        <v>677.92499999999995</v>
      </c>
      <c r="K136" s="33">
        <v>30.13</v>
      </c>
      <c r="L136" s="106"/>
      <c r="M136" s="100"/>
    </row>
    <row r="137" spans="2:13" ht="16.5" customHeight="1" thickBot="1">
      <c r="B137" s="98">
        <v>23</v>
      </c>
      <c r="C137" s="102">
        <v>46039</v>
      </c>
      <c r="D137" s="125" t="s">
        <v>49</v>
      </c>
      <c r="E137" s="98" t="s">
        <v>44</v>
      </c>
      <c r="F137" s="4">
        <v>7.75</v>
      </c>
      <c r="G137" s="101">
        <f>C137+7</f>
        <v>46046</v>
      </c>
      <c r="H137" s="101">
        <f>C137+28</f>
        <v>46067</v>
      </c>
      <c r="I137" s="5">
        <f>K137*22.5</f>
        <v>483.75</v>
      </c>
      <c r="J137" s="5"/>
      <c r="K137" s="24">
        <v>21.5</v>
      </c>
      <c r="L137" s="104">
        <f>AVERAGE(K137:K139)</f>
        <v>22.266666666666666</v>
      </c>
      <c r="M137" s="98" t="str">
        <f>IF(L137=" ", " ",IF(L137&gt;17,"PASS", "FAIL" ))</f>
        <v>PASS</v>
      </c>
    </row>
    <row r="138" spans="2:13" ht="16.5" customHeight="1" thickBot="1">
      <c r="B138" s="99"/>
      <c r="C138" s="102"/>
      <c r="D138" s="126"/>
      <c r="E138" s="99"/>
      <c r="F138" s="7">
        <v>7.83</v>
      </c>
      <c r="G138" s="99"/>
      <c r="H138" s="99"/>
      <c r="I138" s="5">
        <f t="shared" ref="I138:I139" si="19">K138*22.5</f>
        <v>497.25000000000006</v>
      </c>
      <c r="J138" s="8"/>
      <c r="K138" s="25">
        <v>22.1</v>
      </c>
      <c r="L138" s="105"/>
      <c r="M138" s="99"/>
    </row>
    <row r="139" spans="2:13" ht="16.5" customHeight="1" thickBot="1">
      <c r="B139" s="99"/>
      <c r="C139" s="102"/>
      <c r="D139" s="126"/>
      <c r="E139" s="99"/>
      <c r="F139" s="10">
        <v>7.78</v>
      </c>
      <c r="G139" s="99"/>
      <c r="H139" s="99"/>
      <c r="I139" s="5">
        <f t="shared" si="19"/>
        <v>522</v>
      </c>
      <c r="J139" s="11"/>
      <c r="K139" s="26">
        <v>23.2</v>
      </c>
      <c r="L139" s="106"/>
      <c r="M139" s="100"/>
    </row>
    <row r="140" spans="2:13" ht="16.5" customHeight="1" thickBot="1">
      <c r="B140" s="99"/>
      <c r="C140" s="102"/>
      <c r="D140" s="126"/>
      <c r="E140" s="99"/>
      <c r="F140" s="21">
        <v>8.24</v>
      </c>
      <c r="G140" s="99"/>
      <c r="H140" s="99"/>
      <c r="I140" s="14"/>
      <c r="J140" s="14">
        <f>K140*22.5</f>
        <v>706.5</v>
      </c>
      <c r="K140" s="31">
        <v>31.4</v>
      </c>
      <c r="L140" s="104">
        <f>AVERAGE(K140:K142)</f>
        <v>31.826666666666664</v>
      </c>
      <c r="M140" s="98" t="str">
        <f>IF(L140=" ", " ",IF(L140&gt;17,"PASS", "FAIL" ))</f>
        <v>PASS</v>
      </c>
    </row>
    <row r="141" spans="2:13" ht="16.5" customHeight="1" thickBot="1">
      <c r="B141" s="99"/>
      <c r="C141" s="102"/>
      <c r="D141" s="126"/>
      <c r="E141" s="99"/>
      <c r="F141" s="22">
        <v>8.17</v>
      </c>
      <c r="G141" s="99"/>
      <c r="H141" s="99"/>
      <c r="I141" s="16"/>
      <c r="J141" s="14">
        <f t="shared" ref="J141:J142" si="20">K141*22.5</f>
        <v>716.4</v>
      </c>
      <c r="K141" s="32">
        <v>31.84</v>
      </c>
      <c r="L141" s="105"/>
      <c r="M141" s="99"/>
    </row>
    <row r="142" spans="2:13" ht="16.5" customHeight="1" thickBot="1">
      <c r="B142" s="100"/>
      <c r="C142" s="103"/>
      <c r="D142" s="127"/>
      <c r="E142" s="100"/>
      <c r="F142" s="13">
        <v>8.1999999999999993</v>
      </c>
      <c r="G142" s="100"/>
      <c r="H142" s="100"/>
      <c r="I142" s="19"/>
      <c r="J142" s="14">
        <f t="shared" si="20"/>
        <v>725.40000000000009</v>
      </c>
      <c r="K142" s="33">
        <v>32.24</v>
      </c>
      <c r="L142" s="106"/>
      <c r="M142" s="100"/>
    </row>
    <row r="143" spans="2:13" ht="16.5" customHeight="1">
      <c r="B143" s="98">
        <v>24</v>
      </c>
      <c r="C143" s="102">
        <v>46040</v>
      </c>
      <c r="D143" s="125" t="s">
        <v>50</v>
      </c>
      <c r="E143" s="98" t="s">
        <v>44</v>
      </c>
      <c r="F143" s="4">
        <v>8.25</v>
      </c>
      <c r="G143" s="101">
        <f>C143+7</f>
        <v>46047</v>
      </c>
      <c r="H143" s="101">
        <f>C143+28</f>
        <v>46068</v>
      </c>
      <c r="I143" s="5">
        <v>425</v>
      </c>
      <c r="J143" s="5"/>
      <c r="K143" s="24">
        <f>I143/22.5</f>
        <v>18.888888888888889</v>
      </c>
      <c r="L143" s="104">
        <f>AVERAGE(K143:K145)</f>
        <v>18.444444444444446</v>
      </c>
      <c r="M143" s="98" t="str">
        <f>IF(L143=" ", " ",IF(L143&gt;17,"PASS", "FAIL" ))</f>
        <v>PASS</v>
      </c>
    </row>
    <row r="144" spans="2:13" ht="16.5" customHeight="1">
      <c r="B144" s="99"/>
      <c r="C144" s="102"/>
      <c r="D144" s="126"/>
      <c r="E144" s="99"/>
      <c r="F144" s="7">
        <v>8.1</v>
      </c>
      <c r="G144" s="99"/>
      <c r="H144" s="99"/>
      <c r="I144" s="8">
        <v>400</v>
      </c>
      <c r="J144" s="8"/>
      <c r="K144" s="25">
        <f>I144/22.5</f>
        <v>17.777777777777779</v>
      </c>
      <c r="L144" s="105"/>
      <c r="M144" s="99"/>
    </row>
    <row r="145" spans="2:13" ht="16.5" customHeight="1" thickBot="1">
      <c r="B145" s="99"/>
      <c r="C145" s="102"/>
      <c r="D145" s="126"/>
      <c r="E145" s="99"/>
      <c r="F145" s="10">
        <v>8.3000000000000007</v>
      </c>
      <c r="G145" s="99"/>
      <c r="H145" s="99"/>
      <c r="I145" s="11">
        <v>420</v>
      </c>
      <c r="J145" s="11"/>
      <c r="K145" s="26">
        <f>I145/22.5</f>
        <v>18.666666666666668</v>
      </c>
      <c r="L145" s="106"/>
      <c r="M145" s="100"/>
    </row>
    <row r="146" spans="2:13" ht="16.5" customHeight="1" thickBot="1">
      <c r="B146" s="99"/>
      <c r="C146" s="102"/>
      <c r="D146" s="126"/>
      <c r="E146" s="99"/>
      <c r="F146" s="21">
        <v>8.24</v>
      </c>
      <c r="G146" s="99"/>
      <c r="H146" s="99"/>
      <c r="I146" s="14"/>
      <c r="J146" s="14">
        <f>K146*22.5</f>
        <v>689.85</v>
      </c>
      <c r="K146" s="31">
        <v>30.66</v>
      </c>
      <c r="L146" s="104">
        <f>AVERAGE(K146:K148)</f>
        <v>30.873333333333335</v>
      </c>
      <c r="M146" s="98" t="str">
        <f>IF(L146=" ", " ",IF(L146&gt;17,"PASS", "FAIL" ))</f>
        <v>PASS</v>
      </c>
    </row>
    <row r="147" spans="2:13" ht="16.5" customHeight="1" thickBot="1">
      <c r="B147" s="99"/>
      <c r="C147" s="102"/>
      <c r="D147" s="126"/>
      <c r="E147" s="99"/>
      <c r="F147" s="22">
        <v>8.24</v>
      </c>
      <c r="G147" s="99"/>
      <c r="H147" s="99"/>
      <c r="I147" s="16"/>
      <c r="J147" s="14">
        <f t="shared" ref="J147:J148" si="21">K147*22.5</f>
        <v>692.55000000000007</v>
      </c>
      <c r="K147" s="32">
        <v>30.78</v>
      </c>
      <c r="L147" s="105"/>
      <c r="M147" s="99"/>
    </row>
    <row r="148" spans="2:13" ht="16.5" customHeight="1" thickBot="1">
      <c r="B148" s="100"/>
      <c r="C148" s="103"/>
      <c r="D148" s="127"/>
      <c r="E148" s="100"/>
      <c r="F148" s="13">
        <v>8.08</v>
      </c>
      <c r="G148" s="100"/>
      <c r="H148" s="100"/>
      <c r="I148" s="19"/>
      <c r="J148" s="14">
        <f t="shared" si="21"/>
        <v>701.55</v>
      </c>
      <c r="K148" s="33">
        <v>31.18</v>
      </c>
      <c r="L148" s="106"/>
      <c r="M148" s="100"/>
    </row>
    <row r="149" spans="2:13" ht="16.5" customHeight="1">
      <c r="B149" s="98">
        <v>25</v>
      </c>
      <c r="C149" s="102">
        <v>46041</v>
      </c>
      <c r="D149" s="125" t="s">
        <v>51</v>
      </c>
      <c r="E149" s="98" t="s">
        <v>44</v>
      </c>
      <c r="F149" s="4">
        <v>7.99</v>
      </c>
      <c r="G149" s="101">
        <f>C149+7</f>
        <v>46048</v>
      </c>
      <c r="H149" s="101">
        <f>C149+28</f>
        <v>46069</v>
      </c>
      <c r="I149" s="5">
        <v>460</v>
      </c>
      <c r="J149" s="5"/>
      <c r="K149" s="24">
        <f>I149/22.5</f>
        <v>20.444444444444443</v>
      </c>
      <c r="L149" s="104">
        <f>AVERAGE(K149:K151)</f>
        <v>19.555555555555557</v>
      </c>
      <c r="M149" s="98" t="str">
        <f>IF(L149=" ", " ",IF(L149&gt;17,"PASS", "FAIL" ))</f>
        <v>PASS</v>
      </c>
    </row>
    <row r="150" spans="2:13" ht="16.5" customHeight="1">
      <c r="B150" s="99"/>
      <c r="C150" s="102"/>
      <c r="D150" s="126"/>
      <c r="E150" s="99"/>
      <c r="F150" s="7">
        <v>8.1</v>
      </c>
      <c r="G150" s="99"/>
      <c r="H150" s="99"/>
      <c r="I150" s="8">
        <v>440</v>
      </c>
      <c r="J150" s="8"/>
      <c r="K150" s="25">
        <f>I150/22.5</f>
        <v>19.555555555555557</v>
      </c>
      <c r="L150" s="105"/>
      <c r="M150" s="99"/>
    </row>
    <row r="151" spans="2:13" ht="16.5" customHeight="1" thickBot="1">
      <c r="B151" s="99"/>
      <c r="C151" s="102"/>
      <c r="D151" s="126"/>
      <c r="E151" s="99"/>
      <c r="F151" s="10">
        <v>8.2200000000000006</v>
      </c>
      <c r="G151" s="99"/>
      <c r="H151" s="99"/>
      <c r="I151" s="11">
        <v>420</v>
      </c>
      <c r="J151" s="11"/>
      <c r="K151" s="26">
        <f>I151/22.5</f>
        <v>18.666666666666668</v>
      </c>
      <c r="L151" s="106"/>
      <c r="M151" s="100"/>
    </row>
    <row r="152" spans="2:13" ht="16.5" customHeight="1" thickBot="1">
      <c r="B152" s="99"/>
      <c r="C152" s="102"/>
      <c r="D152" s="126"/>
      <c r="E152" s="99"/>
      <c r="F152" s="21">
        <v>8.11</v>
      </c>
      <c r="G152" s="99"/>
      <c r="H152" s="99"/>
      <c r="I152" s="14"/>
      <c r="J152" s="14">
        <f>22.5*K152</f>
        <v>735.75000000000011</v>
      </c>
      <c r="K152" s="31">
        <v>32.700000000000003</v>
      </c>
      <c r="L152" s="104">
        <f>AVERAGE(K152:K154)</f>
        <v>31.093333333333334</v>
      </c>
      <c r="M152" s="98" t="str">
        <f>IF(L152=" ", " ",IF(L152&gt;17,"PASS", "FAIL" ))</f>
        <v>PASS</v>
      </c>
    </row>
    <row r="153" spans="2:13" ht="16.5" customHeight="1" thickBot="1">
      <c r="B153" s="99"/>
      <c r="C153" s="102"/>
      <c r="D153" s="126"/>
      <c r="E153" s="99"/>
      <c r="F153" s="22">
        <v>7.99</v>
      </c>
      <c r="G153" s="99"/>
      <c r="H153" s="99"/>
      <c r="I153" s="16"/>
      <c r="J153" s="14">
        <f t="shared" ref="J153:J154" si="22">22.5*K153</f>
        <v>670.5</v>
      </c>
      <c r="K153" s="32">
        <v>29.8</v>
      </c>
      <c r="L153" s="105"/>
      <c r="M153" s="99"/>
    </row>
    <row r="154" spans="2:13" ht="16.5" customHeight="1" thickBot="1">
      <c r="B154" s="100"/>
      <c r="C154" s="103"/>
      <c r="D154" s="127"/>
      <c r="E154" s="100"/>
      <c r="F154" s="13">
        <v>8.0399999999999991</v>
      </c>
      <c r="G154" s="100"/>
      <c r="H154" s="100"/>
      <c r="I154" s="19"/>
      <c r="J154" s="14">
        <f t="shared" si="22"/>
        <v>692.55000000000007</v>
      </c>
      <c r="K154" s="33">
        <v>30.78</v>
      </c>
      <c r="L154" s="106"/>
      <c r="M154" s="100"/>
    </row>
    <row r="155" spans="2:13" ht="16.5" customHeight="1">
      <c r="B155" s="98">
        <v>26</v>
      </c>
      <c r="C155" s="102">
        <v>46042</v>
      </c>
      <c r="D155" s="125" t="s">
        <v>52</v>
      </c>
      <c r="E155" s="98" t="s">
        <v>44</v>
      </c>
      <c r="F155" s="4">
        <v>8.2799999999999994</v>
      </c>
      <c r="G155" s="101">
        <f>C155+7</f>
        <v>46049</v>
      </c>
      <c r="H155" s="101">
        <f>C155+28</f>
        <v>46070</v>
      </c>
      <c r="I155" s="5">
        <v>400</v>
      </c>
      <c r="J155" s="5"/>
      <c r="K155" s="24">
        <f>I155/22.5</f>
        <v>17.777777777777779</v>
      </c>
      <c r="L155" s="104">
        <f>AVERAGE(K155:K157)</f>
        <v>18.37037037037037</v>
      </c>
      <c r="M155" s="98" t="str">
        <f>IF(L155=" ", " ",IF(L155&gt;17,"PASS", "FAIL" ))</f>
        <v>PASS</v>
      </c>
    </row>
    <row r="156" spans="2:13" ht="16.5" customHeight="1">
      <c r="B156" s="99"/>
      <c r="C156" s="102"/>
      <c r="D156" s="126"/>
      <c r="E156" s="99"/>
      <c r="F156" s="7">
        <v>8.16</v>
      </c>
      <c r="G156" s="99"/>
      <c r="H156" s="99"/>
      <c r="I156" s="8">
        <v>410</v>
      </c>
      <c r="J156" s="8"/>
      <c r="K156" s="25">
        <f>I156/22.5</f>
        <v>18.222222222222221</v>
      </c>
      <c r="L156" s="105"/>
      <c r="M156" s="99"/>
    </row>
    <row r="157" spans="2:13" ht="16.5" customHeight="1" thickBot="1">
      <c r="B157" s="99"/>
      <c r="C157" s="102"/>
      <c r="D157" s="126"/>
      <c r="E157" s="99"/>
      <c r="F157" s="10">
        <v>8.1999999999999993</v>
      </c>
      <c r="G157" s="99"/>
      <c r="H157" s="99"/>
      <c r="I157" s="11">
        <v>430</v>
      </c>
      <c r="J157" s="11"/>
      <c r="K157" s="26">
        <f>I157/22.5</f>
        <v>19.111111111111111</v>
      </c>
      <c r="L157" s="106"/>
      <c r="M157" s="100"/>
    </row>
    <row r="158" spans="2:13" ht="16.5" customHeight="1" thickBot="1">
      <c r="B158" s="99"/>
      <c r="C158" s="102"/>
      <c r="D158" s="126"/>
      <c r="E158" s="99"/>
      <c r="F158" s="21">
        <v>8.0399999999999991</v>
      </c>
      <c r="G158" s="99"/>
      <c r="H158" s="99"/>
      <c r="I158" s="14">
        <f>K158*22.5</f>
        <v>771.74999999999989</v>
      </c>
      <c r="J158" s="14"/>
      <c r="K158" s="31">
        <v>34.299999999999997</v>
      </c>
      <c r="L158" s="104">
        <f>AVERAGE(K158:K160)</f>
        <v>31.966666666666669</v>
      </c>
      <c r="M158" s="98" t="str">
        <f>IF(L158=" ", " ",IF(L158&gt;17,"PASS", "FAIL" ))</f>
        <v>PASS</v>
      </c>
    </row>
    <row r="159" spans="2:13" ht="16.5" customHeight="1" thickBot="1">
      <c r="B159" s="99"/>
      <c r="C159" s="102"/>
      <c r="D159" s="126"/>
      <c r="E159" s="99"/>
      <c r="F159" s="22">
        <v>8.06</v>
      </c>
      <c r="G159" s="99"/>
      <c r="H159" s="99"/>
      <c r="I159" s="14">
        <f t="shared" ref="I159:I160" si="23">K159*22.5</f>
        <v>722.25</v>
      </c>
      <c r="J159" s="16"/>
      <c r="K159" s="32">
        <v>32.1</v>
      </c>
      <c r="L159" s="105"/>
      <c r="M159" s="99"/>
    </row>
    <row r="160" spans="2:13" ht="16.5" customHeight="1" thickBot="1">
      <c r="B160" s="100"/>
      <c r="C160" s="103"/>
      <c r="D160" s="127"/>
      <c r="E160" s="100"/>
      <c r="F160" s="13">
        <v>8.19</v>
      </c>
      <c r="G160" s="100"/>
      <c r="H160" s="100"/>
      <c r="I160" s="14">
        <f t="shared" si="23"/>
        <v>663.75</v>
      </c>
      <c r="J160" s="19"/>
      <c r="K160" s="33">
        <v>29.5</v>
      </c>
      <c r="L160" s="106"/>
      <c r="M160" s="100"/>
    </row>
    <row r="161" spans="2:13" ht="16.5" customHeight="1">
      <c r="B161" s="98">
        <v>27</v>
      </c>
      <c r="C161" s="102">
        <v>46043</v>
      </c>
      <c r="D161" s="125" t="s">
        <v>53</v>
      </c>
      <c r="E161" s="98" t="s">
        <v>44</v>
      </c>
      <c r="F161" s="4">
        <v>7.98</v>
      </c>
      <c r="G161" s="101">
        <f>C161+7</f>
        <v>46050</v>
      </c>
      <c r="H161" s="101">
        <f>C161+28</f>
        <v>46071</v>
      </c>
      <c r="I161" s="5">
        <v>430</v>
      </c>
      <c r="J161" s="5"/>
      <c r="K161" s="24">
        <f>I161/22.5</f>
        <v>19.111111111111111</v>
      </c>
      <c r="L161" s="104">
        <f>AVERAGE(K161:K163)</f>
        <v>18.666666666666668</v>
      </c>
      <c r="M161" s="98" t="str">
        <f>IF(L161=" ", " ",IF(L161&gt;17,"PASS", "FAIL" ))</f>
        <v>PASS</v>
      </c>
    </row>
    <row r="162" spans="2:13" ht="16.5" customHeight="1">
      <c r="B162" s="99"/>
      <c r="C162" s="102"/>
      <c r="D162" s="126"/>
      <c r="E162" s="99"/>
      <c r="F162" s="7">
        <v>8.1199999999999992</v>
      </c>
      <c r="G162" s="99"/>
      <c r="H162" s="99"/>
      <c r="I162" s="8">
        <v>420</v>
      </c>
      <c r="J162" s="8"/>
      <c r="K162" s="25">
        <f>I162/22.5</f>
        <v>18.666666666666668</v>
      </c>
      <c r="L162" s="105"/>
      <c r="M162" s="99"/>
    </row>
    <row r="163" spans="2:13" ht="16.5" customHeight="1" thickBot="1">
      <c r="B163" s="99"/>
      <c r="C163" s="102"/>
      <c r="D163" s="126"/>
      <c r="E163" s="99"/>
      <c r="F163" s="10">
        <v>8.1999999999999993</v>
      </c>
      <c r="G163" s="99"/>
      <c r="H163" s="99"/>
      <c r="I163" s="11">
        <v>410</v>
      </c>
      <c r="J163" s="11"/>
      <c r="K163" s="26">
        <f>I163/22.5</f>
        <v>18.222222222222221</v>
      </c>
      <c r="L163" s="106"/>
      <c r="M163" s="100"/>
    </row>
    <row r="164" spans="2:13" ht="16.5" customHeight="1" thickBot="1">
      <c r="B164" s="99"/>
      <c r="C164" s="102"/>
      <c r="D164" s="126"/>
      <c r="E164" s="99"/>
      <c r="F164" s="21">
        <v>7.97</v>
      </c>
      <c r="G164" s="99"/>
      <c r="H164" s="99"/>
      <c r="I164" s="14"/>
      <c r="J164" s="14">
        <f>22.5*K164</f>
        <v>724.50000000000011</v>
      </c>
      <c r="K164" s="31">
        <v>32.200000000000003</v>
      </c>
      <c r="L164" s="104">
        <f>AVERAGE(K164:K166)</f>
        <v>31.860000000000003</v>
      </c>
      <c r="M164" s="98" t="str">
        <f>IF(L164=" ", " ",IF(L164&gt;17,"PASS", "FAIL" ))</f>
        <v>PASS</v>
      </c>
    </row>
    <row r="165" spans="2:13" ht="16.5" customHeight="1" thickBot="1">
      <c r="B165" s="99"/>
      <c r="C165" s="102"/>
      <c r="D165" s="126"/>
      <c r="E165" s="99"/>
      <c r="F165" s="22">
        <v>7.85</v>
      </c>
      <c r="G165" s="99"/>
      <c r="H165" s="99"/>
      <c r="I165" s="16"/>
      <c r="J165" s="14">
        <f t="shared" ref="J165:J166" si="24">22.5*K165</f>
        <v>700.2</v>
      </c>
      <c r="K165" s="32">
        <v>31.12</v>
      </c>
      <c r="L165" s="105"/>
      <c r="M165" s="99"/>
    </row>
    <row r="166" spans="2:13" ht="15.75" customHeight="1" thickBot="1">
      <c r="B166" s="100"/>
      <c r="C166" s="103"/>
      <c r="D166" s="127"/>
      <c r="E166" s="100"/>
      <c r="F166" s="13">
        <v>8.0399999999999991</v>
      </c>
      <c r="G166" s="100"/>
      <c r="H166" s="100"/>
      <c r="I166" s="19"/>
      <c r="J166" s="14">
        <f t="shared" si="24"/>
        <v>725.84999999999991</v>
      </c>
      <c r="K166" s="33">
        <v>32.26</v>
      </c>
      <c r="L166" s="106"/>
      <c r="M166" s="100"/>
    </row>
    <row r="167" spans="2:13" ht="16.5" customHeight="1" thickBot="1">
      <c r="B167" s="98">
        <v>29</v>
      </c>
      <c r="C167" s="102">
        <v>46046</v>
      </c>
      <c r="D167" s="125" t="s">
        <v>43</v>
      </c>
      <c r="E167" s="98" t="s">
        <v>44</v>
      </c>
      <c r="F167" s="4">
        <v>7.98</v>
      </c>
      <c r="G167" s="101">
        <f>C167+7</f>
        <v>46053</v>
      </c>
      <c r="H167" s="101">
        <f>C167+28</f>
        <v>46074</v>
      </c>
      <c r="I167" s="5">
        <f>K167*22.5</f>
        <v>506.25</v>
      </c>
      <c r="J167" s="5"/>
      <c r="K167" s="24">
        <v>22.5</v>
      </c>
      <c r="L167" s="104">
        <f>AVERAGE(K167:K169)</f>
        <v>22</v>
      </c>
      <c r="M167" s="98" t="str">
        <f>IF(L167=" ", " ",IF(L167&gt;17,"PASS", "FAIL" ))</f>
        <v>PASS</v>
      </c>
    </row>
    <row r="168" spans="2:13" ht="16.5" customHeight="1" thickBot="1">
      <c r="B168" s="99"/>
      <c r="C168" s="102"/>
      <c r="D168" s="126"/>
      <c r="E168" s="99"/>
      <c r="F168" s="7">
        <v>7.88</v>
      </c>
      <c r="G168" s="99"/>
      <c r="H168" s="99"/>
      <c r="I168" s="5">
        <f t="shared" ref="I168:I169" si="25">K168*22.5</f>
        <v>517.5</v>
      </c>
      <c r="J168" s="8"/>
      <c r="K168" s="25">
        <v>23</v>
      </c>
      <c r="L168" s="105"/>
      <c r="M168" s="99"/>
    </row>
    <row r="169" spans="2:13" ht="16.5" customHeight="1" thickBot="1">
      <c r="B169" s="99"/>
      <c r="C169" s="102"/>
      <c r="D169" s="126"/>
      <c r="E169" s="99"/>
      <c r="F169" s="10">
        <v>8</v>
      </c>
      <c r="G169" s="99"/>
      <c r="H169" s="99"/>
      <c r="I169" s="5">
        <f t="shared" si="25"/>
        <v>461.25</v>
      </c>
      <c r="J169" s="11"/>
      <c r="K169" s="26">
        <v>20.5</v>
      </c>
      <c r="L169" s="106"/>
      <c r="M169" s="100"/>
    </row>
    <row r="170" spans="2:13" ht="16.5" customHeight="1" thickBot="1">
      <c r="B170" s="99"/>
      <c r="C170" s="102"/>
      <c r="D170" s="126"/>
      <c r="E170" s="99"/>
      <c r="F170" s="21">
        <v>8.07</v>
      </c>
      <c r="G170" s="99"/>
      <c r="H170" s="99"/>
      <c r="I170" s="14"/>
      <c r="J170" s="14">
        <f>22.5*K170</f>
        <v>750.15000000000009</v>
      </c>
      <c r="K170" s="31">
        <v>33.340000000000003</v>
      </c>
      <c r="L170" s="104">
        <f>AVERAGE(K170:K172)</f>
        <v>33.196666666666665</v>
      </c>
      <c r="M170" s="98" t="str">
        <f>IF(L170=" ", " ",IF(L170&gt;17,"PASS", "FAIL" ))</f>
        <v>PASS</v>
      </c>
    </row>
    <row r="171" spans="2:13" ht="16.5" customHeight="1" thickBot="1">
      <c r="B171" s="99"/>
      <c r="C171" s="102"/>
      <c r="D171" s="126"/>
      <c r="E171" s="99"/>
      <c r="F171" s="22">
        <v>7.97</v>
      </c>
      <c r="G171" s="99"/>
      <c r="H171" s="99"/>
      <c r="I171" s="16"/>
      <c r="J171" s="14">
        <f t="shared" ref="J171:J172" si="26">22.5*K171</f>
        <v>741.37500000000011</v>
      </c>
      <c r="K171" s="32">
        <v>32.950000000000003</v>
      </c>
      <c r="L171" s="105"/>
      <c r="M171" s="99"/>
    </row>
    <row r="172" spans="2:13" ht="16.5" customHeight="1" thickBot="1">
      <c r="B172" s="100"/>
      <c r="C172" s="103"/>
      <c r="D172" s="127"/>
      <c r="E172" s="100"/>
      <c r="F172" s="13">
        <v>7.88</v>
      </c>
      <c r="G172" s="100"/>
      <c r="H172" s="100"/>
      <c r="I172" s="19"/>
      <c r="J172" s="14">
        <f t="shared" si="26"/>
        <v>749.24999999999989</v>
      </c>
      <c r="K172" s="33">
        <v>33.299999999999997</v>
      </c>
      <c r="L172" s="106"/>
      <c r="M172" s="100"/>
    </row>
    <row r="173" spans="2:13" ht="16.5" customHeight="1" thickBot="1">
      <c r="B173" s="98">
        <v>30</v>
      </c>
      <c r="C173" s="102">
        <v>46049</v>
      </c>
      <c r="D173" s="125" t="s">
        <v>45</v>
      </c>
      <c r="E173" s="98" t="s">
        <v>44</v>
      </c>
      <c r="F173" s="4">
        <v>8.1</v>
      </c>
      <c r="G173" s="101">
        <f>C173+7</f>
        <v>46056</v>
      </c>
      <c r="H173" s="101">
        <f>C173+28</f>
        <v>46077</v>
      </c>
      <c r="I173" s="5">
        <f>K173*22.5</f>
        <v>488.25</v>
      </c>
      <c r="J173" s="5"/>
      <c r="K173" s="24">
        <v>21.7</v>
      </c>
      <c r="L173" s="104">
        <f>AVERAGE(K173:K175)</f>
        <v>22.5</v>
      </c>
      <c r="M173" s="98" t="str">
        <f>IF(L173=" ", " ",IF(L173&gt;17,"PASS", "FAIL" ))</f>
        <v>PASS</v>
      </c>
    </row>
    <row r="174" spans="2:13" ht="16.5" customHeight="1" thickBot="1">
      <c r="B174" s="99"/>
      <c r="C174" s="102"/>
      <c r="D174" s="126"/>
      <c r="E174" s="99"/>
      <c r="F174" s="7">
        <v>8.0500000000000007</v>
      </c>
      <c r="G174" s="99"/>
      <c r="H174" s="99"/>
      <c r="I174" s="5">
        <f t="shared" ref="I174:I175" si="27">K174*22.5</f>
        <v>528.75</v>
      </c>
      <c r="J174" s="8"/>
      <c r="K174" s="25">
        <v>23.5</v>
      </c>
      <c r="L174" s="105"/>
      <c r="M174" s="99"/>
    </row>
    <row r="175" spans="2:13" ht="16.5" customHeight="1" thickBot="1">
      <c r="B175" s="99"/>
      <c r="C175" s="102"/>
      <c r="D175" s="126"/>
      <c r="E175" s="99"/>
      <c r="F175" s="10">
        <v>7.95</v>
      </c>
      <c r="G175" s="99"/>
      <c r="H175" s="99"/>
      <c r="I175" s="5">
        <f t="shared" si="27"/>
        <v>501.75</v>
      </c>
      <c r="J175" s="11"/>
      <c r="K175" s="26">
        <v>22.3</v>
      </c>
      <c r="L175" s="106"/>
      <c r="M175" s="100"/>
    </row>
    <row r="176" spans="2:13" ht="16.5" customHeight="1" thickBot="1">
      <c r="B176" s="99"/>
      <c r="C176" s="102"/>
      <c r="D176" s="126"/>
      <c r="E176" s="99"/>
      <c r="F176" s="21">
        <v>8.3800000000000008</v>
      </c>
      <c r="G176" s="99"/>
      <c r="H176" s="99"/>
      <c r="I176" s="14"/>
      <c r="J176" s="14">
        <f>22.5*K176</f>
        <v>725.40000000000009</v>
      </c>
      <c r="K176" s="31">
        <v>32.24</v>
      </c>
      <c r="L176" s="104">
        <f>AVERAGE(K176:K178)</f>
        <v>32.376666666666665</v>
      </c>
      <c r="M176" s="98" t="str">
        <f>IF(L176=" ", " ",IF(L176&gt;17,"PASS", "FAIL" ))</f>
        <v>PASS</v>
      </c>
    </row>
    <row r="177" spans="2:13" ht="16.5" customHeight="1" thickBot="1">
      <c r="B177" s="99"/>
      <c r="C177" s="102"/>
      <c r="D177" s="126"/>
      <c r="E177" s="99"/>
      <c r="F177" s="22">
        <v>8.18</v>
      </c>
      <c r="G177" s="99"/>
      <c r="H177" s="99"/>
      <c r="I177" s="16"/>
      <c r="J177" s="14">
        <f t="shared" ref="J177:J178" si="28">22.5*K177</f>
        <v>719.55</v>
      </c>
      <c r="K177" s="32">
        <v>31.98</v>
      </c>
      <c r="L177" s="105"/>
      <c r="M177" s="99"/>
    </row>
    <row r="178" spans="2:13" ht="16.5" customHeight="1" thickBot="1">
      <c r="B178" s="100"/>
      <c r="C178" s="103"/>
      <c r="D178" s="127"/>
      <c r="E178" s="100"/>
      <c r="F178" s="13">
        <v>8.17</v>
      </c>
      <c r="G178" s="100"/>
      <c r="H178" s="100"/>
      <c r="I178" s="19"/>
      <c r="J178" s="14">
        <f t="shared" si="28"/>
        <v>740.47499999999991</v>
      </c>
      <c r="K178" s="33">
        <v>32.909999999999997</v>
      </c>
      <c r="L178" s="106"/>
      <c r="M178" s="100"/>
    </row>
    <row r="179" spans="2:13" ht="23.45" customHeight="1" thickBot="1">
      <c r="B179" s="98">
        <v>28</v>
      </c>
      <c r="C179" s="102">
        <v>46051</v>
      </c>
      <c r="D179" s="125" t="s">
        <v>54</v>
      </c>
      <c r="E179" s="98" t="s">
        <v>44</v>
      </c>
      <c r="F179" s="4">
        <v>7.88</v>
      </c>
      <c r="G179" s="101">
        <f>C179+7</f>
        <v>46058</v>
      </c>
      <c r="H179" s="101">
        <f>C179+28</f>
        <v>46079</v>
      </c>
      <c r="I179" s="5">
        <f>K179*22.5</f>
        <v>501.75</v>
      </c>
      <c r="J179" s="5"/>
      <c r="K179" s="24">
        <v>22.3</v>
      </c>
      <c r="L179" s="104">
        <f>AVERAGE(K179:K181)</f>
        <v>21.97666666666667</v>
      </c>
      <c r="M179" s="98" t="str">
        <f>IF(L179=" ", " ",IF(L179&gt;17,"PASS", "FAIL" ))</f>
        <v>PASS</v>
      </c>
    </row>
    <row r="180" spans="2:13" ht="23.45" customHeight="1" thickBot="1">
      <c r="B180" s="99"/>
      <c r="C180" s="102"/>
      <c r="D180" s="126"/>
      <c r="E180" s="99"/>
      <c r="F180" s="7">
        <v>7.98</v>
      </c>
      <c r="G180" s="99"/>
      <c r="H180" s="99"/>
      <c r="I180" s="5">
        <f t="shared" ref="I180:I181" si="29">K180*22.5</f>
        <v>482.625</v>
      </c>
      <c r="J180" s="8"/>
      <c r="K180" s="25">
        <v>21.45</v>
      </c>
      <c r="L180" s="105"/>
      <c r="M180" s="99"/>
    </row>
    <row r="181" spans="2:13" ht="23.45" customHeight="1" thickBot="1">
      <c r="B181" s="99"/>
      <c r="C181" s="102"/>
      <c r="D181" s="126"/>
      <c r="E181" s="99"/>
      <c r="F181" s="10">
        <v>8.1</v>
      </c>
      <c r="G181" s="99"/>
      <c r="H181" s="99"/>
      <c r="I181" s="5">
        <f t="shared" si="29"/>
        <v>499.05</v>
      </c>
      <c r="J181" s="11"/>
      <c r="K181" s="26">
        <v>22.18</v>
      </c>
      <c r="L181" s="106"/>
      <c r="M181" s="100"/>
    </row>
    <row r="182" spans="2:13" ht="23.45" customHeight="1" thickBot="1">
      <c r="B182" s="99"/>
      <c r="C182" s="102"/>
      <c r="D182" s="126"/>
      <c r="E182" s="99"/>
      <c r="F182" s="21">
        <v>8.35</v>
      </c>
      <c r="G182" s="99"/>
      <c r="H182" s="99"/>
      <c r="I182" s="14"/>
      <c r="J182" s="14">
        <f>22.5*K182</f>
        <v>730.12500000000011</v>
      </c>
      <c r="K182" s="24">
        <v>32.450000000000003</v>
      </c>
      <c r="L182" s="104">
        <f>AVERAGE(K182:K184)</f>
        <v>31.583333333333332</v>
      </c>
      <c r="M182" s="98" t="str">
        <f>IF(L182=" ", " ",IF(L182&gt;17,"PASS", "FAIL" ))</f>
        <v>PASS</v>
      </c>
    </row>
    <row r="183" spans="2:13" ht="23.45" customHeight="1" thickBot="1">
      <c r="B183" s="99"/>
      <c r="C183" s="102"/>
      <c r="D183" s="126"/>
      <c r="E183" s="99"/>
      <c r="F183" s="22">
        <v>8.2349999999999994</v>
      </c>
      <c r="G183" s="99"/>
      <c r="H183" s="99"/>
      <c r="I183" s="16"/>
      <c r="J183" s="14">
        <f t="shared" ref="J183:J184" si="30">22.5*K183</f>
        <v>684.67499999999995</v>
      </c>
      <c r="K183" s="25">
        <v>30.43</v>
      </c>
      <c r="L183" s="105"/>
      <c r="M183" s="99"/>
    </row>
    <row r="184" spans="2:13" ht="23.45" customHeight="1" thickBot="1">
      <c r="B184" s="100"/>
      <c r="C184" s="103"/>
      <c r="D184" s="127"/>
      <c r="E184" s="100"/>
      <c r="F184" s="13">
        <v>8.07</v>
      </c>
      <c r="G184" s="100"/>
      <c r="H184" s="100"/>
      <c r="I184" s="19"/>
      <c r="J184" s="14">
        <f t="shared" si="30"/>
        <v>717.07500000000005</v>
      </c>
      <c r="K184" s="26">
        <v>31.87</v>
      </c>
      <c r="L184" s="106"/>
      <c r="M184" s="100"/>
    </row>
    <row r="185" spans="2:13" ht="16.5" customHeight="1" thickBot="1">
      <c r="B185" s="98">
        <v>29</v>
      </c>
      <c r="C185" s="102">
        <v>46052</v>
      </c>
      <c r="D185" s="125" t="s">
        <v>55</v>
      </c>
      <c r="E185" s="98" t="s">
        <v>44</v>
      </c>
      <c r="F185" s="21">
        <v>7.69</v>
      </c>
      <c r="G185" s="101">
        <f>C185+7</f>
        <v>46059</v>
      </c>
      <c r="H185" s="101">
        <f>C185+28</f>
        <v>46080</v>
      </c>
      <c r="I185" s="5">
        <f>K185*22.5</f>
        <v>519.75</v>
      </c>
      <c r="J185" s="5"/>
      <c r="K185" s="24">
        <v>23.1</v>
      </c>
      <c r="L185" s="104">
        <f>AVERAGE(K185:K187)</f>
        <v>22.74666666666667</v>
      </c>
      <c r="M185" s="98" t="str">
        <f>IF(L185=" ", " ",IF(L185&gt;17,"PASS", "FAIL" ))</f>
        <v>PASS</v>
      </c>
    </row>
    <row r="186" spans="2:13" ht="16.5" customHeight="1" thickBot="1">
      <c r="B186" s="99"/>
      <c r="C186" s="102"/>
      <c r="D186" s="126"/>
      <c r="E186" s="99"/>
      <c r="F186" s="22">
        <v>8.1300000000000008</v>
      </c>
      <c r="G186" s="99"/>
      <c r="H186" s="99"/>
      <c r="I186" s="5">
        <f>K186*22.5</f>
        <v>505.57499999999999</v>
      </c>
      <c r="J186" s="8"/>
      <c r="K186" s="25">
        <v>22.47</v>
      </c>
      <c r="L186" s="105"/>
      <c r="M186" s="99"/>
    </row>
    <row r="187" spans="2:13" ht="16.5" customHeight="1" thickBot="1">
      <c r="B187" s="99"/>
      <c r="C187" s="102"/>
      <c r="D187" s="126"/>
      <c r="E187" s="99"/>
      <c r="F187" s="23">
        <v>7.98</v>
      </c>
      <c r="G187" s="99"/>
      <c r="H187" s="99"/>
      <c r="I187" s="5">
        <f>K187*22.5</f>
        <v>510.07500000000005</v>
      </c>
      <c r="J187" s="11"/>
      <c r="K187" s="26">
        <v>22.67</v>
      </c>
      <c r="L187" s="106"/>
      <c r="M187" s="100"/>
    </row>
    <row r="188" spans="2:13" ht="16.5" customHeight="1" thickBot="1">
      <c r="B188" s="99"/>
      <c r="C188" s="102"/>
      <c r="D188" s="126"/>
      <c r="E188" s="99"/>
      <c r="F188" s="21">
        <v>7.97</v>
      </c>
      <c r="G188" s="99"/>
      <c r="H188" s="99"/>
      <c r="I188" s="14"/>
      <c r="J188" s="14">
        <f>K188*22.5</f>
        <v>735.3</v>
      </c>
      <c r="K188" s="14">
        <v>32.68</v>
      </c>
      <c r="L188" s="104">
        <f>AVERAGE(K188:K190)</f>
        <v>32.006666666666668</v>
      </c>
      <c r="M188" s="98" t="str">
        <f>IF(L188=" ", " ",IF(L188&gt;17,"PASS", "FAIL" ))</f>
        <v>PASS</v>
      </c>
    </row>
    <row r="189" spans="2:13" ht="16.5" customHeight="1" thickBot="1">
      <c r="B189" s="99"/>
      <c r="C189" s="102"/>
      <c r="D189" s="126"/>
      <c r="E189" s="99"/>
      <c r="F189" s="22">
        <v>8.01</v>
      </c>
      <c r="G189" s="99"/>
      <c r="H189" s="99"/>
      <c r="I189" s="16"/>
      <c r="J189" s="14">
        <f t="shared" ref="J189:J190" si="31">K189*22.5</f>
        <v>708.07499999999993</v>
      </c>
      <c r="K189" s="16">
        <v>31.47</v>
      </c>
      <c r="L189" s="105"/>
      <c r="M189" s="99"/>
    </row>
    <row r="190" spans="2:13" ht="16.5" customHeight="1" thickBot="1">
      <c r="B190" s="100"/>
      <c r="C190" s="103"/>
      <c r="D190" s="127"/>
      <c r="E190" s="100"/>
      <c r="F190" s="13">
        <v>8.2200000000000006</v>
      </c>
      <c r="G190" s="100"/>
      <c r="H190" s="100"/>
      <c r="I190" s="19"/>
      <c r="J190" s="14">
        <f t="shared" si="31"/>
        <v>717.07500000000005</v>
      </c>
      <c r="K190" s="19">
        <v>31.87</v>
      </c>
      <c r="L190" s="106"/>
      <c r="M190" s="100"/>
    </row>
    <row r="191" spans="2:13" ht="16.5" customHeight="1" thickBot="1">
      <c r="B191" s="98">
        <v>30</v>
      </c>
      <c r="C191" s="102">
        <v>46053</v>
      </c>
      <c r="D191" s="125" t="s">
        <v>56</v>
      </c>
      <c r="E191" s="98" t="s">
        <v>44</v>
      </c>
      <c r="F191" s="21">
        <v>7.88</v>
      </c>
      <c r="G191" s="101">
        <f>C191+7</f>
        <v>46060</v>
      </c>
      <c r="H191" s="101">
        <f>C191+28</f>
        <v>46081</v>
      </c>
      <c r="I191" s="5">
        <f>K191*22.5</f>
        <v>501.75</v>
      </c>
      <c r="J191" s="5"/>
      <c r="K191" s="6">
        <v>22.3</v>
      </c>
      <c r="L191" s="104">
        <f>AVERAGE(K191:K193)</f>
        <v>21.97666666666667</v>
      </c>
      <c r="M191" s="98" t="str">
        <f>IF(L191=" ", " ",IF(L191&gt;17,"PASS", "FAIL" ))</f>
        <v>PASS</v>
      </c>
    </row>
    <row r="192" spans="2:13" ht="16.5" customHeight="1" thickBot="1">
      <c r="B192" s="99"/>
      <c r="C192" s="102"/>
      <c r="D192" s="126"/>
      <c r="E192" s="99"/>
      <c r="F192" s="22">
        <v>7.77</v>
      </c>
      <c r="G192" s="99"/>
      <c r="H192" s="99"/>
      <c r="I192" s="5">
        <f t="shared" ref="I192:I193" si="32">K192*22.5</f>
        <v>482.625</v>
      </c>
      <c r="J192" s="8"/>
      <c r="K192" s="9">
        <v>21.45</v>
      </c>
      <c r="L192" s="105"/>
      <c r="M192" s="99"/>
    </row>
    <row r="193" spans="2:13" ht="16.5" customHeight="1" thickBot="1">
      <c r="B193" s="99"/>
      <c r="C193" s="102"/>
      <c r="D193" s="126"/>
      <c r="E193" s="99"/>
      <c r="F193" s="23">
        <v>7.8</v>
      </c>
      <c r="G193" s="99"/>
      <c r="H193" s="99"/>
      <c r="I193" s="5">
        <f t="shared" si="32"/>
        <v>499.05</v>
      </c>
      <c r="J193" s="11"/>
      <c r="K193" s="12">
        <v>22.18</v>
      </c>
      <c r="L193" s="106"/>
      <c r="M193" s="100"/>
    </row>
    <row r="194" spans="2:13" ht="16.5" customHeight="1" thickBot="1">
      <c r="B194" s="99"/>
      <c r="C194" s="102"/>
      <c r="D194" s="126"/>
      <c r="E194" s="99"/>
      <c r="F194" s="21">
        <v>8.11</v>
      </c>
      <c r="G194" s="99"/>
      <c r="H194" s="99"/>
      <c r="I194" s="14"/>
      <c r="J194" s="14">
        <f>22.5*K194</f>
        <v>731.25</v>
      </c>
      <c r="K194" s="31">
        <v>32.5</v>
      </c>
      <c r="L194" s="104">
        <f>AVERAGE(K194:K196)</f>
        <v>32.313333333333333</v>
      </c>
      <c r="M194" s="98" t="str">
        <f>IF(L194=" ", " ",IF(L194&gt;17,"PASS", "FAIL" ))</f>
        <v>PASS</v>
      </c>
    </row>
    <row r="195" spans="2:13" ht="16.5" customHeight="1" thickBot="1">
      <c r="B195" s="99"/>
      <c r="C195" s="102"/>
      <c r="D195" s="126"/>
      <c r="E195" s="99"/>
      <c r="F195" s="22">
        <v>7.98</v>
      </c>
      <c r="G195" s="99"/>
      <c r="H195" s="99"/>
      <c r="I195" s="16"/>
      <c r="J195" s="14">
        <f t="shared" ref="J195:J196" si="33">22.5*K195</f>
        <v>737.77499999999998</v>
      </c>
      <c r="K195" s="32">
        <v>32.79</v>
      </c>
      <c r="L195" s="105"/>
      <c r="M195" s="99"/>
    </row>
    <row r="196" spans="2:13" ht="15.75" customHeight="1" thickBot="1">
      <c r="B196" s="100"/>
      <c r="C196" s="103"/>
      <c r="D196" s="127"/>
      <c r="E196" s="100"/>
      <c r="F196" s="13">
        <v>8.1300000000000008</v>
      </c>
      <c r="G196" s="100"/>
      <c r="H196" s="100"/>
      <c r="I196" s="19"/>
      <c r="J196" s="14">
        <f t="shared" si="33"/>
        <v>712.125</v>
      </c>
      <c r="K196" s="33">
        <v>31.65</v>
      </c>
      <c r="L196" s="106"/>
      <c r="M196" s="100"/>
    </row>
    <row r="197" spans="2:13" ht="39" hidden="1" customHeight="1">
      <c r="B197" s="98">
        <v>30</v>
      </c>
      <c r="C197" s="102">
        <v>46053</v>
      </c>
      <c r="D197" s="125" t="s">
        <v>56</v>
      </c>
      <c r="E197" s="98" t="s">
        <v>44</v>
      </c>
      <c r="F197" s="21"/>
      <c r="G197" s="101">
        <f>C197+7</f>
        <v>46060</v>
      </c>
      <c r="H197" s="101">
        <f>C197+28</f>
        <v>46081</v>
      </c>
      <c r="I197" s="5"/>
      <c r="J197" s="5"/>
      <c r="K197" s="6"/>
      <c r="L197" s="154"/>
      <c r="M197" s="98"/>
    </row>
    <row r="198" spans="2:13" ht="16.5" hidden="1" customHeight="1">
      <c r="B198" s="99"/>
      <c r="C198" s="102"/>
      <c r="D198" s="126"/>
      <c r="E198" s="99"/>
      <c r="F198" s="23"/>
      <c r="G198" s="99"/>
      <c r="H198" s="99"/>
      <c r="I198" s="34"/>
      <c r="J198" s="34"/>
      <c r="K198" s="35"/>
      <c r="L198" s="155"/>
      <c r="M198" s="99"/>
    </row>
    <row r="199" spans="2:13" ht="16.5" customHeight="1" thickBot="1">
      <c r="B199" s="156">
        <v>31</v>
      </c>
      <c r="C199" s="159">
        <v>46054</v>
      </c>
      <c r="D199" s="162" t="s">
        <v>57</v>
      </c>
      <c r="E199" s="98" t="s">
        <v>44</v>
      </c>
      <c r="F199" s="42">
        <v>7.98</v>
      </c>
      <c r="G199" s="101">
        <f>C199+7</f>
        <v>46061</v>
      </c>
      <c r="H199" s="101">
        <f>C199+28</f>
        <v>46082</v>
      </c>
      <c r="I199" s="40">
        <f>22.5*K199</f>
        <v>510.3</v>
      </c>
      <c r="J199" s="5"/>
      <c r="K199" s="6">
        <v>22.68</v>
      </c>
      <c r="L199" s="104">
        <f>AVERAGE(K199:K201)</f>
        <v>22.310000000000002</v>
      </c>
      <c r="M199" s="98" t="str">
        <f>IF(L199=" ", " ",IF(L199&gt;17,"PASS", "FAIL" ))</f>
        <v>PASS</v>
      </c>
    </row>
    <row r="200" spans="2:13" ht="16.5" customHeight="1" thickBot="1">
      <c r="B200" s="157"/>
      <c r="C200" s="160"/>
      <c r="D200" s="163"/>
      <c r="E200" s="99"/>
      <c r="F200" s="43">
        <v>7.95</v>
      </c>
      <c r="G200" s="99"/>
      <c r="H200" s="99"/>
      <c r="I200" s="40">
        <f t="shared" ref="I200:I201" si="34">22.5*K200</f>
        <v>491.84999999999997</v>
      </c>
      <c r="J200" s="8"/>
      <c r="K200" s="9">
        <v>21.86</v>
      </c>
      <c r="L200" s="105"/>
      <c r="M200" s="99"/>
    </row>
    <row r="201" spans="2:13" ht="16.5" customHeight="1" thickBot="1">
      <c r="B201" s="157"/>
      <c r="C201" s="160"/>
      <c r="D201" s="163"/>
      <c r="E201" s="99"/>
      <c r="F201" s="43">
        <v>7.89</v>
      </c>
      <c r="G201" s="99"/>
      <c r="H201" s="99"/>
      <c r="I201" s="40">
        <f t="shared" si="34"/>
        <v>503.77500000000003</v>
      </c>
      <c r="J201" s="11"/>
      <c r="K201" s="12">
        <v>22.39</v>
      </c>
      <c r="L201" s="106"/>
      <c r="M201" s="100"/>
    </row>
    <row r="202" spans="2:13" ht="16.5" customHeight="1" thickBot="1">
      <c r="B202" s="157"/>
      <c r="C202" s="160"/>
      <c r="D202" s="163"/>
      <c r="E202" s="99"/>
      <c r="F202" s="43">
        <v>8.2200000000000006</v>
      </c>
      <c r="G202" s="99"/>
      <c r="H202" s="99"/>
      <c r="I202" s="41">
        <f>22.5*K202</f>
        <v>765</v>
      </c>
      <c r="J202" s="14"/>
      <c r="K202" s="31">
        <v>34</v>
      </c>
      <c r="L202" s="104">
        <f>AVERAGE(K202:K204)</f>
        <v>32.56</v>
      </c>
      <c r="M202" s="98" t="str">
        <f>IF(L202=" ", " ",IF(L202&gt;17,"PASS", "FAIL" ))</f>
        <v>PASS</v>
      </c>
    </row>
    <row r="203" spans="2:13" ht="16.5" customHeight="1" thickBot="1">
      <c r="B203" s="157"/>
      <c r="C203" s="160"/>
      <c r="D203" s="163"/>
      <c r="E203" s="99"/>
      <c r="F203" s="43">
        <v>7.99</v>
      </c>
      <c r="G203" s="99"/>
      <c r="H203" s="99"/>
      <c r="I203" s="41">
        <f t="shared" ref="I203:I204" si="35">22.5*K203</f>
        <v>727.65000000000009</v>
      </c>
      <c r="J203" s="16"/>
      <c r="K203" s="32">
        <v>32.340000000000003</v>
      </c>
      <c r="L203" s="105"/>
      <c r="M203" s="99"/>
    </row>
    <row r="204" spans="2:13" ht="16.5" customHeight="1" thickBot="1">
      <c r="B204" s="158"/>
      <c r="C204" s="161"/>
      <c r="D204" s="164"/>
      <c r="E204" s="100"/>
      <c r="F204" s="48">
        <v>8.3000000000000007</v>
      </c>
      <c r="G204" s="100"/>
      <c r="H204" s="100"/>
      <c r="I204" s="41">
        <f t="shared" si="35"/>
        <v>705.15</v>
      </c>
      <c r="J204" s="19"/>
      <c r="K204" s="33">
        <v>31.34</v>
      </c>
      <c r="L204" s="106"/>
      <c r="M204" s="100"/>
    </row>
    <row r="205" spans="2:13" ht="16.5" customHeight="1" thickBot="1">
      <c r="B205" s="107">
        <v>32</v>
      </c>
      <c r="C205" s="159">
        <v>46055</v>
      </c>
      <c r="D205" s="162" t="s">
        <v>58</v>
      </c>
      <c r="E205" s="98" t="s">
        <v>44</v>
      </c>
      <c r="F205" s="42">
        <v>8.1</v>
      </c>
      <c r="G205" s="101">
        <f>C205+7</f>
        <v>46062</v>
      </c>
      <c r="H205" s="101">
        <f t="shared" ref="H205" si="36">C205+28</f>
        <v>46083</v>
      </c>
      <c r="I205" s="5">
        <f>22.5*K205</f>
        <v>469.57500000000005</v>
      </c>
      <c r="J205" s="5"/>
      <c r="K205" s="6">
        <v>20.87</v>
      </c>
      <c r="L205" s="104">
        <f>AVERAGE(K205:K207)</f>
        <v>21.753333333333334</v>
      </c>
      <c r="M205" s="98" t="str">
        <f>IF(L205=" ", " ",IF(L205&gt;17,"PASS", "FAIL" ))</f>
        <v>PASS</v>
      </c>
    </row>
    <row r="206" spans="2:13" ht="16.5" customHeight="1" thickBot="1">
      <c r="B206" s="108"/>
      <c r="C206" s="160"/>
      <c r="D206" s="165"/>
      <c r="E206" s="99"/>
      <c r="F206" s="43">
        <v>7.99</v>
      </c>
      <c r="G206" s="99"/>
      <c r="H206" s="99"/>
      <c r="I206" s="5">
        <f t="shared" ref="I206:I210" si="37">22.5*K206</f>
        <v>513</v>
      </c>
      <c r="J206" s="8"/>
      <c r="K206" s="9">
        <v>22.8</v>
      </c>
      <c r="L206" s="105"/>
      <c r="M206" s="99"/>
    </row>
    <row r="207" spans="2:13" ht="16.5" customHeight="1" thickBot="1">
      <c r="B207" s="108"/>
      <c r="C207" s="160"/>
      <c r="D207" s="165"/>
      <c r="E207" s="99"/>
      <c r="F207" s="43">
        <v>7.8</v>
      </c>
      <c r="G207" s="99"/>
      <c r="H207" s="99"/>
      <c r="I207" s="5">
        <f t="shared" si="37"/>
        <v>485.77499999999998</v>
      </c>
      <c r="J207" s="11"/>
      <c r="K207" s="12">
        <v>21.59</v>
      </c>
      <c r="L207" s="106"/>
      <c r="M207" s="100"/>
    </row>
    <row r="208" spans="2:13" ht="16.5" customHeight="1">
      <c r="B208" s="108"/>
      <c r="C208" s="160"/>
      <c r="D208" s="165"/>
      <c r="E208" s="99"/>
      <c r="F208" s="44">
        <v>8.1</v>
      </c>
      <c r="G208" s="99"/>
      <c r="H208" s="99"/>
      <c r="I208" s="14">
        <f t="shared" si="37"/>
        <v>674.55</v>
      </c>
      <c r="J208" s="14"/>
      <c r="K208" s="31">
        <v>29.98</v>
      </c>
      <c r="L208" s="104">
        <f>AVERAGE(K208:K210)</f>
        <v>31.143333333333334</v>
      </c>
      <c r="M208" s="98" t="str">
        <f>IF(L208=" ", " ",IF(L208&gt;17,"PASS", "FAIL" ))</f>
        <v>PASS</v>
      </c>
    </row>
    <row r="209" spans="2:13" ht="16.5" customHeight="1">
      <c r="B209" s="108"/>
      <c r="C209" s="160"/>
      <c r="D209" s="165"/>
      <c r="E209" s="99"/>
      <c r="F209" s="44">
        <v>7.99</v>
      </c>
      <c r="G209" s="99"/>
      <c r="H209" s="99"/>
      <c r="I209" s="16">
        <f t="shared" si="37"/>
        <v>702.67499999999995</v>
      </c>
      <c r="J209" s="16"/>
      <c r="K209" s="32">
        <v>31.23</v>
      </c>
      <c r="L209" s="105"/>
      <c r="M209" s="99"/>
    </row>
    <row r="210" spans="2:13" ht="16.5" customHeight="1" thickBot="1">
      <c r="B210" s="109"/>
      <c r="C210" s="161"/>
      <c r="D210" s="166"/>
      <c r="E210" s="100"/>
      <c r="F210" s="45">
        <v>8.1999999999999993</v>
      </c>
      <c r="G210" s="100"/>
      <c r="H210" s="100"/>
      <c r="I210" s="19">
        <f t="shared" si="37"/>
        <v>724.94999999999993</v>
      </c>
      <c r="J210" s="19"/>
      <c r="K210" s="33">
        <v>32.22</v>
      </c>
      <c r="L210" s="106"/>
      <c r="M210" s="100"/>
    </row>
    <row r="211" spans="2:13" ht="16.5" customHeight="1" thickBot="1">
      <c r="B211" s="107">
        <v>33</v>
      </c>
      <c r="C211" s="159">
        <v>46060</v>
      </c>
      <c r="D211" s="162" t="s">
        <v>59</v>
      </c>
      <c r="E211" s="98" t="s">
        <v>44</v>
      </c>
      <c r="F211" s="42">
        <v>8.0500000000000007</v>
      </c>
      <c r="G211" s="101">
        <f>C211+7</f>
        <v>46067</v>
      </c>
      <c r="H211" s="101">
        <f t="shared" ref="H211:H229" si="38">C211+28</f>
        <v>46088</v>
      </c>
      <c r="I211" s="5">
        <f>K211*22.5</f>
        <v>493.42500000000001</v>
      </c>
      <c r="J211" s="5"/>
      <c r="K211" s="6">
        <v>21.93</v>
      </c>
      <c r="L211" s="104">
        <f>AVERAGE(K211:K213)</f>
        <v>21.923333333333336</v>
      </c>
      <c r="M211" s="98" t="str">
        <f>IF(L211=" ", " ",IF(L211&gt;17,"PASS", "FAIL" ))</f>
        <v>PASS</v>
      </c>
    </row>
    <row r="212" spans="2:13" ht="16.5" customHeight="1" thickBot="1">
      <c r="B212" s="108"/>
      <c r="C212" s="160"/>
      <c r="D212" s="165"/>
      <c r="E212" s="99"/>
      <c r="F212" s="43">
        <v>7.88</v>
      </c>
      <c r="G212" s="99"/>
      <c r="H212" s="99"/>
      <c r="I212" s="5">
        <f t="shared" ref="I212:I213" si="39">K212*22.5</f>
        <v>501.75</v>
      </c>
      <c r="J212" s="8"/>
      <c r="K212" s="9">
        <v>22.3</v>
      </c>
      <c r="L212" s="105"/>
      <c r="M212" s="99"/>
    </row>
    <row r="213" spans="2:13" ht="16.5" customHeight="1" thickBot="1">
      <c r="B213" s="108"/>
      <c r="C213" s="160"/>
      <c r="D213" s="165"/>
      <c r="E213" s="99"/>
      <c r="F213" s="43">
        <v>8.1300000000000008</v>
      </c>
      <c r="G213" s="99"/>
      <c r="H213" s="99"/>
      <c r="I213" s="5">
        <f t="shared" si="39"/>
        <v>484.65</v>
      </c>
      <c r="J213" s="11"/>
      <c r="K213" s="12">
        <v>21.54</v>
      </c>
      <c r="L213" s="106"/>
      <c r="M213" s="100"/>
    </row>
    <row r="214" spans="2:13" ht="16.5" customHeight="1" thickBot="1">
      <c r="B214" s="108"/>
      <c r="C214" s="160"/>
      <c r="D214" s="165"/>
      <c r="E214" s="99"/>
      <c r="F214" s="46">
        <v>8.07</v>
      </c>
      <c r="G214" s="99"/>
      <c r="H214" s="99"/>
      <c r="I214" s="14">
        <f>K214*22.5</f>
        <v>765</v>
      </c>
      <c r="J214" s="14"/>
      <c r="K214" s="31">
        <v>34</v>
      </c>
      <c r="L214" s="104">
        <f>AVERAGE(K214:K216)</f>
        <v>32.229999999999997</v>
      </c>
      <c r="M214" s="98" t="str">
        <f>IF(L214=" ", " ",IF(L214&gt;17,"PASS", "FAIL" ))</f>
        <v>PASS</v>
      </c>
    </row>
    <row r="215" spans="2:13" ht="16.5" customHeight="1" thickBot="1">
      <c r="B215" s="108"/>
      <c r="C215" s="160"/>
      <c r="D215" s="165"/>
      <c r="E215" s="99"/>
      <c r="F215" s="46">
        <v>8.23</v>
      </c>
      <c r="G215" s="99"/>
      <c r="H215" s="99"/>
      <c r="I215" s="14">
        <f t="shared" ref="I215:I216" si="40">K215*22.5</f>
        <v>737.99999999999989</v>
      </c>
      <c r="J215" s="16"/>
      <c r="K215" s="32">
        <v>32.799999999999997</v>
      </c>
      <c r="L215" s="105"/>
      <c r="M215" s="99"/>
    </row>
    <row r="216" spans="2:13" ht="16.5" customHeight="1" thickBot="1">
      <c r="B216" s="109"/>
      <c r="C216" s="161"/>
      <c r="D216" s="166"/>
      <c r="E216" s="100"/>
      <c r="F216" s="47">
        <v>8.1300000000000008</v>
      </c>
      <c r="G216" s="100"/>
      <c r="H216" s="100"/>
      <c r="I216" s="14">
        <f t="shared" si="40"/>
        <v>672.52499999999998</v>
      </c>
      <c r="J216" s="19"/>
      <c r="K216" s="33">
        <v>29.89</v>
      </c>
      <c r="L216" s="106"/>
      <c r="M216" s="100"/>
    </row>
    <row r="217" spans="2:13" ht="16.5" customHeight="1" thickBot="1">
      <c r="B217" s="107">
        <v>34</v>
      </c>
      <c r="C217" s="159">
        <v>46062</v>
      </c>
      <c r="D217" s="162" t="s">
        <v>59</v>
      </c>
      <c r="E217" s="98" t="s">
        <v>44</v>
      </c>
      <c r="F217" s="42">
        <v>7.83</v>
      </c>
      <c r="G217" s="101">
        <f t="shared" ref="G217" si="41">C217+7</f>
        <v>46069</v>
      </c>
      <c r="H217" s="101">
        <f t="shared" si="38"/>
        <v>46090</v>
      </c>
      <c r="I217" s="5">
        <f>K217*22.5</f>
        <v>540</v>
      </c>
      <c r="J217" s="5"/>
      <c r="K217" s="6">
        <v>24</v>
      </c>
      <c r="L217" s="104">
        <f>AVERAGE(K217:K219)</f>
        <v>22.966666666666669</v>
      </c>
      <c r="M217" s="98" t="str">
        <f>IF(L217=" ", " ",IF(L217&gt;17,"PASS", "FAIL" ))</f>
        <v>PASS</v>
      </c>
    </row>
    <row r="218" spans="2:13" ht="16.5" customHeight="1" thickBot="1">
      <c r="B218" s="108"/>
      <c r="C218" s="160"/>
      <c r="D218" s="165"/>
      <c r="E218" s="99"/>
      <c r="F218" s="43">
        <v>7.9</v>
      </c>
      <c r="G218" s="99"/>
      <c r="H218" s="99"/>
      <c r="I218" s="5">
        <f t="shared" ref="I218:I222" si="42">K218*22.5</f>
        <v>481.49999999999994</v>
      </c>
      <c r="J218" s="8"/>
      <c r="K218" s="9">
        <v>21.4</v>
      </c>
      <c r="L218" s="105"/>
      <c r="M218" s="99"/>
    </row>
    <row r="219" spans="2:13" ht="16.5" customHeight="1" thickBot="1">
      <c r="B219" s="108"/>
      <c r="C219" s="160"/>
      <c r="D219" s="165"/>
      <c r="E219" s="99"/>
      <c r="F219" s="43">
        <v>7.87</v>
      </c>
      <c r="G219" s="99"/>
      <c r="H219" s="99"/>
      <c r="I219" s="5">
        <f t="shared" si="42"/>
        <v>528.75</v>
      </c>
      <c r="J219" s="11"/>
      <c r="K219" s="12">
        <v>23.5</v>
      </c>
      <c r="L219" s="106"/>
      <c r="M219" s="100"/>
    </row>
    <row r="220" spans="2:13" ht="16.5" customHeight="1">
      <c r="B220" s="108"/>
      <c r="C220" s="160"/>
      <c r="D220" s="165"/>
      <c r="E220" s="99"/>
      <c r="F220" s="43">
        <v>7.99</v>
      </c>
      <c r="G220" s="99"/>
      <c r="H220" s="99"/>
      <c r="I220" s="14">
        <f t="shared" si="42"/>
        <v>762.75</v>
      </c>
      <c r="J220" s="14"/>
      <c r="K220" s="31">
        <v>33.9</v>
      </c>
      <c r="L220" s="104">
        <f t="shared" ref="L220" si="43">AVERAGE(K220:K222)</f>
        <v>31.5</v>
      </c>
      <c r="M220" s="98" t="str">
        <f t="shared" ref="M220" si="44">IF(L220=" ", " ",IF(L220&gt;17,"PASS", "FAIL" ))</f>
        <v>PASS</v>
      </c>
    </row>
    <row r="221" spans="2:13" ht="16.5" customHeight="1">
      <c r="B221" s="108"/>
      <c r="C221" s="160"/>
      <c r="D221" s="165"/>
      <c r="E221" s="99"/>
      <c r="F221" s="43">
        <v>8.1999999999999993</v>
      </c>
      <c r="G221" s="99"/>
      <c r="H221" s="99"/>
      <c r="I221" s="16">
        <f t="shared" si="42"/>
        <v>713.25</v>
      </c>
      <c r="J221" s="16"/>
      <c r="K221" s="32">
        <v>31.7</v>
      </c>
      <c r="L221" s="105"/>
      <c r="M221" s="99"/>
    </row>
    <row r="222" spans="2:13" ht="16.5" customHeight="1" thickBot="1">
      <c r="B222" s="109"/>
      <c r="C222" s="161"/>
      <c r="D222" s="166"/>
      <c r="E222" s="100"/>
      <c r="F222" s="48">
        <v>8.16</v>
      </c>
      <c r="G222" s="100"/>
      <c r="H222" s="100"/>
      <c r="I222" s="19">
        <f t="shared" si="42"/>
        <v>650.25</v>
      </c>
      <c r="J222" s="19"/>
      <c r="K222" s="33">
        <v>28.9</v>
      </c>
      <c r="L222" s="106"/>
      <c r="M222" s="100"/>
    </row>
    <row r="223" spans="2:13" ht="16.5" customHeight="1" thickBot="1">
      <c r="B223" s="107">
        <v>35</v>
      </c>
      <c r="C223" s="159">
        <v>46064</v>
      </c>
      <c r="D223" s="167" t="s">
        <v>60</v>
      </c>
      <c r="E223" s="98" t="s">
        <v>44</v>
      </c>
      <c r="F223" s="42">
        <v>8.0299999999999994</v>
      </c>
      <c r="G223" s="101">
        <f t="shared" ref="G223" si="45">C223+7</f>
        <v>46071</v>
      </c>
      <c r="H223" s="101">
        <f t="shared" si="38"/>
        <v>46092</v>
      </c>
      <c r="I223" s="5">
        <f t="shared" ref="I223:I224" si="46">K223*22.5</f>
        <v>472.05</v>
      </c>
      <c r="J223" s="5"/>
      <c r="K223" s="6">
        <v>20.98</v>
      </c>
      <c r="L223" s="104">
        <f t="shared" ref="L223" si="47">AVERAGE(K223:K225)</f>
        <v>22.066666666666666</v>
      </c>
      <c r="M223" s="98" t="str">
        <f t="shared" ref="M223" si="48">IF(L223=" ", " ",IF(L223&gt;17,"PASS", "FAIL" ))</f>
        <v>PASS</v>
      </c>
    </row>
    <row r="224" spans="2:13" ht="16.5" customHeight="1" thickBot="1">
      <c r="B224" s="108"/>
      <c r="C224" s="160"/>
      <c r="D224" s="168"/>
      <c r="E224" s="99"/>
      <c r="F224" s="43">
        <v>8.11</v>
      </c>
      <c r="G224" s="99"/>
      <c r="H224" s="99"/>
      <c r="I224" s="5">
        <f t="shared" si="46"/>
        <v>511.65</v>
      </c>
      <c r="J224" s="8"/>
      <c r="K224" s="9">
        <v>22.74</v>
      </c>
      <c r="L224" s="105"/>
      <c r="M224" s="99"/>
    </row>
    <row r="225" spans="2:13" ht="16.5" customHeight="1" thickBot="1">
      <c r="B225" s="108"/>
      <c r="C225" s="160"/>
      <c r="D225" s="168"/>
      <c r="E225" s="99"/>
      <c r="F225" s="43">
        <v>7.95</v>
      </c>
      <c r="G225" s="99"/>
      <c r="H225" s="99"/>
      <c r="I225" s="5">
        <f>K225*22.5</f>
        <v>505.8</v>
      </c>
      <c r="J225" s="11"/>
      <c r="K225" s="12">
        <v>22.48</v>
      </c>
      <c r="L225" s="106"/>
      <c r="M225" s="100"/>
    </row>
    <row r="226" spans="2:13" ht="16.5" customHeight="1">
      <c r="B226" s="108"/>
      <c r="C226" s="160"/>
      <c r="D226" s="168"/>
      <c r="E226" s="99"/>
      <c r="F226" s="43">
        <v>8.1</v>
      </c>
      <c r="G226" s="99"/>
      <c r="H226" s="99"/>
      <c r="I226" s="14">
        <f>K226*22.5</f>
        <v>792.00000000000011</v>
      </c>
      <c r="J226" s="14"/>
      <c r="K226" s="31">
        <v>35.200000000000003</v>
      </c>
      <c r="L226" s="104">
        <f t="shared" ref="L226" si="49">AVERAGE(K226:K228)</f>
        <v>33.866666666666667</v>
      </c>
      <c r="M226" s="98" t="str">
        <f t="shared" ref="M226" si="50">IF(L226=" ", " ",IF(L226&gt;17,"PASS", "FAIL" ))</f>
        <v>PASS</v>
      </c>
    </row>
    <row r="227" spans="2:13" ht="16.5" customHeight="1">
      <c r="B227" s="108"/>
      <c r="C227" s="160"/>
      <c r="D227" s="168"/>
      <c r="E227" s="99"/>
      <c r="F227" s="43">
        <v>7.99</v>
      </c>
      <c r="G227" s="99"/>
      <c r="H227" s="99"/>
      <c r="I227" s="16">
        <f>K227*22.5</f>
        <v>737.99999999999989</v>
      </c>
      <c r="J227" s="16"/>
      <c r="K227" s="32">
        <v>32.799999999999997</v>
      </c>
      <c r="L227" s="105"/>
      <c r="M227" s="99"/>
    </row>
    <row r="228" spans="2:13" ht="16.5" customHeight="1" thickBot="1">
      <c r="B228" s="109"/>
      <c r="C228" s="161"/>
      <c r="D228" s="169"/>
      <c r="E228" s="100"/>
      <c r="F228" s="48">
        <v>8.07</v>
      </c>
      <c r="G228" s="100"/>
      <c r="H228" s="100"/>
      <c r="I228" s="19">
        <f>K228*22.5</f>
        <v>756</v>
      </c>
      <c r="J228" s="19"/>
      <c r="K228" s="33">
        <v>33.6</v>
      </c>
      <c r="L228" s="106"/>
      <c r="M228" s="100"/>
    </row>
    <row r="229" spans="2:13" ht="16.5" customHeight="1" thickBot="1">
      <c r="B229" s="107">
        <v>36</v>
      </c>
      <c r="C229" s="159">
        <v>46066</v>
      </c>
      <c r="D229" s="170" t="s">
        <v>61</v>
      </c>
      <c r="E229" s="98" t="s">
        <v>44</v>
      </c>
      <c r="F229" s="42">
        <v>7.99</v>
      </c>
      <c r="G229" s="101">
        <f>C229+7</f>
        <v>46073</v>
      </c>
      <c r="H229" s="101">
        <f t="shared" si="38"/>
        <v>46094</v>
      </c>
      <c r="I229" s="5">
        <f>K229*22.5</f>
        <v>476.55</v>
      </c>
      <c r="J229" s="5"/>
      <c r="K229" s="6">
        <v>21.18</v>
      </c>
      <c r="L229" s="104">
        <f t="shared" ref="L229" si="51">AVERAGE(K229:K231)</f>
        <v>21.116666666666664</v>
      </c>
      <c r="M229" s="98" t="str">
        <f t="shared" ref="M229" si="52">IF(L229=" ", " ",IF(L229&gt;17,"PASS", "FAIL" ))</f>
        <v>PASS</v>
      </c>
    </row>
    <row r="230" spans="2:13" ht="16.5" customHeight="1" thickBot="1">
      <c r="B230" s="108"/>
      <c r="C230" s="160"/>
      <c r="D230" s="160"/>
      <c r="E230" s="99"/>
      <c r="F230" s="43">
        <v>7.88</v>
      </c>
      <c r="G230" s="99"/>
      <c r="H230" s="99"/>
      <c r="I230" s="5">
        <f t="shared" ref="I230:I234" si="53">K230*22.5</f>
        <v>480.15</v>
      </c>
      <c r="J230" s="8"/>
      <c r="K230" s="9">
        <v>21.34</v>
      </c>
      <c r="L230" s="105"/>
      <c r="M230" s="99"/>
    </row>
    <row r="231" spans="2:13" ht="16.5" customHeight="1" thickBot="1">
      <c r="B231" s="108"/>
      <c r="C231" s="160"/>
      <c r="D231" s="160"/>
      <c r="E231" s="99"/>
      <c r="F231" s="43">
        <v>8.18</v>
      </c>
      <c r="G231" s="99"/>
      <c r="H231" s="99"/>
      <c r="I231" s="5">
        <f t="shared" si="53"/>
        <v>468.67499999999995</v>
      </c>
      <c r="J231" s="11"/>
      <c r="K231" s="12">
        <v>20.83</v>
      </c>
      <c r="L231" s="106"/>
      <c r="M231" s="100"/>
    </row>
    <row r="232" spans="2:13" ht="16.5" customHeight="1">
      <c r="B232" s="108"/>
      <c r="C232" s="160"/>
      <c r="D232" s="160"/>
      <c r="E232" s="99"/>
      <c r="F232" s="43">
        <v>8.1999999999999993</v>
      </c>
      <c r="G232" s="99"/>
      <c r="H232" s="99"/>
      <c r="I232" s="14">
        <f t="shared" si="53"/>
        <v>658.35</v>
      </c>
      <c r="J232" s="14"/>
      <c r="K232" s="31">
        <v>29.26</v>
      </c>
      <c r="L232" s="104">
        <f t="shared" ref="L232" si="54">AVERAGE(K232:K234)</f>
        <v>30.12</v>
      </c>
      <c r="M232" s="98" t="str">
        <f t="shared" ref="M232" si="55">IF(L232=" ", " ",IF(L232&gt;17,"PASS", "FAIL" ))</f>
        <v>PASS</v>
      </c>
    </row>
    <row r="233" spans="2:13" ht="16.5" customHeight="1">
      <c r="B233" s="108"/>
      <c r="C233" s="160"/>
      <c r="D233" s="160"/>
      <c r="E233" s="99"/>
      <c r="F233" s="43">
        <v>7.98</v>
      </c>
      <c r="G233" s="99"/>
      <c r="H233" s="99"/>
      <c r="I233" s="16">
        <f t="shared" si="53"/>
        <v>702</v>
      </c>
      <c r="J233" s="16"/>
      <c r="K233" s="32">
        <v>31.2</v>
      </c>
      <c r="L233" s="105"/>
      <c r="M233" s="99"/>
    </row>
    <row r="234" spans="2:13" ht="16.5" customHeight="1" thickBot="1">
      <c r="B234" s="109"/>
      <c r="C234" s="161"/>
      <c r="D234" s="161"/>
      <c r="E234" s="100"/>
      <c r="F234" s="48">
        <v>8.19</v>
      </c>
      <c r="G234" s="100"/>
      <c r="H234" s="100"/>
      <c r="I234" s="19">
        <f t="shared" si="53"/>
        <v>672.75</v>
      </c>
      <c r="J234" s="19"/>
      <c r="K234" s="33">
        <v>29.9</v>
      </c>
      <c r="L234" s="106"/>
      <c r="M234" s="100"/>
    </row>
    <row r="235" spans="2:13" ht="16.5" customHeight="1" thickBot="1">
      <c r="B235" s="107">
        <v>37</v>
      </c>
      <c r="C235" s="159">
        <v>46067</v>
      </c>
      <c r="D235" s="170" t="s">
        <v>62</v>
      </c>
      <c r="E235" s="98" t="s">
        <v>44</v>
      </c>
      <c r="F235" s="42">
        <v>7.88</v>
      </c>
      <c r="G235" s="101">
        <f>C235+7</f>
        <v>46074</v>
      </c>
      <c r="H235" s="101">
        <f t="shared" ref="H235:H241" si="56">C235+28</f>
        <v>46095</v>
      </c>
      <c r="I235" s="5">
        <f>K235*22.5</f>
        <v>525.15</v>
      </c>
      <c r="J235" s="5"/>
      <c r="K235" s="6">
        <v>23.34</v>
      </c>
      <c r="L235" s="104">
        <f>AVERAGE(K235:K237)</f>
        <v>22.853333333333335</v>
      </c>
      <c r="M235" s="98" t="str">
        <f t="shared" ref="M235" si="57">IF(L235=" ", " ",IF(L235&gt;17,"PASS", "FAIL" ))</f>
        <v>PASS</v>
      </c>
    </row>
    <row r="236" spans="2:13" ht="16.5" customHeight="1" thickBot="1">
      <c r="B236" s="108"/>
      <c r="C236" s="160"/>
      <c r="D236" s="160"/>
      <c r="E236" s="99"/>
      <c r="F236" s="43">
        <v>7.98</v>
      </c>
      <c r="G236" s="99"/>
      <c r="H236" s="99"/>
      <c r="I236" s="5">
        <f t="shared" ref="I236:I240" si="58">K236*22.5</f>
        <v>504.90000000000003</v>
      </c>
      <c r="J236" s="8"/>
      <c r="K236" s="9">
        <v>22.44</v>
      </c>
      <c r="L236" s="105"/>
      <c r="M236" s="99"/>
    </row>
    <row r="237" spans="2:13" ht="16.5" customHeight="1" thickBot="1">
      <c r="B237" s="108"/>
      <c r="C237" s="160"/>
      <c r="D237" s="160"/>
      <c r="E237" s="99"/>
      <c r="F237" s="43">
        <v>8.11</v>
      </c>
      <c r="G237" s="99"/>
      <c r="H237" s="99"/>
      <c r="I237" s="5">
        <f t="shared" si="58"/>
        <v>512.55000000000007</v>
      </c>
      <c r="J237" s="11"/>
      <c r="K237" s="12">
        <v>22.78</v>
      </c>
      <c r="L237" s="106"/>
      <c r="M237" s="100"/>
    </row>
    <row r="238" spans="2:13" ht="16.5" customHeight="1">
      <c r="B238" s="108"/>
      <c r="C238" s="160"/>
      <c r="D238" s="160"/>
      <c r="E238" s="99"/>
      <c r="F238" s="43">
        <v>7.86</v>
      </c>
      <c r="G238" s="99"/>
      <c r="H238" s="99"/>
      <c r="I238" s="14">
        <f t="shared" si="58"/>
        <v>650.25</v>
      </c>
      <c r="J238" s="14"/>
      <c r="K238" s="31">
        <v>28.9</v>
      </c>
      <c r="L238" s="104">
        <f t="shared" ref="L238" si="59">AVERAGE(K238:K240)</f>
        <v>30</v>
      </c>
      <c r="M238" s="98" t="str">
        <f t="shared" ref="M238" si="60">IF(L238=" ", " ",IF(L238&gt;17,"PASS", "FAIL" ))</f>
        <v>PASS</v>
      </c>
    </row>
    <row r="239" spans="2:13" ht="16.5" customHeight="1">
      <c r="B239" s="108"/>
      <c r="C239" s="160"/>
      <c r="D239" s="160"/>
      <c r="E239" s="99"/>
      <c r="F239" s="43">
        <v>7.92</v>
      </c>
      <c r="G239" s="99"/>
      <c r="H239" s="99"/>
      <c r="I239" s="16">
        <f t="shared" si="58"/>
        <v>699.75</v>
      </c>
      <c r="J239" s="16"/>
      <c r="K239" s="32">
        <v>31.1</v>
      </c>
      <c r="L239" s="105"/>
      <c r="M239" s="99"/>
    </row>
    <row r="240" spans="2:13" ht="16.5" customHeight="1" thickBot="1">
      <c r="B240" s="109"/>
      <c r="C240" s="161"/>
      <c r="D240" s="161"/>
      <c r="E240" s="100"/>
      <c r="F240" s="48">
        <v>8.15</v>
      </c>
      <c r="G240" s="100"/>
      <c r="H240" s="100"/>
      <c r="I240" s="19">
        <f t="shared" si="58"/>
        <v>675</v>
      </c>
      <c r="J240" s="19"/>
      <c r="K240" s="33">
        <v>30</v>
      </c>
      <c r="L240" s="106"/>
      <c r="M240" s="100"/>
    </row>
    <row r="241" spans="2:13" ht="16.5" customHeight="1" thickBot="1">
      <c r="B241" s="107">
        <v>38</v>
      </c>
      <c r="C241" s="159">
        <v>46079</v>
      </c>
      <c r="D241" s="171" t="s">
        <v>63</v>
      </c>
      <c r="E241" s="98" t="s">
        <v>44</v>
      </c>
      <c r="F241" s="42">
        <v>8.1</v>
      </c>
      <c r="G241" s="101">
        <f>C241+7</f>
        <v>46086</v>
      </c>
      <c r="H241" s="101">
        <f t="shared" si="56"/>
        <v>46107</v>
      </c>
      <c r="I241" s="5">
        <f>22.5*K241</f>
        <v>509.62499999999994</v>
      </c>
      <c r="J241" s="5"/>
      <c r="K241" s="6">
        <v>22.65</v>
      </c>
      <c r="L241" s="104">
        <f t="shared" ref="L241" si="61">AVERAGE(K241:K243)</f>
        <v>22.656666666666666</v>
      </c>
      <c r="M241" s="98" t="str">
        <f t="shared" ref="M241" si="62">IF(L241=" ", " ",IF(L241&gt;17,"PASS", "FAIL" ))</f>
        <v>PASS</v>
      </c>
    </row>
    <row r="242" spans="2:13" ht="16.5" customHeight="1" thickBot="1">
      <c r="B242" s="108"/>
      <c r="C242" s="160"/>
      <c r="D242" s="93"/>
      <c r="E242" s="99"/>
      <c r="F242" s="43">
        <v>7.99</v>
      </c>
      <c r="G242" s="99"/>
      <c r="H242" s="99"/>
      <c r="I242" s="5">
        <f t="shared" ref="I242:I243" si="63">22.5*K242</f>
        <v>524.70000000000005</v>
      </c>
      <c r="J242" s="8"/>
      <c r="K242" s="9">
        <v>23.32</v>
      </c>
      <c r="L242" s="105"/>
      <c r="M242" s="99"/>
    </row>
    <row r="243" spans="2:13" ht="16.5" customHeight="1" thickBot="1">
      <c r="B243" s="108"/>
      <c r="C243" s="160"/>
      <c r="D243" s="93"/>
      <c r="E243" s="99"/>
      <c r="F243" s="43">
        <v>8.2100000000000009</v>
      </c>
      <c r="G243" s="99"/>
      <c r="H243" s="99"/>
      <c r="I243" s="5">
        <f t="shared" si="63"/>
        <v>495</v>
      </c>
      <c r="J243" s="11"/>
      <c r="K243" s="12">
        <v>22</v>
      </c>
      <c r="L243" s="106"/>
      <c r="M243" s="100"/>
    </row>
    <row r="244" spans="2:13" ht="16.5" customHeight="1" thickBot="1">
      <c r="B244" s="108"/>
      <c r="C244" s="160"/>
      <c r="D244" s="93"/>
      <c r="E244" s="99"/>
      <c r="F244" s="49">
        <v>8</v>
      </c>
      <c r="G244" s="99"/>
      <c r="H244" s="99"/>
      <c r="I244" s="14">
        <f>K244*22.5</f>
        <v>771.74999999999989</v>
      </c>
      <c r="J244" s="14"/>
      <c r="K244" s="31">
        <v>34.299999999999997</v>
      </c>
      <c r="L244" s="104">
        <f t="shared" ref="L244" si="64">AVERAGE(K244:K246)</f>
        <v>33.9</v>
      </c>
      <c r="M244" s="98" t="str">
        <f t="shared" ref="M244" si="65">IF(L244=" ", " ",IF(L244&gt;17,"PASS", "FAIL" ))</f>
        <v>PASS</v>
      </c>
    </row>
    <row r="245" spans="2:13" ht="16.5" customHeight="1" thickBot="1">
      <c r="B245" s="108"/>
      <c r="C245" s="160"/>
      <c r="D245" s="93"/>
      <c r="E245" s="99"/>
      <c r="F245" s="49">
        <v>8.1999999999999993</v>
      </c>
      <c r="G245" s="99"/>
      <c r="H245" s="99"/>
      <c r="I245" s="14">
        <f t="shared" ref="I245:I246" si="66">K245*22.5</f>
        <v>693</v>
      </c>
      <c r="J245" s="16"/>
      <c r="K245" s="32">
        <v>30.8</v>
      </c>
      <c r="L245" s="105"/>
      <c r="M245" s="99"/>
    </row>
    <row r="246" spans="2:13" ht="16.5" customHeight="1" thickBot="1">
      <c r="B246" s="109"/>
      <c r="C246" s="161"/>
      <c r="D246" s="94"/>
      <c r="E246" s="100"/>
      <c r="F246" s="50">
        <v>8.1999999999999993</v>
      </c>
      <c r="G246" s="100"/>
      <c r="H246" s="100"/>
      <c r="I246" s="14">
        <f t="shared" si="66"/>
        <v>823.5</v>
      </c>
      <c r="J246" s="19"/>
      <c r="K246" s="33">
        <v>36.6</v>
      </c>
      <c r="L246" s="106"/>
      <c r="M246" s="100"/>
    </row>
    <row r="247" spans="2:13" ht="16.5" customHeight="1" thickBot="1">
      <c r="B247" s="107">
        <v>39</v>
      </c>
      <c r="C247" s="159">
        <v>46080</v>
      </c>
      <c r="D247" s="171" t="s">
        <v>64</v>
      </c>
      <c r="E247" s="98" t="s">
        <v>44</v>
      </c>
      <c r="F247" s="42">
        <v>8.1999999999999993</v>
      </c>
      <c r="G247" s="101">
        <f>C247+7</f>
        <v>46087</v>
      </c>
      <c r="H247" s="101">
        <f t="shared" ref="H247:H265" si="67">C247+28</f>
        <v>46108</v>
      </c>
      <c r="I247" s="5">
        <f>K247*22.5</f>
        <v>524.25</v>
      </c>
      <c r="J247" s="5"/>
      <c r="K247" s="6">
        <v>23.3</v>
      </c>
      <c r="L247" s="104">
        <f t="shared" ref="L247" si="68">AVERAGE(K247:K249)</f>
        <v>22.616666666666664</v>
      </c>
      <c r="M247" s="98" t="str">
        <f t="shared" ref="M247" si="69">IF(L247=" ", " ",IF(L247&gt;17,"PASS", "FAIL" ))</f>
        <v>PASS</v>
      </c>
    </row>
    <row r="248" spans="2:13" ht="16.5" customHeight="1" thickBot="1">
      <c r="B248" s="108"/>
      <c r="C248" s="160"/>
      <c r="D248" s="93"/>
      <c r="E248" s="99"/>
      <c r="F248" s="43">
        <v>7.98</v>
      </c>
      <c r="G248" s="99"/>
      <c r="H248" s="99"/>
      <c r="I248" s="5">
        <f t="shared" ref="I248:I258" si="70">K248*22.5</f>
        <v>509.62499999999994</v>
      </c>
      <c r="J248" s="8"/>
      <c r="K248" s="9">
        <v>22.65</v>
      </c>
      <c r="L248" s="105"/>
      <c r="M248" s="99"/>
    </row>
    <row r="249" spans="2:13" ht="16.5" customHeight="1" thickBot="1">
      <c r="B249" s="108"/>
      <c r="C249" s="160"/>
      <c r="D249" s="93"/>
      <c r="E249" s="99"/>
      <c r="F249" s="43">
        <v>8.1</v>
      </c>
      <c r="G249" s="99"/>
      <c r="H249" s="99"/>
      <c r="I249" s="5">
        <f t="shared" si="70"/>
        <v>492.74999999999994</v>
      </c>
      <c r="J249" s="11"/>
      <c r="K249" s="12">
        <v>21.9</v>
      </c>
      <c r="L249" s="106"/>
      <c r="M249" s="100"/>
    </row>
    <row r="250" spans="2:13" ht="16.5" customHeight="1">
      <c r="B250" s="108"/>
      <c r="C250" s="160"/>
      <c r="D250" s="93"/>
      <c r="E250" s="99"/>
      <c r="F250" s="49">
        <v>8.3000000000000007</v>
      </c>
      <c r="G250" s="99"/>
      <c r="H250" s="99"/>
      <c r="I250" s="14">
        <f t="shared" si="70"/>
        <v>672.75</v>
      </c>
      <c r="J250" s="14"/>
      <c r="K250" s="31">
        <v>29.9</v>
      </c>
      <c r="L250" s="104">
        <f t="shared" ref="L250" si="71">AVERAGE(K250:K252)</f>
        <v>29.966666666666665</v>
      </c>
      <c r="M250" s="98" t="str">
        <f t="shared" ref="M250" si="72">IF(L250=" ", " ",IF(L250&gt;17,"PASS", "FAIL" ))</f>
        <v>PASS</v>
      </c>
    </row>
    <row r="251" spans="2:13" ht="16.5" customHeight="1">
      <c r="B251" s="108"/>
      <c r="C251" s="160"/>
      <c r="D251" s="93"/>
      <c r="E251" s="99"/>
      <c r="F251" s="49">
        <v>8.25</v>
      </c>
      <c r="G251" s="99"/>
      <c r="H251" s="99"/>
      <c r="I251" s="16">
        <f t="shared" si="70"/>
        <v>702</v>
      </c>
      <c r="J251" s="16"/>
      <c r="K251" s="32">
        <v>31.2</v>
      </c>
      <c r="L251" s="105"/>
      <c r="M251" s="99"/>
    </row>
    <row r="252" spans="2:13" ht="16.5" customHeight="1" thickBot="1">
      <c r="B252" s="109"/>
      <c r="C252" s="161"/>
      <c r="D252" s="94"/>
      <c r="E252" s="100"/>
      <c r="F252" s="50">
        <v>8.15</v>
      </c>
      <c r="G252" s="100"/>
      <c r="H252" s="100"/>
      <c r="I252" s="19">
        <f t="shared" si="70"/>
        <v>648</v>
      </c>
      <c r="J252" s="19"/>
      <c r="K252" s="33">
        <v>28.8</v>
      </c>
      <c r="L252" s="106"/>
      <c r="M252" s="100"/>
    </row>
    <row r="253" spans="2:13" ht="16.5" customHeight="1">
      <c r="B253" s="107">
        <v>40</v>
      </c>
      <c r="C253" s="92">
        <v>46102</v>
      </c>
      <c r="D253" s="171" t="s">
        <v>65</v>
      </c>
      <c r="E253" s="98" t="s">
        <v>44</v>
      </c>
      <c r="F253" s="51">
        <v>8.25</v>
      </c>
      <c r="G253" s="101">
        <f t="shared" ref="G253" si="73">C253+7</f>
        <v>46109</v>
      </c>
      <c r="H253" s="101">
        <f t="shared" si="67"/>
        <v>46130</v>
      </c>
      <c r="I253" s="5">
        <f t="shared" si="70"/>
        <v>633.6</v>
      </c>
      <c r="J253" s="5"/>
      <c r="K253" s="6">
        <v>28.16</v>
      </c>
      <c r="L253" s="104">
        <f t="shared" ref="L253" si="74">AVERAGE(K253:K255)</f>
        <v>22.746666666666666</v>
      </c>
      <c r="M253" s="98" t="str">
        <f t="shared" ref="M253" si="75">IF(L253=" ", " ",IF(L253&gt;17,"PASS", "FAIL" ))</f>
        <v>PASS</v>
      </c>
    </row>
    <row r="254" spans="2:13" ht="16.5" customHeight="1">
      <c r="B254" s="108"/>
      <c r="C254" s="93"/>
      <c r="D254" s="93"/>
      <c r="E254" s="99"/>
      <c r="F254" s="52">
        <v>8.16</v>
      </c>
      <c r="G254" s="99"/>
      <c r="H254" s="99"/>
      <c r="I254" s="8">
        <f t="shared" si="70"/>
        <v>466.2</v>
      </c>
      <c r="J254" s="8"/>
      <c r="K254" s="9">
        <v>20.72</v>
      </c>
      <c r="L254" s="105"/>
      <c r="M254" s="99"/>
    </row>
    <row r="255" spans="2:13" ht="16.5" customHeight="1" thickBot="1">
      <c r="B255" s="108"/>
      <c r="C255" s="93"/>
      <c r="D255" s="93"/>
      <c r="E255" s="99"/>
      <c r="F255" s="52">
        <v>8.1999999999999993</v>
      </c>
      <c r="G255" s="99"/>
      <c r="H255" s="99"/>
      <c r="I255" s="11">
        <f t="shared" si="70"/>
        <v>435.59999999999997</v>
      </c>
      <c r="J255" s="11"/>
      <c r="K255" s="12">
        <v>19.36</v>
      </c>
      <c r="L255" s="106"/>
      <c r="M255" s="100"/>
    </row>
    <row r="256" spans="2:13" ht="16.5" customHeight="1">
      <c r="B256" s="108"/>
      <c r="C256" s="93"/>
      <c r="D256" s="93"/>
      <c r="E256" s="99"/>
      <c r="F256" s="59">
        <v>8.5500000000000007</v>
      </c>
      <c r="G256" s="99"/>
      <c r="H256" s="99"/>
      <c r="I256" s="14">
        <f t="shared" si="70"/>
        <v>623.25</v>
      </c>
      <c r="J256" s="14"/>
      <c r="K256" s="31">
        <v>27.7</v>
      </c>
      <c r="L256" s="104">
        <f t="shared" ref="L256" si="76">AVERAGE(K256:K258)</f>
        <v>27.883333333333336</v>
      </c>
      <c r="M256" s="98" t="str">
        <f t="shared" ref="M256" si="77">IF(L256=" ", " ",IF(L256&gt;17,"PASS", "FAIL" ))</f>
        <v>PASS</v>
      </c>
    </row>
    <row r="257" spans="2:13" ht="16.5" customHeight="1">
      <c r="B257" s="108"/>
      <c r="C257" s="93"/>
      <c r="D257" s="93"/>
      <c r="E257" s="99"/>
      <c r="F257" s="59">
        <v>8.4499999999999993</v>
      </c>
      <c r="G257" s="99"/>
      <c r="H257" s="99"/>
      <c r="I257" s="16">
        <f t="shared" si="70"/>
        <v>579.375</v>
      </c>
      <c r="J257" s="16"/>
      <c r="K257" s="32">
        <v>25.75</v>
      </c>
      <c r="L257" s="105"/>
      <c r="M257" s="99"/>
    </row>
    <row r="258" spans="2:13" ht="16.5" customHeight="1" thickBot="1">
      <c r="B258" s="109"/>
      <c r="C258" s="94"/>
      <c r="D258" s="94"/>
      <c r="E258" s="100"/>
      <c r="F258" s="60">
        <v>8.5500000000000007</v>
      </c>
      <c r="G258" s="100"/>
      <c r="H258" s="100"/>
      <c r="I258" s="19">
        <f t="shared" si="70"/>
        <v>679.5</v>
      </c>
      <c r="J258" s="19"/>
      <c r="K258" s="33">
        <v>30.2</v>
      </c>
      <c r="L258" s="106"/>
      <c r="M258" s="100"/>
    </row>
    <row r="259" spans="2:13" ht="16.5" customHeight="1" thickBot="1">
      <c r="B259" s="107">
        <v>41</v>
      </c>
      <c r="C259" s="92">
        <v>46106</v>
      </c>
      <c r="D259" s="110" t="s">
        <v>66</v>
      </c>
      <c r="E259" s="98" t="s">
        <v>44</v>
      </c>
      <c r="F259" s="53">
        <v>8.33</v>
      </c>
      <c r="G259" s="101">
        <f t="shared" ref="G259" si="78">C259+7</f>
        <v>46113</v>
      </c>
      <c r="H259" s="101">
        <f t="shared" si="67"/>
        <v>46134</v>
      </c>
      <c r="I259" s="11">
        <f t="shared" ref="I259:I264" si="79">K259*22.5</f>
        <v>405.9</v>
      </c>
      <c r="J259" s="5"/>
      <c r="K259" s="6">
        <v>18.04</v>
      </c>
      <c r="L259" s="104">
        <f t="shared" ref="L259" si="80">AVERAGE(K259:K261)</f>
        <v>18.156666666666666</v>
      </c>
      <c r="M259" s="98" t="str">
        <f t="shared" ref="M259" si="81">IF(L259=" ", " ",IF(L259&gt;17,"PASS", "FAIL" ))</f>
        <v>PASS</v>
      </c>
    </row>
    <row r="260" spans="2:13" ht="16.5" customHeight="1" thickBot="1">
      <c r="B260" s="108"/>
      <c r="C260" s="93"/>
      <c r="D260" s="111"/>
      <c r="E260" s="99"/>
      <c r="F260" s="54">
        <v>8.27</v>
      </c>
      <c r="G260" s="99"/>
      <c r="H260" s="99"/>
      <c r="I260" s="11">
        <f t="shared" si="79"/>
        <v>426.15000000000003</v>
      </c>
      <c r="J260" s="8"/>
      <c r="K260" s="9">
        <v>18.940000000000001</v>
      </c>
      <c r="L260" s="105"/>
      <c r="M260" s="99"/>
    </row>
    <row r="261" spans="2:13" ht="16.5" customHeight="1" thickBot="1">
      <c r="B261" s="108"/>
      <c r="C261" s="93"/>
      <c r="D261" s="111"/>
      <c r="E261" s="99"/>
      <c r="F261" s="54">
        <v>8.32</v>
      </c>
      <c r="G261" s="99"/>
      <c r="H261" s="99"/>
      <c r="I261" s="11">
        <f t="shared" si="79"/>
        <v>393.52499999999998</v>
      </c>
      <c r="J261" s="11"/>
      <c r="K261" s="12">
        <v>17.489999999999998</v>
      </c>
      <c r="L261" s="106"/>
      <c r="M261" s="100"/>
    </row>
    <row r="262" spans="2:13" ht="16.5" customHeight="1">
      <c r="B262" s="108"/>
      <c r="C262" s="93"/>
      <c r="D262" s="111"/>
      <c r="E262" s="99"/>
      <c r="F262" s="59">
        <v>8.6</v>
      </c>
      <c r="G262" s="99"/>
      <c r="H262" s="99"/>
      <c r="I262" s="14">
        <f t="shared" si="79"/>
        <v>585</v>
      </c>
      <c r="J262" s="14"/>
      <c r="K262" s="31">
        <v>26</v>
      </c>
      <c r="L262" s="104">
        <f t="shared" ref="L262" si="82">AVERAGE(K262:K264)</f>
        <v>27.776666666666667</v>
      </c>
      <c r="M262" s="98" t="str">
        <f t="shared" ref="M262" si="83">IF(L262=" ", " ",IF(L262&gt;17,"PASS", "FAIL" ))</f>
        <v>PASS</v>
      </c>
    </row>
    <row r="263" spans="2:13" ht="16.5" customHeight="1">
      <c r="B263" s="108"/>
      <c r="C263" s="93"/>
      <c r="D263" s="111"/>
      <c r="E263" s="99"/>
      <c r="F263" s="59">
        <v>8.39</v>
      </c>
      <c r="G263" s="99"/>
      <c r="H263" s="99"/>
      <c r="I263" s="16">
        <f t="shared" si="79"/>
        <v>672.75</v>
      </c>
      <c r="J263" s="16"/>
      <c r="K263" s="32">
        <v>29.9</v>
      </c>
      <c r="L263" s="105"/>
      <c r="M263" s="99"/>
    </row>
    <row r="264" spans="2:13" ht="16.5" customHeight="1" thickBot="1">
      <c r="B264" s="109"/>
      <c r="C264" s="94"/>
      <c r="D264" s="112"/>
      <c r="E264" s="100"/>
      <c r="F264" s="60">
        <v>8.5</v>
      </c>
      <c r="G264" s="100"/>
      <c r="H264" s="100"/>
      <c r="I264" s="19">
        <f t="shared" si="79"/>
        <v>617.17499999999995</v>
      </c>
      <c r="J264" s="19"/>
      <c r="K264" s="33">
        <v>27.43</v>
      </c>
      <c r="L264" s="106"/>
      <c r="M264" s="100"/>
    </row>
    <row r="265" spans="2:13" ht="16.5" customHeight="1" thickBot="1">
      <c r="B265" s="107">
        <v>42</v>
      </c>
      <c r="C265" s="92">
        <v>46108</v>
      </c>
      <c r="D265" s="171" t="s">
        <v>67</v>
      </c>
      <c r="E265" s="98" t="s">
        <v>44</v>
      </c>
      <c r="F265" s="55">
        <v>8.23</v>
      </c>
      <c r="G265" s="101">
        <f t="shared" ref="G265" si="84">C265+7</f>
        <v>46115</v>
      </c>
      <c r="H265" s="101">
        <f t="shared" si="67"/>
        <v>46136</v>
      </c>
      <c r="I265" s="11">
        <f t="shared" ref="I265:I270" si="85">K265*22.5</f>
        <v>451.79999999999995</v>
      </c>
      <c r="J265" s="5"/>
      <c r="K265" s="6">
        <v>20.079999999999998</v>
      </c>
      <c r="L265" s="104">
        <f t="shared" ref="L265" si="86">AVERAGE(K265:K267)</f>
        <v>18.186666666666667</v>
      </c>
      <c r="M265" s="98" t="str">
        <f t="shared" ref="M265" si="87">IF(L265=" ", " ",IF(L265&gt;17,"PASS", "FAIL" ))</f>
        <v>PASS</v>
      </c>
    </row>
    <row r="266" spans="2:13" ht="16.5" customHeight="1" thickBot="1">
      <c r="B266" s="108"/>
      <c r="C266" s="93"/>
      <c r="D266" s="93"/>
      <c r="E266" s="99"/>
      <c r="F266" s="56">
        <v>8.26</v>
      </c>
      <c r="G266" s="99"/>
      <c r="H266" s="99"/>
      <c r="I266" s="11">
        <f t="shared" si="85"/>
        <v>393.75</v>
      </c>
      <c r="J266" s="8"/>
      <c r="K266" s="9">
        <v>17.5</v>
      </c>
      <c r="L266" s="105"/>
      <c r="M266" s="99"/>
    </row>
    <row r="267" spans="2:13" ht="16.5" customHeight="1" thickBot="1">
      <c r="B267" s="108"/>
      <c r="C267" s="93"/>
      <c r="D267" s="93"/>
      <c r="E267" s="99"/>
      <c r="F267" s="56">
        <v>8.32</v>
      </c>
      <c r="G267" s="99"/>
      <c r="H267" s="99"/>
      <c r="I267" s="11">
        <f t="shared" si="85"/>
        <v>382.05</v>
      </c>
      <c r="J267" s="11"/>
      <c r="K267" s="12">
        <v>16.98</v>
      </c>
      <c r="L267" s="106"/>
      <c r="M267" s="100"/>
    </row>
    <row r="268" spans="2:13" ht="16.5" customHeight="1">
      <c r="B268" s="108"/>
      <c r="C268" s="93"/>
      <c r="D268" s="93"/>
      <c r="E268" s="99"/>
      <c r="F268" s="69">
        <v>8.3000000000000007</v>
      </c>
      <c r="G268" s="99"/>
      <c r="H268" s="99"/>
      <c r="I268" s="14">
        <f t="shared" si="85"/>
        <v>652.04999999999995</v>
      </c>
      <c r="J268" s="14"/>
      <c r="K268" s="31">
        <v>28.98</v>
      </c>
      <c r="L268" s="104">
        <f t="shared" ref="L268" si="88">AVERAGE(K268:K270)</f>
        <v>28.913333333333338</v>
      </c>
      <c r="M268" s="98" t="str">
        <f t="shared" ref="M268" si="89">IF(L268=" ", " ",IF(L268&gt;17,"PASS", "FAIL" ))</f>
        <v>PASS</v>
      </c>
    </row>
    <row r="269" spans="2:13" ht="16.5" customHeight="1">
      <c r="B269" s="108"/>
      <c r="C269" s="93"/>
      <c r="D269" s="93"/>
      <c r="E269" s="99"/>
      <c r="F269" s="69">
        <v>8.3000000000000007</v>
      </c>
      <c r="G269" s="99"/>
      <c r="H269" s="99"/>
      <c r="I269" s="16">
        <f t="shared" si="85"/>
        <v>602.55000000000007</v>
      </c>
      <c r="J269" s="16"/>
      <c r="K269" s="32">
        <v>26.78</v>
      </c>
      <c r="L269" s="105"/>
      <c r="M269" s="99"/>
    </row>
    <row r="270" spans="2:13" ht="16.5" customHeight="1" thickBot="1">
      <c r="B270" s="109"/>
      <c r="C270" s="94"/>
      <c r="D270" s="94"/>
      <c r="E270" s="100"/>
      <c r="F270" s="70">
        <v>8.24</v>
      </c>
      <c r="G270" s="100"/>
      <c r="H270" s="100"/>
      <c r="I270" s="19">
        <f t="shared" si="85"/>
        <v>697.05</v>
      </c>
      <c r="J270" s="19"/>
      <c r="K270" s="33">
        <v>30.98</v>
      </c>
      <c r="L270" s="106"/>
      <c r="M270" s="100"/>
    </row>
    <row r="271" spans="2:13" ht="16.5" customHeight="1" thickBot="1">
      <c r="B271" s="107">
        <v>43</v>
      </c>
      <c r="C271" s="92">
        <v>46109</v>
      </c>
      <c r="D271" s="171" t="s">
        <v>68</v>
      </c>
      <c r="E271" s="98" t="s">
        <v>44</v>
      </c>
      <c r="F271" s="55">
        <v>8.23</v>
      </c>
      <c r="G271" s="101">
        <f t="shared" ref="G271" si="90">C271+7</f>
        <v>46116</v>
      </c>
      <c r="H271" s="101">
        <f t="shared" ref="H271" si="91">C271+28</f>
        <v>46137</v>
      </c>
      <c r="I271" s="11">
        <f t="shared" ref="I271:I276" si="92">K271*22.5</f>
        <v>382.5</v>
      </c>
      <c r="J271" s="5"/>
      <c r="K271" s="6">
        <v>17</v>
      </c>
      <c r="L271" s="104">
        <f t="shared" ref="L271" si="93">AVERAGE(K271:K273)</f>
        <v>17.7</v>
      </c>
      <c r="M271" s="98" t="str">
        <f t="shared" ref="M271" si="94">IF(L271=" ", " ",IF(L271&gt;17,"PASS", "FAIL" ))</f>
        <v>PASS</v>
      </c>
    </row>
    <row r="272" spans="2:13" ht="16.5" customHeight="1" thickBot="1">
      <c r="B272" s="108"/>
      <c r="C272" s="93"/>
      <c r="D272" s="93"/>
      <c r="E272" s="99"/>
      <c r="F272" s="56">
        <v>8.25</v>
      </c>
      <c r="G272" s="99"/>
      <c r="H272" s="99"/>
      <c r="I272" s="11">
        <f t="shared" si="92"/>
        <v>402.74999999999994</v>
      </c>
      <c r="J272" s="8"/>
      <c r="K272" s="9">
        <v>17.899999999999999</v>
      </c>
      <c r="L272" s="105"/>
      <c r="M272" s="99"/>
    </row>
    <row r="273" spans="2:13" ht="16.5" customHeight="1" thickBot="1">
      <c r="B273" s="108"/>
      <c r="C273" s="93"/>
      <c r="D273" s="93"/>
      <c r="E273" s="99"/>
      <c r="F273" s="56">
        <v>8.1</v>
      </c>
      <c r="G273" s="99"/>
      <c r="H273" s="99"/>
      <c r="I273" s="11">
        <f t="shared" si="92"/>
        <v>409.5</v>
      </c>
      <c r="J273" s="11"/>
      <c r="K273" s="12">
        <v>18.2</v>
      </c>
      <c r="L273" s="106"/>
      <c r="M273" s="100"/>
    </row>
    <row r="274" spans="2:13" ht="16.5" customHeight="1">
      <c r="B274" s="108"/>
      <c r="C274" s="93"/>
      <c r="D274" s="93"/>
      <c r="E274" s="99"/>
      <c r="F274" s="69">
        <v>8.35</v>
      </c>
      <c r="G274" s="99"/>
      <c r="H274" s="99"/>
      <c r="I274" s="14">
        <f t="shared" si="92"/>
        <v>565.65</v>
      </c>
      <c r="J274" s="14"/>
      <c r="K274" s="31">
        <v>25.14</v>
      </c>
      <c r="L274" s="104">
        <f t="shared" ref="L274" si="95">AVERAGE(K274:K276)</f>
        <v>26.430000000000003</v>
      </c>
      <c r="M274" s="98" t="str">
        <f t="shared" ref="M274" si="96">IF(L274=" ", " ",IF(L274&gt;17,"PASS", "FAIL" ))</f>
        <v>PASS</v>
      </c>
    </row>
    <row r="275" spans="2:13" ht="16.5" customHeight="1">
      <c r="B275" s="108"/>
      <c r="C275" s="93"/>
      <c r="D275" s="93"/>
      <c r="E275" s="99"/>
      <c r="F275" s="69">
        <v>8.4499999999999993</v>
      </c>
      <c r="G275" s="99"/>
      <c r="H275" s="99"/>
      <c r="I275" s="16">
        <f t="shared" si="92"/>
        <v>629.54999999999995</v>
      </c>
      <c r="J275" s="16"/>
      <c r="K275" s="32">
        <v>27.98</v>
      </c>
      <c r="L275" s="105"/>
      <c r="M275" s="99"/>
    </row>
    <row r="276" spans="2:13" ht="16.5" customHeight="1" thickBot="1">
      <c r="B276" s="109"/>
      <c r="C276" s="94"/>
      <c r="D276" s="94"/>
      <c r="E276" s="100"/>
      <c r="F276" s="70">
        <v>8.25</v>
      </c>
      <c r="G276" s="100"/>
      <c r="H276" s="100"/>
      <c r="I276" s="19">
        <f t="shared" si="92"/>
        <v>588.82500000000005</v>
      </c>
      <c r="J276" s="19"/>
      <c r="K276" s="33">
        <v>26.17</v>
      </c>
      <c r="L276" s="106"/>
      <c r="M276" s="100"/>
    </row>
    <row r="277" spans="2:13" ht="16.5" customHeight="1" thickBot="1">
      <c r="B277" s="107">
        <v>44</v>
      </c>
      <c r="C277" s="92">
        <v>46111</v>
      </c>
      <c r="D277" s="171" t="s">
        <v>69</v>
      </c>
      <c r="E277" s="98" t="s">
        <v>44</v>
      </c>
      <c r="F277" s="57">
        <v>7.98</v>
      </c>
      <c r="G277" s="101">
        <f t="shared" ref="G277" si="97">C277+7</f>
        <v>46118</v>
      </c>
      <c r="H277" s="101">
        <f>C277+28</f>
        <v>46139</v>
      </c>
      <c r="I277" s="5">
        <f>K277*22.5</f>
        <v>445.5</v>
      </c>
      <c r="J277" s="5"/>
      <c r="K277" s="6">
        <v>19.8</v>
      </c>
      <c r="L277" s="104">
        <f t="shared" ref="L277" si="98">AVERAGE(K277:K279)</f>
        <v>18.3</v>
      </c>
      <c r="M277" s="98" t="str">
        <f t="shared" ref="M277" si="99">IF(L277=" ", " ",IF(L277&gt;17,"PASS", "FAIL" ))</f>
        <v>PASS</v>
      </c>
    </row>
    <row r="278" spans="2:13" ht="16.5" customHeight="1" thickBot="1">
      <c r="B278" s="108"/>
      <c r="C278" s="93"/>
      <c r="D278" s="93"/>
      <c r="E278" s="99"/>
      <c r="F278" s="58">
        <v>8.1</v>
      </c>
      <c r="G278" s="102"/>
      <c r="H278" s="102"/>
      <c r="I278" s="5">
        <f t="shared" ref="I278:I282" si="100">K278*22.5</f>
        <v>396.00000000000006</v>
      </c>
      <c r="J278" s="8"/>
      <c r="K278" s="9">
        <v>17.600000000000001</v>
      </c>
      <c r="L278" s="105"/>
      <c r="M278" s="99"/>
    </row>
    <row r="279" spans="2:13" ht="16.5" customHeight="1" thickBot="1">
      <c r="B279" s="108"/>
      <c r="C279" s="93"/>
      <c r="D279" s="93"/>
      <c r="E279" s="99"/>
      <c r="F279" s="58">
        <v>8.1999999999999993</v>
      </c>
      <c r="G279" s="102"/>
      <c r="H279" s="102"/>
      <c r="I279" s="5">
        <f t="shared" si="100"/>
        <v>393.75</v>
      </c>
      <c r="J279" s="11"/>
      <c r="K279" s="12">
        <v>17.5</v>
      </c>
      <c r="L279" s="106"/>
      <c r="M279" s="100"/>
    </row>
    <row r="280" spans="2:13" ht="16.5" customHeight="1" thickBot="1">
      <c r="B280" s="108"/>
      <c r="C280" s="93"/>
      <c r="D280" s="93"/>
      <c r="E280" s="99"/>
      <c r="F280" s="69">
        <v>8.1199999999999992</v>
      </c>
      <c r="G280" s="102"/>
      <c r="H280" s="102"/>
      <c r="I280" s="5">
        <f t="shared" si="100"/>
        <v>672.75</v>
      </c>
      <c r="J280" s="14"/>
      <c r="K280" s="31">
        <v>29.9</v>
      </c>
      <c r="L280" s="104">
        <f t="shared" ref="L280" si="101">AVERAGE(K280:K282)</f>
        <v>27.356666666666666</v>
      </c>
      <c r="M280" s="98" t="str">
        <f t="shared" ref="M280" si="102">IF(L280=" ", " ",IF(L280&gt;17,"PASS", "FAIL" ))</f>
        <v>PASS</v>
      </c>
    </row>
    <row r="281" spans="2:13" ht="16.5" customHeight="1" thickBot="1">
      <c r="B281" s="108"/>
      <c r="C281" s="93"/>
      <c r="D281" s="93"/>
      <c r="E281" s="99"/>
      <c r="F281" s="69">
        <v>8.36</v>
      </c>
      <c r="G281" s="102"/>
      <c r="H281" s="102"/>
      <c r="I281" s="5">
        <f t="shared" si="100"/>
        <v>609.52499999999998</v>
      </c>
      <c r="J281" s="16"/>
      <c r="K281" s="32">
        <v>27.09</v>
      </c>
      <c r="L281" s="105"/>
      <c r="M281" s="99"/>
    </row>
    <row r="282" spans="2:13" ht="16.5" customHeight="1" thickBot="1">
      <c r="B282" s="109"/>
      <c r="C282" s="94"/>
      <c r="D282" s="94"/>
      <c r="E282" s="100"/>
      <c r="F282" s="70">
        <v>8.3000000000000007</v>
      </c>
      <c r="G282" s="103"/>
      <c r="H282" s="103"/>
      <c r="I282" s="5">
        <f t="shared" si="100"/>
        <v>564.29999999999995</v>
      </c>
      <c r="J282" s="19"/>
      <c r="K282" s="33">
        <v>25.08</v>
      </c>
      <c r="L282" s="106"/>
      <c r="M282" s="100"/>
    </row>
    <row r="283" spans="2:13" ht="16.5" customHeight="1" thickBot="1">
      <c r="B283" s="107">
        <v>45</v>
      </c>
      <c r="C283" s="92">
        <v>46112</v>
      </c>
      <c r="D283" s="110" t="s">
        <v>70</v>
      </c>
      <c r="E283" s="98" t="s">
        <v>44</v>
      </c>
      <c r="F283" s="57">
        <v>8.43</v>
      </c>
      <c r="G283" s="101">
        <f t="shared" ref="G283" si="103">C283+7</f>
        <v>46119</v>
      </c>
      <c r="H283" s="101">
        <f t="shared" ref="H283" si="104">C283+28</f>
        <v>46140</v>
      </c>
      <c r="I283" s="5">
        <f>K283*22.5</f>
        <v>393.75</v>
      </c>
      <c r="J283" s="5"/>
      <c r="K283" s="6">
        <v>17.5</v>
      </c>
      <c r="L283" s="104">
        <f t="shared" ref="L283" si="105">AVERAGE(K283:K285)</f>
        <v>17.566666666666666</v>
      </c>
      <c r="M283" s="98" t="str">
        <f t="shared" ref="M283" si="106">IF(L283=" ", " ",IF(L283&gt;17,"PASS", "FAIL" ))</f>
        <v>PASS</v>
      </c>
    </row>
    <row r="284" spans="2:13" ht="16.5" customHeight="1" thickBot="1">
      <c r="B284" s="108"/>
      <c r="C284" s="93"/>
      <c r="D284" s="111"/>
      <c r="E284" s="99"/>
      <c r="F284" s="58">
        <v>8.4700000000000006</v>
      </c>
      <c r="G284" s="102"/>
      <c r="H284" s="102"/>
      <c r="I284" s="5">
        <f t="shared" ref="I284:I288" si="107">K284*22.5</f>
        <v>405</v>
      </c>
      <c r="J284" s="8"/>
      <c r="K284" s="9">
        <v>18</v>
      </c>
      <c r="L284" s="105"/>
      <c r="M284" s="99"/>
    </row>
    <row r="285" spans="2:13" ht="16.5" customHeight="1" thickBot="1">
      <c r="B285" s="108"/>
      <c r="C285" s="93"/>
      <c r="D285" s="111"/>
      <c r="E285" s="99"/>
      <c r="F285" s="58">
        <v>8.4</v>
      </c>
      <c r="G285" s="102"/>
      <c r="H285" s="102"/>
      <c r="I285" s="5">
        <f t="shared" si="107"/>
        <v>387</v>
      </c>
      <c r="J285" s="11"/>
      <c r="K285" s="12">
        <v>17.2</v>
      </c>
      <c r="L285" s="106"/>
      <c r="M285" s="100"/>
    </row>
    <row r="286" spans="2:13" ht="16.5" customHeight="1">
      <c r="B286" s="108"/>
      <c r="C286" s="93"/>
      <c r="D286" s="111"/>
      <c r="E286" s="99"/>
      <c r="F286" s="69">
        <v>8.6</v>
      </c>
      <c r="G286" s="102"/>
      <c r="H286" s="102"/>
      <c r="I286" s="14">
        <f t="shared" si="107"/>
        <v>742.5</v>
      </c>
      <c r="J286" s="14"/>
      <c r="K286" s="31">
        <v>33</v>
      </c>
      <c r="L286" s="104">
        <f t="shared" ref="L286" si="108">AVERAGE(K286:K288)</f>
        <v>31.74666666666667</v>
      </c>
      <c r="M286" s="98" t="str">
        <f t="shared" ref="M286" si="109">IF(L286=" ", " ",IF(L286&gt;17,"PASS", "FAIL" ))</f>
        <v>PASS</v>
      </c>
    </row>
    <row r="287" spans="2:13" ht="16.5" customHeight="1">
      <c r="B287" s="108"/>
      <c r="C287" s="93"/>
      <c r="D287" s="111"/>
      <c r="E287" s="99"/>
      <c r="F287" s="69">
        <v>8.5500000000000007</v>
      </c>
      <c r="G287" s="102"/>
      <c r="H287" s="102"/>
      <c r="I287" s="16">
        <f t="shared" si="107"/>
        <v>740.25</v>
      </c>
      <c r="J287" s="16"/>
      <c r="K287" s="32">
        <v>32.9</v>
      </c>
      <c r="L287" s="105"/>
      <c r="M287" s="99"/>
    </row>
    <row r="288" spans="2:13" ht="16.5" customHeight="1" thickBot="1">
      <c r="B288" s="109"/>
      <c r="C288" s="94"/>
      <c r="D288" s="112"/>
      <c r="E288" s="100"/>
      <c r="F288" s="70">
        <v>8.57</v>
      </c>
      <c r="G288" s="103"/>
      <c r="H288" s="103"/>
      <c r="I288" s="19">
        <f t="shared" si="107"/>
        <v>660.15</v>
      </c>
      <c r="J288" s="19"/>
      <c r="K288" s="33">
        <v>29.34</v>
      </c>
      <c r="L288" s="106"/>
      <c r="M288" s="100"/>
    </row>
    <row r="289" spans="2:13" ht="16.5" customHeight="1" thickBot="1">
      <c r="B289" s="107">
        <v>46</v>
      </c>
      <c r="C289" s="92">
        <v>46112</v>
      </c>
      <c r="D289" s="171" t="s">
        <v>71</v>
      </c>
      <c r="E289" s="98" t="s">
        <v>44</v>
      </c>
      <c r="F289" s="57">
        <v>8.43</v>
      </c>
      <c r="G289" s="101">
        <f t="shared" ref="G289" si="110">C289+7</f>
        <v>46119</v>
      </c>
      <c r="H289" s="101">
        <f t="shared" ref="H289" si="111">C289+28</f>
        <v>46140</v>
      </c>
      <c r="I289" s="5">
        <f>22.5*K289</f>
        <v>393.75</v>
      </c>
      <c r="J289" s="5"/>
      <c r="K289" s="6">
        <v>17.5</v>
      </c>
      <c r="L289" s="104">
        <f t="shared" ref="L289" si="112">AVERAGE(K289:K291)</f>
        <v>17.866666666666664</v>
      </c>
      <c r="M289" s="98" t="str">
        <f t="shared" ref="M289" si="113">IF(L289=" ", " ",IF(L289&gt;17,"PASS", "FAIL" ))</f>
        <v>PASS</v>
      </c>
    </row>
    <row r="290" spans="2:13" ht="16.5" customHeight="1" thickBot="1">
      <c r="B290" s="108"/>
      <c r="C290" s="93"/>
      <c r="D290" s="93"/>
      <c r="E290" s="99"/>
      <c r="F290" s="58">
        <v>8.4</v>
      </c>
      <c r="G290" s="102"/>
      <c r="H290" s="102"/>
      <c r="I290" s="5">
        <f t="shared" ref="I290:I294" si="114">22.5*K290</f>
        <v>402.74999999999994</v>
      </c>
      <c r="J290" s="8"/>
      <c r="K290" s="9">
        <v>17.899999999999999</v>
      </c>
      <c r="L290" s="105"/>
      <c r="M290" s="99"/>
    </row>
    <row r="291" spans="2:13" ht="16.5" customHeight="1" thickBot="1">
      <c r="B291" s="108"/>
      <c r="C291" s="93"/>
      <c r="D291" s="93"/>
      <c r="E291" s="99"/>
      <c r="F291" s="58">
        <v>8.48</v>
      </c>
      <c r="G291" s="102"/>
      <c r="H291" s="102"/>
      <c r="I291" s="5">
        <f t="shared" si="114"/>
        <v>409.5</v>
      </c>
      <c r="J291" s="5"/>
      <c r="K291" s="12">
        <v>18.2</v>
      </c>
      <c r="L291" s="106"/>
      <c r="M291" s="100"/>
    </row>
    <row r="292" spans="2:13" ht="16.5" customHeight="1" thickBot="1">
      <c r="B292" s="108"/>
      <c r="C292" s="93"/>
      <c r="D292" s="93"/>
      <c r="E292" s="99"/>
      <c r="F292" s="69">
        <v>8.5</v>
      </c>
      <c r="G292" s="102"/>
      <c r="H292" s="102"/>
      <c r="I292" s="5">
        <f t="shared" si="114"/>
        <v>631.35</v>
      </c>
      <c r="J292" s="14"/>
      <c r="K292" s="31">
        <v>28.06</v>
      </c>
      <c r="L292" s="104">
        <f t="shared" ref="L292" si="115">AVERAGE(K292:K294)</f>
        <v>28.266666666666666</v>
      </c>
      <c r="M292" s="98" t="str">
        <f t="shared" ref="M292" si="116">IF(L292=" ", " ",IF(L292&gt;17,"PASS", "FAIL" ))</f>
        <v>PASS</v>
      </c>
    </row>
    <row r="293" spans="2:13" ht="16.5" customHeight="1">
      <c r="B293" s="108"/>
      <c r="C293" s="93"/>
      <c r="D293" s="93"/>
      <c r="E293" s="99"/>
      <c r="F293" s="69">
        <v>8.5500000000000007</v>
      </c>
      <c r="G293" s="102"/>
      <c r="H293" s="102"/>
      <c r="I293" s="5">
        <f t="shared" si="114"/>
        <v>674.55</v>
      </c>
      <c r="J293" s="16"/>
      <c r="K293" s="32">
        <v>29.98</v>
      </c>
      <c r="L293" s="105"/>
      <c r="M293" s="99"/>
    </row>
    <row r="294" spans="2:13" ht="16.5" customHeight="1" thickBot="1">
      <c r="B294" s="109"/>
      <c r="C294" s="94"/>
      <c r="D294" s="94"/>
      <c r="E294" s="100"/>
      <c r="F294" s="70">
        <v>8.59</v>
      </c>
      <c r="G294" s="103"/>
      <c r="H294" s="103"/>
      <c r="I294" s="19">
        <f t="shared" si="114"/>
        <v>602.1</v>
      </c>
      <c r="J294" s="19"/>
      <c r="K294" s="33">
        <v>26.76</v>
      </c>
      <c r="L294" s="106"/>
      <c r="M294" s="100"/>
    </row>
    <row r="295" spans="2:13" ht="16.5" customHeight="1" thickBot="1">
      <c r="B295" s="107">
        <v>47</v>
      </c>
      <c r="C295" s="92">
        <v>46113</v>
      </c>
      <c r="D295" s="171" t="s">
        <v>72</v>
      </c>
      <c r="E295" s="98" t="s">
        <v>44</v>
      </c>
      <c r="F295" s="57">
        <v>8.39</v>
      </c>
      <c r="G295" s="101">
        <f t="shared" ref="G295" si="117">C295+7</f>
        <v>46120</v>
      </c>
      <c r="H295" s="101">
        <f t="shared" ref="H295" si="118">C295+28</f>
        <v>46141</v>
      </c>
      <c r="I295" s="5">
        <f>22.5*K295</f>
        <v>407.25000000000006</v>
      </c>
      <c r="J295" s="5"/>
      <c r="K295" s="6">
        <v>18.100000000000001</v>
      </c>
      <c r="L295" s="104">
        <f t="shared" ref="L295" si="119">AVERAGE(K295:K297)</f>
        <v>17.8</v>
      </c>
      <c r="M295" s="98" t="str">
        <f t="shared" ref="M295" si="120">IF(L295=" ", " ",IF(L295&gt;17,"PASS", "FAIL" ))</f>
        <v>PASS</v>
      </c>
    </row>
    <row r="296" spans="2:13" ht="16.5" customHeight="1" thickBot="1">
      <c r="B296" s="108"/>
      <c r="C296" s="93"/>
      <c r="D296" s="93"/>
      <c r="E296" s="99"/>
      <c r="F296" s="58">
        <v>8.4499999999999993</v>
      </c>
      <c r="G296" s="102"/>
      <c r="H296" s="102"/>
      <c r="I296" s="5">
        <f t="shared" ref="I296:I300" si="121">22.5*K296</f>
        <v>389.25</v>
      </c>
      <c r="J296" s="8"/>
      <c r="K296" s="9">
        <v>17.3</v>
      </c>
      <c r="L296" s="105"/>
      <c r="M296" s="99"/>
    </row>
    <row r="297" spans="2:13" ht="16.5" customHeight="1" thickBot="1">
      <c r="B297" s="108"/>
      <c r="C297" s="93"/>
      <c r="D297" s="93"/>
      <c r="E297" s="99"/>
      <c r="F297" s="58">
        <v>8.4600000000000009</v>
      </c>
      <c r="G297" s="102"/>
      <c r="H297" s="102"/>
      <c r="I297" s="5">
        <f t="shared" si="121"/>
        <v>405</v>
      </c>
      <c r="J297" s="11"/>
      <c r="K297" s="12">
        <v>18</v>
      </c>
      <c r="L297" s="106"/>
      <c r="M297" s="100"/>
    </row>
    <row r="298" spans="2:13" ht="16.5" customHeight="1">
      <c r="B298" s="108"/>
      <c r="C298" s="93"/>
      <c r="D298" s="93"/>
      <c r="E298" s="99"/>
      <c r="F298" s="69">
        <v>8.52</v>
      </c>
      <c r="G298" s="102"/>
      <c r="H298" s="102"/>
      <c r="I298" s="14">
        <f t="shared" si="121"/>
        <v>643.5</v>
      </c>
      <c r="J298" s="14"/>
      <c r="K298" s="31">
        <v>28.6</v>
      </c>
      <c r="L298" s="104">
        <f t="shared" ref="L298" si="122">AVERAGE(K298:K300)</f>
        <v>28.676666666666666</v>
      </c>
      <c r="M298" s="98" t="str">
        <f t="shared" ref="M298" si="123">IF(L298=" ", " ",IF(L298&gt;17,"PASS", "FAIL" ))</f>
        <v>PASS</v>
      </c>
    </row>
    <row r="299" spans="2:13" ht="16.5" customHeight="1">
      <c r="B299" s="108"/>
      <c r="C299" s="93"/>
      <c r="D299" s="93"/>
      <c r="E299" s="99"/>
      <c r="F299" s="69">
        <v>8.5500000000000007</v>
      </c>
      <c r="G299" s="102"/>
      <c r="H299" s="102"/>
      <c r="I299" s="16">
        <f t="shared" si="121"/>
        <v>695.02499999999998</v>
      </c>
      <c r="J299" s="16"/>
      <c r="K299" s="32">
        <v>30.89</v>
      </c>
      <c r="L299" s="105"/>
      <c r="M299" s="99"/>
    </row>
    <row r="300" spans="2:13" ht="16.5" customHeight="1" thickBot="1">
      <c r="B300" s="109"/>
      <c r="C300" s="94"/>
      <c r="D300" s="94"/>
      <c r="E300" s="100"/>
      <c r="F300" s="70">
        <v>8.5</v>
      </c>
      <c r="G300" s="103"/>
      <c r="H300" s="103"/>
      <c r="I300" s="19">
        <f t="shared" si="121"/>
        <v>597.15</v>
      </c>
      <c r="J300" s="19"/>
      <c r="K300" s="33">
        <v>26.54</v>
      </c>
      <c r="L300" s="106"/>
      <c r="M300" s="100"/>
    </row>
    <row r="301" spans="2:13" ht="16.5" customHeight="1" thickBot="1">
      <c r="B301" s="107">
        <v>48</v>
      </c>
      <c r="C301" s="92">
        <v>46116</v>
      </c>
      <c r="D301" s="110" t="s">
        <v>73</v>
      </c>
      <c r="E301" s="98" t="s">
        <v>44</v>
      </c>
      <c r="F301" s="57">
        <v>8.4600000000000009</v>
      </c>
      <c r="G301" s="101">
        <f t="shared" ref="G301" si="124">C301+7</f>
        <v>46123</v>
      </c>
      <c r="H301" s="101">
        <f t="shared" ref="H301" si="125">C301+28</f>
        <v>46144</v>
      </c>
      <c r="I301" s="5">
        <f>K301*22.5</f>
        <v>391.49999999999994</v>
      </c>
      <c r="J301" s="5"/>
      <c r="K301" s="6">
        <v>17.399999999999999</v>
      </c>
      <c r="L301" s="104">
        <f t="shared" ref="L301" si="126">AVERAGE(K301:K303)</f>
        <v>17.7</v>
      </c>
      <c r="M301" s="98" t="str">
        <f t="shared" ref="M301" si="127">IF(L301=" ", " ",IF(L301&gt;17,"PASS", "FAIL" ))</f>
        <v>PASS</v>
      </c>
    </row>
    <row r="302" spans="2:13" ht="16.5" customHeight="1" thickBot="1">
      <c r="B302" s="108"/>
      <c r="C302" s="93"/>
      <c r="D302" s="111"/>
      <c r="E302" s="99"/>
      <c r="F302" s="58">
        <v>8.48</v>
      </c>
      <c r="G302" s="102"/>
      <c r="H302" s="102"/>
      <c r="I302" s="5">
        <f t="shared" ref="I302:I303" si="128">K302*22.5</f>
        <v>418.50000000000006</v>
      </c>
      <c r="J302" s="8"/>
      <c r="K302" s="9">
        <v>18.600000000000001</v>
      </c>
      <c r="L302" s="105"/>
      <c r="M302" s="99"/>
    </row>
    <row r="303" spans="2:13" ht="16.5" customHeight="1" thickBot="1">
      <c r="B303" s="108"/>
      <c r="C303" s="93"/>
      <c r="D303" s="111"/>
      <c r="E303" s="99"/>
      <c r="F303" s="58">
        <v>8.44</v>
      </c>
      <c r="G303" s="102"/>
      <c r="H303" s="102"/>
      <c r="I303" s="5">
        <f t="shared" si="128"/>
        <v>384.75000000000006</v>
      </c>
      <c r="J303" s="11"/>
      <c r="K303" s="12">
        <v>17.100000000000001</v>
      </c>
      <c r="L303" s="106"/>
      <c r="M303" s="100"/>
    </row>
    <row r="304" spans="2:13" ht="16.5" customHeight="1" thickBot="1">
      <c r="B304" s="108"/>
      <c r="C304" s="93"/>
      <c r="D304" s="111"/>
      <c r="E304" s="99"/>
      <c r="F304" s="69">
        <v>8.3000000000000007</v>
      </c>
      <c r="G304" s="102"/>
      <c r="H304" s="102"/>
      <c r="I304" s="14">
        <f t="shared" ref="I304:I306" si="129">22.5*K304</f>
        <v>641.02499999999998</v>
      </c>
      <c r="J304" s="14"/>
      <c r="K304" s="31">
        <v>28.49</v>
      </c>
      <c r="L304" s="104">
        <f t="shared" ref="L304" si="130">AVERAGE(K304:K306)</f>
        <v>27.99</v>
      </c>
      <c r="M304" s="98" t="str">
        <f t="shared" ref="M304" si="131">IF(L304=" ", " ",IF(L304&gt;17,"PASS", "FAIL" ))</f>
        <v>PASS</v>
      </c>
    </row>
    <row r="305" spans="2:13" ht="16.5" customHeight="1" thickBot="1">
      <c r="B305" s="108"/>
      <c r="C305" s="93"/>
      <c r="D305" s="111"/>
      <c r="E305" s="99"/>
      <c r="F305" s="69">
        <v>8.0299999999999994</v>
      </c>
      <c r="G305" s="102"/>
      <c r="H305" s="102"/>
      <c r="I305" s="14">
        <f t="shared" si="129"/>
        <v>612.9</v>
      </c>
      <c r="J305" s="16"/>
      <c r="K305" s="32">
        <v>27.24</v>
      </c>
      <c r="L305" s="105"/>
      <c r="M305" s="99"/>
    </row>
    <row r="306" spans="2:13" ht="16.5" customHeight="1" thickBot="1">
      <c r="B306" s="109"/>
      <c r="C306" s="94"/>
      <c r="D306" s="112"/>
      <c r="E306" s="100"/>
      <c r="F306" s="70">
        <v>8.1300000000000008</v>
      </c>
      <c r="G306" s="103"/>
      <c r="H306" s="103"/>
      <c r="I306" s="14">
        <f t="shared" si="129"/>
        <v>635.4</v>
      </c>
      <c r="J306" s="19"/>
      <c r="K306" s="33">
        <v>28.24</v>
      </c>
      <c r="L306" s="106"/>
      <c r="M306" s="100"/>
    </row>
    <row r="307" spans="2:13" ht="16.5" customHeight="1" thickBot="1">
      <c r="B307" s="107">
        <v>49</v>
      </c>
      <c r="C307" s="92">
        <v>46119</v>
      </c>
      <c r="D307" s="171" t="s">
        <v>74</v>
      </c>
      <c r="E307" s="98" t="s">
        <v>44</v>
      </c>
      <c r="F307" s="57">
        <v>8.1</v>
      </c>
      <c r="G307" s="101">
        <f t="shared" ref="G307" si="132">C307+7</f>
        <v>46126</v>
      </c>
      <c r="H307" s="101">
        <f t="shared" ref="H307" si="133">C307+28</f>
        <v>46147</v>
      </c>
      <c r="I307" s="5">
        <f>22.5*K307</f>
        <v>434.25</v>
      </c>
      <c r="J307" s="5"/>
      <c r="K307" s="6">
        <v>19.3</v>
      </c>
      <c r="L307" s="104">
        <f t="shared" ref="L307" si="134">AVERAGE(K307:K309)</f>
        <v>18.366666666666671</v>
      </c>
      <c r="M307" s="98" t="str">
        <f t="shared" ref="M307" si="135">IF(L307=" ", " ",IF(L307&gt;17,"PASS", "FAIL" ))</f>
        <v>PASS</v>
      </c>
    </row>
    <row r="308" spans="2:13" ht="16.5" customHeight="1" thickBot="1">
      <c r="B308" s="108"/>
      <c r="C308" s="93"/>
      <c r="D308" s="93"/>
      <c r="E308" s="99"/>
      <c r="F308" s="58">
        <v>8.1999999999999993</v>
      </c>
      <c r="G308" s="102"/>
      <c r="H308" s="102"/>
      <c r="I308" s="5">
        <f t="shared" ref="I308:I312" si="136">22.5*K308</f>
        <v>407.25000000000006</v>
      </c>
      <c r="J308" s="8"/>
      <c r="K308" s="9">
        <v>18.100000000000001</v>
      </c>
      <c r="L308" s="105"/>
      <c r="M308" s="99"/>
    </row>
    <row r="309" spans="2:13" ht="16.5" customHeight="1" thickBot="1">
      <c r="B309" s="108"/>
      <c r="C309" s="93"/>
      <c r="D309" s="93"/>
      <c r="E309" s="99"/>
      <c r="F309" s="58">
        <v>8.1999999999999993</v>
      </c>
      <c r="G309" s="102"/>
      <c r="H309" s="102"/>
      <c r="I309" s="5">
        <f t="shared" si="136"/>
        <v>398.25</v>
      </c>
      <c r="J309" s="11"/>
      <c r="K309" s="12">
        <v>17.7</v>
      </c>
      <c r="L309" s="106"/>
      <c r="M309" s="100"/>
    </row>
    <row r="310" spans="2:13" ht="16.5" customHeight="1">
      <c r="B310" s="108"/>
      <c r="C310" s="93"/>
      <c r="D310" s="93"/>
      <c r="E310" s="99"/>
      <c r="F310" s="74">
        <v>8.6999999999999993</v>
      </c>
      <c r="G310" s="102"/>
      <c r="H310" s="102"/>
      <c r="I310" s="14">
        <f t="shared" si="136"/>
        <v>655.42499999999995</v>
      </c>
      <c r="J310" s="14"/>
      <c r="K310" s="31">
        <v>29.13</v>
      </c>
      <c r="L310" s="104">
        <f t="shared" ref="L310" si="137">AVERAGE(K310:K312)</f>
        <v>28.186666666666667</v>
      </c>
      <c r="M310" s="98" t="str">
        <f t="shared" ref="M310" si="138">IF(L310=" ", " ",IF(L310&gt;17,"PASS", "FAIL" ))</f>
        <v>PASS</v>
      </c>
    </row>
    <row r="311" spans="2:13" ht="16.5" customHeight="1">
      <c r="B311" s="108"/>
      <c r="C311" s="93"/>
      <c r="D311" s="93"/>
      <c r="E311" s="99"/>
      <c r="F311" s="74">
        <v>8.65</v>
      </c>
      <c r="G311" s="102"/>
      <c r="H311" s="102"/>
      <c r="I311" s="16">
        <f t="shared" si="136"/>
        <v>665.1</v>
      </c>
      <c r="J311" s="16"/>
      <c r="K311" s="32">
        <v>29.56</v>
      </c>
      <c r="L311" s="105"/>
      <c r="M311" s="99"/>
    </row>
    <row r="312" spans="2:13" ht="16.5" customHeight="1" thickBot="1">
      <c r="B312" s="109"/>
      <c r="C312" s="94"/>
      <c r="D312" s="94"/>
      <c r="E312" s="100"/>
      <c r="F312" s="75">
        <v>8.3699999999999992</v>
      </c>
      <c r="G312" s="103"/>
      <c r="H312" s="103"/>
      <c r="I312" s="19">
        <f t="shared" si="136"/>
        <v>582.07500000000005</v>
      </c>
      <c r="J312" s="19"/>
      <c r="K312" s="33">
        <v>25.87</v>
      </c>
      <c r="L312" s="106"/>
      <c r="M312" s="100"/>
    </row>
    <row r="313" spans="2:13" ht="16.5" customHeight="1" thickBot="1">
      <c r="B313" s="107">
        <v>50</v>
      </c>
      <c r="C313" s="92">
        <v>46121</v>
      </c>
      <c r="D313" s="110" t="s">
        <v>75</v>
      </c>
      <c r="E313" s="98" t="s">
        <v>44</v>
      </c>
      <c r="F313" s="62">
        <v>8.4</v>
      </c>
      <c r="G313" s="101">
        <f t="shared" ref="G313" si="139">C313+7</f>
        <v>46128</v>
      </c>
      <c r="H313" s="101">
        <f t="shared" ref="H313" si="140">C313+28</f>
        <v>46149</v>
      </c>
      <c r="I313" s="5">
        <f t="shared" ref="I313:I318" si="141">22.5*K313</f>
        <v>410.17500000000001</v>
      </c>
      <c r="J313" s="5"/>
      <c r="K313" s="6">
        <v>18.23</v>
      </c>
      <c r="L313" s="104">
        <f t="shared" ref="L313" si="142">AVERAGE(K313:K315)</f>
        <v>17.709999999999997</v>
      </c>
      <c r="M313" s="98" t="str">
        <f t="shared" ref="M313" si="143">IF(L313=" ", " ",IF(L313&gt;17,"PASS", "FAIL" ))</f>
        <v>PASS</v>
      </c>
    </row>
    <row r="314" spans="2:13" ht="16.5" customHeight="1" thickBot="1">
      <c r="B314" s="108"/>
      <c r="C314" s="93"/>
      <c r="D314" s="111"/>
      <c r="E314" s="99"/>
      <c r="F314" s="61">
        <v>8.6</v>
      </c>
      <c r="G314" s="102"/>
      <c r="H314" s="102"/>
      <c r="I314" s="5">
        <f t="shared" si="141"/>
        <v>384.75000000000006</v>
      </c>
      <c r="J314" s="8"/>
      <c r="K314" s="9">
        <v>17.100000000000001</v>
      </c>
      <c r="L314" s="105"/>
      <c r="M314" s="99"/>
    </row>
    <row r="315" spans="2:13" ht="16.5" customHeight="1" thickBot="1">
      <c r="B315" s="108"/>
      <c r="C315" s="93"/>
      <c r="D315" s="111"/>
      <c r="E315" s="99"/>
      <c r="F315" s="61">
        <v>8.5500000000000007</v>
      </c>
      <c r="G315" s="102"/>
      <c r="H315" s="102"/>
      <c r="I315" s="5">
        <f t="shared" si="141"/>
        <v>400.5</v>
      </c>
      <c r="J315" s="11"/>
      <c r="K315" s="12">
        <v>17.8</v>
      </c>
      <c r="L315" s="106"/>
      <c r="M315" s="100"/>
    </row>
    <row r="316" spans="2:13" ht="16.5" customHeight="1">
      <c r="B316" s="108"/>
      <c r="C316" s="93"/>
      <c r="D316" s="111"/>
      <c r="E316" s="99"/>
      <c r="F316" s="74">
        <v>8.7200000000000006</v>
      </c>
      <c r="G316" s="102"/>
      <c r="H316" s="102"/>
      <c r="I316" s="14">
        <f t="shared" si="141"/>
        <v>666</v>
      </c>
      <c r="J316" s="14"/>
      <c r="K316" s="31">
        <v>29.6</v>
      </c>
      <c r="L316" s="104">
        <f t="shared" ref="L316" si="144">AVERAGE(K316:K318)</f>
        <v>28.99</v>
      </c>
      <c r="M316" s="98" t="str">
        <f t="shared" ref="M316" si="145">IF(L316=" ", " ",IF(L316&gt;17,"PASS", "FAIL" ))</f>
        <v>PASS</v>
      </c>
    </row>
    <row r="317" spans="2:13" ht="16.5" customHeight="1">
      <c r="B317" s="108"/>
      <c r="C317" s="93"/>
      <c r="D317" s="111"/>
      <c r="E317" s="99"/>
      <c r="F317" s="74">
        <v>8.3699999999999992</v>
      </c>
      <c r="G317" s="102"/>
      <c r="H317" s="102"/>
      <c r="I317" s="16">
        <f t="shared" si="141"/>
        <v>655.42499999999995</v>
      </c>
      <c r="J317" s="16"/>
      <c r="K317" s="32">
        <v>29.13</v>
      </c>
      <c r="L317" s="105"/>
      <c r="M317" s="99"/>
    </row>
    <row r="318" spans="2:13" ht="16.5" customHeight="1" thickBot="1">
      <c r="B318" s="109"/>
      <c r="C318" s="94"/>
      <c r="D318" s="112"/>
      <c r="E318" s="100"/>
      <c r="F318" s="75">
        <v>8.65</v>
      </c>
      <c r="G318" s="103"/>
      <c r="H318" s="103"/>
      <c r="I318" s="19">
        <f t="shared" si="141"/>
        <v>635.4</v>
      </c>
      <c r="J318" s="19"/>
      <c r="K318" s="33">
        <v>28.24</v>
      </c>
      <c r="L318" s="106"/>
      <c r="M318" s="100"/>
    </row>
    <row r="319" spans="2:13" ht="16.5" customHeight="1" thickBot="1">
      <c r="B319" s="107">
        <v>51</v>
      </c>
      <c r="C319" s="92">
        <v>46122</v>
      </c>
      <c r="D319" s="110" t="s">
        <v>76</v>
      </c>
      <c r="E319" s="98" t="s">
        <v>44</v>
      </c>
      <c r="F319" s="63">
        <v>8.6</v>
      </c>
      <c r="G319" s="101">
        <f t="shared" ref="G319" si="146">C319+7</f>
        <v>46129</v>
      </c>
      <c r="H319" s="101">
        <f t="shared" ref="H319" si="147">C319+28</f>
        <v>46150</v>
      </c>
      <c r="I319" s="5">
        <f t="shared" ref="I319:I324" si="148">22.5*K319</f>
        <v>432.67500000000001</v>
      </c>
      <c r="J319" s="5"/>
      <c r="K319" s="6">
        <v>19.23</v>
      </c>
      <c r="L319" s="104">
        <f t="shared" ref="L319" si="149">AVERAGE(K319:K321)</f>
        <v>17.876666666666665</v>
      </c>
      <c r="M319" s="98" t="str">
        <f t="shared" ref="M319" si="150">IF(L319=" ", " ",IF(L319&gt;17,"PASS", "FAIL" ))</f>
        <v>PASS</v>
      </c>
    </row>
    <row r="320" spans="2:13" ht="16.5" customHeight="1" thickBot="1">
      <c r="B320" s="108"/>
      <c r="C320" s="93"/>
      <c r="D320" s="111"/>
      <c r="E320" s="99"/>
      <c r="F320" s="64">
        <v>8.5</v>
      </c>
      <c r="G320" s="102"/>
      <c r="H320" s="102"/>
      <c r="I320" s="5">
        <f t="shared" si="148"/>
        <v>387</v>
      </c>
      <c r="J320" s="8"/>
      <c r="K320" s="9">
        <v>17.2</v>
      </c>
      <c r="L320" s="105"/>
      <c r="M320" s="99"/>
    </row>
    <row r="321" spans="2:13" ht="16.5" customHeight="1" thickBot="1">
      <c r="B321" s="108"/>
      <c r="C321" s="93"/>
      <c r="D321" s="111"/>
      <c r="E321" s="99"/>
      <c r="F321" s="64">
        <v>8.5</v>
      </c>
      <c r="G321" s="102"/>
      <c r="H321" s="102"/>
      <c r="I321" s="5">
        <f t="shared" si="148"/>
        <v>387</v>
      </c>
      <c r="J321" s="11"/>
      <c r="K321" s="12">
        <v>17.2</v>
      </c>
      <c r="L321" s="106"/>
      <c r="M321" s="100"/>
    </row>
    <row r="322" spans="2:13" ht="16.5" customHeight="1">
      <c r="B322" s="108"/>
      <c r="C322" s="93"/>
      <c r="D322" s="111"/>
      <c r="E322" s="99"/>
      <c r="F322" s="74">
        <v>8.7100000000000009</v>
      </c>
      <c r="G322" s="102"/>
      <c r="H322" s="102"/>
      <c r="I322" s="16">
        <f t="shared" si="148"/>
        <v>665.55</v>
      </c>
      <c r="J322" s="14"/>
      <c r="K322" s="31">
        <v>29.58</v>
      </c>
      <c r="L322" s="104">
        <f t="shared" ref="L322" si="151">AVERAGE(K322:K324)</f>
        <v>28.176666666666666</v>
      </c>
      <c r="M322" s="98" t="str">
        <f t="shared" ref="M322" si="152">IF(L322=" ", " ",IF(L322&gt;17,"PASS", "FAIL" ))</f>
        <v>PASS</v>
      </c>
    </row>
    <row r="323" spans="2:13" ht="16.5" customHeight="1">
      <c r="B323" s="108"/>
      <c r="C323" s="93"/>
      <c r="D323" s="111"/>
      <c r="E323" s="99"/>
      <c r="F323" s="74">
        <v>8.6</v>
      </c>
      <c r="G323" s="102"/>
      <c r="H323" s="102"/>
      <c r="I323" s="16">
        <f t="shared" si="148"/>
        <v>660.375</v>
      </c>
      <c r="J323" s="16"/>
      <c r="K323" s="32">
        <v>29.35</v>
      </c>
      <c r="L323" s="105"/>
      <c r="M323" s="99"/>
    </row>
    <row r="324" spans="2:13" ht="16.5" customHeight="1" thickBot="1">
      <c r="B324" s="109"/>
      <c r="C324" s="94"/>
      <c r="D324" s="112"/>
      <c r="E324" s="100"/>
      <c r="F324" s="75">
        <v>8.6999999999999993</v>
      </c>
      <c r="G324" s="103"/>
      <c r="H324" s="103"/>
      <c r="I324" s="16">
        <f t="shared" si="148"/>
        <v>576</v>
      </c>
      <c r="J324" s="19"/>
      <c r="K324" s="33">
        <v>25.6</v>
      </c>
      <c r="L324" s="106"/>
      <c r="M324" s="100"/>
    </row>
    <row r="325" spans="2:13" ht="16.5" customHeight="1" thickBot="1">
      <c r="B325" s="107">
        <v>52</v>
      </c>
      <c r="C325" s="92">
        <v>46125</v>
      </c>
      <c r="D325" s="110" t="s">
        <v>77</v>
      </c>
      <c r="E325" s="98" t="s">
        <v>44</v>
      </c>
      <c r="F325" s="66">
        <v>8.5</v>
      </c>
      <c r="G325" s="101">
        <f t="shared" ref="G325" si="153">C325+7</f>
        <v>46132</v>
      </c>
      <c r="H325" s="101">
        <f t="shared" ref="H325" si="154">C325+28</f>
        <v>46153</v>
      </c>
      <c r="I325" s="5">
        <f t="shared" ref="I325:I330" si="155">22.5*K325</f>
        <v>425.24999999999994</v>
      </c>
      <c r="J325" s="5"/>
      <c r="K325" s="6">
        <v>18.899999999999999</v>
      </c>
      <c r="L325" s="104">
        <f t="shared" ref="L325" si="156">AVERAGE(K325:K327)</f>
        <v>21.113333333333333</v>
      </c>
      <c r="M325" s="98" t="str">
        <f t="shared" ref="M325" si="157">IF(L325=" ", " ",IF(L325&gt;17,"PASS", "FAIL" ))</f>
        <v>PASS</v>
      </c>
    </row>
    <row r="326" spans="2:13" ht="16.5" customHeight="1" thickBot="1">
      <c r="B326" s="108"/>
      <c r="C326" s="93"/>
      <c r="D326" s="111"/>
      <c r="E326" s="99"/>
      <c r="F326" s="65">
        <v>8.6</v>
      </c>
      <c r="G326" s="102"/>
      <c r="H326" s="102"/>
      <c r="I326" s="5">
        <f t="shared" si="155"/>
        <v>507.15</v>
      </c>
      <c r="J326" s="8"/>
      <c r="K326" s="9">
        <v>22.54</v>
      </c>
      <c r="L326" s="105"/>
      <c r="M326" s="99"/>
    </row>
    <row r="327" spans="2:13" ht="16.5" customHeight="1" thickBot="1">
      <c r="B327" s="108"/>
      <c r="C327" s="93"/>
      <c r="D327" s="111"/>
      <c r="E327" s="99"/>
      <c r="F327" s="65">
        <v>8.4</v>
      </c>
      <c r="G327" s="102"/>
      <c r="H327" s="102"/>
      <c r="I327" s="5">
        <f t="shared" si="155"/>
        <v>492.74999999999994</v>
      </c>
      <c r="J327" s="11"/>
      <c r="K327" s="12">
        <v>21.9</v>
      </c>
      <c r="L327" s="106"/>
      <c r="M327" s="100"/>
    </row>
    <row r="328" spans="2:13" ht="16.5" customHeight="1">
      <c r="B328" s="108"/>
      <c r="C328" s="93"/>
      <c r="D328" s="111"/>
      <c r="E328" s="99"/>
      <c r="F328" s="74">
        <v>8.65</v>
      </c>
      <c r="G328" s="102"/>
      <c r="H328" s="102"/>
      <c r="I328" s="16">
        <f t="shared" si="155"/>
        <v>675</v>
      </c>
      <c r="J328" s="14"/>
      <c r="K328" s="31">
        <v>30</v>
      </c>
      <c r="L328" s="104">
        <f t="shared" ref="L328" si="158">AVERAGE(K328:K330)</f>
        <v>29.090000000000003</v>
      </c>
      <c r="M328" s="98" t="str">
        <f t="shared" ref="M328" si="159">IF(L328=" ", " ",IF(L328&gt;17,"PASS", "FAIL" ))</f>
        <v>PASS</v>
      </c>
    </row>
    <row r="329" spans="2:13" ht="16.5" customHeight="1">
      <c r="B329" s="108"/>
      <c r="C329" s="93"/>
      <c r="D329" s="111"/>
      <c r="E329" s="99"/>
      <c r="F329" s="74">
        <v>8.4</v>
      </c>
      <c r="G329" s="102"/>
      <c r="H329" s="102"/>
      <c r="I329" s="16">
        <f t="shared" si="155"/>
        <v>672.07500000000005</v>
      </c>
      <c r="J329" s="16"/>
      <c r="K329" s="32">
        <v>29.87</v>
      </c>
      <c r="L329" s="105"/>
      <c r="M329" s="99"/>
    </row>
    <row r="330" spans="2:13" ht="16.5" customHeight="1" thickBot="1">
      <c r="B330" s="109"/>
      <c r="C330" s="94"/>
      <c r="D330" s="112"/>
      <c r="E330" s="100"/>
      <c r="F330" s="75">
        <v>8.1999999999999993</v>
      </c>
      <c r="G330" s="103"/>
      <c r="H330" s="103"/>
      <c r="I330" s="16">
        <f t="shared" si="155"/>
        <v>616.5</v>
      </c>
      <c r="J330" s="19"/>
      <c r="K330" s="33">
        <v>27.4</v>
      </c>
      <c r="L330" s="106"/>
      <c r="M330" s="100"/>
    </row>
    <row r="331" spans="2:13" ht="16.5" customHeight="1" thickBot="1">
      <c r="B331" s="107">
        <v>53</v>
      </c>
      <c r="C331" s="92">
        <v>46126</v>
      </c>
      <c r="D331" s="110" t="s">
        <v>77</v>
      </c>
      <c r="E331" s="98" t="s">
        <v>44</v>
      </c>
      <c r="F331" s="73">
        <v>8.5500000000000007</v>
      </c>
      <c r="G331" s="101">
        <f t="shared" ref="G331" si="160">C331+7</f>
        <v>46133</v>
      </c>
      <c r="H331" s="101">
        <f t="shared" ref="H331" si="161">C331+28</f>
        <v>46154</v>
      </c>
      <c r="I331" s="5">
        <f t="shared" ref="I331:I336" si="162">22.5*K331</f>
        <v>404.55</v>
      </c>
      <c r="J331" s="5"/>
      <c r="K331" s="6">
        <v>17.98</v>
      </c>
      <c r="L331" s="104">
        <f t="shared" ref="L331" si="163">AVERAGE(K331:K333)</f>
        <v>17.723333333333333</v>
      </c>
      <c r="M331" s="98" t="str">
        <f t="shared" ref="M331" si="164">IF(L331=" ", " ",IF(L331&gt;17,"PASS", "FAIL" ))</f>
        <v>PASS</v>
      </c>
    </row>
    <row r="332" spans="2:13" ht="16.5" customHeight="1" thickBot="1">
      <c r="B332" s="108"/>
      <c r="C332" s="93"/>
      <c r="D332" s="111"/>
      <c r="E332" s="99"/>
      <c r="F332" s="74">
        <v>8.48</v>
      </c>
      <c r="G332" s="102"/>
      <c r="H332" s="102"/>
      <c r="I332" s="5">
        <f t="shared" si="162"/>
        <v>407.02499999999998</v>
      </c>
      <c r="J332" s="8"/>
      <c r="K332" s="9">
        <v>18.09</v>
      </c>
      <c r="L332" s="105"/>
      <c r="M332" s="99"/>
    </row>
    <row r="333" spans="2:13" ht="16.5" customHeight="1" thickBot="1">
      <c r="B333" s="108"/>
      <c r="C333" s="93"/>
      <c r="D333" s="111"/>
      <c r="E333" s="99"/>
      <c r="F333" s="74">
        <v>8.43</v>
      </c>
      <c r="G333" s="102"/>
      <c r="H333" s="102"/>
      <c r="I333" s="5">
        <f t="shared" si="162"/>
        <v>384.75000000000006</v>
      </c>
      <c r="J333" s="11"/>
      <c r="K333" s="12">
        <v>17.100000000000001</v>
      </c>
      <c r="L333" s="106"/>
      <c r="M333" s="100"/>
    </row>
    <row r="334" spans="2:13" ht="16.5" customHeight="1">
      <c r="B334" s="108"/>
      <c r="C334" s="93"/>
      <c r="D334" s="111"/>
      <c r="E334" s="99"/>
      <c r="F334" s="74">
        <v>8.4</v>
      </c>
      <c r="G334" s="102"/>
      <c r="H334" s="102"/>
      <c r="I334" s="14">
        <f t="shared" si="162"/>
        <v>697.5</v>
      </c>
      <c r="J334" s="14"/>
      <c r="K334" s="31">
        <v>31</v>
      </c>
      <c r="L334" s="104">
        <f t="shared" ref="L334" si="165">AVERAGE(K334:K336)</f>
        <v>30.52333333333333</v>
      </c>
      <c r="M334" s="98" t="str">
        <f t="shared" ref="M334" si="166">IF(L334=" ", " ",IF(L334&gt;17,"PASS", "FAIL" ))</f>
        <v>PASS</v>
      </c>
    </row>
    <row r="335" spans="2:13" ht="16.5" customHeight="1">
      <c r="B335" s="108"/>
      <c r="C335" s="93"/>
      <c r="D335" s="111"/>
      <c r="E335" s="99"/>
      <c r="F335" s="74">
        <v>8.5</v>
      </c>
      <c r="G335" s="102"/>
      <c r="H335" s="102"/>
      <c r="I335" s="16">
        <f t="shared" si="162"/>
        <v>693</v>
      </c>
      <c r="J335" s="16"/>
      <c r="K335" s="32">
        <v>30.8</v>
      </c>
      <c r="L335" s="105"/>
      <c r="M335" s="99"/>
    </row>
    <row r="336" spans="2:13" ht="16.5" customHeight="1" thickBot="1">
      <c r="B336" s="109"/>
      <c r="C336" s="94"/>
      <c r="D336" s="112"/>
      <c r="E336" s="100"/>
      <c r="F336" s="75">
        <v>8.5399999999999991</v>
      </c>
      <c r="G336" s="103"/>
      <c r="H336" s="103"/>
      <c r="I336" s="19">
        <f t="shared" si="162"/>
        <v>669.82500000000005</v>
      </c>
      <c r="J336" s="19"/>
      <c r="K336" s="33">
        <v>29.77</v>
      </c>
      <c r="L336" s="106"/>
      <c r="M336" s="100"/>
    </row>
    <row r="337" spans="2:13" ht="16.5" customHeight="1" thickBot="1">
      <c r="B337" s="107">
        <v>54</v>
      </c>
      <c r="C337" s="92">
        <v>46127</v>
      </c>
      <c r="D337" s="110" t="s">
        <v>78</v>
      </c>
      <c r="E337" s="98" t="s">
        <v>44</v>
      </c>
      <c r="F337" s="67">
        <v>8.6</v>
      </c>
      <c r="G337" s="101">
        <f t="shared" ref="G337" si="167">C337+7</f>
        <v>46134</v>
      </c>
      <c r="H337" s="101">
        <f t="shared" ref="H337" si="168">C337+28</f>
        <v>46155</v>
      </c>
      <c r="I337" s="5">
        <f t="shared" ref="I337:I342" si="169">22.5*K337</f>
        <v>467.1</v>
      </c>
      <c r="J337" s="5"/>
      <c r="K337" s="6">
        <v>20.76</v>
      </c>
      <c r="L337" s="104">
        <f t="shared" ref="L337" si="170">AVERAGE(K337:K339)</f>
        <v>18.306666666666668</v>
      </c>
      <c r="M337" s="98" t="str">
        <f t="shared" ref="M337" si="171">IF(L337=" ", " ",IF(L337&gt;17,"PASS", "FAIL" ))</f>
        <v>PASS</v>
      </c>
    </row>
    <row r="338" spans="2:13" ht="16.5" customHeight="1" thickBot="1">
      <c r="B338" s="108"/>
      <c r="C338" s="93"/>
      <c r="D338" s="111"/>
      <c r="E338" s="99"/>
      <c r="F338" s="68">
        <v>8.48</v>
      </c>
      <c r="G338" s="102"/>
      <c r="H338" s="102"/>
      <c r="I338" s="5">
        <f t="shared" si="169"/>
        <v>406.57499999999999</v>
      </c>
      <c r="J338" s="8"/>
      <c r="K338" s="9">
        <v>18.07</v>
      </c>
      <c r="L338" s="105"/>
      <c r="M338" s="99"/>
    </row>
    <row r="339" spans="2:13" ht="16.5" customHeight="1" thickBot="1">
      <c r="B339" s="108"/>
      <c r="C339" s="93"/>
      <c r="D339" s="111"/>
      <c r="E339" s="99"/>
      <c r="F339" s="68">
        <v>8.6199999999999992</v>
      </c>
      <c r="G339" s="102"/>
      <c r="H339" s="102"/>
      <c r="I339" s="5">
        <f t="shared" si="169"/>
        <v>362.02499999999998</v>
      </c>
      <c r="J339" s="11"/>
      <c r="K339" s="12">
        <v>16.09</v>
      </c>
      <c r="L339" s="106"/>
      <c r="M339" s="100"/>
    </row>
    <row r="340" spans="2:13" ht="16.5" customHeight="1">
      <c r="B340" s="108"/>
      <c r="C340" s="93"/>
      <c r="D340" s="111"/>
      <c r="E340" s="99"/>
      <c r="F340" s="79">
        <v>8.5500000000000007</v>
      </c>
      <c r="G340" s="102"/>
      <c r="H340" s="102"/>
      <c r="I340" s="14">
        <f t="shared" si="169"/>
        <v>668.25</v>
      </c>
      <c r="J340" s="14"/>
      <c r="K340" s="31">
        <v>29.7</v>
      </c>
      <c r="L340" s="104">
        <f t="shared" ref="L340" si="172">AVERAGE(K340:K342)</f>
        <v>30.716666666666669</v>
      </c>
      <c r="M340" s="98" t="str">
        <f t="shared" ref="M340" si="173">IF(L340=" ", " ",IF(L340&gt;17,"PASS", "FAIL" ))</f>
        <v>PASS</v>
      </c>
    </row>
    <row r="341" spans="2:13" ht="16.5" customHeight="1">
      <c r="B341" s="108"/>
      <c r="C341" s="93"/>
      <c r="D341" s="111"/>
      <c r="E341" s="99"/>
      <c r="F341" s="79">
        <v>8.49</v>
      </c>
      <c r="G341" s="102"/>
      <c r="H341" s="102"/>
      <c r="I341" s="16">
        <f t="shared" si="169"/>
        <v>686.25</v>
      </c>
      <c r="J341" s="16"/>
      <c r="K341" s="32">
        <v>30.5</v>
      </c>
      <c r="L341" s="105"/>
      <c r="M341" s="99"/>
    </row>
    <row r="342" spans="2:13" ht="16.5" customHeight="1" thickBot="1">
      <c r="B342" s="109"/>
      <c r="C342" s="94"/>
      <c r="D342" s="112"/>
      <c r="E342" s="100"/>
      <c r="F342" s="80">
        <v>8.6</v>
      </c>
      <c r="G342" s="103"/>
      <c r="H342" s="103"/>
      <c r="I342" s="19">
        <f t="shared" si="169"/>
        <v>718.875</v>
      </c>
      <c r="J342" s="19"/>
      <c r="K342" s="33">
        <v>31.95</v>
      </c>
      <c r="L342" s="106"/>
      <c r="M342" s="100"/>
    </row>
    <row r="343" spans="2:13" ht="16.5" customHeight="1" thickBot="1">
      <c r="B343" s="107">
        <v>55</v>
      </c>
      <c r="C343" s="92">
        <v>46128</v>
      </c>
      <c r="D343" s="110" t="s">
        <v>78</v>
      </c>
      <c r="E343" s="98" t="s">
        <v>44</v>
      </c>
      <c r="F343" s="66">
        <v>8.41</v>
      </c>
      <c r="G343" s="101">
        <f t="shared" ref="G343" si="174">C343+7</f>
        <v>46135</v>
      </c>
      <c r="H343" s="101">
        <f t="shared" ref="H343" si="175">C343+28</f>
        <v>46156</v>
      </c>
      <c r="I343" s="5">
        <f t="shared" ref="I343:I348" si="176">22.5*K343</f>
        <v>505.125</v>
      </c>
      <c r="J343" s="5"/>
      <c r="K343" s="6">
        <v>22.45</v>
      </c>
      <c r="L343" s="104">
        <f t="shared" ref="L343" si="177">AVERAGE(K343:K345)</f>
        <v>20.173333333333336</v>
      </c>
      <c r="M343" s="98" t="str">
        <f t="shared" ref="M343" si="178">IF(L343=" ", " ",IF(L343&gt;17,"PASS", "FAIL" ))</f>
        <v>PASS</v>
      </c>
    </row>
    <row r="344" spans="2:13" ht="16.5" customHeight="1" thickBot="1">
      <c r="B344" s="108"/>
      <c r="C344" s="93"/>
      <c r="D344" s="111"/>
      <c r="E344" s="99"/>
      <c r="F344" s="65">
        <v>8.56</v>
      </c>
      <c r="G344" s="102"/>
      <c r="H344" s="102"/>
      <c r="I344" s="5">
        <f t="shared" si="176"/>
        <v>450</v>
      </c>
      <c r="J344" s="8"/>
      <c r="K344" s="9">
        <v>20</v>
      </c>
      <c r="L344" s="105"/>
      <c r="M344" s="99"/>
    </row>
    <row r="345" spans="2:13" ht="16.5" customHeight="1" thickBot="1">
      <c r="B345" s="108"/>
      <c r="C345" s="93"/>
      <c r="D345" s="111"/>
      <c r="E345" s="99"/>
      <c r="F345" s="65">
        <v>8.4600000000000009</v>
      </c>
      <c r="G345" s="102"/>
      <c r="H345" s="102"/>
      <c r="I345" s="5">
        <f t="shared" si="176"/>
        <v>406.57499999999999</v>
      </c>
      <c r="J345" s="11"/>
      <c r="K345" s="12">
        <v>18.07</v>
      </c>
      <c r="L345" s="106"/>
      <c r="M345" s="100"/>
    </row>
    <row r="346" spans="2:13" ht="16.5" customHeight="1">
      <c r="B346" s="108"/>
      <c r="C346" s="93"/>
      <c r="D346" s="111"/>
      <c r="E346" s="99"/>
      <c r="F346" s="79">
        <v>8.44</v>
      </c>
      <c r="G346" s="102"/>
      <c r="H346" s="102"/>
      <c r="I346" s="14">
        <f t="shared" si="176"/>
        <v>481.49999999999994</v>
      </c>
      <c r="J346" s="14"/>
      <c r="K346" s="31">
        <v>21.4</v>
      </c>
      <c r="L346" s="104">
        <f t="shared" ref="L346" si="179">AVERAGE(K346:K348)</f>
        <v>19.763333333333335</v>
      </c>
      <c r="M346" s="98" t="str">
        <f t="shared" ref="M346" si="180">IF(L346=" ", " ",IF(L346&gt;17,"PASS", "FAIL" ))</f>
        <v>PASS</v>
      </c>
    </row>
    <row r="347" spans="2:13" ht="16.5" customHeight="1">
      <c r="B347" s="108"/>
      <c r="C347" s="93"/>
      <c r="D347" s="111"/>
      <c r="E347" s="99"/>
      <c r="F347" s="79">
        <v>8.65</v>
      </c>
      <c r="G347" s="102"/>
      <c r="H347" s="102"/>
      <c r="I347" s="16">
        <f t="shared" si="176"/>
        <v>423</v>
      </c>
      <c r="J347" s="16"/>
      <c r="K347" s="32">
        <v>18.8</v>
      </c>
      <c r="L347" s="105"/>
      <c r="M347" s="99"/>
    </row>
    <row r="348" spans="2:13" ht="16.5" customHeight="1" thickBot="1">
      <c r="B348" s="109"/>
      <c r="C348" s="94"/>
      <c r="D348" s="112"/>
      <c r="E348" s="100"/>
      <c r="F348" s="80">
        <v>8.3000000000000007</v>
      </c>
      <c r="G348" s="103"/>
      <c r="H348" s="103"/>
      <c r="I348" s="19">
        <f t="shared" si="176"/>
        <v>429.52499999999998</v>
      </c>
      <c r="J348" s="19"/>
      <c r="K348" s="33">
        <v>19.09</v>
      </c>
      <c r="L348" s="106"/>
      <c r="M348" s="100"/>
    </row>
    <row r="349" spans="2:13" ht="16.5" customHeight="1" thickBot="1">
      <c r="B349" s="107">
        <v>56</v>
      </c>
      <c r="C349" s="92">
        <v>46129</v>
      </c>
      <c r="D349" s="110" t="s">
        <v>79</v>
      </c>
      <c r="E349" s="98" t="s">
        <v>44</v>
      </c>
      <c r="F349" s="67">
        <v>8.4499999999999993</v>
      </c>
      <c r="G349" s="101">
        <f t="shared" ref="G349" si="181">C349+7</f>
        <v>46136</v>
      </c>
      <c r="H349" s="101">
        <f t="shared" ref="H349" si="182">C349+28</f>
        <v>46157</v>
      </c>
      <c r="I349" s="5">
        <f t="shared" ref="I349:I360" si="183">22.5*K349</f>
        <v>474.29999999999995</v>
      </c>
      <c r="J349" s="5"/>
      <c r="K349" s="6">
        <v>21.08</v>
      </c>
      <c r="L349" s="104">
        <f t="shared" ref="L349" si="184">AVERAGE(K349:K351)</f>
        <v>20.376666666666665</v>
      </c>
      <c r="M349" s="98" t="str">
        <f t="shared" ref="M349" si="185">IF(L349=" ", " ",IF(L349&gt;17,"PASS", "FAIL" ))</f>
        <v>PASS</v>
      </c>
    </row>
    <row r="350" spans="2:13" ht="16.5" customHeight="1" thickBot="1">
      <c r="B350" s="108"/>
      <c r="C350" s="93"/>
      <c r="D350" s="111"/>
      <c r="E350" s="99"/>
      <c r="F350" s="68">
        <v>8.4499999999999993</v>
      </c>
      <c r="G350" s="102"/>
      <c r="H350" s="102"/>
      <c r="I350" s="5">
        <f t="shared" si="183"/>
        <v>495.67500000000001</v>
      </c>
      <c r="J350" s="8"/>
      <c r="K350" s="9">
        <v>22.03</v>
      </c>
      <c r="L350" s="105"/>
      <c r="M350" s="99"/>
    </row>
    <row r="351" spans="2:13" ht="16.5" customHeight="1" thickBot="1">
      <c r="B351" s="108"/>
      <c r="C351" s="93"/>
      <c r="D351" s="111"/>
      <c r="E351" s="99"/>
      <c r="F351" s="68">
        <v>8.52</v>
      </c>
      <c r="G351" s="102"/>
      <c r="H351" s="102"/>
      <c r="I351" s="5">
        <f t="shared" si="183"/>
        <v>405.45</v>
      </c>
      <c r="J351" s="11"/>
      <c r="K351" s="12">
        <v>18.02</v>
      </c>
      <c r="L351" s="106"/>
      <c r="M351" s="100"/>
    </row>
    <row r="352" spans="2:13" ht="16.5" customHeight="1" thickBot="1">
      <c r="B352" s="108"/>
      <c r="C352" s="93"/>
      <c r="D352" s="111"/>
      <c r="E352" s="99"/>
      <c r="F352" s="79">
        <v>8.6</v>
      </c>
      <c r="G352" s="102"/>
      <c r="H352" s="102"/>
      <c r="I352" s="14">
        <f t="shared" si="183"/>
        <v>631.79999999999995</v>
      </c>
      <c r="J352" s="14"/>
      <c r="K352" s="31">
        <v>28.08</v>
      </c>
      <c r="L352" s="104">
        <f t="shared" ref="L352" si="186">AVERAGE(K352:K354)</f>
        <v>29.593333333333334</v>
      </c>
      <c r="M352" s="98" t="str">
        <f t="shared" ref="M352" si="187">IF(L352=" ", " ",IF(L352&gt;17,"PASS", "FAIL" ))</f>
        <v>PASS</v>
      </c>
    </row>
    <row r="353" spans="2:13" ht="16.5" customHeight="1" thickBot="1">
      <c r="B353" s="108"/>
      <c r="C353" s="93"/>
      <c r="D353" s="111"/>
      <c r="E353" s="99"/>
      <c r="F353" s="79">
        <v>8.6199999999999992</v>
      </c>
      <c r="G353" s="102"/>
      <c r="H353" s="102"/>
      <c r="I353" s="14">
        <f t="shared" si="183"/>
        <v>625.5</v>
      </c>
      <c r="J353" s="16"/>
      <c r="K353" s="32">
        <v>27.8</v>
      </c>
      <c r="L353" s="105"/>
      <c r="M353" s="99"/>
    </row>
    <row r="354" spans="2:13" ht="16.5" customHeight="1" thickBot="1">
      <c r="B354" s="109"/>
      <c r="C354" s="94"/>
      <c r="D354" s="112"/>
      <c r="E354" s="100"/>
      <c r="F354" s="80">
        <v>8.56</v>
      </c>
      <c r="G354" s="103"/>
      <c r="H354" s="103"/>
      <c r="I354" s="14">
        <f t="shared" si="183"/>
        <v>740.25</v>
      </c>
      <c r="J354" s="19"/>
      <c r="K354" s="33">
        <v>32.9</v>
      </c>
      <c r="L354" s="106"/>
      <c r="M354" s="100"/>
    </row>
    <row r="355" spans="2:13" ht="16.5" customHeight="1" thickBot="1">
      <c r="B355" s="107">
        <v>57</v>
      </c>
      <c r="C355" s="92">
        <v>46134</v>
      </c>
      <c r="D355" s="110" t="s">
        <v>80</v>
      </c>
      <c r="E355" s="98" t="s">
        <v>44</v>
      </c>
      <c r="F355" s="71">
        <v>8.6</v>
      </c>
      <c r="G355" s="101">
        <f t="shared" ref="G355" si="188">C355+7</f>
        <v>46141</v>
      </c>
      <c r="H355" s="101">
        <f t="shared" ref="H355" si="189">C355+28</f>
        <v>46162</v>
      </c>
      <c r="I355" s="5">
        <f t="shared" si="183"/>
        <v>405</v>
      </c>
      <c r="J355" s="5"/>
      <c r="K355" s="6">
        <v>18</v>
      </c>
      <c r="L355" s="104">
        <f t="shared" ref="L355" si="190">AVERAGE(K355:K357)</f>
        <v>18.986666666666668</v>
      </c>
      <c r="M355" s="98" t="str">
        <f t="shared" ref="M355" si="191">IF(L355=" ", " ",IF(L355&gt;17,"PASS", "FAIL" ))</f>
        <v>PASS</v>
      </c>
    </row>
    <row r="356" spans="2:13" ht="16.5" customHeight="1" thickBot="1">
      <c r="B356" s="108"/>
      <c r="C356" s="93"/>
      <c r="D356" s="111"/>
      <c r="E356" s="99"/>
      <c r="F356" s="72">
        <v>8.5</v>
      </c>
      <c r="G356" s="102"/>
      <c r="H356" s="102"/>
      <c r="I356" s="5">
        <f t="shared" si="183"/>
        <v>415.35</v>
      </c>
      <c r="J356" s="8"/>
      <c r="K356" s="9">
        <v>18.46</v>
      </c>
      <c r="L356" s="105"/>
      <c r="M356" s="99"/>
    </row>
    <row r="357" spans="2:13" ht="16.5" customHeight="1" thickBot="1">
      <c r="B357" s="108"/>
      <c r="C357" s="93"/>
      <c r="D357" s="111"/>
      <c r="E357" s="99"/>
      <c r="F357" s="72">
        <v>8.5500000000000007</v>
      </c>
      <c r="G357" s="102"/>
      <c r="H357" s="102"/>
      <c r="I357" s="5">
        <f t="shared" si="183"/>
        <v>461.25</v>
      </c>
      <c r="J357" s="11"/>
      <c r="K357" s="12">
        <v>20.5</v>
      </c>
      <c r="L357" s="106"/>
      <c r="M357" s="100"/>
    </row>
    <row r="358" spans="2:13" ht="16.5" customHeight="1">
      <c r="B358" s="108"/>
      <c r="C358" s="93"/>
      <c r="D358" s="111"/>
      <c r="E358" s="99"/>
      <c r="F358" s="85">
        <v>8.5</v>
      </c>
      <c r="G358" s="102"/>
      <c r="H358" s="102"/>
      <c r="I358" s="14">
        <f t="shared" si="183"/>
        <v>652.5</v>
      </c>
      <c r="J358" s="14"/>
      <c r="K358" s="31">
        <v>29</v>
      </c>
      <c r="L358" s="104">
        <f t="shared" ref="L358" si="192">AVERAGE(K358:K360)</f>
        <v>29.633333333333336</v>
      </c>
      <c r="M358" s="98" t="str">
        <f t="shared" ref="M358" si="193">IF(L358=" ", " ",IF(L358&gt;17,"PASS", "FAIL" ))</f>
        <v>PASS</v>
      </c>
    </row>
    <row r="359" spans="2:13" ht="16.5" customHeight="1">
      <c r="B359" s="108"/>
      <c r="C359" s="93"/>
      <c r="D359" s="111"/>
      <c r="E359" s="99"/>
      <c r="F359" s="85">
        <v>8.6</v>
      </c>
      <c r="G359" s="102"/>
      <c r="H359" s="102"/>
      <c r="I359" s="16">
        <f t="shared" si="183"/>
        <v>697.5</v>
      </c>
      <c r="J359" s="16"/>
      <c r="K359" s="32">
        <v>31</v>
      </c>
      <c r="L359" s="105"/>
      <c r="M359" s="99"/>
    </row>
    <row r="360" spans="2:13" ht="16.5" customHeight="1" thickBot="1">
      <c r="B360" s="109"/>
      <c r="C360" s="94"/>
      <c r="D360" s="112"/>
      <c r="E360" s="100"/>
      <c r="F360" s="86">
        <v>8.6</v>
      </c>
      <c r="G360" s="103"/>
      <c r="H360" s="103"/>
      <c r="I360" s="19">
        <f t="shared" si="183"/>
        <v>650.25</v>
      </c>
      <c r="J360" s="19"/>
      <c r="K360" s="33">
        <v>28.9</v>
      </c>
      <c r="L360" s="106"/>
      <c r="M360" s="100"/>
    </row>
    <row r="361" spans="2:13" ht="16.5" customHeight="1" thickBot="1">
      <c r="B361" s="107">
        <v>58</v>
      </c>
      <c r="C361" s="92">
        <v>46135</v>
      </c>
      <c r="D361" s="95" t="s">
        <v>81</v>
      </c>
      <c r="E361" s="98" t="s">
        <v>44</v>
      </c>
      <c r="F361" s="71">
        <v>8.49</v>
      </c>
      <c r="G361" s="101">
        <f t="shared" ref="G361" si="194">C361+7</f>
        <v>46142</v>
      </c>
      <c r="H361" s="101">
        <f t="shared" ref="H361" si="195">C361+28</f>
        <v>46163</v>
      </c>
      <c r="I361" s="5">
        <f t="shared" ref="I361:I366" si="196">22.5*K361</f>
        <v>387</v>
      </c>
      <c r="J361" s="5"/>
      <c r="K361" s="6">
        <v>17.2</v>
      </c>
      <c r="L361" s="104">
        <f t="shared" ref="L361" si="197">AVERAGE(K361:K363)</f>
        <v>18.216666666666665</v>
      </c>
      <c r="M361" s="98" t="str">
        <f t="shared" ref="M361" si="198">IF(L361=" ", " ",IF(L361&gt;17,"PASS", "FAIL" ))</f>
        <v>PASS</v>
      </c>
    </row>
    <row r="362" spans="2:13" ht="16.5" customHeight="1" thickBot="1">
      <c r="B362" s="108"/>
      <c r="C362" s="93"/>
      <c r="D362" s="96"/>
      <c r="E362" s="99"/>
      <c r="F362" s="72">
        <v>8.48</v>
      </c>
      <c r="G362" s="102"/>
      <c r="H362" s="102"/>
      <c r="I362" s="5">
        <f t="shared" si="196"/>
        <v>437.625</v>
      </c>
      <c r="J362" s="8"/>
      <c r="K362" s="9">
        <v>19.45</v>
      </c>
      <c r="L362" s="105"/>
      <c r="M362" s="99"/>
    </row>
    <row r="363" spans="2:13" ht="16.5" customHeight="1" thickBot="1">
      <c r="B363" s="108"/>
      <c r="C363" s="93"/>
      <c r="D363" s="96"/>
      <c r="E363" s="99"/>
      <c r="F363" s="72">
        <v>8.6</v>
      </c>
      <c r="G363" s="102"/>
      <c r="H363" s="102"/>
      <c r="I363" s="5">
        <f t="shared" si="196"/>
        <v>405</v>
      </c>
      <c r="J363" s="11"/>
      <c r="K363" s="12">
        <v>18</v>
      </c>
      <c r="L363" s="106"/>
      <c r="M363" s="100"/>
    </row>
    <row r="364" spans="2:13" ht="16.5" customHeight="1">
      <c r="B364" s="108"/>
      <c r="C364" s="93"/>
      <c r="D364" s="96"/>
      <c r="E364" s="99"/>
      <c r="F364" s="85">
        <v>8.4499999999999993</v>
      </c>
      <c r="G364" s="102"/>
      <c r="H364" s="102"/>
      <c r="I364" s="14">
        <f t="shared" si="196"/>
        <v>692.1</v>
      </c>
      <c r="J364" s="14"/>
      <c r="K364" s="31">
        <v>30.76</v>
      </c>
      <c r="L364" s="104">
        <f t="shared" ref="L364" si="199">AVERAGE(K364:K366)</f>
        <v>32.22</v>
      </c>
      <c r="M364" s="98" t="str">
        <f t="shared" ref="M364" si="200">IF(L364=" ", " ",IF(L364&gt;17,"PASS", "FAIL" ))</f>
        <v>PASS</v>
      </c>
    </row>
    <row r="365" spans="2:13" ht="16.5" customHeight="1">
      <c r="B365" s="108"/>
      <c r="C365" s="93"/>
      <c r="D365" s="96"/>
      <c r="E365" s="99"/>
      <c r="F365" s="85">
        <v>8.6</v>
      </c>
      <c r="G365" s="102"/>
      <c r="H365" s="102"/>
      <c r="I365" s="16">
        <f t="shared" si="196"/>
        <v>722.25</v>
      </c>
      <c r="J365" s="16"/>
      <c r="K365" s="32">
        <v>32.1</v>
      </c>
      <c r="L365" s="105"/>
      <c r="M365" s="99"/>
    </row>
    <row r="366" spans="2:13" ht="16.5" customHeight="1" thickBot="1">
      <c r="B366" s="109"/>
      <c r="C366" s="94"/>
      <c r="D366" s="97"/>
      <c r="E366" s="100"/>
      <c r="F366" s="86">
        <v>8.5500000000000007</v>
      </c>
      <c r="G366" s="103"/>
      <c r="H366" s="103"/>
      <c r="I366" s="19">
        <f t="shared" si="196"/>
        <v>760.49999999999989</v>
      </c>
      <c r="J366" s="19"/>
      <c r="K366" s="33">
        <v>33.799999999999997</v>
      </c>
      <c r="L366" s="106"/>
      <c r="M366" s="100"/>
    </row>
    <row r="367" spans="2:13" ht="16.5" customHeight="1" thickBot="1">
      <c r="B367" s="107">
        <v>59</v>
      </c>
      <c r="C367" s="92">
        <v>46136</v>
      </c>
      <c r="D367" s="110" t="s">
        <v>82</v>
      </c>
      <c r="E367" s="98" t="s">
        <v>44</v>
      </c>
      <c r="F367" s="84">
        <v>8.5</v>
      </c>
      <c r="G367" s="101">
        <f t="shared" ref="G367" si="201">C367+7</f>
        <v>46143</v>
      </c>
      <c r="H367" s="101">
        <f t="shared" ref="H367" si="202">C367+28</f>
        <v>46164</v>
      </c>
      <c r="I367" s="5">
        <f t="shared" ref="I367:I372" si="203">22.5*K367</f>
        <v>499.5</v>
      </c>
      <c r="J367" s="5"/>
      <c r="K367" s="6">
        <v>22.2</v>
      </c>
      <c r="L367" s="104">
        <f t="shared" ref="L367" si="204">AVERAGE(K367:K369)</f>
        <v>20.133333333333333</v>
      </c>
      <c r="M367" s="98" t="str">
        <f t="shared" ref="M367" si="205">IF(L367=" ", " ",IF(L367&gt;17,"PASS", "FAIL" ))</f>
        <v>PASS</v>
      </c>
    </row>
    <row r="368" spans="2:13" ht="16.5" customHeight="1" thickBot="1">
      <c r="B368" s="108"/>
      <c r="C368" s="93"/>
      <c r="D368" s="111"/>
      <c r="E368" s="99"/>
      <c r="F368" s="85">
        <v>8.5399999999999991</v>
      </c>
      <c r="G368" s="102"/>
      <c r="H368" s="102"/>
      <c r="I368" s="5">
        <f t="shared" si="203"/>
        <v>477</v>
      </c>
      <c r="J368" s="8"/>
      <c r="K368" s="9">
        <v>21.2</v>
      </c>
      <c r="L368" s="105"/>
      <c r="M368" s="99"/>
    </row>
    <row r="369" spans="2:13" ht="16.5" customHeight="1" thickBot="1">
      <c r="B369" s="108"/>
      <c r="C369" s="93"/>
      <c r="D369" s="111"/>
      <c r="E369" s="99"/>
      <c r="F369" s="85">
        <v>8.4</v>
      </c>
      <c r="G369" s="102"/>
      <c r="H369" s="102"/>
      <c r="I369" s="5">
        <f t="shared" si="203"/>
        <v>382.5</v>
      </c>
      <c r="J369" s="11"/>
      <c r="K369" s="12">
        <v>17</v>
      </c>
      <c r="L369" s="106"/>
      <c r="M369" s="100"/>
    </row>
    <row r="370" spans="2:13" ht="16.5" customHeight="1">
      <c r="B370" s="108"/>
      <c r="C370" s="93"/>
      <c r="D370" s="111"/>
      <c r="E370" s="99"/>
      <c r="F370" s="85">
        <v>8.6</v>
      </c>
      <c r="G370" s="102"/>
      <c r="H370" s="102"/>
      <c r="I370" s="14">
        <f t="shared" si="203"/>
        <v>693</v>
      </c>
      <c r="J370" s="14"/>
      <c r="K370" s="31">
        <v>30.8</v>
      </c>
      <c r="L370" s="104">
        <f t="shared" ref="L370" si="206">AVERAGE(K370:K372)</f>
        <v>31.633333333333336</v>
      </c>
      <c r="M370" s="98" t="str">
        <f t="shared" ref="M370" si="207">IF(L370=" ", " ",IF(L370&gt;17,"PASS", "FAIL" ))</f>
        <v>PASS</v>
      </c>
    </row>
    <row r="371" spans="2:13" ht="16.5" customHeight="1">
      <c r="B371" s="108"/>
      <c r="C371" s="93"/>
      <c r="D371" s="111"/>
      <c r="E371" s="99"/>
      <c r="F371" s="85">
        <v>8.5</v>
      </c>
      <c r="G371" s="102"/>
      <c r="H371" s="102"/>
      <c r="I371" s="16">
        <f t="shared" si="203"/>
        <v>724.50000000000011</v>
      </c>
      <c r="J371" s="16"/>
      <c r="K371" s="32">
        <v>32.200000000000003</v>
      </c>
      <c r="L371" s="105"/>
      <c r="M371" s="99"/>
    </row>
    <row r="372" spans="2:13" ht="16.5" customHeight="1" thickBot="1">
      <c r="B372" s="109"/>
      <c r="C372" s="94"/>
      <c r="D372" s="112"/>
      <c r="E372" s="100"/>
      <c r="F372" s="86">
        <v>8.5500000000000007</v>
      </c>
      <c r="G372" s="103"/>
      <c r="H372" s="103"/>
      <c r="I372" s="19">
        <f t="shared" si="203"/>
        <v>717.75</v>
      </c>
      <c r="J372" s="19"/>
      <c r="K372" s="33">
        <v>31.9</v>
      </c>
      <c r="L372" s="106"/>
      <c r="M372" s="100"/>
    </row>
    <row r="373" spans="2:13" ht="16.5" customHeight="1" thickBot="1">
      <c r="B373" s="107">
        <v>60</v>
      </c>
      <c r="C373" s="92">
        <v>46137</v>
      </c>
      <c r="D373" s="171" t="s">
        <v>83</v>
      </c>
      <c r="E373" s="98" t="s">
        <v>44</v>
      </c>
      <c r="F373" s="83">
        <v>8.5</v>
      </c>
      <c r="G373" s="101">
        <f t="shared" ref="G373" si="208">C373+7</f>
        <v>46144</v>
      </c>
      <c r="H373" s="101">
        <f t="shared" ref="H373" si="209">C373+28</f>
        <v>46165</v>
      </c>
      <c r="I373" s="5">
        <f t="shared" ref="I373:I378" si="210">22.5*K373</f>
        <v>423</v>
      </c>
      <c r="J373" s="5"/>
      <c r="K373" s="6">
        <v>18.8</v>
      </c>
      <c r="L373" s="104">
        <f t="shared" ref="L373" si="211">AVERAGE(K373:K375)</f>
        <v>18.78</v>
      </c>
      <c r="M373" s="98" t="str">
        <f t="shared" ref="M373" si="212">IF(L373=" ", " ",IF(L373&gt;17,"PASS", "FAIL" ))</f>
        <v>PASS</v>
      </c>
    </row>
    <row r="374" spans="2:13" ht="16.5" customHeight="1" thickBot="1">
      <c r="B374" s="108"/>
      <c r="C374" s="93"/>
      <c r="D374" s="93"/>
      <c r="E374" s="99"/>
      <c r="F374" s="81">
        <v>8.65</v>
      </c>
      <c r="G374" s="102"/>
      <c r="H374" s="102"/>
      <c r="I374" s="5">
        <f t="shared" si="210"/>
        <v>394.65</v>
      </c>
      <c r="J374" s="8"/>
      <c r="K374" s="9">
        <v>17.54</v>
      </c>
      <c r="L374" s="105"/>
      <c r="M374" s="99"/>
    </row>
    <row r="375" spans="2:13" ht="16.5" customHeight="1" thickBot="1">
      <c r="B375" s="108"/>
      <c r="C375" s="93"/>
      <c r="D375" s="93"/>
      <c r="E375" s="99"/>
      <c r="F375" s="81">
        <v>8.4</v>
      </c>
      <c r="G375" s="102"/>
      <c r="H375" s="102"/>
      <c r="I375" s="5">
        <f t="shared" si="210"/>
        <v>450</v>
      </c>
      <c r="J375" s="11"/>
      <c r="K375" s="12">
        <v>20</v>
      </c>
      <c r="L375" s="106"/>
      <c r="M375" s="100"/>
    </row>
    <row r="376" spans="2:13" ht="16.5" customHeight="1">
      <c r="B376" s="108"/>
      <c r="C376" s="93"/>
      <c r="D376" s="93"/>
      <c r="E376" s="99"/>
      <c r="F376" s="81">
        <v>8.48</v>
      </c>
      <c r="G376" s="102"/>
      <c r="H376" s="102"/>
      <c r="I376" s="14">
        <f t="shared" si="210"/>
        <v>695.25</v>
      </c>
      <c r="J376" s="14"/>
      <c r="K376" s="31">
        <v>30.9</v>
      </c>
      <c r="L376" s="104">
        <f t="shared" ref="L376" si="213">AVERAGE(K376:K378)</f>
        <v>30.553333333333331</v>
      </c>
      <c r="M376" s="98" t="str">
        <f t="shared" ref="M376" si="214">IF(L376=" ", " ",IF(L376&gt;17,"PASS", "FAIL" ))</f>
        <v>PASS</v>
      </c>
    </row>
    <row r="377" spans="2:13" ht="16.5" customHeight="1">
      <c r="B377" s="108"/>
      <c r="C377" s="93"/>
      <c r="D377" s="93"/>
      <c r="E377" s="99"/>
      <c r="F377" s="81">
        <v>8.6</v>
      </c>
      <c r="G377" s="102"/>
      <c r="H377" s="102"/>
      <c r="I377" s="16">
        <f t="shared" si="210"/>
        <v>652.5</v>
      </c>
      <c r="J377" s="16"/>
      <c r="K377" s="32">
        <v>29</v>
      </c>
      <c r="L377" s="105"/>
      <c r="M377" s="99"/>
    </row>
    <row r="378" spans="2:13" ht="16.5" customHeight="1" thickBot="1">
      <c r="B378" s="109"/>
      <c r="C378" s="94"/>
      <c r="D378" s="94"/>
      <c r="E378" s="100"/>
      <c r="F378" s="82">
        <v>8.52</v>
      </c>
      <c r="G378" s="103"/>
      <c r="H378" s="103"/>
      <c r="I378" s="19">
        <f t="shared" si="210"/>
        <v>714.6</v>
      </c>
      <c r="J378" s="19"/>
      <c r="K378" s="33">
        <v>31.76</v>
      </c>
      <c r="L378" s="106"/>
      <c r="M378" s="100"/>
    </row>
    <row r="379" spans="2:13" ht="16.5" customHeight="1" thickBot="1">
      <c r="B379" s="107">
        <v>61</v>
      </c>
      <c r="C379" s="92">
        <v>46140</v>
      </c>
      <c r="D379" s="95" t="s">
        <v>84</v>
      </c>
      <c r="E379" s="98" t="s">
        <v>44</v>
      </c>
      <c r="F379" s="76">
        <v>8.69</v>
      </c>
      <c r="G379" s="101">
        <f t="shared" ref="G379" si="215">C379+7</f>
        <v>46147</v>
      </c>
      <c r="H379" s="101">
        <f t="shared" ref="H379" si="216">C379+28</f>
        <v>46168</v>
      </c>
      <c r="I379" s="5">
        <f t="shared" ref="I379:I384" si="217">22.5*K379</f>
        <v>507.15</v>
      </c>
      <c r="J379" s="5"/>
      <c r="K379" s="6">
        <v>22.54</v>
      </c>
      <c r="L379" s="104">
        <f t="shared" ref="L379" si="218">AVERAGE(K379:K381)</f>
        <v>21.77</v>
      </c>
      <c r="M379" s="98" t="str">
        <f t="shared" ref="M379" si="219">IF(L379=" ", " ",IF(L379&gt;17,"PASS", "FAIL" ))</f>
        <v>PASS</v>
      </c>
    </row>
    <row r="380" spans="2:13" ht="16.5" customHeight="1" thickBot="1">
      <c r="B380" s="108"/>
      <c r="C380" s="93"/>
      <c r="D380" s="96"/>
      <c r="E380" s="99"/>
      <c r="F380" s="77">
        <v>8.59</v>
      </c>
      <c r="G380" s="102"/>
      <c r="H380" s="102"/>
      <c r="I380" s="5">
        <f t="shared" si="217"/>
        <v>492.07500000000005</v>
      </c>
      <c r="J380" s="8"/>
      <c r="K380" s="9">
        <v>21.87</v>
      </c>
      <c r="L380" s="105"/>
      <c r="M380" s="99"/>
    </row>
    <row r="381" spans="2:13" ht="16.5" customHeight="1" thickBot="1">
      <c r="B381" s="108"/>
      <c r="C381" s="93"/>
      <c r="D381" s="96"/>
      <c r="E381" s="99"/>
      <c r="F381" s="77">
        <v>8.6649999999999991</v>
      </c>
      <c r="G381" s="102"/>
      <c r="H381" s="102"/>
      <c r="I381" s="5">
        <f t="shared" si="217"/>
        <v>470.24999999999994</v>
      </c>
      <c r="J381" s="11"/>
      <c r="K381" s="12">
        <v>20.9</v>
      </c>
      <c r="L381" s="106"/>
      <c r="M381" s="100"/>
    </row>
    <row r="382" spans="2:13" ht="16.5" customHeight="1">
      <c r="B382" s="108"/>
      <c r="C382" s="93"/>
      <c r="D382" s="96"/>
      <c r="E382" s="99"/>
      <c r="F382" s="85">
        <v>8.5</v>
      </c>
      <c r="G382" s="102"/>
      <c r="H382" s="102"/>
      <c r="I382" s="14">
        <f t="shared" si="217"/>
        <v>722.02500000000009</v>
      </c>
      <c r="J382" s="14"/>
      <c r="K382" s="31">
        <v>32.090000000000003</v>
      </c>
      <c r="L382" s="104">
        <f t="shared" ref="L382" si="220">AVERAGE(K382:K384)</f>
        <v>31.929999999999996</v>
      </c>
      <c r="M382" s="98" t="str">
        <f t="shared" ref="M382" si="221">IF(L382=" ", " ",IF(L382&gt;17,"PASS", "FAIL" ))</f>
        <v>PASS</v>
      </c>
    </row>
    <row r="383" spans="2:13" ht="16.5" customHeight="1">
      <c r="B383" s="108"/>
      <c r="C383" s="93"/>
      <c r="D383" s="96"/>
      <c r="E383" s="99"/>
      <c r="F383" s="85">
        <v>8.44</v>
      </c>
      <c r="G383" s="102"/>
      <c r="H383" s="102"/>
      <c r="I383" s="16">
        <f t="shared" si="217"/>
        <v>760.49999999999989</v>
      </c>
      <c r="J383" s="16"/>
      <c r="K383" s="32">
        <v>33.799999999999997</v>
      </c>
      <c r="L383" s="105"/>
      <c r="M383" s="99"/>
    </row>
    <row r="384" spans="2:13" ht="16.5" customHeight="1" thickBot="1">
      <c r="B384" s="109"/>
      <c r="C384" s="94"/>
      <c r="D384" s="97"/>
      <c r="E384" s="100"/>
      <c r="F384" s="86">
        <v>8.6</v>
      </c>
      <c r="G384" s="103"/>
      <c r="H384" s="103"/>
      <c r="I384" s="19">
        <f t="shared" si="217"/>
        <v>672.75</v>
      </c>
      <c r="J384" s="19"/>
      <c r="K384" s="33">
        <v>29.9</v>
      </c>
      <c r="L384" s="106"/>
      <c r="M384" s="100"/>
    </row>
    <row r="385" spans="2:13" ht="16.5" customHeight="1" thickBot="1">
      <c r="B385" s="107">
        <v>62</v>
      </c>
      <c r="C385" s="92">
        <v>46144</v>
      </c>
      <c r="D385" s="171" t="s">
        <v>86</v>
      </c>
      <c r="E385" s="98" t="s">
        <v>44</v>
      </c>
      <c r="F385" s="78">
        <v>8.4499999999999993</v>
      </c>
      <c r="G385" s="101">
        <f t="shared" ref="G385" si="222">C385+7</f>
        <v>46151</v>
      </c>
      <c r="H385" s="101">
        <f t="shared" ref="H385" si="223">C385+28</f>
        <v>46172</v>
      </c>
      <c r="I385" s="5">
        <f t="shared" ref="I385:I390" si="224">22.5*K385</f>
        <v>418.50000000000006</v>
      </c>
      <c r="J385" s="5"/>
      <c r="K385" s="6">
        <v>18.600000000000001</v>
      </c>
      <c r="L385" s="104">
        <f>AVERAGE(K385:K387)</f>
        <v>20.473333333333333</v>
      </c>
      <c r="M385" s="98" t="str">
        <f t="shared" ref="M385" si="225">IF(L385=" ", " ",IF(L385&gt;17,"PASS", "FAIL" ))</f>
        <v>PASS</v>
      </c>
    </row>
    <row r="386" spans="2:13" ht="16.5" customHeight="1" thickBot="1">
      <c r="B386" s="108"/>
      <c r="C386" s="93"/>
      <c r="D386" s="93"/>
      <c r="E386" s="99"/>
      <c r="F386" s="79">
        <v>8.67</v>
      </c>
      <c r="G386" s="102"/>
      <c r="H386" s="102"/>
      <c r="I386" s="5">
        <f t="shared" si="224"/>
        <v>465.75</v>
      </c>
      <c r="J386" s="8"/>
      <c r="K386" s="9">
        <v>20.7</v>
      </c>
      <c r="L386" s="105"/>
      <c r="M386" s="99"/>
    </row>
    <row r="387" spans="2:13" ht="16.5" customHeight="1" thickBot="1">
      <c r="B387" s="108"/>
      <c r="C387" s="93"/>
      <c r="D387" s="93"/>
      <c r="E387" s="99"/>
      <c r="F387" s="79">
        <v>8.5500000000000007</v>
      </c>
      <c r="G387" s="102"/>
      <c r="H387" s="102"/>
      <c r="I387" s="5">
        <f t="shared" si="224"/>
        <v>497.70000000000005</v>
      </c>
      <c r="J387" s="11"/>
      <c r="K387" s="12">
        <v>22.12</v>
      </c>
      <c r="L387" s="106"/>
      <c r="M387" s="100"/>
    </row>
    <row r="388" spans="2:13" ht="16.5" customHeight="1">
      <c r="B388" s="108"/>
      <c r="C388" s="93"/>
      <c r="D388" s="93"/>
      <c r="E388" s="99"/>
      <c r="F388" s="37"/>
      <c r="G388" s="102"/>
      <c r="H388" s="102"/>
      <c r="I388" s="14">
        <f t="shared" si="224"/>
        <v>603</v>
      </c>
      <c r="J388" s="14"/>
      <c r="K388" s="31">
        <v>26.8</v>
      </c>
      <c r="L388" s="104">
        <f t="shared" ref="L388" si="226">AVERAGE(K388:K390)</f>
        <v>28.933333333333334</v>
      </c>
      <c r="M388" s="98" t="str">
        <f t="shared" ref="M388" si="227">IF(L388=" ", " ",IF(L388&gt;17,"PASS", "FAIL" ))</f>
        <v>PASS</v>
      </c>
    </row>
    <row r="389" spans="2:13" ht="16.5" customHeight="1">
      <c r="B389" s="108"/>
      <c r="C389" s="93"/>
      <c r="D389" s="93"/>
      <c r="E389" s="99"/>
      <c r="F389" s="37"/>
      <c r="G389" s="102"/>
      <c r="H389" s="102"/>
      <c r="I389" s="16">
        <f t="shared" si="224"/>
        <v>663.75</v>
      </c>
      <c r="J389" s="16"/>
      <c r="K389" s="32">
        <v>29.5</v>
      </c>
      <c r="L389" s="105"/>
      <c r="M389" s="99"/>
    </row>
    <row r="390" spans="2:13" ht="16.5" customHeight="1" thickBot="1">
      <c r="B390" s="109"/>
      <c r="C390" s="94"/>
      <c r="D390" s="94"/>
      <c r="E390" s="100"/>
      <c r="F390" s="39"/>
      <c r="G390" s="103"/>
      <c r="H390" s="103"/>
      <c r="I390" s="19">
        <f t="shared" si="224"/>
        <v>686.25</v>
      </c>
      <c r="J390" s="19"/>
      <c r="K390" s="33">
        <v>30.5</v>
      </c>
      <c r="L390" s="106"/>
      <c r="M390" s="100"/>
    </row>
    <row r="391" spans="2:13" ht="16.5" customHeight="1" thickBot="1">
      <c r="B391" s="107">
        <v>63</v>
      </c>
      <c r="C391" s="92">
        <v>46147</v>
      </c>
      <c r="D391" s="110" t="s">
        <v>87</v>
      </c>
      <c r="E391" s="98" t="s">
        <v>44</v>
      </c>
      <c r="F391" s="78">
        <v>8.4499999999999993</v>
      </c>
      <c r="G391" s="101">
        <f t="shared" ref="G391" si="228">C391+7</f>
        <v>46154</v>
      </c>
      <c r="H391" s="101">
        <f t="shared" ref="H391" si="229">C391+28</f>
        <v>46175</v>
      </c>
      <c r="I391" s="5">
        <f>22.5*K391</f>
        <v>452.02499999999998</v>
      </c>
      <c r="J391" s="5"/>
      <c r="K391" s="6">
        <v>20.09</v>
      </c>
      <c r="L391" s="104">
        <f>AVERAGE(K391:K393)</f>
        <v>21.996666666666666</v>
      </c>
      <c r="M391" s="98" t="str">
        <f>IF(L391=" ", " ",IF(L391&gt;17,"PASS", "FAIL" ))</f>
        <v>PASS</v>
      </c>
    </row>
    <row r="392" spans="2:13" ht="16.5" customHeight="1" thickBot="1">
      <c r="B392" s="108"/>
      <c r="C392" s="93"/>
      <c r="D392" s="111"/>
      <c r="E392" s="99"/>
      <c r="F392" s="79">
        <v>8.5</v>
      </c>
      <c r="G392" s="102"/>
      <c r="H392" s="102"/>
      <c r="I392" s="5">
        <f t="shared" ref="I392" si="230">22.5*K392</f>
        <v>492.74999999999994</v>
      </c>
      <c r="J392" s="8"/>
      <c r="K392" s="9">
        <v>21.9</v>
      </c>
      <c r="L392" s="105"/>
      <c r="M392" s="99"/>
    </row>
    <row r="393" spans="2:13" ht="16.5" customHeight="1" thickBot="1">
      <c r="B393" s="108"/>
      <c r="C393" s="93"/>
      <c r="D393" s="111"/>
      <c r="E393" s="99"/>
      <c r="F393" s="79">
        <v>8.64</v>
      </c>
      <c r="G393" s="102"/>
      <c r="H393" s="102"/>
      <c r="I393" s="5">
        <f t="shared" ref="I393:I402" si="231">22.5*K393</f>
        <v>540</v>
      </c>
      <c r="J393" s="11"/>
      <c r="K393" s="12">
        <v>24</v>
      </c>
      <c r="L393" s="106"/>
      <c r="M393" s="100"/>
    </row>
    <row r="394" spans="2:13" ht="16.5" customHeight="1">
      <c r="B394" s="108"/>
      <c r="C394" s="93"/>
      <c r="D394" s="111"/>
      <c r="E394" s="99"/>
      <c r="F394" s="37"/>
      <c r="G394" s="102"/>
      <c r="H394" s="102"/>
      <c r="I394" s="14">
        <f t="shared" si="231"/>
        <v>675</v>
      </c>
      <c r="J394" s="14"/>
      <c r="K394" s="31">
        <v>30</v>
      </c>
      <c r="L394" s="104">
        <f t="shared" ref="L394" si="232">AVERAGE(K394:K396)</f>
        <v>30.8</v>
      </c>
      <c r="M394" s="98" t="str">
        <f t="shared" ref="M394" si="233">IF(L394=" ", " ",IF(L394&gt;17,"PASS", "FAIL" ))</f>
        <v>PASS</v>
      </c>
    </row>
    <row r="395" spans="2:13" ht="16.5" customHeight="1">
      <c r="B395" s="108"/>
      <c r="C395" s="93"/>
      <c r="D395" s="111"/>
      <c r="E395" s="99"/>
      <c r="F395" s="37"/>
      <c r="G395" s="102"/>
      <c r="H395" s="102"/>
      <c r="I395" s="16">
        <f t="shared" si="231"/>
        <v>735.75000000000011</v>
      </c>
      <c r="J395" s="16"/>
      <c r="K395" s="32">
        <v>32.700000000000003</v>
      </c>
      <c r="L395" s="105"/>
      <c r="M395" s="99"/>
    </row>
    <row r="396" spans="2:13" ht="16.5" customHeight="1" thickBot="1">
      <c r="B396" s="109"/>
      <c r="C396" s="94"/>
      <c r="D396" s="112"/>
      <c r="E396" s="100"/>
      <c r="F396" s="39"/>
      <c r="G396" s="103"/>
      <c r="H396" s="103"/>
      <c r="I396" s="19">
        <f t="shared" si="231"/>
        <v>668.25</v>
      </c>
      <c r="J396" s="19"/>
      <c r="K396" s="33">
        <v>29.7</v>
      </c>
      <c r="L396" s="106"/>
      <c r="M396" s="100"/>
    </row>
    <row r="397" spans="2:13" ht="16.5" customHeight="1" thickBot="1">
      <c r="B397" s="107">
        <v>64</v>
      </c>
      <c r="C397" s="92">
        <v>46151</v>
      </c>
      <c r="D397" s="110" t="s">
        <v>88</v>
      </c>
      <c r="E397" s="98" t="s">
        <v>44</v>
      </c>
      <c r="F397" s="78">
        <v>8.65</v>
      </c>
      <c r="G397" s="101">
        <f t="shared" ref="G397" si="234">C397+7</f>
        <v>46158</v>
      </c>
      <c r="H397" s="101">
        <f t="shared" ref="H397" si="235">C397+28</f>
        <v>46179</v>
      </c>
      <c r="I397" s="5">
        <f t="shared" si="231"/>
        <v>425.24999999999994</v>
      </c>
      <c r="J397" s="5"/>
      <c r="K397" s="6">
        <v>18.899999999999999</v>
      </c>
      <c r="L397" s="104">
        <f t="shared" ref="L397" si="236">AVERAGE(K397:K399)</f>
        <v>19.263333333333332</v>
      </c>
      <c r="M397" s="98" t="str">
        <f t="shared" ref="M397" si="237">IF(L397=" ", " ",IF(L397&gt;17,"PASS", "FAIL" ))</f>
        <v>PASS</v>
      </c>
    </row>
    <row r="398" spans="2:13" ht="16.5" customHeight="1" thickBot="1">
      <c r="B398" s="108"/>
      <c r="C398" s="93"/>
      <c r="D398" s="111"/>
      <c r="E398" s="99"/>
      <c r="F398" s="79">
        <v>8.52</v>
      </c>
      <c r="G398" s="102"/>
      <c r="H398" s="102"/>
      <c r="I398" s="5">
        <f t="shared" si="231"/>
        <v>474.52499999999998</v>
      </c>
      <c r="J398" s="8"/>
      <c r="K398" s="9">
        <v>21.09</v>
      </c>
      <c r="L398" s="105"/>
      <c r="M398" s="99"/>
    </row>
    <row r="399" spans="2:13" ht="16.5" customHeight="1" thickBot="1">
      <c r="B399" s="108"/>
      <c r="C399" s="93"/>
      <c r="D399" s="111"/>
      <c r="E399" s="99"/>
      <c r="F399" s="79">
        <v>8.52</v>
      </c>
      <c r="G399" s="102"/>
      <c r="H399" s="102"/>
      <c r="I399" s="5">
        <f t="shared" si="231"/>
        <v>400.5</v>
      </c>
      <c r="J399" s="11"/>
      <c r="K399" s="12">
        <v>17.8</v>
      </c>
      <c r="L399" s="106"/>
      <c r="M399" s="100"/>
    </row>
    <row r="400" spans="2:13" ht="16.5" customHeight="1">
      <c r="B400" s="108"/>
      <c r="C400" s="93"/>
      <c r="D400" s="111"/>
      <c r="E400" s="99"/>
      <c r="F400" s="90">
        <v>8.58</v>
      </c>
      <c r="G400" s="102"/>
      <c r="H400" s="102"/>
      <c r="I400" s="14">
        <f t="shared" si="231"/>
        <v>650.25</v>
      </c>
      <c r="J400" s="14"/>
      <c r="K400" s="31">
        <v>28.9</v>
      </c>
      <c r="L400" s="104">
        <f t="shared" ref="L400" si="238">AVERAGE(K400:K402)</f>
        <v>32.133333333333333</v>
      </c>
      <c r="M400" s="98" t="str">
        <f t="shared" ref="M400" si="239">IF(L400=" ", " ",IF(L400&gt;17,"PASS", "FAIL" ))</f>
        <v>PASS</v>
      </c>
    </row>
    <row r="401" spans="2:13" ht="16.5" customHeight="1">
      <c r="B401" s="108"/>
      <c r="C401" s="93"/>
      <c r="D401" s="111"/>
      <c r="E401" s="99"/>
      <c r="F401" s="90">
        <v>8.5500000000000007</v>
      </c>
      <c r="G401" s="102"/>
      <c r="H401" s="102"/>
      <c r="I401" s="16">
        <f t="shared" si="231"/>
        <v>780.75000000000011</v>
      </c>
      <c r="J401" s="16"/>
      <c r="K401" s="32">
        <v>34.700000000000003</v>
      </c>
      <c r="L401" s="105"/>
      <c r="M401" s="99"/>
    </row>
    <row r="402" spans="2:13" ht="16.5" customHeight="1" thickBot="1">
      <c r="B402" s="109"/>
      <c r="C402" s="94"/>
      <c r="D402" s="112"/>
      <c r="E402" s="100"/>
      <c r="F402" s="91">
        <v>8.5</v>
      </c>
      <c r="G402" s="103"/>
      <c r="H402" s="103"/>
      <c r="I402" s="19">
        <f t="shared" si="231"/>
        <v>737.99999999999989</v>
      </c>
      <c r="J402" s="19"/>
      <c r="K402" s="33">
        <v>32.799999999999997</v>
      </c>
      <c r="L402" s="106"/>
      <c r="M402" s="100"/>
    </row>
    <row r="403" spans="2:13" ht="16.5" customHeight="1" thickBot="1">
      <c r="B403" s="107">
        <v>65</v>
      </c>
      <c r="C403" s="92">
        <v>46156</v>
      </c>
      <c r="D403" s="110" t="s">
        <v>89</v>
      </c>
      <c r="E403" s="98" t="s">
        <v>44</v>
      </c>
      <c r="F403" s="84">
        <v>8.5</v>
      </c>
      <c r="G403" s="101">
        <f t="shared" ref="G403" si="240">C403+7</f>
        <v>46163</v>
      </c>
      <c r="H403" s="101">
        <f t="shared" ref="H403" si="241">C403+28</f>
        <v>46184</v>
      </c>
      <c r="I403" s="5">
        <f>22.5*K403</f>
        <v>452.70000000000005</v>
      </c>
      <c r="J403" s="5"/>
      <c r="K403" s="6">
        <v>20.12</v>
      </c>
      <c r="L403" s="104">
        <f>AVERAGE(K403:K405)</f>
        <v>19.940000000000001</v>
      </c>
      <c r="M403" s="98" t="str">
        <f t="shared" ref="M403" si="242">IF(L403=" ", " ",IF(L403&gt;17,"PASS", "FAIL" ))</f>
        <v>PASS</v>
      </c>
    </row>
    <row r="404" spans="2:13" ht="16.5" customHeight="1" thickBot="1">
      <c r="B404" s="108"/>
      <c r="C404" s="93"/>
      <c r="D404" s="111"/>
      <c r="E404" s="99"/>
      <c r="F404" s="85">
        <v>8.5399999999999991</v>
      </c>
      <c r="G404" s="102"/>
      <c r="H404" s="102"/>
      <c r="I404" s="5">
        <f t="shared" ref="I404:I408" si="243">22.5*K404</f>
        <v>488.25</v>
      </c>
      <c r="J404" s="8"/>
      <c r="K404" s="9">
        <v>21.7</v>
      </c>
      <c r="L404" s="105"/>
      <c r="M404" s="99"/>
    </row>
    <row r="405" spans="2:13" ht="16.5" customHeight="1" thickBot="1">
      <c r="B405" s="108"/>
      <c r="C405" s="93"/>
      <c r="D405" s="111"/>
      <c r="E405" s="99"/>
      <c r="F405" s="85">
        <v>8.6</v>
      </c>
      <c r="G405" s="102"/>
      <c r="H405" s="102"/>
      <c r="I405" s="5">
        <f t="shared" si="243"/>
        <v>405</v>
      </c>
      <c r="J405" s="11"/>
      <c r="K405" s="12">
        <v>18</v>
      </c>
      <c r="L405" s="106"/>
      <c r="M405" s="100"/>
    </row>
    <row r="406" spans="2:13" ht="16.5" customHeight="1">
      <c r="B406" s="108"/>
      <c r="C406" s="93"/>
      <c r="D406" s="111"/>
      <c r="E406" s="99"/>
      <c r="F406" s="90">
        <v>8.5</v>
      </c>
      <c r="G406" s="102"/>
      <c r="H406" s="102"/>
      <c r="I406" s="14">
        <f t="shared" si="243"/>
        <v>692.1</v>
      </c>
      <c r="J406" s="14"/>
      <c r="K406" s="31">
        <v>30.76</v>
      </c>
      <c r="L406" s="104">
        <f>AVERAGE(K406:K408)</f>
        <v>31.24666666666667</v>
      </c>
      <c r="M406" s="98" t="str">
        <f t="shared" ref="M406" si="244">IF(L406=" ", " ",IF(L406&gt;17,"PASS", "FAIL" ))</f>
        <v>PASS</v>
      </c>
    </row>
    <row r="407" spans="2:13" ht="16.5" customHeight="1">
      <c r="B407" s="108"/>
      <c r="C407" s="93"/>
      <c r="D407" s="111"/>
      <c r="E407" s="99"/>
      <c r="F407" s="90">
        <v>8.44</v>
      </c>
      <c r="G407" s="102"/>
      <c r="H407" s="102"/>
      <c r="I407" s="16">
        <f t="shared" si="243"/>
        <v>674.55</v>
      </c>
      <c r="J407" s="16"/>
      <c r="K407" s="32">
        <v>29.98</v>
      </c>
      <c r="L407" s="105"/>
      <c r="M407" s="99"/>
    </row>
    <row r="408" spans="2:13" ht="16.5" customHeight="1" thickBot="1">
      <c r="B408" s="109"/>
      <c r="C408" s="94"/>
      <c r="D408" s="112"/>
      <c r="E408" s="100"/>
      <c r="F408" s="91">
        <v>8.6</v>
      </c>
      <c r="G408" s="103"/>
      <c r="H408" s="103"/>
      <c r="I408" s="19">
        <f t="shared" si="243"/>
        <v>742.5</v>
      </c>
      <c r="J408" s="19"/>
      <c r="K408" s="33">
        <v>33</v>
      </c>
      <c r="L408" s="106"/>
      <c r="M408" s="100"/>
    </row>
    <row r="409" spans="2:13" ht="16.5" customHeight="1" thickBot="1">
      <c r="B409" s="107">
        <v>66</v>
      </c>
      <c r="C409" s="92">
        <v>46157</v>
      </c>
      <c r="D409" s="110" t="s">
        <v>90</v>
      </c>
      <c r="E409" s="98" t="s">
        <v>44</v>
      </c>
      <c r="F409" s="84">
        <v>8.6</v>
      </c>
      <c r="G409" s="101">
        <f t="shared" ref="G409" si="245">C409+7</f>
        <v>46164</v>
      </c>
      <c r="H409" s="101">
        <f t="shared" ref="H409" si="246">C409+28</f>
        <v>46185</v>
      </c>
      <c r="I409" s="5">
        <f t="shared" ref="I409:I414" si="247">22.5*K409</f>
        <v>470.24999999999994</v>
      </c>
      <c r="J409" s="5"/>
      <c r="K409" s="6">
        <v>20.9</v>
      </c>
      <c r="L409" s="104">
        <f t="shared" ref="L409" si="248">AVERAGE(K409:K411)</f>
        <v>20.366666666666664</v>
      </c>
      <c r="M409" s="98" t="str">
        <f t="shared" ref="M409" si="249">IF(L409=" ", " ",IF(L409&gt;17,"PASS", "FAIL" ))</f>
        <v>PASS</v>
      </c>
    </row>
    <row r="410" spans="2:13" ht="16.5" customHeight="1" thickBot="1">
      <c r="B410" s="108"/>
      <c r="C410" s="93"/>
      <c r="D410" s="111"/>
      <c r="E410" s="99"/>
      <c r="F410" s="85">
        <v>8.4</v>
      </c>
      <c r="G410" s="102"/>
      <c r="H410" s="102"/>
      <c r="I410" s="5">
        <f t="shared" si="247"/>
        <v>481.49999999999994</v>
      </c>
      <c r="J410" s="8"/>
      <c r="K410" s="9">
        <v>21.4</v>
      </c>
      <c r="L410" s="105"/>
      <c r="M410" s="99"/>
    </row>
    <row r="411" spans="2:13" ht="16.5" customHeight="1" thickBot="1">
      <c r="B411" s="108"/>
      <c r="C411" s="93"/>
      <c r="D411" s="111"/>
      <c r="E411" s="99"/>
      <c r="F411" s="85">
        <v>8.5500000000000007</v>
      </c>
      <c r="G411" s="102"/>
      <c r="H411" s="102"/>
      <c r="I411" s="5">
        <f t="shared" si="247"/>
        <v>423</v>
      </c>
      <c r="J411" s="11"/>
      <c r="K411" s="12">
        <v>18.8</v>
      </c>
      <c r="L411" s="106"/>
      <c r="M411" s="100"/>
    </row>
    <row r="412" spans="2:13" ht="16.5" customHeight="1">
      <c r="B412" s="108"/>
      <c r="C412" s="93"/>
      <c r="D412" s="111"/>
      <c r="E412" s="99"/>
      <c r="F412" s="90">
        <v>8.48</v>
      </c>
      <c r="G412" s="102"/>
      <c r="H412" s="102"/>
      <c r="I412" s="14">
        <f t="shared" si="247"/>
        <v>751.5</v>
      </c>
      <c r="J412" s="14"/>
      <c r="K412" s="31">
        <v>33.4</v>
      </c>
      <c r="L412" s="104">
        <f t="shared" ref="L412" si="250">AVERAGE(K412:K414)</f>
        <v>31.133333333333336</v>
      </c>
      <c r="M412" s="98" t="str">
        <f t="shared" ref="M412" si="251">IF(L412=" ", " ",IF(L412&gt;17,"PASS", "FAIL" ))</f>
        <v>PASS</v>
      </c>
    </row>
    <row r="413" spans="2:13" ht="16.5" customHeight="1">
      <c r="B413" s="108"/>
      <c r="C413" s="93"/>
      <c r="D413" s="111"/>
      <c r="E413" s="99"/>
      <c r="F413" s="90">
        <v>8.5399999999999991</v>
      </c>
      <c r="G413" s="102"/>
      <c r="H413" s="102"/>
      <c r="I413" s="16">
        <f t="shared" si="247"/>
        <v>652.5</v>
      </c>
      <c r="J413" s="16"/>
      <c r="K413" s="32">
        <v>29</v>
      </c>
      <c r="L413" s="105"/>
      <c r="M413" s="99"/>
    </row>
    <row r="414" spans="2:13" ht="16.5" customHeight="1" thickBot="1">
      <c r="B414" s="109"/>
      <c r="C414" s="94"/>
      <c r="D414" s="112"/>
      <c r="E414" s="100"/>
      <c r="F414" s="91">
        <v>8.6</v>
      </c>
      <c r="G414" s="103"/>
      <c r="H414" s="103"/>
      <c r="I414" s="19">
        <f t="shared" si="247"/>
        <v>697.5</v>
      </c>
      <c r="J414" s="19"/>
      <c r="K414" s="33">
        <v>31</v>
      </c>
      <c r="L414" s="106"/>
      <c r="M414" s="100"/>
    </row>
    <row r="415" spans="2:13" ht="16.5" customHeight="1" thickBot="1">
      <c r="B415" s="107">
        <v>67</v>
      </c>
      <c r="C415" s="92">
        <v>46162</v>
      </c>
      <c r="D415" s="110" t="s">
        <v>91</v>
      </c>
      <c r="E415" s="98" t="s">
        <v>44</v>
      </c>
      <c r="F415" s="87">
        <v>8.49</v>
      </c>
      <c r="G415" s="101">
        <f t="shared" ref="G415" si="252">C415+7</f>
        <v>46169</v>
      </c>
      <c r="H415" s="101">
        <f>C415+28</f>
        <v>46190</v>
      </c>
      <c r="I415" s="5">
        <f t="shared" ref="I415:I416" si="253">22.5*K415</f>
        <v>445.5</v>
      </c>
      <c r="J415" s="5"/>
      <c r="K415" s="6">
        <v>19.8</v>
      </c>
      <c r="L415" s="104">
        <f t="shared" ref="L415" si="254">AVERAGE(K415:K417)</f>
        <v>20.466666666666669</v>
      </c>
      <c r="M415" s="98" t="str">
        <f t="shared" ref="M415" si="255">IF(L415=" ", " ",IF(L415&gt;17,"PASS", "FAIL" ))</f>
        <v>PASS</v>
      </c>
    </row>
    <row r="416" spans="2:13" ht="16.5" customHeight="1" thickBot="1">
      <c r="B416" s="108"/>
      <c r="C416" s="93"/>
      <c r="D416" s="111"/>
      <c r="E416" s="99"/>
      <c r="F416" s="88">
        <v>8.5</v>
      </c>
      <c r="G416" s="102"/>
      <c r="H416" s="102"/>
      <c r="I416" s="5">
        <f t="shared" si="253"/>
        <v>463.50000000000006</v>
      </c>
      <c r="J416" s="8"/>
      <c r="K416" s="9">
        <v>20.6</v>
      </c>
      <c r="L416" s="105"/>
      <c r="M416" s="99"/>
    </row>
    <row r="417" spans="2:13" ht="16.5" customHeight="1" thickBot="1">
      <c r="B417" s="108"/>
      <c r="C417" s="93"/>
      <c r="D417" s="111"/>
      <c r="E417" s="99"/>
      <c r="F417" s="88">
        <v>8.5500000000000007</v>
      </c>
      <c r="G417" s="102"/>
      <c r="H417" s="102"/>
      <c r="I417" s="5">
        <f>22.5*K417</f>
        <v>472.5</v>
      </c>
      <c r="J417" s="11"/>
      <c r="K417" s="12">
        <v>21</v>
      </c>
      <c r="L417" s="106"/>
      <c r="M417" s="100"/>
    </row>
    <row r="418" spans="2:13" ht="16.5" customHeight="1">
      <c r="B418" s="108"/>
      <c r="C418" s="93"/>
      <c r="D418" s="111"/>
      <c r="E418" s="99"/>
      <c r="F418" s="90">
        <v>8.44</v>
      </c>
      <c r="G418" s="102"/>
      <c r="H418" s="102"/>
      <c r="I418" s="14">
        <f>22.5*K418</f>
        <v>690.75</v>
      </c>
      <c r="J418" s="14"/>
      <c r="K418" s="31">
        <v>30.7</v>
      </c>
      <c r="L418" s="104">
        <f t="shared" ref="L418" si="256">AVERAGE(K418:K420)</f>
        <v>30.866666666666664</v>
      </c>
      <c r="M418" s="98" t="str">
        <f t="shared" ref="M418" si="257">IF(L418=" ", " ",IF(L418&gt;17,"PASS", "FAIL" ))</f>
        <v>PASS</v>
      </c>
    </row>
    <row r="419" spans="2:13" ht="16.5" customHeight="1">
      <c r="B419" s="108"/>
      <c r="C419" s="93"/>
      <c r="D419" s="111"/>
      <c r="E419" s="99"/>
      <c r="F419" s="90">
        <v>8.43</v>
      </c>
      <c r="G419" s="102"/>
      <c r="H419" s="102"/>
      <c r="I419" s="16">
        <f>22.5*K419</f>
        <v>672.75</v>
      </c>
      <c r="J419" s="16"/>
      <c r="K419" s="32">
        <v>29.9</v>
      </c>
      <c r="L419" s="105"/>
      <c r="M419" s="99"/>
    </row>
    <row r="420" spans="2:13" ht="16.5" customHeight="1" thickBot="1">
      <c r="B420" s="109"/>
      <c r="C420" s="94"/>
      <c r="D420" s="112"/>
      <c r="E420" s="100"/>
      <c r="F420" s="91">
        <v>8.56</v>
      </c>
      <c r="G420" s="103"/>
      <c r="H420" s="103"/>
      <c r="I420" s="19">
        <f>22.5*K420</f>
        <v>720</v>
      </c>
      <c r="J420" s="19"/>
      <c r="K420" s="33">
        <v>32</v>
      </c>
      <c r="L420" s="106"/>
      <c r="M420" s="100"/>
    </row>
    <row r="421" spans="2:13" ht="16.5" customHeight="1" thickBot="1">
      <c r="B421" s="107">
        <v>68</v>
      </c>
      <c r="C421" s="92">
        <v>46169</v>
      </c>
      <c r="D421" s="110" t="s">
        <v>92</v>
      </c>
      <c r="E421" s="98" t="s">
        <v>44</v>
      </c>
      <c r="F421" s="87">
        <v>8.5500000000000007</v>
      </c>
      <c r="G421" s="101">
        <f t="shared" ref="G421" si="258">C421+7</f>
        <v>46176</v>
      </c>
      <c r="H421" s="101">
        <f t="shared" ref="H421" si="259">C421+28</f>
        <v>46197</v>
      </c>
      <c r="I421" s="5">
        <f t="shared" ref="I421:I422" si="260">22.5*K421</f>
        <v>443.25</v>
      </c>
      <c r="J421" s="5"/>
      <c r="K421" s="6">
        <v>19.7</v>
      </c>
      <c r="L421" s="104">
        <f t="shared" ref="L421" si="261">AVERAGE(K421:K423)</f>
        <v>19.766666666666666</v>
      </c>
      <c r="M421" s="98" t="str">
        <f t="shared" ref="M421" si="262">IF(L421=" ", " ",IF(L421&gt;17,"PASS", "FAIL" ))</f>
        <v>PASS</v>
      </c>
    </row>
    <row r="422" spans="2:13" ht="16.5" customHeight="1" thickBot="1">
      <c r="B422" s="108"/>
      <c r="C422" s="93"/>
      <c r="D422" s="111"/>
      <c r="E422" s="99"/>
      <c r="F422" s="88">
        <v>8.6</v>
      </c>
      <c r="G422" s="102"/>
      <c r="H422" s="102"/>
      <c r="I422" s="5">
        <f t="shared" si="260"/>
        <v>425.24999999999994</v>
      </c>
      <c r="J422" s="8"/>
      <c r="K422" s="9">
        <v>18.899999999999999</v>
      </c>
      <c r="L422" s="105"/>
      <c r="M422" s="99"/>
    </row>
    <row r="423" spans="2:13" ht="16.5" customHeight="1" thickBot="1">
      <c r="B423" s="108"/>
      <c r="C423" s="93"/>
      <c r="D423" s="111"/>
      <c r="E423" s="99"/>
      <c r="F423" s="88">
        <v>8.5</v>
      </c>
      <c r="G423" s="102"/>
      <c r="H423" s="102"/>
      <c r="I423" s="5">
        <f>22.5*K423</f>
        <v>465.75</v>
      </c>
      <c r="J423" s="11"/>
      <c r="K423" s="12">
        <v>20.7</v>
      </c>
      <c r="L423" s="106"/>
      <c r="M423" s="100"/>
    </row>
    <row r="424" spans="2:13" ht="16.5" customHeight="1">
      <c r="B424" s="108"/>
      <c r="C424" s="93"/>
      <c r="D424" s="111"/>
      <c r="E424" s="99"/>
      <c r="F424" s="37"/>
      <c r="G424" s="102"/>
      <c r="H424" s="102"/>
      <c r="I424" s="14"/>
      <c r="J424" s="14"/>
      <c r="K424" s="31"/>
      <c r="L424" s="104" t="e">
        <f t="shared" ref="L424" si="263">AVERAGE(K424:K426)</f>
        <v>#DIV/0!</v>
      </c>
      <c r="M424" s="98" t="e">
        <f t="shared" ref="M424" si="264">IF(L424=" ", " ",IF(L424&gt;17,"PASS", "FAIL" ))</f>
        <v>#DIV/0!</v>
      </c>
    </row>
    <row r="425" spans="2:13" ht="16.5" customHeight="1">
      <c r="B425" s="108"/>
      <c r="C425" s="93"/>
      <c r="D425" s="111"/>
      <c r="E425" s="99"/>
      <c r="F425" s="37"/>
      <c r="G425" s="102"/>
      <c r="H425" s="102"/>
      <c r="I425" s="16"/>
      <c r="J425" s="16"/>
      <c r="K425" s="32"/>
      <c r="L425" s="105"/>
      <c r="M425" s="99"/>
    </row>
    <row r="426" spans="2:13" ht="16.5" customHeight="1" thickBot="1">
      <c r="B426" s="109"/>
      <c r="C426" s="94"/>
      <c r="D426" s="112"/>
      <c r="E426" s="100"/>
      <c r="F426" s="39"/>
      <c r="G426" s="103"/>
      <c r="H426" s="103"/>
      <c r="I426" s="19"/>
      <c r="J426" s="19"/>
      <c r="K426" s="33"/>
      <c r="L426" s="106"/>
      <c r="M426" s="100"/>
    </row>
    <row r="427" spans="2:13" ht="16.5" customHeight="1" thickBot="1">
      <c r="B427" s="107">
        <v>69</v>
      </c>
      <c r="C427" s="92">
        <v>46172</v>
      </c>
      <c r="D427" s="110" t="s">
        <v>93</v>
      </c>
      <c r="E427" s="98" t="s">
        <v>44</v>
      </c>
      <c r="F427" s="89">
        <v>8.39</v>
      </c>
      <c r="G427" s="101">
        <f t="shared" ref="G427" si="265">C427+7</f>
        <v>46179</v>
      </c>
      <c r="H427" s="101">
        <f t="shared" ref="H427" si="266">C427+28</f>
        <v>46200</v>
      </c>
      <c r="I427" s="5">
        <f>22.5*K427</f>
        <v>432</v>
      </c>
      <c r="J427" s="5"/>
      <c r="K427" s="6">
        <v>19.2</v>
      </c>
      <c r="L427" s="104">
        <f t="shared" ref="L427" si="267">AVERAGE(K427:K429)</f>
        <v>19.733333333333331</v>
      </c>
      <c r="M427" s="98" t="str">
        <f t="shared" ref="M427" si="268">IF(L427=" ", " ",IF(L427&gt;17,"PASS", "FAIL" ))</f>
        <v>PASS</v>
      </c>
    </row>
    <row r="428" spans="2:13" ht="16.5" customHeight="1" thickBot="1">
      <c r="B428" s="108"/>
      <c r="C428" s="93"/>
      <c r="D428" s="111"/>
      <c r="E428" s="99"/>
      <c r="F428" s="90">
        <v>8.5</v>
      </c>
      <c r="G428" s="102"/>
      <c r="H428" s="102"/>
      <c r="I428" s="5">
        <f>22.5*K428</f>
        <v>474.75000000000006</v>
      </c>
      <c r="J428" s="8"/>
      <c r="K428" s="9">
        <v>21.1</v>
      </c>
      <c r="L428" s="105"/>
      <c r="M428" s="99"/>
    </row>
    <row r="429" spans="2:13" ht="16.5" customHeight="1" thickBot="1">
      <c r="B429" s="108"/>
      <c r="C429" s="93"/>
      <c r="D429" s="111"/>
      <c r="E429" s="99"/>
      <c r="F429" s="90">
        <v>8.5399999999999991</v>
      </c>
      <c r="G429" s="102"/>
      <c r="H429" s="102"/>
      <c r="I429" s="5">
        <f>22.5*K429</f>
        <v>425.24999999999994</v>
      </c>
      <c r="J429" s="11"/>
      <c r="K429" s="12">
        <v>18.899999999999999</v>
      </c>
      <c r="L429" s="106"/>
      <c r="M429" s="100"/>
    </row>
    <row r="430" spans="2:13" ht="16.5" customHeight="1">
      <c r="B430" s="108"/>
      <c r="C430" s="93"/>
      <c r="D430" s="111"/>
      <c r="E430" s="99"/>
      <c r="F430" s="37"/>
      <c r="G430" s="102"/>
      <c r="H430" s="102"/>
      <c r="I430" s="14"/>
      <c r="J430" s="14"/>
      <c r="K430" s="31"/>
      <c r="L430" s="104" t="e">
        <f t="shared" ref="L430" si="269">AVERAGE(K430:K432)</f>
        <v>#DIV/0!</v>
      </c>
      <c r="M430" s="98" t="e">
        <f t="shared" ref="M430" si="270">IF(L430=" ", " ",IF(L430&gt;17,"PASS", "FAIL" ))</f>
        <v>#DIV/0!</v>
      </c>
    </row>
    <row r="431" spans="2:13" ht="16.5" customHeight="1">
      <c r="B431" s="108"/>
      <c r="C431" s="93"/>
      <c r="D431" s="111"/>
      <c r="E431" s="99"/>
      <c r="F431" s="37"/>
      <c r="G431" s="102"/>
      <c r="H431" s="102"/>
      <c r="I431" s="16"/>
      <c r="J431" s="16"/>
      <c r="K431" s="32"/>
      <c r="L431" s="105"/>
      <c r="M431" s="99"/>
    </row>
    <row r="432" spans="2:13" ht="16.5" customHeight="1" thickBot="1">
      <c r="B432" s="109"/>
      <c r="C432" s="94"/>
      <c r="D432" s="112"/>
      <c r="E432" s="100"/>
      <c r="F432" s="39"/>
      <c r="G432" s="103"/>
      <c r="H432" s="103"/>
      <c r="I432" s="19"/>
      <c r="J432" s="19"/>
      <c r="K432" s="33"/>
      <c r="L432" s="106"/>
      <c r="M432" s="100"/>
    </row>
    <row r="433" spans="2:13" ht="16.5" customHeight="1" thickBot="1">
      <c r="B433" s="107">
        <v>70</v>
      </c>
      <c r="C433" s="92">
        <v>46174</v>
      </c>
      <c r="D433" s="171" t="s">
        <v>94</v>
      </c>
      <c r="E433" s="98" t="s">
        <v>44</v>
      </c>
      <c r="F433" s="89">
        <v>8.5500000000000007</v>
      </c>
      <c r="G433" s="101">
        <f t="shared" ref="G433" si="271">C433+7</f>
        <v>46181</v>
      </c>
      <c r="H433" s="101">
        <f t="shared" ref="H433" si="272">C433+28</f>
        <v>46202</v>
      </c>
      <c r="I433" s="5">
        <f>22.5*K433</f>
        <v>522</v>
      </c>
      <c r="J433" s="5"/>
      <c r="K433" s="6">
        <v>23.2</v>
      </c>
      <c r="L433" s="104">
        <f t="shared" ref="L433" si="273">AVERAGE(K433:K435)</f>
        <v>21.033333333333335</v>
      </c>
      <c r="M433" s="98" t="str">
        <f t="shared" ref="M433" si="274">IF(L433=" ", " ",IF(L433&gt;17,"PASS", "FAIL" ))</f>
        <v>PASS</v>
      </c>
    </row>
    <row r="434" spans="2:13" ht="16.5" customHeight="1" thickBot="1">
      <c r="B434" s="108"/>
      <c r="C434" s="93"/>
      <c r="D434" s="93"/>
      <c r="E434" s="99"/>
      <c r="F434" s="90">
        <v>8.6</v>
      </c>
      <c r="G434" s="102"/>
      <c r="H434" s="102"/>
      <c r="I434" s="5">
        <f>22.5*K434</f>
        <v>434.25</v>
      </c>
      <c r="J434" s="8"/>
      <c r="K434" s="9">
        <v>19.3</v>
      </c>
      <c r="L434" s="105"/>
      <c r="M434" s="99"/>
    </row>
    <row r="435" spans="2:13" ht="16.5" customHeight="1" thickBot="1">
      <c r="B435" s="108"/>
      <c r="C435" s="93"/>
      <c r="D435" s="93"/>
      <c r="E435" s="99"/>
      <c r="F435" s="90">
        <v>8.5500000000000007</v>
      </c>
      <c r="G435" s="102"/>
      <c r="H435" s="102"/>
      <c r="I435" s="5">
        <f>22.5*K435</f>
        <v>463.50000000000006</v>
      </c>
      <c r="J435" s="11"/>
      <c r="K435" s="12">
        <v>20.6</v>
      </c>
      <c r="L435" s="106"/>
      <c r="M435" s="100"/>
    </row>
    <row r="436" spans="2:13" ht="16.5" customHeight="1">
      <c r="B436" s="108"/>
      <c r="C436" s="93"/>
      <c r="D436" s="93"/>
      <c r="E436" s="99"/>
      <c r="F436" s="37"/>
      <c r="G436" s="102"/>
      <c r="H436" s="102"/>
      <c r="I436" s="14"/>
      <c r="J436" s="14"/>
      <c r="K436" s="31"/>
      <c r="L436" s="104" t="e">
        <f t="shared" ref="L436" si="275">AVERAGE(K436:K438)</f>
        <v>#DIV/0!</v>
      </c>
      <c r="M436" s="98" t="e">
        <f t="shared" ref="M436" si="276">IF(L436=" ", " ",IF(L436&gt;17,"PASS", "FAIL" ))</f>
        <v>#DIV/0!</v>
      </c>
    </row>
    <row r="437" spans="2:13" ht="16.5" customHeight="1">
      <c r="B437" s="108"/>
      <c r="C437" s="93"/>
      <c r="D437" s="93"/>
      <c r="E437" s="99"/>
      <c r="F437" s="37"/>
      <c r="G437" s="102"/>
      <c r="H437" s="102"/>
      <c r="I437" s="16"/>
      <c r="J437" s="16"/>
      <c r="K437" s="32"/>
      <c r="L437" s="105"/>
      <c r="M437" s="99"/>
    </row>
    <row r="438" spans="2:13" ht="16.5" customHeight="1" thickBot="1">
      <c r="B438" s="109"/>
      <c r="C438" s="94"/>
      <c r="D438" s="94"/>
      <c r="E438" s="100"/>
      <c r="F438" s="39"/>
      <c r="G438" s="103"/>
      <c r="H438" s="103"/>
      <c r="I438" s="19"/>
      <c r="J438" s="19"/>
      <c r="K438" s="33"/>
      <c r="L438" s="106"/>
      <c r="M438" s="100"/>
    </row>
    <row r="439" spans="2:13" ht="16.5" customHeight="1" thickBot="1">
      <c r="B439" s="107">
        <v>71</v>
      </c>
      <c r="C439" s="92">
        <v>46175</v>
      </c>
      <c r="D439" s="110" t="s">
        <v>95</v>
      </c>
      <c r="E439" s="98" t="s">
        <v>44</v>
      </c>
      <c r="F439" s="38">
        <v>8.48</v>
      </c>
      <c r="G439" s="101">
        <f t="shared" ref="G439" si="277">C439+7</f>
        <v>46182</v>
      </c>
      <c r="H439" s="101">
        <f t="shared" ref="H439" si="278">C439+28</f>
        <v>46203</v>
      </c>
      <c r="I439" s="5">
        <f>22.5*K439</f>
        <v>463.50000000000006</v>
      </c>
      <c r="J439" s="5"/>
      <c r="K439" s="6">
        <v>20.6</v>
      </c>
      <c r="L439" s="104">
        <f t="shared" ref="L439" si="279">AVERAGE(K439:K441)</f>
        <v>20.100000000000001</v>
      </c>
      <c r="M439" s="98" t="str">
        <f t="shared" ref="M439" si="280">IF(L439=" ", " ",IF(L439&gt;17,"PASS", "FAIL" ))</f>
        <v>PASS</v>
      </c>
    </row>
    <row r="440" spans="2:13" ht="16.5" customHeight="1" thickBot="1">
      <c r="B440" s="108"/>
      <c r="C440" s="93"/>
      <c r="D440" s="111"/>
      <c r="E440" s="99"/>
      <c r="F440" s="36">
        <v>8.6</v>
      </c>
      <c r="G440" s="102"/>
      <c r="H440" s="102"/>
      <c r="I440" s="5">
        <f>22.5*K440</f>
        <v>479.25</v>
      </c>
      <c r="J440" s="8"/>
      <c r="K440" s="9">
        <v>21.3</v>
      </c>
      <c r="L440" s="105"/>
      <c r="M440" s="99"/>
    </row>
    <row r="441" spans="2:13" ht="16.5" customHeight="1" thickBot="1">
      <c r="B441" s="108"/>
      <c r="C441" s="93"/>
      <c r="D441" s="111"/>
      <c r="E441" s="99"/>
      <c r="F441" s="36">
        <v>8.56</v>
      </c>
      <c r="G441" s="102"/>
      <c r="H441" s="102"/>
      <c r="I441" s="5">
        <f>22.5*K441</f>
        <v>413.99999999999994</v>
      </c>
      <c r="J441" s="11"/>
      <c r="K441" s="12">
        <v>18.399999999999999</v>
      </c>
      <c r="L441" s="106"/>
      <c r="M441" s="100"/>
    </row>
    <row r="442" spans="2:13" ht="16.5" customHeight="1">
      <c r="B442" s="108"/>
      <c r="C442" s="93"/>
      <c r="D442" s="111"/>
      <c r="E442" s="99"/>
      <c r="F442" s="37"/>
      <c r="G442" s="102"/>
      <c r="H442" s="102"/>
      <c r="I442" s="14"/>
      <c r="J442" s="14"/>
      <c r="K442" s="31"/>
      <c r="L442" s="104" t="e">
        <f t="shared" ref="L442" si="281">AVERAGE(K442:K444)</f>
        <v>#DIV/0!</v>
      </c>
      <c r="M442" s="98" t="e">
        <f t="shared" ref="M442" si="282">IF(L442=" ", " ",IF(L442&gt;17,"PASS", "FAIL" ))</f>
        <v>#DIV/0!</v>
      </c>
    </row>
    <row r="443" spans="2:13" ht="16.5" customHeight="1">
      <c r="B443" s="108"/>
      <c r="C443" s="93"/>
      <c r="D443" s="111"/>
      <c r="E443" s="99"/>
      <c r="F443" s="37"/>
      <c r="G443" s="102"/>
      <c r="H443" s="102"/>
      <c r="I443" s="16"/>
      <c r="J443" s="16"/>
      <c r="K443" s="32"/>
      <c r="L443" s="105"/>
      <c r="M443" s="99"/>
    </row>
    <row r="444" spans="2:13" ht="16.5" customHeight="1" thickBot="1">
      <c r="B444" s="109"/>
      <c r="C444" s="94"/>
      <c r="D444" s="112"/>
      <c r="E444" s="100"/>
      <c r="F444" s="39"/>
      <c r="G444" s="103"/>
      <c r="H444" s="103"/>
      <c r="I444" s="19"/>
      <c r="J444" s="19"/>
      <c r="K444" s="33"/>
      <c r="L444" s="106"/>
      <c r="M444" s="100"/>
    </row>
    <row r="445" spans="2:13" ht="16.5" customHeight="1" thickBot="1">
      <c r="B445" s="107">
        <v>73</v>
      </c>
      <c r="C445" s="92">
        <v>46178</v>
      </c>
      <c r="D445" s="95" t="s">
        <v>96</v>
      </c>
      <c r="E445" s="98" t="s">
        <v>44</v>
      </c>
      <c r="F445" s="89">
        <v>8.5</v>
      </c>
      <c r="G445" s="101">
        <f t="shared" ref="G445" si="283">C445+7</f>
        <v>46185</v>
      </c>
      <c r="H445" s="101">
        <f t="shared" ref="H445" si="284">C445+28</f>
        <v>46206</v>
      </c>
      <c r="I445" s="5">
        <f>22.5*K445</f>
        <v>423</v>
      </c>
      <c r="J445" s="5"/>
      <c r="K445" s="6">
        <v>18.8</v>
      </c>
      <c r="L445" s="104">
        <f t="shared" ref="L445" si="285">AVERAGE(K445:K447)</f>
        <v>18.599999999999998</v>
      </c>
      <c r="M445" s="98" t="str">
        <f t="shared" ref="M445" si="286">IF(L445=" ", " ",IF(L445&gt;17,"PASS", "FAIL" ))</f>
        <v>PASS</v>
      </c>
    </row>
    <row r="446" spans="2:13" ht="16.5" customHeight="1" thickBot="1">
      <c r="B446" s="108"/>
      <c r="C446" s="93"/>
      <c r="D446" s="96"/>
      <c r="E446" s="99"/>
      <c r="F446" s="90">
        <v>8.56</v>
      </c>
      <c r="G446" s="102"/>
      <c r="H446" s="102"/>
      <c r="I446" s="5">
        <f t="shared" ref="I446" si="287">22.5*K446</f>
        <v>432</v>
      </c>
      <c r="J446" s="8"/>
      <c r="K446" s="9">
        <v>19.2</v>
      </c>
      <c r="L446" s="105"/>
      <c r="M446" s="99"/>
    </row>
    <row r="447" spans="2:13" ht="16.5" customHeight="1" thickBot="1">
      <c r="B447" s="108"/>
      <c r="C447" s="93"/>
      <c r="D447" s="96"/>
      <c r="E447" s="99"/>
      <c r="F447" s="90">
        <v>8.6</v>
      </c>
      <c r="G447" s="102"/>
      <c r="H447" s="102"/>
      <c r="I447" s="5">
        <f>22.5*K447</f>
        <v>400.5</v>
      </c>
      <c r="J447" s="11"/>
      <c r="K447" s="12">
        <v>17.8</v>
      </c>
      <c r="L447" s="106"/>
      <c r="M447" s="100"/>
    </row>
    <row r="448" spans="2:13" ht="16.5" customHeight="1">
      <c r="B448" s="108"/>
      <c r="C448" s="93"/>
      <c r="D448" s="96"/>
      <c r="E448" s="99"/>
      <c r="F448" s="37"/>
      <c r="G448" s="102"/>
      <c r="H448" s="102"/>
      <c r="I448" s="14"/>
      <c r="J448" s="14"/>
      <c r="K448" s="31"/>
      <c r="L448" s="104" t="e">
        <f t="shared" ref="L448" si="288">AVERAGE(K448:K450)</f>
        <v>#DIV/0!</v>
      </c>
      <c r="M448" s="98" t="e">
        <f t="shared" ref="M448" si="289">IF(L448=" ", " ",IF(L448&gt;17,"PASS", "FAIL" ))</f>
        <v>#DIV/0!</v>
      </c>
    </row>
    <row r="449" spans="2:13" ht="16.5" customHeight="1">
      <c r="B449" s="108"/>
      <c r="C449" s="93"/>
      <c r="D449" s="96"/>
      <c r="E449" s="99"/>
      <c r="F449" s="37"/>
      <c r="G449" s="102"/>
      <c r="H449" s="102"/>
      <c r="I449" s="16"/>
      <c r="J449" s="16"/>
      <c r="K449" s="32"/>
      <c r="L449" s="105"/>
      <c r="M449" s="99"/>
    </row>
    <row r="450" spans="2:13" ht="16.5" customHeight="1" thickBot="1">
      <c r="B450" s="109"/>
      <c r="C450" s="94"/>
      <c r="D450" s="97"/>
      <c r="E450" s="100"/>
      <c r="F450" s="39"/>
      <c r="G450" s="103"/>
      <c r="H450" s="103"/>
      <c r="I450" s="19"/>
      <c r="J450" s="19"/>
      <c r="K450" s="33"/>
      <c r="L450" s="106"/>
      <c r="M450" s="100"/>
    </row>
    <row r="451" spans="2:13" ht="16.5" customHeight="1" thickBot="1">
      <c r="B451" s="107">
        <v>74</v>
      </c>
      <c r="C451" s="92">
        <v>46180</v>
      </c>
      <c r="D451" s="95" t="s">
        <v>97</v>
      </c>
      <c r="E451" s="98" t="s">
        <v>44</v>
      </c>
      <c r="F451" s="89">
        <v>8.5</v>
      </c>
      <c r="G451" s="101">
        <f t="shared" ref="G451" si="290">C451+7</f>
        <v>46187</v>
      </c>
      <c r="H451" s="101">
        <f t="shared" ref="H451" si="291">C451+28</f>
        <v>46208</v>
      </c>
      <c r="I451" s="5">
        <f>22.5*K451</f>
        <v>425.24999999999994</v>
      </c>
      <c r="J451" s="5"/>
      <c r="K451" s="6">
        <v>18.899999999999999</v>
      </c>
      <c r="L451" s="104">
        <f t="shared" ref="L451" si="292">AVERAGE(K451:K453)</f>
        <v>19.733333333333331</v>
      </c>
      <c r="M451" s="98" t="str">
        <f t="shared" ref="M451" si="293">IF(L451=" ", " ",IF(L451&gt;17,"PASS", "FAIL" ))</f>
        <v>PASS</v>
      </c>
    </row>
    <row r="452" spans="2:13" ht="16.5" customHeight="1" thickBot="1">
      <c r="B452" s="108"/>
      <c r="C452" s="93"/>
      <c r="D452" s="96"/>
      <c r="E452" s="99"/>
      <c r="F452" s="90">
        <v>8.44</v>
      </c>
      <c r="G452" s="102"/>
      <c r="H452" s="102"/>
      <c r="I452" s="5">
        <f>22.5*K452</f>
        <v>436.49999999999994</v>
      </c>
      <c r="J452" s="8"/>
      <c r="K452" s="9">
        <v>19.399999999999999</v>
      </c>
      <c r="L452" s="105"/>
      <c r="M452" s="99"/>
    </row>
    <row r="453" spans="2:13" ht="16.5" customHeight="1" thickBot="1">
      <c r="B453" s="108"/>
      <c r="C453" s="93"/>
      <c r="D453" s="96"/>
      <c r="E453" s="99"/>
      <c r="F453" s="90">
        <v>8.5399999999999991</v>
      </c>
      <c r="G453" s="102"/>
      <c r="H453" s="102"/>
      <c r="I453" s="5">
        <f>22.5*K453</f>
        <v>470.24999999999994</v>
      </c>
      <c r="J453" s="11"/>
      <c r="K453" s="12">
        <v>20.9</v>
      </c>
      <c r="L453" s="106"/>
      <c r="M453" s="100"/>
    </row>
    <row r="454" spans="2:13" ht="16.5" customHeight="1">
      <c r="B454" s="108"/>
      <c r="C454" s="93"/>
      <c r="D454" s="96"/>
      <c r="E454" s="99"/>
      <c r="F454" s="37"/>
      <c r="G454" s="102"/>
      <c r="H454" s="102"/>
      <c r="I454" s="14"/>
      <c r="J454" s="14"/>
      <c r="K454" s="31"/>
      <c r="L454" s="104" t="e">
        <f t="shared" ref="L454" si="294">AVERAGE(K454:K456)</f>
        <v>#DIV/0!</v>
      </c>
      <c r="M454" s="98" t="e">
        <f t="shared" ref="M454" si="295">IF(L454=" ", " ",IF(L454&gt;17,"PASS", "FAIL" ))</f>
        <v>#DIV/0!</v>
      </c>
    </row>
    <row r="455" spans="2:13" ht="16.5" customHeight="1">
      <c r="B455" s="108"/>
      <c r="C455" s="93"/>
      <c r="D455" s="96"/>
      <c r="E455" s="99"/>
      <c r="F455" s="37"/>
      <c r="G455" s="102"/>
      <c r="H455" s="102"/>
      <c r="I455" s="16"/>
      <c r="J455" s="16"/>
      <c r="K455" s="32"/>
      <c r="L455" s="105"/>
      <c r="M455" s="99"/>
    </row>
    <row r="456" spans="2:13" ht="16.5" customHeight="1" thickBot="1">
      <c r="B456" s="109"/>
      <c r="C456" s="94"/>
      <c r="D456" s="97"/>
      <c r="E456" s="100"/>
      <c r="F456" s="39"/>
      <c r="G456" s="103"/>
      <c r="H456" s="103"/>
      <c r="I456" s="19"/>
      <c r="J456" s="19"/>
      <c r="K456" s="33"/>
      <c r="L456" s="106"/>
      <c r="M456" s="100"/>
    </row>
    <row r="457" spans="2:13" ht="16.5" customHeight="1" thickBot="1">
      <c r="B457" s="107">
        <v>75</v>
      </c>
      <c r="C457" s="92">
        <v>46181</v>
      </c>
      <c r="D457" s="95" t="s">
        <v>98</v>
      </c>
      <c r="E457" s="98" t="s">
        <v>44</v>
      </c>
      <c r="F457" s="89">
        <v>8.6</v>
      </c>
      <c r="G457" s="101">
        <f t="shared" ref="G457" si="296">C457+7</f>
        <v>46188</v>
      </c>
      <c r="H457" s="101">
        <f t="shared" ref="H457" si="297">C457+28</f>
        <v>46209</v>
      </c>
      <c r="I457" s="5">
        <f>22.5*K457</f>
        <v>468</v>
      </c>
      <c r="J457" s="5"/>
      <c r="K457" s="6">
        <v>20.8</v>
      </c>
      <c r="L457" s="104">
        <f t="shared" ref="L457" si="298">AVERAGE(K457:K459)</f>
        <v>20.599999999999998</v>
      </c>
      <c r="M457" s="98" t="str">
        <f t="shared" ref="M457" si="299">IF(L457=" ", " ",IF(L457&gt;17,"PASS", "FAIL" ))</f>
        <v>PASS</v>
      </c>
    </row>
    <row r="458" spans="2:13" ht="16.5" customHeight="1" thickBot="1">
      <c r="B458" s="108"/>
      <c r="C458" s="93"/>
      <c r="D458" s="96"/>
      <c r="E458" s="99"/>
      <c r="F458" s="90">
        <v>8.5399999999999991</v>
      </c>
      <c r="G458" s="102"/>
      <c r="H458" s="102"/>
      <c r="I458" s="5">
        <f>22.5*K458</f>
        <v>445.5</v>
      </c>
      <c r="J458" s="8"/>
      <c r="K458" s="9">
        <v>19.8</v>
      </c>
      <c r="L458" s="105"/>
      <c r="M458" s="99"/>
    </row>
    <row r="459" spans="2:13" ht="16.5" customHeight="1" thickBot="1">
      <c r="B459" s="108"/>
      <c r="C459" s="93"/>
      <c r="D459" s="96"/>
      <c r="E459" s="99"/>
      <c r="F459" s="90">
        <v>8.49</v>
      </c>
      <c r="G459" s="102"/>
      <c r="H459" s="102"/>
      <c r="I459" s="5">
        <f>22.5*K459</f>
        <v>477</v>
      </c>
      <c r="J459" s="11"/>
      <c r="K459" s="12">
        <v>21.2</v>
      </c>
      <c r="L459" s="106"/>
      <c r="M459" s="100"/>
    </row>
    <row r="460" spans="2:13" ht="16.5" customHeight="1">
      <c r="B460" s="108"/>
      <c r="C460" s="93"/>
      <c r="D460" s="96"/>
      <c r="E460" s="99"/>
      <c r="F460" s="37"/>
      <c r="G460" s="102"/>
      <c r="H460" s="102"/>
      <c r="I460" s="14"/>
      <c r="J460" s="14"/>
      <c r="K460" s="31"/>
      <c r="L460" s="104"/>
      <c r="M460" s="98"/>
    </row>
    <row r="461" spans="2:13" ht="16.5" customHeight="1">
      <c r="B461" s="108"/>
      <c r="C461" s="93"/>
      <c r="D461" s="96"/>
      <c r="E461" s="99"/>
      <c r="F461" s="37"/>
      <c r="G461" s="102"/>
      <c r="H461" s="102"/>
      <c r="I461" s="16"/>
      <c r="J461" s="16"/>
      <c r="K461" s="32"/>
      <c r="L461" s="105"/>
      <c r="M461" s="99"/>
    </row>
    <row r="462" spans="2:13" ht="16.5" customHeight="1" thickBot="1">
      <c r="B462" s="109"/>
      <c r="C462" s="94"/>
      <c r="D462" s="97"/>
      <c r="E462" s="100"/>
      <c r="F462" s="39"/>
      <c r="G462" s="103"/>
      <c r="H462" s="103"/>
      <c r="I462" s="19"/>
      <c r="J462" s="19"/>
      <c r="K462" s="33"/>
      <c r="L462" s="106"/>
      <c r="M462" s="100"/>
    </row>
    <row r="463" spans="2:13" ht="16.5" customHeight="1">
      <c r="B463" s="107">
        <v>76</v>
      </c>
      <c r="C463" s="92">
        <v>46183</v>
      </c>
      <c r="D463" s="95" t="s">
        <v>99</v>
      </c>
      <c r="E463" s="98" t="s">
        <v>44</v>
      </c>
      <c r="F463" s="38"/>
      <c r="G463" s="101">
        <f t="shared" ref="G463" si="300">C463+7</f>
        <v>46190</v>
      </c>
      <c r="H463" s="101">
        <f t="shared" ref="H463" si="301">C463+28</f>
        <v>46211</v>
      </c>
      <c r="I463" s="5"/>
      <c r="J463" s="5"/>
      <c r="K463" s="6"/>
      <c r="L463" s="104"/>
      <c r="M463" s="98"/>
    </row>
    <row r="464" spans="2:13" ht="16.5" customHeight="1">
      <c r="B464" s="108"/>
      <c r="C464" s="93"/>
      <c r="D464" s="96"/>
      <c r="E464" s="99"/>
      <c r="F464" s="36"/>
      <c r="G464" s="102"/>
      <c r="H464" s="102"/>
      <c r="I464" s="8"/>
      <c r="J464" s="8"/>
      <c r="K464" s="9"/>
      <c r="L464" s="105"/>
      <c r="M464" s="99"/>
    </row>
    <row r="465" spans="2:13" ht="16.5" customHeight="1" thickBot="1">
      <c r="B465" s="108"/>
      <c r="C465" s="93"/>
      <c r="D465" s="96"/>
      <c r="E465" s="99"/>
      <c r="F465" s="36"/>
      <c r="G465" s="102"/>
      <c r="H465" s="102"/>
      <c r="I465" s="11"/>
      <c r="J465" s="11"/>
      <c r="K465" s="12"/>
      <c r="L465" s="106"/>
      <c r="M465" s="100"/>
    </row>
    <row r="466" spans="2:13" ht="16.5" customHeight="1">
      <c r="B466" s="108"/>
      <c r="C466" s="93"/>
      <c r="D466" s="96"/>
      <c r="E466" s="99"/>
      <c r="F466" s="37"/>
      <c r="G466" s="102"/>
      <c r="H466" s="102"/>
      <c r="I466" s="14"/>
      <c r="J466" s="14"/>
      <c r="K466" s="31"/>
      <c r="L466" s="104"/>
      <c r="M466" s="98"/>
    </row>
    <row r="467" spans="2:13" ht="16.5" customHeight="1">
      <c r="B467" s="108"/>
      <c r="C467" s="93"/>
      <c r="D467" s="96"/>
      <c r="E467" s="99"/>
      <c r="F467" s="37"/>
      <c r="G467" s="102"/>
      <c r="H467" s="102"/>
      <c r="I467" s="16"/>
      <c r="J467" s="16"/>
      <c r="K467" s="32"/>
      <c r="L467" s="105"/>
      <c r="M467" s="99"/>
    </row>
    <row r="468" spans="2:13" ht="16.5" customHeight="1" thickBot="1">
      <c r="B468" s="109"/>
      <c r="C468" s="94"/>
      <c r="D468" s="97"/>
      <c r="E468" s="100"/>
      <c r="F468" s="39"/>
      <c r="G468" s="103"/>
      <c r="H468" s="103"/>
      <c r="I468" s="19"/>
      <c r="J468" s="19"/>
      <c r="K468" s="33"/>
      <c r="L468" s="106"/>
      <c r="M468" s="100"/>
    </row>
    <row r="469" spans="2:13" ht="16.5" customHeight="1">
      <c r="B469" s="107">
        <v>77</v>
      </c>
      <c r="C469" s="92">
        <v>46184</v>
      </c>
      <c r="D469" s="95" t="s">
        <v>100</v>
      </c>
      <c r="E469" s="98" t="s">
        <v>44</v>
      </c>
      <c r="F469" s="38"/>
      <c r="G469" s="101">
        <f t="shared" ref="G469" si="302">C469+7</f>
        <v>46191</v>
      </c>
      <c r="H469" s="101">
        <f t="shared" ref="H469" si="303">C469+28</f>
        <v>46212</v>
      </c>
      <c r="I469" s="5"/>
      <c r="J469" s="5"/>
      <c r="K469" s="6"/>
      <c r="L469" s="104"/>
      <c r="M469" s="98"/>
    </row>
    <row r="470" spans="2:13" ht="16.5" customHeight="1">
      <c r="B470" s="108"/>
      <c r="C470" s="93"/>
      <c r="D470" s="96"/>
      <c r="E470" s="99"/>
      <c r="F470" s="36"/>
      <c r="G470" s="102"/>
      <c r="H470" s="102"/>
      <c r="I470" s="8"/>
      <c r="J470" s="8"/>
      <c r="K470" s="9"/>
      <c r="L470" s="105"/>
      <c r="M470" s="99"/>
    </row>
    <row r="471" spans="2:13" ht="16.5" customHeight="1" thickBot="1">
      <c r="B471" s="108"/>
      <c r="C471" s="93"/>
      <c r="D471" s="96"/>
      <c r="E471" s="99"/>
      <c r="F471" s="36"/>
      <c r="G471" s="102"/>
      <c r="H471" s="102"/>
      <c r="I471" s="11"/>
      <c r="J471" s="11"/>
      <c r="K471" s="12"/>
      <c r="L471" s="106"/>
      <c r="M471" s="100"/>
    </row>
    <row r="472" spans="2:13" ht="16.5" customHeight="1">
      <c r="B472" s="108"/>
      <c r="C472" s="93"/>
      <c r="D472" s="96"/>
      <c r="E472" s="99"/>
      <c r="F472" s="37"/>
      <c r="G472" s="102"/>
      <c r="H472" s="102"/>
      <c r="I472" s="14"/>
      <c r="J472" s="14"/>
      <c r="K472" s="31"/>
      <c r="L472" s="104"/>
      <c r="M472" s="98"/>
    </row>
    <row r="473" spans="2:13" ht="16.5" customHeight="1">
      <c r="B473" s="108"/>
      <c r="C473" s="93"/>
      <c r="D473" s="96"/>
      <c r="E473" s="99"/>
      <c r="F473" s="37"/>
      <c r="G473" s="102"/>
      <c r="H473" s="102"/>
      <c r="I473" s="16"/>
      <c r="J473" s="16"/>
      <c r="K473" s="32"/>
      <c r="L473" s="105"/>
      <c r="M473" s="99"/>
    </row>
    <row r="474" spans="2:13" ht="16.5" customHeight="1" thickBot="1">
      <c r="B474" s="109"/>
      <c r="C474" s="94"/>
      <c r="D474" s="97"/>
      <c r="E474" s="100"/>
      <c r="F474" s="39"/>
      <c r="G474" s="103"/>
      <c r="H474" s="103"/>
      <c r="I474" s="19"/>
      <c r="J474" s="19"/>
      <c r="K474" s="33"/>
      <c r="L474" s="106"/>
      <c r="M474" s="100"/>
    </row>
    <row r="475" spans="2:13" ht="16.5" customHeight="1">
      <c r="B475" s="107">
        <v>78</v>
      </c>
      <c r="C475" s="92">
        <v>46186</v>
      </c>
      <c r="D475" s="95" t="s">
        <v>101</v>
      </c>
      <c r="E475" s="98" t="s">
        <v>44</v>
      </c>
      <c r="F475" s="38"/>
      <c r="G475" s="101">
        <f t="shared" ref="G475" si="304">C475+7</f>
        <v>46193</v>
      </c>
      <c r="H475" s="101">
        <f t="shared" ref="H475" si="305">C475+28</f>
        <v>46214</v>
      </c>
      <c r="I475" s="5"/>
      <c r="J475" s="5"/>
      <c r="K475" s="6"/>
      <c r="L475" s="104"/>
      <c r="M475" s="98"/>
    </row>
    <row r="476" spans="2:13" ht="16.5" customHeight="1">
      <c r="B476" s="108"/>
      <c r="C476" s="93"/>
      <c r="D476" s="96"/>
      <c r="E476" s="99"/>
      <c r="F476" s="36"/>
      <c r="G476" s="102"/>
      <c r="H476" s="102"/>
      <c r="I476" s="8"/>
      <c r="J476" s="8"/>
      <c r="K476" s="9"/>
      <c r="L476" s="105"/>
      <c r="M476" s="99"/>
    </row>
    <row r="477" spans="2:13" ht="16.5" customHeight="1" thickBot="1">
      <c r="B477" s="108"/>
      <c r="C477" s="93"/>
      <c r="D477" s="96"/>
      <c r="E477" s="99"/>
      <c r="F477" s="36"/>
      <c r="G477" s="102"/>
      <c r="H477" s="102"/>
      <c r="I477" s="11"/>
      <c r="J477" s="11"/>
      <c r="K477" s="12"/>
      <c r="L477" s="106"/>
      <c r="M477" s="100"/>
    </row>
    <row r="478" spans="2:13" ht="16.5" customHeight="1">
      <c r="B478" s="108"/>
      <c r="C478" s="93"/>
      <c r="D478" s="96"/>
      <c r="E478" s="99"/>
      <c r="F478" s="37"/>
      <c r="G478" s="102"/>
      <c r="H478" s="102"/>
      <c r="I478" s="14"/>
      <c r="J478" s="14"/>
      <c r="K478" s="31"/>
      <c r="L478" s="104"/>
      <c r="M478" s="98"/>
    </row>
    <row r="479" spans="2:13" ht="16.5" customHeight="1">
      <c r="B479" s="108"/>
      <c r="C479" s="93"/>
      <c r="D479" s="96"/>
      <c r="E479" s="99"/>
      <c r="F479" s="37"/>
      <c r="G479" s="102"/>
      <c r="H479" s="102"/>
      <c r="I479" s="16"/>
      <c r="J479" s="16"/>
      <c r="K479" s="32"/>
      <c r="L479" s="105"/>
      <c r="M479" s="99"/>
    </row>
    <row r="480" spans="2:13" ht="16.5" customHeight="1" thickBot="1">
      <c r="B480" s="109"/>
      <c r="C480" s="94"/>
      <c r="D480" s="97"/>
      <c r="E480" s="100"/>
      <c r="F480" s="39"/>
      <c r="G480" s="103"/>
      <c r="H480" s="103"/>
      <c r="I480" s="19"/>
      <c r="J480" s="19"/>
      <c r="K480" s="33"/>
      <c r="L480" s="106"/>
      <c r="M480" s="100"/>
    </row>
    <row r="481" spans="2:13" ht="16.5" customHeight="1">
      <c r="B481" s="107">
        <v>79</v>
      </c>
      <c r="C481" s="92">
        <v>46188</v>
      </c>
      <c r="D481" s="95" t="s">
        <v>106</v>
      </c>
      <c r="E481" s="98" t="s">
        <v>44</v>
      </c>
      <c r="F481" s="38"/>
      <c r="G481" s="101">
        <f t="shared" ref="G481" si="306">C481+7</f>
        <v>46195</v>
      </c>
      <c r="H481" s="101">
        <f t="shared" ref="H481" si="307">C481+28</f>
        <v>46216</v>
      </c>
      <c r="I481" s="5"/>
      <c r="J481" s="5"/>
      <c r="K481" s="6"/>
      <c r="L481" s="104"/>
      <c r="M481" s="98"/>
    </row>
    <row r="482" spans="2:13" ht="16.5" customHeight="1">
      <c r="B482" s="108"/>
      <c r="C482" s="93"/>
      <c r="D482" s="96"/>
      <c r="E482" s="99"/>
      <c r="F482" s="36"/>
      <c r="G482" s="102"/>
      <c r="H482" s="102"/>
      <c r="I482" s="8"/>
      <c r="J482" s="8"/>
      <c r="K482" s="9"/>
      <c r="L482" s="105"/>
      <c r="M482" s="99"/>
    </row>
    <row r="483" spans="2:13" ht="16.5" customHeight="1" thickBot="1">
      <c r="B483" s="108"/>
      <c r="C483" s="93"/>
      <c r="D483" s="96"/>
      <c r="E483" s="99"/>
      <c r="F483" s="36"/>
      <c r="G483" s="102"/>
      <c r="H483" s="102"/>
      <c r="I483" s="11"/>
      <c r="J483" s="11"/>
      <c r="K483" s="12"/>
      <c r="L483" s="106"/>
      <c r="M483" s="100"/>
    </row>
    <row r="484" spans="2:13" ht="16.5" customHeight="1">
      <c r="B484" s="108"/>
      <c r="C484" s="93"/>
      <c r="D484" s="96"/>
      <c r="E484" s="99"/>
      <c r="F484" s="37"/>
      <c r="G484" s="102"/>
      <c r="H484" s="102"/>
      <c r="I484" s="14"/>
      <c r="J484" s="14"/>
      <c r="K484" s="31"/>
      <c r="L484" s="104"/>
      <c r="M484" s="98"/>
    </row>
    <row r="485" spans="2:13" ht="16.5" customHeight="1">
      <c r="B485" s="108"/>
      <c r="C485" s="93"/>
      <c r="D485" s="96"/>
      <c r="E485" s="99"/>
      <c r="F485" s="37"/>
      <c r="G485" s="102"/>
      <c r="H485" s="102"/>
      <c r="I485" s="16"/>
      <c r="J485" s="16"/>
      <c r="K485" s="32"/>
      <c r="L485" s="105"/>
      <c r="M485" s="99"/>
    </row>
    <row r="486" spans="2:13" ht="16.5" customHeight="1" thickBot="1">
      <c r="B486" s="109"/>
      <c r="C486" s="94"/>
      <c r="D486" s="97"/>
      <c r="E486" s="100"/>
      <c r="F486" s="39"/>
      <c r="G486" s="103"/>
      <c r="H486" s="103"/>
      <c r="I486" s="19"/>
      <c r="J486" s="19"/>
      <c r="K486" s="33"/>
      <c r="L486" s="106"/>
      <c r="M486" s="100"/>
    </row>
    <row r="487" spans="2:13" ht="16.5" customHeight="1">
      <c r="B487" s="107"/>
      <c r="C487" s="92"/>
      <c r="D487" s="95"/>
      <c r="E487" s="98"/>
      <c r="F487" s="38"/>
      <c r="G487" s="101"/>
      <c r="H487" s="101"/>
      <c r="I487" s="5"/>
      <c r="J487" s="5"/>
      <c r="K487" s="6"/>
      <c r="L487" s="104"/>
      <c r="M487" s="98"/>
    </row>
    <row r="488" spans="2:13" ht="16.5" customHeight="1">
      <c r="B488" s="108"/>
      <c r="C488" s="93"/>
      <c r="D488" s="96"/>
      <c r="E488" s="99"/>
      <c r="F488" s="36"/>
      <c r="G488" s="102"/>
      <c r="H488" s="102"/>
      <c r="I488" s="8"/>
      <c r="J488" s="8"/>
      <c r="K488" s="9"/>
      <c r="L488" s="105"/>
      <c r="M488" s="99"/>
    </row>
    <row r="489" spans="2:13" ht="16.5" customHeight="1" thickBot="1">
      <c r="B489" s="108"/>
      <c r="C489" s="93"/>
      <c r="D489" s="96"/>
      <c r="E489" s="99"/>
      <c r="F489" s="36"/>
      <c r="G489" s="102"/>
      <c r="H489" s="102"/>
      <c r="I489" s="11"/>
      <c r="J489" s="11"/>
      <c r="K489" s="12"/>
      <c r="L489" s="106"/>
      <c r="M489" s="100"/>
    </row>
    <row r="490" spans="2:13" ht="16.5" customHeight="1">
      <c r="B490" s="108"/>
      <c r="C490" s="93"/>
      <c r="D490" s="96"/>
      <c r="E490" s="99"/>
      <c r="F490" s="37"/>
      <c r="G490" s="102"/>
      <c r="H490" s="102"/>
      <c r="I490" s="14"/>
      <c r="J490" s="14"/>
      <c r="K490" s="31"/>
      <c r="L490" s="104"/>
      <c r="M490" s="98"/>
    </row>
    <row r="491" spans="2:13" ht="16.5" customHeight="1">
      <c r="B491" s="108"/>
      <c r="C491" s="93"/>
      <c r="D491" s="96"/>
      <c r="E491" s="99"/>
      <c r="F491" s="37"/>
      <c r="G491" s="102"/>
      <c r="H491" s="102"/>
      <c r="I491" s="16"/>
      <c r="J491" s="16"/>
      <c r="K491" s="32"/>
      <c r="L491" s="105"/>
      <c r="M491" s="99"/>
    </row>
    <row r="492" spans="2:13" ht="16.5" customHeight="1" thickBot="1">
      <c r="B492" s="109"/>
      <c r="C492" s="94"/>
      <c r="D492" s="97"/>
      <c r="E492" s="100"/>
      <c r="F492" s="39"/>
      <c r="G492" s="103"/>
      <c r="H492" s="103"/>
      <c r="I492" s="19"/>
      <c r="J492" s="19"/>
      <c r="K492" s="33"/>
      <c r="L492" s="106"/>
      <c r="M492" s="100"/>
    </row>
    <row r="493" spans="2:13" ht="16.5" customHeight="1">
      <c r="C493" s="92">
        <v>46189</v>
      </c>
      <c r="D493" s="95"/>
      <c r="E493" s="98" t="s">
        <v>102</v>
      </c>
      <c r="F493" s="38"/>
      <c r="G493" s="101">
        <f t="shared" ref="G493" si="308">C493+7</f>
        <v>46196</v>
      </c>
      <c r="H493" s="101">
        <f t="shared" ref="H493" si="309">C493+28</f>
        <v>46217</v>
      </c>
      <c r="I493" s="5"/>
      <c r="J493" s="5"/>
      <c r="K493" s="6"/>
      <c r="L493" s="104"/>
      <c r="M493" s="98"/>
    </row>
    <row r="494" spans="2:13" ht="16.5" customHeight="1">
      <c r="C494" s="93"/>
      <c r="D494" s="96"/>
      <c r="E494" s="99"/>
      <c r="F494" s="36"/>
      <c r="G494" s="102"/>
      <c r="H494" s="102"/>
      <c r="I494" s="8"/>
      <c r="J494" s="8"/>
      <c r="K494" s="9"/>
      <c r="L494" s="105"/>
      <c r="M494" s="99"/>
    </row>
    <row r="495" spans="2:13" ht="16.5" customHeight="1" thickBot="1">
      <c r="C495" s="93"/>
      <c r="D495" s="96"/>
      <c r="E495" s="99"/>
      <c r="F495" s="36"/>
      <c r="G495" s="102"/>
      <c r="H495" s="102"/>
      <c r="I495" s="11"/>
      <c r="J495" s="11"/>
      <c r="K495" s="12"/>
      <c r="L495" s="106"/>
      <c r="M495" s="100"/>
    </row>
    <row r="496" spans="2:13" ht="16.5" customHeight="1">
      <c r="C496" s="93"/>
      <c r="D496" s="96"/>
      <c r="E496" s="99"/>
      <c r="F496" s="37"/>
      <c r="G496" s="102"/>
      <c r="H496" s="102"/>
      <c r="I496" s="14"/>
      <c r="J496" s="14"/>
      <c r="K496" s="31"/>
      <c r="L496" s="104"/>
      <c r="M496" s="98"/>
    </row>
    <row r="497" spans="3:13" ht="16.5" customHeight="1">
      <c r="C497" s="93"/>
      <c r="D497" s="96"/>
      <c r="E497" s="99"/>
      <c r="F497" s="37"/>
      <c r="G497" s="102"/>
      <c r="H497" s="102"/>
      <c r="I497" s="16"/>
      <c r="J497" s="16"/>
      <c r="K497" s="32"/>
      <c r="L497" s="105"/>
      <c r="M497" s="99"/>
    </row>
    <row r="498" spans="3:13" ht="16.5" customHeight="1" thickBot="1">
      <c r="C498" s="94"/>
      <c r="D498" s="97"/>
      <c r="E498" s="100"/>
      <c r="F498" s="39"/>
      <c r="G498" s="103"/>
      <c r="H498" s="103"/>
      <c r="I498" s="19"/>
      <c r="J498" s="19"/>
      <c r="K498" s="33"/>
      <c r="L498" s="106"/>
      <c r="M498" s="100"/>
    </row>
    <row r="499" spans="3:13" ht="16.5" customHeight="1">
      <c r="C499" s="92">
        <v>46190</v>
      </c>
      <c r="D499" s="95"/>
      <c r="E499" s="98" t="s">
        <v>103</v>
      </c>
      <c r="F499" s="38"/>
      <c r="G499" s="101">
        <f t="shared" ref="G499" si="310">C499+7</f>
        <v>46197</v>
      </c>
      <c r="H499" s="101">
        <f t="shared" ref="H499" si="311">C499+28</f>
        <v>46218</v>
      </c>
      <c r="I499" s="5"/>
      <c r="J499" s="5"/>
      <c r="K499" s="6"/>
      <c r="L499" s="104"/>
      <c r="M499" s="98"/>
    </row>
    <row r="500" spans="3:13" ht="16.5" customHeight="1">
      <c r="C500" s="93"/>
      <c r="D500" s="96"/>
      <c r="E500" s="99"/>
      <c r="F500" s="36"/>
      <c r="G500" s="102"/>
      <c r="H500" s="102"/>
      <c r="I500" s="8"/>
      <c r="J500" s="8"/>
      <c r="K500" s="9"/>
      <c r="L500" s="105"/>
      <c r="M500" s="99"/>
    </row>
    <row r="501" spans="3:13" ht="16.5" customHeight="1" thickBot="1">
      <c r="C501" s="93"/>
      <c r="D501" s="96"/>
      <c r="E501" s="99"/>
      <c r="F501" s="36"/>
      <c r="G501" s="102"/>
      <c r="H501" s="102"/>
      <c r="I501" s="11"/>
      <c r="J501" s="11"/>
      <c r="K501" s="12"/>
      <c r="L501" s="106"/>
      <c r="M501" s="100"/>
    </row>
    <row r="502" spans="3:13" ht="16.5" customHeight="1">
      <c r="C502" s="93"/>
      <c r="D502" s="96"/>
      <c r="E502" s="99"/>
      <c r="F502" s="37"/>
      <c r="G502" s="102"/>
      <c r="H502" s="102"/>
      <c r="I502" s="14"/>
      <c r="J502" s="14"/>
      <c r="K502" s="31"/>
      <c r="L502" s="104"/>
      <c r="M502" s="98"/>
    </row>
    <row r="503" spans="3:13" ht="16.5" customHeight="1">
      <c r="C503" s="93"/>
      <c r="D503" s="96"/>
      <c r="E503" s="99"/>
      <c r="F503" s="37"/>
      <c r="G503" s="102"/>
      <c r="H503" s="102"/>
      <c r="I503" s="16"/>
      <c r="J503" s="16"/>
      <c r="K503" s="32"/>
      <c r="L503" s="105"/>
      <c r="M503" s="99"/>
    </row>
    <row r="504" spans="3:13" ht="16.5" customHeight="1" thickBot="1">
      <c r="C504" s="94"/>
      <c r="D504" s="97"/>
      <c r="E504" s="100"/>
      <c r="F504" s="39"/>
      <c r="G504" s="103"/>
      <c r="H504" s="103"/>
      <c r="I504" s="19"/>
      <c r="J504" s="19"/>
      <c r="K504" s="33"/>
      <c r="L504" s="106"/>
      <c r="M504" s="100"/>
    </row>
    <row r="505" spans="3:13" ht="16.5" customHeight="1">
      <c r="C505" s="92">
        <v>46191</v>
      </c>
      <c r="D505" s="95"/>
      <c r="E505" s="98" t="s">
        <v>104</v>
      </c>
      <c r="F505" s="38"/>
      <c r="G505" s="101">
        <f t="shared" ref="G505" si="312">C505+7</f>
        <v>46198</v>
      </c>
      <c r="H505" s="101">
        <f t="shared" ref="H505" si="313">C505+28</f>
        <v>46219</v>
      </c>
      <c r="I505" s="5"/>
      <c r="J505" s="5"/>
      <c r="K505" s="6"/>
      <c r="L505" s="104"/>
      <c r="M505" s="98"/>
    </row>
    <row r="506" spans="3:13" ht="16.5" customHeight="1">
      <c r="C506" s="93"/>
      <c r="D506" s="96"/>
      <c r="E506" s="99"/>
      <c r="F506" s="36"/>
      <c r="G506" s="102"/>
      <c r="H506" s="102"/>
      <c r="I506" s="8"/>
      <c r="J506" s="8"/>
      <c r="K506" s="9"/>
      <c r="L506" s="105"/>
      <c r="M506" s="99"/>
    </row>
    <row r="507" spans="3:13" ht="16.5" customHeight="1" thickBot="1">
      <c r="C507" s="93"/>
      <c r="D507" s="96"/>
      <c r="E507" s="99"/>
      <c r="F507" s="36"/>
      <c r="G507" s="102"/>
      <c r="H507" s="102"/>
      <c r="I507" s="11"/>
      <c r="J507" s="11"/>
      <c r="K507" s="12"/>
      <c r="L507" s="106"/>
      <c r="M507" s="100"/>
    </row>
    <row r="508" spans="3:13" ht="16.5" customHeight="1">
      <c r="C508" s="93"/>
      <c r="D508" s="96"/>
      <c r="E508" s="99"/>
      <c r="F508" s="37"/>
      <c r="G508" s="102"/>
      <c r="H508" s="102"/>
      <c r="I508" s="14"/>
      <c r="J508" s="14"/>
      <c r="K508" s="31"/>
      <c r="L508" s="104"/>
      <c r="M508" s="98"/>
    </row>
    <row r="509" spans="3:13" ht="16.5" customHeight="1">
      <c r="C509" s="93"/>
      <c r="D509" s="96"/>
      <c r="E509" s="99"/>
      <c r="F509" s="37"/>
      <c r="G509" s="102"/>
      <c r="H509" s="102"/>
      <c r="I509" s="16"/>
      <c r="J509" s="16"/>
      <c r="K509" s="32"/>
      <c r="L509" s="105"/>
      <c r="M509" s="99"/>
    </row>
    <row r="510" spans="3:13" ht="16.5" customHeight="1" thickBot="1">
      <c r="C510" s="94"/>
      <c r="D510" s="97"/>
      <c r="E510" s="100"/>
      <c r="F510" s="39"/>
      <c r="G510" s="103"/>
      <c r="H510" s="103"/>
      <c r="I510" s="19"/>
      <c r="J510" s="19"/>
      <c r="K510" s="33"/>
      <c r="L510" s="106"/>
      <c r="M510" s="100"/>
    </row>
    <row r="511" spans="3:13" ht="16.5" customHeight="1">
      <c r="C511" s="92">
        <v>46192</v>
      </c>
      <c r="D511" s="95"/>
      <c r="E511" s="98" t="s">
        <v>105</v>
      </c>
      <c r="F511" s="38"/>
      <c r="G511" s="101">
        <f t="shared" ref="G511" si="314">C511+7</f>
        <v>46199</v>
      </c>
      <c r="H511" s="101">
        <f t="shared" ref="H511" si="315">C511+28</f>
        <v>46220</v>
      </c>
      <c r="I511" s="5"/>
      <c r="J511" s="5"/>
      <c r="K511" s="6"/>
      <c r="L511" s="104"/>
      <c r="M511" s="98"/>
    </row>
    <row r="512" spans="3:13" ht="16.5" customHeight="1">
      <c r="C512" s="93"/>
      <c r="D512" s="96"/>
      <c r="E512" s="99"/>
      <c r="F512" s="36"/>
      <c r="G512" s="102"/>
      <c r="H512" s="102"/>
      <c r="I512" s="8"/>
      <c r="J512" s="8"/>
      <c r="K512" s="9"/>
      <c r="L512" s="105"/>
      <c r="M512" s="99"/>
    </row>
    <row r="513" spans="3:13" ht="16.5" customHeight="1" thickBot="1">
      <c r="C513" s="93"/>
      <c r="D513" s="96"/>
      <c r="E513" s="99"/>
      <c r="F513" s="36"/>
      <c r="G513" s="102"/>
      <c r="H513" s="102"/>
      <c r="I513" s="11"/>
      <c r="J513" s="11"/>
      <c r="K513" s="12"/>
      <c r="L513" s="106"/>
      <c r="M513" s="100"/>
    </row>
    <row r="514" spans="3:13" ht="16.5" customHeight="1">
      <c r="C514" s="93"/>
      <c r="D514" s="96"/>
      <c r="E514" s="99"/>
      <c r="F514" s="37"/>
      <c r="G514" s="102"/>
      <c r="H514" s="102"/>
      <c r="I514" s="14"/>
      <c r="J514" s="14"/>
      <c r="K514" s="31"/>
      <c r="L514" s="104"/>
      <c r="M514" s="98"/>
    </row>
    <row r="515" spans="3:13" ht="16.5" customHeight="1">
      <c r="C515" s="93"/>
      <c r="D515" s="96"/>
      <c r="E515" s="99"/>
      <c r="F515" s="37"/>
      <c r="G515" s="102"/>
      <c r="H515" s="102"/>
      <c r="I515" s="16"/>
      <c r="J515" s="16"/>
      <c r="K515" s="32"/>
      <c r="L515" s="105"/>
      <c r="M515" s="99"/>
    </row>
    <row r="516" spans="3:13" ht="16.5" customHeight="1" thickBot="1">
      <c r="C516" s="94"/>
      <c r="D516" s="97"/>
      <c r="E516" s="100"/>
      <c r="F516" s="39"/>
      <c r="G516" s="103"/>
      <c r="H516" s="103"/>
      <c r="I516" s="19"/>
      <c r="J516" s="19"/>
      <c r="K516" s="33"/>
      <c r="L516" s="106"/>
      <c r="M516" s="100"/>
    </row>
  </sheetData>
  <mergeCells count="871">
    <mergeCell ref="B475:B480"/>
    <mergeCell ref="C475:C480"/>
    <mergeCell ref="D475:D480"/>
    <mergeCell ref="E475:E480"/>
    <mergeCell ref="G475:G480"/>
    <mergeCell ref="H475:H480"/>
    <mergeCell ref="L475:L477"/>
    <mergeCell ref="M475:M477"/>
    <mergeCell ref="L478:L480"/>
    <mergeCell ref="M478:M480"/>
    <mergeCell ref="B469:B474"/>
    <mergeCell ref="C469:C474"/>
    <mergeCell ref="D469:D474"/>
    <mergeCell ref="E469:E474"/>
    <mergeCell ref="G469:G474"/>
    <mergeCell ref="H469:H474"/>
    <mergeCell ref="L469:L471"/>
    <mergeCell ref="M469:M471"/>
    <mergeCell ref="L472:L474"/>
    <mergeCell ref="M472:M474"/>
    <mergeCell ref="B463:B468"/>
    <mergeCell ref="C463:C468"/>
    <mergeCell ref="D463:D468"/>
    <mergeCell ref="E463:E468"/>
    <mergeCell ref="G463:G468"/>
    <mergeCell ref="H463:H468"/>
    <mergeCell ref="L463:L465"/>
    <mergeCell ref="M463:M465"/>
    <mergeCell ref="L466:L468"/>
    <mergeCell ref="M466:M468"/>
    <mergeCell ref="B457:B462"/>
    <mergeCell ref="C457:C462"/>
    <mergeCell ref="D457:D462"/>
    <mergeCell ref="E457:E462"/>
    <mergeCell ref="G457:G462"/>
    <mergeCell ref="H457:H462"/>
    <mergeCell ref="L457:L459"/>
    <mergeCell ref="M457:M459"/>
    <mergeCell ref="L460:L462"/>
    <mergeCell ref="M460:M462"/>
    <mergeCell ref="B451:B456"/>
    <mergeCell ref="C451:C456"/>
    <mergeCell ref="D451:D456"/>
    <mergeCell ref="E451:E456"/>
    <mergeCell ref="G451:G456"/>
    <mergeCell ref="H451:H456"/>
    <mergeCell ref="L451:L453"/>
    <mergeCell ref="M451:M453"/>
    <mergeCell ref="L454:L456"/>
    <mergeCell ref="M454:M456"/>
    <mergeCell ref="B415:B420"/>
    <mergeCell ref="B421:B426"/>
    <mergeCell ref="B427:B432"/>
    <mergeCell ref="B433:B438"/>
    <mergeCell ref="C433:C438"/>
    <mergeCell ref="D433:D438"/>
    <mergeCell ref="E433:E438"/>
    <mergeCell ref="G433:G438"/>
    <mergeCell ref="H433:H438"/>
    <mergeCell ref="C421:C426"/>
    <mergeCell ref="D421:D426"/>
    <mergeCell ref="E421:E426"/>
    <mergeCell ref="G421:G426"/>
    <mergeCell ref="H421:H426"/>
    <mergeCell ref="L433:L435"/>
    <mergeCell ref="M433:M435"/>
    <mergeCell ref="L436:L438"/>
    <mergeCell ref="M436:M438"/>
    <mergeCell ref="C427:C432"/>
    <mergeCell ref="D427:D432"/>
    <mergeCell ref="E427:E432"/>
    <mergeCell ref="G427:G432"/>
    <mergeCell ref="H427:H432"/>
    <mergeCell ref="L427:L429"/>
    <mergeCell ref="M427:M429"/>
    <mergeCell ref="L430:L432"/>
    <mergeCell ref="M430:M432"/>
    <mergeCell ref="L421:L423"/>
    <mergeCell ref="M421:M423"/>
    <mergeCell ref="L424:L426"/>
    <mergeCell ref="M424:M426"/>
    <mergeCell ref="C415:C420"/>
    <mergeCell ref="D415:D420"/>
    <mergeCell ref="E415:E420"/>
    <mergeCell ref="G415:G420"/>
    <mergeCell ref="H415:H420"/>
    <mergeCell ref="L415:L417"/>
    <mergeCell ref="M415:M417"/>
    <mergeCell ref="L418:L420"/>
    <mergeCell ref="M418:M420"/>
    <mergeCell ref="C409:C414"/>
    <mergeCell ref="D409:D414"/>
    <mergeCell ref="E409:E414"/>
    <mergeCell ref="G409:G414"/>
    <mergeCell ref="H409:H414"/>
    <mergeCell ref="L409:L411"/>
    <mergeCell ref="M409:M411"/>
    <mergeCell ref="L412:L414"/>
    <mergeCell ref="M412:M414"/>
    <mergeCell ref="C403:C408"/>
    <mergeCell ref="D403:D408"/>
    <mergeCell ref="E403:E408"/>
    <mergeCell ref="G403:G408"/>
    <mergeCell ref="H403:H408"/>
    <mergeCell ref="L403:L405"/>
    <mergeCell ref="M403:M405"/>
    <mergeCell ref="L406:L408"/>
    <mergeCell ref="M406:M408"/>
    <mergeCell ref="C397:C402"/>
    <mergeCell ref="D397:D402"/>
    <mergeCell ref="E397:E402"/>
    <mergeCell ref="G397:G402"/>
    <mergeCell ref="H397:H402"/>
    <mergeCell ref="L397:L399"/>
    <mergeCell ref="M397:M399"/>
    <mergeCell ref="L400:L402"/>
    <mergeCell ref="M400:M402"/>
    <mergeCell ref="B391:B396"/>
    <mergeCell ref="C391:C396"/>
    <mergeCell ref="D391:D396"/>
    <mergeCell ref="E391:E396"/>
    <mergeCell ref="G391:G396"/>
    <mergeCell ref="H391:H396"/>
    <mergeCell ref="L391:L393"/>
    <mergeCell ref="M391:M393"/>
    <mergeCell ref="L394:L396"/>
    <mergeCell ref="M394:M396"/>
    <mergeCell ref="B385:B390"/>
    <mergeCell ref="C385:C390"/>
    <mergeCell ref="D385:D390"/>
    <mergeCell ref="E385:E390"/>
    <mergeCell ref="G385:G390"/>
    <mergeCell ref="H385:H390"/>
    <mergeCell ref="L385:L387"/>
    <mergeCell ref="M385:M387"/>
    <mergeCell ref="L388:L390"/>
    <mergeCell ref="M388:M390"/>
    <mergeCell ref="B379:B384"/>
    <mergeCell ref="C379:C384"/>
    <mergeCell ref="D379:D384"/>
    <mergeCell ref="E379:E384"/>
    <mergeCell ref="G379:G384"/>
    <mergeCell ref="H379:H384"/>
    <mergeCell ref="L379:L381"/>
    <mergeCell ref="M379:M381"/>
    <mergeCell ref="L382:L384"/>
    <mergeCell ref="M382:M384"/>
    <mergeCell ref="B373:B378"/>
    <mergeCell ref="C373:C378"/>
    <mergeCell ref="D373:D378"/>
    <mergeCell ref="E373:E378"/>
    <mergeCell ref="G373:G378"/>
    <mergeCell ref="H373:H378"/>
    <mergeCell ref="L373:L375"/>
    <mergeCell ref="M373:M375"/>
    <mergeCell ref="L376:L378"/>
    <mergeCell ref="M376:M378"/>
    <mergeCell ref="B367:B372"/>
    <mergeCell ref="C367:C372"/>
    <mergeCell ref="D367:D372"/>
    <mergeCell ref="E367:E372"/>
    <mergeCell ref="G367:G372"/>
    <mergeCell ref="H367:H372"/>
    <mergeCell ref="L367:L369"/>
    <mergeCell ref="M367:M369"/>
    <mergeCell ref="L370:L372"/>
    <mergeCell ref="M370:M372"/>
    <mergeCell ref="B361:B366"/>
    <mergeCell ref="C361:C366"/>
    <mergeCell ref="D361:D366"/>
    <mergeCell ref="E361:E366"/>
    <mergeCell ref="G361:G366"/>
    <mergeCell ref="H361:H366"/>
    <mergeCell ref="L361:L363"/>
    <mergeCell ref="M361:M363"/>
    <mergeCell ref="L364:L366"/>
    <mergeCell ref="M364:M366"/>
    <mergeCell ref="B355:B360"/>
    <mergeCell ref="C355:C360"/>
    <mergeCell ref="D355:D360"/>
    <mergeCell ref="E355:E360"/>
    <mergeCell ref="G355:G360"/>
    <mergeCell ref="H355:H360"/>
    <mergeCell ref="L355:L357"/>
    <mergeCell ref="M355:M357"/>
    <mergeCell ref="L358:L360"/>
    <mergeCell ref="M358:M360"/>
    <mergeCell ref="B349:B354"/>
    <mergeCell ref="C349:C354"/>
    <mergeCell ref="D349:D354"/>
    <mergeCell ref="E349:E354"/>
    <mergeCell ref="G349:G354"/>
    <mergeCell ref="H349:H354"/>
    <mergeCell ref="L349:L351"/>
    <mergeCell ref="M349:M351"/>
    <mergeCell ref="L352:L354"/>
    <mergeCell ref="M352:M354"/>
    <mergeCell ref="B343:B348"/>
    <mergeCell ref="C343:C348"/>
    <mergeCell ref="D343:D348"/>
    <mergeCell ref="E343:E348"/>
    <mergeCell ref="G343:G348"/>
    <mergeCell ref="H343:H348"/>
    <mergeCell ref="L343:L345"/>
    <mergeCell ref="M343:M345"/>
    <mergeCell ref="L346:L348"/>
    <mergeCell ref="M346:M348"/>
    <mergeCell ref="B337:B342"/>
    <mergeCell ref="C337:C342"/>
    <mergeCell ref="D337:D342"/>
    <mergeCell ref="E337:E342"/>
    <mergeCell ref="G337:G342"/>
    <mergeCell ref="H337:H342"/>
    <mergeCell ref="L337:L339"/>
    <mergeCell ref="M337:M339"/>
    <mergeCell ref="L340:L342"/>
    <mergeCell ref="M340:M342"/>
    <mergeCell ref="B331:B336"/>
    <mergeCell ref="C331:C336"/>
    <mergeCell ref="D331:D336"/>
    <mergeCell ref="E331:E336"/>
    <mergeCell ref="G331:G336"/>
    <mergeCell ref="H331:H336"/>
    <mergeCell ref="L331:L333"/>
    <mergeCell ref="M331:M333"/>
    <mergeCell ref="L334:L336"/>
    <mergeCell ref="M334:M336"/>
    <mergeCell ref="B325:B330"/>
    <mergeCell ref="C325:C330"/>
    <mergeCell ref="D325:D330"/>
    <mergeCell ref="E325:E330"/>
    <mergeCell ref="G325:G330"/>
    <mergeCell ref="H325:H330"/>
    <mergeCell ref="L325:L327"/>
    <mergeCell ref="M325:M327"/>
    <mergeCell ref="L328:L330"/>
    <mergeCell ref="M328:M330"/>
    <mergeCell ref="B319:B324"/>
    <mergeCell ref="C319:C324"/>
    <mergeCell ref="D319:D324"/>
    <mergeCell ref="E319:E324"/>
    <mergeCell ref="G319:G324"/>
    <mergeCell ref="H319:H324"/>
    <mergeCell ref="L319:L321"/>
    <mergeCell ref="M319:M321"/>
    <mergeCell ref="L322:L324"/>
    <mergeCell ref="M322:M324"/>
    <mergeCell ref="B313:B318"/>
    <mergeCell ref="C313:C318"/>
    <mergeCell ref="D313:D318"/>
    <mergeCell ref="E313:E318"/>
    <mergeCell ref="G313:G318"/>
    <mergeCell ref="H313:H318"/>
    <mergeCell ref="L313:L315"/>
    <mergeCell ref="M313:M315"/>
    <mergeCell ref="L316:L318"/>
    <mergeCell ref="M316:M318"/>
    <mergeCell ref="B307:B312"/>
    <mergeCell ref="C307:C312"/>
    <mergeCell ref="D307:D312"/>
    <mergeCell ref="E307:E312"/>
    <mergeCell ref="G307:G312"/>
    <mergeCell ref="H307:H312"/>
    <mergeCell ref="L307:L309"/>
    <mergeCell ref="M307:M309"/>
    <mergeCell ref="L310:L312"/>
    <mergeCell ref="M310:M312"/>
    <mergeCell ref="B301:B306"/>
    <mergeCell ref="C301:C306"/>
    <mergeCell ref="D301:D306"/>
    <mergeCell ref="E301:E306"/>
    <mergeCell ref="G301:G306"/>
    <mergeCell ref="H301:H306"/>
    <mergeCell ref="L301:L303"/>
    <mergeCell ref="M301:M303"/>
    <mergeCell ref="L304:L306"/>
    <mergeCell ref="M304:M306"/>
    <mergeCell ref="B295:B300"/>
    <mergeCell ref="C295:C300"/>
    <mergeCell ref="D295:D300"/>
    <mergeCell ref="E295:E300"/>
    <mergeCell ref="G295:G300"/>
    <mergeCell ref="H295:H300"/>
    <mergeCell ref="L295:L297"/>
    <mergeCell ref="M295:M297"/>
    <mergeCell ref="L298:L300"/>
    <mergeCell ref="M298:M300"/>
    <mergeCell ref="B289:B294"/>
    <mergeCell ref="C289:C294"/>
    <mergeCell ref="D289:D294"/>
    <mergeCell ref="E289:E294"/>
    <mergeCell ref="G289:G294"/>
    <mergeCell ref="H289:H294"/>
    <mergeCell ref="L289:L291"/>
    <mergeCell ref="M289:M291"/>
    <mergeCell ref="L292:L294"/>
    <mergeCell ref="M292:M294"/>
    <mergeCell ref="B283:B288"/>
    <mergeCell ref="C283:C288"/>
    <mergeCell ref="D283:D288"/>
    <mergeCell ref="E283:E288"/>
    <mergeCell ref="G283:G288"/>
    <mergeCell ref="H283:H288"/>
    <mergeCell ref="L283:L285"/>
    <mergeCell ref="M283:M285"/>
    <mergeCell ref="L286:L288"/>
    <mergeCell ref="M286:M288"/>
    <mergeCell ref="B277:B282"/>
    <mergeCell ref="C277:C282"/>
    <mergeCell ref="D277:D282"/>
    <mergeCell ref="E277:E282"/>
    <mergeCell ref="G277:G282"/>
    <mergeCell ref="H277:H282"/>
    <mergeCell ref="L277:L279"/>
    <mergeCell ref="M277:M279"/>
    <mergeCell ref="L280:L282"/>
    <mergeCell ref="M280:M282"/>
    <mergeCell ref="L265:L267"/>
    <mergeCell ref="M265:M267"/>
    <mergeCell ref="L268:L270"/>
    <mergeCell ref="M268:M270"/>
    <mergeCell ref="B271:B276"/>
    <mergeCell ref="C271:C276"/>
    <mergeCell ref="D271:D276"/>
    <mergeCell ref="E271:E276"/>
    <mergeCell ref="G271:G276"/>
    <mergeCell ref="H271:H276"/>
    <mergeCell ref="L271:L273"/>
    <mergeCell ref="M271:M273"/>
    <mergeCell ref="L274:L276"/>
    <mergeCell ref="M274:M276"/>
    <mergeCell ref="B265:B270"/>
    <mergeCell ref="C265:C270"/>
    <mergeCell ref="D265:D270"/>
    <mergeCell ref="E265:E270"/>
    <mergeCell ref="G265:G270"/>
    <mergeCell ref="H265:H270"/>
    <mergeCell ref="L205:L207"/>
    <mergeCell ref="M205:M207"/>
    <mergeCell ref="L208:L210"/>
    <mergeCell ref="M208:M210"/>
    <mergeCell ref="L211:L213"/>
    <mergeCell ref="M211:M213"/>
    <mergeCell ref="L214:L216"/>
    <mergeCell ref="M214:M216"/>
    <mergeCell ref="L217:L219"/>
    <mergeCell ref="M217:M219"/>
    <mergeCell ref="L220:L222"/>
    <mergeCell ref="M220:M222"/>
    <mergeCell ref="L223:L225"/>
    <mergeCell ref="M223:M225"/>
    <mergeCell ref="L226:L228"/>
    <mergeCell ref="M226:M228"/>
    <mergeCell ref="L229:L231"/>
    <mergeCell ref="B253:B258"/>
    <mergeCell ref="C253:C258"/>
    <mergeCell ref="D253:D258"/>
    <mergeCell ref="E253:E258"/>
    <mergeCell ref="G253:G258"/>
    <mergeCell ref="H253:H258"/>
    <mergeCell ref="B241:B246"/>
    <mergeCell ref="C241:C246"/>
    <mergeCell ref="D241:D246"/>
    <mergeCell ref="E241:E246"/>
    <mergeCell ref="G241:G246"/>
    <mergeCell ref="H241:H246"/>
    <mergeCell ref="B247:B252"/>
    <mergeCell ref="C247:C252"/>
    <mergeCell ref="D247:D252"/>
    <mergeCell ref="E247:E252"/>
    <mergeCell ref="G247:G252"/>
    <mergeCell ref="M241:M243"/>
    <mergeCell ref="L244:L246"/>
    <mergeCell ref="M244:M246"/>
    <mergeCell ref="L247:L249"/>
    <mergeCell ref="M247:M249"/>
    <mergeCell ref="L250:L252"/>
    <mergeCell ref="M250:M252"/>
    <mergeCell ref="B259:B264"/>
    <mergeCell ref="C259:C264"/>
    <mergeCell ref="D259:D264"/>
    <mergeCell ref="E259:E264"/>
    <mergeCell ref="G259:G264"/>
    <mergeCell ref="H259:H264"/>
    <mergeCell ref="L253:L255"/>
    <mergeCell ref="M253:M255"/>
    <mergeCell ref="L256:L258"/>
    <mergeCell ref="M256:M258"/>
    <mergeCell ref="L259:L261"/>
    <mergeCell ref="M259:M261"/>
    <mergeCell ref="L262:L264"/>
    <mergeCell ref="M262:M264"/>
    <mergeCell ref="H229:H234"/>
    <mergeCell ref="B235:B240"/>
    <mergeCell ref="C235:C240"/>
    <mergeCell ref="D235:D240"/>
    <mergeCell ref="E235:E240"/>
    <mergeCell ref="G235:G240"/>
    <mergeCell ref="H235:H240"/>
    <mergeCell ref="H247:H252"/>
    <mergeCell ref="L241:L243"/>
    <mergeCell ref="M229:M231"/>
    <mergeCell ref="L232:L234"/>
    <mergeCell ref="M232:M234"/>
    <mergeCell ref="L235:L237"/>
    <mergeCell ref="M235:M237"/>
    <mergeCell ref="L238:L240"/>
    <mergeCell ref="M238:M240"/>
    <mergeCell ref="B217:B222"/>
    <mergeCell ref="C217:C222"/>
    <mergeCell ref="D217:D222"/>
    <mergeCell ref="E217:E222"/>
    <mergeCell ref="G217:G222"/>
    <mergeCell ref="H217:H222"/>
    <mergeCell ref="B223:B228"/>
    <mergeCell ref="C223:C228"/>
    <mergeCell ref="D223:D228"/>
    <mergeCell ref="E223:E228"/>
    <mergeCell ref="G223:G228"/>
    <mergeCell ref="H223:H228"/>
    <mergeCell ref="B229:B234"/>
    <mergeCell ref="C229:C234"/>
    <mergeCell ref="D229:D234"/>
    <mergeCell ref="E229:E234"/>
    <mergeCell ref="G229:G234"/>
    <mergeCell ref="B205:B210"/>
    <mergeCell ref="C205:C210"/>
    <mergeCell ref="D205:D210"/>
    <mergeCell ref="E205:E210"/>
    <mergeCell ref="G205:G210"/>
    <mergeCell ref="H205:H210"/>
    <mergeCell ref="B211:B216"/>
    <mergeCell ref="C211:C216"/>
    <mergeCell ref="D211:D216"/>
    <mergeCell ref="E211:E216"/>
    <mergeCell ref="G211:G216"/>
    <mergeCell ref="H211:H216"/>
    <mergeCell ref="B199:B204"/>
    <mergeCell ref="C199:C204"/>
    <mergeCell ref="D199:D204"/>
    <mergeCell ref="E199:E204"/>
    <mergeCell ref="G199:G204"/>
    <mergeCell ref="H199:H204"/>
    <mergeCell ref="L199:L201"/>
    <mergeCell ref="M199:M201"/>
    <mergeCell ref="L202:L204"/>
    <mergeCell ref="M202:M204"/>
    <mergeCell ref="L197:L198"/>
    <mergeCell ref="M197:M198"/>
    <mergeCell ref="L185:L187"/>
    <mergeCell ref="M185:M187"/>
    <mergeCell ref="L188:L190"/>
    <mergeCell ref="M188:M190"/>
    <mergeCell ref="L191:L193"/>
    <mergeCell ref="M191:M193"/>
    <mergeCell ref="L194:L196"/>
    <mergeCell ref="M194:M196"/>
    <mergeCell ref="B185:B190"/>
    <mergeCell ref="C185:C190"/>
    <mergeCell ref="D185:D190"/>
    <mergeCell ref="E185:E190"/>
    <mergeCell ref="G185:G190"/>
    <mergeCell ref="H185:H190"/>
    <mergeCell ref="D197:D198"/>
    <mergeCell ref="B197:B198"/>
    <mergeCell ref="C197:C198"/>
    <mergeCell ref="E197:E198"/>
    <mergeCell ref="G197:G198"/>
    <mergeCell ref="H197:H198"/>
    <mergeCell ref="B191:B196"/>
    <mergeCell ref="C191:C196"/>
    <mergeCell ref="D191:D196"/>
    <mergeCell ref="E191:E196"/>
    <mergeCell ref="G191:G196"/>
    <mergeCell ref="H191:H196"/>
    <mergeCell ref="L173:L175"/>
    <mergeCell ref="M173:M175"/>
    <mergeCell ref="L176:L178"/>
    <mergeCell ref="M176:M178"/>
    <mergeCell ref="B179:B184"/>
    <mergeCell ref="C179:C184"/>
    <mergeCell ref="D179:D184"/>
    <mergeCell ref="E179:E184"/>
    <mergeCell ref="G179:G184"/>
    <mergeCell ref="H179:H184"/>
    <mergeCell ref="B173:B178"/>
    <mergeCell ref="C173:C178"/>
    <mergeCell ref="D173:D178"/>
    <mergeCell ref="E173:E178"/>
    <mergeCell ref="G173:G178"/>
    <mergeCell ref="H173:H178"/>
    <mergeCell ref="L179:L181"/>
    <mergeCell ref="M179:M181"/>
    <mergeCell ref="L182:L184"/>
    <mergeCell ref="M182:M184"/>
    <mergeCell ref="L149:L151"/>
    <mergeCell ref="M149:M151"/>
    <mergeCell ref="L152:L154"/>
    <mergeCell ref="M152:M154"/>
    <mergeCell ref="B149:B154"/>
    <mergeCell ref="C149:C154"/>
    <mergeCell ref="D149:D154"/>
    <mergeCell ref="E149:E154"/>
    <mergeCell ref="G149:G154"/>
    <mergeCell ref="H149:H154"/>
    <mergeCell ref="B113:B118"/>
    <mergeCell ref="C113:C118"/>
    <mergeCell ref="D113:D118"/>
    <mergeCell ref="E113:E118"/>
    <mergeCell ref="G113:G118"/>
    <mergeCell ref="H113:H118"/>
    <mergeCell ref="L119:L121"/>
    <mergeCell ref="M119:M121"/>
    <mergeCell ref="L122:L124"/>
    <mergeCell ref="M122:M124"/>
    <mergeCell ref="L113:L115"/>
    <mergeCell ref="M113:M115"/>
    <mergeCell ref="L116:L118"/>
    <mergeCell ref="M116:M118"/>
    <mergeCell ref="B119:B124"/>
    <mergeCell ref="C119:C124"/>
    <mergeCell ref="D119:D124"/>
    <mergeCell ref="E119:E124"/>
    <mergeCell ref="G119:G124"/>
    <mergeCell ref="H119:H124"/>
    <mergeCell ref="B89:B94"/>
    <mergeCell ref="C89:C94"/>
    <mergeCell ref="D89:D94"/>
    <mergeCell ref="E89:E94"/>
    <mergeCell ref="G89:G94"/>
    <mergeCell ref="H89:H94"/>
    <mergeCell ref="L110:L112"/>
    <mergeCell ref="M110:M112"/>
    <mergeCell ref="B107:B112"/>
    <mergeCell ref="C107:C112"/>
    <mergeCell ref="D107:D112"/>
    <mergeCell ref="E107:E112"/>
    <mergeCell ref="G107:G112"/>
    <mergeCell ref="H107:H112"/>
    <mergeCell ref="L98:L100"/>
    <mergeCell ref="M98:M100"/>
    <mergeCell ref="B83:B88"/>
    <mergeCell ref="C83:C88"/>
    <mergeCell ref="D83:D88"/>
    <mergeCell ref="E83:E88"/>
    <mergeCell ref="G83:G88"/>
    <mergeCell ref="H83:H88"/>
    <mergeCell ref="B77:B82"/>
    <mergeCell ref="C77:C82"/>
    <mergeCell ref="D77:D82"/>
    <mergeCell ref="E77:E82"/>
    <mergeCell ref="G77:G82"/>
    <mergeCell ref="H77:H82"/>
    <mergeCell ref="B8:C8"/>
    <mergeCell ref="D23:D28"/>
    <mergeCell ref="C23:C28"/>
    <mergeCell ref="B23:B28"/>
    <mergeCell ref="E23:E28"/>
    <mergeCell ref="F9:F10"/>
    <mergeCell ref="E9:E10"/>
    <mergeCell ref="B29:B34"/>
    <mergeCell ref="C29:C34"/>
    <mergeCell ref="D29:D34"/>
    <mergeCell ref="E29:E34"/>
    <mergeCell ref="B11:B16"/>
    <mergeCell ref="C11:C16"/>
    <mergeCell ref="D11:D16"/>
    <mergeCell ref="E11:E16"/>
    <mergeCell ref="B9:B10"/>
    <mergeCell ref="C9:C10"/>
    <mergeCell ref="D9:D10"/>
    <mergeCell ref="L29:L31"/>
    <mergeCell ref="L32:L34"/>
    <mergeCell ref="G23:G28"/>
    <mergeCell ref="B35:B40"/>
    <mergeCell ref="C35:C40"/>
    <mergeCell ref="D35:D40"/>
    <mergeCell ref="E35:E40"/>
    <mergeCell ref="G35:G40"/>
    <mergeCell ref="H35:H40"/>
    <mergeCell ref="L35:L37"/>
    <mergeCell ref="L38:L40"/>
    <mergeCell ref="H23:H28"/>
    <mergeCell ref="L26:L28"/>
    <mergeCell ref="B65:B70"/>
    <mergeCell ref="C65:C70"/>
    <mergeCell ref="D65:D70"/>
    <mergeCell ref="E65:E70"/>
    <mergeCell ref="G65:G70"/>
    <mergeCell ref="H65:H70"/>
    <mergeCell ref="L68:L70"/>
    <mergeCell ref="B71:B76"/>
    <mergeCell ref="C71:C76"/>
    <mergeCell ref="D71:D76"/>
    <mergeCell ref="E71:E76"/>
    <mergeCell ref="G71:G76"/>
    <mergeCell ref="H71:H76"/>
    <mergeCell ref="L71:L73"/>
    <mergeCell ref="L74:L76"/>
    <mergeCell ref="B59:B64"/>
    <mergeCell ref="C59:C64"/>
    <mergeCell ref="D59:D64"/>
    <mergeCell ref="E59:E64"/>
    <mergeCell ref="G59:G64"/>
    <mergeCell ref="H59:H64"/>
    <mergeCell ref="L59:L61"/>
    <mergeCell ref="L62:L64"/>
    <mergeCell ref="L41:L43"/>
    <mergeCell ref="L44:L46"/>
    <mergeCell ref="B47:B52"/>
    <mergeCell ref="C47:C52"/>
    <mergeCell ref="D47:D52"/>
    <mergeCell ref="E47:E52"/>
    <mergeCell ref="G47:G52"/>
    <mergeCell ref="H47:H52"/>
    <mergeCell ref="L47:L49"/>
    <mergeCell ref="L50:L52"/>
    <mergeCell ref="B41:B46"/>
    <mergeCell ref="C41:C46"/>
    <mergeCell ref="D41:D46"/>
    <mergeCell ref="E41:E46"/>
    <mergeCell ref="G41:G46"/>
    <mergeCell ref="H41:H46"/>
    <mergeCell ref="B53:B58"/>
    <mergeCell ref="C53:C58"/>
    <mergeCell ref="D53:D58"/>
    <mergeCell ref="E53:E58"/>
    <mergeCell ref="G53:G58"/>
    <mergeCell ref="H53:H58"/>
    <mergeCell ref="B7:M7"/>
    <mergeCell ref="M9:M10"/>
    <mergeCell ref="M23:M25"/>
    <mergeCell ref="M26:M28"/>
    <mergeCell ref="L14:L16"/>
    <mergeCell ref="M14:M16"/>
    <mergeCell ref="B17:B22"/>
    <mergeCell ref="C17:C22"/>
    <mergeCell ref="L23:L25"/>
    <mergeCell ref="L8:M8"/>
    <mergeCell ref="L20:L22"/>
    <mergeCell ref="D8:I8"/>
    <mergeCell ref="J8:K8"/>
    <mergeCell ref="D17:D22"/>
    <mergeCell ref="E17:E22"/>
    <mergeCell ref="G17:G22"/>
    <mergeCell ref="H17:H22"/>
    <mergeCell ref="L17:L19"/>
    <mergeCell ref="L9:L10"/>
    <mergeCell ref="G9:H9"/>
    <mergeCell ref="I9:J9"/>
    <mergeCell ref="K9:K10"/>
    <mergeCell ref="G11:G16"/>
    <mergeCell ref="H11:H16"/>
    <mergeCell ref="L11:L13"/>
    <mergeCell ref="L95:L97"/>
    <mergeCell ref="M95:M97"/>
    <mergeCell ref="M11:M13"/>
    <mergeCell ref="M17:M19"/>
    <mergeCell ref="M20:M22"/>
    <mergeCell ref="M29:M31"/>
    <mergeCell ref="M32:M34"/>
    <mergeCell ref="M35:M37"/>
    <mergeCell ref="M38:M40"/>
    <mergeCell ref="M41:M43"/>
    <mergeCell ref="M44:M46"/>
    <mergeCell ref="M47:M49"/>
    <mergeCell ref="M50:M52"/>
    <mergeCell ref="G29:G34"/>
    <mergeCell ref="H29:H34"/>
    <mergeCell ref="L65:L67"/>
    <mergeCell ref="L53:L55"/>
    <mergeCell ref="M68:M70"/>
    <mergeCell ref="M71:M73"/>
    <mergeCell ref="M74:M76"/>
    <mergeCell ref="M53:M55"/>
    <mergeCell ref="M56:M58"/>
    <mergeCell ref="M59:M61"/>
    <mergeCell ref="M62:M64"/>
    <mergeCell ref="M65:M67"/>
    <mergeCell ref="L56:L58"/>
    <mergeCell ref="L77:L79"/>
    <mergeCell ref="M77:M79"/>
    <mergeCell ref="L80:L82"/>
    <mergeCell ref="M80:M82"/>
    <mergeCell ref="L89:L91"/>
    <mergeCell ref="M89:M91"/>
    <mergeCell ref="L92:L94"/>
    <mergeCell ref="M92:M94"/>
    <mergeCell ref="L83:L85"/>
    <mergeCell ref="M83:M85"/>
    <mergeCell ref="L86:L88"/>
    <mergeCell ref="M86:M88"/>
    <mergeCell ref="G131:G136"/>
    <mergeCell ref="H131:H136"/>
    <mergeCell ref="L131:L133"/>
    <mergeCell ref="M131:M133"/>
    <mergeCell ref="L134:L136"/>
    <mergeCell ref="M134:M136"/>
    <mergeCell ref="B95:B100"/>
    <mergeCell ref="C95:C100"/>
    <mergeCell ref="D95:D100"/>
    <mergeCell ref="E95:E100"/>
    <mergeCell ref="G95:G100"/>
    <mergeCell ref="H95:H100"/>
    <mergeCell ref="L101:L103"/>
    <mergeCell ref="M101:M103"/>
    <mergeCell ref="L104:L106"/>
    <mergeCell ref="M104:M106"/>
    <mergeCell ref="B101:B106"/>
    <mergeCell ref="C101:C106"/>
    <mergeCell ref="D101:D106"/>
    <mergeCell ref="E101:E106"/>
    <mergeCell ref="G101:G106"/>
    <mergeCell ref="H101:H106"/>
    <mergeCell ref="L107:L109"/>
    <mergeCell ref="M107:M109"/>
    <mergeCell ref="L125:L127"/>
    <mergeCell ref="M125:M127"/>
    <mergeCell ref="L128:L130"/>
    <mergeCell ref="M128:M130"/>
    <mergeCell ref="B137:B142"/>
    <mergeCell ref="C137:C142"/>
    <mergeCell ref="D137:D142"/>
    <mergeCell ref="E137:E142"/>
    <mergeCell ref="G137:G142"/>
    <mergeCell ref="H137:H142"/>
    <mergeCell ref="L137:L139"/>
    <mergeCell ref="M137:M139"/>
    <mergeCell ref="L140:L142"/>
    <mergeCell ref="M140:M142"/>
    <mergeCell ref="B125:B130"/>
    <mergeCell ref="C125:C130"/>
    <mergeCell ref="D125:D130"/>
    <mergeCell ref="E125:E130"/>
    <mergeCell ref="G125:G130"/>
    <mergeCell ref="H125:H130"/>
    <mergeCell ref="B131:B136"/>
    <mergeCell ref="C131:C136"/>
    <mergeCell ref="D131:D136"/>
    <mergeCell ref="E131:E136"/>
    <mergeCell ref="B143:B148"/>
    <mergeCell ref="C143:C148"/>
    <mergeCell ref="D143:D148"/>
    <mergeCell ref="E143:E148"/>
    <mergeCell ref="G143:G148"/>
    <mergeCell ref="H143:H148"/>
    <mergeCell ref="L143:L145"/>
    <mergeCell ref="M143:M145"/>
    <mergeCell ref="L146:L148"/>
    <mergeCell ref="M146:M148"/>
    <mergeCell ref="H167:H172"/>
    <mergeCell ref="L155:L157"/>
    <mergeCell ref="M155:M157"/>
    <mergeCell ref="L158:L160"/>
    <mergeCell ref="M158:M160"/>
    <mergeCell ref="B155:B160"/>
    <mergeCell ref="C155:C160"/>
    <mergeCell ref="D155:D160"/>
    <mergeCell ref="E155:E160"/>
    <mergeCell ref="G155:G160"/>
    <mergeCell ref="H155:H160"/>
    <mergeCell ref="L161:L163"/>
    <mergeCell ref="M161:M163"/>
    <mergeCell ref="L164:L166"/>
    <mergeCell ref="M164:M166"/>
    <mergeCell ref="B161:B166"/>
    <mergeCell ref="C161:C166"/>
    <mergeCell ref="D161:D166"/>
    <mergeCell ref="E161:E166"/>
    <mergeCell ref="G161:G166"/>
    <mergeCell ref="H161:H166"/>
    <mergeCell ref="B397:B402"/>
    <mergeCell ref="B403:B408"/>
    <mergeCell ref="B409:B414"/>
    <mergeCell ref="E1:M1"/>
    <mergeCell ref="E4:M4"/>
    <mergeCell ref="E5:M5"/>
    <mergeCell ref="E6:M6"/>
    <mergeCell ref="E2:M2"/>
    <mergeCell ref="E3:M3"/>
    <mergeCell ref="B1:D1"/>
    <mergeCell ref="B2:D2"/>
    <mergeCell ref="B3:D3"/>
    <mergeCell ref="B4:D4"/>
    <mergeCell ref="B5:D5"/>
    <mergeCell ref="B6:D6"/>
    <mergeCell ref="L167:L169"/>
    <mergeCell ref="M167:M169"/>
    <mergeCell ref="L170:L172"/>
    <mergeCell ref="M170:M172"/>
    <mergeCell ref="B167:B172"/>
    <mergeCell ref="C167:C172"/>
    <mergeCell ref="D167:D172"/>
    <mergeCell ref="E167:E172"/>
    <mergeCell ref="G167:G172"/>
    <mergeCell ref="M439:M441"/>
    <mergeCell ref="B439:B444"/>
    <mergeCell ref="C439:C444"/>
    <mergeCell ref="D439:D444"/>
    <mergeCell ref="E439:E444"/>
    <mergeCell ref="G439:G444"/>
    <mergeCell ref="H439:H444"/>
    <mergeCell ref="L439:L441"/>
    <mergeCell ref="L442:L444"/>
    <mergeCell ref="M442:M444"/>
    <mergeCell ref="B445:B450"/>
    <mergeCell ref="C445:C450"/>
    <mergeCell ref="D445:D450"/>
    <mergeCell ref="E445:E450"/>
    <mergeCell ref="G445:G450"/>
    <mergeCell ref="H445:H450"/>
    <mergeCell ref="L445:L447"/>
    <mergeCell ref="M445:M447"/>
    <mergeCell ref="L448:L450"/>
    <mergeCell ref="M448:M450"/>
    <mergeCell ref="B481:B486"/>
    <mergeCell ref="C481:C486"/>
    <mergeCell ref="D481:D486"/>
    <mergeCell ref="E481:E486"/>
    <mergeCell ref="G481:G486"/>
    <mergeCell ref="H481:H486"/>
    <mergeCell ref="L481:L483"/>
    <mergeCell ref="M481:M483"/>
    <mergeCell ref="L484:L486"/>
    <mergeCell ref="M484:M486"/>
    <mergeCell ref="B487:B492"/>
    <mergeCell ref="C487:C492"/>
    <mergeCell ref="D487:D492"/>
    <mergeCell ref="E487:E492"/>
    <mergeCell ref="G487:G492"/>
    <mergeCell ref="H487:H492"/>
    <mergeCell ref="L487:L489"/>
    <mergeCell ref="M487:M489"/>
    <mergeCell ref="L490:L492"/>
    <mergeCell ref="M490:M492"/>
    <mergeCell ref="C493:C498"/>
    <mergeCell ref="D493:D498"/>
    <mergeCell ref="E493:E498"/>
    <mergeCell ref="G493:G498"/>
    <mergeCell ref="H493:H498"/>
    <mergeCell ref="L493:L495"/>
    <mergeCell ref="M493:M495"/>
    <mergeCell ref="L496:L498"/>
    <mergeCell ref="M496:M498"/>
    <mergeCell ref="C499:C504"/>
    <mergeCell ref="D499:D504"/>
    <mergeCell ref="E499:E504"/>
    <mergeCell ref="G499:G504"/>
    <mergeCell ref="H499:H504"/>
    <mergeCell ref="L499:L501"/>
    <mergeCell ref="M499:M501"/>
    <mergeCell ref="L502:L504"/>
    <mergeCell ref="M502:M504"/>
    <mergeCell ref="C505:C510"/>
    <mergeCell ref="D505:D510"/>
    <mergeCell ref="E505:E510"/>
    <mergeCell ref="G505:G510"/>
    <mergeCell ref="H505:H510"/>
    <mergeCell ref="L505:L507"/>
    <mergeCell ref="M505:M507"/>
    <mergeCell ref="L508:L510"/>
    <mergeCell ref="M508:M510"/>
    <mergeCell ref="C511:C516"/>
    <mergeCell ref="D511:D516"/>
    <mergeCell ref="E511:E516"/>
    <mergeCell ref="G511:G516"/>
    <mergeCell ref="H511:H516"/>
    <mergeCell ref="L511:L513"/>
    <mergeCell ref="M511:M513"/>
    <mergeCell ref="L514:L516"/>
    <mergeCell ref="M514:M516"/>
  </mergeCells>
  <phoneticPr fontId="1" type="noConversion"/>
  <conditionalFormatting sqref="G23:H52 G167:H198 G277:G516 H271:H516">
    <cfRule type="timePeriod" dxfId="78" priority="105" stopIfTrue="1" timePeriod="today">
      <formula>FLOOR(G23,1)=TODAY()</formula>
    </cfRule>
  </conditionalFormatting>
  <conditionalFormatting sqref="G53:H58">
    <cfRule type="timePeriod" dxfId="77" priority="104" stopIfTrue="1" timePeriod="today">
      <formula>FLOOR(G53,1)=TODAY()</formula>
    </cfRule>
  </conditionalFormatting>
  <conditionalFormatting sqref="G59:H64">
    <cfRule type="timePeriod" dxfId="76" priority="103" stopIfTrue="1" timePeriod="today">
      <formula>FLOOR(G59,1)=TODAY()</formula>
    </cfRule>
  </conditionalFormatting>
  <conditionalFormatting sqref="G65:H70">
    <cfRule type="timePeriod" dxfId="75" priority="101" stopIfTrue="1" timePeriod="today">
      <formula>FLOOR(G65,1)=TODAY()</formula>
    </cfRule>
  </conditionalFormatting>
  <conditionalFormatting sqref="G71:H76">
    <cfRule type="timePeriod" dxfId="74" priority="100" stopIfTrue="1" timePeriod="today">
      <formula>FLOOR(G71,1)=TODAY()</formula>
    </cfRule>
  </conditionalFormatting>
  <conditionalFormatting sqref="M197:M198 M17:M133 M137:M181 M250:M516">
    <cfRule type="cellIs" dxfId="73" priority="98" stopIfTrue="1" operator="equal">
      <formula>"FAIL"</formula>
    </cfRule>
    <cfRule type="cellIs" dxfId="72" priority="99" stopIfTrue="1" operator="equal">
      <formula>"PASS"</formula>
    </cfRule>
  </conditionalFormatting>
  <conditionalFormatting sqref="G11:H16">
    <cfRule type="timePeriod" dxfId="71" priority="97" stopIfTrue="1" timePeriod="today">
      <formula>FLOOR(G11,1)=TODAY()</formula>
    </cfRule>
  </conditionalFormatting>
  <conditionalFormatting sqref="M11:M13">
    <cfRule type="cellIs" dxfId="70" priority="95" stopIfTrue="1" operator="equal">
      <formula>"FAIL"</formula>
    </cfRule>
    <cfRule type="cellIs" dxfId="69" priority="96" stopIfTrue="1" operator="equal">
      <formula>"PASS"</formula>
    </cfRule>
  </conditionalFormatting>
  <conditionalFormatting sqref="G17:H22">
    <cfRule type="timePeriod" dxfId="68" priority="94" stopIfTrue="1" timePeriod="today">
      <formula>FLOOR(G17,1)=TODAY()</formula>
    </cfRule>
  </conditionalFormatting>
  <conditionalFormatting sqref="G11:H76 G167:H198 G271:H516">
    <cfRule type="timePeriod" dxfId="67" priority="93" stopIfTrue="1" timePeriod="today">
      <formula>FLOOR(G11,1)=TODAY()</formula>
    </cfRule>
  </conditionalFormatting>
  <conditionalFormatting sqref="G77:H82">
    <cfRule type="timePeriod" dxfId="66" priority="92" stopIfTrue="1" timePeriod="today">
      <formula>FLOOR(G77,1)=TODAY()</formula>
    </cfRule>
  </conditionalFormatting>
  <conditionalFormatting sqref="G77:H82">
    <cfRule type="timePeriod" dxfId="65" priority="91" stopIfTrue="1" timePeriod="today">
      <formula>FLOOR(G77,1)=TODAY()</formula>
    </cfRule>
  </conditionalFormatting>
  <conditionalFormatting sqref="G83:H88">
    <cfRule type="timePeriod" dxfId="64" priority="90" stopIfTrue="1" timePeriod="today">
      <formula>FLOOR(G83,1)=TODAY()</formula>
    </cfRule>
  </conditionalFormatting>
  <conditionalFormatting sqref="G83:H88">
    <cfRule type="timePeriod" dxfId="63" priority="89" stopIfTrue="1" timePeriod="today">
      <formula>FLOOR(G83,1)=TODAY()</formula>
    </cfRule>
  </conditionalFormatting>
  <conditionalFormatting sqref="G89:H94">
    <cfRule type="timePeriod" dxfId="62" priority="88" stopIfTrue="1" timePeriod="today">
      <formula>FLOOR(G89,1)=TODAY()</formula>
    </cfRule>
  </conditionalFormatting>
  <conditionalFormatting sqref="G89:H94">
    <cfRule type="timePeriod" dxfId="61" priority="87" stopIfTrue="1" timePeriod="today">
      <formula>FLOOR(G89,1)=TODAY()</formula>
    </cfRule>
  </conditionalFormatting>
  <conditionalFormatting sqref="G95:H100">
    <cfRule type="timePeriod" dxfId="60" priority="86" stopIfTrue="1" timePeriod="today">
      <formula>FLOOR(G95,1)=TODAY()</formula>
    </cfRule>
  </conditionalFormatting>
  <conditionalFormatting sqref="G95:H100">
    <cfRule type="timePeriod" dxfId="59" priority="85" stopIfTrue="1" timePeriod="today">
      <formula>FLOOR(G95,1)=TODAY()</formula>
    </cfRule>
  </conditionalFormatting>
  <conditionalFormatting sqref="G101:H106">
    <cfRule type="timePeriod" dxfId="58" priority="84" stopIfTrue="1" timePeriod="today">
      <formula>FLOOR(G101,1)=TODAY()</formula>
    </cfRule>
  </conditionalFormatting>
  <conditionalFormatting sqref="G101:H106">
    <cfRule type="timePeriod" dxfId="57" priority="83" stopIfTrue="1" timePeriod="today">
      <formula>FLOOR(G101,1)=TODAY()</formula>
    </cfRule>
  </conditionalFormatting>
  <conditionalFormatting sqref="G107:H112">
    <cfRule type="timePeriod" dxfId="56" priority="82" stopIfTrue="1" timePeriod="today">
      <formula>FLOOR(G107,1)=TODAY()</formula>
    </cfRule>
  </conditionalFormatting>
  <conditionalFormatting sqref="G107:H112">
    <cfRule type="timePeriod" dxfId="55" priority="81" stopIfTrue="1" timePeriod="today">
      <formula>FLOOR(G107,1)=TODAY()</formula>
    </cfRule>
  </conditionalFormatting>
  <conditionalFormatting sqref="G113:H118">
    <cfRule type="timePeriod" dxfId="54" priority="80" stopIfTrue="1" timePeriod="today">
      <formula>FLOOR(G113,1)=TODAY()</formula>
    </cfRule>
  </conditionalFormatting>
  <conditionalFormatting sqref="G113:H118">
    <cfRule type="timePeriod" dxfId="53" priority="79" stopIfTrue="1" timePeriod="today">
      <formula>FLOOR(G113,1)=TODAY()</formula>
    </cfRule>
  </conditionalFormatting>
  <conditionalFormatting sqref="G119:H124">
    <cfRule type="timePeriod" dxfId="52" priority="78" stopIfTrue="1" timePeriod="today">
      <formula>FLOOR(G119,1)=TODAY()</formula>
    </cfRule>
  </conditionalFormatting>
  <conditionalFormatting sqref="G119:H124">
    <cfRule type="timePeriod" dxfId="51" priority="77" stopIfTrue="1" timePeriod="today">
      <formula>FLOOR(G119,1)=TODAY()</formula>
    </cfRule>
  </conditionalFormatting>
  <conditionalFormatting sqref="G125:H130">
    <cfRule type="timePeriod" dxfId="50" priority="74" stopIfTrue="1" timePeriod="today">
      <formula>FLOOR(G125,1)=TODAY()</formula>
    </cfRule>
  </conditionalFormatting>
  <conditionalFormatting sqref="G125:H130">
    <cfRule type="timePeriod" dxfId="49" priority="73" stopIfTrue="1" timePeriod="today">
      <formula>FLOOR(G125,1)=TODAY()</formula>
    </cfRule>
  </conditionalFormatting>
  <conditionalFormatting sqref="G131:H136">
    <cfRule type="timePeriod" dxfId="48" priority="72" stopIfTrue="1" timePeriod="today">
      <formula>FLOOR(G131,1)=TODAY()</formula>
    </cfRule>
  </conditionalFormatting>
  <conditionalFormatting sqref="G131:H136">
    <cfRule type="timePeriod" dxfId="47" priority="71" stopIfTrue="1" timePeriod="today">
      <formula>FLOOR(G131,1)=TODAY()</formula>
    </cfRule>
  </conditionalFormatting>
  <conditionalFormatting sqref="G137:H142">
    <cfRule type="timePeriod" dxfId="46" priority="70" stopIfTrue="1" timePeriod="today">
      <formula>FLOOR(G137,1)=TODAY()</formula>
    </cfRule>
  </conditionalFormatting>
  <conditionalFormatting sqref="G137:H142">
    <cfRule type="timePeriod" dxfId="45" priority="69" stopIfTrue="1" timePeriod="today">
      <formula>FLOOR(G137,1)=TODAY()</formula>
    </cfRule>
  </conditionalFormatting>
  <conditionalFormatting sqref="G143:H148">
    <cfRule type="timePeriod" dxfId="44" priority="68" stopIfTrue="1" timePeriod="today">
      <formula>FLOOR(G143,1)=TODAY()</formula>
    </cfRule>
  </conditionalFormatting>
  <conditionalFormatting sqref="G143:H148">
    <cfRule type="timePeriod" dxfId="43" priority="67" stopIfTrue="1" timePeriod="today">
      <formula>FLOOR(G143,1)=TODAY()</formula>
    </cfRule>
  </conditionalFormatting>
  <conditionalFormatting sqref="G149:H154">
    <cfRule type="timePeriod" dxfId="42" priority="66" stopIfTrue="1" timePeriod="today">
      <formula>FLOOR(G149,1)=TODAY()</formula>
    </cfRule>
  </conditionalFormatting>
  <conditionalFormatting sqref="G149:H154">
    <cfRule type="timePeriod" dxfId="41" priority="65" stopIfTrue="1" timePeriod="today">
      <formula>FLOOR(G149,1)=TODAY()</formula>
    </cfRule>
  </conditionalFormatting>
  <conditionalFormatting sqref="G155:H160">
    <cfRule type="timePeriod" dxfId="40" priority="64" stopIfTrue="1" timePeriod="today">
      <formula>FLOOR(G155,1)=TODAY()</formula>
    </cfRule>
  </conditionalFormatting>
  <conditionalFormatting sqref="G155:H160">
    <cfRule type="timePeriod" dxfId="39" priority="63" stopIfTrue="1" timePeriod="today">
      <formula>FLOOR(G155,1)=TODAY()</formula>
    </cfRule>
  </conditionalFormatting>
  <conditionalFormatting sqref="G161:H166">
    <cfRule type="timePeriod" dxfId="38" priority="62" stopIfTrue="1" timePeriod="today">
      <formula>FLOOR(G161,1)=TODAY()</formula>
    </cfRule>
  </conditionalFormatting>
  <conditionalFormatting sqref="G161:H166">
    <cfRule type="timePeriod" dxfId="37" priority="61" stopIfTrue="1" timePeriod="today">
      <formula>FLOOR(G161,1)=TODAY()</formula>
    </cfRule>
  </conditionalFormatting>
  <conditionalFormatting sqref="K2 K4:K6">
    <cfRule type="containsText" dxfId="36" priority="57" operator="containsText" text="Closed">
      <formula>NOT(ISERROR(SEARCH("Closed",K2)))</formula>
    </cfRule>
    <cfRule type="containsText" dxfId="35" priority="58" operator="containsText" text="Open">
      <formula>NOT(ISERROR(SEARCH("Open",K2)))</formula>
    </cfRule>
  </conditionalFormatting>
  <conditionalFormatting sqref="M14:M16">
    <cfRule type="cellIs" dxfId="34" priority="55" stopIfTrue="1" operator="equal">
      <formula>"FAIL"</formula>
    </cfRule>
    <cfRule type="cellIs" dxfId="33" priority="56" stopIfTrue="1" operator="equal">
      <formula>"PASS"</formula>
    </cfRule>
  </conditionalFormatting>
  <conditionalFormatting sqref="K3">
    <cfRule type="containsText" dxfId="32" priority="53" operator="containsText" text="Closed">
      <formula>NOT(ISERROR(SEARCH("Closed",K3)))</formula>
    </cfRule>
    <cfRule type="containsText" dxfId="31" priority="54" operator="containsText" text="Open">
      <formula>NOT(ISERROR(SEARCH("Open",K3)))</formula>
    </cfRule>
  </conditionalFormatting>
  <conditionalFormatting sqref="M182:M184">
    <cfRule type="cellIs" dxfId="30" priority="39" stopIfTrue="1" operator="equal">
      <formula>"FAIL"</formula>
    </cfRule>
    <cfRule type="cellIs" dxfId="29" priority="40" stopIfTrue="1" operator="equal">
      <formula>"PASS"</formula>
    </cfRule>
  </conditionalFormatting>
  <conditionalFormatting sqref="G199:G234">
    <cfRule type="timePeriod" dxfId="28" priority="38" stopIfTrue="1" timePeriod="today">
      <formula>FLOOR(G199,1)=TODAY()</formula>
    </cfRule>
  </conditionalFormatting>
  <conditionalFormatting sqref="G199:G234">
    <cfRule type="timePeriod" dxfId="27" priority="37" stopIfTrue="1" timePeriod="today">
      <formula>FLOOR(G199,1)=TODAY()</formula>
    </cfRule>
  </conditionalFormatting>
  <conditionalFormatting sqref="H199:H234">
    <cfRule type="timePeriod" dxfId="26" priority="36" stopIfTrue="1" timePeriod="today">
      <formula>FLOOR(H199,1)=TODAY()</formula>
    </cfRule>
  </conditionalFormatting>
  <conditionalFormatting sqref="H199:H234">
    <cfRule type="timePeriod" dxfId="25" priority="35" stopIfTrue="1" timePeriod="today">
      <formula>FLOOR(H199,1)=TODAY()</formula>
    </cfRule>
  </conditionalFormatting>
  <conditionalFormatting sqref="M185:M190">
    <cfRule type="cellIs" dxfId="24" priority="33" stopIfTrue="1" operator="equal">
      <formula>"FAIL"</formula>
    </cfRule>
    <cfRule type="cellIs" dxfId="23" priority="34" stopIfTrue="1" operator="equal">
      <formula>"PASS"</formula>
    </cfRule>
  </conditionalFormatting>
  <conditionalFormatting sqref="M191:M196">
    <cfRule type="cellIs" dxfId="22" priority="31" stopIfTrue="1" operator="equal">
      <formula>"FAIL"</formula>
    </cfRule>
    <cfRule type="cellIs" dxfId="21" priority="32" stopIfTrue="1" operator="equal">
      <formula>"PASS"</formula>
    </cfRule>
  </conditionalFormatting>
  <conditionalFormatting sqref="M199:M204">
    <cfRule type="cellIs" dxfId="20" priority="29" stopIfTrue="1" operator="equal">
      <formula>"FAIL"</formula>
    </cfRule>
    <cfRule type="cellIs" dxfId="19" priority="30" stopIfTrue="1" operator="equal">
      <formula>"PASS"</formula>
    </cfRule>
  </conditionalFormatting>
  <conditionalFormatting sqref="M205:M210">
    <cfRule type="cellIs" dxfId="18" priority="27" stopIfTrue="1" operator="equal">
      <formula>"FAIL"</formula>
    </cfRule>
    <cfRule type="cellIs" dxfId="17" priority="28" stopIfTrue="1" operator="equal">
      <formula>"PASS"</formula>
    </cfRule>
  </conditionalFormatting>
  <conditionalFormatting sqref="M134:M136">
    <cfRule type="cellIs" dxfId="16" priority="25" stopIfTrue="1" operator="equal">
      <formula>"FAIL"</formula>
    </cfRule>
    <cfRule type="cellIs" dxfId="15" priority="26" stopIfTrue="1" operator="equal">
      <formula>"PASS"</formula>
    </cfRule>
  </conditionalFormatting>
  <conditionalFormatting sqref="M211:M216">
    <cfRule type="cellIs" dxfId="14" priority="23" stopIfTrue="1" operator="equal">
      <formula>"FAIL"</formula>
    </cfRule>
    <cfRule type="cellIs" dxfId="13" priority="24" stopIfTrue="1" operator="equal">
      <formula>"PASS"</formula>
    </cfRule>
  </conditionalFormatting>
  <conditionalFormatting sqref="M217:M249">
    <cfRule type="cellIs" dxfId="12" priority="21" stopIfTrue="1" operator="equal">
      <formula>"FAIL"</formula>
    </cfRule>
    <cfRule type="cellIs" dxfId="11" priority="22" stopIfTrue="1" operator="equal">
      <formula>"PASS"</formula>
    </cfRule>
  </conditionalFormatting>
  <conditionalFormatting sqref="G235:G240">
    <cfRule type="timePeriod" dxfId="10" priority="20" stopIfTrue="1" timePeriod="today">
      <formula>FLOOR(G235,1)=TODAY()</formula>
    </cfRule>
  </conditionalFormatting>
  <conditionalFormatting sqref="G235:G240">
    <cfRule type="timePeriod" dxfId="9" priority="19" stopIfTrue="1" timePeriod="today">
      <formula>FLOOR(G235,1)=TODAY()</formula>
    </cfRule>
  </conditionalFormatting>
  <conditionalFormatting sqref="H235:H240">
    <cfRule type="timePeriod" dxfId="8" priority="18" stopIfTrue="1" timePeriod="today">
      <formula>FLOOR(H235,1)=TODAY()</formula>
    </cfRule>
  </conditionalFormatting>
  <conditionalFormatting sqref="H235:H240">
    <cfRule type="timePeriod" dxfId="7" priority="17" stopIfTrue="1" timePeriod="today">
      <formula>FLOOR(H235,1)=TODAY()</formula>
    </cfRule>
  </conditionalFormatting>
  <conditionalFormatting sqref="G241:G264">
    <cfRule type="timePeriod" dxfId="6" priority="16" stopIfTrue="1" timePeriod="today">
      <formula>FLOOR(G241,1)=TODAY()</formula>
    </cfRule>
  </conditionalFormatting>
  <conditionalFormatting sqref="G241:G264">
    <cfRule type="timePeriod" dxfId="5" priority="15" stopIfTrue="1" timePeriod="today">
      <formula>FLOOR(G241,1)=TODAY()</formula>
    </cfRule>
  </conditionalFormatting>
  <conditionalFormatting sqref="H241:H270">
    <cfRule type="timePeriod" dxfId="4" priority="14" stopIfTrue="1" timePeriod="today">
      <formula>FLOOR(H241,1)=TODAY()</formula>
    </cfRule>
  </conditionalFormatting>
  <conditionalFormatting sqref="H241:H270">
    <cfRule type="timePeriod" dxfId="3" priority="13" stopIfTrue="1" timePeriod="today">
      <formula>FLOOR(H241,1)=TODAY()</formula>
    </cfRule>
  </conditionalFormatting>
  <conditionalFormatting sqref="G265:G270">
    <cfRule type="timePeriod" dxfId="2" priority="12" stopIfTrue="1" timePeriod="today">
      <formula>FLOOR(G265,1)=TODAY()</formula>
    </cfRule>
  </conditionalFormatting>
  <conditionalFormatting sqref="G265:G270">
    <cfRule type="timePeriod" dxfId="1" priority="11" stopIfTrue="1" timePeriod="today">
      <formula>FLOOR(G265,1)=TODAY()</formula>
    </cfRule>
  </conditionalFormatting>
  <conditionalFormatting sqref="G271:G276">
    <cfRule type="timePeriod" dxfId="0" priority="8" stopIfTrue="1" timePeriod="today">
      <formula>FLOOR(G271,1)=TODAY()</formula>
    </cfRule>
  </conditionalFormatting>
  <pageMargins left="0.5" right="0.5" top="1" bottom="1" header="0.5" footer="0.5"/>
  <pageSetup paperSize="9" scale="88" fitToHeight="0" orientation="landscape" r:id="rId1"/>
  <headerFooter alignWithMargins="0">
    <oddFooter>&amp;L&amp;"Arial,Italic"&amp;8Note: This form serves as a guideline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BCA</dc:creator>
  <cp:lastModifiedBy>Dell</cp:lastModifiedBy>
  <cp:lastPrinted>2025-12-27T09:11:17Z</cp:lastPrinted>
  <dcterms:created xsi:type="dcterms:W3CDTF">2000-12-14T12:11:55Z</dcterms:created>
  <dcterms:modified xsi:type="dcterms:W3CDTF">2026-06-17T08:47:56Z</dcterms:modified>
</cp:coreProperties>
</file>