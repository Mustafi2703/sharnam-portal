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harnam II\Submission\Phase 02\"/>
    </mc:Choice>
  </mc:AlternateContent>
  <xr:revisionPtr revIDLastSave="0" documentId="13_ncr:1_{79A1FB06-EA29-4061-914C-CF464966C5AF}" xr6:coauthVersionLast="47" xr6:coauthVersionMax="47" xr10:uidLastSave="{00000000-0000-0000-0000-000000000000}"/>
  <bookViews>
    <workbookView xWindow="-108" yWindow="-108" windowWidth="23256" windowHeight="12456" xr2:uid="{8CB3059E-8C29-4CC0-B8CF-48AFB9EDC141}"/>
  </bookViews>
  <sheets>
    <sheet name="Dashboard" sheetId="2" r:id="rId1"/>
    <sheet name="Weekly Manpower" sheetId="3" r:id="rId2"/>
    <sheet name="Project Cashflow " sheetId="4" r:id="rId3"/>
    <sheet name="Planned Vs Actual " sheetId="5" r:id="rId4"/>
    <sheet name="As per drawing status" sheetId="6" r:id="rId5"/>
  </sheets>
  <externalReferences>
    <externalReference r:id="rId6"/>
    <externalReference r:id="rId7"/>
  </externalReferences>
  <definedNames>
    <definedName name="_Fill" hidden="1">#REF!</definedName>
    <definedName name="_xlnm._FilterDatabase" localSheetId="4" hidden="1">'As per drawing status'!$A$3:$Q$3</definedName>
    <definedName name="_xlnm._FilterDatabase" localSheetId="3" hidden="1">'Planned Vs Actual '!$A$6:$R$79</definedName>
    <definedName name="_xlchart.v1.0" hidden="1">'Weekly Manpower'!$B$4:$B$14</definedName>
    <definedName name="_xlchart.v1.1" hidden="1">'Weekly Manpower'!$F$3</definedName>
    <definedName name="_xlchart.v1.2" hidden="1">'Weekly Manpower'!$F$4:$F$14</definedName>
    <definedName name="Actual" localSheetId="2">(PeriodInActual*(#REF!&gt;0))*PeriodInPlan</definedName>
    <definedName name="Actual">(PeriodInActual*(#REF!&gt;0))*PeriodInPlan</definedName>
    <definedName name="ActualBeyond" localSheetId="2">PeriodInActual*(#REF!&gt;0)</definedName>
    <definedName name="ActualBeyond">PeriodInActual*(#REF!&gt;0)</definedName>
    <definedName name="fcc">'[1]Additional Calc.'!$B$18</definedName>
    <definedName name="fsc">'[1]Additional Calc.'!$B$17</definedName>
    <definedName name="HTML_CodePage" hidden="1">1252</definedName>
    <definedName name="HTML_Control" localSheetId="2" hidden="1">{"'Sheet1'!$A$4386:$N$4591"}</definedName>
    <definedName name="HTML_Control" hidden="1">{"'Sheet1'!$A$4386:$N$4591"}</definedName>
    <definedName name="HTML_Description" hidden="1">""</definedName>
    <definedName name="HTML_Email" hidden="1">""</definedName>
    <definedName name="HTML_Header" hidden="1">"Sheet1"</definedName>
    <definedName name="HTML_LastUpdate" hidden="1">"7/1/03"</definedName>
    <definedName name="HTML_LineAfter" hidden="1">FALSE</definedName>
    <definedName name="HTML_LineBefore" hidden="1">FALSE</definedName>
    <definedName name="HTML_Name" hidden="1">"m.p.raval"</definedName>
    <definedName name="HTML_OBDlg2" hidden="1">TRUE</definedName>
    <definedName name="HTML_OBDlg4" hidden="1">TRUE</definedName>
    <definedName name="HTML_OS" hidden="1">0</definedName>
    <definedName name="HTML_PathFile" hidden="1">"A:\MyHTML.htm"</definedName>
    <definedName name="HTML_Title" hidden="1">"SGSDaily Progress Report Piyaj toDharoi Pipeline"</definedName>
    <definedName name="Mul">'[1]Additional Calc.'!$B$15</definedName>
    <definedName name="PercentComplete" localSheetId="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 localSheetId="2">PeriodInPlan*(#REF!&gt;0)</definedName>
    <definedName name="Plan">PeriodInPlan*(#REF!&gt;0)</definedName>
    <definedName name="Ptl">'[1]Additional Calc.'!$B$16</definedName>
    <definedName name="TaxTV">10%</definedName>
    <definedName name="TaxXL">5%</definedName>
    <definedName name="TitleRegion..BO60">#REF!</definedName>
  </definedNames>
  <calcPr calcId="191029"/>
  <pivotCaches>
    <pivotCache cacheId="0" r:id="rId8"/>
    <pivotCache cacheId="3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6" l="1" a="1"/>
  <c r="A101" i="6" s="1"/>
  <c r="B101" i="6" a="1"/>
  <c r="B101" i="6" s="1"/>
  <c r="C101" i="6" a="1"/>
  <c r="C101" i="6" s="1"/>
  <c r="D102" i="6"/>
  <c r="D103" i="6"/>
  <c r="D104" i="6"/>
  <c r="D105" i="6"/>
  <c r="D106" i="6"/>
  <c r="D109" i="6"/>
  <c r="D110" i="6"/>
  <c r="D111" i="6"/>
  <c r="D112" i="6"/>
  <c r="D113" i="6"/>
  <c r="D114" i="6"/>
  <c r="D108" i="6" l="1"/>
  <c r="D107" i="6"/>
  <c r="D101" i="6"/>
  <c r="I10" i="2"/>
  <c r="I11" i="2"/>
  <c r="I9" i="2"/>
  <c r="F5" i="3"/>
  <c r="G11" i="3" s="1"/>
  <c r="F6" i="3"/>
  <c r="F7" i="3"/>
  <c r="F8" i="3"/>
  <c r="F9" i="3"/>
  <c r="F10" i="3"/>
  <c r="F11" i="3"/>
  <c r="F12" i="3"/>
  <c r="F13" i="3"/>
  <c r="G13" i="3" s="1"/>
  <c r="F14" i="3"/>
  <c r="G10" i="3"/>
  <c r="F4" i="3"/>
  <c r="G9" i="3" l="1"/>
  <c r="G8" i="3"/>
  <c r="G7" i="3"/>
  <c r="G14" i="3"/>
  <c r="G6" i="3"/>
  <c r="G5" i="3"/>
  <c r="G12" i="3"/>
  <c r="G4" i="3"/>
  <c r="D10" i="2"/>
  <c r="D11" i="2" s="1"/>
  <c r="H70" i="6"/>
  <c r="G70" i="6"/>
  <c r="F70" i="6"/>
  <c r="D70" i="6"/>
  <c r="C70" i="6"/>
  <c r="H69" i="6"/>
  <c r="G69" i="6"/>
  <c r="F69" i="6"/>
  <c r="D69" i="6"/>
  <c r="C69" i="6"/>
  <c r="H68" i="6"/>
  <c r="G68" i="6"/>
  <c r="F68" i="6"/>
  <c r="D68" i="6"/>
  <c r="C68" i="6"/>
  <c r="H67" i="6"/>
  <c r="G67" i="6"/>
  <c r="F67" i="6"/>
  <c r="D67" i="6"/>
  <c r="C67" i="6"/>
  <c r="H66" i="6"/>
  <c r="G66" i="6"/>
  <c r="F66" i="6"/>
  <c r="D66" i="6"/>
  <c r="C66" i="6"/>
  <c r="H65" i="6"/>
  <c r="G65" i="6"/>
  <c r="F65" i="6"/>
  <c r="D65" i="6"/>
  <c r="C65" i="6"/>
  <c r="H64" i="6"/>
  <c r="G64" i="6"/>
  <c r="F64" i="6"/>
  <c r="D64" i="6"/>
  <c r="C64" i="6"/>
  <c r="H63" i="6"/>
  <c r="G63" i="6"/>
  <c r="F63" i="6"/>
  <c r="D63" i="6"/>
  <c r="C63" i="6"/>
  <c r="F62" i="6"/>
  <c r="D62" i="6"/>
  <c r="C62" i="6"/>
  <c r="F61" i="6"/>
  <c r="D61" i="6"/>
  <c r="C61" i="6"/>
  <c r="F60" i="6"/>
  <c r="D60" i="6"/>
  <c r="C60" i="6"/>
  <c r="H59" i="6"/>
  <c r="G59" i="6"/>
  <c r="F59" i="6"/>
  <c r="E59" i="6"/>
  <c r="D59" i="6"/>
  <c r="C59" i="6"/>
  <c r="F58" i="6"/>
  <c r="D58" i="6"/>
  <c r="C58" i="6"/>
  <c r="F57" i="6"/>
  <c r="D57" i="6"/>
  <c r="C57" i="6"/>
  <c r="G56" i="6"/>
  <c r="F56" i="6"/>
  <c r="D56" i="6"/>
  <c r="C56" i="6"/>
  <c r="H55" i="6"/>
  <c r="F55" i="6"/>
  <c r="E55" i="6"/>
  <c r="D55" i="6"/>
  <c r="C55" i="6"/>
  <c r="I54" i="6"/>
  <c r="H54" i="6"/>
  <c r="G54" i="6"/>
  <c r="F54" i="6"/>
  <c r="E54" i="6"/>
  <c r="D54" i="6"/>
  <c r="C54" i="6"/>
  <c r="I53" i="6"/>
  <c r="H53" i="6"/>
  <c r="G53" i="6"/>
  <c r="F53" i="6"/>
  <c r="E53" i="6"/>
  <c r="D53" i="6"/>
  <c r="C53" i="6"/>
  <c r="I52" i="6"/>
  <c r="H52" i="6"/>
  <c r="G52" i="6"/>
  <c r="F52" i="6"/>
  <c r="E52" i="6"/>
  <c r="D52" i="6"/>
  <c r="C52" i="6"/>
  <c r="I51" i="6"/>
  <c r="H51" i="6"/>
  <c r="G51" i="6"/>
  <c r="F51" i="6"/>
  <c r="E51" i="6"/>
  <c r="D51" i="6"/>
  <c r="C51" i="6"/>
  <c r="I50" i="6"/>
  <c r="H50" i="6"/>
  <c r="G50" i="6"/>
  <c r="F50" i="6"/>
  <c r="E50" i="6"/>
  <c r="D50" i="6"/>
  <c r="C50" i="6"/>
  <c r="I49" i="6"/>
  <c r="H49" i="6"/>
  <c r="G49" i="6"/>
  <c r="F49" i="6"/>
  <c r="D49" i="6"/>
  <c r="C49" i="6"/>
  <c r="G48" i="6"/>
  <c r="F48" i="6"/>
  <c r="D48" i="6"/>
  <c r="C48" i="6"/>
  <c r="F47" i="6"/>
  <c r="D47" i="6"/>
  <c r="C47" i="6"/>
  <c r="H46" i="6"/>
  <c r="F46" i="6"/>
  <c r="D46" i="6"/>
  <c r="C46" i="6"/>
  <c r="H45" i="6"/>
  <c r="G45" i="6"/>
  <c r="F45" i="6"/>
  <c r="E45" i="6"/>
  <c r="D45" i="6"/>
  <c r="C45" i="6"/>
  <c r="H44" i="6"/>
  <c r="G44" i="6"/>
  <c r="F44" i="6"/>
  <c r="D44" i="6"/>
  <c r="C44" i="6"/>
  <c r="G43" i="6"/>
  <c r="F43" i="6"/>
  <c r="D43" i="6"/>
  <c r="C43" i="6"/>
  <c r="G42" i="6"/>
  <c r="F42" i="6"/>
  <c r="D42" i="6"/>
  <c r="C42" i="6"/>
  <c r="H41" i="6"/>
  <c r="G41" i="6"/>
  <c r="F41" i="6"/>
  <c r="D41" i="6"/>
  <c r="C41" i="6"/>
  <c r="H40" i="6"/>
  <c r="G40" i="6"/>
  <c r="F40" i="6"/>
  <c r="E40" i="6"/>
  <c r="D40" i="6"/>
  <c r="C40" i="6"/>
  <c r="H39" i="6"/>
  <c r="G39" i="6"/>
  <c r="F39" i="6"/>
  <c r="E39" i="6"/>
  <c r="D39" i="6"/>
  <c r="C39" i="6"/>
  <c r="H38" i="6"/>
  <c r="G38" i="6"/>
  <c r="F38" i="6"/>
  <c r="E38" i="6"/>
  <c r="D38" i="6"/>
  <c r="C38" i="6"/>
  <c r="H37" i="6"/>
  <c r="G37" i="6"/>
  <c r="F37" i="6"/>
  <c r="E37" i="6"/>
  <c r="D37" i="6"/>
  <c r="C37" i="6"/>
  <c r="H36" i="6"/>
  <c r="G36" i="6"/>
  <c r="F36" i="6"/>
  <c r="E36" i="6"/>
  <c r="D36" i="6"/>
  <c r="C36" i="6"/>
  <c r="H35" i="6"/>
  <c r="G35" i="6"/>
  <c r="F35" i="6"/>
  <c r="E35" i="6"/>
  <c r="D35" i="6"/>
  <c r="C35" i="6"/>
  <c r="H34" i="6"/>
  <c r="G34" i="6"/>
  <c r="F34" i="6"/>
  <c r="D34" i="6"/>
  <c r="C34" i="6"/>
  <c r="H33" i="6"/>
  <c r="G33" i="6"/>
  <c r="F33" i="6"/>
  <c r="D33" i="6"/>
  <c r="C33" i="6"/>
  <c r="H32" i="6"/>
  <c r="G32" i="6"/>
  <c r="F32" i="6"/>
  <c r="D32" i="6"/>
  <c r="C32" i="6"/>
  <c r="H31" i="6"/>
  <c r="G31" i="6"/>
  <c r="F31" i="6"/>
  <c r="D31" i="6"/>
  <c r="C31" i="6"/>
  <c r="H30" i="6"/>
  <c r="G30" i="6"/>
  <c r="F30" i="6"/>
  <c r="E30" i="6"/>
  <c r="D30" i="6"/>
  <c r="C30" i="6"/>
  <c r="H29" i="6"/>
  <c r="G29" i="6"/>
  <c r="F29" i="6"/>
  <c r="D29" i="6"/>
  <c r="C29" i="6"/>
  <c r="H28" i="6"/>
  <c r="G28" i="6"/>
  <c r="F28" i="6"/>
  <c r="D28" i="6"/>
  <c r="C28" i="6"/>
  <c r="H27" i="6"/>
  <c r="G27" i="6"/>
  <c r="F27" i="6"/>
  <c r="D27" i="6"/>
  <c r="C27" i="6"/>
  <c r="H26" i="6"/>
  <c r="G26" i="6"/>
  <c r="F26" i="6"/>
  <c r="D26" i="6"/>
  <c r="C26" i="6"/>
  <c r="H25" i="6"/>
  <c r="G25" i="6"/>
  <c r="F25" i="6"/>
  <c r="D25" i="6"/>
  <c r="C25" i="6"/>
  <c r="F24" i="6"/>
  <c r="C24" i="6"/>
  <c r="H23" i="6"/>
  <c r="G23" i="6"/>
  <c r="F23" i="6"/>
  <c r="C23" i="6"/>
  <c r="H22" i="6"/>
  <c r="G22" i="6"/>
  <c r="F22" i="6"/>
  <c r="C22" i="6"/>
  <c r="H21" i="6"/>
  <c r="G21" i="6"/>
  <c r="F21" i="6"/>
  <c r="C21" i="6"/>
  <c r="I20" i="6"/>
  <c r="H20" i="6"/>
  <c r="G20" i="6"/>
  <c r="F20" i="6"/>
  <c r="E20" i="6"/>
  <c r="D20" i="6"/>
  <c r="C20" i="6"/>
  <c r="H19" i="6"/>
  <c r="F19" i="6"/>
  <c r="E19" i="6"/>
  <c r="D19" i="6"/>
  <c r="C19" i="6"/>
  <c r="H18" i="6"/>
  <c r="F18" i="6"/>
  <c r="C18" i="6"/>
  <c r="H17" i="6"/>
  <c r="G17" i="6"/>
  <c r="F17" i="6"/>
  <c r="E17" i="6"/>
  <c r="C17" i="6"/>
  <c r="F16" i="6"/>
  <c r="C16" i="6"/>
  <c r="H15" i="6"/>
  <c r="G15" i="6"/>
  <c r="F15" i="6"/>
  <c r="C15" i="6"/>
  <c r="H14" i="6"/>
  <c r="G14" i="6"/>
  <c r="F14" i="6"/>
  <c r="C14" i="6"/>
  <c r="H13" i="6"/>
  <c r="G13" i="6"/>
  <c r="F13" i="6"/>
  <c r="H12" i="6"/>
  <c r="G12" i="6"/>
  <c r="F12" i="6"/>
  <c r="E12" i="6"/>
  <c r="H11" i="6"/>
  <c r="G11" i="6"/>
  <c r="F11" i="6"/>
  <c r="D11" i="6"/>
  <c r="C11" i="6"/>
  <c r="H10" i="6"/>
  <c r="G10" i="6"/>
  <c r="F10" i="6"/>
  <c r="D10" i="6"/>
  <c r="C10" i="6"/>
  <c r="H9" i="6"/>
  <c r="G9" i="6"/>
  <c r="F9" i="6"/>
  <c r="H8" i="6"/>
  <c r="G8" i="6"/>
  <c r="F8" i="6"/>
  <c r="E8" i="6"/>
  <c r="H7" i="6"/>
  <c r="G7" i="6"/>
  <c r="F7" i="6"/>
  <c r="E7" i="6"/>
  <c r="C7" i="6"/>
  <c r="H6" i="6"/>
  <c r="G6" i="6"/>
  <c r="F6" i="6"/>
  <c r="E6" i="6"/>
  <c r="H5" i="6"/>
  <c r="G5" i="6"/>
  <c r="F5" i="6"/>
  <c r="H4" i="6"/>
  <c r="G4" i="6"/>
  <c r="F4" i="6"/>
  <c r="E4" i="6"/>
  <c r="Q78" i="5"/>
  <c r="M77" i="5"/>
  <c r="I70" i="6" s="1"/>
  <c r="J77" i="5"/>
  <c r="P77" i="5" s="1"/>
  <c r="M76" i="5"/>
  <c r="I69" i="6" s="1"/>
  <c r="J76" i="5"/>
  <c r="P76" i="5" s="1"/>
  <c r="M75" i="5"/>
  <c r="R75" i="5" s="1"/>
  <c r="J75" i="5"/>
  <c r="P75" i="5" s="1"/>
  <c r="M74" i="5"/>
  <c r="I67" i="6" s="1"/>
  <c r="J74" i="5"/>
  <c r="N74" i="5" s="1"/>
  <c r="M73" i="5"/>
  <c r="I66" i="6" s="1"/>
  <c r="J73" i="5"/>
  <c r="N73" i="5" s="1"/>
  <c r="M72" i="5"/>
  <c r="I65" i="6" s="1"/>
  <c r="J72" i="5"/>
  <c r="P72" i="5" s="1"/>
  <c r="M71" i="5"/>
  <c r="R71" i="5" s="1"/>
  <c r="J71" i="5"/>
  <c r="P71" i="5" s="1"/>
  <c r="T70" i="5"/>
  <c r="M70" i="5"/>
  <c r="I63" i="6" s="1"/>
  <c r="J70" i="5"/>
  <c r="P70" i="5" s="1"/>
  <c r="Q69" i="5"/>
  <c r="J68" i="5"/>
  <c r="K68" i="5" s="1"/>
  <c r="J67" i="5"/>
  <c r="N67" i="5" s="1"/>
  <c r="J66" i="5"/>
  <c r="N66" i="5" s="1"/>
  <c r="M65" i="5"/>
  <c r="R65" i="5" s="1"/>
  <c r="J65" i="5"/>
  <c r="P65" i="5" s="1"/>
  <c r="J64" i="5"/>
  <c r="K64" i="5" s="1"/>
  <c r="L64" i="5" s="1"/>
  <c r="J63" i="5"/>
  <c r="N63" i="5" s="1"/>
  <c r="J62" i="5"/>
  <c r="K62" i="5" s="1"/>
  <c r="T61" i="5"/>
  <c r="M61" i="5"/>
  <c r="R61" i="5" s="1"/>
  <c r="J61" i="5"/>
  <c r="P61" i="5" s="1"/>
  <c r="Q60" i="5"/>
  <c r="M59" i="5"/>
  <c r="R59" i="5" s="1"/>
  <c r="J59" i="5"/>
  <c r="O59" i="5" s="1"/>
  <c r="M58" i="5"/>
  <c r="R58" i="5" s="1"/>
  <c r="J58" i="5"/>
  <c r="P58" i="5" s="1"/>
  <c r="M57" i="5"/>
  <c r="R57" i="5" s="1"/>
  <c r="J57" i="5"/>
  <c r="P57" i="5" s="1"/>
  <c r="M56" i="5"/>
  <c r="R56" i="5" s="1"/>
  <c r="J56" i="5"/>
  <c r="P56" i="5" s="1"/>
  <c r="P55" i="5"/>
  <c r="M55" i="5"/>
  <c r="R55" i="5" s="1"/>
  <c r="J55" i="5"/>
  <c r="O55" i="5" s="1"/>
  <c r="N54" i="5"/>
  <c r="M54" i="5"/>
  <c r="R54" i="5" s="1"/>
  <c r="J53" i="5"/>
  <c r="N53" i="5" s="1"/>
  <c r="J52" i="5"/>
  <c r="K52" i="5" s="1"/>
  <c r="M51" i="5"/>
  <c r="I48" i="6" s="1"/>
  <c r="J51" i="5"/>
  <c r="N51" i="5" s="1"/>
  <c r="M50" i="5"/>
  <c r="R50" i="5" s="1"/>
  <c r="J50" i="5"/>
  <c r="P50" i="5" s="1"/>
  <c r="M49" i="5"/>
  <c r="R49" i="5" s="1"/>
  <c r="J49" i="5"/>
  <c r="O49" i="5" s="1"/>
  <c r="L48" i="5"/>
  <c r="M48" i="5" s="1"/>
  <c r="J48" i="5"/>
  <c r="N48" i="5" s="1"/>
  <c r="L47" i="5"/>
  <c r="H42" i="6" s="1"/>
  <c r="J47" i="5"/>
  <c r="N47" i="5" s="1"/>
  <c r="M46" i="5"/>
  <c r="R46" i="5" s="1"/>
  <c r="J46" i="5"/>
  <c r="P46" i="5" s="1"/>
  <c r="M45" i="5"/>
  <c r="I40" i="6" s="1"/>
  <c r="J45" i="5"/>
  <c r="O45" i="5" s="1"/>
  <c r="Q44" i="5"/>
  <c r="M43" i="5"/>
  <c r="R43" i="5" s="1"/>
  <c r="J43" i="5"/>
  <c r="P43" i="5" s="1"/>
  <c r="M42" i="5"/>
  <c r="I38" i="6" s="1"/>
  <c r="J42" i="5"/>
  <c r="O42" i="5" s="1"/>
  <c r="M41" i="5"/>
  <c r="I37" i="6" s="1"/>
  <c r="J41" i="5"/>
  <c r="P41" i="5" s="1"/>
  <c r="M40" i="5"/>
  <c r="I36" i="6" s="1"/>
  <c r="J40" i="5"/>
  <c r="P40" i="5" s="1"/>
  <c r="M39" i="5"/>
  <c r="R39" i="5" s="1"/>
  <c r="J39" i="5"/>
  <c r="P39" i="5" s="1"/>
  <c r="M38" i="5"/>
  <c r="I34" i="6" s="1"/>
  <c r="J38" i="5"/>
  <c r="O38" i="5" s="1"/>
  <c r="M37" i="5"/>
  <c r="R37" i="5" s="1"/>
  <c r="J37" i="5"/>
  <c r="P37" i="5" s="1"/>
  <c r="M36" i="5"/>
  <c r="I32" i="6" s="1"/>
  <c r="J36" i="5"/>
  <c r="N36" i="5" s="1"/>
  <c r="M35" i="5"/>
  <c r="I31" i="6" s="1"/>
  <c r="J35" i="5"/>
  <c r="P35" i="5" s="1"/>
  <c r="M34" i="5"/>
  <c r="R34" i="5" s="1"/>
  <c r="J34" i="5"/>
  <c r="O34" i="5" s="1"/>
  <c r="M33" i="5"/>
  <c r="R33" i="5" s="1"/>
  <c r="J33" i="5"/>
  <c r="N33" i="5" s="1"/>
  <c r="M32" i="5"/>
  <c r="I28" i="6" s="1"/>
  <c r="J32" i="5"/>
  <c r="N32" i="5" s="1"/>
  <c r="M31" i="5"/>
  <c r="I27" i="6" s="1"/>
  <c r="J31" i="5"/>
  <c r="N31" i="5" s="1"/>
  <c r="M30" i="5"/>
  <c r="R30" i="5" s="1"/>
  <c r="J30" i="5"/>
  <c r="N30" i="5" s="1"/>
  <c r="M29" i="5"/>
  <c r="I25" i="6" s="1"/>
  <c r="J29" i="5"/>
  <c r="O29" i="5" s="1"/>
  <c r="Q28" i="5"/>
  <c r="Q79" i="5" s="1"/>
  <c r="J27" i="5"/>
  <c r="G16" i="6" s="1"/>
  <c r="J26" i="5"/>
  <c r="K26" i="5" s="1"/>
  <c r="M25" i="5"/>
  <c r="R25" i="5" s="1"/>
  <c r="J25" i="5"/>
  <c r="N25" i="5" s="1"/>
  <c r="M24" i="5"/>
  <c r="R24" i="5" s="1"/>
  <c r="J24" i="5"/>
  <c r="N24" i="5" s="1"/>
  <c r="M23" i="5"/>
  <c r="I19" i="6" s="1"/>
  <c r="J23" i="5"/>
  <c r="M22" i="5"/>
  <c r="R22" i="5" s="1"/>
  <c r="J22" i="5"/>
  <c r="N22" i="5" s="1"/>
  <c r="M21" i="5"/>
  <c r="I23" i="6" s="1"/>
  <c r="J21" i="5"/>
  <c r="N21" i="5" s="1"/>
  <c r="M20" i="5"/>
  <c r="I11" i="6" s="1"/>
  <c r="J20" i="5"/>
  <c r="N20" i="5" s="1"/>
  <c r="M19" i="5"/>
  <c r="I17" i="6" s="1"/>
  <c r="J19" i="5"/>
  <c r="N19" i="5" s="1"/>
  <c r="M18" i="5"/>
  <c r="I14" i="6" s="1"/>
  <c r="J18" i="5"/>
  <c r="N18" i="5" s="1"/>
  <c r="M17" i="5"/>
  <c r="R17" i="5" s="1"/>
  <c r="J17" i="5"/>
  <c r="N17" i="5" s="1"/>
  <c r="M16" i="5"/>
  <c r="R16" i="5" s="1"/>
  <c r="J16" i="5"/>
  <c r="N16" i="5" s="1"/>
  <c r="M15" i="5"/>
  <c r="I5" i="6" s="1"/>
  <c r="J15" i="5"/>
  <c r="N15" i="5" s="1"/>
  <c r="M14" i="5"/>
  <c r="R14" i="5" s="1"/>
  <c r="J14" i="5"/>
  <c r="N14" i="5" s="1"/>
  <c r="M13" i="5"/>
  <c r="I21" i="6" s="1"/>
  <c r="J13" i="5"/>
  <c r="N13" i="5" s="1"/>
  <c r="M12" i="5"/>
  <c r="R12" i="5" s="1"/>
  <c r="J12" i="5"/>
  <c r="N12" i="5" s="1"/>
  <c r="M11" i="5"/>
  <c r="R11" i="5" s="1"/>
  <c r="J11" i="5"/>
  <c r="N11" i="5" s="1"/>
  <c r="M10" i="5"/>
  <c r="I7" i="6" s="1"/>
  <c r="J10" i="5"/>
  <c r="N10" i="5" s="1"/>
  <c r="M9" i="5"/>
  <c r="R9" i="5" s="1"/>
  <c r="J9" i="5"/>
  <c r="N9" i="5" s="1"/>
  <c r="M8" i="5"/>
  <c r="I8" i="6" s="1"/>
  <c r="J8" i="5"/>
  <c r="N8" i="5" s="1"/>
  <c r="M7" i="5"/>
  <c r="R7" i="5" s="1"/>
  <c r="J7" i="5"/>
  <c r="N7" i="5" s="1"/>
  <c r="E12" i="4"/>
  <c r="F8" i="4"/>
  <c r="F7" i="4"/>
  <c r="V63" i="3"/>
  <c r="T63" i="3"/>
  <c r="S63" i="3"/>
  <c r="R63" i="3"/>
  <c r="Q63" i="3"/>
  <c r="P63" i="3"/>
  <c r="M63" i="3"/>
  <c r="C14" i="3" s="1"/>
  <c r="E14" i="3" s="1"/>
  <c r="L63" i="3"/>
  <c r="C13" i="3" s="1"/>
  <c r="E13" i="3" s="1"/>
  <c r="K63" i="3"/>
  <c r="J63" i="3"/>
  <c r="I63" i="3"/>
  <c r="H63" i="3"/>
  <c r="G63" i="3"/>
  <c r="C8" i="3" s="1"/>
  <c r="F63" i="3"/>
  <c r="E63" i="3"/>
  <c r="C6" i="3" s="1"/>
  <c r="E6" i="3" s="1"/>
  <c r="D63" i="3"/>
  <c r="C5" i="3" s="1"/>
  <c r="E5" i="3" s="1"/>
  <c r="C63" i="3"/>
  <c r="V52" i="3"/>
  <c r="U52" i="3"/>
  <c r="T52" i="3"/>
  <c r="S52" i="3"/>
  <c r="R52" i="3"/>
  <c r="Q52" i="3"/>
  <c r="P52" i="3"/>
  <c r="M52" i="3"/>
  <c r="L52" i="3"/>
  <c r="K52" i="3"/>
  <c r="J52" i="3"/>
  <c r="D11" i="3" s="1"/>
  <c r="E11" i="3" s="1"/>
  <c r="I52" i="3"/>
  <c r="D10" i="3" s="1"/>
  <c r="H52" i="3"/>
  <c r="G52" i="3"/>
  <c r="D8" i="3" s="1"/>
  <c r="F52" i="3"/>
  <c r="D7" i="3" s="1"/>
  <c r="E52" i="3"/>
  <c r="D52" i="3"/>
  <c r="C52" i="3"/>
  <c r="D14" i="3"/>
  <c r="D13" i="3"/>
  <c r="D12" i="3"/>
  <c r="C12" i="3"/>
  <c r="E12" i="3" s="1"/>
  <c r="C11" i="3"/>
  <c r="C10" i="3"/>
  <c r="D9" i="3"/>
  <c r="C9" i="3"/>
  <c r="E9" i="3" s="1"/>
  <c r="C7" i="3"/>
  <c r="D6" i="3"/>
  <c r="D5" i="3"/>
  <c r="D4" i="3"/>
  <c r="C4" i="3"/>
  <c r="C15" i="3" s="1"/>
  <c r="O74" i="5" l="1"/>
  <c r="O56" i="5"/>
  <c r="N41" i="5"/>
  <c r="R45" i="5"/>
  <c r="P69" i="5"/>
  <c r="P38" i="5"/>
  <c r="I30" i="6"/>
  <c r="I33" i="6"/>
  <c r="N55" i="5"/>
  <c r="P29" i="5"/>
  <c r="N59" i="5"/>
  <c r="R23" i="5"/>
  <c r="R38" i="5"/>
  <c r="O41" i="5"/>
  <c r="R41" i="5"/>
  <c r="N56" i="5"/>
  <c r="R72" i="5"/>
  <c r="R29" i="5"/>
  <c r="R70" i="5"/>
  <c r="R76" i="5"/>
  <c r="P42" i="5"/>
  <c r="K67" i="5"/>
  <c r="G61" i="6" s="1"/>
  <c r="I26" i="6"/>
  <c r="I29" i="6"/>
  <c r="P33" i="5"/>
  <c r="R21" i="5"/>
  <c r="P59" i="5"/>
  <c r="N64" i="5"/>
  <c r="O33" i="5"/>
  <c r="I4" i="6"/>
  <c r="R15" i="5"/>
  <c r="R31" i="5"/>
  <c r="R42" i="5"/>
  <c r="R51" i="5"/>
  <c r="N68" i="5"/>
  <c r="P74" i="5"/>
  <c r="G18" i="6"/>
  <c r="I22" i="6"/>
  <c r="K23" i="5"/>
  <c r="G19" i="6" s="1"/>
  <c r="P23" i="5"/>
  <c r="P28" i="5" s="1"/>
  <c r="R13" i="5"/>
  <c r="N26" i="5"/>
  <c r="P34" i="5"/>
  <c r="N37" i="5"/>
  <c r="N50" i="5"/>
  <c r="K53" i="5"/>
  <c r="K63" i="5"/>
  <c r="L63" i="5" s="1"/>
  <c r="H57" i="6" s="1"/>
  <c r="N71" i="5"/>
  <c r="N75" i="5"/>
  <c r="I41" i="6"/>
  <c r="R19" i="5"/>
  <c r="I18" i="6"/>
  <c r="N23" i="5"/>
  <c r="O37" i="5"/>
  <c r="O50" i="5"/>
  <c r="N70" i="5"/>
  <c r="O71" i="5"/>
  <c r="O75" i="5"/>
  <c r="I64" i="6"/>
  <c r="I68" i="6"/>
  <c r="XFD11" i="5"/>
  <c r="O70" i="5"/>
  <c r="P45" i="5"/>
  <c r="I13" i="6"/>
  <c r="I35" i="6"/>
  <c r="G46" i="6"/>
  <c r="L52" i="5"/>
  <c r="G57" i="6"/>
  <c r="L62" i="5"/>
  <c r="G58" i="6"/>
  <c r="I43" i="6"/>
  <c r="R48" i="5"/>
  <c r="M64" i="5"/>
  <c r="R64" i="5" s="1"/>
  <c r="H58" i="6"/>
  <c r="L68" i="5"/>
  <c r="G62" i="6"/>
  <c r="L26" i="5"/>
  <c r="G24" i="6"/>
  <c r="M47" i="5"/>
  <c r="N40" i="5"/>
  <c r="I15" i="6"/>
  <c r="R20" i="5"/>
  <c r="N39" i="5"/>
  <c r="K66" i="5"/>
  <c r="R8" i="5"/>
  <c r="I45" i="6"/>
  <c r="I56" i="6"/>
  <c r="N35" i="5"/>
  <c r="N43" i="5"/>
  <c r="N46" i="5"/>
  <c r="N58" i="5"/>
  <c r="N61" i="5"/>
  <c r="I44" i="6"/>
  <c r="R32" i="5"/>
  <c r="O35" i="5"/>
  <c r="R36" i="5"/>
  <c r="O39" i="5"/>
  <c r="R40" i="5"/>
  <c r="O43" i="5"/>
  <c r="P49" i="5"/>
  <c r="N52" i="5"/>
  <c r="O58" i="5"/>
  <c r="O61" i="5"/>
  <c r="N62" i="5"/>
  <c r="N65" i="5"/>
  <c r="O73" i="5"/>
  <c r="R74" i="5"/>
  <c r="O77" i="5"/>
  <c r="I6" i="6"/>
  <c r="I12" i="6"/>
  <c r="I39" i="6"/>
  <c r="H43" i="6"/>
  <c r="K27" i="5"/>
  <c r="L27" i="5" s="1"/>
  <c r="O36" i="5"/>
  <c r="O40" i="5"/>
  <c r="R18" i="5"/>
  <c r="P36" i="5"/>
  <c r="N77" i="5"/>
  <c r="I9" i="6"/>
  <c r="N27" i="5"/>
  <c r="N29" i="5"/>
  <c r="N34" i="5"/>
  <c r="N38" i="5"/>
  <c r="N42" i="5"/>
  <c r="N45" i="5"/>
  <c r="N57" i="5"/>
  <c r="O65" i="5"/>
  <c r="N72" i="5"/>
  <c r="P73" i="5"/>
  <c r="N76" i="5"/>
  <c r="I59" i="6"/>
  <c r="I10" i="6"/>
  <c r="R10" i="5"/>
  <c r="N49" i="5"/>
  <c r="R35" i="5"/>
  <c r="O57" i="5"/>
  <c r="O72" i="5"/>
  <c r="R73" i="5"/>
  <c r="O76" i="5"/>
  <c r="R77" i="5"/>
  <c r="D15" i="3"/>
  <c r="E8" i="3"/>
  <c r="E7" i="3"/>
  <c r="E10" i="3"/>
  <c r="E4" i="3"/>
  <c r="P78" i="5" l="1"/>
  <c r="O23" i="5"/>
  <c r="O28" i="5" s="1"/>
  <c r="O60" i="5"/>
  <c r="P44" i="5"/>
  <c r="P60" i="5"/>
  <c r="O78" i="5"/>
  <c r="L67" i="5"/>
  <c r="R78" i="5"/>
  <c r="M63" i="5"/>
  <c r="R63" i="5" s="1"/>
  <c r="G47" i="6"/>
  <c r="L53" i="5"/>
  <c r="G55" i="6"/>
  <c r="O44" i="5"/>
  <c r="R44" i="5"/>
  <c r="H56" i="6"/>
  <c r="M62" i="5"/>
  <c r="L66" i="5"/>
  <c r="G60" i="6"/>
  <c r="M68" i="5"/>
  <c r="H62" i="6"/>
  <c r="M52" i="5"/>
  <c r="H47" i="6"/>
  <c r="O69" i="5"/>
  <c r="H16" i="6"/>
  <c r="M27" i="5"/>
  <c r="M26" i="5"/>
  <c r="H24" i="6"/>
  <c r="I42" i="6"/>
  <c r="R47" i="5"/>
  <c r="E15" i="3"/>
  <c r="P79" i="5" l="1"/>
  <c r="O79" i="5"/>
  <c r="M67" i="5"/>
  <c r="H61" i="6"/>
  <c r="M53" i="5"/>
  <c r="H48" i="6"/>
  <c r="I16" i="6"/>
  <c r="R27" i="5"/>
  <c r="I46" i="6"/>
  <c r="R52" i="5"/>
  <c r="R26" i="5"/>
  <c r="I24" i="6"/>
  <c r="I62" i="6"/>
  <c r="R68" i="5"/>
  <c r="M66" i="5"/>
  <c r="H60" i="6"/>
  <c r="I58" i="6"/>
  <c r="R62" i="5"/>
  <c r="I57" i="6"/>
  <c r="R28" i="5" l="1"/>
  <c r="R67" i="5"/>
  <c r="I61" i="6"/>
  <c r="I55" i="6"/>
  <c r="R53" i="5"/>
  <c r="R60" i="5" s="1"/>
  <c r="I47" i="6"/>
  <c r="I60" i="6"/>
  <c r="R66" i="5"/>
  <c r="R69" i="5" l="1"/>
  <c r="R79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<sst xmlns="http://schemas.openxmlformats.org/spreadsheetml/2006/main" count="494" uniqueCount="195">
  <si>
    <t>NCR</t>
  </si>
  <si>
    <t>Type of Manpower</t>
  </si>
  <si>
    <t>Required Manpower for week</t>
  </si>
  <si>
    <t>Available</t>
  </si>
  <si>
    <t xml:space="preserve">Shortage </t>
  </si>
  <si>
    <t>Safety NCR</t>
  </si>
  <si>
    <t>Unsafe Act</t>
  </si>
  <si>
    <t>Condition</t>
  </si>
  <si>
    <t>Reinforcement work</t>
  </si>
  <si>
    <t>Total</t>
  </si>
  <si>
    <t>Open</t>
  </si>
  <si>
    <t>Close</t>
  </si>
  <si>
    <t>Carpenter</t>
  </si>
  <si>
    <t>Mason</t>
  </si>
  <si>
    <t>Helper</t>
  </si>
  <si>
    <t>Unskilled Worker</t>
  </si>
  <si>
    <t>Site Observation</t>
  </si>
  <si>
    <t>Site Instructions</t>
  </si>
  <si>
    <t>Drivers</t>
  </si>
  <si>
    <t>Staff</t>
  </si>
  <si>
    <t>Plumbing</t>
  </si>
  <si>
    <t>Tiles Work</t>
  </si>
  <si>
    <t>Painter</t>
  </si>
  <si>
    <t>Electric Work</t>
  </si>
  <si>
    <t xml:space="preserve">Total of Above </t>
  </si>
  <si>
    <t>Date</t>
  </si>
  <si>
    <t>Rein. work</t>
  </si>
  <si>
    <t xml:space="preserve">Unskilled </t>
  </si>
  <si>
    <t>staff</t>
  </si>
  <si>
    <t>Tiles</t>
  </si>
  <si>
    <t>Ele.</t>
  </si>
  <si>
    <t>Night</t>
  </si>
  <si>
    <t>Required</t>
  </si>
  <si>
    <t>Ele</t>
  </si>
  <si>
    <t>Month</t>
  </si>
  <si>
    <t>Budgeted work</t>
  </si>
  <si>
    <t xml:space="preserve">Planned Work </t>
  </si>
  <si>
    <t>Actual Work</t>
  </si>
  <si>
    <t>August</t>
  </si>
  <si>
    <t>RA 01</t>
  </si>
  <si>
    <t>September</t>
  </si>
  <si>
    <t>RA 02</t>
  </si>
  <si>
    <t>October</t>
  </si>
  <si>
    <t>RA 03</t>
  </si>
  <si>
    <t>November</t>
  </si>
  <si>
    <t>RA 04</t>
  </si>
  <si>
    <t>December</t>
  </si>
  <si>
    <t>RA 05</t>
  </si>
  <si>
    <t>January</t>
  </si>
  <si>
    <t>RA 06</t>
  </si>
  <si>
    <t>February</t>
  </si>
  <si>
    <t>RA 07</t>
  </si>
  <si>
    <t>March</t>
  </si>
  <si>
    <t>RA 08</t>
  </si>
  <si>
    <t xml:space="preserve">Planned </t>
  </si>
  <si>
    <t>Actual</t>
  </si>
  <si>
    <t xml:space="preserve"> </t>
  </si>
  <si>
    <t>Planned Vs Actual Previous Week to Current Week 
(Date: 11-12-2025 to 17-12-2025)</t>
  </si>
  <si>
    <t>Description</t>
  </si>
  <si>
    <t xml:space="preserve">Qty  Planed  </t>
  </si>
  <si>
    <t xml:space="preserve">Against GFC </t>
  </si>
  <si>
    <t xml:space="preserve">Agianst Weekly Planed  </t>
  </si>
  <si>
    <t xml:space="preserve">Cumlative </t>
  </si>
  <si>
    <t>Sr.No.</t>
  </si>
  <si>
    <t>Tower</t>
  </si>
  <si>
    <t>Activity</t>
  </si>
  <si>
    <t>Planned Start Date by Contractor</t>
  </si>
  <si>
    <t>Planned End Date by Contractor</t>
  </si>
  <si>
    <t xml:space="preserve">Unit </t>
  </si>
  <si>
    <t>As per BOQ total Quantity</t>
  </si>
  <si>
    <t>Total GFC Qty</t>
  </si>
  <si>
    <t>Executed qty till 15-10-2025</t>
  </si>
  <si>
    <t>Balance Qty.</t>
  </si>
  <si>
    <t>Weekly planned Qty.</t>
  </si>
  <si>
    <t>Weekly actual Qty.</t>
  </si>
  <si>
    <t>Cumulative Qty.</t>
  </si>
  <si>
    <t>% Balance  Qty ( Remaining ) Against GFC Qty</t>
  </si>
  <si>
    <t xml:space="preserve">% Planned Against 
Balance Qty  </t>
  </si>
  <si>
    <t>% Achieved Against Actual Qty</t>
  </si>
  <si>
    <t>% Completed (Total against the GFC )</t>
  </si>
  <si>
    <t>Upto Plinth</t>
  </si>
  <si>
    <t xml:space="preserve">Excavation </t>
  </si>
  <si>
    <t>CUM</t>
  </si>
  <si>
    <t>Delay</t>
  </si>
  <si>
    <t>Footing PCC</t>
  </si>
  <si>
    <t xml:space="preserve">On time </t>
  </si>
  <si>
    <t>Yellow Soil Filling</t>
  </si>
  <si>
    <t>Rubble Soling</t>
  </si>
  <si>
    <t>Footing Shuttering</t>
  </si>
  <si>
    <t>SMT</t>
  </si>
  <si>
    <t>Footing RCC</t>
  </si>
  <si>
    <t>Padestal Upto Plinth Top Shuttering</t>
  </si>
  <si>
    <t>Padestal Upto Plinth Top RCC</t>
  </si>
  <si>
    <t>GB Excavation</t>
  </si>
  <si>
    <t>GB PCC</t>
  </si>
  <si>
    <t>GB Shuttering</t>
  </si>
  <si>
    <t>GB RCC</t>
  </si>
  <si>
    <t>Masonry Above GB</t>
  </si>
  <si>
    <t>Plinth Beam PCC</t>
  </si>
  <si>
    <t>Plinth Beam Shuttering</t>
  </si>
  <si>
    <t>Plinth Beam RCC</t>
  </si>
  <si>
    <t>Plinth Plaster</t>
  </si>
  <si>
    <t>Masonry above PB</t>
  </si>
  <si>
    <t>Floor PCC</t>
  </si>
  <si>
    <t>Floor RCC Shuttering</t>
  </si>
  <si>
    <t>Floor RCC</t>
  </si>
  <si>
    <t xml:space="preserve">Avreage  Achivement  : - </t>
  </si>
  <si>
    <t>Ground Floor</t>
  </si>
  <si>
    <t>Plinth to GF slab column shuttering</t>
  </si>
  <si>
    <t>SQM</t>
  </si>
  <si>
    <t>GF beam shuttering</t>
  </si>
  <si>
    <t>GF Slab shuttering</t>
  </si>
  <si>
    <t>GF staircase shuttering</t>
  </si>
  <si>
    <t>GF lintel shuttering</t>
  </si>
  <si>
    <t>Plinth to GF slab column concrete</t>
  </si>
  <si>
    <t>GF beam Concrete</t>
  </si>
  <si>
    <t>GF Slab Concrete</t>
  </si>
  <si>
    <t>GF staircase concrete</t>
  </si>
  <si>
    <t>GF lintel Concrete</t>
  </si>
  <si>
    <t>Brick masonary GF (230 mm)</t>
  </si>
  <si>
    <t>Brick masonary GF (115 mm)</t>
  </si>
  <si>
    <t>Internal Plaster</t>
  </si>
  <si>
    <t>Flooring</t>
  </si>
  <si>
    <t>Skirting</t>
  </si>
  <si>
    <t>RMT</t>
  </si>
  <si>
    <t>First Floor</t>
  </si>
  <si>
    <t>GF to FF slab column shuttering</t>
  </si>
  <si>
    <t>FF beam shuttering</t>
  </si>
  <si>
    <t>FF Slab shuttering</t>
  </si>
  <si>
    <t>FF Staircase Shuttering</t>
  </si>
  <si>
    <t>FF lintel shuttering</t>
  </si>
  <si>
    <t>GF to FF slab column concrete</t>
  </si>
  <si>
    <t>FF Staircase Concrete</t>
  </si>
  <si>
    <t>FF beam Concrete</t>
  </si>
  <si>
    <t>FF Slab Concrete</t>
  </si>
  <si>
    <t>FF lintel Concrete</t>
  </si>
  <si>
    <t>Brick masonary FF (230 mm)</t>
  </si>
  <si>
    <t>Brick masonary FF (115 mm)</t>
  </si>
  <si>
    <t>Second Floor</t>
  </si>
  <si>
    <t>FF to SF slab column shuttering</t>
  </si>
  <si>
    <t>SF Staircase Shuttering</t>
  </si>
  <si>
    <t>SF beam shuttering</t>
  </si>
  <si>
    <t>SF Slab shuttering</t>
  </si>
  <si>
    <t>FF to SF slab column concrete</t>
  </si>
  <si>
    <t>SF Staircase Concrete</t>
  </si>
  <si>
    <t>SF beam Concrete</t>
  </si>
  <si>
    <t>SF Slab Concrete</t>
  </si>
  <si>
    <t>Third Floor</t>
  </si>
  <si>
    <t>SF to TF slab column shuttering</t>
  </si>
  <si>
    <t>TF Staircase Shuttering</t>
  </si>
  <si>
    <t>TF beam shuttering</t>
  </si>
  <si>
    <t>TF Slab shuttering</t>
  </si>
  <si>
    <t>SF to TF slab column concrete</t>
  </si>
  <si>
    <t>TF Staircase Concrete</t>
  </si>
  <si>
    <t>TF beam Concrete</t>
  </si>
  <si>
    <t>TF Slab Concrete</t>
  </si>
  <si>
    <t xml:space="preserve">Cumulative Avreage  Achivement  : - </t>
  </si>
  <si>
    <t>Weekly Executed Plan</t>
  </si>
  <si>
    <t>As per GFC total Quantity</t>
  </si>
  <si>
    <t>Total Achieved Qty.</t>
  </si>
  <si>
    <t>Worker Dormitory</t>
  </si>
  <si>
    <t>Footing Excavation</t>
  </si>
  <si>
    <t>Pedestal RCC</t>
  </si>
  <si>
    <t>Project Start Date</t>
  </si>
  <si>
    <t>Current Date</t>
  </si>
  <si>
    <t>Project Progress</t>
  </si>
  <si>
    <t>Planned End Date</t>
  </si>
  <si>
    <t>Project Timeline</t>
  </si>
  <si>
    <t>Sr. No.</t>
  </si>
  <si>
    <t>Category</t>
  </si>
  <si>
    <t>Reason for Shortage</t>
  </si>
  <si>
    <t>% Shortage</t>
  </si>
  <si>
    <t>Unavailibility of Manpower</t>
  </si>
  <si>
    <t>Vendor not responding</t>
  </si>
  <si>
    <t>Planned Vs. Actual Report - Project # - Week 13</t>
  </si>
  <si>
    <t>Row Labels</t>
  </si>
  <si>
    <t>Grand Total</t>
  </si>
  <si>
    <t>Sum of Weekly planned Qty.</t>
  </si>
  <si>
    <t>Sum of Weekly actual Qty.</t>
  </si>
  <si>
    <t>(Multiple Items)</t>
  </si>
  <si>
    <t>Sum of As per GFC total Quantity</t>
  </si>
  <si>
    <t>Sum of Total Achieved Qty.</t>
  </si>
  <si>
    <t>% Completed</t>
  </si>
  <si>
    <t>Planned Vs. Actual Quantity</t>
  </si>
  <si>
    <t>Type</t>
  </si>
  <si>
    <t xml:space="preserve"> Planned Vs. Actual Cashflow</t>
  </si>
  <si>
    <t>Past Vs. Current Progress</t>
  </si>
  <si>
    <r>
      <t xml:space="preserve">Planned Vs. Actual Manpower
</t>
    </r>
    <r>
      <rPr>
        <b/>
        <sz val="12"/>
        <color theme="1"/>
        <rFont val="Aptos Narrow"/>
        <family val="2"/>
        <scheme val="minor"/>
      </rPr>
      <t>Top 3 Manpower Shortage Categories this week</t>
    </r>
  </si>
  <si>
    <t>Manually</t>
  </si>
  <si>
    <t xml:space="preserve">Sum of % Planned Against 
Balance Qty  </t>
  </si>
  <si>
    <t>Sum of % Achieved Against Actual Qty</t>
  </si>
  <si>
    <t>Sum of % Completed (Total against the GFC )2</t>
  </si>
  <si>
    <t>Current Week Status</t>
  </si>
  <si>
    <t>Last Week Status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</si>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</sst>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sz val="11"/>
      <color theme="1"/>
      <name val="Artifakt Element"/>
      <family val="2"/>
    </font>
    <font>
      <b/>
      <sz val="14"/>
      <color rgb="FF000000"/>
      <name val="Artifakt Element"/>
      <family val="2"/>
    </font>
    <font>
      <sz val="14"/>
      <color rgb="FF000000"/>
      <name val="Artifakt Element"/>
      <family val="2"/>
    </font>
    <font>
      <b/>
      <sz val="14"/>
      <color rgb="FFFFFFFF"/>
      <name val="Artifakt Element"/>
      <family val="2"/>
    </font>
    <font>
      <sz val="14"/>
      <color rgb="FFFFFFFF"/>
      <name val="Artifakt Element"/>
      <family val="2"/>
    </font>
    <font>
      <sz val="14"/>
      <color theme="1"/>
      <name val="Artifakt Element"/>
      <family val="2"/>
    </font>
    <font>
      <sz val="11"/>
      <name val="Aptos Narrow"/>
      <family val="2"/>
      <scheme val="minor"/>
    </font>
    <font>
      <b/>
      <sz val="10.5"/>
      <name val="Calibri"/>
      <family val="2"/>
    </font>
    <font>
      <b/>
      <sz val="12"/>
      <name val="Artifakt Element"/>
      <family val="2"/>
    </font>
    <font>
      <b/>
      <sz val="12"/>
      <color theme="1"/>
      <name val="Artifakt Element"/>
      <family val="2"/>
    </font>
    <font>
      <b/>
      <sz val="12"/>
      <color theme="0"/>
      <name val="Artifakt Element"/>
      <family val="2"/>
    </font>
    <font>
      <sz val="12"/>
      <color theme="1"/>
      <name val="Artifakt Element"/>
      <family val="2"/>
    </font>
    <font>
      <sz val="12"/>
      <name val="Artifakt Element"/>
      <family val="2"/>
    </font>
    <font>
      <b/>
      <sz val="11"/>
      <color theme="1"/>
      <name val="Artifakt Element"/>
      <family val="2"/>
    </font>
    <font>
      <b/>
      <sz val="14"/>
      <name val="Artifakt Element"/>
      <family val="2"/>
    </font>
    <font>
      <sz val="10"/>
      <color theme="1"/>
      <name val="Artifakt Element"/>
      <family val="2"/>
    </font>
    <font>
      <b/>
      <sz val="10"/>
      <name val="Artifakt Element"/>
      <family val="2"/>
    </font>
    <font>
      <b/>
      <sz val="10"/>
      <color theme="0"/>
      <name val="Artifakt Element"/>
      <family val="2"/>
    </font>
    <font>
      <sz val="10"/>
      <name val="Artifakt Element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15F"/>
        <bgColor indexed="64"/>
      </patternFill>
    </fill>
    <fill>
      <patternFill patternType="solid">
        <fgColor rgb="FF005A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lightUp">
        <fgColor theme="4"/>
        <bgColor theme="0"/>
      </patternFill>
    </fill>
    <fill>
      <patternFill patternType="solid">
        <fgColor theme="4" tint="0.79998168889431442"/>
        <bgColor theme="4" tint="0.79998168889431442"/>
      </patternFill>
    </fill>
    <fill>
      <patternFill patternType="lightUp">
        <bgColor theme="0"/>
      </patternFill>
    </fill>
    <fill>
      <patternFill patternType="gray125">
        <bgColor theme="0"/>
      </patternFill>
    </fill>
    <fill>
      <patternFill patternType="solid">
        <fgColor rgb="FFFF7C80"/>
        <bgColor indexed="64"/>
      </patternFill>
    </fill>
    <fill>
      <patternFill patternType="lightUp"/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double">
        <color theme="1"/>
      </top>
      <bottom/>
      <diagonal/>
    </border>
    <border>
      <left/>
      <right style="double">
        <color theme="1"/>
      </right>
      <top style="double">
        <color theme="1"/>
      </top>
      <bottom/>
      <diagonal/>
    </border>
    <border>
      <left/>
      <right/>
      <top/>
      <bottom style="double">
        <color theme="1"/>
      </bottom>
      <diagonal/>
    </border>
    <border>
      <left/>
      <right style="double">
        <color theme="1"/>
      </right>
      <top/>
      <bottom style="double">
        <color theme="1"/>
      </bottom>
      <diagonal/>
    </border>
    <border>
      <left style="double">
        <color indexed="64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indexed="64"/>
      </left>
      <right style="double">
        <color indexed="64"/>
      </right>
      <top style="double">
        <color theme="1"/>
      </top>
      <bottom style="double">
        <color theme="1"/>
      </bottom>
      <diagonal/>
    </border>
    <border>
      <left style="double">
        <color indexed="64"/>
      </left>
      <right style="double">
        <color theme="1"/>
      </right>
      <top/>
      <bottom style="double">
        <color indexed="64"/>
      </bottom>
      <diagonal/>
    </border>
    <border>
      <left style="double">
        <color indexed="64"/>
      </left>
      <right style="double">
        <color theme="1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theme="1"/>
      </bottom>
      <diagonal/>
    </border>
    <border>
      <left style="double">
        <color indexed="64"/>
      </left>
      <right style="double">
        <color theme="1"/>
      </right>
      <top style="double">
        <color indexed="64"/>
      </top>
      <bottom style="double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theme="1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theme="1"/>
      </bottom>
      <diagonal/>
    </border>
    <border>
      <left style="medium">
        <color indexed="64"/>
      </left>
      <right style="double">
        <color indexed="64"/>
      </right>
      <top style="double">
        <color theme="1"/>
      </top>
      <bottom style="double">
        <color theme="1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theme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</cellStyleXfs>
  <cellXfs count="32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9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4" fillId="0" borderId="27" xfId="0" applyFont="1" applyBorder="1" applyAlignment="1">
      <alignment horizontal="center" vertical="center" wrapText="1" readingOrder="1"/>
    </xf>
    <xf numFmtId="0" fontId="4" fillId="0" borderId="28" xfId="0" applyFont="1" applyBorder="1" applyAlignment="1">
      <alignment horizontal="center" vertical="center" wrapText="1" readingOrder="1"/>
    </xf>
    <xf numFmtId="0" fontId="4" fillId="0" borderId="29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30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14" fontId="3" fillId="0" borderId="13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 vertical="center" wrapText="1" readingOrder="1"/>
    </xf>
    <xf numFmtId="0" fontId="5" fillId="0" borderId="31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wrapText="1" readingOrder="1"/>
    </xf>
    <xf numFmtId="14" fontId="3" fillId="0" borderId="27" xfId="0" applyNumberFormat="1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5" fillId="0" borderId="30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 readingOrder="1"/>
    </xf>
    <xf numFmtId="0" fontId="5" fillId="0" borderId="32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5" fillId="0" borderId="33" xfId="0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center"/>
    </xf>
    <xf numFmtId="0" fontId="0" fillId="6" borderId="9" xfId="0" applyFill="1" applyBorder="1" applyAlignment="1">
      <alignment horizontal="center" vertical="center"/>
    </xf>
    <xf numFmtId="0" fontId="0" fillId="0" borderId="9" xfId="0" applyBorder="1"/>
    <xf numFmtId="164" fontId="0" fillId="0" borderId="9" xfId="0" applyNumberFormat="1" applyBorder="1"/>
    <xf numFmtId="164" fontId="0" fillId="0" borderId="0" xfId="0" applyNumberForma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2" fillId="8" borderId="35" xfId="0" applyFont="1" applyFill="1" applyBorder="1" applyAlignment="1">
      <alignment horizontal="center" vertical="center" wrapText="1"/>
    </xf>
    <xf numFmtId="0" fontId="12" fillId="8" borderId="37" xfId="0" applyFont="1" applyFill="1" applyBorder="1" applyAlignment="1">
      <alignment horizontal="center" vertical="center" wrapText="1"/>
    </xf>
    <xf numFmtId="0" fontId="12" fillId="8" borderId="38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0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2" fontId="14" fillId="0" borderId="41" xfId="0" applyNumberFormat="1" applyFont="1" applyBorder="1" applyAlignment="1">
      <alignment horizontal="center" vertical="center" wrapText="1"/>
    </xf>
    <xf numFmtId="2" fontId="14" fillId="0" borderId="35" xfId="0" applyNumberFormat="1" applyFont="1" applyBorder="1" applyAlignment="1">
      <alignment horizontal="left" vertical="center"/>
    </xf>
    <xf numFmtId="14" fontId="14" fillId="0" borderId="35" xfId="0" applyNumberFormat="1" applyFont="1" applyBorder="1" applyAlignment="1">
      <alignment horizontal="center" vertical="center"/>
    </xf>
    <xf numFmtId="2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 vertical="center"/>
    </xf>
    <xf numFmtId="2" fontId="14" fillId="0" borderId="41" xfId="0" applyNumberFormat="1" applyFont="1" applyBorder="1" applyAlignment="1">
      <alignment horizontal="center" vertical="center"/>
    </xf>
    <xf numFmtId="9" fontId="14" fillId="0" borderId="9" xfId="0" applyNumberFormat="1" applyFont="1" applyBorder="1" applyAlignment="1">
      <alignment horizontal="center" vertical="center"/>
    </xf>
    <xf numFmtId="9" fontId="14" fillId="0" borderId="13" xfId="0" applyNumberFormat="1" applyFont="1" applyBorder="1" applyAlignment="1">
      <alignment horizontal="center" vertical="center"/>
    </xf>
    <xf numFmtId="9" fontId="14" fillId="0" borderId="14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9" fontId="14" fillId="0" borderId="15" xfId="1" applyFont="1" applyBorder="1" applyAlignment="1">
      <alignment horizontal="center" vertical="center"/>
    </xf>
    <xf numFmtId="1" fontId="3" fillId="0" borderId="0" xfId="0" applyNumberFormat="1" applyFont="1" applyAlignment="1">
      <alignment vertical="center"/>
    </xf>
    <xf numFmtId="2" fontId="14" fillId="0" borderId="41" xfId="0" applyNumberFormat="1" applyFont="1" applyBorder="1" applyAlignment="1">
      <alignment horizontal="left" vertical="center"/>
    </xf>
    <xf numFmtId="14" fontId="14" fillId="0" borderId="41" xfId="0" applyNumberFormat="1" applyFont="1" applyBorder="1" applyAlignment="1">
      <alignment horizontal="center" vertical="center"/>
    </xf>
    <xf numFmtId="1" fontId="15" fillId="0" borderId="41" xfId="3" applyNumberFormat="1" applyFont="1" applyBorder="1" applyAlignment="1">
      <alignment horizontal="center" vertical="center" wrapText="1"/>
    </xf>
    <xf numFmtId="2" fontId="15" fillId="0" borderId="41" xfId="3" applyNumberFormat="1" applyFont="1" applyBorder="1" applyAlignment="1">
      <alignment horizontal="center" vertical="center" wrapText="1"/>
    </xf>
    <xf numFmtId="1" fontId="14" fillId="0" borderId="41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9" fontId="14" fillId="0" borderId="17" xfId="1" applyFont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4" fillId="0" borderId="19" xfId="0" applyFont="1" applyBorder="1" applyAlignment="1">
      <alignment horizontal="center" vertical="center"/>
    </xf>
    <xf numFmtId="9" fontId="14" fillId="0" borderId="20" xfId="1" applyFont="1" applyBorder="1" applyAlignment="1">
      <alignment horizontal="center" vertical="center"/>
    </xf>
    <xf numFmtId="2" fontId="15" fillId="0" borderId="41" xfId="3" applyNumberFormat="1" applyFont="1" applyBorder="1" applyAlignment="1">
      <alignment horizontal="left" vertical="center" wrapText="1"/>
    </xf>
    <xf numFmtId="2" fontId="15" fillId="0" borderId="40" xfId="3" applyNumberFormat="1" applyFont="1" applyBorder="1" applyAlignment="1">
      <alignment horizontal="left" vertical="center" wrapText="1"/>
    </xf>
    <xf numFmtId="2" fontId="14" fillId="0" borderId="40" xfId="0" applyNumberFormat="1" applyFont="1" applyBorder="1" applyAlignment="1">
      <alignment horizontal="center" vertical="center"/>
    </xf>
    <xf numFmtId="1" fontId="14" fillId="0" borderId="40" xfId="0" applyNumberFormat="1" applyFont="1" applyBorder="1" applyAlignment="1">
      <alignment horizontal="center" vertical="center"/>
    </xf>
    <xf numFmtId="9" fontId="14" fillId="0" borderId="19" xfId="0" applyNumberFormat="1" applyFont="1" applyBorder="1" applyAlignment="1">
      <alignment horizontal="center" vertical="center"/>
    </xf>
    <xf numFmtId="9" fontId="16" fillId="8" borderId="8" xfId="0" applyNumberFormat="1" applyFont="1" applyFill="1" applyBorder="1" applyAlignment="1">
      <alignment horizontal="center" vertical="center"/>
    </xf>
    <xf numFmtId="9" fontId="16" fillId="8" borderId="43" xfId="0" applyNumberFormat="1" applyFont="1" applyFill="1" applyBorder="1" applyAlignment="1">
      <alignment horizontal="center" vertical="center"/>
    </xf>
    <xf numFmtId="2" fontId="14" fillId="0" borderId="44" xfId="0" applyNumberFormat="1" applyFont="1" applyBorder="1" applyAlignment="1">
      <alignment horizontal="center" vertical="center" wrapText="1"/>
    </xf>
    <xf numFmtId="2" fontId="15" fillId="0" borderId="45" xfId="3" applyNumberFormat="1" applyFont="1" applyBorder="1" applyAlignment="1">
      <alignment horizontal="left" vertical="center" wrapText="1"/>
    </xf>
    <xf numFmtId="2" fontId="14" fillId="0" borderId="46" xfId="0" applyNumberFormat="1" applyFont="1" applyBorder="1" applyAlignment="1">
      <alignment horizontal="center" vertical="center"/>
    </xf>
    <xf numFmtId="2" fontId="15" fillId="0" borderId="46" xfId="3" applyNumberFormat="1" applyFont="1" applyBorder="1" applyAlignment="1">
      <alignment horizontal="center" vertical="center" wrapText="1"/>
    </xf>
    <xf numFmtId="1" fontId="14" fillId="0" borderId="46" xfId="0" applyNumberFormat="1" applyFont="1" applyBorder="1" applyAlignment="1">
      <alignment horizontal="center" vertical="center"/>
    </xf>
    <xf numFmtId="9" fontId="14" fillId="0" borderId="16" xfId="0" applyNumberFormat="1" applyFont="1" applyBorder="1" applyAlignment="1">
      <alignment horizontal="center" vertical="center"/>
    </xf>
    <xf numFmtId="2" fontId="14" fillId="0" borderId="48" xfId="0" applyNumberFormat="1" applyFont="1" applyBorder="1" applyAlignment="1">
      <alignment horizontal="center" vertical="center" wrapText="1"/>
    </xf>
    <xf numFmtId="2" fontId="15" fillId="0" borderId="49" xfId="3" applyNumberFormat="1" applyFont="1" applyBorder="1" applyAlignment="1">
      <alignment horizontal="left" vertical="center" wrapText="1"/>
    </xf>
    <xf numFmtId="2" fontId="15" fillId="0" borderId="40" xfId="3" applyNumberFormat="1" applyFont="1" applyBorder="1" applyAlignment="1">
      <alignment horizontal="center" vertical="center" wrapText="1"/>
    </xf>
    <xf numFmtId="2" fontId="15" fillId="0" borderId="50" xfId="3" applyNumberFormat="1" applyFont="1" applyBorder="1" applyAlignment="1">
      <alignment horizontal="left" vertical="center" wrapText="1"/>
    </xf>
    <xf numFmtId="9" fontId="14" fillId="0" borderId="18" xfId="0" applyNumberFormat="1" applyFont="1" applyBorder="1" applyAlignment="1">
      <alignment horizontal="center" vertical="center"/>
    </xf>
    <xf numFmtId="2" fontId="15" fillId="0" borderId="51" xfId="3" applyNumberFormat="1" applyFont="1" applyBorder="1" applyAlignment="1">
      <alignment horizontal="left" vertical="center" wrapText="1"/>
    </xf>
    <xf numFmtId="2" fontId="15" fillId="0" borderId="51" xfId="3" applyNumberFormat="1" applyFont="1" applyBorder="1" applyAlignment="1">
      <alignment horizontal="center" vertical="center" wrapText="1"/>
    </xf>
    <xf numFmtId="9" fontId="14" fillId="0" borderId="52" xfId="0" applyNumberFormat="1" applyFont="1" applyBorder="1" applyAlignment="1">
      <alignment horizontal="center" vertical="center"/>
    </xf>
    <xf numFmtId="2" fontId="14" fillId="0" borderId="46" xfId="0" applyNumberFormat="1" applyFont="1" applyBorder="1" applyAlignment="1">
      <alignment horizontal="center" vertical="center" wrapText="1"/>
    </xf>
    <xf numFmtId="2" fontId="15" fillId="0" borderId="46" xfId="3" applyNumberFormat="1" applyFont="1" applyBorder="1" applyAlignment="1">
      <alignment horizontal="left" vertical="center" wrapText="1"/>
    </xf>
    <xf numFmtId="9" fontId="16" fillId="10" borderId="4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14" fontId="14" fillId="0" borderId="0" xfId="0" applyNumberFormat="1" applyFont="1" applyAlignment="1">
      <alignment horizontal="center" vertical="center"/>
    </xf>
    <xf numFmtId="2" fontId="17" fillId="0" borderId="0" xfId="3" applyNumberFormat="1" applyFont="1" applyAlignment="1">
      <alignment horizontal="center" vertical="center" wrapText="1"/>
    </xf>
    <xf numFmtId="1" fontId="17" fillId="0" borderId="0" xfId="3" applyNumberFormat="1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0" fillId="9" borderId="36" xfId="0" applyFont="1" applyFill="1" applyBorder="1" applyAlignment="1">
      <alignment horizontal="center" vertical="center" wrapText="1"/>
    </xf>
    <xf numFmtId="0" fontId="20" fillId="9" borderId="37" xfId="0" applyFont="1" applyFill="1" applyBorder="1" applyAlignment="1">
      <alignment horizontal="center" vertical="center" wrapText="1"/>
    </xf>
    <xf numFmtId="0" fontId="20" fillId="9" borderId="38" xfId="0" applyFont="1" applyFill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14" fontId="18" fillId="0" borderId="55" xfId="0" applyNumberFormat="1" applyFont="1" applyBorder="1" applyAlignment="1">
      <alignment horizontal="center" vertical="center"/>
    </xf>
    <xf numFmtId="1" fontId="18" fillId="0" borderId="55" xfId="0" applyNumberFormat="1" applyFont="1" applyBorder="1" applyAlignment="1">
      <alignment horizontal="center" vertical="center"/>
    </xf>
    <xf numFmtId="1" fontId="18" fillId="0" borderId="56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1" fillId="0" borderId="9" xfId="3" applyFont="1" applyBorder="1" applyAlignment="1">
      <alignment horizontal="center" vertical="center" wrapText="1"/>
    </xf>
    <xf numFmtId="14" fontId="18" fillId="0" borderId="9" xfId="0" applyNumberFormat="1" applyFont="1" applyBorder="1" applyAlignment="1">
      <alignment horizontal="center" vertical="center"/>
    </xf>
    <xf numFmtId="1" fontId="18" fillId="0" borderId="9" xfId="0" applyNumberFormat="1" applyFont="1" applyBorder="1" applyAlignment="1">
      <alignment horizontal="center" vertical="center"/>
    </xf>
    <xf numFmtId="1" fontId="18" fillId="0" borderId="17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" fontId="21" fillId="0" borderId="9" xfId="3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" fontId="18" fillId="0" borderId="19" xfId="0" applyNumberFormat="1" applyFont="1" applyBorder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14" fontId="18" fillId="0" borderId="19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1" fontId="18" fillId="0" borderId="20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 wrapText="1"/>
    </xf>
    <xf numFmtId="2" fontId="18" fillId="0" borderId="20" xfId="0" applyNumberFormat="1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2" fontId="18" fillId="0" borderId="25" xfId="0" applyNumberFormat="1" applyFont="1" applyBorder="1" applyAlignment="1">
      <alignment horizontal="center" vertical="center" wrapText="1"/>
    </xf>
    <xf numFmtId="14" fontId="18" fillId="0" borderId="25" xfId="0" applyNumberFormat="1" applyFont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2" fontId="18" fillId="0" borderId="25" xfId="0" applyNumberFormat="1" applyFont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6" fillId="5" borderId="70" xfId="0" applyFont="1" applyFill="1" applyBorder="1" applyAlignment="1">
      <alignment horizontal="center" wrapText="1" readingOrder="1"/>
    </xf>
    <xf numFmtId="0" fontId="7" fillId="5" borderId="70" xfId="0" applyFont="1" applyFill="1" applyBorder="1" applyAlignment="1">
      <alignment horizontal="center" vertical="center" wrapText="1" readingOrder="1"/>
    </xf>
    <xf numFmtId="0" fontId="7" fillId="5" borderId="71" xfId="0" applyFont="1" applyFill="1" applyBorder="1" applyAlignment="1">
      <alignment horizontal="center" vertical="center" wrapText="1" readingOrder="1"/>
    </xf>
    <xf numFmtId="0" fontId="7" fillId="5" borderId="14" xfId="0" applyFont="1" applyFill="1" applyBorder="1" applyAlignment="1">
      <alignment horizontal="center" vertical="center" wrapText="1" readingOrder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23" fillId="13" borderId="72" xfId="0" applyFont="1" applyFill="1" applyBorder="1"/>
    <xf numFmtId="10" fontId="18" fillId="0" borderId="0" xfId="0" applyNumberFormat="1" applyFont="1" applyAlignment="1">
      <alignment horizontal="center" vertical="center"/>
    </xf>
    <xf numFmtId="0" fontId="23" fillId="13" borderId="58" xfId="0" applyFont="1" applyFill="1" applyBorder="1" applyAlignment="1">
      <alignment horizontal="center" vertical="center"/>
    </xf>
    <xf numFmtId="0" fontId="0" fillId="0" borderId="58" xfId="0" applyBorder="1"/>
    <xf numFmtId="10" fontId="0" fillId="0" borderId="58" xfId="0" applyNumberFormat="1" applyBorder="1"/>
    <xf numFmtId="0" fontId="0" fillId="0" borderId="0" xfId="0" applyAlignment="1">
      <alignment vertical="center"/>
    </xf>
    <xf numFmtId="0" fontId="0" fillId="15" borderId="57" xfId="0" applyFill="1" applyBorder="1" applyAlignment="1">
      <alignment vertical="center"/>
    </xf>
    <xf numFmtId="9" fontId="0" fillId="0" borderId="0" xfId="0" applyNumberFormat="1"/>
    <xf numFmtId="0" fontId="23" fillId="3" borderId="63" xfId="0" applyFont="1" applyFill="1" applyBorder="1" applyAlignment="1">
      <alignment horizontal="center" vertical="center"/>
    </xf>
    <xf numFmtId="0" fontId="23" fillId="3" borderId="65" xfId="0" applyFont="1" applyFill="1" applyBorder="1" applyAlignment="1">
      <alignment horizontal="center" vertical="center"/>
    </xf>
    <xf numFmtId="0" fontId="23" fillId="3" borderId="63" xfId="0" applyFont="1" applyFill="1" applyBorder="1" applyAlignment="1">
      <alignment horizontal="left" vertical="center"/>
    </xf>
    <xf numFmtId="0" fontId="23" fillId="3" borderId="64" xfId="0" applyFont="1" applyFill="1" applyBorder="1" applyAlignment="1">
      <alignment horizontal="left" vertical="center"/>
    </xf>
    <xf numFmtId="0" fontId="23" fillId="3" borderId="65" xfId="0" applyFont="1" applyFill="1" applyBorder="1" applyAlignment="1">
      <alignment horizontal="left" vertical="center"/>
    </xf>
    <xf numFmtId="0" fontId="24" fillId="3" borderId="59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/>
    </xf>
    <xf numFmtId="0" fontId="23" fillId="3" borderId="62" xfId="0" applyFont="1" applyFill="1" applyBorder="1" applyAlignment="1">
      <alignment horizontal="center" vertical="center"/>
    </xf>
    <xf numFmtId="0" fontId="23" fillId="3" borderId="57" xfId="0" applyFont="1" applyFill="1" applyBorder="1" applyAlignment="1">
      <alignment horizontal="center" vertical="center"/>
    </xf>
    <xf numFmtId="0" fontId="23" fillId="3" borderId="59" xfId="0" applyFont="1" applyFill="1" applyBorder="1" applyAlignment="1">
      <alignment horizontal="left" vertical="center"/>
    </xf>
    <xf numFmtId="0" fontId="23" fillId="3" borderId="60" xfId="0" applyFont="1" applyFill="1" applyBorder="1" applyAlignment="1">
      <alignment horizontal="left" vertical="center"/>
    </xf>
    <xf numFmtId="0" fontId="23" fillId="3" borderId="61" xfId="0" applyFont="1" applyFill="1" applyBorder="1" applyAlignment="1">
      <alignment horizontal="left" vertical="center"/>
    </xf>
    <xf numFmtId="0" fontId="23" fillId="3" borderId="62" xfId="0" applyFont="1" applyFill="1" applyBorder="1" applyAlignment="1">
      <alignment horizontal="left" vertical="center"/>
    </xf>
    <xf numFmtId="0" fontId="23" fillId="3" borderId="57" xfId="0" applyFont="1" applyFill="1" applyBorder="1" applyAlignment="1">
      <alignment horizontal="left" vertical="center"/>
    </xf>
    <xf numFmtId="0" fontId="25" fillId="11" borderId="60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left" vertical="center"/>
    </xf>
    <xf numFmtId="14" fontId="26" fillId="3" borderId="58" xfId="0" applyNumberFormat="1" applyFont="1" applyFill="1" applyBorder="1" applyAlignment="1">
      <alignment horizontal="center" vertical="center"/>
    </xf>
    <xf numFmtId="14" fontId="26" fillId="3" borderId="80" xfId="0" applyNumberFormat="1" applyFont="1" applyFill="1" applyBorder="1" applyAlignment="1">
      <alignment horizontal="center" vertical="center"/>
    </xf>
    <xf numFmtId="0" fontId="24" fillId="3" borderId="81" xfId="0" applyFont="1" applyFill="1" applyBorder="1" applyAlignment="1">
      <alignment horizontal="left" vertical="center"/>
    </xf>
    <xf numFmtId="10" fontId="24" fillId="3" borderId="81" xfId="0" applyNumberFormat="1" applyFont="1" applyFill="1" applyBorder="1" applyAlignment="1">
      <alignment horizontal="center" vertical="center"/>
    </xf>
    <xf numFmtId="10" fontId="24" fillId="3" borderId="82" xfId="0" applyNumberFormat="1" applyFont="1" applyFill="1" applyBorder="1" applyAlignment="1">
      <alignment horizontal="center" vertical="center"/>
    </xf>
    <xf numFmtId="0" fontId="24" fillId="3" borderId="78" xfId="0" applyFont="1" applyFill="1" applyBorder="1" applyAlignment="1">
      <alignment horizontal="left" vertical="center"/>
    </xf>
    <xf numFmtId="14" fontId="26" fillId="0" borderId="78" xfId="0" applyNumberFormat="1" applyFont="1" applyBorder="1" applyAlignment="1">
      <alignment horizontal="center" vertical="center"/>
    </xf>
    <xf numFmtId="14" fontId="26" fillId="0" borderId="77" xfId="0" applyNumberFormat="1" applyFont="1" applyBorder="1" applyAlignment="1">
      <alignment horizontal="center" vertical="center"/>
    </xf>
    <xf numFmtId="0" fontId="24" fillId="3" borderId="69" xfId="0" applyFont="1" applyFill="1" applyBorder="1" applyAlignment="1">
      <alignment horizontal="left" vertical="center"/>
    </xf>
    <xf numFmtId="14" fontId="26" fillId="0" borderId="69" xfId="0" applyNumberFormat="1" applyFont="1" applyBorder="1" applyAlignment="1">
      <alignment horizontal="center" vertical="center"/>
    </xf>
    <xf numFmtId="14" fontId="26" fillId="0" borderId="7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1" fontId="10" fillId="7" borderId="11" xfId="2" applyNumberFormat="1" applyFont="1" applyFill="1" applyBorder="1" applyAlignment="1">
      <alignment horizontal="center" vertical="center"/>
    </xf>
    <xf numFmtId="1" fontId="10" fillId="7" borderId="12" xfId="2" applyNumberFormat="1" applyFont="1" applyFill="1" applyBorder="1" applyAlignment="1">
      <alignment horizontal="center" vertical="center"/>
    </xf>
    <xf numFmtId="2" fontId="14" fillId="0" borderId="39" xfId="0" applyNumberFormat="1" applyFont="1" applyBorder="1" applyAlignment="1">
      <alignment horizontal="center" vertical="center" wrapText="1"/>
    </xf>
    <xf numFmtId="2" fontId="14" fillId="0" borderId="47" xfId="0" applyNumberFormat="1" applyFont="1" applyBorder="1" applyAlignment="1">
      <alignment horizontal="center" vertical="center" wrapText="1"/>
    </xf>
    <xf numFmtId="2" fontId="14" fillId="0" borderId="43" xfId="0" applyNumberFormat="1" applyFont="1" applyBorder="1" applyAlignment="1">
      <alignment horizontal="center" vertical="center" wrapText="1"/>
    </xf>
    <xf numFmtId="2" fontId="15" fillId="0" borderId="40" xfId="3" applyNumberFormat="1" applyFont="1" applyBorder="1" applyAlignment="1">
      <alignment horizontal="center" vertical="center" wrapText="1"/>
    </xf>
    <xf numFmtId="2" fontId="15" fillId="0" borderId="47" xfId="3" applyNumberFormat="1" applyFont="1" applyBorder="1" applyAlignment="1">
      <alignment horizontal="center" vertical="center" wrapText="1"/>
    </xf>
    <xf numFmtId="2" fontId="15" fillId="0" borderId="46" xfId="3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center" vertical="center" wrapText="1"/>
    </xf>
    <xf numFmtId="0" fontId="12" fillId="8" borderId="34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8" borderId="36" xfId="0" applyFont="1" applyFill="1" applyBorder="1" applyAlignment="1">
      <alignment horizontal="center" vertical="center" wrapText="1"/>
    </xf>
    <xf numFmtId="0" fontId="12" fillId="8" borderId="37" xfId="0" applyFont="1" applyFill="1" applyBorder="1" applyAlignment="1">
      <alignment horizontal="center" vertical="center" wrapText="1"/>
    </xf>
    <xf numFmtId="2" fontId="14" fillId="0" borderId="42" xfId="0" applyNumberFormat="1" applyFont="1" applyBorder="1" applyAlignment="1">
      <alignment horizontal="center" vertical="center" wrapText="1"/>
    </xf>
    <xf numFmtId="2" fontId="14" fillId="0" borderId="3" xfId="0" applyNumberFormat="1" applyFont="1" applyBorder="1" applyAlignment="1">
      <alignment horizontal="center" vertical="center" wrapText="1"/>
    </xf>
    <xf numFmtId="2" fontId="12" fillId="8" borderId="9" xfId="0" applyNumberFormat="1" applyFont="1" applyFill="1" applyBorder="1" applyAlignment="1">
      <alignment horizontal="right" vertical="center" wrapText="1"/>
    </xf>
    <xf numFmtId="2" fontId="12" fillId="8" borderId="33" xfId="0" applyNumberFormat="1" applyFont="1" applyFill="1" applyBorder="1" applyAlignment="1">
      <alignment horizontal="right" vertical="center" wrapText="1"/>
    </xf>
    <xf numFmtId="0" fontId="12" fillId="8" borderId="9" xfId="0" applyFont="1" applyFill="1" applyBorder="1" applyAlignment="1">
      <alignment horizontal="right" vertical="center" wrapText="1"/>
    </xf>
    <xf numFmtId="0" fontId="12" fillId="10" borderId="27" xfId="0" applyFont="1" applyFill="1" applyBorder="1" applyAlignment="1">
      <alignment horizontal="right" vertical="center" wrapText="1"/>
    </xf>
    <xf numFmtId="0" fontId="12" fillId="10" borderId="28" xfId="0" applyFont="1" applyFill="1" applyBorder="1" applyAlignment="1">
      <alignment horizontal="right" vertical="center" wrapText="1"/>
    </xf>
    <xf numFmtId="0" fontId="12" fillId="10" borderId="53" xfId="0" applyFont="1" applyFill="1" applyBorder="1" applyAlignment="1">
      <alignment horizontal="right" vertical="center" wrapText="1"/>
    </xf>
    <xf numFmtId="0" fontId="16" fillId="0" borderId="0" xfId="0" applyFont="1" applyAlignment="1">
      <alignment horizontal="center"/>
    </xf>
    <xf numFmtId="0" fontId="12" fillId="8" borderId="14" xfId="0" applyFont="1" applyFill="1" applyBorder="1" applyAlignment="1">
      <alignment horizontal="right" vertical="center" wrapText="1"/>
    </xf>
    <xf numFmtId="2" fontId="14" fillId="0" borderId="0" xfId="0" applyNumberFormat="1" applyFont="1" applyAlignment="1">
      <alignment horizontal="center" vertical="center" wrapText="1"/>
    </xf>
    <xf numFmtId="2" fontId="15" fillId="0" borderId="42" xfId="3" applyNumberFormat="1" applyFont="1" applyBorder="1" applyAlignment="1">
      <alignment horizontal="center" vertical="center" wrapText="1"/>
    </xf>
    <xf numFmtId="2" fontId="15" fillId="0" borderId="3" xfId="3" applyNumberFormat="1" applyFont="1" applyBorder="1" applyAlignment="1">
      <alignment horizontal="center" vertical="center" wrapText="1"/>
    </xf>
    <xf numFmtId="1" fontId="18" fillId="0" borderId="19" xfId="0" applyNumberFormat="1" applyFont="1" applyBorder="1" applyAlignment="1">
      <alignment horizontal="center" vertical="center"/>
    </xf>
    <xf numFmtId="1" fontId="18" fillId="0" borderId="33" xfId="0" applyNumberFormat="1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0" fontId="19" fillId="4" borderId="54" xfId="0" applyFont="1" applyFill="1" applyBorder="1" applyAlignment="1">
      <alignment horizontal="center" vertical="center" wrapText="1"/>
    </xf>
    <xf numFmtId="0" fontId="19" fillId="4" borderId="55" xfId="0" applyFont="1" applyFill="1" applyBorder="1" applyAlignment="1">
      <alignment horizontal="center" vertical="center" wrapText="1"/>
    </xf>
    <xf numFmtId="0" fontId="19" fillId="4" borderId="56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 wrapText="1"/>
    </xf>
    <xf numFmtId="1" fontId="18" fillId="0" borderId="37" xfId="0" applyNumberFormat="1" applyFont="1" applyBorder="1" applyAlignment="1">
      <alignment horizontal="center" vertical="center"/>
    </xf>
    <xf numFmtId="1" fontId="18" fillId="0" borderId="28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2" fillId="11" borderId="66" xfId="0" applyFont="1" applyFill="1" applyBorder="1" applyAlignment="1">
      <alignment horizontal="center" vertical="center"/>
    </xf>
    <xf numFmtId="0" fontId="22" fillId="11" borderId="67" xfId="0" applyFont="1" applyFill="1" applyBorder="1" applyAlignment="1">
      <alignment horizontal="center" vertical="center"/>
    </xf>
    <xf numFmtId="0" fontId="22" fillId="11" borderId="68" xfId="0" applyFont="1" applyFill="1" applyBorder="1" applyAlignment="1">
      <alignment horizontal="center" vertical="center"/>
    </xf>
    <xf numFmtId="0" fontId="27" fillId="16" borderId="73" xfId="0" applyFont="1" applyFill="1" applyBorder="1" applyAlignment="1">
      <alignment horizontal="center" vertical="center"/>
    </xf>
    <xf numFmtId="0" fontId="27" fillId="16" borderId="74" xfId="0" applyFont="1" applyFill="1" applyBorder="1" applyAlignment="1">
      <alignment horizontal="center" vertical="center"/>
    </xf>
    <xf numFmtId="0" fontId="27" fillId="16" borderId="75" xfId="0" applyFont="1" applyFill="1" applyBorder="1" applyAlignment="1">
      <alignment horizontal="center" vertical="center"/>
    </xf>
    <xf numFmtId="0" fontId="27" fillId="16" borderId="76" xfId="0" applyFont="1" applyFill="1" applyBorder="1" applyAlignment="1">
      <alignment horizontal="center" vertical="center"/>
    </xf>
    <xf numFmtId="0" fontId="27" fillId="16" borderId="59" xfId="0" applyFont="1" applyFill="1" applyBorder="1" applyAlignment="1">
      <alignment horizontal="center" vertical="center" wrapText="1"/>
    </xf>
    <xf numFmtId="0" fontId="27" fillId="16" borderId="60" xfId="0" applyFont="1" applyFill="1" applyBorder="1" applyAlignment="1">
      <alignment horizontal="center" vertical="center"/>
    </xf>
    <xf numFmtId="0" fontId="27" fillId="16" borderId="61" xfId="0" applyFont="1" applyFill="1" applyBorder="1" applyAlignment="1">
      <alignment horizontal="center" vertical="center"/>
    </xf>
    <xf numFmtId="0" fontId="27" fillId="16" borderId="63" xfId="0" applyFont="1" applyFill="1" applyBorder="1" applyAlignment="1">
      <alignment horizontal="center" vertical="center"/>
    </xf>
    <xf numFmtId="0" fontId="27" fillId="16" borderId="64" xfId="0" applyFont="1" applyFill="1" applyBorder="1" applyAlignment="1">
      <alignment horizontal="center" vertical="center"/>
    </xf>
    <xf numFmtId="0" fontId="27" fillId="16" borderId="65" xfId="0" applyFont="1" applyFill="1" applyBorder="1" applyAlignment="1">
      <alignment horizontal="center" vertical="center"/>
    </xf>
    <xf numFmtId="0" fontId="28" fillId="16" borderId="59" xfId="0" applyFont="1" applyFill="1" applyBorder="1" applyAlignment="1">
      <alignment horizontal="center" vertical="center" wrapText="1"/>
    </xf>
    <xf numFmtId="0" fontId="28" fillId="16" borderId="60" xfId="0" applyFont="1" applyFill="1" applyBorder="1" applyAlignment="1">
      <alignment horizontal="center" vertical="center" wrapText="1"/>
    </xf>
    <xf numFmtId="0" fontId="28" fillId="16" borderId="63" xfId="0" applyFont="1" applyFill="1" applyBorder="1" applyAlignment="1">
      <alignment horizontal="center" vertical="center" wrapText="1"/>
    </xf>
    <xf numFmtId="0" fontId="28" fillId="16" borderId="64" xfId="0" applyFont="1" applyFill="1" applyBorder="1" applyAlignment="1">
      <alignment horizontal="center" vertical="center" wrapText="1"/>
    </xf>
    <xf numFmtId="0" fontId="0" fillId="0" borderId="0" xfId="0" applyNumberFormat="1"/>
    <xf numFmtId="2" fontId="12" fillId="8" borderId="34" xfId="0" applyNumberFormat="1" applyFont="1" applyFill="1" applyBorder="1" applyAlignment="1">
      <alignment horizontal="right" vertical="center" wrapText="1"/>
    </xf>
    <xf numFmtId="2" fontId="12" fillId="8" borderId="51" xfId="0" applyNumberFormat="1" applyFont="1" applyFill="1" applyBorder="1" applyAlignment="1">
      <alignment horizontal="right" vertical="center" wrapText="1"/>
    </xf>
    <xf numFmtId="2" fontId="12" fillId="8" borderId="83" xfId="0" applyNumberFormat="1" applyFont="1" applyFill="1" applyBorder="1" applyAlignment="1">
      <alignment horizontal="right" vertical="center" wrapText="1"/>
    </xf>
    <xf numFmtId="0" fontId="23" fillId="16" borderId="0" xfId="0" applyFont="1" applyFill="1"/>
    <xf numFmtId="14" fontId="0" fillId="0" borderId="0" xfId="0" applyNumberFormat="1"/>
    <xf numFmtId="0" fontId="25" fillId="11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11" borderId="6" xfId="0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11" borderId="7" xfId="0" applyFill="1" applyBorder="1"/>
    <xf numFmtId="0" fontId="0" fillId="12" borderId="3" xfId="0" applyFill="1" applyBorder="1"/>
    <xf numFmtId="0" fontId="0" fillId="12" borderId="0" xfId="0" applyFill="1" applyBorder="1"/>
    <xf numFmtId="0" fontId="27" fillId="16" borderId="84" xfId="0" applyFont="1" applyFill="1" applyBorder="1" applyAlignment="1">
      <alignment horizontal="center" vertical="center" wrapText="1"/>
    </xf>
    <xf numFmtId="0" fontId="0" fillId="15" borderId="0" xfId="0" applyFill="1" applyBorder="1" applyAlignment="1">
      <alignment vertical="center"/>
    </xf>
    <xf numFmtId="0" fontId="0" fillId="14" borderId="0" xfId="0" applyFill="1" applyBorder="1" applyAlignment="1">
      <alignment vertical="center"/>
    </xf>
    <xf numFmtId="0" fontId="0" fillId="11" borderId="85" xfId="0" applyFill="1" applyBorder="1" applyAlignment="1">
      <alignment vertical="center"/>
    </xf>
    <xf numFmtId="0" fontId="27" fillId="16" borderId="86" xfId="0" applyFont="1" applyFill="1" applyBorder="1" applyAlignment="1">
      <alignment horizontal="center" vertical="center"/>
    </xf>
    <xf numFmtId="0" fontId="24" fillId="3" borderId="87" xfId="0" applyFont="1" applyFill="1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0" fontId="0" fillId="11" borderId="7" xfId="0" applyFill="1" applyBorder="1" applyAlignment="1">
      <alignment vertical="center"/>
    </xf>
    <xf numFmtId="0" fontId="24" fillId="3" borderId="88" xfId="0" applyFont="1" applyFill="1" applyBorder="1" applyAlignment="1">
      <alignment horizontal="left" vertical="center"/>
    </xf>
    <xf numFmtId="0" fontId="0" fillId="15" borderId="0" xfId="0" applyFill="1" applyBorder="1"/>
    <xf numFmtId="0" fontId="0" fillId="14" borderId="0" xfId="0" applyFill="1" applyBorder="1"/>
    <xf numFmtId="0" fontId="0" fillId="3" borderId="0" xfId="0" applyFill="1" applyBorder="1"/>
    <xf numFmtId="0" fontId="24" fillId="3" borderId="89" xfId="0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left" vertical="center"/>
    </xf>
    <xf numFmtId="0" fontId="24" fillId="3" borderId="90" xfId="0" applyFont="1" applyFill="1" applyBorder="1" applyAlignment="1">
      <alignment horizontal="left" vertical="center"/>
    </xf>
    <xf numFmtId="0" fontId="0" fillId="3" borderId="3" xfId="0" applyFill="1" applyBorder="1"/>
    <xf numFmtId="0" fontId="24" fillId="3" borderId="0" xfId="0" applyFont="1" applyFill="1" applyBorder="1" applyAlignment="1">
      <alignment horizontal="left" vertical="center"/>
    </xf>
    <xf numFmtId="14" fontId="0" fillId="3" borderId="0" xfId="0" applyNumberFormat="1" applyFill="1" applyBorder="1" applyAlignment="1">
      <alignment horizontal="center" vertical="center"/>
    </xf>
    <xf numFmtId="10" fontId="0" fillId="3" borderId="0" xfId="0" applyNumberFormat="1" applyFill="1" applyBorder="1" applyAlignment="1">
      <alignment horizontal="center" vertical="center"/>
    </xf>
    <xf numFmtId="0" fontId="0" fillId="15" borderId="3" xfId="0" applyFill="1" applyBorder="1"/>
    <xf numFmtId="0" fontId="29" fillId="16" borderId="3" xfId="0" applyFont="1" applyFill="1" applyBorder="1" applyAlignment="1">
      <alignment horizontal="center" vertical="center"/>
    </xf>
    <xf numFmtId="0" fontId="29" fillId="16" borderId="0" xfId="0" applyFont="1" applyFill="1" applyBorder="1" applyAlignment="1">
      <alignment horizontal="center" vertical="center"/>
    </xf>
    <xf numFmtId="0" fontId="0" fillId="11" borderId="3" xfId="0" applyFill="1" applyBorder="1"/>
    <xf numFmtId="0" fontId="0" fillId="11" borderId="0" xfId="0" applyFill="1" applyBorder="1"/>
    <xf numFmtId="0" fontId="0" fillId="0" borderId="0" xfId="0" applyFill="1"/>
    <xf numFmtId="0" fontId="0" fillId="17" borderId="5" xfId="0" applyFill="1" applyBorder="1"/>
    <xf numFmtId="0" fontId="0" fillId="17" borderId="8" xfId="0" applyFill="1" applyBorder="1"/>
    <xf numFmtId="10" fontId="3" fillId="0" borderId="9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54" xfId="0" applyFont="1" applyFill="1" applyBorder="1" applyAlignment="1">
      <alignment horizontal="center" vertical="center" wrapText="1" readingOrder="1"/>
    </xf>
    <xf numFmtId="0" fontId="4" fillId="4" borderId="55" xfId="0" applyFont="1" applyFill="1" applyBorder="1" applyAlignment="1">
      <alignment horizontal="center" vertical="center" wrapText="1" readingOrder="1"/>
    </xf>
    <xf numFmtId="0" fontId="4" fillId="4" borderId="56" xfId="0" applyFont="1" applyFill="1" applyBorder="1" applyAlignment="1">
      <alignment horizontal="center" vertical="center" wrapText="1" readingOrder="1"/>
    </xf>
    <xf numFmtId="0" fontId="5" fillId="0" borderId="16" xfId="0" applyFont="1" applyBorder="1" applyAlignment="1">
      <alignment horizontal="left" wrapText="1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7" xfId="0" applyFont="1" applyBorder="1"/>
    <xf numFmtId="0" fontId="5" fillId="0" borderId="24" xfId="0" applyFont="1" applyBorder="1" applyAlignment="1">
      <alignment horizontal="left" wrapText="1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25" xfId="0" applyFont="1" applyBorder="1" applyAlignment="1">
      <alignment horizontal="center" vertical="center" wrapText="1" readingOrder="1"/>
    </xf>
    <xf numFmtId="10" fontId="3" fillId="0" borderId="25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4">
    <cellStyle name="Normal" xfId="0" builtinId="0"/>
    <cellStyle name="Normal 2" xfId="2" xr:uid="{09B99F37-8F9B-460B-BB4F-28CA0CC15AD5}"/>
    <cellStyle name="Normal 2 5" xfId="3" xr:uid="{F7CD0299-7DFE-48A6-A247-5C8DBAC024CB}"/>
    <cellStyle name="Percent" xfId="1" builtinId="5"/>
  </cellStyles>
  <dxfs count="6"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9999"/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Planned</a:t>
            </a:r>
            <a:r>
              <a:rPr lang="en-IN" b="1" baseline="0"/>
              <a:t> Vs. Actual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9186930721421594"/>
          <c:y val="0.17308670301033133"/>
          <c:w val="0.77286695960168283"/>
          <c:h val="0.600422278303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'Project Cashflow '!$E$3</c:f>
              <c:strCache>
                <c:ptCount val="1"/>
                <c:pt idx="0">
                  <c:v>Planned Work </c:v>
                </c:pt>
              </c:strCache>
            </c:strRef>
          </c:tx>
          <c:spPr>
            <a:solidFill>
              <a:srgbClr val="005A8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5A80"/>
              </a:solidFill>
              <a:ln cmpd="sng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25-49C4-9D85-B6BE1CB09FC0}"/>
              </c:ext>
            </c:extLst>
          </c:dPt>
          <c:dLbls>
            <c:dLbl>
              <c:idx val="0"/>
              <c:layout>
                <c:manualLayout>
                  <c:x val="-2.8090420952591121E-3"/>
                  <c:y val="4.67886396243402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25-49C4-9D85-B6BE1CB09F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4925" cap="rnd">
                <a:solidFill>
                  <a:srgbClr val="FF5050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'Project Cashflow '!$B$4:$B$11</c:f>
              <c:strCache>
                <c:ptCount val="8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</c:strCache>
            </c:strRef>
          </c:cat>
          <c:val>
            <c:numRef>
              <c:f>'Project Cashflow '!$E$4:$E$11</c:f>
              <c:numCache>
                <c:formatCode>"₹"\ #,##0</c:formatCode>
                <c:ptCount val="8"/>
                <c:pt idx="0">
                  <c:v>5000000</c:v>
                </c:pt>
                <c:pt idx="1">
                  <c:v>7200000</c:v>
                </c:pt>
                <c:pt idx="2">
                  <c:v>5000000</c:v>
                </c:pt>
                <c:pt idx="3">
                  <c:v>7500000</c:v>
                </c:pt>
                <c:pt idx="4">
                  <c:v>8000000</c:v>
                </c:pt>
                <c:pt idx="5">
                  <c:v>9000000</c:v>
                </c:pt>
                <c:pt idx="6">
                  <c:v>8000000</c:v>
                </c:pt>
                <c:pt idx="7">
                  <c:v>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25-49C4-9D85-B6BE1CB09FC0}"/>
            </c:ext>
          </c:extLst>
        </c:ser>
        <c:ser>
          <c:idx val="1"/>
          <c:order val="1"/>
          <c:tx>
            <c:strRef>
              <c:f>'Project Cashflow '!$F$3</c:f>
              <c:strCache>
                <c:ptCount val="1"/>
                <c:pt idx="0">
                  <c:v>Actual Work</c:v>
                </c:pt>
              </c:strCache>
            </c:strRef>
          </c:tx>
          <c:spPr>
            <a:solidFill>
              <a:srgbClr val="FF615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8280280074939796E-3"/>
                  <c:y val="5.12406807181843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25-49C4-9D85-B6BE1CB09F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Cashflow '!$B$4:$B$11</c:f>
              <c:strCache>
                <c:ptCount val="8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</c:strCache>
            </c:strRef>
          </c:cat>
          <c:val>
            <c:numRef>
              <c:f>'Project Cashflow '!$F$4:$F$11</c:f>
              <c:numCache>
                <c:formatCode>"₹"\ #,##0</c:formatCode>
                <c:ptCount val="8"/>
                <c:pt idx="0">
                  <c:v>1063955</c:v>
                </c:pt>
                <c:pt idx="1">
                  <c:v>7797193</c:v>
                </c:pt>
                <c:pt idx="2">
                  <c:v>168333</c:v>
                </c:pt>
                <c:pt idx="3">
                  <c:v>2376171</c:v>
                </c:pt>
                <c:pt idx="4">
                  <c:v>11104853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25-49C4-9D85-B6BE1CB09F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07277104"/>
        <c:axId val="1307281424"/>
      </c:barChart>
      <c:catAx>
        <c:axId val="130727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281424"/>
        <c:crosses val="autoZero"/>
        <c:auto val="1"/>
        <c:lblAlgn val="ctr"/>
        <c:lblOffset val="100"/>
        <c:noMultiLvlLbl val="0"/>
      </c:catAx>
      <c:valAx>
        <c:axId val="130728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 (Rs.)</a:t>
                </a:r>
              </a:p>
            </c:rich>
          </c:tx>
          <c:layout>
            <c:manualLayout>
              <c:xMode val="edge"/>
              <c:yMode val="edge"/>
              <c:x val="3.6231492879596594E-2"/>
              <c:y val="0.356188218652162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27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[Planned Vs. Actual Dashboard.xlsx]As per drawing status!PivotTable18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5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'As per drawing status'!$G$81</c:f>
              <c:strCache>
                <c:ptCount val="1"/>
                <c:pt idx="0">
                  <c:v>Sum of Weekly planned Qty.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 per drawing status'!$F$82:$F$86</c:f>
              <c:strCache>
                <c:ptCount val="4"/>
                <c:pt idx="0">
                  <c:v>CUM</c:v>
                </c:pt>
                <c:pt idx="1">
                  <c:v>RMT</c:v>
                </c:pt>
                <c:pt idx="2">
                  <c:v>SMT</c:v>
                </c:pt>
                <c:pt idx="3">
                  <c:v>SQM</c:v>
                </c:pt>
              </c:strCache>
            </c:strRef>
          </c:cat>
          <c:val>
            <c:numRef>
              <c:f>'As per drawing status'!$G$82:$G$86</c:f>
              <c:numCache>
                <c:formatCode>General</c:formatCode>
                <c:ptCount val="4"/>
                <c:pt idx="0">
                  <c:v>54.997999999999998</c:v>
                </c:pt>
                <c:pt idx="1">
                  <c:v>100</c:v>
                </c:pt>
                <c:pt idx="2">
                  <c:v>832.79</c:v>
                </c:pt>
                <c:pt idx="3">
                  <c:v>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3-4757-9A1B-371CA439394C}"/>
            </c:ext>
          </c:extLst>
        </c:ser>
        <c:ser>
          <c:idx val="1"/>
          <c:order val="1"/>
          <c:tx>
            <c:strRef>
              <c:f>'As per drawing status'!$H$81</c:f>
              <c:strCache>
                <c:ptCount val="1"/>
                <c:pt idx="0">
                  <c:v>Sum of Weekly actual Qty.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 per drawing status'!$F$82:$F$86</c:f>
              <c:strCache>
                <c:ptCount val="4"/>
                <c:pt idx="0">
                  <c:v>CUM</c:v>
                </c:pt>
                <c:pt idx="1">
                  <c:v>RMT</c:v>
                </c:pt>
                <c:pt idx="2">
                  <c:v>SMT</c:v>
                </c:pt>
                <c:pt idx="3">
                  <c:v>SQM</c:v>
                </c:pt>
              </c:strCache>
            </c:strRef>
          </c:cat>
          <c:val>
            <c:numRef>
              <c:f>'As per drawing status'!$H$82:$H$86</c:f>
              <c:numCache>
                <c:formatCode>0</c:formatCode>
                <c:ptCount val="4"/>
                <c:pt idx="0">
                  <c:v>55.730000000000004</c:v>
                </c:pt>
                <c:pt idx="1">
                  <c:v>45</c:v>
                </c:pt>
                <c:pt idx="2">
                  <c:v>555.69999999999993</c:v>
                </c:pt>
                <c:pt idx="3">
                  <c:v>798.74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93-4757-9A1B-371CA4393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4676480"/>
        <c:axId val="684677200"/>
      </c:barChart>
      <c:catAx>
        <c:axId val="68467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77200"/>
        <c:crosses val="autoZero"/>
        <c:auto val="1"/>
        <c:lblAlgn val="ctr"/>
        <c:lblOffset val="100"/>
        <c:noMultiLvlLbl val="0"/>
      </c:catAx>
      <c:valAx>
        <c:axId val="68467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7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'As per drawing status'!$A$124</c:f>
              <c:strCache>
                <c:ptCount val="1"/>
                <c:pt idx="0">
                  <c:v>CUM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151-49EA-909D-79D7D3E143B9}"/>
              </c:ext>
            </c:extLst>
          </c:dPt>
          <c:dPt>
            <c:idx val="1"/>
            <c:bubble3D val="0"/>
            <c:spPr>
              <a:solidFill>
                <a:srgbClr val="FF505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151-49EA-909D-79D7D3E143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'As per drawing status'!$B$123:$C$123</c:f>
              <c:strCache>
                <c:ptCount val="2"/>
                <c:pt idx="0">
                  <c:v>Sum of As per GFC total Quantity</c:v>
                </c:pt>
                <c:pt idx="1">
                  <c:v>Sum of Total Achieved Qty.</c:v>
                </c:pt>
              </c:strCache>
            </c:strRef>
          </c:cat>
          <c:val>
            <c:numRef>
              <c:f>'As per drawing status'!$B$124:$C$124</c:f>
              <c:numCache>
                <c:formatCode>General</c:formatCode>
                <c:ptCount val="2"/>
                <c:pt idx="0">
                  <c:v>4929.8569999999991</c:v>
                </c:pt>
                <c:pt idx="1">
                  <c:v>4644.2480000000005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51-49EA-909D-79D7D3E143B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'As per drawing status'!$D$100</c:f>
              <c:strCache>
                <c:ptCount val="1"/>
                <c:pt idx="0">
                  <c:v>% 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 per drawing status'!$A$101:$A$114</c:f>
              <c:strCache>
                <c:ptCount val="14"/>
                <c:pt idx="0">
                  <c:v>Brick masonary GF (115 mm)</c:v>
                </c:pt>
                <c:pt idx="1">
                  <c:v>Brick masonary GF (230 mm)</c:v>
                </c:pt>
                <c:pt idx="2">
                  <c:v>FF lintel shuttering</c:v>
                </c:pt>
                <c:pt idx="3">
                  <c:v>Flooring</c:v>
                </c:pt>
                <c:pt idx="4">
                  <c:v>GF to FF slab column shuttering</c:v>
                </c:pt>
                <c:pt idx="5">
                  <c:v>Internal Plaster</c:v>
                </c:pt>
                <c:pt idx="6">
                  <c:v>Plinth Plaster</c:v>
                </c:pt>
                <c:pt idx="7">
                  <c:v>SF to TF slab column concrete</c:v>
                </c:pt>
                <c:pt idx="8">
                  <c:v>SF to TF slab column shuttering</c:v>
                </c:pt>
                <c:pt idx="9">
                  <c:v>Skirting</c:v>
                </c:pt>
                <c:pt idx="10">
                  <c:v>TF beam shuttering</c:v>
                </c:pt>
                <c:pt idx="11">
                  <c:v>TF Slab shuttering</c:v>
                </c:pt>
                <c:pt idx="12">
                  <c:v>TF Staircase Concrete</c:v>
                </c:pt>
                <c:pt idx="13">
                  <c:v>TF Staircase Shuttering</c:v>
                </c:pt>
              </c:strCache>
            </c:strRef>
          </c:cat>
          <c:val>
            <c:numRef>
              <c:f>'As per drawing status'!$D$101:$D$114</c:f>
              <c:numCache>
                <c:formatCode>0.00%</c:formatCode>
                <c:ptCount val="14"/>
                <c:pt idx="0">
                  <c:v>0.1</c:v>
                </c:pt>
                <c:pt idx="1">
                  <c:v>0.35</c:v>
                </c:pt>
                <c:pt idx="2">
                  <c:v>0.48333333333333334</c:v>
                </c:pt>
                <c:pt idx="3">
                  <c:v>0.55149999999999999</c:v>
                </c:pt>
                <c:pt idx="4">
                  <c:v>0.2132</c:v>
                </c:pt>
                <c:pt idx="5">
                  <c:v>0.50166666666666671</c:v>
                </c:pt>
                <c:pt idx="6">
                  <c:v>0.45745654162854521</c:v>
                </c:pt>
                <c:pt idx="7">
                  <c:v>0.6</c:v>
                </c:pt>
                <c:pt idx="8">
                  <c:v>0.88877358490566027</c:v>
                </c:pt>
                <c:pt idx="9">
                  <c:v>0.45</c:v>
                </c:pt>
                <c:pt idx="10">
                  <c:v>0.875</c:v>
                </c:pt>
                <c:pt idx="11">
                  <c:v>0.45</c:v>
                </c:pt>
                <c:pt idx="12">
                  <c:v>0.42000000000000004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E-435F-9528-267CEC7ABB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08873560"/>
        <c:axId val="508873200"/>
      </c:barChart>
      <c:catAx>
        <c:axId val="508873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73200"/>
        <c:crosses val="autoZero"/>
        <c:auto val="1"/>
        <c:lblAlgn val="ctr"/>
        <c:lblOffset val="100"/>
        <c:noMultiLvlLbl val="0"/>
      </c:catAx>
      <c:valAx>
        <c:axId val="50887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73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[Planned Vs. Actual Dashboard.xlsx]As per drawing status!PivotTable10</c:name>
    <c:fmtId val="9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shade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5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5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5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'As per drawing status'!$C$130</c:f>
              <c:strCache>
                <c:ptCount val="1"/>
                <c:pt idx="0">
                  <c:v>Sum of % Planned Against 
Balance Qty 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'As per drawing status'!$A$131:$B$147</c:f>
              <c:multiLvlStrCache>
                <c:ptCount val="16"/>
                <c:lvl>
                  <c:pt idx="0">
                    <c:v>11-12-2025</c:v>
                  </c:pt>
                  <c:pt idx="1">
                    <c:v>11-12-2025</c:v>
                  </c:pt>
                  <c:pt idx="2">
                    <c:v>11-12-2025</c:v>
                  </c:pt>
                  <c:pt idx="3">
                    <c:v>11-12-2025</c:v>
                  </c:pt>
                  <c:pt idx="4">
                    <c:v>11-12-2025</c:v>
                  </c:pt>
                  <c:pt idx="5">
                    <c:v>11-12-2025</c:v>
                  </c:pt>
                  <c:pt idx="6">
                    <c:v>11-12-2025</c:v>
                  </c:pt>
                  <c:pt idx="7">
                    <c:v>11-12-2025</c:v>
                  </c:pt>
                  <c:pt idx="8">
                    <c:v>11-12-2025</c:v>
                  </c:pt>
                  <c:pt idx="9">
                    <c:v>11-12-2025</c:v>
                  </c:pt>
                  <c:pt idx="10">
                    <c:v>11-12-2025</c:v>
                  </c:pt>
                  <c:pt idx="11">
                    <c:v>11-12-2025</c:v>
                  </c:pt>
                  <c:pt idx="12">
                    <c:v>11-12-2025</c:v>
                  </c:pt>
                  <c:pt idx="13">
                    <c:v>11-12-2025</c:v>
                  </c:pt>
                  <c:pt idx="14">
                    <c:v>11-12-2025</c:v>
                  </c:pt>
                  <c:pt idx="15">
                    <c:v>11-12-2025</c:v>
                  </c:pt>
                </c:lvl>
                <c:lvl>
                  <c:pt idx="0">
                    <c:v>Brick masonary FF (115 mm)</c:v>
                  </c:pt>
                  <c:pt idx="1">
                    <c:v>Brick masonary FF (230 mm)</c:v>
                  </c:pt>
                  <c:pt idx="2">
                    <c:v>Brick masonary GF (115 mm)</c:v>
                  </c:pt>
                  <c:pt idx="3">
                    <c:v>Brick masonary GF (230 mm)</c:v>
                  </c:pt>
                  <c:pt idx="4">
                    <c:v>FF lintel shuttering</c:v>
                  </c:pt>
                  <c:pt idx="5">
                    <c:v>Flooring</c:v>
                  </c:pt>
                  <c:pt idx="6">
                    <c:v>GF to FF slab column shuttering</c:v>
                  </c:pt>
                  <c:pt idx="7">
                    <c:v>Internal Plaster</c:v>
                  </c:pt>
                  <c:pt idx="8">
                    <c:v>Plinth Plaster</c:v>
                  </c:pt>
                  <c:pt idx="9">
                    <c:v>SF to TF slab column concrete</c:v>
                  </c:pt>
                  <c:pt idx="10">
                    <c:v>SF to TF slab column shuttering</c:v>
                  </c:pt>
                  <c:pt idx="11">
                    <c:v>Skirting</c:v>
                  </c:pt>
                  <c:pt idx="12">
                    <c:v>TF beam shuttering</c:v>
                  </c:pt>
                  <c:pt idx="13">
                    <c:v>TF Slab shuttering</c:v>
                  </c:pt>
                  <c:pt idx="14">
                    <c:v>TF Staircase Concrete</c:v>
                  </c:pt>
                  <c:pt idx="15">
                    <c:v>TF Staircase Shuttering</c:v>
                  </c:pt>
                </c:lvl>
              </c:multiLvlStrCache>
            </c:multiLvlStrRef>
          </c:cat>
          <c:val>
            <c:numRef>
              <c:f>'As per drawing status'!$C$131:$C$147</c:f>
              <c:numCache>
                <c:formatCode>0%</c:formatCode>
                <c:ptCount val="16"/>
                <c:pt idx="0">
                  <c:v>0.390625</c:v>
                </c:pt>
                <c:pt idx="1">
                  <c:v>0.27218290691344582</c:v>
                </c:pt>
                <c:pt idx="2">
                  <c:v>0.2371129131692512</c:v>
                </c:pt>
                <c:pt idx="3">
                  <c:v>0.54614964500273067</c:v>
                </c:pt>
                <c:pt idx="4">
                  <c:v>0.8824827180467717</c:v>
                </c:pt>
                <c:pt idx="5">
                  <c:v>0.11888344666888583</c:v>
                </c:pt>
                <c:pt idx="6">
                  <c:v>0.80055718780271057</c:v>
                </c:pt>
                <c:pt idx="7">
                  <c:v>0.43738473089904434</c:v>
                </c:pt>
                <c:pt idx="8">
                  <c:v>1</c:v>
                </c:pt>
                <c:pt idx="9">
                  <c:v>0.99199788373784792</c:v>
                </c:pt>
                <c:pt idx="10">
                  <c:v>0.62004077060538787</c:v>
                </c:pt>
                <c:pt idx="11">
                  <c:v>5.3786574870912221E-2</c:v>
                </c:pt>
                <c:pt idx="12">
                  <c:v>0.57094734438116446</c:v>
                </c:pt>
                <c:pt idx="13">
                  <c:v>0.60217384758979919</c:v>
                </c:pt>
                <c:pt idx="14">
                  <c:v>0.58616647127784294</c:v>
                </c:pt>
                <c:pt idx="15">
                  <c:v>0.52273915316257191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A9B-985F-26F2B2A67ADB}"/>
            </c:ext>
          </c:extLst>
        </c:ser>
        <c:ser>
          <c:idx val="1"/>
          <c:order val="1"/>
          <c:tx>
            <c:strRef>
              <c:f>'As per drawing status'!$D$130</c:f>
              <c:strCache>
                <c:ptCount val="1"/>
                <c:pt idx="0">
                  <c:v>Sum of % Achieved Against Actual Qty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'As per drawing status'!$A$131:$B$147</c:f>
              <c:multiLvlStrCache>
                <c:ptCount val="16"/>
                <c:lvl>
                  <c:pt idx="0">
                    <c:v>11-12-2025</c:v>
                  </c:pt>
                  <c:pt idx="1">
                    <c:v>11-12-2025</c:v>
                  </c:pt>
                  <c:pt idx="2">
                    <c:v>11-12-2025</c:v>
                  </c:pt>
                  <c:pt idx="3">
                    <c:v>11-12-2025</c:v>
                  </c:pt>
                  <c:pt idx="4">
                    <c:v>11-12-2025</c:v>
                  </c:pt>
                  <c:pt idx="5">
                    <c:v>11-12-2025</c:v>
                  </c:pt>
                  <c:pt idx="6">
                    <c:v>11-12-2025</c:v>
                  </c:pt>
                  <c:pt idx="7">
                    <c:v>11-12-2025</c:v>
                  </c:pt>
                  <c:pt idx="8">
                    <c:v>11-12-2025</c:v>
                  </c:pt>
                  <c:pt idx="9">
                    <c:v>11-12-2025</c:v>
                  </c:pt>
                  <c:pt idx="10">
                    <c:v>11-12-2025</c:v>
                  </c:pt>
                  <c:pt idx="11">
                    <c:v>11-12-2025</c:v>
                  </c:pt>
                  <c:pt idx="12">
                    <c:v>11-12-2025</c:v>
                  </c:pt>
                  <c:pt idx="13">
                    <c:v>11-12-2025</c:v>
                  </c:pt>
                  <c:pt idx="14">
                    <c:v>11-12-2025</c:v>
                  </c:pt>
                  <c:pt idx="15">
                    <c:v>11-12-2025</c:v>
                  </c:pt>
                </c:lvl>
                <c:lvl>
                  <c:pt idx="0">
                    <c:v>Brick masonary FF (115 mm)</c:v>
                  </c:pt>
                  <c:pt idx="1">
                    <c:v>Brick masonary FF (230 mm)</c:v>
                  </c:pt>
                  <c:pt idx="2">
                    <c:v>Brick masonary GF (115 mm)</c:v>
                  </c:pt>
                  <c:pt idx="3">
                    <c:v>Brick masonary GF (230 mm)</c:v>
                  </c:pt>
                  <c:pt idx="4">
                    <c:v>FF lintel shuttering</c:v>
                  </c:pt>
                  <c:pt idx="5">
                    <c:v>Flooring</c:v>
                  </c:pt>
                  <c:pt idx="6">
                    <c:v>GF to FF slab column shuttering</c:v>
                  </c:pt>
                  <c:pt idx="7">
                    <c:v>Internal Plaster</c:v>
                  </c:pt>
                  <c:pt idx="8">
                    <c:v>Plinth Plaster</c:v>
                  </c:pt>
                  <c:pt idx="9">
                    <c:v>SF to TF slab column concrete</c:v>
                  </c:pt>
                  <c:pt idx="10">
                    <c:v>SF to TF slab column shuttering</c:v>
                  </c:pt>
                  <c:pt idx="11">
                    <c:v>Skirting</c:v>
                  </c:pt>
                  <c:pt idx="12">
                    <c:v>TF beam shuttering</c:v>
                  </c:pt>
                  <c:pt idx="13">
                    <c:v>TF Slab shuttering</c:v>
                  </c:pt>
                  <c:pt idx="14">
                    <c:v>TF Staircase Concrete</c:v>
                  </c:pt>
                  <c:pt idx="15">
                    <c:v>TF Staircase Shuttering</c:v>
                  </c:pt>
                </c:lvl>
              </c:multiLvlStrCache>
            </c:multiLvlStrRef>
          </c:cat>
          <c:val>
            <c:numRef>
              <c:f>'As per drawing status'!$D$131:$D$147</c:f>
              <c:numCache>
                <c:formatCode>0%</c:formatCode>
                <c:ptCount val="16"/>
                <c:pt idx="0">
                  <c:v>0.22727864583333332</c:v>
                </c:pt>
                <c:pt idx="1">
                  <c:v>0.38962983124659772</c:v>
                </c:pt>
                <c:pt idx="2">
                  <c:v>2.371129131692512E-2</c:v>
                </c:pt>
                <c:pt idx="3">
                  <c:v>0.19115237575095573</c:v>
                </c:pt>
                <c:pt idx="4">
                  <c:v>0.42653331372260628</c:v>
                </c:pt>
                <c:pt idx="5">
                  <c:v>6.5564220837890527E-2</c:v>
                </c:pt>
                <c:pt idx="6">
                  <c:v>0.1706787924395379</c:v>
                </c:pt>
                <c:pt idx="7">
                  <c:v>0.21942134000102057</c:v>
                </c:pt>
                <c:pt idx="8">
                  <c:v>0.45745654162854521</c:v>
                </c:pt>
                <c:pt idx="9">
                  <c:v>0.59519873024270875</c:v>
                </c:pt>
                <c:pt idx="10">
                  <c:v>0.55107585847861873</c:v>
                </c:pt>
                <c:pt idx="11">
                  <c:v>2.4203958691910499E-2</c:v>
                </c:pt>
                <c:pt idx="12">
                  <c:v>0.49957892633351886</c:v>
                </c:pt>
                <c:pt idx="13">
                  <c:v>0.27097823141540961</c:v>
                </c:pt>
                <c:pt idx="14">
                  <c:v>0.24618991793669406</c:v>
                </c:pt>
                <c:pt idx="15">
                  <c:v>0.52273915316257191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C6-4A9B-985F-26F2B2A67A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5416656"/>
        <c:axId val="675417016"/>
      </c:barChart>
      <c:lineChart>
        <c:grouping val="standard"/>
        <c:varyColors val="0"/>
        <c:ser>
          <c:idx val="2"/>
          <c:order val="2"/>
          <c:tx>
            <c:strRef>
              <c:f>'As per drawing status'!$E$130</c:f>
              <c:strCache>
                <c:ptCount val="1"/>
                <c:pt idx="0">
                  <c:v>Sum of % Completed (Total against the GFC )2</c:v>
                </c:pt>
              </c:strCache>
            </c:strRef>
          </c:tx>
          <c:spPr>
            <a:ln w="34925" cap="rnd">
              <a:solidFill>
                <a:schemeClr val="accent1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tint val="65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'As per drawing status'!$A$131:$B$147</c:f>
              <c:multiLvlStrCache>
                <c:ptCount val="16"/>
                <c:lvl>
                  <c:pt idx="0">
                    <c:v>11-12-2025</c:v>
                  </c:pt>
                  <c:pt idx="1">
                    <c:v>11-12-2025</c:v>
                  </c:pt>
                  <c:pt idx="2">
                    <c:v>11-12-2025</c:v>
                  </c:pt>
                  <c:pt idx="3">
                    <c:v>11-12-2025</c:v>
                  </c:pt>
                  <c:pt idx="4">
                    <c:v>11-12-2025</c:v>
                  </c:pt>
                  <c:pt idx="5">
                    <c:v>11-12-2025</c:v>
                  </c:pt>
                  <c:pt idx="6">
                    <c:v>11-12-2025</c:v>
                  </c:pt>
                  <c:pt idx="7">
                    <c:v>11-12-2025</c:v>
                  </c:pt>
                  <c:pt idx="8">
                    <c:v>11-12-2025</c:v>
                  </c:pt>
                  <c:pt idx="9">
                    <c:v>11-12-2025</c:v>
                  </c:pt>
                  <c:pt idx="10">
                    <c:v>11-12-2025</c:v>
                  </c:pt>
                  <c:pt idx="11">
                    <c:v>11-12-2025</c:v>
                  </c:pt>
                  <c:pt idx="12">
                    <c:v>11-12-2025</c:v>
                  </c:pt>
                  <c:pt idx="13">
                    <c:v>11-12-2025</c:v>
                  </c:pt>
                  <c:pt idx="14">
                    <c:v>11-12-2025</c:v>
                  </c:pt>
                  <c:pt idx="15">
                    <c:v>11-12-2025</c:v>
                  </c:pt>
                </c:lvl>
                <c:lvl>
                  <c:pt idx="0">
                    <c:v>Brick masonary FF (115 mm)</c:v>
                  </c:pt>
                  <c:pt idx="1">
                    <c:v>Brick masonary FF (230 mm)</c:v>
                  </c:pt>
                  <c:pt idx="2">
                    <c:v>Brick masonary GF (115 mm)</c:v>
                  </c:pt>
                  <c:pt idx="3">
                    <c:v>Brick masonary GF (230 mm)</c:v>
                  </c:pt>
                  <c:pt idx="4">
                    <c:v>FF lintel shuttering</c:v>
                  </c:pt>
                  <c:pt idx="5">
                    <c:v>Flooring</c:v>
                  </c:pt>
                  <c:pt idx="6">
                    <c:v>GF to FF slab column shuttering</c:v>
                  </c:pt>
                  <c:pt idx="7">
                    <c:v>Internal Plaster</c:v>
                  </c:pt>
                  <c:pt idx="8">
                    <c:v>Plinth Plaster</c:v>
                  </c:pt>
                  <c:pt idx="9">
                    <c:v>SF to TF slab column concrete</c:v>
                  </c:pt>
                  <c:pt idx="10">
                    <c:v>SF to TF slab column shuttering</c:v>
                  </c:pt>
                  <c:pt idx="11">
                    <c:v>Skirting</c:v>
                  </c:pt>
                  <c:pt idx="12">
                    <c:v>TF beam shuttering</c:v>
                  </c:pt>
                  <c:pt idx="13">
                    <c:v>TF Slab shuttering</c:v>
                  </c:pt>
                  <c:pt idx="14">
                    <c:v>TF Staircase Concrete</c:v>
                  </c:pt>
                  <c:pt idx="15">
                    <c:v>TF Staircase Shuttering</c:v>
                  </c:pt>
                </c:lvl>
              </c:multiLvlStrCache>
            </c:multiLvlStrRef>
          </c:cat>
          <c:val>
            <c:numRef>
              <c:f>'As per drawing status'!$E$131:$E$147</c:f>
              <c:numCache>
                <c:formatCode>0%</c:formatCode>
                <c:ptCount val="16"/>
                <c:pt idx="0">
                  <c:v>0.22727864583333332</c:v>
                </c:pt>
                <c:pt idx="1">
                  <c:v>0.38962983124659772</c:v>
                </c:pt>
                <c:pt idx="2">
                  <c:v>0.46388020833333332</c:v>
                </c:pt>
                <c:pt idx="3">
                  <c:v>0.59689711486118668</c:v>
                </c:pt>
                <c:pt idx="4">
                  <c:v>0.42653331372260628</c:v>
                </c:pt>
                <c:pt idx="5">
                  <c:v>6.5564220837890527E-2</c:v>
                </c:pt>
                <c:pt idx="6">
                  <c:v>0.76451480179035392</c:v>
                </c:pt>
                <c:pt idx="7">
                  <c:v>0.38239925250462858</c:v>
                </c:pt>
                <c:pt idx="8">
                  <c:v>0.80723805396034232</c:v>
                </c:pt>
                <c:pt idx="9">
                  <c:v>0.62701846322588495</c:v>
                </c:pt>
                <c:pt idx="10">
                  <c:v>0.65108328237628788</c:v>
                </c:pt>
                <c:pt idx="11">
                  <c:v>2.4203958691910499E-2</c:v>
                </c:pt>
                <c:pt idx="12">
                  <c:v>0.49957892633351886</c:v>
                </c:pt>
                <c:pt idx="13">
                  <c:v>0.27097823141540961</c:v>
                </c:pt>
                <c:pt idx="14">
                  <c:v>0.24618991793669406</c:v>
                </c:pt>
                <c:pt idx="15">
                  <c:v>0.52273915316257191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9C6-4A9B-985F-26F2B2A67A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5416656"/>
        <c:axId val="675417016"/>
      </c:lineChart>
      <c:catAx>
        <c:axId val="67541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17016"/>
        <c:crosses val="autoZero"/>
        <c:auto val="1"/>
        <c:lblAlgn val="ctr"/>
        <c:lblOffset val="100"/>
        <c:noMultiLvlLbl val="0"/>
      </c:catAx>
      <c:valAx>
        <c:axId val="67541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1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Calibri body"/>
                <a:ea typeface="+mj-ea"/>
                <a:cs typeface="+mj-cs"/>
              </a:defRPr>
            </a:pPr>
            <a:r>
              <a:rPr lang="en-IN" sz="1600" b="1"/>
              <a:t>Weekly Manpower 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Calibri body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'[2]Weekly Manpower'!$C$3</c:f>
              <c:strCache>
                <c:ptCount val="1"/>
                <c:pt idx="0">
                  <c:v>Required Manpower for week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Calibri body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Manpower'!$B$4:$B$14</c:f>
              <c:strCache>
                <c:ptCount val="11"/>
                <c:pt idx="0">
                  <c:v>Reinforcement work</c:v>
                </c:pt>
                <c:pt idx="1">
                  <c:v>Carpenter</c:v>
                </c:pt>
                <c:pt idx="2">
                  <c:v>Mason</c:v>
                </c:pt>
                <c:pt idx="3">
                  <c:v>Helper</c:v>
                </c:pt>
                <c:pt idx="4">
                  <c:v>Unskilled Worker</c:v>
                </c:pt>
                <c:pt idx="5">
                  <c:v>Drivers</c:v>
                </c:pt>
                <c:pt idx="6">
                  <c:v>Staff</c:v>
                </c:pt>
                <c:pt idx="7">
                  <c:v>Plumbing</c:v>
                </c:pt>
                <c:pt idx="8">
                  <c:v>Tiles Work</c:v>
                </c:pt>
                <c:pt idx="9">
                  <c:v>Painter</c:v>
                </c:pt>
                <c:pt idx="10">
                  <c:v>Electric Work</c:v>
                </c:pt>
              </c:strCache>
            </c:strRef>
          </c:cat>
          <c:val>
            <c:numRef>
              <c:f>'[2]Weekly Manpower'!$C$4:$C$9</c:f>
              <c:numCache>
                <c:formatCode>General</c:formatCode>
                <c:ptCount val="6"/>
                <c:pt idx="0">
                  <c:v>140</c:v>
                </c:pt>
                <c:pt idx="1">
                  <c:v>224</c:v>
                </c:pt>
                <c:pt idx="2">
                  <c:v>70</c:v>
                </c:pt>
                <c:pt idx="3">
                  <c:v>175</c:v>
                </c:pt>
                <c:pt idx="4">
                  <c:v>385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2-499E-9108-08E9F9C70F11}"/>
            </c:ext>
          </c:extLst>
        </c:ser>
        <c:ser>
          <c:idx val="1"/>
          <c:order val="1"/>
          <c:tx>
            <c:strRef>
              <c:f>'[2]Weekly Manpower'!$D$3</c:f>
              <c:strCache>
                <c:ptCount val="1"/>
                <c:pt idx="0">
                  <c:v>Available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Calibri body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Manpower'!$B$4:$B$14</c:f>
              <c:strCache>
                <c:ptCount val="11"/>
                <c:pt idx="0">
                  <c:v>Reinforcement work</c:v>
                </c:pt>
                <c:pt idx="1">
                  <c:v>Carpenter</c:v>
                </c:pt>
                <c:pt idx="2">
                  <c:v>Mason</c:v>
                </c:pt>
                <c:pt idx="3">
                  <c:v>Helper</c:v>
                </c:pt>
                <c:pt idx="4">
                  <c:v>Unskilled Worker</c:v>
                </c:pt>
                <c:pt idx="5">
                  <c:v>Drivers</c:v>
                </c:pt>
                <c:pt idx="6">
                  <c:v>Staff</c:v>
                </c:pt>
                <c:pt idx="7">
                  <c:v>Plumbing</c:v>
                </c:pt>
                <c:pt idx="8">
                  <c:v>Tiles Work</c:v>
                </c:pt>
                <c:pt idx="9">
                  <c:v>Painter</c:v>
                </c:pt>
                <c:pt idx="10">
                  <c:v>Electric Work</c:v>
                </c:pt>
              </c:strCache>
            </c:strRef>
          </c:cat>
          <c:val>
            <c:numRef>
              <c:f>'[2]Weekly Manpower'!$D$4:$D$9</c:f>
              <c:numCache>
                <c:formatCode>General</c:formatCode>
                <c:ptCount val="6"/>
                <c:pt idx="0">
                  <c:v>104</c:v>
                </c:pt>
                <c:pt idx="1">
                  <c:v>194</c:v>
                </c:pt>
                <c:pt idx="2">
                  <c:v>42</c:v>
                </c:pt>
                <c:pt idx="3">
                  <c:v>150</c:v>
                </c:pt>
                <c:pt idx="4">
                  <c:v>322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2-499E-9108-08E9F9C70F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7"/>
        <c:overlap val="-27"/>
        <c:axId val="617437248"/>
        <c:axId val="617438688"/>
      </c:barChart>
      <c:lineChart>
        <c:grouping val="stacked"/>
        <c:varyColors val="0"/>
        <c:ser>
          <c:idx val="2"/>
          <c:order val="2"/>
          <c:tx>
            <c:strRef>
              <c:f>'[2]Weekly Manpower'!$E$3</c:f>
              <c:strCache>
                <c:ptCount val="1"/>
                <c:pt idx="0">
                  <c:v>Shortage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'[2]Weekly Manpower'!$B$4:$B$9</c:f>
              <c:strCache>
                <c:ptCount val="6"/>
                <c:pt idx="0">
                  <c:v>Reinforcement work</c:v>
                </c:pt>
                <c:pt idx="1">
                  <c:v>Carpenter</c:v>
                </c:pt>
                <c:pt idx="2">
                  <c:v>Mason</c:v>
                </c:pt>
                <c:pt idx="3">
                  <c:v>Helper</c:v>
                </c:pt>
                <c:pt idx="4">
                  <c:v>Unskilled Worker</c:v>
                </c:pt>
                <c:pt idx="5">
                  <c:v>Drivers</c:v>
                </c:pt>
              </c:strCache>
            </c:strRef>
          </c:cat>
          <c:val>
            <c:numRef>
              <c:f>'[2]Weekly Manpower'!$E$4:$E$9</c:f>
              <c:numCache>
                <c:formatCode>General</c:formatCode>
                <c:ptCount val="6"/>
                <c:pt idx="0">
                  <c:v>36</c:v>
                </c:pt>
                <c:pt idx="1">
                  <c:v>30</c:v>
                </c:pt>
                <c:pt idx="2">
                  <c:v>28</c:v>
                </c:pt>
                <c:pt idx="3">
                  <c:v>25</c:v>
                </c:pt>
                <c:pt idx="4">
                  <c:v>63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F42-499E-9108-08E9F9C70F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7437248"/>
        <c:axId val="617438688"/>
      </c:lineChart>
      <c:catAx>
        <c:axId val="61743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alibri body"/>
                    <a:ea typeface="+mn-ea"/>
                    <a:cs typeface="+mn-cs"/>
                  </a:defRPr>
                </a:pPr>
                <a:r>
                  <a:rPr lang="en-IN"/>
                  <a:t>Manpower Details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Calibri body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Calibri body"/>
                <a:ea typeface="+mn-ea"/>
                <a:cs typeface="+mn-cs"/>
              </a:defRPr>
            </a:pPr>
            <a:endParaRPr lang="en-US"/>
          </a:p>
        </c:txPr>
        <c:crossAx val="617438688"/>
        <c:crosses val="autoZero"/>
        <c:auto val="1"/>
        <c:lblAlgn val="ctr"/>
        <c:lblOffset val="100"/>
        <c:noMultiLvlLbl val="0"/>
      </c:catAx>
      <c:valAx>
        <c:axId val="6174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alibri body"/>
                    <a:ea typeface="+mn-ea"/>
                    <a:cs typeface="+mn-cs"/>
                  </a:defRPr>
                </a:pPr>
                <a:r>
                  <a:rPr lang="en-IN"/>
                  <a:t>Number of Manpower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Calibri body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Calibri body"/>
                <a:ea typeface="+mn-ea"/>
                <a:cs typeface="+mn-cs"/>
              </a:defRPr>
            </a:pPr>
            <a:endParaRPr lang="en-US"/>
          </a:p>
        </c:txPr>
        <c:crossAx val="61743724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Calibri body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i body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Cashflow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86930721421594"/>
          <c:y val="0.17308670301033133"/>
          <c:w val="0.77286695960168283"/>
          <c:h val="0.600422278303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'Project Cashflow '!$E$3</c:f>
              <c:strCache>
                <c:ptCount val="1"/>
                <c:pt idx="0">
                  <c:v>Planned Work </c:v>
                </c:pt>
              </c:strCache>
            </c:strRef>
          </c:tx>
          <c:spPr>
            <a:solidFill>
              <a:srgbClr val="005A8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5A80"/>
              </a:solidFill>
              <a:ln cmpd="sng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01-46C5-B127-B43B3B9D9255}"/>
              </c:ext>
            </c:extLst>
          </c:dPt>
          <c:dLbls>
            <c:dLbl>
              <c:idx val="0"/>
              <c:layout>
                <c:manualLayout>
                  <c:x val="-2.8090420952591121E-3"/>
                  <c:y val="4.67886396243402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01-46C5-B127-B43B3B9D92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FF00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'Project Cashflow '!$B$4:$B$11</c:f>
              <c:strCache>
                <c:ptCount val="8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</c:strCache>
            </c:strRef>
          </c:cat>
          <c:val>
            <c:numRef>
              <c:f>'Project Cashflow '!$E$4:$E$11</c:f>
              <c:numCache>
                <c:formatCode>"₹"\ #,##0</c:formatCode>
                <c:ptCount val="8"/>
                <c:pt idx="0">
                  <c:v>5000000</c:v>
                </c:pt>
                <c:pt idx="1">
                  <c:v>7200000</c:v>
                </c:pt>
                <c:pt idx="2">
                  <c:v>5000000</c:v>
                </c:pt>
                <c:pt idx="3">
                  <c:v>7500000</c:v>
                </c:pt>
                <c:pt idx="4">
                  <c:v>8000000</c:v>
                </c:pt>
                <c:pt idx="5">
                  <c:v>9000000</c:v>
                </c:pt>
                <c:pt idx="6">
                  <c:v>8000000</c:v>
                </c:pt>
                <c:pt idx="7">
                  <c:v>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01-46C5-B127-B43B3B9D9255}"/>
            </c:ext>
          </c:extLst>
        </c:ser>
        <c:ser>
          <c:idx val="1"/>
          <c:order val="1"/>
          <c:tx>
            <c:strRef>
              <c:f>'Project Cashflow '!$F$3</c:f>
              <c:strCache>
                <c:ptCount val="1"/>
                <c:pt idx="0">
                  <c:v>Actual Work</c:v>
                </c:pt>
              </c:strCache>
            </c:strRef>
          </c:tx>
          <c:spPr>
            <a:solidFill>
              <a:srgbClr val="FF615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8280280074939796E-3"/>
                  <c:y val="5.12406807181843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01-46C5-B127-B43B3B9D92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Cashflow '!$B$4:$B$11</c:f>
              <c:strCache>
                <c:ptCount val="8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</c:strCache>
            </c:strRef>
          </c:cat>
          <c:val>
            <c:numRef>
              <c:f>'Project Cashflow '!$F$4:$F$11</c:f>
              <c:numCache>
                <c:formatCode>"₹"\ #,##0</c:formatCode>
                <c:ptCount val="8"/>
                <c:pt idx="0">
                  <c:v>1063955</c:v>
                </c:pt>
                <c:pt idx="1">
                  <c:v>7797193</c:v>
                </c:pt>
                <c:pt idx="2">
                  <c:v>168333</c:v>
                </c:pt>
                <c:pt idx="3">
                  <c:v>2376171</c:v>
                </c:pt>
                <c:pt idx="4">
                  <c:v>11104853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01-46C5-B127-B43B3B9D92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07277104"/>
        <c:axId val="1307281424"/>
      </c:barChart>
      <c:catAx>
        <c:axId val="130727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281424"/>
        <c:crosses val="autoZero"/>
        <c:auto val="1"/>
        <c:lblAlgn val="ctr"/>
        <c:lblOffset val="100"/>
        <c:noMultiLvlLbl val="0"/>
      </c:catAx>
      <c:valAx>
        <c:axId val="130728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 (Rs.)</a:t>
                </a:r>
              </a:p>
            </c:rich>
          </c:tx>
          <c:layout>
            <c:manualLayout>
              <c:xMode val="edge"/>
              <c:yMode val="edge"/>
              <c:x val="3.6231492879596594E-2"/>
              <c:y val="0.356188218652162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27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797198009111737E-2"/>
          <c:y val="2.6932772135753586E-2"/>
          <c:w val="0.93994555497109489"/>
          <c:h val="0.793247881637856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'Planned Vs Actual '!$N$6</c:f>
              <c:strCache>
                <c:ptCount val="1"/>
                <c:pt idx="0">
                  <c:v>% Balance  Qty ( Remaining ) Against GFC Qty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'Planned Vs Actual '!$C$7:$C$77</c:f>
              <c:strCache>
                <c:ptCount val="71"/>
                <c:pt idx="0">
                  <c:v>Excavation </c:v>
                </c:pt>
                <c:pt idx="1">
                  <c:v>Footing PCC</c:v>
                </c:pt>
                <c:pt idx="2">
                  <c:v>Yellow Soil Filling</c:v>
                </c:pt>
                <c:pt idx="3">
                  <c:v>Rubble Soling</c:v>
                </c:pt>
                <c:pt idx="4">
                  <c:v>Footing Shuttering</c:v>
                </c:pt>
                <c:pt idx="5">
                  <c:v>Footing RCC</c:v>
                </c:pt>
                <c:pt idx="6">
                  <c:v>Padestal Upto Plinth Top Shuttering</c:v>
                </c:pt>
                <c:pt idx="7">
                  <c:v>Padestal Upto Plinth Top RCC</c:v>
                </c:pt>
                <c:pt idx="8">
                  <c:v>GB Excavation</c:v>
                </c:pt>
                <c:pt idx="9">
                  <c:v>GB PCC</c:v>
                </c:pt>
                <c:pt idx="10">
                  <c:v>GB Shuttering</c:v>
                </c:pt>
                <c:pt idx="11">
                  <c:v>GB RCC</c:v>
                </c:pt>
                <c:pt idx="12">
                  <c:v>Masonry Above GB</c:v>
                </c:pt>
                <c:pt idx="13">
                  <c:v>Plinth Beam PCC</c:v>
                </c:pt>
                <c:pt idx="14">
                  <c:v>Plinth Beam Shuttering</c:v>
                </c:pt>
                <c:pt idx="15">
                  <c:v>Plinth Beam RCC</c:v>
                </c:pt>
                <c:pt idx="16">
                  <c:v>Plinth Plaster</c:v>
                </c:pt>
                <c:pt idx="17">
                  <c:v>Masonry above PB</c:v>
                </c:pt>
                <c:pt idx="18">
                  <c:v>Floor PCC</c:v>
                </c:pt>
                <c:pt idx="19">
                  <c:v>Floor RCC Shuttering</c:v>
                </c:pt>
                <c:pt idx="20">
                  <c:v>Floor RCC</c:v>
                </c:pt>
                <c:pt idx="22">
                  <c:v>Plinth to GF slab column shuttering</c:v>
                </c:pt>
                <c:pt idx="23">
                  <c:v>GF beam shuttering</c:v>
                </c:pt>
                <c:pt idx="24">
                  <c:v>GF Slab shuttering</c:v>
                </c:pt>
                <c:pt idx="25">
                  <c:v>GF staircase shuttering</c:v>
                </c:pt>
                <c:pt idx="26">
                  <c:v>GF lintel shuttering</c:v>
                </c:pt>
                <c:pt idx="27">
                  <c:v>Plinth to GF slab column concrete</c:v>
                </c:pt>
                <c:pt idx="28">
                  <c:v>GF beam Concrete</c:v>
                </c:pt>
                <c:pt idx="29">
                  <c:v>GF Slab Concrete</c:v>
                </c:pt>
                <c:pt idx="30">
                  <c:v>GF staircase concrete</c:v>
                </c:pt>
                <c:pt idx="31">
                  <c:v>GF lintel Concrete</c:v>
                </c:pt>
                <c:pt idx="32">
                  <c:v>Brick masonary GF (230 mm)</c:v>
                </c:pt>
                <c:pt idx="33">
                  <c:v>Brick masonary GF (115 mm)</c:v>
                </c:pt>
                <c:pt idx="34">
                  <c:v>Internal Plaster</c:v>
                </c:pt>
                <c:pt idx="35">
                  <c:v>Flooring</c:v>
                </c:pt>
                <c:pt idx="36">
                  <c:v>Skirting</c:v>
                </c:pt>
                <c:pt idx="38">
                  <c:v>GF to FF slab column shuttering</c:v>
                </c:pt>
                <c:pt idx="39">
                  <c:v>FF beam shuttering</c:v>
                </c:pt>
                <c:pt idx="40">
                  <c:v>FF Slab shuttering</c:v>
                </c:pt>
                <c:pt idx="41">
                  <c:v>FF Staircase Shuttering</c:v>
                </c:pt>
                <c:pt idx="42">
                  <c:v>FF lintel shuttering</c:v>
                </c:pt>
                <c:pt idx="43">
                  <c:v>GF to FF slab column concrete</c:v>
                </c:pt>
                <c:pt idx="44">
                  <c:v>FF Staircase Concrete</c:v>
                </c:pt>
                <c:pt idx="45">
                  <c:v>FF beam Concrete</c:v>
                </c:pt>
                <c:pt idx="46">
                  <c:v>FF Slab Concrete</c:v>
                </c:pt>
                <c:pt idx="47">
                  <c:v>FF lintel Concrete</c:v>
                </c:pt>
                <c:pt idx="48">
                  <c:v>Brick masonary FF (230 mm)</c:v>
                </c:pt>
                <c:pt idx="49">
                  <c:v>Brick masonary FF (115 mm)</c:v>
                </c:pt>
                <c:pt idx="50">
                  <c:v>Internal Plaster</c:v>
                </c:pt>
                <c:pt idx="51">
                  <c:v>Flooring</c:v>
                </c:pt>
                <c:pt idx="52">
                  <c:v>Skirting</c:v>
                </c:pt>
                <c:pt idx="54">
                  <c:v>FF to SF slab column shuttering</c:v>
                </c:pt>
                <c:pt idx="55">
                  <c:v>SF Staircase Shuttering</c:v>
                </c:pt>
                <c:pt idx="56">
                  <c:v>SF beam shuttering</c:v>
                </c:pt>
                <c:pt idx="57">
                  <c:v>SF Slab shuttering</c:v>
                </c:pt>
                <c:pt idx="58">
                  <c:v>FF to SF slab column concrete</c:v>
                </c:pt>
                <c:pt idx="59">
                  <c:v>SF Staircase Concrete</c:v>
                </c:pt>
                <c:pt idx="60">
                  <c:v>SF beam Concrete</c:v>
                </c:pt>
                <c:pt idx="61">
                  <c:v>SF Slab Concrete</c:v>
                </c:pt>
                <c:pt idx="63">
                  <c:v>SF to TF slab column shuttering</c:v>
                </c:pt>
                <c:pt idx="64">
                  <c:v>TF Staircase Shuttering</c:v>
                </c:pt>
                <c:pt idx="65">
                  <c:v>TF beam shuttering</c:v>
                </c:pt>
                <c:pt idx="66">
                  <c:v>TF Slab shuttering</c:v>
                </c:pt>
                <c:pt idx="67">
                  <c:v>SF to TF slab column concrete</c:v>
                </c:pt>
                <c:pt idx="68">
                  <c:v>TF Staircase Concrete</c:v>
                </c:pt>
                <c:pt idx="69">
                  <c:v>TF beam Concrete</c:v>
                </c:pt>
                <c:pt idx="70">
                  <c:v>TF Slab Concrete</c:v>
                </c:pt>
              </c:strCache>
            </c:strRef>
          </c:cat>
          <c:val>
            <c:numRef>
              <c:f>'Planned Vs Actual '!$N$7:$N$77</c:f>
              <c:numCache>
                <c:formatCode>0%</c:formatCode>
                <c:ptCount val="71"/>
                <c:pt idx="0">
                  <c:v>-1.0952902519157618E-4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-4.5258289055856641E-6</c:v>
                </c:pt>
                <c:pt idx="5">
                  <c:v>1.3662882048404514E-5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6.1565154122762223E-4</c:v>
                </c:pt>
                <c:pt idx="11">
                  <c:v>5.8347920313423765E-4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0.3552930978437534</c:v>
                </c:pt>
                <c:pt idx="17">
                  <c:v>-1.2370113805062124E-4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2">
                  <c:v>-9.3556309202719113E-6</c:v>
                </c:pt>
                <c:pt idx="23">
                  <c:v>0</c:v>
                </c:pt>
                <c:pt idx="24">
                  <c:v>4.516303856919386E-5</c:v>
                </c:pt>
                <c:pt idx="25">
                  <c:v>0</c:v>
                </c:pt>
                <c:pt idx="26">
                  <c:v>0.17634946315634645</c:v>
                </c:pt>
                <c:pt idx="27">
                  <c:v>6.0934738894718302E-5</c:v>
                </c:pt>
                <c:pt idx="28">
                  <c:v>1.6191709844556363E-4</c:v>
                </c:pt>
                <c:pt idx="29">
                  <c:v>9.8048828316412443E-5</c:v>
                </c:pt>
                <c:pt idx="30">
                  <c:v>1.172332942555661E-3</c:v>
                </c:pt>
                <c:pt idx="31">
                  <c:v>0.48849104859335041</c:v>
                </c:pt>
                <c:pt idx="32">
                  <c:v>0.49836690255851934</c:v>
                </c:pt>
                <c:pt idx="33">
                  <c:v>0.54914062500000005</c:v>
                </c:pt>
                <c:pt idx="34">
                  <c:v>0.79120885459023294</c:v>
                </c:pt>
                <c:pt idx="35">
                  <c:v>1</c:v>
                </c:pt>
                <c:pt idx="36">
                  <c:v>1</c:v>
                </c:pt>
                <c:pt idx="38">
                  <c:v>0.28394932634407261</c:v>
                </c:pt>
                <c:pt idx="39">
                  <c:v>-5.8522102799064813E-4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0.2136371945646213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4">
                  <c:v>0.29317842391563786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0.22567180549631355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3">
                  <c:v>0.77722867930704476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0.92139418682590946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2-4405-B3B3-F46FCEEBD4A7}"/>
            </c:ext>
          </c:extLst>
        </c:ser>
        <c:ser>
          <c:idx val="1"/>
          <c:order val="1"/>
          <c:tx>
            <c:strRef>
              <c:f>'Planned Vs Actual '!$O$6</c:f>
              <c:strCache>
                <c:ptCount val="1"/>
                <c:pt idx="0">
                  <c:v>% Planned Against 
Balance Qty  </c:v>
                </c:pt>
              </c:strCache>
            </c:strRef>
          </c:tx>
          <c:spPr>
            <a:solidFill>
              <a:srgbClr val="FF615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'Planned Vs Actual '!$C$7:$C$77</c:f>
              <c:strCache>
                <c:ptCount val="71"/>
                <c:pt idx="0">
                  <c:v>Excavation </c:v>
                </c:pt>
                <c:pt idx="1">
                  <c:v>Footing PCC</c:v>
                </c:pt>
                <c:pt idx="2">
                  <c:v>Yellow Soil Filling</c:v>
                </c:pt>
                <c:pt idx="3">
                  <c:v>Rubble Soling</c:v>
                </c:pt>
                <c:pt idx="4">
                  <c:v>Footing Shuttering</c:v>
                </c:pt>
                <c:pt idx="5">
                  <c:v>Footing RCC</c:v>
                </c:pt>
                <c:pt idx="6">
                  <c:v>Padestal Upto Plinth Top Shuttering</c:v>
                </c:pt>
                <c:pt idx="7">
                  <c:v>Padestal Upto Plinth Top RCC</c:v>
                </c:pt>
                <c:pt idx="8">
                  <c:v>GB Excavation</c:v>
                </c:pt>
                <c:pt idx="9">
                  <c:v>GB PCC</c:v>
                </c:pt>
                <c:pt idx="10">
                  <c:v>GB Shuttering</c:v>
                </c:pt>
                <c:pt idx="11">
                  <c:v>GB RCC</c:v>
                </c:pt>
                <c:pt idx="12">
                  <c:v>Masonry Above GB</c:v>
                </c:pt>
                <c:pt idx="13">
                  <c:v>Plinth Beam PCC</c:v>
                </c:pt>
                <c:pt idx="14">
                  <c:v>Plinth Beam Shuttering</c:v>
                </c:pt>
                <c:pt idx="15">
                  <c:v>Plinth Beam RCC</c:v>
                </c:pt>
                <c:pt idx="16">
                  <c:v>Plinth Plaster</c:v>
                </c:pt>
                <c:pt idx="17">
                  <c:v>Masonry above PB</c:v>
                </c:pt>
                <c:pt idx="18">
                  <c:v>Floor PCC</c:v>
                </c:pt>
                <c:pt idx="19">
                  <c:v>Floor RCC Shuttering</c:v>
                </c:pt>
                <c:pt idx="20">
                  <c:v>Floor RCC</c:v>
                </c:pt>
                <c:pt idx="22">
                  <c:v>Plinth to GF slab column shuttering</c:v>
                </c:pt>
                <c:pt idx="23">
                  <c:v>GF beam shuttering</c:v>
                </c:pt>
                <c:pt idx="24">
                  <c:v>GF Slab shuttering</c:v>
                </c:pt>
                <c:pt idx="25">
                  <c:v>GF staircase shuttering</c:v>
                </c:pt>
                <c:pt idx="26">
                  <c:v>GF lintel shuttering</c:v>
                </c:pt>
                <c:pt idx="27">
                  <c:v>Plinth to GF slab column concrete</c:v>
                </c:pt>
                <c:pt idx="28">
                  <c:v>GF beam Concrete</c:v>
                </c:pt>
                <c:pt idx="29">
                  <c:v>GF Slab Concrete</c:v>
                </c:pt>
                <c:pt idx="30">
                  <c:v>GF staircase concrete</c:v>
                </c:pt>
                <c:pt idx="31">
                  <c:v>GF lintel Concrete</c:v>
                </c:pt>
                <c:pt idx="32">
                  <c:v>Brick masonary GF (230 mm)</c:v>
                </c:pt>
                <c:pt idx="33">
                  <c:v>Brick masonary GF (115 mm)</c:v>
                </c:pt>
                <c:pt idx="34">
                  <c:v>Internal Plaster</c:v>
                </c:pt>
                <c:pt idx="35">
                  <c:v>Flooring</c:v>
                </c:pt>
                <c:pt idx="36">
                  <c:v>Skirting</c:v>
                </c:pt>
                <c:pt idx="38">
                  <c:v>GF to FF slab column shuttering</c:v>
                </c:pt>
                <c:pt idx="39">
                  <c:v>FF beam shuttering</c:v>
                </c:pt>
                <c:pt idx="40">
                  <c:v>FF Slab shuttering</c:v>
                </c:pt>
                <c:pt idx="41">
                  <c:v>FF Staircase Shuttering</c:v>
                </c:pt>
                <c:pt idx="42">
                  <c:v>FF lintel shuttering</c:v>
                </c:pt>
                <c:pt idx="43">
                  <c:v>GF to FF slab column concrete</c:v>
                </c:pt>
                <c:pt idx="44">
                  <c:v>FF Staircase Concrete</c:v>
                </c:pt>
                <c:pt idx="45">
                  <c:v>FF beam Concrete</c:v>
                </c:pt>
                <c:pt idx="46">
                  <c:v>FF Slab Concrete</c:v>
                </c:pt>
                <c:pt idx="47">
                  <c:v>FF lintel Concrete</c:v>
                </c:pt>
                <c:pt idx="48">
                  <c:v>Brick masonary FF (230 mm)</c:v>
                </c:pt>
                <c:pt idx="49">
                  <c:v>Brick masonary FF (115 mm)</c:v>
                </c:pt>
                <c:pt idx="50">
                  <c:v>Internal Plaster</c:v>
                </c:pt>
                <c:pt idx="51">
                  <c:v>Flooring</c:v>
                </c:pt>
                <c:pt idx="52">
                  <c:v>Skirting</c:v>
                </c:pt>
                <c:pt idx="54">
                  <c:v>FF to SF slab column shuttering</c:v>
                </c:pt>
                <c:pt idx="55">
                  <c:v>SF Staircase Shuttering</c:v>
                </c:pt>
                <c:pt idx="56">
                  <c:v>SF beam shuttering</c:v>
                </c:pt>
                <c:pt idx="57">
                  <c:v>SF Slab shuttering</c:v>
                </c:pt>
                <c:pt idx="58">
                  <c:v>FF to SF slab column concrete</c:v>
                </c:pt>
                <c:pt idx="59">
                  <c:v>SF Staircase Concrete</c:v>
                </c:pt>
                <c:pt idx="60">
                  <c:v>SF beam Concrete</c:v>
                </c:pt>
                <c:pt idx="61">
                  <c:v>SF Slab Concrete</c:v>
                </c:pt>
                <c:pt idx="63">
                  <c:v>SF to TF slab column shuttering</c:v>
                </c:pt>
                <c:pt idx="64">
                  <c:v>TF Staircase Shuttering</c:v>
                </c:pt>
                <c:pt idx="65">
                  <c:v>TF beam shuttering</c:v>
                </c:pt>
                <c:pt idx="66">
                  <c:v>TF Slab shuttering</c:v>
                </c:pt>
                <c:pt idx="67">
                  <c:v>SF to TF slab column concrete</c:v>
                </c:pt>
                <c:pt idx="68">
                  <c:v>TF Staircase Concrete</c:v>
                </c:pt>
                <c:pt idx="69">
                  <c:v>TF beam Concrete</c:v>
                </c:pt>
                <c:pt idx="70">
                  <c:v>TF Slab Concrete</c:v>
                </c:pt>
              </c:strCache>
            </c:strRef>
          </c:cat>
          <c:val>
            <c:numRef>
              <c:f>'Planned Vs Actual '!$O$7:$O$77</c:f>
              <c:numCache>
                <c:formatCode>0%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4.7619047619047616E-2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0.54614964500273067</c:v>
                </c:pt>
                <c:pt idx="33">
                  <c:v>0.2371129131692512</c:v>
                </c:pt>
                <c:pt idx="34">
                  <c:v>0.43738473089904434</c:v>
                </c:pt>
                <c:pt idx="35">
                  <c:v>0.11888344666888583</c:v>
                </c:pt>
                <c:pt idx="36">
                  <c:v>5.3786574870912221E-2</c:v>
                </c:pt>
                <c:pt idx="37">
                  <c:v>9.2887820707388283E-2</c:v>
                </c:pt>
                <c:pt idx="38">
                  <c:v>0.80055718780271057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0.8824827180467717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0.27218290691344582</c:v>
                </c:pt>
                <c:pt idx="49">
                  <c:v>0.390625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0.15638985418419521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0.62004077060538787</c:v>
                </c:pt>
                <c:pt idx="64">
                  <c:v>0.52273915316257191</c:v>
                </c:pt>
                <c:pt idx="65">
                  <c:v>0.57094734438116446</c:v>
                </c:pt>
                <c:pt idx="66">
                  <c:v>0.60217384758979919</c:v>
                </c:pt>
                <c:pt idx="67">
                  <c:v>0.99199788373784792</c:v>
                </c:pt>
                <c:pt idx="68">
                  <c:v>0.58616647127784294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92-4405-B3B3-F46FCEEBD4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648959"/>
        <c:axId val="1662127855"/>
      </c:barChart>
      <c:catAx>
        <c:axId val="141264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27855"/>
        <c:crosses val="autoZero"/>
        <c:auto val="1"/>
        <c:lblAlgn val="ctr"/>
        <c:lblOffset val="100"/>
        <c:noMultiLvlLbl val="0"/>
      </c:catAx>
      <c:valAx>
        <c:axId val="166212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64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PAreto Analysis - Manpower Shortage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>
              <a:solidFill>
                <a:schemeClr val="tx1"/>
              </a:solidFill>
            </a:defRPr>
          </a:pPr>
          <a:r>
            <a:rPr lang="en-US" sz="1800" b="1" i="0" u="none" strike="noStrike" cap="all" spc="100" baseline="0">
              <a:solidFill>
                <a:schemeClr val="tx1"/>
              </a:solidFill>
              <a:latin typeface="Aptos Narrow" panose="02110004020202020204"/>
            </a:rPr>
            <a:t>PAreto Analysis - Manpower Shortage</a:t>
          </a:r>
        </a:p>
      </cx:txPr>
    </cx:title>
    <cx:plotArea>
      <cx:plotAreaRegion>
        <cx:plotSurface>
          <cx:spPr>
            <a:solidFill>
              <a:schemeClr val="bg1"/>
            </a:solidFill>
          </cx:spPr>
        </cx:plotSurface>
        <cx:series layoutId="clusteredColumn" uniqueId="{47564189-2AC2-4F80-BD17-938575B5951D}">
          <cx:tx>
            <cx:txData>
              <cx:f>_xlchart.v1.1</cx:f>
              <cx:v>% Shortage</cx:v>
            </cx:txData>
          </cx:tx>
          <cx:spPr>
            <a:solidFill>
              <a:schemeClr val="accent1"/>
            </a:solidFill>
          </cx:spPr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95209D5B-B27A-4B2E-9508-487708F1C363}">
          <cx:spPr>
            <a:solidFill>
              <a:srgbClr val="FF5050"/>
            </a:solidFill>
            <a:ln w="38100">
              <a:solidFill>
                <a:srgbClr val="FF5050"/>
              </a:solidFill>
            </a:ln>
          </cx:spPr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8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8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2">
        <cx:valScaling max="1" min="0"/>
        <cx:units unit="percentage"/>
        <cx:tickLabels/>
      </cx:axis>
    </cx:plotArea>
  </cx:chart>
  <cx:spPr>
    <a:solidFill>
      <a:schemeClr val="bg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197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197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64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2128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jpeg"/><Relationship Id="rId3" Type="http://schemas.openxmlformats.org/officeDocument/2006/relationships/chart" Target="../charts/chart1.xml"/><Relationship Id="rId7" Type="http://schemas.openxmlformats.org/officeDocument/2006/relationships/image" Target="../media/image2.jpeg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268150</xdr:colOff>
      <xdr:row>0</xdr:row>
      <xdr:rowOff>78130</xdr:rowOff>
    </xdr:from>
    <xdr:to>
      <xdr:col>29</xdr:col>
      <xdr:colOff>924459</xdr:colOff>
      <xdr:row>3</xdr:row>
      <xdr:rowOff>132780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190585-CE23-48D8-9B7E-51A9DE2D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97464" y="78130"/>
          <a:ext cx="1875509" cy="6098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63590</xdr:colOff>
      <xdr:row>0</xdr:row>
      <xdr:rowOff>67244</xdr:rowOff>
    </xdr:from>
    <xdr:to>
      <xdr:col>3</xdr:col>
      <xdr:colOff>120196</xdr:colOff>
      <xdr:row>3</xdr:row>
      <xdr:rowOff>121894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D8FBF8-6B23-48B4-A560-5CA7D3EFD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90" y="67244"/>
          <a:ext cx="1893570" cy="58532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76200</xdr:rowOff>
    </xdr:from>
    <xdr:to>
      <xdr:col>16</xdr:col>
      <xdr:colOff>594360</xdr:colOff>
      <xdr:row>27</xdr:row>
      <xdr:rowOff>143774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6A2C30C-AD4E-40A0-B2B8-6BAA0408CD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55620"/>
              <a:ext cx="10439400" cy="3031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640</xdr:colOff>
      <xdr:row>7</xdr:row>
      <xdr:rowOff>43134</xdr:rowOff>
    </xdr:from>
    <xdr:to>
      <xdr:col>29</xdr:col>
      <xdr:colOff>973015</xdr:colOff>
      <xdr:row>27</xdr:row>
      <xdr:rowOff>100642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C1BD95-DC56-4D6F-A3E9-924EF1136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316523</xdr:colOff>
      <xdr:row>31</xdr:row>
      <xdr:rowOff>70338</xdr:rowOff>
    </xdr:from>
    <xdr:to>
      <xdr:col>30</xdr:col>
      <xdr:colOff>3346</xdr:colOff>
      <xdr:row>50</xdr:row>
      <xdr:rowOff>58616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A6FCC8-4021-4BB9-9903-FD4772650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395655</xdr:colOff>
      <xdr:row>31</xdr:row>
      <xdr:rowOff>46892</xdr:rowOff>
    </xdr:from>
    <xdr:to>
      <xdr:col>22</xdr:col>
      <xdr:colOff>281354</xdr:colOff>
      <xdr:row>50</xdr:row>
      <xdr:rowOff>70339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D5DCEB5-A9DA-4F79-A9FA-F81269BD8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31</xdr:row>
      <xdr:rowOff>65548</xdr:rowOff>
    </xdr:from>
    <xdr:to>
      <xdr:col>14</xdr:col>
      <xdr:colOff>354723</xdr:colOff>
      <xdr:row>50</xdr:row>
      <xdr:rowOff>77491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5C3D92-563B-484C-9705-E14E99BB8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167898</xdr:colOff>
      <xdr:row>55</xdr:row>
      <xdr:rowOff>64575</xdr:rowOff>
    </xdr:from>
    <xdr:to>
      <xdr:col>30</xdr:col>
      <xdr:colOff>29235</xdr:colOff>
      <xdr:row>75</xdr:row>
      <xdr:rowOff>195940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C93F55F-C1EF-401F-B771-405FCA247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7593" y="11068372"/>
          <a:ext cx="4187947" cy="3747636"/>
        </a:xfrm>
        <a:prstGeom prst="rect">
          <a:avLst/>
        </a:prstGeom>
      </xdr:spPr>
    </xdr:pic>
    <xdr:clientData/>
  </xdr:twoCellAnchor>
  <xdr:twoCellAnchor editAs="oneCell">
    <xdr:from>
      <xdr:col>15</xdr:col>
      <xdr:colOff>581186</xdr:colOff>
      <xdr:row>55</xdr:row>
      <xdr:rowOff>51661</xdr:rowOff>
    </xdr:from>
    <xdr:to>
      <xdr:col>24</xdr:col>
      <xdr:colOff>38746</xdr:colOff>
      <xdr:row>75</xdr:row>
      <xdr:rowOff>161636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E8AA3D4-A63A-4FDD-A63E-A2F136F86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8143" y="11279001"/>
          <a:ext cx="4491624" cy="383891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15</xdr:col>
      <xdr:colOff>503694</xdr:colOff>
      <xdr:row>75</xdr:row>
      <xdr:rowOff>154983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1D107C-23F2-40CB-96B3-64CAC71DB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12</xdr:col>
      <xdr:colOff>399143</xdr:colOff>
      <xdr:row>28</xdr:row>
      <xdr:rowOff>174673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531408-13BE-43F0-83D0-B48DE8D98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113340</xdr:rowOff>
    </xdr:from>
    <xdr:to>
      <xdr:col>11</xdr:col>
      <xdr:colOff>220594</xdr:colOff>
      <xdr:row>40</xdr:row>
      <xdr:rowOff>184770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7C8F7F-6789-4051-A1D6-DECB16EC6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247650</xdr:colOff>
      <xdr:row>30</xdr:row>
      <xdr:rowOff>171450</xdr:rowOff>
    </xdr:from>
    <xdr:to>
      <xdr:col>45</xdr:col>
      <xdr:colOff>609600</xdr:colOff>
      <xdr:row>71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046484-0352-424B-A302-34502785D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init%20Shah\Reint%20(Practice%20Copy)%2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eneral\WPR\wpr%20Soft%20copies\WPR%20sept%209%20sept%20to%2015%20oct.xlsx" TargetMode="External"/><Relationship Id="rId1" Type="http://schemas.openxmlformats.org/officeDocument/2006/relationships/externalLinkPath" Target="/General/WPR/wpr%20Soft%20copies/WPR%20sept%209%20sept%20to%2015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Sheet"/>
      <sheetName val="Additional Calc."/>
      <sheetName val="T-Beams"/>
      <sheetName val="XL4Test5"/>
    </sheetNames>
    <sheetDataSet>
      <sheetData sheetId="0" refreshError="1"/>
      <sheetData sheetId="1" refreshError="1">
        <row r="15">
          <cell r="B15">
            <v>2.76</v>
          </cell>
        </row>
        <row r="16">
          <cell r="B16">
            <v>0.96</v>
          </cell>
        </row>
        <row r="17">
          <cell r="B17">
            <v>329</v>
          </cell>
        </row>
        <row r="18">
          <cell r="B18">
            <v>8.92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sk Register"/>
      <sheetName val="Hinderance Register"/>
      <sheetName val="Legal Approval Tracker"/>
      <sheetName val="Procurement tracker"/>
      <sheetName val="Project Cashflow "/>
      <sheetName val="HSE Statistic"/>
      <sheetName val="Quality Statistic"/>
      <sheetName val="Weekly Manpower"/>
      <sheetName val="Cube Test"/>
      <sheetName val="Procurement Status"/>
      <sheetName val="Planned Vs Actual "/>
      <sheetName val="Value Addition"/>
      <sheetName val="As per drawing status"/>
      <sheetName val="Design status"/>
      <sheetName val="Milesotone Ac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C3" t="str">
            <v>Required Manpower for week</v>
          </cell>
          <cell r="D3" t="str">
            <v>Available</v>
          </cell>
          <cell r="E3" t="str">
            <v xml:space="preserve">Shortage </v>
          </cell>
        </row>
        <row r="4">
          <cell r="B4" t="str">
            <v>Reinforcement work</v>
          </cell>
          <cell r="C4">
            <v>140</v>
          </cell>
          <cell r="D4">
            <v>104</v>
          </cell>
          <cell r="E4">
            <v>36</v>
          </cell>
        </row>
        <row r="5">
          <cell r="B5" t="str">
            <v>Carpenter</v>
          </cell>
          <cell r="C5">
            <v>224</v>
          </cell>
          <cell r="D5">
            <v>194</v>
          </cell>
          <cell r="E5">
            <v>30</v>
          </cell>
        </row>
        <row r="6">
          <cell r="B6" t="str">
            <v>Mason</v>
          </cell>
          <cell r="C6">
            <v>70</v>
          </cell>
          <cell r="D6">
            <v>42</v>
          </cell>
          <cell r="E6">
            <v>28</v>
          </cell>
        </row>
        <row r="7">
          <cell r="B7" t="str">
            <v>Helper</v>
          </cell>
          <cell r="C7">
            <v>175</v>
          </cell>
          <cell r="D7">
            <v>150</v>
          </cell>
          <cell r="E7">
            <v>25</v>
          </cell>
        </row>
        <row r="8">
          <cell r="B8" t="str">
            <v>Unskilled Worker</v>
          </cell>
          <cell r="C8">
            <v>385</v>
          </cell>
          <cell r="D8">
            <v>322</v>
          </cell>
          <cell r="E8">
            <v>63</v>
          </cell>
        </row>
        <row r="9">
          <cell r="B9" t="str">
            <v>Drivers</v>
          </cell>
          <cell r="C9">
            <v>23</v>
          </cell>
          <cell r="D9">
            <v>23</v>
          </cell>
          <cell r="E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yam Shah" refreshedDate="46053.034009953706" createdVersion="8" refreshedVersion="8" minRefreshableVersion="3" recordCount="67" xr:uid="{D663F18A-3F3A-4285-918C-D8109039939E}">
  <cacheSource type="worksheet">
    <worksheetSource ref="A3:I70" sheet="As per drawing status"/>
  </cacheSource>
  <cacheFields count="9">
    <cacheField name="Sr.No." numFmtId="0">
      <sharedItems containsSemiMixedTypes="0" containsString="0" containsNumber="1" containsInteger="1" minValue="1" maxValue="67"/>
    </cacheField>
    <cacheField name="Tower" numFmtId="0">
      <sharedItems count="1">
        <s v="Worker Dormitory"/>
      </sharedItems>
    </cacheField>
    <cacheField name="Activity" numFmtId="0">
      <sharedItems count="64">
        <s v="Footing Excavation"/>
        <s v="GB Excavation"/>
        <s v="Yellow Soil Filling"/>
        <s v="Rubble Soling"/>
        <s v="Footing PCC"/>
        <s v="GB PCC"/>
        <s v="Floor PCC"/>
        <s v="Plinth Beam PCC"/>
        <s v="Footing RCC"/>
        <s v="Pedestal RCC"/>
        <s v="GB RCC"/>
        <s v="Plinth Beam RCC"/>
        <s v="Floor RCC"/>
        <s v="Masonry Above GB"/>
        <s v="Masonry above PB"/>
        <s v="Plinth Plaster"/>
        <s v="Footing Shuttering"/>
        <s v="Padestal Upto Plinth Top Shuttering"/>
        <s v="GB Shuttering"/>
        <s v="Plinth Beam Shuttering"/>
        <s v="Floor RCC Shuttering"/>
        <s v="Plinth to GF slab column shuttering"/>
        <s v="GF beam shuttering"/>
        <s v="GF Slab shuttering"/>
        <s v="GF staircase shuttering"/>
        <s v="GF lintel shuttering"/>
        <s v="Plinth to GF slab column concrete"/>
        <s v="GF beam Concrete"/>
        <s v="GF Slab Concrete"/>
        <s v="GF staircase concrete"/>
        <s v="GF lintel Concrete"/>
        <s v="Brick masonary GF (230 mm)"/>
        <s v="Brick masonary GF (115 mm)"/>
        <s v="Internal Plaster"/>
        <s v="Flooring"/>
        <s v="Skirting"/>
        <s v="GF to FF slab column shuttering"/>
        <s v="FF beam shuttering"/>
        <s v="FF Slab shuttering"/>
        <s v="FF Staircase Shuttering"/>
        <s v="FF lintel shuttering"/>
        <s v="GF to FF slab column concrete"/>
        <s v="FF beam Concrete"/>
        <s v="FF Slab Concrete"/>
        <s v="FF Staircase Concrete"/>
        <s v="FF lintel Concrete"/>
        <s v="Brick masonary FF (230 mm)"/>
        <s v="Brick masonary FF (115 mm)"/>
        <s v="FF to SF slab column shuttering"/>
        <s v="SF Staircase Shuttering"/>
        <s v="SF beam shuttering"/>
        <s v="SF Slab shuttering"/>
        <s v="FF to SF slab column concrete"/>
        <s v="SF Staircase Concrete"/>
        <s v="SF beam Concrete"/>
        <s v="SF Slab Concrete"/>
        <s v="SF to TF slab column shuttering"/>
        <s v="TF Staircase Shuttering"/>
        <s v="TF beam shuttering"/>
        <s v="TF Slab shuttering"/>
        <s v="SF to TF slab column concrete"/>
        <s v="TF Staircase Concrete"/>
        <s v="TF beam Concrete"/>
        <s v="TF Slab Concrete"/>
      </sharedItems>
    </cacheField>
    <cacheField name="Unit " numFmtId="14">
      <sharedItems count="4">
        <s v="CUM"/>
        <s v="SMT"/>
        <s v="SQM"/>
        <s v="RMT"/>
      </sharedItems>
    </cacheField>
    <cacheField name="As per BOQ total Quantity" numFmtId="0">
      <sharedItems containsString="0" containsBlank="1" containsNumber="1" minValue="80" maxValue="10000"/>
    </cacheField>
    <cacheField name="As per GFC total Quantity" numFmtId="0">
      <sharedItems containsSemiMixedTypes="0" containsString="0" containsNumber="1" minValue="3.91" maxValue="1859.2"/>
    </cacheField>
    <cacheField name="Weekly planned Qty." numFmtId="0">
      <sharedItems containsSemiMixedTypes="0" containsString="0" containsNumber="1" minValue="-2.0000000000024443E-3" maxValue="600" count="11">
        <n v="0"/>
        <n v="-2.0000000000024443E-3"/>
        <n v="32.790000000000006"/>
        <n v="20"/>
        <n v="100"/>
        <n v="600"/>
        <n v="60"/>
        <n v="212"/>
        <n v="30"/>
        <n v="400"/>
        <n v="5"/>
      </sharedItems>
    </cacheField>
    <cacheField name="Weekly actual Qty." numFmtId="1">
      <sharedItems containsSemiMixedTypes="0" containsString="0" containsNumber="1" minValue="0" maxValue="350" count="17">
        <n v="0"/>
        <n v="15"/>
        <n v="7"/>
        <n v="10"/>
        <n v="301"/>
        <n v="55.15"/>
        <n v="45"/>
        <n v="21.32"/>
        <n v="29"/>
        <n v="28.630000000000003"/>
        <n v="174.54999999999998"/>
        <n v="188.42"/>
        <n v="30"/>
        <n v="350"/>
        <n v="180"/>
        <n v="18"/>
        <n v="2.1"/>
      </sharedItems>
    </cacheField>
    <cacheField name="Total Achieved Qty." numFmtId="0">
      <sharedItems containsSemiMixedTypes="0" containsString="0" containsNumber="1" minValue="0" maxValue="1826.1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yam Shah" refreshedDate="46053.523990856484" createdVersion="8" refreshedVersion="8" minRefreshableVersion="3" recordCount="71" xr:uid="{F1FB3DD7-49D7-4EA9-BB3B-7DDEC595C42E}">
  <cacheSource type="worksheet">
    <worksheetSource ref="A6:R77" sheet="Planned Vs Actual "/>
  </cacheSource>
  <cacheFields count="18">
    <cacheField name="Sr.No." numFmtId="0">
      <sharedItems containsMixedTypes="1" containsNumber="1" containsInteger="1" minValue="1" maxValue="67"/>
    </cacheField>
    <cacheField name="Tower" numFmtId="0">
      <sharedItems containsBlank="1"/>
    </cacheField>
    <cacheField name="Activity" numFmtId="0">
      <sharedItems containsBlank="1" count="65">
        <s v="Excavation "/>
        <s v="Footing PCC"/>
        <s v="Yellow Soil Filling"/>
        <s v="Rubble Soling"/>
        <s v="Footing Shuttering"/>
        <s v="Footing RCC"/>
        <s v="Padestal Upto Plinth Top Shuttering"/>
        <s v="Padestal Upto Plinth Top RCC"/>
        <s v="GB Excavation"/>
        <s v="GB PCC"/>
        <s v="GB Shuttering"/>
        <s v="GB RCC"/>
        <s v="Masonry Above GB"/>
        <s v="Plinth Beam PCC"/>
        <s v="Plinth Beam Shuttering"/>
        <s v="Plinth Beam RCC"/>
        <s v="Plinth Plaster"/>
        <s v="Masonry above PB"/>
        <s v="Floor PCC"/>
        <s v="Floor RCC Shuttering"/>
        <s v="Floor RCC"/>
        <m/>
        <s v="Plinth to GF slab column shuttering"/>
        <s v="GF beam shuttering"/>
        <s v="GF Slab shuttering"/>
        <s v="GF staircase shuttering"/>
        <s v="GF lintel shuttering"/>
        <s v="Plinth to GF slab column concrete"/>
        <s v="GF beam Concrete"/>
        <s v="GF Slab Concrete"/>
        <s v="GF staircase concrete"/>
        <s v="GF lintel Concrete"/>
        <s v="Brick masonary GF (230 mm)"/>
        <s v="Brick masonary GF (115 mm)"/>
        <s v="Internal Plaster"/>
        <s v="Flooring"/>
        <s v="Skirting"/>
        <s v="GF to FF slab column shuttering"/>
        <s v="FF beam shuttering"/>
        <s v="FF Slab shuttering"/>
        <s v="FF Staircase Shuttering"/>
        <s v="FF lintel shuttering"/>
        <s v="GF to FF slab column concrete"/>
        <s v="FF Staircase Concrete"/>
        <s v="FF beam Concrete"/>
        <s v="FF Slab Concrete"/>
        <s v="FF lintel Concrete"/>
        <s v="Brick masonary FF (230 mm)"/>
        <s v="Brick masonary FF (115 mm)"/>
        <s v="FF to SF slab column shuttering"/>
        <s v="SF Staircase Shuttering"/>
        <s v="SF beam shuttering"/>
        <s v="SF Slab shuttering"/>
        <s v="FF to SF slab column concrete"/>
        <s v="SF Staircase Concrete"/>
        <s v="SF beam Concrete"/>
        <s v="SF Slab Concrete"/>
        <s v="SF to TF slab column shuttering"/>
        <s v="TF Staircase Shuttering"/>
        <s v="TF beam shuttering"/>
        <s v="TF Slab shuttering"/>
        <s v="SF to TF slab column concrete"/>
        <s v="TF Staircase Concrete"/>
        <s v="TF beam Concrete"/>
        <s v="TF Slab Concrete"/>
      </sharedItems>
    </cacheField>
    <cacheField name="Planned Start Date by Contractor" numFmtId="0">
      <sharedItems containsNonDate="0" containsDate="1" containsString="0" containsBlank="1" minDate="2025-12-11T00:00:00" maxDate="2025-12-12T00:00:00" count="2">
        <d v="2025-12-11T00:00:00"/>
        <m/>
      </sharedItems>
    </cacheField>
    <cacheField name="Planned End Date by Contractor" numFmtId="0">
      <sharedItems containsNonDate="0" containsDate="1" containsString="0" containsBlank="1" minDate="2025-12-17T00:00:00" maxDate="2025-12-18T00:00:00"/>
    </cacheField>
    <cacheField name="Unit " numFmtId="0">
      <sharedItems containsBlank="1"/>
    </cacheField>
    <cacheField name="As per BOQ total Quantity" numFmtId="0">
      <sharedItems containsString="0" containsBlank="1" containsNumber="1" minValue="80" maxValue="10000"/>
    </cacheField>
    <cacheField name="Total GFC Qty" numFmtId="0">
      <sharedItems containsString="0" containsBlank="1" containsNumber="1" minValue="3.91" maxValue="1859.2"/>
    </cacheField>
    <cacheField name="Executed qty till 15-10-2025" numFmtId="0">
      <sharedItems containsString="0" containsBlank="1" containsNumber="1" minValue="0" maxValue="1826.1999999999998"/>
    </cacheField>
    <cacheField name="Balance Qty." numFmtId="0">
      <sharedItems containsString="0" containsBlank="1" containsNumber="1" minValue="-0.40999999999996817" maxValue="1859.2"/>
    </cacheField>
    <cacheField name="Weekly planned Qty." numFmtId="0">
      <sharedItems containsString="0" containsBlank="1" containsNumber="1" minValue="0" maxValue="600" count="12">
        <n v="0"/>
        <n v="32.790000000000006"/>
        <m/>
        <n v="20"/>
        <n v="100"/>
        <n v="600"/>
        <n v="60"/>
        <n v="300"/>
        <n v="212"/>
        <n v="30"/>
        <n v="400"/>
        <n v="5"/>
      </sharedItems>
    </cacheField>
    <cacheField name="Weekly actual Qty." numFmtId="0">
      <sharedItems containsString="0" containsBlank="1" containsNumber="1" minValue="0" maxValue="350"/>
    </cacheField>
    <cacheField name="Cumulative Qty." numFmtId="0">
      <sharedItems containsString="0" containsBlank="1" containsNumber="1" minValue="0" maxValue="1826.1999999999998"/>
    </cacheField>
    <cacheField name="% Balance  Qty ( Remaining ) Against GFC Qty" numFmtId="0">
      <sharedItems containsString="0" containsBlank="1" containsNumber="1" minValue="-5.8522102799064813E-4" maxValue="1"/>
    </cacheField>
    <cacheField name="% Planned Against _x000a_Balance Qty  " numFmtId="9">
      <sharedItems containsSemiMixedTypes="0" containsString="0" containsNumber="1" minValue="0" maxValue="1"/>
    </cacheField>
    <cacheField name="% Achieved Against Actual Qty" numFmtId="9">
      <sharedItems containsSemiMixedTypes="0" containsString="0" containsNumber="1" minValue="0" maxValue="0.59519873024270875"/>
    </cacheField>
    <cacheField name="% Completed (Total against the GFC )" numFmtId="0">
      <sharedItems containsBlank="1" count="4">
        <s v="Delay"/>
        <s v="On time "/>
        <m/>
        <e v="#DIV/0!"/>
      </sharedItems>
    </cacheField>
    <cacheField name="% Completed (Total against the GFC )2" numFmtId="9">
      <sharedItems containsSemiMixedTypes="0" containsString="0" containsNumber="1" minValue="0" maxValue="1.00058522102799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1"/>
    <x v="0"/>
    <x v="0"/>
    <x v="0"/>
    <n v="3925"/>
    <n v="1826"/>
    <x v="0"/>
    <x v="0"/>
    <n v="1826.1999999999998"/>
  </r>
  <r>
    <n v="2"/>
    <x v="0"/>
    <x v="1"/>
    <x v="0"/>
    <m/>
    <n v="11.795"/>
    <x v="0"/>
    <x v="0"/>
    <n v="11.795"/>
  </r>
  <r>
    <n v="3"/>
    <x v="0"/>
    <x v="2"/>
    <x v="0"/>
    <n v="10000"/>
    <n v="1123.22"/>
    <x v="0"/>
    <x v="0"/>
    <n v="1123.22"/>
  </r>
  <r>
    <n v="4"/>
    <x v="0"/>
    <x v="3"/>
    <x v="0"/>
    <n v="195.5"/>
    <n v="173.81"/>
    <x v="0"/>
    <x v="0"/>
    <n v="173.81"/>
  </r>
  <r>
    <n v="5"/>
    <x v="0"/>
    <x v="4"/>
    <x v="0"/>
    <n v="265"/>
    <n v="91.31"/>
    <x v="0"/>
    <x v="0"/>
    <n v="91.31"/>
  </r>
  <r>
    <n v="6"/>
    <x v="0"/>
    <x v="5"/>
    <x v="0"/>
    <m/>
    <n v="7.944"/>
    <x v="0"/>
    <x v="0"/>
    <n v="7.944"/>
  </r>
  <r>
    <n v="7"/>
    <x v="0"/>
    <x v="6"/>
    <x v="0"/>
    <m/>
    <n v="86.9"/>
    <x v="0"/>
    <x v="0"/>
    <n v="86.9"/>
  </r>
  <r>
    <n v="8"/>
    <x v="0"/>
    <x v="7"/>
    <x v="0"/>
    <m/>
    <n v="18.07"/>
    <x v="0"/>
    <x v="0"/>
    <n v="18.07"/>
  </r>
  <r>
    <n v="9"/>
    <x v="0"/>
    <x v="8"/>
    <x v="0"/>
    <n v="380"/>
    <n v="292.76400000000001"/>
    <x v="0"/>
    <x v="0"/>
    <n v="292.76"/>
  </r>
  <r>
    <n v="10"/>
    <x v="0"/>
    <x v="9"/>
    <x v="0"/>
    <m/>
    <n v="62.65"/>
    <x v="0"/>
    <x v="0"/>
    <n v="62.65"/>
  </r>
  <r>
    <n v="11"/>
    <x v="0"/>
    <x v="10"/>
    <x v="0"/>
    <m/>
    <n v="23.994"/>
    <x v="0"/>
    <x v="0"/>
    <n v="23.979999999999997"/>
  </r>
  <r>
    <n v="12"/>
    <x v="0"/>
    <x v="11"/>
    <x v="0"/>
    <m/>
    <n v="45.72"/>
    <x v="0"/>
    <x v="0"/>
    <n v="45.72"/>
  </r>
  <r>
    <n v="13"/>
    <x v="0"/>
    <x v="12"/>
    <x v="0"/>
    <m/>
    <n v="88.03"/>
    <x v="0"/>
    <x v="0"/>
    <n v="88.03"/>
  </r>
  <r>
    <n v="14"/>
    <x v="0"/>
    <x v="13"/>
    <x v="0"/>
    <n v="130"/>
    <n v="86.293999999999997"/>
    <x v="0"/>
    <x v="0"/>
    <n v="86.293999999999997"/>
  </r>
  <r>
    <n v="15"/>
    <x v="0"/>
    <x v="14"/>
    <x v="0"/>
    <m/>
    <n v="16.167999999999999"/>
    <x v="1"/>
    <x v="0"/>
    <n v="16.170000000000002"/>
  </r>
  <r>
    <n v="16"/>
    <x v="0"/>
    <x v="15"/>
    <x v="1"/>
    <n v="5235"/>
    <n v="92.29"/>
    <x v="2"/>
    <x v="1"/>
    <n v="74.5"/>
  </r>
  <r>
    <n v="17"/>
    <x v="0"/>
    <x v="16"/>
    <x v="1"/>
    <n v="1075"/>
    <n v="441.90800000000002"/>
    <x v="0"/>
    <x v="0"/>
    <n v="0"/>
  </r>
  <r>
    <n v="18"/>
    <x v="0"/>
    <x v="17"/>
    <x v="1"/>
    <m/>
    <n v="664"/>
    <x v="0"/>
    <x v="0"/>
    <n v="663.99999999999989"/>
  </r>
  <r>
    <n v="19"/>
    <x v="0"/>
    <x v="18"/>
    <x v="1"/>
    <m/>
    <n v="142.93799999999999"/>
    <x v="0"/>
    <x v="0"/>
    <n v="142.85"/>
  </r>
  <r>
    <n v="20"/>
    <x v="0"/>
    <x v="19"/>
    <x v="1"/>
    <m/>
    <n v="387.1"/>
    <x v="0"/>
    <x v="0"/>
    <n v="387.1"/>
  </r>
  <r>
    <n v="21"/>
    <x v="0"/>
    <x v="20"/>
    <x v="1"/>
    <m/>
    <n v="15.3"/>
    <x v="0"/>
    <x v="0"/>
    <n v="15.3"/>
  </r>
  <r>
    <n v="22"/>
    <x v="0"/>
    <x v="21"/>
    <x v="2"/>
    <n v="1680"/>
    <n v="427.55"/>
    <x v="0"/>
    <x v="0"/>
    <n v="427.55399999999997"/>
  </r>
  <r>
    <n v="23"/>
    <x v="0"/>
    <x v="22"/>
    <x v="2"/>
    <m/>
    <n v="700.59"/>
    <x v="0"/>
    <x v="0"/>
    <n v="700.59"/>
  </r>
  <r>
    <n v="24"/>
    <x v="0"/>
    <x v="23"/>
    <x v="2"/>
    <m/>
    <n v="664.26"/>
    <x v="0"/>
    <x v="0"/>
    <n v="664.23"/>
  </r>
  <r>
    <n v="25"/>
    <x v="0"/>
    <x v="24"/>
    <x v="2"/>
    <m/>
    <n v="57.39"/>
    <x v="0"/>
    <x v="0"/>
    <n v="57.39"/>
  </r>
  <r>
    <n v="26"/>
    <x v="0"/>
    <x v="25"/>
    <x v="2"/>
    <m/>
    <n v="67.989999999999995"/>
    <x v="0"/>
    <x v="0"/>
    <n v="56"/>
  </r>
  <r>
    <n v="27"/>
    <x v="0"/>
    <x v="26"/>
    <x v="0"/>
    <n v="210"/>
    <n v="32.822000000000003"/>
    <x v="0"/>
    <x v="0"/>
    <n v="32.82"/>
  </r>
  <r>
    <n v="28"/>
    <x v="0"/>
    <x v="27"/>
    <x v="0"/>
    <m/>
    <n v="61.76"/>
    <x v="0"/>
    <x v="0"/>
    <n v="61.75"/>
  </r>
  <r>
    <n v="29"/>
    <x v="0"/>
    <x v="28"/>
    <x v="0"/>
    <m/>
    <n v="101.99"/>
    <x v="0"/>
    <x v="0"/>
    <n v="101.98"/>
  </r>
  <r>
    <n v="30"/>
    <x v="0"/>
    <x v="29"/>
    <x v="0"/>
    <m/>
    <n v="8.5299999999999994"/>
    <x v="0"/>
    <x v="0"/>
    <n v="8.52"/>
  </r>
  <r>
    <n v="31"/>
    <x v="0"/>
    <x v="30"/>
    <x v="0"/>
    <m/>
    <n v="3.91"/>
    <x v="0"/>
    <x v="0"/>
    <n v="2"/>
  </r>
  <r>
    <n v="32"/>
    <x v="0"/>
    <x v="31"/>
    <x v="0"/>
    <n v="80"/>
    <n v="73.48"/>
    <x v="3"/>
    <x v="2"/>
    <n v="43.86"/>
  </r>
  <r>
    <n v="33"/>
    <x v="0"/>
    <x v="32"/>
    <x v="1"/>
    <n v="1170"/>
    <n v="768"/>
    <x v="4"/>
    <x v="3"/>
    <n v="356.26"/>
  </r>
  <r>
    <n v="34"/>
    <x v="0"/>
    <x v="33"/>
    <x v="1"/>
    <n v="1591.21"/>
    <n v="1733.79"/>
    <x v="5"/>
    <x v="4"/>
    <n v="663"/>
  </r>
  <r>
    <n v="35"/>
    <x v="0"/>
    <x v="34"/>
    <x v="1"/>
    <n v="830"/>
    <n v="841.16"/>
    <x v="4"/>
    <x v="5"/>
    <n v="55.15"/>
  </r>
  <r>
    <n v="36"/>
    <x v="0"/>
    <x v="35"/>
    <x v="3"/>
    <n v="1865"/>
    <n v="1859.2"/>
    <x v="4"/>
    <x v="6"/>
    <n v="45"/>
  </r>
  <r>
    <n v="37"/>
    <x v="0"/>
    <x v="36"/>
    <x v="2"/>
    <n v="1680"/>
    <n v="439.91300000000001"/>
    <x v="4"/>
    <x v="7"/>
    <n v="336.32"/>
  </r>
  <r>
    <n v="38"/>
    <x v="0"/>
    <x v="37"/>
    <x v="2"/>
    <m/>
    <n v="700.59"/>
    <x v="0"/>
    <x v="0"/>
    <n v="701"/>
  </r>
  <r>
    <n v="39"/>
    <x v="0"/>
    <x v="38"/>
    <x v="2"/>
    <m/>
    <n v="664.26"/>
    <x v="0"/>
    <x v="0"/>
    <n v="664.26"/>
  </r>
  <r>
    <n v="40"/>
    <x v="0"/>
    <x v="39"/>
    <x v="2"/>
    <m/>
    <n v="57.39"/>
    <x v="0"/>
    <x v="0"/>
    <n v="57.39"/>
  </r>
  <r>
    <n v="41"/>
    <x v="0"/>
    <x v="40"/>
    <x v="2"/>
    <m/>
    <n v="67.989999999999995"/>
    <x v="6"/>
    <x v="8"/>
    <n v="29"/>
  </r>
  <r>
    <n v="42"/>
    <x v="0"/>
    <x v="41"/>
    <x v="0"/>
    <n v="210"/>
    <n v="32.822000000000003"/>
    <x v="0"/>
    <x v="0"/>
    <n v="25.810000000000002"/>
  </r>
  <r>
    <n v="43"/>
    <x v="0"/>
    <x v="42"/>
    <x v="0"/>
    <m/>
    <n v="61.76"/>
    <x v="0"/>
    <x v="0"/>
    <n v="61.76"/>
  </r>
  <r>
    <n v="44"/>
    <x v="0"/>
    <x v="43"/>
    <x v="0"/>
    <m/>
    <n v="101.99"/>
    <x v="0"/>
    <x v="0"/>
    <n v="101.99"/>
  </r>
  <r>
    <n v="45"/>
    <x v="0"/>
    <x v="44"/>
    <x v="0"/>
    <m/>
    <n v="8.5299999999999994"/>
    <x v="0"/>
    <x v="0"/>
    <n v="8.5299999999999994"/>
  </r>
  <r>
    <n v="46"/>
    <x v="0"/>
    <x v="45"/>
    <x v="0"/>
    <m/>
    <n v="3.91"/>
    <x v="0"/>
    <x v="0"/>
    <n v="0"/>
  </r>
  <r>
    <n v="47"/>
    <x v="0"/>
    <x v="46"/>
    <x v="0"/>
    <n v="80"/>
    <n v="73.48"/>
    <x v="0"/>
    <x v="9"/>
    <n v="20"/>
  </r>
  <r>
    <n v="48"/>
    <x v="0"/>
    <x v="47"/>
    <x v="1"/>
    <n v="1170"/>
    <n v="768"/>
    <x v="0"/>
    <x v="10"/>
    <n v="300"/>
  </r>
  <r>
    <n v="49"/>
    <x v="0"/>
    <x v="33"/>
    <x v="1"/>
    <n v="1591.21"/>
    <n v="1733.79"/>
    <x v="0"/>
    <x v="0"/>
    <n v="0"/>
  </r>
  <r>
    <n v="50"/>
    <x v="0"/>
    <x v="34"/>
    <x v="1"/>
    <n v="830"/>
    <n v="841.16"/>
    <x v="0"/>
    <x v="0"/>
    <n v="0"/>
  </r>
  <r>
    <n v="51"/>
    <x v="0"/>
    <x v="35"/>
    <x v="3"/>
    <n v="1865"/>
    <n v="1859.2"/>
    <x v="0"/>
    <x v="0"/>
    <n v="0"/>
  </r>
  <r>
    <n v="52"/>
    <x v="0"/>
    <x v="48"/>
    <x v="2"/>
    <n v="1680"/>
    <n v="439.91300000000001"/>
    <x v="0"/>
    <x v="0"/>
    <n v="101.99"/>
  </r>
  <r>
    <n v="53"/>
    <x v="0"/>
    <x v="49"/>
    <x v="2"/>
    <m/>
    <n v="57.39"/>
    <x v="0"/>
    <x v="0"/>
    <n v="310.94"/>
  </r>
  <r>
    <n v="54"/>
    <x v="0"/>
    <x v="50"/>
    <x v="2"/>
    <m/>
    <n v="700.59"/>
    <x v="0"/>
    <x v="0"/>
    <n v="57.39"/>
  </r>
  <r>
    <n v="55"/>
    <x v="0"/>
    <x v="51"/>
    <x v="2"/>
    <m/>
    <n v="664.26"/>
    <x v="0"/>
    <x v="0"/>
    <n v="57.39"/>
  </r>
  <r>
    <n v="56"/>
    <x v="0"/>
    <x v="52"/>
    <x v="0"/>
    <n v="210"/>
    <n v="32.822000000000003"/>
    <x v="0"/>
    <x v="0"/>
    <n v="25.414999999999999"/>
  </r>
  <r>
    <n v="57"/>
    <x v="0"/>
    <x v="53"/>
    <x v="0"/>
    <m/>
    <n v="8.5299999999999994"/>
    <x v="0"/>
    <x v="0"/>
    <n v="8.5299999999999994"/>
  </r>
  <r>
    <n v="58"/>
    <x v="0"/>
    <x v="54"/>
    <x v="0"/>
    <m/>
    <n v="61.76"/>
    <x v="0"/>
    <x v="0"/>
    <n v="61.76"/>
  </r>
  <r>
    <n v="59"/>
    <x v="0"/>
    <x v="55"/>
    <x v="0"/>
    <m/>
    <n v="101.99"/>
    <x v="0"/>
    <x v="0"/>
    <n v="101.99"/>
  </r>
  <r>
    <n v="60"/>
    <x v="0"/>
    <x v="56"/>
    <x v="2"/>
    <n v="1680"/>
    <n v="439.91300000000001"/>
    <x v="7"/>
    <x v="11"/>
    <n v="286.41999999999996"/>
  </r>
  <r>
    <n v="61"/>
    <x v="0"/>
    <x v="57"/>
    <x v="2"/>
    <m/>
    <n v="57.39"/>
    <x v="8"/>
    <x v="12"/>
    <n v="30"/>
  </r>
  <r>
    <n v="62"/>
    <x v="0"/>
    <x v="58"/>
    <x v="2"/>
    <m/>
    <n v="700.59"/>
    <x v="9"/>
    <x v="13"/>
    <n v="350"/>
  </r>
  <r>
    <n v="63"/>
    <x v="0"/>
    <x v="59"/>
    <x v="2"/>
    <m/>
    <n v="664.26"/>
    <x v="9"/>
    <x v="14"/>
    <n v="180"/>
  </r>
  <r>
    <n v="64"/>
    <x v="0"/>
    <x v="60"/>
    <x v="0"/>
    <n v="210"/>
    <n v="32.822000000000003"/>
    <x v="8"/>
    <x v="15"/>
    <n v="20.58"/>
  </r>
  <r>
    <n v="65"/>
    <x v="0"/>
    <x v="61"/>
    <x v="0"/>
    <m/>
    <n v="8.5299999999999994"/>
    <x v="10"/>
    <x v="16"/>
    <n v="2.1"/>
  </r>
  <r>
    <n v="66"/>
    <x v="0"/>
    <x v="62"/>
    <x v="0"/>
    <m/>
    <n v="61.76"/>
    <x v="0"/>
    <x v="0"/>
    <n v="0"/>
  </r>
  <r>
    <n v="67"/>
    <x v="0"/>
    <x v="63"/>
    <x v="0"/>
    <m/>
    <n v="101.99"/>
    <x v="0"/>
    <x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1"/>
    <s v="Upto Plinth"/>
    <x v="0"/>
    <x v="0"/>
    <d v="2025-12-17T00:00:00"/>
    <s v="CUM"/>
    <n v="3925"/>
    <n v="1826"/>
    <n v="1826.1999999999998"/>
    <n v="-0.1999999999998181"/>
    <x v="0"/>
    <n v="0"/>
    <n v="1826.1999999999998"/>
    <n v="-1.0952902519157618E-4"/>
    <n v="0"/>
    <n v="0"/>
    <x v="0"/>
    <n v="1.0001095290251916"/>
  </r>
  <r>
    <n v="2"/>
    <m/>
    <x v="1"/>
    <x v="0"/>
    <d v="2025-12-17T00:00:00"/>
    <s v="CUM"/>
    <n v="265"/>
    <n v="91.31"/>
    <n v="91.31"/>
    <n v="0"/>
    <x v="0"/>
    <n v="0"/>
    <n v="91.31"/>
    <n v="0"/>
    <n v="0"/>
    <n v="0"/>
    <x v="1"/>
    <n v="1"/>
  </r>
  <r>
    <n v="3"/>
    <m/>
    <x v="2"/>
    <x v="0"/>
    <d v="2025-12-17T00:00:00"/>
    <s v="CUM"/>
    <n v="10000"/>
    <n v="1123.22"/>
    <n v="1123.22"/>
    <n v="0"/>
    <x v="0"/>
    <n v="0"/>
    <n v="1123.22"/>
    <n v="0"/>
    <n v="0"/>
    <n v="0"/>
    <x v="2"/>
    <n v="1"/>
  </r>
  <r>
    <n v="4"/>
    <m/>
    <x v="3"/>
    <x v="0"/>
    <d v="2025-12-17T00:00:00"/>
    <s v="CUM"/>
    <n v="195.5"/>
    <n v="173.81"/>
    <n v="173.81"/>
    <n v="0"/>
    <x v="0"/>
    <n v="0"/>
    <n v="173.81"/>
    <n v="0"/>
    <n v="0"/>
    <n v="0"/>
    <x v="2"/>
    <n v="1"/>
  </r>
  <r>
    <n v="5"/>
    <m/>
    <x v="4"/>
    <x v="0"/>
    <d v="2025-12-17T00:00:00"/>
    <s v="SMT"/>
    <n v="1075"/>
    <n v="441.90800000000002"/>
    <n v="441.91"/>
    <n v="-2.0000000000095497E-3"/>
    <x v="0"/>
    <n v="0"/>
    <n v="441.91"/>
    <n v="-4.5258289055856641E-6"/>
    <n v="0"/>
    <n v="0"/>
    <x v="2"/>
    <n v="1.0000045258289056"/>
  </r>
  <r>
    <n v="6"/>
    <m/>
    <x v="5"/>
    <x v="0"/>
    <d v="2025-12-17T00:00:00"/>
    <s v="CUM"/>
    <n v="380"/>
    <n v="292.76400000000001"/>
    <n v="292.76"/>
    <n v="4.0000000000190994E-3"/>
    <x v="0"/>
    <n v="0"/>
    <n v="292.76"/>
    <n v="1.3662882048404514E-5"/>
    <n v="0"/>
    <n v="0"/>
    <x v="1"/>
    <n v="0.9999863371179516"/>
  </r>
  <r>
    <n v="7"/>
    <m/>
    <x v="6"/>
    <x v="0"/>
    <d v="2025-12-17T00:00:00"/>
    <s v="SMT"/>
    <n v="1075"/>
    <n v="664"/>
    <n v="663.99999999999989"/>
    <n v="0"/>
    <x v="0"/>
    <n v="0"/>
    <n v="663.99999999999989"/>
    <n v="0"/>
    <n v="0"/>
    <n v="0"/>
    <x v="2"/>
    <n v="0.99999999999999978"/>
  </r>
  <r>
    <n v="8"/>
    <m/>
    <x v="7"/>
    <x v="0"/>
    <d v="2025-12-17T00:00:00"/>
    <s v="CUM"/>
    <n v="380"/>
    <n v="62.65"/>
    <n v="62.65"/>
    <n v="0"/>
    <x v="0"/>
    <n v="0"/>
    <n v="62.65"/>
    <n v="0"/>
    <n v="0"/>
    <n v="0"/>
    <x v="2"/>
    <n v="1"/>
  </r>
  <r>
    <n v="9"/>
    <m/>
    <x v="8"/>
    <x v="0"/>
    <d v="2025-12-17T00:00:00"/>
    <s v="CUM"/>
    <n v="3925"/>
    <n v="11.795"/>
    <n v="11.795"/>
    <n v="0"/>
    <x v="0"/>
    <n v="0"/>
    <n v="11.795"/>
    <n v="0"/>
    <n v="0"/>
    <n v="0"/>
    <x v="2"/>
    <n v="1"/>
  </r>
  <r>
    <n v="10"/>
    <m/>
    <x v="9"/>
    <x v="0"/>
    <d v="2025-12-17T00:00:00"/>
    <s v="CUM"/>
    <n v="265"/>
    <n v="7.944"/>
    <n v="7.944"/>
    <n v="0"/>
    <x v="0"/>
    <n v="0"/>
    <n v="7.944"/>
    <n v="0"/>
    <n v="0"/>
    <n v="0"/>
    <x v="2"/>
    <n v="1"/>
  </r>
  <r>
    <n v="11"/>
    <m/>
    <x v="10"/>
    <x v="0"/>
    <d v="2025-12-17T00:00:00"/>
    <s v="SMT"/>
    <n v="1075"/>
    <n v="142.93799999999999"/>
    <n v="142.85"/>
    <n v="8.7999999999993861E-2"/>
    <x v="0"/>
    <n v="0"/>
    <n v="142.85"/>
    <n v="6.1565154122762223E-4"/>
    <n v="0"/>
    <n v="0"/>
    <x v="2"/>
    <n v="0.99938434845877233"/>
  </r>
  <r>
    <n v="12"/>
    <m/>
    <x v="11"/>
    <x v="0"/>
    <d v="2025-12-17T00:00:00"/>
    <s v="CUM"/>
    <n v="380"/>
    <n v="23.994"/>
    <n v="23.979999999999997"/>
    <n v="1.4000000000002899E-2"/>
    <x v="0"/>
    <n v="0"/>
    <n v="23.979999999999997"/>
    <n v="5.8347920313423765E-4"/>
    <n v="0"/>
    <n v="0"/>
    <x v="2"/>
    <n v="0.99941652079686571"/>
  </r>
  <r>
    <n v="13"/>
    <m/>
    <x v="12"/>
    <x v="0"/>
    <d v="2025-12-17T00:00:00"/>
    <s v="CUM"/>
    <n v="130"/>
    <n v="86.293999999999997"/>
    <n v="86.293999999999997"/>
    <n v="0"/>
    <x v="0"/>
    <n v="0"/>
    <n v="86.293999999999997"/>
    <n v="0"/>
    <n v="0"/>
    <n v="0"/>
    <x v="2"/>
    <n v="1"/>
  </r>
  <r>
    <n v="14"/>
    <m/>
    <x v="13"/>
    <x v="0"/>
    <d v="2025-12-17T00:00:00"/>
    <s v="CUM"/>
    <n v="265"/>
    <n v="18.07"/>
    <n v="18.07"/>
    <n v="0"/>
    <x v="0"/>
    <n v="0"/>
    <n v="18.07"/>
    <n v="0"/>
    <n v="0"/>
    <n v="0"/>
    <x v="2"/>
    <n v="1"/>
  </r>
  <r>
    <n v="15"/>
    <m/>
    <x v="14"/>
    <x v="0"/>
    <d v="2025-12-17T00:00:00"/>
    <s v="SMT"/>
    <n v="1075"/>
    <n v="387.1"/>
    <n v="387.1"/>
    <n v="0"/>
    <x v="0"/>
    <n v="0"/>
    <n v="387.1"/>
    <n v="0"/>
    <n v="0"/>
    <n v="0"/>
    <x v="2"/>
    <n v="1"/>
  </r>
  <r>
    <n v="16"/>
    <m/>
    <x v="15"/>
    <x v="0"/>
    <d v="2025-12-17T00:00:00"/>
    <s v="CUM"/>
    <n v="380"/>
    <n v="45.72"/>
    <n v="45.72"/>
    <n v="0"/>
    <x v="0"/>
    <n v="0"/>
    <n v="45.72"/>
    <n v="0"/>
    <n v="0"/>
    <n v="0"/>
    <x v="2"/>
    <n v="1"/>
  </r>
  <r>
    <n v="17"/>
    <m/>
    <x v="16"/>
    <x v="0"/>
    <d v="2025-12-17T00:00:00"/>
    <s v="SMT"/>
    <n v="5235"/>
    <n v="92.29"/>
    <n v="59.5"/>
    <n v="32.790000000000006"/>
    <x v="1"/>
    <n v="15"/>
    <n v="74.5"/>
    <n v="0.3552930978437534"/>
    <n v="1"/>
    <n v="0.45745654162854521"/>
    <x v="2"/>
    <n v="0.80723805396034232"/>
  </r>
  <r>
    <n v="18"/>
    <m/>
    <x v="17"/>
    <x v="0"/>
    <d v="2025-12-17T00:00:00"/>
    <s v="CUM"/>
    <n v="130"/>
    <n v="16.167999999999999"/>
    <n v="16.170000000000002"/>
    <n v="-2.0000000000024443E-3"/>
    <x v="0"/>
    <n v="0"/>
    <n v="16.170000000000002"/>
    <n v="-1.2370113805062124E-4"/>
    <n v="0"/>
    <n v="0"/>
    <x v="2"/>
    <n v="1.0001237011380506"/>
  </r>
  <r>
    <n v="19"/>
    <m/>
    <x v="18"/>
    <x v="0"/>
    <d v="2025-12-17T00:00:00"/>
    <s v="CUM"/>
    <n v="265"/>
    <n v="86.9"/>
    <n v="86.9"/>
    <n v="0"/>
    <x v="0"/>
    <n v="0"/>
    <n v="86.9"/>
    <n v="0"/>
    <n v="0"/>
    <n v="0"/>
    <x v="2"/>
    <n v="1"/>
  </r>
  <r>
    <n v="20"/>
    <m/>
    <x v="19"/>
    <x v="0"/>
    <d v="2025-12-17T00:00:00"/>
    <s v="SMT"/>
    <n v="1075"/>
    <n v="15.3"/>
    <n v="15.3"/>
    <n v="0"/>
    <x v="0"/>
    <n v="0"/>
    <n v="15.3"/>
    <n v="0"/>
    <n v="0"/>
    <n v="0"/>
    <x v="2"/>
    <n v="1"/>
  </r>
  <r>
    <n v="21"/>
    <m/>
    <x v="20"/>
    <x v="0"/>
    <d v="2025-12-17T00:00:00"/>
    <s v="CUM"/>
    <n v="380"/>
    <n v="88.03"/>
    <n v="88.03"/>
    <n v="0"/>
    <x v="0"/>
    <n v="0"/>
    <n v="88.03"/>
    <n v="0"/>
    <n v="0"/>
    <n v="0"/>
    <x v="2"/>
    <n v="1"/>
  </r>
  <r>
    <s v="Avreage  Achivement  : - "/>
    <m/>
    <x v="21"/>
    <x v="1"/>
    <m/>
    <m/>
    <m/>
    <m/>
    <m/>
    <m/>
    <x v="2"/>
    <m/>
    <m/>
    <m/>
    <n v="4.7619047619047616E-2"/>
    <n v="2.1783644839454535E-2"/>
    <x v="3"/>
    <n v="0.99077442934886106"/>
  </r>
  <r>
    <n v="22"/>
    <s v="Ground Floor"/>
    <x v="22"/>
    <x v="0"/>
    <d v="2025-12-17T00:00:00"/>
    <s v="SQM"/>
    <n v="1680"/>
    <n v="427.55"/>
    <n v="427.55399999999997"/>
    <n v="-3.999999999962256E-3"/>
    <x v="0"/>
    <n v="0"/>
    <n v="427.55399999999997"/>
    <n v="-9.3556309202719113E-6"/>
    <n v="0"/>
    <n v="0"/>
    <x v="2"/>
    <n v="1.0000093556309202"/>
  </r>
  <r>
    <n v="23"/>
    <m/>
    <x v="23"/>
    <x v="0"/>
    <d v="2025-12-17T00:00:00"/>
    <s v="SQM"/>
    <m/>
    <n v="700.59"/>
    <n v="700.59"/>
    <n v="0"/>
    <x v="0"/>
    <n v="0"/>
    <n v="700.59"/>
    <n v="0"/>
    <n v="0"/>
    <n v="0"/>
    <x v="2"/>
    <n v="1"/>
  </r>
  <r>
    <n v="24"/>
    <m/>
    <x v="24"/>
    <x v="0"/>
    <d v="2025-12-17T00:00:00"/>
    <s v="SQM"/>
    <m/>
    <n v="664.26"/>
    <n v="664.23"/>
    <n v="2.9999999999972715E-2"/>
    <x v="0"/>
    <n v="0"/>
    <n v="664.23"/>
    <n v="4.516303856919386E-5"/>
    <n v="0"/>
    <n v="0"/>
    <x v="2"/>
    <n v="0.99995483696143084"/>
  </r>
  <r>
    <n v="25"/>
    <m/>
    <x v="25"/>
    <x v="0"/>
    <d v="2025-12-17T00:00:00"/>
    <s v="SQM"/>
    <m/>
    <n v="57.39"/>
    <n v="57.39"/>
    <n v="0"/>
    <x v="0"/>
    <n v="0"/>
    <n v="57.39"/>
    <n v="0"/>
    <n v="0"/>
    <n v="0"/>
    <x v="2"/>
    <n v="1"/>
  </r>
  <r>
    <n v="26"/>
    <m/>
    <x v="26"/>
    <x v="0"/>
    <d v="2025-12-17T00:00:00"/>
    <s v="SQM"/>
    <m/>
    <n v="67.989999999999995"/>
    <n v="56"/>
    <n v="11.989999999999995"/>
    <x v="0"/>
    <n v="0"/>
    <n v="56"/>
    <n v="0.17634946315634645"/>
    <n v="0"/>
    <n v="0"/>
    <x v="2"/>
    <n v="0.82365053684365352"/>
  </r>
  <r>
    <n v="27"/>
    <m/>
    <x v="27"/>
    <x v="0"/>
    <d v="2025-12-17T00:00:00"/>
    <s v="CUM"/>
    <n v="210"/>
    <n v="32.822000000000003"/>
    <n v="32.82"/>
    <n v="2.0000000000024443E-3"/>
    <x v="0"/>
    <n v="0"/>
    <n v="32.82"/>
    <n v="6.0934738894718302E-5"/>
    <n v="0"/>
    <n v="0"/>
    <x v="2"/>
    <n v="0.99993906526110532"/>
  </r>
  <r>
    <n v="28"/>
    <m/>
    <x v="28"/>
    <x v="0"/>
    <d v="2025-12-17T00:00:00"/>
    <s v="CUM"/>
    <m/>
    <n v="61.76"/>
    <n v="61.75"/>
    <n v="9.9999999999980105E-3"/>
    <x v="0"/>
    <n v="0"/>
    <n v="61.75"/>
    <n v="1.6191709844556363E-4"/>
    <n v="0"/>
    <n v="0"/>
    <x v="2"/>
    <n v="0.9998380829015544"/>
  </r>
  <r>
    <n v="29"/>
    <m/>
    <x v="29"/>
    <x v="0"/>
    <d v="2025-12-17T00:00:00"/>
    <s v="CUM"/>
    <m/>
    <n v="101.99"/>
    <n v="101.98"/>
    <n v="9.9999999999909051E-3"/>
    <x v="0"/>
    <n v="0"/>
    <n v="101.98"/>
    <n v="9.8048828316412443E-5"/>
    <n v="0"/>
    <n v="0"/>
    <x v="2"/>
    <n v="0.99990195117168357"/>
  </r>
  <r>
    <n v="30"/>
    <m/>
    <x v="30"/>
    <x v="0"/>
    <d v="2025-12-17T00:00:00"/>
    <s v="CUM"/>
    <m/>
    <n v="8.5299999999999994"/>
    <n v="8.52"/>
    <n v="9.9999999999997868E-3"/>
    <x v="0"/>
    <n v="0"/>
    <n v="8.52"/>
    <n v="1.172332942555661E-3"/>
    <n v="0"/>
    <n v="0"/>
    <x v="2"/>
    <n v="0.9988276670574443"/>
  </r>
  <r>
    <n v="31"/>
    <m/>
    <x v="31"/>
    <x v="0"/>
    <d v="2025-12-17T00:00:00"/>
    <s v="CUM"/>
    <m/>
    <n v="3.91"/>
    <n v="2"/>
    <n v="1.9100000000000001"/>
    <x v="0"/>
    <n v="0"/>
    <n v="2"/>
    <n v="0.48849104859335041"/>
    <n v="0"/>
    <n v="0"/>
    <x v="2"/>
    <n v="0.51150895140664965"/>
  </r>
  <r>
    <n v="32"/>
    <m/>
    <x v="32"/>
    <x v="0"/>
    <d v="2025-12-17T00:00:00"/>
    <s v="CUM"/>
    <n v="80"/>
    <n v="73.48"/>
    <n v="36.86"/>
    <n v="36.620000000000005"/>
    <x v="3"/>
    <n v="7"/>
    <n v="43.86"/>
    <n v="0.49836690255851934"/>
    <n v="0.54614964500273067"/>
    <n v="0.19115237575095573"/>
    <x v="2"/>
    <n v="0.59689711486118668"/>
  </r>
  <r>
    <n v="33"/>
    <m/>
    <x v="33"/>
    <x v="0"/>
    <d v="2025-12-17T00:00:00"/>
    <s v="SMT"/>
    <n v="1170"/>
    <n v="768"/>
    <n v="346.26"/>
    <n v="421.74"/>
    <x v="4"/>
    <n v="10"/>
    <n v="356.26"/>
    <n v="0.54914062500000005"/>
    <n v="0.2371129131692512"/>
    <n v="2.371129131692512E-2"/>
    <x v="2"/>
    <n v="0.46388020833333332"/>
  </r>
  <r>
    <n v="34"/>
    <m/>
    <x v="34"/>
    <x v="0"/>
    <d v="2025-12-17T00:00:00"/>
    <s v="SMT"/>
    <n v="1591.21"/>
    <n v="1733.79"/>
    <n v="362"/>
    <n v="1371.79"/>
    <x v="5"/>
    <n v="301"/>
    <n v="663"/>
    <n v="0.79120885459023294"/>
    <n v="0.43738473089904434"/>
    <n v="0.21942134000102057"/>
    <x v="2"/>
    <n v="0.38239925250462858"/>
  </r>
  <r>
    <n v="35"/>
    <m/>
    <x v="35"/>
    <x v="0"/>
    <d v="2025-12-17T00:00:00"/>
    <s v="SMT"/>
    <n v="830"/>
    <n v="841.16"/>
    <n v="0"/>
    <n v="841.16"/>
    <x v="4"/>
    <n v="55.15"/>
    <n v="55.15"/>
    <n v="1"/>
    <n v="0.11888344666888583"/>
    <n v="6.5564220837890527E-2"/>
    <x v="2"/>
    <n v="6.5564220837890527E-2"/>
  </r>
  <r>
    <n v="36"/>
    <m/>
    <x v="36"/>
    <x v="0"/>
    <d v="2025-12-17T00:00:00"/>
    <s v="RMT"/>
    <n v="1865"/>
    <n v="1859.2"/>
    <n v="0"/>
    <n v="1859.2"/>
    <x v="4"/>
    <n v="45"/>
    <n v="45"/>
    <n v="1"/>
    <n v="5.3786574870912221E-2"/>
    <n v="2.4203958691910499E-2"/>
    <x v="2"/>
    <n v="2.4203958691910499E-2"/>
  </r>
  <r>
    <s v="Avreage  Achivement  : - "/>
    <m/>
    <x v="21"/>
    <x v="1"/>
    <m/>
    <m/>
    <m/>
    <m/>
    <m/>
    <m/>
    <x v="2"/>
    <m/>
    <m/>
    <m/>
    <n v="9.2887820707388283E-2"/>
    <n v="3.4936879106580158E-2"/>
    <x v="3"/>
    <n v="0.7244383468308927"/>
  </r>
  <r>
    <n v="37"/>
    <s v="First Floor"/>
    <x v="37"/>
    <x v="0"/>
    <d v="2025-12-17T00:00:00"/>
    <s v="SQM"/>
    <n v="1680"/>
    <n v="439.91300000000001"/>
    <n v="315"/>
    <n v="124.91300000000001"/>
    <x v="4"/>
    <n v="21.32"/>
    <n v="336.32"/>
    <n v="0.28394932634407261"/>
    <n v="0.80055718780271057"/>
    <n v="0.1706787924395379"/>
    <x v="2"/>
    <n v="0.76451480179035392"/>
  </r>
  <r>
    <n v="38"/>
    <m/>
    <x v="38"/>
    <x v="0"/>
    <d v="2025-12-17T00:00:00"/>
    <s v="SQM"/>
    <m/>
    <n v="700.59"/>
    <n v="701"/>
    <n v="-0.40999999999996817"/>
    <x v="0"/>
    <n v="0"/>
    <n v="701"/>
    <n v="-5.8522102799064813E-4"/>
    <n v="0"/>
    <n v="0"/>
    <x v="2"/>
    <n v="1.0005852210279906"/>
  </r>
  <r>
    <n v="39"/>
    <m/>
    <x v="39"/>
    <x v="0"/>
    <d v="2025-12-17T00:00:00"/>
    <s v="SQM"/>
    <m/>
    <n v="664.26"/>
    <n v="664.26"/>
    <n v="0"/>
    <x v="0"/>
    <n v="0"/>
    <n v="664.26"/>
    <n v="0"/>
    <n v="0"/>
    <n v="0"/>
    <x v="2"/>
    <n v="1"/>
  </r>
  <r>
    <n v="40"/>
    <m/>
    <x v="40"/>
    <x v="0"/>
    <d v="2025-12-17T00:00:00"/>
    <s v="SQM"/>
    <m/>
    <n v="57.39"/>
    <n v="57.39"/>
    <n v="0"/>
    <x v="0"/>
    <n v="0"/>
    <n v="57.39"/>
    <n v="0"/>
    <n v="0"/>
    <n v="0"/>
    <x v="2"/>
    <n v="1"/>
  </r>
  <r>
    <n v="41"/>
    <m/>
    <x v="41"/>
    <x v="0"/>
    <d v="2025-12-17T00:00:00"/>
    <s v="SQM"/>
    <m/>
    <n v="67.989999999999995"/>
    <n v="0"/>
    <n v="67.989999999999995"/>
    <x v="6"/>
    <n v="29"/>
    <n v="29"/>
    <n v="1"/>
    <n v="0.8824827180467717"/>
    <n v="0.42653331372260628"/>
    <x v="2"/>
    <n v="0.42653331372260628"/>
  </r>
  <r>
    <n v="42"/>
    <m/>
    <x v="42"/>
    <x v="0"/>
    <d v="2025-12-17T00:00:00"/>
    <s v="CUM"/>
    <n v="210"/>
    <n v="32.822000000000003"/>
    <n v="25.810000000000002"/>
    <n v="7.0120000000000005"/>
    <x v="0"/>
    <n v="0"/>
    <n v="25.810000000000002"/>
    <n v="0.2136371945646213"/>
    <n v="0"/>
    <n v="0"/>
    <x v="2"/>
    <n v="0.78636280543537873"/>
  </r>
  <r>
    <n v="43"/>
    <m/>
    <x v="43"/>
    <x v="0"/>
    <d v="2025-12-17T00:00:00"/>
    <s v="CUM"/>
    <m/>
    <n v="8.5299999999999994"/>
    <n v="8.5299999999999994"/>
    <n v="0"/>
    <x v="0"/>
    <n v="0"/>
    <n v="8.5299999999999994"/>
    <n v="0"/>
    <n v="0"/>
    <n v="0"/>
    <x v="2"/>
    <n v="1"/>
  </r>
  <r>
    <n v="44"/>
    <m/>
    <x v="44"/>
    <x v="0"/>
    <d v="2025-12-17T00:00:00"/>
    <s v="CUM"/>
    <m/>
    <n v="61.76"/>
    <n v="61.76"/>
    <n v="0"/>
    <x v="0"/>
    <n v="0"/>
    <n v="61.76"/>
    <n v="0"/>
    <n v="0"/>
    <n v="0"/>
    <x v="2"/>
    <n v="1"/>
  </r>
  <r>
    <n v="45"/>
    <m/>
    <x v="45"/>
    <x v="0"/>
    <d v="2025-12-17T00:00:00"/>
    <s v="CUM"/>
    <m/>
    <n v="101.99"/>
    <n v="101.99"/>
    <n v="0"/>
    <x v="0"/>
    <n v="0"/>
    <n v="101.99"/>
    <n v="0"/>
    <n v="0"/>
    <n v="0"/>
    <x v="2"/>
    <n v="1"/>
  </r>
  <r>
    <n v="46"/>
    <m/>
    <x v="46"/>
    <x v="0"/>
    <d v="2025-12-17T00:00:00"/>
    <s v="CUM"/>
    <m/>
    <n v="3.91"/>
    <n v="0"/>
    <n v="0"/>
    <x v="0"/>
    <n v="0"/>
    <n v="0"/>
    <n v="0"/>
    <n v="0"/>
    <n v="0"/>
    <x v="2"/>
    <n v="0"/>
  </r>
  <r>
    <n v="47"/>
    <m/>
    <x v="47"/>
    <x v="0"/>
    <d v="2025-12-17T00:00:00"/>
    <s v="CUM"/>
    <n v="80"/>
    <n v="73.48"/>
    <n v="0"/>
    <n v="73.48"/>
    <x v="3"/>
    <n v="28.630000000000003"/>
    <n v="28.630000000000003"/>
    <n v="1"/>
    <n v="0.27218290691344582"/>
    <n v="0.38962983124659772"/>
    <x v="2"/>
    <n v="0.38962983124659772"/>
  </r>
  <r>
    <n v="48"/>
    <m/>
    <x v="48"/>
    <x v="0"/>
    <d v="2025-12-17T00:00:00"/>
    <s v="SMT"/>
    <n v="1170"/>
    <n v="768"/>
    <n v="0"/>
    <n v="768"/>
    <x v="7"/>
    <n v="174.54999999999998"/>
    <n v="174.54999999999998"/>
    <n v="1"/>
    <n v="0.390625"/>
    <n v="0.22727864583333332"/>
    <x v="2"/>
    <n v="0.22727864583333332"/>
  </r>
  <r>
    <n v="49"/>
    <m/>
    <x v="34"/>
    <x v="0"/>
    <d v="2025-12-17T00:00:00"/>
    <s v="SMT"/>
    <n v="1591.21"/>
    <n v="1733.79"/>
    <n v="0"/>
    <n v="1733.79"/>
    <x v="0"/>
    <n v="0"/>
    <n v="0"/>
    <n v="1"/>
    <n v="0"/>
    <n v="0"/>
    <x v="2"/>
    <n v="0"/>
  </r>
  <r>
    <n v="50"/>
    <m/>
    <x v="35"/>
    <x v="0"/>
    <d v="2025-12-17T00:00:00"/>
    <s v="SMT"/>
    <n v="830"/>
    <n v="841.16"/>
    <n v="0"/>
    <n v="841.16"/>
    <x v="0"/>
    <n v="0"/>
    <n v="0"/>
    <n v="1"/>
    <n v="0"/>
    <n v="0"/>
    <x v="2"/>
    <n v="0"/>
  </r>
  <r>
    <n v="51"/>
    <m/>
    <x v="36"/>
    <x v="0"/>
    <d v="2025-12-17T00:00:00"/>
    <s v="RMT"/>
    <n v="1865"/>
    <n v="1859.2"/>
    <n v="0"/>
    <n v="1859.2"/>
    <x v="0"/>
    <n v="0"/>
    <n v="0"/>
    <n v="1"/>
    <n v="0"/>
    <n v="0"/>
    <x v="2"/>
    <n v="0"/>
  </r>
  <r>
    <s v="Avreage  Achivement  : - "/>
    <m/>
    <x v="21"/>
    <x v="1"/>
    <m/>
    <m/>
    <m/>
    <m/>
    <m/>
    <m/>
    <x v="2"/>
    <m/>
    <m/>
    <m/>
    <n v="0.15638985418419521"/>
    <n v="8.0941372216138341E-2"/>
    <x v="3"/>
    <n v="0.5729936412704173"/>
  </r>
  <r>
    <n v="52"/>
    <s v="Second Floor"/>
    <x v="49"/>
    <x v="0"/>
    <d v="2025-12-17T00:00:00"/>
    <s v="SQM"/>
    <n v="1680"/>
    <n v="439.91300000000001"/>
    <n v="310.94"/>
    <n v="128.97300000000001"/>
    <x v="0"/>
    <n v="0"/>
    <n v="310.94"/>
    <n v="0.29317842391563786"/>
    <n v="0"/>
    <n v="0"/>
    <x v="2"/>
    <n v="0.70682157608436214"/>
  </r>
  <r>
    <n v="53"/>
    <m/>
    <x v="50"/>
    <x v="0"/>
    <d v="2025-12-17T00:00:00"/>
    <s v="SQM"/>
    <m/>
    <n v="57.39"/>
    <n v="57.39"/>
    <n v="0"/>
    <x v="0"/>
    <n v="0"/>
    <n v="57.39"/>
    <n v="0"/>
    <n v="0"/>
    <n v="0"/>
    <x v="2"/>
    <n v="1"/>
  </r>
  <r>
    <n v="54"/>
    <m/>
    <x v="51"/>
    <x v="0"/>
    <d v="2025-12-17T00:00:00"/>
    <s v="SQM"/>
    <m/>
    <n v="700.59"/>
    <n v="700.59"/>
    <n v="0"/>
    <x v="0"/>
    <n v="0"/>
    <n v="700.59"/>
    <n v="0"/>
    <n v="0"/>
    <n v="0"/>
    <x v="2"/>
    <n v="1"/>
  </r>
  <r>
    <n v="55"/>
    <m/>
    <x v="52"/>
    <x v="0"/>
    <d v="2025-12-17T00:00:00"/>
    <s v="SQM"/>
    <m/>
    <n v="664.26"/>
    <n v="664.26"/>
    <n v="0"/>
    <x v="0"/>
    <n v="0"/>
    <n v="664.26"/>
    <n v="0"/>
    <n v="0"/>
    <n v="0"/>
    <x v="2"/>
    <n v="1"/>
  </r>
  <r>
    <n v="56"/>
    <m/>
    <x v="53"/>
    <x v="0"/>
    <d v="2025-12-17T00:00:00"/>
    <s v="CUM"/>
    <n v="210"/>
    <n v="32.822000000000003"/>
    <n v="25.414999999999999"/>
    <n v="7.4070000000000036"/>
    <x v="0"/>
    <n v="0"/>
    <n v="25.414999999999999"/>
    <n v="0.22567180549631355"/>
    <n v="0"/>
    <n v="0"/>
    <x v="2"/>
    <n v="0.77432819450368651"/>
  </r>
  <r>
    <n v="57"/>
    <m/>
    <x v="54"/>
    <x v="0"/>
    <d v="2025-12-17T00:00:00"/>
    <s v="CUM"/>
    <m/>
    <n v="8.5299999999999994"/>
    <n v="8.5299999999999994"/>
    <n v="0"/>
    <x v="0"/>
    <n v="0"/>
    <n v="8.5299999999999994"/>
    <n v="0"/>
    <n v="0"/>
    <n v="0"/>
    <x v="2"/>
    <n v="1"/>
  </r>
  <r>
    <n v="58"/>
    <m/>
    <x v="55"/>
    <x v="0"/>
    <d v="2025-12-17T00:00:00"/>
    <s v="CUM"/>
    <m/>
    <n v="61.76"/>
    <n v="61.76"/>
    <n v="0"/>
    <x v="0"/>
    <n v="0"/>
    <n v="61.76"/>
    <n v="0"/>
    <n v="0"/>
    <n v="0"/>
    <x v="2"/>
    <n v="1"/>
  </r>
  <r>
    <n v="59"/>
    <m/>
    <x v="56"/>
    <x v="0"/>
    <d v="2025-12-17T00:00:00"/>
    <s v="CUM"/>
    <m/>
    <n v="101.99"/>
    <n v="101.99"/>
    <n v="0"/>
    <x v="0"/>
    <n v="0"/>
    <n v="101.99"/>
    <n v="0"/>
    <n v="0"/>
    <n v="0"/>
    <x v="2"/>
    <n v="1"/>
  </r>
  <r>
    <s v="Avreage  Achivement  : - "/>
    <m/>
    <x v="21"/>
    <x v="1"/>
    <m/>
    <m/>
    <m/>
    <m/>
    <m/>
    <m/>
    <x v="2"/>
    <m/>
    <m/>
    <m/>
    <n v="0"/>
    <n v="0"/>
    <x v="3"/>
    <n v="0.93514372132350609"/>
  </r>
  <r>
    <n v="60"/>
    <s v="Third Floor"/>
    <x v="57"/>
    <x v="0"/>
    <d v="2025-12-17T00:00:00"/>
    <s v="SQM"/>
    <n v="1680"/>
    <n v="439.91300000000001"/>
    <n v="98"/>
    <n v="341.91300000000001"/>
    <x v="8"/>
    <n v="188.42"/>
    <n v="286.41999999999996"/>
    <n v="0.77722867930704476"/>
    <n v="0.62004077060538787"/>
    <n v="0.55107585847861873"/>
    <x v="2"/>
    <n v="0.65108328237628788"/>
  </r>
  <r>
    <n v="61"/>
    <m/>
    <x v="58"/>
    <x v="0"/>
    <d v="2025-12-17T00:00:00"/>
    <s v="SQM"/>
    <m/>
    <n v="57.39"/>
    <n v="0"/>
    <n v="57.39"/>
    <x v="9"/>
    <n v="30"/>
    <n v="30"/>
    <n v="1"/>
    <n v="0.52273915316257191"/>
    <n v="0.52273915316257191"/>
    <x v="2"/>
    <n v="0.52273915316257191"/>
  </r>
  <r>
    <n v="62"/>
    <m/>
    <x v="59"/>
    <x v="0"/>
    <d v="2025-12-17T00:00:00"/>
    <s v="SQM"/>
    <m/>
    <n v="700.59"/>
    <n v="0"/>
    <n v="700.59"/>
    <x v="10"/>
    <n v="350"/>
    <n v="350"/>
    <n v="1"/>
    <n v="0.57094734438116446"/>
    <n v="0.49957892633351886"/>
    <x v="2"/>
    <n v="0.49957892633351886"/>
  </r>
  <r>
    <n v="63"/>
    <m/>
    <x v="60"/>
    <x v="0"/>
    <d v="2025-12-17T00:00:00"/>
    <s v="SQM"/>
    <m/>
    <n v="664.26"/>
    <n v="0"/>
    <n v="664.26"/>
    <x v="10"/>
    <n v="180"/>
    <n v="180"/>
    <n v="1"/>
    <n v="0.60217384758979919"/>
    <n v="0.27097823141540961"/>
    <x v="2"/>
    <n v="0.27097823141540961"/>
  </r>
  <r>
    <n v="64"/>
    <m/>
    <x v="61"/>
    <x v="0"/>
    <d v="2025-12-17T00:00:00"/>
    <s v="CUM"/>
    <n v="210"/>
    <n v="32.822000000000003"/>
    <n v="2.58"/>
    <n v="30.242000000000004"/>
    <x v="9"/>
    <n v="18"/>
    <n v="20.58"/>
    <n v="0.92139418682590946"/>
    <n v="0.99199788373784792"/>
    <n v="0.59519873024270875"/>
    <x v="2"/>
    <n v="0.62701846322588495"/>
  </r>
  <r>
    <n v="65"/>
    <m/>
    <x v="62"/>
    <x v="0"/>
    <d v="2025-12-17T00:00:00"/>
    <s v="CUM"/>
    <m/>
    <n v="8.5299999999999994"/>
    <n v="0"/>
    <n v="8.5299999999999994"/>
    <x v="11"/>
    <n v="2.1"/>
    <n v="2.1"/>
    <n v="1"/>
    <n v="0.58616647127784294"/>
    <n v="0.24618991793669406"/>
    <x v="2"/>
    <n v="0.24618991793669406"/>
  </r>
  <r>
    <n v="66"/>
    <m/>
    <x v="63"/>
    <x v="0"/>
    <d v="2025-12-17T00:00:00"/>
    <s v="CUM"/>
    <m/>
    <n v="61.76"/>
    <n v="0"/>
    <n v="61.76"/>
    <x v="0"/>
    <n v="0"/>
    <n v="0"/>
    <n v="1"/>
    <n v="0"/>
    <n v="0"/>
    <x v="2"/>
    <n v="0"/>
  </r>
  <r>
    <n v="67"/>
    <m/>
    <x v="64"/>
    <x v="0"/>
    <d v="2025-12-17T00:00:00"/>
    <s v="CUM"/>
    <m/>
    <n v="101.99"/>
    <n v="0"/>
    <n v="101.99"/>
    <x v="0"/>
    <n v="0"/>
    <n v="0"/>
    <n v="1"/>
    <n v="0"/>
    <n v="0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D9A46-DF92-4901-9ACB-F698CCA6D9C1}" name="PivotTable10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130:E147" firstHeaderRow="0" firstDataRow="1" firstDataCol="2" rowPageCount="1" colPageCount="1"/>
  <pivotFields count="18">
    <pivotField compact="0" outline="0" showAll="0" defaultSubtotal="0"/>
    <pivotField compact="0" outline="0" showAll="0" defaultSubtotal="0"/>
    <pivotField axis="axisRow" compact="0" outline="0" showAll="0" defaultSubtotal="0">
      <items count="65">
        <item x="48"/>
        <item x="47"/>
        <item x="33"/>
        <item x="32"/>
        <item x="0"/>
        <item x="44"/>
        <item x="38"/>
        <item x="46"/>
        <item x="41"/>
        <item x="45"/>
        <item x="39"/>
        <item x="43"/>
        <item x="40"/>
        <item x="53"/>
        <item x="49"/>
        <item x="18"/>
        <item x="20"/>
        <item x="19"/>
        <item x="35"/>
        <item x="1"/>
        <item x="5"/>
        <item x="4"/>
        <item x="8"/>
        <item x="9"/>
        <item x="11"/>
        <item x="10"/>
        <item x="28"/>
        <item x="23"/>
        <item x="31"/>
        <item x="26"/>
        <item x="29"/>
        <item x="24"/>
        <item x="30"/>
        <item x="25"/>
        <item x="42"/>
        <item x="37"/>
        <item x="34"/>
        <item x="12"/>
        <item x="17"/>
        <item x="7"/>
        <item x="6"/>
        <item x="13"/>
        <item x="15"/>
        <item x="14"/>
        <item x="16"/>
        <item x="27"/>
        <item x="22"/>
        <item x="3"/>
        <item x="55"/>
        <item x="51"/>
        <item x="56"/>
        <item x="52"/>
        <item x="54"/>
        <item x="50"/>
        <item x="61"/>
        <item x="57"/>
        <item x="36"/>
        <item x="63"/>
        <item x="59"/>
        <item x="64"/>
        <item x="60"/>
        <item x="62"/>
        <item x="58"/>
        <item x="2"/>
        <item h="1" x="21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2">
        <item h="1" x="0"/>
        <item x="11"/>
        <item x="3"/>
        <item x="9"/>
        <item x="1"/>
        <item x="6"/>
        <item x="4"/>
        <item x="8"/>
        <item x="7"/>
        <item x="10"/>
        <item x="5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numFmtId="9" outline="0" showAll="0" defaultSubtotal="0"/>
    <pivotField dataField="1" compact="0" numFmtId="9" outline="0" showAll="0" defaultSubtotal="0"/>
    <pivotField compact="0" outline="0" showAll="0" defaultSubtotal="0">
      <items count="4">
        <item x="0"/>
        <item x="1"/>
        <item x="3"/>
        <item x="2"/>
      </items>
    </pivotField>
    <pivotField dataField="1" compact="0" numFmtId="9" outline="0" showAll="0" defaultSubtotal="0"/>
  </pivotFields>
  <rowFields count="2">
    <field x="2"/>
    <field x="3"/>
  </rowFields>
  <rowItems count="17">
    <i>
      <x/>
      <x/>
    </i>
    <i>
      <x v="1"/>
      <x/>
    </i>
    <i>
      <x v="2"/>
      <x/>
    </i>
    <i>
      <x v="3"/>
      <x/>
    </i>
    <i>
      <x v="8"/>
      <x/>
    </i>
    <i>
      <x v="18"/>
      <x/>
    </i>
    <i>
      <x v="35"/>
      <x/>
    </i>
    <i>
      <x v="36"/>
      <x/>
    </i>
    <i>
      <x v="44"/>
      <x/>
    </i>
    <i>
      <x v="54"/>
      <x/>
    </i>
    <i>
      <x v="55"/>
      <x/>
    </i>
    <i>
      <x v="56"/>
      <x/>
    </i>
    <i>
      <x v="58"/>
      <x/>
    </i>
    <i>
      <x v="60"/>
      <x/>
    </i>
    <i>
      <x v="61"/>
      <x/>
    </i>
    <i>
      <x v="62"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Sum of % Planned Against _x000a_Balance Qty  " fld="14" baseField="0" baseItem="0" numFmtId="9"/>
    <dataField name="Sum of % Achieved Against Actual Qty" fld="15" baseField="0" baseItem="0" numFmtId="9"/>
    <dataField name="Sum of % Completed (Total against the GFC )2" fld="17" baseField="0" baseItem="0" numFmtId="9"/>
  </dataFields>
  <chartFormats count="3"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C73E2-A76F-44FF-9C40-08F84ED1E9B2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81:H86" firstHeaderRow="0" firstDataRow="1" firstDataCol="1"/>
  <pivotFields count="9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dataField="1" numFmtI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ekly planned Qty." fld="6" baseField="0" baseItem="0"/>
    <dataField name="Sum of Weekly actual Qty." fld="7" baseField="0" baseItem="0" numFmtId="1"/>
  </dataField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DF4C8-ABE3-4DCB-A65F-807B5C0D7CEC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1:D96" firstHeaderRow="0" firstDataRow="1" firstDataCol="1" rowPageCount="2" colPageCount="1"/>
  <pivotFields count="9">
    <pivotField compact="0" outline="0" showAll="0" defaultSubtotal="0"/>
    <pivotField compact="0" outline="0" showAll="0" defaultSubtotal="0">
      <items count="1">
        <item x="0"/>
      </items>
    </pivotField>
    <pivotField axis="axisRow" compact="0" outline="0" showAll="0" defaultSubtotal="0">
      <items count="64">
        <item x="47"/>
        <item x="46"/>
        <item x="32"/>
        <item x="31"/>
        <item x="42"/>
        <item x="37"/>
        <item x="45"/>
        <item x="40"/>
        <item x="43"/>
        <item x="38"/>
        <item x="44"/>
        <item x="39"/>
        <item x="52"/>
        <item x="48"/>
        <item x="6"/>
        <item x="12"/>
        <item x="20"/>
        <item x="34"/>
        <item x="0"/>
        <item x="4"/>
        <item x="8"/>
        <item x="16"/>
        <item x="1"/>
        <item x="5"/>
        <item x="10"/>
        <item x="18"/>
        <item x="27"/>
        <item x="22"/>
        <item x="30"/>
        <item x="25"/>
        <item x="28"/>
        <item x="23"/>
        <item x="29"/>
        <item x="24"/>
        <item x="41"/>
        <item x="36"/>
        <item x="33"/>
        <item x="13"/>
        <item x="14"/>
        <item x="17"/>
        <item x="9"/>
        <item x="7"/>
        <item x="11"/>
        <item x="19"/>
        <item x="15"/>
        <item x="26"/>
        <item x="21"/>
        <item x="3"/>
        <item x="54"/>
        <item x="50"/>
        <item x="55"/>
        <item x="51"/>
        <item x="53"/>
        <item x="49"/>
        <item x="60"/>
        <item x="56"/>
        <item x="35"/>
        <item x="62"/>
        <item x="58"/>
        <item x="63"/>
        <item x="59"/>
        <item x="61"/>
        <item x="57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Page" dataField="1" compact="0" outline="0" multipleItemSelectionAllowed="1" showAll="0" defaultSubtotal="0">
      <items count="11">
        <item h="1" x="1"/>
        <item h="1" x="0"/>
        <item x="10"/>
        <item x="3"/>
        <item x="8"/>
        <item x="2"/>
        <item x="6"/>
        <item x="4"/>
        <item x="7"/>
        <item x="9"/>
        <item x="5"/>
      </items>
    </pivotField>
    <pivotField axis="axisPage" dataField="1" compact="0" numFmtId="1" outline="0" multipleItemSelectionAllowed="1" showAll="0" defaultSubtotal="0">
      <items count="17">
        <item h="1" x="0"/>
        <item x="16"/>
        <item x="2"/>
        <item x="3"/>
        <item x="1"/>
        <item x="15"/>
        <item x="7"/>
        <item x="9"/>
        <item x="8"/>
        <item x="12"/>
        <item x="6"/>
        <item x="5"/>
        <item x="10"/>
        <item x="14"/>
        <item x="11"/>
        <item x="4"/>
        <item x="13"/>
      </items>
    </pivotField>
    <pivotField dataField="1" compact="0" outline="0" showAll="0" defaultSubtotal="0"/>
  </pivotFields>
  <rowFields count="1">
    <field x="2"/>
  </rowFields>
  <rowItems count="15">
    <i>
      <x v="2"/>
    </i>
    <i>
      <x v="3"/>
    </i>
    <i>
      <x v="7"/>
    </i>
    <i>
      <x v="17"/>
    </i>
    <i>
      <x v="35"/>
    </i>
    <i>
      <x v="36"/>
    </i>
    <i>
      <x v="44"/>
    </i>
    <i>
      <x v="54"/>
    </i>
    <i>
      <x v="55"/>
    </i>
    <i>
      <x v="56"/>
    </i>
    <i>
      <x v="58"/>
    </i>
    <i>
      <x v="60"/>
    </i>
    <i>
      <x v="61"/>
    </i>
    <i>
      <x v="6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6" hier="-1"/>
    <pageField fld="7" hier="-1"/>
  </pageFields>
  <dataFields count="3">
    <dataField name="Sum of Weekly planned Qty." fld="6" baseField="0" baseItem="0"/>
    <dataField name="Sum of Weekly actual Qty." fld="7" baseField="0" baseItem="0" numFmtId="1"/>
    <dataField name="Sum of Total Achieved Qty.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F3A19-8010-45E4-8CD5-7A650F709866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4:H109" firstHeaderRow="0" firstDataRow="1" firstDataCol="1"/>
  <pivotFields count="9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numFmtId="1"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s per GFC total Quantity" fld="5" baseField="0" baseItem="0"/>
    <dataField name="Sum of Total Achieved Qty.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3F17-5F54-46FC-B5D0-CC0B02D97435}">
  <sheetPr>
    <pageSetUpPr fitToPage="1"/>
  </sheetPr>
  <dimension ref="A1:AE76"/>
  <sheetViews>
    <sheetView tabSelected="1" zoomScale="32" zoomScaleNormal="229" workbookViewId="0">
      <selection activeCell="AJ14" sqref="AJ14"/>
    </sheetView>
  </sheetViews>
  <sheetFormatPr defaultRowHeight="14.4" x14ac:dyDescent="0.3"/>
  <cols>
    <col min="4" max="4" width="8.88671875" customWidth="1"/>
    <col min="5" max="5" width="15.44140625" customWidth="1"/>
    <col min="6" max="6" width="3.6640625" customWidth="1"/>
    <col min="18" max="18" width="2.44140625" customWidth="1"/>
    <col min="25" max="25" width="14.21875" customWidth="1"/>
    <col min="26" max="26" width="7.5546875" customWidth="1"/>
    <col min="30" max="30" width="14.6640625" customWidth="1"/>
    <col min="31" max="31" width="1.44140625" customWidth="1"/>
  </cols>
  <sheetData>
    <row r="1" spans="1:31" ht="14.4" customHeight="1" x14ac:dyDescent="0.3">
      <c r="A1" s="283" t="s">
        <v>174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5"/>
    </row>
    <row r="2" spans="1:31" ht="14.4" customHeight="1" x14ac:dyDescent="0.3">
      <c r="A2" s="286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8"/>
    </row>
    <row r="3" spans="1:31" ht="14.4" customHeight="1" x14ac:dyDescent="0.3">
      <c r="A3" s="286"/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8"/>
    </row>
    <row r="4" spans="1:31" ht="15" customHeight="1" x14ac:dyDescent="0.3">
      <c r="A4" s="286"/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8"/>
    </row>
    <row r="5" spans="1:31" ht="7.2" customHeight="1" thickBot="1" x14ac:dyDescent="0.35">
      <c r="A5" s="289"/>
      <c r="B5" s="290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88"/>
    </row>
    <row r="6" spans="1:31" s="160" customFormat="1" ht="15.6" customHeight="1" thickTop="1" x14ac:dyDescent="0.3">
      <c r="A6" s="291" t="s">
        <v>167</v>
      </c>
      <c r="B6" s="262"/>
      <c r="C6" s="262"/>
      <c r="D6" s="262"/>
      <c r="E6" s="263"/>
      <c r="F6" s="292"/>
      <c r="G6" s="266" t="s">
        <v>187</v>
      </c>
      <c r="H6" s="267"/>
      <c r="I6" s="267"/>
      <c r="J6" s="267"/>
      <c r="K6" s="267"/>
      <c r="L6" s="267"/>
      <c r="M6" s="267"/>
      <c r="N6" s="267"/>
      <c r="O6" s="267"/>
      <c r="P6" s="267"/>
      <c r="Q6" s="268"/>
      <c r="R6" s="293"/>
      <c r="S6" s="272" t="s">
        <v>185</v>
      </c>
      <c r="T6" s="273"/>
      <c r="U6" s="273"/>
      <c r="V6" s="273"/>
      <c r="W6" s="273"/>
      <c r="X6" s="273"/>
      <c r="Y6" s="273"/>
      <c r="Z6" s="273"/>
      <c r="AA6" s="273"/>
      <c r="AB6" s="273"/>
      <c r="AC6" s="273"/>
      <c r="AD6" s="273"/>
      <c r="AE6" s="294"/>
    </row>
    <row r="7" spans="1:31" s="160" customFormat="1" ht="30.6" customHeight="1" thickBot="1" x14ac:dyDescent="0.35">
      <c r="A7" s="295"/>
      <c r="B7" s="264"/>
      <c r="C7" s="264"/>
      <c r="D7" s="264"/>
      <c r="E7" s="265"/>
      <c r="F7" s="161"/>
      <c r="G7" s="269"/>
      <c r="H7" s="270"/>
      <c r="I7" s="270"/>
      <c r="J7" s="270"/>
      <c r="K7" s="270"/>
      <c r="L7" s="270"/>
      <c r="M7" s="270"/>
      <c r="N7" s="270"/>
      <c r="O7" s="270"/>
      <c r="P7" s="270"/>
      <c r="Q7" s="271"/>
      <c r="R7" s="293"/>
      <c r="S7" s="274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  <c r="AE7" s="294"/>
    </row>
    <row r="8" spans="1:31" s="160" customFormat="1" ht="33" customHeight="1" thickTop="1" thickBot="1" x14ac:dyDescent="0.35">
      <c r="A8" s="296" t="s">
        <v>163</v>
      </c>
      <c r="B8" s="184"/>
      <c r="C8" s="184"/>
      <c r="D8" s="185">
        <v>45809</v>
      </c>
      <c r="E8" s="186"/>
      <c r="F8" s="292"/>
      <c r="G8" s="259" t="s">
        <v>168</v>
      </c>
      <c r="H8" s="260"/>
      <c r="I8" s="259" t="s">
        <v>169</v>
      </c>
      <c r="J8" s="260"/>
      <c r="K8" s="260"/>
      <c r="L8" s="261"/>
      <c r="M8" s="260" t="s">
        <v>170</v>
      </c>
      <c r="N8" s="260"/>
      <c r="O8" s="260"/>
      <c r="P8" s="260"/>
      <c r="Q8" s="261"/>
      <c r="R8" s="293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D8" s="297"/>
      <c r="AE8" s="298"/>
    </row>
    <row r="9" spans="1:31" ht="30" customHeight="1" thickTop="1" thickBot="1" x14ac:dyDescent="0.35">
      <c r="A9" s="299" t="s">
        <v>166</v>
      </c>
      <c r="B9" s="187"/>
      <c r="C9" s="187"/>
      <c r="D9" s="188">
        <v>46203</v>
      </c>
      <c r="E9" s="189"/>
      <c r="F9" s="300"/>
      <c r="G9" s="168">
        <v>1</v>
      </c>
      <c r="H9" s="169"/>
      <c r="I9" s="172" t="str">
        <f>_xlfn.XLOOKUP(G9,'Weekly Manpower'!$G$4:$G$14,'Weekly Manpower'!$B$4:$B$14,0)</f>
        <v>Reinforcement work</v>
      </c>
      <c r="J9" s="173"/>
      <c r="K9" s="173"/>
      <c r="L9" s="174"/>
      <c r="M9" s="173" t="s">
        <v>172</v>
      </c>
      <c r="N9" s="173"/>
      <c r="O9" s="173"/>
      <c r="P9" s="173"/>
      <c r="Q9" s="174"/>
      <c r="R9" s="301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288"/>
    </row>
    <row r="10" spans="1:31" ht="31.8" customHeight="1" thickTop="1" thickBot="1" x14ac:dyDescent="0.35">
      <c r="A10" s="303" t="s">
        <v>164</v>
      </c>
      <c r="B10" s="178"/>
      <c r="C10" s="178"/>
      <c r="D10" s="179">
        <f ca="1">TODAY()</f>
        <v>46053</v>
      </c>
      <c r="E10" s="180"/>
      <c r="F10" s="300"/>
      <c r="G10" s="170">
        <v>2</v>
      </c>
      <c r="H10" s="171"/>
      <c r="I10" s="175" t="str">
        <f>_xlfn.XLOOKUP(G10,'Weekly Manpower'!$G$4:$G$14,'Weekly Manpower'!$B$4:$B$14,0)</f>
        <v>Plumbing</v>
      </c>
      <c r="J10" s="304"/>
      <c r="K10" s="304"/>
      <c r="L10" s="176"/>
      <c r="M10" s="304" t="s">
        <v>173</v>
      </c>
      <c r="N10" s="304"/>
      <c r="O10" s="304"/>
      <c r="P10" s="304"/>
      <c r="Q10" s="176"/>
      <c r="R10" s="301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288"/>
    </row>
    <row r="11" spans="1:31" ht="28.2" customHeight="1" thickTop="1" thickBot="1" x14ac:dyDescent="0.35">
      <c r="A11" s="305" t="s">
        <v>165</v>
      </c>
      <c r="B11" s="181"/>
      <c r="C11" s="181"/>
      <c r="D11" s="182">
        <f ca="1">(D10-D8)/(D9-D8)</f>
        <v>0.61928934010152281</v>
      </c>
      <c r="E11" s="183"/>
      <c r="F11" s="300"/>
      <c r="G11" s="163">
        <v>3</v>
      </c>
      <c r="H11" s="164"/>
      <c r="I11" s="165" t="str">
        <f>_xlfn.XLOOKUP(G11,'Weekly Manpower'!$G$4:$G$14,'Weekly Manpower'!$B$4:$B$14,0)</f>
        <v>Tiles Work</v>
      </c>
      <c r="J11" s="166"/>
      <c r="K11" s="166"/>
      <c r="L11" s="167"/>
      <c r="M11" s="166" t="s">
        <v>172</v>
      </c>
      <c r="N11" s="166"/>
      <c r="O11" s="166"/>
      <c r="P11" s="166"/>
      <c r="Q11" s="167"/>
      <c r="R11" s="301"/>
      <c r="S11" s="302"/>
      <c r="T11" s="302"/>
      <c r="U11" s="302"/>
      <c r="V11" s="302"/>
      <c r="W11" s="302"/>
      <c r="X11" s="302"/>
      <c r="Y11" s="302"/>
      <c r="Z11" s="302"/>
      <c r="AA11" s="302"/>
      <c r="AB11" s="302"/>
      <c r="AC11" s="302"/>
      <c r="AD11" s="302"/>
      <c r="AE11" s="288"/>
    </row>
    <row r="12" spans="1:31" ht="15" thickTop="1" x14ac:dyDescent="0.3">
      <c r="A12" s="306"/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  <c r="O12" s="302"/>
      <c r="P12" s="302"/>
      <c r="Q12" s="302"/>
      <c r="R12" s="301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288"/>
    </row>
    <row r="13" spans="1:31" x14ac:dyDescent="0.3">
      <c r="A13" s="306"/>
      <c r="B13" s="302"/>
      <c r="C13" s="302"/>
      <c r="D13" s="302"/>
      <c r="E13" s="302"/>
      <c r="F13" s="302"/>
      <c r="G13" s="302"/>
      <c r="H13" s="302"/>
      <c r="I13" s="302"/>
      <c r="J13" s="302"/>
      <c r="K13" s="302"/>
      <c r="L13" s="302"/>
      <c r="M13" s="302"/>
      <c r="N13" s="302"/>
      <c r="O13" s="302"/>
      <c r="P13" s="302"/>
      <c r="Q13" s="302"/>
      <c r="R13" s="301"/>
      <c r="S13" s="302"/>
      <c r="T13" s="302"/>
      <c r="U13" s="302"/>
      <c r="V13" s="302"/>
      <c r="W13" s="302"/>
      <c r="X13" s="302"/>
      <c r="Y13" s="302"/>
      <c r="Z13" s="302"/>
      <c r="AA13" s="302"/>
      <c r="AB13" s="302"/>
      <c r="AC13" s="302"/>
      <c r="AD13" s="302"/>
      <c r="AE13" s="288"/>
    </row>
    <row r="14" spans="1:31" x14ac:dyDescent="0.3">
      <c r="A14" s="306"/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2"/>
      <c r="M14" s="302"/>
      <c r="N14" s="302"/>
      <c r="O14" s="302"/>
      <c r="P14" s="302"/>
      <c r="Q14" s="302"/>
      <c r="R14" s="301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  <c r="AC14" s="302"/>
      <c r="AD14" s="302"/>
      <c r="AE14" s="288"/>
    </row>
    <row r="15" spans="1:31" x14ac:dyDescent="0.3">
      <c r="A15" s="306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1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288"/>
    </row>
    <row r="16" spans="1:31" x14ac:dyDescent="0.3">
      <c r="A16" s="306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M16" s="302"/>
      <c r="N16" s="302"/>
      <c r="O16" s="302"/>
      <c r="P16" s="302"/>
      <c r="Q16" s="302"/>
      <c r="R16" s="301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288"/>
    </row>
    <row r="17" spans="1:31" ht="15.6" x14ac:dyDescent="0.3">
      <c r="A17" s="306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M17" s="302"/>
      <c r="N17" s="302"/>
      <c r="O17" s="302"/>
      <c r="P17" s="302"/>
      <c r="Q17" s="302"/>
      <c r="R17" s="301"/>
      <c r="S17" s="302"/>
      <c r="T17" s="302"/>
      <c r="U17" s="302"/>
      <c r="V17" s="302"/>
      <c r="W17" s="302"/>
      <c r="X17" s="302"/>
      <c r="Y17" s="302"/>
      <c r="Z17" s="307"/>
      <c r="AA17" s="307"/>
      <c r="AB17" s="307"/>
      <c r="AC17" s="308"/>
      <c r="AD17" s="308"/>
      <c r="AE17" s="288"/>
    </row>
    <row r="18" spans="1:31" ht="15.6" x14ac:dyDescent="0.3">
      <c r="A18" s="306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1"/>
      <c r="S18" s="302"/>
      <c r="T18" s="302"/>
      <c r="U18" s="302"/>
      <c r="V18" s="302"/>
      <c r="W18" s="302"/>
      <c r="X18" s="302"/>
      <c r="Y18" s="302"/>
      <c r="Z18" s="307"/>
      <c r="AA18" s="307"/>
      <c r="AB18" s="307"/>
      <c r="AC18" s="309"/>
      <c r="AD18" s="309"/>
      <c r="AE18" s="288"/>
    </row>
    <row r="19" spans="1:31" x14ac:dyDescent="0.3">
      <c r="A19" s="306"/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1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  <c r="AC19" s="302"/>
      <c r="AD19" s="302"/>
      <c r="AE19" s="288"/>
    </row>
    <row r="20" spans="1:31" x14ac:dyDescent="0.3">
      <c r="A20" s="306"/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1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288"/>
    </row>
    <row r="21" spans="1:31" x14ac:dyDescent="0.3">
      <c r="A21" s="306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1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288"/>
    </row>
    <row r="22" spans="1:31" x14ac:dyDescent="0.3">
      <c r="A22" s="306"/>
      <c r="B22" s="302"/>
      <c r="C22" s="302"/>
      <c r="D22" s="302"/>
      <c r="E22" s="302"/>
      <c r="F22" s="302"/>
      <c r="G22" s="30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1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288"/>
    </row>
    <row r="23" spans="1:31" x14ac:dyDescent="0.3">
      <c r="A23" s="306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02"/>
      <c r="M23" s="302"/>
      <c r="N23" s="302"/>
      <c r="O23" s="302"/>
      <c r="P23" s="302"/>
      <c r="Q23" s="302"/>
      <c r="R23" s="301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2"/>
      <c r="AD23" s="302"/>
      <c r="AE23" s="288"/>
    </row>
    <row r="24" spans="1:31" x14ac:dyDescent="0.3">
      <c r="A24" s="306"/>
      <c r="B24" s="302"/>
      <c r="C24" s="302"/>
      <c r="D24" s="302"/>
      <c r="E24" s="302"/>
      <c r="F24" s="302"/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1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  <c r="AC24" s="302"/>
      <c r="AD24" s="302"/>
      <c r="AE24" s="288"/>
    </row>
    <row r="25" spans="1:31" x14ac:dyDescent="0.3">
      <c r="A25" s="306"/>
      <c r="B25" s="302"/>
      <c r="C25" s="302"/>
      <c r="D25" s="302"/>
      <c r="E25" s="302"/>
      <c r="F25" s="302"/>
      <c r="G25" s="302"/>
      <c r="H25" s="302"/>
      <c r="I25" s="302"/>
      <c r="J25" s="302"/>
      <c r="K25" s="302"/>
      <c r="L25" s="302"/>
      <c r="M25" s="302"/>
      <c r="N25" s="302"/>
      <c r="O25" s="302"/>
      <c r="P25" s="302"/>
      <c r="Q25" s="302"/>
      <c r="R25" s="301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302"/>
      <c r="AD25" s="302"/>
      <c r="AE25" s="288"/>
    </row>
    <row r="26" spans="1:31" x14ac:dyDescent="0.3">
      <c r="A26" s="306"/>
      <c r="B26" s="302"/>
      <c r="C26" s="302"/>
      <c r="D26" s="302"/>
      <c r="E26" s="302"/>
      <c r="F26" s="302"/>
      <c r="G26" s="302"/>
      <c r="H26" s="302"/>
      <c r="I26" s="302"/>
      <c r="J26" s="302"/>
      <c r="K26" s="302"/>
      <c r="L26" s="302"/>
      <c r="M26" s="302"/>
      <c r="N26" s="302"/>
      <c r="O26" s="302"/>
      <c r="P26" s="302"/>
      <c r="Q26" s="302"/>
      <c r="R26" s="301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288"/>
    </row>
    <row r="27" spans="1:31" x14ac:dyDescent="0.3">
      <c r="A27" s="306"/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302"/>
      <c r="M27" s="302"/>
      <c r="N27" s="302"/>
      <c r="O27" s="302"/>
      <c r="P27" s="302"/>
      <c r="Q27" s="302"/>
      <c r="R27" s="301"/>
      <c r="S27" s="302"/>
      <c r="T27" s="302"/>
      <c r="U27" s="302"/>
      <c r="V27" s="302"/>
      <c r="W27" s="302"/>
      <c r="X27" s="302"/>
      <c r="Y27" s="302"/>
      <c r="Z27" s="302"/>
      <c r="AA27" s="302"/>
      <c r="AB27" s="302"/>
      <c r="AC27" s="302"/>
      <c r="AD27" s="302"/>
      <c r="AE27" s="288"/>
    </row>
    <row r="28" spans="1:31" x14ac:dyDescent="0.3">
      <c r="A28" s="306"/>
      <c r="B28" s="302"/>
      <c r="C28" s="302"/>
      <c r="D28" s="302"/>
      <c r="E28" s="302"/>
      <c r="F28" s="302"/>
      <c r="G28" s="302"/>
      <c r="H28" s="302"/>
      <c r="I28" s="302"/>
      <c r="J28" s="302"/>
      <c r="K28" s="302"/>
      <c r="L28" s="302"/>
      <c r="M28" s="302"/>
      <c r="N28" s="302"/>
      <c r="O28" s="302"/>
      <c r="P28" s="302"/>
      <c r="Q28" s="302"/>
      <c r="R28" s="301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288"/>
    </row>
    <row r="29" spans="1:31" ht="11.4" customHeight="1" x14ac:dyDescent="0.3">
      <c r="A29" s="310"/>
      <c r="B29" s="300"/>
      <c r="C29" s="300"/>
      <c r="D29" s="300"/>
      <c r="E29" s="300"/>
      <c r="F29" s="300"/>
      <c r="G29" s="300"/>
      <c r="H29" s="300"/>
      <c r="I29" s="300"/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  <c r="AD29" s="300"/>
      <c r="AE29" s="288"/>
    </row>
    <row r="30" spans="1:31" ht="15.6" customHeight="1" x14ac:dyDescent="0.3">
      <c r="A30" s="311" t="s">
        <v>183</v>
      </c>
      <c r="B30" s="312"/>
      <c r="C30" s="312"/>
      <c r="D30" s="312"/>
      <c r="E30" s="312"/>
      <c r="F30" s="312"/>
      <c r="G30" s="312"/>
      <c r="H30" s="312"/>
      <c r="I30" s="312"/>
      <c r="J30" s="312"/>
      <c r="K30" s="312"/>
      <c r="L30" s="312"/>
      <c r="M30" s="312"/>
      <c r="N30" s="312"/>
      <c r="O30" s="312"/>
      <c r="P30" s="312"/>
      <c r="Q30" s="312"/>
      <c r="R30" s="312"/>
      <c r="S30" s="312"/>
      <c r="T30" s="312"/>
      <c r="U30" s="312"/>
      <c r="V30" s="312"/>
      <c r="W30" s="312"/>
      <c r="X30" s="312"/>
      <c r="Y30" s="312"/>
      <c r="Z30" s="312"/>
      <c r="AA30" s="312"/>
      <c r="AB30" s="312"/>
      <c r="AC30" s="312"/>
      <c r="AD30" s="312"/>
      <c r="AE30" s="288"/>
    </row>
    <row r="31" spans="1:31" ht="15.6" customHeight="1" x14ac:dyDescent="0.3">
      <c r="A31" s="311"/>
      <c r="B31" s="312"/>
      <c r="C31" s="312"/>
      <c r="D31" s="312"/>
      <c r="E31" s="312"/>
      <c r="F31" s="312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12"/>
      <c r="R31" s="312"/>
      <c r="S31" s="312"/>
      <c r="T31" s="312"/>
      <c r="U31" s="312"/>
      <c r="V31" s="312"/>
      <c r="W31" s="312"/>
      <c r="X31" s="312"/>
      <c r="Y31" s="312"/>
      <c r="Z31" s="312"/>
      <c r="AA31" s="312"/>
      <c r="AB31" s="312"/>
      <c r="AC31" s="312"/>
      <c r="AD31" s="312"/>
      <c r="AE31" s="288"/>
    </row>
    <row r="32" spans="1:31" x14ac:dyDescent="0.3">
      <c r="A32" s="306"/>
      <c r="B32" s="302"/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288"/>
    </row>
    <row r="33" spans="1:31" x14ac:dyDescent="0.3">
      <c r="A33" s="306"/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02"/>
      <c r="U33" s="302"/>
      <c r="V33" s="302"/>
      <c r="W33" s="302"/>
      <c r="X33" s="302"/>
      <c r="Y33" s="302"/>
      <c r="Z33" s="302"/>
      <c r="AA33" s="302"/>
      <c r="AB33" s="302"/>
      <c r="AC33" s="302"/>
      <c r="AD33" s="302"/>
      <c r="AE33" s="288"/>
    </row>
    <row r="34" spans="1:31" x14ac:dyDescent="0.3">
      <c r="A34" s="306"/>
      <c r="B34" s="302"/>
      <c r="C34" s="302"/>
      <c r="D34" s="302"/>
      <c r="E34" s="302"/>
      <c r="F34" s="302"/>
      <c r="G34" s="302"/>
      <c r="H34" s="302"/>
      <c r="I34" s="302"/>
      <c r="J34" s="302"/>
      <c r="K34" s="302"/>
      <c r="L34" s="302"/>
      <c r="M34" s="302"/>
      <c r="N34" s="302"/>
      <c r="O34" s="302"/>
      <c r="P34" s="302"/>
      <c r="Q34" s="302"/>
      <c r="R34" s="302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  <c r="AC34" s="302"/>
      <c r="AD34" s="302"/>
      <c r="AE34" s="288"/>
    </row>
    <row r="35" spans="1:31" x14ac:dyDescent="0.3">
      <c r="A35" s="306"/>
      <c r="B35" s="302"/>
      <c r="C35" s="302"/>
      <c r="D35" s="302"/>
      <c r="E35" s="302"/>
      <c r="F35" s="302"/>
      <c r="G35" s="302"/>
      <c r="H35" s="302"/>
      <c r="I35" s="302"/>
      <c r="J35" s="302"/>
      <c r="K35" s="302"/>
      <c r="L35" s="302"/>
      <c r="M35" s="302"/>
      <c r="N35" s="302"/>
      <c r="O35" s="302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288"/>
    </row>
    <row r="36" spans="1:31" x14ac:dyDescent="0.3">
      <c r="A36" s="306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  <c r="AC36" s="302"/>
      <c r="AD36" s="302"/>
      <c r="AE36" s="288"/>
    </row>
    <row r="37" spans="1:31" x14ac:dyDescent="0.3">
      <c r="A37" s="306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2"/>
      <c r="P37" s="302"/>
      <c r="Q37" s="302"/>
      <c r="R37" s="302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  <c r="AC37" s="302"/>
      <c r="AD37" s="302"/>
      <c r="AE37" s="288"/>
    </row>
    <row r="38" spans="1:31" x14ac:dyDescent="0.3">
      <c r="A38" s="306"/>
      <c r="B38" s="302"/>
      <c r="C38" s="302"/>
      <c r="D38" s="302"/>
      <c r="E38" s="302"/>
      <c r="F38" s="302"/>
      <c r="G38" s="302"/>
      <c r="H38" s="302"/>
      <c r="I38" s="302"/>
      <c r="J38" s="302"/>
      <c r="K38" s="302"/>
      <c r="L38" s="302"/>
      <c r="M38" s="302"/>
      <c r="N38" s="302"/>
      <c r="O38" s="302"/>
      <c r="P38" s="302"/>
      <c r="Q38" s="302"/>
      <c r="R38" s="302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288"/>
    </row>
    <row r="39" spans="1:31" x14ac:dyDescent="0.3">
      <c r="A39" s="306"/>
      <c r="B39" s="302"/>
      <c r="C39" s="302"/>
      <c r="D39" s="302"/>
      <c r="E39" s="302"/>
      <c r="F39" s="302"/>
      <c r="G39" s="302"/>
      <c r="H39" s="302"/>
      <c r="I39" s="302"/>
      <c r="J39" s="302"/>
      <c r="K39" s="302"/>
      <c r="L39" s="302"/>
      <c r="M39" s="302"/>
      <c r="N39" s="302"/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  <c r="AC39" s="302"/>
      <c r="AD39" s="302"/>
      <c r="AE39" s="288"/>
    </row>
    <row r="40" spans="1:31" x14ac:dyDescent="0.3">
      <c r="A40" s="306"/>
      <c r="B40" s="302"/>
      <c r="C40" s="302"/>
      <c r="D40" s="302"/>
      <c r="E40" s="302"/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288"/>
    </row>
    <row r="41" spans="1:31" x14ac:dyDescent="0.3">
      <c r="A41" s="306"/>
      <c r="B41" s="302"/>
      <c r="C41" s="302"/>
      <c r="D41" s="302"/>
      <c r="E41" s="302"/>
      <c r="F41" s="302"/>
      <c r="G41" s="302"/>
      <c r="H41" s="302"/>
      <c r="I41" s="302"/>
      <c r="J41" s="302"/>
      <c r="K41" s="302"/>
      <c r="L41" s="302"/>
      <c r="M41" s="302"/>
      <c r="N41" s="302"/>
      <c r="O41" s="302"/>
      <c r="P41" s="302"/>
      <c r="Q41" s="302"/>
      <c r="R41" s="302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  <c r="AC41" s="302"/>
      <c r="AD41" s="302"/>
      <c r="AE41" s="288"/>
    </row>
    <row r="42" spans="1:31" x14ac:dyDescent="0.3">
      <c r="A42" s="306"/>
      <c r="B42" s="302"/>
      <c r="C42" s="302"/>
      <c r="D42" s="302"/>
      <c r="E42" s="302"/>
      <c r="F42" s="302"/>
      <c r="G42" s="302"/>
      <c r="H42" s="302"/>
      <c r="I42" s="302"/>
      <c r="J42" s="302"/>
      <c r="K42" s="302"/>
      <c r="L42" s="302"/>
      <c r="M42" s="302"/>
      <c r="N42" s="302"/>
      <c r="O42" s="302"/>
      <c r="P42" s="302"/>
      <c r="Q42" s="302"/>
      <c r="R42" s="302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  <c r="AC42" s="302"/>
      <c r="AD42" s="302"/>
      <c r="AE42" s="288"/>
    </row>
    <row r="43" spans="1:31" x14ac:dyDescent="0.3">
      <c r="A43" s="306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  <c r="AC43" s="302"/>
      <c r="AD43" s="302"/>
      <c r="AE43" s="288"/>
    </row>
    <row r="44" spans="1:31" x14ac:dyDescent="0.3">
      <c r="A44" s="306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2"/>
      <c r="P44" s="302"/>
      <c r="Q44" s="302"/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288"/>
    </row>
    <row r="45" spans="1:31" x14ac:dyDescent="0.3">
      <c r="A45" s="306"/>
      <c r="B45" s="302"/>
      <c r="C45" s="302"/>
      <c r="D45" s="302"/>
      <c r="E45" s="302"/>
      <c r="F45" s="302"/>
      <c r="G45" s="302"/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2"/>
      <c r="S45" s="302"/>
      <c r="T45" s="302"/>
      <c r="U45" s="302"/>
      <c r="V45" s="302"/>
      <c r="W45" s="302"/>
      <c r="X45" s="302"/>
      <c r="Y45" s="302"/>
      <c r="Z45" s="302"/>
      <c r="AA45" s="302"/>
      <c r="AB45" s="302"/>
      <c r="AC45" s="302"/>
      <c r="AD45" s="302"/>
      <c r="AE45" s="288"/>
    </row>
    <row r="46" spans="1:31" x14ac:dyDescent="0.3">
      <c r="A46" s="306"/>
      <c r="B46" s="302"/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  <c r="AD46" s="302"/>
      <c r="AE46" s="288"/>
    </row>
    <row r="47" spans="1:31" x14ac:dyDescent="0.3">
      <c r="A47" s="306"/>
      <c r="B47" s="302"/>
      <c r="C47" s="302"/>
      <c r="D47" s="302"/>
      <c r="E47" s="302"/>
      <c r="F47" s="302"/>
      <c r="G47" s="302"/>
      <c r="H47" s="302"/>
      <c r="I47" s="302"/>
      <c r="J47" s="302"/>
      <c r="K47" s="302"/>
      <c r="L47" s="302"/>
      <c r="M47" s="302"/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288"/>
    </row>
    <row r="48" spans="1:31" x14ac:dyDescent="0.3">
      <c r="A48" s="306"/>
      <c r="B48" s="302"/>
      <c r="C48" s="302"/>
      <c r="D48" s="302"/>
      <c r="E48" s="302"/>
      <c r="F48" s="302"/>
      <c r="G48" s="302"/>
      <c r="H48" s="302"/>
      <c r="I48" s="302"/>
      <c r="J48" s="302"/>
      <c r="K48" s="302"/>
      <c r="L48" s="302"/>
      <c r="M48" s="302"/>
      <c r="N48" s="302"/>
      <c r="O48" s="302"/>
      <c r="P48" s="302"/>
      <c r="Q48" s="302"/>
      <c r="R48" s="302"/>
      <c r="S48" s="302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  <c r="AD48" s="302"/>
      <c r="AE48" s="288"/>
    </row>
    <row r="49" spans="1:31" x14ac:dyDescent="0.3">
      <c r="A49" s="306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2"/>
      <c r="P49" s="302"/>
      <c r="Q49" s="302"/>
      <c r="R49" s="302"/>
      <c r="S49" s="302"/>
      <c r="T49" s="302"/>
      <c r="U49" s="302"/>
      <c r="V49" s="302"/>
      <c r="W49" s="302"/>
      <c r="X49" s="302"/>
      <c r="Y49" s="302"/>
      <c r="Z49" s="302"/>
      <c r="AA49" s="302"/>
      <c r="AB49" s="302"/>
      <c r="AC49" s="302"/>
      <c r="AD49" s="302"/>
      <c r="AE49" s="288"/>
    </row>
    <row r="50" spans="1:31" x14ac:dyDescent="0.3">
      <c r="A50" s="306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2"/>
      <c r="P50" s="302"/>
      <c r="Q50" s="302"/>
      <c r="R50" s="302"/>
      <c r="S50" s="302"/>
      <c r="T50" s="302"/>
      <c r="U50" s="302"/>
      <c r="V50" s="302"/>
      <c r="W50" s="302"/>
      <c r="X50" s="302"/>
      <c r="Y50" s="302"/>
      <c r="Z50" s="302"/>
      <c r="AA50" s="302"/>
      <c r="AB50" s="302"/>
      <c r="AC50" s="302"/>
      <c r="AD50" s="302"/>
      <c r="AE50" s="288"/>
    </row>
    <row r="51" spans="1:31" ht="15" thickBot="1" x14ac:dyDescent="0.35">
      <c r="A51" s="313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314"/>
      <c r="AB51" s="314"/>
      <c r="AC51" s="314"/>
      <c r="AD51" s="314"/>
      <c r="AE51" s="288"/>
    </row>
    <row r="52" spans="1:31" ht="15" customHeight="1" thickTop="1" x14ac:dyDescent="0.3">
      <c r="A52" s="306"/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1"/>
      <c r="Q52" s="273" t="s">
        <v>186</v>
      </c>
      <c r="R52" s="273"/>
      <c r="S52" s="273"/>
      <c r="T52" s="273"/>
      <c r="U52" s="273"/>
      <c r="V52" s="273"/>
      <c r="W52" s="273"/>
      <c r="X52" s="273"/>
      <c r="Y52" s="273"/>
      <c r="Z52" s="273"/>
      <c r="AA52" s="273"/>
      <c r="AB52" s="273"/>
      <c r="AC52" s="273"/>
      <c r="AD52" s="273"/>
      <c r="AE52" s="288"/>
    </row>
    <row r="53" spans="1:31" ht="15" customHeight="1" thickBot="1" x14ac:dyDescent="0.35">
      <c r="A53" s="306"/>
      <c r="B53" s="302"/>
      <c r="C53" s="302"/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2"/>
      <c r="O53" s="302"/>
      <c r="P53" s="301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5"/>
      <c r="AC53" s="275"/>
      <c r="AD53" s="275"/>
      <c r="AE53" s="288"/>
    </row>
    <row r="54" spans="1:31" ht="15" customHeight="1" thickTop="1" x14ac:dyDescent="0.3">
      <c r="A54" s="306"/>
      <c r="B54" s="302"/>
      <c r="C54" s="302"/>
      <c r="D54" s="302"/>
      <c r="E54" s="302"/>
      <c r="F54" s="302"/>
      <c r="G54" s="302"/>
      <c r="H54" s="302"/>
      <c r="I54" s="302"/>
      <c r="J54" s="302"/>
      <c r="K54" s="302"/>
      <c r="L54" s="302"/>
      <c r="M54" s="302"/>
      <c r="N54" s="302"/>
      <c r="O54" s="302"/>
      <c r="P54" s="301"/>
      <c r="Q54" s="177" t="s">
        <v>193</v>
      </c>
      <c r="R54" s="177"/>
      <c r="S54" s="177"/>
      <c r="T54" s="177"/>
      <c r="U54" s="177"/>
      <c r="V54" s="177"/>
      <c r="W54" s="177"/>
      <c r="X54" s="177"/>
      <c r="Y54" s="177" t="s">
        <v>192</v>
      </c>
      <c r="Z54" s="177"/>
      <c r="AA54" s="177"/>
      <c r="AB54" s="177"/>
      <c r="AC54" s="177"/>
      <c r="AD54" s="177"/>
      <c r="AE54" s="288"/>
    </row>
    <row r="55" spans="1:31" ht="14.4" customHeight="1" x14ac:dyDescent="0.3">
      <c r="A55" s="306"/>
      <c r="B55" s="302"/>
      <c r="C55" s="302"/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2"/>
      <c r="O55" s="302"/>
      <c r="P55" s="301"/>
      <c r="Q55" s="282"/>
      <c r="R55" s="282"/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8"/>
    </row>
    <row r="56" spans="1:31" x14ac:dyDescent="0.3">
      <c r="A56" s="306"/>
      <c r="B56" s="302"/>
      <c r="C56" s="302"/>
      <c r="D56" s="302"/>
      <c r="E56" s="302"/>
      <c r="F56" s="302"/>
      <c r="G56" s="302"/>
      <c r="H56" s="302"/>
      <c r="I56" s="302"/>
      <c r="J56" s="302"/>
      <c r="K56" s="302"/>
      <c r="L56" s="302"/>
      <c r="M56" s="302"/>
      <c r="N56" s="302"/>
      <c r="O56" s="302"/>
      <c r="P56" s="301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  <c r="AD56" s="302"/>
      <c r="AE56" s="288"/>
    </row>
    <row r="57" spans="1:31" x14ac:dyDescent="0.3">
      <c r="A57" s="306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2"/>
      <c r="P57" s="301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  <c r="AC57" s="302"/>
      <c r="AD57" s="302"/>
      <c r="AE57" s="288"/>
    </row>
    <row r="58" spans="1:31" x14ac:dyDescent="0.3">
      <c r="A58" s="306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1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  <c r="AC58" s="302"/>
      <c r="AD58" s="302"/>
      <c r="AE58" s="288"/>
    </row>
    <row r="59" spans="1:31" x14ac:dyDescent="0.3">
      <c r="A59" s="306"/>
      <c r="B59" s="302"/>
      <c r="C59" s="302"/>
      <c r="D59" s="302"/>
      <c r="E59" s="302"/>
      <c r="F59" s="302"/>
      <c r="G59" s="302"/>
      <c r="H59" s="302"/>
      <c r="I59" s="302"/>
      <c r="J59" s="302"/>
      <c r="K59" s="302"/>
      <c r="L59" s="302"/>
      <c r="M59" s="302"/>
      <c r="N59" s="302"/>
      <c r="O59" s="302"/>
      <c r="P59" s="301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2"/>
      <c r="AE59" s="288"/>
    </row>
    <row r="60" spans="1:31" x14ac:dyDescent="0.3">
      <c r="A60" s="306"/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1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  <c r="AC60" s="302"/>
      <c r="AD60" s="302"/>
      <c r="AE60" s="288"/>
    </row>
    <row r="61" spans="1:31" x14ac:dyDescent="0.3">
      <c r="A61" s="306"/>
      <c r="B61" s="302"/>
      <c r="C61" s="302"/>
      <c r="D61" s="302"/>
      <c r="E61" s="302"/>
      <c r="F61" s="302"/>
      <c r="G61" s="302"/>
      <c r="H61" s="302"/>
      <c r="I61" s="302"/>
      <c r="J61" s="302"/>
      <c r="K61" s="302"/>
      <c r="L61" s="302"/>
      <c r="M61" s="302"/>
      <c r="N61" s="302"/>
      <c r="O61" s="302"/>
      <c r="P61" s="301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  <c r="AC61" s="302"/>
      <c r="AD61" s="302"/>
      <c r="AE61" s="288"/>
    </row>
    <row r="62" spans="1:31" x14ac:dyDescent="0.3">
      <c r="A62" s="306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2"/>
      <c r="P62" s="301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  <c r="AC62" s="302"/>
      <c r="AD62" s="302"/>
      <c r="AE62" s="288"/>
    </row>
    <row r="63" spans="1:31" x14ac:dyDescent="0.3">
      <c r="A63" s="306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2"/>
      <c r="P63" s="301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  <c r="AC63" s="302"/>
      <c r="AD63" s="302"/>
      <c r="AE63" s="288"/>
    </row>
    <row r="64" spans="1:31" x14ac:dyDescent="0.3">
      <c r="A64" s="306"/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1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  <c r="AC64" s="302"/>
      <c r="AD64" s="302"/>
      <c r="AE64" s="288"/>
    </row>
    <row r="65" spans="1:31" x14ac:dyDescent="0.3">
      <c r="A65" s="306"/>
      <c r="B65" s="302"/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1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  <c r="AC65" s="302"/>
      <c r="AD65" s="302"/>
      <c r="AE65" s="288"/>
    </row>
    <row r="66" spans="1:31" x14ac:dyDescent="0.3">
      <c r="A66" s="306"/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1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  <c r="AC66" s="302"/>
      <c r="AD66" s="302"/>
      <c r="AE66" s="288"/>
    </row>
    <row r="67" spans="1:31" x14ac:dyDescent="0.3">
      <c r="A67" s="306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2"/>
      <c r="P67" s="301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  <c r="AD67" s="302"/>
      <c r="AE67" s="288"/>
    </row>
    <row r="68" spans="1:31" x14ac:dyDescent="0.3">
      <c r="A68" s="306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1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  <c r="AD68" s="302"/>
      <c r="AE68" s="288"/>
    </row>
    <row r="69" spans="1:31" x14ac:dyDescent="0.3">
      <c r="A69" s="306"/>
      <c r="B69" s="302"/>
      <c r="C69" s="302"/>
      <c r="D69" s="302"/>
      <c r="E69" s="302"/>
      <c r="F69" s="302"/>
      <c r="G69" s="302"/>
      <c r="H69" s="302"/>
      <c r="I69" s="302"/>
      <c r="J69" s="302"/>
      <c r="K69" s="302"/>
      <c r="L69" s="302"/>
      <c r="M69" s="302"/>
      <c r="N69" s="302"/>
      <c r="O69" s="302"/>
      <c r="P69" s="301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  <c r="AD69" s="302"/>
      <c r="AE69" s="288"/>
    </row>
    <row r="70" spans="1:31" x14ac:dyDescent="0.3">
      <c r="A70" s="306"/>
      <c r="B70" s="302"/>
      <c r="C70" s="302"/>
      <c r="D70" s="302"/>
      <c r="E70" s="302"/>
      <c r="F70" s="302"/>
      <c r="G70" s="302"/>
      <c r="H70" s="302"/>
      <c r="I70" s="302"/>
      <c r="J70" s="302"/>
      <c r="K70" s="302"/>
      <c r="L70" s="302"/>
      <c r="M70" s="302"/>
      <c r="N70" s="302"/>
      <c r="O70" s="302"/>
      <c r="P70" s="301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  <c r="AD70" s="302"/>
      <c r="AE70" s="288"/>
    </row>
    <row r="71" spans="1:31" x14ac:dyDescent="0.3">
      <c r="A71" s="306"/>
      <c r="B71" s="302"/>
      <c r="C71" s="302"/>
      <c r="D71" s="302"/>
      <c r="E71" s="302"/>
      <c r="F71" s="302"/>
      <c r="G71" s="302"/>
      <c r="H71" s="302"/>
      <c r="I71" s="302"/>
      <c r="J71" s="302"/>
      <c r="K71" s="302"/>
      <c r="L71" s="302"/>
      <c r="M71" s="302"/>
      <c r="N71" s="302"/>
      <c r="O71" s="302"/>
      <c r="P71" s="301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  <c r="AD71" s="302"/>
      <c r="AE71" s="288"/>
    </row>
    <row r="72" spans="1:31" x14ac:dyDescent="0.3">
      <c r="A72" s="306"/>
      <c r="B72" s="302"/>
      <c r="C72" s="302"/>
      <c r="D72" s="302"/>
      <c r="E72" s="302"/>
      <c r="F72" s="302"/>
      <c r="G72" s="302"/>
      <c r="H72" s="302"/>
      <c r="I72" s="302"/>
      <c r="J72" s="302"/>
      <c r="K72" s="302"/>
      <c r="L72" s="302"/>
      <c r="M72" s="302"/>
      <c r="N72" s="302"/>
      <c r="O72" s="302"/>
      <c r="P72" s="301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  <c r="AC72" s="302"/>
      <c r="AD72" s="302"/>
      <c r="AE72" s="288"/>
    </row>
    <row r="73" spans="1:31" x14ac:dyDescent="0.3">
      <c r="A73" s="306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2"/>
      <c r="P73" s="301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288"/>
    </row>
    <row r="74" spans="1:31" x14ac:dyDescent="0.3">
      <c r="A74" s="306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2"/>
      <c r="P74" s="301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288"/>
    </row>
    <row r="75" spans="1:31" x14ac:dyDescent="0.3">
      <c r="A75" s="306"/>
      <c r="B75" s="302"/>
      <c r="C75" s="302"/>
      <c r="D75" s="302"/>
      <c r="E75" s="302"/>
      <c r="F75" s="302"/>
      <c r="G75" s="302"/>
      <c r="H75" s="302"/>
      <c r="I75" s="302"/>
      <c r="J75" s="302"/>
      <c r="K75" s="302"/>
      <c r="L75" s="302"/>
      <c r="M75" s="302"/>
      <c r="N75" s="302"/>
      <c r="O75" s="302"/>
      <c r="P75" s="301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288"/>
    </row>
    <row r="76" spans="1:31" s="315" customFormat="1" ht="20.399999999999999" customHeight="1" thickBot="1" x14ac:dyDescent="0.35">
      <c r="A76" s="316"/>
      <c r="B76" s="316"/>
      <c r="C76" s="316"/>
      <c r="D76" s="316"/>
      <c r="E76" s="316"/>
      <c r="F76" s="316"/>
      <c r="G76" s="316"/>
      <c r="H76" s="316"/>
      <c r="I76" s="316"/>
      <c r="J76" s="316"/>
      <c r="K76" s="316"/>
      <c r="L76" s="316"/>
      <c r="M76" s="316"/>
      <c r="N76" s="316"/>
      <c r="O76" s="316"/>
      <c r="P76" s="316"/>
      <c r="Q76" s="316"/>
      <c r="R76" s="316"/>
      <c r="S76" s="316"/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7"/>
    </row>
  </sheetData>
  <mergeCells count="32">
    <mergeCell ref="Q52:AD53"/>
    <mergeCell ref="Q54:X55"/>
    <mergeCell ref="Y54:AD55"/>
    <mergeCell ref="AC17:AD17"/>
    <mergeCell ref="Z17:AB17"/>
    <mergeCell ref="Z18:AB18"/>
    <mergeCell ref="AC18:AD18"/>
    <mergeCell ref="M9:Q9"/>
    <mergeCell ref="M10:Q10"/>
    <mergeCell ref="A11:C11"/>
    <mergeCell ref="D11:E11"/>
    <mergeCell ref="A1:AD4"/>
    <mergeCell ref="A6:E7"/>
    <mergeCell ref="A8:C8"/>
    <mergeCell ref="D8:E8"/>
    <mergeCell ref="A9:C9"/>
    <mergeCell ref="D9:E9"/>
    <mergeCell ref="S6:AD7"/>
    <mergeCell ref="A30:AD31"/>
    <mergeCell ref="G11:H11"/>
    <mergeCell ref="I11:L11"/>
    <mergeCell ref="M11:Q11"/>
    <mergeCell ref="G9:H9"/>
    <mergeCell ref="G10:H10"/>
    <mergeCell ref="I9:L9"/>
    <mergeCell ref="I10:L10"/>
    <mergeCell ref="G6:Q7"/>
    <mergeCell ref="G8:H8"/>
    <mergeCell ref="I8:L8"/>
    <mergeCell ref="M8:Q8"/>
    <mergeCell ref="A10:C10"/>
    <mergeCell ref="D10:E10"/>
  </mergeCells>
  <conditionalFormatting sqref="D11:E11">
    <cfRule type="dataBar" priority="2">
      <dataBar>
        <cfvo type="percent" val="0"/>
        <cfvo type="percent" val="100"/>
        <color theme="9"/>
      </dataBar>
      <extLst>
        <ext xmlns:x14="http://schemas.microsoft.com/office/spreadsheetml/2009/9/main" uri="{B025F937-C7B1-47D3-B67F-A62EFF666E3E}">
          <x14:id>{0052C671-44E2-4F20-9231-123126AB2CA0}</x14:id>
        </ext>
      </extLst>
    </cfRule>
  </conditionalFormatting>
  <conditionalFormatting sqref="AC18:AD18">
    <cfRule type="iconSet" priority="5">
      <iconSet iconSet="3Flags">
        <cfvo type="percent" val="0"/>
        <cfvo type="percent" val="33"/>
        <cfvo type="percent" val="67"/>
      </iconSet>
    </cfRule>
    <cfRule type="dataBar" priority="7">
      <dataBar>
        <cfvo type="percent" val="0"/>
        <cfvo type="percent" val="100"/>
        <color theme="4"/>
      </dataBar>
      <extLst>
        <ext xmlns:x14="http://schemas.microsoft.com/office/spreadsheetml/2009/9/main" uri="{B025F937-C7B1-47D3-B67F-A62EFF666E3E}">
          <x14:id>{74A546D3-C7A8-46D9-BC46-CDC158766045}</x14:id>
        </ext>
      </extLst>
    </cfRule>
  </conditionalFormatting>
  <pageMargins left="0.7" right="0.7" top="0.75" bottom="0.75" header="0.3" footer="0.3"/>
  <pageSetup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52C671-44E2-4F20-9231-123126AB2CA0}">
            <x14:dataBar minLength="0" maxLength="100" direction="leftToRight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D11:E11</xm:sqref>
        </x14:conditionalFormatting>
        <x14:conditionalFormatting xmlns:xm="http://schemas.microsoft.com/office/excel/2006/main">
          <x14:cfRule type="dataBar" id="{74A546D3-C7A8-46D9-BC46-CDC158766045}">
            <x14:dataBar minLength="0" maxLength="100" direction="leftToRight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AC18:AD18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A56C-764C-45BD-B81D-8404E08D3EFF}">
  <dimension ref="B2:AQ63"/>
  <sheetViews>
    <sheetView zoomScale="59" zoomScaleNormal="70" workbookViewId="0">
      <selection activeCell="L8" sqref="L8"/>
    </sheetView>
  </sheetViews>
  <sheetFormatPr defaultColWidth="8.88671875" defaultRowHeight="16.2" x14ac:dyDescent="0.4"/>
  <cols>
    <col min="1" max="1" width="8.88671875" style="1"/>
    <col min="2" max="2" width="30.21875" style="1" customWidth="1"/>
    <col min="3" max="3" width="23.5546875" style="1" customWidth="1"/>
    <col min="4" max="5" width="18.21875" style="1" customWidth="1"/>
    <col min="6" max="6" width="17" style="1" customWidth="1"/>
    <col min="7" max="7" width="12.21875" style="1" customWidth="1"/>
    <col min="8" max="8" width="9" style="1" customWidth="1"/>
    <col min="9" max="9" width="9" style="1" bestFit="1" customWidth="1"/>
    <col min="10" max="13" width="9" style="1" customWidth="1"/>
    <col min="14" max="14" width="8.88671875" style="1"/>
    <col min="15" max="15" width="12.21875" style="1" bestFit="1" customWidth="1"/>
    <col min="16" max="16" width="14.6640625" style="1" customWidth="1"/>
    <col min="17" max="17" width="14.33203125" style="1" customWidth="1"/>
    <col min="18" max="19" width="10.21875" style="1" customWidth="1"/>
    <col min="20" max="20" width="14.44140625" style="1" customWidth="1"/>
    <col min="21" max="21" width="15.6640625" style="1" customWidth="1"/>
    <col min="22" max="22" width="11.77734375" style="1" customWidth="1"/>
    <col min="23" max="23" width="12.109375" style="1" customWidth="1"/>
    <col min="24" max="25" width="8.88671875" style="1"/>
    <col min="26" max="26" width="10.44140625" style="1" customWidth="1"/>
    <col min="27" max="34" width="8.88671875" style="1"/>
    <col min="35" max="43" width="9" style="1" bestFit="1" customWidth="1"/>
    <col min="44" max="16384" width="8.88671875" style="1"/>
  </cols>
  <sheetData>
    <row r="2" spans="2:43" ht="16.8" thickBot="1" x14ac:dyDescent="0.45"/>
    <row r="3" spans="2:43" ht="61.8" thickBot="1" x14ac:dyDescent="0.45">
      <c r="B3" s="319" t="s">
        <v>1</v>
      </c>
      <c r="C3" s="320" t="s">
        <v>2</v>
      </c>
      <c r="D3" s="320" t="s">
        <v>3</v>
      </c>
      <c r="E3" s="320" t="s">
        <v>4</v>
      </c>
      <c r="F3" s="320" t="s">
        <v>171</v>
      </c>
      <c r="G3" s="321" t="s">
        <v>194</v>
      </c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2"/>
      <c r="S3" s="202"/>
      <c r="T3" s="203"/>
      <c r="AI3" s="190" t="s">
        <v>5</v>
      </c>
      <c r="AJ3" s="191"/>
      <c r="AK3" s="192"/>
      <c r="AL3" s="190" t="s">
        <v>6</v>
      </c>
      <c r="AM3" s="191"/>
      <c r="AN3" s="192"/>
      <c r="AO3" s="193" t="s">
        <v>7</v>
      </c>
      <c r="AP3" s="194"/>
      <c r="AQ3" s="195"/>
    </row>
    <row r="4" spans="2:43" ht="18.45" customHeight="1" x14ac:dyDescent="0.5">
      <c r="B4" s="322" t="s">
        <v>8</v>
      </c>
      <c r="C4" s="3">
        <f>C63</f>
        <v>120</v>
      </c>
      <c r="D4" s="3">
        <f>C52</f>
        <v>65</v>
      </c>
      <c r="E4" s="3">
        <f t="shared" ref="E4:E14" si="0">C4-D4</f>
        <v>55</v>
      </c>
      <c r="F4" s="318">
        <f>E4/C4</f>
        <v>0.45833333333333331</v>
      </c>
      <c r="G4" s="323">
        <f>RANK(F4,$F$4:$F$14)</f>
        <v>1</v>
      </c>
      <c r="AI4" s="4" t="s">
        <v>9</v>
      </c>
      <c r="AJ4" s="5" t="s">
        <v>10</v>
      </c>
      <c r="AK4" s="5" t="s">
        <v>11</v>
      </c>
      <c r="AL4" s="5" t="s">
        <v>9</v>
      </c>
      <c r="AM4" s="5" t="s">
        <v>10</v>
      </c>
      <c r="AN4" s="5" t="s">
        <v>11</v>
      </c>
      <c r="AO4" s="5" t="s">
        <v>9</v>
      </c>
      <c r="AP4" s="5" t="s">
        <v>10</v>
      </c>
      <c r="AQ4" s="6" t="s">
        <v>11</v>
      </c>
    </row>
    <row r="5" spans="2:43" ht="20.399999999999999" x14ac:dyDescent="0.5">
      <c r="B5" s="322" t="s">
        <v>12</v>
      </c>
      <c r="C5" s="3">
        <f>D63</f>
        <v>125</v>
      </c>
      <c r="D5" s="3">
        <f>D52</f>
        <v>100</v>
      </c>
      <c r="E5" s="3">
        <f t="shared" si="0"/>
        <v>25</v>
      </c>
      <c r="F5" s="318">
        <f t="shared" ref="F5:F14" si="1">E5/C5</f>
        <v>0.2</v>
      </c>
      <c r="G5" s="323">
        <f t="shared" ref="G5:G14" si="2">RANK(F5,$F$4:$F$14)</f>
        <v>9</v>
      </c>
      <c r="P5" s="2"/>
      <c r="AI5" s="7">
        <v>2</v>
      </c>
      <c r="AJ5" s="8">
        <v>1</v>
      </c>
      <c r="AK5" s="8">
        <v>2</v>
      </c>
      <c r="AL5" s="8">
        <v>10</v>
      </c>
      <c r="AM5" s="9">
        <v>0</v>
      </c>
      <c r="AN5" s="8">
        <v>10</v>
      </c>
      <c r="AO5" s="8">
        <v>10</v>
      </c>
      <c r="AP5" s="8">
        <v>1</v>
      </c>
      <c r="AQ5" s="10">
        <v>9</v>
      </c>
    </row>
    <row r="6" spans="2:43" ht="18" customHeight="1" x14ac:dyDescent="0.5">
      <c r="B6" s="322" t="s">
        <v>13</v>
      </c>
      <c r="C6" s="3">
        <f>E63</f>
        <v>105</v>
      </c>
      <c r="D6" s="3">
        <f>E52</f>
        <v>79</v>
      </c>
      <c r="E6" s="3">
        <f t="shared" si="0"/>
        <v>26</v>
      </c>
      <c r="F6" s="318">
        <f t="shared" si="1"/>
        <v>0.24761904761904763</v>
      </c>
      <c r="G6" s="323">
        <f t="shared" si="2"/>
        <v>8</v>
      </c>
      <c r="AI6" s="7"/>
      <c r="AJ6" s="8"/>
      <c r="AK6" s="8"/>
      <c r="AL6" s="11"/>
      <c r="AM6" s="11"/>
      <c r="AN6" s="11"/>
      <c r="AO6" s="8"/>
      <c r="AP6" s="8"/>
      <c r="AQ6" s="10"/>
    </row>
    <row r="7" spans="2:43" ht="21" thickBot="1" x14ac:dyDescent="0.55000000000000004">
      <c r="B7" s="322" t="s">
        <v>14</v>
      </c>
      <c r="C7" s="3">
        <f>F63</f>
        <v>116</v>
      </c>
      <c r="D7" s="3">
        <f>F52</f>
        <v>83</v>
      </c>
      <c r="E7" s="3">
        <f t="shared" si="0"/>
        <v>33</v>
      </c>
      <c r="F7" s="318">
        <f t="shared" si="1"/>
        <v>0.28448275862068967</v>
      </c>
      <c r="G7" s="323">
        <f t="shared" si="2"/>
        <v>7</v>
      </c>
      <c r="AI7" s="12"/>
      <c r="AJ7" s="13"/>
      <c r="AK7" s="13"/>
      <c r="AL7" s="13"/>
      <c r="AM7" s="13"/>
      <c r="AN7" s="13"/>
      <c r="AO7" s="13"/>
      <c r="AP7" s="13"/>
      <c r="AQ7" s="14"/>
    </row>
    <row r="8" spans="2:43" ht="18.45" customHeight="1" thickBot="1" x14ac:dyDescent="0.55000000000000004">
      <c r="B8" s="322" t="s">
        <v>15</v>
      </c>
      <c r="C8" s="3">
        <f>G63</f>
        <v>315</v>
      </c>
      <c r="D8" s="3">
        <f>G52</f>
        <v>203</v>
      </c>
      <c r="E8" s="3">
        <f t="shared" si="0"/>
        <v>112</v>
      </c>
      <c r="F8" s="318">
        <f t="shared" si="1"/>
        <v>0.35555555555555557</v>
      </c>
      <c r="G8" s="323">
        <f t="shared" si="2"/>
        <v>4</v>
      </c>
      <c r="AI8" s="190" t="s">
        <v>0</v>
      </c>
      <c r="AJ8" s="191"/>
      <c r="AK8" s="192"/>
      <c r="AL8" s="190" t="s">
        <v>16</v>
      </c>
      <c r="AM8" s="191"/>
      <c r="AN8" s="192"/>
      <c r="AO8" s="204" t="s">
        <v>17</v>
      </c>
      <c r="AP8" s="205"/>
      <c r="AQ8" s="206"/>
    </row>
    <row r="9" spans="2:43" ht="20.399999999999999" x14ac:dyDescent="0.5">
      <c r="B9" s="322" t="s">
        <v>18</v>
      </c>
      <c r="C9" s="3">
        <f>H63</f>
        <v>13</v>
      </c>
      <c r="D9" s="3">
        <f>H52</f>
        <v>13</v>
      </c>
      <c r="E9" s="3">
        <f t="shared" si="0"/>
        <v>0</v>
      </c>
      <c r="F9" s="318">
        <f t="shared" si="1"/>
        <v>0</v>
      </c>
      <c r="G9" s="323">
        <f t="shared" si="2"/>
        <v>10</v>
      </c>
      <c r="AI9" s="4" t="s">
        <v>9</v>
      </c>
      <c r="AJ9" s="5" t="s">
        <v>10</v>
      </c>
      <c r="AK9" s="5" t="s">
        <v>11</v>
      </c>
      <c r="AL9" s="5" t="s">
        <v>9</v>
      </c>
      <c r="AM9" s="5" t="s">
        <v>10</v>
      </c>
      <c r="AN9" s="5" t="s">
        <v>11</v>
      </c>
      <c r="AO9" s="5" t="s">
        <v>9</v>
      </c>
      <c r="AP9" s="5" t="s">
        <v>10</v>
      </c>
      <c r="AQ9" s="6" t="s">
        <v>11</v>
      </c>
    </row>
    <row r="10" spans="2:43" ht="20.399999999999999" x14ac:dyDescent="0.5">
      <c r="B10" s="322" t="s">
        <v>19</v>
      </c>
      <c r="C10" s="3">
        <f>I63</f>
        <v>33</v>
      </c>
      <c r="D10" s="3">
        <f>I52</f>
        <v>33</v>
      </c>
      <c r="E10" s="3">
        <f t="shared" si="0"/>
        <v>0</v>
      </c>
      <c r="F10" s="318">
        <f t="shared" si="1"/>
        <v>0</v>
      </c>
      <c r="G10" s="323">
        <f t="shared" si="2"/>
        <v>10</v>
      </c>
      <c r="AI10" s="7">
        <v>1</v>
      </c>
      <c r="AJ10" s="8">
        <v>0</v>
      </c>
      <c r="AK10" s="8">
        <v>1</v>
      </c>
      <c r="AL10" s="8">
        <v>38</v>
      </c>
      <c r="AM10" s="9">
        <v>2</v>
      </c>
      <c r="AN10" s="8">
        <v>36</v>
      </c>
      <c r="AO10" s="8">
        <v>41</v>
      </c>
      <c r="AP10" s="8">
        <v>2</v>
      </c>
      <c r="AQ10" s="10">
        <v>39</v>
      </c>
    </row>
    <row r="11" spans="2:43" ht="20.399999999999999" x14ac:dyDescent="0.5">
      <c r="B11" s="322" t="s">
        <v>20</v>
      </c>
      <c r="C11" s="3">
        <f>J63</f>
        <v>10</v>
      </c>
      <c r="D11" s="3">
        <f>J52</f>
        <v>6</v>
      </c>
      <c r="E11" s="3">
        <f t="shared" si="0"/>
        <v>4</v>
      </c>
      <c r="F11" s="318">
        <f t="shared" si="1"/>
        <v>0.4</v>
      </c>
      <c r="G11" s="323">
        <f t="shared" si="2"/>
        <v>2</v>
      </c>
      <c r="AI11" s="15"/>
      <c r="AJ11" s="16"/>
      <c r="AK11" s="16"/>
      <c r="AL11" s="16"/>
      <c r="AM11" s="17"/>
      <c r="AN11" s="16"/>
      <c r="AO11" s="16"/>
      <c r="AP11" s="16"/>
      <c r="AQ11" s="18"/>
    </row>
    <row r="12" spans="2:43" ht="20.399999999999999" x14ac:dyDescent="0.5">
      <c r="B12" s="322" t="s">
        <v>21</v>
      </c>
      <c r="C12" s="3">
        <f>K63</f>
        <v>48</v>
      </c>
      <c r="D12" s="3">
        <f>K52</f>
        <v>30</v>
      </c>
      <c r="E12" s="3">
        <f t="shared" si="0"/>
        <v>18</v>
      </c>
      <c r="F12" s="318">
        <f t="shared" si="1"/>
        <v>0.375</v>
      </c>
      <c r="G12" s="323">
        <f t="shared" si="2"/>
        <v>3</v>
      </c>
      <c r="AI12" s="15"/>
      <c r="AJ12" s="16"/>
      <c r="AK12" s="16"/>
      <c r="AL12" s="16"/>
      <c r="AM12" s="17"/>
      <c r="AN12" s="16"/>
      <c r="AO12" s="16"/>
      <c r="AP12" s="16"/>
      <c r="AQ12" s="18"/>
    </row>
    <row r="13" spans="2:43" ht="20.399999999999999" x14ac:dyDescent="0.5">
      <c r="B13" s="322" t="s">
        <v>22</v>
      </c>
      <c r="C13" s="3">
        <f>L63</f>
        <v>21</v>
      </c>
      <c r="D13" s="3">
        <f>L52</f>
        <v>15</v>
      </c>
      <c r="E13" s="3">
        <f t="shared" si="0"/>
        <v>6</v>
      </c>
      <c r="F13" s="318">
        <f t="shared" si="1"/>
        <v>0.2857142857142857</v>
      </c>
      <c r="G13" s="323">
        <f t="shared" si="2"/>
        <v>6</v>
      </c>
      <c r="AI13" s="15"/>
      <c r="AJ13" s="16"/>
      <c r="AK13" s="16"/>
      <c r="AL13" s="16"/>
      <c r="AM13" s="17"/>
      <c r="AN13" s="16"/>
      <c r="AO13" s="16"/>
      <c r="AP13" s="16"/>
      <c r="AQ13" s="18"/>
    </row>
    <row r="14" spans="2:43" ht="21" thickBot="1" x14ac:dyDescent="0.55000000000000004">
      <c r="B14" s="324" t="s">
        <v>23</v>
      </c>
      <c r="C14" s="325">
        <f>M63</f>
        <v>32</v>
      </c>
      <c r="D14" s="325">
        <f>M52</f>
        <v>22</v>
      </c>
      <c r="E14" s="325">
        <f t="shared" si="0"/>
        <v>10</v>
      </c>
      <c r="F14" s="326">
        <f t="shared" si="1"/>
        <v>0.3125</v>
      </c>
      <c r="G14" s="21">
        <f t="shared" si="2"/>
        <v>5</v>
      </c>
      <c r="AI14" s="15"/>
      <c r="AJ14" s="16"/>
      <c r="AK14" s="16"/>
      <c r="AL14" s="16"/>
      <c r="AM14" s="17"/>
      <c r="AN14" s="16"/>
      <c r="AO14" s="16"/>
      <c r="AP14" s="16"/>
      <c r="AQ14" s="18"/>
    </row>
    <row r="15" spans="2:43" ht="21" thickBot="1" x14ac:dyDescent="0.55000000000000004">
      <c r="B15" s="148" t="s">
        <v>24</v>
      </c>
      <c r="C15" s="149">
        <f>SUM(C4:C14)</f>
        <v>938</v>
      </c>
      <c r="D15" s="150">
        <f>SUM(D4:D14)</f>
        <v>649</v>
      </c>
      <c r="E15" s="151">
        <f>SUM(E4:E14)</f>
        <v>289</v>
      </c>
      <c r="AI15" s="19"/>
      <c r="AJ15" s="20"/>
      <c r="AK15" s="20"/>
      <c r="AL15" s="20"/>
      <c r="AM15" s="20"/>
      <c r="AN15" s="20"/>
      <c r="AO15" s="20"/>
      <c r="AP15" s="20"/>
      <c r="AQ15" s="21"/>
    </row>
    <row r="19" ht="18.45" customHeight="1" x14ac:dyDescent="0.4"/>
    <row r="35" spans="2:22" ht="21" customHeight="1" thickBot="1" x14ac:dyDescent="0.45"/>
    <row r="36" spans="2:22" ht="21" thickBot="1" x14ac:dyDescent="0.45">
      <c r="B36" s="198" t="s">
        <v>3</v>
      </c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200"/>
      <c r="O36" s="198" t="s">
        <v>3</v>
      </c>
      <c r="P36" s="199"/>
      <c r="Q36" s="199"/>
      <c r="R36" s="199"/>
      <c r="S36" s="199"/>
      <c r="T36" s="199"/>
      <c r="U36" s="199"/>
      <c r="V36" s="200"/>
    </row>
    <row r="37" spans="2:22" ht="41.4" thickBot="1" x14ac:dyDescent="0.45">
      <c r="B37" s="22" t="s">
        <v>25</v>
      </c>
      <c r="C37" s="23" t="s">
        <v>26</v>
      </c>
      <c r="D37" s="23" t="s">
        <v>12</v>
      </c>
      <c r="E37" s="23" t="s">
        <v>13</v>
      </c>
      <c r="F37" s="23" t="s">
        <v>14</v>
      </c>
      <c r="G37" s="23" t="s">
        <v>27</v>
      </c>
      <c r="H37" s="23" t="s">
        <v>18</v>
      </c>
      <c r="I37" s="24" t="s">
        <v>28</v>
      </c>
      <c r="J37" s="25" t="s">
        <v>20</v>
      </c>
      <c r="K37" s="25" t="s">
        <v>29</v>
      </c>
      <c r="L37" s="25" t="s">
        <v>22</v>
      </c>
      <c r="M37" s="26" t="s">
        <v>30</v>
      </c>
      <c r="O37" s="27" t="s">
        <v>25</v>
      </c>
      <c r="P37" s="28" t="s">
        <v>26</v>
      </c>
      <c r="Q37" s="28" t="s">
        <v>12</v>
      </c>
      <c r="R37" s="28" t="s">
        <v>13</v>
      </c>
      <c r="S37" s="28" t="s">
        <v>14</v>
      </c>
      <c r="T37" s="28" t="s">
        <v>27</v>
      </c>
      <c r="U37" s="28" t="s">
        <v>18</v>
      </c>
      <c r="V37" s="29" t="s">
        <v>28</v>
      </c>
    </row>
    <row r="38" spans="2:22" ht="20.399999999999999" x14ac:dyDescent="0.4">
      <c r="B38" s="30">
        <v>46002</v>
      </c>
      <c r="C38" s="31">
        <v>12</v>
      </c>
      <c r="D38" s="31">
        <v>10</v>
      </c>
      <c r="E38" s="3">
        <v>12</v>
      </c>
      <c r="F38" s="3">
        <v>14</v>
      </c>
      <c r="G38" s="3">
        <v>28</v>
      </c>
      <c r="H38" s="3">
        <v>1</v>
      </c>
      <c r="I38" s="3">
        <v>5</v>
      </c>
      <c r="J38" s="32">
        <v>2</v>
      </c>
      <c r="K38" s="32">
        <v>5</v>
      </c>
      <c r="L38" s="32">
        <v>2</v>
      </c>
      <c r="M38" s="33">
        <v>3</v>
      </c>
      <c r="O38" s="30">
        <v>45953</v>
      </c>
      <c r="P38" s="31">
        <v>0</v>
      </c>
      <c r="Q38" s="31">
        <v>5</v>
      </c>
      <c r="R38" s="3">
        <v>0</v>
      </c>
      <c r="S38" s="3">
        <v>3</v>
      </c>
      <c r="T38" s="3">
        <v>1</v>
      </c>
      <c r="U38" s="3">
        <v>0</v>
      </c>
      <c r="V38" s="33">
        <v>0</v>
      </c>
    </row>
    <row r="39" spans="2:22" ht="20.399999999999999" x14ac:dyDescent="0.4">
      <c r="B39" s="30" t="s">
        <v>31</v>
      </c>
      <c r="C39" s="31">
        <v>0</v>
      </c>
      <c r="D39" s="31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2">
        <v>0</v>
      </c>
      <c r="K39" s="32">
        <v>0</v>
      </c>
      <c r="L39" s="32">
        <v>0</v>
      </c>
      <c r="M39" s="33">
        <v>0</v>
      </c>
      <c r="O39" s="30" t="s">
        <v>31</v>
      </c>
      <c r="P39" s="31">
        <v>0</v>
      </c>
      <c r="Q39" s="31">
        <v>0</v>
      </c>
      <c r="R39" s="3">
        <v>0</v>
      </c>
      <c r="S39" s="3">
        <v>0</v>
      </c>
      <c r="T39" s="3">
        <v>0</v>
      </c>
      <c r="U39" s="3">
        <v>0</v>
      </c>
      <c r="V39" s="33">
        <v>0</v>
      </c>
    </row>
    <row r="40" spans="2:22" ht="20.399999999999999" x14ac:dyDescent="0.4">
      <c r="B40" s="30">
        <v>46003</v>
      </c>
      <c r="C40" s="31">
        <v>10</v>
      </c>
      <c r="D40" s="31">
        <v>7</v>
      </c>
      <c r="E40" s="3">
        <v>11</v>
      </c>
      <c r="F40" s="3">
        <v>8</v>
      </c>
      <c r="G40" s="3">
        <v>29</v>
      </c>
      <c r="H40" s="3">
        <v>1</v>
      </c>
      <c r="I40" s="3">
        <v>5</v>
      </c>
      <c r="J40" s="32">
        <v>2</v>
      </c>
      <c r="K40" s="32">
        <v>5</v>
      </c>
      <c r="L40" s="32">
        <v>2</v>
      </c>
      <c r="M40" s="33">
        <v>5</v>
      </c>
      <c r="O40" s="30">
        <v>45954</v>
      </c>
      <c r="P40" s="31">
        <v>0</v>
      </c>
      <c r="Q40" s="31">
        <v>5</v>
      </c>
      <c r="R40" s="3">
        <v>0</v>
      </c>
      <c r="S40" s="3">
        <v>3</v>
      </c>
      <c r="T40" s="3">
        <v>1</v>
      </c>
      <c r="U40" s="3">
        <v>0</v>
      </c>
      <c r="V40" s="33">
        <v>1</v>
      </c>
    </row>
    <row r="41" spans="2:22" ht="20.399999999999999" x14ac:dyDescent="0.4">
      <c r="B41" s="30" t="s">
        <v>31</v>
      </c>
      <c r="C41" s="31">
        <v>0</v>
      </c>
      <c r="D41" s="31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2">
        <v>0</v>
      </c>
      <c r="K41" s="32">
        <v>0</v>
      </c>
      <c r="L41" s="32">
        <v>0</v>
      </c>
      <c r="M41" s="33">
        <v>0</v>
      </c>
      <c r="O41" s="30" t="s">
        <v>31</v>
      </c>
      <c r="P41" s="31">
        <v>0</v>
      </c>
      <c r="Q41" s="31">
        <v>0</v>
      </c>
      <c r="R41" s="3">
        <v>0</v>
      </c>
      <c r="S41" s="3">
        <v>0</v>
      </c>
      <c r="T41" s="3">
        <v>0</v>
      </c>
      <c r="U41" s="3">
        <v>0</v>
      </c>
      <c r="V41" s="33">
        <v>0</v>
      </c>
    </row>
    <row r="42" spans="2:22" ht="20.399999999999999" x14ac:dyDescent="0.4">
      <c r="B42" s="30">
        <v>46004</v>
      </c>
      <c r="C42" s="31">
        <v>3</v>
      </c>
      <c r="D42" s="31">
        <v>14</v>
      </c>
      <c r="E42" s="3">
        <v>12</v>
      </c>
      <c r="F42" s="3">
        <v>8</v>
      </c>
      <c r="G42" s="3">
        <v>29</v>
      </c>
      <c r="H42" s="3">
        <v>1</v>
      </c>
      <c r="I42" s="3">
        <v>5</v>
      </c>
      <c r="J42" s="32">
        <v>2</v>
      </c>
      <c r="K42" s="32">
        <v>5</v>
      </c>
      <c r="L42" s="32">
        <v>2</v>
      </c>
      <c r="M42" s="33">
        <v>2</v>
      </c>
      <c r="O42" s="30">
        <v>45955</v>
      </c>
      <c r="P42" s="31">
        <v>0</v>
      </c>
      <c r="Q42" s="31">
        <v>10</v>
      </c>
      <c r="R42" s="3">
        <v>0</v>
      </c>
      <c r="S42" s="3">
        <v>8</v>
      </c>
      <c r="T42" s="3">
        <v>14</v>
      </c>
      <c r="U42" s="3">
        <v>1</v>
      </c>
      <c r="V42" s="33">
        <v>2</v>
      </c>
    </row>
    <row r="43" spans="2:22" ht="20.399999999999999" x14ac:dyDescent="0.4">
      <c r="B43" s="30" t="s">
        <v>31</v>
      </c>
      <c r="C43" s="31">
        <v>0</v>
      </c>
      <c r="D43" s="31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2">
        <v>0</v>
      </c>
      <c r="K43" s="32">
        <v>0</v>
      </c>
      <c r="L43" s="32">
        <v>0</v>
      </c>
      <c r="M43" s="33">
        <v>0</v>
      </c>
      <c r="O43" s="30" t="s">
        <v>31</v>
      </c>
      <c r="P43" s="31">
        <v>0</v>
      </c>
      <c r="Q43" s="31">
        <v>0</v>
      </c>
      <c r="R43" s="3">
        <v>0</v>
      </c>
      <c r="S43" s="3">
        <v>0</v>
      </c>
      <c r="T43" s="3">
        <v>0</v>
      </c>
      <c r="U43" s="3">
        <v>0</v>
      </c>
      <c r="V43" s="33">
        <v>0</v>
      </c>
    </row>
    <row r="44" spans="2:22" ht="20.399999999999999" x14ac:dyDescent="0.4">
      <c r="B44" s="30">
        <v>46005</v>
      </c>
      <c r="C44" s="31">
        <v>2</v>
      </c>
      <c r="D44" s="31">
        <v>14</v>
      </c>
      <c r="E44" s="3">
        <v>12</v>
      </c>
      <c r="F44" s="3">
        <v>7</v>
      </c>
      <c r="G44" s="3">
        <v>28</v>
      </c>
      <c r="H44" s="3">
        <v>1</v>
      </c>
      <c r="I44" s="3">
        <v>3</v>
      </c>
      <c r="J44" s="32">
        <v>0</v>
      </c>
      <c r="K44" s="32">
        <v>3</v>
      </c>
      <c r="L44" s="32">
        <v>3</v>
      </c>
      <c r="M44" s="33">
        <v>2</v>
      </c>
      <c r="O44" s="30">
        <v>45956</v>
      </c>
      <c r="P44" s="31">
        <v>0</v>
      </c>
      <c r="Q44" s="31">
        <v>10</v>
      </c>
      <c r="R44" s="3">
        <v>0</v>
      </c>
      <c r="S44" s="3">
        <v>8</v>
      </c>
      <c r="T44" s="3">
        <v>5</v>
      </c>
      <c r="U44" s="3">
        <v>1</v>
      </c>
      <c r="V44" s="33">
        <v>0</v>
      </c>
    </row>
    <row r="45" spans="2:22" ht="20.399999999999999" x14ac:dyDescent="0.4">
      <c r="B45" s="30" t="s">
        <v>31</v>
      </c>
      <c r="C45" s="31">
        <v>0</v>
      </c>
      <c r="D45" s="31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2">
        <v>0</v>
      </c>
      <c r="K45" s="32">
        <v>0</v>
      </c>
      <c r="L45" s="32">
        <v>0</v>
      </c>
      <c r="M45" s="33">
        <v>0</v>
      </c>
      <c r="O45" s="30" t="s">
        <v>31</v>
      </c>
      <c r="P45" s="31">
        <v>0</v>
      </c>
      <c r="Q45" s="31">
        <v>0</v>
      </c>
      <c r="R45" s="3">
        <v>0</v>
      </c>
      <c r="S45" s="3">
        <v>0</v>
      </c>
      <c r="T45" s="3">
        <v>0</v>
      </c>
      <c r="U45" s="3">
        <v>0</v>
      </c>
      <c r="V45" s="33">
        <v>0</v>
      </c>
    </row>
    <row r="46" spans="2:22" ht="20.399999999999999" x14ac:dyDescent="0.4">
      <c r="B46" s="30">
        <v>46006</v>
      </c>
      <c r="C46" s="31">
        <v>14</v>
      </c>
      <c r="D46" s="31">
        <v>25</v>
      </c>
      <c r="E46" s="3">
        <v>12</v>
      </c>
      <c r="F46" s="3">
        <v>11</v>
      </c>
      <c r="G46" s="3">
        <v>28</v>
      </c>
      <c r="H46" s="3">
        <v>1</v>
      </c>
      <c r="I46" s="3">
        <v>5</v>
      </c>
      <c r="J46" s="32">
        <v>0</v>
      </c>
      <c r="K46" s="32">
        <v>3</v>
      </c>
      <c r="L46" s="32">
        <v>3</v>
      </c>
      <c r="M46" s="33">
        <v>3</v>
      </c>
      <c r="O46" s="30">
        <v>45957</v>
      </c>
      <c r="P46" s="31">
        <v>0</v>
      </c>
      <c r="Q46" s="31">
        <v>5</v>
      </c>
      <c r="R46" s="3">
        <v>0</v>
      </c>
      <c r="S46" s="3">
        <v>4</v>
      </c>
      <c r="T46" s="3">
        <v>3</v>
      </c>
      <c r="U46" s="3">
        <v>1</v>
      </c>
      <c r="V46" s="33">
        <v>4</v>
      </c>
    </row>
    <row r="47" spans="2:22" ht="20.399999999999999" x14ac:dyDescent="0.4">
      <c r="B47" s="30" t="s">
        <v>31</v>
      </c>
      <c r="C47" s="31">
        <v>0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">
        <v>0</v>
      </c>
      <c r="J47" s="32">
        <v>0</v>
      </c>
      <c r="K47" s="32">
        <v>0</v>
      </c>
      <c r="L47" s="32">
        <v>0</v>
      </c>
      <c r="M47" s="33">
        <v>0</v>
      </c>
      <c r="O47" s="30" t="s">
        <v>31</v>
      </c>
      <c r="P47" s="31">
        <v>0</v>
      </c>
      <c r="Q47" s="31">
        <v>0</v>
      </c>
      <c r="R47" s="3">
        <v>0</v>
      </c>
      <c r="S47" s="3">
        <v>0</v>
      </c>
      <c r="T47" s="3">
        <v>0</v>
      </c>
      <c r="U47" s="3">
        <v>0</v>
      </c>
      <c r="V47" s="33">
        <v>0</v>
      </c>
    </row>
    <row r="48" spans="2:22" ht="20.399999999999999" x14ac:dyDescent="0.4">
      <c r="B48" s="30">
        <v>46007</v>
      </c>
      <c r="C48" s="31">
        <v>14</v>
      </c>
      <c r="D48" s="31">
        <v>15</v>
      </c>
      <c r="E48" s="3">
        <v>10</v>
      </c>
      <c r="F48" s="3">
        <v>16</v>
      </c>
      <c r="G48" s="3">
        <v>30</v>
      </c>
      <c r="H48" s="3">
        <v>4</v>
      </c>
      <c r="I48" s="3">
        <v>6</v>
      </c>
      <c r="J48" s="32">
        <v>0</v>
      </c>
      <c r="K48" s="32">
        <v>3</v>
      </c>
      <c r="L48" s="32">
        <v>3</v>
      </c>
      <c r="M48" s="33">
        <v>3</v>
      </c>
      <c r="O48" s="30">
        <v>45958</v>
      </c>
      <c r="P48" s="31">
        <v>3</v>
      </c>
      <c r="Q48" s="31">
        <v>5</v>
      </c>
      <c r="R48" s="3">
        <v>1</v>
      </c>
      <c r="S48" s="3">
        <v>8</v>
      </c>
      <c r="T48" s="3">
        <v>3</v>
      </c>
      <c r="U48" s="3">
        <v>1</v>
      </c>
      <c r="V48" s="33">
        <v>6</v>
      </c>
    </row>
    <row r="49" spans="2:22" ht="20.399999999999999" x14ac:dyDescent="0.4">
      <c r="B49" s="30" t="s">
        <v>31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">
        <v>0</v>
      </c>
      <c r="J49" s="32">
        <v>0</v>
      </c>
      <c r="K49" s="32">
        <v>0</v>
      </c>
      <c r="L49" s="32">
        <v>0</v>
      </c>
      <c r="M49" s="33">
        <v>0</v>
      </c>
      <c r="O49" s="30" t="s">
        <v>31</v>
      </c>
      <c r="P49" s="31">
        <v>0</v>
      </c>
      <c r="Q49" s="31">
        <v>0</v>
      </c>
      <c r="R49" s="3">
        <v>0</v>
      </c>
      <c r="S49" s="3">
        <v>0</v>
      </c>
      <c r="T49" s="3">
        <v>0</v>
      </c>
      <c r="U49" s="3">
        <v>0</v>
      </c>
      <c r="V49" s="33">
        <v>0</v>
      </c>
    </row>
    <row r="50" spans="2:22" ht="20.399999999999999" x14ac:dyDescent="0.4">
      <c r="B50" s="30">
        <v>46008</v>
      </c>
      <c r="C50" s="31">
        <v>10</v>
      </c>
      <c r="D50" s="31">
        <v>15</v>
      </c>
      <c r="E50" s="3">
        <v>10</v>
      </c>
      <c r="F50" s="3">
        <v>19</v>
      </c>
      <c r="G50" s="3">
        <v>31</v>
      </c>
      <c r="H50" s="3">
        <v>4</v>
      </c>
      <c r="I50" s="3">
        <v>4</v>
      </c>
      <c r="J50" s="32">
        <v>0</v>
      </c>
      <c r="K50" s="32">
        <v>6</v>
      </c>
      <c r="L50" s="32">
        <v>0</v>
      </c>
      <c r="M50" s="33">
        <v>4</v>
      </c>
      <c r="O50" s="30">
        <v>45959</v>
      </c>
      <c r="P50" s="31">
        <v>3</v>
      </c>
      <c r="Q50" s="31">
        <v>5</v>
      </c>
      <c r="R50" s="3">
        <v>1</v>
      </c>
      <c r="S50" s="3">
        <v>8</v>
      </c>
      <c r="T50" s="3">
        <v>12</v>
      </c>
      <c r="U50" s="3">
        <v>1</v>
      </c>
      <c r="V50" s="33">
        <v>5</v>
      </c>
    </row>
    <row r="51" spans="2:22" ht="21" thickBot="1" x14ac:dyDescent="0.45">
      <c r="B51" s="34" t="s">
        <v>31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">
        <v>0</v>
      </c>
      <c r="J51" s="32">
        <v>0</v>
      </c>
      <c r="K51" s="32">
        <v>0</v>
      </c>
      <c r="L51" s="32">
        <v>0</v>
      </c>
      <c r="M51" s="33">
        <v>0</v>
      </c>
      <c r="O51" s="34" t="s">
        <v>31</v>
      </c>
      <c r="P51" s="31">
        <v>0</v>
      </c>
      <c r="Q51" s="31">
        <v>0</v>
      </c>
      <c r="R51" s="3">
        <v>0</v>
      </c>
      <c r="S51" s="3">
        <v>0</v>
      </c>
      <c r="T51" s="3">
        <v>0</v>
      </c>
      <c r="U51" s="3">
        <v>0</v>
      </c>
      <c r="V51" s="33">
        <v>0</v>
      </c>
    </row>
    <row r="52" spans="2:22" ht="21" thickBot="1" x14ac:dyDescent="0.45">
      <c r="B52" s="35" t="s">
        <v>9</v>
      </c>
      <c r="C52" s="36">
        <f>SUM(C38:C51)</f>
        <v>65</v>
      </c>
      <c r="D52" s="36">
        <f t="shared" ref="D52:M52" si="3">SUM(D38:D51)</f>
        <v>100</v>
      </c>
      <c r="E52" s="36">
        <f t="shared" si="3"/>
        <v>79</v>
      </c>
      <c r="F52" s="36">
        <f t="shared" si="3"/>
        <v>83</v>
      </c>
      <c r="G52" s="36">
        <f t="shared" si="3"/>
        <v>203</v>
      </c>
      <c r="H52" s="36">
        <f t="shared" si="3"/>
        <v>13</v>
      </c>
      <c r="I52" s="36">
        <f t="shared" si="3"/>
        <v>33</v>
      </c>
      <c r="J52" s="36">
        <f t="shared" si="3"/>
        <v>6</v>
      </c>
      <c r="K52" s="36">
        <f t="shared" si="3"/>
        <v>30</v>
      </c>
      <c r="L52" s="36">
        <f t="shared" si="3"/>
        <v>15</v>
      </c>
      <c r="M52" s="36">
        <f t="shared" si="3"/>
        <v>22</v>
      </c>
      <c r="O52" s="35" t="s">
        <v>9</v>
      </c>
      <c r="P52" s="36">
        <f>SUM(P38:P51)</f>
        <v>6</v>
      </c>
      <c r="Q52" s="36">
        <f t="shared" ref="Q52:V52" si="4">SUM(Q38:Q51)</f>
        <v>45</v>
      </c>
      <c r="R52" s="36">
        <f t="shared" si="4"/>
        <v>2</v>
      </c>
      <c r="S52" s="36">
        <f t="shared" si="4"/>
        <v>42</v>
      </c>
      <c r="T52" s="36">
        <f t="shared" si="4"/>
        <v>39</v>
      </c>
      <c r="U52" s="36">
        <f t="shared" si="4"/>
        <v>5</v>
      </c>
      <c r="V52" s="36">
        <f t="shared" si="4"/>
        <v>18</v>
      </c>
    </row>
    <row r="53" spans="2:22" ht="21" thickBot="1" x14ac:dyDescent="0.45">
      <c r="B53" s="37"/>
      <c r="C53" s="38"/>
      <c r="D53" s="38"/>
      <c r="E53" s="38"/>
      <c r="F53" s="38"/>
      <c r="G53" s="38"/>
      <c r="O53" s="37"/>
      <c r="P53" s="38"/>
      <c r="Q53" s="38"/>
      <c r="R53" s="38"/>
      <c r="S53" s="38"/>
      <c r="T53" s="38"/>
    </row>
    <row r="54" spans="2:22" ht="21" thickBot="1" x14ac:dyDescent="0.45">
      <c r="B54" s="196" t="s">
        <v>32</v>
      </c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O54" s="198" t="s">
        <v>32</v>
      </c>
      <c r="P54" s="199"/>
      <c r="Q54" s="199"/>
      <c r="R54" s="199"/>
      <c r="S54" s="199"/>
      <c r="T54" s="199"/>
      <c r="U54" s="199"/>
      <c r="V54" s="200"/>
    </row>
    <row r="55" spans="2:22" ht="41.4" thickBot="1" x14ac:dyDescent="0.45">
      <c r="B55" s="26" t="s">
        <v>25</v>
      </c>
      <c r="C55" s="26" t="s">
        <v>26</v>
      </c>
      <c r="D55" s="26" t="s">
        <v>12</v>
      </c>
      <c r="E55" s="26" t="s">
        <v>13</v>
      </c>
      <c r="F55" s="26" t="s">
        <v>14</v>
      </c>
      <c r="G55" s="26" t="s">
        <v>27</v>
      </c>
      <c r="H55" s="26" t="s">
        <v>18</v>
      </c>
      <c r="I55" s="26" t="s">
        <v>28</v>
      </c>
      <c r="J55" s="26" t="s">
        <v>20</v>
      </c>
      <c r="K55" s="26" t="s">
        <v>29</v>
      </c>
      <c r="L55" s="26" t="s">
        <v>22</v>
      </c>
      <c r="M55" s="26" t="s">
        <v>33</v>
      </c>
      <c r="O55" s="26" t="s">
        <v>25</v>
      </c>
      <c r="P55" s="39" t="s">
        <v>26</v>
      </c>
      <c r="Q55" s="40" t="s">
        <v>12</v>
      </c>
      <c r="R55" s="40" t="s">
        <v>13</v>
      </c>
      <c r="S55" s="40" t="s">
        <v>14</v>
      </c>
      <c r="T55" s="40" t="s">
        <v>27</v>
      </c>
      <c r="U55" s="40" t="s">
        <v>18</v>
      </c>
      <c r="V55" s="41" t="s">
        <v>28</v>
      </c>
    </row>
    <row r="56" spans="2:22" ht="20.399999999999999" x14ac:dyDescent="0.4">
      <c r="B56" s="30">
        <v>45995</v>
      </c>
      <c r="C56" s="3">
        <v>20</v>
      </c>
      <c r="D56" s="3">
        <v>15</v>
      </c>
      <c r="E56" s="3">
        <v>15</v>
      </c>
      <c r="F56" s="3">
        <v>15</v>
      </c>
      <c r="G56" s="3">
        <v>45</v>
      </c>
      <c r="H56" s="42">
        <v>1</v>
      </c>
      <c r="I56" s="3">
        <v>5</v>
      </c>
      <c r="J56" s="3">
        <v>2</v>
      </c>
      <c r="K56" s="3">
        <v>5</v>
      </c>
      <c r="L56" s="3">
        <v>3</v>
      </c>
      <c r="M56" s="33">
        <v>4</v>
      </c>
      <c r="O56" s="30">
        <v>45953</v>
      </c>
      <c r="P56" s="3">
        <v>10</v>
      </c>
      <c r="Q56" s="3">
        <v>8</v>
      </c>
      <c r="R56" s="3">
        <v>2</v>
      </c>
      <c r="S56" s="3">
        <v>4</v>
      </c>
      <c r="T56" s="3">
        <v>6</v>
      </c>
      <c r="U56" s="42">
        <v>5</v>
      </c>
      <c r="V56" s="33">
        <v>6</v>
      </c>
    </row>
    <row r="57" spans="2:22" ht="20.399999999999999" x14ac:dyDescent="0.4">
      <c r="B57" s="30">
        <v>45996</v>
      </c>
      <c r="C57" s="3">
        <v>15</v>
      </c>
      <c r="D57" s="3">
        <v>15</v>
      </c>
      <c r="E57" s="3">
        <v>15</v>
      </c>
      <c r="F57" s="3">
        <v>16</v>
      </c>
      <c r="G57" s="3">
        <v>45</v>
      </c>
      <c r="H57" s="3">
        <v>1</v>
      </c>
      <c r="I57" s="3">
        <v>5</v>
      </c>
      <c r="J57" s="3">
        <v>2</v>
      </c>
      <c r="K57" s="3">
        <v>5</v>
      </c>
      <c r="L57" s="3">
        <v>3</v>
      </c>
      <c r="M57" s="33">
        <v>4</v>
      </c>
      <c r="O57" s="30">
        <v>45954</v>
      </c>
      <c r="P57" s="3">
        <v>10</v>
      </c>
      <c r="Q57" s="3">
        <v>8</v>
      </c>
      <c r="R57" s="3">
        <v>2</v>
      </c>
      <c r="S57" s="3">
        <v>4</v>
      </c>
      <c r="T57" s="3">
        <v>6</v>
      </c>
      <c r="U57" s="3">
        <v>4</v>
      </c>
      <c r="V57" s="33">
        <v>5</v>
      </c>
    </row>
    <row r="58" spans="2:22" ht="20.399999999999999" x14ac:dyDescent="0.4">
      <c r="B58" s="30">
        <v>45997</v>
      </c>
      <c r="C58" s="3">
        <v>15</v>
      </c>
      <c r="D58" s="3">
        <v>15</v>
      </c>
      <c r="E58" s="3">
        <v>15</v>
      </c>
      <c r="F58" s="3">
        <v>15</v>
      </c>
      <c r="G58" s="3">
        <v>45</v>
      </c>
      <c r="H58" s="3">
        <v>1</v>
      </c>
      <c r="I58" s="3">
        <v>5</v>
      </c>
      <c r="J58" s="3">
        <v>2</v>
      </c>
      <c r="K58" s="3">
        <v>6</v>
      </c>
      <c r="L58" s="3">
        <v>3</v>
      </c>
      <c r="M58" s="33">
        <v>4</v>
      </c>
      <c r="O58" s="30">
        <v>45955</v>
      </c>
      <c r="P58" s="3">
        <v>10</v>
      </c>
      <c r="Q58" s="3">
        <v>8</v>
      </c>
      <c r="R58" s="3">
        <v>2</v>
      </c>
      <c r="S58" s="3">
        <v>4</v>
      </c>
      <c r="T58" s="3">
        <v>6</v>
      </c>
      <c r="U58" s="3">
        <v>4</v>
      </c>
      <c r="V58" s="33">
        <v>5</v>
      </c>
    </row>
    <row r="59" spans="2:22" ht="20.399999999999999" x14ac:dyDescent="0.4">
      <c r="B59" s="30">
        <v>45998</v>
      </c>
      <c r="C59" s="3">
        <v>15</v>
      </c>
      <c r="D59" s="3">
        <v>20</v>
      </c>
      <c r="E59" s="3">
        <v>15</v>
      </c>
      <c r="F59" s="3">
        <v>16</v>
      </c>
      <c r="G59" s="3">
        <v>45</v>
      </c>
      <c r="H59" s="3">
        <v>1</v>
      </c>
      <c r="I59" s="3">
        <v>3</v>
      </c>
      <c r="J59" s="3">
        <v>2</v>
      </c>
      <c r="K59" s="3">
        <v>8</v>
      </c>
      <c r="L59" s="3">
        <v>3</v>
      </c>
      <c r="M59" s="33">
        <v>4</v>
      </c>
      <c r="O59" s="30">
        <v>45956</v>
      </c>
      <c r="P59" s="3">
        <v>10</v>
      </c>
      <c r="Q59" s="3">
        <v>8</v>
      </c>
      <c r="R59" s="3">
        <v>2</v>
      </c>
      <c r="S59" s="3">
        <v>4</v>
      </c>
      <c r="T59" s="3">
        <v>6</v>
      </c>
      <c r="U59" s="3">
        <v>4</v>
      </c>
      <c r="V59" s="33">
        <v>5</v>
      </c>
    </row>
    <row r="60" spans="2:22" ht="20.399999999999999" x14ac:dyDescent="0.4">
      <c r="B60" s="30">
        <v>45999</v>
      </c>
      <c r="C60" s="3">
        <v>15</v>
      </c>
      <c r="D60" s="3">
        <v>20</v>
      </c>
      <c r="E60" s="3">
        <v>15</v>
      </c>
      <c r="F60" s="3">
        <v>18</v>
      </c>
      <c r="G60" s="3">
        <v>45</v>
      </c>
      <c r="H60" s="3">
        <v>1</v>
      </c>
      <c r="I60" s="3">
        <v>5</v>
      </c>
      <c r="J60" s="3">
        <v>2</v>
      </c>
      <c r="K60" s="3">
        <v>8</v>
      </c>
      <c r="L60" s="3">
        <v>3</v>
      </c>
      <c r="M60" s="33">
        <v>4</v>
      </c>
      <c r="O60" s="30">
        <v>45957</v>
      </c>
      <c r="P60" s="3">
        <v>10</v>
      </c>
      <c r="Q60" s="3">
        <v>8</v>
      </c>
      <c r="R60" s="3">
        <v>2</v>
      </c>
      <c r="S60" s="3">
        <v>4</v>
      </c>
      <c r="T60" s="3">
        <v>6</v>
      </c>
      <c r="U60" s="3">
        <v>2</v>
      </c>
      <c r="V60" s="33">
        <v>6</v>
      </c>
    </row>
    <row r="61" spans="2:22" ht="20.399999999999999" x14ac:dyDescent="0.4">
      <c r="B61" s="30">
        <v>46000</v>
      </c>
      <c r="C61" s="3">
        <v>20</v>
      </c>
      <c r="D61" s="3">
        <v>20</v>
      </c>
      <c r="E61" s="3">
        <v>15</v>
      </c>
      <c r="F61" s="3">
        <v>18</v>
      </c>
      <c r="G61" s="3">
        <v>45</v>
      </c>
      <c r="H61" s="3">
        <v>4</v>
      </c>
      <c r="I61" s="3">
        <v>6</v>
      </c>
      <c r="J61" s="3">
        <v>0</v>
      </c>
      <c r="K61" s="3">
        <v>8</v>
      </c>
      <c r="L61" s="3">
        <v>3</v>
      </c>
      <c r="M61" s="33">
        <v>6</v>
      </c>
      <c r="O61" s="30">
        <v>45958</v>
      </c>
      <c r="P61" s="3">
        <v>10</v>
      </c>
      <c r="Q61" s="3">
        <v>8</v>
      </c>
      <c r="R61" s="3">
        <v>2</v>
      </c>
      <c r="S61" s="3">
        <v>4</v>
      </c>
      <c r="T61" s="3">
        <v>6</v>
      </c>
      <c r="U61" s="3">
        <v>2</v>
      </c>
      <c r="V61" s="33">
        <v>7</v>
      </c>
    </row>
    <row r="62" spans="2:22" ht="21" thickBot="1" x14ac:dyDescent="0.45">
      <c r="B62" s="30">
        <v>46001</v>
      </c>
      <c r="C62" s="3">
        <v>20</v>
      </c>
      <c r="D62" s="3">
        <v>20</v>
      </c>
      <c r="E62" s="3">
        <v>15</v>
      </c>
      <c r="F62" s="3">
        <v>18</v>
      </c>
      <c r="G62" s="3">
        <v>45</v>
      </c>
      <c r="H62" s="3">
        <v>4</v>
      </c>
      <c r="I62" s="3">
        <v>4</v>
      </c>
      <c r="J62" s="3">
        <v>0</v>
      </c>
      <c r="K62" s="3">
        <v>8</v>
      </c>
      <c r="L62" s="3">
        <v>3</v>
      </c>
      <c r="M62" s="33">
        <v>6</v>
      </c>
      <c r="O62" s="30">
        <v>45959</v>
      </c>
      <c r="P62" s="3">
        <v>10</v>
      </c>
      <c r="Q62" s="3">
        <v>8</v>
      </c>
      <c r="R62" s="3">
        <v>2</v>
      </c>
      <c r="S62" s="3">
        <v>4</v>
      </c>
      <c r="T62" s="3">
        <v>6</v>
      </c>
      <c r="U62" s="42">
        <v>2</v>
      </c>
      <c r="V62" s="33">
        <v>6</v>
      </c>
    </row>
    <row r="63" spans="2:22" ht="21" thickBot="1" x14ac:dyDescent="0.45">
      <c r="B63" s="43" t="s">
        <v>9</v>
      </c>
      <c r="C63" s="36">
        <f t="shared" ref="C63:E63" si="5">SUM(C56:C62)</f>
        <v>120</v>
      </c>
      <c r="D63" s="36">
        <f t="shared" si="5"/>
        <v>125</v>
      </c>
      <c r="E63" s="36">
        <f t="shared" si="5"/>
        <v>105</v>
      </c>
      <c r="F63" s="36">
        <f>SUM(F56:F62)</f>
        <v>116</v>
      </c>
      <c r="G63" s="36">
        <f>SUM(G56:G62)</f>
        <v>315</v>
      </c>
      <c r="H63" s="36">
        <f>SUM(H56:H62)</f>
        <v>13</v>
      </c>
      <c r="I63" s="36">
        <f>SUM(I56:I62)</f>
        <v>33</v>
      </c>
      <c r="J63" s="36">
        <f t="shared" ref="J63:L63" si="6">SUM(J56:J62)</f>
        <v>10</v>
      </c>
      <c r="K63" s="36">
        <f t="shared" si="6"/>
        <v>48</v>
      </c>
      <c r="L63" s="36">
        <f t="shared" si="6"/>
        <v>21</v>
      </c>
      <c r="M63" s="36">
        <f>SUM(M56:M62)</f>
        <v>32</v>
      </c>
      <c r="O63" s="43" t="s">
        <v>9</v>
      </c>
      <c r="P63" s="40">
        <f t="shared" ref="P63:V63" si="7">SUM(P56:P62)</f>
        <v>70</v>
      </c>
      <c r="Q63" s="40">
        <f t="shared" si="7"/>
        <v>56</v>
      </c>
      <c r="R63" s="40">
        <f t="shared" si="7"/>
        <v>14</v>
      </c>
      <c r="S63" s="40">
        <f t="shared" si="7"/>
        <v>28</v>
      </c>
      <c r="T63" s="40">
        <f t="shared" si="7"/>
        <v>42</v>
      </c>
      <c r="U63" s="40">
        <v>5</v>
      </c>
      <c r="V63" s="41">
        <f t="shared" si="7"/>
        <v>40</v>
      </c>
    </row>
  </sheetData>
  <mergeCells count="13">
    <mergeCell ref="AI3:AK3"/>
    <mergeCell ref="AL3:AN3"/>
    <mergeCell ref="AO3:AQ3"/>
    <mergeCell ref="B54:M54"/>
    <mergeCell ref="O54:V54"/>
    <mergeCell ref="H3:N3"/>
    <mergeCell ref="O3:Q3"/>
    <mergeCell ref="R3:T3"/>
    <mergeCell ref="AI8:AK8"/>
    <mergeCell ref="AL8:AN8"/>
    <mergeCell ref="AO8:AQ8"/>
    <mergeCell ref="B36:M36"/>
    <mergeCell ref="O36:V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51B6-EBD2-4EBF-8052-564C88B6A66A}">
  <dimension ref="B3:G22"/>
  <sheetViews>
    <sheetView zoomScale="70" zoomScaleNormal="70" workbookViewId="0">
      <selection activeCell="M8" sqref="M8"/>
    </sheetView>
  </sheetViews>
  <sheetFormatPr defaultRowHeight="14.4" x14ac:dyDescent="0.3"/>
  <cols>
    <col min="2" max="3" width="11" customWidth="1"/>
    <col min="4" max="4" width="14.21875" bestFit="1" customWidth="1"/>
    <col min="5" max="5" width="15.44140625" bestFit="1" customWidth="1"/>
    <col min="6" max="6" width="15.21875" bestFit="1" customWidth="1"/>
    <col min="7" max="7" width="6.77734375" customWidth="1"/>
  </cols>
  <sheetData>
    <row r="3" spans="2:6" x14ac:dyDescent="0.3">
      <c r="B3" s="44" t="s">
        <v>34</v>
      </c>
      <c r="C3" s="44"/>
      <c r="D3" s="44" t="s">
        <v>35</v>
      </c>
      <c r="E3" s="44" t="s">
        <v>36</v>
      </c>
      <c r="F3" s="44" t="s">
        <v>37</v>
      </c>
    </row>
    <row r="4" spans="2:6" x14ac:dyDescent="0.3">
      <c r="B4" s="45" t="s">
        <v>38</v>
      </c>
      <c r="C4" s="45" t="s">
        <v>39</v>
      </c>
      <c r="D4" s="46"/>
      <c r="E4" s="46">
        <v>5000000</v>
      </c>
      <c r="F4" s="46">
        <v>1063955</v>
      </c>
    </row>
    <row r="5" spans="2:6" x14ac:dyDescent="0.3">
      <c r="B5" s="45" t="s">
        <v>40</v>
      </c>
      <c r="C5" s="45" t="s">
        <v>41</v>
      </c>
      <c r="D5" s="46"/>
      <c r="E5" s="46">
        <v>7200000</v>
      </c>
      <c r="F5" s="46">
        <v>7797193</v>
      </c>
    </row>
    <row r="6" spans="2:6" x14ac:dyDescent="0.3">
      <c r="B6" s="45" t="s">
        <v>42</v>
      </c>
      <c r="C6" s="45" t="s">
        <v>43</v>
      </c>
      <c r="D6" s="46"/>
      <c r="E6" s="46">
        <v>5000000</v>
      </c>
      <c r="F6" s="46">
        <v>168333</v>
      </c>
    </row>
    <row r="7" spans="2:6" x14ac:dyDescent="0.3">
      <c r="B7" s="45" t="s">
        <v>44</v>
      </c>
      <c r="C7" s="45" t="s">
        <v>45</v>
      </c>
      <c r="D7" s="46"/>
      <c r="E7" s="46">
        <v>7500000</v>
      </c>
      <c r="F7" s="46">
        <f>1387400+988771</f>
        <v>2376171</v>
      </c>
    </row>
    <row r="8" spans="2:6" x14ac:dyDescent="0.3">
      <c r="B8" s="45" t="s">
        <v>46</v>
      </c>
      <c r="C8" s="45" t="s">
        <v>47</v>
      </c>
      <c r="D8" s="46"/>
      <c r="E8" s="46">
        <v>8000000</v>
      </c>
      <c r="F8" s="46">
        <f>5179149+5925704</f>
        <v>11104853</v>
      </c>
    </row>
    <row r="9" spans="2:6" x14ac:dyDescent="0.3">
      <c r="B9" s="45" t="s">
        <v>48</v>
      </c>
      <c r="C9" s="45" t="s">
        <v>49</v>
      </c>
      <c r="D9" s="46"/>
      <c r="E9" s="46">
        <v>9000000</v>
      </c>
      <c r="F9" s="46"/>
    </row>
    <row r="10" spans="2:6" x14ac:dyDescent="0.3">
      <c r="B10" s="45" t="s">
        <v>50</v>
      </c>
      <c r="C10" s="45" t="s">
        <v>51</v>
      </c>
      <c r="D10" s="46"/>
      <c r="E10" s="46">
        <v>8000000</v>
      </c>
      <c r="F10" s="46"/>
    </row>
    <row r="11" spans="2:6" x14ac:dyDescent="0.3">
      <c r="B11" s="45" t="s">
        <v>52</v>
      </c>
      <c r="C11" s="45" t="s">
        <v>53</v>
      </c>
      <c r="D11" s="46"/>
      <c r="E11" s="46">
        <v>8000000</v>
      </c>
      <c r="F11" s="46"/>
    </row>
    <row r="12" spans="2:6" x14ac:dyDescent="0.3">
      <c r="D12" s="46"/>
      <c r="E12" s="47">
        <f>SUM(E4:E11)</f>
        <v>57700000</v>
      </c>
      <c r="F12" s="46"/>
    </row>
    <row r="13" spans="2:6" x14ac:dyDescent="0.3">
      <c r="B13" s="45"/>
      <c r="C13" s="45"/>
      <c r="D13" s="46"/>
      <c r="E13" s="46"/>
      <c r="F13" s="46"/>
    </row>
    <row r="14" spans="2:6" x14ac:dyDescent="0.3">
      <c r="B14" s="45"/>
      <c r="C14" s="45"/>
      <c r="D14" s="46"/>
      <c r="E14" s="46"/>
      <c r="F14" s="46"/>
    </row>
    <row r="15" spans="2:6" x14ac:dyDescent="0.3">
      <c r="B15" s="45"/>
      <c r="C15" s="45"/>
      <c r="D15" s="46"/>
      <c r="E15" s="46"/>
      <c r="F15" s="46"/>
    </row>
    <row r="18" spans="2:7" x14ac:dyDescent="0.3">
      <c r="B18" t="s">
        <v>34</v>
      </c>
      <c r="E18" t="s">
        <v>48</v>
      </c>
    </row>
    <row r="19" spans="2:7" x14ac:dyDescent="0.3">
      <c r="B19" t="s">
        <v>54</v>
      </c>
      <c r="E19" s="46"/>
    </row>
    <row r="20" spans="2:7" x14ac:dyDescent="0.3">
      <c r="B20" t="s">
        <v>55</v>
      </c>
      <c r="E20" s="46"/>
    </row>
    <row r="21" spans="2:7" ht="15" thickBot="1" x14ac:dyDescent="0.35"/>
    <row r="22" spans="2:7" ht="15" thickBot="1" x14ac:dyDescent="0.35">
      <c r="E22" s="207"/>
      <c r="F22" s="207"/>
      <c r="G22" s="208"/>
    </row>
  </sheetData>
  <mergeCells count="1">
    <mergeCell ref="E22:G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5710-2924-40D7-B8B7-DAA5F614EE5B}">
  <dimension ref="A1:XFD104"/>
  <sheetViews>
    <sheetView topLeftCell="C1" zoomScale="70" zoomScaleNormal="70" workbookViewId="0">
      <selection activeCell="L12" sqref="L12"/>
    </sheetView>
  </sheetViews>
  <sheetFormatPr defaultColWidth="9.21875" defaultRowHeight="16.2" x14ac:dyDescent="0.3"/>
  <cols>
    <col min="1" max="1" width="9.21875" style="48"/>
    <col min="2" max="2" width="10.77734375" style="48" customWidth="1"/>
    <col min="3" max="3" width="39.5546875" style="49" bestFit="1" customWidth="1"/>
    <col min="4" max="4" width="14.5546875" style="48" customWidth="1"/>
    <col min="5" max="5" width="16.21875" style="48" customWidth="1"/>
    <col min="6" max="6" width="10.44140625" style="48" customWidth="1"/>
    <col min="7" max="7" width="10.33203125" style="48" customWidth="1"/>
    <col min="8" max="8" width="12.21875" style="48" customWidth="1"/>
    <col min="9" max="9" width="13.44140625" style="48" customWidth="1"/>
    <col min="10" max="10" width="12.21875" style="48" customWidth="1"/>
    <col min="11" max="12" width="11.77734375" style="48" customWidth="1"/>
    <col min="13" max="13" width="13.6640625" style="48" customWidth="1"/>
    <col min="14" max="14" width="16.21875" style="48" customWidth="1"/>
    <col min="15" max="15" width="14.21875" style="48" customWidth="1"/>
    <col min="16" max="16" width="13.21875" style="2" customWidth="1"/>
    <col min="17" max="17" width="13.44140625" style="48" hidden="1" customWidth="1"/>
    <col min="18" max="18" width="13.44140625" style="48" bestFit="1" customWidth="1"/>
    <col min="19" max="23" width="9.21875" style="48"/>
    <col min="24" max="25" width="9.21875" style="48" customWidth="1"/>
    <col min="26" max="16384" width="9.21875" style="48"/>
  </cols>
  <sheetData>
    <row r="1" spans="1:21 16384:16384" ht="16.8" thickBot="1" x14ac:dyDescent="0.35">
      <c r="L1" s="48" t="s">
        <v>56</v>
      </c>
    </row>
    <row r="2" spans="1:21 16384:16384" ht="16.8" thickBot="1" x14ac:dyDescent="0.35">
      <c r="A2" s="215"/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7"/>
    </row>
    <row r="3" spans="1:21 16384:16384" ht="18.600000000000001" customHeight="1" x14ac:dyDescent="0.3">
      <c r="A3" s="218" t="s">
        <v>57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20"/>
    </row>
    <row r="4" spans="1:21 16384:16384" ht="18.600000000000001" customHeight="1" thickBot="1" x14ac:dyDescent="0.35">
      <c r="A4" s="221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</row>
    <row r="5" spans="1:21 16384:16384" ht="18.600000000000001" thickBot="1" x14ac:dyDescent="0.35">
      <c r="A5" s="224" t="s">
        <v>58</v>
      </c>
      <c r="B5" s="225"/>
      <c r="C5" s="225"/>
      <c r="D5" s="225"/>
      <c r="E5" s="225"/>
      <c r="F5" s="226"/>
      <c r="G5" s="227" t="s">
        <v>59</v>
      </c>
      <c r="H5" s="228"/>
      <c r="I5" s="228"/>
      <c r="J5" s="228"/>
      <c r="K5" s="228"/>
      <c r="L5" s="228"/>
      <c r="M5" s="229"/>
      <c r="N5" s="50" t="s">
        <v>60</v>
      </c>
      <c r="O5" s="230" t="s">
        <v>61</v>
      </c>
      <c r="P5" s="231"/>
      <c r="Q5" s="51" t="s">
        <v>62</v>
      </c>
      <c r="R5" s="52" t="s">
        <v>62</v>
      </c>
    </row>
    <row r="6" spans="1:21 16384:16384" ht="90.6" thickBot="1" x14ac:dyDescent="0.35">
      <c r="A6" s="53" t="s">
        <v>63</v>
      </c>
      <c r="B6" s="53" t="s">
        <v>64</v>
      </c>
      <c r="C6" s="53" t="s">
        <v>65</v>
      </c>
      <c r="D6" s="53" t="s">
        <v>66</v>
      </c>
      <c r="E6" s="53" t="s">
        <v>67</v>
      </c>
      <c r="F6" s="53" t="s">
        <v>68</v>
      </c>
      <c r="G6" s="53" t="s">
        <v>69</v>
      </c>
      <c r="H6" s="53" t="s">
        <v>70</v>
      </c>
      <c r="I6" s="53" t="s">
        <v>71</v>
      </c>
      <c r="J6" s="53" t="s">
        <v>72</v>
      </c>
      <c r="K6" s="53" t="s">
        <v>73</v>
      </c>
      <c r="L6" s="53" t="s">
        <v>74</v>
      </c>
      <c r="M6" s="53" t="s">
        <v>75</v>
      </c>
      <c r="N6" s="54" t="s">
        <v>76</v>
      </c>
      <c r="O6" s="55" t="s">
        <v>77</v>
      </c>
      <c r="P6" s="56" t="s">
        <v>78</v>
      </c>
      <c r="Q6" s="56" t="s">
        <v>79</v>
      </c>
      <c r="R6" s="57" t="s">
        <v>79</v>
      </c>
    </row>
    <row r="7" spans="1:21 16384:16384" ht="18" customHeight="1" x14ac:dyDescent="0.3">
      <c r="A7" s="58">
        <v>1</v>
      </c>
      <c r="B7" s="232" t="s">
        <v>80</v>
      </c>
      <c r="C7" s="59" t="s">
        <v>81</v>
      </c>
      <c r="D7" s="60">
        <v>46002</v>
      </c>
      <c r="E7" s="60">
        <v>46008</v>
      </c>
      <c r="F7" s="61" t="s">
        <v>82</v>
      </c>
      <c r="G7" s="62">
        <v>3925</v>
      </c>
      <c r="H7" s="61">
        <v>1826</v>
      </c>
      <c r="I7" s="61">
        <v>1826.1999999999998</v>
      </c>
      <c r="J7" s="62">
        <f>H7-I7</f>
        <v>-0.1999999999998181</v>
      </c>
      <c r="K7" s="63">
        <v>0</v>
      </c>
      <c r="L7" s="63">
        <v>0</v>
      </c>
      <c r="M7" s="61">
        <f>L7+I7</f>
        <v>1826.1999999999998</v>
      </c>
      <c r="N7" s="64">
        <f>J7/H7</f>
        <v>-1.0952902519157618E-4</v>
      </c>
      <c r="O7" s="65">
        <v>0</v>
      </c>
      <c r="P7" s="66">
        <v>0</v>
      </c>
      <c r="Q7" s="67" t="s">
        <v>83</v>
      </c>
      <c r="R7" s="68">
        <f>M7/H7</f>
        <v>1.0001095290251916</v>
      </c>
      <c r="T7" s="69"/>
      <c r="U7" s="69"/>
    </row>
    <row r="8" spans="1:21 16384:16384" ht="18" x14ac:dyDescent="0.3">
      <c r="A8" s="58">
        <v>2</v>
      </c>
      <c r="B8" s="233"/>
      <c r="C8" s="70" t="s">
        <v>84</v>
      </c>
      <c r="D8" s="71">
        <v>46002</v>
      </c>
      <c r="E8" s="71">
        <v>46008</v>
      </c>
      <c r="F8" s="63" t="s">
        <v>82</v>
      </c>
      <c r="G8" s="72">
        <v>265</v>
      </c>
      <c r="H8" s="73">
        <v>91.31</v>
      </c>
      <c r="I8" s="63">
        <v>91.31</v>
      </c>
      <c r="J8" s="74">
        <f t="shared" ref="J8:J12" si="0">H8-I8</f>
        <v>0</v>
      </c>
      <c r="K8" s="63">
        <v>0</v>
      </c>
      <c r="L8" s="63">
        <v>0</v>
      </c>
      <c r="M8" s="63">
        <f t="shared" ref="M8:M18" si="1">L8+I8</f>
        <v>91.31</v>
      </c>
      <c r="N8" s="64">
        <f t="shared" ref="N8:N55" si="2">J8/H8</f>
        <v>0</v>
      </c>
      <c r="O8" s="65">
        <v>0</v>
      </c>
      <c r="P8" s="66">
        <v>0</v>
      </c>
      <c r="Q8" s="75" t="s">
        <v>85</v>
      </c>
      <c r="R8" s="76">
        <f t="shared" ref="R8:R43" si="3">M8/H8</f>
        <v>1</v>
      </c>
      <c r="T8" s="69"/>
      <c r="U8" s="69"/>
    </row>
    <row r="9" spans="1:21 16384:16384" ht="18" x14ac:dyDescent="0.3">
      <c r="A9" s="58">
        <v>3</v>
      </c>
      <c r="B9" s="233"/>
      <c r="C9" s="70" t="s">
        <v>86</v>
      </c>
      <c r="D9" s="71">
        <v>46002</v>
      </c>
      <c r="E9" s="71">
        <v>46008</v>
      </c>
      <c r="F9" s="63" t="s">
        <v>82</v>
      </c>
      <c r="G9" s="72">
        <v>10000</v>
      </c>
      <c r="H9" s="73">
        <v>1123.22</v>
      </c>
      <c r="I9" s="63">
        <v>1123.22</v>
      </c>
      <c r="J9" s="74">
        <f>H9-I9</f>
        <v>0</v>
      </c>
      <c r="K9" s="63">
        <v>0</v>
      </c>
      <c r="L9" s="63">
        <v>0</v>
      </c>
      <c r="M9" s="63">
        <f>L9+I9</f>
        <v>1123.22</v>
      </c>
      <c r="N9" s="64">
        <f t="shared" si="2"/>
        <v>0</v>
      </c>
      <c r="O9" s="65">
        <v>0</v>
      </c>
      <c r="P9" s="66">
        <v>0</v>
      </c>
      <c r="Q9" s="75"/>
      <c r="R9" s="76">
        <f t="shared" si="3"/>
        <v>1</v>
      </c>
      <c r="S9" s="69"/>
      <c r="T9" s="69"/>
      <c r="U9" s="69"/>
    </row>
    <row r="10" spans="1:21 16384:16384" ht="18" x14ac:dyDescent="0.3">
      <c r="A10" s="58">
        <v>4</v>
      </c>
      <c r="B10" s="233"/>
      <c r="C10" s="70" t="s">
        <v>87</v>
      </c>
      <c r="D10" s="71">
        <v>46002</v>
      </c>
      <c r="E10" s="71">
        <v>46008</v>
      </c>
      <c r="F10" s="63" t="s">
        <v>82</v>
      </c>
      <c r="G10" s="72">
        <v>195.5</v>
      </c>
      <c r="H10" s="73">
        <v>173.81</v>
      </c>
      <c r="I10" s="63">
        <v>173.81</v>
      </c>
      <c r="J10" s="74">
        <f>H10-I10</f>
        <v>0</v>
      </c>
      <c r="K10" s="63">
        <v>0</v>
      </c>
      <c r="L10" s="63">
        <v>0</v>
      </c>
      <c r="M10" s="63">
        <f t="shared" ref="M10" si="4">L10+I10</f>
        <v>173.81</v>
      </c>
      <c r="N10" s="64">
        <f t="shared" si="2"/>
        <v>0</v>
      </c>
      <c r="O10" s="65">
        <v>0</v>
      </c>
      <c r="P10" s="66">
        <v>0</v>
      </c>
      <c r="Q10" s="75"/>
      <c r="R10" s="76">
        <f t="shared" si="3"/>
        <v>1</v>
      </c>
      <c r="T10" s="69"/>
      <c r="U10" s="69"/>
    </row>
    <row r="11" spans="1:21 16384:16384" ht="18" x14ac:dyDescent="0.3">
      <c r="A11" s="58">
        <v>5</v>
      </c>
      <c r="B11" s="233"/>
      <c r="C11" s="70" t="s">
        <v>88</v>
      </c>
      <c r="D11" s="71">
        <v>46002</v>
      </c>
      <c r="E11" s="71">
        <v>46008</v>
      </c>
      <c r="F11" s="63" t="s">
        <v>89</v>
      </c>
      <c r="G11" s="72">
        <v>1075</v>
      </c>
      <c r="H11" s="73">
        <v>441.90800000000002</v>
      </c>
      <c r="I11" s="63">
        <v>441.91</v>
      </c>
      <c r="J11" s="74">
        <f t="shared" si="0"/>
        <v>-2.0000000000095497E-3</v>
      </c>
      <c r="K11" s="63">
        <v>0</v>
      </c>
      <c r="L11" s="63">
        <v>0</v>
      </c>
      <c r="M11" s="63">
        <f t="shared" si="1"/>
        <v>441.91</v>
      </c>
      <c r="N11" s="64">
        <f t="shared" si="2"/>
        <v>-4.5258289055856641E-6</v>
      </c>
      <c r="O11" s="65">
        <v>0</v>
      </c>
      <c r="P11" s="66">
        <v>0</v>
      </c>
      <c r="Q11" s="75"/>
      <c r="R11" s="76">
        <f t="shared" si="3"/>
        <v>1.0000045258289056</v>
      </c>
      <c r="T11" s="69"/>
      <c r="U11" s="69"/>
      <c r="XFD11" s="48">
        <f>SUM(A11:XFC11)</f>
        <v>94416.72600000001</v>
      </c>
    </row>
    <row r="12" spans="1:21 16384:16384" ht="18" x14ac:dyDescent="0.3">
      <c r="A12" s="58">
        <v>6</v>
      </c>
      <c r="B12" s="233"/>
      <c r="C12" s="70" t="s">
        <v>90</v>
      </c>
      <c r="D12" s="71">
        <v>46002</v>
      </c>
      <c r="E12" s="71">
        <v>46008</v>
      </c>
      <c r="F12" s="63" t="s">
        <v>82</v>
      </c>
      <c r="G12" s="74">
        <v>380</v>
      </c>
      <c r="H12" s="63">
        <v>292.76400000000001</v>
      </c>
      <c r="I12" s="63">
        <v>292.76</v>
      </c>
      <c r="J12" s="74">
        <f t="shared" si="0"/>
        <v>4.0000000000190994E-3</v>
      </c>
      <c r="K12" s="63">
        <v>0</v>
      </c>
      <c r="L12" s="63">
        <v>0</v>
      </c>
      <c r="M12" s="63">
        <f t="shared" si="1"/>
        <v>292.76</v>
      </c>
      <c r="N12" s="64">
        <f t="shared" si="2"/>
        <v>1.3662882048404514E-5</v>
      </c>
      <c r="O12" s="65">
        <v>0</v>
      </c>
      <c r="P12" s="66">
        <v>0</v>
      </c>
      <c r="Q12" s="75" t="s">
        <v>85</v>
      </c>
      <c r="R12" s="76">
        <f t="shared" si="3"/>
        <v>0.9999863371179516</v>
      </c>
      <c r="T12" s="69"/>
      <c r="U12" s="69"/>
    </row>
    <row r="13" spans="1:21 16384:16384" ht="18" x14ac:dyDescent="0.3">
      <c r="A13" s="58">
        <v>7</v>
      </c>
      <c r="B13" s="233"/>
      <c r="C13" s="70" t="s">
        <v>91</v>
      </c>
      <c r="D13" s="71">
        <v>46002</v>
      </c>
      <c r="E13" s="71">
        <v>46008</v>
      </c>
      <c r="F13" s="63" t="s">
        <v>89</v>
      </c>
      <c r="G13" s="72">
        <v>1075</v>
      </c>
      <c r="H13" s="63">
        <v>664</v>
      </c>
      <c r="I13" s="63">
        <v>663.99999999999989</v>
      </c>
      <c r="J13" s="74">
        <f>H13-I13</f>
        <v>0</v>
      </c>
      <c r="K13" s="63">
        <v>0</v>
      </c>
      <c r="L13" s="63">
        <v>0</v>
      </c>
      <c r="M13" s="63">
        <f t="shared" si="1"/>
        <v>663.99999999999989</v>
      </c>
      <c r="N13" s="64">
        <f t="shared" si="2"/>
        <v>0</v>
      </c>
      <c r="O13" s="65">
        <v>0</v>
      </c>
      <c r="P13" s="66">
        <v>0</v>
      </c>
      <c r="Q13" s="75"/>
      <c r="R13" s="76">
        <f t="shared" si="3"/>
        <v>0.99999999999999978</v>
      </c>
      <c r="T13" s="69"/>
      <c r="U13" s="69"/>
    </row>
    <row r="14" spans="1:21 16384:16384" ht="18" x14ac:dyDescent="0.3">
      <c r="A14" s="58">
        <v>8</v>
      </c>
      <c r="B14" s="233"/>
      <c r="C14" s="70" t="s">
        <v>92</v>
      </c>
      <c r="D14" s="71">
        <v>46002</v>
      </c>
      <c r="E14" s="71">
        <v>46008</v>
      </c>
      <c r="F14" s="63" t="s">
        <v>82</v>
      </c>
      <c r="G14" s="74">
        <v>380</v>
      </c>
      <c r="H14" s="63">
        <v>62.65</v>
      </c>
      <c r="I14" s="63">
        <v>62.65</v>
      </c>
      <c r="J14" s="74">
        <f>H14-I14</f>
        <v>0</v>
      </c>
      <c r="K14" s="63">
        <v>0</v>
      </c>
      <c r="L14" s="63">
        <v>0</v>
      </c>
      <c r="M14" s="63">
        <f>L14+I14</f>
        <v>62.65</v>
      </c>
      <c r="N14" s="64">
        <f t="shared" si="2"/>
        <v>0</v>
      </c>
      <c r="O14" s="65">
        <v>0</v>
      </c>
      <c r="P14" s="66">
        <v>0</v>
      </c>
      <c r="Q14" s="77"/>
      <c r="R14" s="76">
        <f t="shared" si="3"/>
        <v>1</v>
      </c>
      <c r="T14" s="69"/>
      <c r="U14" s="69"/>
    </row>
    <row r="15" spans="1:21 16384:16384" ht="18" x14ac:dyDescent="0.3">
      <c r="A15" s="58">
        <v>9</v>
      </c>
      <c r="B15" s="233"/>
      <c r="C15" s="70" t="s">
        <v>93</v>
      </c>
      <c r="D15" s="71">
        <v>46002</v>
      </c>
      <c r="E15" s="71">
        <v>46008</v>
      </c>
      <c r="F15" s="63" t="s">
        <v>82</v>
      </c>
      <c r="G15" s="74">
        <v>3925</v>
      </c>
      <c r="H15" s="63">
        <v>11.795</v>
      </c>
      <c r="I15" s="63">
        <v>11.795</v>
      </c>
      <c r="J15" s="74">
        <f>H15-I15</f>
        <v>0</v>
      </c>
      <c r="K15" s="63">
        <v>0</v>
      </c>
      <c r="L15" s="63">
        <v>0</v>
      </c>
      <c r="M15" s="63">
        <f>L15+I15</f>
        <v>11.795</v>
      </c>
      <c r="N15" s="64">
        <f t="shared" si="2"/>
        <v>0</v>
      </c>
      <c r="O15" s="65">
        <v>0</v>
      </c>
      <c r="P15" s="66">
        <v>0</v>
      </c>
      <c r="Q15" s="77"/>
      <c r="R15" s="76">
        <f t="shared" si="3"/>
        <v>1</v>
      </c>
      <c r="T15" s="69"/>
      <c r="U15" s="69"/>
    </row>
    <row r="16" spans="1:21 16384:16384" ht="18" x14ac:dyDescent="0.3">
      <c r="A16" s="58">
        <v>10</v>
      </c>
      <c r="B16" s="233"/>
      <c r="C16" s="70" t="s">
        <v>94</v>
      </c>
      <c r="D16" s="71">
        <v>46002</v>
      </c>
      <c r="E16" s="71">
        <v>46008</v>
      </c>
      <c r="F16" s="63" t="s">
        <v>82</v>
      </c>
      <c r="G16" s="74">
        <v>265</v>
      </c>
      <c r="H16" s="63">
        <v>7.944</v>
      </c>
      <c r="I16" s="63">
        <v>7.944</v>
      </c>
      <c r="J16" s="74">
        <f>H16-I16</f>
        <v>0</v>
      </c>
      <c r="K16" s="63">
        <v>0</v>
      </c>
      <c r="L16" s="63">
        <v>0</v>
      </c>
      <c r="M16" s="63">
        <f t="shared" si="1"/>
        <v>7.944</v>
      </c>
      <c r="N16" s="64">
        <f t="shared" si="2"/>
        <v>0</v>
      </c>
      <c r="O16" s="65">
        <v>0</v>
      </c>
      <c r="P16" s="66">
        <v>0</v>
      </c>
      <c r="Q16" s="77"/>
      <c r="R16" s="76">
        <f t="shared" si="3"/>
        <v>1</v>
      </c>
      <c r="T16" s="69"/>
      <c r="U16" s="69"/>
    </row>
    <row r="17" spans="1:21" ht="18" x14ac:dyDescent="0.3">
      <c r="A17" s="58">
        <v>11</v>
      </c>
      <c r="B17" s="233"/>
      <c r="C17" s="70" t="s">
        <v>95</v>
      </c>
      <c r="D17" s="71">
        <v>46002</v>
      </c>
      <c r="E17" s="71">
        <v>46008</v>
      </c>
      <c r="F17" s="63" t="s">
        <v>89</v>
      </c>
      <c r="G17" s="72">
        <v>1075</v>
      </c>
      <c r="H17" s="63">
        <v>142.93799999999999</v>
      </c>
      <c r="I17" s="63">
        <v>142.85</v>
      </c>
      <c r="J17" s="74">
        <f t="shared" ref="J17:J18" si="5">H17-I17</f>
        <v>8.7999999999993861E-2</v>
      </c>
      <c r="K17" s="63">
        <v>0</v>
      </c>
      <c r="L17" s="63">
        <v>0</v>
      </c>
      <c r="M17" s="63">
        <f t="shared" si="1"/>
        <v>142.85</v>
      </c>
      <c r="N17" s="64">
        <f t="shared" si="2"/>
        <v>6.1565154122762223E-4</v>
      </c>
      <c r="O17" s="65">
        <v>0</v>
      </c>
      <c r="P17" s="66">
        <v>0</v>
      </c>
      <c r="Q17" s="77"/>
      <c r="R17" s="76">
        <f t="shared" si="3"/>
        <v>0.99938434845877233</v>
      </c>
      <c r="T17" s="69"/>
      <c r="U17" s="69"/>
    </row>
    <row r="18" spans="1:21" ht="18" x14ac:dyDescent="0.3">
      <c r="A18" s="58">
        <v>12</v>
      </c>
      <c r="B18" s="233"/>
      <c r="C18" s="70" t="s">
        <v>96</v>
      </c>
      <c r="D18" s="71">
        <v>46002</v>
      </c>
      <c r="E18" s="71">
        <v>46008</v>
      </c>
      <c r="F18" s="63" t="s">
        <v>82</v>
      </c>
      <c r="G18" s="74">
        <v>380</v>
      </c>
      <c r="H18" s="63">
        <v>23.994</v>
      </c>
      <c r="I18" s="63">
        <v>23.979999999999997</v>
      </c>
      <c r="J18" s="74">
        <f t="shared" si="5"/>
        <v>1.4000000000002899E-2</v>
      </c>
      <c r="K18" s="63">
        <v>0</v>
      </c>
      <c r="L18" s="63">
        <v>0</v>
      </c>
      <c r="M18" s="63">
        <f t="shared" si="1"/>
        <v>23.979999999999997</v>
      </c>
      <c r="N18" s="64">
        <f t="shared" si="2"/>
        <v>5.8347920313423765E-4</v>
      </c>
      <c r="O18" s="65">
        <v>0</v>
      </c>
      <c r="P18" s="66">
        <v>0</v>
      </c>
      <c r="Q18" s="77"/>
      <c r="R18" s="76">
        <f t="shared" si="3"/>
        <v>0.99941652079686571</v>
      </c>
      <c r="T18" s="69"/>
      <c r="U18" s="69"/>
    </row>
    <row r="19" spans="1:21" ht="18" x14ac:dyDescent="0.3">
      <c r="A19" s="58">
        <v>13</v>
      </c>
      <c r="B19" s="233"/>
      <c r="C19" s="70" t="s">
        <v>97</v>
      </c>
      <c r="D19" s="71">
        <v>46002</v>
      </c>
      <c r="E19" s="71">
        <v>46008</v>
      </c>
      <c r="F19" s="63" t="s">
        <v>82</v>
      </c>
      <c r="G19" s="74">
        <v>130</v>
      </c>
      <c r="H19" s="63">
        <v>86.293999999999997</v>
      </c>
      <c r="I19" s="63">
        <v>86.293999999999997</v>
      </c>
      <c r="J19" s="74">
        <f>H19-I19</f>
        <v>0</v>
      </c>
      <c r="K19" s="63">
        <v>0</v>
      </c>
      <c r="L19" s="63">
        <v>0</v>
      </c>
      <c r="M19" s="63">
        <f>L19+I19</f>
        <v>86.293999999999997</v>
      </c>
      <c r="N19" s="64">
        <f t="shared" si="2"/>
        <v>0</v>
      </c>
      <c r="O19" s="65">
        <v>0</v>
      </c>
      <c r="P19" s="66">
        <v>0</v>
      </c>
      <c r="Q19" s="77"/>
      <c r="R19" s="76">
        <f t="shared" si="3"/>
        <v>1</v>
      </c>
      <c r="T19" s="69"/>
      <c r="U19" s="69"/>
    </row>
    <row r="20" spans="1:21" ht="18" x14ac:dyDescent="0.3">
      <c r="A20" s="58">
        <v>14</v>
      </c>
      <c r="B20" s="233"/>
      <c r="C20" s="70" t="s">
        <v>98</v>
      </c>
      <c r="D20" s="71">
        <v>46002</v>
      </c>
      <c r="E20" s="71">
        <v>46008</v>
      </c>
      <c r="F20" s="63" t="s">
        <v>82</v>
      </c>
      <c r="G20" s="74">
        <v>265</v>
      </c>
      <c r="H20" s="63">
        <v>18.07</v>
      </c>
      <c r="I20" s="63">
        <v>18.07</v>
      </c>
      <c r="J20" s="74">
        <f>H20-I20</f>
        <v>0</v>
      </c>
      <c r="K20" s="63">
        <v>0</v>
      </c>
      <c r="L20" s="63">
        <v>0</v>
      </c>
      <c r="M20" s="63">
        <f t="shared" ref="M20:M21" si="6">L20+I20</f>
        <v>18.07</v>
      </c>
      <c r="N20" s="64">
        <f t="shared" si="2"/>
        <v>0</v>
      </c>
      <c r="O20" s="65">
        <v>0</v>
      </c>
      <c r="P20" s="66">
        <v>0</v>
      </c>
      <c r="Q20" s="77"/>
      <c r="R20" s="76">
        <f t="shared" si="3"/>
        <v>1</v>
      </c>
      <c r="T20" s="69"/>
      <c r="U20" s="69"/>
    </row>
    <row r="21" spans="1:21" ht="18" x14ac:dyDescent="0.3">
      <c r="A21" s="58">
        <v>15</v>
      </c>
      <c r="B21" s="233"/>
      <c r="C21" s="70" t="s">
        <v>99</v>
      </c>
      <c r="D21" s="71">
        <v>46002</v>
      </c>
      <c r="E21" s="71">
        <v>46008</v>
      </c>
      <c r="F21" s="63" t="s">
        <v>89</v>
      </c>
      <c r="G21" s="72">
        <v>1075</v>
      </c>
      <c r="H21" s="63">
        <v>387.1</v>
      </c>
      <c r="I21" s="63">
        <v>387.1</v>
      </c>
      <c r="J21" s="74">
        <f>H21-I21</f>
        <v>0</v>
      </c>
      <c r="K21" s="63">
        <v>0</v>
      </c>
      <c r="L21" s="63">
        <v>0</v>
      </c>
      <c r="M21" s="63">
        <f t="shared" si="6"/>
        <v>387.1</v>
      </c>
      <c r="N21" s="64">
        <f t="shared" si="2"/>
        <v>0</v>
      </c>
      <c r="O21" s="65">
        <v>0</v>
      </c>
      <c r="P21" s="66">
        <v>0</v>
      </c>
      <c r="Q21" s="77"/>
      <c r="R21" s="76">
        <f t="shared" si="3"/>
        <v>1</v>
      </c>
      <c r="T21" s="69"/>
      <c r="U21" s="69"/>
    </row>
    <row r="22" spans="1:21" ht="18" x14ac:dyDescent="0.3">
      <c r="A22" s="58">
        <v>16</v>
      </c>
      <c r="B22" s="233"/>
      <c r="C22" s="70" t="s">
        <v>100</v>
      </c>
      <c r="D22" s="71">
        <v>46002</v>
      </c>
      <c r="E22" s="71">
        <v>46008</v>
      </c>
      <c r="F22" s="63" t="s">
        <v>82</v>
      </c>
      <c r="G22" s="74">
        <v>380</v>
      </c>
      <c r="H22" s="63">
        <v>45.72</v>
      </c>
      <c r="I22" s="63">
        <v>45.72</v>
      </c>
      <c r="J22" s="74">
        <f>H22-I22</f>
        <v>0</v>
      </c>
      <c r="K22" s="63">
        <v>0</v>
      </c>
      <c r="L22" s="63">
        <v>0</v>
      </c>
      <c r="M22" s="63">
        <f>L22+I22</f>
        <v>45.72</v>
      </c>
      <c r="N22" s="64">
        <f t="shared" si="2"/>
        <v>0</v>
      </c>
      <c r="O22" s="65">
        <v>0</v>
      </c>
      <c r="P22" s="66">
        <v>0</v>
      </c>
      <c r="Q22" s="77"/>
      <c r="R22" s="76">
        <f t="shared" si="3"/>
        <v>1</v>
      </c>
      <c r="T22" s="69"/>
      <c r="U22" s="69"/>
    </row>
    <row r="23" spans="1:21" ht="18" x14ac:dyDescent="0.3">
      <c r="A23" s="58">
        <v>17</v>
      </c>
      <c r="B23" s="233"/>
      <c r="C23" s="70" t="s">
        <v>101</v>
      </c>
      <c r="D23" s="71">
        <v>46002</v>
      </c>
      <c r="E23" s="71">
        <v>46008</v>
      </c>
      <c r="F23" s="63" t="s">
        <v>89</v>
      </c>
      <c r="G23" s="72">
        <v>5235</v>
      </c>
      <c r="H23" s="63">
        <v>92.29</v>
      </c>
      <c r="I23" s="63">
        <v>59.5</v>
      </c>
      <c r="J23" s="74">
        <f t="shared" ref="J23:J30" si="7">H23-I23</f>
        <v>32.790000000000006</v>
      </c>
      <c r="K23" s="63">
        <f>J23</f>
        <v>32.790000000000006</v>
      </c>
      <c r="L23" s="63">
        <v>15</v>
      </c>
      <c r="M23" s="63">
        <f t="shared" ref="M23:M41" si="8">L23+I23</f>
        <v>74.5</v>
      </c>
      <c r="N23" s="64">
        <f>J23/H23</f>
        <v>0.3552930978437534</v>
      </c>
      <c r="O23" s="65">
        <f t="shared" ref="O23" si="9">K23/J23</f>
        <v>1</v>
      </c>
      <c r="P23" s="66">
        <f>L23/J23</f>
        <v>0.45745654162854521</v>
      </c>
      <c r="Q23" s="78"/>
      <c r="R23" s="79">
        <f t="shared" si="3"/>
        <v>0.80723805396034232</v>
      </c>
      <c r="T23" s="69"/>
      <c r="U23" s="69"/>
    </row>
    <row r="24" spans="1:21" ht="18" x14ac:dyDescent="0.3">
      <c r="A24" s="58">
        <v>18</v>
      </c>
      <c r="B24" s="233"/>
      <c r="C24" s="80" t="s">
        <v>102</v>
      </c>
      <c r="D24" s="71">
        <v>46002</v>
      </c>
      <c r="E24" s="71">
        <v>46008</v>
      </c>
      <c r="F24" s="63" t="s">
        <v>82</v>
      </c>
      <c r="G24" s="72">
        <v>130</v>
      </c>
      <c r="H24" s="73">
        <v>16.167999999999999</v>
      </c>
      <c r="I24" s="63">
        <v>16.170000000000002</v>
      </c>
      <c r="J24" s="74">
        <f t="shared" si="7"/>
        <v>-2.0000000000024443E-3</v>
      </c>
      <c r="K24" s="63">
        <v>0</v>
      </c>
      <c r="L24" s="63">
        <v>0</v>
      </c>
      <c r="M24" s="63">
        <f t="shared" si="8"/>
        <v>16.170000000000002</v>
      </c>
      <c r="N24" s="64">
        <f t="shared" si="2"/>
        <v>-1.2370113805062124E-4</v>
      </c>
      <c r="O24" s="65">
        <v>0</v>
      </c>
      <c r="P24" s="66">
        <v>0</v>
      </c>
      <c r="Q24" s="77"/>
      <c r="R24" s="76">
        <f t="shared" si="3"/>
        <v>1.0001237011380506</v>
      </c>
      <c r="T24" s="69"/>
      <c r="U24" s="69"/>
    </row>
    <row r="25" spans="1:21" ht="18" x14ac:dyDescent="0.3">
      <c r="A25" s="58">
        <v>19</v>
      </c>
      <c r="B25" s="233"/>
      <c r="C25" s="80" t="s">
        <v>103</v>
      </c>
      <c r="D25" s="71">
        <v>46002</v>
      </c>
      <c r="E25" s="71">
        <v>46008</v>
      </c>
      <c r="F25" s="63" t="s">
        <v>82</v>
      </c>
      <c r="G25" s="72">
        <v>265</v>
      </c>
      <c r="H25" s="73">
        <v>86.9</v>
      </c>
      <c r="I25" s="63">
        <v>86.9</v>
      </c>
      <c r="J25" s="74">
        <f t="shared" si="7"/>
        <v>0</v>
      </c>
      <c r="K25" s="63">
        <v>0</v>
      </c>
      <c r="L25" s="63">
        <v>0</v>
      </c>
      <c r="M25" s="63">
        <f>L25+I25</f>
        <v>86.9</v>
      </c>
      <c r="N25" s="64">
        <f t="shared" si="2"/>
        <v>0</v>
      </c>
      <c r="O25" s="65">
        <v>0</v>
      </c>
      <c r="P25" s="66">
        <v>0</v>
      </c>
      <c r="Q25" s="77"/>
      <c r="R25" s="76">
        <f t="shared" si="3"/>
        <v>1</v>
      </c>
      <c r="T25" s="69"/>
      <c r="U25" s="69"/>
    </row>
    <row r="26" spans="1:21" ht="18" x14ac:dyDescent="0.3">
      <c r="A26" s="58">
        <v>20</v>
      </c>
      <c r="B26" s="233"/>
      <c r="C26" s="81" t="s">
        <v>104</v>
      </c>
      <c r="D26" s="71">
        <v>46002</v>
      </c>
      <c r="E26" s="71">
        <v>46008</v>
      </c>
      <c r="F26" s="63" t="s">
        <v>89</v>
      </c>
      <c r="G26" s="72">
        <v>1075</v>
      </c>
      <c r="H26" s="63">
        <v>15.3</v>
      </c>
      <c r="I26" s="63">
        <v>15.3</v>
      </c>
      <c r="J26" s="74">
        <f>H26-I26</f>
        <v>0</v>
      </c>
      <c r="K26" s="63">
        <f>J26</f>
        <v>0</v>
      </c>
      <c r="L26" s="63">
        <f>K26</f>
        <v>0</v>
      </c>
      <c r="M26" s="63">
        <f t="shared" ref="M26" si="10">L26+I26</f>
        <v>15.3</v>
      </c>
      <c r="N26" s="64">
        <f t="shared" si="2"/>
        <v>0</v>
      </c>
      <c r="O26" s="65">
        <v>0</v>
      </c>
      <c r="P26" s="66">
        <v>0</v>
      </c>
      <c r="Q26" s="77"/>
      <c r="R26" s="76">
        <f t="shared" si="3"/>
        <v>1</v>
      </c>
      <c r="T26" s="69"/>
      <c r="U26" s="69"/>
    </row>
    <row r="27" spans="1:21" ht="18" x14ac:dyDescent="0.3">
      <c r="A27" s="58">
        <v>21</v>
      </c>
      <c r="B27" s="233"/>
      <c r="C27" s="81" t="s">
        <v>105</v>
      </c>
      <c r="D27" s="71">
        <v>46002</v>
      </c>
      <c r="E27" s="71">
        <v>46008</v>
      </c>
      <c r="F27" s="82" t="s">
        <v>82</v>
      </c>
      <c r="G27" s="83">
        <v>380</v>
      </c>
      <c r="H27" s="82">
        <v>88.03</v>
      </c>
      <c r="I27" s="82">
        <v>88.03</v>
      </c>
      <c r="J27" s="83">
        <f t="shared" si="7"/>
        <v>0</v>
      </c>
      <c r="K27" s="63">
        <f>J27</f>
        <v>0</v>
      </c>
      <c r="L27" s="63">
        <f>K27</f>
        <v>0</v>
      </c>
      <c r="M27" s="82">
        <f t="shared" si="8"/>
        <v>88.03</v>
      </c>
      <c r="N27" s="84">
        <f t="shared" si="2"/>
        <v>0</v>
      </c>
      <c r="O27" s="65">
        <v>0</v>
      </c>
      <c r="P27" s="66">
        <v>0</v>
      </c>
      <c r="Q27" s="77"/>
      <c r="R27" s="76">
        <f>M27/H27</f>
        <v>1</v>
      </c>
      <c r="T27" s="69"/>
      <c r="U27" s="69"/>
    </row>
    <row r="28" spans="1:21" ht="16.05" customHeight="1" thickBot="1" x14ac:dyDescent="0.35">
      <c r="A28" s="277" t="s">
        <v>106</v>
      </c>
      <c r="B28" s="278"/>
      <c r="C28" s="278"/>
      <c r="D28" s="278"/>
      <c r="E28" s="278"/>
      <c r="F28" s="278"/>
      <c r="G28" s="278"/>
      <c r="H28" s="278"/>
      <c r="I28" s="278"/>
      <c r="J28" s="278"/>
      <c r="K28" s="278"/>
      <c r="L28" s="278"/>
      <c r="M28" s="278"/>
      <c r="N28" s="279"/>
      <c r="O28" s="85">
        <f>+AVERAGE(O7:O27)</f>
        <v>4.7619047619047616E-2</v>
      </c>
      <c r="P28" s="86">
        <f>+AVERAGE(P7:P27)</f>
        <v>2.1783644839454535E-2</v>
      </c>
      <c r="Q28" s="86" t="e">
        <f>+AVERAGE(Q7:Q25)</f>
        <v>#DIV/0!</v>
      </c>
      <c r="R28" s="86">
        <f>+AVERAGE(R7:R27)</f>
        <v>0.99077442934886106</v>
      </c>
    </row>
    <row r="29" spans="1:21" ht="17.55" customHeight="1" x14ac:dyDescent="0.3">
      <c r="A29" s="87">
        <v>22</v>
      </c>
      <c r="B29" s="209" t="s">
        <v>107</v>
      </c>
      <c r="C29" s="88" t="s">
        <v>108</v>
      </c>
      <c r="D29" s="71">
        <v>46002</v>
      </c>
      <c r="E29" s="71">
        <v>46008</v>
      </c>
      <c r="F29" s="89" t="s">
        <v>109</v>
      </c>
      <c r="G29" s="213">
        <v>1680</v>
      </c>
      <c r="H29" s="90">
        <v>427.55</v>
      </c>
      <c r="I29" s="89">
        <v>427.55399999999997</v>
      </c>
      <c r="J29" s="91">
        <f t="shared" si="7"/>
        <v>-3.999999999962256E-3</v>
      </c>
      <c r="K29" s="89">
        <v>0</v>
      </c>
      <c r="L29" s="89">
        <v>0</v>
      </c>
      <c r="M29" s="89">
        <f t="shared" si="8"/>
        <v>427.55399999999997</v>
      </c>
      <c r="N29" s="66">
        <f t="shared" si="2"/>
        <v>-9.3556309202719113E-6</v>
      </c>
      <c r="O29" s="92">
        <f>K29/J29</f>
        <v>0</v>
      </c>
      <c r="P29" s="64">
        <f t="shared" ref="P29" si="11">L29/J29</f>
        <v>0</v>
      </c>
      <c r="Q29" s="75"/>
      <c r="R29" s="76">
        <f t="shared" si="3"/>
        <v>1.0000093556309202</v>
      </c>
      <c r="T29" s="69"/>
      <c r="U29" s="69"/>
    </row>
    <row r="30" spans="1:21" ht="17.55" customHeight="1" x14ac:dyDescent="0.3">
      <c r="A30" s="93">
        <v>23</v>
      </c>
      <c r="B30" s="210"/>
      <c r="C30" s="94" t="s">
        <v>110</v>
      </c>
      <c r="D30" s="71">
        <v>46002</v>
      </c>
      <c r="E30" s="71">
        <v>46008</v>
      </c>
      <c r="F30" s="63" t="s">
        <v>109</v>
      </c>
      <c r="G30" s="213"/>
      <c r="H30" s="73">
        <v>700.59</v>
      </c>
      <c r="I30" s="63">
        <v>700.59</v>
      </c>
      <c r="J30" s="74">
        <f t="shared" si="7"/>
        <v>0</v>
      </c>
      <c r="K30" s="63">
        <v>0</v>
      </c>
      <c r="L30" s="63">
        <v>0</v>
      </c>
      <c r="M30" s="63">
        <f t="shared" si="8"/>
        <v>700.59</v>
      </c>
      <c r="N30" s="64">
        <f t="shared" si="2"/>
        <v>0</v>
      </c>
      <c r="O30" s="65">
        <v>0</v>
      </c>
      <c r="P30" s="66">
        <v>0</v>
      </c>
      <c r="Q30" s="75"/>
      <c r="R30" s="76">
        <f t="shared" si="3"/>
        <v>1</v>
      </c>
      <c r="T30" s="69"/>
      <c r="U30" s="69"/>
    </row>
    <row r="31" spans="1:21" ht="18" x14ac:dyDescent="0.3">
      <c r="A31" s="93">
        <v>24</v>
      </c>
      <c r="B31" s="210"/>
      <c r="C31" s="94" t="s">
        <v>111</v>
      </c>
      <c r="D31" s="71">
        <v>46002</v>
      </c>
      <c r="E31" s="71">
        <v>46008</v>
      </c>
      <c r="F31" s="63" t="s">
        <v>109</v>
      </c>
      <c r="G31" s="213"/>
      <c r="H31" s="95">
        <v>664.26</v>
      </c>
      <c r="I31" s="63">
        <v>664.23</v>
      </c>
      <c r="J31" s="74">
        <f>H31-I31</f>
        <v>2.9999999999972715E-2</v>
      </c>
      <c r="K31" s="63">
        <v>0</v>
      </c>
      <c r="L31" s="63">
        <v>0</v>
      </c>
      <c r="M31" s="63">
        <f t="shared" si="8"/>
        <v>664.23</v>
      </c>
      <c r="N31" s="64">
        <f t="shared" si="2"/>
        <v>4.516303856919386E-5</v>
      </c>
      <c r="O31" s="65">
        <v>0</v>
      </c>
      <c r="P31" s="66">
        <v>0</v>
      </c>
      <c r="Q31" s="75"/>
      <c r="R31" s="76">
        <f t="shared" si="3"/>
        <v>0.99995483696143084</v>
      </c>
      <c r="T31" s="69"/>
      <c r="U31" s="69"/>
    </row>
    <row r="32" spans="1:21" ht="18" x14ac:dyDescent="0.3">
      <c r="A32" s="93">
        <v>25</v>
      </c>
      <c r="B32" s="210"/>
      <c r="C32" s="94" t="s">
        <v>112</v>
      </c>
      <c r="D32" s="71">
        <v>46002</v>
      </c>
      <c r="E32" s="71">
        <v>46008</v>
      </c>
      <c r="F32" s="63" t="s">
        <v>109</v>
      </c>
      <c r="G32" s="213"/>
      <c r="H32" s="95">
        <v>57.39</v>
      </c>
      <c r="I32" s="82">
        <v>57.39</v>
      </c>
      <c r="J32" s="83">
        <f t="shared" ref="J32:J34" si="12">H32-I32</f>
        <v>0</v>
      </c>
      <c r="K32" s="63">
        <v>0</v>
      </c>
      <c r="L32" s="63">
        <v>0</v>
      </c>
      <c r="M32" s="82">
        <f t="shared" si="8"/>
        <v>57.39</v>
      </c>
      <c r="N32" s="64">
        <f t="shared" si="2"/>
        <v>0</v>
      </c>
      <c r="O32" s="65">
        <v>0</v>
      </c>
      <c r="P32" s="66">
        <v>0</v>
      </c>
      <c r="Q32" s="78"/>
      <c r="R32" s="79">
        <f t="shared" si="3"/>
        <v>1</v>
      </c>
      <c r="T32" s="69"/>
      <c r="U32" s="69"/>
    </row>
    <row r="33" spans="1:21" ht="18" x14ac:dyDescent="0.3">
      <c r="A33" s="93">
        <v>26</v>
      </c>
      <c r="B33" s="210"/>
      <c r="C33" s="94" t="s">
        <v>113</v>
      </c>
      <c r="D33" s="71">
        <v>46002</v>
      </c>
      <c r="E33" s="71">
        <v>46008</v>
      </c>
      <c r="F33" s="63" t="s">
        <v>109</v>
      </c>
      <c r="G33" s="214"/>
      <c r="H33" s="95">
        <v>67.989999999999995</v>
      </c>
      <c r="I33" s="82">
        <v>56</v>
      </c>
      <c r="J33" s="83">
        <f t="shared" si="12"/>
        <v>11.989999999999995</v>
      </c>
      <c r="K33" s="63">
        <v>0</v>
      </c>
      <c r="L33" s="63">
        <v>0</v>
      </c>
      <c r="M33" s="82">
        <f t="shared" si="8"/>
        <v>56</v>
      </c>
      <c r="N33" s="64">
        <f t="shared" si="2"/>
        <v>0.17634946315634645</v>
      </c>
      <c r="O33" s="92">
        <f>K33/J33</f>
        <v>0</v>
      </c>
      <c r="P33" s="84">
        <f t="shared" ref="P33:P43" si="13">L33/J33</f>
        <v>0</v>
      </c>
      <c r="Q33" s="78"/>
      <c r="R33" s="79">
        <f t="shared" si="3"/>
        <v>0.82365053684365352</v>
      </c>
      <c r="T33" s="69"/>
      <c r="U33" s="69"/>
    </row>
    <row r="34" spans="1:21" ht="18" x14ac:dyDescent="0.3">
      <c r="A34" s="93">
        <v>27</v>
      </c>
      <c r="B34" s="210"/>
      <c r="C34" s="96" t="s">
        <v>114</v>
      </c>
      <c r="D34" s="71">
        <v>46002</v>
      </c>
      <c r="E34" s="71">
        <v>46008</v>
      </c>
      <c r="F34" s="82" t="s">
        <v>82</v>
      </c>
      <c r="G34" s="212">
        <v>210</v>
      </c>
      <c r="H34" s="95">
        <v>32.822000000000003</v>
      </c>
      <c r="I34" s="82">
        <v>32.82</v>
      </c>
      <c r="J34" s="83">
        <f t="shared" si="12"/>
        <v>2.0000000000024443E-3</v>
      </c>
      <c r="K34" s="63">
        <v>0</v>
      </c>
      <c r="L34" s="63">
        <v>0</v>
      </c>
      <c r="M34" s="82">
        <f t="shared" si="8"/>
        <v>32.82</v>
      </c>
      <c r="N34" s="64">
        <f t="shared" si="2"/>
        <v>6.0934738894718302E-5</v>
      </c>
      <c r="O34" s="97">
        <f t="shared" ref="O34" si="14">K34/J34</f>
        <v>0</v>
      </c>
      <c r="P34" s="84">
        <f t="shared" si="13"/>
        <v>0</v>
      </c>
      <c r="Q34" s="78"/>
      <c r="R34" s="79">
        <f t="shared" si="3"/>
        <v>0.99993906526110532</v>
      </c>
      <c r="T34" s="69"/>
      <c r="U34" s="69"/>
    </row>
    <row r="35" spans="1:21" ht="18" x14ac:dyDescent="0.3">
      <c r="A35" s="93">
        <v>28</v>
      </c>
      <c r="B35" s="210"/>
      <c r="C35" s="94" t="s">
        <v>115</v>
      </c>
      <c r="D35" s="71">
        <v>46002</v>
      </c>
      <c r="E35" s="71">
        <v>46008</v>
      </c>
      <c r="F35" s="82" t="s">
        <v>82</v>
      </c>
      <c r="G35" s="213"/>
      <c r="H35" s="95">
        <v>61.76</v>
      </c>
      <c r="I35" s="82">
        <v>61.75</v>
      </c>
      <c r="J35" s="83">
        <f>H35-I35</f>
        <v>9.9999999999980105E-3</v>
      </c>
      <c r="K35" s="63">
        <v>0</v>
      </c>
      <c r="L35" s="63">
        <v>0</v>
      </c>
      <c r="M35" s="82">
        <f t="shared" si="8"/>
        <v>61.75</v>
      </c>
      <c r="N35" s="64">
        <f t="shared" si="2"/>
        <v>1.6191709844556363E-4</v>
      </c>
      <c r="O35" s="97">
        <f>K35/J35</f>
        <v>0</v>
      </c>
      <c r="P35" s="84">
        <f t="shared" si="13"/>
        <v>0</v>
      </c>
      <c r="Q35" s="78"/>
      <c r="R35" s="79">
        <f t="shared" si="3"/>
        <v>0.9998380829015544</v>
      </c>
      <c r="T35" s="69"/>
      <c r="U35" s="69"/>
    </row>
    <row r="36" spans="1:21" ht="18" x14ac:dyDescent="0.3">
      <c r="A36" s="93">
        <v>29</v>
      </c>
      <c r="B36" s="210"/>
      <c r="C36" s="94" t="s">
        <v>116</v>
      </c>
      <c r="D36" s="71">
        <v>46002</v>
      </c>
      <c r="E36" s="71">
        <v>46008</v>
      </c>
      <c r="F36" s="82" t="s">
        <v>82</v>
      </c>
      <c r="G36" s="213"/>
      <c r="H36" s="95">
        <v>101.99</v>
      </c>
      <c r="I36" s="82">
        <v>101.98</v>
      </c>
      <c r="J36" s="83">
        <f t="shared" ref="J36" si="15">H36-I36</f>
        <v>9.9999999999909051E-3</v>
      </c>
      <c r="K36" s="63">
        <v>0</v>
      </c>
      <c r="L36" s="63">
        <v>0</v>
      </c>
      <c r="M36" s="82">
        <f t="shared" si="8"/>
        <v>101.98</v>
      </c>
      <c r="N36" s="64">
        <f t="shared" si="2"/>
        <v>9.8048828316412443E-5</v>
      </c>
      <c r="O36" s="97">
        <f t="shared" ref="O36:O43" si="16">K36/J36</f>
        <v>0</v>
      </c>
      <c r="P36" s="84">
        <f t="shared" si="13"/>
        <v>0</v>
      </c>
      <c r="Q36" s="78"/>
      <c r="R36" s="79">
        <f t="shared" si="3"/>
        <v>0.99990195117168357</v>
      </c>
      <c r="T36" s="69"/>
      <c r="U36" s="69"/>
    </row>
    <row r="37" spans="1:21" ht="18" x14ac:dyDescent="0.3">
      <c r="A37" s="93">
        <v>30</v>
      </c>
      <c r="B37" s="210"/>
      <c r="C37" s="94" t="s">
        <v>117</v>
      </c>
      <c r="D37" s="71">
        <v>46002</v>
      </c>
      <c r="E37" s="71">
        <v>46008</v>
      </c>
      <c r="F37" s="82" t="s">
        <v>82</v>
      </c>
      <c r="G37" s="213"/>
      <c r="H37" s="95">
        <v>8.5299999999999994</v>
      </c>
      <c r="I37" s="82">
        <v>8.52</v>
      </c>
      <c r="J37" s="83">
        <f>H37-I37</f>
        <v>9.9999999999997868E-3</v>
      </c>
      <c r="K37" s="63">
        <v>0</v>
      </c>
      <c r="L37" s="63">
        <v>0</v>
      </c>
      <c r="M37" s="82">
        <f t="shared" si="8"/>
        <v>8.52</v>
      </c>
      <c r="N37" s="64">
        <f t="shared" si="2"/>
        <v>1.172332942555661E-3</v>
      </c>
      <c r="O37" s="97">
        <f t="shared" si="16"/>
        <v>0</v>
      </c>
      <c r="P37" s="84">
        <f t="shared" si="13"/>
        <v>0</v>
      </c>
      <c r="Q37" s="78"/>
      <c r="R37" s="79">
        <f t="shared" si="3"/>
        <v>0.9988276670574443</v>
      </c>
      <c r="T37" s="69"/>
      <c r="U37" s="69"/>
    </row>
    <row r="38" spans="1:21" ht="18" x14ac:dyDescent="0.3">
      <c r="A38" s="93">
        <v>31</v>
      </c>
      <c r="B38" s="210"/>
      <c r="C38" s="94" t="s">
        <v>118</v>
      </c>
      <c r="D38" s="71">
        <v>46002</v>
      </c>
      <c r="E38" s="71">
        <v>46008</v>
      </c>
      <c r="F38" s="82" t="s">
        <v>82</v>
      </c>
      <c r="G38" s="214"/>
      <c r="H38" s="95">
        <v>3.91</v>
      </c>
      <c r="I38" s="82">
        <v>2</v>
      </c>
      <c r="J38" s="83">
        <f>H38-I38</f>
        <v>1.9100000000000001</v>
      </c>
      <c r="K38" s="63">
        <v>0</v>
      </c>
      <c r="L38" s="63">
        <v>0</v>
      </c>
      <c r="M38" s="82">
        <f t="shared" si="8"/>
        <v>2</v>
      </c>
      <c r="N38" s="64">
        <f t="shared" si="2"/>
        <v>0.48849104859335041</v>
      </c>
      <c r="O38" s="97">
        <f t="shared" si="16"/>
        <v>0</v>
      </c>
      <c r="P38" s="84">
        <f t="shared" si="13"/>
        <v>0</v>
      </c>
      <c r="Q38" s="78"/>
      <c r="R38" s="79">
        <f t="shared" si="3"/>
        <v>0.51150895140664965</v>
      </c>
      <c r="T38" s="69"/>
      <c r="U38" s="69"/>
    </row>
    <row r="39" spans="1:21" ht="18" x14ac:dyDescent="0.3">
      <c r="A39" s="93">
        <v>32</v>
      </c>
      <c r="B39" s="210"/>
      <c r="C39" s="96" t="s">
        <v>119</v>
      </c>
      <c r="D39" s="71">
        <v>46002</v>
      </c>
      <c r="E39" s="71">
        <v>46008</v>
      </c>
      <c r="F39" s="82" t="s">
        <v>82</v>
      </c>
      <c r="G39" s="73">
        <v>80</v>
      </c>
      <c r="H39" s="95">
        <v>73.48</v>
      </c>
      <c r="I39" s="82">
        <v>36.86</v>
      </c>
      <c r="J39" s="83">
        <f t="shared" ref="J39:J43" si="17">H39-I39</f>
        <v>36.620000000000005</v>
      </c>
      <c r="K39" s="63">
        <v>20</v>
      </c>
      <c r="L39" s="63">
        <v>7</v>
      </c>
      <c r="M39" s="82">
        <f t="shared" si="8"/>
        <v>43.86</v>
      </c>
      <c r="N39" s="64">
        <f t="shared" si="2"/>
        <v>0.49836690255851934</v>
      </c>
      <c r="O39" s="97">
        <f t="shared" si="16"/>
        <v>0.54614964500273067</v>
      </c>
      <c r="P39" s="84">
        <f t="shared" si="13"/>
        <v>0.19115237575095573</v>
      </c>
      <c r="Q39" s="78"/>
      <c r="R39" s="79">
        <f t="shared" si="3"/>
        <v>0.59689711486118668</v>
      </c>
      <c r="T39" s="69"/>
      <c r="U39" s="69"/>
    </row>
    <row r="40" spans="1:21" ht="18" x14ac:dyDescent="0.3">
      <c r="A40" s="93">
        <v>33</v>
      </c>
      <c r="B40" s="210"/>
      <c r="C40" s="96" t="s">
        <v>120</v>
      </c>
      <c r="D40" s="71">
        <v>46002</v>
      </c>
      <c r="E40" s="71">
        <v>46008</v>
      </c>
      <c r="F40" s="82" t="s">
        <v>89</v>
      </c>
      <c r="G40" s="73">
        <v>1170</v>
      </c>
      <c r="H40" s="95">
        <v>768</v>
      </c>
      <c r="I40" s="82">
        <v>346.26</v>
      </c>
      <c r="J40" s="83">
        <f t="shared" si="17"/>
        <v>421.74</v>
      </c>
      <c r="K40" s="63">
        <v>100</v>
      </c>
      <c r="L40" s="63">
        <v>10</v>
      </c>
      <c r="M40" s="82">
        <f t="shared" si="8"/>
        <v>356.26</v>
      </c>
      <c r="N40" s="64">
        <f>J40/H40</f>
        <v>0.54914062500000005</v>
      </c>
      <c r="O40" s="97">
        <f t="shared" si="16"/>
        <v>0.2371129131692512</v>
      </c>
      <c r="P40" s="84">
        <f t="shared" si="13"/>
        <v>2.371129131692512E-2</v>
      </c>
      <c r="Q40" s="78"/>
      <c r="R40" s="79">
        <f t="shared" si="3"/>
        <v>0.46388020833333332</v>
      </c>
      <c r="T40" s="69"/>
      <c r="U40" s="69"/>
    </row>
    <row r="41" spans="1:21" ht="18" x14ac:dyDescent="0.3">
      <c r="A41" s="93">
        <v>34</v>
      </c>
      <c r="B41" s="210"/>
      <c r="C41" s="98" t="s">
        <v>121</v>
      </c>
      <c r="D41" s="71">
        <v>46002</v>
      </c>
      <c r="E41" s="71">
        <v>46008</v>
      </c>
      <c r="F41" s="82" t="s">
        <v>89</v>
      </c>
      <c r="G41" s="99">
        <v>1591.21</v>
      </c>
      <c r="H41" s="95">
        <v>1733.79</v>
      </c>
      <c r="I41" s="82">
        <v>362</v>
      </c>
      <c r="J41" s="83">
        <f t="shared" si="17"/>
        <v>1371.79</v>
      </c>
      <c r="K41" s="63">
        <v>600</v>
      </c>
      <c r="L41" s="63">
        <v>301</v>
      </c>
      <c r="M41" s="82">
        <f t="shared" si="8"/>
        <v>663</v>
      </c>
      <c r="N41" s="64">
        <f>J41/H41</f>
        <v>0.79120885459023294</v>
      </c>
      <c r="O41" s="97">
        <f t="shared" si="16"/>
        <v>0.43738473089904434</v>
      </c>
      <c r="P41" s="84">
        <f t="shared" si="13"/>
        <v>0.21942134000102057</v>
      </c>
      <c r="Q41" s="78"/>
      <c r="R41" s="79">
        <f t="shared" si="3"/>
        <v>0.38239925250462858</v>
      </c>
      <c r="T41" s="69"/>
      <c r="U41" s="69"/>
    </row>
    <row r="42" spans="1:21" ht="18" x14ac:dyDescent="0.3">
      <c r="A42" s="93">
        <v>35</v>
      </c>
      <c r="B42" s="210"/>
      <c r="C42" s="98" t="s">
        <v>122</v>
      </c>
      <c r="D42" s="71">
        <v>46002</v>
      </c>
      <c r="E42" s="71">
        <v>46008</v>
      </c>
      <c r="F42" s="82" t="s">
        <v>89</v>
      </c>
      <c r="G42" s="99">
        <v>830</v>
      </c>
      <c r="H42" s="95">
        <v>841.16</v>
      </c>
      <c r="I42" s="82">
        <v>0</v>
      </c>
      <c r="J42" s="83">
        <f t="shared" si="17"/>
        <v>841.16</v>
      </c>
      <c r="K42" s="63">
        <v>100</v>
      </c>
      <c r="L42" s="63">
        <v>55.15</v>
      </c>
      <c r="M42" s="82">
        <f>L42+I42</f>
        <v>55.15</v>
      </c>
      <c r="N42" s="64">
        <f>J42/H42</f>
        <v>1</v>
      </c>
      <c r="O42" s="97">
        <f t="shared" si="16"/>
        <v>0.11888344666888583</v>
      </c>
      <c r="P42" s="84">
        <f t="shared" si="13"/>
        <v>6.5564220837890527E-2</v>
      </c>
      <c r="Q42" s="78"/>
      <c r="R42" s="79">
        <f t="shared" si="3"/>
        <v>6.5564220837890527E-2</v>
      </c>
      <c r="T42" s="69"/>
      <c r="U42" s="69"/>
    </row>
    <row r="43" spans="1:21" ht="18.600000000000001" thickBot="1" x14ac:dyDescent="0.35">
      <c r="A43" s="93">
        <v>36</v>
      </c>
      <c r="B43" s="211"/>
      <c r="C43" s="98" t="s">
        <v>123</v>
      </c>
      <c r="D43" s="71">
        <v>46002</v>
      </c>
      <c r="E43" s="71">
        <v>46008</v>
      </c>
      <c r="F43" s="82" t="s">
        <v>124</v>
      </c>
      <c r="G43" s="99">
        <v>1865</v>
      </c>
      <c r="H43" s="95">
        <v>1859.2</v>
      </c>
      <c r="I43" s="82">
        <v>0</v>
      </c>
      <c r="J43" s="83">
        <f t="shared" si="17"/>
        <v>1859.2</v>
      </c>
      <c r="K43" s="63">
        <v>100</v>
      </c>
      <c r="L43" s="63">
        <v>45</v>
      </c>
      <c r="M43" s="82">
        <f>L43+I43</f>
        <v>45</v>
      </c>
      <c r="N43" s="64">
        <f>J43/H43</f>
        <v>1</v>
      </c>
      <c r="O43" s="97">
        <f t="shared" si="16"/>
        <v>5.3786574870912221E-2</v>
      </c>
      <c r="P43" s="84">
        <f t="shared" si="13"/>
        <v>2.4203958691910499E-2</v>
      </c>
      <c r="Q43" s="78"/>
      <c r="R43" s="79">
        <f t="shared" si="3"/>
        <v>2.4203958691910499E-2</v>
      </c>
      <c r="T43" s="69"/>
      <c r="U43" s="69"/>
    </row>
    <row r="44" spans="1:21" ht="16.05" customHeight="1" thickBot="1" x14ac:dyDescent="0.35">
      <c r="A44" s="234" t="s">
        <v>106</v>
      </c>
      <c r="B44" s="235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85">
        <f>+AVERAGE(O29:O43)</f>
        <v>9.2887820707388283E-2</v>
      </c>
      <c r="P44" s="85">
        <f t="shared" ref="P44:R44" si="18">+AVERAGE(P29:P43)</f>
        <v>3.4936879106580158E-2</v>
      </c>
      <c r="Q44" s="85" t="e">
        <f t="shared" si="18"/>
        <v>#DIV/0!</v>
      </c>
      <c r="R44" s="85">
        <f t="shared" si="18"/>
        <v>0.7244383468308927</v>
      </c>
    </row>
    <row r="45" spans="1:21" ht="17.55" customHeight="1" x14ac:dyDescent="0.3">
      <c r="A45" s="87">
        <v>37</v>
      </c>
      <c r="B45" s="209" t="s">
        <v>125</v>
      </c>
      <c r="C45" s="88" t="s">
        <v>126</v>
      </c>
      <c r="D45" s="71">
        <v>46002</v>
      </c>
      <c r="E45" s="71">
        <v>46008</v>
      </c>
      <c r="F45" s="89" t="s">
        <v>109</v>
      </c>
      <c r="G45" s="212">
        <v>1680</v>
      </c>
      <c r="H45" s="90">
        <v>439.91300000000001</v>
      </c>
      <c r="I45" s="89">
        <v>315</v>
      </c>
      <c r="J45" s="91">
        <f t="shared" ref="J45:J46" si="19">H45-I45</f>
        <v>124.91300000000001</v>
      </c>
      <c r="K45" s="89">
        <v>100</v>
      </c>
      <c r="L45" s="89">
        <v>21.32</v>
      </c>
      <c r="M45" s="89">
        <f>L45+I45</f>
        <v>336.32</v>
      </c>
      <c r="N45" s="64">
        <f t="shared" si="2"/>
        <v>0.28394932634407261</v>
      </c>
      <c r="O45" s="92">
        <f>K45/J45</f>
        <v>0.80055718780271057</v>
      </c>
      <c r="P45" s="64">
        <f t="shared" ref="P45:P50" si="20">L45/J45</f>
        <v>0.1706787924395379</v>
      </c>
      <c r="Q45" s="75"/>
      <c r="R45" s="76">
        <f t="shared" ref="R45:R59" si="21">M45/H45</f>
        <v>0.76451480179035392</v>
      </c>
      <c r="T45" s="69"/>
      <c r="U45" s="69"/>
    </row>
    <row r="46" spans="1:21" ht="17.55" customHeight="1" x14ac:dyDescent="0.3">
      <c r="A46" s="87">
        <v>38</v>
      </c>
      <c r="B46" s="210"/>
      <c r="C46" s="94" t="s">
        <v>127</v>
      </c>
      <c r="D46" s="71">
        <v>46002</v>
      </c>
      <c r="E46" s="71">
        <v>46008</v>
      </c>
      <c r="F46" s="63" t="s">
        <v>109</v>
      </c>
      <c r="G46" s="213"/>
      <c r="H46" s="73">
        <v>700.59</v>
      </c>
      <c r="I46" s="63">
        <v>701</v>
      </c>
      <c r="J46" s="74">
        <f t="shared" si="19"/>
        <v>-0.40999999999996817</v>
      </c>
      <c r="K46" s="63">
        <v>0</v>
      </c>
      <c r="L46" s="63">
        <v>0</v>
      </c>
      <c r="M46" s="63">
        <f t="shared" ref="M46:M57" si="22">L46+I46</f>
        <v>701</v>
      </c>
      <c r="N46" s="64">
        <f t="shared" si="2"/>
        <v>-5.8522102799064813E-4</v>
      </c>
      <c r="O46" s="65">
        <v>0</v>
      </c>
      <c r="P46" s="64">
        <f t="shared" si="20"/>
        <v>0</v>
      </c>
      <c r="Q46" s="75"/>
      <c r="R46" s="76">
        <f t="shared" si="21"/>
        <v>1.0005852210279906</v>
      </c>
      <c r="T46" s="69"/>
      <c r="U46" s="69"/>
    </row>
    <row r="47" spans="1:21" ht="18" x14ac:dyDescent="0.3">
      <c r="A47" s="87">
        <v>39</v>
      </c>
      <c r="B47" s="210"/>
      <c r="C47" s="94" t="s">
        <v>128</v>
      </c>
      <c r="D47" s="71">
        <v>46002</v>
      </c>
      <c r="E47" s="71">
        <v>46008</v>
      </c>
      <c r="F47" s="63" t="s">
        <v>109</v>
      </c>
      <c r="G47" s="213"/>
      <c r="H47" s="95">
        <v>664.26</v>
      </c>
      <c r="I47" s="63">
        <v>664.26</v>
      </c>
      <c r="J47" s="74">
        <f>H47-I47</f>
        <v>0</v>
      </c>
      <c r="K47" s="63">
        <v>0</v>
      </c>
      <c r="L47" s="63">
        <f>K47</f>
        <v>0</v>
      </c>
      <c r="M47" s="63">
        <f t="shared" si="22"/>
        <v>664.26</v>
      </c>
      <c r="N47" s="100">
        <f t="shared" si="2"/>
        <v>0</v>
      </c>
      <c r="O47" s="65">
        <v>0</v>
      </c>
      <c r="P47" s="64">
        <v>0</v>
      </c>
      <c r="Q47" s="75"/>
      <c r="R47" s="76">
        <f t="shared" si="21"/>
        <v>1</v>
      </c>
      <c r="T47" s="69"/>
      <c r="U47" s="69"/>
    </row>
    <row r="48" spans="1:21" ht="18" x14ac:dyDescent="0.3">
      <c r="A48" s="87">
        <v>40</v>
      </c>
      <c r="B48" s="210"/>
      <c r="C48" s="96" t="s">
        <v>129</v>
      </c>
      <c r="D48" s="71">
        <v>46002</v>
      </c>
      <c r="E48" s="71">
        <v>46008</v>
      </c>
      <c r="F48" s="63" t="s">
        <v>109</v>
      </c>
      <c r="G48" s="213"/>
      <c r="H48" s="95">
        <v>57.39</v>
      </c>
      <c r="I48" s="95">
        <v>57.39</v>
      </c>
      <c r="J48" s="83">
        <f>H48-I48</f>
        <v>0</v>
      </c>
      <c r="K48" s="63">
        <v>0</v>
      </c>
      <c r="L48" s="63">
        <f>K48</f>
        <v>0</v>
      </c>
      <c r="M48" s="63">
        <f t="shared" si="22"/>
        <v>57.39</v>
      </c>
      <c r="N48" s="100">
        <f t="shared" si="2"/>
        <v>0</v>
      </c>
      <c r="O48" s="65">
        <v>0</v>
      </c>
      <c r="P48" s="64">
        <v>0</v>
      </c>
      <c r="Q48" s="78"/>
      <c r="R48" s="76">
        <f t="shared" si="21"/>
        <v>1</v>
      </c>
      <c r="T48" s="69"/>
      <c r="U48" s="69"/>
    </row>
    <row r="49" spans="1:21" ht="18" x14ac:dyDescent="0.3">
      <c r="A49" s="87">
        <v>41</v>
      </c>
      <c r="B49" s="210"/>
      <c r="C49" s="94" t="s">
        <v>130</v>
      </c>
      <c r="D49" s="71">
        <v>46002</v>
      </c>
      <c r="E49" s="71">
        <v>46008</v>
      </c>
      <c r="F49" s="63" t="s">
        <v>109</v>
      </c>
      <c r="G49" s="214"/>
      <c r="H49" s="95">
        <v>67.989999999999995</v>
      </c>
      <c r="I49" s="82">
        <v>0</v>
      </c>
      <c r="J49" s="83">
        <f t="shared" ref="J49" si="23">H49-I49</f>
        <v>67.989999999999995</v>
      </c>
      <c r="K49" s="63">
        <v>60</v>
      </c>
      <c r="L49" s="63">
        <v>29</v>
      </c>
      <c r="M49" s="82">
        <f t="shared" si="22"/>
        <v>29</v>
      </c>
      <c r="N49" s="64">
        <f t="shared" si="2"/>
        <v>1</v>
      </c>
      <c r="O49" s="92">
        <f>K49/J49</f>
        <v>0.8824827180467717</v>
      </c>
      <c r="P49" s="84">
        <f t="shared" ref="P49" si="24">L49/J49</f>
        <v>0.42653331372260628</v>
      </c>
      <c r="Q49" s="78"/>
      <c r="R49" s="79">
        <f t="shared" si="21"/>
        <v>0.42653331372260628</v>
      </c>
      <c r="T49" s="69"/>
      <c r="U49" s="69"/>
    </row>
    <row r="50" spans="1:21" ht="18" x14ac:dyDescent="0.3">
      <c r="A50" s="87">
        <v>42</v>
      </c>
      <c r="B50" s="210"/>
      <c r="C50" s="96" t="s">
        <v>131</v>
      </c>
      <c r="D50" s="71">
        <v>46002</v>
      </c>
      <c r="E50" s="71">
        <v>46008</v>
      </c>
      <c r="F50" s="82" t="s">
        <v>82</v>
      </c>
      <c r="G50" s="212">
        <v>210</v>
      </c>
      <c r="H50" s="95">
        <v>32.822000000000003</v>
      </c>
      <c r="I50" s="82">
        <v>25.810000000000002</v>
      </c>
      <c r="J50" s="83">
        <f>H50-I50</f>
        <v>7.0120000000000005</v>
      </c>
      <c r="K50" s="63">
        <v>0</v>
      </c>
      <c r="L50" s="63">
        <v>0</v>
      </c>
      <c r="M50" s="82">
        <f>L50+I50</f>
        <v>25.810000000000002</v>
      </c>
      <c r="N50" s="100">
        <f t="shared" si="2"/>
        <v>0.2136371945646213</v>
      </c>
      <c r="O50" s="92">
        <f>K50/J50</f>
        <v>0</v>
      </c>
      <c r="P50" s="64">
        <f t="shared" si="20"/>
        <v>0</v>
      </c>
      <c r="Q50" s="78"/>
      <c r="R50" s="79">
        <f t="shared" si="21"/>
        <v>0.78636280543537873</v>
      </c>
      <c r="T50" s="69"/>
      <c r="U50" s="69"/>
    </row>
    <row r="51" spans="1:21" ht="18" x14ac:dyDescent="0.3">
      <c r="A51" s="87">
        <v>43</v>
      </c>
      <c r="B51" s="210"/>
      <c r="C51" s="96" t="s">
        <v>132</v>
      </c>
      <c r="D51" s="71">
        <v>46002</v>
      </c>
      <c r="E51" s="71">
        <v>46008</v>
      </c>
      <c r="F51" s="82" t="s">
        <v>82</v>
      </c>
      <c r="G51" s="213"/>
      <c r="H51" s="95">
        <v>8.5299999999999994</v>
      </c>
      <c r="I51" s="95">
        <v>8.5299999999999994</v>
      </c>
      <c r="J51" s="83">
        <f>H51-I51</f>
        <v>0</v>
      </c>
      <c r="K51" s="63">
        <v>0</v>
      </c>
      <c r="L51" s="63">
        <v>0</v>
      </c>
      <c r="M51" s="82">
        <f>L51+I51</f>
        <v>8.5299999999999994</v>
      </c>
      <c r="N51" s="100">
        <f t="shared" si="2"/>
        <v>0</v>
      </c>
      <c r="O51" s="65">
        <v>0</v>
      </c>
      <c r="P51" s="64">
        <v>0</v>
      </c>
      <c r="Q51" s="78"/>
      <c r="R51" s="79">
        <f t="shared" si="21"/>
        <v>1</v>
      </c>
      <c r="T51" s="69"/>
      <c r="U51" s="69"/>
    </row>
    <row r="52" spans="1:21" ht="18" x14ac:dyDescent="0.3">
      <c r="A52" s="87">
        <v>44</v>
      </c>
      <c r="B52" s="210"/>
      <c r="C52" s="94" t="s">
        <v>133</v>
      </c>
      <c r="D52" s="71">
        <v>46002</v>
      </c>
      <c r="E52" s="71">
        <v>46008</v>
      </c>
      <c r="F52" s="82" t="s">
        <v>82</v>
      </c>
      <c r="G52" s="213"/>
      <c r="H52" s="95">
        <v>61.76</v>
      </c>
      <c r="I52" s="82">
        <v>61.76</v>
      </c>
      <c r="J52" s="83">
        <f t="shared" ref="J52:J53" si="25">H52-I52</f>
        <v>0</v>
      </c>
      <c r="K52" s="63">
        <f>J52</f>
        <v>0</v>
      </c>
      <c r="L52" s="63">
        <f>K52</f>
        <v>0</v>
      </c>
      <c r="M52" s="82">
        <f t="shared" si="22"/>
        <v>61.76</v>
      </c>
      <c r="N52" s="100">
        <f t="shared" si="2"/>
        <v>0</v>
      </c>
      <c r="O52" s="65">
        <v>0</v>
      </c>
      <c r="P52" s="64">
        <v>0</v>
      </c>
      <c r="Q52" s="78"/>
      <c r="R52" s="79">
        <f t="shared" si="21"/>
        <v>1</v>
      </c>
      <c r="T52" s="69"/>
      <c r="U52" s="69"/>
    </row>
    <row r="53" spans="1:21" ht="18" x14ac:dyDescent="0.3">
      <c r="A53" s="87">
        <v>45</v>
      </c>
      <c r="B53" s="210"/>
      <c r="C53" s="96" t="s">
        <v>134</v>
      </c>
      <c r="D53" s="71">
        <v>46002</v>
      </c>
      <c r="E53" s="71">
        <v>46008</v>
      </c>
      <c r="F53" s="82" t="s">
        <v>82</v>
      </c>
      <c r="G53" s="213"/>
      <c r="H53" s="95">
        <v>101.99</v>
      </c>
      <c r="I53" s="82">
        <v>101.99</v>
      </c>
      <c r="J53" s="83">
        <f t="shared" si="25"/>
        <v>0</v>
      </c>
      <c r="K53" s="63">
        <f>J53</f>
        <v>0</v>
      </c>
      <c r="L53" s="63">
        <f>K53</f>
        <v>0</v>
      </c>
      <c r="M53" s="82">
        <f t="shared" si="22"/>
        <v>101.99</v>
      </c>
      <c r="N53" s="84">
        <f t="shared" si="2"/>
        <v>0</v>
      </c>
      <c r="O53" s="65">
        <v>0</v>
      </c>
      <c r="P53" s="66">
        <v>0</v>
      </c>
      <c r="Q53" s="78"/>
      <c r="R53" s="79">
        <f t="shared" si="21"/>
        <v>1</v>
      </c>
      <c r="T53" s="69"/>
      <c r="U53" s="69"/>
    </row>
    <row r="54" spans="1:21" ht="18" x14ac:dyDescent="0.3">
      <c r="A54" s="87">
        <v>46</v>
      </c>
      <c r="B54" s="210"/>
      <c r="C54" s="94" t="s">
        <v>135</v>
      </c>
      <c r="D54" s="71">
        <v>46002</v>
      </c>
      <c r="E54" s="71">
        <v>46008</v>
      </c>
      <c r="F54" s="82" t="s">
        <v>82</v>
      </c>
      <c r="G54" s="214"/>
      <c r="H54" s="95">
        <v>3.91</v>
      </c>
      <c r="I54" s="82">
        <v>0</v>
      </c>
      <c r="J54" s="83">
        <v>0</v>
      </c>
      <c r="K54" s="63">
        <v>0</v>
      </c>
      <c r="L54" s="63">
        <v>0</v>
      </c>
      <c r="M54" s="82">
        <f t="shared" si="22"/>
        <v>0</v>
      </c>
      <c r="N54" s="64">
        <f t="shared" si="2"/>
        <v>0</v>
      </c>
      <c r="O54" s="65">
        <v>0</v>
      </c>
      <c r="P54" s="66">
        <v>0</v>
      </c>
      <c r="Q54" s="78"/>
      <c r="R54" s="79">
        <f t="shared" si="21"/>
        <v>0</v>
      </c>
      <c r="T54" s="69"/>
      <c r="U54" s="69"/>
    </row>
    <row r="55" spans="1:21" ht="18" x14ac:dyDescent="0.3">
      <c r="A55" s="87">
        <v>47</v>
      </c>
      <c r="B55" s="210"/>
      <c r="C55" s="96" t="s">
        <v>136</v>
      </c>
      <c r="D55" s="71">
        <v>46002</v>
      </c>
      <c r="E55" s="71">
        <v>46008</v>
      </c>
      <c r="F55" s="82" t="s">
        <v>82</v>
      </c>
      <c r="G55" s="73">
        <v>80</v>
      </c>
      <c r="H55" s="95">
        <v>73.48</v>
      </c>
      <c r="I55" s="82">
        <v>0</v>
      </c>
      <c r="J55" s="83">
        <f t="shared" ref="J55:J59" si="26">H55-I55</f>
        <v>73.48</v>
      </c>
      <c r="K55" s="63">
        <v>20</v>
      </c>
      <c r="L55" s="63">
        <v>28.630000000000003</v>
      </c>
      <c r="M55" s="82">
        <f t="shared" si="22"/>
        <v>28.630000000000003</v>
      </c>
      <c r="N55" s="64">
        <f t="shared" si="2"/>
        <v>1</v>
      </c>
      <c r="O55" s="97">
        <f t="shared" ref="O55:O59" si="27">K55/J55</f>
        <v>0.27218290691344582</v>
      </c>
      <c r="P55" s="84">
        <f t="shared" ref="P55:P59" si="28">L55/J55</f>
        <v>0.38962983124659772</v>
      </c>
      <c r="Q55" s="78"/>
      <c r="R55" s="79">
        <f t="shared" si="21"/>
        <v>0.38962983124659772</v>
      </c>
      <c r="T55" s="69"/>
      <c r="U55" s="69"/>
    </row>
    <row r="56" spans="1:21" ht="18" x14ac:dyDescent="0.3">
      <c r="A56" s="87">
        <v>48</v>
      </c>
      <c r="B56" s="210"/>
      <c r="C56" s="96" t="s">
        <v>137</v>
      </c>
      <c r="D56" s="71">
        <v>46002</v>
      </c>
      <c r="E56" s="71">
        <v>46008</v>
      </c>
      <c r="F56" s="82" t="s">
        <v>89</v>
      </c>
      <c r="G56" s="73">
        <v>1170</v>
      </c>
      <c r="H56" s="95">
        <v>768</v>
      </c>
      <c r="I56" s="82">
        <v>0</v>
      </c>
      <c r="J56" s="83">
        <f t="shared" si="26"/>
        <v>768</v>
      </c>
      <c r="K56" s="63">
        <v>300</v>
      </c>
      <c r="L56" s="63">
        <v>174.54999999999998</v>
      </c>
      <c r="M56" s="82">
        <f t="shared" si="22"/>
        <v>174.54999999999998</v>
      </c>
      <c r="N56" s="64">
        <f>J56/H56</f>
        <v>1</v>
      </c>
      <c r="O56" s="97">
        <f t="shared" si="27"/>
        <v>0.390625</v>
      </c>
      <c r="P56" s="84">
        <f t="shared" si="28"/>
        <v>0.22727864583333332</v>
      </c>
      <c r="Q56" s="78"/>
      <c r="R56" s="79">
        <f t="shared" si="21"/>
        <v>0.22727864583333332</v>
      </c>
      <c r="T56" s="69"/>
      <c r="U56" s="69"/>
    </row>
    <row r="57" spans="1:21" ht="18" x14ac:dyDescent="0.3">
      <c r="A57" s="87">
        <v>49</v>
      </c>
      <c r="B57" s="210"/>
      <c r="C57" s="98" t="s">
        <v>121</v>
      </c>
      <c r="D57" s="71">
        <v>46002</v>
      </c>
      <c r="E57" s="71">
        <v>46008</v>
      </c>
      <c r="F57" s="82" t="s">
        <v>89</v>
      </c>
      <c r="G57" s="99">
        <v>1591.21</v>
      </c>
      <c r="H57" s="95">
        <v>1733.79</v>
      </c>
      <c r="I57" s="82">
        <v>0</v>
      </c>
      <c r="J57" s="83">
        <f t="shared" si="26"/>
        <v>1733.79</v>
      </c>
      <c r="K57" s="63">
        <v>0</v>
      </c>
      <c r="L57" s="63">
        <v>0</v>
      </c>
      <c r="M57" s="82">
        <f t="shared" si="22"/>
        <v>0</v>
      </c>
      <c r="N57" s="64">
        <f>J57/H57</f>
        <v>1</v>
      </c>
      <c r="O57" s="97">
        <f t="shared" si="27"/>
        <v>0</v>
      </c>
      <c r="P57" s="84">
        <f t="shared" si="28"/>
        <v>0</v>
      </c>
      <c r="Q57" s="78"/>
      <c r="R57" s="79">
        <f t="shared" si="21"/>
        <v>0</v>
      </c>
      <c r="T57" s="69"/>
      <c r="U57" s="69"/>
    </row>
    <row r="58" spans="1:21" ht="18" x14ac:dyDescent="0.3">
      <c r="A58" s="87">
        <v>50</v>
      </c>
      <c r="B58" s="210"/>
      <c r="C58" s="98" t="s">
        <v>122</v>
      </c>
      <c r="D58" s="71">
        <v>46002</v>
      </c>
      <c r="E58" s="71">
        <v>46008</v>
      </c>
      <c r="F58" s="82" t="s">
        <v>89</v>
      </c>
      <c r="G58" s="99">
        <v>830</v>
      </c>
      <c r="H58" s="95">
        <v>841.16</v>
      </c>
      <c r="I58" s="82">
        <v>0</v>
      </c>
      <c r="J58" s="83">
        <f t="shared" si="26"/>
        <v>841.16</v>
      </c>
      <c r="K58" s="63">
        <v>0</v>
      </c>
      <c r="L58" s="63">
        <v>0</v>
      </c>
      <c r="M58" s="82">
        <f>L58+I58</f>
        <v>0</v>
      </c>
      <c r="N58" s="64">
        <f>J58/H58</f>
        <v>1</v>
      </c>
      <c r="O58" s="97">
        <f t="shared" si="27"/>
        <v>0</v>
      </c>
      <c r="P58" s="84">
        <f t="shared" si="28"/>
        <v>0</v>
      </c>
      <c r="Q58" s="78"/>
      <c r="R58" s="79">
        <f t="shared" si="21"/>
        <v>0</v>
      </c>
      <c r="T58" s="69"/>
      <c r="U58" s="69"/>
    </row>
    <row r="59" spans="1:21" ht="18.600000000000001" thickBot="1" x14ac:dyDescent="0.35">
      <c r="A59" s="87">
        <v>51</v>
      </c>
      <c r="B59" s="211"/>
      <c r="C59" s="98" t="s">
        <v>123</v>
      </c>
      <c r="D59" s="71">
        <v>46002</v>
      </c>
      <c r="E59" s="71">
        <v>46008</v>
      </c>
      <c r="F59" s="82" t="s">
        <v>124</v>
      </c>
      <c r="G59" s="99">
        <v>1865</v>
      </c>
      <c r="H59" s="95">
        <v>1859.2</v>
      </c>
      <c r="I59" s="82">
        <v>0</v>
      </c>
      <c r="J59" s="83">
        <f t="shared" si="26"/>
        <v>1859.2</v>
      </c>
      <c r="K59" s="63">
        <v>0</v>
      </c>
      <c r="L59" s="63">
        <v>0</v>
      </c>
      <c r="M59" s="82">
        <f>L59+I59</f>
        <v>0</v>
      </c>
      <c r="N59" s="64">
        <f>J59/H59</f>
        <v>1</v>
      </c>
      <c r="O59" s="97">
        <f t="shared" si="27"/>
        <v>0</v>
      </c>
      <c r="P59" s="84">
        <f t="shared" si="28"/>
        <v>0</v>
      </c>
      <c r="Q59" s="78"/>
      <c r="R59" s="79">
        <f t="shared" si="21"/>
        <v>0</v>
      </c>
      <c r="T59" s="69"/>
      <c r="U59" s="69"/>
    </row>
    <row r="60" spans="1:21" ht="16.05" customHeight="1" thickBot="1" x14ac:dyDescent="0.35">
      <c r="A60" s="236" t="s">
        <v>106</v>
      </c>
      <c r="B60" s="241"/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85">
        <f>+AVERAGE(O45:O59)</f>
        <v>0.15638985418419521</v>
      </c>
      <c r="P60" s="85">
        <f t="shared" ref="P60:R60" si="29">+AVERAGE(P45:P59)</f>
        <v>8.0941372216138341E-2</v>
      </c>
      <c r="Q60" s="85" t="e">
        <f t="shared" si="29"/>
        <v>#DIV/0!</v>
      </c>
      <c r="R60" s="85">
        <f t="shared" si="29"/>
        <v>0.5729936412704173</v>
      </c>
    </row>
    <row r="61" spans="1:21" ht="17.55" customHeight="1" x14ac:dyDescent="0.3">
      <c r="A61" s="101">
        <v>52</v>
      </c>
      <c r="B61" s="242" t="s">
        <v>138</v>
      </c>
      <c r="C61" s="102" t="s">
        <v>139</v>
      </c>
      <c r="D61" s="71">
        <v>46002</v>
      </c>
      <c r="E61" s="71">
        <v>46008</v>
      </c>
      <c r="F61" s="89" t="s">
        <v>109</v>
      </c>
      <c r="G61" s="213">
        <v>1680</v>
      </c>
      <c r="H61" s="90">
        <v>439.91300000000001</v>
      </c>
      <c r="I61" s="89">
        <v>310.94</v>
      </c>
      <c r="J61" s="91">
        <f t="shared" ref="J61:J63" si="30">H61-I61</f>
        <v>128.97300000000001</v>
      </c>
      <c r="K61" s="89">
        <v>0</v>
      </c>
      <c r="L61" s="89">
        <v>0</v>
      </c>
      <c r="M61" s="89">
        <f t="shared" ref="M61:M64" si="31">L61+I61</f>
        <v>310.94</v>
      </c>
      <c r="N61" s="64">
        <f t="shared" ref="N61:N68" si="32">J61/H61</f>
        <v>0.29317842391563786</v>
      </c>
      <c r="O61" s="92">
        <f>K61/J61</f>
        <v>0</v>
      </c>
      <c r="P61" s="64">
        <f t="shared" ref="P61:P65" si="33">L61/J61</f>
        <v>0</v>
      </c>
      <c r="Q61" s="75"/>
      <c r="R61" s="76">
        <f t="shared" ref="R61:R68" si="34">M61/H61</f>
        <v>0.70682157608436214</v>
      </c>
      <c r="T61" s="69">
        <f>311-I61</f>
        <v>6.0000000000002274E-2</v>
      </c>
      <c r="U61" s="69"/>
    </row>
    <row r="62" spans="1:21" ht="18" x14ac:dyDescent="0.3">
      <c r="A62" s="101">
        <v>53</v>
      </c>
      <c r="B62" s="242"/>
      <c r="C62" s="81" t="s">
        <v>140</v>
      </c>
      <c r="D62" s="71">
        <v>46002</v>
      </c>
      <c r="E62" s="71">
        <v>46008</v>
      </c>
      <c r="F62" s="89" t="s">
        <v>109</v>
      </c>
      <c r="G62" s="213"/>
      <c r="H62" s="95">
        <v>57.39</v>
      </c>
      <c r="I62" s="95">
        <v>57.39</v>
      </c>
      <c r="J62" s="83">
        <f>H62-I62</f>
        <v>0</v>
      </c>
      <c r="K62" s="63">
        <f t="shared" ref="K62:L64" si="35">J62</f>
        <v>0</v>
      </c>
      <c r="L62" s="63">
        <f t="shared" si="35"/>
        <v>0</v>
      </c>
      <c r="M62" s="63">
        <f t="shared" si="31"/>
        <v>57.39</v>
      </c>
      <c r="N62" s="100">
        <f t="shared" si="32"/>
        <v>0</v>
      </c>
      <c r="O62" s="65">
        <v>0</v>
      </c>
      <c r="P62" s="64">
        <v>0</v>
      </c>
      <c r="Q62" s="78"/>
      <c r="R62" s="76">
        <f t="shared" si="34"/>
        <v>1</v>
      </c>
      <c r="T62" s="69"/>
      <c r="U62" s="69"/>
    </row>
    <row r="63" spans="1:21" ht="17.55" customHeight="1" x14ac:dyDescent="0.3">
      <c r="A63" s="101">
        <v>54</v>
      </c>
      <c r="B63" s="242"/>
      <c r="C63" s="80" t="s">
        <v>141</v>
      </c>
      <c r="D63" s="71">
        <v>46002</v>
      </c>
      <c r="E63" s="71">
        <v>46008</v>
      </c>
      <c r="F63" s="63" t="s">
        <v>109</v>
      </c>
      <c r="G63" s="213"/>
      <c r="H63" s="73">
        <v>700.59</v>
      </c>
      <c r="I63" s="63">
        <v>700.59</v>
      </c>
      <c r="J63" s="74">
        <f t="shared" si="30"/>
        <v>0</v>
      </c>
      <c r="K63" s="63">
        <f t="shared" si="35"/>
        <v>0</v>
      </c>
      <c r="L63" s="63">
        <f t="shared" si="35"/>
        <v>0</v>
      </c>
      <c r="M63" s="63">
        <f t="shared" si="31"/>
        <v>700.59</v>
      </c>
      <c r="N63" s="64">
        <f t="shared" si="32"/>
        <v>0</v>
      </c>
      <c r="O63" s="65">
        <v>0</v>
      </c>
      <c r="P63" s="64">
        <v>0</v>
      </c>
      <c r="Q63" s="75"/>
      <c r="R63" s="76">
        <f t="shared" si="34"/>
        <v>1</v>
      </c>
      <c r="T63" s="69"/>
      <c r="U63" s="69"/>
    </row>
    <row r="64" spans="1:21" ht="18" x14ac:dyDescent="0.3">
      <c r="A64" s="101">
        <v>55</v>
      </c>
      <c r="B64" s="242"/>
      <c r="C64" s="80" t="s">
        <v>142</v>
      </c>
      <c r="D64" s="71">
        <v>46002</v>
      </c>
      <c r="E64" s="71">
        <v>46008</v>
      </c>
      <c r="F64" s="63" t="s">
        <v>109</v>
      </c>
      <c r="G64" s="214"/>
      <c r="H64" s="95">
        <v>664.26</v>
      </c>
      <c r="I64" s="63">
        <v>664.26</v>
      </c>
      <c r="J64" s="74">
        <f>H64-I64</f>
        <v>0</v>
      </c>
      <c r="K64" s="63">
        <f t="shared" si="35"/>
        <v>0</v>
      </c>
      <c r="L64" s="63">
        <f t="shared" si="35"/>
        <v>0</v>
      </c>
      <c r="M64" s="63">
        <f t="shared" si="31"/>
        <v>664.26</v>
      </c>
      <c r="N64" s="100">
        <f t="shared" si="32"/>
        <v>0</v>
      </c>
      <c r="O64" s="65">
        <v>0</v>
      </c>
      <c r="P64" s="64">
        <v>0</v>
      </c>
      <c r="Q64" s="75"/>
      <c r="R64" s="76">
        <f t="shared" si="34"/>
        <v>1</v>
      </c>
      <c r="T64" s="69"/>
      <c r="U64" s="69"/>
    </row>
    <row r="65" spans="1:21" ht="18" x14ac:dyDescent="0.3">
      <c r="A65" s="101">
        <v>56</v>
      </c>
      <c r="B65" s="242"/>
      <c r="C65" s="81" t="s">
        <v>143</v>
      </c>
      <c r="D65" s="71">
        <v>46002</v>
      </c>
      <c r="E65" s="71">
        <v>46008</v>
      </c>
      <c r="F65" s="82" t="s">
        <v>82</v>
      </c>
      <c r="G65" s="243">
        <v>210</v>
      </c>
      <c r="H65" s="95">
        <v>32.822000000000003</v>
      </c>
      <c r="I65" s="82">
        <v>25.414999999999999</v>
      </c>
      <c r="J65" s="83">
        <f>H65-I65</f>
        <v>7.4070000000000036</v>
      </c>
      <c r="K65" s="63">
        <v>0</v>
      </c>
      <c r="L65" s="63">
        <v>0</v>
      </c>
      <c r="M65" s="82">
        <f>L65+I65</f>
        <v>25.414999999999999</v>
      </c>
      <c r="N65" s="100">
        <f t="shared" si="32"/>
        <v>0.22567180549631355</v>
      </c>
      <c r="O65" s="92">
        <f t="shared" ref="O65" si="36">K65/J65</f>
        <v>0</v>
      </c>
      <c r="P65" s="64">
        <f t="shared" si="33"/>
        <v>0</v>
      </c>
      <c r="Q65" s="78"/>
      <c r="R65" s="76">
        <f t="shared" si="34"/>
        <v>0.77432819450368651</v>
      </c>
      <c r="T65" s="69"/>
      <c r="U65" s="69"/>
    </row>
    <row r="66" spans="1:21" ht="18" x14ac:dyDescent="0.3">
      <c r="A66" s="101">
        <v>57</v>
      </c>
      <c r="B66" s="242"/>
      <c r="C66" s="81" t="s">
        <v>144</v>
      </c>
      <c r="D66" s="71">
        <v>46002</v>
      </c>
      <c r="E66" s="71">
        <v>46008</v>
      </c>
      <c r="F66" s="82" t="s">
        <v>82</v>
      </c>
      <c r="G66" s="244"/>
      <c r="H66" s="95">
        <v>8.5299999999999994</v>
      </c>
      <c r="I66" s="95">
        <v>8.5299999999999994</v>
      </c>
      <c r="J66" s="83">
        <f>H66-I66</f>
        <v>0</v>
      </c>
      <c r="K66" s="63">
        <f t="shared" ref="K66:L68" si="37">J66</f>
        <v>0</v>
      </c>
      <c r="L66" s="63">
        <f t="shared" si="37"/>
        <v>0</v>
      </c>
      <c r="M66" s="82">
        <f>L66+I66</f>
        <v>8.5299999999999994</v>
      </c>
      <c r="N66" s="100">
        <f t="shared" si="32"/>
        <v>0</v>
      </c>
      <c r="O66" s="65">
        <v>0</v>
      </c>
      <c r="P66" s="64">
        <v>0</v>
      </c>
      <c r="Q66" s="78"/>
      <c r="R66" s="76">
        <f t="shared" si="34"/>
        <v>1</v>
      </c>
      <c r="T66" s="69"/>
      <c r="U66" s="69"/>
    </row>
    <row r="67" spans="1:21" ht="18" x14ac:dyDescent="0.3">
      <c r="A67" s="101">
        <v>58</v>
      </c>
      <c r="B67" s="242"/>
      <c r="C67" s="80" t="s">
        <v>145</v>
      </c>
      <c r="D67" s="71">
        <v>46002</v>
      </c>
      <c r="E67" s="71">
        <v>46008</v>
      </c>
      <c r="F67" s="82" t="s">
        <v>82</v>
      </c>
      <c r="G67" s="244"/>
      <c r="H67" s="95">
        <v>61.76</v>
      </c>
      <c r="I67" s="82">
        <v>61.76</v>
      </c>
      <c r="J67" s="83">
        <f t="shared" ref="J67:J68" si="38">H67-I67</f>
        <v>0</v>
      </c>
      <c r="K67" s="63">
        <f t="shared" si="37"/>
        <v>0</v>
      </c>
      <c r="L67" s="63">
        <f t="shared" si="37"/>
        <v>0</v>
      </c>
      <c r="M67" s="82">
        <f t="shared" ref="M67:M68" si="39">L67+I67</f>
        <v>61.76</v>
      </c>
      <c r="N67" s="100">
        <f t="shared" si="32"/>
        <v>0</v>
      </c>
      <c r="O67" s="65">
        <v>0</v>
      </c>
      <c r="P67" s="64">
        <v>0</v>
      </c>
      <c r="Q67" s="78"/>
      <c r="R67" s="76">
        <f t="shared" si="34"/>
        <v>1</v>
      </c>
      <c r="T67" s="69"/>
      <c r="U67" s="69"/>
    </row>
    <row r="68" spans="1:21" ht="18" x14ac:dyDescent="0.3">
      <c r="A68" s="101">
        <v>59</v>
      </c>
      <c r="B68" s="242"/>
      <c r="C68" s="81" t="s">
        <v>146</v>
      </c>
      <c r="D68" s="71">
        <v>46002</v>
      </c>
      <c r="E68" s="71">
        <v>46008</v>
      </c>
      <c r="F68" s="82" t="s">
        <v>82</v>
      </c>
      <c r="G68" s="244"/>
      <c r="H68" s="95">
        <v>101.99</v>
      </c>
      <c r="I68" s="82">
        <v>101.99</v>
      </c>
      <c r="J68" s="83">
        <f t="shared" si="38"/>
        <v>0</v>
      </c>
      <c r="K68" s="63">
        <f t="shared" si="37"/>
        <v>0</v>
      </c>
      <c r="L68" s="63">
        <f t="shared" si="37"/>
        <v>0</v>
      </c>
      <c r="M68" s="82">
        <f t="shared" si="39"/>
        <v>101.99</v>
      </c>
      <c r="N68" s="84">
        <f t="shared" si="32"/>
        <v>0</v>
      </c>
      <c r="O68" s="65">
        <v>0</v>
      </c>
      <c r="P68" s="64">
        <v>0</v>
      </c>
      <c r="Q68" s="78"/>
      <c r="R68" s="76">
        <f t="shared" si="34"/>
        <v>1</v>
      </c>
      <c r="T68" s="69"/>
      <c r="U68" s="69"/>
    </row>
    <row r="69" spans="1:21" ht="16.05" customHeight="1" thickBot="1" x14ac:dyDescent="0.35">
      <c r="A69" s="236" t="s">
        <v>106</v>
      </c>
      <c r="B69" s="236"/>
      <c r="C69" s="236"/>
      <c r="D69" s="236"/>
      <c r="E69" s="236"/>
      <c r="F69" s="236"/>
      <c r="G69" s="236"/>
      <c r="H69" s="236"/>
      <c r="I69" s="236"/>
      <c r="J69" s="236"/>
      <c r="K69" s="236"/>
      <c r="L69" s="236"/>
      <c r="M69" s="236"/>
      <c r="N69" s="236"/>
      <c r="O69" s="86">
        <f>+AVERAGE(O61:O68)</f>
        <v>0</v>
      </c>
      <c r="P69" s="86">
        <f>+AVERAGE(P61:P68)</f>
        <v>0</v>
      </c>
      <c r="Q69" s="86" t="e">
        <f>+AVERAGE(Q61:Q65)</f>
        <v>#DIV/0!</v>
      </c>
      <c r="R69" s="86">
        <f>+AVERAGE(R61:R68)</f>
        <v>0.93514372132350609</v>
      </c>
    </row>
    <row r="70" spans="1:21" ht="17.55" customHeight="1" x14ac:dyDescent="0.3">
      <c r="A70" s="101">
        <v>60</v>
      </c>
      <c r="B70" s="242" t="s">
        <v>147</v>
      </c>
      <c r="C70" s="102" t="s">
        <v>148</v>
      </c>
      <c r="D70" s="71">
        <v>46002</v>
      </c>
      <c r="E70" s="71">
        <v>46008</v>
      </c>
      <c r="F70" s="89" t="s">
        <v>109</v>
      </c>
      <c r="G70" s="213">
        <v>1680</v>
      </c>
      <c r="H70" s="90">
        <v>439.91300000000001</v>
      </c>
      <c r="I70" s="89">
        <v>98</v>
      </c>
      <c r="J70" s="91">
        <f>H70-I70</f>
        <v>341.91300000000001</v>
      </c>
      <c r="K70" s="63">
        <v>212</v>
      </c>
      <c r="L70" s="63">
        <v>188.42</v>
      </c>
      <c r="M70" s="89">
        <f t="shared" ref="M70:M73" si="40">L70+I70</f>
        <v>286.41999999999996</v>
      </c>
      <c r="N70" s="64">
        <f t="shared" ref="N70:N77" si="41">J70/H70</f>
        <v>0.77722867930704476</v>
      </c>
      <c r="O70" s="92">
        <f>K70/J70</f>
        <v>0.62004077060538787</v>
      </c>
      <c r="P70" s="64">
        <f t="shared" ref="P70:P77" si="42">L70/J70</f>
        <v>0.55107585847861873</v>
      </c>
      <c r="Q70" s="75"/>
      <c r="R70" s="76">
        <f t="shared" ref="R70:R77" si="43">M70/H70</f>
        <v>0.65108328237628788</v>
      </c>
      <c r="T70" s="69">
        <f>311-I70</f>
        <v>213</v>
      </c>
      <c r="U70" s="69"/>
    </row>
    <row r="71" spans="1:21" ht="18" x14ac:dyDescent="0.3">
      <c r="A71" s="101">
        <v>61</v>
      </c>
      <c r="B71" s="242"/>
      <c r="C71" s="81" t="s">
        <v>149</v>
      </c>
      <c r="D71" s="71">
        <v>46002</v>
      </c>
      <c r="E71" s="71">
        <v>46008</v>
      </c>
      <c r="F71" s="89" t="s">
        <v>109</v>
      </c>
      <c r="G71" s="213"/>
      <c r="H71" s="95">
        <v>57.39</v>
      </c>
      <c r="I71" s="89">
        <v>0</v>
      </c>
      <c r="J71" s="91">
        <f t="shared" ref="J71:J77" si="44">H71-I71</f>
        <v>57.39</v>
      </c>
      <c r="K71" s="63">
        <v>30</v>
      </c>
      <c r="L71" s="63">
        <v>30</v>
      </c>
      <c r="M71" s="63">
        <f t="shared" si="40"/>
        <v>30</v>
      </c>
      <c r="N71" s="100">
        <f t="shared" si="41"/>
        <v>1</v>
      </c>
      <c r="O71" s="92">
        <f t="shared" ref="O71:O77" si="45">K71/J71</f>
        <v>0.52273915316257191</v>
      </c>
      <c r="P71" s="64">
        <f t="shared" si="42"/>
        <v>0.52273915316257191</v>
      </c>
      <c r="Q71" s="75"/>
      <c r="R71" s="76">
        <f t="shared" si="43"/>
        <v>0.52273915316257191</v>
      </c>
      <c r="T71" s="69"/>
      <c r="U71" s="69"/>
    </row>
    <row r="72" spans="1:21" ht="17.55" customHeight="1" x14ac:dyDescent="0.3">
      <c r="A72" s="101">
        <v>62</v>
      </c>
      <c r="B72" s="242"/>
      <c r="C72" s="80" t="s">
        <v>150</v>
      </c>
      <c r="D72" s="71">
        <v>46002</v>
      </c>
      <c r="E72" s="71">
        <v>46008</v>
      </c>
      <c r="F72" s="63" t="s">
        <v>109</v>
      </c>
      <c r="G72" s="213"/>
      <c r="H72" s="73">
        <v>700.59</v>
      </c>
      <c r="I72" s="89">
        <v>0</v>
      </c>
      <c r="J72" s="91">
        <f t="shared" si="44"/>
        <v>700.59</v>
      </c>
      <c r="K72" s="63">
        <v>400</v>
      </c>
      <c r="L72" s="63">
        <v>350</v>
      </c>
      <c r="M72" s="63">
        <f>L72+I72</f>
        <v>350</v>
      </c>
      <c r="N72" s="64">
        <f t="shared" si="41"/>
        <v>1</v>
      </c>
      <c r="O72" s="92">
        <f t="shared" si="45"/>
        <v>0.57094734438116446</v>
      </c>
      <c r="P72" s="64">
        <f t="shared" si="42"/>
        <v>0.49957892633351886</v>
      </c>
      <c r="Q72" s="75"/>
      <c r="R72" s="76">
        <f t="shared" si="43"/>
        <v>0.49957892633351886</v>
      </c>
      <c r="T72" s="69"/>
      <c r="U72" s="69"/>
    </row>
    <row r="73" spans="1:21" ht="18" x14ac:dyDescent="0.3">
      <c r="A73" s="101">
        <v>63</v>
      </c>
      <c r="B73" s="242"/>
      <c r="C73" s="80" t="s">
        <v>151</v>
      </c>
      <c r="D73" s="71">
        <v>46002</v>
      </c>
      <c r="E73" s="71">
        <v>46008</v>
      </c>
      <c r="F73" s="63" t="s">
        <v>109</v>
      </c>
      <c r="G73" s="214"/>
      <c r="H73" s="95">
        <v>664.26</v>
      </c>
      <c r="I73" s="89">
        <v>0</v>
      </c>
      <c r="J73" s="91">
        <f t="shared" si="44"/>
        <v>664.26</v>
      </c>
      <c r="K73" s="63">
        <v>400</v>
      </c>
      <c r="L73" s="63">
        <v>180</v>
      </c>
      <c r="M73" s="63">
        <f t="shared" si="40"/>
        <v>180</v>
      </c>
      <c r="N73" s="100">
        <f t="shared" si="41"/>
        <v>1</v>
      </c>
      <c r="O73" s="92">
        <f t="shared" si="45"/>
        <v>0.60217384758979919</v>
      </c>
      <c r="P73" s="64">
        <f t="shared" si="42"/>
        <v>0.27097823141540961</v>
      </c>
      <c r="Q73" s="75"/>
      <c r="R73" s="76">
        <f t="shared" si="43"/>
        <v>0.27097823141540961</v>
      </c>
      <c r="T73" s="69"/>
      <c r="U73" s="69"/>
    </row>
    <row r="74" spans="1:21" ht="18" x14ac:dyDescent="0.3">
      <c r="A74" s="101">
        <v>64</v>
      </c>
      <c r="B74" s="242"/>
      <c r="C74" s="81" t="s">
        <v>152</v>
      </c>
      <c r="D74" s="71">
        <v>46002</v>
      </c>
      <c r="E74" s="71">
        <v>46008</v>
      </c>
      <c r="F74" s="82" t="s">
        <v>82</v>
      </c>
      <c r="G74" s="243">
        <v>210</v>
      </c>
      <c r="H74" s="95">
        <v>32.822000000000003</v>
      </c>
      <c r="I74" s="89">
        <v>2.58</v>
      </c>
      <c r="J74" s="91">
        <f t="shared" si="44"/>
        <v>30.242000000000004</v>
      </c>
      <c r="K74" s="63">
        <v>30</v>
      </c>
      <c r="L74" s="63">
        <v>18</v>
      </c>
      <c r="M74" s="82">
        <f>L74+I74</f>
        <v>20.58</v>
      </c>
      <c r="N74" s="100">
        <f t="shared" si="41"/>
        <v>0.92139418682590946</v>
      </c>
      <c r="O74" s="92">
        <f t="shared" si="45"/>
        <v>0.99199788373784792</v>
      </c>
      <c r="P74" s="64">
        <f t="shared" si="42"/>
        <v>0.59519873024270875</v>
      </c>
      <c r="Q74" s="75"/>
      <c r="R74" s="76">
        <f t="shared" si="43"/>
        <v>0.62701846322588495</v>
      </c>
      <c r="T74" s="69"/>
      <c r="U74" s="69"/>
    </row>
    <row r="75" spans="1:21" ht="18" x14ac:dyDescent="0.3">
      <c r="A75" s="101">
        <v>65</v>
      </c>
      <c r="B75" s="242"/>
      <c r="C75" s="81" t="s">
        <v>153</v>
      </c>
      <c r="D75" s="71">
        <v>46002</v>
      </c>
      <c r="E75" s="71">
        <v>46008</v>
      </c>
      <c r="F75" s="82" t="s">
        <v>82</v>
      </c>
      <c r="G75" s="244"/>
      <c r="H75" s="95">
        <v>8.5299999999999994</v>
      </c>
      <c r="I75" s="89">
        <v>0</v>
      </c>
      <c r="J75" s="91">
        <f t="shared" si="44"/>
        <v>8.5299999999999994</v>
      </c>
      <c r="K75" s="63">
        <v>5</v>
      </c>
      <c r="L75" s="63">
        <v>2.1</v>
      </c>
      <c r="M75" s="82">
        <f>L75+I75</f>
        <v>2.1</v>
      </c>
      <c r="N75" s="100">
        <f t="shared" si="41"/>
        <v>1</v>
      </c>
      <c r="O75" s="92">
        <f t="shared" si="45"/>
        <v>0.58616647127784294</v>
      </c>
      <c r="P75" s="64">
        <f t="shared" si="42"/>
        <v>0.24618991793669406</v>
      </c>
      <c r="Q75" s="75"/>
      <c r="R75" s="76">
        <f t="shared" si="43"/>
        <v>0.24618991793669406</v>
      </c>
      <c r="T75" s="69"/>
      <c r="U75" s="69"/>
    </row>
    <row r="76" spans="1:21" ht="18" x14ac:dyDescent="0.3">
      <c r="A76" s="101">
        <v>66</v>
      </c>
      <c r="B76" s="242"/>
      <c r="C76" s="80" t="s">
        <v>154</v>
      </c>
      <c r="D76" s="71">
        <v>46002</v>
      </c>
      <c r="E76" s="71">
        <v>46008</v>
      </c>
      <c r="F76" s="82" t="s">
        <v>82</v>
      </c>
      <c r="G76" s="244"/>
      <c r="H76" s="95">
        <v>61.76</v>
      </c>
      <c r="I76" s="89">
        <v>0</v>
      </c>
      <c r="J76" s="91">
        <f t="shared" si="44"/>
        <v>61.76</v>
      </c>
      <c r="K76" s="63">
        <v>0</v>
      </c>
      <c r="L76" s="63">
        <v>0</v>
      </c>
      <c r="M76" s="82">
        <f t="shared" ref="M76:M77" si="46">L76+I76</f>
        <v>0</v>
      </c>
      <c r="N76" s="100">
        <f t="shared" si="41"/>
        <v>1</v>
      </c>
      <c r="O76" s="92">
        <f t="shared" si="45"/>
        <v>0</v>
      </c>
      <c r="P76" s="64">
        <f t="shared" si="42"/>
        <v>0</v>
      </c>
      <c r="Q76" s="75"/>
      <c r="R76" s="76">
        <f t="shared" si="43"/>
        <v>0</v>
      </c>
      <c r="T76" s="69"/>
      <c r="U76" s="69"/>
    </row>
    <row r="77" spans="1:21" ht="18" x14ac:dyDescent="0.3">
      <c r="A77" s="101">
        <v>67</v>
      </c>
      <c r="B77" s="242"/>
      <c r="C77" s="81" t="s">
        <v>155</v>
      </c>
      <c r="D77" s="71">
        <v>46002</v>
      </c>
      <c r="E77" s="71">
        <v>46008</v>
      </c>
      <c r="F77" s="82" t="s">
        <v>82</v>
      </c>
      <c r="G77" s="244"/>
      <c r="H77" s="95">
        <v>101.99</v>
      </c>
      <c r="I77" s="89">
        <v>0</v>
      </c>
      <c r="J77" s="91">
        <f t="shared" si="44"/>
        <v>101.99</v>
      </c>
      <c r="K77" s="63">
        <v>0</v>
      </c>
      <c r="L77" s="63">
        <v>0</v>
      </c>
      <c r="M77" s="82">
        <f t="shared" si="46"/>
        <v>0</v>
      </c>
      <c r="N77" s="84">
        <f t="shared" si="41"/>
        <v>1</v>
      </c>
      <c r="O77" s="92">
        <f t="shared" si="45"/>
        <v>0</v>
      </c>
      <c r="P77" s="64">
        <f t="shared" si="42"/>
        <v>0</v>
      </c>
      <c r="Q77" s="75"/>
      <c r="R77" s="76">
        <f t="shared" si="43"/>
        <v>0</v>
      </c>
      <c r="T77" s="69"/>
      <c r="U77" s="69"/>
    </row>
    <row r="78" spans="1:21" ht="16.05" customHeight="1" thickBot="1" x14ac:dyDescent="0.35">
      <c r="A78" s="236" t="s">
        <v>106</v>
      </c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86">
        <f>+AVERAGE(O70:O77)</f>
        <v>0.48675818384432679</v>
      </c>
      <c r="P78" s="86">
        <f>+AVERAGE(P70:P77)</f>
        <v>0.33572010219619025</v>
      </c>
      <c r="Q78" s="86" t="e">
        <f>+AVERAGE(Q70:Q74)</f>
        <v>#DIV/0!</v>
      </c>
      <c r="R78" s="86">
        <f>+AVERAGE(R70:R77)</f>
        <v>0.35219849680629589</v>
      </c>
    </row>
    <row r="79" spans="1:21" ht="18.600000000000001" thickBot="1" x14ac:dyDescent="0.35">
      <c r="A79" s="237" t="s">
        <v>156</v>
      </c>
      <c r="B79" s="238"/>
      <c r="C79" s="238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9"/>
      <c r="O79" s="103">
        <f>+AVERAGE(O28,O44,O60,O69,O78)</f>
        <v>0.15673098127099155</v>
      </c>
      <c r="P79" s="103">
        <f>+AVERAGE(P28,P44,P60,P69,P78)</f>
        <v>9.4676399671672656E-2</v>
      </c>
      <c r="Q79" s="103" t="e">
        <f t="shared" ref="Q79" si="47">+AVERAGE(Q28,Q44,Q60,Q69,Q78)</f>
        <v>#DIV/0!</v>
      </c>
      <c r="R79" s="103">
        <f>+AVERAGE(R28,R44,R60,R69,R78)</f>
        <v>0.71510972711599463</v>
      </c>
    </row>
    <row r="80" spans="1:21" ht="20.399999999999999" x14ac:dyDescent="0.4">
      <c r="A80" s="104"/>
      <c r="B80" s="104"/>
      <c r="C80" s="105"/>
      <c r="D80" s="106"/>
      <c r="E80" s="106"/>
      <c r="F80" s="106"/>
      <c r="H80" s="107"/>
      <c r="L80" s="108"/>
    </row>
    <row r="81" spans="1:20" ht="20.399999999999999" x14ac:dyDescent="0.4">
      <c r="A81" s="104"/>
      <c r="B81" s="104"/>
      <c r="C81" s="105"/>
      <c r="D81" s="106"/>
      <c r="E81" s="106"/>
      <c r="F81" s="106"/>
      <c r="H81" s="107"/>
      <c r="L81" s="108"/>
    </row>
    <row r="82" spans="1:20" ht="20.399999999999999" x14ac:dyDescent="0.4">
      <c r="A82" s="104"/>
      <c r="B82" s="104"/>
      <c r="C82" s="105"/>
      <c r="D82" s="106"/>
      <c r="E82" s="106"/>
      <c r="F82" s="106"/>
      <c r="H82" s="107"/>
    </row>
    <row r="83" spans="1:20" ht="20.399999999999999" x14ac:dyDescent="0.4">
      <c r="A83" s="104"/>
      <c r="B83" s="104"/>
      <c r="C83" s="105"/>
      <c r="D83" s="106"/>
      <c r="E83" s="106"/>
      <c r="F83" s="106"/>
      <c r="H83" s="107"/>
    </row>
    <row r="84" spans="1:20" ht="15" customHeight="1" x14ac:dyDescent="0.4">
      <c r="L84" s="240"/>
      <c r="M84" s="240"/>
      <c r="N84" s="240"/>
      <c r="O84" s="240"/>
      <c r="P84" s="1"/>
      <c r="Q84" s="240"/>
      <c r="R84" s="240"/>
      <c r="S84" s="240"/>
      <c r="T84" s="240"/>
    </row>
    <row r="85" spans="1:20" x14ac:dyDescent="0.4">
      <c r="L85" s="109"/>
      <c r="M85" s="109"/>
      <c r="N85" s="109"/>
      <c r="O85" s="109"/>
      <c r="P85" s="1"/>
      <c r="Q85" s="109"/>
      <c r="R85" s="109"/>
      <c r="S85" s="109"/>
      <c r="T85" s="109"/>
    </row>
    <row r="86" spans="1:20" x14ac:dyDescent="0.4">
      <c r="L86" s="1"/>
      <c r="M86" s="1"/>
      <c r="N86" s="1"/>
      <c r="O86" s="1"/>
      <c r="P86" s="1"/>
      <c r="Q86" s="1"/>
      <c r="R86" s="1"/>
      <c r="S86" s="1"/>
      <c r="T86" s="1"/>
    </row>
    <row r="87" spans="1:20" ht="20.399999999999999" x14ac:dyDescent="0.4">
      <c r="L87" s="1"/>
      <c r="M87" s="1"/>
      <c r="N87" s="107"/>
      <c r="O87" s="1"/>
      <c r="P87" s="1"/>
      <c r="Q87" s="1"/>
      <c r="R87" s="1"/>
      <c r="S87" s="1"/>
      <c r="T87" s="1"/>
    </row>
    <row r="88" spans="1:20" ht="20.399999999999999" x14ac:dyDescent="0.4">
      <c r="L88" s="1"/>
      <c r="M88" s="1"/>
      <c r="N88" s="107"/>
      <c r="O88" s="1"/>
      <c r="P88" s="1"/>
      <c r="Q88" s="1"/>
      <c r="R88" s="1"/>
      <c r="S88" s="1"/>
      <c r="T88" s="1"/>
    </row>
    <row r="89" spans="1:20" ht="20.399999999999999" x14ac:dyDescent="0.4">
      <c r="L89" s="1"/>
      <c r="M89" s="1"/>
      <c r="N89" s="107"/>
      <c r="O89" s="1"/>
      <c r="P89" s="1"/>
      <c r="Q89" s="1"/>
      <c r="R89" s="1"/>
      <c r="S89" s="1"/>
      <c r="T89" s="1"/>
    </row>
    <row r="90" spans="1:20" ht="20.399999999999999" x14ac:dyDescent="0.4">
      <c r="L90" s="1"/>
      <c r="M90" s="1"/>
      <c r="N90" s="107"/>
      <c r="O90" s="1"/>
      <c r="P90" s="1"/>
      <c r="Q90" s="1"/>
      <c r="R90" s="1"/>
      <c r="S90" s="1"/>
      <c r="T90" s="1"/>
    </row>
    <row r="91" spans="1:20" ht="20.399999999999999" x14ac:dyDescent="0.4">
      <c r="L91" s="1"/>
      <c r="M91" s="1"/>
      <c r="N91" s="107"/>
      <c r="O91" s="1"/>
      <c r="P91" s="1"/>
      <c r="Q91" s="1"/>
      <c r="R91" s="1"/>
      <c r="S91" s="1"/>
      <c r="T91" s="1"/>
    </row>
    <row r="92" spans="1:20" ht="20.399999999999999" x14ac:dyDescent="0.3">
      <c r="N92" s="107"/>
    </row>
    <row r="93" spans="1:20" ht="20.399999999999999" x14ac:dyDescent="0.3">
      <c r="N93" s="107"/>
    </row>
    <row r="94" spans="1:20" ht="20.399999999999999" x14ac:dyDescent="0.3">
      <c r="N94" s="107"/>
    </row>
    <row r="95" spans="1:20" ht="20.399999999999999" x14ac:dyDescent="0.3">
      <c r="N95" s="107"/>
    </row>
    <row r="96" spans="1:20" ht="20.399999999999999" x14ac:dyDescent="0.3">
      <c r="N96" s="107"/>
    </row>
    <row r="97" spans="13:14" ht="20.399999999999999" x14ac:dyDescent="0.3">
      <c r="N97" s="107"/>
    </row>
    <row r="98" spans="13:14" ht="20.399999999999999" x14ac:dyDescent="0.3">
      <c r="N98" s="107"/>
    </row>
    <row r="104" spans="13:14" x14ac:dyDescent="0.3">
      <c r="M104" s="48">
        <v>2</v>
      </c>
    </row>
  </sheetData>
  <autoFilter ref="A6:R79" xr:uid="{0FBD5710-2924-40D7-B8B7-DAA5F614EE5B}"/>
  <mergeCells count="26">
    <mergeCell ref="A78:N78"/>
    <mergeCell ref="A79:N79"/>
    <mergeCell ref="L84:O84"/>
    <mergeCell ref="Q84:T84"/>
    <mergeCell ref="A60:N60"/>
    <mergeCell ref="B61:B68"/>
    <mergeCell ref="G61:G64"/>
    <mergeCell ref="G65:G68"/>
    <mergeCell ref="A69:N69"/>
    <mergeCell ref="B70:B77"/>
    <mergeCell ref="G70:G73"/>
    <mergeCell ref="G74:G77"/>
    <mergeCell ref="B45:B59"/>
    <mergeCell ref="G45:G49"/>
    <mergeCell ref="G50:G54"/>
    <mergeCell ref="A2:R2"/>
    <mergeCell ref="A3:R4"/>
    <mergeCell ref="A5:F5"/>
    <mergeCell ref="G5:M5"/>
    <mergeCell ref="O5:P5"/>
    <mergeCell ref="B7:B27"/>
    <mergeCell ref="A28:N28"/>
    <mergeCell ref="B29:B43"/>
    <mergeCell ref="G29:G33"/>
    <mergeCell ref="G34:G38"/>
    <mergeCell ref="A44:N44"/>
  </mergeCells>
  <conditionalFormatting sqref="E84:F87">
    <cfRule type="dataBar" priority="6">
      <dataBar>
        <cfvo type="formula" val="0"/>
        <cfvo type="formula" val="$E$84"/>
        <color rgb="FF638EC6"/>
      </dataBar>
      <extLst>
        <ext xmlns:x14="http://schemas.microsoft.com/office/spreadsheetml/2009/9/main" uri="{B025F937-C7B1-47D3-B67F-A62EFF666E3E}">
          <x14:id>{A7E60FC0-E1DE-4969-86C5-902B24F4504F}</x14:id>
        </ext>
      </extLst>
    </cfRule>
  </conditionalFormatting>
  <conditionalFormatting sqref="E85:F8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{9BEA566D-4A40-433E-911E-04A758BAC2A4}</x14:id>
        </ext>
      </extLst>
    </cfRule>
    <cfRule type="colorScale" priority="5">
      <colorScale>
        <cfvo type="formula" val="0"/>
        <cfvo type="formula" val="$D$85"/>
        <color theme="4" tint="-0.249977111117893"/>
        <color theme="4" tint="-0.249977111117893"/>
      </colorScale>
    </cfRule>
  </conditionalFormatting>
  <conditionalFormatting sqref="Q7:Q13">
    <cfRule type="cellIs" dxfId="5" priority="1" operator="equal">
      <formula>"Ahead of time"</formula>
    </cfRule>
    <cfRule type="cellIs" dxfId="4" priority="2" operator="equal">
      <formula>"On time "</formula>
    </cfRule>
    <cfRule type="cellIs" dxfId="3" priority="3" operator="equal">
      <formula>"Delay"</formula>
    </cfRule>
  </conditionalFormatting>
  <dataValidations disablePrompts="1" count="1">
    <dataValidation type="list" allowBlank="1" showInputMessage="1" showErrorMessage="1" sqref="Q7:Q13" xr:uid="{5D258E0C-3C27-4A25-8D29-90486019EA77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E60FC0-E1DE-4969-86C5-902B24F4504F}">
            <x14:dataBar minLength="0" maxLength="100" gradient="0">
              <x14:cfvo type="formula">
                <xm:f>0</xm:f>
              </x14:cfvo>
              <x14:cfvo type="formula">
                <xm:f>$E$84</xm:f>
              </x14:cfvo>
              <x14:negativeFillColor rgb="FFFF0000"/>
              <x14:axisColor rgb="FF000000"/>
            </x14:dataBar>
          </x14:cfRule>
          <xm:sqref>E84:F87</xm:sqref>
        </x14:conditionalFormatting>
        <x14:conditionalFormatting xmlns:xm="http://schemas.microsoft.com/office/excel/2006/main">
          <x14:cfRule type="dataBar" id="{9BEA566D-4A40-433E-911E-04A758BAC2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E85:F85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B0CC-50B9-43D3-9900-CC19997E291E}">
  <dimension ref="A1:Q326"/>
  <sheetViews>
    <sheetView topLeftCell="A3" zoomScale="49" zoomScaleNormal="80" workbookViewId="0">
      <selection activeCell="E8" sqref="E8:E11"/>
    </sheetView>
  </sheetViews>
  <sheetFormatPr defaultColWidth="9.21875" defaultRowHeight="15.6" x14ac:dyDescent="0.3"/>
  <cols>
    <col min="1" max="1" width="29.77734375" style="110" bestFit="1" customWidth="1"/>
    <col min="2" max="2" width="32.33203125" style="110" bestFit="1" customWidth="1"/>
    <col min="3" max="3" width="35.5546875" style="111" bestFit="1" customWidth="1"/>
    <col min="4" max="4" width="33.44140625" style="110" bestFit="1" customWidth="1"/>
    <col min="5" max="5" width="40.44140625" style="110" bestFit="1" customWidth="1"/>
    <col min="6" max="6" width="32" style="110" bestFit="1" customWidth="1"/>
    <col min="7" max="7" width="33.109375" style="110" bestFit="1" customWidth="1"/>
    <col min="8" max="8" width="26.21875" style="110" bestFit="1" customWidth="1"/>
    <col min="9" max="9" width="24.109375" style="110" bestFit="1" customWidth="1"/>
    <col min="10" max="10" width="21.88671875" style="110" bestFit="1" customWidth="1"/>
    <col min="11" max="11" width="30.109375" style="110" bestFit="1" customWidth="1"/>
    <col min="12" max="12" width="24.88671875" style="110" bestFit="1" customWidth="1"/>
    <col min="13" max="14" width="9.21875" style="110"/>
    <col min="15" max="16" width="9.21875" style="110" customWidth="1"/>
    <col min="17" max="16384" width="9.21875" style="110"/>
  </cols>
  <sheetData>
    <row r="1" spans="1:17" ht="15" customHeight="1" x14ac:dyDescent="0.3">
      <c r="A1" s="248" t="s">
        <v>157</v>
      </c>
      <c r="B1" s="249"/>
      <c r="C1" s="249"/>
      <c r="D1" s="249"/>
      <c r="E1" s="249"/>
      <c r="F1" s="249"/>
      <c r="G1" s="249"/>
      <c r="H1" s="249"/>
      <c r="I1" s="250"/>
    </row>
    <row r="2" spans="1:17" ht="14.55" customHeight="1" thickBot="1" x14ac:dyDescent="0.35">
      <c r="A2" s="251"/>
      <c r="B2" s="252"/>
      <c r="C2" s="252"/>
      <c r="D2" s="252"/>
      <c r="E2" s="252"/>
      <c r="F2" s="252"/>
      <c r="G2" s="252"/>
      <c r="H2" s="252"/>
      <c r="I2" s="253"/>
    </row>
    <row r="3" spans="1:17" ht="63" thickBot="1" x14ac:dyDescent="0.35">
      <c r="A3" s="112" t="s">
        <v>63</v>
      </c>
      <c r="B3" s="113" t="s">
        <v>64</v>
      </c>
      <c r="C3" s="113" t="s">
        <v>65</v>
      </c>
      <c r="D3" s="113" t="s">
        <v>68</v>
      </c>
      <c r="E3" s="113" t="s">
        <v>69</v>
      </c>
      <c r="F3" s="113" t="s">
        <v>158</v>
      </c>
      <c r="G3" s="113" t="s">
        <v>73</v>
      </c>
      <c r="H3" s="113" t="s">
        <v>74</v>
      </c>
      <c r="I3" s="114" t="s">
        <v>159</v>
      </c>
      <c r="J3" s="114"/>
    </row>
    <row r="4" spans="1:17" ht="37.5" customHeight="1" x14ac:dyDescent="0.3">
      <c r="A4" s="115">
        <v>1</v>
      </c>
      <c r="B4" s="116" t="s">
        <v>160</v>
      </c>
      <c r="C4" s="117" t="s">
        <v>161</v>
      </c>
      <c r="D4" s="118" t="s">
        <v>82</v>
      </c>
      <c r="E4" s="254">
        <f>'Planned Vs Actual '!G7</f>
        <v>3925</v>
      </c>
      <c r="F4" s="119">
        <f>'Planned Vs Actual '!H7</f>
        <v>1826</v>
      </c>
      <c r="G4" s="119">
        <f>'Planned Vs Actual '!K7</f>
        <v>0</v>
      </c>
      <c r="H4" s="119">
        <f>'Planned Vs Actual '!L7</f>
        <v>0</v>
      </c>
      <c r="I4" s="120">
        <f>'Planned Vs Actual '!M7</f>
        <v>1826.1999999999998</v>
      </c>
      <c r="J4" s="156"/>
    </row>
    <row r="5" spans="1:17" ht="37.5" customHeight="1" x14ac:dyDescent="0.3">
      <c r="A5" s="121">
        <v>2</v>
      </c>
      <c r="B5" s="122" t="s">
        <v>160</v>
      </c>
      <c r="C5" s="123" t="s">
        <v>93</v>
      </c>
      <c r="D5" s="124" t="s">
        <v>82</v>
      </c>
      <c r="E5" s="247"/>
      <c r="F5" s="125">
        <f>'Planned Vs Actual '!H15</f>
        <v>11.795</v>
      </c>
      <c r="G5" s="125">
        <f>'Planned Vs Actual '!K15</f>
        <v>0</v>
      </c>
      <c r="H5" s="125">
        <f>'Planned Vs Actual '!L15</f>
        <v>0</v>
      </c>
      <c r="I5" s="126">
        <f>'Planned Vs Actual '!M15</f>
        <v>11.795</v>
      </c>
      <c r="J5" s="156"/>
    </row>
    <row r="6" spans="1:17" x14ac:dyDescent="0.3">
      <c r="A6" s="121">
        <v>3</v>
      </c>
      <c r="B6" s="122" t="s">
        <v>160</v>
      </c>
      <c r="C6" s="122" t="s">
        <v>86</v>
      </c>
      <c r="D6" s="124" t="s">
        <v>82</v>
      </c>
      <c r="E6" s="127">
        <f>'Planned Vs Actual '!G9</f>
        <v>10000</v>
      </c>
      <c r="F6" s="125">
        <f>'Planned Vs Actual '!H9</f>
        <v>1123.22</v>
      </c>
      <c r="G6" s="128">
        <f>'Planned Vs Actual '!K9</f>
        <v>0</v>
      </c>
      <c r="H6" s="128">
        <f>'Planned Vs Actual '!L9</f>
        <v>0</v>
      </c>
      <c r="I6" s="126">
        <f>'Planned Vs Actual '!M9</f>
        <v>1123.22</v>
      </c>
      <c r="J6" s="156"/>
      <c r="K6" s="111"/>
      <c r="L6" s="111"/>
      <c r="M6" s="129"/>
      <c r="N6" s="130"/>
      <c r="O6" s="130"/>
      <c r="P6" s="130"/>
      <c r="Q6" s="111"/>
    </row>
    <row r="7" spans="1:17" x14ac:dyDescent="0.3">
      <c r="A7" s="121">
        <v>4</v>
      </c>
      <c r="B7" s="122" t="s">
        <v>160</v>
      </c>
      <c r="C7" s="122" t="str">
        <f>'Planned Vs Actual '!C10</f>
        <v>Rubble Soling</v>
      </c>
      <c r="D7" s="124" t="s">
        <v>82</v>
      </c>
      <c r="E7" s="125">
        <f>'Planned Vs Actual '!G10</f>
        <v>195.5</v>
      </c>
      <c r="F7" s="125">
        <f>'Planned Vs Actual '!H10</f>
        <v>173.81</v>
      </c>
      <c r="G7" s="128">
        <f>'Planned Vs Actual '!K10</f>
        <v>0</v>
      </c>
      <c r="H7" s="128">
        <f>'Planned Vs Actual '!L10</f>
        <v>0</v>
      </c>
      <c r="I7" s="126">
        <f>'Planned Vs Actual '!M10</f>
        <v>173.81</v>
      </c>
      <c r="J7" s="156"/>
      <c r="K7" s="111"/>
      <c r="L7" s="111"/>
      <c r="M7" s="129"/>
      <c r="N7" s="130"/>
      <c r="O7" s="130"/>
      <c r="P7" s="130"/>
      <c r="Q7" s="111"/>
    </row>
    <row r="8" spans="1:17" ht="37.5" customHeight="1" x14ac:dyDescent="0.3">
      <c r="A8" s="121">
        <v>5</v>
      </c>
      <c r="B8" s="122" t="s">
        <v>160</v>
      </c>
      <c r="C8" s="123" t="s">
        <v>84</v>
      </c>
      <c r="D8" s="124" t="s">
        <v>82</v>
      </c>
      <c r="E8" s="245">
        <f>'Planned Vs Actual '!G8</f>
        <v>265</v>
      </c>
      <c r="F8" s="125">
        <f>'Planned Vs Actual '!H8</f>
        <v>91.31</v>
      </c>
      <c r="G8" s="125">
        <f>'Planned Vs Actual '!K8</f>
        <v>0</v>
      </c>
      <c r="H8" s="125">
        <f>'Planned Vs Actual '!L8</f>
        <v>0</v>
      </c>
      <c r="I8" s="126">
        <f>'Planned Vs Actual '!M8</f>
        <v>91.31</v>
      </c>
      <c r="J8" s="156"/>
    </row>
    <row r="9" spans="1:17" x14ac:dyDescent="0.3">
      <c r="A9" s="121">
        <v>6</v>
      </c>
      <c r="B9" s="122" t="s">
        <v>160</v>
      </c>
      <c r="C9" s="123" t="s">
        <v>94</v>
      </c>
      <c r="D9" s="124" t="s">
        <v>82</v>
      </c>
      <c r="E9" s="246"/>
      <c r="F9" s="125">
        <f>'Planned Vs Actual '!H16</f>
        <v>7.944</v>
      </c>
      <c r="G9" s="125">
        <f>'Planned Vs Actual '!K16</f>
        <v>0</v>
      </c>
      <c r="H9" s="125">
        <f>'Planned Vs Actual '!L16</f>
        <v>0</v>
      </c>
      <c r="I9" s="126">
        <f>'Planned Vs Actual '!M16</f>
        <v>7.944</v>
      </c>
      <c r="J9" s="156"/>
    </row>
    <row r="10" spans="1:17" x14ac:dyDescent="0.3">
      <c r="A10" s="121">
        <v>7</v>
      </c>
      <c r="B10" s="122" t="s">
        <v>160</v>
      </c>
      <c r="C10" s="123" t="str">
        <f>'Planned Vs Actual '!C25</f>
        <v>Floor PCC</v>
      </c>
      <c r="D10" s="124" t="str">
        <f>'Planned Vs Actual '!F25</f>
        <v>CUM</v>
      </c>
      <c r="E10" s="246"/>
      <c r="F10" s="125">
        <f>'Planned Vs Actual '!H25</f>
        <v>86.9</v>
      </c>
      <c r="G10" s="125">
        <f>'Planned Vs Actual '!K25</f>
        <v>0</v>
      </c>
      <c r="H10" s="125">
        <f>'Planned Vs Actual '!L25</f>
        <v>0</v>
      </c>
      <c r="I10" s="126">
        <f>'Planned Vs Actual '!M25</f>
        <v>86.9</v>
      </c>
      <c r="J10" s="156"/>
    </row>
    <row r="11" spans="1:17" x14ac:dyDescent="0.3">
      <c r="A11" s="121">
        <v>8</v>
      </c>
      <c r="B11" s="122" t="s">
        <v>160</v>
      </c>
      <c r="C11" s="128" t="str">
        <f>'Planned Vs Actual '!C20</f>
        <v>Plinth Beam PCC</v>
      </c>
      <c r="D11" s="124" t="str">
        <f>'Planned Vs Actual '!F18</f>
        <v>CUM</v>
      </c>
      <c r="E11" s="247"/>
      <c r="F11" s="125">
        <f>'Planned Vs Actual '!H20</f>
        <v>18.07</v>
      </c>
      <c r="G11" s="125">
        <f>'Planned Vs Actual '!K20</f>
        <v>0</v>
      </c>
      <c r="H11" s="125">
        <f>'Planned Vs Actual '!L20</f>
        <v>0</v>
      </c>
      <c r="I11" s="126">
        <f>'Planned Vs Actual '!M20</f>
        <v>18.07</v>
      </c>
      <c r="J11" s="156"/>
    </row>
    <row r="12" spans="1:17" ht="37.5" customHeight="1" x14ac:dyDescent="0.3">
      <c r="A12" s="121">
        <v>9</v>
      </c>
      <c r="B12" s="122" t="s">
        <v>160</v>
      </c>
      <c r="C12" s="123" t="s">
        <v>90</v>
      </c>
      <c r="D12" s="124" t="s">
        <v>82</v>
      </c>
      <c r="E12" s="245">
        <f>'Planned Vs Actual '!G12</f>
        <v>380</v>
      </c>
      <c r="F12" s="125">
        <f>'Planned Vs Actual '!H12</f>
        <v>292.76400000000001</v>
      </c>
      <c r="G12" s="125">
        <f>'Planned Vs Actual '!K12</f>
        <v>0</v>
      </c>
      <c r="H12" s="125">
        <f>'Planned Vs Actual '!L12</f>
        <v>0</v>
      </c>
      <c r="I12" s="126">
        <f>'Planned Vs Actual '!M12</f>
        <v>292.76</v>
      </c>
      <c r="J12" s="156"/>
    </row>
    <row r="13" spans="1:17" ht="36.450000000000003" customHeight="1" x14ac:dyDescent="0.3">
      <c r="A13" s="121">
        <v>10</v>
      </c>
      <c r="B13" s="122" t="s">
        <v>160</v>
      </c>
      <c r="C13" s="123" t="s">
        <v>162</v>
      </c>
      <c r="D13" s="124" t="s">
        <v>82</v>
      </c>
      <c r="E13" s="246"/>
      <c r="F13" s="125">
        <f>'Planned Vs Actual '!H14</f>
        <v>62.65</v>
      </c>
      <c r="G13" s="125">
        <f>'Planned Vs Actual '!K14</f>
        <v>0</v>
      </c>
      <c r="H13" s="125">
        <f>'Planned Vs Actual '!L14</f>
        <v>0</v>
      </c>
      <c r="I13" s="126">
        <f>'Planned Vs Actual '!M14</f>
        <v>62.65</v>
      </c>
      <c r="J13" s="156"/>
    </row>
    <row r="14" spans="1:17" x14ac:dyDescent="0.3">
      <c r="A14" s="121">
        <v>11</v>
      </c>
      <c r="B14" s="122" t="s">
        <v>160</v>
      </c>
      <c r="C14" s="123" t="str">
        <f>'Planned Vs Actual '!C18</f>
        <v>GB RCC</v>
      </c>
      <c r="D14" s="124" t="s">
        <v>82</v>
      </c>
      <c r="E14" s="246"/>
      <c r="F14" s="125">
        <f>'Planned Vs Actual '!H18</f>
        <v>23.994</v>
      </c>
      <c r="G14" s="125">
        <f>'Planned Vs Actual '!K18</f>
        <v>0</v>
      </c>
      <c r="H14" s="125">
        <f>'Planned Vs Actual '!L18</f>
        <v>0</v>
      </c>
      <c r="I14" s="126">
        <f>'Planned Vs Actual '!M18</f>
        <v>23.979999999999997</v>
      </c>
      <c r="J14" s="156"/>
    </row>
    <row r="15" spans="1:17" x14ac:dyDescent="0.3">
      <c r="A15" s="121">
        <v>12</v>
      </c>
      <c r="B15" s="122" t="s">
        <v>160</v>
      </c>
      <c r="C15" s="123" t="str">
        <f>'Planned Vs Actual '!C22</f>
        <v>Plinth Beam RCC</v>
      </c>
      <c r="D15" s="124" t="s">
        <v>82</v>
      </c>
      <c r="E15" s="246"/>
      <c r="F15" s="125">
        <f>'Planned Vs Actual '!H22</f>
        <v>45.72</v>
      </c>
      <c r="G15" s="125">
        <f>'Planned Vs Actual '!K22</f>
        <v>0</v>
      </c>
      <c r="H15" s="125">
        <f>'Planned Vs Actual '!L22</f>
        <v>0</v>
      </c>
      <c r="I15" s="126">
        <f>'Planned Vs Actual '!M22</f>
        <v>45.72</v>
      </c>
      <c r="J15" s="156"/>
    </row>
    <row r="16" spans="1:17" x14ac:dyDescent="0.3">
      <c r="A16" s="121">
        <v>13</v>
      </c>
      <c r="B16" s="122" t="s">
        <v>160</v>
      </c>
      <c r="C16" s="123" t="str">
        <f>'Planned Vs Actual '!C27</f>
        <v>Floor RCC</v>
      </c>
      <c r="D16" s="124" t="s">
        <v>82</v>
      </c>
      <c r="E16" s="247"/>
      <c r="F16" s="125">
        <f>'Planned Vs Actual '!H27</f>
        <v>88.03</v>
      </c>
      <c r="G16" s="125">
        <f>'Planned Vs Actual '!J27</f>
        <v>0</v>
      </c>
      <c r="H16" s="125">
        <f>'Planned Vs Actual '!L27</f>
        <v>0</v>
      </c>
      <c r="I16" s="126">
        <f>'Planned Vs Actual '!M27</f>
        <v>88.03</v>
      </c>
      <c r="J16" s="156"/>
    </row>
    <row r="17" spans="1:10" x14ac:dyDescent="0.3">
      <c r="A17" s="121">
        <v>14</v>
      </c>
      <c r="B17" s="122" t="s">
        <v>160</v>
      </c>
      <c r="C17" s="128" t="str">
        <f>'Planned Vs Actual '!C19</f>
        <v>Masonry Above GB</v>
      </c>
      <c r="D17" s="124" t="s">
        <v>82</v>
      </c>
      <c r="E17" s="245">
        <f>'Planned Vs Actual '!G19</f>
        <v>130</v>
      </c>
      <c r="F17" s="125">
        <f>'Planned Vs Actual '!H19</f>
        <v>86.293999999999997</v>
      </c>
      <c r="G17" s="125">
        <f>'Planned Vs Actual '!K19</f>
        <v>0</v>
      </c>
      <c r="H17" s="125">
        <f>'Planned Vs Actual '!L19</f>
        <v>0</v>
      </c>
      <c r="I17" s="126">
        <f>'Planned Vs Actual '!M19</f>
        <v>86.293999999999997</v>
      </c>
      <c r="J17" s="156"/>
    </row>
    <row r="18" spans="1:10" x14ac:dyDescent="0.3">
      <c r="A18" s="121">
        <v>15</v>
      </c>
      <c r="B18" s="122" t="s">
        <v>160</v>
      </c>
      <c r="C18" s="128" t="str">
        <f>'Planned Vs Actual '!C24</f>
        <v>Masonry above PB</v>
      </c>
      <c r="D18" s="124" t="s">
        <v>82</v>
      </c>
      <c r="E18" s="247"/>
      <c r="F18" s="125">
        <f>'Planned Vs Actual '!H24</f>
        <v>16.167999999999999</v>
      </c>
      <c r="G18" s="125">
        <f>'Planned Vs Actual '!J24</f>
        <v>-2.0000000000024443E-3</v>
      </c>
      <c r="H18" s="125">
        <f>'Planned Vs Actual '!L24</f>
        <v>0</v>
      </c>
      <c r="I18" s="126">
        <f>'Planned Vs Actual '!M24</f>
        <v>16.170000000000002</v>
      </c>
      <c r="J18" s="156"/>
    </row>
    <row r="19" spans="1:10" x14ac:dyDescent="0.3">
      <c r="A19" s="121">
        <v>16</v>
      </c>
      <c r="B19" s="122" t="s">
        <v>160</v>
      </c>
      <c r="C19" s="128" t="str">
        <f>'Planned Vs Actual '!C23</f>
        <v>Plinth Plaster</v>
      </c>
      <c r="D19" s="124" t="str">
        <f>'Planned Vs Actual '!F23</f>
        <v>SMT</v>
      </c>
      <c r="E19" s="125">
        <f>'Planned Vs Actual '!G23</f>
        <v>5235</v>
      </c>
      <c r="F19" s="125">
        <f>'Planned Vs Actual '!H23</f>
        <v>92.29</v>
      </c>
      <c r="G19" s="125">
        <f>'Planned Vs Actual '!K23</f>
        <v>32.790000000000006</v>
      </c>
      <c r="H19" s="125">
        <f>'Planned Vs Actual '!L23</f>
        <v>15</v>
      </c>
      <c r="I19" s="126">
        <f>'Planned Vs Actual '!M23</f>
        <v>74.5</v>
      </c>
      <c r="J19" s="156"/>
    </row>
    <row r="20" spans="1:10" x14ac:dyDescent="0.3">
      <c r="A20" s="121">
        <v>17</v>
      </c>
      <c r="B20" s="122" t="s">
        <v>160</v>
      </c>
      <c r="C20" s="128" t="str">
        <f>'Planned Vs Actual '!C11</f>
        <v>Footing Shuttering</v>
      </c>
      <c r="D20" s="124" t="str">
        <f>'Planned Vs Actual '!F11</f>
        <v>SMT</v>
      </c>
      <c r="E20" s="245">
        <f>'Planned Vs Actual '!G11</f>
        <v>1075</v>
      </c>
      <c r="F20" s="125">
        <f>'Planned Vs Actual '!H11</f>
        <v>441.90800000000002</v>
      </c>
      <c r="G20" s="125">
        <f>'Planned Vs Actual '!K11</f>
        <v>0</v>
      </c>
      <c r="H20" s="125">
        <f>'Planned Vs Actual '!L11</f>
        <v>0</v>
      </c>
      <c r="I20" s="126">
        <f>'Planned Vs Actual '!L11</f>
        <v>0</v>
      </c>
      <c r="J20" s="156"/>
    </row>
    <row r="21" spans="1:10" ht="31.2" x14ac:dyDescent="0.3">
      <c r="A21" s="121">
        <v>18</v>
      </c>
      <c r="B21" s="122" t="s">
        <v>160</v>
      </c>
      <c r="C21" s="122" t="str">
        <f>'Planned Vs Actual '!C13</f>
        <v>Padestal Upto Plinth Top Shuttering</v>
      </c>
      <c r="D21" s="124" t="s">
        <v>89</v>
      </c>
      <c r="E21" s="246"/>
      <c r="F21" s="125">
        <f>'Planned Vs Actual '!H13</f>
        <v>664</v>
      </c>
      <c r="G21" s="125">
        <f>'Planned Vs Actual '!K13</f>
        <v>0</v>
      </c>
      <c r="H21" s="125">
        <f>'Planned Vs Actual '!L13</f>
        <v>0</v>
      </c>
      <c r="I21" s="126">
        <f>'Planned Vs Actual '!M13</f>
        <v>663.99999999999989</v>
      </c>
      <c r="J21" s="156"/>
    </row>
    <row r="22" spans="1:10" x14ac:dyDescent="0.3">
      <c r="A22" s="121">
        <v>19</v>
      </c>
      <c r="B22" s="122" t="s">
        <v>160</v>
      </c>
      <c r="C22" s="122" t="str">
        <f>'Planned Vs Actual '!C17</f>
        <v>GB Shuttering</v>
      </c>
      <c r="D22" s="124" t="s">
        <v>89</v>
      </c>
      <c r="E22" s="246"/>
      <c r="F22" s="125">
        <f>'Planned Vs Actual '!H17</f>
        <v>142.93799999999999</v>
      </c>
      <c r="G22" s="125">
        <f>'Planned Vs Actual '!K17</f>
        <v>0</v>
      </c>
      <c r="H22" s="125">
        <f>'Planned Vs Actual '!L17</f>
        <v>0</v>
      </c>
      <c r="I22" s="126">
        <f>'Planned Vs Actual '!M17</f>
        <v>142.85</v>
      </c>
      <c r="J22" s="156"/>
    </row>
    <row r="23" spans="1:10" x14ac:dyDescent="0.3">
      <c r="A23" s="121">
        <v>20</v>
      </c>
      <c r="B23" s="122" t="s">
        <v>160</v>
      </c>
      <c r="C23" s="122" t="str">
        <f>'Planned Vs Actual '!C21</f>
        <v>Plinth Beam Shuttering</v>
      </c>
      <c r="D23" s="124" t="s">
        <v>89</v>
      </c>
      <c r="E23" s="246"/>
      <c r="F23" s="125">
        <f>'Planned Vs Actual '!H21</f>
        <v>387.1</v>
      </c>
      <c r="G23" s="125">
        <f>'Planned Vs Actual '!K21</f>
        <v>0</v>
      </c>
      <c r="H23" s="125">
        <f>'Planned Vs Actual '!L21</f>
        <v>0</v>
      </c>
      <c r="I23" s="126">
        <f>'Planned Vs Actual '!M21</f>
        <v>387.1</v>
      </c>
      <c r="J23" s="156"/>
    </row>
    <row r="24" spans="1:10" x14ac:dyDescent="0.3">
      <c r="A24" s="121">
        <v>21</v>
      </c>
      <c r="B24" s="122" t="s">
        <v>160</v>
      </c>
      <c r="C24" s="132" t="str">
        <f>'Planned Vs Actual '!C26</f>
        <v>Floor RCC Shuttering</v>
      </c>
      <c r="D24" s="124" t="s">
        <v>89</v>
      </c>
      <c r="E24" s="247"/>
      <c r="F24" s="125">
        <f>'Planned Vs Actual '!H26</f>
        <v>15.3</v>
      </c>
      <c r="G24" s="125">
        <f>'Planned Vs Actual '!K26</f>
        <v>0</v>
      </c>
      <c r="H24" s="125">
        <f>'Planned Vs Actual '!L26</f>
        <v>0</v>
      </c>
      <c r="I24" s="126">
        <f>'Planned Vs Actual '!M26</f>
        <v>15.3</v>
      </c>
      <c r="J24" s="156"/>
    </row>
    <row r="25" spans="1:10" ht="31.2" x14ac:dyDescent="0.3">
      <c r="A25" s="121">
        <v>22</v>
      </c>
      <c r="B25" s="122" t="s">
        <v>160</v>
      </c>
      <c r="C25" s="122" t="str">
        <f>'Planned Vs Actual '!C29</f>
        <v>Plinth to GF slab column shuttering</v>
      </c>
      <c r="D25" s="124" t="str">
        <f>'Planned Vs Actual '!F29</f>
        <v>SQM</v>
      </c>
      <c r="E25" s="256">
        <v>1680</v>
      </c>
      <c r="F25" s="134">
        <f>'Planned Vs Actual '!H29</f>
        <v>427.55</v>
      </c>
      <c r="G25" s="125">
        <f>'Planned Vs Actual '!K29</f>
        <v>0</v>
      </c>
      <c r="H25" s="125">
        <f>'Planned Vs Actual '!L29</f>
        <v>0</v>
      </c>
      <c r="I25" s="126">
        <f>'Planned Vs Actual '!M29</f>
        <v>427.55399999999997</v>
      </c>
      <c r="J25" s="156"/>
    </row>
    <row r="26" spans="1:10" x14ac:dyDescent="0.3">
      <c r="A26" s="121">
        <v>23</v>
      </c>
      <c r="B26" s="122" t="s">
        <v>160</v>
      </c>
      <c r="C26" s="122" t="str">
        <f>'Planned Vs Actual '!C30</f>
        <v>GF beam shuttering</v>
      </c>
      <c r="D26" s="124" t="str">
        <f>'Planned Vs Actual '!F30</f>
        <v>SQM</v>
      </c>
      <c r="E26" s="257"/>
      <c r="F26" s="134">
        <f>'Planned Vs Actual '!H30</f>
        <v>700.59</v>
      </c>
      <c r="G26" s="125">
        <f>'Planned Vs Actual '!K30</f>
        <v>0</v>
      </c>
      <c r="H26" s="125">
        <f>'Planned Vs Actual '!L30</f>
        <v>0</v>
      </c>
      <c r="I26" s="126">
        <f>'Planned Vs Actual '!M30</f>
        <v>700.59</v>
      </c>
      <c r="J26" s="156"/>
    </row>
    <row r="27" spans="1:10" x14ac:dyDescent="0.3">
      <c r="A27" s="121">
        <v>24</v>
      </c>
      <c r="B27" s="122" t="s">
        <v>160</v>
      </c>
      <c r="C27" s="122" t="str">
        <f>'Planned Vs Actual '!C31</f>
        <v>GF Slab shuttering</v>
      </c>
      <c r="D27" s="124" t="str">
        <f>'Planned Vs Actual '!F31</f>
        <v>SQM</v>
      </c>
      <c r="E27" s="257"/>
      <c r="F27" s="134">
        <f>'Planned Vs Actual '!H31</f>
        <v>664.26</v>
      </c>
      <c r="G27" s="125">
        <f>'Planned Vs Actual '!K31</f>
        <v>0</v>
      </c>
      <c r="H27" s="125">
        <f>'Planned Vs Actual '!L31</f>
        <v>0</v>
      </c>
      <c r="I27" s="126">
        <f>'Planned Vs Actual '!M31</f>
        <v>664.23</v>
      </c>
      <c r="J27" s="156"/>
    </row>
    <row r="28" spans="1:10" x14ac:dyDescent="0.3">
      <c r="A28" s="121">
        <v>25</v>
      </c>
      <c r="B28" s="122" t="s">
        <v>160</v>
      </c>
      <c r="C28" s="122" t="str">
        <f>'Planned Vs Actual '!C32</f>
        <v>GF staircase shuttering</v>
      </c>
      <c r="D28" s="124" t="str">
        <f>'Planned Vs Actual '!F32</f>
        <v>SQM</v>
      </c>
      <c r="E28" s="257"/>
      <c r="F28" s="134">
        <f>'Planned Vs Actual '!H32</f>
        <v>57.39</v>
      </c>
      <c r="G28" s="125">
        <f>'Planned Vs Actual '!K32</f>
        <v>0</v>
      </c>
      <c r="H28" s="125">
        <f>'Planned Vs Actual '!L32</f>
        <v>0</v>
      </c>
      <c r="I28" s="126">
        <f>'Planned Vs Actual '!M32</f>
        <v>57.39</v>
      </c>
      <c r="J28" s="156"/>
    </row>
    <row r="29" spans="1:10" x14ac:dyDescent="0.3">
      <c r="A29" s="121">
        <v>26</v>
      </c>
      <c r="B29" s="122" t="s">
        <v>160</v>
      </c>
      <c r="C29" s="132" t="str">
        <f>'Planned Vs Actual '!C33</f>
        <v>GF lintel shuttering</v>
      </c>
      <c r="D29" s="124" t="str">
        <f>'Planned Vs Actual '!F33</f>
        <v>SQM</v>
      </c>
      <c r="E29" s="258"/>
      <c r="F29" s="134">
        <f>'Planned Vs Actual '!H33</f>
        <v>67.989999999999995</v>
      </c>
      <c r="G29" s="125">
        <f>'Planned Vs Actual '!K33</f>
        <v>0</v>
      </c>
      <c r="H29" s="125">
        <f>'Planned Vs Actual '!L33</f>
        <v>0</v>
      </c>
      <c r="I29" s="126">
        <f>'Planned Vs Actual '!M33</f>
        <v>56</v>
      </c>
      <c r="J29" s="156"/>
    </row>
    <row r="30" spans="1:10" ht="46.05" customHeight="1" x14ac:dyDescent="0.3">
      <c r="A30" s="121">
        <v>27</v>
      </c>
      <c r="B30" s="122" t="s">
        <v>160</v>
      </c>
      <c r="C30" s="122" t="str">
        <f>'Planned Vs Actual '!C34</f>
        <v>Plinth to GF slab column concrete</v>
      </c>
      <c r="D30" s="124" t="str">
        <f>'Planned Vs Actual '!F34</f>
        <v>CUM</v>
      </c>
      <c r="E30" s="245">
        <f>'Planned Vs Actual '!G34</f>
        <v>210</v>
      </c>
      <c r="F30" s="134">
        <f>'Planned Vs Actual '!H34</f>
        <v>32.822000000000003</v>
      </c>
      <c r="G30" s="125">
        <f>'Planned Vs Actual '!K34</f>
        <v>0</v>
      </c>
      <c r="H30" s="125">
        <f>'Planned Vs Actual '!L34</f>
        <v>0</v>
      </c>
      <c r="I30" s="126">
        <f>'Planned Vs Actual '!M34</f>
        <v>32.82</v>
      </c>
      <c r="J30" s="156"/>
    </row>
    <row r="31" spans="1:10" x14ac:dyDescent="0.3">
      <c r="A31" s="121">
        <v>28</v>
      </c>
      <c r="B31" s="122" t="s">
        <v>160</v>
      </c>
      <c r="C31" s="122" t="str">
        <f>'Planned Vs Actual '!C35</f>
        <v>GF beam Concrete</v>
      </c>
      <c r="D31" s="124" t="str">
        <f>'Planned Vs Actual '!F35</f>
        <v>CUM</v>
      </c>
      <c r="E31" s="246"/>
      <c r="F31" s="134">
        <f>'Planned Vs Actual '!H35</f>
        <v>61.76</v>
      </c>
      <c r="G31" s="125">
        <f>'Planned Vs Actual '!K35</f>
        <v>0</v>
      </c>
      <c r="H31" s="125">
        <f>'Planned Vs Actual '!L35</f>
        <v>0</v>
      </c>
      <c r="I31" s="126">
        <f>'Planned Vs Actual '!M35</f>
        <v>61.75</v>
      </c>
      <c r="J31" s="156"/>
    </row>
    <row r="32" spans="1:10" x14ac:dyDescent="0.3">
      <c r="A32" s="121">
        <v>29</v>
      </c>
      <c r="B32" s="122" t="s">
        <v>160</v>
      </c>
      <c r="C32" s="122" t="str">
        <f>'Planned Vs Actual '!C36</f>
        <v>GF Slab Concrete</v>
      </c>
      <c r="D32" s="124" t="str">
        <f>'Planned Vs Actual '!F36</f>
        <v>CUM</v>
      </c>
      <c r="E32" s="246"/>
      <c r="F32" s="134">
        <f>'Planned Vs Actual '!H36</f>
        <v>101.99</v>
      </c>
      <c r="G32" s="125">
        <f>'Planned Vs Actual '!K36</f>
        <v>0</v>
      </c>
      <c r="H32" s="125">
        <f>'Planned Vs Actual '!L36</f>
        <v>0</v>
      </c>
      <c r="I32" s="126">
        <f>'Planned Vs Actual '!M36</f>
        <v>101.98</v>
      </c>
      <c r="J32" s="156"/>
    </row>
    <row r="33" spans="1:10" x14ac:dyDescent="0.3">
      <c r="A33" s="121">
        <v>30</v>
      </c>
      <c r="B33" s="122" t="s">
        <v>160</v>
      </c>
      <c r="C33" s="122" t="str">
        <f>'Planned Vs Actual '!C37</f>
        <v>GF staircase concrete</v>
      </c>
      <c r="D33" s="124" t="str">
        <f>'Planned Vs Actual '!F37</f>
        <v>CUM</v>
      </c>
      <c r="E33" s="247"/>
      <c r="F33" s="134">
        <f>'Planned Vs Actual '!H37</f>
        <v>8.5299999999999994</v>
      </c>
      <c r="G33" s="125">
        <f>'Planned Vs Actual '!K37</f>
        <v>0</v>
      </c>
      <c r="H33" s="125">
        <f>'Planned Vs Actual '!L37</f>
        <v>0</v>
      </c>
      <c r="I33" s="126">
        <f>'Planned Vs Actual '!M37</f>
        <v>8.52</v>
      </c>
      <c r="J33" s="156"/>
    </row>
    <row r="34" spans="1:10" x14ac:dyDescent="0.3">
      <c r="A34" s="121">
        <v>31</v>
      </c>
      <c r="B34" s="122" t="s">
        <v>160</v>
      </c>
      <c r="C34" s="132" t="str">
        <f>'Planned Vs Actual '!C38</f>
        <v>GF lintel Concrete</v>
      </c>
      <c r="D34" s="124" t="str">
        <f>'Planned Vs Actual '!F38</f>
        <v>CUM</v>
      </c>
      <c r="E34" s="125"/>
      <c r="F34" s="134">
        <f>'Planned Vs Actual '!H38</f>
        <v>3.91</v>
      </c>
      <c r="G34" s="125">
        <f>'Planned Vs Actual '!K38</f>
        <v>0</v>
      </c>
      <c r="H34" s="125">
        <f>'Planned Vs Actual '!L38</f>
        <v>0</v>
      </c>
      <c r="I34" s="126">
        <f>'Planned Vs Actual '!M38</f>
        <v>2</v>
      </c>
      <c r="J34" s="156"/>
    </row>
    <row r="35" spans="1:10" ht="31.2" x14ac:dyDescent="0.3">
      <c r="A35" s="121">
        <v>32</v>
      </c>
      <c r="B35" s="122" t="s">
        <v>160</v>
      </c>
      <c r="C35" s="122" t="str">
        <f>'Planned Vs Actual '!C39</f>
        <v>Brick masonary GF (230 mm)</v>
      </c>
      <c r="D35" s="124" t="str">
        <f>'Planned Vs Actual '!F39</f>
        <v>CUM</v>
      </c>
      <c r="E35" s="125">
        <f>'Planned Vs Actual '!G39</f>
        <v>80</v>
      </c>
      <c r="F35" s="134">
        <f>'Planned Vs Actual '!H39</f>
        <v>73.48</v>
      </c>
      <c r="G35" s="125">
        <f>'Planned Vs Actual '!K39</f>
        <v>20</v>
      </c>
      <c r="H35" s="125">
        <f>'Planned Vs Actual '!L39</f>
        <v>7</v>
      </c>
      <c r="I35" s="126">
        <f>'Planned Vs Actual '!M39</f>
        <v>43.86</v>
      </c>
      <c r="J35" s="156"/>
    </row>
    <row r="36" spans="1:10" ht="31.2" x14ac:dyDescent="0.3">
      <c r="A36" s="121">
        <v>33</v>
      </c>
      <c r="B36" s="122" t="s">
        <v>160</v>
      </c>
      <c r="C36" s="122" t="str">
        <f>'Planned Vs Actual '!C40</f>
        <v>Brick masonary GF (115 mm)</v>
      </c>
      <c r="D36" s="124" t="str">
        <f>'Planned Vs Actual '!F40</f>
        <v>SMT</v>
      </c>
      <c r="E36" s="125">
        <f>'Planned Vs Actual '!G40</f>
        <v>1170</v>
      </c>
      <c r="F36" s="134">
        <f>'Planned Vs Actual '!H40</f>
        <v>768</v>
      </c>
      <c r="G36" s="125">
        <f>'Planned Vs Actual '!K40</f>
        <v>100</v>
      </c>
      <c r="H36" s="125">
        <f>'Planned Vs Actual '!L40</f>
        <v>10</v>
      </c>
      <c r="I36" s="126">
        <f>'Planned Vs Actual '!M40</f>
        <v>356.26</v>
      </c>
      <c r="J36" s="156"/>
    </row>
    <row r="37" spans="1:10" x14ac:dyDescent="0.3">
      <c r="A37" s="121">
        <v>34</v>
      </c>
      <c r="B37" s="122" t="s">
        <v>160</v>
      </c>
      <c r="C37" s="122" t="str">
        <f>'Planned Vs Actual '!C41</f>
        <v>Internal Plaster</v>
      </c>
      <c r="D37" s="124" t="str">
        <f>'Planned Vs Actual '!F41</f>
        <v>SMT</v>
      </c>
      <c r="E37" s="125">
        <f>'Planned Vs Actual '!G41</f>
        <v>1591.21</v>
      </c>
      <c r="F37" s="134">
        <f>'Planned Vs Actual '!H41</f>
        <v>1733.79</v>
      </c>
      <c r="G37" s="125">
        <f>'Planned Vs Actual '!K41</f>
        <v>600</v>
      </c>
      <c r="H37" s="125">
        <f>'Planned Vs Actual '!L41</f>
        <v>301</v>
      </c>
      <c r="I37" s="126">
        <f>'Planned Vs Actual '!M41</f>
        <v>663</v>
      </c>
      <c r="J37" s="156"/>
    </row>
    <row r="38" spans="1:10" x14ac:dyDescent="0.3">
      <c r="A38" s="121">
        <v>35</v>
      </c>
      <c r="B38" s="122" t="s">
        <v>160</v>
      </c>
      <c r="C38" s="122" t="str">
        <f>'Planned Vs Actual '!C42</f>
        <v>Flooring</v>
      </c>
      <c r="D38" s="124" t="str">
        <f>'Planned Vs Actual '!F42</f>
        <v>SMT</v>
      </c>
      <c r="E38" s="125">
        <f>'Planned Vs Actual '!G42</f>
        <v>830</v>
      </c>
      <c r="F38" s="134">
        <f>'Planned Vs Actual '!H42</f>
        <v>841.16</v>
      </c>
      <c r="G38" s="125">
        <f>'Planned Vs Actual '!K42</f>
        <v>100</v>
      </c>
      <c r="H38" s="125">
        <f>'Planned Vs Actual '!L42</f>
        <v>55.15</v>
      </c>
      <c r="I38" s="126">
        <f>'Planned Vs Actual '!M42</f>
        <v>55.15</v>
      </c>
      <c r="J38" s="156"/>
    </row>
    <row r="39" spans="1:10" x14ac:dyDescent="0.3">
      <c r="A39" s="121">
        <v>36</v>
      </c>
      <c r="B39" s="122" t="s">
        <v>160</v>
      </c>
      <c r="C39" s="122" t="str">
        <f>'Planned Vs Actual '!C43</f>
        <v>Skirting</v>
      </c>
      <c r="D39" s="124" t="str">
        <f>'Planned Vs Actual '!F43</f>
        <v>RMT</v>
      </c>
      <c r="E39" s="125">
        <f>'Planned Vs Actual '!G43</f>
        <v>1865</v>
      </c>
      <c r="F39" s="134">
        <f>'Planned Vs Actual '!H43</f>
        <v>1859.2</v>
      </c>
      <c r="G39" s="125">
        <f>'Planned Vs Actual '!K43</f>
        <v>100</v>
      </c>
      <c r="H39" s="125">
        <f>'Planned Vs Actual '!L43</f>
        <v>45</v>
      </c>
      <c r="I39" s="126">
        <f>'Planned Vs Actual '!M43</f>
        <v>45</v>
      </c>
      <c r="J39" s="156"/>
    </row>
    <row r="40" spans="1:10" ht="41.55" customHeight="1" x14ac:dyDescent="0.3">
      <c r="A40" s="121">
        <v>37</v>
      </c>
      <c r="B40" s="122" t="s">
        <v>160</v>
      </c>
      <c r="C40" s="122" t="str">
        <f>'Planned Vs Actual '!C45</f>
        <v>GF to FF slab column shuttering</v>
      </c>
      <c r="D40" s="124" t="str">
        <f>'Planned Vs Actual '!F45</f>
        <v>SQM</v>
      </c>
      <c r="E40" s="245">
        <f>'Planned Vs Actual '!G45</f>
        <v>1680</v>
      </c>
      <c r="F40" s="134">
        <f>'Planned Vs Actual '!H45</f>
        <v>439.91300000000001</v>
      </c>
      <c r="G40" s="125">
        <f>'Planned Vs Actual '!K45</f>
        <v>100</v>
      </c>
      <c r="H40" s="125">
        <f>'Planned Vs Actual '!L45</f>
        <v>21.32</v>
      </c>
      <c r="I40" s="126">
        <f>'Planned Vs Actual '!M45</f>
        <v>336.32</v>
      </c>
      <c r="J40" s="156"/>
    </row>
    <row r="41" spans="1:10" x14ac:dyDescent="0.3">
      <c r="A41" s="121">
        <v>38</v>
      </c>
      <c r="B41" s="122" t="s">
        <v>160</v>
      </c>
      <c r="C41" s="122" t="str">
        <f>'Planned Vs Actual '!C46</f>
        <v>FF beam shuttering</v>
      </c>
      <c r="D41" s="124" t="str">
        <f>'Planned Vs Actual '!F46</f>
        <v>SQM</v>
      </c>
      <c r="E41" s="246"/>
      <c r="F41" s="134">
        <f>'Planned Vs Actual '!H46</f>
        <v>700.59</v>
      </c>
      <c r="G41" s="125">
        <f>'Planned Vs Actual '!K46</f>
        <v>0</v>
      </c>
      <c r="H41" s="125">
        <f>'Planned Vs Actual '!L46</f>
        <v>0</v>
      </c>
      <c r="I41" s="126">
        <f>'Planned Vs Actual '!M46</f>
        <v>701</v>
      </c>
      <c r="J41" s="156"/>
    </row>
    <row r="42" spans="1:10" x14ac:dyDescent="0.3">
      <c r="A42" s="121">
        <v>39</v>
      </c>
      <c r="B42" s="122" t="s">
        <v>160</v>
      </c>
      <c r="C42" s="122" t="str">
        <f>'Planned Vs Actual '!C47</f>
        <v>FF Slab shuttering</v>
      </c>
      <c r="D42" s="124" t="str">
        <f>'Planned Vs Actual '!F47</f>
        <v>SQM</v>
      </c>
      <c r="E42" s="246"/>
      <c r="F42" s="134">
        <f>'Planned Vs Actual '!H47</f>
        <v>664.26</v>
      </c>
      <c r="G42" s="125">
        <f>'Planned Vs Actual '!K47</f>
        <v>0</v>
      </c>
      <c r="H42" s="125">
        <f>'Planned Vs Actual '!L47</f>
        <v>0</v>
      </c>
      <c r="I42" s="126">
        <f>'Planned Vs Actual '!M47</f>
        <v>664.26</v>
      </c>
      <c r="J42" s="156"/>
    </row>
    <row r="43" spans="1:10" x14ac:dyDescent="0.3">
      <c r="A43" s="121">
        <v>40</v>
      </c>
      <c r="B43" s="122" t="s">
        <v>160</v>
      </c>
      <c r="C43" s="122" t="str">
        <f>'Planned Vs Actual '!C48</f>
        <v>FF Staircase Shuttering</v>
      </c>
      <c r="D43" s="124" t="str">
        <f>'Planned Vs Actual '!F48</f>
        <v>SQM</v>
      </c>
      <c r="E43" s="246"/>
      <c r="F43" s="134">
        <f>'Planned Vs Actual '!H48</f>
        <v>57.39</v>
      </c>
      <c r="G43" s="125">
        <f>'Planned Vs Actual '!K48</f>
        <v>0</v>
      </c>
      <c r="H43" s="125">
        <f>'Planned Vs Actual '!L48</f>
        <v>0</v>
      </c>
      <c r="I43" s="126">
        <f>'Planned Vs Actual '!M48</f>
        <v>57.39</v>
      </c>
      <c r="J43" s="156"/>
    </row>
    <row r="44" spans="1:10" x14ac:dyDescent="0.3">
      <c r="A44" s="121">
        <v>41</v>
      </c>
      <c r="B44" s="122" t="s">
        <v>160</v>
      </c>
      <c r="C44" s="122" t="str">
        <f>'Planned Vs Actual '!C49</f>
        <v>FF lintel shuttering</v>
      </c>
      <c r="D44" s="124" t="str">
        <f>'Planned Vs Actual '!F49</f>
        <v>SQM</v>
      </c>
      <c r="E44" s="247"/>
      <c r="F44" s="134">
        <f>'Planned Vs Actual '!H49</f>
        <v>67.989999999999995</v>
      </c>
      <c r="G44" s="125">
        <f>'Planned Vs Actual '!K49</f>
        <v>60</v>
      </c>
      <c r="H44" s="125">
        <f>'Planned Vs Actual '!L49</f>
        <v>29</v>
      </c>
      <c r="I44" s="126">
        <f>'Planned Vs Actual '!M49</f>
        <v>29</v>
      </c>
      <c r="J44" s="156"/>
    </row>
    <row r="45" spans="1:10" ht="31.2" x14ac:dyDescent="0.3">
      <c r="A45" s="121">
        <v>42</v>
      </c>
      <c r="B45" s="122" t="s">
        <v>160</v>
      </c>
      <c r="C45" s="122" t="str">
        <f>'Planned Vs Actual '!C50</f>
        <v>GF to FF slab column concrete</v>
      </c>
      <c r="D45" s="124" t="str">
        <f>'Planned Vs Actual '!F50</f>
        <v>CUM</v>
      </c>
      <c r="E45" s="245">
        <f>'Planned Vs Actual '!G50</f>
        <v>210</v>
      </c>
      <c r="F45" s="134">
        <f>'Planned Vs Actual '!H50</f>
        <v>32.822000000000003</v>
      </c>
      <c r="G45" s="125">
        <f>'Planned Vs Actual '!K50</f>
        <v>0</v>
      </c>
      <c r="H45" s="125">
        <f>'Planned Vs Actual '!L50</f>
        <v>0</v>
      </c>
      <c r="I45" s="126">
        <f>'Planned Vs Actual '!M50</f>
        <v>25.810000000000002</v>
      </c>
      <c r="J45" s="156"/>
    </row>
    <row r="46" spans="1:10" x14ac:dyDescent="0.3">
      <c r="A46" s="121">
        <v>43</v>
      </c>
      <c r="B46" s="122" t="s">
        <v>160</v>
      </c>
      <c r="C46" s="122" t="str">
        <f>'Planned Vs Actual '!C52</f>
        <v>FF beam Concrete</v>
      </c>
      <c r="D46" s="124" t="str">
        <f>'Planned Vs Actual '!F52</f>
        <v>CUM</v>
      </c>
      <c r="E46" s="246"/>
      <c r="F46" s="134">
        <f>'Planned Vs Actual '!H52</f>
        <v>61.76</v>
      </c>
      <c r="G46" s="125">
        <f>'Planned Vs Actual '!K52</f>
        <v>0</v>
      </c>
      <c r="H46" s="125">
        <f>'Planned Vs Actual '!L51</f>
        <v>0</v>
      </c>
      <c r="I46" s="126">
        <f>'Planned Vs Actual '!M52</f>
        <v>61.76</v>
      </c>
      <c r="J46" s="156"/>
    </row>
    <row r="47" spans="1:10" x14ac:dyDescent="0.3">
      <c r="A47" s="121">
        <v>44</v>
      </c>
      <c r="B47" s="135" t="s">
        <v>160</v>
      </c>
      <c r="C47" s="135" t="str">
        <f>'Planned Vs Actual '!C53</f>
        <v>FF Slab Concrete</v>
      </c>
      <c r="D47" s="136" t="str">
        <f>'Planned Vs Actual '!F53</f>
        <v>CUM</v>
      </c>
      <c r="E47" s="246"/>
      <c r="F47" s="137">
        <f>'Planned Vs Actual '!H53</f>
        <v>101.99</v>
      </c>
      <c r="G47" s="131">
        <f>'Planned Vs Actual '!K53</f>
        <v>0</v>
      </c>
      <c r="H47" s="125">
        <f>'Planned Vs Actual '!L52</f>
        <v>0</v>
      </c>
      <c r="I47" s="138">
        <f>'Planned Vs Actual '!M53</f>
        <v>101.99</v>
      </c>
      <c r="J47" s="156"/>
    </row>
    <row r="48" spans="1:10" x14ac:dyDescent="0.3">
      <c r="A48" s="121">
        <v>45</v>
      </c>
      <c r="B48" s="135" t="s">
        <v>160</v>
      </c>
      <c r="C48" s="139" t="str">
        <f>'Planned Vs Actual '!C51</f>
        <v>FF Staircase Concrete</v>
      </c>
      <c r="D48" s="136" t="str">
        <f>'Planned Vs Actual '!F51</f>
        <v>CUM</v>
      </c>
      <c r="E48" s="246"/>
      <c r="F48" s="137">
        <f>'Planned Vs Actual '!H51</f>
        <v>8.5299999999999994</v>
      </c>
      <c r="G48" s="131">
        <f>'Planned Vs Actual '!K51</f>
        <v>0</v>
      </c>
      <c r="H48" s="125">
        <f>'Planned Vs Actual '!L53</f>
        <v>0</v>
      </c>
      <c r="I48" s="138">
        <f>'Planned Vs Actual '!M51</f>
        <v>8.5299999999999994</v>
      </c>
      <c r="J48" s="156"/>
    </row>
    <row r="49" spans="1:10" x14ac:dyDescent="0.3">
      <c r="A49" s="121">
        <v>46</v>
      </c>
      <c r="B49" s="135" t="s">
        <v>160</v>
      </c>
      <c r="C49" s="139" t="str">
        <f>'Planned Vs Actual '!C54</f>
        <v>FF lintel Concrete</v>
      </c>
      <c r="D49" s="136" t="str">
        <f>'Planned Vs Actual '!F54</f>
        <v>CUM</v>
      </c>
      <c r="E49" s="247"/>
      <c r="F49" s="137">
        <f>'Planned Vs Actual '!H54</f>
        <v>3.91</v>
      </c>
      <c r="G49" s="137">
        <f>'Planned Vs Actual '!I54</f>
        <v>0</v>
      </c>
      <c r="H49" s="125">
        <f>'Planned Vs Actual '!L54</f>
        <v>0</v>
      </c>
      <c r="I49" s="140">
        <f>'Planned Vs Actual '!K54</f>
        <v>0</v>
      </c>
      <c r="J49" s="156"/>
    </row>
    <row r="50" spans="1:10" ht="31.2" x14ac:dyDescent="0.3">
      <c r="A50" s="121">
        <v>47</v>
      </c>
      <c r="B50" s="135" t="s">
        <v>160</v>
      </c>
      <c r="C50" s="139" t="str">
        <f>'Planned Vs Actual '!C55</f>
        <v>Brick masonary FF (230 mm)</v>
      </c>
      <c r="D50" s="136" t="str">
        <f>'Planned Vs Actual '!F55</f>
        <v>CUM</v>
      </c>
      <c r="E50" s="133">
        <f>'Planned Vs Actual '!G55</f>
        <v>80</v>
      </c>
      <c r="F50" s="137">
        <f>'Planned Vs Actual '!H55</f>
        <v>73.48</v>
      </c>
      <c r="G50" s="137">
        <f>'Planned Vs Actual '!I55</f>
        <v>0</v>
      </c>
      <c r="H50" s="125">
        <f>'Planned Vs Actual '!L55</f>
        <v>28.630000000000003</v>
      </c>
      <c r="I50" s="140">
        <f>'Planned Vs Actual '!K55</f>
        <v>20</v>
      </c>
      <c r="J50" s="156"/>
    </row>
    <row r="51" spans="1:10" ht="31.2" x14ac:dyDescent="0.3">
      <c r="A51" s="121">
        <v>48</v>
      </c>
      <c r="B51" s="135" t="s">
        <v>160</v>
      </c>
      <c r="C51" s="139" t="str">
        <f>'Planned Vs Actual '!C56</f>
        <v>Brick masonary FF (115 mm)</v>
      </c>
      <c r="D51" s="136" t="str">
        <f>'Planned Vs Actual '!F56</f>
        <v>SMT</v>
      </c>
      <c r="E51" s="133">
        <f>'Planned Vs Actual '!G56</f>
        <v>1170</v>
      </c>
      <c r="F51" s="137">
        <f>'Planned Vs Actual '!H56</f>
        <v>768</v>
      </c>
      <c r="G51" s="137">
        <f>'Planned Vs Actual '!I56</f>
        <v>0</v>
      </c>
      <c r="H51" s="125">
        <f>'Planned Vs Actual '!L56</f>
        <v>174.54999999999998</v>
      </c>
      <c r="I51" s="140">
        <f>'Planned Vs Actual '!K56</f>
        <v>300</v>
      </c>
      <c r="J51" s="156"/>
    </row>
    <row r="52" spans="1:10" x14ac:dyDescent="0.3">
      <c r="A52" s="121">
        <v>49</v>
      </c>
      <c r="B52" s="135" t="s">
        <v>160</v>
      </c>
      <c r="C52" s="139" t="str">
        <f>'Planned Vs Actual '!C57</f>
        <v>Internal Plaster</v>
      </c>
      <c r="D52" s="136" t="str">
        <f>'Planned Vs Actual '!F57</f>
        <v>SMT</v>
      </c>
      <c r="E52" s="133">
        <f>'Planned Vs Actual '!G57</f>
        <v>1591.21</v>
      </c>
      <c r="F52" s="137">
        <f>'Planned Vs Actual '!H57</f>
        <v>1733.79</v>
      </c>
      <c r="G52" s="137">
        <f>'Planned Vs Actual '!I57</f>
        <v>0</v>
      </c>
      <c r="H52" s="125">
        <f>'Planned Vs Actual '!L57</f>
        <v>0</v>
      </c>
      <c r="I52" s="140">
        <f>'Planned Vs Actual '!K57</f>
        <v>0</v>
      </c>
      <c r="J52" s="156"/>
    </row>
    <row r="53" spans="1:10" x14ac:dyDescent="0.3">
      <c r="A53" s="121">
        <v>50</v>
      </c>
      <c r="B53" s="135" t="s">
        <v>160</v>
      </c>
      <c r="C53" s="139" t="str">
        <f>'Planned Vs Actual '!C58</f>
        <v>Flooring</v>
      </c>
      <c r="D53" s="136" t="str">
        <f>'Planned Vs Actual '!F58</f>
        <v>SMT</v>
      </c>
      <c r="E53" s="133">
        <f>'Planned Vs Actual '!G58</f>
        <v>830</v>
      </c>
      <c r="F53" s="137">
        <f>'Planned Vs Actual '!H58</f>
        <v>841.16</v>
      </c>
      <c r="G53" s="137">
        <f>'Planned Vs Actual '!I58</f>
        <v>0</v>
      </c>
      <c r="H53" s="125">
        <f>'Planned Vs Actual '!L58</f>
        <v>0</v>
      </c>
      <c r="I53" s="140">
        <f>'Planned Vs Actual '!K58</f>
        <v>0</v>
      </c>
      <c r="J53" s="156"/>
    </row>
    <row r="54" spans="1:10" x14ac:dyDescent="0.3">
      <c r="A54" s="121">
        <v>51</v>
      </c>
      <c r="B54" s="135" t="s">
        <v>160</v>
      </c>
      <c r="C54" s="139" t="str">
        <f>'Planned Vs Actual '!C59</f>
        <v>Skirting</v>
      </c>
      <c r="D54" s="136" t="str">
        <f>'Planned Vs Actual '!F59</f>
        <v>RMT</v>
      </c>
      <c r="E54" s="133">
        <f>'Planned Vs Actual '!G59</f>
        <v>1865</v>
      </c>
      <c r="F54" s="137">
        <f>'Planned Vs Actual '!H59</f>
        <v>1859.2</v>
      </c>
      <c r="G54" s="137">
        <f>'Planned Vs Actual '!I59</f>
        <v>0</v>
      </c>
      <c r="H54" s="125">
        <f>'Planned Vs Actual '!L59</f>
        <v>0</v>
      </c>
      <c r="I54" s="140">
        <f>'Planned Vs Actual '!K59</f>
        <v>0</v>
      </c>
      <c r="J54" s="156"/>
    </row>
    <row r="55" spans="1:10" ht="53.55" customHeight="1" x14ac:dyDescent="0.3">
      <c r="A55" s="121">
        <v>52</v>
      </c>
      <c r="B55" s="122" t="s">
        <v>160</v>
      </c>
      <c r="C55" s="132" t="str">
        <f>'Planned Vs Actual '!C61</f>
        <v>FF to SF slab column shuttering</v>
      </c>
      <c r="D55" s="124" t="str">
        <f>'Planned Vs Actual '!F61</f>
        <v>SQM</v>
      </c>
      <c r="E55" s="245">
        <f>'Planned Vs Actual '!G61</f>
        <v>1680</v>
      </c>
      <c r="F55" s="134">
        <f>'Planned Vs Actual '!H61</f>
        <v>439.91300000000001</v>
      </c>
      <c r="G55" s="125">
        <f>'Planned Vs Actual '!K53</f>
        <v>0</v>
      </c>
      <c r="H55" s="125">
        <f>'Planned Vs Actual '!L61</f>
        <v>0</v>
      </c>
      <c r="I55" s="126">
        <f>'Planned Vs Actual '!M53</f>
        <v>101.99</v>
      </c>
      <c r="J55" s="156"/>
    </row>
    <row r="56" spans="1:10" ht="43.5" customHeight="1" x14ac:dyDescent="0.3">
      <c r="A56" s="121">
        <v>53</v>
      </c>
      <c r="B56" s="122" t="s">
        <v>160</v>
      </c>
      <c r="C56" s="132" t="str">
        <f>'Planned Vs Actual '!C62</f>
        <v>SF Staircase Shuttering</v>
      </c>
      <c r="D56" s="124" t="str">
        <f>'Planned Vs Actual '!F62</f>
        <v>SQM</v>
      </c>
      <c r="E56" s="246"/>
      <c r="F56" s="134">
        <f>'Planned Vs Actual '!H62</f>
        <v>57.39</v>
      </c>
      <c r="G56" s="125">
        <f>'Planned Vs Actual '!K61</f>
        <v>0</v>
      </c>
      <c r="H56" s="125">
        <f>'Planned Vs Actual '!L62</f>
        <v>0</v>
      </c>
      <c r="I56" s="126">
        <f>'Planned Vs Actual '!M61</f>
        <v>310.94</v>
      </c>
      <c r="J56" s="156"/>
    </row>
    <row r="57" spans="1:10" ht="43.95" customHeight="1" x14ac:dyDescent="0.3">
      <c r="A57" s="121">
        <v>54</v>
      </c>
      <c r="B57" s="122" t="s">
        <v>160</v>
      </c>
      <c r="C57" s="132" t="str">
        <f>'Planned Vs Actual '!C63</f>
        <v>SF beam shuttering</v>
      </c>
      <c r="D57" s="124" t="str">
        <f>'Planned Vs Actual '!F63</f>
        <v>SQM</v>
      </c>
      <c r="E57" s="246"/>
      <c r="F57" s="134">
        <f>'Planned Vs Actual '!H63</f>
        <v>700.59</v>
      </c>
      <c r="G57" s="125">
        <f>'Planned Vs Actual '!K62</f>
        <v>0</v>
      </c>
      <c r="H57" s="125">
        <f>'Planned Vs Actual '!L63</f>
        <v>0</v>
      </c>
      <c r="I57" s="126">
        <f>'Planned Vs Actual '!M62</f>
        <v>57.39</v>
      </c>
      <c r="J57" s="156"/>
    </row>
    <row r="58" spans="1:10" x14ac:dyDescent="0.3">
      <c r="A58" s="121">
        <v>55</v>
      </c>
      <c r="B58" s="122" t="s">
        <v>160</v>
      </c>
      <c r="C58" s="132" t="str">
        <f>'Planned Vs Actual '!C64</f>
        <v>SF Slab shuttering</v>
      </c>
      <c r="D58" s="124" t="str">
        <f>'Planned Vs Actual '!F64</f>
        <v>SQM</v>
      </c>
      <c r="E58" s="247"/>
      <c r="F58" s="134">
        <f>'Planned Vs Actual '!H64</f>
        <v>664.26</v>
      </c>
      <c r="G58" s="125">
        <f>'Planned Vs Actual '!K62</f>
        <v>0</v>
      </c>
      <c r="H58" s="125">
        <f>'Planned Vs Actual '!L64</f>
        <v>0</v>
      </c>
      <c r="I58" s="126">
        <f>'Planned Vs Actual '!M62</f>
        <v>57.39</v>
      </c>
      <c r="J58" s="156"/>
    </row>
    <row r="59" spans="1:10" ht="47.55" customHeight="1" x14ac:dyDescent="0.3">
      <c r="A59" s="121">
        <v>56</v>
      </c>
      <c r="B59" s="122" t="s">
        <v>160</v>
      </c>
      <c r="C59" s="132" t="str">
        <f>'Planned Vs Actual '!C65</f>
        <v>FF to SF slab column concrete</v>
      </c>
      <c r="D59" s="124" t="str">
        <f>'Planned Vs Actual '!F65</f>
        <v>CUM</v>
      </c>
      <c r="E59" s="245">
        <f>'Planned Vs Actual '!G65</f>
        <v>210</v>
      </c>
      <c r="F59" s="134">
        <f>'Planned Vs Actual '!H65</f>
        <v>32.822000000000003</v>
      </c>
      <c r="G59" s="125">
        <f>'Planned Vs Actual '!K65</f>
        <v>0</v>
      </c>
      <c r="H59" s="125">
        <f>'Planned Vs Actual '!L65</f>
        <v>0</v>
      </c>
      <c r="I59" s="126">
        <f>'Planned Vs Actual '!M65</f>
        <v>25.414999999999999</v>
      </c>
      <c r="J59" s="156"/>
    </row>
    <row r="60" spans="1:10" ht="51" customHeight="1" x14ac:dyDescent="0.3">
      <c r="A60" s="121">
        <v>57</v>
      </c>
      <c r="B60" s="122" t="s">
        <v>160</v>
      </c>
      <c r="C60" s="132" t="str">
        <f>'Planned Vs Actual '!C66</f>
        <v>SF Staircase Concrete</v>
      </c>
      <c r="D60" s="124" t="str">
        <f>'Planned Vs Actual '!F66</f>
        <v>CUM</v>
      </c>
      <c r="E60" s="246"/>
      <c r="F60" s="134">
        <f>'Planned Vs Actual '!H66</f>
        <v>8.5299999999999994</v>
      </c>
      <c r="G60" s="125">
        <f>'Planned Vs Actual '!K66</f>
        <v>0</v>
      </c>
      <c r="H60" s="125">
        <f>'Planned Vs Actual '!L66</f>
        <v>0</v>
      </c>
      <c r="I60" s="126">
        <f>'Planned Vs Actual '!M66</f>
        <v>8.5299999999999994</v>
      </c>
      <c r="J60" s="156"/>
    </row>
    <row r="61" spans="1:10" x14ac:dyDescent="0.3">
      <c r="A61" s="121">
        <v>58</v>
      </c>
      <c r="B61" s="122" t="s">
        <v>160</v>
      </c>
      <c r="C61" s="132" t="str">
        <f>'Planned Vs Actual '!C67</f>
        <v>SF beam Concrete</v>
      </c>
      <c r="D61" s="124" t="str">
        <f>'Planned Vs Actual '!F65</f>
        <v>CUM</v>
      </c>
      <c r="E61" s="246"/>
      <c r="F61" s="134">
        <f>'Planned Vs Actual '!H67</f>
        <v>61.76</v>
      </c>
      <c r="G61" s="125">
        <f>'Planned Vs Actual '!K67</f>
        <v>0</v>
      </c>
      <c r="H61" s="125">
        <f>'Planned Vs Actual '!L67</f>
        <v>0</v>
      </c>
      <c r="I61" s="126">
        <f>'Planned Vs Actual '!M67</f>
        <v>61.76</v>
      </c>
      <c r="J61" s="156"/>
    </row>
    <row r="62" spans="1:10" x14ac:dyDescent="0.3">
      <c r="A62" s="121">
        <v>59</v>
      </c>
      <c r="B62" s="135" t="s">
        <v>160</v>
      </c>
      <c r="C62" s="139" t="str">
        <f>'Planned Vs Actual '!C68</f>
        <v>SF Slab Concrete</v>
      </c>
      <c r="D62" s="136" t="str">
        <f>'Planned Vs Actual '!F67</f>
        <v>CUM</v>
      </c>
      <c r="E62" s="247"/>
      <c r="F62" s="137">
        <f>'Planned Vs Actual '!H68</f>
        <v>101.99</v>
      </c>
      <c r="G62" s="131">
        <f>'Planned Vs Actual '!K68</f>
        <v>0</v>
      </c>
      <c r="H62" s="125">
        <f>'Planned Vs Actual '!L68</f>
        <v>0</v>
      </c>
      <c r="I62" s="138">
        <f>'Planned Vs Actual '!M68</f>
        <v>101.99</v>
      </c>
      <c r="J62" s="156"/>
    </row>
    <row r="63" spans="1:10" ht="31.2" x14ac:dyDescent="0.3">
      <c r="A63" s="121">
        <v>60</v>
      </c>
      <c r="B63" s="122" t="s">
        <v>160</v>
      </c>
      <c r="C63" s="132" t="str">
        <f>'Planned Vs Actual '!C70</f>
        <v>SF to TF slab column shuttering</v>
      </c>
      <c r="D63" s="124" t="str">
        <f>'Planned Vs Actual '!F70</f>
        <v>SQM</v>
      </c>
      <c r="E63" s="245">
        <v>1680</v>
      </c>
      <c r="F63" s="134">
        <f>'Planned Vs Actual '!H70</f>
        <v>439.91300000000001</v>
      </c>
      <c r="G63" s="125">
        <f>'Planned Vs Actual '!K70</f>
        <v>212</v>
      </c>
      <c r="H63" s="125">
        <f>'Planned Vs Actual '!L70</f>
        <v>188.42</v>
      </c>
      <c r="I63" s="126">
        <f>'Planned Vs Actual '!M70</f>
        <v>286.41999999999996</v>
      </c>
      <c r="J63" s="156"/>
    </row>
    <row r="64" spans="1:10" x14ac:dyDescent="0.3">
      <c r="A64" s="121">
        <v>61</v>
      </c>
      <c r="B64" s="122" t="s">
        <v>160</v>
      </c>
      <c r="C64" s="132" t="str">
        <f>'Planned Vs Actual '!C71</f>
        <v>TF Staircase Shuttering</v>
      </c>
      <c r="D64" s="124" t="str">
        <f>'Planned Vs Actual '!F71</f>
        <v>SQM</v>
      </c>
      <c r="E64" s="246"/>
      <c r="F64" s="134">
        <f>'Planned Vs Actual '!H71</f>
        <v>57.39</v>
      </c>
      <c r="G64" s="125">
        <f>'Planned Vs Actual '!K71</f>
        <v>30</v>
      </c>
      <c r="H64" s="125">
        <f>'Planned Vs Actual '!L71</f>
        <v>30</v>
      </c>
      <c r="I64" s="126">
        <f>'Planned Vs Actual '!M71</f>
        <v>30</v>
      </c>
      <c r="J64" s="156"/>
    </row>
    <row r="65" spans="1:10" x14ac:dyDescent="0.3">
      <c r="A65" s="121">
        <v>62</v>
      </c>
      <c r="B65" s="122" t="s">
        <v>160</v>
      </c>
      <c r="C65" s="132" t="str">
        <f>'Planned Vs Actual '!C72</f>
        <v>TF beam shuttering</v>
      </c>
      <c r="D65" s="124" t="str">
        <f>'Planned Vs Actual '!F72</f>
        <v>SQM</v>
      </c>
      <c r="E65" s="246"/>
      <c r="F65" s="134">
        <f>'Planned Vs Actual '!H72</f>
        <v>700.59</v>
      </c>
      <c r="G65" s="125">
        <f>'Planned Vs Actual '!K72</f>
        <v>400</v>
      </c>
      <c r="H65" s="125">
        <f>'Planned Vs Actual '!L72</f>
        <v>350</v>
      </c>
      <c r="I65" s="126">
        <f>'Planned Vs Actual '!M72</f>
        <v>350</v>
      </c>
      <c r="J65" s="156"/>
    </row>
    <row r="66" spans="1:10" x14ac:dyDescent="0.3">
      <c r="A66" s="121">
        <v>63</v>
      </c>
      <c r="B66" s="122" t="s">
        <v>160</v>
      </c>
      <c r="C66" s="132" t="str">
        <f>'Planned Vs Actual '!C73</f>
        <v>TF Slab shuttering</v>
      </c>
      <c r="D66" s="124" t="str">
        <f>'Planned Vs Actual '!F73</f>
        <v>SQM</v>
      </c>
      <c r="E66" s="247"/>
      <c r="F66" s="134">
        <f>'Planned Vs Actual '!H73</f>
        <v>664.26</v>
      </c>
      <c r="G66" s="125">
        <f>'Planned Vs Actual '!K73</f>
        <v>400</v>
      </c>
      <c r="H66" s="125">
        <f>'Planned Vs Actual '!L73</f>
        <v>180</v>
      </c>
      <c r="I66" s="126">
        <f>'Planned Vs Actual '!M73</f>
        <v>180</v>
      </c>
      <c r="J66" s="156"/>
    </row>
    <row r="67" spans="1:10" ht="31.2" x14ac:dyDescent="0.3">
      <c r="A67" s="121">
        <v>64</v>
      </c>
      <c r="B67" s="122" t="s">
        <v>160</v>
      </c>
      <c r="C67" s="132" t="str">
        <f>'Planned Vs Actual '!C74</f>
        <v>SF to TF slab column concrete</v>
      </c>
      <c r="D67" s="124" t="str">
        <f>'Planned Vs Actual '!F74</f>
        <v>CUM</v>
      </c>
      <c r="E67" s="245">
        <v>210</v>
      </c>
      <c r="F67" s="134">
        <f>'Planned Vs Actual '!H74</f>
        <v>32.822000000000003</v>
      </c>
      <c r="G67" s="125">
        <f>'Planned Vs Actual '!K74</f>
        <v>30</v>
      </c>
      <c r="H67" s="125">
        <f>'Planned Vs Actual '!L74</f>
        <v>18</v>
      </c>
      <c r="I67" s="126">
        <f>'Planned Vs Actual '!M74</f>
        <v>20.58</v>
      </c>
      <c r="J67" s="156"/>
    </row>
    <row r="68" spans="1:10" x14ac:dyDescent="0.3">
      <c r="A68" s="121">
        <v>65</v>
      </c>
      <c r="B68" s="122" t="s">
        <v>160</v>
      </c>
      <c r="C68" s="132" t="str">
        <f>'Planned Vs Actual '!C75</f>
        <v>TF Staircase Concrete</v>
      </c>
      <c r="D68" s="124" t="str">
        <f>'Planned Vs Actual '!F75</f>
        <v>CUM</v>
      </c>
      <c r="E68" s="246"/>
      <c r="F68" s="134">
        <f>'Planned Vs Actual '!H75</f>
        <v>8.5299999999999994</v>
      </c>
      <c r="G68" s="125">
        <f>'Planned Vs Actual '!K75</f>
        <v>5</v>
      </c>
      <c r="H68" s="125">
        <f>'Planned Vs Actual '!L75</f>
        <v>2.1</v>
      </c>
      <c r="I68" s="126">
        <f>'Planned Vs Actual '!M75</f>
        <v>2.1</v>
      </c>
      <c r="J68" s="156"/>
    </row>
    <row r="69" spans="1:10" x14ac:dyDescent="0.3">
      <c r="A69" s="121">
        <v>66</v>
      </c>
      <c r="B69" s="122" t="s">
        <v>160</v>
      </c>
      <c r="C69" s="132" t="str">
        <f>'Planned Vs Actual '!C76</f>
        <v>TF beam Concrete</v>
      </c>
      <c r="D69" s="124" t="str">
        <f>'Planned Vs Actual '!F76</f>
        <v>CUM</v>
      </c>
      <c r="E69" s="246"/>
      <c r="F69" s="134">
        <f>'Planned Vs Actual '!H76</f>
        <v>61.76</v>
      </c>
      <c r="G69" s="125">
        <f>'Planned Vs Actual '!K76</f>
        <v>0</v>
      </c>
      <c r="H69" s="125">
        <f>'Planned Vs Actual '!L76</f>
        <v>0</v>
      </c>
      <c r="I69" s="126">
        <f>'Planned Vs Actual '!M76</f>
        <v>0</v>
      </c>
      <c r="J69" s="156"/>
    </row>
    <row r="70" spans="1:10" ht="16.2" thickBot="1" x14ac:dyDescent="0.35">
      <c r="A70" s="141">
        <v>67</v>
      </c>
      <c r="B70" s="142" t="s">
        <v>160</v>
      </c>
      <c r="C70" s="143" t="str">
        <f>'Planned Vs Actual '!C77</f>
        <v>TF Slab Concrete</v>
      </c>
      <c r="D70" s="144" t="str">
        <f>'Planned Vs Actual '!F77</f>
        <v>CUM</v>
      </c>
      <c r="E70" s="255"/>
      <c r="F70" s="146">
        <f>'Planned Vs Actual '!H77</f>
        <v>101.99</v>
      </c>
      <c r="G70" s="145">
        <f>'Planned Vs Actual '!K77</f>
        <v>0</v>
      </c>
      <c r="H70" s="145">
        <f>'Planned Vs Actual '!L77</f>
        <v>0</v>
      </c>
      <c r="I70" s="147">
        <f>'Planned Vs Actual '!M77</f>
        <v>0</v>
      </c>
      <c r="J70" s="156"/>
    </row>
    <row r="78" spans="1:10" x14ac:dyDescent="0.3">
      <c r="A78" s="152" t="s">
        <v>73</v>
      </c>
      <c r="B78" t="s">
        <v>179</v>
      </c>
    </row>
    <row r="79" spans="1:10" x14ac:dyDescent="0.3">
      <c r="A79" s="152" t="s">
        <v>74</v>
      </c>
      <c r="B79" t="s">
        <v>179</v>
      </c>
    </row>
    <row r="81" spans="1:8" x14ac:dyDescent="0.3">
      <c r="A81" s="152" t="s">
        <v>65</v>
      </c>
      <c r="B81" t="s">
        <v>177</v>
      </c>
      <c r="C81" t="s">
        <v>178</v>
      </c>
      <c r="D81" t="s">
        <v>181</v>
      </c>
      <c r="F81" s="152" t="s">
        <v>175</v>
      </c>
      <c r="G81" t="s">
        <v>177</v>
      </c>
      <c r="H81" t="s">
        <v>178</v>
      </c>
    </row>
    <row r="82" spans="1:8" x14ac:dyDescent="0.3">
      <c r="A82" t="s">
        <v>120</v>
      </c>
      <c r="B82" s="276">
        <v>100</v>
      </c>
      <c r="C82" s="154">
        <v>10</v>
      </c>
      <c r="D82" s="276">
        <v>356.26</v>
      </c>
      <c r="F82" s="153" t="s">
        <v>82</v>
      </c>
      <c r="G82">
        <v>54.997999999999998</v>
      </c>
      <c r="H82" s="154">
        <v>55.730000000000004</v>
      </c>
    </row>
    <row r="83" spans="1:8" x14ac:dyDescent="0.3">
      <c r="A83" t="s">
        <v>119</v>
      </c>
      <c r="B83" s="276">
        <v>20</v>
      </c>
      <c r="C83" s="154">
        <v>7</v>
      </c>
      <c r="D83" s="276">
        <v>43.86</v>
      </c>
      <c r="F83" s="153" t="s">
        <v>124</v>
      </c>
      <c r="G83">
        <v>100</v>
      </c>
      <c r="H83" s="154">
        <v>45</v>
      </c>
    </row>
    <row r="84" spans="1:8" x14ac:dyDescent="0.3">
      <c r="A84" t="s">
        <v>130</v>
      </c>
      <c r="B84" s="276">
        <v>60</v>
      </c>
      <c r="C84" s="154">
        <v>29</v>
      </c>
      <c r="D84" s="276">
        <v>29</v>
      </c>
      <c r="F84" s="153" t="s">
        <v>89</v>
      </c>
      <c r="G84">
        <v>832.79</v>
      </c>
      <c r="H84" s="154">
        <v>555.69999999999993</v>
      </c>
    </row>
    <row r="85" spans="1:8" x14ac:dyDescent="0.3">
      <c r="A85" t="s">
        <v>122</v>
      </c>
      <c r="B85" s="276">
        <v>100</v>
      </c>
      <c r="C85" s="154">
        <v>55.15</v>
      </c>
      <c r="D85" s="276">
        <v>55.15</v>
      </c>
      <c r="F85" s="153" t="s">
        <v>109</v>
      </c>
      <c r="G85">
        <v>1202</v>
      </c>
      <c r="H85" s="154">
        <v>798.74</v>
      </c>
    </row>
    <row r="86" spans="1:8" x14ac:dyDescent="0.3">
      <c r="A86" t="s">
        <v>126</v>
      </c>
      <c r="B86" s="276">
        <v>100</v>
      </c>
      <c r="C86" s="154">
        <v>21.32</v>
      </c>
      <c r="D86" s="276">
        <v>336.32</v>
      </c>
      <c r="F86" s="153" t="s">
        <v>176</v>
      </c>
      <c r="G86">
        <v>2189.788</v>
      </c>
      <c r="H86" s="154">
        <v>1455.17</v>
      </c>
    </row>
    <row r="87" spans="1:8" x14ac:dyDescent="0.3">
      <c r="A87" t="s">
        <v>121</v>
      </c>
      <c r="B87" s="276">
        <v>600</v>
      </c>
      <c r="C87" s="154">
        <v>301</v>
      </c>
      <c r="D87" s="276">
        <v>663</v>
      </c>
    </row>
    <row r="88" spans="1:8" x14ac:dyDescent="0.3">
      <c r="A88" t="s">
        <v>101</v>
      </c>
      <c r="B88" s="276">
        <v>32.790000000000006</v>
      </c>
      <c r="C88" s="154">
        <v>15</v>
      </c>
      <c r="D88" s="276">
        <v>74.5</v>
      </c>
    </row>
    <row r="89" spans="1:8" x14ac:dyDescent="0.3">
      <c r="A89" t="s">
        <v>152</v>
      </c>
      <c r="B89" s="276">
        <v>30</v>
      </c>
      <c r="C89" s="154">
        <v>18</v>
      </c>
      <c r="D89" s="276">
        <v>20.58</v>
      </c>
    </row>
    <row r="90" spans="1:8" x14ac:dyDescent="0.3">
      <c r="A90" t="s">
        <v>148</v>
      </c>
      <c r="B90" s="276">
        <v>212</v>
      </c>
      <c r="C90" s="154">
        <v>188.42</v>
      </c>
      <c r="D90" s="276">
        <v>286.41999999999996</v>
      </c>
    </row>
    <row r="91" spans="1:8" x14ac:dyDescent="0.3">
      <c r="A91" t="s">
        <v>123</v>
      </c>
      <c r="B91" s="276">
        <v>100</v>
      </c>
      <c r="C91" s="154">
        <v>45</v>
      </c>
      <c r="D91" s="276">
        <v>45</v>
      </c>
    </row>
    <row r="92" spans="1:8" x14ac:dyDescent="0.3">
      <c r="A92" t="s">
        <v>150</v>
      </c>
      <c r="B92" s="276">
        <v>400</v>
      </c>
      <c r="C92" s="154">
        <v>350</v>
      </c>
      <c r="D92" s="276">
        <v>350</v>
      </c>
    </row>
    <row r="93" spans="1:8" x14ac:dyDescent="0.3">
      <c r="A93" t="s">
        <v>151</v>
      </c>
      <c r="B93" s="276">
        <v>400</v>
      </c>
      <c r="C93" s="154">
        <v>180</v>
      </c>
      <c r="D93" s="276">
        <v>180</v>
      </c>
    </row>
    <row r="94" spans="1:8" x14ac:dyDescent="0.3">
      <c r="A94" t="s">
        <v>153</v>
      </c>
      <c r="B94" s="276">
        <v>5</v>
      </c>
      <c r="C94" s="154">
        <v>2.1</v>
      </c>
      <c r="D94" s="276">
        <v>2.1</v>
      </c>
    </row>
    <row r="95" spans="1:8" x14ac:dyDescent="0.3">
      <c r="A95" t="s">
        <v>149</v>
      </c>
      <c r="B95" s="276">
        <v>30</v>
      </c>
      <c r="C95" s="154">
        <v>30</v>
      </c>
      <c r="D95" s="276">
        <v>30</v>
      </c>
    </row>
    <row r="96" spans="1:8" x14ac:dyDescent="0.3">
      <c r="A96" t="s">
        <v>176</v>
      </c>
      <c r="B96" s="276">
        <v>2189.79</v>
      </c>
      <c r="C96" s="154">
        <v>1251.9899999999998</v>
      </c>
      <c r="D96" s="276">
        <v>2472.1899999999996</v>
      </c>
    </row>
    <row r="97" spans="1:8" x14ac:dyDescent="0.3">
      <c r="A97"/>
      <c r="B97"/>
      <c r="C97"/>
      <c r="D97"/>
    </row>
    <row r="98" spans="1:8" x14ac:dyDescent="0.3">
      <c r="A98"/>
      <c r="B98"/>
      <c r="C98"/>
      <c r="D98"/>
    </row>
    <row r="99" spans="1:8" ht="16.2" thickBot="1" x14ac:dyDescent="0.35">
      <c r="A99" s="280" t="s">
        <v>188</v>
      </c>
      <c r="B99"/>
      <c r="C99"/>
      <c r="D99"/>
    </row>
    <row r="100" spans="1:8" ht="16.8" thickTop="1" thickBot="1" x14ac:dyDescent="0.35">
      <c r="A100" s="157" t="s">
        <v>65</v>
      </c>
      <c r="B100" s="157" t="s">
        <v>177</v>
      </c>
      <c r="C100" s="157" t="s">
        <v>178</v>
      </c>
      <c r="D100" s="157" t="s">
        <v>182</v>
      </c>
    </row>
    <row r="101" spans="1:8" ht="16.8" thickTop="1" thickBot="1" x14ac:dyDescent="0.35">
      <c r="A101" s="158" t="str" cm="1">
        <f t="array" ref="A101:A114">A82:A95</f>
        <v>Brick masonary GF (115 mm)</v>
      </c>
      <c r="B101" s="158" cm="1">
        <f t="array" ref="B101:B114">B82:B95</f>
        <v>100</v>
      </c>
      <c r="C101" s="158" cm="1">
        <f t="array" ref="C101:C114">C82:C95</f>
        <v>10</v>
      </c>
      <c r="D101" s="159">
        <f>C101/B101</f>
        <v>0.1</v>
      </c>
    </row>
    <row r="102" spans="1:8" ht="16.8" thickTop="1" thickBot="1" x14ac:dyDescent="0.35">
      <c r="A102" s="158" t="str">
        <v>Brick masonary GF (230 mm)</v>
      </c>
      <c r="B102" s="158">
        <v>20</v>
      </c>
      <c r="C102" s="158">
        <v>7</v>
      </c>
      <c r="D102" s="159">
        <f t="shared" ref="D102:D114" si="0">C102/B102</f>
        <v>0.35</v>
      </c>
    </row>
    <row r="103" spans="1:8" ht="16.8" thickTop="1" thickBot="1" x14ac:dyDescent="0.35">
      <c r="A103" s="158" t="str">
        <v>FF lintel shuttering</v>
      </c>
      <c r="B103" s="158">
        <v>60</v>
      </c>
      <c r="C103" s="158">
        <v>29</v>
      </c>
      <c r="D103" s="159">
        <f t="shared" si="0"/>
        <v>0.48333333333333334</v>
      </c>
    </row>
    <row r="104" spans="1:8" ht="16.8" thickTop="1" thickBot="1" x14ac:dyDescent="0.35">
      <c r="A104" s="158" t="str">
        <v>Flooring</v>
      </c>
      <c r="B104" s="158">
        <v>100</v>
      </c>
      <c r="C104" s="158">
        <v>55.15</v>
      </c>
      <c r="D104" s="159">
        <f t="shared" si="0"/>
        <v>0.55149999999999999</v>
      </c>
      <c r="F104" s="152" t="s">
        <v>175</v>
      </c>
      <c r="G104" t="s">
        <v>180</v>
      </c>
      <c r="H104" t="s">
        <v>181</v>
      </c>
    </row>
    <row r="105" spans="1:8" ht="16.8" thickTop="1" thickBot="1" x14ac:dyDescent="0.35">
      <c r="A105" s="158" t="str">
        <v>GF to FF slab column shuttering</v>
      </c>
      <c r="B105" s="158">
        <v>100</v>
      </c>
      <c r="C105" s="158">
        <v>21.32</v>
      </c>
      <c r="D105" s="159">
        <f t="shared" si="0"/>
        <v>0.2132</v>
      </c>
      <c r="F105" s="153" t="s">
        <v>82</v>
      </c>
      <c r="G105">
        <v>4929.8569999999991</v>
      </c>
      <c r="H105">
        <v>4644.2480000000005</v>
      </c>
    </row>
    <row r="106" spans="1:8" ht="16.8" thickTop="1" thickBot="1" x14ac:dyDescent="0.35">
      <c r="A106" s="158" t="str">
        <v>Internal Plaster</v>
      </c>
      <c r="B106" s="158">
        <v>600</v>
      </c>
      <c r="C106" s="158">
        <v>301</v>
      </c>
      <c r="D106" s="159">
        <f t="shared" si="0"/>
        <v>0.50166666666666671</v>
      </c>
      <c r="F106" s="153" t="s">
        <v>124</v>
      </c>
      <c r="G106">
        <v>3718.4</v>
      </c>
      <c r="H106">
        <v>45</v>
      </c>
    </row>
    <row r="107" spans="1:8" ht="16.8" thickTop="1" thickBot="1" x14ac:dyDescent="0.35">
      <c r="A107" s="158" t="str">
        <v>Plinth Plaster</v>
      </c>
      <c r="B107" s="158">
        <v>32.790000000000006</v>
      </c>
      <c r="C107" s="158">
        <v>15</v>
      </c>
      <c r="D107" s="159">
        <f t="shared" si="0"/>
        <v>0.45745654162854521</v>
      </c>
      <c r="F107" s="153" t="s">
        <v>89</v>
      </c>
      <c r="G107">
        <v>8429.4359999999997</v>
      </c>
      <c r="H107">
        <v>2658.16</v>
      </c>
    </row>
    <row r="108" spans="1:8" ht="16.8" thickTop="1" thickBot="1" x14ac:dyDescent="0.35">
      <c r="A108" s="158" t="str">
        <v>SF to TF slab column concrete</v>
      </c>
      <c r="B108" s="158">
        <v>30</v>
      </c>
      <c r="C108" s="158">
        <v>18</v>
      </c>
      <c r="D108" s="159">
        <f t="shared" si="0"/>
        <v>0.6</v>
      </c>
      <c r="F108" s="153" t="s">
        <v>109</v>
      </c>
      <c r="G108">
        <v>7572.2290000000021</v>
      </c>
      <c r="H108">
        <v>5067.8640000000005</v>
      </c>
    </row>
    <row r="109" spans="1:8" ht="16.8" thickTop="1" thickBot="1" x14ac:dyDescent="0.35">
      <c r="A109" s="158" t="str">
        <v>SF to TF slab column shuttering</v>
      </c>
      <c r="B109" s="158">
        <v>212</v>
      </c>
      <c r="C109" s="158">
        <v>188.42</v>
      </c>
      <c r="D109" s="159">
        <f t="shared" si="0"/>
        <v>0.88877358490566027</v>
      </c>
      <c r="F109" s="153" t="s">
        <v>176</v>
      </c>
      <c r="G109">
        <v>24649.922000000002</v>
      </c>
      <c r="H109">
        <v>12415.272000000001</v>
      </c>
    </row>
    <row r="110" spans="1:8" ht="16.8" thickTop="1" thickBot="1" x14ac:dyDescent="0.35">
      <c r="A110" s="158" t="str">
        <v>Skirting</v>
      </c>
      <c r="B110" s="158">
        <v>100</v>
      </c>
      <c r="C110" s="158">
        <v>45</v>
      </c>
      <c r="D110" s="159">
        <f t="shared" si="0"/>
        <v>0.45</v>
      </c>
    </row>
    <row r="111" spans="1:8" ht="16.8" thickTop="1" thickBot="1" x14ac:dyDescent="0.35">
      <c r="A111" s="158" t="str">
        <v>TF beam shuttering</v>
      </c>
      <c r="B111" s="158">
        <v>400</v>
      </c>
      <c r="C111" s="158">
        <v>350</v>
      </c>
      <c r="D111" s="159">
        <f t="shared" si="0"/>
        <v>0.875</v>
      </c>
    </row>
    <row r="112" spans="1:8" ht="16.8" thickTop="1" thickBot="1" x14ac:dyDescent="0.35">
      <c r="A112" s="158" t="str">
        <v>TF Slab shuttering</v>
      </c>
      <c r="B112" s="158">
        <v>400</v>
      </c>
      <c r="C112" s="158">
        <v>180</v>
      </c>
      <c r="D112" s="159">
        <f t="shared" si="0"/>
        <v>0.45</v>
      </c>
      <c r="F112"/>
      <c r="G112"/>
    </row>
    <row r="113" spans="1:7" ht="16.8" thickTop="1" thickBot="1" x14ac:dyDescent="0.35">
      <c r="A113" s="158" t="str">
        <v>TF Staircase Concrete</v>
      </c>
      <c r="B113" s="158">
        <v>5</v>
      </c>
      <c r="C113" s="158">
        <v>2.1</v>
      </c>
      <c r="D113" s="159">
        <f t="shared" si="0"/>
        <v>0.42000000000000004</v>
      </c>
      <c r="F113"/>
      <c r="G113"/>
    </row>
    <row r="114" spans="1:7" ht="16.8" thickTop="1" thickBot="1" x14ac:dyDescent="0.35">
      <c r="A114" s="158" t="str">
        <v>TF Staircase Shuttering</v>
      </c>
      <c r="B114" s="158">
        <v>30</v>
      </c>
      <c r="C114" s="158">
        <v>30</v>
      </c>
      <c r="D114" s="159">
        <f t="shared" si="0"/>
        <v>1</v>
      </c>
      <c r="F114"/>
      <c r="G114"/>
    </row>
    <row r="115" spans="1:7" ht="16.2" thickTop="1" x14ac:dyDescent="0.3">
      <c r="A115"/>
      <c r="B115"/>
      <c r="C115"/>
      <c r="D115"/>
      <c r="F115"/>
      <c r="G115"/>
    </row>
    <row r="116" spans="1:7" x14ac:dyDescent="0.3">
      <c r="C116" s="110"/>
      <c r="D116"/>
      <c r="F116"/>
      <c r="G116"/>
    </row>
    <row r="117" spans="1:7" x14ac:dyDescent="0.3">
      <c r="C117" s="110"/>
      <c r="D117"/>
      <c r="F117"/>
      <c r="G117"/>
    </row>
    <row r="118" spans="1:7" x14ac:dyDescent="0.3">
      <c r="C118" s="110"/>
      <c r="D118"/>
      <c r="F118"/>
      <c r="G118"/>
    </row>
    <row r="119" spans="1:7" x14ac:dyDescent="0.3">
      <c r="F119"/>
      <c r="G119"/>
    </row>
    <row r="120" spans="1:7" x14ac:dyDescent="0.3">
      <c r="F120"/>
      <c r="G120"/>
    </row>
    <row r="121" spans="1:7" x14ac:dyDescent="0.3">
      <c r="F121"/>
      <c r="G121"/>
    </row>
    <row r="122" spans="1:7" x14ac:dyDescent="0.3">
      <c r="A122" s="280" t="s">
        <v>188</v>
      </c>
      <c r="B122"/>
      <c r="C122"/>
      <c r="F122"/>
      <c r="G122"/>
    </row>
    <row r="123" spans="1:7" x14ac:dyDescent="0.3">
      <c r="A123" s="155" t="s">
        <v>184</v>
      </c>
      <c r="B123" s="155" t="s">
        <v>180</v>
      </c>
      <c r="C123" s="155" t="s">
        <v>181</v>
      </c>
      <c r="F123"/>
      <c r="G123"/>
    </row>
    <row r="124" spans="1:7" x14ac:dyDescent="0.3">
      <c r="A124" s="153" t="s">
        <v>82</v>
      </c>
      <c r="B124">
        <v>4929.8569999999991</v>
      </c>
      <c r="C124">
        <v>4644.2480000000005</v>
      </c>
      <c r="F124"/>
      <c r="G124"/>
    </row>
    <row r="125" spans="1:7" x14ac:dyDescent="0.3">
      <c r="F125"/>
      <c r="G125"/>
    </row>
    <row r="126" spans="1:7" x14ac:dyDescent="0.3">
      <c r="F126"/>
      <c r="G126"/>
    </row>
    <row r="128" spans="1:7" x14ac:dyDescent="0.3">
      <c r="A128" s="152" t="s">
        <v>73</v>
      </c>
      <c r="B128" t="s">
        <v>179</v>
      </c>
    </row>
    <row r="130" spans="1:5" x14ac:dyDescent="0.3">
      <c r="A130" s="152" t="s">
        <v>65</v>
      </c>
      <c r="B130" s="152" t="s">
        <v>66</v>
      </c>
      <c r="C130" t="s">
        <v>189</v>
      </c>
      <c r="D130" t="s">
        <v>190</v>
      </c>
      <c r="E130" t="s">
        <v>191</v>
      </c>
    </row>
    <row r="131" spans="1:5" x14ac:dyDescent="0.3">
      <c r="A131" t="s">
        <v>137</v>
      </c>
      <c r="B131" s="281">
        <v>46002</v>
      </c>
      <c r="C131" s="162">
        <v>0.390625</v>
      </c>
      <c r="D131" s="162">
        <v>0.22727864583333332</v>
      </c>
      <c r="E131" s="162">
        <v>0.22727864583333332</v>
      </c>
    </row>
    <row r="132" spans="1:5" x14ac:dyDescent="0.3">
      <c r="A132" t="s">
        <v>136</v>
      </c>
      <c r="B132" s="281">
        <v>46002</v>
      </c>
      <c r="C132" s="162">
        <v>0.27218290691344582</v>
      </c>
      <c r="D132" s="162">
        <v>0.38962983124659772</v>
      </c>
      <c r="E132" s="162">
        <v>0.38962983124659772</v>
      </c>
    </row>
    <row r="133" spans="1:5" x14ac:dyDescent="0.3">
      <c r="A133" t="s">
        <v>120</v>
      </c>
      <c r="B133" s="281">
        <v>46002</v>
      </c>
      <c r="C133" s="162">
        <v>0.2371129131692512</v>
      </c>
      <c r="D133" s="162">
        <v>2.371129131692512E-2</v>
      </c>
      <c r="E133" s="162">
        <v>0.46388020833333332</v>
      </c>
    </row>
    <row r="134" spans="1:5" x14ac:dyDescent="0.3">
      <c r="A134" t="s">
        <v>119</v>
      </c>
      <c r="B134" s="281">
        <v>46002</v>
      </c>
      <c r="C134" s="162">
        <v>0.54614964500273067</v>
      </c>
      <c r="D134" s="162">
        <v>0.19115237575095573</v>
      </c>
      <c r="E134" s="162">
        <v>0.59689711486118668</v>
      </c>
    </row>
    <row r="135" spans="1:5" x14ac:dyDescent="0.3">
      <c r="A135" t="s">
        <v>130</v>
      </c>
      <c r="B135" s="281">
        <v>46002</v>
      </c>
      <c r="C135" s="162">
        <v>0.8824827180467717</v>
      </c>
      <c r="D135" s="162">
        <v>0.42653331372260628</v>
      </c>
      <c r="E135" s="162">
        <v>0.42653331372260628</v>
      </c>
    </row>
    <row r="136" spans="1:5" x14ac:dyDescent="0.3">
      <c r="A136" t="s">
        <v>122</v>
      </c>
      <c r="B136" s="281">
        <v>46002</v>
      </c>
      <c r="C136" s="162">
        <v>0.11888344666888583</v>
      </c>
      <c r="D136" s="162">
        <v>6.5564220837890527E-2</v>
      </c>
      <c r="E136" s="162">
        <v>6.5564220837890527E-2</v>
      </c>
    </row>
    <row r="137" spans="1:5" x14ac:dyDescent="0.3">
      <c r="A137" t="s">
        <v>126</v>
      </c>
      <c r="B137" s="281">
        <v>46002</v>
      </c>
      <c r="C137" s="162">
        <v>0.80055718780271057</v>
      </c>
      <c r="D137" s="162">
        <v>0.1706787924395379</v>
      </c>
      <c r="E137" s="162">
        <v>0.76451480179035392</v>
      </c>
    </row>
    <row r="138" spans="1:5" x14ac:dyDescent="0.3">
      <c r="A138" t="s">
        <v>121</v>
      </c>
      <c r="B138" s="281">
        <v>46002</v>
      </c>
      <c r="C138" s="162">
        <v>0.43738473089904434</v>
      </c>
      <c r="D138" s="162">
        <v>0.21942134000102057</v>
      </c>
      <c r="E138" s="162">
        <v>0.38239925250462858</v>
      </c>
    </row>
    <row r="139" spans="1:5" x14ac:dyDescent="0.3">
      <c r="A139" t="s">
        <v>101</v>
      </c>
      <c r="B139" s="281">
        <v>46002</v>
      </c>
      <c r="C139" s="162">
        <v>1</v>
      </c>
      <c r="D139" s="162">
        <v>0.45745654162854521</v>
      </c>
      <c r="E139" s="162">
        <v>0.80723805396034232</v>
      </c>
    </row>
    <row r="140" spans="1:5" x14ac:dyDescent="0.3">
      <c r="A140" t="s">
        <v>152</v>
      </c>
      <c r="B140" s="281">
        <v>46002</v>
      </c>
      <c r="C140" s="162">
        <v>0.99199788373784792</v>
      </c>
      <c r="D140" s="162">
        <v>0.59519873024270875</v>
      </c>
      <c r="E140" s="162">
        <v>0.62701846322588495</v>
      </c>
    </row>
    <row r="141" spans="1:5" x14ac:dyDescent="0.3">
      <c r="A141" t="s">
        <v>148</v>
      </c>
      <c r="B141" s="281">
        <v>46002</v>
      </c>
      <c r="C141" s="162">
        <v>0.62004077060538787</v>
      </c>
      <c r="D141" s="162">
        <v>0.55107585847861873</v>
      </c>
      <c r="E141" s="162">
        <v>0.65108328237628788</v>
      </c>
    </row>
    <row r="142" spans="1:5" x14ac:dyDescent="0.3">
      <c r="A142" t="s">
        <v>123</v>
      </c>
      <c r="B142" s="281">
        <v>46002</v>
      </c>
      <c r="C142" s="162">
        <v>5.3786574870912221E-2</v>
      </c>
      <c r="D142" s="162">
        <v>2.4203958691910499E-2</v>
      </c>
      <c r="E142" s="162">
        <v>2.4203958691910499E-2</v>
      </c>
    </row>
    <row r="143" spans="1:5" x14ac:dyDescent="0.3">
      <c r="A143" t="s">
        <v>150</v>
      </c>
      <c r="B143" s="281">
        <v>46002</v>
      </c>
      <c r="C143" s="162">
        <v>0.57094734438116446</v>
      </c>
      <c r="D143" s="162">
        <v>0.49957892633351886</v>
      </c>
      <c r="E143" s="162">
        <v>0.49957892633351886</v>
      </c>
    </row>
    <row r="144" spans="1:5" x14ac:dyDescent="0.3">
      <c r="A144" t="s">
        <v>151</v>
      </c>
      <c r="B144" s="281">
        <v>46002</v>
      </c>
      <c r="C144" s="162">
        <v>0.60217384758979919</v>
      </c>
      <c r="D144" s="162">
        <v>0.27097823141540961</v>
      </c>
      <c r="E144" s="162">
        <v>0.27097823141540961</v>
      </c>
    </row>
    <row r="145" spans="1:5" x14ac:dyDescent="0.3">
      <c r="A145" t="s">
        <v>153</v>
      </c>
      <c r="B145" s="281">
        <v>46002</v>
      </c>
      <c r="C145" s="162">
        <v>0.58616647127784294</v>
      </c>
      <c r="D145" s="162">
        <v>0.24618991793669406</v>
      </c>
      <c r="E145" s="162">
        <v>0.24618991793669406</v>
      </c>
    </row>
    <row r="146" spans="1:5" x14ac:dyDescent="0.3">
      <c r="A146" t="s">
        <v>149</v>
      </c>
      <c r="B146" s="281">
        <v>46002</v>
      </c>
      <c r="C146" s="162">
        <v>0.52273915316257191</v>
      </c>
      <c r="D146" s="162">
        <v>0.52273915316257191</v>
      </c>
      <c r="E146" s="162">
        <v>0.52273915316257191</v>
      </c>
    </row>
    <row r="147" spans="1:5" x14ac:dyDescent="0.3">
      <c r="A147" t="s">
        <v>176</v>
      </c>
      <c r="B147"/>
      <c r="C147" s="162">
        <v>8.6332305941283671</v>
      </c>
      <c r="D147" s="162">
        <v>4.8813911290388452</v>
      </c>
      <c r="E147" s="162">
        <v>6.9657273762325502</v>
      </c>
    </row>
    <row r="148" spans="1:5" x14ac:dyDescent="0.3">
      <c r="A148"/>
      <c r="B148"/>
      <c r="C148"/>
      <c r="D148"/>
      <c r="E148"/>
    </row>
    <row r="149" spans="1:5" x14ac:dyDescent="0.3">
      <c r="A149"/>
      <c r="B149"/>
      <c r="C149"/>
      <c r="D149"/>
    </row>
    <row r="150" spans="1:5" x14ac:dyDescent="0.3">
      <c r="A150"/>
      <c r="B150"/>
      <c r="C150"/>
      <c r="D150"/>
    </row>
    <row r="151" spans="1:5" x14ac:dyDescent="0.3">
      <c r="A151"/>
      <c r="B151"/>
      <c r="C151"/>
      <c r="D151"/>
    </row>
    <row r="152" spans="1:5" x14ac:dyDescent="0.3">
      <c r="A152"/>
      <c r="B152"/>
      <c r="C152"/>
      <c r="D152"/>
    </row>
    <row r="153" spans="1:5" x14ac:dyDescent="0.3">
      <c r="A153"/>
      <c r="B153"/>
      <c r="C153"/>
      <c r="D153"/>
    </row>
    <row r="154" spans="1:5" x14ac:dyDescent="0.3">
      <c r="A154"/>
      <c r="B154"/>
      <c r="C154"/>
      <c r="D154"/>
    </row>
    <row r="155" spans="1:5" x14ac:dyDescent="0.3">
      <c r="A155"/>
      <c r="B155"/>
      <c r="C155"/>
      <c r="D155"/>
    </row>
    <row r="156" spans="1:5" x14ac:dyDescent="0.3">
      <c r="A156"/>
      <c r="B156"/>
      <c r="C156"/>
      <c r="D156"/>
    </row>
    <row r="157" spans="1:5" x14ac:dyDescent="0.3">
      <c r="A157"/>
      <c r="B157"/>
      <c r="C157"/>
      <c r="D157"/>
    </row>
    <row r="158" spans="1:5" x14ac:dyDescent="0.3">
      <c r="A158"/>
      <c r="B158"/>
      <c r="C158"/>
      <c r="D158"/>
    </row>
    <row r="159" spans="1:5" x14ac:dyDescent="0.3">
      <c r="A159"/>
      <c r="B159"/>
      <c r="C159"/>
      <c r="D159"/>
    </row>
    <row r="160" spans="1:5" x14ac:dyDescent="0.3">
      <c r="A160"/>
      <c r="B160"/>
      <c r="C160"/>
      <c r="D160"/>
    </row>
    <row r="161" spans="1:4" x14ac:dyDescent="0.3">
      <c r="A161"/>
      <c r="B161"/>
      <c r="C161"/>
      <c r="D161"/>
    </row>
    <row r="162" spans="1:4" x14ac:dyDescent="0.3">
      <c r="A162"/>
      <c r="B162"/>
      <c r="C162"/>
      <c r="D162"/>
    </row>
    <row r="163" spans="1:4" x14ac:dyDescent="0.3">
      <c r="A163"/>
      <c r="B163"/>
      <c r="C163"/>
      <c r="D163"/>
    </row>
    <row r="164" spans="1:4" x14ac:dyDescent="0.3">
      <c r="A164"/>
      <c r="B164"/>
      <c r="C164"/>
      <c r="D164"/>
    </row>
    <row r="165" spans="1:4" x14ac:dyDescent="0.3">
      <c r="A165"/>
      <c r="B165"/>
      <c r="C165"/>
      <c r="D165"/>
    </row>
    <row r="166" spans="1:4" x14ac:dyDescent="0.3">
      <c r="A166"/>
      <c r="B166"/>
      <c r="C166"/>
      <c r="D166"/>
    </row>
    <row r="167" spans="1:4" x14ac:dyDescent="0.3">
      <c r="A167"/>
      <c r="B167"/>
      <c r="C167"/>
      <c r="D167"/>
    </row>
    <row r="168" spans="1:4" x14ac:dyDescent="0.3">
      <c r="A168"/>
      <c r="B168"/>
      <c r="C168"/>
      <c r="D168"/>
    </row>
    <row r="169" spans="1:4" x14ac:dyDescent="0.3">
      <c r="A169"/>
      <c r="B169"/>
      <c r="C169"/>
      <c r="D169"/>
    </row>
    <row r="170" spans="1:4" x14ac:dyDescent="0.3">
      <c r="A170"/>
      <c r="B170"/>
      <c r="C170"/>
      <c r="D170"/>
    </row>
    <row r="171" spans="1:4" x14ac:dyDescent="0.3">
      <c r="A171"/>
      <c r="B171"/>
      <c r="C171"/>
      <c r="D171"/>
    </row>
    <row r="172" spans="1:4" x14ac:dyDescent="0.3">
      <c r="A172"/>
      <c r="B172"/>
      <c r="C172"/>
      <c r="D172"/>
    </row>
    <row r="173" spans="1:4" x14ac:dyDescent="0.3">
      <c r="A173"/>
      <c r="B173"/>
      <c r="C173"/>
      <c r="D173"/>
    </row>
    <row r="174" spans="1:4" x14ac:dyDescent="0.3">
      <c r="A174"/>
      <c r="B174"/>
      <c r="C174"/>
      <c r="D174"/>
    </row>
    <row r="175" spans="1:4" x14ac:dyDescent="0.3">
      <c r="A175"/>
      <c r="B175"/>
      <c r="C175"/>
      <c r="D175"/>
    </row>
    <row r="176" spans="1:4" x14ac:dyDescent="0.3">
      <c r="A176"/>
      <c r="B176"/>
      <c r="C176"/>
      <c r="D176"/>
    </row>
    <row r="177" spans="1:4" x14ac:dyDescent="0.3">
      <c r="A177"/>
      <c r="B177"/>
      <c r="C177"/>
      <c r="D177"/>
    </row>
    <row r="178" spans="1:4" x14ac:dyDescent="0.3">
      <c r="A178"/>
      <c r="B178"/>
      <c r="C178"/>
      <c r="D178"/>
    </row>
    <row r="179" spans="1:4" x14ac:dyDescent="0.3">
      <c r="A179"/>
      <c r="B179"/>
      <c r="C179"/>
      <c r="D179"/>
    </row>
    <row r="180" spans="1:4" x14ac:dyDescent="0.3">
      <c r="A180"/>
      <c r="B180"/>
      <c r="C180"/>
      <c r="D180"/>
    </row>
    <row r="181" spans="1:4" x14ac:dyDescent="0.3">
      <c r="A181"/>
      <c r="B181"/>
      <c r="C181"/>
      <c r="D181"/>
    </row>
    <row r="182" spans="1:4" x14ac:dyDescent="0.3">
      <c r="A182"/>
      <c r="B182"/>
      <c r="C182"/>
      <c r="D182"/>
    </row>
    <row r="183" spans="1:4" x14ac:dyDescent="0.3">
      <c r="A183"/>
      <c r="B183"/>
      <c r="C183"/>
      <c r="D183"/>
    </row>
    <row r="184" spans="1:4" x14ac:dyDescent="0.3">
      <c r="A184"/>
      <c r="B184"/>
      <c r="C184"/>
      <c r="D184"/>
    </row>
    <row r="185" spans="1:4" x14ac:dyDescent="0.3">
      <c r="A185"/>
      <c r="B185"/>
      <c r="C185"/>
      <c r="D185"/>
    </row>
    <row r="186" spans="1:4" x14ac:dyDescent="0.3">
      <c r="A186"/>
      <c r="B186"/>
      <c r="C186"/>
      <c r="D186"/>
    </row>
    <row r="187" spans="1:4" x14ac:dyDescent="0.3">
      <c r="A187"/>
      <c r="B187"/>
      <c r="C187"/>
      <c r="D187"/>
    </row>
    <row r="188" spans="1:4" x14ac:dyDescent="0.3">
      <c r="A188"/>
      <c r="B188"/>
      <c r="C188"/>
      <c r="D188"/>
    </row>
    <row r="189" spans="1:4" x14ac:dyDescent="0.3">
      <c r="A189"/>
      <c r="B189"/>
      <c r="C189"/>
      <c r="D189"/>
    </row>
    <row r="190" spans="1:4" x14ac:dyDescent="0.3">
      <c r="A190"/>
      <c r="B190"/>
      <c r="C190"/>
      <c r="D190"/>
    </row>
    <row r="191" spans="1:4" x14ac:dyDescent="0.3">
      <c r="A191"/>
      <c r="B191"/>
      <c r="C191"/>
      <c r="D191"/>
    </row>
    <row r="192" spans="1:4" x14ac:dyDescent="0.3">
      <c r="A192"/>
      <c r="B192"/>
      <c r="C192"/>
      <c r="D192"/>
    </row>
    <row r="193" spans="1:4" x14ac:dyDescent="0.3">
      <c r="A193"/>
      <c r="B193"/>
      <c r="C193"/>
      <c r="D193"/>
    </row>
    <row r="194" spans="1:4" x14ac:dyDescent="0.3">
      <c r="A194"/>
      <c r="B194"/>
      <c r="C194"/>
      <c r="D194"/>
    </row>
    <row r="195" spans="1:4" x14ac:dyDescent="0.3">
      <c r="A195"/>
      <c r="B195"/>
      <c r="C195"/>
      <c r="D195"/>
    </row>
    <row r="196" spans="1:4" x14ac:dyDescent="0.3">
      <c r="A196"/>
      <c r="B196"/>
      <c r="C196"/>
      <c r="D196"/>
    </row>
    <row r="197" spans="1:4" x14ac:dyDescent="0.3">
      <c r="A197"/>
      <c r="B197"/>
      <c r="C197"/>
      <c r="D197"/>
    </row>
    <row r="198" spans="1:4" x14ac:dyDescent="0.3">
      <c r="A198"/>
      <c r="B198"/>
      <c r="C198"/>
      <c r="D198"/>
    </row>
    <row r="199" spans="1:4" x14ac:dyDescent="0.3">
      <c r="A199"/>
      <c r="B199"/>
      <c r="C199"/>
      <c r="D199"/>
    </row>
    <row r="200" spans="1:4" x14ac:dyDescent="0.3">
      <c r="A200"/>
      <c r="B200"/>
      <c r="C200"/>
      <c r="D200"/>
    </row>
    <row r="201" spans="1:4" x14ac:dyDescent="0.3">
      <c r="A201"/>
      <c r="B201"/>
      <c r="C201"/>
      <c r="D201"/>
    </row>
    <row r="202" spans="1:4" x14ac:dyDescent="0.3">
      <c r="A202"/>
      <c r="B202"/>
      <c r="C202"/>
      <c r="D202"/>
    </row>
    <row r="203" spans="1:4" x14ac:dyDescent="0.3">
      <c r="A203"/>
      <c r="B203"/>
      <c r="C203"/>
      <c r="D203"/>
    </row>
    <row r="204" spans="1:4" x14ac:dyDescent="0.3">
      <c r="A204"/>
      <c r="B204"/>
      <c r="C204"/>
      <c r="D204"/>
    </row>
    <row r="205" spans="1:4" x14ac:dyDescent="0.3">
      <c r="A205"/>
      <c r="B205"/>
      <c r="C205"/>
      <c r="D205"/>
    </row>
    <row r="206" spans="1:4" x14ac:dyDescent="0.3">
      <c r="A206"/>
      <c r="B206"/>
      <c r="C206"/>
      <c r="D206"/>
    </row>
    <row r="207" spans="1:4" x14ac:dyDescent="0.3">
      <c r="A207"/>
      <c r="B207"/>
      <c r="C207"/>
      <c r="D207"/>
    </row>
    <row r="208" spans="1:4" x14ac:dyDescent="0.3">
      <c r="A208"/>
      <c r="B208"/>
      <c r="C208"/>
      <c r="D208"/>
    </row>
    <row r="209" spans="1:4" x14ac:dyDescent="0.3">
      <c r="A209"/>
      <c r="B209"/>
      <c r="C209"/>
      <c r="D209"/>
    </row>
    <row r="210" spans="1:4" x14ac:dyDescent="0.3">
      <c r="A210"/>
      <c r="B210"/>
      <c r="C210"/>
      <c r="D210"/>
    </row>
    <row r="211" spans="1:4" x14ac:dyDescent="0.3">
      <c r="A211"/>
      <c r="B211"/>
      <c r="C211"/>
      <c r="D211"/>
    </row>
    <row r="212" spans="1:4" x14ac:dyDescent="0.3">
      <c r="A212"/>
      <c r="B212"/>
      <c r="C212"/>
      <c r="D212"/>
    </row>
    <row r="213" spans="1:4" x14ac:dyDescent="0.3">
      <c r="A213"/>
      <c r="B213"/>
      <c r="C213"/>
      <c r="D213"/>
    </row>
    <row r="214" spans="1:4" x14ac:dyDescent="0.3">
      <c r="A214"/>
      <c r="B214"/>
      <c r="C214"/>
      <c r="D214"/>
    </row>
    <row r="215" spans="1:4" x14ac:dyDescent="0.3">
      <c r="A215"/>
      <c r="B215"/>
      <c r="C215"/>
      <c r="D215"/>
    </row>
    <row r="216" spans="1:4" x14ac:dyDescent="0.3">
      <c r="A216"/>
      <c r="B216"/>
      <c r="C216"/>
      <c r="D216"/>
    </row>
    <row r="217" spans="1:4" x14ac:dyDescent="0.3">
      <c r="A217"/>
      <c r="B217"/>
      <c r="C217"/>
      <c r="D217"/>
    </row>
    <row r="218" spans="1:4" x14ac:dyDescent="0.3">
      <c r="A218"/>
      <c r="B218"/>
      <c r="C218"/>
      <c r="D218"/>
    </row>
    <row r="219" spans="1:4" x14ac:dyDescent="0.3">
      <c r="A219"/>
      <c r="B219"/>
      <c r="C219"/>
      <c r="D219"/>
    </row>
    <row r="220" spans="1:4" x14ac:dyDescent="0.3">
      <c r="A220"/>
      <c r="B220"/>
      <c r="C220"/>
      <c r="D220"/>
    </row>
    <row r="221" spans="1:4" x14ac:dyDescent="0.3">
      <c r="A221"/>
      <c r="B221"/>
      <c r="C221"/>
      <c r="D221"/>
    </row>
    <row r="222" spans="1:4" x14ac:dyDescent="0.3">
      <c r="A222"/>
      <c r="B222"/>
      <c r="C222"/>
      <c r="D222"/>
    </row>
    <row r="223" spans="1:4" x14ac:dyDescent="0.3">
      <c r="A223"/>
      <c r="B223"/>
      <c r="C223"/>
      <c r="D223"/>
    </row>
    <row r="224" spans="1:4" x14ac:dyDescent="0.3">
      <c r="A224"/>
      <c r="B224"/>
      <c r="C224"/>
      <c r="D224"/>
    </row>
    <row r="225" spans="1:4" x14ac:dyDescent="0.3">
      <c r="A225"/>
      <c r="B225"/>
      <c r="C225"/>
      <c r="D225"/>
    </row>
    <row r="226" spans="1:4" x14ac:dyDescent="0.3">
      <c r="A226"/>
      <c r="B226"/>
      <c r="C226"/>
      <c r="D226"/>
    </row>
    <row r="227" spans="1:4" x14ac:dyDescent="0.3">
      <c r="A227"/>
      <c r="B227"/>
      <c r="C227"/>
      <c r="D227"/>
    </row>
    <row r="228" spans="1:4" x14ac:dyDescent="0.3">
      <c r="A228"/>
      <c r="B228"/>
      <c r="C228"/>
      <c r="D228"/>
    </row>
    <row r="229" spans="1:4" x14ac:dyDescent="0.3">
      <c r="A229"/>
      <c r="B229"/>
      <c r="C229"/>
      <c r="D229"/>
    </row>
    <row r="230" spans="1:4" x14ac:dyDescent="0.3">
      <c r="A230"/>
      <c r="B230"/>
      <c r="C230"/>
      <c r="D230"/>
    </row>
    <row r="231" spans="1:4" x14ac:dyDescent="0.3">
      <c r="A231"/>
      <c r="B231"/>
      <c r="C231"/>
      <c r="D231"/>
    </row>
    <row r="232" spans="1:4" x14ac:dyDescent="0.3">
      <c r="A232"/>
      <c r="B232"/>
      <c r="C232"/>
      <c r="D232"/>
    </row>
    <row r="233" spans="1:4" x14ac:dyDescent="0.3">
      <c r="A233"/>
      <c r="B233"/>
      <c r="C233"/>
      <c r="D233"/>
    </row>
    <row r="234" spans="1:4" x14ac:dyDescent="0.3">
      <c r="A234"/>
      <c r="B234"/>
      <c r="C234"/>
      <c r="D234"/>
    </row>
    <row r="235" spans="1:4" x14ac:dyDescent="0.3">
      <c r="A235"/>
      <c r="B235"/>
      <c r="C235"/>
      <c r="D235"/>
    </row>
    <row r="236" spans="1:4" x14ac:dyDescent="0.3">
      <c r="A236"/>
      <c r="B236"/>
      <c r="C236"/>
      <c r="D236"/>
    </row>
    <row r="237" spans="1:4" x14ac:dyDescent="0.3">
      <c r="A237"/>
      <c r="B237"/>
      <c r="C237"/>
      <c r="D237"/>
    </row>
    <row r="238" spans="1:4" x14ac:dyDescent="0.3">
      <c r="A238"/>
      <c r="B238"/>
      <c r="C238"/>
      <c r="D238"/>
    </row>
    <row r="239" spans="1:4" x14ac:dyDescent="0.3">
      <c r="A239"/>
      <c r="B239"/>
      <c r="C239"/>
      <c r="D239"/>
    </row>
    <row r="240" spans="1:4" x14ac:dyDescent="0.3">
      <c r="A240"/>
      <c r="B240"/>
      <c r="C240"/>
      <c r="D240"/>
    </row>
    <row r="241" spans="1:4" x14ac:dyDescent="0.3">
      <c r="A241"/>
      <c r="B241"/>
      <c r="C241"/>
      <c r="D241"/>
    </row>
    <row r="242" spans="1:4" x14ac:dyDescent="0.3">
      <c r="A242"/>
      <c r="B242"/>
      <c r="C242"/>
      <c r="D242"/>
    </row>
    <row r="243" spans="1:4" x14ac:dyDescent="0.3">
      <c r="A243"/>
      <c r="B243"/>
      <c r="C243"/>
      <c r="D243"/>
    </row>
    <row r="244" spans="1:4" x14ac:dyDescent="0.3">
      <c r="A244"/>
      <c r="B244"/>
      <c r="C244"/>
      <c r="D244"/>
    </row>
    <row r="245" spans="1:4" x14ac:dyDescent="0.3">
      <c r="A245"/>
      <c r="B245"/>
      <c r="C245"/>
      <c r="D245"/>
    </row>
    <row r="246" spans="1:4" x14ac:dyDescent="0.3">
      <c r="A246"/>
      <c r="B246"/>
      <c r="C246"/>
      <c r="D246"/>
    </row>
    <row r="247" spans="1:4" x14ac:dyDescent="0.3">
      <c r="A247"/>
      <c r="B247"/>
      <c r="C247"/>
      <c r="D247"/>
    </row>
    <row r="248" spans="1:4" x14ac:dyDescent="0.3">
      <c r="A248"/>
      <c r="B248"/>
      <c r="C248"/>
      <c r="D248"/>
    </row>
    <row r="249" spans="1:4" x14ac:dyDescent="0.3">
      <c r="A249"/>
      <c r="B249"/>
      <c r="C249"/>
      <c r="D249"/>
    </row>
    <row r="250" spans="1:4" x14ac:dyDescent="0.3">
      <c r="A250"/>
      <c r="B250"/>
      <c r="C250"/>
      <c r="D250"/>
    </row>
    <row r="251" spans="1:4" x14ac:dyDescent="0.3">
      <c r="A251"/>
      <c r="B251"/>
      <c r="C251"/>
      <c r="D251"/>
    </row>
    <row r="252" spans="1:4" x14ac:dyDescent="0.3">
      <c r="A252"/>
      <c r="B252"/>
      <c r="C252"/>
      <c r="D252"/>
    </row>
    <row r="253" spans="1:4" x14ac:dyDescent="0.3">
      <c r="A253"/>
      <c r="B253"/>
      <c r="C253"/>
      <c r="D253"/>
    </row>
    <row r="254" spans="1:4" x14ac:dyDescent="0.3">
      <c r="A254"/>
      <c r="B254"/>
      <c r="C254"/>
      <c r="D254"/>
    </row>
    <row r="255" spans="1:4" x14ac:dyDescent="0.3">
      <c r="A255"/>
      <c r="B255"/>
      <c r="C255"/>
      <c r="D255"/>
    </row>
    <row r="256" spans="1:4" x14ac:dyDescent="0.3">
      <c r="A256"/>
      <c r="B256"/>
      <c r="C256"/>
      <c r="D256"/>
    </row>
    <row r="257" spans="1:4" x14ac:dyDescent="0.3">
      <c r="A257"/>
      <c r="B257"/>
      <c r="C257"/>
      <c r="D257"/>
    </row>
    <row r="258" spans="1:4" x14ac:dyDescent="0.3">
      <c r="A258"/>
      <c r="B258"/>
      <c r="C258"/>
      <c r="D258"/>
    </row>
    <row r="259" spans="1:4" x14ac:dyDescent="0.3">
      <c r="A259"/>
      <c r="B259"/>
      <c r="C259"/>
      <c r="D259"/>
    </row>
    <row r="260" spans="1:4" x14ac:dyDescent="0.3">
      <c r="A260"/>
      <c r="B260"/>
      <c r="C260"/>
      <c r="D260"/>
    </row>
    <row r="261" spans="1:4" x14ac:dyDescent="0.3">
      <c r="A261"/>
      <c r="B261"/>
      <c r="C261"/>
      <c r="D261"/>
    </row>
    <row r="262" spans="1:4" x14ac:dyDescent="0.3">
      <c r="A262"/>
      <c r="B262"/>
      <c r="C262"/>
    </row>
    <row r="263" spans="1:4" x14ac:dyDescent="0.3">
      <c r="A263"/>
      <c r="B263"/>
      <c r="C263"/>
    </row>
    <row r="264" spans="1:4" x14ac:dyDescent="0.3">
      <c r="A264"/>
      <c r="B264"/>
      <c r="C264"/>
    </row>
    <row r="265" spans="1:4" x14ac:dyDescent="0.3">
      <c r="A265"/>
      <c r="B265"/>
      <c r="C265"/>
    </row>
    <row r="266" spans="1:4" x14ac:dyDescent="0.3">
      <c r="A266"/>
      <c r="B266"/>
      <c r="C266"/>
    </row>
    <row r="267" spans="1:4" x14ac:dyDescent="0.3">
      <c r="A267"/>
      <c r="B267"/>
      <c r="C267"/>
    </row>
    <row r="268" spans="1:4" x14ac:dyDescent="0.3">
      <c r="A268"/>
      <c r="B268"/>
      <c r="C268"/>
    </row>
    <row r="269" spans="1:4" x14ac:dyDescent="0.3">
      <c r="A269"/>
      <c r="B269"/>
      <c r="C269"/>
    </row>
    <row r="270" spans="1:4" x14ac:dyDescent="0.3">
      <c r="A270"/>
      <c r="B270"/>
      <c r="C270"/>
    </row>
    <row r="271" spans="1:4" x14ac:dyDescent="0.3">
      <c r="A271"/>
      <c r="B271"/>
      <c r="C271"/>
    </row>
    <row r="272" spans="1:4" x14ac:dyDescent="0.3">
      <c r="A272"/>
      <c r="B272"/>
      <c r="C272"/>
    </row>
    <row r="273" spans="1:3" x14ac:dyDescent="0.3">
      <c r="A273"/>
      <c r="B273"/>
      <c r="C273"/>
    </row>
    <row r="274" spans="1:3" x14ac:dyDescent="0.3">
      <c r="A274"/>
      <c r="B274"/>
      <c r="C274"/>
    </row>
    <row r="275" spans="1:3" x14ac:dyDescent="0.3">
      <c r="A275"/>
      <c r="B275"/>
      <c r="C275"/>
    </row>
    <row r="276" spans="1:3" x14ac:dyDescent="0.3">
      <c r="A276"/>
      <c r="B276"/>
      <c r="C276"/>
    </row>
    <row r="277" spans="1:3" x14ac:dyDescent="0.3">
      <c r="A277"/>
      <c r="B277"/>
      <c r="C277"/>
    </row>
    <row r="278" spans="1:3" x14ac:dyDescent="0.3">
      <c r="A278"/>
      <c r="B278"/>
      <c r="C278"/>
    </row>
    <row r="279" spans="1:3" x14ac:dyDescent="0.3">
      <c r="A279"/>
      <c r="B279"/>
      <c r="C279"/>
    </row>
    <row r="280" spans="1:3" x14ac:dyDescent="0.3">
      <c r="A280"/>
      <c r="B280"/>
      <c r="C280"/>
    </row>
    <row r="281" spans="1:3" x14ac:dyDescent="0.3">
      <c r="A281"/>
      <c r="B281"/>
      <c r="C281"/>
    </row>
    <row r="282" spans="1:3" x14ac:dyDescent="0.3">
      <c r="A282"/>
      <c r="B282"/>
      <c r="C282"/>
    </row>
    <row r="283" spans="1:3" x14ac:dyDescent="0.3">
      <c r="A283"/>
      <c r="B283"/>
      <c r="C283"/>
    </row>
    <row r="284" spans="1:3" x14ac:dyDescent="0.3">
      <c r="A284"/>
      <c r="B284"/>
      <c r="C284"/>
    </row>
    <row r="285" spans="1:3" x14ac:dyDescent="0.3">
      <c r="A285"/>
      <c r="B285"/>
      <c r="C285"/>
    </row>
    <row r="286" spans="1:3" x14ac:dyDescent="0.3">
      <c r="A286"/>
      <c r="B286"/>
      <c r="C286"/>
    </row>
    <row r="287" spans="1:3" x14ac:dyDescent="0.3">
      <c r="A287"/>
      <c r="B287"/>
      <c r="C287"/>
    </row>
    <row r="288" spans="1:3" x14ac:dyDescent="0.3">
      <c r="A288"/>
      <c r="B288"/>
      <c r="C288"/>
    </row>
    <row r="289" spans="1:3" x14ac:dyDescent="0.3">
      <c r="A289"/>
      <c r="B289"/>
      <c r="C289"/>
    </row>
    <row r="290" spans="1:3" x14ac:dyDescent="0.3">
      <c r="A290"/>
      <c r="B290"/>
      <c r="C290"/>
    </row>
    <row r="291" spans="1:3" x14ac:dyDescent="0.3">
      <c r="A291"/>
      <c r="B291"/>
      <c r="C291"/>
    </row>
    <row r="292" spans="1:3" x14ac:dyDescent="0.3">
      <c r="A292"/>
      <c r="B292"/>
      <c r="C292"/>
    </row>
    <row r="293" spans="1:3" x14ac:dyDescent="0.3">
      <c r="A293"/>
      <c r="B293"/>
      <c r="C293"/>
    </row>
    <row r="294" spans="1:3" x14ac:dyDescent="0.3">
      <c r="A294"/>
      <c r="B294"/>
      <c r="C294"/>
    </row>
    <row r="295" spans="1:3" x14ac:dyDescent="0.3">
      <c r="A295"/>
      <c r="B295"/>
      <c r="C295"/>
    </row>
    <row r="296" spans="1:3" x14ac:dyDescent="0.3">
      <c r="A296"/>
      <c r="B296"/>
      <c r="C296"/>
    </row>
    <row r="297" spans="1:3" x14ac:dyDescent="0.3">
      <c r="A297"/>
      <c r="B297"/>
      <c r="C297"/>
    </row>
    <row r="298" spans="1:3" x14ac:dyDescent="0.3">
      <c r="A298"/>
      <c r="B298"/>
      <c r="C298"/>
    </row>
    <row r="299" spans="1:3" x14ac:dyDescent="0.3">
      <c r="A299"/>
      <c r="B299"/>
      <c r="C299"/>
    </row>
    <row r="300" spans="1:3" x14ac:dyDescent="0.3">
      <c r="A300"/>
      <c r="B300"/>
      <c r="C300"/>
    </row>
    <row r="301" spans="1:3" x14ac:dyDescent="0.3">
      <c r="A301"/>
      <c r="B301"/>
      <c r="C301"/>
    </row>
    <row r="302" spans="1:3" x14ac:dyDescent="0.3">
      <c r="A302"/>
      <c r="B302"/>
      <c r="C302"/>
    </row>
    <row r="303" spans="1:3" x14ac:dyDescent="0.3">
      <c r="A303"/>
      <c r="B303"/>
      <c r="C303"/>
    </row>
    <row r="304" spans="1:3" x14ac:dyDescent="0.3">
      <c r="A304"/>
      <c r="B304"/>
      <c r="C304"/>
    </row>
    <row r="305" spans="1:3" x14ac:dyDescent="0.3">
      <c r="A305"/>
      <c r="B305"/>
      <c r="C305"/>
    </row>
    <row r="306" spans="1:3" x14ac:dyDescent="0.3">
      <c r="A306"/>
      <c r="B306"/>
      <c r="C306"/>
    </row>
    <row r="307" spans="1:3" x14ac:dyDescent="0.3">
      <c r="A307"/>
      <c r="B307"/>
      <c r="C307"/>
    </row>
    <row r="308" spans="1:3" x14ac:dyDescent="0.3">
      <c r="A308"/>
      <c r="B308"/>
      <c r="C308"/>
    </row>
    <row r="309" spans="1:3" x14ac:dyDescent="0.3">
      <c r="A309"/>
      <c r="B309"/>
      <c r="C309"/>
    </row>
    <row r="310" spans="1:3" x14ac:dyDescent="0.3">
      <c r="A310"/>
      <c r="B310"/>
      <c r="C310"/>
    </row>
    <row r="311" spans="1:3" x14ac:dyDescent="0.3">
      <c r="A311"/>
      <c r="B311"/>
      <c r="C311"/>
    </row>
    <row r="312" spans="1:3" x14ac:dyDescent="0.3">
      <c r="A312"/>
      <c r="B312"/>
      <c r="C312"/>
    </row>
    <row r="313" spans="1:3" x14ac:dyDescent="0.3">
      <c r="A313"/>
      <c r="B313"/>
      <c r="C313"/>
    </row>
    <row r="314" spans="1:3" x14ac:dyDescent="0.3">
      <c r="A314"/>
      <c r="B314"/>
      <c r="C314"/>
    </row>
    <row r="315" spans="1:3" x14ac:dyDescent="0.3">
      <c r="A315"/>
      <c r="B315"/>
      <c r="C315"/>
    </row>
    <row r="316" spans="1:3" x14ac:dyDescent="0.3">
      <c r="A316"/>
      <c r="B316"/>
      <c r="C316"/>
    </row>
    <row r="317" spans="1:3" x14ac:dyDescent="0.3">
      <c r="A317"/>
      <c r="B317"/>
      <c r="C317"/>
    </row>
    <row r="318" spans="1:3" x14ac:dyDescent="0.3">
      <c r="A318"/>
      <c r="B318"/>
      <c r="C318"/>
    </row>
    <row r="319" spans="1:3" x14ac:dyDescent="0.3">
      <c r="A319"/>
      <c r="B319"/>
      <c r="C319"/>
    </row>
    <row r="320" spans="1:3" x14ac:dyDescent="0.3">
      <c r="A320"/>
      <c r="B320"/>
      <c r="C320"/>
    </row>
    <row r="321" spans="1:3" x14ac:dyDescent="0.3">
      <c r="A321"/>
      <c r="B321"/>
      <c r="C321"/>
    </row>
    <row r="322" spans="1:3" x14ac:dyDescent="0.3">
      <c r="A322"/>
      <c r="B322"/>
      <c r="C322"/>
    </row>
    <row r="323" spans="1:3" x14ac:dyDescent="0.3">
      <c r="A323"/>
      <c r="B323"/>
      <c r="C323"/>
    </row>
    <row r="324" spans="1:3" x14ac:dyDescent="0.3">
      <c r="A324"/>
      <c r="B324"/>
      <c r="C324"/>
    </row>
    <row r="325" spans="1:3" x14ac:dyDescent="0.3">
      <c r="A325"/>
      <c r="B325"/>
      <c r="C325"/>
    </row>
    <row r="326" spans="1:3" x14ac:dyDescent="0.3">
      <c r="A326"/>
      <c r="B326"/>
      <c r="C326"/>
    </row>
  </sheetData>
  <autoFilter ref="A3:Q3" xr:uid="{A2B9B0CC-50B9-43D3-9900-CC19997E291E}"/>
  <mergeCells count="14">
    <mergeCell ref="E63:E66"/>
    <mergeCell ref="E67:E70"/>
    <mergeCell ref="E25:E29"/>
    <mergeCell ref="E30:E33"/>
    <mergeCell ref="E40:E44"/>
    <mergeCell ref="E45:E49"/>
    <mergeCell ref="E55:E58"/>
    <mergeCell ref="E59:E62"/>
    <mergeCell ref="E20:E24"/>
    <mergeCell ref="A1:I2"/>
    <mergeCell ref="E4:E5"/>
    <mergeCell ref="E8:E11"/>
    <mergeCell ref="E12:E16"/>
    <mergeCell ref="E17:E18"/>
  </mergeCells>
  <conditionalFormatting sqref="Q6:Q7">
    <cfRule type="cellIs" dxfId="2" priority="1" operator="equal">
      <formula>"Ahead of time"</formula>
    </cfRule>
    <cfRule type="cellIs" dxfId="1" priority="2" operator="equal">
      <formula>"On time "</formula>
    </cfRule>
    <cfRule type="cellIs" dxfId="0" priority="3" operator="equal">
      <formula>"Delay"</formula>
    </cfRule>
  </conditionalFormatting>
  <dataValidations disablePrompts="1" count="1">
    <dataValidation type="list" allowBlank="1" showInputMessage="1" showErrorMessage="1" sqref="Q6:Q7" xr:uid="{43940188-22DD-433B-81CD-353CD4A5AF4E}">
      <formula1>#REF!</formula1>
    </dataValidation>
  </dataValidations>
  <pageMargins left="0.7" right="0.7" top="0.75" bottom="0.75" header="0.3" footer="0.3"/>
  <pageSetup paperSize="9" orientation="portrait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Weekly Manpower</vt:lpstr>
      <vt:lpstr>Project Cashflow </vt:lpstr>
      <vt:lpstr>Planned Vs Actual </vt:lpstr>
      <vt:lpstr>As per drawing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Saiyam Shah</dc:creator>
  <cp:lastModifiedBy>Saiyam Shah</cp:lastModifiedBy>
  <cp:lastPrinted>2026-01-31T07:24:26Z</cp:lastPrinted>
  <dcterms:created xsi:type="dcterms:W3CDTF">2026-01-30T16:02:27Z</dcterms:created>
  <dcterms:modified xsi:type="dcterms:W3CDTF">2026-01-31T07:24:31Z</dcterms:modified>
</cp:coreProperties>
</file>